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wenze\Documents\IU\IU Fernstudium\Module\Data Analytics und Big Data\"/>
    </mc:Choice>
  </mc:AlternateContent>
  <xr:revisionPtr revIDLastSave="0" documentId="13_ncr:1_{B60AD455-B525-4A71-811F-E190CB7F7D88}" xr6:coauthVersionLast="47" xr6:coauthVersionMax="47" xr10:uidLastSave="{00000000-0000-0000-0000-000000000000}"/>
  <bookViews>
    <workbookView xWindow="-165" yWindow="-165" windowWidth="29130" windowHeight="17610" firstSheet="3" activeTab="9" xr2:uid="{3D3C1D62-8C97-48AB-925B-A31A3D8FF92B}"/>
  </bookViews>
  <sheets>
    <sheet name="Bestellungen" sheetId="1" r:id="rId1"/>
    <sheet name="Umfragenteilnahme" sheetId="12" state="hidden" r:id="rId2"/>
    <sheet name="Kundenumfrage" sheetId="6" r:id="rId3"/>
    <sheet name="Kunde" sheetId="3" r:id="rId4"/>
    <sheet name="Hilfetabelle Region" sheetId="11" state="hidden" r:id="rId5"/>
    <sheet name="Produkt" sheetId="2" r:id="rId6"/>
    <sheet name="Produktionsdaten August22" sheetId="8" r:id="rId7"/>
    <sheet name="Qualitätsprüfung August22" sheetId="9" r:id="rId8"/>
    <sheet name="Hilfstabelle QP" sheetId="15" state="hidden" r:id="rId9"/>
    <sheet name="Maschinen-WartungAusfall" sheetId="10" r:id="rId10"/>
    <sheet name="Hilfstabelle Mashinen" sheetId="13" state="hidden" r:id="rId11"/>
    <sheet name="Diagramm1" sheetId="7" state="hidden" r:id="rId12"/>
    <sheet name="Ertrag" sheetId="5" state="hidden" r:id="rId13"/>
  </sheets>
  <definedNames>
    <definedName name="_xlnm._FilterDatabase" localSheetId="2" hidden="1">Kundenumfrage!$A$1:$G$1500</definedName>
    <definedName name="_xlnm._FilterDatabase" localSheetId="9" hidden="1">'Maschinen-WartungAusfall'!$A$1:$F$150</definedName>
    <definedName name="_xlnm._FilterDatabase" localSheetId="6" hidden="1">'Produktionsdaten August22'!$A$1:$D$10000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21" i="9" l="1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518" i="9"/>
  <c r="C519" i="9"/>
  <c r="C520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2" i="9"/>
  <c r="D6091" i="8"/>
  <c r="D8715" i="8"/>
  <c r="D3512" i="8"/>
  <c r="D1311" i="8"/>
  <c r="D1632" i="8"/>
  <c r="D4818" i="8"/>
  <c r="D4819" i="8"/>
  <c r="D4501" i="8"/>
  <c r="D4820" i="8"/>
  <c r="D7053" i="8"/>
  <c r="D2848" i="8"/>
  <c r="D1000" i="8"/>
  <c r="D8047" i="8"/>
  <c r="D8048" i="8"/>
  <c r="D8716" i="8"/>
  <c r="D655" i="8"/>
  <c r="D4502" i="8"/>
  <c r="D5794" i="8"/>
  <c r="D5795" i="8"/>
  <c r="D6770" i="8"/>
  <c r="D9060" i="8"/>
  <c r="D1312" i="8"/>
  <c r="D2264" i="8"/>
  <c r="D9694" i="8"/>
  <c r="D8717" i="8"/>
  <c r="D8049" i="8"/>
  <c r="D3169" i="8"/>
  <c r="D4821" i="8"/>
  <c r="D4822" i="8"/>
  <c r="D9695" i="8"/>
  <c r="D6436" i="8"/>
  <c r="D8389" i="8"/>
  <c r="D2" i="8"/>
  <c r="D1950" i="8"/>
  <c r="D1313" i="8"/>
  <c r="D8050" i="8"/>
  <c r="D1633" i="8"/>
  <c r="D3513" i="8"/>
  <c r="D5796" i="8"/>
  <c r="D1634" i="8"/>
  <c r="D6771" i="8"/>
  <c r="D9061" i="8"/>
  <c r="D3842" i="8"/>
  <c r="D3514" i="8"/>
  <c r="D7054" i="8"/>
  <c r="D1951" i="8"/>
  <c r="D9062" i="8"/>
  <c r="D3170" i="8"/>
  <c r="D6092" i="8"/>
  <c r="D2265" i="8"/>
  <c r="D6437" i="8"/>
  <c r="D334" i="8"/>
  <c r="D2849" i="8"/>
  <c r="D2850" i="8"/>
  <c r="D2851" i="8"/>
  <c r="D3843" i="8"/>
  <c r="D2852" i="8"/>
  <c r="D5797" i="8"/>
  <c r="D1635" i="8"/>
  <c r="D2853" i="8"/>
  <c r="D5798" i="8"/>
  <c r="D1636" i="8"/>
  <c r="D7055" i="8"/>
  <c r="D3844" i="8"/>
  <c r="D4823" i="8"/>
  <c r="D1952" i="8"/>
  <c r="D7724" i="8"/>
  <c r="D4824" i="8"/>
  <c r="D1953" i="8"/>
  <c r="D7725" i="8"/>
  <c r="D7056" i="8"/>
  <c r="D9375" i="8"/>
  <c r="D7726" i="8"/>
  <c r="D7727" i="8"/>
  <c r="D6093" i="8"/>
  <c r="D4503" i="8"/>
  <c r="D2854" i="8"/>
  <c r="D8718" i="8"/>
  <c r="D1314" i="8"/>
  <c r="D7401" i="8"/>
  <c r="D6094" i="8"/>
  <c r="D6438" i="8"/>
  <c r="D5799" i="8"/>
  <c r="D8390" i="8"/>
  <c r="D9376" i="8"/>
  <c r="D8051" i="8"/>
  <c r="D4504" i="8"/>
  <c r="D3845" i="8"/>
  <c r="D6095" i="8"/>
  <c r="D7057" i="8"/>
  <c r="D9377" i="8"/>
  <c r="D9063" i="8"/>
  <c r="D6439" i="8"/>
  <c r="D6440" i="8"/>
  <c r="D3171" i="8"/>
  <c r="D4182" i="8"/>
  <c r="D1315" i="8"/>
  <c r="D8719" i="8"/>
  <c r="D2556" i="8"/>
  <c r="D1954" i="8"/>
  <c r="D7402" i="8"/>
  <c r="D8720" i="8"/>
  <c r="D1001" i="8"/>
  <c r="D3846" i="8"/>
  <c r="D3847" i="8"/>
  <c r="D5800" i="8"/>
  <c r="D3172" i="8"/>
  <c r="D9378" i="8"/>
  <c r="D3" i="8"/>
  <c r="D6441" i="8"/>
  <c r="D5148" i="8"/>
  <c r="D8052" i="8"/>
  <c r="D5149" i="8"/>
  <c r="D5461" i="8"/>
  <c r="D8391" i="8"/>
  <c r="D6442" i="8"/>
  <c r="D9064" i="8"/>
  <c r="D656" i="8"/>
  <c r="D5801" i="8"/>
  <c r="D2855" i="8"/>
  <c r="D5802" i="8"/>
  <c r="D1316" i="8"/>
  <c r="D8392" i="8"/>
  <c r="D335" i="8"/>
  <c r="D6772" i="8"/>
  <c r="D1955" i="8"/>
  <c r="D1317" i="8"/>
  <c r="D9065" i="8"/>
  <c r="D4183" i="8"/>
  <c r="D3848" i="8"/>
  <c r="D8721" i="8"/>
  <c r="D2856" i="8"/>
  <c r="D2266" i="8"/>
  <c r="D9696" i="8"/>
  <c r="D4184" i="8"/>
  <c r="D5150" i="8"/>
  <c r="D2857" i="8"/>
  <c r="D8722" i="8"/>
  <c r="D1956" i="8"/>
  <c r="D4" i="8"/>
  <c r="D336" i="8"/>
  <c r="D3515" i="8"/>
  <c r="D4505" i="8"/>
  <c r="D3173" i="8"/>
  <c r="D337" i="8"/>
  <c r="D7728" i="8"/>
  <c r="D4185" i="8"/>
  <c r="D3516" i="8"/>
  <c r="D6773" i="8"/>
  <c r="D4186" i="8"/>
  <c r="D338" i="8"/>
  <c r="D5462" i="8"/>
  <c r="D2858" i="8"/>
  <c r="D5151" i="8"/>
  <c r="D5" i="8"/>
  <c r="D6443" i="8"/>
  <c r="D7403" i="8"/>
  <c r="D6096" i="8"/>
  <c r="D4506" i="8"/>
  <c r="D3517" i="8"/>
  <c r="D6774" i="8"/>
  <c r="D2859" i="8"/>
  <c r="D8393" i="8"/>
  <c r="D4825" i="8"/>
  <c r="D8723" i="8"/>
  <c r="D8394" i="8"/>
  <c r="D3174" i="8"/>
  <c r="D6097" i="8"/>
  <c r="D2267" i="8"/>
  <c r="D1318" i="8"/>
  <c r="D9379" i="8"/>
  <c r="D9066" i="8"/>
  <c r="D2557" i="8"/>
  <c r="D1319" i="8"/>
  <c r="D2268" i="8"/>
  <c r="D9067" i="8"/>
  <c r="D2860" i="8"/>
  <c r="D4507" i="8"/>
  <c r="D6444" i="8"/>
  <c r="D1637" i="8"/>
  <c r="D4508" i="8"/>
  <c r="D4509" i="8"/>
  <c r="D4826" i="8"/>
  <c r="D339" i="8"/>
  <c r="D2269" i="8"/>
  <c r="D3518" i="8"/>
  <c r="D5463" i="8"/>
  <c r="D1638" i="8"/>
  <c r="D1002" i="8"/>
  <c r="D6098" i="8"/>
  <c r="D1003" i="8"/>
  <c r="D3519" i="8"/>
  <c r="D7404" i="8"/>
  <c r="D2558" i="8"/>
  <c r="D340" i="8"/>
  <c r="D2559" i="8"/>
  <c r="D9380" i="8"/>
  <c r="D3520" i="8"/>
  <c r="D5803" i="8"/>
  <c r="D6775" i="8"/>
  <c r="D6445" i="8"/>
  <c r="D3521" i="8"/>
  <c r="D6776" i="8"/>
  <c r="D8724" i="8"/>
  <c r="D4827" i="8"/>
  <c r="D8053" i="8"/>
  <c r="D6777" i="8"/>
  <c r="D4510" i="8"/>
  <c r="D8395" i="8"/>
  <c r="D8054" i="8"/>
  <c r="D5464" i="8"/>
  <c r="D5465" i="8"/>
  <c r="D1320" i="8"/>
  <c r="D4828" i="8"/>
  <c r="D1004" i="8"/>
  <c r="D5152" i="8"/>
  <c r="D2560" i="8"/>
  <c r="D6099" i="8"/>
  <c r="D8396" i="8"/>
  <c r="D3522" i="8"/>
  <c r="D8725" i="8"/>
  <c r="D1321" i="8"/>
  <c r="D6" i="8"/>
  <c r="D4829" i="8"/>
  <c r="D7405" i="8"/>
  <c r="D3175" i="8"/>
  <c r="D4830" i="8"/>
  <c r="D1322" i="8"/>
  <c r="D5804" i="8"/>
  <c r="D6100" i="8"/>
  <c r="D9697" i="8"/>
  <c r="D8055" i="8"/>
  <c r="D2861" i="8"/>
  <c r="D6446" i="8"/>
  <c r="D3176" i="8"/>
  <c r="D657" i="8"/>
  <c r="D658" i="8"/>
  <c r="D5805" i="8"/>
  <c r="D4831" i="8"/>
  <c r="D4511" i="8"/>
  <c r="D2561" i="8"/>
  <c r="D9381" i="8"/>
  <c r="D341" i="8"/>
  <c r="D8056" i="8"/>
  <c r="D2270" i="8"/>
  <c r="D1639" i="8"/>
  <c r="D6101" i="8"/>
  <c r="D6102" i="8"/>
  <c r="D342" i="8"/>
  <c r="D8397" i="8"/>
  <c r="D9382" i="8"/>
  <c r="D7058" i="8"/>
  <c r="D7059" i="8"/>
  <c r="D7406" i="8"/>
  <c r="D659" i="8"/>
  <c r="D8726" i="8"/>
  <c r="D9383" i="8"/>
  <c r="D7" i="8"/>
  <c r="D1005" i="8"/>
  <c r="D7407" i="8"/>
  <c r="D5806" i="8"/>
  <c r="D2271" i="8"/>
  <c r="D3177" i="8"/>
  <c r="D9384" i="8"/>
  <c r="D5807" i="8"/>
  <c r="D1323" i="8"/>
  <c r="D3178" i="8"/>
  <c r="D2562" i="8"/>
  <c r="D7729" i="8"/>
  <c r="D1957" i="8"/>
  <c r="D9385" i="8"/>
  <c r="D5808" i="8"/>
  <c r="D3523" i="8"/>
  <c r="D4832" i="8"/>
  <c r="D8398" i="8"/>
  <c r="D8399" i="8"/>
  <c r="D7060" i="8"/>
  <c r="D8" i="8"/>
  <c r="D3179" i="8"/>
  <c r="D5466" i="8"/>
  <c r="D660" i="8"/>
  <c r="D343" i="8"/>
  <c r="D7061" i="8"/>
  <c r="D1324" i="8"/>
  <c r="D2862" i="8"/>
  <c r="D6103" i="8"/>
  <c r="D3180" i="8"/>
  <c r="D2563" i="8"/>
  <c r="D3524" i="8"/>
  <c r="D8727" i="8"/>
  <c r="D6778" i="8"/>
  <c r="D9698" i="8"/>
  <c r="D9386" i="8"/>
  <c r="D7408" i="8"/>
  <c r="D6779" i="8"/>
  <c r="D9387" i="8"/>
  <c r="D7062" i="8"/>
  <c r="D6104" i="8"/>
  <c r="D8400" i="8"/>
  <c r="D2863" i="8"/>
  <c r="D9699" i="8"/>
  <c r="D1640" i="8"/>
  <c r="D5809" i="8"/>
  <c r="D2864" i="8"/>
  <c r="D6105" i="8"/>
  <c r="D9700" i="8"/>
  <c r="D4512" i="8"/>
  <c r="D1006" i="8"/>
  <c r="D6447" i="8"/>
  <c r="D6448" i="8"/>
  <c r="D5153" i="8"/>
  <c r="D3181" i="8"/>
  <c r="D5810" i="8"/>
  <c r="D8401" i="8"/>
  <c r="D1958" i="8"/>
  <c r="D7063" i="8"/>
  <c r="D1325" i="8"/>
  <c r="D3182" i="8"/>
  <c r="D4513" i="8"/>
  <c r="D9388" i="8"/>
  <c r="D7730" i="8"/>
  <c r="D2564" i="8"/>
  <c r="D7409" i="8"/>
  <c r="D2865" i="8"/>
  <c r="D9389" i="8"/>
  <c r="D4187" i="8"/>
  <c r="D9390" i="8"/>
  <c r="D6449" i="8"/>
  <c r="D1007" i="8"/>
  <c r="D9701" i="8"/>
  <c r="D2565" i="8"/>
  <c r="D1008" i="8"/>
  <c r="D6106" i="8"/>
  <c r="D1641" i="8"/>
  <c r="D9" i="8"/>
  <c r="D3849" i="8"/>
  <c r="D5154" i="8"/>
  <c r="D8402" i="8"/>
  <c r="D661" i="8"/>
  <c r="D5155" i="8"/>
  <c r="D5811" i="8"/>
  <c r="D4833" i="8"/>
  <c r="D6450" i="8"/>
  <c r="D1009" i="8"/>
  <c r="D1010" i="8"/>
  <c r="D8403" i="8"/>
  <c r="D3183" i="8"/>
  <c r="D1642" i="8"/>
  <c r="D5156" i="8"/>
  <c r="D8404" i="8"/>
  <c r="D1959" i="8"/>
  <c r="D2272" i="8"/>
  <c r="D2566" i="8"/>
  <c r="D2866" i="8"/>
  <c r="D3525" i="8"/>
  <c r="D662" i="8"/>
  <c r="D3184" i="8"/>
  <c r="D1643" i="8"/>
  <c r="D10" i="8"/>
  <c r="D6107" i="8"/>
  <c r="D1326" i="8"/>
  <c r="D3526" i="8"/>
  <c r="D7064" i="8"/>
  <c r="D8057" i="8"/>
  <c r="D6108" i="8"/>
  <c r="D7731" i="8"/>
  <c r="D9068" i="8"/>
  <c r="D2273" i="8"/>
  <c r="D3527" i="8"/>
  <c r="D7732" i="8"/>
  <c r="D2567" i="8"/>
  <c r="D8058" i="8"/>
  <c r="D4514" i="8"/>
  <c r="D1011" i="8"/>
  <c r="D11" i="8"/>
  <c r="D9069" i="8"/>
  <c r="D8728" i="8"/>
  <c r="D12" i="8"/>
  <c r="D1960" i="8"/>
  <c r="D4188" i="8"/>
  <c r="D6780" i="8"/>
  <c r="D7065" i="8"/>
  <c r="D4189" i="8"/>
  <c r="D9702" i="8"/>
  <c r="D7733" i="8"/>
  <c r="D7410" i="8"/>
  <c r="D7066" i="8"/>
  <c r="D9070" i="8"/>
  <c r="D7067" i="8"/>
  <c r="D9391" i="8"/>
  <c r="D1644" i="8"/>
  <c r="D9703" i="8"/>
  <c r="D13" i="8"/>
  <c r="D4190" i="8"/>
  <c r="D6109" i="8"/>
  <c r="D3850" i="8"/>
  <c r="D2867" i="8"/>
  <c r="D8729" i="8"/>
  <c r="D2568" i="8"/>
  <c r="D344" i="8"/>
  <c r="D5812" i="8"/>
  <c r="D345" i="8"/>
  <c r="D5157" i="8"/>
  <c r="D5467" i="8"/>
  <c r="D6781" i="8"/>
  <c r="D3528" i="8"/>
  <c r="D8730" i="8"/>
  <c r="D9704" i="8"/>
  <c r="D4515" i="8"/>
  <c r="D346" i="8"/>
  <c r="D2274" i="8"/>
  <c r="D8731" i="8"/>
  <c r="D9071" i="8"/>
  <c r="D3185" i="8"/>
  <c r="D4834" i="8"/>
  <c r="D7068" i="8"/>
  <c r="D5158" i="8"/>
  <c r="D6110" i="8"/>
  <c r="D1961" i="8"/>
  <c r="D1012" i="8"/>
  <c r="D14" i="8"/>
  <c r="D2275" i="8"/>
  <c r="D7069" i="8"/>
  <c r="D6451" i="8"/>
  <c r="D3529" i="8"/>
  <c r="D6111" i="8"/>
  <c r="D8405" i="8"/>
  <c r="D6782" i="8"/>
  <c r="D6112" i="8"/>
  <c r="D8059" i="8"/>
  <c r="D8060" i="8"/>
  <c r="D1645" i="8"/>
  <c r="D9705" i="8"/>
  <c r="D1327" i="8"/>
  <c r="D6113" i="8"/>
  <c r="D1328" i="8"/>
  <c r="D1646" i="8"/>
  <c r="D2276" i="8"/>
  <c r="D15" i="8"/>
  <c r="D16" i="8"/>
  <c r="D9392" i="8"/>
  <c r="D1647" i="8"/>
  <c r="D8061" i="8"/>
  <c r="D8406" i="8"/>
  <c r="D17" i="8"/>
  <c r="D6114" i="8"/>
  <c r="D6115" i="8"/>
  <c r="D18" i="8"/>
  <c r="D8062" i="8"/>
  <c r="D7734" i="8"/>
  <c r="D1962" i="8"/>
  <c r="D7411" i="8"/>
  <c r="D8732" i="8"/>
  <c r="D5159" i="8"/>
  <c r="D347" i="8"/>
  <c r="D6783" i="8"/>
  <c r="D1963" i="8"/>
  <c r="D5468" i="8"/>
  <c r="D3530" i="8"/>
  <c r="D3186" i="8"/>
  <c r="D2868" i="8"/>
  <c r="D9072" i="8"/>
  <c r="D1964" i="8"/>
  <c r="D9073" i="8"/>
  <c r="D1965" i="8"/>
  <c r="D1013" i="8"/>
  <c r="D5813" i="8"/>
  <c r="D9393" i="8"/>
  <c r="D348" i="8"/>
  <c r="D9074" i="8"/>
  <c r="D4191" i="8"/>
  <c r="D1014" i="8"/>
  <c r="D6452" i="8"/>
  <c r="D7735" i="8"/>
  <c r="D2569" i="8"/>
  <c r="D7736" i="8"/>
  <c r="D4192" i="8"/>
  <c r="D8733" i="8"/>
  <c r="D7070" i="8"/>
  <c r="D663" i="8"/>
  <c r="D4516" i="8"/>
  <c r="D19" i="8"/>
  <c r="D8407" i="8"/>
  <c r="D3851" i="8"/>
  <c r="D2869" i="8"/>
  <c r="D4193" i="8"/>
  <c r="D3187" i="8"/>
  <c r="D4194" i="8"/>
  <c r="D5469" i="8"/>
  <c r="D8063" i="8"/>
  <c r="D7412" i="8"/>
  <c r="D664" i="8"/>
  <c r="D349" i="8"/>
  <c r="D1015" i="8"/>
  <c r="D6116" i="8"/>
  <c r="D2277" i="8"/>
  <c r="D9706" i="8"/>
  <c r="D4835" i="8"/>
  <c r="D8064" i="8"/>
  <c r="D5160" i="8"/>
  <c r="D4517" i="8"/>
  <c r="D8408" i="8"/>
  <c r="D7071" i="8"/>
  <c r="D1966" i="8"/>
  <c r="D7413" i="8"/>
  <c r="D4836" i="8"/>
  <c r="D2278" i="8"/>
  <c r="D1016" i="8"/>
  <c r="D6453" i="8"/>
  <c r="D3531" i="8"/>
  <c r="D8409" i="8"/>
  <c r="D6784" i="8"/>
  <c r="D2870" i="8"/>
  <c r="D6785" i="8"/>
  <c r="D1648" i="8"/>
  <c r="D5814" i="8"/>
  <c r="D8410" i="8"/>
  <c r="D4518" i="8"/>
  <c r="D7072" i="8"/>
  <c r="D2279" i="8"/>
  <c r="D6786" i="8"/>
  <c r="D9394" i="8"/>
  <c r="D3188" i="8"/>
  <c r="D9075" i="8"/>
  <c r="D1329" i="8"/>
  <c r="D9395" i="8"/>
  <c r="D3852" i="8"/>
  <c r="D1017" i="8"/>
  <c r="D1649" i="8"/>
  <c r="D4195" i="8"/>
  <c r="D9396" i="8"/>
  <c r="D4837" i="8"/>
  <c r="D7073" i="8"/>
  <c r="D5470" i="8"/>
  <c r="D665" i="8"/>
  <c r="D8734" i="8"/>
  <c r="D4519" i="8"/>
  <c r="D3532" i="8"/>
  <c r="D7074" i="8"/>
  <c r="D5815" i="8"/>
  <c r="D3853" i="8"/>
  <c r="D350" i="8"/>
  <c r="D3189" i="8"/>
  <c r="D1330" i="8"/>
  <c r="D9397" i="8"/>
  <c r="D2871" i="8"/>
  <c r="D1331" i="8"/>
  <c r="D4196" i="8"/>
  <c r="D9707" i="8"/>
  <c r="D1018" i="8"/>
  <c r="D1332" i="8"/>
  <c r="D7737" i="8"/>
  <c r="D1019" i="8"/>
  <c r="D8411" i="8"/>
  <c r="D1650" i="8"/>
  <c r="D6454" i="8"/>
  <c r="D3533" i="8"/>
  <c r="D2280" i="8"/>
  <c r="D1333" i="8"/>
  <c r="D6117" i="8"/>
  <c r="D2872" i="8"/>
  <c r="D9708" i="8"/>
  <c r="D3190" i="8"/>
  <c r="D4197" i="8"/>
  <c r="D9398" i="8"/>
  <c r="D3854" i="8"/>
  <c r="D9399" i="8"/>
  <c r="D1334" i="8"/>
  <c r="D5471" i="8"/>
  <c r="D3855" i="8"/>
  <c r="D351" i="8"/>
  <c r="D7075" i="8"/>
  <c r="D9709" i="8"/>
  <c r="D1335" i="8"/>
  <c r="D9076" i="8"/>
  <c r="D3534" i="8"/>
  <c r="D9077" i="8"/>
  <c r="D1967" i="8"/>
  <c r="D4520" i="8"/>
  <c r="D8412" i="8"/>
  <c r="D6455" i="8"/>
  <c r="D6456" i="8"/>
  <c r="D6787" i="8"/>
  <c r="D666" i="8"/>
  <c r="D8735" i="8"/>
  <c r="D8065" i="8"/>
  <c r="D2281" i="8"/>
  <c r="D9710" i="8"/>
  <c r="D667" i="8"/>
  <c r="D5472" i="8"/>
  <c r="D8736" i="8"/>
  <c r="D4521" i="8"/>
  <c r="D4838" i="8"/>
  <c r="D7076" i="8"/>
  <c r="D1020" i="8"/>
  <c r="D668" i="8"/>
  <c r="D7738" i="8"/>
  <c r="D2282" i="8"/>
  <c r="D5161" i="8"/>
  <c r="D4522" i="8"/>
  <c r="D9078" i="8"/>
  <c r="D8413" i="8"/>
  <c r="D1968" i="8"/>
  <c r="D8066" i="8"/>
  <c r="D669" i="8"/>
  <c r="D1651" i="8"/>
  <c r="D7077" i="8"/>
  <c r="D1969" i="8"/>
  <c r="D3191" i="8"/>
  <c r="D2283" i="8"/>
  <c r="D8414" i="8"/>
  <c r="D9079" i="8"/>
  <c r="D1021" i="8"/>
  <c r="D4198" i="8"/>
  <c r="D1970" i="8"/>
  <c r="D5162" i="8"/>
  <c r="D4523" i="8"/>
  <c r="D3192" i="8"/>
  <c r="D5163" i="8"/>
  <c r="D20" i="8"/>
  <c r="D6457" i="8"/>
  <c r="D5164" i="8"/>
  <c r="D4524" i="8"/>
  <c r="D8415" i="8"/>
  <c r="D3193" i="8"/>
  <c r="D7739" i="8"/>
  <c r="D7740" i="8"/>
  <c r="D5473" i="8"/>
  <c r="D21" i="8"/>
  <c r="D1652" i="8"/>
  <c r="D1022" i="8"/>
  <c r="D7078" i="8"/>
  <c r="D7414" i="8"/>
  <c r="D3856" i="8"/>
  <c r="D1971" i="8"/>
  <c r="D8067" i="8"/>
  <c r="D5816" i="8"/>
  <c r="D352" i="8"/>
  <c r="D6458" i="8"/>
  <c r="D5165" i="8"/>
  <c r="D5817" i="8"/>
  <c r="D4525" i="8"/>
  <c r="D9080" i="8"/>
  <c r="D6788" i="8"/>
  <c r="D3857" i="8"/>
  <c r="D670" i="8"/>
  <c r="D3858" i="8"/>
  <c r="D7079" i="8"/>
  <c r="D3535" i="8"/>
  <c r="D1972" i="8"/>
  <c r="D7741" i="8"/>
  <c r="D9400" i="8"/>
  <c r="D7415" i="8"/>
  <c r="D5166" i="8"/>
  <c r="D7416" i="8"/>
  <c r="D1336" i="8"/>
  <c r="D1653" i="8"/>
  <c r="D6789" i="8"/>
  <c r="D3194" i="8"/>
  <c r="D8737" i="8"/>
  <c r="D9401" i="8"/>
  <c r="D6790" i="8"/>
  <c r="D1654" i="8"/>
  <c r="D22" i="8"/>
  <c r="D5167" i="8"/>
  <c r="D6118" i="8"/>
  <c r="D4199" i="8"/>
  <c r="D4200" i="8"/>
  <c r="D6459" i="8"/>
  <c r="D2284" i="8"/>
  <c r="D3536" i="8"/>
  <c r="D2873" i="8"/>
  <c r="D23" i="8"/>
  <c r="D1655" i="8"/>
  <c r="D3195" i="8"/>
  <c r="D2285" i="8"/>
  <c r="D9402" i="8"/>
  <c r="D5818" i="8"/>
  <c r="D5474" i="8"/>
  <c r="D7080" i="8"/>
  <c r="D6791" i="8"/>
  <c r="D24" i="8"/>
  <c r="D8068" i="8"/>
  <c r="D1656" i="8"/>
  <c r="D7081" i="8"/>
  <c r="D2570" i="8"/>
  <c r="D6460" i="8"/>
  <c r="D25" i="8"/>
  <c r="D1023" i="8"/>
  <c r="D3859" i="8"/>
  <c r="D7082" i="8"/>
  <c r="D5168" i="8"/>
  <c r="D3196" i="8"/>
  <c r="D8416" i="8"/>
  <c r="D8417" i="8"/>
  <c r="D6461" i="8"/>
  <c r="D9081" i="8"/>
  <c r="D3197" i="8"/>
  <c r="D1024" i="8"/>
  <c r="D5475" i="8"/>
  <c r="D8738" i="8"/>
  <c r="D4839" i="8"/>
  <c r="D4526" i="8"/>
  <c r="D4840" i="8"/>
  <c r="D7417" i="8"/>
  <c r="D6462" i="8"/>
  <c r="D1337" i="8"/>
  <c r="D2286" i="8"/>
  <c r="D3198" i="8"/>
  <c r="D1025" i="8"/>
  <c r="D6119" i="8"/>
  <c r="D2287" i="8"/>
  <c r="D4527" i="8"/>
  <c r="D8739" i="8"/>
  <c r="D6120" i="8"/>
  <c r="D7742" i="8"/>
  <c r="D1973" i="8"/>
  <c r="D6121" i="8"/>
  <c r="D9082" i="8"/>
  <c r="D9083" i="8"/>
  <c r="D2571" i="8"/>
  <c r="D7743" i="8"/>
  <c r="D3860" i="8"/>
  <c r="D1338" i="8"/>
  <c r="D1657" i="8"/>
  <c r="D8418" i="8"/>
  <c r="D7083" i="8"/>
  <c r="D8740" i="8"/>
  <c r="D2572" i="8"/>
  <c r="D6463" i="8"/>
  <c r="D9403" i="8"/>
  <c r="D4528" i="8"/>
  <c r="D3861" i="8"/>
  <c r="D9711" i="8"/>
  <c r="D2874" i="8"/>
  <c r="D3862" i="8"/>
  <c r="D3537" i="8"/>
  <c r="D7744" i="8"/>
  <c r="D8419" i="8"/>
  <c r="D4529" i="8"/>
  <c r="D4841" i="8"/>
  <c r="D2573" i="8"/>
  <c r="D8741" i="8"/>
  <c r="D6122" i="8"/>
  <c r="D671" i="8"/>
  <c r="D7745" i="8"/>
  <c r="D2574" i="8"/>
  <c r="D8420" i="8"/>
  <c r="D4201" i="8"/>
  <c r="D1974" i="8"/>
  <c r="D4202" i="8"/>
  <c r="D1658" i="8"/>
  <c r="D9084" i="8"/>
  <c r="D5169" i="8"/>
  <c r="D9085" i="8"/>
  <c r="D3199" i="8"/>
  <c r="D9086" i="8"/>
  <c r="D5476" i="8"/>
  <c r="D7746" i="8"/>
  <c r="D2875" i="8"/>
  <c r="D2876" i="8"/>
  <c r="D9712" i="8"/>
  <c r="D3538" i="8"/>
  <c r="D3200" i="8"/>
  <c r="D7418" i="8"/>
  <c r="D7419" i="8"/>
  <c r="D7747" i="8"/>
  <c r="D6792" i="8"/>
  <c r="D4530" i="8"/>
  <c r="D9404" i="8"/>
  <c r="D5477" i="8"/>
  <c r="D1026" i="8"/>
  <c r="D7420" i="8"/>
  <c r="D7084" i="8"/>
  <c r="D4203" i="8"/>
  <c r="D5170" i="8"/>
  <c r="D7421" i="8"/>
  <c r="D6123" i="8"/>
  <c r="D4531" i="8"/>
  <c r="D5171" i="8"/>
  <c r="D5172" i="8"/>
  <c r="D2575" i="8"/>
  <c r="D7085" i="8"/>
  <c r="D6464" i="8"/>
  <c r="D1659" i="8"/>
  <c r="D6465" i="8"/>
  <c r="D5173" i="8"/>
  <c r="D7422" i="8"/>
  <c r="D8742" i="8"/>
  <c r="D6466" i="8"/>
  <c r="D6467" i="8"/>
  <c r="D1339" i="8"/>
  <c r="D8421" i="8"/>
  <c r="D2877" i="8"/>
  <c r="D1340" i="8"/>
  <c r="D4204" i="8"/>
  <c r="D26" i="8"/>
  <c r="D1027" i="8"/>
  <c r="D9405" i="8"/>
  <c r="D1660" i="8"/>
  <c r="D7748" i="8"/>
  <c r="D7086" i="8"/>
  <c r="D5478" i="8"/>
  <c r="D4532" i="8"/>
  <c r="D5479" i="8"/>
  <c r="D7087" i="8"/>
  <c r="D8743" i="8"/>
  <c r="D1341" i="8"/>
  <c r="D6793" i="8"/>
  <c r="D6468" i="8"/>
  <c r="D7423" i="8"/>
  <c r="D7749" i="8"/>
  <c r="D5480" i="8"/>
  <c r="D7088" i="8"/>
  <c r="D5481" i="8"/>
  <c r="D5482" i="8"/>
  <c r="D1028" i="8"/>
  <c r="D9087" i="8"/>
  <c r="D7424" i="8"/>
  <c r="D4842" i="8"/>
  <c r="D4843" i="8"/>
  <c r="D1661" i="8"/>
  <c r="D7425" i="8"/>
  <c r="D2576" i="8"/>
  <c r="D5483" i="8"/>
  <c r="D3201" i="8"/>
  <c r="D3202" i="8"/>
  <c r="D2288" i="8"/>
  <c r="D8422" i="8"/>
  <c r="D1029" i="8"/>
  <c r="D8069" i="8"/>
  <c r="D1975" i="8"/>
  <c r="D2878" i="8"/>
  <c r="D2879" i="8"/>
  <c r="D4205" i="8"/>
  <c r="D8070" i="8"/>
  <c r="D2289" i="8"/>
  <c r="D7089" i="8"/>
  <c r="D5174" i="8"/>
  <c r="D9406" i="8"/>
  <c r="D3539" i="8"/>
  <c r="D9407" i="8"/>
  <c r="D2577" i="8"/>
  <c r="D27" i="8"/>
  <c r="D2578" i="8"/>
  <c r="D5484" i="8"/>
  <c r="D2290" i="8"/>
  <c r="D7750" i="8"/>
  <c r="D8423" i="8"/>
  <c r="D9088" i="8"/>
  <c r="D9089" i="8"/>
  <c r="D5485" i="8"/>
  <c r="D6469" i="8"/>
  <c r="D1662" i="8"/>
  <c r="D1663" i="8"/>
  <c r="D4844" i="8"/>
  <c r="D3540" i="8"/>
  <c r="D4533" i="8"/>
  <c r="D2579" i="8"/>
  <c r="D1030" i="8"/>
  <c r="D3863" i="8"/>
  <c r="D7426" i="8"/>
  <c r="D5819" i="8"/>
  <c r="D8744" i="8"/>
  <c r="D8424" i="8"/>
  <c r="D4206" i="8"/>
  <c r="D8745" i="8"/>
  <c r="D4207" i="8"/>
  <c r="D353" i="8"/>
  <c r="D9090" i="8"/>
  <c r="D2580" i="8"/>
  <c r="D4208" i="8"/>
  <c r="D1342" i="8"/>
  <c r="D1976" i="8"/>
  <c r="D2291" i="8"/>
  <c r="D4209" i="8"/>
  <c r="D6470" i="8"/>
  <c r="D2581" i="8"/>
  <c r="D8746" i="8"/>
  <c r="D8425" i="8"/>
  <c r="D28" i="8"/>
  <c r="D6471" i="8"/>
  <c r="D4845" i="8"/>
  <c r="D4210" i="8"/>
  <c r="D5486" i="8"/>
  <c r="D9713" i="8"/>
  <c r="D7751" i="8"/>
  <c r="D5487" i="8"/>
  <c r="D5820" i="8"/>
  <c r="D9091" i="8"/>
  <c r="D6794" i="8"/>
  <c r="D7752" i="8"/>
  <c r="D8071" i="8"/>
  <c r="D5488" i="8"/>
  <c r="D2292" i="8"/>
  <c r="D6124" i="8"/>
  <c r="D672" i="8"/>
  <c r="D8747" i="8"/>
  <c r="D1977" i="8"/>
  <c r="D3203" i="8"/>
  <c r="D3541" i="8"/>
  <c r="D6125" i="8"/>
  <c r="D5175" i="8"/>
  <c r="D3204" i="8"/>
  <c r="D5489" i="8"/>
  <c r="D5821" i="8"/>
  <c r="D7753" i="8"/>
  <c r="D1031" i="8"/>
  <c r="D7427" i="8"/>
  <c r="D1343" i="8"/>
  <c r="D4846" i="8"/>
  <c r="D9714" i="8"/>
  <c r="D4211" i="8"/>
  <c r="D5822" i="8"/>
  <c r="D29" i="8"/>
  <c r="D9408" i="8"/>
  <c r="D4847" i="8"/>
  <c r="D8748" i="8"/>
  <c r="D6795" i="8"/>
  <c r="D2582" i="8"/>
  <c r="D9715" i="8"/>
  <c r="D6796" i="8"/>
  <c r="D4212" i="8"/>
  <c r="D4213" i="8"/>
  <c r="D6472" i="8"/>
  <c r="D4848" i="8"/>
  <c r="D3864" i="8"/>
  <c r="D7428" i="8"/>
  <c r="D7429" i="8"/>
  <c r="D3205" i="8"/>
  <c r="D9716" i="8"/>
  <c r="D1344" i="8"/>
  <c r="D3542" i="8"/>
  <c r="D30" i="8"/>
  <c r="D6473" i="8"/>
  <c r="D4214" i="8"/>
  <c r="D5823" i="8"/>
  <c r="D9717" i="8"/>
  <c r="D2583" i="8"/>
  <c r="D2584" i="8"/>
  <c r="D673" i="8"/>
  <c r="D8426" i="8"/>
  <c r="D354" i="8"/>
  <c r="D1345" i="8"/>
  <c r="D4849" i="8"/>
  <c r="D8072" i="8"/>
  <c r="D31" i="8"/>
  <c r="D2585" i="8"/>
  <c r="D8749" i="8"/>
  <c r="D674" i="8"/>
  <c r="D4534" i="8"/>
  <c r="D5490" i="8"/>
  <c r="D9718" i="8"/>
  <c r="D1032" i="8"/>
  <c r="D5491" i="8"/>
  <c r="D4850" i="8"/>
  <c r="D1978" i="8"/>
  <c r="D7090" i="8"/>
  <c r="D5824" i="8"/>
  <c r="D9719" i="8"/>
  <c r="D7430" i="8"/>
  <c r="D3543" i="8"/>
  <c r="D4851" i="8"/>
  <c r="D4215" i="8"/>
  <c r="D6126" i="8"/>
  <c r="D8750" i="8"/>
  <c r="D1033" i="8"/>
  <c r="D4216" i="8"/>
  <c r="D5492" i="8"/>
  <c r="D7431" i="8"/>
  <c r="D32" i="8"/>
  <c r="D9720" i="8"/>
  <c r="D1979" i="8"/>
  <c r="D3544" i="8"/>
  <c r="D675" i="8"/>
  <c r="D4535" i="8"/>
  <c r="D4217" i="8"/>
  <c r="D7432" i="8"/>
  <c r="D4852" i="8"/>
  <c r="D7754" i="8"/>
  <c r="D2880" i="8"/>
  <c r="D2881" i="8"/>
  <c r="D8073" i="8"/>
  <c r="D3865" i="8"/>
  <c r="D2882" i="8"/>
  <c r="D7091" i="8"/>
  <c r="D9092" i="8"/>
  <c r="D4536" i="8"/>
  <c r="D355" i="8"/>
  <c r="D5825" i="8"/>
  <c r="D3866" i="8"/>
  <c r="D6797" i="8"/>
  <c r="D2586" i="8"/>
  <c r="D7092" i="8"/>
  <c r="D1346" i="8"/>
  <c r="D5176" i="8"/>
  <c r="D7093" i="8"/>
  <c r="D4853" i="8"/>
  <c r="D6127" i="8"/>
  <c r="D4537" i="8"/>
  <c r="D7094" i="8"/>
  <c r="D5493" i="8"/>
  <c r="D6128" i="8"/>
  <c r="D3206" i="8"/>
  <c r="D6798" i="8"/>
  <c r="D8427" i="8"/>
  <c r="D6474" i="8"/>
  <c r="D1347" i="8"/>
  <c r="D3207" i="8"/>
  <c r="D676" i="8"/>
  <c r="D7095" i="8"/>
  <c r="D9409" i="8"/>
  <c r="D4538" i="8"/>
  <c r="D1664" i="8"/>
  <c r="D3545" i="8"/>
  <c r="D1980" i="8"/>
  <c r="D7433" i="8"/>
  <c r="D4854" i="8"/>
  <c r="D8074" i="8"/>
  <c r="D5177" i="8"/>
  <c r="D2293" i="8"/>
  <c r="D2294" i="8"/>
  <c r="D6129" i="8"/>
  <c r="D1665" i="8"/>
  <c r="D1666" i="8"/>
  <c r="D6475" i="8"/>
  <c r="D1034" i="8"/>
  <c r="D6476" i="8"/>
  <c r="D8075" i="8"/>
  <c r="D8751" i="8"/>
  <c r="D677" i="8"/>
  <c r="D5178" i="8"/>
  <c r="D2587" i="8"/>
  <c r="D6477" i="8"/>
  <c r="D6799" i="8"/>
  <c r="D5179" i="8"/>
  <c r="D7755" i="8"/>
  <c r="D4218" i="8"/>
  <c r="D2883" i="8"/>
  <c r="D1981" i="8"/>
  <c r="D4539" i="8"/>
  <c r="D356" i="8"/>
  <c r="D1035" i="8"/>
  <c r="D1348" i="8"/>
  <c r="D9093" i="8"/>
  <c r="D1036" i="8"/>
  <c r="D3208" i="8"/>
  <c r="D4540" i="8"/>
  <c r="D5494" i="8"/>
  <c r="D9094" i="8"/>
  <c r="D1349" i="8"/>
  <c r="D4541" i="8"/>
  <c r="D1350" i="8"/>
  <c r="D7434" i="8"/>
  <c r="D33" i="8"/>
  <c r="D1982" i="8"/>
  <c r="D2295" i="8"/>
  <c r="D34" i="8"/>
  <c r="D8076" i="8"/>
  <c r="D9095" i="8"/>
  <c r="D1037" i="8"/>
  <c r="D8077" i="8"/>
  <c r="D6130" i="8"/>
  <c r="D7435" i="8"/>
  <c r="D9096" i="8"/>
  <c r="D1038" i="8"/>
  <c r="D1039" i="8"/>
  <c r="D2588" i="8"/>
  <c r="D5180" i="8"/>
  <c r="D2296" i="8"/>
  <c r="D5826" i="8"/>
  <c r="D3209" i="8"/>
  <c r="D3210" i="8"/>
  <c r="D4542" i="8"/>
  <c r="D8078" i="8"/>
  <c r="D4543" i="8"/>
  <c r="D7436" i="8"/>
  <c r="D5181" i="8"/>
  <c r="D3211" i="8"/>
  <c r="D7437" i="8"/>
  <c r="D8079" i="8"/>
  <c r="D1667" i="8"/>
  <c r="D9097" i="8"/>
  <c r="D9410" i="8"/>
  <c r="D9098" i="8"/>
  <c r="D9721" i="8"/>
  <c r="D1983" i="8"/>
  <c r="D5182" i="8"/>
  <c r="D2884" i="8"/>
  <c r="D1351" i="8"/>
  <c r="D35" i="8"/>
  <c r="D9722" i="8"/>
  <c r="D5827" i="8"/>
  <c r="D6131" i="8"/>
  <c r="D7438" i="8"/>
  <c r="D7439" i="8"/>
  <c r="D2885" i="8"/>
  <c r="D357" i="8"/>
  <c r="D3212" i="8"/>
  <c r="D1984" i="8"/>
  <c r="D6132" i="8"/>
  <c r="D5183" i="8"/>
  <c r="D8428" i="8"/>
  <c r="D8429" i="8"/>
  <c r="D8752" i="8"/>
  <c r="D9411" i="8"/>
  <c r="D8430" i="8"/>
  <c r="D36" i="8"/>
  <c r="D678" i="8"/>
  <c r="D37" i="8"/>
  <c r="D2589" i="8"/>
  <c r="D1352" i="8"/>
  <c r="D679" i="8"/>
  <c r="D1668" i="8"/>
  <c r="D3546" i="8"/>
  <c r="D2297" i="8"/>
  <c r="D2886" i="8"/>
  <c r="D5828" i="8"/>
  <c r="D2887" i="8"/>
  <c r="D3867" i="8"/>
  <c r="D6478" i="8"/>
  <c r="D3547" i="8"/>
  <c r="D5495" i="8"/>
  <c r="D9412" i="8"/>
  <c r="D7756" i="8"/>
  <c r="D4544" i="8"/>
  <c r="D3548" i="8"/>
  <c r="D2590" i="8"/>
  <c r="D4855" i="8"/>
  <c r="D3549" i="8"/>
  <c r="D8753" i="8"/>
  <c r="D2298" i="8"/>
  <c r="D680" i="8"/>
  <c r="D4856" i="8"/>
  <c r="D681" i="8"/>
  <c r="D7757" i="8"/>
  <c r="D1669" i="8"/>
  <c r="D6800" i="8"/>
  <c r="D3868" i="8"/>
  <c r="D682" i="8"/>
  <c r="D4219" i="8"/>
  <c r="D2591" i="8"/>
  <c r="D1353" i="8"/>
  <c r="D1985" i="8"/>
  <c r="D2592" i="8"/>
  <c r="D9413" i="8"/>
  <c r="D9099" i="8"/>
  <c r="D3213" i="8"/>
  <c r="D2593" i="8"/>
  <c r="D1040" i="8"/>
  <c r="D9100" i="8"/>
  <c r="D7096" i="8"/>
  <c r="D1041" i="8"/>
  <c r="D3869" i="8"/>
  <c r="D9101" i="8"/>
  <c r="D7758" i="8"/>
  <c r="D683" i="8"/>
  <c r="D9723" i="8"/>
  <c r="D6479" i="8"/>
  <c r="D9414" i="8"/>
  <c r="D5496" i="8"/>
  <c r="D8080" i="8"/>
  <c r="D3214" i="8"/>
  <c r="D4220" i="8"/>
  <c r="D4221" i="8"/>
  <c r="D6801" i="8"/>
  <c r="D358" i="8"/>
  <c r="D9102" i="8"/>
  <c r="D7759" i="8"/>
  <c r="D5497" i="8"/>
  <c r="D684" i="8"/>
  <c r="D1042" i="8"/>
  <c r="D8431" i="8"/>
  <c r="D359" i="8"/>
  <c r="D9724" i="8"/>
  <c r="D2594" i="8"/>
  <c r="D5498" i="8"/>
  <c r="D9103" i="8"/>
  <c r="D5184" i="8"/>
  <c r="D5829" i="8"/>
  <c r="D3215" i="8"/>
  <c r="D3550" i="8"/>
  <c r="D8754" i="8"/>
  <c r="D8432" i="8"/>
  <c r="D2299" i="8"/>
  <c r="D5185" i="8"/>
  <c r="D5830" i="8"/>
  <c r="D8433" i="8"/>
  <c r="D7440" i="8"/>
  <c r="D5831" i="8"/>
  <c r="D9725" i="8"/>
  <c r="D2300" i="8"/>
  <c r="D5186" i="8"/>
  <c r="D5499" i="8"/>
  <c r="D9104" i="8"/>
  <c r="D9105" i="8"/>
  <c r="D1670" i="8"/>
  <c r="D7097" i="8"/>
  <c r="D6133" i="8"/>
  <c r="D4222" i="8"/>
  <c r="D4857" i="8"/>
  <c r="D8755" i="8"/>
  <c r="D7760" i="8"/>
  <c r="D38" i="8"/>
  <c r="D9106" i="8"/>
  <c r="D2888" i="8"/>
  <c r="D8081" i="8"/>
  <c r="D4223" i="8"/>
  <c r="D9415" i="8"/>
  <c r="D9726" i="8"/>
  <c r="D7441" i="8"/>
  <c r="D4224" i="8"/>
  <c r="D8756" i="8"/>
  <c r="D8757" i="8"/>
  <c r="D5187" i="8"/>
  <c r="D6802" i="8"/>
  <c r="D6803" i="8"/>
  <c r="D1671" i="8"/>
  <c r="D6480" i="8"/>
  <c r="D7761" i="8"/>
  <c r="D1986" i="8"/>
  <c r="D5188" i="8"/>
  <c r="D3870" i="8"/>
  <c r="D8082" i="8"/>
  <c r="D2301" i="8"/>
  <c r="D5189" i="8"/>
  <c r="D6134" i="8"/>
  <c r="D7098" i="8"/>
  <c r="D4545" i="8"/>
  <c r="D685" i="8"/>
  <c r="D4546" i="8"/>
  <c r="D2889" i="8"/>
  <c r="D686" i="8"/>
  <c r="D6135" i="8"/>
  <c r="D6136" i="8"/>
  <c r="D5500" i="8"/>
  <c r="D4547" i="8"/>
  <c r="D9727" i="8"/>
  <c r="D360" i="8"/>
  <c r="D7099" i="8"/>
  <c r="D1354" i="8"/>
  <c r="D1355" i="8"/>
  <c r="D8434" i="8"/>
  <c r="D8083" i="8"/>
  <c r="D8435" i="8"/>
  <c r="D687" i="8"/>
  <c r="D688" i="8"/>
  <c r="D6804" i="8"/>
  <c r="D3871" i="8"/>
  <c r="D8084" i="8"/>
  <c r="D6137" i="8"/>
  <c r="D4225" i="8"/>
  <c r="D8085" i="8"/>
  <c r="D39" i="8"/>
  <c r="D7100" i="8"/>
  <c r="D8436" i="8"/>
  <c r="D6481" i="8"/>
  <c r="D2302" i="8"/>
  <c r="D4548" i="8"/>
  <c r="D7101" i="8"/>
  <c r="D1356" i="8"/>
  <c r="D8437" i="8"/>
  <c r="D1672" i="8"/>
  <c r="D9416" i="8"/>
  <c r="D7102" i="8"/>
  <c r="D9107" i="8"/>
  <c r="D2303" i="8"/>
  <c r="D5190" i="8"/>
  <c r="D1043" i="8"/>
  <c r="D2595" i="8"/>
  <c r="D4549" i="8"/>
  <c r="D7762" i="8"/>
  <c r="D4226" i="8"/>
  <c r="D6805" i="8"/>
  <c r="D9417" i="8"/>
  <c r="D361" i="8"/>
  <c r="D2596" i="8"/>
  <c r="D2304" i="8"/>
  <c r="D3872" i="8"/>
  <c r="D7103" i="8"/>
  <c r="D6806" i="8"/>
  <c r="D2305" i="8"/>
  <c r="D9728" i="8"/>
  <c r="D8758" i="8"/>
  <c r="D6138" i="8"/>
  <c r="D8438" i="8"/>
  <c r="D4550" i="8"/>
  <c r="D2597" i="8"/>
  <c r="D7442" i="8"/>
  <c r="D9108" i="8"/>
  <c r="D1044" i="8"/>
  <c r="D40" i="8"/>
  <c r="D2598" i="8"/>
  <c r="D1987" i="8"/>
  <c r="D9729" i="8"/>
  <c r="D7763" i="8"/>
  <c r="D5832" i="8"/>
  <c r="D5501" i="8"/>
  <c r="D5502" i="8"/>
  <c r="D1045" i="8"/>
  <c r="D5191" i="8"/>
  <c r="D4227" i="8"/>
  <c r="D3551" i="8"/>
  <c r="D1357" i="8"/>
  <c r="D8439" i="8"/>
  <c r="D5192" i="8"/>
  <c r="D3552" i="8"/>
  <c r="D3553" i="8"/>
  <c r="D2306" i="8"/>
  <c r="D3554" i="8"/>
  <c r="D689" i="8"/>
  <c r="D7764" i="8"/>
  <c r="D7765" i="8"/>
  <c r="D6139" i="8"/>
  <c r="D362" i="8"/>
  <c r="D4858" i="8"/>
  <c r="D5193" i="8"/>
  <c r="D3873" i="8"/>
  <c r="D1046" i="8"/>
  <c r="D3555" i="8"/>
  <c r="D5503" i="8"/>
  <c r="D7104" i="8"/>
  <c r="D2890" i="8"/>
  <c r="D4551" i="8"/>
  <c r="D3556" i="8"/>
  <c r="D9730" i="8"/>
  <c r="D7766" i="8"/>
  <c r="D1358" i="8"/>
  <c r="D3557" i="8"/>
  <c r="D9418" i="8"/>
  <c r="D6140" i="8"/>
  <c r="D8086" i="8"/>
  <c r="D690" i="8"/>
  <c r="D5194" i="8"/>
  <c r="D8759" i="8"/>
  <c r="D7767" i="8"/>
  <c r="D4552" i="8"/>
  <c r="D4228" i="8"/>
  <c r="D2891" i="8"/>
  <c r="D4229" i="8"/>
  <c r="D1673" i="8"/>
  <c r="D691" i="8"/>
  <c r="D8760" i="8"/>
  <c r="D5504" i="8"/>
  <c r="D41" i="8"/>
  <c r="D1359" i="8"/>
  <c r="D7768" i="8"/>
  <c r="D7769" i="8"/>
  <c r="D42" i="8"/>
  <c r="D2599" i="8"/>
  <c r="D2600" i="8"/>
  <c r="D9419" i="8"/>
  <c r="D1674" i="8"/>
  <c r="D4859" i="8"/>
  <c r="D8087" i="8"/>
  <c r="D7443" i="8"/>
  <c r="D9731" i="8"/>
  <c r="D7105" i="8"/>
  <c r="D363" i="8"/>
  <c r="D8761" i="8"/>
  <c r="D1360" i="8"/>
  <c r="D1988" i="8"/>
  <c r="D7106" i="8"/>
  <c r="D4860" i="8"/>
  <c r="D2307" i="8"/>
  <c r="D7107" i="8"/>
  <c r="D5505" i="8"/>
  <c r="D9109" i="8"/>
  <c r="D3216" i="8"/>
  <c r="D5506" i="8"/>
  <c r="D7444" i="8"/>
  <c r="D364" i="8"/>
  <c r="D43" i="8"/>
  <c r="D44" i="8"/>
  <c r="D5507" i="8"/>
  <c r="D4230" i="8"/>
  <c r="D9420" i="8"/>
  <c r="D5833" i="8"/>
  <c r="D3217" i="8"/>
  <c r="D9732" i="8"/>
  <c r="D9421" i="8"/>
  <c r="D2601" i="8"/>
  <c r="D365" i="8"/>
  <c r="D5195" i="8"/>
  <c r="D2892" i="8"/>
  <c r="D3558" i="8"/>
  <c r="D1361" i="8"/>
  <c r="D7108" i="8"/>
  <c r="D5508" i="8"/>
  <c r="D5509" i="8"/>
  <c r="D4553" i="8"/>
  <c r="D1675" i="8"/>
  <c r="D4554" i="8"/>
  <c r="D3559" i="8"/>
  <c r="D1676" i="8"/>
  <c r="D1677" i="8"/>
  <c r="D1989" i="8"/>
  <c r="D1047" i="8"/>
  <c r="D5834" i="8"/>
  <c r="D5196" i="8"/>
  <c r="D5510" i="8"/>
  <c r="D8088" i="8"/>
  <c r="D7445" i="8"/>
  <c r="D8440" i="8"/>
  <c r="D8441" i="8"/>
  <c r="D5835" i="8"/>
  <c r="D3560" i="8"/>
  <c r="D6141" i="8"/>
  <c r="D2893" i="8"/>
  <c r="D1048" i="8"/>
  <c r="D9110" i="8"/>
  <c r="D2602" i="8"/>
  <c r="D7770" i="8"/>
  <c r="D3218" i="8"/>
  <c r="D7109" i="8"/>
  <c r="D2894" i="8"/>
  <c r="D8442" i="8"/>
  <c r="D7446" i="8"/>
  <c r="D6142" i="8"/>
  <c r="D2603" i="8"/>
  <c r="D5197" i="8"/>
  <c r="D9111" i="8"/>
  <c r="D366" i="8"/>
  <c r="D1049" i="8"/>
  <c r="D7447" i="8"/>
  <c r="D9422" i="8"/>
  <c r="D2308" i="8"/>
  <c r="D6143" i="8"/>
  <c r="D7771" i="8"/>
  <c r="D6482" i="8"/>
  <c r="D2895" i="8"/>
  <c r="D692" i="8"/>
  <c r="D45" i="8"/>
  <c r="D9112" i="8"/>
  <c r="D9733" i="8"/>
  <c r="D3561" i="8"/>
  <c r="D7110" i="8"/>
  <c r="D5511" i="8"/>
  <c r="D8089" i="8"/>
  <c r="D9113" i="8"/>
  <c r="D5198" i="8"/>
  <c r="D7111" i="8"/>
  <c r="D1990" i="8"/>
  <c r="D1678" i="8"/>
  <c r="D693" i="8"/>
  <c r="D5199" i="8"/>
  <c r="D367" i="8"/>
  <c r="D8443" i="8"/>
  <c r="D7112" i="8"/>
  <c r="D1679" i="8"/>
  <c r="D8762" i="8"/>
  <c r="D4861" i="8"/>
  <c r="D2309" i="8"/>
  <c r="D2310" i="8"/>
  <c r="D1991" i="8"/>
  <c r="D9423" i="8"/>
  <c r="D5836" i="8"/>
  <c r="D7772" i="8"/>
  <c r="D9114" i="8"/>
  <c r="D3562" i="8"/>
  <c r="D4231" i="8"/>
  <c r="D7773" i="8"/>
  <c r="D2604" i="8"/>
  <c r="D7774" i="8"/>
  <c r="D7448" i="8"/>
  <c r="D1992" i="8"/>
  <c r="D8763" i="8"/>
  <c r="D3874" i="8"/>
  <c r="D1680" i="8"/>
  <c r="D2896" i="8"/>
  <c r="D7113" i="8"/>
  <c r="D3875" i="8"/>
  <c r="D368" i="8"/>
  <c r="D3876" i="8"/>
  <c r="D9115" i="8"/>
  <c r="D9116" i="8"/>
  <c r="D9117" i="8"/>
  <c r="D2311" i="8"/>
  <c r="D6807" i="8"/>
  <c r="D3563" i="8"/>
  <c r="D6144" i="8"/>
  <c r="D5200" i="8"/>
  <c r="D3564" i="8"/>
  <c r="D4862" i="8"/>
  <c r="D6808" i="8"/>
  <c r="D9118" i="8"/>
  <c r="D8444" i="8"/>
  <c r="D6809" i="8"/>
  <c r="D4232" i="8"/>
  <c r="D6810" i="8"/>
  <c r="D8764" i="8"/>
  <c r="D7449" i="8"/>
  <c r="D46" i="8"/>
  <c r="D7450" i="8"/>
  <c r="D694" i="8"/>
  <c r="D5837" i="8"/>
  <c r="D6483" i="8"/>
  <c r="D7451" i="8"/>
  <c r="D7114" i="8"/>
  <c r="D8090" i="8"/>
  <c r="D3877" i="8"/>
  <c r="D6484" i="8"/>
  <c r="D5838" i="8"/>
  <c r="D3219" i="8"/>
  <c r="D2605" i="8"/>
  <c r="D1681" i="8"/>
  <c r="D8445" i="8"/>
  <c r="D369" i="8"/>
  <c r="D695" i="8"/>
  <c r="D3878" i="8"/>
  <c r="D6811" i="8"/>
  <c r="D1362" i="8"/>
  <c r="D1050" i="8"/>
  <c r="D8765" i="8"/>
  <c r="D6812" i="8"/>
  <c r="D4863" i="8"/>
  <c r="D1682" i="8"/>
  <c r="D4864" i="8"/>
  <c r="D6145" i="8"/>
  <c r="D4233" i="8"/>
  <c r="D6813" i="8"/>
  <c r="D5201" i="8"/>
  <c r="D8091" i="8"/>
  <c r="D5512" i="8"/>
  <c r="D4234" i="8"/>
  <c r="D6814" i="8"/>
  <c r="D6146" i="8"/>
  <c r="D3565" i="8"/>
  <c r="D7452" i="8"/>
  <c r="D696" i="8"/>
  <c r="D8092" i="8"/>
  <c r="D2312" i="8"/>
  <c r="D7115" i="8"/>
  <c r="D3566" i="8"/>
  <c r="D7116" i="8"/>
  <c r="D8766" i="8"/>
  <c r="D8446" i="8"/>
  <c r="D1683" i="8"/>
  <c r="D7117" i="8"/>
  <c r="D5202" i="8"/>
  <c r="D4865" i="8"/>
  <c r="D9734" i="8"/>
  <c r="D8767" i="8"/>
  <c r="D5513" i="8"/>
  <c r="D7775" i="8"/>
  <c r="D3567" i="8"/>
  <c r="D4866" i="8"/>
  <c r="D9424" i="8"/>
  <c r="D2606" i="8"/>
  <c r="D8093" i="8"/>
  <c r="D7453" i="8"/>
  <c r="D3220" i="8"/>
  <c r="D6147" i="8"/>
  <c r="D370" i="8"/>
  <c r="D7454" i="8"/>
  <c r="D8447" i="8"/>
  <c r="D8768" i="8"/>
  <c r="D9119" i="8"/>
  <c r="D7455" i="8"/>
  <c r="D4555" i="8"/>
  <c r="D1684" i="8"/>
  <c r="D3221" i="8"/>
  <c r="D7776" i="8"/>
  <c r="D7456" i="8"/>
  <c r="D5839" i="8"/>
  <c r="D9425" i="8"/>
  <c r="D1685" i="8"/>
  <c r="D8769" i="8"/>
  <c r="D7118" i="8"/>
  <c r="D9426" i="8"/>
  <c r="D6485" i="8"/>
  <c r="D7777" i="8"/>
  <c r="D4556" i="8"/>
  <c r="D9735" i="8"/>
  <c r="D3568" i="8"/>
  <c r="D8770" i="8"/>
  <c r="D7778" i="8"/>
  <c r="D3879" i="8"/>
  <c r="D5514" i="8"/>
  <c r="D1686" i="8"/>
  <c r="D5840" i="8"/>
  <c r="D5841" i="8"/>
  <c r="D47" i="8"/>
  <c r="D4235" i="8"/>
  <c r="D2313" i="8"/>
  <c r="D2897" i="8"/>
  <c r="D1363" i="8"/>
  <c r="D5842" i="8"/>
  <c r="D8448" i="8"/>
  <c r="D6148" i="8"/>
  <c r="D697" i="8"/>
  <c r="D7119" i="8"/>
  <c r="D1687" i="8"/>
  <c r="D3569" i="8"/>
  <c r="D6815" i="8"/>
  <c r="D4867" i="8"/>
  <c r="D5515" i="8"/>
  <c r="D7779" i="8"/>
  <c r="D3222" i="8"/>
  <c r="D4236" i="8"/>
  <c r="D698" i="8"/>
  <c r="D9736" i="8"/>
  <c r="D5203" i="8"/>
  <c r="D8449" i="8"/>
  <c r="D3880" i="8"/>
  <c r="D9737" i="8"/>
  <c r="D1993" i="8"/>
  <c r="D3881" i="8"/>
  <c r="D3570" i="8"/>
  <c r="D5843" i="8"/>
  <c r="D2607" i="8"/>
  <c r="D3571" i="8"/>
  <c r="D48" i="8"/>
  <c r="D5204" i="8"/>
  <c r="D9120" i="8"/>
  <c r="D7120" i="8"/>
  <c r="D8450" i="8"/>
  <c r="D5205" i="8"/>
  <c r="D2314" i="8"/>
  <c r="D9738" i="8"/>
  <c r="D8094" i="8"/>
  <c r="D3223" i="8"/>
  <c r="D5206" i="8"/>
  <c r="D6816" i="8"/>
  <c r="D3882" i="8"/>
  <c r="D4557" i="8"/>
  <c r="D8095" i="8"/>
  <c r="D1364" i="8"/>
  <c r="D7780" i="8"/>
  <c r="D49" i="8"/>
  <c r="D7457" i="8"/>
  <c r="D3572" i="8"/>
  <c r="D699" i="8"/>
  <c r="D700" i="8"/>
  <c r="D7121" i="8"/>
  <c r="D3573" i="8"/>
  <c r="D9739" i="8"/>
  <c r="D4237" i="8"/>
  <c r="D9427" i="8"/>
  <c r="D1994" i="8"/>
  <c r="D7122" i="8"/>
  <c r="D2315" i="8"/>
  <c r="D5516" i="8"/>
  <c r="D8096" i="8"/>
  <c r="D7458" i="8"/>
  <c r="D9740" i="8"/>
  <c r="D5207" i="8"/>
  <c r="D7781" i="8"/>
  <c r="D5208" i="8"/>
  <c r="D4238" i="8"/>
  <c r="D7782" i="8"/>
  <c r="D7459" i="8"/>
  <c r="D5209" i="8"/>
  <c r="D7460" i="8"/>
  <c r="D1688" i="8"/>
  <c r="D6817" i="8"/>
  <c r="D5210" i="8"/>
  <c r="D8451" i="8"/>
  <c r="D9428" i="8"/>
  <c r="D3574" i="8"/>
  <c r="D2316" i="8"/>
  <c r="D2898" i="8"/>
  <c r="D7461" i="8"/>
  <c r="D3575" i="8"/>
  <c r="D8771" i="8"/>
  <c r="D4239" i="8"/>
  <c r="D1995" i="8"/>
  <c r="D8452" i="8"/>
  <c r="D7462" i="8"/>
  <c r="D7123" i="8"/>
  <c r="D1365" i="8"/>
  <c r="D8772" i="8"/>
  <c r="D1051" i="8"/>
  <c r="D1052" i="8"/>
  <c r="D8097" i="8"/>
  <c r="D4558" i="8"/>
  <c r="D8098" i="8"/>
  <c r="D6818" i="8"/>
  <c r="D8099" i="8"/>
  <c r="D8773" i="8"/>
  <c r="D2317" i="8"/>
  <c r="D1996" i="8"/>
  <c r="D4240" i="8"/>
  <c r="D5517" i="8"/>
  <c r="D4868" i="8"/>
  <c r="D4869" i="8"/>
  <c r="D4870" i="8"/>
  <c r="D4241" i="8"/>
  <c r="D5844" i="8"/>
  <c r="D701" i="8"/>
  <c r="D2318" i="8"/>
  <c r="D1689" i="8"/>
  <c r="D4559" i="8"/>
  <c r="D4871" i="8"/>
  <c r="D371" i="8"/>
  <c r="D1690" i="8"/>
  <c r="D6149" i="8"/>
  <c r="D6150" i="8"/>
  <c r="D1997" i="8"/>
  <c r="D1691" i="8"/>
  <c r="D1366" i="8"/>
  <c r="D6486" i="8"/>
  <c r="D9741" i="8"/>
  <c r="D6487" i="8"/>
  <c r="D4872" i="8"/>
  <c r="D50" i="8"/>
  <c r="D1053" i="8"/>
  <c r="D1367" i="8"/>
  <c r="D8453" i="8"/>
  <c r="D5845" i="8"/>
  <c r="D7124" i="8"/>
  <c r="D1054" i="8"/>
  <c r="D2608" i="8"/>
  <c r="D2899" i="8"/>
  <c r="D7783" i="8"/>
  <c r="D8774" i="8"/>
  <c r="D4873" i="8"/>
  <c r="D4874" i="8"/>
  <c r="D3883" i="8"/>
  <c r="D3884" i="8"/>
  <c r="D4242" i="8"/>
  <c r="D3885" i="8"/>
  <c r="D702" i="8"/>
  <c r="D8454" i="8"/>
  <c r="D1368" i="8"/>
  <c r="D8455" i="8"/>
  <c r="D2609" i="8"/>
  <c r="D1998" i="8"/>
  <c r="D8775" i="8"/>
  <c r="D5518" i="8"/>
  <c r="D5519" i="8"/>
  <c r="D8776" i="8"/>
  <c r="D1055" i="8"/>
  <c r="D2900" i="8"/>
  <c r="D3886" i="8"/>
  <c r="D2319" i="8"/>
  <c r="D8456" i="8"/>
  <c r="D7125" i="8"/>
  <c r="D4560" i="8"/>
  <c r="D1692" i="8"/>
  <c r="D6819" i="8"/>
  <c r="D2320" i="8"/>
  <c r="D6820" i="8"/>
  <c r="D6821" i="8"/>
  <c r="D8100" i="8"/>
  <c r="D4561" i="8"/>
  <c r="D8101" i="8"/>
  <c r="D7463" i="8"/>
  <c r="D372" i="8"/>
  <c r="D7784" i="8"/>
  <c r="D5211" i="8"/>
  <c r="D3887" i="8"/>
  <c r="D3576" i="8"/>
  <c r="D3224" i="8"/>
  <c r="D9742" i="8"/>
  <c r="D5520" i="8"/>
  <c r="D1056" i="8"/>
  <c r="D51" i="8"/>
  <c r="D2610" i="8"/>
  <c r="D5521" i="8"/>
  <c r="D1693" i="8"/>
  <c r="D7126" i="8"/>
  <c r="D9121" i="8"/>
  <c r="D6488" i="8"/>
  <c r="D8777" i="8"/>
  <c r="D3888" i="8"/>
  <c r="D2901" i="8"/>
  <c r="D2902" i="8"/>
  <c r="D3889" i="8"/>
  <c r="D6489" i="8"/>
  <c r="D9743" i="8"/>
  <c r="D4562" i="8"/>
  <c r="D1694" i="8"/>
  <c r="D373" i="8"/>
  <c r="D5846" i="8"/>
  <c r="D9744" i="8"/>
  <c r="D4243" i="8"/>
  <c r="D7127" i="8"/>
  <c r="D2611" i="8"/>
  <c r="D374" i="8"/>
  <c r="D5847" i="8"/>
  <c r="D4875" i="8"/>
  <c r="D1369" i="8"/>
  <c r="D9122" i="8"/>
  <c r="D8778" i="8"/>
  <c r="D1695" i="8"/>
  <c r="D2903" i="8"/>
  <c r="D7128" i="8"/>
  <c r="D7129" i="8"/>
  <c r="D1999" i="8"/>
  <c r="D3577" i="8"/>
  <c r="D2321" i="8"/>
  <c r="D7130" i="8"/>
  <c r="D6490" i="8"/>
  <c r="D703" i="8"/>
  <c r="D3578" i="8"/>
  <c r="D3579" i="8"/>
  <c r="D2612" i="8"/>
  <c r="D7131" i="8"/>
  <c r="D2000" i="8"/>
  <c r="D2613" i="8"/>
  <c r="D1057" i="8"/>
  <c r="D1370" i="8"/>
  <c r="D2001" i="8"/>
  <c r="D4563" i="8"/>
  <c r="D8779" i="8"/>
  <c r="D5848" i="8"/>
  <c r="D2002" i="8"/>
  <c r="D6491" i="8"/>
  <c r="D3225" i="8"/>
  <c r="D8102" i="8"/>
  <c r="D3580" i="8"/>
  <c r="D3581" i="8"/>
  <c r="D7132" i="8"/>
  <c r="D2614" i="8"/>
  <c r="D8780" i="8"/>
  <c r="D4564" i="8"/>
  <c r="D1058" i="8"/>
  <c r="D9429" i="8"/>
  <c r="D704" i="8"/>
  <c r="D1059" i="8"/>
  <c r="D8781" i="8"/>
  <c r="D7464" i="8"/>
  <c r="D7785" i="8"/>
  <c r="D705" i="8"/>
  <c r="D2904" i="8"/>
  <c r="D7133" i="8"/>
  <c r="D9123" i="8"/>
  <c r="D8457" i="8"/>
  <c r="D5522" i="8"/>
  <c r="D3890" i="8"/>
  <c r="D7465" i="8"/>
  <c r="D8103" i="8"/>
  <c r="D7134" i="8"/>
  <c r="D6822" i="8"/>
  <c r="D52" i="8"/>
  <c r="D2322" i="8"/>
  <c r="D375" i="8"/>
  <c r="D1060" i="8"/>
  <c r="D8458" i="8"/>
  <c r="D9124" i="8"/>
  <c r="D706" i="8"/>
  <c r="D2615" i="8"/>
  <c r="D1371" i="8"/>
  <c r="D4565" i="8"/>
  <c r="D376" i="8"/>
  <c r="D2905" i="8"/>
  <c r="D8782" i="8"/>
  <c r="D7135" i="8"/>
  <c r="D53" i="8"/>
  <c r="D5523" i="8"/>
  <c r="D3891" i="8"/>
  <c r="D9125" i="8"/>
  <c r="D8104" i="8"/>
  <c r="D8105" i="8"/>
  <c r="D3892" i="8"/>
  <c r="D4876" i="8"/>
  <c r="D2906" i="8"/>
  <c r="D8106" i="8"/>
  <c r="D9745" i="8"/>
  <c r="D2907" i="8"/>
  <c r="D3582" i="8"/>
  <c r="D7136" i="8"/>
  <c r="D7137" i="8"/>
  <c r="D8459" i="8"/>
  <c r="D5212" i="8"/>
  <c r="D3226" i="8"/>
  <c r="D4244" i="8"/>
  <c r="D377" i="8"/>
  <c r="D707" i="8"/>
  <c r="D1061" i="8"/>
  <c r="D6492" i="8"/>
  <c r="D6493" i="8"/>
  <c r="D6823" i="8"/>
  <c r="D6494" i="8"/>
  <c r="D3583" i="8"/>
  <c r="D4566" i="8"/>
  <c r="D4567" i="8"/>
  <c r="D8783" i="8"/>
  <c r="D1062" i="8"/>
  <c r="D8460" i="8"/>
  <c r="D1696" i="8"/>
  <c r="D54" i="8"/>
  <c r="D4245" i="8"/>
  <c r="D1063" i="8"/>
  <c r="D5213" i="8"/>
  <c r="D5524" i="8"/>
  <c r="D8461" i="8"/>
  <c r="D7786" i="8"/>
  <c r="D9430" i="8"/>
  <c r="D3893" i="8"/>
  <c r="D2908" i="8"/>
  <c r="D7787" i="8"/>
  <c r="D7138" i="8"/>
  <c r="D3584" i="8"/>
  <c r="D708" i="8"/>
  <c r="D8784" i="8"/>
  <c r="D8107" i="8"/>
  <c r="D2003" i="8"/>
  <c r="D1064" i="8"/>
  <c r="D1697" i="8"/>
  <c r="D1372" i="8"/>
  <c r="D6824" i="8"/>
  <c r="D4877" i="8"/>
  <c r="D8108" i="8"/>
  <c r="D6495" i="8"/>
  <c r="D3894" i="8"/>
  <c r="D6151" i="8"/>
  <c r="D709" i="8"/>
  <c r="D2909" i="8"/>
  <c r="D7788" i="8"/>
  <c r="D6152" i="8"/>
  <c r="D9746" i="8"/>
  <c r="D6153" i="8"/>
  <c r="D2616" i="8"/>
  <c r="D3585" i="8"/>
  <c r="D710" i="8"/>
  <c r="D711" i="8"/>
  <c r="D7466" i="8"/>
  <c r="D2323" i="8"/>
  <c r="D3227" i="8"/>
  <c r="D9126" i="8"/>
  <c r="D6154" i="8"/>
  <c r="D1065" i="8"/>
  <c r="D8109" i="8"/>
  <c r="D4878" i="8"/>
  <c r="D3586" i="8"/>
  <c r="D55" i="8"/>
  <c r="D2004" i="8"/>
  <c r="D712" i="8"/>
  <c r="D9127" i="8"/>
  <c r="D2005" i="8"/>
  <c r="D3228" i="8"/>
  <c r="D6155" i="8"/>
  <c r="D3895" i="8"/>
  <c r="D4246" i="8"/>
  <c r="D378" i="8"/>
  <c r="D7467" i="8"/>
  <c r="D4879" i="8"/>
  <c r="D379" i="8"/>
  <c r="D5525" i="8"/>
  <c r="D1698" i="8"/>
  <c r="D6496" i="8"/>
  <c r="D9128" i="8"/>
  <c r="D6156" i="8"/>
  <c r="D7789" i="8"/>
  <c r="D2324" i="8"/>
  <c r="D5214" i="8"/>
  <c r="D4568" i="8"/>
  <c r="D9431" i="8"/>
  <c r="D1699" i="8"/>
  <c r="D9129" i="8"/>
  <c r="D7139" i="8"/>
  <c r="D4247" i="8"/>
  <c r="D4880" i="8"/>
  <c r="D1066" i="8"/>
  <c r="D7140" i="8"/>
  <c r="D9432" i="8"/>
  <c r="D9433" i="8"/>
  <c r="D4881" i="8"/>
  <c r="D1700" i="8"/>
  <c r="D380" i="8"/>
  <c r="D3229" i="8"/>
  <c r="D8462" i="8"/>
  <c r="D8463" i="8"/>
  <c r="D8464" i="8"/>
  <c r="D5849" i="8"/>
  <c r="D1701" i="8"/>
  <c r="D3230" i="8"/>
  <c r="D381" i="8"/>
  <c r="D3587" i="8"/>
  <c r="D9747" i="8"/>
  <c r="D6157" i="8"/>
  <c r="D3896" i="8"/>
  <c r="D2325" i="8"/>
  <c r="D2617" i="8"/>
  <c r="D7468" i="8"/>
  <c r="D4882" i="8"/>
  <c r="D2910" i="8"/>
  <c r="D8110" i="8"/>
  <c r="D3231" i="8"/>
  <c r="D2618" i="8"/>
  <c r="D3897" i="8"/>
  <c r="D4248" i="8"/>
  <c r="D8785" i="8"/>
  <c r="D5526" i="8"/>
  <c r="D1067" i="8"/>
  <c r="D9434" i="8"/>
  <c r="D4249" i="8"/>
  <c r="D5527" i="8"/>
  <c r="D382" i="8"/>
  <c r="D9435" i="8"/>
  <c r="D4250" i="8"/>
  <c r="D5528" i="8"/>
  <c r="D1068" i="8"/>
  <c r="D3588" i="8"/>
  <c r="D4883" i="8"/>
  <c r="D2006" i="8"/>
  <c r="D4884" i="8"/>
  <c r="D6158" i="8"/>
  <c r="D3898" i="8"/>
  <c r="D4251" i="8"/>
  <c r="D1373" i="8"/>
  <c r="D713" i="8"/>
  <c r="D714" i="8"/>
  <c r="D6497" i="8"/>
  <c r="D2619" i="8"/>
  <c r="D2326" i="8"/>
  <c r="D2007" i="8"/>
  <c r="D715" i="8"/>
  <c r="D8111" i="8"/>
  <c r="D3899" i="8"/>
  <c r="D2008" i="8"/>
  <c r="D3900" i="8"/>
  <c r="D8786" i="8"/>
  <c r="D8112" i="8"/>
  <c r="D383" i="8"/>
  <c r="D3232" i="8"/>
  <c r="D9436" i="8"/>
  <c r="D2327" i="8"/>
  <c r="D8465" i="8"/>
  <c r="D2328" i="8"/>
  <c r="D9130" i="8"/>
  <c r="D7141" i="8"/>
  <c r="D2620" i="8"/>
  <c r="D9131" i="8"/>
  <c r="D3233" i="8"/>
  <c r="D7469" i="8"/>
  <c r="D56" i="8"/>
  <c r="D9132" i="8"/>
  <c r="D5529" i="8"/>
  <c r="D8787" i="8"/>
  <c r="D8466" i="8"/>
  <c r="D8113" i="8"/>
  <c r="D8114" i="8"/>
  <c r="D3901" i="8"/>
  <c r="D3589" i="8"/>
  <c r="D1702" i="8"/>
  <c r="D4252" i="8"/>
  <c r="D5215" i="8"/>
  <c r="D5216" i="8"/>
  <c r="D2911" i="8"/>
  <c r="D3902" i="8"/>
  <c r="D2009" i="8"/>
  <c r="D5217" i="8"/>
  <c r="D1069" i="8"/>
  <c r="D1070" i="8"/>
  <c r="D9748" i="8"/>
  <c r="D5530" i="8"/>
  <c r="D9749" i="8"/>
  <c r="D6498" i="8"/>
  <c r="D6499" i="8"/>
  <c r="D6825" i="8"/>
  <c r="D7142" i="8"/>
  <c r="D57" i="8"/>
  <c r="D4885" i="8"/>
  <c r="D9133" i="8"/>
  <c r="D4886" i="8"/>
  <c r="D1374" i="8"/>
  <c r="D3234" i="8"/>
  <c r="D5218" i="8"/>
  <c r="D4887" i="8"/>
  <c r="D2621" i="8"/>
  <c r="D8788" i="8"/>
  <c r="D8467" i="8"/>
  <c r="D3235" i="8"/>
  <c r="D5850" i="8"/>
  <c r="D5531" i="8"/>
  <c r="D9437" i="8"/>
  <c r="D3236" i="8"/>
  <c r="D3590" i="8"/>
  <c r="D4569" i="8"/>
  <c r="D4253" i="8"/>
  <c r="D384" i="8"/>
  <c r="D2622" i="8"/>
  <c r="D1703" i="8"/>
  <c r="D4570" i="8"/>
  <c r="D8468" i="8"/>
  <c r="D5851" i="8"/>
  <c r="D7143" i="8"/>
  <c r="D5219" i="8"/>
  <c r="D58" i="8"/>
  <c r="D5532" i="8"/>
  <c r="D3237" i="8"/>
  <c r="D7470" i="8"/>
  <c r="D4888" i="8"/>
  <c r="D385" i="8"/>
  <c r="D1704" i="8"/>
  <c r="D5852" i="8"/>
  <c r="D7471" i="8"/>
  <c r="D9750" i="8"/>
  <c r="D4889" i="8"/>
  <c r="D2912" i="8"/>
  <c r="D5533" i="8"/>
  <c r="D5220" i="8"/>
  <c r="D1375" i="8"/>
  <c r="D6500" i="8"/>
  <c r="D8789" i="8"/>
  <c r="D4890" i="8"/>
  <c r="D1071" i="8"/>
  <c r="D1705" i="8"/>
  <c r="D7472" i="8"/>
  <c r="D7790" i="8"/>
  <c r="D5221" i="8"/>
  <c r="D6826" i="8"/>
  <c r="D59" i="8"/>
  <c r="D5534" i="8"/>
  <c r="D7473" i="8"/>
  <c r="D2913" i="8"/>
  <c r="D2623" i="8"/>
  <c r="D2914" i="8"/>
  <c r="D2624" i="8"/>
  <c r="D6827" i="8"/>
  <c r="D8469" i="8"/>
  <c r="D5222" i="8"/>
  <c r="D9438" i="8"/>
  <c r="D4254" i="8"/>
  <c r="D5853" i="8"/>
  <c r="D1376" i="8"/>
  <c r="D5854" i="8"/>
  <c r="D4255" i="8"/>
  <c r="D3591" i="8"/>
  <c r="D1706" i="8"/>
  <c r="D4571" i="8"/>
  <c r="D7791" i="8"/>
  <c r="D716" i="8"/>
  <c r="D5535" i="8"/>
  <c r="D9751" i="8"/>
  <c r="D7474" i="8"/>
  <c r="D2329" i="8"/>
  <c r="D386" i="8"/>
  <c r="D5855" i="8"/>
  <c r="D1707" i="8"/>
  <c r="D2625" i="8"/>
  <c r="D4256" i="8"/>
  <c r="D3903" i="8"/>
  <c r="D60" i="8"/>
  <c r="D1072" i="8"/>
  <c r="D7475" i="8"/>
  <c r="D5856" i="8"/>
  <c r="D2915" i="8"/>
  <c r="D387" i="8"/>
  <c r="D3904" i="8"/>
  <c r="D7476" i="8"/>
  <c r="D8115" i="8"/>
  <c r="D7477" i="8"/>
  <c r="D6159" i="8"/>
  <c r="D7144" i="8"/>
  <c r="D388" i="8"/>
  <c r="D5223" i="8"/>
  <c r="D3905" i="8"/>
  <c r="D1377" i="8"/>
  <c r="D9439" i="8"/>
  <c r="D61" i="8"/>
  <c r="D2010" i="8"/>
  <c r="D5536" i="8"/>
  <c r="D4891" i="8"/>
  <c r="D7792" i="8"/>
  <c r="D5537" i="8"/>
  <c r="D7145" i="8"/>
  <c r="D1073" i="8"/>
  <c r="D1074" i="8"/>
  <c r="D8116" i="8"/>
  <c r="D8117" i="8"/>
  <c r="D6501" i="8"/>
  <c r="D2011" i="8"/>
  <c r="D8118" i="8"/>
  <c r="D2626" i="8"/>
  <c r="D9134" i="8"/>
  <c r="D1378" i="8"/>
  <c r="D4572" i="8"/>
  <c r="D4892" i="8"/>
  <c r="D7146" i="8"/>
  <c r="D6160" i="8"/>
  <c r="D7478" i="8"/>
  <c r="D717" i="8"/>
  <c r="D2627" i="8"/>
  <c r="D62" i="8"/>
  <c r="D3592" i="8"/>
  <c r="D5224" i="8"/>
  <c r="D5225" i="8"/>
  <c r="D8790" i="8"/>
  <c r="D3906" i="8"/>
  <c r="D5226" i="8"/>
  <c r="D3593" i="8"/>
  <c r="D9752" i="8"/>
  <c r="D8470" i="8"/>
  <c r="D9440" i="8"/>
  <c r="D2330" i="8"/>
  <c r="D1708" i="8"/>
  <c r="D2012" i="8"/>
  <c r="D5227" i="8"/>
  <c r="D2628" i="8"/>
  <c r="D2916" i="8"/>
  <c r="D8119" i="8"/>
  <c r="D1075" i="8"/>
  <c r="D2331" i="8"/>
  <c r="D7479" i="8"/>
  <c r="D9753" i="8"/>
  <c r="D6502" i="8"/>
  <c r="D9135" i="8"/>
  <c r="D9441" i="8"/>
  <c r="D9754" i="8"/>
  <c r="D8120" i="8"/>
  <c r="D1076" i="8"/>
  <c r="D4257" i="8"/>
  <c r="D8471" i="8"/>
  <c r="D1709" i="8"/>
  <c r="D3594" i="8"/>
  <c r="D2917" i="8"/>
  <c r="D1379" i="8"/>
  <c r="D9136" i="8"/>
  <c r="D9442" i="8"/>
  <c r="D7793" i="8"/>
  <c r="D8791" i="8"/>
  <c r="D6828" i="8"/>
  <c r="D2918" i="8"/>
  <c r="D6829" i="8"/>
  <c r="D4573" i="8"/>
  <c r="D718" i="8"/>
  <c r="D2013" i="8"/>
  <c r="D4893" i="8"/>
  <c r="D4894" i="8"/>
  <c r="D3595" i="8"/>
  <c r="D8792" i="8"/>
  <c r="D8793" i="8"/>
  <c r="D5228" i="8"/>
  <c r="D2332" i="8"/>
  <c r="D7147" i="8"/>
  <c r="D6830" i="8"/>
  <c r="D4895" i="8"/>
  <c r="D6161" i="8"/>
  <c r="D2333" i="8"/>
  <c r="D2334" i="8"/>
  <c r="D8794" i="8"/>
  <c r="D1077" i="8"/>
  <c r="D4896" i="8"/>
  <c r="D4574" i="8"/>
  <c r="D389" i="8"/>
  <c r="D7794" i="8"/>
  <c r="D7480" i="8"/>
  <c r="D9443" i="8"/>
  <c r="D9755" i="8"/>
  <c r="D4575" i="8"/>
  <c r="D6503" i="8"/>
  <c r="D8121" i="8"/>
  <c r="D6162" i="8"/>
  <c r="D4258" i="8"/>
  <c r="D6831" i="8"/>
  <c r="D3907" i="8"/>
  <c r="D2919" i="8"/>
  <c r="D1078" i="8"/>
  <c r="D5229" i="8"/>
  <c r="D63" i="8"/>
  <c r="D5230" i="8"/>
  <c r="D7795" i="8"/>
  <c r="D8795" i="8"/>
  <c r="D8472" i="8"/>
  <c r="D2920" i="8"/>
  <c r="D4897" i="8"/>
  <c r="D5857" i="8"/>
  <c r="D3908" i="8"/>
  <c r="D1079" i="8"/>
  <c r="D4259" i="8"/>
  <c r="D7481" i="8"/>
  <c r="D5538" i="8"/>
  <c r="D7796" i="8"/>
  <c r="D7797" i="8"/>
  <c r="D3909" i="8"/>
  <c r="D4898" i="8"/>
  <c r="D2921" i="8"/>
  <c r="D3238" i="8"/>
  <c r="D1080" i="8"/>
  <c r="D5231" i="8"/>
  <c r="D5858" i="8"/>
  <c r="D7798" i="8"/>
  <c r="D6163" i="8"/>
  <c r="D2014" i="8"/>
  <c r="D8473" i="8"/>
  <c r="D9444" i="8"/>
  <c r="D1081" i="8"/>
  <c r="D6164" i="8"/>
  <c r="D6504" i="8"/>
  <c r="D64" i="8"/>
  <c r="D1380" i="8"/>
  <c r="D5232" i="8"/>
  <c r="D5233" i="8"/>
  <c r="D2629" i="8"/>
  <c r="D7148" i="8"/>
  <c r="D3239" i="8"/>
  <c r="D1082" i="8"/>
  <c r="D6505" i="8"/>
  <c r="D1083" i="8"/>
  <c r="D2015" i="8"/>
  <c r="D3596" i="8"/>
  <c r="D8796" i="8"/>
  <c r="D1381" i="8"/>
  <c r="D5859" i="8"/>
  <c r="D2922" i="8"/>
  <c r="D9756" i="8"/>
  <c r="D7149" i="8"/>
  <c r="D1382" i="8"/>
  <c r="D2630" i="8"/>
  <c r="D5234" i="8"/>
  <c r="D1383" i="8"/>
  <c r="D390" i="8"/>
  <c r="D1084" i="8"/>
  <c r="D7799" i="8"/>
  <c r="D1384" i="8"/>
  <c r="D4576" i="8"/>
  <c r="D3597" i="8"/>
  <c r="D1710" i="8"/>
  <c r="D6506" i="8"/>
  <c r="D3910" i="8"/>
  <c r="D1385" i="8"/>
  <c r="D1085" i="8"/>
  <c r="D4899" i="8"/>
  <c r="D3911" i="8"/>
  <c r="D3240" i="8"/>
  <c r="D7800" i="8"/>
  <c r="D4577" i="8"/>
  <c r="D6832" i="8"/>
  <c r="D8474" i="8"/>
  <c r="D719" i="8"/>
  <c r="D4578" i="8"/>
  <c r="D7801" i="8"/>
  <c r="D6833" i="8"/>
  <c r="D8797" i="8"/>
  <c r="D9757" i="8"/>
  <c r="D2923" i="8"/>
  <c r="D3912" i="8"/>
  <c r="D8798" i="8"/>
  <c r="D4260" i="8"/>
  <c r="D2631" i="8"/>
  <c r="D3913" i="8"/>
  <c r="D1711" i="8"/>
  <c r="D2632" i="8"/>
  <c r="D2924" i="8"/>
  <c r="D3914" i="8"/>
  <c r="D2925" i="8"/>
  <c r="D1712" i="8"/>
  <c r="D9758" i="8"/>
  <c r="D7150" i="8"/>
  <c r="D3598" i="8"/>
  <c r="D6507" i="8"/>
  <c r="D6834" i="8"/>
  <c r="D5235" i="8"/>
  <c r="D391" i="8"/>
  <c r="D6165" i="8"/>
  <c r="D8122" i="8"/>
  <c r="D7802" i="8"/>
  <c r="D3599" i="8"/>
  <c r="D8799" i="8"/>
  <c r="D3915" i="8"/>
  <c r="D9445" i="8"/>
  <c r="D6835" i="8"/>
  <c r="D2335" i="8"/>
  <c r="D1713" i="8"/>
  <c r="D2633" i="8"/>
  <c r="D1086" i="8"/>
  <c r="D3600" i="8"/>
  <c r="D3916" i="8"/>
  <c r="D1087" i="8"/>
  <c r="D5236" i="8"/>
  <c r="D8123" i="8"/>
  <c r="D5860" i="8"/>
  <c r="D3917" i="8"/>
  <c r="D9137" i="8"/>
  <c r="D3241" i="8"/>
  <c r="D7803" i="8"/>
  <c r="D5539" i="8"/>
  <c r="D720" i="8"/>
  <c r="D1386" i="8"/>
  <c r="D8475" i="8"/>
  <c r="D8476" i="8"/>
  <c r="D4579" i="8"/>
  <c r="D5861" i="8"/>
  <c r="D5540" i="8"/>
  <c r="D721" i="8"/>
  <c r="D2016" i="8"/>
  <c r="D7482" i="8"/>
  <c r="D722" i="8"/>
  <c r="D2336" i="8"/>
  <c r="D2634" i="8"/>
  <c r="D723" i="8"/>
  <c r="D2926" i="8"/>
  <c r="D7804" i="8"/>
  <c r="D6836" i="8"/>
  <c r="D3242" i="8"/>
  <c r="D7805" i="8"/>
  <c r="D6508" i="8"/>
  <c r="D5862" i="8"/>
  <c r="D1387" i="8"/>
  <c r="D9446" i="8"/>
  <c r="D8477" i="8"/>
  <c r="D4580" i="8"/>
  <c r="D2337" i="8"/>
  <c r="D5541" i="8"/>
  <c r="D5237" i="8"/>
  <c r="D3243" i="8"/>
  <c r="D8800" i="8"/>
  <c r="D724" i="8"/>
  <c r="D2017" i="8"/>
  <c r="D3918" i="8"/>
  <c r="D8801" i="8"/>
  <c r="D7151" i="8"/>
  <c r="D7152" i="8"/>
  <c r="D7483" i="8"/>
  <c r="D2635" i="8"/>
  <c r="D2018" i="8"/>
  <c r="D3919" i="8"/>
  <c r="D725" i="8"/>
  <c r="D5863" i="8"/>
  <c r="D4581" i="8"/>
  <c r="D5864" i="8"/>
  <c r="D6509" i="8"/>
  <c r="D5542" i="8"/>
  <c r="D6837" i="8"/>
  <c r="D726" i="8"/>
  <c r="D3920" i="8"/>
  <c r="D1714" i="8"/>
  <c r="D7484" i="8"/>
  <c r="D65" i="8"/>
  <c r="D7153" i="8"/>
  <c r="D5238" i="8"/>
  <c r="D9759" i="8"/>
  <c r="D5239" i="8"/>
  <c r="D4582" i="8"/>
  <c r="D9447" i="8"/>
  <c r="D9448" i="8"/>
  <c r="D8802" i="8"/>
  <c r="D6838" i="8"/>
  <c r="D727" i="8"/>
  <c r="D9760" i="8"/>
  <c r="D2636" i="8"/>
  <c r="D2019" i="8"/>
  <c r="D66" i="8"/>
  <c r="D8478" i="8"/>
  <c r="D728" i="8"/>
  <c r="D4261" i="8"/>
  <c r="D67" i="8"/>
  <c r="D4900" i="8"/>
  <c r="D1088" i="8"/>
  <c r="D2637" i="8"/>
  <c r="D3601" i="8"/>
  <c r="D1089" i="8"/>
  <c r="D5543" i="8"/>
  <c r="D6166" i="8"/>
  <c r="D7806" i="8"/>
  <c r="D9449" i="8"/>
  <c r="D5240" i="8"/>
  <c r="D4901" i="8"/>
  <c r="D3921" i="8"/>
  <c r="D68" i="8"/>
  <c r="D2638" i="8"/>
  <c r="D392" i="8"/>
  <c r="D2020" i="8"/>
  <c r="D6510" i="8"/>
  <c r="D2338" i="8"/>
  <c r="D4583" i="8"/>
  <c r="D2339" i="8"/>
  <c r="D8124" i="8"/>
  <c r="D9450" i="8"/>
  <c r="D9761" i="8"/>
  <c r="D6167" i="8"/>
  <c r="D9138" i="8"/>
  <c r="D5241" i="8"/>
  <c r="D8803" i="8"/>
  <c r="D4262" i="8"/>
  <c r="D6168" i="8"/>
  <c r="D2927" i="8"/>
  <c r="D8804" i="8"/>
  <c r="D4263" i="8"/>
  <c r="D9762" i="8"/>
  <c r="D729" i="8"/>
  <c r="D8125" i="8"/>
  <c r="D730" i="8"/>
  <c r="D3922" i="8"/>
  <c r="D8805" i="8"/>
  <c r="D4264" i="8"/>
  <c r="D1388" i="8"/>
  <c r="D3602" i="8"/>
  <c r="D393" i="8"/>
  <c r="D5242" i="8"/>
  <c r="D69" i="8"/>
  <c r="D4902" i="8"/>
  <c r="D6839" i="8"/>
  <c r="D9139" i="8"/>
  <c r="D7807" i="8"/>
  <c r="D6840" i="8"/>
  <c r="D3244" i="8"/>
  <c r="D1389" i="8"/>
  <c r="D6169" i="8"/>
  <c r="D731" i="8"/>
  <c r="D8479" i="8"/>
  <c r="D9140" i="8"/>
  <c r="D2928" i="8"/>
  <c r="D9763" i="8"/>
  <c r="D1390" i="8"/>
  <c r="D2340" i="8"/>
  <c r="D3923" i="8"/>
  <c r="D9764" i="8"/>
  <c r="D1715" i="8"/>
  <c r="D1391" i="8"/>
  <c r="D2929" i="8"/>
  <c r="D8126" i="8"/>
  <c r="D8806" i="8"/>
  <c r="D2341" i="8"/>
  <c r="D2342" i="8"/>
  <c r="D9141" i="8"/>
  <c r="D3603" i="8"/>
  <c r="D4265" i="8"/>
  <c r="D9765" i="8"/>
  <c r="D6511" i="8"/>
  <c r="D8480" i="8"/>
  <c r="D2930" i="8"/>
  <c r="D8481" i="8"/>
  <c r="D9766" i="8"/>
  <c r="D4266" i="8"/>
  <c r="D7485" i="8"/>
  <c r="D2639" i="8"/>
  <c r="D2343" i="8"/>
  <c r="D8482" i="8"/>
  <c r="D3245" i="8"/>
  <c r="D7486" i="8"/>
  <c r="D8127" i="8"/>
  <c r="D6512" i="8"/>
  <c r="D8807" i="8"/>
  <c r="D5243" i="8"/>
  <c r="D7487" i="8"/>
  <c r="D4267" i="8"/>
  <c r="D8483" i="8"/>
  <c r="D5865" i="8"/>
  <c r="D1392" i="8"/>
  <c r="D8128" i="8"/>
  <c r="D3246" i="8"/>
  <c r="D8808" i="8"/>
  <c r="D8809" i="8"/>
  <c r="D9767" i="8"/>
  <c r="D5866" i="8"/>
  <c r="D9142" i="8"/>
  <c r="D3604" i="8"/>
  <c r="D2931" i="8"/>
  <c r="D9143" i="8"/>
  <c r="D9144" i="8"/>
  <c r="D8810" i="8"/>
  <c r="D7808" i="8"/>
  <c r="D5867" i="8"/>
  <c r="D6841" i="8"/>
  <c r="D5544" i="8"/>
  <c r="D70" i="8"/>
  <c r="D394" i="8"/>
  <c r="D6170" i="8"/>
  <c r="D6171" i="8"/>
  <c r="D9145" i="8"/>
  <c r="D2021" i="8"/>
  <c r="D3605" i="8"/>
  <c r="D9768" i="8"/>
  <c r="D1393" i="8"/>
  <c r="D7809" i="8"/>
  <c r="D9451" i="8"/>
  <c r="D732" i="8"/>
  <c r="D1090" i="8"/>
  <c r="D5868" i="8"/>
  <c r="D71" i="8"/>
  <c r="D5545" i="8"/>
  <c r="D395" i="8"/>
  <c r="D3606" i="8"/>
  <c r="D7810" i="8"/>
  <c r="D3607" i="8"/>
  <c r="D2022" i="8"/>
  <c r="D3608" i="8"/>
  <c r="D4903" i="8"/>
  <c r="D1091" i="8"/>
  <c r="D3247" i="8"/>
  <c r="D4584" i="8"/>
  <c r="D1394" i="8"/>
  <c r="D2023" i="8"/>
  <c r="D5546" i="8"/>
  <c r="D4585" i="8"/>
  <c r="D396" i="8"/>
  <c r="D5547" i="8"/>
  <c r="D2344" i="8"/>
  <c r="D2345" i="8"/>
  <c r="D5869" i="8"/>
  <c r="D3924" i="8"/>
  <c r="D2932" i="8"/>
  <c r="D3248" i="8"/>
  <c r="D4268" i="8"/>
  <c r="D5244" i="8"/>
  <c r="D1716" i="8"/>
  <c r="D2024" i="8"/>
  <c r="D5870" i="8"/>
  <c r="D6842" i="8"/>
  <c r="D1092" i="8"/>
  <c r="D4586" i="8"/>
  <c r="D2025" i="8"/>
  <c r="D7154" i="8"/>
  <c r="D6513" i="8"/>
  <c r="D7488" i="8"/>
  <c r="D6843" i="8"/>
  <c r="D2026" i="8"/>
  <c r="D8811" i="8"/>
  <c r="D9452" i="8"/>
  <c r="D9146" i="8"/>
  <c r="D9147" i="8"/>
  <c r="D9148" i="8"/>
  <c r="D7155" i="8"/>
  <c r="D5245" i="8"/>
  <c r="D9769" i="8"/>
  <c r="D3925" i="8"/>
  <c r="D5246" i="8"/>
  <c r="D9453" i="8"/>
  <c r="D7156" i="8"/>
  <c r="D1717" i="8"/>
  <c r="D1718" i="8"/>
  <c r="D6172" i="8"/>
  <c r="D9770" i="8"/>
  <c r="D7489" i="8"/>
  <c r="D3249" i="8"/>
  <c r="D9149" i="8"/>
  <c r="D2027" i="8"/>
  <c r="D5871" i="8"/>
  <c r="D3250" i="8"/>
  <c r="D9454" i="8"/>
  <c r="D2933" i="8"/>
  <c r="D7811" i="8"/>
  <c r="D3609" i="8"/>
  <c r="D9455" i="8"/>
  <c r="D8812" i="8"/>
  <c r="D4269" i="8"/>
  <c r="D733" i="8"/>
  <c r="D5548" i="8"/>
  <c r="D5549" i="8"/>
  <c r="D2934" i="8"/>
  <c r="D3926" i="8"/>
  <c r="D7157" i="8"/>
  <c r="D6514" i="8"/>
  <c r="D7812" i="8"/>
  <c r="D7813" i="8"/>
  <c r="D3610" i="8"/>
  <c r="D1395" i="8"/>
  <c r="D3927" i="8"/>
  <c r="D5872" i="8"/>
  <c r="D8129" i="8"/>
  <c r="D3251" i="8"/>
  <c r="D6173" i="8"/>
  <c r="D4270" i="8"/>
  <c r="D7490" i="8"/>
  <c r="D1396" i="8"/>
  <c r="D9771" i="8"/>
  <c r="D6844" i="8"/>
  <c r="D72" i="8"/>
  <c r="D5247" i="8"/>
  <c r="D1093" i="8"/>
  <c r="D7814" i="8"/>
  <c r="D2935" i="8"/>
  <c r="D2346" i="8"/>
  <c r="D6174" i="8"/>
  <c r="D9456" i="8"/>
  <c r="D4271" i="8"/>
  <c r="D9150" i="8"/>
  <c r="D4272" i="8"/>
  <c r="D8130" i="8"/>
  <c r="D9457" i="8"/>
  <c r="D1094" i="8"/>
  <c r="D4587" i="8"/>
  <c r="D397" i="8"/>
  <c r="D1719" i="8"/>
  <c r="D8813" i="8"/>
  <c r="D3611" i="8"/>
  <c r="D5248" i="8"/>
  <c r="D3928" i="8"/>
  <c r="D6515" i="8"/>
  <c r="D6845" i="8"/>
  <c r="D3252" i="8"/>
  <c r="D2347" i="8"/>
  <c r="D7158" i="8"/>
  <c r="D2028" i="8"/>
  <c r="D3612" i="8"/>
  <c r="D3613" i="8"/>
  <c r="D5873" i="8"/>
  <c r="D9772" i="8"/>
  <c r="D2640" i="8"/>
  <c r="D1720" i="8"/>
  <c r="D734" i="8"/>
  <c r="D8131" i="8"/>
  <c r="D2936" i="8"/>
  <c r="D5249" i="8"/>
  <c r="D5874" i="8"/>
  <c r="D7815" i="8"/>
  <c r="D9458" i="8"/>
  <c r="D398" i="8"/>
  <c r="D4904" i="8"/>
  <c r="D5550" i="8"/>
  <c r="D7491" i="8"/>
  <c r="D7816" i="8"/>
  <c r="D3929" i="8"/>
  <c r="D4905" i="8"/>
  <c r="D2029" i="8"/>
  <c r="D9459" i="8"/>
  <c r="D9773" i="8"/>
  <c r="D3930" i="8"/>
  <c r="D399" i="8"/>
  <c r="D1397" i="8"/>
  <c r="D2348" i="8"/>
  <c r="D8132" i="8"/>
  <c r="D1398" i="8"/>
  <c r="D8133" i="8"/>
  <c r="D6516" i="8"/>
  <c r="D3253" i="8"/>
  <c r="D6517" i="8"/>
  <c r="D400" i="8"/>
  <c r="D5551" i="8"/>
  <c r="D6175" i="8"/>
  <c r="D9774" i="8"/>
  <c r="D4906" i="8"/>
  <c r="D6518" i="8"/>
  <c r="D7159" i="8"/>
  <c r="D9151" i="8"/>
  <c r="D8484" i="8"/>
  <c r="D73" i="8"/>
  <c r="D8814" i="8"/>
  <c r="D1095" i="8"/>
  <c r="D2030" i="8"/>
  <c r="D8815" i="8"/>
  <c r="D3614" i="8"/>
  <c r="D5250" i="8"/>
  <c r="D2349" i="8"/>
  <c r="D2350" i="8"/>
  <c r="D4907" i="8"/>
  <c r="D7160" i="8"/>
  <c r="D1096" i="8"/>
  <c r="D3254" i="8"/>
  <c r="D735" i="8"/>
  <c r="D5875" i="8"/>
  <c r="D5552" i="8"/>
  <c r="D3931" i="8"/>
  <c r="D4908" i="8"/>
  <c r="D5251" i="8"/>
  <c r="D7161" i="8"/>
  <c r="D736" i="8"/>
  <c r="D9460" i="8"/>
  <c r="D5876" i="8"/>
  <c r="D6519" i="8"/>
  <c r="D5553" i="8"/>
  <c r="D4909" i="8"/>
  <c r="D7817" i="8"/>
  <c r="D737" i="8"/>
  <c r="D2641" i="8"/>
  <c r="D74" i="8"/>
  <c r="D3255" i="8"/>
  <c r="D2031" i="8"/>
  <c r="D1399" i="8"/>
  <c r="D4273" i="8"/>
  <c r="D8134" i="8"/>
  <c r="D9461" i="8"/>
  <c r="D8135" i="8"/>
  <c r="D7162" i="8"/>
  <c r="D5252" i="8"/>
  <c r="D6520" i="8"/>
  <c r="D75" i="8"/>
  <c r="D1400" i="8"/>
  <c r="D7492" i="8"/>
  <c r="D2032" i="8"/>
  <c r="D6846" i="8"/>
  <c r="D8136" i="8"/>
  <c r="D5253" i="8"/>
  <c r="D2642" i="8"/>
  <c r="D5254" i="8"/>
  <c r="D9462" i="8"/>
  <c r="D738" i="8"/>
  <c r="D5255" i="8"/>
  <c r="D8816" i="8"/>
  <c r="D4588" i="8"/>
  <c r="D6176" i="8"/>
  <c r="D9775" i="8"/>
  <c r="D7163" i="8"/>
  <c r="D4910" i="8"/>
  <c r="D4589" i="8"/>
  <c r="D2937" i="8"/>
  <c r="D5554" i="8"/>
  <c r="D5555" i="8"/>
  <c r="D2643" i="8"/>
  <c r="D6177" i="8"/>
  <c r="D4911" i="8"/>
  <c r="D8817" i="8"/>
  <c r="D76" i="8"/>
  <c r="D4590" i="8"/>
  <c r="D2033" i="8"/>
  <c r="D4912" i="8"/>
  <c r="D1721" i="8"/>
  <c r="D1722" i="8"/>
  <c r="D1401" i="8"/>
  <c r="D4913" i="8"/>
  <c r="D77" i="8"/>
  <c r="D3256" i="8"/>
  <c r="D2644" i="8"/>
  <c r="D2351" i="8"/>
  <c r="D7164" i="8"/>
  <c r="D3615" i="8"/>
  <c r="D7818" i="8"/>
  <c r="D3616" i="8"/>
  <c r="D7165" i="8"/>
  <c r="D2352" i="8"/>
  <c r="D9152" i="8"/>
  <c r="D4274" i="8"/>
  <c r="D8137" i="8"/>
  <c r="D8485" i="8"/>
  <c r="D1723" i="8"/>
  <c r="D8818" i="8"/>
  <c r="D2938" i="8"/>
  <c r="D1097" i="8"/>
  <c r="D2645" i="8"/>
  <c r="D9776" i="8"/>
  <c r="D739" i="8"/>
  <c r="D9777" i="8"/>
  <c r="D2034" i="8"/>
  <c r="D8486" i="8"/>
  <c r="D8487" i="8"/>
  <c r="D5877" i="8"/>
  <c r="D7166" i="8"/>
  <c r="D6178" i="8"/>
  <c r="D2646" i="8"/>
  <c r="D2353" i="8"/>
  <c r="D2939" i="8"/>
  <c r="D401" i="8"/>
  <c r="D7167" i="8"/>
  <c r="D7168" i="8"/>
  <c r="D1724" i="8"/>
  <c r="D8819" i="8"/>
  <c r="D8820" i="8"/>
  <c r="D4591" i="8"/>
  <c r="D402" i="8"/>
  <c r="D9153" i="8"/>
  <c r="D1725" i="8"/>
  <c r="D5556" i="8"/>
  <c r="D8488" i="8"/>
  <c r="D6847" i="8"/>
  <c r="D6848" i="8"/>
  <c r="D8489" i="8"/>
  <c r="D4592" i="8"/>
  <c r="D2940" i="8"/>
  <c r="D2035" i="8"/>
  <c r="D2647" i="8"/>
  <c r="D1726" i="8"/>
  <c r="D4593" i="8"/>
  <c r="D1098" i="8"/>
  <c r="D2941" i="8"/>
  <c r="D9154" i="8"/>
  <c r="D2942" i="8"/>
  <c r="D8138" i="8"/>
  <c r="D7819" i="8"/>
  <c r="D7493" i="8"/>
  <c r="D5557" i="8"/>
  <c r="D1099" i="8"/>
  <c r="D5878" i="8"/>
  <c r="D2354" i="8"/>
  <c r="D5879" i="8"/>
  <c r="D78" i="8"/>
  <c r="D79" i="8"/>
  <c r="D7820" i="8"/>
  <c r="D3617" i="8"/>
  <c r="D3257" i="8"/>
  <c r="D7494" i="8"/>
  <c r="D4914" i="8"/>
  <c r="D740" i="8"/>
  <c r="D7495" i="8"/>
  <c r="D2943" i="8"/>
  <c r="D2944" i="8"/>
  <c r="D741" i="8"/>
  <c r="D5558" i="8"/>
  <c r="D403" i="8"/>
  <c r="D3618" i="8"/>
  <c r="D2945" i="8"/>
  <c r="D6849" i="8"/>
  <c r="D5559" i="8"/>
  <c r="D4915" i="8"/>
  <c r="D7496" i="8"/>
  <c r="D2036" i="8"/>
  <c r="D5880" i="8"/>
  <c r="D2946" i="8"/>
  <c r="D404" i="8"/>
  <c r="D5881" i="8"/>
  <c r="D405" i="8"/>
  <c r="D7169" i="8"/>
  <c r="D2648" i="8"/>
  <c r="D7821" i="8"/>
  <c r="D7497" i="8"/>
  <c r="D2037" i="8"/>
  <c r="D406" i="8"/>
  <c r="D8139" i="8"/>
  <c r="D9778" i="8"/>
  <c r="D7170" i="8"/>
  <c r="D9155" i="8"/>
  <c r="D5256" i="8"/>
  <c r="D2038" i="8"/>
  <c r="D7171" i="8"/>
  <c r="D407" i="8"/>
  <c r="D4916" i="8"/>
  <c r="D2947" i="8"/>
  <c r="D1727" i="8"/>
  <c r="D7172" i="8"/>
  <c r="D9156" i="8"/>
  <c r="D9157" i="8"/>
  <c r="D9779" i="8"/>
  <c r="D2948" i="8"/>
  <c r="D6850" i="8"/>
  <c r="D8821" i="8"/>
  <c r="D2949" i="8"/>
  <c r="D3619" i="8"/>
  <c r="D3258" i="8"/>
  <c r="D8490" i="8"/>
  <c r="D4275" i="8"/>
  <c r="D4917" i="8"/>
  <c r="D8140" i="8"/>
  <c r="D8141" i="8"/>
  <c r="D7498" i="8"/>
  <c r="D2039" i="8"/>
  <c r="D1728" i="8"/>
  <c r="D5257" i="8"/>
  <c r="D2649" i="8"/>
  <c r="D7499" i="8"/>
  <c r="D80" i="8"/>
  <c r="D7822" i="8"/>
  <c r="D1100" i="8"/>
  <c r="D81" i="8"/>
  <c r="D7173" i="8"/>
  <c r="D3259" i="8"/>
  <c r="D6851" i="8"/>
  <c r="D9780" i="8"/>
  <c r="D6179" i="8"/>
  <c r="D7823" i="8"/>
  <c r="D6180" i="8"/>
  <c r="D3260" i="8"/>
  <c r="D4276" i="8"/>
  <c r="D2355" i="8"/>
  <c r="D8491" i="8"/>
  <c r="D4918" i="8"/>
  <c r="D8492" i="8"/>
  <c r="D6181" i="8"/>
  <c r="D5882" i="8"/>
  <c r="D6521" i="8"/>
  <c r="D742" i="8"/>
  <c r="D6852" i="8"/>
  <c r="D3261" i="8"/>
  <c r="D8493" i="8"/>
  <c r="D3262" i="8"/>
  <c r="D6853" i="8"/>
  <c r="D2950" i="8"/>
  <c r="D9781" i="8"/>
  <c r="D3620" i="8"/>
  <c r="D5560" i="8"/>
  <c r="D4277" i="8"/>
  <c r="D2356" i="8"/>
  <c r="D2951" i="8"/>
  <c r="D7824" i="8"/>
  <c r="D2952" i="8"/>
  <c r="D9463" i="8"/>
  <c r="D2357" i="8"/>
  <c r="D3263" i="8"/>
  <c r="D82" i="8"/>
  <c r="D5561" i="8"/>
  <c r="D3932" i="8"/>
  <c r="D4278" i="8"/>
  <c r="D3264" i="8"/>
  <c r="D8142" i="8"/>
  <c r="D7500" i="8"/>
  <c r="D408" i="8"/>
  <c r="D83" i="8"/>
  <c r="D9464" i="8"/>
  <c r="D4919" i="8"/>
  <c r="D7174" i="8"/>
  <c r="D5562" i="8"/>
  <c r="D5563" i="8"/>
  <c r="D5564" i="8"/>
  <c r="D8822" i="8"/>
  <c r="D6522" i="8"/>
  <c r="D84" i="8"/>
  <c r="D8494" i="8"/>
  <c r="D7175" i="8"/>
  <c r="D7825" i="8"/>
  <c r="D3933" i="8"/>
  <c r="D4594" i="8"/>
  <c r="D7176" i="8"/>
  <c r="D6523" i="8"/>
  <c r="D7501" i="8"/>
  <c r="D409" i="8"/>
  <c r="D9465" i="8"/>
  <c r="D4279" i="8"/>
  <c r="D2650" i="8"/>
  <c r="D6182" i="8"/>
  <c r="D9466" i="8"/>
  <c r="D6183" i="8"/>
  <c r="D5883" i="8"/>
  <c r="D85" i="8"/>
  <c r="D9158" i="8"/>
  <c r="D2953" i="8"/>
  <c r="D7502" i="8"/>
  <c r="D8143" i="8"/>
  <c r="D1729" i="8"/>
  <c r="D9782" i="8"/>
  <c r="D3265" i="8"/>
  <c r="D6854" i="8"/>
  <c r="D5258" i="8"/>
  <c r="D6524" i="8"/>
  <c r="D1402" i="8"/>
  <c r="D5884" i="8"/>
  <c r="D743" i="8"/>
  <c r="D1730" i="8"/>
  <c r="D4280" i="8"/>
  <c r="D7177" i="8"/>
  <c r="D86" i="8"/>
  <c r="D1403" i="8"/>
  <c r="D1404" i="8"/>
  <c r="D2954" i="8"/>
  <c r="D2040" i="8"/>
  <c r="D8823" i="8"/>
  <c r="D2651" i="8"/>
  <c r="D3621" i="8"/>
  <c r="D2358" i="8"/>
  <c r="D3266" i="8"/>
  <c r="D5565" i="8"/>
  <c r="D5566" i="8"/>
  <c r="D744" i="8"/>
  <c r="D4595" i="8"/>
  <c r="D7503" i="8"/>
  <c r="D8144" i="8"/>
  <c r="D9159" i="8"/>
  <c r="D4281" i="8"/>
  <c r="D8824" i="8"/>
  <c r="D7504" i="8"/>
  <c r="D3267" i="8"/>
  <c r="D2652" i="8"/>
  <c r="D745" i="8"/>
  <c r="D9160" i="8"/>
  <c r="D6525" i="8"/>
  <c r="D6855" i="8"/>
  <c r="D2359" i="8"/>
  <c r="D7178" i="8"/>
  <c r="D410" i="8"/>
  <c r="D6526" i="8"/>
  <c r="D4920" i="8"/>
  <c r="D2041" i="8"/>
  <c r="D7179" i="8"/>
  <c r="D8495" i="8"/>
  <c r="D4282" i="8"/>
  <c r="D7505" i="8"/>
  <c r="D4283" i="8"/>
  <c r="D9467" i="8"/>
  <c r="D6527" i="8"/>
  <c r="D6528" i="8"/>
  <c r="D4921" i="8"/>
  <c r="D7506" i="8"/>
  <c r="D2955" i="8"/>
  <c r="D4284" i="8"/>
  <c r="D411" i="8"/>
  <c r="D2956" i="8"/>
  <c r="D2653" i="8"/>
  <c r="D7180" i="8"/>
  <c r="D5567" i="8"/>
  <c r="D5568" i="8"/>
  <c r="D87" i="8"/>
  <c r="D5569" i="8"/>
  <c r="D3268" i="8"/>
  <c r="D2957" i="8"/>
  <c r="D7826" i="8"/>
  <c r="D9783" i="8"/>
  <c r="D7181" i="8"/>
  <c r="D1101" i="8"/>
  <c r="D8145" i="8"/>
  <c r="D3622" i="8"/>
  <c r="D7182" i="8"/>
  <c r="D5885" i="8"/>
  <c r="D7827" i="8"/>
  <c r="D5886" i="8"/>
  <c r="D9784" i="8"/>
  <c r="D2360" i="8"/>
  <c r="D2654" i="8"/>
  <c r="D2958" i="8"/>
  <c r="D9785" i="8"/>
  <c r="D5887" i="8"/>
  <c r="D7828" i="8"/>
  <c r="D7183" i="8"/>
  <c r="D9468" i="8"/>
  <c r="D7829" i="8"/>
  <c r="D746" i="8"/>
  <c r="D2042" i="8"/>
  <c r="D9786" i="8"/>
  <c r="D8146" i="8"/>
  <c r="D5259" i="8"/>
  <c r="D2043" i="8"/>
  <c r="D4596" i="8"/>
  <c r="D4922" i="8"/>
  <c r="D3269" i="8"/>
  <c r="D8825" i="8"/>
  <c r="D5888" i="8"/>
  <c r="D5570" i="8"/>
  <c r="D4597" i="8"/>
  <c r="D9469" i="8"/>
  <c r="D3270" i="8"/>
  <c r="D9787" i="8"/>
  <c r="D1731" i="8"/>
  <c r="D1732" i="8"/>
  <c r="D6856" i="8"/>
  <c r="D747" i="8"/>
  <c r="D8496" i="8"/>
  <c r="D2044" i="8"/>
  <c r="D8497" i="8"/>
  <c r="D5260" i="8"/>
  <c r="D3271" i="8"/>
  <c r="D7507" i="8"/>
  <c r="D748" i="8"/>
  <c r="D4285" i="8"/>
  <c r="D749" i="8"/>
  <c r="D7508" i="8"/>
  <c r="D6529" i="8"/>
  <c r="D8147" i="8"/>
  <c r="D3272" i="8"/>
  <c r="D9788" i="8"/>
  <c r="D9470" i="8"/>
  <c r="D9789" i="8"/>
  <c r="D6530" i="8"/>
  <c r="D88" i="8"/>
  <c r="D9471" i="8"/>
  <c r="D2959" i="8"/>
  <c r="D1102" i="8"/>
  <c r="D2960" i="8"/>
  <c r="D9161" i="8"/>
  <c r="D3623" i="8"/>
  <c r="D8826" i="8"/>
  <c r="D3273" i="8"/>
  <c r="D7509" i="8"/>
  <c r="D7510" i="8"/>
  <c r="D8148" i="8"/>
  <c r="D2045" i="8"/>
  <c r="D89" i="8"/>
  <c r="D1733" i="8"/>
  <c r="D5889" i="8"/>
  <c r="D1734" i="8"/>
  <c r="D3934" i="8"/>
  <c r="D3624" i="8"/>
  <c r="D90" i="8"/>
  <c r="D750" i="8"/>
  <c r="D6531" i="8"/>
  <c r="D1735" i="8"/>
  <c r="D6184" i="8"/>
  <c r="D2046" i="8"/>
  <c r="D2047" i="8"/>
  <c r="D5261" i="8"/>
  <c r="D4923" i="8"/>
  <c r="D3274" i="8"/>
  <c r="D6185" i="8"/>
  <c r="D751" i="8"/>
  <c r="D6186" i="8"/>
  <c r="D6857" i="8"/>
  <c r="D7830" i="8"/>
  <c r="D412" i="8"/>
  <c r="D8827" i="8"/>
  <c r="D7184" i="8"/>
  <c r="D7831" i="8"/>
  <c r="D6187" i="8"/>
  <c r="D1103" i="8"/>
  <c r="D9472" i="8"/>
  <c r="D752" i="8"/>
  <c r="D7832" i="8"/>
  <c r="D5262" i="8"/>
  <c r="D6532" i="8"/>
  <c r="D6188" i="8"/>
  <c r="D9790" i="8"/>
  <c r="D1736" i="8"/>
  <c r="D3935" i="8"/>
  <c r="D2361" i="8"/>
  <c r="D8498" i="8"/>
  <c r="D9791" i="8"/>
  <c r="D7833" i="8"/>
  <c r="D5890" i="8"/>
  <c r="D2048" i="8"/>
  <c r="D7185" i="8"/>
  <c r="D6858" i="8"/>
  <c r="D7186" i="8"/>
  <c r="D5263" i="8"/>
  <c r="D5571" i="8"/>
  <c r="D1737" i="8"/>
  <c r="D2362" i="8"/>
  <c r="D753" i="8"/>
  <c r="D1104" i="8"/>
  <c r="D8499" i="8"/>
  <c r="D7187" i="8"/>
  <c r="D2049" i="8"/>
  <c r="D6533" i="8"/>
  <c r="D3936" i="8"/>
  <c r="D4924" i="8"/>
  <c r="D6534" i="8"/>
  <c r="D6189" i="8"/>
  <c r="D8828" i="8"/>
  <c r="D6535" i="8"/>
  <c r="D754" i="8"/>
  <c r="D1738" i="8"/>
  <c r="D3937" i="8"/>
  <c r="D5572" i="8"/>
  <c r="D4598" i="8"/>
  <c r="D5264" i="8"/>
  <c r="D7511" i="8"/>
  <c r="D4599" i="8"/>
  <c r="D1405" i="8"/>
  <c r="D1406" i="8"/>
  <c r="D755" i="8"/>
  <c r="D3275" i="8"/>
  <c r="D4600" i="8"/>
  <c r="D5573" i="8"/>
  <c r="D2961" i="8"/>
  <c r="D1407" i="8"/>
  <c r="D3625" i="8"/>
  <c r="D413" i="8"/>
  <c r="D1105" i="8"/>
  <c r="D5574" i="8"/>
  <c r="D2050" i="8"/>
  <c r="D3626" i="8"/>
  <c r="D8829" i="8"/>
  <c r="D8830" i="8"/>
  <c r="D414" i="8"/>
  <c r="D1408" i="8"/>
  <c r="D2051" i="8"/>
  <c r="D9162" i="8"/>
  <c r="D4925" i="8"/>
  <c r="D8149" i="8"/>
  <c r="D9163" i="8"/>
  <c r="D5265" i="8"/>
  <c r="D3938" i="8"/>
  <c r="D4926" i="8"/>
  <c r="D6536" i="8"/>
  <c r="D6859" i="8"/>
  <c r="D8831" i="8"/>
  <c r="D2655" i="8"/>
  <c r="D1739" i="8"/>
  <c r="D8500" i="8"/>
  <c r="D4927" i="8"/>
  <c r="D2656" i="8"/>
  <c r="D5266" i="8"/>
  <c r="D9473" i="8"/>
  <c r="D1740" i="8"/>
  <c r="D8832" i="8"/>
  <c r="D91" i="8"/>
  <c r="D6860" i="8"/>
  <c r="D4928" i="8"/>
  <c r="D5891" i="8"/>
  <c r="D4286" i="8"/>
  <c r="D2962" i="8"/>
  <c r="D4601" i="8"/>
  <c r="D415" i="8"/>
  <c r="D8501" i="8"/>
  <c r="D6861" i="8"/>
  <c r="D5892" i="8"/>
  <c r="D2657" i="8"/>
  <c r="D9474" i="8"/>
  <c r="D2963" i="8"/>
  <c r="D6537" i="8"/>
  <c r="D9164" i="8"/>
  <c r="D6538" i="8"/>
  <c r="D9792" i="8"/>
  <c r="D6190" i="8"/>
  <c r="D4929" i="8"/>
  <c r="D1741" i="8"/>
  <c r="D2964" i="8"/>
  <c r="D9475" i="8"/>
  <c r="D8150" i="8"/>
  <c r="D1742" i="8"/>
  <c r="D7834" i="8"/>
  <c r="D9165" i="8"/>
  <c r="D6862" i="8"/>
  <c r="D1409" i="8"/>
  <c r="D7835" i="8"/>
  <c r="D8833" i="8"/>
  <c r="D6539" i="8"/>
  <c r="D7512" i="8"/>
  <c r="D6191" i="8"/>
  <c r="D9793" i="8"/>
  <c r="D4602" i="8"/>
  <c r="D3276" i="8"/>
  <c r="D6863" i="8"/>
  <c r="D7513" i="8"/>
  <c r="D2965" i="8"/>
  <c r="D756" i="8"/>
  <c r="D7836" i="8"/>
  <c r="D2052" i="8"/>
  <c r="D3939" i="8"/>
  <c r="D1743" i="8"/>
  <c r="D7837" i="8"/>
  <c r="D4603" i="8"/>
  <c r="D7188" i="8"/>
  <c r="D92" i="8"/>
  <c r="D2053" i="8"/>
  <c r="D8834" i="8"/>
  <c r="D2054" i="8"/>
  <c r="D9476" i="8"/>
  <c r="D9166" i="8"/>
  <c r="D5267" i="8"/>
  <c r="D8151" i="8"/>
  <c r="D9477" i="8"/>
  <c r="D8502" i="8"/>
  <c r="D9478" i="8"/>
  <c r="D5575" i="8"/>
  <c r="D9794" i="8"/>
  <c r="D1106" i="8"/>
  <c r="D4287" i="8"/>
  <c r="D5893" i="8"/>
  <c r="D1107" i="8"/>
  <c r="D3277" i="8"/>
  <c r="D5576" i="8"/>
  <c r="D4288" i="8"/>
  <c r="D6192" i="8"/>
  <c r="D7838" i="8"/>
  <c r="D6193" i="8"/>
  <c r="D7514" i="8"/>
  <c r="D416" i="8"/>
  <c r="D9167" i="8"/>
  <c r="D4604" i="8"/>
  <c r="D9795" i="8"/>
  <c r="D7189" i="8"/>
  <c r="D6864" i="8"/>
  <c r="D7190" i="8"/>
  <c r="D6194" i="8"/>
  <c r="D8503" i="8"/>
  <c r="D5268" i="8"/>
  <c r="D5269" i="8"/>
  <c r="D5577" i="8"/>
  <c r="D8152" i="8"/>
  <c r="D6865" i="8"/>
  <c r="D3278" i="8"/>
  <c r="D7191" i="8"/>
  <c r="D2966" i="8"/>
  <c r="D9479" i="8"/>
  <c r="D4605" i="8"/>
  <c r="D6866" i="8"/>
  <c r="D1410" i="8"/>
  <c r="D93" i="8"/>
  <c r="D8835" i="8"/>
  <c r="D417" i="8"/>
  <c r="D5270" i="8"/>
  <c r="D3627" i="8"/>
  <c r="D94" i="8"/>
  <c r="D7515" i="8"/>
  <c r="D4606" i="8"/>
  <c r="D3279" i="8"/>
  <c r="D8504" i="8"/>
  <c r="D1108" i="8"/>
  <c r="D2967" i="8"/>
  <c r="D9480" i="8"/>
  <c r="D757" i="8"/>
  <c r="D2968" i="8"/>
  <c r="D8153" i="8"/>
  <c r="D2363" i="8"/>
  <c r="D8836" i="8"/>
  <c r="D2055" i="8"/>
  <c r="D6867" i="8"/>
  <c r="D5271" i="8"/>
  <c r="D418" i="8"/>
  <c r="D1744" i="8"/>
  <c r="D3940" i="8"/>
  <c r="D1109" i="8"/>
  <c r="D2056" i="8"/>
  <c r="D3628" i="8"/>
  <c r="D2364" i="8"/>
  <c r="D5894" i="8"/>
  <c r="D4607" i="8"/>
  <c r="D5272" i="8"/>
  <c r="D9481" i="8"/>
  <c r="D5578" i="8"/>
  <c r="D1745" i="8"/>
  <c r="D4289" i="8"/>
  <c r="D5579" i="8"/>
  <c r="D4290" i="8"/>
  <c r="D9796" i="8"/>
  <c r="D8154" i="8"/>
  <c r="D4930" i="8"/>
  <c r="D2969" i="8"/>
  <c r="D7192" i="8"/>
  <c r="D5580" i="8"/>
  <c r="D9482" i="8"/>
  <c r="D419" i="8"/>
  <c r="D4291" i="8"/>
  <c r="D1746" i="8"/>
  <c r="D1411" i="8"/>
  <c r="D5581" i="8"/>
  <c r="D9168" i="8"/>
  <c r="D4608" i="8"/>
  <c r="D6868" i="8"/>
  <c r="D1110" i="8"/>
  <c r="D7193" i="8"/>
  <c r="D3629" i="8"/>
  <c r="D6869" i="8"/>
  <c r="D420" i="8"/>
  <c r="D3630" i="8"/>
  <c r="D421" i="8"/>
  <c r="D4609" i="8"/>
  <c r="D9483" i="8"/>
  <c r="D9169" i="8"/>
  <c r="D422" i="8"/>
  <c r="D1412" i="8"/>
  <c r="D6870" i="8"/>
  <c r="D8155" i="8"/>
  <c r="D9484" i="8"/>
  <c r="D8837" i="8"/>
  <c r="D7516" i="8"/>
  <c r="D423" i="8"/>
  <c r="D1413" i="8"/>
  <c r="D1747" i="8"/>
  <c r="D4610" i="8"/>
  <c r="D7839" i="8"/>
  <c r="D7194" i="8"/>
  <c r="D3280" i="8"/>
  <c r="D424" i="8"/>
  <c r="D7840" i="8"/>
  <c r="D6540" i="8"/>
  <c r="D9797" i="8"/>
  <c r="D8838" i="8"/>
  <c r="D7517" i="8"/>
  <c r="D425" i="8"/>
  <c r="D8156" i="8"/>
  <c r="D426" i="8"/>
  <c r="D2970" i="8"/>
  <c r="D2365" i="8"/>
  <c r="D5895" i="8"/>
  <c r="D2658" i="8"/>
  <c r="D7518" i="8"/>
  <c r="D95" i="8"/>
  <c r="D7841" i="8"/>
  <c r="D7195" i="8"/>
  <c r="D427" i="8"/>
  <c r="D8839" i="8"/>
  <c r="D3631" i="8"/>
  <c r="D3632" i="8"/>
  <c r="D7519" i="8"/>
  <c r="D8157" i="8"/>
  <c r="D6541" i="8"/>
  <c r="D3941" i="8"/>
  <c r="D1414" i="8"/>
  <c r="D6871" i="8"/>
  <c r="D9798" i="8"/>
  <c r="D758" i="8"/>
  <c r="D4611" i="8"/>
  <c r="D2057" i="8"/>
  <c r="D8840" i="8"/>
  <c r="D9485" i="8"/>
  <c r="D3633" i="8"/>
  <c r="D3634" i="8"/>
  <c r="D7842" i="8"/>
  <c r="D2971" i="8"/>
  <c r="D7196" i="8"/>
  <c r="D3281" i="8"/>
  <c r="D6872" i="8"/>
  <c r="D6873" i="8"/>
  <c r="D3282" i="8"/>
  <c r="D2659" i="8"/>
  <c r="D9486" i="8"/>
  <c r="D5896" i="8"/>
  <c r="D428" i="8"/>
  <c r="D7843" i="8"/>
  <c r="D96" i="8"/>
  <c r="D9170" i="8"/>
  <c r="D8158" i="8"/>
  <c r="D6874" i="8"/>
  <c r="D3942" i="8"/>
  <c r="D5897" i="8"/>
  <c r="D8841" i="8"/>
  <c r="D8842" i="8"/>
  <c r="D7197" i="8"/>
  <c r="D9171" i="8"/>
  <c r="D2972" i="8"/>
  <c r="D8505" i="8"/>
  <c r="D2366" i="8"/>
  <c r="D1748" i="8"/>
  <c r="D2973" i="8"/>
  <c r="D7844" i="8"/>
  <c r="D5582" i="8"/>
  <c r="D5273" i="8"/>
  <c r="D8159" i="8"/>
  <c r="D8506" i="8"/>
  <c r="D8507" i="8"/>
  <c r="D4292" i="8"/>
  <c r="D3635" i="8"/>
  <c r="D3636" i="8"/>
  <c r="D2367" i="8"/>
  <c r="D9799" i="8"/>
  <c r="D8843" i="8"/>
  <c r="D2974" i="8"/>
  <c r="D2368" i="8"/>
  <c r="D2975" i="8"/>
  <c r="D9487" i="8"/>
  <c r="D5583" i="8"/>
  <c r="D5898" i="8"/>
  <c r="D6875" i="8"/>
  <c r="D7520" i="8"/>
  <c r="D3283" i="8"/>
  <c r="D7521" i="8"/>
  <c r="D8844" i="8"/>
  <c r="D6542" i="8"/>
  <c r="D759" i="8"/>
  <c r="D4293" i="8"/>
  <c r="D9800" i="8"/>
  <c r="D1111" i="8"/>
  <c r="D3637" i="8"/>
  <c r="D6543" i="8"/>
  <c r="D5899" i="8"/>
  <c r="D9801" i="8"/>
  <c r="D2660" i="8"/>
  <c r="D1112" i="8"/>
  <c r="D7522" i="8"/>
  <c r="D8160" i="8"/>
  <c r="D97" i="8"/>
  <c r="D2058" i="8"/>
  <c r="D8845" i="8"/>
  <c r="D5584" i="8"/>
  <c r="D5274" i="8"/>
  <c r="D3284" i="8"/>
  <c r="D429" i="8"/>
  <c r="D430" i="8"/>
  <c r="D431" i="8"/>
  <c r="D5900" i="8"/>
  <c r="D2369" i="8"/>
  <c r="D9172" i="8"/>
  <c r="D1749" i="8"/>
  <c r="D6876" i="8"/>
  <c r="D5585" i="8"/>
  <c r="D8846" i="8"/>
  <c r="D9173" i="8"/>
  <c r="D4294" i="8"/>
  <c r="D7198" i="8"/>
  <c r="D3638" i="8"/>
  <c r="D2059" i="8"/>
  <c r="D3639" i="8"/>
  <c r="D7845" i="8"/>
  <c r="D5586" i="8"/>
  <c r="D2060" i="8"/>
  <c r="D4295" i="8"/>
  <c r="D7199" i="8"/>
  <c r="D432" i="8"/>
  <c r="D4931" i="8"/>
  <c r="D7523" i="8"/>
  <c r="D7846" i="8"/>
  <c r="D3285" i="8"/>
  <c r="D6877" i="8"/>
  <c r="D4612" i="8"/>
  <c r="D8161" i="8"/>
  <c r="D1415" i="8"/>
  <c r="D3286" i="8"/>
  <c r="D2661" i="8"/>
  <c r="D2662" i="8"/>
  <c r="D6195" i="8"/>
  <c r="D8162" i="8"/>
  <c r="D2370" i="8"/>
  <c r="D8847" i="8"/>
  <c r="D760" i="8"/>
  <c r="D2663" i="8"/>
  <c r="D3640" i="8"/>
  <c r="D1113" i="8"/>
  <c r="D8163" i="8"/>
  <c r="D3287" i="8"/>
  <c r="D2371" i="8"/>
  <c r="D3943" i="8"/>
  <c r="D6196" i="8"/>
  <c r="D7200" i="8"/>
  <c r="D8508" i="8"/>
  <c r="D761" i="8"/>
  <c r="D9802" i="8"/>
  <c r="D9803" i="8"/>
  <c r="D5587" i="8"/>
  <c r="D6544" i="8"/>
  <c r="D7847" i="8"/>
  <c r="D7201" i="8"/>
  <c r="D7202" i="8"/>
  <c r="D4613" i="8"/>
  <c r="D1750" i="8"/>
  <c r="D7203" i="8"/>
  <c r="D8164" i="8"/>
  <c r="D9804" i="8"/>
  <c r="D4932" i="8"/>
  <c r="D6545" i="8"/>
  <c r="D4614" i="8"/>
  <c r="D9805" i="8"/>
  <c r="D1751" i="8"/>
  <c r="D3641" i="8"/>
  <c r="D4296" i="8"/>
  <c r="D1114" i="8"/>
  <c r="D3944" i="8"/>
  <c r="D4933" i="8"/>
  <c r="D5275" i="8"/>
  <c r="D9488" i="8"/>
  <c r="D1115" i="8"/>
  <c r="D4615" i="8"/>
  <c r="D7848" i="8"/>
  <c r="D762" i="8"/>
  <c r="D2061" i="8"/>
  <c r="D763" i="8"/>
  <c r="D3642" i="8"/>
  <c r="D7204" i="8"/>
  <c r="D4616" i="8"/>
  <c r="D433" i="8"/>
  <c r="D9806" i="8"/>
  <c r="D3288" i="8"/>
  <c r="D764" i="8"/>
  <c r="D7205" i="8"/>
  <c r="D2976" i="8"/>
  <c r="D3289" i="8"/>
  <c r="D2062" i="8"/>
  <c r="D765" i="8"/>
  <c r="D9174" i="8"/>
  <c r="D7206" i="8"/>
  <c r="D7207" i="8"/>
  <c r="D5588" i="8"/>
  <c r="D1752" i="8"/>
  <c r="D1753" i="8"/>
  <c r="D434" i="8"/>
  <c r="D5276" i="8"/>
  <c r="D9489" i="8"/>
  <c r="D3945" i="8"/>
  <c r="D7208" i="8"/>
  <c r="D8509" i="8"/>
  <c r="D435" i="8"/>
  <c r="D1754" i="8"/>
  <c r="D5277" i="8"/>
  <c r="D4617" i="8"/>
  <c r="D7524" i="8"/>
  <c r="D5278" i="8"/>
  <c r="D98" i="8"/>
  <c r="D9807" i="8"/>
  <c r="D7209" i="8"/>
  <c r="D99" i="8"/>
  <c r="D4934" i="8"/>
  <c r="D4618" i="8"/>
  <c r="D4619" i="8"/>
  <c r="D1416" i="8"/>
  <c r="D2664" i="8"/>
  <c r="D6878" i="8"/>
  <c r="D100" i="8"/>
  <c r="D3946" i="8"/>
  <c r="D9175" i="8"/>
  <c r="D7525" i="8"/>
  <c r="D2977" i="8"/>
  <c r="D5279" i="8"/>
  <c r="D5901" i="8"/>
  <c r="D5280" i="8"/>
  <c r="D436" i="8"/>
  <c r="D6546" i="8"/>
  <c r="D4620" i="8"/>
  <c r="D7210" i="8"/>
  <c r="D6197" i="8"/>
  <c r="D1417" i="8"/>
  <c r="D6879" i="8"/>
  <c r="D3643" i="8"/>
  <c r="D5589" i="8"/>
  <c r="D2372" i="8"/>
  <c r="D766" i="8"/>
  <c r="D5281" i="8"/>
  <c r="D8165" i="8"/>
  <c r="D101" i="8"/>
  <c r="D4935" i="8"/>
  <c r="D437" i="8"/>
  <c r="D1418" i="8"/>
  <c r="D5590" i="8"/>
  <c r="D9808" i="8"/>
  <c r="D8510" i="8"/>
  <c r="D5902" i="8"/>
  <c r="D102" i="8"/>
  <c r="D2978" i="8"/>
  <c r="D4621" i="8"/>
  <c r="D438" i="8"/>
  <c r="D2063" i="8"/>
  <c r="D2373" i="8"/>
  <c r="D4936" i="8"/>
  <c r="D2979" i="8"/>
  <c r="D439" i="8"/>
  <c r="D2980" i="8"/>
  <c r="D7849" i="8"/>
  <c r="D103" i="8"/>
  <c r="D104" i="8"/>
  <c r="D9809" i="8"/>
  <c r="D4622" i="8"/>
  <c r="D6880" i="8"/>
  <c r="D4937" i="8"/>
  <c r="D3290" i="8"/>
  <c r="D3947" i="8"/>
  <c r="D767" i="8"/>
  <c r="D4623" i="8"/>
  <c r="D768" i="8"/>
  <c r="D5591" i="8"/>
  <c r="D8511" i="8"/>
  <c r="D769" i="8"/>
  <c r="D2064" i="8"/>
  <c r="D3948" i="8"/>
  <c r="D2374" i="8"/>
  <c r="D4624" i="8"/>
  <c r="D8848" i="8"/>
  <c r="D5282" i="8"/>
  <c r="D2981" i="8"/>
  <c r="D4625" i="8"/>
  <c r="D9490" i="8"/>
  <c r="D105" i="8"/>
  <c r="D4938" i="8"/>
  <c r="D3949" i="8"/>
  <c r="D4297" i="8"/>
  <c r="D6547" i="8"/>
  <c r="D8512" i="8"/>
  <c r="D7211" i="8"/>
  <c r="D6881" i="8"/>
  <c r="D3950" i="8"/>
  <c r="D2665" i="8"/>
  <c r="D6548" i="8"/>
  <c r="D6882" i="8"/>
  <c r="D2666" i="8"/>
  <c r="D3951" i="8"/>
  <c r="D5283" i="8"/>
  <c r="D6198" i="8"/>
  <c r="D440" i="8"/>
  <c r="D2065" i="8"/>
  <c r="D2667" i="8"/>
  <c r="D106" i="8"/>
  <c r="D770" i="8"/>
  <c r="D7212" i="8"/>
  <c r="D2982" i="8"/>
  <c r="D7526" i="8"/>
  <c r="D6199" i="8"/>
  <c r="D5592" i="8"/>
  <c r="D5903" i="8"/>
  <c r="D3291" i="8"/>
  <c r="D6200" i="8"/>
  <c r="D9491" i="8"/>
  <c r="D8166" i="8"/>
  <c r="D9810" i="8"/>
  <c r="D771" i="8"/>
  <c r="D5904" i="8"/>
  <c r="D4939" i="8"/>
  <c r="D9811" i="8"/>
  <c r="D5593" i="8"/>
  <c r="D772" i="8"/>
  <c r="D1419" i="8"/>
  <c r="D5594" i="8"/>
  <c r="D9176" i="8"/>
  <c r="D4626" i="8"/>
  <c r="D7527" i="8"/>
  <c r="D8849" i="8"/>
  <c r="D4627" i="8"/>
  <c r="D2375" i="8"/>
  <c r="D8167" i="8"/>
  <c r="D3644" i="8"/>
  <c r="D5905" i="8"/>
  <c r="D4298" i="8"/>
  <c r="D3952" i="8"/>
  <c r="D9177" i="8"/>
  <c r="D1420" i="8"/>
  <c r="D441" i="8"/>
  <c r="D773" i="8"/>
  <c r="D8168" i="8"/>
  <c r="D9178" i="8"/>
  <c r="D6201" i="8"/>
  <c r="D5595" i="8"/>
  <c r="D4628" i="8"/>
  <c r="D9812" i="8"/>
  <c r="D1421" i="8"/>
  <c r="D2668" i="8"/>
  <c r="D8850" i="8"/>
  <c r="D8851" i="8"/>
  <c r="D8169" i="8"/>
  <c r="D3292" i="8"/>
  <c r="D8170" i="8"/>
  <c r="D6202" i="8"/>
  <c r="D3953" i="8"/>
  <c r="D2066" i="8"/>
  <c r="D1755" i="8"/>
  <c r="D3645" i="8"/>
  <c r="D5596" i="8"/>
  <c r="D9179" i="8"/>
  <c r="D7213" i="8"/>
  <c r="D8852" i="8"/>
  <c r="D6883" i="8"/>
  <c r="D4940" i="8"/>
  <c r="D442" i="8"/>
  <c r="D774" i="8"/>
  <c r="D3954" i="8"/>
  <c r="D2983" i="8"/>
  <c r="D107" i="8"/>
  <c r="D3955" i="8"/>
  <c r="D7850" i="8"/>
  <c r="D3293" i="8"/>
  <c r="D7851" i="8"/>
  <c r="D3956" i="8"/>
  <c r="D2984" i="8"/>
  <c r="D108" i="8"/>
  <c r="D1422" i="8"/>
  <c r="D3294" i="8"/>
  <c r="D443" i="8"/>
  <c r="D109" i="8"/>
  <c r="D3295" i="8"/>
  <c r="D2067" i="8"/>
  <c r="D4941" i="8"/>
  <c r="D2068" i="8"/>
  <c r="D9180" i="8"/>
  <c r="D6549" i="8"/>
  <c r="D4942" i="8"/>
  <c r="D1423" i="8"/>
  <c r="D6884" i="8"/>
  <c r="D6203" i="8"/>
  <c r="D5906" i="8"/>
  <c r="D5284" i="8"/>
  <c r="D110" i="8"/>
  <c r="D775" i="8"/>
  <c r="D2985" i="8"/>
  <c r="D444" i="8"/>
  <c r="D6885" i="8"/>
  <c r="D6204" i="8"/>
  <c r="D6205" i="8"/>
  <c r="D6550" i="8"/>
  <c r="D111" i="8"/>
  <c r="D9813" i="8"/>
  <c r="D1756" i="8"/>
  <c r="D9181" i="8"/>
  <c r="D445" i="8"/>
  <c r="D5597" i="8"/>
  <c r="D5598" i="8"/>
  <c r="D5285" i="8"/>
  <c r="D6206" i="8"/>
  <c r="D8513" i="8"/>
  <c r="D4629" i="8"/>
  <c r="D4630" i="8"/>
  <c r="D4299" i="8"/>
  <c r="D4300" i="8"/>
  <c r="D6551" i="8"/>
  <c r="D4943" i="8"/>
  <c r="D2069" i="8"/>
  <c r="D7214" i="8"/>
  <c r="D6207" i="8"/>
  <c r="D3646" i="8"/>
  <c r="D3957" i="8"/>
  <c r="D6208" i="8"/>
  <c r="D7528" i="8"/>
  <c r="D3958" i="8"/>
  <c r="D446" i="8"/>
  <c r="D4944" i="8"/>
  <c r="D8171" i="8"/>
  <c r="D8172" i="8"/>
  <c r="D1116" i="8"/>
  <c r="D4301" i="8"/>
  <c r="D3959" i="8"/>
  <c r="D2376" i="8"/>
  <c r="D4302" i="8"/>
  <c r="D6209" i="8"/>
  <c r="D3296" i="8"/>
  <c r="D9182" i="8"/>
  <c r="D776" i="8"/>
  <c r="D5599" i="8"/>
  <c r="D447" i="8"/>
  <c r="D6210" i="8"/>
  <c r="D9183" i="8"/>
  <c r="D112" i="8"/>
  <c r="D7852" i="8"/>
  <c r="D6211" i="8"/>
  <c r="D1117" i="8"/>
  <c r="D3960" i="8"/>
  <c r="D777" i="8"/>
  <c r="D6552" i="8"/>
  <c r="D6553" i="8"/>
  <c r="D8173" i="8"/>
  <c r="D6886" i="8"/>
  <c r="D8853" i="8"/>
  <c r="D3297" i="8"/>
  <c r="D3298" i="8"/>
  <c r="D5286" i="8"/>
  <c r="D778" i="8"/>
  <c r="D1424" i="8"/>
  <c r="D2669" i="8"/>
  <c r="D9184" i="8"/>
  <c r="D113" i="8"/>
  <c r="D448" i="8"/>
  <c r="D779" i="8"/>
  <c r="D5600" i="8"/>
  <c r="D6554" i="8"/>
  <c r="D7215" i="8"/>
  <c r="D8854" i="8"/>
  <c r="D449" i="8"/>
  <c r="D2377" i="8"/>
  <c r="D8174" i="8"/>
  <c r="D6212" i="8"/>
  <c r="D5601" i="8"/>
  <c r="D3961" i="8"/>
  <c r="D8175" i="8"/>
  <c r="D9492" i="8"/>
  <c r="D6213" i="8"/>
  <c r="D780" i="8"/>
  <c r="D3962" i="8"/>
  <c r="D3647" i="8"/>
  <c r="D3299" i="8"/>
  <c r="D3648" i="8"/>
  <c r="D3300" i="8"/>
  <c r="D1425" i="8"/>
  <c r="D1118" i="8"/>
  <c r="D2378" i="8"/>
  <c r="D6214" i="8"/>
  <c r="D7853" i="8"/>
  <c r="D8176" i="8"/>
  <c r="D450" i="8"/>
  <c r="D114" i="8"/>
  <c r="D2070" i="8"/>
  <c r="D4631" i="8"/>
  <c r="D2670" i="8"/>
  <c r="D3963" i="8"/>
  <c r="D781" i="8"/>
  <c r="D8177" i="8"/>
  <c r="D115" i="8"/>
  <c r="D5287" i="8"/>
  <c r="D9493" i="8"/>
  <c r="D9185" i="8"/>
  <c r="D5288" i="8"/>
  <c r="D3964" i="8"/>
  <c r="D9494" i="8"/>
  <c r="D1426" i="8"/>
  <c r="D5907" i="8"/>
  <c r="D1119" i="8"/>
  <c r="D1757" i="8"/>
  <c r="D451" i="8"/>
  <c r="D1758" i="8"/>
  <c r="D452" i="8"/>
  <c r="D116" i="8"/>
  <c r="D2379" i="8"/>
  <c r="D453" i="8"/>
  <c r="D9495" i="8"/>
  <c r="D8514" i="8"/>
  <c r="D6555" i="8"/>
  <c r="D1759" i="8"/>
  <c r="D4632" i="8"/>
  <c r="D7854" i="8"/>
  <c r="D782" i="8"/>
  <c r="D6215" i="8"/>
  <c r="D2986" i="8"/>
  <c r="D7216" i="8"/>
  <c r="D8855" i="8"/>
  <c r="D5908" i="8"/>
  <c r="D6887" i="8"/>
  <c r="D5602" i="8"/>
  <c r="D4633" i="8"/>
  <c r="D5289" i="8"/>
  <c r="D4945" i="8"/>
  <c r="D9186" i="8"/>
  <c r="D5290" i="8"/>
  <c r="D1760" i="8"/>
  <c r="D8515" i="8"/>
  <c r="D7217" i="8"/>
  <c r="D454" i="8"/>
  <c r="D5603" i="8"/>
  <c r="D5604" i="8"/>
  <c r="D8178" i="8"/>
  <c r="D9814" i="8"/>
  <c r="D3965" i="8"/>
  <c r="D783" i="8"/>
  <c r="D8856" i="8"/>
  <c r="D1427" i="8"/>
  <c r="D6888" i="8"/>
  <c r="D9187" i="8"/>
  <c r="D6556" i="8"/>
  <c r="D6557" i="8"/>
  <c r="D8179" i="8"/>
  <c r="D7218" i="8"/>
  <c r="D7219" i="8"/>
  <c r="D9815" i="8"/>
  <c r="D3649" i="8"/>
  <c r="D6216" i="8"/>
  <c r="D2380" i="8"/>
  <c r="D9496" i="8"/>
  <c r="D9497" i="8"/>
  <c r="D5909" i="8"/>
  <c r="D4634" i="8"/>
  <c r="D9816" i="8"/>
  <c r="D9817" i="8"/>
  <c r="D8857" i="8"/>
  <c r="D2987" i="8"/>
  <c r="D8858" i="8"/>
  <c r="D4635" i="8"/>
  <c r="D6889" i="8"/>
  <c r="D2988" i="8"/>
  <c r="D8516" i="8"/>
  <c r="D5605" i="8"/>
  <c r="D3966" i="8"/>
  <c r="D7220" i="8"/>
  <c r="D7529" i="8"/>
  <c r="D7221" i="8"/>
  <c r="D784" i="8"/>
  <c r="D455" i="8"/>
  <c r="D7222" i="8"/>
  <c r="D7855" i="8"/>
  <c r="D2989" i="8"/>
  <c r="D2671" i="8"/>
  <c r="D6890" i="8"/>
  <c r="D4303" i="8"/>
  <c r="D5291" i="8"/>
  <c r="D4304" i="8"/>
  <c r="D5292" i="8"/>
  <c r="D1761" i="8"/>
  <c r="D2381" i="8"/>
  <c r="D785" i="8"/>
  <c r="D5293" i="8"/>
  <c r="D6891" i="8"/>
  <c r="D3967" i="8"/>
  <c r="D9818" i="8"/>
  <c r="D3650" i="8"/>
  <c r="D117" i="8"/>
  <c r="D8859" i="8"/>
  <c r="D4305" i="8"/>
  <c r="D3301" i="8"/>
  <c r="D6892" i="8"/>
  <c r="D456" i="8"/>
  <c r="D5910" i="8"/>
  <c r="D2672" i="8"/>
  <c r="D8860" i="8"/>
  <c r="D118" i="8"/>
  <c r="D6558" i="8"/>
  <c r="D3651" i="8"/>
  <c r="D8861" i="8"/>
  <c r="D2071" i="8"/>
  <c r="D4636" i="8"/>
  <c r="D1428" i="8"/>
  <c r="D5294" i="8"/>
  <c r="D2990" i="8"/>
  <c r="D1429" i="8"/>
  <c r="D6559" i="8"/>
  <c r="D2072" i="8"/>
  <c r="D9819" i="8"/>
  <c r="D6217" i="8"/>
  <c r="D1762" i="8"/>
  <c r="D6560" i="8"/>
  <c r="D5911" i="8"/>
  <c r="D7856" i="8"/>
  <c r="D9188" i="8"/>
  <c r="D4637" i="8"/>
  <c r="D7223" i="8"/>
  <c r="D7530" i="8"/>
  <c r="D3302" i="8"/>
  <c r="D3303" i="8"/>
  <c r="D1430" i="8"/>
  <c r="D4638" i="8"/>
  <c r="D6561" i="8"/>
  <c r="D6893" i="8"/>
  <c r="D4946" i="8"/>
  <c r="D2382" i="8"/>
  <c r="D6562" i="8"/>
  <c r="D2383" i="8"/>
  <c r="D2673" i="8"/>
  <c r="D8517" i="8"/>
  <c r="D4947" i="8"/>
  <c r="D2073" i="8"/>
  <c r="D9498" i="8"/>
  <c r="D457" i="8"/>
  <c r="D6563" i="8"/>
  <c r="D5606" i="8"/>
  <c r="D6218" i="8"/>
  <c r="D4306" i="8"/>
  <c r="D3968" i="8"/>
  <c r="D7531" i="8"/>
  <c r="D4307" i="8"/>
  <c r="D5912" i="8"/>
  <c r="D1431" i="8"/>
  <c r="D2074" i="8"/>
  <c r="D4639" i="8"/>
  <c r="D3304" i="8"/>
  <c r="D8180" i="8"/>
  <c r="D1432" i="8"/>
  <c r="D1433" i="8"/>
  <c r="D3305" i="8"/>
  <c r="D786" i="8"/>
  <c r="D3969" i="8"/>
  <c r="D9499" i="8"/>
  <c r="D119" i="8"/>
  <c r="D3306" i="8"/>
  <c r="D9820" i="8"/>
  <c r="D1120" i="8"/>
  <c r="D3307" i="8"/>
  <c r="D9500" i="8"/>
  <c r="D4948" i="8"/>
  <c r="D9501" i="8"/>
  <c r="D3308" i="8"/>
  <c r="D1434" i="8"/>
  <c r="D4308" i="8"/>
  <c r="D8181" i="8"/>
  <c r="D6219" i="8"/>
  <c r="D9502" i="8"/>
  <c r="D2075" i="8"/>
  <c r="D9189" i="8"/>
  <c r="D6564" i="8"/>
  <c r="D787" i="8"/>
  <c r="D9190" i="8"/>
  <c r="D1763" i="8"/>
  <c r="D9191" i="8"/>
  <c r="D2384" i="8"/>
  <c r="D1435" i="8"/>
  <c r="D7224" i="8"/>
  <c r="D7225" i="8"/>
  <c r="D5913" i="8"/>
  <c r="D3652" i="8"/>
  <c r="D1764" i="8"/>
  <c r="D9503" i="8"/>
  <c r="D7532" i="8"/>
  <c r="D9504" i="8"/>
  <c r="D6220" i="8"/>
  <c r="D2076" i="8"/>
  <c r="D7857" i="8"/>
  <c r="D4640" i="8"/>
  <c r="D1765" i="8"/>
  <c r="D788" i="8"/>
  <c r="D7533" i="8"/>
  <c r="D4641" i="8"/>
  <c r="D4642" i="8"/>
  <c r="D9192" i="8"/>
  <c r="D6221" i="8"/>
  <c r="D3309" i="8"/>
  <c r="D7858" i="8"/>
  <c r="D5607" i="8"/>
  <c r="D6565" i="8"/>
  <c r="D7859" i="8"/>
  <c r="D2077" i="8"/>
  <c r="D3653" i="8"/>
  <c r="D3654" i="8"/>
  <c r="D7860" i="8"/>
  <c r="D1766" i="8"/>
  <c r="D2991" i="8"/>
  <c r="D6222" i="8"/>
  <c r="D7226" i="8"/>
  <c r="D8182" i="8"/>
  <c r="D6566" i="8"/>
  <c r="D9193" i="8"/>
  <c r="D3970" i="8"/>
  <c r="D9821" i="8"/>
  <c r="D9505" i="8"/>
  <c r="D2385" i="8"/>
  <c r="D2386" i="8"/>
  <c r="D3655" i="8"/>
  <c r="D6567" i="8"/>
  <c r="D7534" i="8"/>
  <c r="D3310" i="8"/>
  <c r="D7861" i="8"/>
  <c r="D7862" i="8"/>
  <c r="D1767" i="8"/>
  <c r="D7863" i="8"/>
  <c r="D8518" i="8"/>
  <c r="D7864" i="8"/>
  <c r="D1768" i="8"/>
  <c r="D3656" i="8"/>
  <c r="D8862" i="8"/>
  <c r="D9194" i="8"/>
  <c r="D3971" i="8"/>
  <c r="D1436" i="8"/>
  <c r="D6223" i="8"/>
  <c r="D9195" i="8"/>
  <c r="D6894" i="8"/>
  <c r="D458" i="8"/>
  <c r="D459" i="8"/>
  <c r="D4643" i="8"/>
  <c r="D5295" i="8"/>
  <c r="D1769" i="8"/>
  <c r="D8183" i="8"/>
  <c r="D7535" i="8"/>
  <c r="D5296" i="8"/>
  <c r="D4949" i="8"/>
  <c r="D4309" i="8"/>
  <c r="D5608" i="8"/>
  <c r="D1437" i="8"/>
  <c r="D3311" i="8"/>
  <c r="D120" i="8"/>
  <c r="D8519" i="8"/>
  <c r="D4950" i="8"/>
  <c r="D5914" i="8"/>
  <c r="D5609" i="8"/>
  <c r="D8863" i="8"/>
  <c r="D8520" i="8"/>
  <c r="D9822" i="8"/>
  <c r="D6568" i="8"/>
  <c r="D4951" i="8"/>
  <c r="D2992" i="8"/>
  <c r="D3972" i="8"/>
  <c r="D3657" i="8"/>
  <c r="D6224" i="8"/>
  <c r="D7227" i="8"/>
  <c r="D2674" i="8"/>
  <c r="D5915" i="8"/>
  <c r="D2675" i="8"/>
  <c r="D5610" i="8"/>
  <c r="D2993" i="8"/>
  <c r="D2078" i="8"/>
  <c r="D2676" i="8"/>
  <c r="D2677" i="8"/>
  <c r="D6569" i="8"/>
  <c r="D789" i="8"/>
  <c r="D4644" i="8"/>
  <c r="D8864" i="8"/>
  <c r="D460" i="8"/>
  <c r="D2678" i="8"/>
  <c r="D1770" i="8"/>
  <c r="D1121" i="8"/>
  <c r="D4310" i="8"/>
  <c r="D1122" i="8"/>
  <c r="D2994" i="8"/>
  <c r="D1438" i="8"/>
  <c r="D3658" i="8"/>
  <c r="D3659" i="8"/>
  <c r="D1123" i="8"/>
  <c r="D121" i="8"/>
  <c r="D4311" i="8"/>
  <c r="D461" i="8"/>
  <c r="D1439" i="8"/>
  <c r="D8865" i="8"/>
  <c r="D9823" i="8"/>
  <c r="D4645" i="8"/>
  <c r="D7228" i="8"/>
  <c r="D8866" i="8"/>
  <c r="D1124" i="8"/>
  <c r="D9824" i="8"/>
  <c r="D122" i="8"/>
  <c r="D5916" i="8"/>
  <c r="D4312" i="8"/>
  <c r="D790" i="8"/>
  <c r="D5917" i="8"/>
  <c r="D8521" i="8"/>
  <c r="D1125" i="8"/>
  <c r="D2679" i="8"/>
  <c r="D462" i="8"/>
  <c r="D6225" i="8"/>
  <c r="D2995" i="8"/>
  <c r="D5297" i="8"/>
  <c r="D2996" i="8"/>
  <c r="D1126" i="8"/>
  <c r="D9825" i="8"/>
  <c r="D2997" i="8"/>
  <c r="D7229" i="8"/>
  <c r="D4646" i="8"/>
  <c r="D8184" i="8"/>
  <c r="D7536" i="8"/>
  <c r="D7230" i="8"/>
  <c r="D9506" i="8"/>
  <c r="D3973" i="8"/>
  <c r="D1771" i="8"/>
  <c r="D123" i="8"/>
  <c r="D3312" i="8"/>
  <c r="D2998" i="8"/>
  <c r="D463" i="8"/>
  <c r="D124" i="8"/>
  <c r="D6226" i="8"/>
  <c r="D8522" i="8"/>
  <c r="D125" i="8"/>
  <c r="D464" i="8"/>
  <c r="D4647" i="8"/>
  <c r="D8867" i="8"/>
  <c r="D9507" i="8"/>
  <c r="D3660" i="8"/>
  <c r="D1440" i="8"/>
  <c r="D2079" i="8"/>
  <c r="D5918" i="8"/>
  <c r="D4952" i="8"/>
  <c r="D4953" i="8"/>
  <c r="D791" i="8"/>
  <c r="D5919" i="8"/>
  <c r="D1772" i="8"/>
  <c r="D8523" i="8"/>
  <c r="D8185" i="8"/>
  <c r="D1441" i="8"/>
  <c r="D1773" i="8"/>
  <c r="D1442" i="8"/>
  <c r="D8868" i="8"/>
  <c r="D1774" i="8"/>
  <c r="D1127" i="8"/>
  <c r="D2999" i="8"/>
  <c r="D7537" i="8"/>
  <c r="D126" i="8"/>
  <c r="D8186" i="8"/>
  <c r="D6895" i="8"/>
  <c r="D7231" i="8"/>
  <c r="D4648" i="8"/>
  <c r="D4313" i="8"/>
  <c r="D6570" i="8"/>
  <c r="D9826" i="8"/>
  <c r="D7232" i="8"/>
  <c r="D9827" i="8"/>
  <c r="D6896" i="8"/>
  <c r="D4314" i="8"/>
  <c r="D127" i="8"/>
  <c r="D4315" i="8"/>
  <c r="D8187" i="8"/>
  <c r="D4954" i="8"/>
  <c r="D4955" i="8"/>
  <c r="D6571" i="8"/>
  <c r="D4649" i="8"/>
  <c r="D2080" i="8"/>
  <c r="D5611" i="8"/>
  <c r="D3661" i="8"/>
  <c r="D9508" i="8"/>
  <c r="D6572" i="8"/>
  <c r="D2081" i="8"/>
  <c r="D6573" i="8"/>
  <c r="D9509" i="8"/>
  <c r="D3000" i="8"/>
  <c r="D7233" i="8"/>
  <c r="D7234" i="8"/>
  <c r="D7538" i="8"/>
  <c r="D4650" i="8"/>
  <c r="D7539" i="8"/>
  <c r="D5612" i="8"/>
  <c r="D3001" i="8"/>
  <c r="D128" i="8"/>
  <c r="D3662" i="8"/>
  <c r="D7865" i="8"/>
  <c r="D4956" i="8"/>
  <c r="D2680" i="8"/>
  <c r="D5298" i="8"/>
  <c r="D3313" i="8"/>
  <c r="D5613" i="8"/>
  <c r="D3974" i="8"/>
  <c r="D7235" i="8"/>
  <c r="D4957" i="8"/>
  <c r="D465" i="8"/>
  <c r="D6897" i="8"/>
  <c r="D8188" i="8"/>
  <c r="D7866" i="8"/>
  <c r="D792" i="8"/>
  <c r="D793" i="8"/>
  <c r="D3314" i="8"/>
  <c r="D7540" i="8"/>
  <c r="D2387" i="8"/>
  <c r="D3002" i="8"/>
  <c r="D5299" i="8"/>
  <c r="D466" i="8"/>
  <c r="D2681" i="8"/>
  <c r="D3003" i="8"/>
  <c r="D3315" i="8"/>
  <c r="D2388" i="8"/>
  <c r="D8524" i="8"/>
  <c r="D4958" i="8"/>
  <c r="D1128" i="8"/>
  <c r="D5300" i="8"/>
  <c r="D5920" i="8"/>
  <c r="D2082" i="8"/>
  <c r="D9828" i="8"/>
  <c r="D129" i="8"/>
  <c r="D8869" i="8"/>
  <c r="D4651" i="8"/>
  <c r="D3316" i="8"/>
  <c r="D1443" i="8"/>
  <c r="D2389" i="8"/>
  <c r="D9196" i="8"/>
  <c r="D1444" i="8"/>
  <c r="D2083" i="8"/>
  <c r="D3663" i="8"/>
  <c r="D467" i="8"/>
  <c r="D2084" i="8"/>
  <c r="D9829" i="8"/>
  <c r="D7541" i="8"/>
  <c r="D5301" i="8"/>
  <c r="D3004" i="8"/>
  <c r="D2390" i="8"/>
  <c r="D4316" i="8"/>
  <c r="D3975" i="8"/>
  <c r="D794" i="8"/>
  <c r="D7542" i="8"/>
  <c r="D6574" i="8"/>
  <c r="D3005" i="8"/>
  <c r="D6575" i="8"/>
  <c r="D2085" i="8"/>
  <c r="D3664" i="8"/>
  <c r="D3317" i="8"/>
  <c r="D8189" i="8"/>
  <c r="D5921" i="8"/>
  <c r="D9830" i="8"/>
  <c r="D9197" i="8"/>
  <c r="D6898" i="8"/>
  <c r="D795" i="8"/>
  <c r="D3318" i="8"/>
  <c r="D3665" i="8"/>
  <c r="D468" i="8"/>
  <c r="D5302" i="8"/>
  <c r="D3976" i="8"/>
  <c r="D5922" i="8"/>
  <c r="D4652" i="8"/>
  <c r="D469" i="8"/>
  <c r="D7867" i="8"/>
  <c r="D6899" i="8"/>
  <c r="D5923" i="8"/>
  <c r="D5303" i="8"/>
  <c r="D796" i="8"/>
  <c r="D6227" i="8"/>
  <c r="D1129" i="8"/>
  <c r="D7543" i="8"/>
  <c r="D1775" i="8"/>
  <c r="D4317" i="8"/>
  <c r="D130" i="8"/>
  <c r="D470" i="8"/>
  <c r="D7236" i="8"/>
  <c r="D797" i="8"/>
  <c r="D7868" i="8"/>
  <c r="D2086" i="8"/>
  <c r="D4318" i="8"/>
  <c r="D8870" i="8"/>
  <c r="D5614" i="8"/>
  <c r="D7237" i="8"/>
  <c r="D9198" i="8"/>
  <c r="D8190" i="8"/>
  <c r="D2391" i="8"/>
  <c r="D8525" i="8"/>
  <c r="D5924" i="8"/>
  <c r="D9199" i="8"/>
  <c r="D9510" i="8"/>
  <c r="D8526" i="8"/>
  <c r="D3977" i="8"/>
  <c r="D5304" i="8"/>
  <c r="D3666" i="8"/>
  <c r="D9200" i="8"/>
  <c r="D131" i="8"/>
  <c r="D8871" i="8"/>
  <c r="D6900" i="8"/>
  <c r="D3006" i="8"/>
  <c r="D3667" i="8"/>
  <c r="D6228" i="8"/>
  <c r="D2087" i="8"/>
  <c r="D5925" i="8"/>
  <c r="D4959" i="8"/>
  <c r="D6229" i="8"/>
  <c r="D4653" i="8"/>
  <c r="D3668" i="8"/>
  <c r="D132" i="8"/>
  <c r="D2088" i="8"/>
  <c r="D4654" i="8"/>
  <c r="D3669" i="8"/>
  <c r="D1445" i="8"/>
  <c r="D3670" i="8"/>
  <c r="D9511" i="8"/>
  <c r="D4655" i="8"/>
  <c r="D1776" i="8"/>
  <c r="D8527" i="8"/>
  <c r="D4960" i="8"/>
  <c r="D6230" i="8"/>
  <c r="D6576" i="8"/>
  <c r="D7238" i="8"/>
  <c r="D2682" i="8"/>
  <c r="D7239" i="8"/>
  <c r="D4656" i="8"/>
  <c r="D3671" i="8"/>
  <c r="D1777" i="8"/>
  <c r="D2392" i="8"/>
  <c r="D5305" i="8"/>
  <c r="D9512" i="8"/>
  <c r="D2393" i="8"/>
  <c r="D3978" i="8"/>
  <c r="D9831" i="8"/>
  <c r="D8872" i="8"/>
  <c r="D3007" i="8"/>
  <c r="D9513" i="8"/>
  <c r="D2394" i="8"/>
  <c r="D9514" i="8"/>
  <c r="D4961" i="8"/>
  <c r="D9201" i="8"/>
  <c r="D5306" i="8"/>
  <c r="D3979" i="8"/>
  <c r="D471" i="8"/>
  <c r="D4657" i="8"/>
  <c r="D4962" i="8"/>
  <c r="D5307" i="8"/>
  <c r="D4658" i="8"/>
  <c r="D1446" i="8"/>
  <c r="D5926" i="8"/>
  <c r="D6231" i="8"/>
  <c r="D3672" i="8"/>
  <c r="D5927" i="8"/>
  <c r="D798" i="8"/>
  <c r="D6232" i="8"/>
  <c r="D1447" i="8"/>
  <c r="D7869" i="8"/>
  <c r="D472" i="8"/>
  <c r="D5308" i="8"/>
  <c r="D1778" i="8"/>
  <c r="D2089" i="8"/>
  <c r="D9832" i="8"/>
  <c r="D5309" i="8"/>
  <c r="D2090" i="8"/>
  <c r="D2683" i="8"/>
  <c r="D3319" i="8"/>
  <c r="D6233" i="8"/>
  <c r="D3008" i="8"/>
  <c r="D7240" i="8"/>
  <c r="D5310" i="8"/>
  <c r="D3320" i="8"/>
  <c r="D2684" i="8"/>
  <c r="D5615" i="8"/>
  <c r="D2395" i="8"/>
  <c r="D2685" i="8"/>
  <c r="D133" i="8"/>
  <c r="D6901" i="8"/>
  <c r="D4963" i="8"/>
  <c r="D4659" i="8"/>
  <c r="D7544" i="8"/>
  <c r="D8528" i="8"/>
  <c r="D5616" i="8"/>
  <c r="D7545" i="8"/>
  <c r="D4660" i="8"/>
  <c r="D3321" i="8"/>
  <c r="D2686" i="8"/>
  <c r="D5617" i="8"/>
  <c r="D7546" i="8"/>
  <c r="D9202" i="8"/>
  <c r="D9203" i="8"/>
  <c r="D9515" i="8"/>
  <c r="D7547" i="8"/>
  <c r="D7548" i="8"/>
  <c r="D7241" i="8"/>
  <c r="D4661" i="8"/>
  <c r="D8873" i="8"/>
  <c r="D7870" i="8"/>
  <c r="D3322" i="8"/>
  <c r="D7871" i="8"/>
  <c r="D5928" i="8"/>
  <c r="D5618" i="8"/>
  <c r="D2687" i="8"/>
  <c r="D7549" i="8"/>
  <c r="D473" i="8"/>
  <c r="D134" i="8"/>
  <c r="D6234" i="8"/>
  <c r="D1130" i="8"/>
  <c r="D7872" i="8"/>
  <c r="D6902" i="8"/>
  <c r="D9833" i="8"/>
  <c r="D4319" i="8"/>
  <c r="D4662" i="8"/>
  <c r="D6235" i="8"/>
  <c r="D1131" i="8"/>
  <c r="D7873" i="8"/>
  <c r="D3323" i="8"/>
  <c r="D5929" i="8"/>
  <c r="D8191" i="8"/>
  <c r="D3324" i="8"/>
  <c r="D4320" i="8"/>
  <c r="D2688" i="8"/>
  <c r="D8192" i="8"/>
  <c r="D7550" i="8"/>
  <c r="D5930" i="8"/>
  <c r="D2091" i="8"/>
  <c r="D3980" i="8"/>
  <c r="D3673" i="8"/>
  <c r="D1448" i="8"/>
  <c r="D6577" i="8"/>
  <c r="D3009" i="8"/>
  <c r="D4964" i="8"/>
  <c r="D2092" i="8"/>
  <c r="D6236" i="8"/>
  <c r="D474" i="8"/>
  <c r="D1132" i="8"/>
  <c r="D3981" i="8"/>
  <c r="D3674" i="8"/>
  <c r="D3982" i="8"/>
  <c r="D9204" i="8"/>
  <c r="D7242" i="8"/>
  <c r="D5931" i="8"/>
  <c r="D8529" i="8"/>
  <c r="D8193" i="8"/>
  <c r="D5932" i="8"/>
  <c r="D3983" i="8"/>
  <c r="D799" i="8"/>
  <c r="D6903" i="8"/>
  <c r="D2689" i="8"/>
  <c r="D1133" i="8"/>
  <c r="D3325" i="8"/>
  <c r="D2093" i="8"/>
  <c r="D3675" i="8"/>
  <c r="D7551" i="8"/>
  <c r="D3984" i="8"/>
  <c r="D9834" i="8"/>
  <c r="D4965" i="8"/>
  <c r="D2690" i="8"/>
  <c r="D9205" i="8"/>
  <c r="D7552" i="8"/>
  <c r="D800" i="8"/>
  <c r="D3676" i="8"/>
  <c r="D9516" i="8"/>
  <c r="D2094" i="8"/>
  <c r="D3985" i="8"/>
  <c r="D2095" i="8"/>
  <c r="D475" i="8"/>
  <c r="D4966" i="8"/>
  <c r="D3010" i="8"/>
  <c r="D9517" i="8"/>
  <c r="D3677" i="8"/>
  <c r="D8874" i="8"/>
  <c r="D8194" i="8"/>
  <c r="D9835" i="8"/>
  <c r="D7874" i="8"/>
  <c r="D9206" i="8"/>
  <c r="D8875" i="8"/>
  <c r="D1134" i="8"/>
  <c r="D5311" i="8"/>
  <c r="D5312" i="8"/>
  <c r="D9518" i="8"/>
  <c r="D4967" i="8"/>
  <c r="D476" i="8"/>
  <c r="D3326" i="8"/>
  <c r="D9519" i="8"/>
  <c r="D8530" i="8"/>
  <c r="D3986" i="8"/>
  <c r="D477" i="8"/>
  <c r="D2396" i="8"/>
  <c r="D2096" i="8"/>
  <c r="D135" i="8"/>
  <c r="D3327" i="8"/>
  <c r="D9836" i="8"/>
  <c r="D9520" i="8"/>
  <c r="D9837" i="8"/>
  <c r="D1135" i="8"/>
  <c r="D7875" i="8"/>
  <c r="D7553" i="8"/>
  <c r="D5313" i="8"/>
  <c r="D6578" i="8"/>
  <c r="D4663" i="8"/>
  <c r="D3678" i="8"/>
  <c r="D136" i="8"/>
  <c r="D5933" i="8"/>
  <c r="D5619" i="8"/>
  <c r="D6579" i="8"/>
  <c r="D5620" i="8"/>
  <c r="D3011" i="8"/>
  <c r="D9521" i="8"/>
  <c r="D801" i="8"/>
  <c r="D9522" i="8"/>
  <c r="D9207" i="8"/>
  <c r="D3679" i="8"/>
  <c r="D137" i="8"/>
  <c r="D3012" i="8"/>
  <c r="D7876" i="8"/>
  <c r="D138" i="8"/>
  <c r="D8531" i="8"/>
  <c r="D3987" i="8"/>
  <c r="D1779" i="8"/>
  <c r="D9523" i="8"/>
  <c r="D802" i="8"/>
  <c r="D478" i="8"/>
  <c r="D7243" i="8"/>
  <c r="D9838" i="8"/>
  <c r="D1780" i="8"/>
  <c r="D803" i="8"/>
  <c r="D4968" i="8"/>
  <c r="D8532" i="8"/>
  <c r="D8533" i="8"/>
  <c r="D5934" i="8"/>
  <c r="D7244" i="8"/>
  <c r="D8534" i="8"/>
  <c r="D7554" i="8"/>
  <c r="D5314" i="8"/>
  <c r="D6580" i="8"/>
  <c r="D5935" i="8"/>
  <c r="D5315" i="8"/>
  <c r="D1449" i="8"/>
  <c r="D2397" i="8"/>
  <c r="D804" i="8"/>
  <c r="D479" i="8"/>
  <c r="D1781" i="8"/>
  <c r="D4969" i="8"/>
  <c r="D9524" i="8"/>
  <c r="D8195" i="8"/>
  <c r="D7245" i="8"/>
  <c r="D7555" i="8"/>
  <c r="D3988" i="8"/>
  <c r="D3989" i="8"/>
  <c r="D3328" i="8"/>
  <c r="D5316" i="8"/>
  <c r="D6904" i="8"/>
  <c r="D139" i="8"/>
  <c r="D9839" i="8"/>
  <c r="D4321" i="8"/>
  <c r="D140" i="8"/>
  <c r="D4664" i="8"/>
  <c r="D7877" i="8"/>
  <c r="D1450" i="8"/>
  <c r="D7878" i="8"/>
  <c r="D805" i="8"/>
  <c r="D7556" i="8"/>
  <c r="D5317" i="8"/>
  <c r="D3990" i="8"/>
  <c r="D2691" i="8"/>
  <c r="D4665" i="8"/>
  <c r="D5318" i="8"/>
  <c r="D1451" i="8"/>
  <c r="D4970" i="8"/>
  <c r="D2097" i="8"/>
  <c r="D9525" i="8"/>
  <c r="D141" i="8"/>
  <c r="D6905" i="8"/>
  <c r="D806" i="8"/>
  <c r="D1452" i="8"/>
  <c r="D5936" i="8"/>
  <c r="D4322" i="8"/>
  <c r="D8196" i="8"/>
  <c r="D2692" i="8"/>
  <c r="D5937" i="8"/>
  <c r="D142" i="8"/>
  <c r="D2398" i="8"/>
  <c r="D1136" i="8"/>
  <c r="D3991" i="8"/>
  <c r="D6237" i="8"/>
  <c r="D8876" i="8"/>
  <c r="D143" i="8"/>
  <c r="D7557" i="8"/>
  <c r="D807" i="8"/>
  <c r="D5319" i="8"/>
  <c r="D3013" i="8"/>
  <c r="D1782" i="8"/>
  <c r="D5938" i="8"/>
  <c r="D4666" i="8"/>
  <c r="D5939" i="8"/>
  <c r="D8877" i="8"/>
  <c r="D5320" i="8"/>
  <c r="D9840" i="8"/>
  <c r="D3680" i="8"/>
  <c r="D8197" i="8"/>
  <c r="D2399" i="8"/>
  <c r="D7879" i="8"/>
  <c r="D1783" i="8"/>
  <c r="D144" i="8"/>
  <c r="D480" i="8"/>
  <c r="D8878" i="8"/>
  <c r="D1784" i="8"/>
  <c r="D4971" i="8"/>
  <c r="D8535" i="8"/>
  <c r="D9526" i="8"/>
  <c r="D481" i="8"/>
  <c r="D482" i="8"/>
  <c r="D4323" i="8"/>
  <c r="D8879" i="8"/>
  <c r="D145" i="8"/>
  <c r="D4972" i="8"/>
  <c r="D5940" i="8"/>
  <c r="D9841" i="8"/>
  <c r="D9842" i="8"/>
  <c r="D5941" i="8"/>
  <c r="D1453" i="8"/>
  <c r="D4324" i="8"/>
  <c r="D4667" i="8"/>
  <c r="D146" i="8"/>
  <c r="D7558" i="8"/>
  <c r="D1137" i="8"/>
  <c r="D6238" i="8"/>
  <c r="D7880" i="8"/>
  <c r="D483" i="8"/>
  <c r="D3329" i="8"/>
  <c r="D2400" i="8"/>
  <c r="D8198" i="8"/>
  <c r="D6239" i="8"/>
  <c r="D8536" i="8"/>
  <c r="D484" i="8"/>
  <c r="D5942" i="8"/>
  <c r="D2693" i="8"/>
  <c r="D4973" i="8"/>
  <c r="D3992" i="8"/>
  <c r="D3014" i="8"/>
  <c r="D5321" i="8"/>
  <c r="D2694" i="8"/>
  <c r="D808" i="8"/>
  <c r="D9843" i="8"/>
  <c r="D9208" i="8"/>
  <c r="D4325" i="8"/>
  <c r="D2098" i="8"/>
  <c r="D147" i="8"/>
  <c r="D9527" i="8"/>
  <c r="D5322" i="8"/>
  <c r="D2695" i="8"/>
  <c r="D7246" i="8"/>
  <c r="D1138" i="8"/>
  <c r="D4326" i="8"/>
  <c r="D3015" i="8"/>
  <c r="D3016" i="8"/>
  <c r="D8880" i="8"/>
  <c r="D4974" i="8"/>
  <c r="D7559" i="8"/>
  <c r="D8881" i="8"/>
  <c r="D7247" i="8"/>
  <c r="D5621" i="8"/>
  <c r="D7881" i="8"/>
  <c r="D2401" i="8"/>
  <c r="D9844" i="8"/>
  <c r="D2402" i="8"/>
  <c r="D5943" i="8"/>
  <c r="D9528" i="8"/>
  <c r="D7248" i="8"/>
  <c r="D1454" i="8"/>
  <c r="D6581" i="8"/>
  <c r="D8882" i="8"/>
  <c r="D3681" i="8"/>
  <c r="D3017" i="8"/>
  <c r="D4668" i="8"/>
  <c r="D5944" i="8"/>
  <c r="D9209" i="8"/>
  <c r="D2403" i="8"/>
  <c r="D8199" i="8"/>
  <c r="D2099" i="8"/>
  <c r="D8537" i="8"/>
  <c r="D9210" i="8"/>
  <c r="D4327" i="8"/>
  <c r="D148" i="8"/>
  <c r="D4975" i="8"/>
  <c r="D8538" i="8"/>
  <c r="D809" i="8"/>
  <c r="D2696" i="8"/>
  <c r="D5323" i="8"/>
  <c r="D8539" i="8"/>
  <c r="D3330" i="8"/>
  <c r="D2100" i="8"/>
  <c r="D9845" i="8"/>
  <c r="D8200" i="8"/>
  <c r="D1139" i="8"/>
  <c r="D4976" i="8"/>
  <c r="D6906" i="8"/>
  <c r="D6240" i="8"/>
  <c r="D7560" i="8"/>
  <c r="D3331" i="8"/>
  <c r="D4669" i="8"/>
  <c r="D9529" i="8"/>
  <c r="D6582" i="8"/>
  <c r="D485" i="8"/>
  <c r="D3332" i="8"/>
  <c r="D810" i="8"/>
  <c r="D811" i="8"/>
  <c r="D812" i="8"/>
  <c r="D8540" i="8"/>
  <c r="D9211" i="8"/>
  <c r="D6583" i="8"/>
  <c r="D2404" i="8"/>
  <c r="D1140" i="8"/>
  <c r="D7561" i="8"/>
  <c r="D6907" i="8"/>
  <c r="D8201" i="8"/>
  <c r="D1455" i="8"/>
  <c r="D3993" i="8"/>
  <c r="D3333" i="8"/>
  <c r="D5622" i="8"/>
  <c r="D9530" i="8"/>
  <c r="D4328" i="8"/>
  <c r="D2405" i="8"/>
  <c r="D7882" i="8"/>
  <c r="D4977" i="8"/>
  <c r="D1456" i="8"/>
  <c r="D2406" i="8"/>
  <c r="D6584" i="8"/>
  <c r="D486" i="8"/>
  <c r="D5324" i="8"/>
  <c r="D1457" i="8"/>
  <c r="D4978" i="8"/>
  <c r="D8883" i="8"/>
  <c r="D9212" i="8"/>
  <c r="D149" i="8"/>
  <c r="D487" i="8"/>
  <c r="D3682" i="8"/>
  <c r="D6585" i="8"/>
  <c r="D150" i="8"/>
  <c r="D7883" i="8"/>
  <c r="D6586" i="8"/>
  <c r="D9213" i="8"/>
  <c r="D1141" i="8"/>
  <c r="D2101" i="8"/>
  <c r="D8541" i="8"/>
  <c r="D6908" i="8"/>
  <c r="D1458" i="8"/>
  <c r="D151" i="8"/>
  <c r="D6587" i="8"/>
  <c r="D5945" i="8"/>
  <c r="D4329" i="8"/>
  <c r="D2697" i="8"/>
  <c r="D3994" i="8"/>
  <c r="D3334" i="8"/>
  <c r="D5946" i="8"/>
  <c r="D8202" i="8"/>
  <c r="D4330" i="8"/>
  <c r="D6588" i="8"/>
  <c r="D488" i="8"/>
  <c r="D8542" i="8"/>
  <c r="D4979" i="8"/>
  <c r="D2102" i="8"/>
  <c r="D152" i="8"/>
  <c r="D813" i="8"/>
  <c r="D489" i="8"/>
  <c r="D1459" i="8"/>
  <c r="D5623" i="8"/>
  <c r="D4331" i="8"/>
  <c r="D4332" i="8"/>
  <c r="D7249" i="8"/>
  <c r="D7562" i="8"/>
  <c r="D5947" i="8"/>
  <c r="D2407" i="8"/>
  <c r="D2103" i="8"/>
  <c r="D2104" i="8"/>
  <c r="D5948" i="8"/>
  <c r="D6909" i="8"/>
  <c r="D9846" i="8"/>
  <c r="D8543" i="8"/>
  <c r="D3335" i="8"/>
  <c r="D8203" i="8"/>
  <c r="D8884" i="8"/>
  <c r="D8544" i="8"/>
  <c r="D1460" i="8"/>
  <c r="D8885" i="8"/>
  <c r="D3336" i="8"/>
  <c r="D6241" i="8"/>
  <c r="D4333" i="8"/>
  <c r="D4334" i="8"/>
  <c r="D6242" i="8"/>
  <c r="D5624" i="8"/>
  <c r="D4335" i="8"/>
  <c r="D8545" i="8"/>
  <c r="D1785" i="8"/>
  <c r="D4336" i="8"/>
  <c r="D490" i="8"/>
  <c r="D4337" i="8"/>
  <c r="D3995" i="8"/>
  <c r="D4670" i="8"/>
  <c r="D9214" i="8"/>
  <c r="D1142" i="8"/>
  <c r="D5625" i="8"/>
  <c r="D9847" i="8"/>
  <c r="D3996" i="8"/>
  <c r="D8546" i="8"/>
  <c r="D6589" i="8"/>
  <c r="D5949" i="8"/>
  <c r="D3683" i="8"/>
  <c r="D2698" i="8"/>
  <c r="D2105" i="8"/>
  <c r="D9531" i="8"/>
  <c r="D5626" i="8"/>
  <c r="D8547" i="8"/>
  <c r="D8548" i="8"/>
  <c r="D4980" i="8"/>
  <c r="D9532" i="8"/>
  <c r="D9215" i="8"/>
  <c r="D7563" i="8"/>
  <c r="D4981" i="8"/>
  <c r="D5627" i="8"/>
  <c r="D3684" i="8"/>
  <c r="D153" i="8"/>
  <c r="D154" i="8"/>
  <c r="D9216" i="8"/>
  <c r="D6243" i="8"/>
  <c r="D3018" i="8"/>
  <c r="D3997" i="8"/>
  <c r="D8886" i="8"/>
  <c r="D2106" i="8"/>
  <c r="D1461" i="8"/>
  <c r="D2408" i="8"/>
  <c r="D155" i="8"/>
  <c r="D5325" i="8"/>
  <c r="D4982" i="8"/>
  <c r="D5628" i="8"/>
  <c r="D491" i="8"/>
  <c r="D6590" i="8"/>
  <c r="D4671" i="8"/>
  <c r="D156" i="8"/>
  <c r="D4338" i="8"/>
  <c r="D4983" i="8"/>
  <c r="D1462" i="8"/>
  <c r="D8549" i="8"/>
  <c r="D2699" i="8"/>
  <c r="D2409" i="8"/>
  <c r="D3998" i="8"/>
  <c r="D157" i="8"/>
  <c r="D3999" i="8"/>
  <c r="D9848" i="8"/>
  <c r="D2700" i="8"/>
  <c r="D6244" i="8"/>
  <c r="D4000" i="8"/>
  <c r="D814" i="8"/>
  <c r="D4984" i="8"/>
  <c r="D2701" i="8"/>
  <c r="D8887" i="8"/>
  <c r="D6910" i="8"/>
  <c r="D6911" i="8"/>
  <c r="D4672" i="8"/>
  <c r="D6245" i="8"/>
  <c r="D7564" i="8"/>
  <c r="D6912" i="8"/>
  <c r="D7884" i="8"/>
  <c r="D2410" i="8"/>
  <c r="D5629" i="8"/>
  <c r="D3685" i="8"/>
  <c r="D7885" i="8"/>
  <c r="D4001" i="8"/>
  <c r="D6913" i="8"/>
  <c r="D6914" i="8"/>
  <c r="D1143" i="8"/>
  <c r="D4002" i="8"/>
  <c r="D8888" i="8"/>
  <c r="D5950" i="8"/>
  <c r="D3686" i="8"/>
  <c r="D7565" i="8"/>
  <c r="D6246" i="8"/>
  <c r="D7250" i="8"/>
  <c r="D492" i="8"/>
  <c r="D4985" i="8"/>
  <c r="D2107" i="8"/>
  <c r="D3337" i="8"/>
  <c r="D8204" i="8"/>
  <c r="D8550" i="8"/>
  <c r="D2702" i="8"/>
  <c r="D8205" i="8"/>
  <c r="D8889" i="8"/>
  <c r="D6591" i="8"/>
  <c r="D4673" i="8"/>
  <c r="D158" i="8"/>
  <c r="D3019" i="8"/>
  <c r="D6915" i="8"/>
  <c r="D3020" i="8"/>
  <c r="D2108" i="8"/>
  <c r="D815" i="8"/>
  <c r="D8890" i="8"/>
  <c r="D9849" i="8"/>
  <c r="D6592" i="8"/>
  <c r="D9217" i="8"/>
  <c r="D2411" i="8"/>
  <c r="D3338" i="8"/>
  <c r="D8206" i="8"/>
  <c r="D3687" i="8"/>
  <c r="D4003" i="8"/>
  <c r="D1144" i="8"/>
  <c r="D1145" i="8"/>
  <c r="D3688" i="8"/>
  <c r="D5951" i="8"/>
  <c r="D6247" i="8"/>
  <c r="D8207" i="8"/>
  <c r="D9533" i="8"/>
  <c r="D6593" i="8"/>
  <c r="D1146" i="8"/>
  <c r="D9534" i="8"/>
  <c r="D3021" i="8"/>
  <c r="D5630" i="8"/>
  <c r="D5631" i="8"/>
  <c r="D2703" i="8"/>
  <c r="D5952" i="8"/>
  <c r="D3689" i="8"/>
  <c r="D1786" i="8"/>
  <c r="D4004" i="8"/>
  <c r="D8208" i="8"/>
  <c r="D2704" i="8"/>
  <c r="D816" i="8"/>
  <c r="D159" i="8"/>
  <c r="D9218" i="8"/>
  <c r="D3022" i="8"/>
  <c r="D4339" i="8"/>
  <c r="D1147" i="8"/>
  <c r="D1463" i="8"/>
  <c r="D5953" i="8"/>
  <c r="D493" i="8"/>
  <c r="D8551" i="8"/>
  <c r="D494" i="8"/>
  <c r="D6916" i="8"/>
  <c r="D1148" i="8"/>
  <c r="D6594" i="8"/>
  <c r="D6595" i="8"/>
  <c r="D5954" i="8"/>
  <c r="D7566" i="8"/>
  <c r="D5955" i="8"/>
  <c r="D4340" i="8"/>
  <c r="D4005" i="8"/>
  <c r="D6917" i="8"/>
  <c r="D1149" i="8"/>
  <c r="D9219" i="8"/>
  <c r="D2109" i="8"/>
  <c r="D4341" i="8"/>
  <c r="D9220" i="8"/>
  <c r="D495" i="8"/>
  <c r="D8552" i="8"/>
  <c r="D2705" i="8"/>
  <c r="D9221" i="8"/>
  <c r="D2412" i="8"/>
  <c r="D9222" i="8"/>
  <c r="D2110" i="8"/>
  <c r="D3690" i="8"/>
  <c r="D1787" i="8"/>
  <c r="D3023" i="8"/>
  <c r="D9850" i="8"/>
  <c r="D5632" i="8"/>
  <c r="D8553" i="8"/>
  <c r="D4674" i="8"/>
  <c r="D9535" i="8"/>
  <c r="D5326" i="8"/>
  <c r="D7567" i="8"/>
  <c r="D4675" i="8"/>
  <c r="D9536" i="8"/>
  <c r="D496" i="8"/>
  <c r="D1150" i="8"/>
  <c r="D8891" i="8"/>
  <c r="D4006" i="8"/>
  <c r="D2413" i="8"/>
  <c r="D9537" i="8"/>
  <c r="D3024" i="8"/>
  <c r="D9223" i="8"/>
  <c r="D4342" i="8"/>
  <c r="D6596" i="8"/>
  <c r="D4676" i="8"/>
  <c r="D7886" i="8"/>
  <c r="D160" i="8"/>
  <c r="D8892" i="8"/>
  <c r="D161" i="8"/>
  <c r="D497" i="8"/>
  <c r="D162" i="8"/>
  <c r="D2706" i="8"/>
  <c r="D3025" i="8"/>
  <c r="D2111" i="8"/>
  <c r="D8554" i="8"/>
  <c r="D3691" i="8"/>
  <c r="D1151" i="8"/>
  <c r="D9224" i="8"/>
  <c r="D1464" i="8"/>
  <c r="D3692" i="8"/>
  <c r="D2707" i="8"/>
  <c r="D3339" i="8"/>
  <c r="D4986" i="8"/>
  <c r="D5327" i="8"/>
  <c r="D9538" i="8"/>
  <c r="D7251" i="8"/>
  <c r="D163" i="8"/>
  <c r="D4987" i="8"/>
  <c r="D4677" i="8"/>
  <c r="D4988" i="8"/>
  <c r="D4989" i="8"/>
  <c r="D8893" i="8"/>
  <c r="D498" i="8"/>
  <c r="D7887" i="8"/>
  <c r="D4990" i="8"/>
  <c r="D5956" i="8"/>
  <c r="D1788" i="8"/>
  <c r="D5633" i="8"/>
  <c r="D2414" i="8"/>
  <c r="D7568" i="8"/>
  <c r="D164" i="8"/>
  <c r="D3026" i="8"/>
  <c r="D2708" i="8"/>
  <c r="D7569" i="8"/>
  <c r="D9851" i="8"/>
  <c r="D9539" i="8"/>
  <c r="D7888" i="8"/>
  <c r="D4678" i="8"/>
  <c r="D4007" i="8"/>
  <c r="D5957" i="8"/>
  <c r="D9540" i="8"/>
  <c r="D8555" i="8"/>
  <c r="D1465" i="8"/>
  <c r="D5328" i="8"/>
  <c r="D1789" i="8"/>
  <c r="D6248" i="8"/>
  <c r="D8209" i="8"/>
  <c r="D1152" i="8"/>
  <c r="D8210" i="8"/>
  <c r="D1153" i="8"/>
  <c r="D5634" i="8"/>
  <c r="D3340" i="8"/>
  <c r="D5635" i="8"/>
  <c r="D7252" i="8"/>
  <c r="D5329" i="8"/>
  <c r="D4343" i="8"/>
  <c r="D4344" i="8"/>
  <c r="D6249" i="8"/>
  <c r="D7253" i="8"/>
  <c r="D9852" i="8"/>
  <c r="D165" i="8"/>
  <c r="D166" i="8"/>
  <c r="D9225" i="8"/>
  <c r="D2112" i="8"/>
  <c r="D3027" i="8"/>
  <c r="D4991" i="8"/>
  <c r="D9226" i="8"/>
  <c r="D6597" i="8"/>
  <c r="D7570" i="8"/>
  <c r="D1466" i="8"/>
  <c r="D8556" i="8"/>
  <c r="D167" i="8"/>
  <c r="D9853" i="8"/>
  <c r="D499" i="8"/>
  <c r="D4679" i="8"/>
  <c r="D5330" i="8"/>
  <c r="D9854" i="8"/>
  <c r="D9227" i="8"/>
  <c r="D2709" i="8"/>
  <c r="D3028" i="8"/>
  <c r="D4008" i="8"/>
  <c r="D3029" i="8"/>
  <c r="D168" i="8"/>
  <c r="D4009" i="8"/>
  <c r="D6598" i="8"/>
  <c r="D3341" i="8"/>
  <c r="D9228" i="8"/>
  <c r="D7254" i="8"/>
  <c r="D1154" i="8"/>
  <c r="D2710" i="8"/>
  <c r="D6250" i="8"/>
  <c r="D5331" i="8"/>
  <c r="D9855" i="8"/>
  <c r="D4992" i="8"/>
  <c r="D1790" i="8"/>
  <c r="D8557" i="8"/>
  <c r="D7571" i="8"/>
  <c r="D4680" i="8"/>
  <c r="D3030" i="8"/>
  <c r="D8558" i="8"/>
  <c r="D8559" i="8"/>
  <c r="D8560" i="8"/>
  <c r="D4345" i="8"/>
  <c r="D169" i="8"/>
  <c r="D3342" i="8"/>
  <c r="D2711" i="8"/>
  <c r="D7255" i="8"/>
  <c r="D6251" i="8"/>
  <c r="D4010" i="8"/>
  <c r="D2712" i="8"/>
  <c r="D4993" i="8"/>
  <c r="D4681" i="8"/>
  <c r="D7256" i="8"/>
  <c r="D3343" i="8"/>
  <c r="D6918" i="8"/>
  <c r="D817" i="8"/>
  <c r="D6252" i="8"/>
  <c r="D5636" i="8"/>
  <c r="D1791" i="8"/>
  <c r="D1792" i="8"/>
  <c r="D7257" i="8"/>
  <c r="D170" i="8"/>
  <c r="D1793" i="8"/>
  <c r="D3344" i="8"/>
  <c r="D6919" i="8"/>
  <c r="D171" i="8"/>
  <c r="D5332" i="8"/>
  <c r="D7258" i="8"/>
  <c r="D1155" i="8"/>
  <c r="D2713" i="8"/>
  <c r="D8561" i="8"/>
  <c r="D2415" i="8"/>
  <c r="D2416" i="8"/>
  <c r="D4011" i="8"/>
  <c r="D4012" i="8"/>
  <c r="D5637" i="8"/>
  <c r="D1467" i="8"/>
  <c r="D3693" i="8"/>
  <c r="D4994" i="8"/>
  <c r="D6253" i="8"/>
  <c r="D4995" i="8"/>
  <c r="D500" i="8"/>
  <c r="D818" i="8"/>
  <c r="D3694" i="8"/>
  <c r="D1794" i="8"/>
  <c r="D8562" i="8"/>
  <c r="D3031" i="8"/>
  <c r="D2417" i="8"/>
  <c r="D7572" i="8"/>
  <c r="D1156" i="8"/>
  <c r="D5333" i="8"/>
  <c r="D5334" i="8"/>
  <c r="D5335" i="8"/>
  <c r="D4346" i="8"/>
  <c r="D6599" i="8"/>
  <c r="D3345" i="8"/>
  <c r="D5958" i="8"/>
  <c r="D5336" i="8"/>
  <c r="D4347" i="8"/>
  <c r="D5638" i="8"/>
  <c r="D7259" i="8"/>
  <c r="D6600" i="8"/>
  <c r="D5959" i="8"/>
  <c r="D4682" i="8"/>
  <c r="D172" i="8"/>
  <c r="D2418" i="8"/>
  <c r="D1157" i="8"/>
  <c r="D9856" i="8"/>
  <c r="D819" i="8"/>
  <c r="D1158" i="8"/>
  <c r="D8894" i="8"/>
  <c r="D173" i="8"/>
  <c r="D6254" i="8"/>
  <c r="D2714" i="8"/>
  <c r="D6601" i="8"/>
  <c r="D2715" i="8"/>
  <c r="D4683" i="8"/>
  <c r="D9541" i="8"/>
  <c r="D2113" i="8"/>
  <c r="D6255" i="8"/>
  <c r="D3032" i="8"/>
  <c r="D8563" i="8"/>
  <c r="D2419" i="8"/>
  <c r="D5337" i="8"/>
  <c r="D5338" i="8"/>
  <c r="D6920" i="8"/>
  <c r="D1468" i="8"/>
  <c r="D4996" i="8"/>
  <c r="D9857" i="8"/>
  <c r="D5639" i="8"/>
  <c r="D174" i="8"/>
  <c r="D3033" i="8"/>
  <c r="D8211" i="8"/>
  <c r="D9542" i="8"/>
  <c r="D9858" i="8"/>
  <c r="D1469" i="8"/>
  <c r="D175" i="8"/>
  <c r="D7573" i="8"/>
  <c r="D8212" i="8"/>
  <c r="D1470" i="8"/>
  <c r="D4013" i="8"/>
  <c r="D8895" i="8"/>
  <c r="D9543" i="8"/>
  <c r="D820" i="8"/>
  <c r="D1159" i="8"/>
  <c r="D7260" i="8"/>
  <c r="D8213" i="8"/>
  <c r="D6921" i="8"/>
  <c r="D4014" i="8"/>
  <c r="D176" i="8"/>
  <c r="D1160" i="8"/>
  <c r="D9859" i="8"/>
  <c r="D177" i="8"/>
  <c r="D7889" i="8"/>
  <c r="D5960" i="8"/>
  <c r="D821" i="8"/>
  <c r="D6256" i="8"/>
  <c r="D3346" i="8"/>
  <c r="D9860" i="8"/>
  <c r="D1795" i="8"/>
  <c r="D4348" i="8"/>
  <c r="D5640" i="8"/>
  <c r="D9861" i="8"/>
  <c r="D3347" i="8"/>
  <c r="D2420" i="8"/>
  <c r="D178" i="8"/>
  <c r="D2114" i="8"/>
  <c r="D2421" i="8"/>
  <c r="D3695" i="8"/>
  <c r="D501" i="8"/>
  <c r="D9862" i="8"/>
  <c r="D1161" i="8"/>
  <c r="D4997" i="8"/>
  <c r="D3348" i="8"/>
  <c r="D9863" i="8"/>
  <c r="D2422" i="8"/>
  <c r="D4015" i="8"/>
  <c r="D5339" i="8"/>
  <c r="D1471" i="8"/>
  <c r="D8896" i="8"/>
  <c r="D6922" i="8"/>
  <c r="D3034" i="8"/>
  <c r="D1162" i="8"/>
  <c r="D9544" i="8"/>
  <c r="D6257" i="8"/>
  <c r="D6923" i="8"/>
  <c r="D7574" i="8"/>
  <c r="D4998" i="8"/>
  <c r="D5340" i="8"/>
  <c r="D1163" i="8"/>
  <c r="D822" i="8"/>
  <c r="D9229" i="8"/>
  <c r="D8897" i="8"/>
  <c r="D502" i="8"/>
  <c r="D6602" i="8"/>
  <c r="D1164" i="8"/>
  <c r="D2423" i="8"/>
  <c r="D7261" i="8"/>
  <c r="D6924" i="8"/>
  <c r="D3035" i="8"/>
  <c r="D8564" i="8"/>
  <c r="D3036" i="8"/>
  <c r="D1796" i="8"/>
  <c r="D4684" i="8"/>
  <c r="D4999" i="8"/>
  <c r="D7890" i="8"/>
  <c r="D2115" i="8"/>
  <c r="D503" i="8"/>
  <c r="D6258" i="8"/>
  <c r="D6259" i="8"/>
  <c r="D2116" i="8"/>
  <c r="D9545" i="8"/>
  <c r="D4349" i="8"/>
  <c r="D6925" i="8"/>
  <c r="D504" i="8"/>
  <c r="D6260" i="8"/>
  <c r="D5000" i="8"/>
  <c r="D9230" i="8"/>
  <c r="D6261" i="8"/>
  <c r="D3037" i="8"/>
  <c r="D8565" i="8"/>
  <c r="D8566" i="8"/>
  <c r="D3349" i="8"/>
  <c r="D8898" i="8"/>
  <c r="D3696" i="8"/>
  <c r="D1472" i="8"/>
  <c r="D9546" i="8"/>
  <c r="D3350" i="8"/>
  <c r="D9547" i="8"/>
  <c r="D4350" i="8"/>
  <c r="D3038" i="8"/>
  <c r="D179" i="8"/>
  <c r="D6926" i="8"/>
  <c r="D5341" i="8"/>
  <c r="D3039" i="8"/>
  <c r="D8214" i="8"/>
  <c r="D8567" i="8"/>
  <c r="D5342" i="8"/>
  <c r="D1797" i="8"/>
  <c r="D8215" i="8"/>
  <c r="D2716" i="8"/>
  <c r="D6927" i="8"/>
  <c r="D5961" i="8"/>
  <c r="D4685" i="8"/>
  <c r="D3351" i="8"/>
  <c r="D3040" i="8"/>
  <c r="D6603" i="8"/>
  <c r="D3352" i="8"/>
  <c r="D4686" i="8"/>
  <c r="D2717" i="8"/>
  <c r="D7262" i="8"/>
  <c r="D4016" i="8"/>
  <c r="D8899" i="8"/>
  <c r="D9864" i="8"/>
  <c r="D6262" i="8"/>
  <c r="D2424" i="8"/>
  <c r="D2425" i="8"/>
  <c r="D2117" i="8"/>
  <c r="D2118" i="8"/>
  <c r="D2718" i="8"/>
  <c r="D4687" i="8"/>
  <c r="D2119" i="8"/>
  <c r="D505" i="8"/>
  <c r="D9231" i="8"/>
  <c r="D4351" i="8"/>
  <c r="D3041" i="8"/>
  <c r="D9232" i="8"/>
  <c r="D506" i="8"/>
  <c r="D5641" i="8"/>
  <c r="D6263" i="8"/>
  <c r="D9865" i="8"/>
  <c r="D3353" i="8"/>
  <c r="D4017" i="8"/>
  <c r="D5001" i="8"/>
  <c r="D1473" i="8"/>
  <c r="D180" i="8"/>
  <c r="D1165" i="8"/>
  <c r="D3354" i="8"/>
  <c r="D5343" i="8"/>
  <c r="D4018" i="8"/>
  <c r="D9233" i="8"/>
  <c r="D4688" i="8"/>
  <c r="D4019" i="8"/>
  <c r="D7575" i="8"/>
  <c r="D6264" i="8"/>
  <c r="D9548" i="8"/>
  <c r="D507" i="8"/>
  <c r="D2120" i="8"/>
  <c r="D4352" i="8"/>
  <c r="D3042" i="8"/>
  <c r="D6604" i="8"/>
  <c r="D8216" i="8"/>
  <c r="D7263" i="8"/>
  <c r="D6605" i="8"/>
  <c r="D823" i="8"/>
  <c r="D3355" i="8"/>
  <c r="D9866" i="8"/>
  <c r="D6606" i="8"/>
  <c r="D4689" i="8"/>
  <c r="D3043" i="8"/>
  <c r="D8217" i="8"/>
  <c r="D2426" i="8"/>
  <c r="D6265" i="8"/>
  <c r="D7264" i="8"/>
  <c r="D2719" i="8"/>
  <c r="D7576" i="8"/>
  <c r="D4690" i="8"/>
  <c r="D7891" i="8"/>
  <c r="D181" i="8"/>
  <c r="D7892" i="8"/>
  <c r="D4691" i="8"/>
  <c r="D9234" i="8"/>
  <c r="D5962" i="8"/>
  <c r="D1798" i="8"/>
  <c r="D5002" i="8"/>
  <c r="D9235" i="8"/>
  <c r="D5642" i="8"/>
  <c r="D7265" i="8"/>
  <c r="D7893" i="8"/>
  <c r="D7894" i="8"/>
  <c r="D5643" i="8"/>
  <c r="D1474" i="8"/>
  <c r="D2427" i="8"/>
  <c r="D8900" i="8"/>
  <c r="D1799" i="8"/>
  <c r="D9236" i="8"/>
  <c r="D2428" i="8"/>
  <c r="D1475" i="8"/>
  <c r="D6266" i="8"/>
  <c r="D1166" i="8"/>
  <c r="D9549" i="8"/>
  <c r="D6607" i="8"/>
  <c r="D4692" i="8"/>
  <c r="D508" i="8"/>
  <c r="D3697" i="8"/>
  <c r="D1167" i="8"/>
  <c r="D824" i="8"/>
  <c r="D8218" i="8"/>
  <c r="D8901" i="8"/>
  <c r="D7266" i="8"/>
  <c r="D2720" i="8"/>
  <c r="D8568" i="8"/>
  <c r="D182" i="8"/>
  <c r="D183" i="8"/>
  <c r="D4353" i="8"/>
  <c r="D1168" i="8"/>
  <c r="D3698" i="8"/>
  <c r="D3699" i="8"/>
  <c r="D7267" i="8"/>
  <c r="D184" i="8"/>
  <c r="D4354" i="8"/>
  <c r="D509" i="8"/>
  <c r="D4020" i="8"/>
  <c r="D8902" i="8"/>
  <c r="D1169" i="8"/>
  <c r="D7895" i="8"/>
  <c r="D3700" i="8"/>
  <c r="D7577" i="8"/>
  <c r="D6608" i="8"/>
  <c r="D510" i="8"/>
  <c r="D3356" i="8"/>
  <c r="D7268" i="8"/>
  <c r="D5644" i="8"/>
  <c r="D3357" i="8"/>
  <c r="D8903" i="8"/>
  <c r="D2429" i="8"/>
  <c r="D6928" i="8"/>
  <c r="D1170" i="8"/>
  <c r="D3701" i="8"/>
  <c r="D4355" i="8"/>
  <c r="D6929" i="8"/>
  <c r="D4021" i="8"/>
  <c r="D7269" i="8"/>
  <c r="D8219" i="8"/>
  <c r="D3358" i="8"/>
  <c r="D6267" i="8"/>
  <c r="D3359" i="8"/>
  <c r="D2721" i="8"/>
  <c r="D2430" i="8"/>
  <c r="D511" i="8"/>
  <c r="D9550" i="8"/>
  <c r="D4693" i="8"/>
  <c r="D4022" i="8"/>
  <c r="D6609" i="8"/>
  <c r="D512" i="8"/>
  <c r="D7896" i="8"/>
  <c r="D6930" i="8"/>
  <c r="D8904" i="8"/>
  <c r="D1171" i="8"/>
  <c r="D3044" i="8"/>
  <c r="D5645" i="8"/>
  <c r="D7578" i="8"/>
  <c r="D7579" i="8"/>
  <c r="D2121" i="8"/>
  <c r="D5963" i="8"/>
  <c r="D1800" i="8"/>
  <c r="D8220" i="8"/>
  <c r="D8221" i="8"/>
  <c r="D7270" i="8"/>
  <c r="D3045" i="8"/>
  <c r="D8905" i="8"/>
  <c r="D7580" i="8"/>
  <c r="D8569" i="8"/>
  <c r="D2431" i="8"/>
  <c r="D825" i="8"/>
  <c r="D8222" i="8"/>
  <c r="D8906" i="8"/>
  <c r="D1172" i="8"/>
  <c r="D826" i="8"/>
  <c r="D5003" i="8"/>
  <c r="D6610" i="8"/>
  <c r="D1801" i="8"/>
  <c r="D9551" i="8"/>
  <c r="D2722" i="8"/>
  <c r="D4356" i="8"/>
  <c r="D5964" i="8"/>
  <c r="D2432" i="8"/>
  <c r="D8907" i="8"/>
  <c r="D8570" i="8"/>
  <c r="D8223" i="8"/>
  <c r="D3360" i="8"/>
  <c r="D5004" i="8"/>
  <c r="D3361" i="8"/>
  <c r="D5646" i="8"/>
  <c r="D2433" i="8"/>
  <c r="D1802" i="8"/>
  <c r="D2122" i="8"/>
  <c r="D7581" i="8"/>
  <c r="D9867" i="8"/>
  <c r="D7271" i="8"/>
  <c r="D7897" i="8"/>
  <c r="D1173" i="8"/>
  <c r="D1476" i="8"/>
  <c r="D6611" i="8"/>
  <c r="D9237" i="8"/>
  <c r="D5647" i="8"/>
  <c r="D7898" i="8"/>
  <c r="D2434" i="8"/>
  <c r="D827" i="8"/>
  <c r="D2435" i="8"/>
  <c r="D7582" i="8"/>
  <c r="D8224" i="8"/>
  <c r="D185" i="8"/>
  <c r="D6268" i="8"/>
  <c r="D3046" i="8"/>
  <c r="D2123" i="8"/>
  <c r="D8571" i="8"/>
  <c r="D7583" i="8"/>
  <c r="D186" i="8"/>
  <c r="D5965" i="8"/>
  <c r="D513" i="8"/>
  <c r="D5344" i="8"/>
  <c r="D3702" i="8"/>
  <c r="D4694" i="8"/>
  <c r="D9238" i="8"/>
  <c r="D3703" i="8"/>
  <c r="D3047" i="8"/>
  <c r="D7584" i="8"/>
  <c r="D5966" i="8"/>
  <c r="D2723" i="8"/>
  <c r="D1803" i="8"/>
  <c r="D1804" i="8"/>
  <c r="D7585" i="8"/>
  <c r="D9552" i="8"/>
  <c r="D6269" i="8"/>
  <c r="D3362" i="8"/>
  <c r="D9868" i="8"/>
  <c r="D9869" i="8"/>
  <c r="D9553" i="8"/>
  <c r="D2724" i="8"/>
  <c r="D1805" i="8"/>
  <c r="D6931" i="8"/>
  <c r="D2436" i="8"/>
  <c r="D5005" i="8"/>
  <c r="D4695" i="8"/>
  <c r="D7899" i="8"/>
  <c r="D2124" i="8"/>
  <c r="D3363" i="8"/>
  <c r="D9239" i="8"/>
  <c r="D8572" i="8"/>
  <c r="D8225" i="8"/>
  <c r="D3364" i="8"/>
  <c r="D9554" i="8"/>
  <c r="D2725" i="8"/>
  <c r="D2726" i="8"/>
  <c r="D4357" i="8"/>
  <c r="D9555" i="8"/>
  <c r="D3048" i="8"/>
  <c r="D9240" i="8"/>
  <c r="D1806" i="8"/>
  <c r="D5648" i="8"/>
  <c r="D8908" i="8"/>
  <c r="D5967" i="8"/>
  <c r="D514" i="8"/>
  <c r="D8909" i="8"/>
  <c r="D515" i="8"/>
  <c r="D3704" i="8"/>
  <c r="D4023" i="8"/>
  <c r="D6932" i="8"/>
  <c r="D1477" i="8"/>
  <c r="D6612" i="8"/>
  <c r="D1478" i="8"/>
  <c r="D828" i="8"/>
  <c r="D6613" i="8"/>
  <c r="D6614" i="8"/>
  <c r="D3365" i="8"/>
  <c r="D6270" i="8"/>
  <c r="D3705" i="8"/>
  <c r="D3366" i="8"/>
  <c r="D8226" i="8"/>
  <c r="D5345" i="8"/>
  <c r="D8227" i="8"/>
  <c r="D7900" i="8"/>
  <c r="D9556" i="8"/>
  <c r="D516" i="8"/>
  <c r="D2727" i="8"/>
  <c r="D7272" i="8"/>
  <c r="D8573" i="8"/>
  <c r="D8910" i="8"/>
  <c r="D7901" i="8"/>
  <c r="D3049" i="8"/>
  <c r="D6271" i="8"/>
  <c r="D3706" i="8"/>
  <c r="D9241" i="8"/>
  <c r="D4024" i="8"/>
  <c r="D5649" i="8"/>
  <c r="D6615" i="8"/>
  <c r="D3707" i="8"/>
  <c r="D4025" i="8"/>
  <c r="D1174" i="8"/>
  <c r="D6272" i="8"/>
  <c r="D829" i="8"/>
  <c r="D9870" i="8"/>
  <c r="D7586" i="8"/>
  <c r="D9557" i="8"/>
  <c r="D830" i="8"/>
  <c r="D3708" i="8"/>
  <c r="D1807" i="8"/>
  <c r="D9242" i="8"/>
  <c r="D9243" i="8"/>
  <c r="D1808" i="8"/>
  <c r="D8228" i="8"/>
  <c r="D1809" i="8"/>
  <c r="D8911" i="8"/>
  <c r="D3367" i="8"/>
  <c r="D2125" i="8"/>
  <c r="D9871" i="8"/>
  <c r="D1810" i="8"/>
  <c r="D1175" i="8"/>
  <c r="D4026" i="8"/>
  <c r="D187" i="8"/>
  <c r="D188" i="8"/>
  <c r="D5006" i="8"/>
  <c r="D831" i="8"/>
  <c r="D832" i="8"/>
  <c r="D8229" i="8"/>
  <c r="D4358" i="8"/>
  <c r="D8574" i="8"/>
  <c r="D8230" i="8"/>
  <c r="D1811" i="8"/>
  <c r="D7902" i="8"/>
  <c r="D6273" i="8"/>
  <c r="D7273" i="8"/>
  <c r="D9872" i="8"/>
  <c r="D1479" i="8"/>
  <c r="D4359" i="8"/>
  <c r="D1176" i="8"/>
  <c r="D833" i="8"/>
  <c r="D8231" i="8"/>
  <c r="D1812" i="8"/>
  <c r="D1480" i="8"/>
  <c r="D834" i="8"/>
  <c r="D4027" i="8"/>
  <c r="D2437" i="8"/>
  <c r="D8232" i="8"/>
  <c r="D835" i="8"/>
  <c r="D2438" i="8"/>
  <c r="D2126" i="8"/>
  <c r="D2728" i="8"/>
  <c r="D189" i="8"/>
  <c r="D6616" i="8"/>
  <c r="D8233" i="8"/>
  <c r="D8912" i="8"/>
  <c r="D6274" i="8"/>
  <c r="D8234" i="8"/>
  <c r="D8575" i="8"/>
  <c r="D190" i="8"/>
  <c r="D2439" i="8"/>
  <c r="D4696" i="8"/>
  <c r="D8576" i="8"/>
  <c r="D517" i="8"/>
  <c r="D518" i="8"/>
  <c r="D2127" i="8"/>
  <c r="D9244" i="8"/>
  <c r="D1177" i="8"/>
  <c r="D1178" i="8"/>
  <c r="D6275" i="8"/>
  <c r="D7587" i="8"/>
  <c r="D5650" i="8"/>
  <c r="D8235" i="8"/>
  <c r="D6276" i="8"/>
  <c r="D5651" i="8"/>
  <c r="D4360" i="8"/>
  <c r="D6277" i="8"/>
  <c r="D7588" i="8"/>
  <c r="D7589" i="8"/>
  <c r="D6617" i="8"/>
  <c r="D191" i="8"/>
  <c r="D3368" i="8"/>
  <c r="D192" i="8"/>
  <c r="D7590" i="8"/>
  <c r="D8236" i="8"/>
  <c r="D6278" i="8"/>
  <c r="D9873" i="8"/>
  <c r="D1179" i="8"/>
  <c r="D8577" i="8"/>
  <c r="D8913" i="8"/>
  <c r="D3709" i="8"/>
  <c r="D7274" i="8"/>
  <c r="D2440" i="8"/>
  <c r="D4028" i="8"/>
  <c r="D6279" i="8"/>
  <c r="D7591" i="8"/>
  <c r="D1180" i="8"/>
  <c r="D9245" i="8"/>
  <c r="D2128" i="8"/>
  <c r="D4697" i="8"/>
  <c r="D1813" i="8"/>
  <c r="D519" i="8"/>
  <c r="D6280" i="8"/>
  <c r="D1181" i="8"/>
  <c r="D1182" i="8"/>
  <c r="D836" i="8"/>
  <c r="D7592" i="8"/>
  <c r="D4698" i="8"/>
  <c r="D2129" i="8"/>
  <c r="D3369" i="8"/>
  <c r="D5652" i="8"/>
  <c r="D837" i="8"/>
  <c r="D3370" i="8"/>
  <c r="D6281" i="8"/>
  <c r="D9558" i="8"/>
  <c r="D8578" i="8"/>
  <c r="D9559" i="8"/>
  <c r="D520" i="8"/>
  <c r="D838" i="8"/>
  <c r="D7593" i="8"/>
  <c r="D3050" i="8"/>
  <c r="D3710" i="8"/>
  <c r="D193" i="8"/>
  <c r="D4361" i="8"/>
  <c r="D1183" i="8"/>
  <c r="D9246" i="8"/>
  <c r="D2130" i="8"/>
  <c r="D6618" i="8"/>
  <c r="D5653" i="8"/>
  <c r="D3371" i="8"/>
  <c r="D7275" i="8"/>
  <c r="D5968" i="8"/>
  <c r="D4699" i="8"/>
  <c r="D4029" i="8"/>
  <c r="D6619" i="8"/>
  <c r="D7276" i="8"/>
  <c r="D6620" i="8"/>
  <c r="D5654" i="8"/>
  <c r="D7903" i="8"/>
  <c r="D7277" i="8"/>
  <c r="D5007" i="8"/>
  <c r="D194" i="8"/>
  <c r="D8579" i="8"/>
  <c r="D1481" i="8"/>
  <c r="D8237" i="8"/>
  <c r="D4362" i="8"/>
  <c r="D2131" i="8"/>
  <c r="D3372" i="8"/>
  <c r="D7594" i="8"/>
  <c r="D6621" i="8"/>
  <c r="D521" i="8"/>
  <c r="D4030" i="8"/>
  <c r="D9874" i="8"/>
  <c r="D6933" i="8"/>
  <c r="D6934" i="8"/>
  <c r="D2132" i="8"/>
  <c r="D5655" i="8"/>
  <c r="D6622" i="8"/>
  <c r="D9247" i="8"/>
  <c r="D1482" i="8"/>
  <c r="D1483" i="8"/>
  <c r="D2441" i="8"/>
  <c r="D1484" i="8"/>
  <c r="D3711" i="8"/>
  <c r="D839" i="8"/>
  <c r="D3051" i="8"/>
  <c r="D8580" i="8"/>
  <c r="D7595" i="8"/>
  <c r="D840" i="8"/>
  <c r="D5969" i="8"/>
  <c r="D5346" i="8"/>
  <c r="D2442" i="8"/>
  <c r="D7596" i="8"/>
  <c r="D8238" i="8"/>
  <c r="D9248" i="8"/>
  <c r="D8914" i="8"/>
  <c r="D2729" i="8"/>
  <c r="D6282" i="8"/>
  <c r="D6283" i="8"/>
  <c r="D7278" i="8"/>
  <c r="D6935" i="8"/>
  <c r="D6623" i="8"/>
  <c r="D9249" i="8"/>
  <c r="D1485" i="8"/>
  <c r="D7597" i="8"/>
  <c r="D3712" i="8"/>
  <c r="D1486" i="8"/>
  <c r="D4031" i="8"/>
  <c r="D7598" i="8"/>
  <c r="D1184" i="8"/>
  <c r="D6284" i="8"/>
  <c r="D1487" i="8"/>
  <c r="D1814" i="8"/>
  <c r="D8239" i="8"/>
  <c r="D2133" i="8"/>
  <c r="D1488" i="8"/>
  <c r="D6936" i="8"/>
  <c r="D8240" i="8"/>
  <c r="D8915" i="8"/>
  <c r="D1185" i="8"/>
  <c r="D3373" i="8"/>
  <c r="D8241" i="8"/>
  <c r="D5008" i="8"/>
  <c r="D9250" i="8"/>
  <c r="D8916" i="8"/>
  <c r="D2134" i="8"/>
  <c r="D3374" i="8"/>
  <c r="D2730" i="8"/>
  <c r="D1815" i="8"/>
  <c r="D9251" i="8"/>
  <c r="D8242" i="8"/>
  <c r="D841" i="8"/>
  <c r="D3713" i="8"/>
  <c r="D522" i="8"/>
  <c r="D5970" i="8"/>
  <c r="D5009" i="8"/>
  <c r="D7904" i="8"/>
  <c r="D3375" i="8"/>
  <c r="D6937" i="8"/>
  <c r="D842" i="8"/>
  <c r="D9252" i="8"/>
  <c r="D2443" i="8"/>
  <c r="D7599" i="8"/>
  <c r="D9560" i="8"/>
  <c r="D1186" i="8"/>
  <c r="D5347" i="8"/>
  <c r="D2135" i="8"/>
  <c r="D4700" i="8"/>
  <c r="D523" i="8"/>
  <c r="D4363" i="8"/>
  <c r="D9875" i="8"/>
  <c r="D1187" i="8"/>
  <c r="D524" i="8"/>
  <c r="D3052" i="8"/>
  <c r="D5656" i="8"/>
  <c r="D2444" i="8"/>
  <c r="D5971" i="8"/>
  <c r="D3714" i="8"/>
  <c r="D6624" i="8"/>
  <c r="D7905" i="8"/>
  <c r="D8581" i="8"/>
  <c r="D9253" i="8"/>
  <c r="D3053" i="8"/>
  <c r="D1489" i="8"/>
  <c r="D1816" i="8"/>
  <c r="D1490" i="8"/>
  <c r="D9561" i="8"/>
  <c r="D843" i="8"/>
  <c r="D6285" i="8"/>
  <c r="D2731" i="8"/>
  <c r="D5010" i="8"/>
  <c r="D1188" i="8"/>
  <c r="D7600" i="8"/>
  <c r="D9562" i="8"/>
  <c r="D7906" i="8"/>
  <c r="D6625" i="8"/>
  <c r="D5348" i="8"/>
  <c r="D3376" i="8"/>
  <c r="D4364" i="8"/>
  <c r="D5349" i="8"/>
  <c r="D7279" i="8"/>
  <c r="D4701" i="8"/>
  <c r="D3715" i="8"/>
  <c r="D6286" i="8"/>
  <c r="D525" i="8"/>
  <c r="D7601" i="8"/>
  <c r="D2445" i="8"/>
  <c r="D6938" i="8"/>
  <c r="D6287" i="8"/>
  <c r="D1817" i="8"/>
  <c r="D844" i="8"/>
  <c r="D1189" i="8"/>
  <c r="D8243" i="8"/>
  <c r="D6939" i="8"/>
  <c r="D1190" i="8"/>
  <c r="D526" i="8"/>
  <c r="D1818" i="8"/>
  <c r="D8244" i="8"/>
  <c r="D527" i="8"/>
  <c r="D3716" i="8"/>
  <c r="D4032" i="8"/>
  <c r="D1191" i="8"/>
  <c r="D6288" i="8"/>
  <c r="D2136" i="8"/>
  <c r="D6626" i="8"/>
  <c r="D8582" i="8"/>
  <c r="D6289" i="8"/>
  <c r="D5011" i="8"/>
  <c r="D845" i="8"/>
  <c r="D2137" i="8"/>
  <c r="D9563" i="8"/>
  <c r="D6627" i="8"/>
  <c r="D9564" i="8"/>
  <c r="D5657" i="8"/>
  <c r="D3054" i="8"/>
  <c r="D3377" i="8"/>
  <c r="D4365" i="8"/>
  <c r="D6628" i="8"/>
  <c r="D2446" i="8"/>
  <c r="D6940" i="8"/>
  <c r="D4366" i="8"/>
  <c r="D9254" i="8"/>
  <c r="D7602" i="8"/>
  <c r="D5350" i="8"/>
  <c r="D6941" i="8"/>
  <c r="D6629" i="8"/>
  <c r="D3378" i="8"/>
  <c r="D5351" i="8"/>
  <c r="D195" i="8"/>
  <c r="D9565" i="8"/>
  <c r="D3379" i="8"/>
  <c r="D9876" i="8"/>
  <c r="D6290" i="8"/>
  <c r="D2447" i="8"/>
  <c r="D6942" i="8"/>
  <c r="D2732" i="8"/>
  <c r="D3055" i="8"/>
  <c r="D196" i="8"/>
  <c r="D3056" i="8"/>
  <c r="D528" i="8"/>
  <c r="D1192" i="8"/>
  <c r="D846" i="8"/>
  <c r="D2733" i="8"/>
  <c r="D529" i="8"/>
  <c r="D6630" i="8"/>
  <c r="D8917" i="8"/>
  <c r="D5972" i="8"/>
  <c r="D8583" i="8"/>
  <c r="D6291" i="8"/>
  <c r="D7907" i="8"/>
  <c r="D7603" i="8"/>
  <c r="D5012" i="8"/>
  <c r="D4033" i="8"/>
  <c r="D5352" i="8"/>
  <c r="D5658" i="8"/>
  <c r="D3380" i="8"/>
  <c r="D4367" i="8"/>
  <c r="D3717" i="8"/>
  <c r="D8245" i="8"/>
  <c r="D6292" i="8"/>
  <c r="D2734" i="8"/>
  <c r="D5973" i="8"/>
  <c r="D5353" i="8"/>
  <c r="D2138" i="8"/>
  <c r="D847" i="8"/>
  <c r="D5013" i="8"/>
  <c r="D848" i="8"/>
  <c r="D2735" i="8"/>
  <c r="D8918" i="8"/>
  <c r="D3381" i="8"/>
  <c r="D2448" i="8"/>
  <c r="D197" i="8"/>
  <c r="D9255" i="8"/>
  <c r="D9877" i="8"/>
  <c r="D8584" i="8"/>
  <c r="D7280" i="8"/>
  <c r="D4368" i="8"/>
  <c r="D9256" i="8"/>
  <c r="D849" i="8"/>
  <c r="D8585" i="8"/>
  <c r="D7604" i="8"/>
  <c r="D7908" i="8"/>
  <c r="D5354" i="8"/>
  <c r="D5014" i="8"/>
  <c r="D5974" i="8"/>
  <c r="D5355" i="8"/>
  <c r="D8586" i="8"/>
  <c r="D3382" i="8"/>
  <c r="D8587" i="8"/>
  <c r="D7909" i="8"/>
  <c r="D6293" i="8"/>
  <c r="D6943" i="8"/>
  <c r="D7605" i="8"/>
  <c r="D7606" i="8"/>
  <c r="D1491" i="8"/>
  <c r="D2736" i="8"/>
  <c r="D7607" i="8"/>
  <c r="D1819" i="8"/>
  <c r="D4034" i="8"/>
  <c r="D2139" i="8"/>
  <c r="D4702" i="8"/>
  <c r="D4035" i="8"/>
  <c r="D2140" i="8"/>
  <c r="D5356" i="8"/>
  <c r="D4703" i="8"/>
  <c r="D1820" i="8"/>
  <c r="D5975" i="8"/>
  <c r="D9878" i="8"/>
  <c r="D6294" i="8"/>
  <c r="D5976" i="8"/>
  <c r="D8246" i="8"/>
  <c r="D4036" i="8"/>
  <c r="D3057" i="8"/>
  <c r="D198" i="8"/>
  <c r="D7608" i="8"/>
  <c r="D5977" i="8"/>
  <c r="D199" i="8"/>
  <c r="D8588" i="8"/>
  <c r="D200" i="8"/>
  <c r="D6944" i="8"/>
  <c r="D8589" i="8"/>
  <c r="D5978" i="8"/>
  <c r="D4369" i="8"/>
  <c r="D2449" i="8"/>
  <c r="D2450" i="8"/>
  <c r="D201" i="8"/>
  <c r="D8919" i="8"/>
  <c r="D3058" i="8"/>
  <c r="D6295" i="8"/>
  <c r="D5357" i="8"/>
  <c r="D7281" i="8"/>
  <c r="D3059" i="8"/>
  <c r="D1193" i="8"/>
  <c r="D9566" i="8"/>
  <c r="D4370" i="8"/>
  <c r="D7282" i="8"/>
  <c r="D1821" i="8"/>
  <c r="D8247" i="8"/>
  <c r="D6945" i="8"/>
  <c r="D2141" i="8"/>
  <c r="D9257" i="8"/>
  <c r="D9567" i="8"/>
  <c r="D7283" i="8"/>
  <c r="D8920" i="8"/>
  <c r="D4371" i="8"/>
  <c r="D1822" i="8"/>
  <c r="D5358" i="8"/>
  <c r="D4037" i="8"/>
  <c r="D5359" i="8"/>
  <c r="D530" i="8"/>
  <c r="D531" i="8"/>
  <c r="D3718" i="8"/>
  <c r="D4038" i="8"/>
  <c r="D9568" i="8"/>
  <c r="D3383" i="8"/>
  <c r="D8590" i="8"/>
  <c r="D5360" i="8"/>
  <c r="D202" i="8"/>
  <c r="D3060" i="8"/>
  <c r="D1823" i="8"/>
  <c r="D5015" i="8"/>
  <c r="D2142" i="8"/>
  <c r="D1824" i="8"/>
  <c r="D4372" i="8"/>
  <c r="D1825" i="8"/>
  <c r="D9879" i="8"/>
  <c r="D8248" i="8"/>
  <c r="D7609" i="8"/>
  <c r="D4704" i="8"/>
  <c r="D9258" i="8"/>
  <c r="D8921" i="8"/>
  <c r="D6946" i="8"/>
  <c r="D6296" i="8"/>
  <c r="D1492" i="8"/>
  <c r="D203" i="8"/>
  <c r="D7910" i="8"/>
  <c r="D5016" i="8"/>
  <c r="D2737" i="8"/>
  <c r="D2451" i="8"/>
  <c r="D3384" i="8"/>
  <c r="D1493" i="8"/>
  <c r="D3385" i="8"/>
  <c r="D5659" i="8"/>
  <c r="D9880" i="8"/>
  <c r="D7610" i="8"/>
  <c r="D2452" i="8"/>
  <c r="D5660" i="8"/>
  <c r="D9881" i="8"/>
  <c r="D3386" i="8"/>
  <c r="D1194" i="8"/>
  <c r="D5017" i="8"/>
  <c r="D8922" i="8"/>
  <c r="D5661" i="8"/>
  <c r="D850" i="8"/>
  <c r="D8923" i="8"/>
  <c r="D8591" i="8"/>
  <c r="D1494" i="8"/>
  <c r="D5018" i="8"/>
  <c r="D1195" i="8"/>
  <c r="D8249" i="8"/>
  <c r="D8250" i="8"/>
  <c r="D4705" i="8"/>
  <c r="D1826" i="8"/>
  <c r="D7611" i="8"/>
  <c r="D8924" i="8"/>
  <c r="D6631" i="8"/>
  <c r="D3061" i="8"/>
  <c r="D5662" i="8"/>
  <c r="D1827" i="8"/>
  <c r="D4039" i="8"/>
  <c r="D2453" i="8"/>
  <c r="D4373" i="8"/>
  <c r="D5979" i="8"/>
  <c r="D2454" i="8"/>
  <c r="D532" i="8"/>
  <c r="D5980" i="8"/>
  <c r="D3387" i="8"/>
  <c r="D4040" i="8"/>
  <c r="D9569" i="8"/>
  <c r="D5361" i="8"/>
  <c r="D2455" i="8"/>
  <c r="D533" i="8"/>
  <c r="D9570" i="8"/>
  <c r="D1196" i="8"/>
  <c r="D8925" i="8"/>
  <c r="D5981" i="8"/>
  <c r="D7911" i="8"/>
  <c r="D1828" i="8"/>
  <c r="D8592" i="8"/>
  <c r="D9882" i="8"/>
  <c r="D6297" i="8"/>
  <c r="D4041" i="8"/>
  <c r="D9883" i="8"/>
  <c r="D204" i="8"/>
  <c r="D1829" i="8"/>
  <c r="D3719" i="8"/>
  <c r="D5019" i="8"/>
  <c r="D5663" i="8"/>
  <c r="D8593" i="8"/>
  <c r="D205" i="8"/>
  <c r="D8594" i="8"/>
  <c r="D1830" i="8"/>
  <c r="D5020" i="8"/>
  <c r="D4374" i="8"/>
  <c r="D6298" i="8"/>
  <c r="D6299" i="8"/>
  <c r="D9259" i="8"/>
  <c r="D9571" i="8"/>
  <c r="D3388" i="8"/>
  <c r="D851" i="8"/>
  <c r="D6632" i="8"/>
  <c r="D1831" i="8"/>
  <c r="D2143" i="8"/>
  <c r="D5982" i="8"/>
  <c r="D9884" i="8"/>
  <c r="D6300" i="8"/>
  <c r="D9572" i="8"/>
  <c r="D1832" i="8"/>
  <c r="D7612" i="8"/>
  <c r="D6633" i="8"/>
  <c r="D9573" i="8"/>
  <c r="D8926" i="8"/>
  <c r="D5362" i="8"/>
  <c r="D1833" i="8"/>
  <c r="D7912" i="8"/>
  <c r="D6634" i="8"/>
  <c r="D9260" i="8"/>
  <c r="D8595" i="8"/>
  <c r="D7284" i="8"/>
  <c r="D3389" i="8"/>
  <c r="D2144" i="8"/>
  <c r="D1495" i="8"/>
  <c r="D5983" i="8"/>
  <c r="D7913" i="8"/>
  <c r="D1834" i="8"/>
  <c r="D1835" i="8"/>
  <c r="D852" i="8"/>
  <c r="D6947" i="8"/>
  <c r="D8927" i="8"/>
  <c r="D5021" i="8"/>
  <c r="D7285" i="8"/>
  <c r="D1197" i="8"/>
  <c r="D9885" i="8"/>
  <c r="D7914" i="8"/>
  <c r="D7915" i="8"/>
  <c r="D9261" i="8"/>
  <c r="D853" i="8"/>
  <c r="D1496" i="8"/>
  <c r="D6301" i="8"/>
  <c r="D7613" i="8"/>
  <c r="D206" i="8"/>
  <c r="D2738" i="8"/>
  <c r="D1198" i="8"/>
  <c r="D1497" i="8"/>
  <c r="D207" i="8"/>
  <c r="D7916" i="8"/>
  <c r="D3720" i="8"/>
  <c r="D2456" i="8"/>
  <c r="D8928" i="8"/>
  <c r="D9262" i="8"/>
  <c r="D534" i="8"/>
  <c r="D9886" i="8"/>
  <c r="D4706" i="8"/>
  <c r="D9574" i="8"/>
  <c r="D9575" i="8"/>
  <c r="D9887" i="8"/>
  <c r="D9888" i="8"/>
  <c r="D1836" i="8"/>
  <c r="D6302" i="8"/>
  <c r="D5363" i="8"/>
  <c r="D5022" i="8"/>
  <c r="D3062" i="8"/>
  <c r="D3063" i="8"/>
  <c r="D7286" i="8"/>
  <c r="D7614" i="8"/>
  <c r="D2145" i="8"/>
  <c r="D7287" i="8"/>
  <c r="D5364" i="8"/>
  <c r="D854" i="8"/>
  <c r="D7615" i="8"/>
  <c r="D855" i="8"/>
  <c r="D6635" i="8"/>
  <c r="D7917" i="8"/>
  <c r="D3390" i="8"/>
  <c r="D4375" i="8"/>
  <c r="D3721" i="8"/>
  <c r="D5365" i="8"/>
  <c r="D4707" i="8"/>
  <c r="D3064" i="8"/>
  <c r="D7616" i="8"/>
  <c r="D2739" i="8"/>
  <c r="D4708" i="8"/>
  <c r="D6303" i="8"/>
  <c r="D3065" i="8"/>
  <c r="D7918" i="8"/>
  <c r="D208" i="8"/>
  <c r="D9889" i="8"/>
  <c r="D5023" i="8"/>
  <c r="D9576" i="8"/>
  <c r="D9890" i="8"/>
  <c r="D7919" i="8"/>
  <c r="D8251" i="8"/>
  <c r="D2457" i="8"/>
  <c r="D2458" i="8"/>
  <c r="D9263" i="8"/>
  <c r="D7920" i="8"/>
  <c r="D3391" i="8"/>
  <c r="D5984" i="8"/>
  <c r="D2459" i="8"/>
  <c r="D4709" i="8"/>
  <c r="D5985" i="8"/>
  <c r="D535" i="8"/>
  <c r="D3066" i="8"/>
  <c r="D6304" i="8"/>
  <c r="D5986" i="8"/>
  <c r="D5664" i="8"/>
  <c r="D6948" i="8"/>
  <c r="D7921" i="8"/>
  <c r="D5665" i="8"/>
  <c r="D5366" i="8"/>
  <c r="D5666" i="8"/>
  <c r="D6636" i="8"/>
  <c r="D3722" i="8"/>
  <c r="D6637" i="8"/>
  <c r="D8596" i="8"/>
  <c r="D1498" i="8"/>
  <c r="D1499" i="8"/>
  <c r="D536" i="8"/>
  <c r="D209" i="8"/>
  <c r="D537" i="8"/>
  <c r="D4042" i="8"/>
  <c r="D8252" i="8"/>
  <c r="D6638" i="8"/>
  <c r="D3392" i="8"/>
  <c r="D3723" i="8"/>
  <c r="D9577" i="8"/>
  <c r="D6639" i="8"/>
  <c r="D8929" i="8"/>
  <c r="D210" i="8"/>
  <c r="D5024" i="8"/>
  <c r="D1500" i="8"/>
  <c r="D1837" i="8"/>
  <c r="D211" i="8"/>
  <c r="D3067" i="8"/>
  <c r="D5025" i="8"/>
  <c r="D7288" i="8"/>
  <c r="D9891" i="8"/>
  <c r="D8253" i="8"/>
  <c r="D3068" i="8"/>
  <c r="D4376" i="8"/>
  <c r="D9578" i="8"/>
  <c r="D6949" i="8"/>
  <c r="D9892" i="8"/>
  <c r="D5367" i="8"/>
  <c r="D9579" i="8"/>
  <c r="D5368" i="8"/>
  <c r="D5987" i="8"/>
  <c r="D4377" i="8"/>
  <c r="D1501" i="8"/>
  <c r="D2740" i="8"/>
  <c r="D538" i="8"/>
  <c r="D539" i="8"/>
  <c r="D856" i="8"/>
  <c r="D2460" i="8"/>
  <c r="D1838" i="8"/>
  <c r="D6950" i="8"/>
  <c r="D9893" i="8"/>
  <c r="D5026" i="8"/>
  <c r="D2741" i="8"/>
  <c r="D3069" i="8"/>
  <c r="D1839" i="8"/>
  <c r="D857" i="8"/>
  <c r="D7289" i="8"/>
  <c r="D5667" i="8"/>
  <c r="D8930" i="8"/>
  <c r="D9264" i="8"/>
  <c r="D212" i="8"/>
  <c r="D6305" i="8"/>
  <c r="D9580" i="8"/>
  <c r="D1840" i="8"/>
  <c r="D3070" i="8"/>
  <c r="D9894" i="8"/>
  <c r="D2146" i="8"/>
  <c r="D1199" i="8"/>
  <c r="D5668" i="8"/>
  <c r="D8931" i="8"/>
  <c r="D5369" i="8"/>
  <c r="D7922" i="8"/>
  <c r="D5027" i="8"/>
  <c r="D7617" i="8"/>
  <c r="D7618" i="8"/>
  <c r="D9581" i="8"/>
  <c r="D5370" i="8"/>
  <c r="D6640" i="8"/>
  <c r="D2147" i="8"/>
  <c r="D1502" i="8"/>
  <c r="D540" i="8"/>
  <c r="D4043" i="8"/>
  <c r="D3393" i="8"/>
  <c r="D9895" i="8"/>
  <c r="D9265" i="8"/>
  <c r="D3394" i="8"/>
  <c r="D3071" i="8"/>
  <c r="D1503" i="8"/>
  <c r="D7923" i="8"/>
  <c r="D7924" i="8"/>
  <c r="D9896" i="8"/>
  <c r="D7619" i="8"/>
  <c r="D1504" i="8"/>
  <c r="D7925" i="8"/>
  <c r="D4378" i="8"/>
  <c r="D6306" i="8"/>
  <c r="D1505" i="8"/>
  <c r="D2148" i="8"/>
  <c r="D5028" i="8"/>
  <c r="D9266" i="8"/>
  <c r="D1841" i="8"/>
  <c r="D213" i="8"/>
  <c r="D5988" i="8"/>
  <c r="D8254" i="8"/>
  <c r="D1506" i="8"/>
  <c r="D7926" i="8"/>
  <c r="D8932" i="8"/>
  <c r="D4379" i="8"/>
  <c r="D6307" i="8"/>
  <c r="D6641" i="8"/>
  <c r="D541" i="8"/>
  <c r="D3724" i="8"/>
  <c r="D3725" i="8"/>
  <c r="D6642" i="8"/>
  <c r="D5669" i="8"/>
  <c r="D8255" i="8"/>
  <c r="D3072" i="8"/>
  <c r="D2149" i="8"/>
  <c r="D6643" i="8"/>
  <c r="D4044" i="8"/>
  <c r="D3395" i="8"/>
  <c r="D9267" i="8"/>
  <c r="D1507" i="8"/>
  <c r="D5989" i="8"/>
  <c r="D4710" i="8"/>
  <c r="D4711" i="8"/>
  <c r="D5670" i="8"/>
  <c r="D6951" i="8"/>
  <c r="D5029" i="8"/>
  <c r="D2461" i="8"/>
  <c r="D3396" i="8"/>
  <c r="D2150" i="8"/>
  <c r="D2742" i="8"/>
  <c r="D5371" i="8"/>
  <c r="D4045" i="8"/>
  <c r="D6308" i="8"/>
  <c r="D7620" i="8"/>
  <c r="D8933" i="8"/>
  <c r="D3397" i="8"/>
  <c r="D3398" i="8"/>
  <c r="D6644" i="8"/>
  <c r="D2151" i="8"/>
  <c r="D7290" i="8"/>
  <c r="D4046" i="8"/>
  <c r="D3726" i="8"/>
  <c r="D6645" i="8"/>
  <c r="D7291" i="8"/>
  <c r="D542" i="8"/>
  <c r="D6952" i="8"/>
  <c r="D6953" i="8"/>
  <c r="D543" i="8"/>
  <c r="D6309" i="8"/>
  <c r="D9897" i="8"/>
  <c r="D7292" i="8"/>
  <c r="D858" i="8"/>
  <c r="D7293" i="8"/>
  <c r="D6646" i="8"/>
  <c r="D544" i="8"/>
  <c r="D9268" i="8"/>
  <c r="D4712" i="8"/>
  <c r="D4380" i="8"/>
  <c r="D7927" i="8"/>
  <c r="D1508" i="8"/>
  <c r="D2152" i="8"/>
  <c r="D859" i="8"/>
  <c r="D3727" i="8"/>
  <c r="D545" i="8"/>
  <c r="D3728" i="8"/>
  <c r="D3399" i="8"/>
  <c r="D3400" i="8"/>
  <c r="D6954" i="8"/>
  <c r="D5372" i="8"/>
  <c r="D214" i="8"/>
  <c r="D3401" i="8"/>
  <c r="D7294" i="8"/>
  <c r="D860" i="8"/>
  <c r="D1200" i="8"/>
  <c r="D5990" i="8"/>
  <c r="D8256" i="8"/>
  <c r="D9582" i="8"/>
  <c r="D8597" i="8"/>
  <c r="D861" i="8"/>
  <c r="D7928" i="8"/>
  <c r="D1509" i="8"/>
  <c r="D7929" i="8"/>
  <c r="D6955" i="8"/>
  <c r="D7621" i="8"/>
  <c r="D4047" i="8"/>
  <c r="D8257" i="8"/>
  <c r="D4713" i="8"/>
  <c r="D1842" i="8"/>
  <c r="D3402" i="8"/>
  <c r="D5030" i="8"/>
  <c r="D4714" i="8"/>
  <c r="D6647" i="8"/>
  <c r="D546" i="8"/>
  <c r="D9898" i="8"/>
  <c r="D1843" i="8"/>
  <c r="D5031" i="8"/>
  <c r="D9899" i="8"/>
  <c r="D5671" i="8"/>
  <c r="D4715" i="8"/>
  <c r="D547" i="8"/>
  <c r="D2153" i="8"/>
  <c r="D2462" i="8"/>
  <c r="D3403" i="8"/>
  <c r="D4716" i="8"/>
  <c r="D9900" i="8"/>
  <c r="D8934" i="8"/>
  <c r="D6648" i="8"/>
  <c r="D8258" i="8"/>
  <c r="D1510" i="8"/>
  <c r="D8935" i="8"/>
  <c r="D6649" i="8"/>
  <c r="D7295" i="8"/>
  <c r="D8259" i="8"/>
  <c r="D2743" i="8"/>
  <c r="D7622" i="8"/>
  <c r="D2744" i="8"/>
  <c r="D1844" i="8"/>
  <c r="D6310" i="8"/>
  <c r="D9269" i="8"/>
  <c r="D3729" i="8"/>
  <c r="D548" i="8"/>
  <c r="D3404" i="8"/>
  <c r="D7296" i="8"/>
  <c r="D6311" i="8"/>
  <c r="D1845" i="8"/>
  <c r="D1846" i="8"/>
  <c r="D2463" i="8"/>
  <c r="D3730" i="8"/>
  <c r="D6650" i="8"/>
  <c r="D862" i="8"/>
  <c r="D6312" i="8"/>
  <c r="D8260" i="8"/>
  <c r="D4717" i="8"/>
  <c r="D1511" i="8"/>
  <c r="D9583" i="8"/>
  <c r="D6956" i="8"/>
  <c r="D5991" i="8"/>
  <c r="D1201" i="8"/>
  <c r="D863" i="8"/>
  <c r="D5672" i="8"/>
  <c r="D549" i="8"/>
  <c r="D1202" i="8"/>
  <c r="D5373" i="8"/>
  <c r="D4048" i="8"/>
  <c r="D5673" i="8"/>
  <c r="D8936" i="8"/>
  <c r="D4049" i="8"/>
  <c r="D550" i="8"/>
  <c r="D7297" i="8"/>
  <c r="D6313" i="8"/>
  <c r="D5374" i="8"/>
  <c r="D9584" i="8"/>
  <c r="D3073" i="8"/>
  <c r="D7298" i="8"/>
  <c r="D9585" i="8"/>
  <c r="D551" i="8"/>
  <c r="D4718" i="8"/>
  <c r="D4719" i="8"/>
  <c r="D8261" i="8"/>
  <c r="D5032" i="8"/>
  <c r="D864" i="8"/>
  <c r="D8598" i="8"/>
  <c r="D5992" i="8"/>
  <c r="D5674" i="8"/>
  <c r="D4381" i="8"/>
  <c r="D8262" i="8"/>
  <c r="D865" i="8"/>
  <c r="D4050" i="8"/>
  <c r="D7930" i="8"/>
  <c r="D5033" i="8"/>
  <c r="D5375" i="8"/>
  <c r="D6314" i="8"/>
  <c r="D5034" i="8"/>
  <c r="D3405" i="8"/>
  <c r="D9901" i="8"/>
  <c r="D7623" i="8"/>
  <c r="D2464" i="8"/>
  <c r="D7299" i="8"/>
  <c r="D3074" i="8"/>
  <c r="D1847" i="8"/>
  <c r="D1203" i="8"/>
  <c r="D4051" i="8"/>
  <c r="D6315" i="8"/>
  <c r="D8599" i="8"/>
  <c r="D3406" i="8"/>
  <c r="D5675" i="8"/>
  <c r="D9270" i="8"/>
  <c r="D7300" i="8"/>
  <c r="D1512" i="8"/>
  <c r="D8263" i="8"/>
  <c r="D3075" i="8"/>
  <c r="D2745" i="8"/>
  <c r="D9586" i="8"/>
  <c r="D866" i="8"/>
  <c r="D8937" i="8"/>
  <c r="D6316" i="8"/>
  <c r="D4720" i="8"/>
  <c r="D6957" i="8"/>
  <c r="D7301" i="8"/>
  <c r="D6317" i="8"/>
  <c r="D6318" i="8"/>
  <c r="D1848" i="8"/>
  <c r="D7931" i="8"/>
  <c r="D9271" i="8"/>
  <c r="D2154" i="8"/>
  <c r="D8938" i="8"/>
  <c r="D1513" i="8"/>
  <c r="D8939" i="8"/>
  <c r="D1514" i="8"/>
  <c r="D6651" i="8"/>
  <c r="D867" i="8"/>
  <c r="D5035" i="8"/>
  <c r="D2155" i="8"/>
  <c r="D8940" i="8"/>
  <c r="D9902" i="8"/>
  <c r="D4382" i="8"/>
  <c r="D7932" i="8"/>
  <c r="D2156" i="8"/>
  <c r="D8264" i="8"/>
  <c r="D5376" i="8"/>
  <c r="D1849" i="8"/>
  <c r="D2465" i="8"/>
  <c r="D6958" i="8"/>
  <c r="D5676" i="8"/>
  <c r="D6319" i="8"/>
  <c r="D1515" i="8"/>
  <c r="D2157" i="8"/>
  <c r="D7624" i="8"/>
  <c r="D4383" i="8"/>
  <c r="D8265" i="8"/>
  <c r="D4052" i="8"/>
  <c r="D6652" i="8"/>
  <c r="D8266" i="8"/>
  <c r="D8941" i="8"/>
  <c r="D215" i="8"/>
  <c r="D552" i="8"/>
  <c r="D2158" i="8"/>
  <c r="D5036" i="8"/>
  <c r="D868" i="8"/>
  <c r="D216" i="8"/>
  <c r="D9903" i="8"/>
  <c r="D2746" i="8"/>
  <c r="D6959" i="8"/>
  <c r="D553" i="8"/>
  <c r="D8267" i="8"/>
  <c r="D9587" i="8"/>
  <c r="D7933" i="8"/>
  <c r="D4384" i="8"/>
  <c r="D7625" i="8"/>
  <c r="D8942" i="8"/>
  <c r="D6320" i="8"/>
  <c r="D1516" i="8"/>
  <c r="D2466" i="8"/>
  <c r="D5993" i="8"/>
  <c r="D2467" i="8"/>
  <c r="D8600" i="8"/>
  <c r="D3731" i="8"/>
  <c r="D6321" i="8"/>
  <c r="D554" i="8"/>
  <c r="D3407" i="8"/>
  <c r="D3408" i="8"/>
  <c r="D8943" i="8"/>
  <c r="D555" i="8"/>
  <c r="D5377" i="8"/>
  <c r="D4721" i="8"/>
  <c r="D3732" i="8"/>
  <c r="D7934" i="8"/>
  <c r="D1850" i="8"/>
  <c r="D3733" i="8"/>
  <c r="D5037" i="8"/>
  <c r="D4722" i="8"/>
  <c r="D869" i="8"/>
  <c r="D9588" i="8"/>
  <c r="D3734" i="8"/>
  <c r="D870" i="8"/>
  <c r="D4385" i="8"/>
  <c r="D6653" i="8"/>
  <c r="D2159" i="8"/>
  <c r="D4053" i="8"/>
  <c r="D5038" i="8"/>
  <c r="D1204" i="8"/>
  <c r="D5677" i="8"/>
  <c r="D1205" i="8"/>
  <c r="D5994" i="8"/>
  <c r="D5378" i="8"/>
  <c r="D1206" i="8"/>
  <c r="D7935" i="8"/>
  <c r="D5995" i="8"/>
  <c r="D4723" i="8"/>
  <c r="D9904" i="8"/>
  <c r="D5039" i="8"/>
  <c r="D2747" i="8"/>
  <c r="D4054" i="8"/>
  <c r="D7936" i="8"/>
  <c r="D4055" i="8"/>
  <c r="D3735" i="8"/>
  <c r="D3736" i="8"/>
  <c r="D2468" i="8"/>
  <c r="D8944" i="8"/>
  <c r="D9272" i="8"/>
  <c r="D7937" i="8"/>
  <c r="D4386" i="8"/>
  <c r="D2469" i="8"/>
  <c r="D9273" i="8"/>
  <c r="D7302" i="8"/>
  <c r="D6322" i="8"/>
  <c r="D8268" i="8"/>
  <c r="D5040" i="8"/>
  <c r="D217" i="8"/>
  <c r="D1851" i="8"/>
  <c r="D1207" i="8"/>
  <c r="D7303" i="8"/>
  <c r="D4056" i="8"/>
  <c r="D4724" i="8"/>
  <c r="D7626" i="8"/>
  <c r="D8269" i="8"/>
  <c r="D5678" i="8"/>
  <c r="D4057" i="8"/>
  <c r="D7627" i="8"/>
  <c r="D2470" i="8"/>
  <c r="D3737" i="8"/>
  <c r="D2160" i="8"/>
  <c r="D8945" i="8"/>
  <c r="D6960" i="8"/>
  <c r="D1852" i="8"/>
  <c r="D1853" i="8"/>
  <c r="D2161" i="8"/>
  <c r="D2471" i="8"/>
  <c r="D5379" i="8"/>
  <c r="D8946" i="8"/>
  <c r="D4387" i="8"/>
  <c r="D2472" i="8"/>
  <c r="D6323" i="8"/>
  <c r="D1208" i="8"/>
  <c r="D4388" i="8"/>
  <c r="D6654" i="8"/>
  <c r="D6961" i="8"/>
  <c r="D9589" i="8"/>
  <c r="D3409" i="8"/>
  <c r="D6324" i="8"/>
  <c r="D2162" i="8"/>
  <c r="D3410" i="8"/>
  <c r="D2163" i="8"/>
  <c r="D2748" i="8"/>
  <c r="D1517" i="8"/>
  <c r="D6655" i="8"/>
  <c r="D9590" i="8"/>
  <c r="D6325" i="8"/>
  <c r="D556" i="8"/>
  <c r="D1518" i="8"/>
  <c r="D3411" i="8"/>
  <c r="D7304" i="8"/>
  <c r="D8947" i="8"/>
  <c r="D1519" i="8"/>
  <c r="D5380" i="8"/>
  <c r="D2473" i="8"/>
  <c r="D8270" i="8"/>
  <c r="D8271" i="8"/>
  <c r="D7628" i="8"/>
  <c r="D9274" i="8"/>
  <c r="D871" i="8"/>
  <c r="D1854" i="8"/>
  <c r="D5996" i="8"/>
  <c r="D4725" i="8"/>
  <c r="D5041" i="8"/>
  <c r="D1520" i="8"/>
  <c r="D3076" i="8"/>
  <c r="D4726" i="8"/>
  <c r="D5997" i="8"/>
  <c r="D5381" i="8"/>
  <c r="D218" i="8"/>
  <c r="D2749" i="8"/>
  <c r="D4727" i="8"/>
  <c r="D4389" i="8"/>
  <c r="D4058" i="8"/>
  <c r="D5042" i="8"/>
  <c r="D2750" i="8"/>
  <c r="D219" i="8"/>
  <c r="D6656" i="8"/>
  <c r="D5043" i="8"/>
  <c r="D1521" i="8"/>
  <c r="D220" i="8"/>
  <c r="D9905" i="8"/>
  <c r="D9591" i="8"/>
  <c r="D872" i="8"/>
  <c r="D6962" i="8"/>
  <c r="D7629" i="8"/>
  <c r="D9906" i="8"/>
  <c r="D2164" i="8"/>
  <c r="D221" i="8"/>
  <c r="D1209" i="8"/>
  <c r="D1855" i="8"/>
  <c r="D222" i="8"/>
  <c r="D9592" i="8"/>
  <c r="D7938" i="8"/>
  <c r="D9593" i="8"/>
  <c r="D1856" i="8"/>
  <c r="D1857" i="8"/>
  <c r="D2165" i="8"/>
  <c r="D3412" i="8"/>
  <c r="D873" i="8"/>
  <c r="D7939" i="8"/>
  <c r="D223" i="8"/>
  <c r="D6326" i="8"/>
  <c r="D7940" i="8"/>
  <c r="D4390" i="8"/>
  <c r="D7941" i="8"/>
  <c r="D6657" i="8"/>
  <c r="D7305" i="8"/>
  <c r="D6327" i="8"/>
  <c r="D224" i="8"/>
  <c r="D225" i="8"/>
  <c r="D2474" i="8"/>
  <c r="D3738" i="8"/>
  <c r="D874" i="8"/>
  <c r="D8272" i="8"/>
  <c r="D5998" i="8"/>
  <c r="D4391" i="8"/>
  <c r="D6658" i="8"/>
  <c r="D9594" i="8"/>
  <c r="D6963" i="8"/>
  <c r="D6659" i="8"/>
  <c r="D4059" i="8"/>
  <c r="D1858" i="8"/>
  <c r="D8601" i="8"/>
  <c r="D5999" i="8"/>
  <c r="D8273" i="8"/>
  <c r="D3077" i="8"/>
  <c r="D3739" i="8"/>
  <c r="D557" i="8"/>
  <c r="D1859" i="8"/>
  <c r="D3413" i="8"/>
  <c r="D6964" i="8"/>
  <c r="D5382" i="8"/>
  <c r="D4392" i="8"/>
  <c r="D2751" i="8"/>
  <c r="D3740" i="8"/>
  <c r="D8602" i="8"/>
  <c r="D9275" i="8"/>
  <c r="D3741" i="8"/>
  <c r="D558" i="8"/>
  <c r="D4393" i="8"/>
  <c r="D4394" i="8"/>
  <c r="D8948" i="8"/>
  <c r="D3414" i="8"/>
  <c r="D4060" i="8"/>
  <c r="D9907" i="8"/>
  <c r="D4395" i="8"/>
  <c r="D4061" i="8"/>
  <c r="D4396" i="8"/>
  <c r="D9595" i="8"/>
  <c r="D3742" i="8"/>
  <c r="D2752" i="8"/>
  <c r="D4062" i="8"/>
  <c r="D6965" i="8"/>
  <c r="D226" i="8"/>
  <c r="D2753" i="8"/>
  <c r="D1860" i="8"/>
  <c r="D227" i="8"/>
  <c r="D9908" i="8"/>
  <c r="D7942" i="8"/>
  <c r="D2475" i="8"/>
  <c r="D559" i="8"/>
  <c r="D9276" i="8"/>
  <c r="D1861" i="8"/>
  <c r="D7306" i="8"/>
  <c r="D875" i="8"/>
  <c r="D560" i="8"/>
  <c r="D2476" i="8"/>
  <c r="D4397" i="8"/>
  <c r="D9596" i="8"/>
  <c r="D6328" i="8"/>
  <c r="D2166" i="8"/>
  <c r="D5679" i="8"/>
  <c r="D561" i="8"/>
  <c r="D8949" i="8"/>
  <c r="D8950" i="8"/>
  <c r="D7307" i="8"/>
  <c r="D5044" i="8"/>
  <c r="D1210" i="8"/>
  <c r="D1862" i="8"/>
  <c r="D8274" i="8"/>
  <c r="D9277" i="8"/>
  <c r="D2754" i="8"/>
  <c r="D8275" i="8"/>
  <c r="D3078" i="8"/>
  <c r="D3415" i="8"/>
  <c r="D9278" i="8"/>
  <c r="D5045" i="8"/>
  <c r="D2167" i="8"/>
  <c r="D7308" i="8"/>
  <c r="D6329" i="8"/>
  <c r="D228" i="8"/>
  <c r="D8951" i="8"/>
  <c r="D9279" i="8"/>
  <c r="D2755" i="8"/>
  <c r="D229" i="8"/>
  <c r="D3743" i="8"/>
  <c r="D4728" i="8"/>
  <c r="D7943" i="8"/>
  <c r="D7309" i="8"/>
  <c r="D1522" i="8"/>
  <c r="D5680" i="8"/>
  <c r="D562" i="8"/>
  <c r="D9280" i="8"/>
  <c r="D2756" i="8"/>
  <c r="D1523" i="8"/>
  <c r="D6966" i="8"/>
  <c r="D2477" i="8"/>
  <c r="D9909" i="8"/>
  <c r="D9597" i="8"/>
  <c r="D6660" i="8"/>
  <c r="D4398" i="8"/>
  <c r="D9598" i="8"/>
  <c r="D5681" i="8"/>
  <c r="D2478" i="8"/>
  <c r="D5682" i="8"/>
  <c r="D9910" i="8"/>
  <c r="D563" i="8"/>
  <c r="D7310" i="8"/>
  <c r="D5683" i="8"/>
  <c r="D6330" i="8"/>
  <c r="D9281" i="8"/>
  <c r="D2168" i="8"/>
  <c r="D4399" i="8"/>
  <c r="D9599" i="8"/>
  <c r="D7944" i="8"/>
  <c r="D6967" i="8"/>
  <c r="D3416" i="8"/>
  <c r="D230" i="8"/>
  <c r="D8952" i="8"/>
  <c r="D4400" i="8"/>
  <c r="D3417" i="8"/>
  <c r="D9282" i="8"/>
  <c r="D8276" i="8"/>
  <c r="D9600" i="8"/>
  <c r="D5046" i="8"/>
  <c r="D2169" i="8"/>
  <c r="D1524" i="8"/>
  <c r="D6661" i="8"/>
  <c r="D4401" i="8"/>
  <c r="D2757" i="8"/>
  <c r="D4402" i="8"/>
  <c r="D3418" i="8"/>
  <c r="D2479" i="8"/>
  <c r="D7945" i="8"/>
  <c r="D6000" i="8"/>
  <c r="D3079" i="8"/>
  <c r="D7946" i="8"/>
  <c r="D9911" i="8"/>
  <c r="D9283" i="8"/>
  <c r="D9601" i="8"/>
  <c r="D1863" i="8"/>
  <c r="D4403" i="8"/>
  <c r="D1525" i="8"/>
  <c r="D6662" i="8"/>
  <c r="D1211" i="8"/>
  <c r="D3744" i="8"/>
  <c r="D3080" i="8"/>
  <c r="D5684" i="8"/>
  <c r="D6001" i="8"/>
  <c r="D1212" i="8"/>
  <c r="D3419" i="8"/>
  <c r="D8603" i="8"/>
  <c r="D5047" i="8"/>
  <c r="D8277" i="8"/>
  <c r="D6663" i="8"/>
  <c r="D9284" i="8"/>
  <c r="D8278" i="8"/>
  <c r="D7630" i="8"/>
  <c r="D6331" i="8"/>
  <c r="D6968" i="8"/>
  <c r="D564" i="8"/>
  <c r="D1213" i="8"/>
  <c r="D3420" i="8"/>
  <c r="D9912" i="8"/>
  <c r="D1526" i="8"/>
  <c r="D231" i="8"/>
  <c r="D3421" i="8"/>
  <c r="D3422" i="8"/>
  <c r="D6002" i="8"/>
  <c r="D1864" i="8"/>
  <c r="D5048" i="8"/>
  <c r="D2170" i="8"/>
  <c r="D6664" i="8"/>
  <c r="D3423" i="8"/>
  <c r="D4063" i="8"/>
  <c r="D4404" i="8"/>
  <c r="D4064" i="8"/>
  <c r="D7631" i="8"/>
  <c r="D5049" i="8"/>
  <c r="D1214" i="8"/>
  <c r="D1527" i="8"/>
  <c r="D8279" i="8"/>
  <c r="D5383" i="8"/>
  <c r="D1528" i="8"/>
  <c r="D9285" i="8"/>
  <c r="D565" i="8"/>
  <c r="D6969" i="8"/>
  <c r="D1529" i="8"/>
  <c r="D8953" i="8"/>
  <c r="D9286" i="8"/>
  <c r="D6332" i="8"/>
  <c r="D9913" i="8"/>
  <c r="D4729" i="8"/>
  <c r="D2480" i="8"/>
  <c r="D4065" i="8"/>
  <c r="D232" i="8"/>
  <c r="D5384" i="8"/>
  <c r="D3745" i="8"/>
  <c r="D8954" i="8"/>
  <c r="D3081" i="8"/>
  <c r="D7311" i="8"/>
  <c r="D7947" i="8"/>
  <c r="D2481" i="8"/>
  <c r="D7948" i="8"/>
  <c r="D4066" i="8"/>
  <c r="D4067" i="8"/>
  <c r="D9287" i="8"/>
  <c r="D9602" i="8"/>
  <c r="D7312" i="8"/>
  <c r="D1215" i="8"/>
  <c r="D8955" i="8"/>
  <c r="D1530" i="8"/>
  <c r="D9603" i="8"/>
  <c r="D1216" i="8"/>
  <c r="D4405" i="8"/>
  <c r="D3082" i="8"/>
  <c r="D9914" i="8"/>
  <c r="D2171" i="8"/>
  <c r="D7313" i="8"/>
  <c r="D5685" i="8"/>
  <c r="D2758" i="8"/>
  <c r="D8604" i="8"/>
  <c r="D6333" i="8"/>
  <c r="D3424" i="8"/>
  <c r="D6970" i="8"/>
  <c r="D4068" i="8"/>
  <c r="D5385" i="8"/>
  <c r="D1531" i="8"/>
  <c r="D7314" i="8"/>
  <c r="D5386" i="8"/>
  <c r="D8956" i="8"/>
  <c r="D7632" i="8"/>
  <c r="D233" i="8"/>
  <c r="D4730" i="8"/>
  <c r="D8280" i="8"/>
  <c r="D7315" i="8"/>
  <c r="D9915" i="8"/>
  <c r="D4731" i="8"/>
  <c r="D5050" i="8"/>
  <c r="D3425" i="8"/>
  <c r="D4406" i="8"/>
  <c r="D6003" i="8"/>
  <c r="D8605" i="8"/>
  <c r="D1217" i="8"/>
  <c r="D1218" i="8"/>
  <c r="D3083" i="8"/>
  <c r="D7633" i="8"/>
  <c r="D2482" i="8"/>
  <c r="D1532" i="8"/>
  <c r="D234" i="8"/>
  <c r="D2759" i="8"/>
  <c r="D2172" i="8"/>
  <c r="D4069" i="8"/>
  <c r="D3426" i="8"/>
  <c r="D876" i="8"/>
  <c r="D5051" i="8"/>
  <c r="D566" i="8"/>
  <c r="D9604" i="8"/>
  <c r="D4732" i="8"/>
  <c r="D4407" i="8"/>
  <c r="D3084" i="8"/>
  <c r="D9916" i="8"/>
  <c r="D4070" i="8"/>
  <c r="D9605" i="8"/>
  <c r="D7949" i="8"/>
  <c r="D2173" i="8"/>
  <c r="D6004" i="8"/>
  <c r="D7634" i="8"/>
  <c r="D9917" i="8"/>
  <c r="D9918" i="8"/>
  <c r="D2760" i="8"/>
  <c r="D9288" i="8"/>
  <c r="D6665" i="8"/>
  <c r="D5052" i="8"/>
  <c r="D5686" i="8"/>
  <c r="D8606" i="8"/>
  <c r="D2483" i="8"/>
  <c r="D6971" i="8"/>
  <c r="D2484" i="8"/>
  <c r="D9919" i="8"/>
  <c r="D1865" i="8"/>
  <c r="D877" i="8"/>
  <c r="D5053" i="8"/>
  <c r="D3085" i="8"/>
  <c r="D4408" i="8"/>
  <c r="D8607" i="8"/>
  <c r="D567" i="8"/>
  <c r="D1866" i="8"/>
  <c r="D3086" i="8"/>
  <c r="D6972" i="8"/>
  <c r="D568" i="8"/>
  <c r="D9606" i="8"/>
  <c r="D235" i="8"/>
  <c r="D8608" i="8"/>
  <c r="D878" i="8"/>
  <c r="D7316" i="8"/>
  <c r="D6005" i="8"/>
  <c r="D3746" i="8"/>
  <c r="D6334" i="8"/>
  <c r="D4071" i="8"/>
  <c r="D879" i="8"/>
  <c r="D7635" i="8"/>
  <c r="D3427" i="8"/>
  <c r="D569" i="8"/>
  <c r="D5687" i="8"/>
  <c r="D8281" i="8"/>
  <c r="D6666" i="8"/>
  <c r="D4409" i="8"/>
  <c r="D6667" i="8"/>
  <c r="D9920" i="8"/>
  <c r="D7636" i="8"/>
  <c r="D3428" i="8"/>
  <c r="D9289" i="8"/>
  <c r="D6973" i="8"/>
  <c r="D5688" i="8"/>
  <c r="D1219" i="8"/>
  <c r="D236" i="8"/>
  <c r="D1533" i="8"/>
  <c r="D237" i="8"/>
  <c r="D4733" i="8"/>
  <c r="D6668" i="8"/>
  <c r="D7317" i="8"/>
  <c r="D4410" i="8"/>
  <c r="D238" i="8"/>
  <c r="D8282" i="8"/>
  <c r="D4072" i="8"/>
  <c r="D8283" i="8"/>
  <c r="D3747" i="8"/>
  <c r="D2485" i="8"/>
  <c r="D8957" i="8"/>
  <c r="D1534" i="8"/>
  <c r="D8958" i="8"/>
  <c r="D8609" i="8"/>
  <c r="D3748" i="8"/>
  <c r="D4073" i="8"/>
  <c r="D880" i="8"/>
  <c r="D5387" i="8"/>
  <c r="D239" i="8"/>
  <c r="D4734" i="8"/>
  <c r="D3429" i="8"/>
  <c r="D1535" i="8"/>
  <c r="D3430" i="8"/>
  <c r="D8284" i="8"/>
  <c r="D1867" i="8"/>
  <c r="D1868" i="8"/>
  <c r="D8959" i="8"/>
  <c r="D5054" i="8"/>
  <c r="D9290" i="8"/>
  <c r="D1536" i="8"/>
  <c r="D881" i="8"/>
  <c r="D882" i="8"/>
  <c r="D1537" i="8"/>
  <c r="D2761" i="8"/>
  <c r="D883" i="8"/>
  <c r="D4411" i="8"/>
  <c r="D1538" i="8"/>
  <c r="D8960" i="8"/>
  <c r="D9607" i="8"/>
  <c r="D2174" i="8"/>
  <c r="D1539" i="8"/>
  <c r="D2486" i="8"/>
  <c r="D9921" i="8"/>
  <c r="D1220" i="8"/>
  <c r="D240" i="8"/>
  <c r="D241" i="8"/>
  <c r="D7950" i="8"/>
  <c r="D1540" i="8"/>
  <c r="D8285" i="8"/>
  <c r="D3749" i="8"/>
  <c r="D8961" i="8"/>
  <c r="D6974" i="8"/>
  <c r="D7951" i="8"/>
  <c r="D5388" i="8"/>
  <c r="D9608" i="8"/>
  <c r="D1541" i="8"/>
  <c r="D5689" i="8"/>
  <c r="D1221" i="8"/>
  <c r="D242" i="8"/>
  <c r="D2762" i="8"/>
  <c r="D8962" i="8"/>
  <c r="D9609" i="8"/>
  <c r="D4735" i="8"/>
  <c r="D6335" i="8"/>
  <c r="D570" i="8"/>
  <c r="D6336" i="8"/>
  <c r="D3087" i="8"/>
  <c r="D8610" i="8"/>
  <c r="D9610" i="8"/>
  <c r="D7637" i="8"/>
  <c r="D5055" i="8"/>
  <c r="D3750" i="8"/>
  <c r="D6006" i="8"/>
  <c r="D3088" i="8"/>
  <c r="D8611" i="8"/>
  <c r="D1222" i="8"/>
  <c r="D4736" i="8"/>
  <c r="D1869" i="8"/>
  <c r="D243" i="8"/>
  <c r="D3431" i="8"/>
  <c r="D2763" i="8"/>
  <c r="D9922" i="8"/>
  <c r="D2175" i="8"/>
  <c r="D1870" i="8"/>
  <c r="D5389" i="8"/>
  <c r="D9291" i="8"/>
  <c r="D9292" i="8"/>
  <c r="D7952" i="8"/>
  <c r="D2487" i="8"/>
  <c r="D884" i="8"/>
  <c r="D6007" i="8"/>
  <c r="D4074" i="8"/>
  <c r="D6975" i="8"/>
  <c r="D9611" i="8"/>
  <c r="D2764" i="8"/>
  <c r="D9293" i="8"/>
  <c r="D3089" i="8"/>
  <c r="D5056" i="8"/>
  <c r="D4737" i="8"/>
  <c r="D4412" i="8"/>
  <c r="D4413" i="8"/>
  <c r="D6669" i="8"/>
  <c r="D1542" i="8"/>
  <c r="D9612" i="8"/>
  <c r="D3751" i="8"/>
  <c r="D1223" i="8"/>
  <c r="D4738" i="8"/>
  <c r="D3090" i="8"/>
  <c r="D8286" i="8"/>
  <c r="D7318" i="8"/>
  <c r="D6337" i="8"/>
  <c r="D4414" i="8"/>
  <c r="D8612" i="8"/>
  <c r="D6670" i="8"/>
  <c r="D6008" i="8"/>
  <c r="D3752" i="8"/>
  <c r="D3753" i="8"/>
  <c r="D244" i="8"/>
  <c r="D5690" i="8"/>
  <c r="D4415" i="8"/>
  <c r="D245" i="8"/>
  <c r="D7953" i="8"/>
  <c r="D5057" i="8"/>
  <c r="D7319" i="8"/>
  <c r="D885" i="8"/>
  <c r="D2765" i="8"/>
  <c r="D8963" i="8"/>
  <c r="D6338" i="8"/>
  <c r="D2766" i="8"/>
  <c r="D7638" i="8"/>
  <c r="D6009" i="8"/>
  <c r="D8287" i="8"/>
  <c r="D9613" i="8"/>
  <c r="D5691" i="8"/>
  <c r="D8613" i="8"/>
  <c r="D1871" i="8"/>
  <c r="D9294" i="8"/>
  <c r="D9295" i="8"/>
  <c r="D7320" i="8"/>
  <c r="D9923" i="8"/>
  <c r="D571" i="8"/>
  <c r="D9924" i="8"/>
  <c r="D8614" i="8"/>
  <c r="D8288" i="8"/>
  <c r="D4739" i="8"/>
  <c r="D8964" i="8"/>
  <c r="D8289" i="8"/>
  <c r="D5692" i="8"/>
  <c r="D9296" i="8"/>
  <c r="D2176" i="8"/>
  <c r="D9614" i="8"/>
  <c r="D9615" i="8"/>
  <c r="D8965" i="8"/>
  <c r="D2488" i="8"/>
  <c r="D9297" i="8"/>
  <c r="D4075" i="8"/>
  <c r="D1872" i="8"/>
  <c r="D1224" i="8"/>
  <c r="D4740" i="8"/>
  <c r="D5058" i="8"/>
  <c r="D2489" i="8"/>
  <c r="D1225" i="8"/>
  <c r="D9298" i="8"/>
  <c r="D1226" i="8"/>
  <c r="D6976" i="8"/>
  <c r="D7639" i="8"/>
  <c r="D6010" i="8"/>
  <c r="D1873" i="8"/>
  <c r="D4416" i="8"/>
  <c r="D4417" i="8"/>
  <c r="D7321" i="8"/>
  <c r="D8290" i="8"/>
  <c r="D8966" i="8"/>
  <c r="D2767" i="8"/>
  <c r="D1543" i="8"/>
  <c r="D4741" i="8"/>
  <c r="D6977" i="8"/>
  <c r="D6011" i="8"/>
  <c r="D9299" i="8"/>
  <c r="D1544" i="8"/>
  <c r="D8615" i="8"/>
  <c r="D5059" i="8"/>
  <c r="D9300" i="8"/>
  <c r="D6012" i="8"/>
  <c r="D7640" i="8"/>
  <c r="D6013" i="8"/>
  <c r="D8616" i="8"/>
  <c r="D5693" i="8"/>
  <c r="D8967" i="8"/>
  <c r="D6339" i="8"/>
  <c r="D886" i="8"/>
  <c r="D246" i="8"/>
  <c r="D4076" i="8"/>
  <c r="D3754" i="8"/>
  <c r="D5060" i="8"/>
  <c r="D887" i="8"/>
  <c r="D7322" i="8"/>
  <c r="D1545" i="8"/>
  <c r="D6671" i="8"/>
  <c r="D1874" i="8"/>
  <c r="D4742" i="8"/>
  <c r="D3755" i="8"/>
  <c r="D7323" i="8"/>
  <c r="D7641" i="8"/>
  <c r="D7324" i="8"/>
  <c r="D7325" i="8"/>
  <c r="D572" i="8"/>
  <c r="D5390" i="8"/>
  <c r="D7954" i="8"/>
  <c r="D888" i="8"/>
  <c r="D1875" i="8"/>
  <c r="D4743" i="8"/>
  <c r="D3756" i="8"/>
  <c r="D247" i="8"/>
  <c r="D8968" i="8"/>
  <c r="D9616" i="8"/>
  <c r="D6672" i="8"/>
  <c r="D5061" i="8"/>
  <c r="D8617" i="8"/>
  <c r="D3432" i="8"/>
  <c r="D9617" i="8"/>
  <c r="D6014" i="8"/>
  <c r="D8969" i="8"/>
  <c r="D8970" i="8"/>
  <c r="D7955" i="8"/>
  <c r="D889" i="8"/>
  <c r="D1546" i="8"/>
  <c r="D4418" i="8"/>
  <c r="D7642" i="8"/>
  <c r="D9618" i="8"/>
  <c r="D1547" i="8"/>
  <c r="D8971" i="8"/>
  <c r="D573" i="8"/>
  <c r="D1227" i="8"/>
  <c r="D8291" i="8"/>
  <c r="D5694" i="8"/>
  <c r="D3433" i="8"/>
  <c r="D574" i="8"/>
  <c r="D9619" i="8"/>
  <c r="D3434" i="8"/>
  <c r="D248" i="8"/>
  <c r="D8292" i="8"/>
  <c r="D5062" i="8"/>
  <c r="D9301" i="8"/>
  <c r="D575" i="8"/>
  <c r="D5695" i="8"/>
  <c r="D8972" i="8"/>
  <c r="D6015" i="8"/>
  <c r="D2768" i="8"/>
  <c r="D8973" i="8"/>
  <c r="D5391" i="8"/>
  <c r="D249" i="8"/>
  <c r="D5392" i="8"/>
  <c r="D6978" i="8"/>
  <c r="D9620" i="8"/>
  <c r="D8974" i="8"/>
  <c r="D9621" i="8"/>
  <c r="D8975" i="8"/>
  <c r="D6979" i="8"/>
  <c r="D6673" i="8"/>
  <c r="D2769" i="8"/>
  <c r="D250" i="8"/>
  <c r="D7956" i="8"/>
  <c r="D4419" i="8"/>
  <c r="D8618" i="8"/>
  <c r="D251" i="8"/>
  <c r="D576" i="8"/>
  <c r="D3757" i="8"/>
  <c r="D7957" i="8"/>
  <c r="D1876" i="8"/>
  <c r="D6016" i="8"/>
  <c r="D8619" i="8"/>
  <c r="D9925" i="8"/>
  <c r="D1877" i="8"/>
  <c r="D8620" i="8"/>
  <c r="D2770" i="8"/>
  <c r="D2771" i="8"/>
  <c r="D9926" i="8"/>
  <c r="D2177" i="8"/>
  <c r="D5393" i="8"/>
  <c r="D5696" i="8"/>
  <c r="D3091" i="8"/>
  <c r="D1548" i="8"/>
  <c r="D6340" i="8"/>
  <c r="D7958" i="8"/>
  <c r="D8621" i="8"/>
  <c r="D6017" i="8"/>
  <c r="D6341" i="8"/>
  <c r="D1228" i="8"/>
  <c r="D5697" i="8"/>
  <c r="D9622" i="8"/>
  <c r="D1229" i="8"/>
  <c r="D6018" i="8"/>
  <c r="D3435" i="8"/>
  <c r="D3092" i="8"/>
  <c r="D4077" i="8"/>
  <c r="D2490" i="8"/>
  <c r="D5698" i="8"/>
  <c r="D3093" i="8"/>
  <c r="D890" i="8"/>
  <c r="D7326" i="8"/>
  <c r="D2772" i="8"/>
  <c r="D5394" i="8"/>
  <c r="D1549" i="8"/>
  <c r="D7959" i="8"/>
  <c r="D7643" i="8"/>
  <c r="D8976" i="8"/>
  <c r="D5063" i="8"/>
  <c r="D3758" i="8"/>
  <c r="D5064" i="8"/>
  <c r="D6674" i="8"/>
  <c r="D3759" i="8"/>
  <c r="D4078" i="8"/>
  <c r="D3094" i="8"/>
  <c r="D5699" i="8"/>
  <c r="D8977" i="8"/>
  <c r="D4420" i="8"/>
  <c r="D1878" i="8"/>
  <c r="D5395" i="8"/>
  <c r="D2773" i="8"/>
  <c r="D1879" i="8"/>
  <c r="D4079" i="8"/>
  <c r="D6019" i="8"/>
  <c r="D8622" i="8"/>
  <c r="D7327" i="8"/>
  <c r="D2178" i="8"/>
  <c r="D4421" i="8"/>
  <c r="D6675" i="8"/>
  <c r="D5065" i="8"/>
  <c r="D6020" i="8"/>
  <c r="D5066" i="8"/>
  <c r="D252" i="8"/>
  <c r="D9927" i="8"/>
  <c r="D2179" i="8"/>
  <c r="D3436" i="8"/>
  <c r="D1550" i="8"/>
  <c r="D4744" i="8"/>
  <c r="D5396" i="8"/>
  <c r="D6676" i="8"/>
  <c r="D6021" i="8"/>
  <c r="D8978" i="8"/>
  <c r="D577" i="8"/>
  <c r="D891" i="8"/>
  <c r="D1551" i="8"/>
  <c r="D8623" i="8"/>
  <c r="D4745" i="8"/>
  <c r="D1552" i="8"/>
  <c r="D6677" i="8"/>
  <c r="D3437" i="8"/>
  <c r="D9623" i="8"/>
  <c r="D4080" i="8"/>
  <c r="D6678" i="8"/>
  <c r="D3095" i="8"/>
  <c r="D1553" i="8"/>
  <c r="D2774" i="8"/>
  <c r="D1880" i="8"/>
  <c r="D253" i="8"/>
  <c r="D2491" i="8"/>
  <c r="D1554" i="8"/>
  <c r="D9928" i="8"/>
  <c r="D6342" i="8"/>
  <c r="D4746" i="8"/>
  <c r="D6980" i="8"/>
  <c r="D3438" i="8"/>
  <c r="D578" i="8"/>
  <c r="D7960" i="8"/>
  <c r="D5700" i="8"/>
  <c r="D1230" i="8"/>
  <c r="D8979" i="8"/>
  <c r="D8624" i="8"/>
  <c r="D4747" i="8"/>
  <c r="D1231" i="8"/>
  <c r="D4748" i="8"/>
  <c r="D8293" i="8"/>
  <c r="D4422" i="8"/>
  <c r="D8294" i="8"/>
  <c r="D8980" i="8"/>
  <c r="D9302" i="8"/>
  <c r="D1232" i="8"/>
  <c r="D3439" i="8"/>
  <c r="D1233" i="8"/>
  <c r="D4423" i="8"/>
  <c r="D1881" i="8"/>
  <c r="D3440" i="8"/>
  <c r="D4081" i="8"/>
  <c r="D6981" i="8"/>
  <c r="D6343" i="8"/>
  <c r="D1882" i="8"/>
  <c r="D8295" i="8"/>
  <c r="D6344" i="8"/>
  <c r="D7328" i="8"/>
  <c r="D8296" i="8"/>
  <c r="D7961" i="8"/>
  <c r="D4424" i="8"/>
  <c r="D9929" i="8"/>
  <c r="D7962" i="8"/>
  <c r="D6679" i="8"/>
  <c r="D7329" i="8"/>
  <c r="D9303" i="8"/>
  <c r="D6982" i="8"/>
  <c r="D2775" i="8"/>
  <c r="D9304" i="8"/>
  <c r="D3096" i="8"/>
  <c r="D9930" i="8"/>
  <c r="D2776" i="8"/>
  <c r="D2180" i="8"/>
  <c r="D8297" i="8"/>
  <c r="D9931" i="8"/>
  <c r="D2492" i="8"/>
  <c r="D6345" i="8"/>
  <c r="D6346" i="8"/>
  <c r="D254" i="8"/>
  <c r="D6022" i="8"/>
  <c r="D6983" i="8"/>
  <c r="D1555" i="8"/>
  <c r="D2493" i="8"/>
  <c r="D8981" i="8"/>
  <c r="D8298" i="8"/>
  <c r="D9932" i="8"/>
  <c r="D8299" i="8"/>
  <c r="D5067" i="8"/>
  <c r="D2777" i="8"/>
  <c r="D2494" i="8"/>
  <c r="D8982" i="8"/>
  <c r="D9933" i="8"/>
  <c r="D8625" i="8"/>
  <c r="D7330" i="8"/>
  <c r="D5397" i="8"/>
  <c r="D2181" i="8"/>
  <c r="D6680" i="8"/>
  <c r="D6347" i="8"/>
  <c r="D4082" i="8"/>
  <c r="D4749" i="8"/>
  <c r="D7644" i="8"/>
  <c r="D6023" i="8"/>
  <c r="D9305" i="8"/>
  <c r="D1234" i="8"/>
  <c r="D5701" i="8"/>
  <c r="D6984" i="8"/>
  <c r="D6348" i="8"/>
  <c r="D579" i="8"/>
  <c r="D3760" i="8"/>
  <c r="D4425" i="8"/>
  <c r="D2778" i="8"/>
  <c r="D6349" i="8"/>
  <c r="D5068" i="8"/>
  <c r="D9934" i="8"/>
  <c r="D7645" i="8"/>
  <c r="D2779" i="8"/>
  <c r="D2182" i="8"/>
  <c r="D5069" i="8"/>
  <c r="D8626" i="8"/>
  <c r="D2780" i="8"/>
  <c r="D1235" i="8"/>
  <c r="D892" i="8"/>
  <c r="D6681" i="8"/>
  <c r="D4750" i="8"/>
  <c r="D2781" i="8"/>
  <c r="D5398" i="8"/>
  <c r="D4426" i="8"/>
  <c r="D6350" i="8"/>
  <c r="D255" i="8"/>
  <c r="D9624" i="8"/>
  <c r="D5070" i="8"/>
  <c r="D2183" i="8"/>
  <c r="D4427" i="8"/>
  <c r="D7331" i="8"/>
  <c r="D6682" i="8"/>
  <c r="D2495" i="8"/>
  <c r="D3097" i="8"/>
  <c r="D6985" i="8"/>
  <c r="D9935" i="8"/>
  <c r="D4083" i="8"/>
  <c r="D7332" i="8"/>
  <c r="D9936" i="8"/>
  <c r="D2184" i="8"/>
  <c r="D893" i="8"/>
  <c r="D8983" i="8"/>
  <c r="D8300" i="8"/>
  <c r="D256" i="8"/>
  <c r="D4751" i="8"/>
  <c r="D7646" i="8"/>
  <c r="D9937" i="8"/>
  <c r="D1236" i="8"/>
  <c r="D7963" i="8"/>
  <c r="D6683" i="8"/>
  <c r="D2496" i="8"/>
  <c r="D6024" i="8"/>
  <c r="D3761" i="8"/>
  <c r="D5071" i="8"/>
  <c r="D3762" i="8"/>
  <c r="D3441" i="8"/>
  <c r="D2782" i="8"/>
  <c r="D894" i="8"/>
  <c r="D8984" i="8"/>
  <c r="D2185" i="8"/>
  <c r="D5072" i="8"/>
  <c r="D8301" i="8"/>
  <c r="D7647" i="8"/>
  <c r="D4084" i="8"/>
  <c r="D2186" i="8"/>
  <c r="D5702" i="8"/>
  <c r="D9625" i="8"/>
  <c r="D2187" i="8"/>
  <c r="D9306" i="8"/>
  <c r="D6351" i="8"/>
  <c r="D4428" i="8"/>
  <c r="D9307" i="8"/>
  <c r="D6025" i="8"/>
  <c r="D4752" i="8"/>
  <c r="D1237" i="8"/>
  <c r="D6026" i="8"/>
  <c r="D6986" i="8"/>
  <c r="D3763" i="8"/>
  <c r="D1556" i="8"/>
  <c r="D1883" i="8"/>
  <c r="D9626" i="8"/>
  <c r="D895" i="8"/>
  <c r="D580" i="8"/>
  <c r="D7648" i="8"/>
  <c r="D3764" i="8"/>
  <c r="D6684" i="8"/>
  <c r="D1557" i="8"/>
  <c r="D8985" i="8"/>
  <c r="D6987" i="8"/>
  <c r="D1238" i="8"/>
  <c r="D5703" i="8"/>
  <c r="D4753" i="8"/>
  <c r="D581" i="8"/>
  <c r="D5399" i="8"/>
  <c r="D9627" i="8"/>
  <c r="D257" i="8"/>
  <c r="D896" i="8"/>
  <c r="D4754" i="8"/>
  <c r="D2188" i="8"/>
  <c r="D8302" i="8"/>
  <c r="D2497" i="8"/>
  <c r="D6685" i="8"/>
  <c r="D3098" i="8"/>
  <c r="D8303" i="8"/>
  <c r="D6352" i="8"/>
  <c r="D6988" i="8"/>
  <c r="D5400" i="8"/>
  <c r="D9628" i="8"/>
  <c r="D4085" i="8"/>
  <c r="D5704" i="8"/>
  <c r="D8627" i="8"/>
  <c r="D897" i="8"/>
  <c r="D9629" i="8"/>
  <c r="D8304" i="8"/>
  <c r="D7649" i="8"/>
  <c r="D9630" i="8"/>
  <c r="D4429" i="8"/>
  <c r="D8628" i="8"/>
  <c r="D9938" i="8"/>
  <c r="D7650" i="8"/>
  <c r="D3765" i="8"/>
  <c r="D7651" i="8"/>
  <c r="D9308" i="8"/>
  <c r="D3442" i="8"/>
  <c r="D4755" i="8"/>
  <c r="D6989" i="8"/>
  <c r="D8629" i="8"/>
  <c r="D8305" i="8"/>
  <c r="D6686" i="8"/>
  <c r="D8306" i="8"/>
  <c r="D1558" i="8"/>
  <c r="D9939" i="8"/>
  <c r="D6353" i="8"/>
  <c r="D7333" i="8"/>
  <c r="D5401" i="8"/>
  <c r="D9309" i="8"/>
  <c r="D4756" i="8"/>
  <c r="D3443" i="8"/>
  <c r="D3766" i="8"/>
  <c r="D5073" i="8"/>
  <c r="D7964" i="8"/>
  <c r="D5074" i="8"/>
  <c r="D2189" i="8"/>
  <c r="D6354" i="8"/>
  <c r="D2190" i="8"/>
  <c r="D1559" i="8"/>
  <c r="D9940" i="8"/>
  <c r="D2783" i="8"/>
  <c r="D6990" i="8"/>
  <c r="D6991" i="8"/>
  <c r="D2784" i="8"/>
  <c r="D2498" i="8"/>
  <c r="D1884" i="8"/>
  <c r="D5705" i="8"/>
  <c r="D7652" i="8"/>
  <c r="D9631" i="8"/>
  <c r="D6355" i="8"/>
  <c r="D3767" i="8"/>
  <c r="D9310" i="8"/>
  <c r="D9632" i="8"/>
  <c r="D8307" i="8"/>
  <c r="D6356" i="8"/>
  <c r="D3768" i="8"/>
  <c r="D4430" i="8"/>
  <c r="D4757" i="8"/>
  <c r="D7965" i="8"/>
  <c r="D7334" i="8"/>
  <c r="D1239" i="8"/>
  <c r="D4758" i="8"/>
  <c r="D258" i="8"/>
  <c r="D9633" i="8"/>
  <c r="D7966" i="8"/>
  <c r="D7653" i="8"/>
  <c r="D898" i="8"/>
  <c r="D8986" i="8"/>
  <c r="D1560" i="8"/>
  <c r="D259" i="8"/>
  <c r="D6027" i="8"/>
  <c r="D1561" i="8"/>
  <c r="D7335" i="8"/>
  <c r="D7967" i="8"/>
  <c r="D1240" i="8"/>
  <c r="D1241" i="8"/>
  <c r="D8630" i="8"/>
  <c r="D7654" i="8"/>
  <c r="D9634" i="8"/>
  <c r="D9311" i="8"/>
  <c r="D6687" i="8"/>
  <c r="D7655" i="8"/>
  <c r="D9941" i="8"/>
  <c r="D3444" i="8"/>
  <c r="D2191" i="8"/>
  <c r="D8631" i="8"/>
  <c r="D9942" i="8"/>
  <c r="D7968" i="8"/>
  <c r="D8632" i="8"/>
  <c r="D8987" i="8"/>
  <c r="D5706" i="8"/>
  <c r="D7336" i="8"/>
  <c r="D2499" i="8"/>
  <c r="D8988" i="8"/>
  <c r="D2785" i="8"/>
  <c r="D9312" i="8"/>
  <c r="D899" i="8"/>
  <c r="D900" i="8"/>
  <c r="D4431" i="8"/>
  <c r="D3445" i="8"/>
  <c r="D6688" i="8"/>
  <c r="D1885" i="8"/>
  <c r="D5707" i="8"/>
  <c r="D6992" i="8"/>
  <c r="D260" i="8"/>
  <c r="D1886" i="8"/>
  <c r="D4759" i="8"/>
  <c r="D4760" i="8"/>
  <c r="D2786" i="8"/>
  <c r="D8308" i="8"/>
  <c r="D4432" i="8"/>
  <c r="D9635" i="8"/>
  <c r="D6689" i="8"/>
  <c r="D3769" i="8"/>
  <c r="D9943" i="8"/>
  <c r="D6690" i="8"/>
  <c r="D261" i="8"/>
  <c r="D7969" i="8"/>
  <c r="D1562" i="8"/>
  <c r="D9944" i="8"/>
  <c r="D7656" i="8"/>
  <c r="D9313" i="8"/>
  <c r="D2192" i="8"/>
  <c r="D7337" i="8"/>
  <c r="D9314" i="8"/>
  <c r="D901" i="8"/>
  <c r="D6028" i="8"/>
  <c r="D262" i="8"/>
  <c r="D6357" i="8"/>
  <c r="D8309" i="8"/>
  <c r="D9636" i="8"/>
  <c r="D9637" i="8"/>
  <c r="D8310" i="8"/>
  <c r="D902" i="8"/>
  <c r="D5075" i="8"/>
  <c r="D1242" i="8"/>
  <c r="D5402" i="8"/>
  <c r="D4086" i="8"/>
  <c r="D1243" i="8"/>
  <c r="D3446" i="8"/>
  <c r="D1887" i="8"/>
  <c r="D5076" i="8"/>
  <c r="D6029" i="8"/>
  <c r="D2193" i="8"/>
  <c r="D1244" i="8"/>
  <c r="D582" i="8"/>
  <c r="D6030" i="8"/>
  <c r="D1563" i="8"/>
  <c r="D6031" i="8"/>
  <c r="D8633" i="8"/>
  <c r="D2500" i="8"/>
  <c r="D903" i="8"/>
  <c r="D4433" i="8"/>
  <c r="D1564" i="8"/>
  <c r="D4761" i="8"/>
  <c r="D2194" i="8"/>
  <c r="D2195" i="8"/>
  <c r="D5708" i="8"/>
  <c r="D7657" i="8"/>
  <c r="D4087" i="8"/>
  <c r="D7970" i="8"/>
  <c r="D1245" i="8"/>
  <c r="D7658" i="8"/>
  <c r="D3770" i="8"/>
  <c r="D3447" i="8"/>
  <c r="D7971" i="8"/>
  <c r="D5403" i="8"/>
  <c r="D3771" i="8"/>
  <c r="D6691" i="8"/>
  <c r="D6032" i="8"/>
  <c r="D5709" i="8"/>
  <c r="D8989" i="8"/>
  <c r="D583" i="8"/>
  <c r="D8311" i="8"/>
  <c r="D3099" i="8"/>
  <c r="D6358" i="8"/>
  <c r="D8312" i="8"/>
  <c r="D2787" i="8"/>
  <c r="D1888" i="8"/>
  <c r="D3772" i="8"/>
  <c r="D2501" i="8"/>
  <c r="D1889" i="8"/>
  <c r="D584" i="8"/>
  <c r="D2196" i="8"/>
  <c r="D2197" i="8"/>
  <c r="D2788" i="8"/>
  <c r="D7659" i="8"/>
  <c r="D4088" i="8"/>
  <c r="D7660" i="8"/>
  <c r="D1246" i="8"/>
  <c r="D4434" i="8"/>
  <c r="D5404" i="8"/>
  <c r="D2198" i="8"/>
  <c r="D9945" i="8"/>
  <c r="D2502" i="8"/>
  <c r="D9638" i="8"/>
  <c r="D2503" i="8"/>
  <c r="D904" i="8"/>
  <c r="D3773" i="8"/>
  <c r="D7338" i="8"/>
  <c r="D7972" i="8"/>
  <c r="D5405" i="8"/>
  <c r="D8990" i="8"/>
  <c r="D2504" i="8"/>
  <c r="D4762" i="8"/>
  <c r="D585" i="8"/>
  <c r="D4089" i="8"/>
  <c r="D7661" i="8"/>
  <c r="D4763" i="8"/>
  <c r="D4764" i="8"/>
  <c r="D2199" i="8"/>
  <c r="D6692" i="8"/>
  <c r="D5710" i="8"/>
  <c r="D3774" i="8"/>
  <c r="D8313" i="8"/>
  <c r="D2200" i="8"/>
  <c r="D3100" i="8"/>
  <c r="D2201" i="8"/>
  <c r="D9639" i="8"/>
  <c r="D9946" i="8"/>
  <c r="D8991" i="8"/>
  <c r="D3101" i="8"/>
  <c r="D9947" i="8"/>
  <c r="D4765" i="8"/>
  <c r="D4090" i="8"/>
  <c r="D3102" i="8"/>
  <c r="D6033" i="8"/>
  <c r="D263" i="8"/>
  <c r="D586" i="8"/>
  <c r="D9315" i="8"/>
  <c r="D9316" i="8"/>
  <c r="D8992" i="8"/>
  <c r="D8634" i="8"/>
  <c r="D6034" i="8"/>
  <c r="D4091" i="8"/>
  <c r="D5711" i="8"/>
  <c r="D264" i="8"/>
  <c r="D9317" i="8"/>
  <c r="D4092" i="8"/>
  <c r="D9948" i="8"/>
  <c r="D4093" i="8"/>
  <c r="D265" i="8"/>
  <c r="D5077" i="8"/>
  <c r="D6035" i="8"/>
  <c r="D3448" i="8"/>
  <c r="D7339" i="8"/>
  <c r="D6036" i="8"/>
  <c r="D6037" i="8"/>
  <c r="D2505" i="8"/>
  <c r="D8314" i="8"/>
  <c r="D9318" i="8"/>
  <c r="D4435" i="8"/>
  <c r="D587" i="8"/>
  <c r="D5712" i="8"/>
  <c r="D6993" i="8"/>
  <c r="D266" i="8"/>
  <c r="D9640" i="8"/>
  <c r="D3775" i="8"/>
  <c r="D9949" i="8"/>
  <c r="D9950" i="8"/>
  <c r="D3103" i="8"/>
  <c r="D905" i="8"/>
  <c r="D5713" i="8"/>
  <c r="D6994" i="8"/>
  <c r="D3776" i="8"/>
  <c r="D3777" i="8"/>
  <c r="D1247" i="8"/>
  <c r="D7340" i="8"/>
  <c r="D8993" i="8"/>
  <c r="D588" i="8"/>
  <c r="D7341" i="8"/>
  <c r="D6693" i="8"/>
  <c r="D7973" i="8"/>
  <c r="D8635" i="8"/>
  <c r="D7662" i="8"/>
  <c r="D5078" i="8"/>
  <c r="D1890" i="8"/>
  <c r="D5406" i="8"/>
  <c r="D5714" i="8"/>
  <c r="D1565" i="8"/>
  <c r="D6359" i="8"/>
  <c r="D6694" i="8"/>
  <c r="D3778" i="8"/>
  <c r="D8315" i="8"/>
  <c r="D9319" i="8"/>
  <c r="D4436" i="8"/>
  <c r="D8636" i="8"/>
  <c r="D5079" i="8"/>
  <c r="D4766" i="8"/>
  <c r="D3779" i="8"/>
  <c r="D9951" i="8"/>
  <c r="D267" i="8"/>
  <c r="D7663" i="8"/>
  <c r="D3104" i="8"/>
  <c r="D6695" i="8"/>
  <c r="D9641" i="8"/>
  <c r="D5407" i="8"/>
  <c r="D4767" i="8"/>
  <c r="D1248" i="8"/>
  <c r="D8316" i="8"/>
  <c r="D9952" i="8"/>
  <c r="D8637" i="8"/>
  <c r="D2789" i="8"/>
  <c r="D3449" i="8"/>
  <c r="D4094" i="8"/>
  <c r="D3780" i="8"/>
  <c r="D9642" i="8"/>
  <c r="D2202" i="8"/>
  <c r="D1891" i="8"/>
  <c r="D2506" i="8"/>
  <c r="D9953" i="8"/>
  <c r="D6696" i="8"/>
  <c r="D9954" i="8"/>
  <c r="D906" i="8"/>
  <c r="D7342" i="8"/>
  <c r="D3105" i="8"/>
  <c r="D3106" i="8"/>
  <c r="D7664" i="8"/>
  <c r="D3781" i="8"/>
  <c r="D4768" i="8"/>
  <c r="D4769" i="8"/>
  <c r="D5080" i="8"/>
  <c r="D6038" i="8"/>
  <c r="D4095" i="8"/>
  <c r="D3782" i="8"/>
  <c r="D8317" i="8"/>
  <c r="D1249" i="8"/>
  <c r="D5715" i="8"/>
  <c r="D9320" i="8"/>
  <c r="D9643" i="8"/>
  <c r="D907" i="8"/>
  <c r="D2203" i="8"/>
  <c r="D6995" i="8"/>
  <c r="D5081" i="8"/>
  <c r="D7974" i="8"/>
  <c r="D2204" i="8"/>
  <c r="D6996" i="8"/>
  <c r="D5716" i="8"/>
  <c r="D5717" i="8"/>
  <c r="D8638" i="8"/>
  <c r="D8318" i="8"/>
  <c r="D8639" i="8"/>
  <c r="D9321" i="8"/>
  <c r="D7975" i="8"/>
  <c r="D9955" i="8"/>
  <c r="D3450" i="8"/>
  <c r="D7343" i="8"/>
  <c r="D268" i="8"/>
  <c r="D4437" i="8"/>
  <c r="D1566" i="8"/>
  <c r="D908" i="8"/>
  <c r="D1250" i="8"/>
  <c r="D269" i="8"/>
  <c r="D6697" i="8"/>
  <c r="D1251" i="8"/>
  <c r="D5082" i="8"/>
  <c r="D1567" i="8"/>
  <c r="D270" i="8"/>
  <c r="D1252" i="8"/>
  <c r="D6360" i="8"/>
  <c r="D6361" i="8"/>
  <c r="D4096" i="8"/>
  <c r="D1253" i="8"/>
  <c r="D4097" i="8"/>
  <c r="D1568" i="8"/>
  <c r="D8319" i="8"/>
  <c r="D909" i="8"/>
  <c r="D4098" i="8"/>
  <c r="D3783" i="8"/>
  <c r="D6039" i="8"/>
  <c r="D1569" i="8"/>
  <c r="D5083" i="8"/>
  <c r="D910" i="8"/>
  <c r="D9956" i="8"/>
  <c r="D1570" i="8"/>
  <c r="D8994" i="8"/>
  <c r="D9322" i="8"/>
  <c r="D4770" i="8"/>
  <c r="D5084" i="8"/>
  <c r="D911" i="8"/>
  <c r="D912" i="8"/>
  <c r="D2790" i="8"/>
  <c r="D3107" i="8"/>
  <c r="D2791" i="8"/>
  <c r="D8640" i="8"/>
  <c r="D9957" i="8"/>
  <c r="D271" i="8"/>
  <c r="D9958" i="8"/>
  <c r="D2205" i="8"/>
  <c r="D7976" i="8"/>
  <c r="D913" i="8"/>
  <c r="D1254" i="8"/>
  <c r="D589" i="8"/>
  <c r="D8995" i="8"/>
  <c r="D9323" i="8"/>
  <c r="D1255" i="8"/>
  <c r="D9644" i="8"/>
  <c r="D7344" i="8"/>
  <c r="D8996" i="8"/>
  <c r="D3784" i="8"/>
  <c r="D5408" i="8"/>
  <c r="D7345" i="8"/>
  <c r="D5085" i="8"/>
  <c r="D6362" i="8"/>
  <c r="D1892" i="8"/>
  <c r="D7346" i="8"/>
  <c r="D8641" i="8"/>
  <c r="D1893" i="8"/>
  <c r="D1894" i="8"/>
  <c r="D7347" i="8"/>
  <c r="D9324" i="8"/>
  <c r="D7665" i="8"/>
  <c r="D8320" i="8"/>
  <c r="D5086" i="8"/>
  <c r="D1571" i="8"/>
  <c r="D8642" i="8"/>
  <c r="D2507" i="8"/>
  <c r="D8643" i="8"/>
  <c r="D5718" i="8"/>
  <c r="D590" i="8"/>
  <c r="D1895" i="8"/>
  <c r="D6040" i="8"/>
  <c r="D2792" i="8"/>
  <c r="D914" i="8"/>
  <c r="D591" i="8"/>
  <c r="D7666" i="8"/>
  <c r="D7348" i="8"/>
  <c r="D2793" i="8"/>
  <c r="D592" i="8"/>
  <c r="D7977" i="8"/>
  <c r="D8997" i="8"/>
  <c r="D3785" i="8"/>
  <c r="D3451" i="8"/>
  <c r="D8321" i="8"/>
  <c r="D8644" i="8"/>
  <c r="D8322" i="8"/>
  <c r="D1256" i="8"/>
  <c r="D4771" i="8"/>
  <c r="D7667" i="8"/>
  <c r="D5409" i="8"/>
  <c r="D9959" i="8"/>
  <c r="D3786" i="8"/>
  <c r="D7349" i="8"/>
  <c r="D9645" i="8"/>
  <c r="D7350" i="8"/>
  <c r="D1572" i="8"/>
  <c r="D5410" i="8"/>
  <c r="D8323" i="8"/>
  <c r="D3452" i="8"/>
  <c r="D5087" i="8"/>
  <c r="D4099" i="8"/>
  <c r="D8998" i="8"/>
  <c r="D4438" i="8"/>
  <c r="D7978" i="8"/>
  <c r="D9325" i="8"/>
  <c r="D1257" i="8"/>
  <c r="D5411" i="8"/>
  <c r="D8324" i="8"/>
  <c r="D1573" i="8"/>
  <c r="D9326" i="8"/>
  <c r="D6698" i="8"/>
  <c r="D9646" i="8"/>
  <c r="D272" i="8"/>
  <c r="D9647" i="8"/>
  <c r="D915" i="8"/>
  <c r="D1896" i="8"/>
  <c r="D8645" i="8"/>
  <c r="D8325" i="8"/>
  <c r="D9327" i="8"/>
  <c r="D1574" i="8"/>
  <c r="D273" i="8"/>
  <c r="D1897" i="8"/>
  <c r="D5719" i="8"/>
  <c r="D8646" i="8"/>
  <c r="D7351" i="8"/>
  <c r="D3453" i="8"/>
  <c r="D3454" i="8"/>
  <c r="D5088" i="8"/>
  <c r="D2206" i="8"/>
  <c r="D593" i="8"/>
  <c r="D6363" i="8"/>
  <c r="D8999" i="8"/>
  <c r="D2207" i="8"/>
  <c r="D2208" i="8"/>
  <c r="D6997" i="8"/>
  <c r="D7352" i="8"/>
  <c r="D1575" i="8"/>
  <c r="D3455" i="8"/>
  <c r="D8647" i="8"/>
  <c r="D6998" i="8"/>
  <c r="D6999" i="8"/>
  <c r="D9000" i="8"/>
  <c r="D3787" i="8"/>
  <c r="D916" i="8"/>
  <c r="D7000" i="8"/>
  <c r="D6699" i="8"/>
  <c r="D5412" i="8"/>
  <c r="D9648" i="8"/>
  <c r="D1576" i="8"/>
  <c r="D7668" i="8"/>
  <c r="D1577" i="8"/>
  <c r="D2794" i="8"/>
  <c r="D3108" i="8"/>
  <c r="D3456" i="8"/>
  <c r="D1258" i="8"/>
  <c r="D5413" i="8"/>
  <c r="D6700" i="8"/>
  <c r="D2795" i="8"/>
  <c r="D1578" i="8"/>
  <c r="D9960" i="8"/>
  <c r="D4772" i="8"/>
  <c r="D9328" i="8"/>
  <c r="D9649" i="8"/>
  <c r="D1259" i="8"/>
  <c r="D8326" i="8"/>
  <c r="D4773" i="8"/>
  <c r="D6364" i="8"/>
  <c r="D4439" i="8"/>
  <c r="D1579" i="8"/>
  <c r="D7669" i="8"/>
  <c r="D3457" i="8"/>
  <c r="D9329" i="8"/>
  <c r="D4774" i="8"/>
  <c r="D7353" i="8"/>
  <c r="D4100" i="8"/>
  <c r="D3458" i="8"/>
  <c r="D4101" i="8"/>
  <c r="D8327" i="8"/>
  <c r="D6701" i="8"/>
  <c r="D9001" i="8"/>
  <c r="D7670" i="8"/>
  <c r="D8328" i="8"/>
  <c r="D5414" i="8"/>
  <c r="D9002" i="8"/>
  <c r="D6041" i="8"/>
  <c r="D7979" i="8"/>
  <c r="D9650" i="8"/>
  <c r="D4102" i="8"/>
  <c r="D1580" i="8"/>
  <c r="D1260" i="8"/>
  <c r="D274" i="8"/>
  <c r="D8329" i="8"/>
  <c r="D7671" i="8"/>
  <c r="D8330" i="8"/>
  <c r="D275" i="8"/>
  <c r="D7001" i="8"/>
  <c r="D3788" i="8"/>
  <c r="D4775" i="8"/>
  <c r="D9330" i="8"/>
  <c r="D7002" i="8"/>
  <c r="D2508" i="8"/>
  <c r="D1261" i="8"/>
  <c r="D8648" i="8"/>
  <c r="D9331" i="8"/>
  <c r="D4776" i="8"/>
  <c r="D9332" i="8"/>
  <c r="D4103" i="8"/>
  <c r="D1898" i="8"/>
  <c r="D594" i="8"/>
  <c r="D2209" i="8"/>
  <c r="D5089" i="8"/>
  <c r="D5415" i="8"/>
  <c r="D1262" i="8"/>
  <c r="D276" i="8"/>
  <c r="D1581" i="8"/>
  <c r="D6365" i="8"/>
  <c r="D8649" i="8"/>
  <c r="D917" i="8"/>
  <c r="D4104" i="8"/>
  <c r="D6366" i="8"/>
  <c r="D9003" i="8"/>
  <c r="D2210" i="8"/>
  <c r="D918" i="8"/>
  <c r="D2509" i="8"/>
  <c r="D2211" i="8"/>
  <c r="D5416" i="8"/>
  <c r="D1582" i="8"/>
  <c r="D4440" i="8"/>
  <c r="D6367" i="8"/>
  <c r="D2796" i="8"/>
  <c r="D3109" i="8"/>
  <c r="D5720" i="8"/>
  <c r="D8331" i="8"/>
  <c r="D3110" i="8"/>
  <c r="D4441" i="8"/>
  <c r="D3789" i="8"/>
  <c r="D6702" i="8"/>
  <c r="D1899" i="8"/>
  <c r="D4777" i="8"/>
  <c r="D9961" i="8"/>
  <c r="D9333" i="8"/>
  <c r="D4442" i="8"/>
  <c r="D5721" i="8"/>
  <c r="D1263" i="8"/>
  <c r="D6703" i="8"/>
  <c r="D919" i="8"/>
  <c r="D9962" i="8"/>
  <c r="D4105" i="8"/>
  <c r="D3790" i="8"/>
  <c r="D920" i="8"/>
  <c r="D4778" i="8"/>
  <c r="D9651" i="8"/>
  <c r="D2212" i="8"/>
  <c r="D3791" i="8"/>
  <c r="D4443" i="8"/>
  <c r="D8650" i="8"/>
  <c r="D3459" i="8"/>
  <c r="D9963" i="8"/>
  <c r="D5722" i="8"/>
  <c r="D2213" i="8"/>
  <c r="D7980" i="8"/>
  <c r="D7354" i="8"/>
  <c r="D6368" i="8"/>
  <c r="D1583" i="8"/>
  <c r="D2510" i="8"/>
  <c r="D9334" i="8"/>
  <c r="D9004" i="8"/>
  <c r="D921" i="8"/>
  <c r="D9964" i="8"/>
  <c r="D7672" i="8"/>
  <c r="D8332" i="8"/>
  <c r="D5723" i="8"/>
  <c r="D5090" i="8"/>
  <c r="D7355" i="8"/>
  <c r="D9965" i="8"/>
  <c r="D7981" i="8"/>
  <c r="D3792" i="8"/>
  <c r="D6704" i="8"/>
  <c r="D3793" i="8"/>
  <c r="D2511" i="8"/>
  <c r="D7673" i="8"/>
  <c r="D7674" i="8"/>
  <c r="D922" i="8"/>
  <c r="D1584" i="8"/>
  <c r="D1264" i="8"/>
  <c r="D923" i="8"/>
  <c r="D5724" i="8"/>
  <c r="D6369" i="8"/>
  <c r="D1900" i="8"/>
  <c r="D9005" i="8"/>
  <c r="D7675" i="8"/>
  <c r="D3460" i="8"/>
  <c r="D6370" i="8"/>
  <c r="D3461" i="8"/>
  <c r="D4106" i="8"/>
  <c r="D2797" i="8"/>
  <c r="D3111" i="8"/>
  <c r="D1585" i="8"/>
  <c r="D1901" i="8"/>
  <c r="D4444" i="8"/>
  <c r="D1902" i="8"/>
  <c r="D3794" i="8"/>
  <c r="D3462" i="8"/>
  <c r="D7356" i="8"/>
  <c r="D4107" i="8"/>
  <c r="D6042" i="8"/>
  <c r="D5417" i="8"/>
  <c r="D5418" i="8"/>
  <c r="D3112" i="8"/>
  <c r="D7003" i="8"/>
  <c r="D9652" i="8"/>
  <c r="D4108" i="8"/>
  <c r="D9006" i="8"/>
  <c r="D6705" i="8"/>
  <c r="D277" i="8"/>
  <c r="D9007" i="8"/>
  <c r="D5419" i="8"/>
  <c r="D6371" i="8"/>
  <c r="D3113" i="8"/>
  <c r="D8333" i="8"/>
  <c r="D2798" i="8"/>
  <c r="D6043" i="8"/>
  <c r="D9008" i="8"/>
  <c r="D7004" i="8"/>
  <c r="D2512" i="8"/>
  <c r="D5091" i="8"/>
  <c r="D7676" i="8"/>
  <c r="D278" i="8"/>
  <c r="D2513" i="8"/>
  <c r="D924" i="8"/>
  <c r="D6706" i="8"/>
  <c r="D4445" i="8"/>
  <c r="D4779" i="8"/>
  <c r="D2214" i="8"/>
  <c r="D7005" i="8"/>
  <c r="D5420" i="8"/>
  <c r="D2514" i="8"/>
  <c r="D4109" i="8"/>
  <c r="D5725" i="8"/>
  <c r="D6707" i="8"/>
  <c r="D6372" i="8"/>
  <c r="D6708" i="8"/>
  <c r="D925" i="8"/>
  <c r="D595" i="8"/>
  <c r="D8651" i="8"/>
  <c r="D6373" i="8"/>
  <c r="D6374" i="8"/>
  <c r="D3114" i="8"/>
  <c r="D3795" i="8"/>
  <c r="D9335" i="8"/>
  <c r="D9336" i="8"/>
  <c r="D3796" i="8"/>
  <c r="D7006" i="8"/>
  <c r="D5726" i="8"/>
  <c r="D9966" i="8"/>
  <c r="D4110" i="8"/>
  <c r="D1265" i="8"/>
  <c r="D8652" i="8"/>
  <c r="D6709" i="8"/>
  <c r="D6710" i="8"/>
  <c r="D3463" i="8"/>
  <c r="D5727" i="8"/>
  <c r="D9653" i="8"/>
  <c r="D596" i="8"/>
  <c r="D2799" i="8"/>
  <c r="D8334" i="8"/>
  <c r="D4111" i="8"/>
  <c r="D6711" i="8"/>
  <c r="D1903" i="8"/>
  <c r="D4112" i="8"/>
  <c r="D2800" i="8"/>
  <c r="D5092" i="8"/>
  <c r="D1266" i="8"/>
  <c r="D8653" i="8"/>
  <c r="D2515" i="8"/>
  <c r="D1586" i="8"/>
  <c r="D279" i="8"/>
  <c r="D4446" i="8"/>
  <c r="D926" i="8"/>
  <c r="D2215" i="8"/>
  <c r="D8335" i="8"/>
  <c r="D8654" i="8"/>
  <c r="D1267" i="8"/>
  <c r="D4113" i="8"/>
  <c r="D3115" i="8"/>
  <c r="D7677" i="8"/>
  <c r="D7007" i="8"/>
  <c r="D2516" i="8"/>
  <c r="D7357" i="8"/>
  <c r="D9654" i="8"/>
  <c r="D7982" i="8"/>
  <c r="D2801" i="8"/>
  <c r="D2517" i="8"/>
  <c r="D9655" i="8"/>
  <c r="D8336" i="8"/>
  <c r="D4447" i="8"/>
  <c r="D4114" i="8"/>
  <c r="D5421" i="8"/>
  <c r="D5728" i="8"/>
  <c r="D3797" i="8"/>
  <c r="D9967" i="8"/>
  <c r="D9337" i="8"/>
  <c r="D1904" i="8"/>
  <c r="D927" i="8"/>
  <c r="D7983" i="8"/>
  <c r="D2216" i="8"/>
  <c r="D3798" i="8"/>
  <c r="D1905" i="8"/>
  <c r="D6375" i="8"/>
  <c r="D280" i="8"/>
  <c r="D5093" i="8"/>
  <c r="D5729" i="8"/>
  <c r="D4780" i="8"/>
  <c r="D6044" i="8"/>
  <c r="D7008" i="8"/>
  <c r="D6376" i="8"/>
  <c r="D5094" i="8"/>
  <c r="D4448" i="8"/>
  <c r="D5730" i="8"/>
  <c r="D8337" i="8"/>
  <c r="D9656" i="8"/>
  <c r="D1906" i="8"/>
  <c r="D7984" i="8"/>
  <c r="D6045" i="8"/>
  <c r="D4449" i="8"/>
  <c r="D6046" i="8"/>
  <c r="D1907" i="8"/>
  <c r="D8655" i="8"/>
  <c r="D5095" i="8"/>
  <c r="D5422" i="8"/>
  <c r="D5731" i="8"/>
  <c r="D5732" i="8"/>
  <c r="D7358" i="8"/>
  <c r="D3464" i="8"/>
  <c r="D5733" i="8"/>
  <c r="D5734" i="8"/>
  <c r="D1587" i="8"/>
  <c r="D7678" i="8"/>
  <c r="D7985" i="8"/>
  <c r="D281" i="8"/>
  <c r="D4115" i="8"/>
  <c r="D5735" i="8"/>
  <c r="D1268" i="8"/>
  <c r="D2518" i="8"/>
  <c r="D7679" i="8"/>
  <c r="D928" i="8"/>
  <c r="D3465" i="8"/>
  <c r="D2217" i="8"/>
  <c r="D4450" i="8"/>
  <c r="D4781" i="8"/>
  <c r="D6712" i="8"/>
  <c r="D4116" i="8"/>
  <c r="D4117" i="8"/>
  <c r="D2519" i="8"/>
  <c r="D7009" i="8"/>
  <c r="D2218" i="8"/>
  <c r="D6713" i="8"/>
  <c r="D2520" i="8"/>
  <c r="D2521" i="8"/>
  <c r="D4118" i="8"/>
  <c r="D1269" i="8"/>
  <c r="D3799" i="8"/>
  <c r="D282" i="8"/>
  <c r="D3800" i="8"/>
  <c r="D5736" i="8"/>
  <c r="D7986" i="8"/>
  <c r="D6377" i="8"/>
  <c r="D6047" i="8"/>
  <c r="D7010" i="8"/>
  <c r="D2802" i="8"/>
  <c r="D7680" i="8"/>
  <c r="D4782" i="8"/>
  <c r="D9338" i="8"/>
  <c r="D2219" i="8"/>
  <c r="D6378" i="8"/>
  <c r="D3801" i="8"/>
  <c r="D7681" i="8"/>
  <c r="D1270" i="8"/>
  <c r="D4119" i="8"/>
  <c r="D3466" i="8"/>
  <c r="D2522" i="8"/>
  <c r="D2803" i="8"/>
  <c r="D4120" i="8"/>
  <c r="D7987" i="8"/>
  <c r="D6714" i="8"/>
  <c r="D9339" i="8"/>
  <c r="D4451" i="8"/>
  <c r="D9009" i="8"/>
  <c r="D929" i="8"/>
  <c r="D597" i="8"/>
  <c r="D3802" i="8"/>
  <c r="D9340" i="8"/>
  <c r="D1908" i="8"/>
  <c r="D8656" i="8"/>
  <c r="D4121" i="8"/>
  <c r="D8657" i="8"/>
  <c r="D8658" i="8"/>
  <c r="D8338" i="8"/>
  <c r="D7359" i="8"/>
  <c r="D6048" i="8"/>
  <c r="D9968" i="8"/>
  <c r="D1588" i="8"/>
  <c r="D4452" i="8"/>
  <c r="D6379" i="8"/>
  <c r="D3467" i="8"/>
  <c r="D9341" i="8"/>
  <c r="D5096" i="8"/>
  <c r="D7988" i="8"/>
  <c r="D7360" i="8"/>
  <c r="D5423" i="8"/>
  <c r="D930" i="8"/>
  <c r="D3116" i="8"/>
  <c r="D6380" i="8"/>
  <c r="D5737" i="8"/>
  <c r="D3803" i="8"/>
  <c r="D9342" i="8"/>
  <c r="D2804" i="8"/>
  <c r="D7361" i="8"/>
  <c r="D3468" i="8"/>
  <c r="D4122" i="8"/>
  <c r="D7011" i="8"/>
  <c r="D1909" i="8"/>
  <c r="D598" i="8"/>
  <c r="D1910" i="8"/>
  <c r="D2523" i="8"/>
  <c r="D9969" i="8"/>
  <c r="D4123" i="8"/>
  <c r="D2805" i="8"/>
  <c r="D283" i="8"/>
  <c r="D4783" i="8"/>
  <c r="D7362" i="8"/>
  <c r="D5424" i="8"/>
  <c r="D7012" i="8"/>
  <c r="D7363" i="8"/>
  <c r="D9010" i="8"/>
  <c r="D5425" i="8"/>
  <c r="D931" i="8"/>
  <c r="D599" i="8"/>
  <c r="D7682" i="8"/>
  <c r="D6381" i="8"/>
  <c r="D5426" i="8"/>
  <c r="D9343" i="8"/>
  <c r="D7989" i="8"/>
  <c r="D6049" i="8"/>
  <c r="D3804" i="8"/>
  <c r="D3469" i="8"/>
  <c r="D8659" i="8"/>
  <c r="D5738" i="8"/>
  <c r="D9657" i="8"/>
  <c r="D3470" i="8"/>
  <c r="D4124" i="8"/>
  <c r="D932" i="8"/>
  <c r="D600" i="8"/>
  <c r="D1271" i="8"/>
  <c r="D6382" i="8"/>
  <c r="D1272" i="8"/>
  <c r="D601" i="8"/>
  <c r="D8660" i="8"/>
  <c r="D4125" i="8"/>
  <c r="D3117" i="8"/>
  <c r="D2806" i="8"/>
  <c r="D284" i="8"/>
  <c r="D2524" i="8"/>
  <c r="D3118" i="8"/>
  <c r="D9011" i="8"/>
  <c r="D285" i="8"/>
  <c r="D8661" i="8"/>
  <c r="D6050" i="8"/>
  <c r="D7990" i="8"/>
  <c r="D1911" i="8"/>
  <c r="D2220" i="8"/>
  <c r="D3119" i="8"/>
  <c r="D9012" i="8"/>
  <c r="D3471" i="8"/>
  <c r="D1273" i="8"/>
  <c r="D9013" i="8"/>
  <c r="D6051" i="8"/>
  <c r="D4126" i="8"/>
  <c r="D933" i="8"/>
  <c r="D6715" i="8"/>
  <c r="D602" i="8"/>
  <c r="D6052" i="8"/>
  <c r="D6383" i="8"/>
  <c r="D603" i="8"/>
  <c r="D2807" i="8"/>
  <c r="D6384" i="8"/>
  <c r="D604" i="8"/>
  <c r="D5739" i="8"/>
  <c r="D7991" i="8"/>
  <c r="D3120" i="8"/>
  <c r="D8662" i="8"/>
  <c r="D6385" i="8"/>
  <c r="D9658" i="8"/>
  <c r="D286" i="8"/>
  <c r="D9014" i="8"/>
  <c r="D4453" i="8"/>
  <c r="D3805" i="8"/>
  <c r="D605" i="8"/>
  <c r="D7013" i="8"/>
  <c r="D4454" i="8"/>
  <c r="D3121" i="8"/>
  <c r="D7014" i="8"/>
  <c r="D606" i="8"/>
  <c r="D5740" i="8"/>
  <c r="D3806" i="8"/>
  <c r="D7683" i="8"/>
  <c r="D5741" i="8"/>
  <c r="D5097" i="8"/>
  <c r="D3122" i="8"/>
  <c r="D7015" i="8"/>
  <c r="D1589" i="8"/>
  <c r="D5427" i="8"/>
  <c r="D3123" i="8"/>
  <c r="D6053" i="8"/>
  <c r="D607" i="8"/>
  <c r="D9659" i="8"/>
  <c r="D8339" i="8"/>
  <c r="D8663" i="8"/>
  <c r="D5742" i="8"/>
  <c r="D8664" i="8"/>
  <c r="D4455" i="8"/>
  <c r="D9015" i="8"/>
  <c r="D4127" i="8"/>
  <c r="D6054" i="8"/>
  <c r="D8665" i="8"/>
  <c r="D7364" i="8"/>
  <c r="D934" i="8"/>
  <c r="D8666" i="8"/>
  <c r="D5098" i="8"/>
  <c r="D3472" i="8"/>
  <c r="D608" i="8"/>
  <c r="D935" i="8"/>
  <c r="D3473" i="8"/>
  <c r="D1912" i="8"/>
  <c r="D936" i="8"/>
  <c r="D4456" i="8"/>
  <c r="D937" i="8"/>
  <c r="D609" i="8"/>
  <c r="D9970" i="8"/>
  <c r="D610" i="8"/>
  <c r="D4457" i="8"/>
  <c r="D9344" i="8"/>
  <c r="D1913" i="8"/>
  <c r="D9016" i="8"/>
  <c r="D1914" i="8"/>
  <c r="D2221" i="8"/>
  <c r="D1274" i="8"/>
  <c r="D3124" i="8"/>
  <c r="D938" i="8"/>
  <c r="D1590" i="8"/>
  <c r="D4128" i="8"/>
  <c r="D7992" i="8"/>
  <c r="D8340" i="8"/>
  <c r="D7993" i="8"/>
  <c r="D5099" i="8"/>
  <c r="D7016" i="8"/>
  <c r="D5100" i="8"/>
  <c r="D4458" i="8"/>
  <c r="D5101" i="8"/>
  <c r="D5102" i="8"/>
  <c r="D3807" i="8"/>
  <c r="D8341" i="8"/>
  <c r="D1915" i="8"/>
  <c r="D3125" i="8"/>
  <c r="D5103" i="8"/>
  <c r="D4459" i="8"/>
  <c r="D9660" i="8"/>
  <c r="D287" i="8"/>
  <c r="D939" i="8"/>
  <c r="D2222" i="8"/>
  <c r="D4460" i="8"/>
  <c r="D1591" i="8"/>
  <c r="D9017" i="8"/>
  <c r="D5743" i="8"/>
  <c r="D940" i="8"/>
  <c r="D5744" i="8"/>
  <c r="D6716" i="8"/>
  <c r="D4129" i="8"/>
  <c r="D288" i="8"/>
  <c r="D9018" i="8"/>
  <c r="D3474" i="8"/>
  <c r="D2223" i="8"/>
  <c r="D1916" i="8"/>
  <c r="D289" i="8"/>
  <c r="D7017" i="8"/>
  <c r="D941" i="8"/>
  <c r="D4461" i="8"/>
  <c r="D1275" i="8"/>
  <c r="D7684" i="8"/>
  <c r="D290" i="8"/>
  <c r="D6717" i="8"/>
  <c r="D8667" i="8"/>
  <c r="D1592" i="8"/>
  <c r="D8342" i="8"/>
  <c r="D2525" i="8"/>
  <c r="D291" i="8"/>
  <c r="D6718" i="8"/>
  <c r="D7365" i="8"/>
  <c r="D2526" i="8"/>
  <c r="D4130" i="8"/>
  <c r="D611" i="8"/>
  <c r="D3475" i="8"/>
  <c r="D8343" i="8"/>
  <c r="D5428" i="8"/>
  <c r="D5745" i="8"/>
  <c r="D8344" i="8"/>
  <c r="D7018" i="8"/>
  <c r="D3126" i="8"/>
  <c r="D612" i="8"/>
  <c r="D2224" i="8"/>
  <c r="D5429" i="8"/>
  <c r="D9345" i="8"/>
  <c r="D6719" i="8"/>
  <c r="D4131" i="8"/>
  <c r="D4132" i="8"/>
  <c r="D6720" i="8"/>
  <c r="D9346" i="8"/>
  <c r="D292" i="8"/>
  <c r="D4133" i="8"/>
  <c r="D6721" i="8"/>
  <c r="D8668" i="8"/>
  <c r="D1593" i="8"/>
  <c r="D2225" i="8"/>
  <c r="D2808" i="8"/>
  <c r="D6386" i="8"/>
  <c r="D3476" i="8"/>
  <c r="D5104" i="8"/>
  <c r="D3808" i="8"/>
  <c r="D942" i="8"/>
  <c r="D7019" i="8"/>
  <c r="D1594" i="8"/>
  <c r="D2809" i="8"/>
  <c r="D943" i="8"/>
  <c r="D5746" i="8"/>
  <c r="D293" i="8"/>
  <c r="D1595" i="8"/>
  <c r="D1276" i="8"/>
  <c r="D8669" i="8"/>
  <c r="D9019" i="8"/>
  <c r="D7020" i="8"/>
  <c r="D294" i="8"/>
  <c r="D9020" i="8"/>
  <c r="D9971" i="8"/>
  <c r="D6387" i="8"/>
  <c r="D6055" i="8"/>
  <c r="D2810" i="8"/>
  <c r="D5430" i="8"/>
  <c r="D7366" i="8"/>
  <c r="D3477" i="8"/>
  <c r="D4462" i="8"/>
  <c r="D8670" i="8"/>
  <c r="D2226" i="8"/>
  <c r="D295" i="8"/>
  <c r="D4134" i="8"/>
  <c r="D9972" i="8"/>
  <c r="D8671" i="8"/>
  <c r="D2811" i="8"/>
  <c r="D613" i="8"/>
  <c r="D2812" i="8"/>
  <c r="D6722" i="8"/>
  <c r="D1917" i="8"/>
  <c r="D3478" i="8"/>
  <c r="D7685" i="8"/>
  <c r="D944" i="8"/>
  <c r="D7367" i="8"/>
  <c r="D8672" i="8"/>
  <c r="D2227" i="8"/>
  <c r="D945" i="8"/>
  <c r="D4135" i="8"/>
  <c r="D4463" i="8"/>
  <c r="D1596" i="8"/>
  <c r="D5105" i="8"/>
  <c r="D4136" i="8"/>
  <c r="D5747" i="8"/>
  <c r="D5748" i="8"/>
  <c r="D4464" i="8"/>
  <c r="D7368" i="8"/>
  <c r="D5106" i="8"/>
  <c r="D6056" i="8"/>
  <c r="D6388" i="8"/>
  <c r="D3809" i="8"/>
  <c r="D7686" i="8"/>
  <c r="D7369" i="8"/>
  <c r="D2813" i="8"/>
  <c r="D9021" i="8"/>
  <c r="D4137" i="8"/>
  <c r="D614" i="8"/>
  <c r="D9661" i="8"/>
  <c r="D3127" i="8"/>
  <c r="D8673" i="8"/>
  <c r="D296" i="8"/>
  <c r="D5107" i="8"/>
  <c r="D6389" i="8"/>
  <c r="D7994" i="8"/>
  <c r="D3810" i="8"/>
  <c r="D2228" i="8"/>
  <c r="D4465" i="8"/>
  <c r="D8674" i="8"/>
  <c r="D2229" i="8"/>
  <c r="D6390" i="8"/>
  <c r="D615" i="8"/>
  <c r="D1597" i="8"/>
  <c r="D1598" i="8"/>
  <c r="D297" i="8"/>
  <c r="D616" i="8"/>
  <c r="D8675" i="8"/>
  <c r="D2814" i="8"/>
  <c r="D7370" i="8"/>
  <c r="D2815" i="8"/>
  <c r="D617" i="8"/>
  <c r="D7371" i="8"/>
  <c r="D2230" i="8"/>
  <c r="D7995" i="8"/>
  <c r="D298" i="8"/>
  <c r="D4466" i="8"/>
  <c r="D5108" i="8"/>
  <c r="D299" i="8"/>
  <c r="D1277" i="8"/>
  <c r="D5431" i="8"/>
  <c r="D6057" i="8"/>
  <c r="D7996" i="8"/>
  <c r="D7372" i="8"/>
  <c r="D5749" i="8"/>
  <c r="D4784" i="8"/>
  <c r="D300" i="8"/>
  <c r="D6391" i="8"/>
  <c r="D1278" i="8"/>
  <c r="D5432" i="8"/>
  <c r="D1599" i="8"/>
  <c r="D7997" i="8"/>
  <c r="D9973" i="8"/>
  <c r="D9662" i="8"/>
  <c r="D8345" i="8"/>
  <c r="D6723" i="8"/>
  <c r="D2231" i="8"/>
  <c r="D6058" i="8"/>
  <c r="D1600" i="8"/>
  <c r="D7687" i="8"/>
  <c r="D1601" i="8"/>
  <c r="D946" i="8"/>
  <c r="D2816" i="8"/>
  <c r="D301" i="8"/>
  <c r="D8346" i="8"/>
  <c r="D4138" i="8"/>
  <c r="D9974" i="8"/>
  <c r="D6392" i="8"/>
  <c r="D8347" i="8"/>
  <c r="D2817" i="8"/>
  <c r="D6059" i="8"/>
  <c r="D3811" i="8"/>
  <c r="D9347" i="8"/>
  <c r="D5750" i="8"/>
  <c r="D6724" i="8"/>
  <c r="D6060" i="8"/>
  <c r="D3479" i="8"/>
  <c r="D4785" i="8"/>
  <c r="D8676" i="8"/>
  <c r="D7373" i="8"/>
  <c r="D9022" i="8"/>
  <c r="D4467" i="8"/>
  <c r="D9023" i="8"/>
  <c r="D1279" i="8"/>
  <c r="D9348" i="8"/>
  <c r="D9024" i="8"/>
  <c r="D6725" i="8"/>
  <c r="D5751" i="8"/>
  <c r="D1918" i="8"/>
  <c r="D302" i="8"/>
  <c r="D8677" i="8"/>
  <c r="D8678" i="8"/>
  <c r="D8348" i="8"/>
  <c r="D9975" i="8"/>
  <c r="D2818" i="8"/>
  <c r="D9663" i="8"/>
  <c r="D2232" i="8"/>
  <c r="D6393" i="8"/>
  <c r="D7374" i="8"/>
  <c r="D618" i="8"/>
  <c r="D9664" i="8"/>
  <c r="D4139" i="8"/>
  <c r="D2819" i="8"/>
  <c r="D7375" i="8"/>
  <c r="D6061" i="8"/>
  <c r="D947" i="8"/>
  <c r="D6394" i="8"/>
  <c r="D1602" i="8"/>
  <c r="D5752" i="8"/>
  <c r="D948" i="8"/>
  <c r="D9976" i="8"/>
  <c r="D3480" i="8"/>
  <c r="D9977" i="8"/>
  <c r="D3812" i="8"/>
  <c r="D7688" i="8"/>
  <c r="D4140" i="8"/>
  <c r="D949" i="8"/>
  <c r="D4141" i="8"/>
  <c r="D303" i="8"/>
  <c r="D7998" i="8"/>
  <c r="D304" i="8"/>
  <c r="D2820" i="8"/>
  <c r="D9025" i="8"/>
  <c r="D2527" i="8"/>
  <c r="D9026" i="8"/>
  <c r="D8679" i="8"/>
  <c r="D4468" i="8"/>
  <c r="D5109" i="8"/>
  <c r="D619" i="8"/>
  <c r="D7689" i="8"/>
  <c r="D4142" i="8"/>
  <c r="D3128" i="8"/>
  <c r="D4469" i="8"/>
  <c r="D7999" i="8"/>
  <c r="D305" i="8"/>
  <c r="D8000" i="8"/>
  <c r="D8349" i="8"/>
  <c r="D4143" i="8"/>
  <c r="D7690" i="8"/>
  <c r="D6395" i="8"/>
  <c r="D3129" i="8"/>
  <c r="D9027" i="8"/>
  <c r="D7376" i="8"/>
  <c r="D5753" i="8"/>
  <c r="D7021" i="8"/>
  <c r="D1919" i="8"/>
  <c r="D7022" i="8"/>
  <c r="D306" i="8"/>
  <c r="D3481" i="8"/>
  <c r="D5110" i="8"/>
  <c r="D3813" i="8"/>
  <c r="D9665" i="8"/>
  <c r="D7377" i="8"/>
  <c r="D2233" i="8"/>
  <c r="D8680" i="8"/>
  <c r="D7378" i="8"/>
  <c r="D307" i="8"/>
  <c r="D4470" i="8"/>
  <c r="D9666" i="8"/>
  <c r="D950" i="8"/>
  <c r="D8001" i="8"/>
  <c r="D951" i="8"/>
  <c r="D9028" i="8"/>
  <c r="D1280" i="8"/>
  <c r="D8681" i="8"/>
  <c r="D4471" i="8"/>
  <c r="D1281" i="8"/>
  <c r="D2234" i="8"/>
  <c r="D8002" i="8"/>
  <c r="D8350" i="8"/>
  <c r="D1603" i="8"/>
  <c r="D7379" i="8"/>
  <c r="D2235" i="8"/>
  <c r="D5754" i="8"/>
  <c r="D7023" i="8"/>
  <c r="D5433" i="8"/>
  <c r="D5755" i="8"/>
  <c r="D5756" i="8"/>
  <c r="D9029" i="8"/>
  <c r="D6062" i="8"/>
  <c r="D1604" i="8"/>
  <c r="D5757" i="8"/>
  <c r="D9667" i="8"/>
  <c r="D1605" i="8"/>
  <c r="D1282" i="8"/>
  <c r="D1283" i="8"/>
  <c r="D7380" i="8"/>
  <c r="D4786" i="8"/>
  <c r="D6726" i="8"/>
  <c r="D952" i="8"/>
  <c r="D6396" i="8"/>
  <c r="D8003" i="8"/>
  <c r="D4472" i="8"/>
  <c r="D3482" i="8"/>
  <c r="D9030" i="8"/>
  <c r="D7381" i="8"/>
  <c r="D8004" i="8"/>
  <c r="D953" i="8"/>
  <c r="D9978" i="8"/>
  <c r="D8351" i="8"/>
  <c r="D6727" i="8"/>
  <c r="D1606" i="8"/>
  <c r="D2236" i="8"/>
  <c r="D5111" i="8"/>
  <c r="D1920" i="8"/>
  <c r="D3130" i="8"/>
  <c r="D1921" i="8"/>
  <c r="D8682" i="8"/>
  <c r="D8005" i="8"/>
  <c r="D7382" i="8"/>
  <c r="D3483" i="8"/>
  <c r="D620" i="8"/>
  <c r="D308" i="8"/>
  <c r="D1607" i="8"/>
  <c r="D8006" i="8"/>
  <c r="D8352" i="8"/>
  <c r="D4787" i="8"/>
  <c r="D4788" i="8"/>
  <c r="D6063" i="8"/>
  <c r="D5758" i="8"/>
  <c r="D9031" i="8"/>
  <c r="D9668" i="8"/>
  <c r="D5759" i="8"/>
  <c r="D621" i="8"/>
  <c r="D4144" i="8"/>
  <c r="D5760" i="8"/>
  <c r="D2237" i="8"/>
  <c r="D309" i="8"/>
  <c r="D4145" i="8"/>
  <c r="D2238" i="8"/>
  <c r="D9979" i="8"/>
  <c r="D5112" i="8"/>
  <c r="D4146" i="8"/>
  <c r="D954" i="8"/>
  <c r="D9032" i="8"/>
  <c r="D5761" i="8"/>
  <c r="D622" i="8"/>
  <c r="D3484" i="8"/>
  <c r="D2239" i="8"/>
  <c r="D3814" i="8"/>
  <c r="D4473" i="8"/>
  <c r="D7691" i="8"/>
  <c r="D4474" i="8"/>
  <c r="D2528" i="8"/>
  <c r="D5434" i="8"/>
  <c r="D310" i="8"/>
  <c r="D6064" i="8"/>
  <c r="D2821" i="8"/>
  <c r="D6397" i="8"/>
  <c r="D5762" i="8"/>
  <c r="D1284" i="8"/>
  <c r="D1285" i="8"/>
  <c r="D1286" i="8"/>
  <c r="D6398" i="8"/>
  <c r="D6399" i="8"/>
  <c r="D6728" i="8"/>
  <c r="D5113" i="8"/>
  <c r="D5763" i="8"/>
  <c r="D3815" i="8"/>
  <c r="D955" i="8"/>
  <c r="D7024" i="8"/>
  <c r="D8353" i="8"/>
  <c r="D1287" i="8"/>
  <c r="D9349" i="8"/>
  <c r="D1608" i="8"/>
  <c r="D3131" i="8"/>
  <c r="D5114" i="8"/>
  <c r="D4147" i="8"/>
  <c r="D9033" i="8"/>
  <c r="D5435" i="8"/>
  <c r="D5764" i="8"/>
  <c r="D4148" i="8"/>
  <c r="D1609" i="8"/>
  <c r="D4789" i="8"/>
  <c r="D2822" i="8"/>
  <c r="D9980" i="8"/>
  <c r="D6065" i="8"/>
  <c r="D5765" i="8"/>
  <c r="D2823" i="8"/>
  <c r="D6066" i="8"/>
  <c r="D8007" i="8"/>
  <c r="D9669" i="8"/>
  <c r="D8683" i="8"/>
  <c r="D4475" i="8"/>
  <c r="D1922" i="8"/>
  <c r="D9034" i="8"/>
  <c r="D8684" i="8"/>
  <c r="D7692" i="8"/>
  <c r="D7025" i="8"/>
  <c r="D2240" i="8"/>
  <c r="D311" i="8"/>
  <c r="D8008" i="8"/>
  <c r="D2241" i="8"/>
  <c r="D4149" i="8"/>
  <c r="D1923" i="8"/>
  <c r="D312" i="8"/>
  <c r="D9350" i="8"/>
  <c r="D8354" i="8"/>
  <c r="D2529" i="8"/>
  <c r="D3816" i="8"/>
  <c r="D4790" i="8"/>
  <c r="D6729" i="8"/>
  <c r="D1610" i="8"/>
  <c r="D3817" i="8"/>
  <c r="D2242" i="8"/>
  <c r="D4476" i="8"/>
  <c r="D3132" i="8"/>
  <c r="D4150" i="8"/>
  <c r="D6400" i="8"/>
  <c r="D1924" i="8"/>
  <c r="D623" i="8"/>
  <c r="D6401" i="8"/>
  <c r="D2243" i="8"/>
  <c r="D7693" i="8"/>
  <c r="D4477" i="8"/>
  <c r="D4151" i="8"/>
  <c r="D8009" i="8"/>
  <c r="D1288" i="8"/>
  <c r="D4478" i="8"/>
  <c r="D1611" i="8"/>
  <c r="D2824" i="8"/>
  <c r="D8010" i="8"/>
  <c r="D5436" i="8"/>
  <c r="D5437" i="8"/>
  <c r="D2825" i="8"/>
  <c r="D313" i="8"/>
  <c r="D7026" i="8"/>
  <c r="D7383" i="8"/>
  <c r="D8355" i="8"/>
  <c r="D4152" i="8"/>
  <c r="D8685" i="8"/>
  <c r="D6730" i="8"/>
  <c r="D7384" i="8"/>
  <c r="D9981" i="8"/>
  <c r="D314" i="8"/>
  <c r="D2530" i="8"/>
  <c r="D9982" i="8"/>
  <c r="D8011" i="8"/>
  <c r="D2244" i="8"/>
  <c r="D5115" i="8"/>
  <c r="D7027" i="8"/>
  <c r="D5116" i="8"/>
  <c r="D624" i="8"/>
  <c r="D8356" i="8"/>
  <c r="D3818" i="8"/>
  <c r="D956" i="8"/>
  <c r="D5438" i="8"/>
  <c r="D6731" i="8"/>
  <c r="D9670" i="8"/>
  <c r="D3485" i="8"/>
  <c r="D1289" i="8"/>
  <c r="D3133" i="8"/>
  <c r="D9035" i="8"/>
  <c r="D7028" i="8"/>
  <c r="D2245" i="8"/>
  <c r="D4791" i="8"/>
  <c r="D5117" i="8"/>
  <c r="D957" i="8"/>
  <c r="D2826" i="8"/>
  <c r="D3134" i="8"/>
  <c r="D8012" i="8"/>
  <c r="D9351" i="8"/>
  <c r="D8357" i="8"/>
  <c r="D5439" i="8"/>
  <c r="D1612" i="8"/>
  <c r="D5766" i="8"/>
  <c r="D5767" i="8"/>
  <c r="D8358" i="8"/>
  <c r="D3819" i="8"/>
  <c r="D5118" i="8"/>
  <c r="D2531" i="8"/>
  <c r="D1925" i="8"/>
  <c r="D1613" i="8"/>
  <c r="D8013" i="8"/>
  <c r="D2246" i="8"/>
  <c r="D6732" i="8"/>
  <c r="D7385" i="8"/>
  <c r="D9671" i="8"/>
  <c r="D9036" i="8"/>
  <c r="D958" i="8"/>
  <c r="D3135" i="8"/>
  <c r="D2532" i="8"/>
  <c r="D959" i="8"/>
  <c r="D8686" i="8"/>
  <c r="D8014" i="8"/>
  <c r="D8359" i="8"/>
  <c r="D9672" i="8"/>
  <c r="D3486" i="8"/>
  <c r="D9673" i="8"/>
  <c r="D9674" i="8"/>
  <c r="D5119" i="8"/>
  <c r="D3487" i="8"/>
  <c r="D3136" i="8"/>
  <c r="D9352" i="8"/>
  <c r="D5768" i="8"/>
  <c r="D8360" i="8"/>
  <c r="D960" i="8"/>
  <c r="D2247" i="8"/>
  <c r="D9353" i="8"/>
  <c r="D4479" i="8"/>
  <c r="D3137" i="8"/>
  <c r="D5769" i="8"/>
  <c r="D625" i="8"/>
  <c r="D4480" i="8"/>
  <c r="D2533" i="8"/>
  <c r="D3488" i="8"/>
  <c r="D2827" i="8"/>
  <c r="D315" i="8"/>
  <c r="D7386" i="8"/>
  <c r="D5770" i="8"/>
  <c r="D1926" i="8"/>
  <c r="D9037" i="8"/>
  <c r="D5771" i="8"/>
  <c r="D6067" i="8"/>
  <c r="D6402" i="8"/>
  <c r="D5120" i="8"/>
  <c r="D3138" i="8"/>
  <c r="D9983" i="8"/>
  <c r="D4792" i="8"/>
  <c r="D9984" i="8"/>
  <c r="D8361" i="8"/>
  <c r="D7029" i="8"/>
  <c r="D3489" i="8"/>
  <c r="D8362" i="8"/>
  <c r="D2828" i="8"/>
  <c r="D6733" i="8"/>
  <c r="D2829" i="8"/>
  <c r="D4793" i="8"/>
  <c r="D626" i="8"/>
  <c r="D7030" i="8"/>
  <c r="D7387" i="8"/>
  <c r="D4153" i="8"/>
  <c r="D9354" i="8"/>
  <c r="D7694" i="8"/>
  <c r="D5121" i="8"/>
  <c r="D4481" i="8"/>
  <c r="D6068" i="8"/>
  <c r="D3490" i="8"/>
  <c r="D7388" i="8"/>
  <c r="D9038" i="8"/>
  <c r="D6734" i="8"/>
  <c r="D8015" i="8"/>
  <c r="D6735" i="8"/>
  <c r="D1927" i="8"/>
  <c r="D2534" i="8"/>
  <c r="D627" i="8"/>
  <c r="D7695" i="8"/>
  <c r="D9675" i="8"/>
  <c r="D628" i="8"/>
  <c r="D8687" i="8"/>
  <c r="D1290" i="8"/>
  <c r="D3139" i="8"/>
  <c r="D961" i="8"/>
  <c r="D4794" i="8"/>
  <c r="D5772" i="8"/>
  <c r="D7696" i="8"/>
  <c r="D7031" i="8"/>
  <c r="D9985" i="8"/>
  <c r="D7697" i="8"/>
  <c r="D9676" i="8"/>
  <c r="D9039" i="8"/>
  <c r="D4795" i="8"/>
  <c r="D629" i="8"/>
  <c r="D8688" i="8"/>
  <c r="D9986" i="8"/>
  <c r="D9040" i="8"/>
  <c r="D3820" i="8"/>
  <c r="D4154" i="8"/>
  <c r="D6736" i="8"/>
  <c r="D2248" i="8"/>
  <c r="D4796" i="8"/>
  <c r="D5122" i="8"/>
  <c r="D3140" i="8"/>
  <c r="D8689" i="8"/>
  <c r="D6069" i="8"/>
  <c r="D9355" i="8"/>
  <c r="D9677" i="8"/>
  <c r="D5773" i="8"/>
  <c r="D6403" i="8"/>
  <c r="D6737" i="8"/>
  <c r="D4482" i="8"/>
  <c r="D8016" i="8"/>
  <c r="D7032" i="8"/>
  <c r="D4155" i="8"/>
  <c r="D5440" i="8"/>
  <c r="D5774" i="8"/>
  <c r="D6070" i="8"/>
  <c r="D8017" i="8"/>
  <c r="D7033" i="8"/>
  <c r="D6071" i="8"/>
  <c r="D8363" i="8"/>
  <c r="D9041" i="8"/>
  <c r="D7698" i="8"/>
  <c r="D1928" i="8"/>
  <c r="D8690" i="8"/>
  <c r="D2249" i="8"/>
  <c r="D2535" i="8"/>
  <c r="D7034" i="8"/>
  <c r="D8691" i="8"/>
  <c r="D6738" i="8"/>
  <c r="D962" i="8"/>
  <c r="D4156" i="8"/>
  <c r="D4157" i="8"/>
  <c r="D5775" i="8"/>
  <c r="D7035" i="8"/>
  <c r="D8692" i="8"/>
  <c r="D2830" i="8"/>
  <c r="D9987" i="8"/>
  <c r="D9356" i="8"/>
  <c r="D2250" i="8"/>
  <c r="D963" i="8"/>
  <c r="D3491" i="8"/>
  <c r="D964" i="8"/>
  <c r="D5123" i="8"/>
  <c r="D8018" i="8"/>
  <c r="D4483" i="8"/>
  <c r="D5441" i="8"/>
  <c r="D7699" i="8"/>
  <c r="D4797" i="8"/>
  <c r="D6404" i="8"/>
  <c r="D630" i="8"/>
  <c r="D8019" i="8"/>
  <c r="D8020" i="8"/>
  <c r="D5776" i="8"/>
  <c r="D965" i="8"/>
  <c r="D1929" i="8"/>
  <c r="D9042" i="8"/>
  <c r="D7700" i="8"/>
  <c r="D316" i="8"/>
  <c r="D6739" i="8"/>
  <c r="D8021" i="8"/>
  <c r="D4158" i="8"/>
  <c r="D8364" i="8"/>
  <c r="D6405" i="8"/>
  <c r="D3821" i="8"/>
  <c r="D3141" i="8"/>
  <c r="D4798" i="8"/>
  <c r="D8693" i="8"/>
  <c r="D1614" i="8"/>
  <c r="D4484" i="8"/>
  <c r="D7701" i="8"/>
  <c r="D4799" i="8"/>
  <c r="D6740" i="8"/>
  <c r="D9988" i="8"/>
  <c r="D631" i="8"/>
  <c r="D5124" i="8"/>
  <c r="D632" i="8"/>
  <c r="D966" i="8"/>
  <c r="D8365" i="8"/>
  <c r="D8366" i="8"/>
  <c r="D9989" i="8"/>
  <c r="D8022" i="8"/>
  <c r="D5777" i="8"/>
  <c r="D6406" i="8"/>
  <c r="D8367" i="8"/>
  <c r="D6407" i="8"/>
  <c r="D1291" i="8"/>
  <c r="D8023" i="8"/>
  <c r="D3492" i="8"/>
  <c r="D4800" i="8"/>
  <c r="D3822" i="8"/>
  <c r="D9043" i="8"/>
  <c r="D1615" i="8"/>
  <c r="D6072" i="8"/>
  <c r="D2831" i="8"/>
  <c r="D6741" i="8"/>
  <c r="D6408" i="8"/>
  <c r="D6409" i="8"/>
  <c r="D633" i="8"/>
  <c r="D1616" i="8"/>
  <c r="D2251" i="8"/>
  <c r="D8694" i="8"/>
  <c r="D1292" i="8"/>
  <c r="D3142" i="8"/>
  <c r="D6742" i="8"/>
  <c r="D5778" i="8"/>
  <c r="D634" i="8"/>
  <c r="D2252" i="8"/>
  <c r="D2253" i="8"/>
  <c r="D9357" i="8"/>
  <c r="D6743" i="8"/>
  <c r="D2536" i="8"/>
  <c r="D4485" i="8"/>
  <c r="D5779" i="8"/>
  <c r="D1293" i="8"/>
  <c r="D8695" i="8"/>
  <c r="D6410" i="8"/>
  <c r="D1930" i="8"/>
  <c r="D5780" i="8"/>
  <c r="D9044" i="8"/>
  <c r="D2832" i="8"/>
  <c r="D7389" i="8"/>
  <c r="D2537" i="8"/>
  <c r="D635" i="8"/>
  <c r="D8024" i="8"/>
  <c r="D3823" i="8"/>
  <c r="D7390" i="8"/>
  <c r="D2538" i="8"/>
  <c r="D7702" i="8"/>
  <c r="D7703" i="8"/>
  <c r="D4159" i="8"/>
  <c r="D2539" i="8"/>
  <c r="D3143" i="8"/>
  <c r="D7391" i="8"/>
  <c r="D3144" i="8"/>
  <c r="D5125" i="8"/>
  <c r="D7704" i="8"/>
  <c r="D967" i="8"/>
  <c r="D4486" i="8"/>
  <c r="D2254" i="8"/>
  <c r="D7036" i="8"/>
  <c r="D968" i="8"/>
  <c r="D636" i="8"/>
  <c r="D7705" i="8"/>
  <c r="D4160" i="8"/>
  <c r="D317" i="8"/>
  <c r="D4161" i="8"/>
  <c r="D4487" i="8"/>
  <c r="D3493" i="8"/>
  <c r="D9045" i="8"/>
  <c r="D1931" i="8"/>
  <c r="D3145" i="8"/>
  <c r="D4162" i="8"/>
  <c r="D2255" i="8"/>
  <c r="D2540" i="8"/>
  <c r="D9990" i="8"/>
  <c r="D9358" i="8"/>
  <c r="D9046" i="8"/>
  <c r="D5781" i="8"/>
  <c r="D969" i="8"/>
  <c r="D4163" i="8"/>
  <c r="D1294" i="8"/>
  <c r="D5442" i="8"/>
  <c r="D7706" i="8"/>
  <c r="D970" i="8"/>
  <c r="D3146" i="8"/>
  <c r="D3824" i="8"/>
  <c r="D4801" i="8"/>
  <c r="D6411" i="8"/>
  <c r="D8368" i="8"/>
  <c r="D9359" i="8"/>
  <c r="D9678" i="8"/>
  <c r="D6073" i="8"/>
  <c r="D3494" i="8"/>
  <c r="D6744" i="8"/>
  <c r="D971" i="8"/>
  <c r="D8696" i="8"/>
  <c r="D5126" i="8"/>
  <c r="D3147" i="8"/>
  <c r="D1295" i="8"/>
  <c r="D9360" i="8"/>
  <c r="D9679" i="8"/>
  <c r="D318" i="8"/>
  <c r="D9991" i="8"/>
  <c r="D8697" i="8"/>
  <c r="D7037" i="8"/>
  <c r="D6745" i="8"/>
  <c r="D8025" i="8"/>
  <c r="D4802" i="8"/>
  <c r="D9680" i="8"/>
  <c r="D4164" i="8"/>
  <c r="D5127" i="8"/>
  <c r="D8698" i="8"/>
  <c r="D4165" i="8"/>
  <c r="D1932" i="8"/>
  <c r="D8026" i="8"/>
  <c r="D1296" i="8"/>
  <c r="D4803" i="8"/>
  <c r="D7392" i="8"/>
  <c r="D7707" i="8"/>
  <c r="D9992" i="8"/>
  <c r="D6074" i="8"/>
  <c r="D4804" i="8"/>
  <c r="D1297" i="8"/>
  <c r="D7393" i="8"/>
  <c r="D4805" i="8"/>
  <c r="D6746" i="8"/>
  <c r="D1617" i="8"/>
  <c r="D972" i="8"/>
  <c r="D5782" i="8"/>
  <c r="D9993" i="8"/>
  <c r="D9361" i="8"/>
  <c r="D1298" i="8"/>
  <c r="D1299" i="8"/>
  <c r="D5443" i="8"/>
  <c r="D4166" i="8"/>
  <c r="D5128" i="8"/>
  <c r="D6075" i="8"/>
  <c r="D8699" i="8"/>
  <c r="D973" i="8"/>
  <c r="D9362" i="8"/>
  <c r="D6747" i="8"/>
  <c r="D6412" i="8"/>
  <c r="D9681" i="8"/>
  <c r="D6413" i="8"/>
  <c r="D2833" i="8"/>
  <c r="D1933" i="8"/>
  <c r="D4167" i="8"/>
  <c r="D1618" i="8"/>
  <c r="D637" i="8"/>
  <c r="D9682" i="8"/>
  <c r="D6748" i="8"/>
  <c r="D8369" i="8"/>
  <c r="D9047" i="8"/>
  <c r="D6076" i="8"/>
  <c r="D8700" i="8"/>
  <c r="D1934" i="8"/>
  <c r="D6414" i="8"/>
  <c r="D8027" i="8"/>
  <c r="D4488" i="8"/>
  <c r="D9683" i="8"/>
  <c r="D1619" i="8"/>
  <c r="D3495" i="8"/>
  <c r="D5444" i="8"/>
  <c r="D3825" i="8"/>
  <c r="D6749" i="8"/>
  <c r="D974" i="8"/>
  <c r="D2541" i="8"/>
  <c r="D3496" i="8"/>
  <c r="D5445" i="8"/>
  <c r="D4168" i="8"/>
  <c r="D4806" i="8"/>
  <c r="D319" i="8"/>
  <c r="D1935" i="8"/>
  <c r="D4489" i="8"/>
  <c r="D1936" i="8"/>
  <c r="D9684" i="8"/>
  <c r="D9048" i="8"/>
  <c r="D7708" i="8"/>
  <c r="D4169" i="8"/>
  <c r="D4490" i="8"/>
  <c r="D9685" i="8"/>
  <c r="D6750" i="8"/>
  <c r="D975" i="8"/>
  <c r="D4491" i="8"/>
  <c r="D4170" i="8"/>
  <c r="D638" i="8"/>
  <c r="D320" i="8"/>
  <c r="D2256" i="8"/>
  <c r="D5129" i="8"/>
  <c r="D2834" i="8"/>
  <c r="D5783" i="8"/>
  <c r="D3826" i="8"/>
  <c r="D7038" i="8"/>
  <c r="D2835" i="8"/>
  <c r="D639" i="8"/>
  <c r="D4171" i="8"/>
  <c r="D1620" i="8"/>
  <c r="D2836" i="8"/>
  <c r="D4492" i="8"/>
  <c r="D976" i="8"/>
  <c r="D1937" i="8"/>
  <c r="D6751" i="8"/>
  <c r="D5784" i="8"/>
  <c r="D6415" i="8"/>
  <c r="D3497" i="8"/>
  <c r="D8701" i="8"/>
  <c r="D1300" i="8"/>
  <c r="D2257" i="8"/>
  <c r="D9363" i="8"/>
  <c r="D977" i="8"/>
  <c r="D4172" i="8"/>
  <c r="D2837" i="8"/>
  <c r="D5130" i="8"/>
  <c r="D6416" i="8"/>
  <c r="D8028" i="8"/>
  <c r="D978" i="8"/>
  <c r="D9364" i="8"/>
  <c r="D1301" i="8"/>
  <c r="D1302" i="8"/>
  <c r="D7039" i="8"/>
  <c r="D8702" i="8"/>
  <c r="D8029" i="8"/>
  <c r="D8370" i="8"/>
  <c r="D979" i="8"/>
  <c r="D6077" i="8"/>
  <c r="D2838" i="8"/>
  <c r="D2542" i="8"/>
  <c r="D8030" i="8"/>
  <c r="D6417" i="8"/>
  <c r="D321" i="8"/>
  <c r="D2543" i="8"/>
  <c r="D322" i="8"/>
  <c r="D3827" i="8"/>
  <c r="D6078" i="8"/>
  <c r="D8703" i="8"/>
  <c r="D5131" i="8"/>
  <c r="D4807" i="8"/>
  <c r="D6752" i="8"/>
  <c r="D5785" i="8"/>
  <c r="D4173" i="8"/>
  <c r="D6753" i="8"/>
  <c r="D7394" i="8"/>
  <c r="D6418" i="8"/>
  <c r="D9365" i="8"/>
  <c r="D5132" i="8"/>
  <c r="D3148" i="8"/>
  <c r="D9994" i="8"/>
  <c r="D3828" i="8"/>
  <c r="D8371" i="8"/>
  <c r="D6754" i="8"/>
  <c r="D9049" i="8"/>
  <c r="D7709" i="8"/>
  <c r="D3829" i="8"/>
  <c r="D8031" i="8"/>
  <c r="D7710" i="8"/>
  <c r="D980" i="8"/>
  <c r="D323" i="8"/>
  <c r="D9995" i="8"/>
  <c r="D640" i="8"/>
  <c r="D8372" i="8"/>
  <c r="D3149" i="8"/>
  <c r="D1621" i="8"/>
  <c r="D3498" i="8"/>
  <c r="D3150" i="8"/>
  <c r="D5786" i="8"/>
  <c r="D4174" i="8"/>
  <c r="D9050" i="8"/>
  <c r="D324" i="8"/>
  <c r="D3499" i="8"/>
  <c r="D4493" i="8"/>
  <c r="D3151" i="8"/>
  <c r="D1622" i="8"/>
  <c r="D6079" i="8"/>
  <c r="D9051" i="8"/>
  <c r="D5133" i="8"/>
  <c r="D981" i="8"/>
  <c r="D5787" i="8"/>
  <c r="D6755" i="8"/>
  <c r="D6419" i="8"/>
  <c r="D9686" i="8"/>
  <c r="D6080" i="8"/>
  <c r="D3152" i="8"/>
  <c r="D5446" i="8"/>
  <c r="D325" i="8"/>
  <c r="D5447" i="8"/>
  <c r="D3830" i="8"/>
  <c r="D6756" i="8"/>
  <c r="D2839" i="8"/>
  <c r="D4494" i="8"/>
  <c r="D1623" i="8"/>
  <c r="D1938" i="8"/>
  <c r="D4175" i="8"/>
  <c r="D3153" i="8"/>
  <c r="D982" i="8"/>
  <c r="D5448" i="8"/>
  <c r="D9366" i="8"/>
  <c r="D1303" i="8"/>
  <c r="D5134" i="8"/>
  <c r="D1939" i="8"/>
  <c r="D2544" i="8"/>
  <c r="D641" i="8"/>
  <c r="D1304" i="8"/>
  <c r="D5135" i="8"/>
  <c r="D5136" i="8"/>
  <c r="D8032" i="8"/>
  <c r="D5449" i="8"/>
  <c r="D9687" i="8"/>
  <c r="D326" i="8"/>
  <c r="D7711" i="8"/>
  <c r="D642" i="8"/>
  <c r="D6757" i="8"/>
  <c r="D3500" i="8"/>
  <c r="D2840" i="8"/>
  <c r="D2841" i="8"/>
  <c r="D983" i="8"/>
  <c r="D6081" i="8"/>
  <c r="D9367" i="8"/>
  <c r="D8373" i="8"/>
  <c r="D327" i="8"/>
  <c r="D1305" i="8"/>
  <c r="D7712" i="8"/>
  <c r="D4808" i="8"/>
  <c r="D6758" i="8"/>
  <c r="D3831" i="8"/>
  <c r="D2842" i="8"/>
  <c r="D8704" i="8"/>
  <c r="D9052" i="8"/>
  <c r="D984" i="8"/>
  <c r="D7040" i="8"/>
  <c r="D4809" i="8"/>
  <c r="D1624" i="8"/>
  <c r="D6082" i="8"/>
  <c r="D643" i="8"/>
  <c r="D8705" i="8"/>
  <c r="D1940" i="8"/>
  <c r="D3154" i="8"/>
  <c r="D644" i="8"/>
  <c r="D7713" i="8"/>
  <c r="D3501" i="8"/>
  <c r="D3155" i="8"/>
  <c r="D3832" i="8"/>
  <c r="D2258" i="8"/>
  <c r="D1941" i="8"/>
  <c r="D7041" i="8"/>
  <c r="D7714" i="8"/>
  <c r="D4810" i="8"/>
  <c r="D5137" i="8"/>
  <c r="D3156" i="8"/>
  <c r="D6083" i="8"/>
  <c r="D6759" i="8"/>
  <c r="D5788" i="8"/>
  <c r="D3502" i="8"/>
  <c r="D2843" i="8"/>
  <c r="D8706" i="8"/>
  <c r="D9688" i="8"/>
  <c r="D8033" i="8"/>
  <c r="D5789" i="8"/>
  <c r="D6760" i="8"/>
  <c r="D328" i="8"/>
  <c r="D8707" i="8"/>
  <c r="D5450" i="8"/>
  <c r="D645" i="8"/>
  <c r="D329" i="8"/>
  <c r="D7715" i="8"/>
  <c r="D4495" i="8"/>
  <c r="D985" i="8"/>
  <c r="D9996" i="8"/>
  <c r="D8034" i="8"/>
  <c r="D1306" i="8"/>
  <c r="D2545" i="8"/>
  <c r="D3503" i="8"/>
  <c r="D7042" i="8"/>
  <c r="D986" i="8"/>
  <c r="D6761" i="8"/>
  <c r="D2546" i="8"/>
  <c r="D9997" i="8"/>
  <c r="D9053" i="8"/>
  <c r="D8374" i="8"/>
  <c r="D5138" i="8"/>
  <c r="D1942" i="8"/>
  <c r="D8375" i="8"/>
  <c r="D1625" i="8"/>
  <c r="D4496" i="8"/>
  <c r="D7043" i="8"/>
  <c r="D3157" i="8"/>
  <c r="D7044" i="8"/>
  <c r="D6762" i="8"/>
  <c r="D2844" i="8"/>
  <c r="D987" i="8"/>
  <c r="D7716" i="8"/>
  <c r="D3158" i="8"/>
  <c r="D7717" i="8"/>
  <c r="D646" i="8"/>
  <c r="D1943" i="8"/>
  <c r="D6084" i="8"/>
  <c r="D4497" i="8"/>
  <c r="D4811" i="8"/>
  <c r="D988" i="8"/>
  <c r="D7045" i="8"/>
  <c r="D4176" i="8"/>
  <c r="D7718" i="8"/>
  <c r="D1626" i="8"/>
  <c r="D1944" i="8"/>
  <c r="D330" i="8"/>
  <c r="D6085" i="8"/>
  <c r="D647" i="8"/>
  <c r="D7046" i="8"/>
  <c r="D3504" i="8"/>
  <c r="D5139" i="8"/>
  <c r="D7047" i="8"/>
  <c r="D8376" i="8"/>
  <c r="D648" i="8"/>
  <c r="D9689" i="8"/>
  <c r="D3833" i="8"/>
  <c r="D6420" i="8"/>
  <c r="D331" i="8"/>
  <c r="D5140" i="8"/>
  <c r="D2259" i="8"/>
  <c r="D9368" i="8"/>
  <c r="D3159" i="8"/>
  <c r="D5790" i="8"/>
  <c r="D1627" i="8"/>
  <c r="D5141" i="8"/>
  <c r="D9369" i="8"/>
  <c r="D989" i="8"/>
  <c r="D6421" i="8"/>
  <c r="D7048" i="8"/>
  <c r="D649" i="8"/>
  <c r="D5791" i="8"/>
  <c r="D650" i="8"/>
  <c r="D7395" i="8"/>
  <c r="D3834" i="8"/>
  <c r="D8377" i="8"/>
  <c r="D5142" i="8"/>
  <c r="D2547" i="8"/>
  <c r="D6422" i="8"/>
  <c r="D990" i="8"/>
  <c r="D8708" i="8"/>
  <c r="D5792" i="8"/>
  <c r="D6423" i="8"/>
  <c r="D5451" i="8"/>
  <c r="D6763" i="8"/>
  <c r="D3160" i="8"/>
  <c r="D5452" i="8"/>
  <c r="D1307" i="8"/>
  <c r="D4177" i="8"/>
  <c r="D6086" i="8"/>
  <c r="D8378" i="8"/>
  <c r="D2548" i="8"/>
  <c r="D3161" i="8"/>
  <c r="D4178" i="8"/>
  <c r="D9690" i="8"/>
  <c r="D6764" i="8"/>
  <c r="D9998" i="8"/>
  <c r="D9054" i="8"/>
  <c r="D1945" i="8"/>
  <c r="D3162" i="8"/>
  <c r="D8379" i="8"/>
  <c r="D991" i="8"/>
  <c r="D3163" i="8"/>
  <c r="D9999" i="8"/>
  <c r="D3835" i="8"/>
  <c r="D6424" i="8"/>
  <c r="D4179" i="8"/>
  <c r="D3164" i="8"/>
  <c r="D1308" i="8"/>
  <c r="D7049" i="8"/>
  <c r="D6765" i="8"/>
  <c r="D5143" i="8"/>
  <c r="D6425" i="8"/>
  <c r="D1628" i="8"/>
  <c r="D3165" i="8"/>
  <c r="D8380" i="8"/>
  <c r="D6087" i="8"/>
  <c r="D2549" i="8"/>
  <c r="D3166" i="8"/>
  <c r="D8381" i="8"/>
  <c r="D5453" i="8"/>
  <c r="D6426" i="8"/>
  <c r="D7719" i="8"/>
  <c r="D2260" i="8"/>
  <c r="D3505" i="8"/>
  <c r="D9055" i="8"/>
  <c r="D992" i="8"/>
  <c r="D8709" i="8"/>
  <c r="D8382" i="8"/>
  <c r="D2845" i="8"/>
  <c r="D9370" i="8"/>
  <c r="D8383" i="8"/>
  <c r="D651" i="8"/>
  <c r="D8710" i="8"/>
  <c r="D5144" i="8"/>
  <c r="D8384" i="8"/>
  <c r="D2550" i="8"/>
  <c r="D9056" i="8"/>
  <c r="D652" i="8"/>
  <c r="D5145" i="8"/>
  <c r="D1946" i="8"/>
  <c r="D8385" i="8"/>
  <c r="D2551" i="8"/>
  <c r="D2846" i="8"/>
  <c r="D2552" i="8"/>
  <c r="D4180" i="8"/>
  <c r="D8035" i="8"/>
  <c r="D7720" i="8"/>
  <c r="D8036" i="8"/>
  <c r="D3506" i="8"/>
  <c r="D6427" i="8"/>
  <c r="D9691" i="8"/>
  <c r="D5454" i="8"/>
  <c r="D993" i="8"/>
  <c r="D994" i="8"/>
  <c r="D6088" i="8"/>
  <c r="D3507" i="8"/>
  <c r="D3508" i="8"/>
  <c r="D8037" i="8"/>
  <c r="D4812" i="8"/>
  <c r="D9692" i="8"/>
  <c r="D8711" i="8"/>
  <c r="D9057" i="8"/>
  <c r="D6428" i="8"/>
  <c r="D9058" i="8"/>
  <c r="D7396" i="8"/>
  <c r="D7397" i="8"/>
  <c r="D1947" i="8"/>
  <c r="D8038" i="8"/>
  <c r="D4181" i="8"/>
  <c r="D653" i="8"/>
  <c r="D6766" i="8"/>
  <c r="D6429" i="8"/>
  <c r="D8039" i="8"/>
  <c r="D3167" i="8"/>
  <c r="D1948" i="8"/>
  <c r="D3836" i="8"/>
  <c r="D7721" i="8"/>
  <c r="D6089" i="8"/>
  <c r="D3837" i="8"/>
  <c r="D8712" i="8"/>
  <c r="D8713" i="8"/>
  <c r="D6430" i="8"/>
  <c r="D5455" i="8"/>
  <c r="D1629" i="8"/>
  <c r="D4813" i="8"/>
  <c r="D4814" i="8"/>
  <c r="D5146" i="8"/>
  <c r="D10000" i="8"/>
  <c r="D7722" i="8"/>
  <c r="D8040" i="8"/>
  <c r="D2847" i="8"/>
  <c r="D5456" i="8"/>
  <c r="D5457" i="8"/>
  <c r="D7050" i="8"/>
  <c r="D3838" i="8"/>
  <c r="D5458" i="8"/>
  <c r="D8386" i="8"/>
  <c r="D8387" i="8"/>
  <c r="D8041" i="8"/>
  <c r="D8388" i="8"/>
  <c r="D9371" i="8"/>
  <c r="D995" i="8"/>
  <c r="D4815" i="8"/>
  <c r="D7398" i="8"/>
  <c r="D996" i="8"/>
  <c r="D4498" i="8"/>
  <c r="D6767" i="8"/>
  <c r="D1309" i="8"/>
  <c r="D2553" i="8"/>
  <c r="D6768" i="8"/>
  <c r="D332" i="8"/>
  <c r="D5793" i="8"/>
  <c r="D3839" i="8"/>
  <c r="D6431" i="8"/>
  <c r="D9372" i="8"/>
  <c r="D8042" i="8"/>
  <c r="D997" i="8"/>
  <c r="D8714" i="8"/>
  <c r="D3509" i="8"/>
  <c r="D4499" i="8"/>
  <c r="D5459" i="8"/>
  <c r="D7051" i="8"/>
  <c r="D2261" i="8"/>
  <c r="D9373" i="8"/>
  <c r="D1630" i="8"/>
  <c r="D9374" i="8"/>
  <c r="D998" i="8"/>
  <c r="D6090" i="8"/>
  <c r="D6432" i="8"/>
  <c r="D6433" i="8"/>
  <c r="D9693" i="8"/>
  <c r="D6434" i="8"/>
  <c r="D2262" i="8"/>
  <c r="D7052" i="8"/>
  <c r="D8043" i="8"/>
  <c r="D2554" i="8"/>
  <c r="D999" i="8"/>
  <c r="D8044" i="8"/>
  <c r="D8045" i="8"/>
  <c r="D3840" i="8"/>
  <c r="D2263" i="8"/>
  <c r="D654" i="8"/>
  <c r="D1310" i="8"/>
  <c r="D8046" i="8"/>
  <c r="D6435" i="8"/>
  <c r="D1631" i="8"/>
  <c r="D333" i="8"/>
  <c r="D5460" i="8"/>
  <c r="D5147" i="8"/>
  <c r="D4816" i="8"/>
  <c r="D3510" i="8"/>
  <c r="D7399" i="8"/>
  <c r="D3168" i="8"/>
  <c r="D3841" i="8"/>
  <c r="D2555" i="8"/>
  <c r="D7723" i="8"/>
  <c r="D4817" i="8"/>
  <c r="D4500" i="8"/>
  <c r="D1949" i="8"/>
  <c r="D7400" i="8"/>
  <c r="D3511" i="8"/>
  <c r="D9059" i="8"/>
  <c r="D6769" i="8"/>
  <c r="F15" i="10"/>
  <c r="F8" i="10"/>
  <c r="F135" i="10"/>
  <c r="F132" i="10"/>
  <c r="F65" i="10"/>
  <c r="F114" i="10"/>
  <c r="F147" i="10"/>
  <c r="F133" i="10"/>
  <c r="F50" i="10"/>
  <c r="F54" i="10"/>
  <c r="F68" i="10"/>
  <c r="F83" i="10"/>
  <c r="F98" i="10"/>
  <c r="F130" i="10"/>
  <c r="F84" i="10"/>
  <c r="F80" i="10"/>
  <c r="F138" i="10"/>
  <c r="F55" i="10"/>
  <c r="F2" i="10"/>
  <c r="F3" i="10"/>
  <c r="F62" i="10"/>
  <c r="F122" i="10"/>
  <c r="F20" i="10"/>
  <c r="F134" i="10"/>
  <c r="F60" i="10"/>
  <c r="F85" i="10"/>
  <c r="F148" i="10"/>
  <c r="F143" i="10"/>
  <c r="F121" i="10"/>
  <c r="F67" i="10"/>
  <c r="F124" i="10"/>
  <c r="F115" i="10"/>
  <c r="F142" i="10"/>
  <c r="F78" i="10"/>
  <c r="F19" i="10"/>
  <c r="F81" i="10"/>
  <c r="F105" i="10"/>
  <c r="F40" i="10"/>
  <c r="F113" i="10"/>
  <c r="F88" i="10"/>
  <c r="F61" i="10"/>
  <c r="F103" i="10"/>
  <c r="F30" i="10"/>
  <c r="F126" i="10"/>
  <c r="F120" i="10"/>
  <c r="F139" i="10"/>
  <c r="F95" i="10"/>
  <c r="F42" i="10"/>
  <c r="F16" i="10"/>
  <c r="F110" i="10"/>
  <c r="F107" i="10"/>
  <c r="F70" i="10"/>
  <c r="F17" i="10"/>
  <c r="F13" i="10"/>
  <c r="F39" i="10"/>
  <c r="F136" i="10"/>
  <c r="F100" i="10"/>
  <c r="F32" i="10"/>
  <c r="F43" i="10"/>
  <c r="F99" i="10"/>
  <c r="F29" i="10"/>
  <c r="F21" i="10"/>
  <c r="F27" i="10"/>
  <c r="F108" i="10"/>
  <c r="F101" i="10"/>
  <c r="F48" i="10"/>
  <c r="F18" i="10"/>
  <c r="F45" i="10"/>
  <c r="F117" i="10"/>
  <c r="F36" i="10"/>
  <c r="F33" i="10"/>
  <c r="F57" i="10"/>
  <c r="F123" i="10"/>
  <c r="F111" i="10"/>
  <c r="F46" i="10"/>
  <c r="F94" i="10"/>
  <c r="F66" i="10"/>
  <c r="F137" i="10"/>
  <c r="F34" i="10"/>
  <c r="F104" i="10"/>
  <c r="F25" i="10"/>
  <c r="F10" i="10"/>
  <c r="F63" i="10"/>
  <c r="F140" i="10"/>
  <c r="F102" i="10"/>
  <c r="F141" i="10"/>
  <c r="F64" i="10"/>
  <c r="F56" i="10"/>
  <c r="F91" i="10"/>
  <c r="F87" i="10"/>
  <c r="F127" i="10"/>
  <c r="F5" i="10"/>
  <c r="F144" i="10"/>
  <c r="F52" i="10"/>
  <c r="F145" i="10"/>
  <c r="F9" i="10"/>
  <c r="F128" i="10"/>
  <c r="F97" i="10"/>
  <c r="F89" i="10"/>
  <c r="F47" i="10"/>
  <c r="F90" i="10"/>
  <c r="F116" i="10"/>
  <c r="F44" i="10"/>
  <c r="F106" i="10"/>
  <c r="F41" i="10"/>
  <c r="F112" i="10"/>
  <c r="F77" i="10"/>
  <c r="F31" i="10"/>
  <c r="F146" i="10"/>
  <c r="F149" i="10"/>
  <c r="F26" i="10"/>
  <c r="F69" i="10"/>
  <c r="F72" i="10"/>
  <c r="F7" i="10"/>
  <c r="F58" i="10"/>
  <c r="F86" i="10"/>
  <c r="F118" i="10"/>
  <c r="F51" i="10"/>
  <c r="F14" i="10"/>
  <c r="F12" i="10"/>
  <c r="F150" i="10"/>
  <c r="F4" i="10"/>
  <c r="F53" i="10"/>
  <c r="F28" i="10"/>
  <c r="F11" i="10"/>
  <c r="F76" i="10"/>
  <c r="F37" i="10"/>
  <c r="F109" i="10"/>
  <c r="F73" i="10"/>
  <c r="F119" i="10"/>
  <c r="F92" i="10"/>
  <c r="F6" i="10"/>
  <c r="F131" i="10"/>
  <c r="F24" i="10"/>
  <c r="F35" i="10"/>
  <c r="F93" i="10"/>
  <c r="F79" i="10"/>
  <c r="F22" i="10"/>
  <c r="F125" i="10"/>
  <c r="F129" i="10"/>
  <c r="F23" i="10"/>
  <c r="F38" i="10"/>
  <c r="F49" i="10"/>
  <c r="F82" i="10"/>
  <c r="F71" i="10"/>
  <c r="F59" i="10"/>
  <c r="F96" i="10"/>
  <c r="F75" i="10"/>
  <c r="F74" i="10"/>
  <c r="C15" i="10"/>
  <c r="C8" i="10"/>
  <c r="C135" i="10"/>
  <c r="C132" i="10"/>
  <c r="C65" i="10"/>
  <c r="C114" i="10"/>
  <c r="C147" i="10"/>
  <c r="C133" i="10"/>
  <c r="C50" i="10"/>
  <c r="C54" i="10"/>
  <c r="C68" i="10"/>
  <c r="C83" i="10"/>
  <c r="C98" i="10"/>
  <c r="C130" i="10"/>
  <c r="C84" i="10"/>
  <c r="C80" i="10"/>
  <c r="C138" i="10"/>
  <c r="C55" i="10"/>
  <c r="C2" i="10"/>
  <c r="C3" i="10"/>
  <c r="C62" i="10"/>
  <c r="C122" i="10"/>
  <c r="C20" i="10"/>
  <c r="C134" i="10"/>
  <c r="C60" i="10"/>
  <c r="C85" i="10"/>
  <c r="C148" i="10"/>
  <c r="C143" i="10"/>
  <c r="C121" i="10"/>
  <c r="C67" i="10"/>
  <c r="C124" i="10"/>
  <c r="C115" i="10"/>
  <c r="C142" i="10"/>
  <c r="C78" i="10"/>
  <c r="C19" i="10"/>
  <c r="C81" i="10"/>
  <c r="C105" i="10"/>
  <c r="C40" i="10"/>
  <c r="C113" i="10"/>
  <c r="C88" i="10"/>
  <c r="C61" i="10"/>
  <c r="C103" i="10"/>
  <c r="C30" i="10"/>
  <c r="C126" i="10"/>
  <c r="C120" i="10"/>
  <c r="C139" i="10"/>
  <c r="C95" i="10"/>
  <c r="C42" i="10"/>
  <c r="C16" i="10"/>
  <c r="C110" i="10"/>
  <c r="C107" i="10"/>
  <c r="C70" i="10"/>
  <c r="C17" i="10"/>
  <c r="C13" i="10"/>
  <c r="C39" i="10"/>
  <c r="C136" i="10"/>
  <c r="C100" i="10"/>
  <c r="C32" i="10"/>
  <c r="C43" i="10"/>
  <c r="C99" i="10"/>
  <c r="C29" i="10"/>
  <c r="C21" i="10"/>
  <c r="C27" i="10"/>
  <c r="C108" i="10"/>
  <c r="C101" i="10"/>
  <c r="C48" i="10"/>
  <c r="C18" i="10"/>
  <c r="C45" i="10"/>
  <c r="C117" i="10"/>
  <c r="C36" i="10"/>
  <c r="C33" i="10"/>
  <c r="C57" i="10"/>
  <c r="C123" i="10"/>
  <c r="C111" i="10"/>
  <c r="C46" i="10"/>
  <c r="C94" i="10"/>
  <c r="C66" i="10"/>
  <c r="C137" i="10"/>
  <c r="C34" i="10"/>
  <c r="C104" i="10"/>
  <c r="C25" i="10"/>
  <c r="C10" i="10"/>
  <c r="C63" i="10"/>
  <c r="C140" i="10"/>
  <c r="C102" i="10"/>
  <c r="C141" i="10"/>
  <c r="C64" i="10"/>
  <c r="C56" i="10"/>
  <c r="C91" i="10"/>
  <c r="C87" i="10"/>
  <c r="C127" i="10"/>
  <c r="C5" i="10"/>
  <c r="C144" i="10"/>
  <c r="C52" i="10"/>
  <c r="C145" i="10"/>
  <c r="C9" i="10"/>
  <c r="C128" i="10"/>
  <c r="C97" i="10"/>
  <c r="C89" i="10"/>
  <c r="C47" i="10"/>
  <c r="C90" i="10"/>
  <c r="C116" i="10"/>
  <c r="C44" i="10"/>
  <c r="C106" i="10"/>
  <c r="C41" i="10"/>
  <c r="C112" i="10"/>
  <c r="C77" i="10"/>
  <c r="C31" i="10"/>
  <c r="C146" i="10"/>
  <c r="C149" i="10"/>
  <c r="C26" i="10"/>
  <c r="C69" i="10"/>
  <c r="C72" i="10"/>
  <c r="C7" i="10"/>
  <c r="C58" i="10"/>
  <c r="C86" i="10"/>
  <c r="C118" i="10"/>
  <c r="C51" i="10"/>
  <c r="C14" i="10"/>
  <c r="C12" i="10"/>
  <c r="C150" i="10"/>
  <c r="C4" i="10"/>
  <c r="C53" i="10"/>
  <c r="C28" i="10"/>
  <c r="C11" i="10"/>
  <c r="C76" i="10"/>
  <c r="C37" i="10"/>
  <c r="C109" i="10"/>
  <c r="C73" i="10"/>
  <c r="C119" i="10"/>
  <c r="C92" i="10"/>
  <c r="C6" i="10"/>
  <c r="C131" i="10"/>
  <c r="C24" i="10"/>
  <c r="C35" i="10"/>
  <c r="C93" i="10"/>
  <c r="C79" i="10"/>
  <c r="C22" i="10"/>
  <c r="C125" i="10"/>
  <c r="C129" i="10"/>
  <c r="C23" i="10"/>
  <c r="C38" i="10"/>
  <c r="C49" i="10"/>
  <c r="C82" i="10"/>
  <c r="C71" i="10"/>
  <c r="C59" i="10"/>
  <c r="C96" i="10"/>
  <c r="C75" i="10"/>
  <c r="C74" i="10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I2" i="1"/>
  <c r="H2" i="1"/>
  <c r="F5" i="1"/>
  <c r="F6" i="1"/>
  <c r="F1159" i="1"/>
  <c r="F1433" i="1"/>
  <c r="F1496" i="1"/>
  <c r="E29" i="1"/>
  <c r="E30" i="1"/>
  <c r="E61" i="1"/>
  <c r="E62" i="1"/>
  <c r="E92" i="1"/>
  <c r="E93" i="1"/>
  <c r="E94" i="1"/>
  <c r="E117" i="1"/>
  <c r="E118" i="1"/>
  <c r="E121" i="1"/>
  <c r="E142" i="1"/>
  <c r="E145" i="1"/>
  <c r="E146" i="1"/>
  <c r="E165" i="1"/>
  <c r="E166" i="1"/>
  <c r="E186" i="1"/>
  <c r="E205" i="1"/>
  <c r="E206" i="1"/>
  <c r="E221" i="1"/>
  <c r="E222" i="1"/>
  <c r="E223" i="1"/>
  <c r="E237" i="1"/>
  <c r="E238" i="1"/>
  <c r="E253" i="1"/>
  <c r="E254" i="1"/>
  <c r="E269" i="1"/>
  <c r="E270" i="1"/>
  <c r="E285" i="1"/>
  <c r="E286" i="1"/>
  <c r="E287" i="1"/>
  <c r="E301" i="1"/>
  <c r="E302" i="1"/>
  <c r="E303" i="1"/>
  <c r="E317" i="1"/>
  <c r="E318" i="1"/>
  <c r="E333" i="1"/>
  <c r="E334" i="1"/>
  <c r="E349" i="1"/>
  <c r="E350" i="1"/>
  <c r="E351" i="1"/>
  <c r="E365" i="1"/>
  <c r="E366" i="1"/>
  <c r="E381" i="1"/>
  <c r="E382" i="1"/>
  <c r="E397" i="1"/>
  <c r="E398" i="1"/>
  <c r="E413" i="1"/>
  <c r="E414" i="1"/>
  <c r="E415" i="1"/>
  <c r="E429" i="1"/>
  <c r="E430" i="1"/>
  <c r="E431" i="1"/>
  <c r="E445" i="1"/>
  <c r="E446" i="1"/>
  <c r="E461" i="1"/>
  <c r="E462" i="1"/>
  <c r="E477" i="1"/>
  <c r="E478" i="1"/>
  <c r="E493" i="1"/>
  <c r="E494" i="1"/>
  <c r="E509" i="1"/>
  <c r="E510" i="1"/>
  <c r="E524" i="1"/>
  <c r="E525" i="1"/>
  <c r="E526" i="1"/>
  <c r="E540" i="1"/>
  <c r="E549" i="1"/>
  <c r="E550" i="1"/>
  <c r="E551" i="1"/>
  <c r="E563" i="1"/>
  <c r="E565" i="1"/>
  <c r="E573" i="1"/>
  <c r="E574" i="1"/>
  <c r="E585" i="1"/>
  <c r="E587" i="1"/>
  <c r="E597" i="1"/>
  <c r="E605" i="1"/>
  <c r="E606" i="1"/>
  <c r="E615" i="1"/>
  <c r="E617" i="1"/>
  <c r="E629" i="1"/>
  <c r="E637" i="1"/>
  <c r="E638" i="1"/>
  <c r="E647" i="1"/>
  <c r="E649" i="1"/>
  <c r="E660" i="1"/>
  <c r="E661" i="1"/>
  <c r="E669" i="1"/>
  <c r="E670" i="1"/>
  <c r="E681" i="1"/>
  <c r="E691" i="1"/>
  <c r="E693" i="1"/>
  <c r="E699" i="1"/>
  <c r="E700" i="1"/>
  <c r="E701" i="1"/>
  <c r="E709" i="1"/>
  <c r="E717" i="1"/>
  <c r="E725" i="1"/>
  <c r="E732" i="1"/>
  <c r="E733" i="1"/>
  <c r="E740" i="1"/>
  <c r="E741" i="1"/>
  <c r="E749" i="1"/>
  <c r="E757" i="1"/>
  <c r="E763" i="1"/>
  <c r="E764" i="1"/>
  <c r="E765" i="1"/>
  <c r="E773" i="1"/>
  <c r="E781" i="1"/>
  <c r="E789" i="1"/>
  <c r="E796" i="1"/>
  <c r="E797" i="1"/>
  <c r="E804" i="1"/>
  <c r="E805" i="1"/>
  <c r="E813" i="1"/>
  <c r="E821" i="1"/>
  <c r="E828" i="1"/>
  <c r="E829" i="1"/>
  <c r="E837" i="1"/>
  <c r="E845" i="1"/>
  <c r="E853" i="1"/>
  <c r="E860" i="1"/>
  <c r="E861" i="1"/>
  <c r="E868" i="1"/>
  <c r="E869" i="1"/>
  <c r="E877" i="1"/>
  <c r="E883" i="1"/>
  <c r="E885" i="1"/>
  <c r="E892" i="1"/>
  <c r="E893" i="1"/>
  <c r="E901" i="1"/>
  <c r="E909" i="1"/>
  <c r="E915" i="1"/>
  <c r="E917" i="1"/>
  <c r="E924" i="1"/>
  <c r="E925" i="1"/>
  <c r="E932" i="1"/>
  <c r="E933" i="1"/>
  <c r="E941" i="1"/>
  <c r="E947" i="1"/>
  <c r="E949" i="1"/>
  <c r="E955" i="1"/>
  <c r="E956" i="1"/>
  <c r="E957" i="1"/>
  <c r="E965" i="1"/>
  <c r="E973" i="1"/>
  <c r="E981" i="1"/>
  <c r="E988" i="1"/>
  <c r="E989" i="1"/>
  <c r="E996" i="1"/>
  <c r="E997" i="1"/>
  <c r="E1005" i="1"/>
  <c r="E1013" i="1"/>
  <c r="E1019" i="1"/>
  <c r="E1020" i="1"/>
  <c r="E1021" i="1"/>
  <c r="E1029" i="1"/>
  <c r="E1037" i="1"/>
  <c r="E1045" i="1"/>
  <c r="E1052" i="1"/>
  <c r="E1053" i="1"/>
  <c r="E1060" i="1"/>
  <c r="E1061" i="1"/>
  <c r="E1069" i="1"/>
  <c r="E1077" i="1"/>
  <c r="E1084" i="1"/>
  <c r="E1085" i="1"/>
  <c r="E1093" i="1"/>
  <c r="E1101" i="1"/>
  <c r="E1109" i="1"/>
  <c r="E1116" i="1"/>
  <c r="E1117" i="1"/>
  <c r="E1124" i="1"/>
  <c r="E1125" i="1"/>
  <c r="E1133" i="1"/>
  <c r="E1139" i="1"/>
  <c r="E1141" i="1"/>
  <c r="E1148" i="1"/>
  <c r="E1149" i="1"/>
  <c r="E1157" i="1"/>
  <c r="E1165" i="1"/>
  <c r="E1171" i="1"/>
  <c r="E1173" i="1"/>
  <c r="E1180" i="1"/>
  <c r="E1181" i="1"/>
  <c r="E1188" i="1"/>
  <c r="E1189" i="1"/>
  <c r="E1197" i="1"/>
  <c r="E1203" i="1"/>
  <c r="E1205" i="1"/>
  <c r="E1211" i="1"/>
  <c r="E1213" i="1"/>
  <c r="E1221" i="1"/>
  <c r="E1229" i="1"/>
  <c r="E1237" i="1"/>
  <c r="E1244" i="1"/>
  <c r="E1245" i="1"/>
  <c r="E1253" i="1"/>
  <c r="E1261" i="1"/>
  <c r="E1269" i="1"/>
  <c r="E1275" i="1"/>
  <c r="E1276" i="1"/>
  <c r="E1277" i="1"/>
  <c r="E1285" i="1"/>
  <c r="E1293" i="1"/>
  <c r="E1301" i="1"/>
  <c r="E1309" i="1"/>
  <c r="E1316" i="1"/>
  <c r="E1317" i="1"/>
  <c r="E1325" i="1"/>
  <c r="E1333" i="1"/>
  <c r="E1341" i="1"/>
  <c r="E1349" i="1"/>
  <c r="E1357" i="1"/>
  <c r="E1365" i="1"/>
  <c r="E1373" i="1"/>
  <c r="E1381" i="1"/>
  <c r="E1389" i="1"/>
  <c r="E1395" i="1"/>
  <c r="E1397" i="1"/>
  <c r="E1405" i="1"/>
  <c r="E1413" i="1"/>
  <c r="E1421" i="1"/>
  <c r="E1427" i="1"/>
  <c r="E1429" i="1"/>
  <c r="E1437" i="1"/>
  <c r="E1445" i="1"/>
  <c r="E1453" i="1"/>
  <c r="E1459" i="1"/>
  <c r="E1461" i="1"/>
  <c r="E1467" i="1"/>
  <c r="E1469" i="1"/>
  <c r="E1477" i="1"/>
  <c r="E1485" i="1"/>
  <c r="E1493" i="1"/>
  <c r="E1500" i="1"/>
  <c r="E3" i="1"/>
  <c r="C7" i="1"/>
  <c r="E7" i="1" s="1"/>
  <c r="C8" i="1"/>
  <c r="E8" i="1" s="1"/>
  <c r="C9" i="1"/>
  <c r="E9" i="1" s="1"/>
  <c r="C10" i="1"/>
  <c r="E10" i="1" s="1"/>
  <c r="C11" i="1"/>
  <c r="E11" i="1" s="1"/>
  <c r="C12" i="1"/>
  <c r="E12" i="1" s="1"/>
  <c r="C13" i="1"/>
  <c r="E13" i="1" s="1"/>
  <c r="C14" i="1"/>
  <c r="E14" i="1" s="1"/>
  <c r="C15" i="1"/>
  <c r="E15" i="1" s="1"/>
  <c r="C16" i="1"/>
  <c r="E16" i="1" s="1"/>
  <c r="C17" i="1"/>
  <c r="E17" i="1" s="1"/>
  <c r="C18" i="1"/>
  <c r="E18" i="1" s="1"/>
  <c r="C19" i="1"/>
  <c r="E19" i="1" s="1"/>
  <c r="C20" i="1"/>
  <c r="E20" i="1" s="1"/>
  <c r="C21" i="1"/>
  <c r="E21" i="1" s="1"/>
  <c r="C22" i="1"/>
  <c r="E22" i="1" s="1"/>
  <c r="C23" i="1"/>
  <c r="E23" i="1" s="1"/>
  <c r="C24" i="1"/>
  <c r="E24" i="1" s="1"/>
  <c r="C25" i="1"/>
  <c r="E25" i="1" s="1"/>
  <c r="C26" i="1"/>
  <c r="E26" i="1" s="1"/>
  <c r="C27" i="1"/>
  <c r="E27" i="1" s="1"/>
  <c r="C28" i="1"/>
  <c r="E28" i="1" s="1"/>
  <c r="C29" i="1"/>
  <c r="C30" i="1"/>
  <c r="C31" i="1"/>
  <c r="E31" i="1" s="1"/>
  <c r="C32" i="1"/>
  <c r="E32" i="1" s="1"/>
  <c r="C33" i="1"/>
  <c r="E33" i="1" s="1"/>
  <c r="C34" i="1"/>
  <c r="E34" i="1" s="1"/>
  <c r="C35" i="1"/>
  <c r="E35" i="1" s="1"/>
  <c r="C36" i="1"/>
  <c r="E36" i="1" s="1"/>
  <c r="C37" i="1"/>
  <c r="E37" i="1" s="1"/>
  <c r="C38" i="1"/>
  <c r="E38" i="1" s="1"/>
  <c r="C39" i="1"/>
  <c r="E39" i="1" s="1"/>
  <c r="C40" i="1"/>
  <c r="E40" i="1" s="1"/>
  <c r="C41" i="1"/>
  <c r="E41" i="1" s="1"/>
  <c r="C42" i="1"/>
  <c r="E42" i="1" s="1"/>
  <c r="C43" i="1"/>
  <c r="E43" i="1" s="1"/>
  <c r="C44" i="1"/>
  <c r="E44" i="1" s="1"/>
  <c r="C45" i="1"/>
  <c r="E45" i="1" s="1"/>
  <c r="C46" i="1"/>
  <c r="E46" i="1" s="1"/>
  <c r="C47" i="1"/>
  <c r="E47" i="1" s="1"/>
  <c r="C48" i="1"/>
  <c r="E48" i="1" s="1"/>
  <c r="C49" i="1"/>
  <c r="E49" i="1" s="1"/>
  <c r="C50" i="1"/>
  <c r="E50" i="1" s="1"/>
  <c r="C51" i="1"/>
  <c r="E51" i="1" s="1"/>
  <c r="C52" i="1"/>
  <c r="E52" i="1" s="1"/>
  <c r="C53" i="1"/>
  <c r="E53" i="1" s="1"/>
  <c r="C54" i="1"/>
  <c r="E54" i="1" s="1"/>
  <c r="C55" i="1"/>
  <c r="E55" i="1" s="1"/>
  <c r="C56" i="1"/>
  <c r="E56" i="1" s="1"/>
  <c r="C57" i="1"/>
  <c r="E57" i="1" s="1"/>
  <c r="C58" i="1"/>
  <c r="E58" i="1" s="1"/>
  <c r="C59" i="1"/>
  <c r="E59" i="1" s="1"/>
  <c r="C60" i="1"/>
  <c r="E60" i="1" s="1"/>
  <c r="C61" i="1"/>
  <c r="C62" i="1"/>
  <c r="C63" i="1"/>
  <c r="E63" i="1" s="1"/>
  <c r="C64" i="1"/>
  <c r="E64" i="1" s="1"/>
  <c r="C65" i="1"/>
  <c r="E65" i="1" s="1"/>
  <c r="C66" i="1"/>
  <c r="E66" i="1" s="1"/>
  <c r="C67" i="1"/>
  <c r="E67" i="1" s="1"/>
  <c r="C68" i="1"/>
  <c r="E68" i="1" s="1"/>
  <c r="C69" i="1"/>
  <c r="E69" i="1" s="1"/>
  <c r="C70" i="1"/>
  <c r="E70" i="1" s="1"/>
  <c r="C71" i="1"/>
  <c r="E71" i="1" s="1"/>
  <c r="C72" i="1"/>
  <c r="E72" i="1" s="1"/>
  <c r="C73" i="1"/>
  <c r="E73" i="1" s="1"/>
  <c r="C74" i="1"/>
  <c r="E74" i="1" s="1"/>
  <c r="C75" i="1"/>
  <c r="E75" i="1" s="1"/>
  <c r="C76" i="1"/>
  <c r="E76" i="1" s="1"/>
  <c r="C77" i="1"/>
  <c r="E77" i="1" s="1"/>
  <c r="C78" i="1"/>
  <c r="E78" i="1" s="1"/>
  <c r="C79" i="1"/>
  <c r="E79" i="1" s="1"/>
  <c r="C80" i="1"/>
  <c r="E80" i="1" s="1"/>
  <c r="C81" i="1"/>
  <c r="E81" i="1" s="1"/>
  <c r="C82" i="1"/>
  <c r="E82" i="1" s="1"/>
  <c r="C83" i="1"/>
  <c r="E83" i="1" s="1"/>
  <c r="C84" i="1"/>
  <c r="E84" i="1" s="1"/>
  <c r="C85" i="1"/>
  <c r="E85" i="1" s="1"/>
  <c r="C86" i="1"/>
  <c r="E86" i="1" s="1"/>
  <c r="C87" i="1"/>
  <c r="E87" i="1" s="1"/>
  <c r="C88" i="1"/>
  <c r="E88" i="1" s="1"/>
  <c r="C89" i="1"/>
  <c r="E89" i="1" s="1"/>
  <c r="C90" i="1"/>
  <c r="E90" i="1" s="1"/>
  <c r="C91" i="1"/>
  <c r="E91" i="1" s="1"/>
  <c r="C92" i="1"/>
  <c r="C93" i="1"/>
  <c r="C94" i="1"/>
  <c r="C95" i="1"/>
  <c r="E95" i="1" s="1"/>
  <c r="C96" i="1"/>
  <c r="E96" i="1" s="1"/>
  <c r="C97" i="1"/>
  <c r="E97" i="1" s="1"/>
  <c r="C98" i="1"/>
  <c r="E98" i="1" s="1"/>
  <c r="C99" i="1"/>
  <c r="E99" i="1" s="1"/>
  <c r="C100" i="1"/>
  <c r="E100" i="1" s="1"/>
  <c r="C101" i="1"/>
  <c r="E101" i="1" s="1"/>
  <c r="C102" i="1"/>
  <c r="E102" i="1" s="1"/>
  <c r="C103" i="1"/>
  <c r="E103" i="1" s="1"/>
  <c r="C104" i="1"/>
  <c r="E104" i="1" s="1"/>
  <c r="C105" i="1"/>
  <c r="E105" i="1" s="1"/>
  <c r="C106" i="1"/>
  <c r="E106" i="1" s="1"/>
  <c r="C107" i="1"/>
  <c r="E107" i="1" s="1"/>
  <c r="C108" i="1"/>
  <c r="E108" i="1" s="1"/>
  <c r="C109" i="1"/>
  <c r="E109" i="1" s="1"/>
  <c r="C110" i="1"/>
  <c r="E110" i="1" s="1"/>
  <c r="C111" i="1"/>
  <c r="E111" i="1" s="1"/>
  <c r="C112" i="1"/>
  <c r="E112" i="1" s="1"/>
  <c r="C113" i="1"/>
  <c r="E113" i="1" s="1"/>
  <c r="C114" i="1"/>
  <c r="E114" i="1" s="1"/>
  <c r="C115" i="1"/>
  <c r="E115" i="1" s="1"/>
  <c r="C116" i="1"/>
  <c r="E116" i="1" s="1"/>
  <c r="C117" i="1"/>
  <c r="C118" i="1"/>
  <c r="C119" i="1"/>
  <c r="E119" i="1" s="1"/>
  <c r="C120" i="1"/>
  <c r="E120" i="1" s="1"/>
  <c r="C121" i="1"/>
  <c r="C122" i="1"/>
  <c r="E122" i="1" s="1"/>
  <c r="C123" i="1"/>
  <c r="E123" i="1" s="1"/>
  <c r="C124" i="1"/>
  <c r="E124" i="1" s="1"/>
  <c r="C125" i="1"/>
  <c r="E125" i="1" s="1"/>
  <c r="C126" i="1"/>
  <c r="E126" i="1" s="1"/>
  <c r="C127" i="1"/>
  <c r="E127" i="1" s="1"/>
  <c r="C128" i="1"/>
  <c r="E128" i="1" s="1"/>
  <c r="C129" i="1"/>
  <c r="E129" i="1" s="1"/>
  <c r="C130" i="1"/>
  <c r="E130" i="1" s="1"/>
  <c r="C131" i="1"/>
  <c r="E131" i="1" s="1"/>
  <c r="C132" i="1"/>
  <c r="E132" i="1" s="1"/>
  <c r="C133" i="1"/>
  <c r="E133" i="1" s="1"/>
  <c r="C134" i="1"/>
  <c r="E134" i="1" s="1"/>
  <c r="C135" i="1"/>
  <c r="E135" i="1" s="1"/>
  <c r="C136" i="1"/>
  <c r="E136" i="1" s="1"/>
  <c r="C137" i="1"/>
  <c r="E137" i="1" s="1"/>
  <c r="C138" i="1"/>
  <c r="E138" i="1" s="1"/>
  <c r="C139" i="1"/>
  <c r="E139" i="1" s="1"/>
  <c r="C140" i="1"/>
  <c r="E140" i="1" s="1"/>
  <c r="C141" i="1"/>
  <c r="E141" i="1" s="1"/>
  <c r="C142" i="1"/>
  <c r="C143" i="1"/>
  <c r="E143" i="1" s="1"/>
  <c r="C144" i="1"/>
  <c r="E144" i="1" s="1"/>
  <c r="C145" i="1"/>
  <c r="C146" i="1"/>
  <c r="C147" i="1"/>
  <c r="E147" i="1" s="1"/>
  <c r="C148" i="1"/>
  <c r="E148" i="1" s="1"/>
  <c r="C149" i="1"/>
  <c r="E149" i="1" s="1"/>
  <c r="C150" i="1"/>
  <c r="E150" i="1" s="1"/>
  <c r="C151" i="1"/>
  <c r="E151" i="1" s="1"/>
  <c r="C152" i="1"/>
  <c r="E152" i="1" s="1"/>
  <c r="C153" i="1"/>
  <c r="E153" i="1" s="1"/>
  <c r="C154" i="1"/>
  <c r="E154" i="1" s="1"/>
  <c r="C155" i="1"/>
  <c r="E155" i="1" s="1"/>
  <c r="C156" i="1"/>
  <c r="E156" i="1" s="1"/>
  <c r="C157" i="1"/>
  <c r="E157" i="1" s="1"/>
  <c r="C158" i="1"/>
  <c r="E158" i="1" s="1"/>
  <c r="C159" i="1"/>
  <c r="E159" i="1" s="1"/>
  <c r="C160" i="1"/>
  <c r="E160" i="1" s="1"/>
  <c r="C161" i="1"/>
  <c r="E161" i="1" s="1"/>
  <c r="C162" i="1"/>
  <c r="E162" i="1" s="1"/>
  <c r="C163" i="1"/>
  <c r="E163" i="1" s="1"/>
  <c r="C164" i="1"/>
  <c r="E164" i="1" s="1"/>
  <c r="C165" i="1"/>
  <c r="C166" i="1"/>
  <c r="C167" i="1"/>
  <c r="E167" i="1" s="1"/>
  <c r="C168" i="1"/>
  <c r="E168" i="1" s="1"/>
  <c r="C169" i="1"/>
  <c r="E169" i="1" s="1"/>
  <c r="C170" i="1"/>
  <c r="E170" i="1" s="1"/>
  <c r="C171" i="1"/>
  <c r="E171" i="1" s="1"/>
  <c r="C172" i="1"/>
  <c r="E172" i="1" s="1"/>
  <c r="C173" i="1"/>
  <c r="E173" i="1" s="1"/>
  <c r="C174" i="1"/>
  <c r="E174" i="1" s="1"/>
  <c r="C175" i="1"/>
  <c r="E175" i="1" s="1"/>
  <c r="C176" i="1"/>
  <c r="E176" i="1" s="1"/>
  <c r="C177" i="1"/>
  <c r="E177" i="1" s="1"/>
  <c r="C178" i="1"/>
  <c r="E178" i="1" s="1"/>
  <c r="C179" i="1"/>
  <c r="E179" i="1" s="1"/>
  <c r="C180" i="1"/>
  <c r="E180" i="1" s="1"/>
  <c r="C181" i="1"/>
  <c r="E181" i="1" s="1"/>
  <c r="C182" i="1"/>
  <c r="E182" i="1" s="1"/>
  <c r="C183" i="1"/>
  <c r="E183" i="1" s="1"/>
  <c r="C184" i="1"/>
  <c r="E184" i="1" s="1"/>
  <c r="C185" i="1"/>
  <c r="E185" i="1" s="1"/>
  <c r="C186" i="1"/>
  <c r="C187" i="1"/>
  <c r="E187" i="1" s="1"/>
  <c r="C188" i="1"/>
  <c r="E188" i="1" s="1"/>
  <c r="C189" i="1"/>
  <c r="E189" i="1" s="1"/>
  <c r="C190" i="1"/>
  <c r="E190" i="1" s="1"/>
  <c r="C191" i="1"/>
  <c r="E191" i="1" s="1"/>
  <c r="C192" i="1"/>
  <c r="E192" i="1" s="1"/>
  <c r="C193" i="1"/>
  <c r="E193" i="1" s="1"/>
  <c r="C194" i="1"/>
  <c r="E194" i="1" s="1"/>
  <c r="C195" i="1"/>
  <c r="E195" i="1" s="1"/>
  <c r="C196" i="1"/>
  <c r="E196" i="1" s="1"/>
  <c r="C197" i="1"/>
  <c r="E197" i="1" s="1"/>
  <c r="C198" i="1"/>
  <c r="E198" i="1" s="1"/>
  <c r="C199" i="1"/>
  <c r="E199" i="1" s="1"/>
  <c r="C200" i="1"/>
  <c r="E200" i="1" s="1"/>
  <c r="C201" i="1"/>
  <c r="E201" i="1" s="1"/>
  <c r="C202" i="1"/>
  <c r="E202" i="1" s="1"/>
  <c r="C203" i="1"/>
  <c r="E203" i="1" s="1"/>
  <c r="C204" i="1"/>
  <c r="E204" i="1" s="1"/>
  <c r="C205" i="1"/>
  <c r="C206" i="1"/>
  <c r="C207" i="1"/>
  <c r="E207" i="1" s="1"/>
  <c r="C208" i="1"/>
  <c r="E208" i="1" s="1"/>
  <c r="C209" i="1"/>
  <c r="E209" i="1" s="1"/>
  <c r="C210" i="1"/>
  <c r="E210" i="1" s="1"/>
  <c r="C211" i="1"/>
  <c r="E211" i="1" s="1"/>
  <c r="C212" i="1"/>
  <c r="E212" i="1" s="1"/>
  <c r="C213" i="1"/>
  <c r="E213" i="1" s="1"/>
  <c r="C214" i="1"/>
  <c r="E214" i="1" s="1"/>
  <c r="C215" i="1"/>
  <c r="E215" i="1" s="1"/>
  <c r="C216" i="1"/>
  <c r="E216" i="1" s="1"/>
  <c r="C217" i="1"/>
  <c r="E217" i="1" s="1"/>
  <c r="C218" i="1"/>
  <c r="E218" i="1" s="1"/>
  <c r="C219" i="1"/>
  <c r="E219" i="1" s="1"/>
  <c r="C220" i="1"/>
  <c r="E220" i="1" s="1"/>
  <c r="C221" i="1"/>
  <c r="C222" i="1"/>
  <c r="C223" i="1"/>
  <c r="C224" i="1"/>
  <c r="E224" i="1" s="1"/>
  <c r="C225" i="1"/>
  <c r="E225" i="1" s="1"/>
  <c r="C226" i="1"/>
  <c r="E226" i="1" s="1"/>
  <c r="C227" i="1"/>
  <c r="E227" i="1" s="1"/>
  <c r="C228" i="1"/>
  <c r="E228" i="1" s="1"/>
  <c r="C229" i="1"/>
  <c r="E229" i="1" s="1"/>
  <c r="C230" i="1"/>
  <c r="E230" i="1" s="1"/>
  <c r="C231" i="1"/>
  <c r="E231" i="1" s="1"/>
  <c r="C232" i="1"/>
  <c r="E232" i="1" s="1"/>
  <c r="C233" i="1"/>
  <c r="E233" i="1" s="1"/>
  <c r="C234" i="1"/>
  <c r="E234" i="1" s="1"/>
  <c r="C235" i="1"/>
  <c r="E235" i="1" s="1"/>
  <c r="C236" i="1"/>
  <c r="E236" i="1" s="1"/>
  <c r="C237" i="1"/>
  <c r="C238" i="1"/>
  <c r="C239" i="1"/>
  <c r="E239" i="1" s="1"/>
  <c r="C240" i="1"/>
  <c r="E240" i="1" s="1"/>
  <c r="C241" i="1"/>
  <c r="E241" i="1" s="1"/>
  <c r="C242" i="1"/>
  <c r="E242" i="1" s="1"/>
  <c r="C243" i="1"/>
  <c r="E243" i="1" s="1"/>
  <c r="C244" i="1"/>
  <c r="E244" i="1" s="1"/>
  <c r="C245" i="1"/>
  <c r="E245" i="1" s="1"/>
  <c r="C246" i="1"/>
  <c r="E246" i="1" s="1"/>
  <c r="C247" i="1"/>
  <c r="E247" i="1" s="1"/>
  <c r="C248" i="1"/>
  <c r="E248" i="1" s="1"/>
  <c r="C249" i="1"/>
  <c r="E249" i="1" s="1"/>
  <c r="C250" i="1"/>
  <c r="E250" i="1" s="1"/>
  <c r="C251" i="1"/>
  <c r="E251" i="1" s="1"/>
  <c r="C252" i="1"/>
  <c r="E252" i="1" s="1"/>
  <c r="C253" i="1"/>
  <c r="C254" i="1"/>
  <c r="C255" i="1"/>
  <c r="E255" i="1" s="1"/>
  <c r="C256" i="1"/>
  <c r="E256" i="1" s="1"/>
  <c r="C257" i="1"/>
  <c r="E257" i="1" s="1"/>
  <c r="C258" i="1"/>
  <c r="E258" i="1" s="1"/>
  <c r="C259" i="1"/>
  <c r="E259" i="1" s="1"/>
  <c r="C260" i="1"/>
  <c r="E260" i="1" s="1"/>
  <c r="C261" i="1"/>
  <c r="E261" i="1" s="1"/>
  <c r="C262" i="1"/>
  <c r="E262" i="1" s="1"/>
  <c r="C263" i="1"/>
  <c r="E263" i="1" s="1"/>
  <c r="C264" i="1"/>
  <c r="E264" i="1" s="1"/>
  <c r="C265" i="1"/>
  <c r="E265" i="1" s="1"/>
  <c r="C266" i="1"/>
  <c r="E266" i="1" s="1"/>
  <c r="C267" i="1"/>
  <c r="E267" i="1" s="1"/>
  <c r="C268" i="1"/>
  <c r="E268" i="1" s="1"/>
  <c r="C269" i="1"/>
  <c r="C270" i="1"/>
  <c r="C271" i="1"/>
  <c r="E271" i="1" s="1"/>
  <c r="C272" i="1"/>
  <c r="E272" i="1" s="1"/>
  <c r="C273" i="1"/>
  <c r="E273" i="1" s="1"/>
  <c r="C274" i="1"/>
  <c r="E274" i="1" s="1"/>
  <c r="C275" i="1"/>
  <c r="E275" i="1" s="1"/>
  <c r="C276" i="1"/>
  <c r="E276" i="1" s="1"/>
  <c r="C277" i="1"/>
  <c r="E277" i="1" s="1"/>
  <c r="C278" i="1"/>
  <c r="E278" i="1" s="1"/>
  <c r="C279" i="1"/>
  <c r="E279" i="1" s="1"/>
  <c r="C280" i="1"/>
  <c r="E280" i="1" s="1"/>
  <c r="C281" i="1"/>
  <c r="E281" i="1" s="1"/>
  <c r="C282" i="1"/>
  <c r="E282" i="1" s="1"/>
  <c r="C283" i="1"/>
  <c r="E283" i="1" s="1"/>
  <c r="C284" i="1"/>
  <c r="E284" i="1" s="1"/>
  <c r="C285" i="1"/>
  <c r="C286" i="1"/>
  <c r="C287" i="1"/>
  <c r="C288" i="1"/>
  <c r="E288" i="1" s="1"/>
  <c r="C289" i="1"/>
  <c r="E289" i="1" s="1"/>
  <c r="C290" i="1"/>
  <c r="E290" i="1" s="1"/>
  <c r="C291" i="1"/>
  <c r="E291" i="1" s="1"/>
  <c r="C292" i="1"/>
  <c r="E292" i="1" s="1"/>
  <c r="C293" i="1"/>
  <c r="E293" i="1" s="1"/>
  <c r="C294" i="1"/>
  <c r="E294" i="1" s="1"/>
  <c r="C295" i="1"/>
  <c r="E295" i="1" s="1"/>
  <c r="C296" i="1"/>
  <c r="E296" i="1" s="1"/>
  <c r="C297" i="1"/>
  <c r="E297" i="1" s="1"/>
  <c r="C298" i="1"/>
  <c r="E298" i="1" s="1"/>
  <c r="C299" i="1"/>
  <c r="E299" i="1" s="1"/>
  <c r="C300" i="1"/>
  <c r="E300" i="1" s="1"/>
  <c r="C301" i="1"/>
  <c r="C302" i="1"/>
  <c r="C303" i="1"/>
  <c r="C304" i="1"/>
  <c r="E304" i="1" s="1"/>
  <c r="C305" i="1"/>
  <c r="E305" i="1" s="1"/>
  <c r="C306" i="1"/>
  <c r="E306" i="1" s="1"/>
  <c r="C307" i="1"/>
  <c r="E307" i="1" s="1"/>
  <c r="C308" i="1"/>
  <c r="E308" i="1" s="1"/>
  <c r="C309" i="1"/>
  <c r="E309" i="1" s="1"/>
  <c r="C310" i="1"/>
  <c r="E310" i="1" s="1"/>
  <c r="C311" i="1"/>
  <c r="E311" i="1" s="1"/>
  <c r="C312" i="1"/>
  <c r="E312" i="1" s="1"/>
  <c r="C313" i="1"/>
  <c r="E313" i="1" s="1"/>
  <c r="C314" i="1"/>
  <c r="E314" i="1" s="1"/>
  <c r="C315" i="1"/>
  <c r="E315" i="1" s="1"/>
  <c r="C316" i="1"/>
  <c r="E316" i="1" s="1"/>
  <c r="C317" i="1"/>
  <c r="C318" i="1"/>
  <c r="C319" i="1"/>
  <c r="E319" i="1" s="1"/>
  <c r="C320" i="1"/>
  <c r="E320" i="1" s="1"/>
  <c r="C321" i="1"/>
  <c r="E321" i="1" s="1"/>
  <c r="C322" i="1"/>
  <c r="E322" i="1" s="1"/>
  <c r="C323" i="1"/>
  <c r="E323" i="1" s="1"/>
  <c r="C324" i="1"/>
  <c r="E324" i="1" s="1"/>
  <c r="C325" i="1"/>
  <c r="E325" i="1" s="1"/>
  <c r="C326" i="1"/>
  <c r="E326" i="1" s="1"/>
  <c r="C327" i="1"/>
  <c r="E327" i="1" s="1"/>
  <c r="C328" i="1"/>
  <c r="E328" i="1" s="1"/>
  <c r="C329" i="1"/>
  <c r="E329" i="1" s="1"/>
  <c r="C330" i="1"/>
  <c r="E330" i="1" s="1"/>
  <c r="C331" i="1"/>
  <c r="E331" i="1" s="1"/>
  <c r="C332" i="1"/>
  <c r="E332" i="1" s="1"/>
  <c r="C333" i="1"/>
  <c r="C334" i="1"/>
  <c r="C335" i="1"/>
  <c r="E335" i="1" s="1"/>
  <c r="C336" i="1"/>
  <c r="E336" i="1" s="1"/>
  <c r="C337" i="1"/>
  <c r="E337" i="1" s="1"/>
  <c r="C338" i="1"/>
  <c r="E338" i="1" s="1"/>
  <c r="C339" i="1"/>
  <c r="E339" i="1" s="1"/>
  <c r="C340" i="1"/>
  <c r="E340" i="1" s="1"/>
  <c r="C341" i="1"/>
  <c r="E341" i="1" s="1"/>
  <c r="C342" i="1"/>
  <c r="E342" i="1" s="1"/>
  <c r="C343" i="1"/>
  <c r="E343" i="1" s="1"/>
  <c r="C344" i="1"/>
  <c r="E344" i="1" s="1"/>
  <c r="C345" i="1"/>
  <c r="E345" i="1" s="1"/>
  <c r="C346" i="1"/>
  <c r="E346" i="1" s="1"/>
  <c r="C347" i="1"/>
  <c r="E347" i="1" s="1"/>
  <c r="C348" i="1"/>
  <c r="E348" i="1" s="1"/>
  <c r="C349" i="1"/>
  <c r="C350" i="1"/>
  <c r="C351" i="1"/>
  <c r="C352" i="1"/>
  <c r="E352" i="1" s="1"/>
  <c r="C353" i="1"/>
  <c r="E353" i="1" s="1"/>
  <c r="C354" i="1"/>
  <c r="E354" i="1" s="1"/>
  <c r="C355" i="1"/>
  <c r="E355" i="1" s="1"/>
  <c r="C356" i="1"/>
  <c r="E356" i="1" s="1"/>
  <c r="C357" i="1"/>
  <c r="E357" i="1" s="1"/>
  <c r="C358" i="1"/>
  <c r="E358" i="1" s="1"/>
  <c r="C359" i="1"/>
  <c r="E359" i="1" s="1"/>
  <c r="C360" i="1"/>
  <c r="E360" i="1" s="1"/>
  <c r="C361" i="1"/>
  <c r="E361" i="1" s="1"/>
  <c r="C362" i="1"/>
  <c r="E362" i="1" s="1"/>
  <c r="C363" i="1"/>
  <c r="E363" i="1" s="1"/>
  <c r="C364" i="1"/>
  <c r="E364" i="1" s="1"/>
  <c r="C365" i="1"/>
  <c r="C366" i="1"/>
  <c r="C367" i="1"/>
  <c r="E367" i="1" s="1"/>
  <c r="C368" i="1"/>
  <c r="E368" i="1" s="1"/>
  <c r="C369" i="1"/>
  <c r="E369" i="1" s="1"/>
  <c r="C370" i="1"/>
  <c r="E370" i="1" s="1"/>
  <c r="C371" i="1"/>
  <c r="E371" i="1" s="1"/>
  <c r="C372" i="1"/>
  <c r="E372" i="1" s="1"/>
  <c r="C373" i="1"/>
  <c r="E373" i="1" s="1"/>
  <c r="C374" i="1"/>
  <c r="E374" i="1" s="1"/>
  <c r="C375" i="1"/>
  <c r="E375" i="1" s="1"/>
  <c r="C376" i="1"/>
  <c r="E376" i="1" s="1"/>
  <c r="C377" i="1"/>
  <c r="E377" i="1" s="1"/>
  <c r="C378" i="1"/>
  <c r="E378" i="1" s="1"/>
  <c r="C379" i="1"/>
  <c r="E379" i="1" s="1"/>
  <c r="C380" i="1"/>
  <c r="E380" i="1" s="1"/>
  <c r="C381" i="1"/>
  <c r="C382" i="1"/>
  <c r="C383" i="1"/>
  <c r="E383" i="1" s="1"/>
  <c r="C384" i="1"/>
  <c r="E384" i="1" s="1"/>
  <c r="C385" i="1"/>
  <c r="E385" i="1" s="1"/>
  <c r="C386" i="1"/>
  <c r="E386" i="1" s="1"/>
  <c r="C387" i="1"/>
  <c r="E387" i="1" s="1"/>
  <c r="C388" i="1"/>
  <c r="E388" i="1" s="1"/>
  <c r="C389" i="1"/>
  <c r="E389" i="1" s="1"/>
  <c r="C390" i="1"/>
  <c r="E390" i="1" s="1"/>
  <c r="C391" i="1"/>
  <c r="E391" i="1" s="1"/>
  <c r="C392" i="1"/>
  <c r="E392" i="1" s="1"/>
  <c r="C393" i="1"/>
  <c r="E393" i="1" s="1"/>
  <c r="C394" i="1"/>
  <c r="E394" i="1" s="1"/>
  <c r="C395" i="1"/>
  <c r="E395" i="1" s="1"/>
  <c r="C396" i="1"/>
  <c r="E396" i="1" s="1"/>
  <c r="C397" i="1"/>
  <c r="C398" i="1"/>
  <c r="C399" i="1"/>
  <c r="E399" i="1" s="1"/>
  <c r="C400" i="1"/>
  <c r="E400" i="1" s="1"/>
  <c r="C401" i="1"/>
  <c r="E401" i="1" s="1"/>
  <c r="C402" i="1"/>
  <c r="E402" i="1" s="1"/>
  <c r="C403" i="1"/>
  <c r="E403" i="1" s="1"/>
  <c r="C404" i="1"/>
  <c r="E404" i="1" s="1"/>
  <c r="C405" i="1"/>
  <c r="E405" i="1" s="1"/>
  <c r="C406" i="1"/>
  <c r="E406" i="1" s="1"/>
  <c r="C407" i="1"/>
  <c r="E407" i="1" s="1"/>
  <c r="C408" i="1"/>
  <c r="E408" i="1" s="1"/>
  <c r="C409" i="1"/>
  <c r="E409" i="1" s="1"/>
  <c r="C410" i="1"/>
  <c r="E410" i="1" s="1"/>
  <c r="C411" i="1"/>
  <c r="E411" i="1" s="1"/>
  <c r="C412" i="1"/>
  <c r="E412" i="1" s="1"/>
  <c r="C413" i="1"/>
  <c r="C414" i="1"/>
  <c r="C415" i="1"/>
  <c r="C416" i="1"/>
  <c r="E416" i="1" s="1"/>
  <c r="C417" i="1"/>
  <c r="E417" i="1" s="1"/>
  <c r="C418" i="1"/>
  <c r="E418" i="1" s="1"/>
  <c r="C419" i="1"/>
  <c r="E419" i="1" s="1"/>
  <c r="C420" i="1"/>
  <c r="E420" i="1" s="1"/>
  <c r="C421" i="1"/>
  <c r="E421" i="1" s="1"/>
  <c r="C422" i="1"/>
  <c r="E422" i="1" s="1"/>
  <c r="C423" i="1"/>
  <c r="E423" i="1" s="1"/>
  <c r="C424" i="1"/>
  <c r="E424" i="1" s="1"/>
  <c r="C425" i="1"/>
  <c r="E425" i="1" s="1"/>
  <c r="C426" i="1"/>
  <c r="E426" i="1" s="1"/>
  <c r="C427" i="1"/>
  <c r="E427" i="1" s="1"/>
  <c r="C428" i="1"/>
  <c r="E428" i="1" s="1"/>
  <c r="C429" i="1"/>
  <c r="C430" i="1"/>
  <c r="C431" i="1"/>
  <c r="C432" i="1"/>
  <c r="E432" i="1" s="1"/>
  <c r="C433" i="1"/>
  <c r="E433" i="1" s="1"/>
  <c r="C434" i="1"/>
  <c r="E434" i="1" s="1"/>
  <c r="C435" i="1"/>
  <c r="E435" i="1" s="1"/>
  <c r="C436" i="1"/>
  <c r="E436" i="1" s="1"/>
  <c r="C437" i="1"/>
  <c r="E437" i="1" s="1"/>
  <c r="C438" i="1"/>
  <c r="E438" i="1" s="1"/>
  <c r="C439" i="1"/>
  <c r="E439" i="1" s="1"/>
  <c r="C440" i="1"/>
  <c r="E440" i="1" s="1"/>
  <c r="C441" i="1"/>
  <c r="E441" i="1" s="1"/>
  <c r="C442" i="1"/>
  <c r="E442" i="1" s="1"/>
  <c r="C443" i="1"/>
  <c r="E443" i="1" s="1"/>
  <c r="C444" i="1"/>
  <c r="E444" i="1" s="1"/>
  <c r="C445" i="1"/>
  <c r="C446" i="1"/>
  <c r="C447" i="1"/>
  <c r="E447" i="1" s="1"/>
  <c r="C448" i="1"/>
  <c r="E448" i="1" s="1"/>
  <c r="C449" i="1"/>
  <c r="E449" i="1" s="1"/>
  <c r="C450" i="1"/>
  <c r="E450" i="1" s="1"/>
  <c r="C451" i="1"/>
  <c r="E451" i="1" s="1"/>
  <c r="C452" i="1"/>
  <c r="E452" i="1" s="1"/>
  <c r="C453" i="1"/>
  <c r="E453" i="1" s="1"/>
  <c r="C454" i="1"/>
  <c r="E454" i="1" s="1"/>
  <c r="C455" i="1"/>
  <c r="E455" i="1" s="1"/>
  <c r="C456" i="1"/>
  <c r="E456" i="1" s="1"/>
  <c r="C457" i="1"/>
  <c r="E457" i="1" s="1"/>
  <c r="C458" i="1"/>
  <c r="E458" i="1" s="1"/>
  <c r="C459" i="1"/>
  <c r="E459" i="1" s="1"/>
  <c r="C460" i="1"/>
  <c r="E460" i="1" s="1"/>
  <c r="C461" i="1"/>
  <c r="C462" i="1"/>
  <c r="C463" i="1"/>
  <c r="E463" i="1" s="1"/>
  <c r="C464" i="1"/>
  <c r="E464" i="1" s="1"/>
  <c r="C465" i="1"/>
  <c r="E465" i="1" s="1"/>
  <c r="C466" i="1"/>
  <c r="E466" i="1" s="1"/>
  <c r="C467" i="1"/>
  <c r="E467" i="1" s="1"/>
  <c r="C468" i="1"/>
  <c r="E468" i="1" s="1"/>
  <c r="C469" i="1"/>
  <c r="E469" i="1" s="1"/>
  <c r="C470" i="1"/>
  <c r="E470" i="1" s="1"/>
  <c r="C471" i="1"/>
  <c r="E471" i="1" s="1"/>
  <c r="C472" i="1"/>
  <c r="E472" i="1" s="1"/>
  <c r="C473" i="1"/>
  <c r="E473" i="1" s="1"/>
  <c r="C474" i="1"/>
  <c r="E474" i="1" s="1"/>
  <c r="C475" i="1"/>
  <c r="E475" i="1" s="1"/>
  <c r="C476" i="1"/>
  <c r="E476" i="1" s="1"/>
  <c r="C477" i="1"/>
  <c r="C478" i="1"/>
  <c r="C479" i="1"/>
  <c r="E479" i="1" s="1"/>
  <c r="C480" i="1"/>
  <c r="E480" i="1" s="1"/>
  <c r="C481" i="1"/>
  <c r="E481" i="1" s="1"/>
  <c r="C482" i="1"/>
  <c r="E482" i="1" s="1"/>
  <c r="C483" i="1"/>
  <c r="E483" i="1" s="1"/>
  <c r="C484" i="1"/>
  <c r="E484" i="1" s="1"/>
  <c r="C485" i="1"/>
  <c r="E485" i="1" s="1"/>
  <c r="C486" i="1"/>
  <c r="E486" i="1" s="1"/>
  <c r="C487" i="1"/>
  <c r="E487" i="1" s="1"/>
  <c r="C488" i="1"/>
  <c r="E488" i="1" s="1"/>
  <c r="C489" i="1"/>
  <c r="E489" i="1" s="1"/>
  <c r="C490" i="1"/>
  <c r="E490" i="1" s="1"/>
  <c r="C491" i="1"/>
  <c r="E491" i="1" s="1"/>
  <c r="C492" i="1"/>
  <c r="E492" i="1" s="1"/>
  <c r="C493" i="1"/>
  <c r="C494" i="1"/>
  <c r="C495" i="1"/>
  <c r="E495" i="1" s="1"/>
  <c r="C496" i="1"/>
  <c r="E496" i="1" s="1"/>
  <c r="C497" i="1"/>
  <c r="E497" i="1" s="1"/>
  <c r="C498" i="1"/>
  <c r="E498" i="1" s="1"/>
  <c r="C499" i="1"/>
  <c r="E499" i="1" s="1"/>
  <c r="C500" i="1"/>
  <c r="E500" i="1" s="1"/>
  <c r="C501" i="1"/>
  <c r="E501" i="1" s="1"/>
  <c r="C502" i="1"/>
  <c r="E502" i="1" s="1"/>
  <c r="C503" i="1"/>
  <c r="E503" i="1" s="1"/>
  <c r="C504" i="1"/>
  <c r="E504" i="1" s="1"/>
  <c r="C505" i="1"/>
  <c r="E505" i="1" s="1"/>
  <c r="C506" i="1"/>
  <c r="E506" i="1" s="1"/>
  <c r="C507" i="1"/>
  <c r="E507" i="1" s="1"/>
  <c r="C508" i="1"/>
  <c r="E508" i="1" s="1"/>
  <c r="C509" i="1"/>
  <c r="C510" i="1"/>
  <c r="C511" i="1"/>
  <c r="E511" i="1" s="1"/>
  <c r="C512" i="1"/>
  <c r="E512" i="1" s="1"/>
  <c r="C513" i="1"/>
  <c r="E513" i="1" s="1"/>
  <c r="C514" i="1"/>
  <c r="E514" i="1" s="1"/>
  <c r="C515" i="1"/>
  <c r="E515" i="1" s="1"/>
  <c r="C516" i="1"/>
  <c r="E516" i="1" s="1"/>
  <c r="C517" i="1"/>
  <c r="E517" i="1" s="1"/>
  <c r="C518" i="1"/>
  <c r="E518" i="1" s="1"/>
  <c r="C519" i="1"/>
  <c r="E519" i="1" s="1"/>
  <c r="C520" i="1"/>
  <c r="E520" i="1" s="1"/>
  <c r="C521" i="1"/>
  <c r="E521" i="1" s="1"/>
  <c r="C522" i="1"/>
  <c r="E522" i="1" s="1"/>
  <c r="C523" i="1"/>
  <c r="E523" i="1" s="1"/>
  <c r="C524" i="1"/>
  <c r="C525" i="1"/>
  <c r="C526" i="1"/>
  <c r="C527" i="1"/>
  <c r="E527" i="1" s="1"/>
  <c r="C528" i="1"/>
  <c r="E528" i="1" s="1"/>
  <c r="C529" i="1"/>
  <c r="E529" i="1" s="1"/>
  <c r="C530" i="1"/>
  <c r="E530" i="1" s="1"/>
  <c r="C531" i="1"/>
  <c r="E531" i="1" s="1"/>
  <c r="C532" i="1"/>
  <c r="E532" i="1" s="1"/>
  <c r="C533" i="1"/>
  <c r="E533" i="1" s="1"/>
  <c r="C534" i="1"/>
  <c r="E534" i="1" s="1"/>
  <c r="C535" i="1"/>
  <c r="E535" i="1" s="1"/>
  <c r="C536" i="1"/>
  <c r="E536" i="1" s="1"/>
  <c r="C537" i="1"/>
  <c r="E537" i="1" s="1"/>
  <c r="C538" i="1"/>
  <c r="E538" i="1" s="1"/>
  <c r="C539" i="1"/>
  <c r="E539" i="1" s="1"/>
  <c r="C540" i="1"/>
  <c r="C541" i="1"/>
  <c r="E541" i="1" s="1"/>
  <c r="C542" i="1"/>
  <c r="E542" i="1" s="1"/>
  <c r="C543" i="1"/>
  <c r="E543" i="1" s="1"/>
  <c r="C544" i="1"/>
  <c r="E544" i="1" s="1"/>
  <c r="C545" i="1"/>
  <c r="E545" i="1" s="1"/>
  <c r="C546" i="1"/>
  <c r="E546" i="1" s="1"/>
  <c r="C547" i="1"/>
  <c r="E547" i="1" s="1"/>
  <c r="C548" i="1"/>
  <c r="E548" i="1" s="1"/>
  <c r="C549" i="1"/>
  <c r="C550" i="1"/>
  <c r="C551" i="1"/>
  <c r="C552" i="1"/>
  <c r="E552" i="1" s="1"/>
  <c r="C553" i="1"/>
  <c r="E553" i="1" s="1"/>
  <c r="C554" i="1"/>
  <c r="E554" i="1" s="1"/>
  <c r="C555" i="1"/>
  <c r="E555" i="1" s="1"/>
  <c r="C556" i="1"/>
  <c r="E556" i="1" s="1"/>
  <c r="C557" i="1"/>
  <c r="E557" i="1" s="1"/>
  <c r="C558" i="1"/>
  <c r="E558" i="1" s="1"/>
  <c r="C559" i="1"/>
  <c r="E559" i="1" s="1"/>
  <c r="C560" i="1"/>
  <c r="E560" i="1" s="1"/>
  <c r="C561" i="1"/>
  <c r="E561" i="1" s="1"/>
  <c r="C562" i="1"/>
  <c r="E562" i="1" s="1"/>
  <c r="C563" i="1"/>
  <c r="C564" i="1"/>
  <c r="E564" i="1" s="1"/>
  <c r="C565" i="1"/>
  <c r="C566" i="1"/>
  <c r="E566" i="1" s="1"/>
  <c r="C567" i="1"/>
  <c r="E567" i="1" s="1"/>
  <c r="C568" i="1"/>
  <c r="E568" i="1" s="1"/>
  <c r="C569" i="1"/>
  <c r="E569" i="1" s="1"/>
  <c r="C570" i="1"/>
  <c r="E570" i="1" s="1"/>
  <c r="C571" i="1"/>
  <c r="E571" i="1" s="1"/>
  <c r="C572" i="1"/>
  <c r="E572" i="1" s="1"/>
  <c r="C573" i="1"/>
  <c r="C574" i="1"/>
  <c r="C575" i="1"/>
  <c r="E575" i="1" s="1"/>
  <c r="C576" i="1"/>
  <c r="E576" i="1" s="1"/>
  <c r="C577" i="1"/>
  <c r="E577" i="1" s="1"/>
  <c r="C578" i="1"/>
  <c r="E578" i="1" s="1"/>
  <c r="C579" i="1"/>
  <c r="E579" i="1" s="1"/>
  <c r="C580" i="1"/>
  <c r="E580" i="1" s="1"/>
  <c r="C581" i="1"/>
  <c r="E581" i="1" s="1"/>
  <c r="C582" i="1"/>
  <c r="E582" i="1" s="1"/>
  <c r="C583" i="1"/>
  <c r="E583" i="1" s="1"/>
  <c r="C584" i="1"/>
  <c r="E584" i="1" s="1"/>
  <c r="C585" i="1"/>
  <c r="C586" i="1"/>
  <c r="E586" i="1" s="1"/>
  <c r="C587" i="1"/>
  <c r="C588" i="1"/>
  <c r="E588" i="1" s="1"/>
  <c r="C589" i="1"/>
  <c r="E589" i="1" s="1"/>
  <c r="C590" i="1"/>
  <c r="E590" i="1" s="1"/>
  <c r="C591" i="1"/>
  <c r="E591" i="1" s="1"/>
  <c r="C592" i="1"/>
  <c r="E592" i="1" s="1"/>
  <c r="C593" i="1"/>
  <c r="E593" i="1" s="1"/>
  <c r="C594" i="1"/>
  <c r="E594" i="1" s="1"/>
  <c r="C595" i="1"/>
  <c r="E595" i="1" s="1"/>
  <c r="C596" i="1"/>
  <c r="E596" i="1" s="1"/>
  <c r="C597" i="1"/>
  <c r="C598" i="1"/>
  <c r="E598" i="1" s="1"/>
  <c r="C599" i="1"/>
  <c r="E599" i="1" s="1"/>
  <c r="C600" i="1"/>
  <c r="E600" i="1" s="1"/>
  <c r="C601" i="1"/>
  <c r="E601" i="1" s="1"/>
  <c r="C602" i="1"/>
  <c r="E602" i="1" s="1"/>
  <c r="C603" i="1"/>
  <c r="E603" i="1" s="1"/>
  <c r="C604" i="1"/>
  <c r="E604" i="1" s="1"/>
  <c r="C605" i="1"/>
  <c r="C606" i="1"/>
  <c r="C607" i="1"/>
  <c r="E607" i="1" s="1"/>
  <c r="C608" i="1"/>
  <c r="E608" i="1" s="1"/>
  <c r="C609" i="1"/>
  <c r="E609" i="1" s="1"/>
  <c r="C610" i="1"/>
  <c r="E610" i="1" s="1"/>
  <c r="C611" i="1"/>
  <c r="E611" i="1" s="1"/>
  <c r="C612" i="1"/>
  <c r="E612" i="1" s="1"/>
  <c r="C613" i="1"/>
  <c r="E613" i="1" s="1"/>
  <c r="C614" i="1"/>
  <c r="E614" i="1" s="1"/>
  <c r="C615" i="1"/>
  <c r="C616" i="1"/>
  <c r="E616" i="1" s="1"/>
  <c r="C617" i="1"/>
  <c r="C618" i="1"/>
  <c r="E618" i="1" s="1"/>
  <c r="C619" i="1"/>
  <c r="E619" i="1" s="1"/>
  <c r="C620" i="1"/>
  <c r="E620" i="1" s="1"/>
  <c r="C621" i="1"/>
  <c r="E621" i="1" s="1"/>
  <c r="C622" i="1"/>
  <c r="E622" i="1" s="1"/>
  <c r="C623" i="1"/>
  <c r="E623" i="1" s="1"/>
  <c r="C624" i="1"/>
  <c r="E624" i="1" s="1"/>
  <c r="C625" i="1"/>
  <c r="E625" i="1" s="1"/>
  <c r="C626" i="1"/>
  <c r="E626" i="1" s="1"/>
  <c r="C627" i="1"/>
  <c r="E627" i="1" s="1"/>
  <c r="C628" i="1"/>
  <c r="E628" i="1" s="1"/>
  <c r="C629" i="1"/>
  <c r="C630" i="1"/>
  <c r="E630" i="1" s="1"/>
  <c r="C631" i="1"/>
  <c r="E631" i="1" s="1"/>
  <c r="C632" i="1"/>
  <c r="E632" i="1" s="1"/>
  <c r="C633" i="1"/>
  <c r="E633" i="1" s="1"/>
  <c r="C634" i="1"/>
  <c r="E634" i="1" s="1"/>
  <c r="C635" i="1"/>
  <c r="E635" i="1" s="1"/>
  <c r="C636" i="1"/>
  <c r="E636" i="1" s="1"/>
  <c r="C637" i="1"/>
  <c r="C638" i="1"/>
  <c r="C639" i="1"/>
  <c r="E639" i="1" s="1"/>
  <c r="F639" i="1" s="1"/>
  <c r="C640" i="1"/>
  <c r="E640" i="1" s="1"/>
  <c r="C641" i="1"/>
  <c r="E641" i="1" s="1"/>
  <c r="C642" i="1"/>
  <c r="E642" i="1" s="1"/>
  <c r="C643" i="1"/>
  <c r="E643" i="1" s="1"/>
  <c r="C644" i="1"/>
  <c r="E644" i="1" s="1"/>
  <c r="C645" i="1"/>
  <c r="E645" i="1" s="1"/>
  <c r="C646" i="1"/>
  <c r="E646" i="1" s="1"/>
  <c r="C647" i="1"/>
  <c r="C648" i="1"/>
  <c r="E648" i="1" s="1"/>
  <c r="C649" i="1"/>
  <c r="C650" i="1"/>
  <c r="E650" i="1" s="1"/>
  <c r="C651" i="1"/>
  <c r="E651" i="1" s="1"/>
  <c r="C652" i="1"/>
  <c r="E652" i="1" s="1"/>
  <c r="C653" i="1"/>
  <c r="E653" i="1" s="1"/>
  <c r="C654" i="1"/>
  <c r="E654" i="1" s="1"/>
  <c r="C655" i="1"/>
  <c r="E655" i="1" s="1"/>
  <c r="C656" i="1"/>
  <c r="E656" i="1" s="1"/>
  <c r="C657" i="1"/>
  <c r="E657" i="1" s="1"/>
  <c r="C658" i="1"/>
  <c r="E658" i="1" s="1"/>
  <c r="C659" i="1"/>
  <c r="E659" i="1" s="1"/>
  <c r="C660" i="1"/>
  <c r="C661" i="1"/>
  <c r="C662" i="1"/>
  <c r="E662" i="1" s="1"/>
  <c r="C663" i="1"/>
  <c r="E663" i="1" s="1"/>
  <c r="C664" i="1"/>
  <c r="E664" i="1" s="1"/>
  <c r="C665" i="1"/>
  <c r="E665" i="1" s="1"/>
  <c r="C666" i="1"/>
  <c r="E666" i="1" s="1"/>
  <c r="C667" i="1"/>
  <c r="E667" i="1" s="1"/>
  <c r="C668" i="1"/>
  <c r="E668" i="1" s="1"/>
  <c r="C669" i="1"/>
  <c r="C670" i="1"/>
  <c r="C671" i="1"/>
  <c r="E671" i="1" s="1"/>
  <c r="C672" i="1"/>
  <c r="E672" i="1" s="1"/>
  <c r="C673" i="1"/>
  <c r="E673" i="1" s="1"/>
  <c r="C674" i="1"/>
  <c r="E674" i="1" s="1"/>
  <c r="C675" i="1"/>
  <c r="E675" i="1" s="1"/>
  <c r="C676" i="1"/>
  <c r="E676" i="1" s="1"/>
  <c r="C677" i="1"/>
  <c r="E677" i="1" s="1"/>
  <c r="C678" i="1"/>
  <c r="E678" i="1" s="1"/>
  <c r="C679" i="1"/>
  <c r="E679" i="1" s="1"/>
  <c r="C680" i="1"/>
  <c r="E680" i="1" s="1"/>
  <c r="C681" i="1"/>
  <c r="C682" i="1"/>
  <c r="E682" i="1" s="1"/>
  <c r="C683" i="1"/>
  <c r="E683" i="1" s="1"/>
  <c r="C684" i="1"/>
  <c r="E684" i="1" s="1"/>
  <c r="C685" i="1"/>
  <c r="E685" i="1" s="1"/>
  <c r="C686" i="1"/>
  <c r="E686" i="1" s="1"/>
  <c r="C687" i="1"/>
  <c r="E687" i="1" s="1"/>
  <c r="C688" i="1"/>
  <c r="E688" i="1" s="1"/>
  <c r="C689" i="1"/>
  <c r="E689" i="1" s="1"/>
  <c r="C690" i="1"/>
  <c r="E690" i="1" s="1"/>
  <c r="C691" i="1"/>
  <c r="C692" i="1"/>
  <c r="E692" i="1" s="1"/>
  <c r="C693" i="1"/>
  <c r="C694" i="1"/>
  <c r="E694" i="1" s="1"/>
  <c r="C695" i="1"/>
  <c r="E695" i="1" s="1"/>
  <c r="C696" i="1"/>
  <c r="E696" i="1" s="1"/>
  <c r="C697" i="1"/>
  <c r="E697" i="1" s="1"/>
  <c r="C698" i="1"/>
  <c r="E698" i="1" s="1"/>
  <c r="C699" i="1"/>
  <c r="C700" i="1"/>
  <c r="C701" i="1"/>
  <c r="C702" i="1"/>
  <c r="E702" i="1" s="1"/>
  <c r="C703" i="1"/>
  <c r="E703" i="1" s="1"/>
  <c r="C704" i="1"/>
  <c r="E704" i="1" s="1"/>
  <c r="C705" i="1"/>
  <c r="E705" i="1" s="1"/>
  <c r="C706" i="1"/>
  <c r="E706" i="1" s="1"/>
  <c r="C707" i="1"/>
  <c r="E707" i="1" s="1"/>
  <c r="C708" i="1"/>
  <c r="E708" i="1" s="1"/>
  <c r="C709" i="1"/>
  <c r="C710" i="1"/>
  <c r="E710" i="1" s="1"/>
  <c r="C711" i="1"/>
  <c r="E711" i="1" s="1"/>
  <c r="C712" i="1"/>
  <c r="E712" i="1" s="1"/>
  <c r="C713" i="1"/>
  <c r="E713" i="1" s="1"/>
  <c r="C714" i="1"/>
  <c r="E714" i="1" s="1"/>
  <c r="C715" i="1"/>
  <c r="E715" i="1" s="1"/>
  <c r="C716" i="1"/>
  <c r="E716" i="1" s="1"/>
  <c r="C717" i="1"/>
  <c r="C718" i="1"/>
  <c r="E718" i="1" s="1"/>
  <c r="C719" i="1"/>
  <c r="E719" i="1" s="1"/>
  <c r="C720" i="1"/>
  <c r="E720" i="1" s="1"/>
  <c r="C721" i="1"/>
  <c r="E721" i="1" s="1"/>
  <c r="C722" i="1"/>
  <c r="E722" i="1" s="1"/>
  <c r="C723" i="1"/>
  <c r="E723" i="1" s="1"/>
  <c r="C724" i="1"/>
  <c r="E724" i="1" s="1"/>
  <c r="C725" i="1"/>
  <c r="C726" i="1"/>
  <c r="E726" i="1" s="1"/>
  <c r="C727" i="1"/>
  <c r="E727" i="1" s="1"/>
  <c r="C728" i="1"/>
  <c r="E728" i="1" s="1"/>
  <c r="C729" i="1"/>
  <c r="E729" i="1" s="1"/>
  <c r="C730" i="1"/>
  <c r="E730" i="1" s="1"/>
  <c r="C731" i="1"/>
  <c r="E731" i="1" s="1"/>
  <c r="C732" i="1"/>
  <c r="C733" i="1"/>
  <c r="C734" i="1"/>
  <c r="E734" i="1" s="1"/>
  <c r="C735" i="1"/>
  <c r="E735" i="1" s="1"/>
  <c r="C736" i="1"/>
  <c r="E736" i="1" s="1"/>
  <c r="C737" i="1"/>
  <c r="E737" i="1" s="1"/>
  <c r="C738" i="1"/>
  <c r="E738" i="1" s="1"/>
  <c r="C739" i="1"/>
  <c r="E739" i="1" s="1"/>
  <c r="C740" i="1"/>
  <c r="C741" i="1"/>
  <c r="C742" i="1"/>
  <c r="E742" i="1" s="1"/>
  <c r="C743" i="1"/>
  <c r="E743" i="1" s="1"/>
  <c r="C744" i="1"/>
  <c r="E744" i="1" s="1"/>
  <c r="C745" i="1"/>
  <c r="E745" i="1" s="1"/>
  <c r="C746" i="1"/>
  <c r="E746" i="1" s="1"/>
  <c r="C747" i="1"/>
  <c r="E747" i="1" s="1"/>
  <c r="C748" i="1"/>
  <c r="E748" i="1" s="1"/>
  <c r="C749" i="1"/>
  <c r="C750" i="1"/>
  <c r="E750" i="1" s="1"/>
  <c r="C751" i="1"/>
  <c r="E751" i="1" s="1"/>
  <c r="C752" i="1"/>
  <c r="E752" i="1" s="1"/>
  <c r="C753" i="1"/>
  <c r="E753" i="1" s="1"/>
  <c r="C754" i="1"/>
  <c r="E754" i="1" s="1"/>
  <c r="C755" i="1"/>
  <c r="E755" i="1" s="1"/>
  <c r="C756" i="1"/>
  <c r="E756" i="1" s="1"/>
  <c r="C757" i="1"/>
  <c r="C758" i="1"/>
  <c r="E758" i="1" s="1"/>
  <c r="C759" i="1"/>
  <c r="E759" i="1" s="1"/>
  <c r="C760" i="1"/>
  <c r="E760" i="1" s="1"/>
  <c r="C761" i="1"/>
  <c r="E761" i="1" s="1"/>
  <c r="C762" i="1"/>
  <c r="E762" i="1" s="1"/>
  <c r="C763" i="1"/>
  <c r="C764" i="1"/>
  <c r="C765" i="1"/>
  <c r="C766" i="1"/>
  <c r="E766" i="1" s="1"/>
  <c r="C767" i="1"/>
  <c r="E767" i="1" s="1"/>
  <c r="C768" i="1"/>
  <c r="E768" i="1" s="1"/>
  <c r="C769" i="1"/>
  <c r="E769" i="1" s="1"/>
  <c r="C770" i="1"/>
  <c r="E770" i="1" s="1"/>
  <c r="C771" i="1"/>
  <c r="E771" i="1" s="1"/>
  <c r="C772" i="1"/>
  <c r="E772" i="1" s="1"/>
  <c r="C773" i="1"/>
  <c r="C774" i="1"/>
  <c r="E774" i="1" s="1"/>
  <c r="C775" i="1"/>
  <c r="E775" i="1" s="1"/>
  <c r="F775" i="1" s="1"/>
  <c r="C776" i="1"/>
  <c r="E776" i="1" s="1"/>
  <c r="C777" i="1"/>
  <c r="E777" i="1" s="1"/>
  <c r="C778" i="1"/>
  <c r="E778" i="1" s="1"/>
  <c r="C779" i="1"/>
  <c r="E779" i="1" s="1"/>
  <c r="C780" i="1"/>
  <c r="E780" i="1" s="1"/>
  <c r="C781" i="1"/>
  <c r="C782" i="1"/>
  <c r="E782" i="1" s="1"/>
  <c r="C783" i="1"/>
  <c r="E783" i="1" s="1"/>
  <c r="C784" i="1"/>
  <c r="E784" i="1" s="1"/>
  <c r="C785" i="1"/>
  <c r="E785" i="1" s="1"/>
  <c r="C786" i="1"/>
  <c r="E786" i="1" s="1"/>
  <c r="C787" i="1"/>
  <c r="E787" i="1" s="1"/>
  <c r="C788" i="1"/>
  <c r="E788" i="1" s="1"/>
  <c r="C789" i="1"/>
  <c r="C790" i="1"/>
  <c r="E790" i="1" s="1"/>
  <c r="C791" i="1"/>
  <c r="E791" i="1" s="1"/>
  <c r="C792" i="1"/>
  <c r="E792" i="1" s="1"/>
  <c r="C793" i="1"/>
  <c r="E793" i="1" s="1"/>
  <c r="C794" i="1"/>
  <c r="E794" i="1" s="1"/>
  <c r="C795" i="1"/>
  <c r="E795" i="1" s="1"/>
  <c r="C796" i="1"/>
  <c r="C797" i="1"/>
  <c r="C798" i="1"/>
  <c r="E798" i="1" s="1"/>
  <c r="C799" i="1"/>
  <c r="E799" i="1" s="1"/>
  <c r="C800" i="1"/>
  <c r="E800" i="1" s="1"/>
  <c r="C801" i="1"/>
  <c r="E801" i="1" s="1"/>
  <c r="C802" i="1"/>
  <c r="E802" i="1" s="1"/>
  <c r="C803" i="1"/>
  <c r="E803" i="1" s="1"/>
  <c r="C804" i="1"/>
  <c r="C805" i="1"/>
  <c r="C806" i="1"/>
  <c r="E806" i="1" s="1"/>
  <c r="C807" i="1"/>
  <c r="E807" i="1" s="1"/>
  <c r="C808" i="1"/>
  <c r="E808" i="1" s="1"/>
  <c r="C809" i="1"/>
  <c r="E809" i="1" s="1"/>
  <c r="C810" i="1"/>
  <c r="E810" i="1" s="1"/>
  <c r="C811" i="1"/>
  <c r="E811" i="1" s="1"/>
  <c r="C812" i="1"/>
  <c r="E812" i="1" s="1"/>
  <c r="C813" i="1"/>
  <c r="C814" i="1"/>
  <c r="E814" i="1" s="1"/>
  <c r="C815" i="1"/>
  <c r="E815" i="1" s="1"/>
  <c r="C816" i="1"/>
  <c r="E816" i="1" s="1"/>
  <c r="C817" i="1"/>
  <c r="E817" i="1" s="1"/>
  <c r="C818" i="1"/>
  <c r="E818" i="1" s="1"/>
  <c r="C819" i="1"/>
  <c r="E819" i="1" s="1"/>
  <c r="C820" i="1"/>
  <c r="E820" i="1" s="1"/>
  <c r="C821" i="1"/>
  <c r="C822" i="1"/>
  <c r="E822" i="1" s="1"/>
  <c r="C823" i="1"/>
  <c r="E823" i="1" s="1"/>
  <c r="C824" i="1"/>
  <c r="E824" i="1" s="1"/>
  <c r="C825" i="1"/>
  <c r="E825" i="1" s="1"/>
  <c r="C826" i="1"/>
  <c r="E826" i="1" s="1"/>
  <c r="C827" i="1"/>
  <c r="E827" i="1" s="1"/>
  <c r="C828" i="1"/>
  <c r="C829" i="1"/>
  <c r="C830" i="1"/>
  <c r="E830" i="1" s="1"/>
  <c r="C831" i="1"/>
  <c r="E831" i="1" s="1"/>
  <c r="C832" i="1"/>
  <c r="E832" i="1" s="1"/>
  <c r="C833" i="1"/>
  <c r="E833" i="1" s="1"/>
  <c r="C834" i="1"/>
  <c r="E834" i="1" s="1"/>
  <c r="C835" i="1"/>
  <c r="E835" i="1" s="1"/>
  <c r="C836" i="1"/>
  <c r="E836" i="1" s="1"/>
  <c r="C837" i="1"/>
  <c r="C838" i="1"/>
  <c r="E838" i="1" s="1"/>
  <c r="C839" i="1"/>
  <c r="E839" i="1" s="1"/>
  <c r="C840" i="1"/>
  <c r="E840" i="1" s="1"/>
  <c r="C841" i="1"/>
  <c r="E841" i="1" s="1"/>
  <c r="C842" i="1"/>
  <c r="E842" i="1" s="1"/>
  <c r="C843" i="1"/>
  <c r="E843" i="1" s="1"/>
  <c r="C844" i="1"/>
  <c r="E844" i="1" s="1"/>
  <c r="C845" i="1"/>
  <c r="C846" i="1"/>
  <c r="E846" i="1" s="1"/>
  <c r="C847" i="1"/>
  <c r="E847" i="1" s="1"/>
  <c r="C848" i="1"/>
  <c r="E848" i="1" s="1"/>
  <c r="C849" i="1"/>
  <c r="E849" i="1" s="1"/>
  <c r="C850" i="1"/>
  <c r="E850" i="1" s="1"/>
  <c r="C851" i="1"/>
  <c r="E851" i="1" s="1"/>
  <c r="C852" i="1"/>
  <c r="E852" i="1" s="1"/>
  <c r="C853" i="1"/>
  <c r="C854" i="1"/>
  <c r="E854" i="1" s="1"/>
  <c r="C855" i="1"/>
  <c r="E855" i="1" s="1"/>
  <c r="C856" i="1"/>
  <c r="E856" i="1" s="1"/>
  <c r="C857" i="1"/>
  <c r="E857" i="1" s="1"/>
  <c r="C858" i="1"/>
  <c r="E858" i="1" s="1"/>
  <c r="C859" i="1"/>
  <c r="E859" i="1" s="1"/>
  <c r="C860" i="1"/>
  <c r="C861" i="1"/>
  <c r="C862" i="1"/>
  <c r="E862" i="1" s="1"/>
  <c r="C863" i="1"/>
  <c r="E863" i="1" s="1"/>
  <c r="C864" i="1"/>
  <c r="E864" i="1" s="1"/>
  <c r="C865" i="1"/>
  <c r="E865" i="1" s="1"/>
  <c r="C866" i="1"/>
  <c r="E866" i="1" s="1"/>
  <c r="C867" i="1"/>
  <c r="E867" i="1" s="1"/>
  <c r="C868" i="1"/>
  <c r="C869" i="1"/>
  <c r="C870" i="1"/>
  <c r="E870" i="1" s="1"/>
  <c r="C871" i="1"/>
  <c r="E871" i="1" s="1"/>
  <c r="C872" i="1"/>
  <c r="E872" i="1" s="1"/>
  <c r="C873" i="1"/>
  <c r="E873" i="1" s="1"/>
  <c r="C874" i="1"/>
  <c r="E874" i="1" s="1"/>
  <c r="C875" i="1"/>
  <c r="E875" i="1" s="1"/>
  <c r="C876" i="1"/>
  <c r="E876" i="1" s="1"/>
  <c r="C877" i="1"/>
  <c r="C878" i="1"/>
  <c r="E878" i="1" s="1"/>
  <c r="C879" i="1"/>
  <c r="E879" i="1" s="1"/>
  <c r="C880" i="1"/>
  <c r="E880" i="1" s="1"/>
  <c r="C881" i="1"/>
  <c r="E881" i="1" s="1"/>
  <c r="C882" i="1"/>
  <c r="E882" i="1" s="1"/>
  <c r="C883" i="1"/>
  <c r="C884" i="1"/>
  <c r="E884" i="1" s="1"/>
  <c r="C885" i="1"/>
  <c r="C886" i="1"/>
  <c r="E886" i="1" s="1"/>
  <c r="C887" i="1"/>
  <c r="E887" i="1" s="1"/>
  <c r="C888" i="1"/>
  <c r="E888" i="1" s="1"/>
  <c r="C889" i="1"/>
  <c r="E889" i="1" s="1"/>
  <c r="C890" i="1"/>
  <c r="E890" i="1" s="1"/>
  <c r="C891" i="1"/>
  <c r="E891" i="1" s="1"/>
  <c r="C892" i="1"/>
  <c r="C893" i="1"/>
  <c r="C894" i="1"/>
  <c r="E894" i="1" s="1"/>
  <c r="C895" i="1"/>
  <c r="E895" i="1" s="1"/>
  <c r="C896" i="1"/>
  <c r="E896" i="1" s="1"/>
  <c r="C897" i="1"/>
  <c r="E897" i="1" s="1"/>
  <c r="C898" i="1"/>
  <c r="E898" i="1" s="1"/>
  <c r="C899" i="1"/>
  <c r="E899" i="1" s="1"/>
  <c r="C900" i="1"/>
  <c r="E900" i="1" s="1"/>
  <c r="C901" i="1"/>
  <c r="C902" i="1"/>
  <c r="E902" i="1" s="1"/>
  <c r="C903" i="1"/>
  <c r="E903" i="1" s="1"/>
  <c r="C904" i="1"/>
  <c r="E904" i="1" s="1"/>
  <c r="C905" i="1"/>
  <c r="E905" i="1" s="1"/>
  <c r="C906" i="1"/>
  <c r="E906" i="1" s="1"/>
  <c r="C907" i="1"/>
  <c r="E907" i="1" s="1"/>
  <c r="C908" i="1"/>
  <c r="E908" i="1" s="1"/>
  <c r="C909" i="1"/>
  <c r="C910" i="1"/>
  <c r="E910" i="1" s="1"/>
  <c r="C911" i="1"/>
  <c r="E911" i="1" s="1"/>
  <c r="C912" i="1"/>
  <c r="E912" i="1" s="1"/>
  <c r="C913" i="1"/>
  <c r="E913" i="1" s="1"/>
  <c r="C914" i="1"/>
  <c r="E914" i="1" s="1"/>
  <c r="C915" i="1"/>
  <c r="C916" i="1"/>
  <c r="E916" i="1" s="1"/>
  <c r="C917" i="1"/>
  <c r="C918" i="1"/>
  <c r="E918" i="1" s="1"/>
  <c r="C919" i="1"/>
  <c r="E919" i="1" s="1"/>
  <c r="C920" i="1"/>
  <c r="E920" i="1" s="1"/>
  <c r="C921" i="1"/>
  <c r="E921" i="1" s="1"/>
  <c r="C922" i="1"/>
  <c r="E922" i="1" s="1"/>
  <c r="C923" i="1"/>
  <c r="E923" i="1" s="1"/>
  <c r="C924" i="1"/>
  <c r="C925" i="1"/>
  <c r="C926" i="1"/>
  <c r="E926" i="1" s="1"/>
  <c r="C927" i="1"/>
  <c r="E927" i="1" s="1"/>
  <c r="C928" i="1"/>
  <c r="E928" i="1" s="1"/>
  <c r="C929" i="1"/>
  <c r="E929" i="1" s="1"/>
  <c r="C930" i="1"/>
  <c r="E930" i="1" s="1"/>
  <c r="C931" i="1"/>
  <c r="E931" i="1" s="1"/>
  <c r="C932" i="1"/>
  <c r="C933" i="1"/>
  <c r="C934" i="1"/>
  <c r="E934" i="1" s="1"/>
  <c r="C935" i="1"/>
  <c r="E935" i="1" s="1"/>
  <c r="C936" i="1"/>
  <c r="E936" i="1" s="1"/>
  <c r="C937" i="1"/>
  <c r="E937" i="1" s="1"/>
  <c r="C938" i="1"/>
  <c r="E938" i="1" s="1"/>
  <c r="C939" i="1"/>
  <c r="E939" i="1" s="1"/>
  <c r="C940" i="1"/>
  <c r="E940" i="1" s="1"/>
  <c r="C941" i="1"/>
  <c r="C942" i="1"/>
  <c r="E942" i="1" s="1"/>
  <c r="C943" i="1"/>
  <c r="E943" i="1" s="1"/>
  <c r="C944" i="1"/>
  <c r="E944" i="1" s="1"/>
  <c r="C945" i="1"/>
  <c r="E945" i="1" s="1"/>
  <c r="C946" i="1"/>
  <c r="E946" i="1" s="1"/>
  <c r="C947" i="1"/>
  <c r="C948" i="1"/>
  <c r="E948" i="1" s="1"/>
  <c r="C949" i="1"/>
  <c r="C950" i="1"/>
  <c r="E950" i="1" s="1"/>
  <c r="C951" i="1"/>
  <c r="E951" i="1" s="1"/>
  <c r="C952" i="1"/>
  <c r="E952" i="1" s="1"/>
  <c r="C953" i="1"/>
  <c r="E953" i="1" s="1"/>
  <c r="C954" i="1"/>
  <c r="E954" i="1" s="1"/>
  <c r="C955" i="1"/>
  <c r="C956" i="1"/>
  <c r="C957" i="1"/>
  <c r="C958" i="1"/>
  <c r="E958" i="1" s="1"/>
  <c r="C959" i="1"/>
  <c r="E959" i="1" s="1"/>
  <c r="C960" i="1"/>
  <c r="E960" i="1" s="1"/>
  <c r="C961" i="1"/>
  <c r="E961" i="1" s="1"/>
  <c r="C962" i="1"/>
  <c r="E962" i="1" s="1"/>
  <c r="C963" i="1"/>
  <c r="E963" i="1" s="1"/>
  <c r="C964" i="1"/>
  <c r="E964" i="1" s="1"/>
  <c r="C965" i="1"/>
  <c r="C966" i="1"/>
  <c r="E966" i="1" s="1"/>
  <c r="C967" i="1"/>
  <c r="E967" i="1" s="1"/>
  <c r="C968" i="1"/>
  <c r="E968" i="1" s="1"/>
  <c r="C969" i="1"/>
  <c r="E969" i="1" s="1"/>
  <c r="C970" i="1"/>
  <c r="E970" i="1" s="1"/>
  <c r="C971" i="1"/>
  <c r="E971" i="1" s="1"/>
  <c r="C972" i="1"/>
  <c r="E972" i="1" s="1"/>
  <c r="C973" i="1"/>
  <c r="C974" i="1"/>
  <c r="E974" i="1" s="1"/>
  <c r="C975" i="1"/>
  <c r="E975" i="1" s="1"/>
  <c r="C976" i="1"/>
  <c r="E976" i="1" s="1"/>
  <c r="C977" i="1"/>
  <c r="E977" i="1" s="1"/>
  <c r="C978" i="1"/>
  <c r="E978" i="1" s="1"/>
  <c r="C979" i="1"/>
  <c r="E979" i="1" s="1"/>
  <c r="C980" i="1"/>
  <c r="E980" i="1" s="1"/>
  <c r="C981" i="1"/>
  <c r="C982" i="1"/>
  <c r="E982" i="1" s="1"/>
  <c r="C983" i="1"/>
  <c r="E983" i="1" s="1"/>
  <c r="C984" i="1"/>
  <c r="E984" i="1" s="1"/>
  <c r="C985" i="1"/>
  <c r="E985" i="1" s="1"/>
  <c r="C986" i="1"/>
  <c r="E986" i="1" s="1"/>
  <c r="C987" i="1"/>
  <c r="E987" i="1" s="1"/>
  <c r="C988" i="1"/>
  <c r="C989" i="1"/>
  <c r="C990" i="1"/>
  <c r="E990" i="1" s="1"/>
  <c r="C991" i="1"/>
  <c r="E991" i="1" s="1"/>
  <c r="C992" i="1"/>
  <c r="E992" i="1" s="1"/>
  <c r="C993" i="1"/>
  <c r="E993" i="1" s="1"/>
  <c r="C994" i="1"/>
  <c r="E994" i="1" s="1"/>
  <c r="C995" i="1"/>
  <c r="E995" i="1" s="1"/>
  <c r="C996" i="1"/>
  <c r="C997" i="1"/>
  <c r="C998" i="1"/>
  <c r="E998" i="1" s="1"/>
  <c r="C999" i="1"/>
  <c r="E999" i="1" s="1"/>
  <c r="C1000" i="1"/>
  <c r="E1000" i="1" s="1"/>
  <c r="C1001" i="1"/>
  <c r="E1001" i="1" s="1"/>
  <c r="C1002" i="1"/>
  <c r="E1002" i="1" s="1"/>
  <c r="C1003" i="1"/>
  <c r="E1003" i="1" s="1"/>
  <c r="C1004" i="1"/>
  <c r="E1004" i="1" s="1"/>
  <c r="C1005" i="1"/>
  <c r="C1006" i="1"/>
  <c r="E1006" i="1" s="1"/>
  <c r="C1007" i="1"/>
  <c r="E1007" i="1" s="1"/>
  <c r="C1008" i="1"/>
  <c r="E1008" i="1" s="1"/>
  <c r="C1009" i="1"/>
  <c r="E1009" i="1" s="1"/>
  <c r="C1010" i="1"/>
  <c r="E1010" i="1" s="1"/>
  <c r="C1011" i="1"/>
  <c r="E1011" i="1" s="1"/>
  <c r="C1012" i="1"/>
  <c r="E1012" i="1" s="1"/>
  <c r="C1013" i="1"/>
  <c r="C1014" i="1"/>
  <c r="E1014" i="1" s="1"/>
  <c r="C1015" i="1"/>
  <c r="E1015" i="1" s="1"/>
  <c r="C1016" i="1"/>
  <c r="E1016" i="1" s="1"/>
  <c r="C1017" i="1"/>
  <c r="E1017" i="1" s="1"/>
  <c r="C1018" i="1"/>
  <c r="E1018" i="1" s="1"/>
  <c r="C1019" i="1"/>
  <c r="C1020" i="1"/>
  <c r="C1021" i="1"/>
  <c r="C1022" i="1"/>
  <c r="E1022" i="1" s="1"/>
  <c r="C1023" i="1"/>
  <c r="E1023" i="1" s="1"/>
  <c r="F1023" i="1" s="1"/>
  <c r="C1024" i="1"/>
  <c r="E1024" i="1" s="1"/>
  <c r="C1025" i="1"/>
  <c r="E1025" i="1" s="1"/>
  <c r="C1026" i="1"/>
  <c r="E1026" i="1" s="1"/>
  <c r="C1027" i="1"/>
  <c r="E1027" i="1" s="1"/>
  <c r="C1028" i="1"/>
  <c r="E1028" i="1" s="1"/>
  <c r="C1029" i="1"/>
  <c r="C1030" i="1"/>
  <c r="E1030" i="1" s="1"/>
  <c r="C1031" i="1"/>
  <c r="E1031" i="1" s="1"/>
  <c r="C1032" i="1"/>
  <c r="E1032" i="1" s="1"/>
  <c r="C1033" i="1"/>
  <c r="E1033" i="1" s="1"/>
  <c r="C1034" i="1"/>
  <c r="E1034" i="1" s="1"/>
  <c r="C1035" i="1"/>
  <c r="E1035" i="1" s="1"/>
  <c r="C1036" i="1"/>
  <c r="E1036" i="1" s="1"/>
  <c r="C1037" i="1"/>
  <c r="C1038" i="1"/>
  <c r="E1038" i="1" s="1"/>
  <c r="C1039" i="1"/>
  <c r="E1039" i="1" s="1"/>
  <c r="C1040" i="1"/>
  <c r="E1040" i="1" s="1"/>
  <c r="C1041" i="1"/>
  <c r="E1041" i="1" s="1"/>
  <c r="C1042" i="1"/>
  <c r="E1042" i="1" s="1"/>
  <c r="C1043" i="1"/>
  <c r="E1043" i="1" s="1"/>
  <c r="C1044" i="1"/>
  <c r="E1044" i="1" s="1"/>
  <c r="C1045" i="1"/>
  <c r="C1046" i="1"/>
  <c r="E1046" i="1" s="1"/>
  <c r="C1047" i="1"/>
  <c r="E1047" i="1" s="1"/>
  <c r="C1048" i="1"/>
  <c r="E1048" i="1" s="1"/>
  <c r="C1049" i="1"/>
  <c r="E1049" i="1" s="1"/>
  <c r="C1050" i="1"/>
  <c r="E1050" i="1" s="1"/>
  <c r="C1051" i="1"/>
  <c r="E1051" i="1" s="1"/>
  <c r="C1052" i="1"/>
  <c r="C1053" i="1"/>
  <c r="C1054" i="1"/>
  <c r="E1054" i="1" s="1"/>
  <c r="C1055" i="1"/>
  <c r="E1055" i="1" s="1"/>
  <c r="C1056" i="1"/>
  <c r="E1056" i="1" s="1"/>
  <c r="C1057" i="1"/>
  <c r="E1057" i="1" s="1"/>
  <c r="C1058" i="1"/>
  <c r="E1058" i="1" s="1"/>
  <c r="C1059" i="1"/>
  <c r="E1059" i="1" s="1"/>
  <c r="C1060" i="1"/>
  <c r="C1061" i="1"/>
  <c r="C1062" i="1"/>
  <c r="E1062" i="1" s="1"/>
  <c r="C1063" i="1"/>
  <c r="E1063" i="1" s="1"/>
  <c r="C1064" i="1"/>
  <c r="E1064" i="1" s="1"/>
  <c r="C1065" i="1"/>
  <c r="E1065" i="1" s="1"/>
  <c r="C1066" i="1"/>
  <c r="E1066" i="1" s="1"/>
  <c r="C1067" i="1"/>
  <c r="E1067" i="1" s="1"/>
  <c r="C1068" i="1"/>
  <c r="E1068" i="1" s="1"/>
  <c r="C1069" i="1"/>
  <c r="C1070" i="1"/>
  <c r="E1070" i="1" s="1"/>
  <c r="C1071" i="1"/>
  <c r="E1071" i="1" s="1"/>
  <c r="C1072" i="1"/>
  <c r="E1072" i="1" s="1"/>
  <c r="C1073" i="1"/>
  <c r="E1073" i="1" s="1"/>
  <c r="C1074" i="1"/>
  <c r="E1074" i="1" s="1"/>
  <c r="C1075" i="1"/>
  <c r="E1075" i="1" s="1"/>
  <c r="C1076" i="1"/>
  <c r="E1076" i="1" s="1"/>
  <c r="C1077" i="1"/>
  <c r="C1078" i="1"/>
  <c r="E1078" i="1" s="1"/>
  <c r="C1079" i="1"/>
  <c r="E1079" i="1" s="1"/>
  <c r="C1080" i="1"/>
  <c r="E1080" i="1" s="1"/>
  <c r="C1081" i="1"/>
  <c r="E1081" i="1" s="1"/>
  <c r="C1082" i="1"/>
  <c r="E1082" i="1" s="1"/>
  <c r="C1083" i="1"/>
  <c r="E1083" i="1" s="1"/>
  <c r="C1084" i="1"/>
  <c r="C1085" i="1"/>
  <c r="C1086" i="1"/>
  <c r="E1086" i="1" s="1"/>
  <c r="C1087" i="1"/>
  <c r="E1087" i="1" s="1"/>
  <c r="C1088" i="1"/>
  <c r="E1088" i="1" s="1"/>
  <c r="C1089" i="1"/>
  <c r="E1089" i="1" s="1"/>
  <c r="C1090" i="1"/>
  <c r="E1090" i="1" s="1"/>
  <c r="C1091" i="1"/>
  <c r="E1091" i="1" s="1"/>
  <c r="C1092" i="1"/>
  <c r="E1092" i="1" s="1"/>
  <c r="C1093" i="1"/>
  <c r="C1094" i="1"/>
  <c r="E1094" i="1" s="1"/>
  <c r="C1095" i="1"/>
  <c r="E1095" i="1" s="1"/>
  <c r="C1096" i="1"/>
  <c r="E1096" i="1" s="1"/>
  <c r="C1097" i="1"/>
  <c r="E1097" i="1" s="1"/>
  <c r="C1098" i="1"/>
  <c r="E1098" i="1" s="1"/>
  <c r="C1099" i="1"/>
  <c r="E1099" i="1" s="1"/>
  <c r="C1100" i="1"/>
  <c r="E1100" i="1" s="1"/>
  <c r="C1101" i="1"/>
  <c r="C1102" i="1"/>
  <c r="E1102" i="1" s="1"/>
  <c r="C1103" i="1"/>
  <c r="E1103" i="1" s="1"/>
  <c r="C1104" i="1"/>
  <c r="E1104" i="1" s="1"/>
  <c r="C1105" i="1"/>
  <c r="E1105" i="1" s="1"/>
  <c r="C1106" i="1"/>
  <c r="E1106" i="1" s="1"/>
  <c r="C1107" i="1"/>
  <c r="E1107" i="1" s="1"/>
  <c r="C1108" i="1"/>
  <c r="E1108" i="1" s="1"/>
  <c r="C1109" i="1"/>
  <c r="C1110" i="1"/>
  <c r="E1110" i="1" s="1"/>
  <c r="C1111" i="1"/>
  <c r="E1111" i="1" s="1"/>
  <c r="C1112" i="1"/>
  <c r="E1112" i="1" s="1"/>
  <c r="C1113" i="1"/>
  <c r="E1113" i="1" s="1"/>
  <c r="C1114" i="1"/>
  <c r="E1114" i="1" s="1"/>
  <c r="C1115" i="1"/>
  <c r="E1115" i="1" s="1"/>
  <c r="C1116" i="1"/>
  <c r="C1117" i="1"/>
  <c r="C1118" i="1"/>
  <c r="E1118" i="1" s="1"/>
  <c r="C1119" i="1"/>
  <c r="E1119" i="1" s="1"/>
  <c r="C1120" i="1"/>
  <c r="E1120" i="1" s="1"/>
  <c r="C1121" i="1"/>
  <c r="E1121" i="1" s="1"/>
  <c r="C1122" i="1"/>
  <c r="E1122" i="1" s="1"/>
  <c r="C1123" i="1"/>
  <c r="E1123" i="1" s="1"/>
  <c r="C1124" i="1"/>
  <c r="C1125" i="1"/>
  <c r="C1126" i="1"/>
  <c r="E1126" i="1" s="1"/>
  <c r="C1127" i="1"/>
  <c r="E1127" i="1" s="1"/>
  <c r="C1128" i="1"/>
  <c r="E1128" i="1" s="1"/>
  <c r="C1129" i="1"/>
  <c r="E1129" i="1" s="1"/>
  <c r="C1130" i="1"/>
  <c r="E1130" i="1" s="1"/>
  <c r="C1131" i="1"/>
  <c r="E1131" i="1" s="1"/>
  <c r="C1132" i="1"/>
  <c r="E1132" i="1" s="1"/>
  <c r="C1133" i="1"/>
  <c r="C1134" i="1"/>
  <c r="E1134" i="1" s="1"/>
  <c r="C1135" i="1"/>
  <c r="E1135" i="1" s="1"/>
  <c r="C1136" i="1"/>
  <c r="E1136" i="1" s="1"/>
  <c r="C1137" i="1"/>
  <c r="E1137" i="1" s="1"/>
  <c r="C1138" i="1"/>
  <c r="E1138" i="1" s="1"/>
  <c r="C1139" i="1"/>
  <c r="C1140" i="1"/>
  <c r="E1140" i="1" s="1"/>
  <c r="C1141" i="1"/>
  <c r="C1142" i="1"/>
  <c r="E1142" i="1" s="1"/>
  <c r="C1143" i="1"/>
  <c r="E1143" i="1" s="1"/>
  <c r="C1144" i="1"/>
  <c r="E1144" i="1" s="1"/>
  <c r="C1145" i="1"/>
  <c r="E1145" i="1" s="1"/>
  <c r="C1146" i="1"/>
  <c r="E1146" i="1" s="1"/>
  <c r="C1147" i="1"/>
  <c r="E1147" i="1" s="1"/>
  <c r="C1148" i="1"/>
  <c r="C1149" i="1"/>
  <c r="C1150" i="1"/>
  <c r="E1150" i="1" s="1"/>
  <c r="C1151" i="1"/>
  <c r="E1151" i="1" s="1"/>
  <c r="C1152" i="1"/>
  <c r="E1152" i="1" s="1"/>
  <c r="C1153" i="1"/>
  <c r="E1153" i="1" s="1"/>
  <c r="C1154" i="1"/>
  <c r="E1154" i="1" s="1"/>
  <c r="C1155" i="1"/>
  <c r="E1155" i="1" s="1"/>
  <c r="C1156" i="1"/>
  <c r="E1156" i="1" s="1"/>
  <c r="C1157" i="1"/>
  <c r="C1158" i="1"/>
  <c r="E1158" i="1" s="1"/>
  <c r="C1159" i="1"/>
  <c r="E1159" i="1" s="1"/>
  <c r="C1160" i="1"/>
  <c r="E1160" i="1" s="1"/>
  <c r="C1161" i="1"/>
  <c r="E1161" i="1" s="1"/>
  <c r="C1162" i="1"/>
  <c r="E1162" i="1" s="1"/>
  <c r="C1163" i="1"/>
  <c r="E1163" i="1" s="1"/>
  <c r="C1164" i="1"/>
  <c r="E1164" i="1" s="1"/>
  <c r="C1165" i="1"/>
  <c r="C1166" i="1"/>
  <c r="E1166" i="1" s="1"/>
  <c r="C1167" i="1"/>
  <c r="E1167" i="1" s="1"/>
  <c r="C1168" i="1"/>
  <c r="E1168" i="1" s="1"/>
  <c r="C1169" i="1"/>
  <c r="E1169" i="1" s="1"/>
  <c r="C1170" i="1"/>
  <c r="E1170" i="1" s="1"/>
  <c r="C1171" i="1"/>
  <c r="C1172" i="1"/>
  <c r="E1172" i="1" s="1"/>
  <c r="C1173" i="1"/>
  <c r="C1174" i="1"/>
  <c r="E1174" i="1" s="1"/>
  <c r="C1175" i="1"/>
  <c r="E1175" i="1" s="1"/>
  <c r="C1176" i="1"/>
  <c r="E1176" i="1" s="1"/>
  <c r="C1177" i="1"/>
  <c r="E1177" i="1" s="1"/>
  <c r="C1178" i="1"/>
  <c r="E1178" i="1" s="1"/>
  <c r="C1179" i="1"/>
  <c r="E1179" i="1" s="1"/>
  <c r="C1180" i="1"/>
  <c r="C1181" i="1"/>
  <c r="C1182" i="1"/>
  <c r="E1182" i="1" s="1"/>
  <c r="C1183" i="1"/>
  <c r="E1183" i="1" s="1"/>
  <c r="C1184" i="1"/>
  <c r="E1184" i="1" s="1"/>
  <c r="C1185" i="1"/>
  <c r="E1185" i="1" s="1"/>
  <c r="C1186" i="1"/>
  <c r="E1186" i="1" s="1"/>
  <c r="C1187" i="1"/>
  <c r="E1187" i="1" s="1"/>
  <c r="C1188" i="1"/>
  <c r="C1189" i="1"/>
  <c r="C1190" i="1"/>
  <c r="E1190" i="1" s="1"/>
  <c r="C1191" i="1"/>
  <c r="E1191" i="1" s="1"/>
  <c r="C1192" i="1"/>
  <c r="E1192" i="1" s="1"/>
  <c r="C1193" i="1"/>
  <c r="E1193" i="1" s="1"/>
  <c r="C1194" i="1"/>
  <c r="E1194" i="1" s="1"/>
  <c r="C1195" i="1"/>
  <c r="E1195" i="1" s="1"/>
  <c r="C1196" i="1"/>
  <c r="E1196" i="1" s="1"/>
  <c r="C1197" i="1"/>
  <c r="C1198" i="1"/>
  <c r="E1198" i="1" s="1"/>
  <c r="C1199" i="1"/>
  <c r="E1199" i="1" s="1"/>
  <c r="C1200" i="1"/>
  <c r="E1200" i="1" s="1"/>
  <c r="C1201" i="1"/>
  <c r="E1201" i="1" s="1"/>
  <c r="C1202" i="1"/>
  <c r="E1202" i="1" s="1"/>
  <c r="C1203" i="1"/>
  <c r="C1204" i="1"/>
  <c r="E1204" i="1" s="1"/>
  <c r="C1205" i="1"/>
  <c r="C1206" i="1"/>
  <c r="E1206" i="1" s="1"/>
  <c r="C1207" i="1"/>
  <c r="E1207" i="1" s="1"/>
  <c r="C1208" i="1"/>
  <c r="E1208" i="1" s="1"/>
  <c r="C1209" i="1"/>
  <c r="E1209" i="1" s="1"/>
  <c r="C1210" i="1"/>
  <c r="E1210" i="1" s="1"/>
  <c r="C1211" i="1"/>
  <c r="C1212" i="1"/>
  <c r="E1212" i="1" s="1"/>
  <c r="F1212" i="1" s="1"/>
  <c r="C1213" i="1"/>
  <c r="C1214" i="1"/>
  <c r="E1214" i="1" s="1"/>
  <c r="C1215" i="1"/>
  <c r="E1215" i="1" s="1"/>
  <c r="C1216" i="1"/>
  <c r="E1216" i="1" s="1"/>
  <c r="C1217" i="1"/>
  <c r="E1217" i="1" s="1"/>
  <c r="C1218" i="1"/>
  <c r="E1218" i="1" s="1"/>
  <c r="C1219" i="1"/>
  <c r="E1219" i="1" s="1"/>
  <c r="C1220" i="1"/>
  <c r="E1220" i="1" s="1"/>
  <c r="C1221" i="1"/>
  <c r="C1222" i="1"/>
  <c r="E1222" i="1" s="1"/>
  <c r="C1223" i="1"/>
  <c r="E1223" i="1" s="1"/>
  <c r="C1224" i="1"/>
  <c r="E1224" i="1" s="1"/>
  <c r="C1225" i="1"/>
  <c r="E1225" i="1" s="1"/>
  <c r="C1226" i="1"/>
  <c r="E1226" i="1" s="1"/>
  <c r="C1227" i="1"/>
  <c r="E1227" i="1" s="1"/>
  <c r="C1228" i="1"/>
  <c r="E1228" i="1" s="1"/>
  <c r="C1229" i="1"/>
  <c r="C1230" i="1"/>
  <c r="E1230" i="1" s="1"/>
  <c r="C1231" i="1"/>
  <c r="E1231" i="1" s="1"/>
  <c r="C1232" i="1"/>
  <c r="E1232" i="1" s="1"/>
  <c r="C1233" i="1"/>
  <c r="E1233" i="1" s="1"/>
  <c r="C1234" i="1"/>
  <c r="E1234" i="1" s="1"/>
  <c r="C1235" i="1"/>
  <c r="E1235" i="1" s="1"/>
  <c r="C1236" i="1"/>
  <c r="E1236" i="1" s="1"/>
  <c r="C1237" i="1"/>
  <c r="C1238" i="1"/>
  <c r="E1238" i="1" s="1"/>
  <c r="C1239" i="1"/>
  <c r="E1239" i="1" s="1"/>
  <c r="C1240" i="1"/>
  <c r="E1240" i="1" s="1"/>
  <c r="C1241" i="1"/>
  <c r="E1241" i="1" s="1"/>
  <c r="C1242" i="1"/>
  <c r="E1242" i="1" s="1"/>
  <c r="C1243" i="1"/>
  <c r="E1243" i="1" s="1"/>
  <c r="C1244" i="1"/>
  <c r="C1245" i="1"/>
  <c r="C1246" i="1"/>
  <c r="E1246" i="1" s="1"/>
  <c r="C1247" i="1"/>
  <c r="E1247" i="1" s="1"/>
  <c r="C1248" i="1"/>
  <c r="E1248" i="1" s="1"/>
  <c r="C1249" i="1"/>
  <c r="E1249" i="1" s="1"/>
  <c r="C1250" i="1"/>
  <c r="E1250" i="1" s="1"/>
  <c r="C1251" i="1"/>
  <c r="E1251" i="1" s="1"/>
  <c r="C1252" i="1"/>
  <c r="E1252" i="1" s="1"/>
  <c r="C1253" i="1"/>
  <c r="C1254" i="1"/>
  <c r="E1254" i="1" s="1"/>
  <c r="C1255" i="1"/>
  <c r="E1255" i="1" s="1"/>
  <c r="C1256" i="1"/>
  <c r="E1256" i="1" s="1"/>
  <c r="C1257" i="1"/>
  <c r="E1257" i="1" s="1"/>
  <c r="C1258" i="1"/>
  <c r="E1258" i="1" s="1"/>
  <c r="C1259" i="1"/>
  <c r="E1259" i="1" s="1"/>
  <c r="C1260" i="1"/>
  <c r="E1260" i="1" s="1"/>
  <c r="C1261" i="1"/>
  <c r="C1262" i="1"/>
  <c r="E1262" i="1" s="1"/>
  <c r="C1263" i="1"/>
  <c r="E1263" i="1" s="1"/>
  <c r="C1264" i="1"/>
  <c r="E1264" i="1" s="1"/>
  <c r="C1265" i="1"/>
  <c r="E1265" i="1" s="1"/>
  <c r="C1266" i="1"/>
  <c r="E1266" i="1" s="1"/>
  <c r="C1267" i="1"/>
  <c r="E1267" i="1" s="1"/>
  <c r="C1268" i="1"/>
  <c r="E1268" i="1" s="1"/>
  <c r="C1269" i="1"/>
  <c r="C1270" i="1"/>
  <c r="E1270" i="1" s="1"/>
  <c r="C1271" i="1"/>
  <c r="E1271" i="1" s="1"/>
  <c r="C1272" i="1"/>
  <c r="E1272" i="1" s="1"/>
  <c r="C1273" i="1"/>
  <c r="E1273" i="1" s="1"/>
  <c r="C1274" i="1"/>
  <c r="E1274" i="1" s="1"/>
  <c r="C1275" i="1"/>
  <c r="C1276" i="1"/>
  <c r="C1277" i="1"/>
  <c r="C1278" i="1"/>
  <c r="E1278" i="1" s="1"/>
  <c r="C1279" i="1"/>
  <c r="E1279" i="1" s="1"/>
  <c r="C1280" i="1"/>
  <c r="E1280" i="1" s="1"/>
  <c r="C1281" i="1"/>
  <c r="E1281" i="1" s="1"/>
  <c r="C1282" i="1"/>
  <c r="E1282" i="1" s="1"/>
  <c r="C1283" i="1"/>
  <c r="E1283" i="1" s="1"/>
  <c r="C1284" i="1"/>
  <c r="E1284" i="1" s="1"/>
  <c r="C1285" i="1"/>
  <c r="C1286" i="1"/>
  <c r="E1286" i="1" s="1"/>
  <c r="C1287" i="1"/>
  <c r="E1287" i="1" s="1"/>
  <c r="C1288" i="1"/>
  <c r="E1288" i="1" s="1"/>
  <c r="C1289" i="1"/>
  <c r="E1289" i="1" s="1"/>
  <c r="C1290" i="1"/>
  <c r="E1290" i="1" s="1"/>
  <c r="C1291" i="1"/>
  <c r="E1291" i="1" s="1"/>
  <c r="C1292" i="1"/>
  <c r="E1292" i="1" s="1"/>
  <c r="C1293" i="1"/>
  <c r="C1294" i="1"/>
  <c r="E1294" i="1" s="1"/>
  <c r="C1295" i="1"/>
  <c r="E1295" i="1" s="1"/>
  <c r="C1296" i="1"/>
  <c r="E1296" i="1" s="1"/>
  <c r="C1297" i="1"/>
  <c r="E1297" i="1" s="1"/>
  <c r="C1298" i="1"/>
  <c r="E1298" i="1" s="1"/>
  <c r="C1299" i="1"/>
  <c r="E1299" i="1" s="1"/>
  <c r="C1300" i="1"/>
  <c r="E1300" i="1" s="1"/>
  <c r="C1301" i="1"/>
  <c r="C1302" i="1"/>
  <c r="E1302" i="1" s="1"/>
  <c r="C1303" i="1"/>
  <c r="E1303" i="1" s="1"/>
  <c r="C1304" i="1"/>
  <c r="E1304" i="1" s="1"/>
  <c r="C1305" i="1"/>
  <c r="E1305" i="1" s="1"/>
  <c r="C1306" i="1"/>
  <c r="E1306" i="1" s="1"/>
  <c r="C1307" i="1"/>
  <c r="E1307" i="1" s="1"/>
  <c r="C1308" i="1"/>
  <c r="E1308" i="1" s="1"/>
  <c r="C1309" i="1"/>
  <c r="C1310" i="1"/>
  <c r="E1310" i="1" s="1"/>
  <c r="C1311" i="1"/>
  <c r="E1311" i="1" s="1"/>
  <c r="F1311" i="1" s="1"/>
  <c r="C1312" i="1"/>
  <c r="E1312" i="1" s="1"/>
  <c r="C1313" i="1"/>
  <c r="E1313" i="1" s="1"/>
  <c r="C1314" i="1"/>
  <c r="E1314" i="1" s="1"/>
  <c r="C1315" i="1"/>
  <c r="E1315" i="1" s="1"/>
  <c r="C1316" i="1"/>
  <c r="C1317" i="1"/>
  <c r="C1318" i="1"/>
  <c r="E1318" i="1" s="1"/>
  <c r="C1319" i="1"/>
  <c r="E1319" i="1" s="1"/>
  <c r="C1320" i="1"/>
  <c r="E1320" i="1" s="1"/>
  <c r="C1321" i="1"/>
  <c r="E1321" i="1" s="1"/>
  <c r="C1322" i="1"/>
  <c r="E1322" i="1" s="1"/>
  <c r="C1323" i="1"/>
  <c r="E1323" i="1" s="1"/>
  <c r="C1324" i="1"/>
  <c r="E1324" i="1" s="1"/>
  <c r="C1325" i="1"/>
  <c r="C1326" i="1"/>
  <c r="E1326" i="1" s="1"/>
  <c r="C1327" i="1"/>
  <c r="E1327" i="1" s="1"/>
  <c r="C1328" i="1"/>
  <c r="E1328" i="1" s="1"/>
  <c r="C1329" i="1"/>
  <c r="E1329" i="1" s="1"/>
  <c r="C1330" i="1"/>
  <c r="E1330" i="1" s="1"/>
  <c r="C1331" i="1"/>
  <c r="E1331" i="1" s="1"/>
  <c r="C1332" i="1"/>
  <c r="E1332" i="1" s="1"/>
  <c r="C1333" i="1"/>
  <c r="C1334" i="1"/>
  <c r="E1334" i="1" s="1"/>
  <c r="C1335" i="1"/>
  <c r="E1335" i="1" s="1"/>
  <c r="C1336" i="1"/>
  <c r="E1336" i="1" s="1"/>
  <c r="C1337" i="1"/>
  <c r="E1337" i="1" s="1"/>
  <c r="C1338" i="1"/>
  <c r="E1338" i="1" s="1"/>
  <c r="C1339" i="1"/>
  <c r="E1339" i="1" s="1"/>
  <c r="C1340" i="1"/>
  <c r="E1340" i="1" s="1"/>
  <c r="C1341" i="1"/>
  <c r="C1342" i="1"/>
  <c r="E1342" i="1" s="1"/>
  <c r="C1343" i="1"/>
  <c r="E1343" i="1" s="1"/>
  <c r="C1344" i="1"/>
  <c r="E1344" i="1" s="1"/>
  <c r="C1345" i="1"/>
  <c r="E1345" i="1" s="1"/>
  <c r="C1346" i="1"/>
  <c r="E1346" i="1" s="1"/>
  <c r="C1347" i="1"/>
  <c r="E1347" i="1" s="1"/>
  <c r="C1348" i="1"/>
  <c r="E1348" i="1" s="1"/>
  <c r="C1349" i="1"/>
  <c r="C1350" i="1"/>
  <c r="E1350" i="1" s="1"/>
  <c r="C1351" i="1"/>
  <c r="E1351" i="1" s="1"/>
  <c r="C1352" i="1"/>
  <c r="E1352" i="1" s="1"/>
  <c r="C1353" i="1"/>
  <c r="E1353" i="1" s="1"/>
  <c r="C1354" i="1"/>
  <c r="E1354" i="1" s="1"/>
  <c r="C1355" i="1"/>
  <c r="E1355" i="1" s="1"/>
  <c r="C1356" i="1"/>
  <c r="E1356" i="1" s="1"/>
  <c r="C1357" i="1"/>
  <c r="C1358" i="1"/>
  <c r="E1358" i="1" s="1"/>
  <c r="C1359" i="1"/>
  <c r="E1359" i="1" s="1"/>
  <c r="C1360" i="1"/>
  <c r="E1360" i="1" s="1"/>
  <c r="C1361" i="1"/>
  <c r="E1361" i="1" s="1"/>
  <c r="C1362" i="1"/>
  <c r="E1362" i="1" s="1"/>
  <c r="C1363" i="1"/>
  <c r="E1363" i="1" s="1"/>
  <c r="C1364" i="1"/>
  <c r="E1364" i="1" s="1"/>
  <c r="C1365" i="1"/>
  <c r="C1366" i="1"/>
  <c r="E1366" i="1" s="1"/>
  <c r="C1367" i="1"/>
  <c r="E1367" i="1" s="1"/>
  <c r="C1368" i="1"/>
  <c r="E1368" i="1" s="1"/>
  <c r="C1369" i="1"/>
  <c r="E1369" i="1" s="1"/>
  <c r="C1370" i="1"/>
  <c r="E1370" i="1" s="1"/>
  <c r="C1371" i="1"/>
  <c r="E1371" i="1" s="1"/>
  <c r="C1372" i="1"/>
  <c r="E1372" i="1" s="1"/>
  <c r="C1373" i="1"/>
  <c r="C1374" i="1"/>
  <c r="E1374" i="1" s="1"/>
  <c r="C1375" i="1"/>
  <c r="E1375" i="1" s="1"/>
  <c r="C1376" i="1"/>
  <c r="E1376" i="1" s="1"/>
  <c r="C1377" i="1"/>
  <c r="E1377" i="1" s="1"/>
  <c r="C1378" i="1"/>
  <c r="E1378" i="1" s="1"/>
  <c r="C1379" i="1"/>
  <c r="E1379" i="1" s="1"/>
  <c r="C1380" i="1"/>
  <c r="E1380" i="1" s="1"/>
  <c r="C1381" i="1"/>
  <c r="C1382" i="1"/>
  <c r="E1382" i="1" s="1"/>
  <c r="C1383" i="1"/>
  <c r="E1383" i="1" s="1"/>
  <c r="C1384" i="1"/>
  <c r="E1384" i="1" s="1"/>
  <c r="C1385" i="1"/>
  <c r="E1385" i="1" s="1"/>
  <c r="C1386" i="1"/>
  <c r="E1386" i="1" s="1"/>
  <c r="C1387" i="1"/>
  <c r="E1387" i="1" s="1"/>
  <c r="C1388" i="1"/>
  <c r="E1388" i="1" s="1"/>
  <c r="C1389" i="1"/>
  <c r="C1390" i="1"/>
  <c r="E1390" i="1" s="1"/>
  <c r="C1391" i="1"/>
  <c r="E1391" i="1" s="1"/>
  <c r="C1392" i="1"/>
  <c r="E1392" i="1" s="1"/>
  <c r="C1393" i="1"/>
  <c r="E1393" i="1" s="1"/>
  <c r="C1394" i="1"/>
  <c r="E1394" i="1" s="1"/>
  <c r="C1395" i="1"/>
  <c r="C1396" i="1"/>
  <c r="E1396" i="1" s="1"/>
  <c r="C1397" i="1"/>
  <c r="C1398" i="1"/>
  <c r="E1398" i="1" s="1"/>
  <c r="C1399" i="1"/>
  <c r="E1399" i="1" s="1"/>
  <c r="C1400" i="1"/>
  <c r="E1400" i="1" s="1"/>
  <c r="C1401" i="1"/>
  <c r="E1401" i="1" s="1"/>
  <c r="C1402" i="1"/>
  <c r="E1402" i="1" s="1"/>
  <c r="C1403" i="1"/>
  <c r="E1403" i="1" s="1"/>
  <c r="C1404" i="1"/>
  <c r="E1404" i="1" s="1"/>
  <c r="C1405" i="1"/>
  <c r="C1406" i="1"/>
  <c r="E1406" i="1" s="1"/>
  <c r="C1407" i="1"/>
  <c r="E1407" i="1" s="1"/>
  <c r="C1408" i="1"/>
  <c r="E1408" i="1" s="1"/>
  <c r="C1409" i="1"/>
  <c r="E1409" i="1" s="1"/>
  <c r="C1410" i="1"/>
  <c r="E1410" i="1" s="1"/>
  <c r="C1411" i="1"/>
  <c r="E1411" i="1" s="1"/>
  <c r="C1412" i="1"/>
  <c r="E1412" i="1" s="1"/>
  <c r="C1413" i="1"/>
  <c r="C1414" i="1"/>
  <c r="E1414" i="1" s="1"/>
  <c r="C1415" i="1"/>
  <c r="E1415" i="1" s="1"/>
  <c r="C1416" i="1"/>
  <c r="E1416" i="1" s="1"/>
  <c r="C1417" i="1"/>
  <c r="E1417" i="1" s="1"/>
  <c r="C1418" i="1"/>
  <c r="E1418" i="1" s="1"/>
  <c r="C1419" i="1"/>
  <c r="E1419" i="1" s="1"/>
  <c r="C1420" i="1"/>
  <c r="E1420" i="1" s="1"/>
  <c r="C1421" i="1"/>
  <c r="C1422" i="1"/>
  <c r="E1422" i="1" s="1"/>
  <c r="C1423" i="1"/>
  <c r="E1423" i="1" s="1"/>
  <c r="C1424" i="1"/>
  <c r="E1424" i="1" s="1"/>
  <c r="C1425" i="1"/>
  <c r="E1425" i="1" s="1"/>
  <c r="C1426" i="1"/>
  <c r="E1426" i="1" s="1"/>
  <c r="C1427" i="1"/>
  <c r="C1428" i="1"/>
  <c r="E1428" i="1" s="1"/>
  <c r="C1429" i="1"/>
  <c r="C1430" i="1"/>
  <c r="E1430" i="1" s="1"/>
  <c r="C1431" i="1"/>
  <c r="E1431" i="1" s="1"/>
  <c r="C1432" i="1"/>
  <c r="E1432" i="1" s="1"/>
  <c r="C1433" i="1"/>
  <c r="E1433" i="1" s="1"/>
  <c r="C1434" i="1"/>
  <c r="E1434" i="1" s="1"/>
  <c r="C1435" i="1"/>
  <c r="E1435" i="1" s="1"/>
  <c r="C1436" i="1"/>
  <c r="E1436" i="1" s="1"/>
  <c r="C1437" i="1"/>
  <c r="C1438" i="1"/>
  <c r="E1438" i="1" s="1"/>
  <c r="C1439" i="1"/>
  <c r="E1439" i="1" s="1"/>
  <c r="C1440" i="1"/>
  <c r="E1440" i="1" s="1"/>
  <c r="C1441" i="1"/>
  <c r="E1441" i="1" s="1"/>
  <c r="C1442" i="1"/>
  <c r="E1442" i="1" s="1"/>
  <c r="C1443" i="1"/>
  <c r="E1443" i="1" s="1"/>
  <c r="C1444" i="1"/>
  <c r="E1444" i="1" s="1"/>
  <c r="C1445" i="1"/>
  <c r="C1446" i="1"/>
  <c r="E1446" i="1" s="1"/>
  <c r="C1447" i="1"/>
  <c r="E1447" i="1" s="1"/>
  <c r="C1448" i="1"/>
  <c r="E1448" i="1" s="1"/>
  <c r="C1449" i="1"/>
  <c r="E1449" i="1" s="1"/>
  <c r="C1450" i="1"/>
  <c r="E1450" i="1" s="1"/>
  <c r="C1451" i="1"/>
  <c r="E1451" i="1" s="1"/>
  <c r="C1452" i="1"/>
  <c r="E1452" i="1" s="1"/>
  <c r="C1453" i="1"/>
  <c r="C1454" i="1"/>
  <c r="E1454" i="1" s="1"/>
  <c r="C1455" i="1"/>
  <c r="E1455" i="1" s="1"/>
  <c r="C1456" i="1"/>
  <c r="E1456" i="1" s="1"/>
  <c r="C1457" i="1"/>
  <c r="E1457" i="1" s="1"/>
  <c r="C1458" i="1"/>
  <c r="E1458" i="1" s="1"/>
  <c r="C1459" i="1"/>
  <c r="C1460" i="1"/>
  <c r="E1460" i="1" s="1"/>
  <c r="C1461" i="1"/>
  <c r="C1462" i="1"/>
  <c r="E1462" i="1" s="1"/>
  <c r="C1463" i="1"/>
  <c r="E1463" i="1" s="1"/>
  <c r="C1464" i="1"/>
  <c r="E1464" i="1" s="1"/>
  <c r="C1465" i="1"/>
  <c r="E1465" i="1" s="1"/>
  <c r="C1466" i="1"/>
  <c r="E1466" i="1" s="1"/>
  <c r="C1467" i="1"/>
  <c r="C1468" i="1"/>
  <c r="E1468" i="1" s="1"/>
  <c r="C1469" i="1"/>
  <c r="C1470" i="1"/>
  <c r="E1470" i="1" s="1"/>
  <c r="C1471" i="1"/>
  <c r="E1471" i="1" s="1"/>
  <c r="C1472" i="1"/>
  <c r="E1472" i="1" s="1"/>
  <c r="C1473" i="1"/>
  <c r="E1473" i="1" s="1"/>
  <c r="C1474" i="1"/>
  <c r="E1474" i="1" s="1"/>
  <c r="C1475" i="1"/>
  <c r="E1475" i="1" s="1"/>
  <c r="C1476" i="1"/>
  <c r="E1476" i="1" s="1"/>
  <c r="C1477" i="1"/>
  <c r="C1478" i="1"/>
  <c r="E1478" i="1" s="1"/>
  <c r="C1479" i="1"/>
  <c r="E1479" i="1" s="1"/>
  <c r="C1480" i="1"/>
  <c r="E1480" i="1" s="1"/>
  <c r="C1481" i="1"/>
  <c r="E1481" i="1" s="1"/>
  <c r="C1482" i="1"/>
  <c r="E1482" i="1" s="1"/>
  <c r="C1483" i="1"/>
  <c r="E1483" i="1" s="1"/>
  <c r="C1484" i="1"/>
  <c r="E1484" i="1" s="1"/>
  <c r="C1485" i="1"/>
  <c r="C1486" i="1"/>
  <c r="E1486" i="1" s="1"/>
  <c r="C1487" i="1"/>
  <c r="E1487" i="1" s="1"/>
  <c r="C1488" i="1"/>
  <c r="E1488" i="1" s="1"/>
  <c r="C1489" i="1"/>
  <c r="E1489" i="1" s="1"/>
  <c r="C1490" i="1"/>
  <c r="E1490" i="1" s="1"/>
  <c r="C1491" i="1"/>
  <c r="E1491" i="1" s="1"/>
  <c r="C1492" i="1"/>
  <c r="E1492" i="1" s="1"/>
  <c r="C1493" i="1"/>
  <c r="C1494" i="1"/>
  <c r="E1494" i="1" s="1"/>
  <c r="C1495" i="1"/>
  <c r="E1495" i="1" s="1"/>
  <c r="C1496" i="1"/>
  <c r="E1496" i="1" s="1"/>
  <c r="C1497" i="1"/>
  <c r="E1497" i="1" s="1"/>
  <c r="C1498" i="1"/>
  <c r="E1498" i="1" s="1"/>
  <c r="C1499" i="1"/>
  <c r="E1499" i="1" s="1"/>
  <c r="C1500" i="1"/>
  <c r="C3" i="1"/>
  <c r="C4" i="1"/>
  <c r="E4" i="1" s="1"/>
  <c r="C5" i="1"/>
  <c r="E5" i="1" s="1"/>
  <c r="C6" i="1"/>
  <c r="E6" i="1" s="1"/>
  <c r="C2" i="1"/>
  <c r="E2" i="1" s="1"/>
  <c r="D3" i="1"/>
  <c r="F3" i="1" s="1"/>
  <c r="D4" i="1"/>
  <c r="F4" i="1" s="1"/>
  <c r="D5" i="1"/>
  <c r="D6" i="1"/>
  <c r="D7" i="1"/>
  <c r="F7" i="1" s="1"/>
  <c r="D8" i="1"/>
  <c r="F8" i="1" s="1"/>
  <c r="D9" i="1"/>
  <c r="F9" i="1" s="1"/>
  <c r="D10" i="1"/>
  <c r="F10" i="1" s="1"/>
  <c r="D11" i="1"/>
  <c r="F11" i="1" s="1"/>
  <c r="D12" i="1"/>
  <c r="F12" i="1" s="1"/>
  <c r="D13" i="1"/>
  <c r="D14" i="1"/>
  <c r="D15" i="1"/>
  <c r="F15" i="1" s="1"/>
  <c r="D16" i="1"/>
  <c r="F16" i="1" s="1"/>
  <c r="D17" i="1"/>
  <c r="F17" i="1" s="1"/>
  <c r="D18" i="1"/>
  <c r="F18" i="1" s="1"/>
  <c r="D19" i="1"/>
  <c r="F19" i="1" s="1"/>
  <c r="D20" i="1"/>
  <c r="F20" i="1" s="1"/>
  <c r="D21" i="1"/>
  <c r="F21" i="1" s="1"/>
  <c r="D22" i="1"/>
  <c r="F22" i="1" s="1"/>
  <c r="D23" i="1"/>
  <c r="F23" i="1" s="1"/>
  <c r="D24" i="1"/>
  <c r="F24" i="1" s="1"/>
  <c r="D25" i="1"/>
  <c r="F25" i="1" s="1"/>
  <c r="D26" i="1"/>
  <c r="F26" i="1" s="1"/>
  <c r="D27" i="1"/>
  <c r="F27" i="1" s="1"/>
  <c r="D28" i="1"/>
  <c r="D29" i="1"/>
  <c r="F29" i="1" s="1"/>
  <c r="D30" i="1"/>
  <c r="D31" i="1"/>
  <c r="F31" i="1" s="1"/>
  <c r="D32" i="1"/>
  <c r="F32" i="1" s="1"/>
  <c r="D33" i="1"/>
  <c r="F33" i="1" s="1"/>
  <c r="D34" i="1"/>
  <c r="F34" i="1" s="1"/>
  <c r="D35" i="1"/>
  <c r="F35" i="1" s="1"/>
  <c r="D36" i="1"/>
  <c r="F36" i="1" s="1"/>
  <c r="D37" i="1"/>
  <c r="F37" i="1" s="1"/>
  <c r="D38" i="1"/>
  <c r="F38" i="1" s="1"/>
  <c r="D39" i="1"/>
  <c r="F39" i="1" s="1"/>
  <c r="D40" i="1"/>
  <c r="F40" i="1" s="1"/>
  <c r="D41" i="1"/>
  <c r="F41" i="1" s="1"/>
  <c r="D42" i="1"/>
  <c r="F42" i="1" s="1"/>
  <c r="D43" i="1"/>
  <c r="F43" i="1" s="1"/>
  <c r="D44" i="1"/>
  <c r="F44" i="1" s="1"/>
  <c r="D45" i="1"/>
  <c r="D46" i="1"/>
  <c r="D47" i="1"/>
  <c r="F47" i="1" s="1"/>
  <c r="D48" i="1"/>
  <c r="F48" i="1" s="1"/>
  <c r="D49" i="1"/>
  <c r="F49" i="1" s="1"/>
  <c r="D50" i="1"/>
  <c r="F50" i="1" s="1"/>
  <c r="D51" i="1"/>
  <c r="F51" i="1" s="1"/>
  <c r="D52" i="1"/>
  <c r="F52" i="1" s="1"/>
  <c r="D53" i="1"/>
  <c r="F53" i="1" s="1"/>
  <c r="D54" i="1"/>
  <c r="F54" i="1" s="1"/>
  <c r="D55" i="1"/>
  <c r="F55" i="1" s="1"/>
  <c r="D56" i="1"/>
  <c r="F56" i="1" s="1"/>
  <c r="D57" i="1"/>
  <c r="F57" i="1" s="1"/>
  <c r="D58" i="1"/>
  <c r="F58" i="1" s="1"/>
  <c r="D59" i="1"/>
  <c r="F59" i="1" s="1"/>
  <c r="D60" i="1"/>
  <c r="D61" i="1"/>
  <c r="F61" i="1" s="1"/>
  <c r="D62" i="1"/>
  <c r="D63" i="1"/>
  <c r="F63" i="1" s="1"/>
  <c r="D64" i="1"/>
  <c r="F64" i="1" s="1"/>
  <c r="D65" i="1"/>
  <c r="F65" i="1" s="1"/>
  <c r="D66" i="1"/>
  <c r="F66" i="1" s="1"/>
  <c r="D67" i="1"/>
  <c r="F67" i="1" s="1"/>
  <c r="D68" i="1"/>
  <c r="F68" i="1" s="1"/>
  <c r="D69" i="1"/>
  <c r="F69" i="1" s="1"/>
  <c r="D70" i="1"/>
  <c r="F70" i="1" s="1"/>
  <c r="D71" i="1"/>
  <c r="F71" i="1" s="1"/>
  <c r="D72" i="1"/>
  <c r="F72" i="1" s="1"/>
  <c r="D73" i="1"/>
  <c r="F73" i="1" s="1"/>
  <c r="D74" i="1"/>
  <c r="F74" i="1" s="1"/>
  <c r="D75" i="1"/>
  <c r="F75" i="1" s="1"/>
  <c r="D76" i="1"/>
  <c r="F76" i="1" s="1"/>
  <c r="D77" i="1"/>
  <c r="D78" i="1"/>
  <c r="D79" i="1"/>
  <c r="F79" i="1" s="1"/>
  <c r="D80" i="1"/>
  <c r="F80" i="1" s="1"/>
  <c r="D81" i="1"/>
  <c r="F81" i="1" s="1"/>
  <c r="D82" i="1"/>
  <c r="F82" i="1" s="1"/>
  <c r="D83" i="1"/>
  <c r="F83" i="1" s="1"/>
  <c r="D84" i="1"/>
  <c r="F84" i="1" s="1"/>
  <c r="D85" i="1"/>
  <c r="F85" i="1" s="1"/>
  <c r="D86" i="1"/>
  <c r="F86" i="1" s="1"/>
  <c r="D87" i="1"/>
  <c r="F87" i="1" s="1"/>
  <c r="D88" i="1"/>
  <c r="F88" i="1" s="1"/>
  <c r="D89" i="1"/>
  <c r="F89" i="1" s="1"/>
  <c r="D90" i="1"/>
  <c r="F90" i="1" s="1"/>
  <c r="D91" i="1"/>
  <c r="F91" i="1" s="1"/>
  <c r="D92" i="1"/>
  <c r="F92" i="1" s="1"/>
  <c r="D93" i="1"/>
  <c r="F93" i="1" s="1"/>
  <c r="D94" i="1"/>
  <c r="D95" i="1"/>
  <c r="F95" i="1" s="1"/>
  <c r="D96" i="1"/>
  <c r="F96" i="1" s="1"/>
  <c r="D97" i="1"/>
  <c r="F97" i="1" s="1"/>
  <c r="D98" i="1"/>
  <c r="F98" i="1" s="1"/>
  <c r="D99" i="1"/>
  <c r="F99" i="1" s="1"/>
  <c r="D100" i="1"/>
  <c r="F100" i="1" s="1"/>
  <c r="D101" i="1"/>
  <c r="F101" i="1" s="1"/>
  <c r="D102" i="1"/>
  <c r="D103" i="1"/>
  <c r="F103" i="1" s="1"/>
  <c r="D104" i="1"/>
  <c r="F104" i="1" s="1"/>
  <c r="D105" i="1"/>
  <c r="F105" i="1" s="1"/>
  <c r="D106" i="1"/>
  <c r="F106" i="1" s="1"/>
  <c r="D107" i="1"/>
  <c r="F107" i="1" s="1"/>
  <c r="D108" i="1"/>
  <c r="F108" i="1" s="1"/>
  <c r="D109" i="1"/>
  <c r="F109" i="1" s="1"/>
  <c r="D110" i="1"/>
  <c r="F110" i="1" s="1"/>
  <c r="D111" i="1"/>
  <c r="F111" i="1" s="1"/>
  <c r="D112" i="1"/>
  <c r="F112" i="1" s="1"/>
  <c r="D113" i="1"/>
  <c r="F113" i="1" s="1"/>
  <c r="D114" i="1"/>
  <c r="F114" i="1" s="1"/>
  <c r="D115" i="1"/>
  <c r="F115" i="1" s="1"/>
  <c r="D116" i="1"/>
  <c r="F116" i="1" s="1"/>
  <c r="D117" i="1"/>
  <c r="D118" i="1"/>
  <c r="D119" i="1"/>
  <c r="F119" i="1" s="1"/>
  <c r="D120" i="1"/>
  <c r="F120" i="1" s="1"/>
  <c r="D121" i="1"/>
  <c r="F121" i="1" s="1"/>
  <c r="D122" i="1"/>
  <c r="F122" i="1" s="1"/>
  <c r="D123" i="1"/>
  <c r="F123" i="1" s="1"/>
  <c r="D124" i="1"/>
  <c r="F124" i="1" s="1"/>
  <c r="D125" i="1"/>
  <c r="F125" i="1" s="1"/>
  <c r="D126" i="1"/>
  <c r="F126" i="1" s="1"/>
  <c r="D127" i="1"/>
  <c r="D128" i="1"/>
  <c r="F128" i="1" s="1"/>
  <c r="D129" i="1"/>
  <c r="F129" i="1" s="1"/>
  <c r="D130" i="1"/>
  <c r="F130" i="1" s="1"/>
  <c r="D131" i="1"/>
  <c r="F131" i="1" s="1"/>
  <c r="D132" i="1"/>
  <c r="F132" i="1" s="1"/>
  <c r="D133" i="1"/>
  <c r="D134" i="1"/>
  <c r="F134" i="1" s="1"/>
  <c r="D135" i="1"/>
  <c r="D136" i="1"/>
  <c r="F136" i="1" s="1"/>
  <c r="D137" i="1"/>
  <c r="F137" i="1" s="1"/>
  <c r="D138" i="1"/>
  <c r="F138" i="1" s="1"/>
  <c r="D139" i="1"/>
  <c r="F139" i="1" s="1"/>
  <c r="D140" i="1"/>
  <c r="F140" i="1" s="1"/>
  <c r="D141" i="1"/>
  <c r="D142" i="1"/>
  <c r="D143" i="1"/>
  <c r="D144" i="1"/>
  <c r="F144" i="1" s="1"/>
  <c r="D145" i="1"/>
  <c r="F145" i="1" s="1"/>
  <c r="D146" i="1"/>
  <c r="F146" i="1" s="1"/>
  <c r="D147" i="1"/>
  <c r="F147" i="1" s="1"/>
  <c r="D148" i="1"/>
  <c r="F148" i="1" s="1"/>
  <c r="D149" i="1"/>
  <c r="F149" i="1" s="1"/>
  <c r="D150" i="1"/>
  <c r="F150" i="1" s="1"/>
  <c r="D151" i="1"/>
  <c r="D152" i="1"/>
  <c r="F152" i="1" s="1"/>
  <c r="D153" i="1"/>
  <c r="F153" i="1" s="1"/>
  <c r="D154" i="1"/>
  <c r="F154" i="1" s="1"/>
  <c r="D155" i="1"/>
  <c r="F155" i="1" s="1"/>
  <c r="D156" i="1"/>
  <c r="F156" i="1" s="1"/>
  <c r="D157" i="1"/>
  <c r="F157" i="1" s="1"/>
  <c r="D158" i="1"/>
  <c r="F158" i="1" s="1"/>
  <c r="D159" i="1"/>
  <c r="D160" i="1"/>
  <c r="F160" i="1" s="1"/>
  <c r="D161" i="1"/>
  <c r="F161" i="1" s="1"/>
  <c r="D162" i="1"/>
  <c r="F162" i="1" s="1"/>
  <c r="D163" i="1"/>
  <c r="F163" i="1" s="1"/>
  <c r="D164" i="1"/>
  <c r="D165" i="1"/>
  <c r="F165" i="1" s="1"/>
  <c r="D166" i="1"/>
  <c r="D167" i="1"/>
  <c r="D168" i="1"/>
  <c r="F168" i="1" s="1"/>
  <c r="D169" i="1"/>
  <c r="F169" i="1" s="1"/>
  <c r="D170" i="1"/>
  <c r="F170" i="1" s="1"/>
  <c r="D171" i="1"/>
  <c r="F171" i="1" s="1"/>
  <c r="D172" i="1"/>
  <c r="F172" i="1" s="1"/>
  <c r="D173" i="1"/>
  <c r="D174" i="1"/>
  <c r="F174" i="1" s="1"/>
  <c r="D175" i="1"/>
  <c r="F175" i="1" s="1"/>
  <c r="D176" i="1"/>
  <c r="F176" i="1" s="1"/>
  <c r="D177" i="1"/>
  <c r="F177" i="1" s="1"/>
  <c r="D178" i="1"/>
  <c r="F178" i="1" s="1"/>
  <c r="D179" i="1"/>
  <c r="F179" i="1" s="1"/>
  <c r="D180" i="1"/>
  <c r="F180" i="1" s="1"/>
  <c r="D181" i="1"/>
  <c r="F181" i="1" s="1"/>
  <c r="D182" i="1"/>
  <c r="F182" i="1" s="1"/>
  <c r="D183" i="1"/>
  <c r="F183" i="1" s="1"/>
  <c r="D184" i="1"/>
  <c r="F184" i="1" s="1"/>
  <c r="D185" i="1"/>
  <c r="F185" i="1" s="1"/>
  <c r="D186" i="1"/>
  <c r="D187" i="1"/>
  <c r="F187" i="1" s="1"/>
  <c r="D188" i="1"/>
  <c r="D189" i="1"/>
  <c r="F189" i="1" s="1"/>
  <c r="D190" i="1"/>
  <c r="F190" i="1" s="1"/>
  <c r="D191" i="1"/>
  <c r="F191" i="1" s="1"/>
  <c r="D192" i="1"/>
  <c r="F192" i="1" s="1"/>
  <c r="D193" i="1"/>
  <c r="F193" i="1" s="1"/>
  <c r="D194" i="1"/>
  <c r="F194" i="1" s="1"/>
  <c r="D195" i="1"/>
  <c r="F195" i="1" s="1"/>
  <c r="D196" i="1"/>
  <c r="F196" i="1" s="1"/>
  <c r="D197" i="1"/>
  <c r="D198" i="1"/>
  <c r="F198" i="1" s="1"/>
  <c r="D199" i="1"/>
  <c r="F199" i="1" s="1"/>
  <c r="D200" i="1"/>
  <c r="F200" i="1" s="1"/>
  <c r="D201" i="1"/>
  <c r="F201" i="1" s="1"/>
  <c r="D202" i="1"/>
  <c r="F202" i="1" s="1"/>
  <c r="D203" i="1"/>
  <c r="F203" i="1" s="1"/>
  <c r="D204" i="1"/>
  <c r="F204" i="1" s="1"/>
  <c r="D205" i="1"/>
  <c r="F205" i="1" s="1"/>
  <c r="D206" i="1"/>
  <c r="F206" i="1" s="1"/>
  <c r="D207" i="1"/>
  <c r="D208" i="1"/>
  <c r="F208" i="1" s="1"/>
  <c r="D209" i="1"/>
  <c r="F209" i="1" s="1"/>
  <c r="D210" i="1"/>
  <c r="F210" i="1" s="1"/>
  <c r="D211" i="1"/>
  <c r="F211" i="1" s="1"/>
  <c r="D212" i="1"/>
  <c r="F212" i="1" s="1"/>
  <c r="D213" i="1"/>
  <c r="D214" i="1"/>
  <c r="F214" i="1" s="1"/>
  <c r="D215" i="1"/>
  <c r="F215" i="1" s="1"/>
  <c r="D216" i="1"/>
  <c r="F216" i="1" s="1"/>
  <c r="D217" i="1"/>
  <c r="F217" i="1" s="1"/>
  <c r="D218" i="1"/>
  <c r="F218" i="1" s="1"/>
  <c r="D219" i="1"/>
  <c r="F219" i="1" s="1"/>
  <c r="D220" i="1"/>
  <c r="F220" i="1" s="1"/>
  <c r="D221" i="1"/>
  <c r="F221" i="1" s="1"/>
  <c r="D222" i="1"/>
  <c r="F222" i="1" s="1"/>
  <c r="D223" i="1"/>
  <c r="D224" i="1"/>
  <c r="F224" i="1" s="1"/>
  <c r="D225" i="1"/>
  <c r="F225" i="1" s="1"/>
  <c r="D226" i="1"/>
  <c r="F226" i="1" s="1"/>
  <c r="D227" i="1"/>
  <c r="F227" i="1" s="1"/>
  <c r="D228" i="1"/>
  <c r="F228" i="1" s="1"/>
  <c r="D229" i="1"/>
  <c r="D230" i="1"/>
  <c r="F230" i="1" s="1"/>
  <c r="D231" i="1"/>
  <c r="D232" i="1"/>
  <c r="F232" i="1" s="1"/>
  <c r="D233" i="1"/>
  <c r="F233" i="1" s="1"/>
  <c r="D234" i="1"/>
  <c r="F234" i="1" s="1"/>
  <c r="D235" i="1"/>
  <c r="F235" i="1" s="1"/>
  <c r="D236" i="1"/>
  <c r="F236" i="1" s="1"/>
  <c r="D237" i="1"/>
  <c r="F237" i="1" s="1"/>
  <c r="D238" i="1"/>
  <c r="F238" i="1" s="1"/>
  <c r="D239" i="1"/>
  <c r="D240" i="1"/>
  <c r="F240" i="1" s="1"/>
  <c r="D241" i="1"/>
  <c r="F241" i="1" s="1"/>
  <c r="D242" i="1"/>
  <c r="F242" i="1" s="1"/>
  <c r="D243" i="1"/>
  <c r="F243" i="1" s="1"/>
  <c r="D244" i="1"/>
  <c r="F244" i="1" s="1"/>
  <c r="D245" i="1"/>
  <c r="D246" i="1"/>
  <c r="F246" i="1" s="1"/>
  <c r="D247" i="1"/>
  <c r="D248" i="1"/>
  <c r="F248" i="1" s="1"/>
  <c r="D249" i="1"/>
  <c r="F249" i="1" s="1"/>
  <c r="D250" i="1"/>
  <c r="F250" i="1" s="1"/>
  <c r="D251" i="1"/>
  <c r="F251" i="1" s="1"/>
  <c r="D252" i="1"/>
  <c r="F252" i="1" s="1"/>
  <c r="D253" i="1"/>
  <c r="D254" i="1"/>
  <c r="F254" i="1" s="1"/>
  <c r="D255" i="1"/>
  <c r="D256" i="1"/>
  <c r="F256" i="1" s="1"/>
  <c r="D257" i="1"/>
  <c r="F257" i="1" s="1"/>
  <c r="D258" i="1"/>
  <c r="F258" i="1" s="1"/>
  <c r="D259" i="1"/>
  <c r="F259" i="1" s="1"/>
  <c r="D260" i="1"/>
  <c r="F260" i="1" s="1"/>
  <c r="D261" i="1"/>
  <c r="D262" i="1"/>
  <c r="F262" i="1" s="1"/>
  <c r="D263" i="1"/>
  <c r="D264" i="1"/>
  <c r="F264" i="1" s="1"/>
  <c r="D265" i="1"/>
  <c r="F265" i="1" s="1"/>
  <c r="D266" i="1"/>
  <c r="F266" i="1" s="1"/>
  <c r="D267" i="1"/>
  <c r="F267" i="1" s="1"/>
  <c r="D268" i="1"/>
  <c r="F268" i="1" s="1"/>
  <c r="D269" i="1"/>
  <c r="F269" i="1" s="1"/>
  <c r="D270" i="1"/>
  <c r="F270" i="1" s="1"/>
  <c r="D271" i="1"/>
  <c r="D272" i="1"/>
  <c r="F272" i="1" s="1"/>
  <c r="D273" i="1"/>
  <c r="F273" i="1" s="1"/>
  <c r="D274" i="1"/>
  <c r="F274" i="1" s="1"/>
  <c r="D275" i="1"/>
  <c r="F275" i="1" s="1"/>
  <c r="D276" i="1"/>
  <c r="F276" i="1" s="1"/>
  <c r="D277" i="1"/>
  <c r="D278" i="1"/>
  <c r="F278" i="1" s="1"/>
  <c r="D279" i="1"/>
  <c r="D280" i="1"/>
  <c r="F280" i="1" s="1"/>
  <c r="D281" i="1"/>
  <c r="F281" i="1" s="1"/>
  <c r="D282" i="1"/>
  <c r="F282" i="1" s="1"/>
  <c r="D283" i="1"/>
  <c r="F283" i="1" s="1"/>
  <c r="D284" i="1"/>
  <c r="F284" i="1" s="1"/>
  <c r="D285" i="1"/>
  <c r="F285" i="1" s="1"/>
  <c r="D286" i="1"/>
  <c r="F286" i="1" s="1"/>
  <c r="D287" i="1"/>
  <c r="D288" i="1"/>
  <c r="F288" i="1" s="1"/>
  <c r="D289" i="1"/>
  <c r="F289" i="1" s="1"/>
  <c r="D290" i="1"/>
  <c r="F290" i="1" s="1"/>
  <c r="D291" i="1"/>
  <c r="F291" i="1" s="1"/>
  <c r="D292" i="1"/>
  <c r="F292" i="1" s="1"/>
  <c r="D293" i="1"/>
  <c r="D294" i="1"/>
  <c r="F294" i="1" s="1"/>
  <c r="D295" i="1"/>
  <c r="D296" i="1"/>
  <c r="F296" i="1" s="1"/>
  <c r="D297" i="1"/>
  <c r="F297" i="1" s="1"/>
  <c r="D298" i="1"/>
  <c r="F298" i="1" s="1"/>
  <c r="D299" i="1"/>
  <c r="F299" i="1" s="1"/>
  <c r="D300" i="1"/>
  <c r="F300" i="1" s="1"/>
  <c r="D301" i="1"/>
  <c r="F301" i="1" s="1"/>
  <c r="D302" i="1"/>
  <c r="F302" i="1" s="1"/>
  <c r="D303" i="1"/>
  <c r="D304" i="1"/>
  <c r="F304" i="1" s="1"/>
  <c r="D305" i="1"/>
  <c r="F305" i="1" s="1"/>
  <c r="D306" i="1"/>
  <c r="F306" i="1" s="1"/>
  <c r="D307" i="1"/>
  <c r="F307" i="1" s="1"/>
  <c r="D308" i="1"/>
  <c r="F308" i="1" s="1"/>
  <c r="D309" i="1"/>
  <c r="D310" i="1"/>
  <c r="F310" i="1" s="1"/>
  <c r="D311" i="1"/>
  <c r="D312" i="1"/>
  <c r="F312" i="1" s="1"/>
  <c r="D313" i="1"/>
  <c r="F313" i="1" s="1"/>
  <c r="D314" i="1"/>
  <c r="F314" i="1" s="1"/>
  <c r="D315" i="1"/>
  <c r="F315" i="1" s="1"/>
  <c r="D316" i="1"/>
  <c r="F316" i="1" s="1"/>
  <c r="D317" i="1"/>
  <c r="F317" i="1" s="1"/>
  <c r="D318" i="1"/>
  <c r="F318" i="1" s="1"/>
  <c r="D319" i="1"/>
  <c r="D320" i="1"/>
  <c r="F320" i="1" s="1"/>
  <c r="D321" i="1"/>
  <c r="F321" i="1" s="1"/>
  <c r="D322" i="1"/>
  <c r="F322" i="1" s="1"/>
  <c r="D323" i="1"/>
  <c r="F323" i="1" s="1"/>
  <c r="D324" i="1"/>
  <c r="F324" i="1" s="1"/>
  <c r="D325" i="1"/>
  <c r="D326" i="1"/>
  <c r="F326" i="1" s="1"/>
  <c r="D327" i="1"/>
  <c r="D328" i="1"/>
  <c r="F328" i="1" s="1"/>
  <c r="D329" i="1"/>
  <c r="F329" i="1" s="1"/>
  <c r="D330" i="1"/>
  <c r="F330" i="1" s="1"/>
  <c r="D331" i="1"/>
  <c r="F331" i="1" s="1"/>
  <c r="D332" i="1"/>
  <c r="F332" i="1" s="1"/>
  <c r="D333" i="1"/>
  <c r="F333" i="1" s="1"/>
  <c r="D334" i="1"/>
  <c r="F334" i="1" s="1"/>
  <c r="D335" i="1"/>
  <c r="D336" i="1"/>
  <c r="F336" i="1" s="1"/>
  <c r="D337" i="1"/>
  <c r="F337" i="1" s="1"/>
  <c r="D338" i="1"/>
  <c r="F338" i="1" s="1"/>
  <c r="D339" i="1"/>
  <c r="F339" i="1" s="1"/>
  <c r="D340" i="1"/>
  <c r="F340" i="1" s="1"/>
  <c r="D341" i="1"/>
  <c r="D342" i="1"/>
  <c r="F342" i="1" s="1"/>
  <c r="D343" i="1"/>
  <c r="D344" i="1"/>
  <c r="F344" i="1" s="1"/>
  <c r="D345" i="1"/>
  <c r="F345" i="1" s="1"/>
  <c r="D346" i="1"/>
  <c r="F346" i="1" s="1"/>
  <c r="D347" i="1"/>
  <c r="F347" i="1" s="1"/>
  <c r="D348" i="1"/>
  <c r="F348" i="1" s="1"/>
  <c r="D349" i="1"/>
  <c r="F349" i="1" s="1"/>
  <c r="D350" i="1"/>
  <c r="F350" i="1" s="1"/>
  <c r="D351" i="1"/>
  <c r="D352" i="1"/>
  <c r="F352" i="1" s="1"/>
  <c r="D353" i="1"/>
  <c r="F353" i="1" s="1"/>
  <c r="D354" i="1"/>
  <c r="F354" i="1" s="1"/>
  <c r="D355" i="1"/>
  <c r="F355" i="1" s="1"/>
  <c r="D356" i="1"/>
  <c r="F356" i="1" s="1"/>
  <c r="D357" i="1"/>
  <c r="D358" i="1"/>
  <c r="F358" i="1" s="1"/>
  <c r="D359" i="1"/>
  <c r="D360" i="1"/>
  <c r="F360" i="1" s="1"/>
  <c r="D361" i="1"/>
  <c r="F361" i="1" s="1"/>
  <c r="D362" i="1"/>
  <c r="F362" i="1" s="1"/>
  <c r="D363" i="1"/>
  <c r="F363" i="1" s="1"/>
  <c r="D364" i="1"/>
  <c r="F364" i="1" s="1"/>
  <c r="D365" i="1"/>
  <c r="F365" i="1" s="1"/>
  <c r="D366" i="1"/>
  <c r="F366" i="1" s="1"/>
  <c r="D367" i="1"/>
  <c r="D368" i="1"/>
  <c r="F368" i="1" s="1"/>
  <c r="D369" i="1"/>
  <c r="F369" i="1" s="1"/>
  <c r="D370" i="1"/>
  <c r="F370" i="1" s="1"/>
  <c r="D371" i="1"/>
  <c r="F371" i="1" s="1"/>
  <c r="D372" i="1"/>
  <c r="F372" i="1" s="1"/>
  <c r="D373" i="1"/>
  <c r="D374" i="1"/>
  <c r="F374" i="1" s="1"/>
  <c r="D375" i="1"/>
  <c r="D376" i="1"/>
  <c r="F376" i="1" s="1"/>
  <c r="D377" i="1"/>
  <c r="F377" i="1" s="1"/>
  <c r="D378" i="1"/>
  <c r="F378" i="1" s="1"/>
  <c r="D379" i="1"/>
  <c r="F379" i="1" s="1"/>
  <c r="D380" i="1"/>
  <c r="F380" i="1" s="1"/>
  <c r="D381" i="1"/>
  <c r="F381" i="1" s="1"/>
  <c r="D382" i="1"/>
  <c r="F382" i="1" s="1"/>
  <c r="D383" i="1"/>
  <c r="D384" i="1"/>
  <c r="F384" i="1" s="1"/>
  <c r="D385" i="1"/>
  <c r="F385" i="1" s="1"/>
  <c r="D386" i="1"/>
  <c r="F386" i="1" s="1"/>
  <c r="D387" i="1"/>
  <c r="F387" i="1" s="1"/>
  <c r="D388" i="1"/>
  <c r="F388" i="1" s="1"/>
  <c r="D389" i="1"/>
  <c r="D390" i="1"/>
  <c r="F390" i="1" s="1"/>
  <c r="D391" i="1"/>
  <c r="D392" i="1"/>
  <c r="F392" i="1" s="1"/>
  <c r="D393" i="1"/>
  <c r="F393" i="1" s="1"/>
  <c r="D394" i="1"/>
  <c r="F394" i="1" s="1"/>
  <c r="D395" i="1"/>
  <c r="F395" i="1" s="1"/>
  <c r="D396" i="1"/>
  <c r="F396" i="1" s="1"/>
  <c r="D397" i="1"/>
  <c r="F397" i="1" s="1"/>
  <c r="D398" i="1"/>
  <c r="F398" i="1" s="1"/>
  <c r="D399" i="1"/>
  <c r="D400" i="1"/>
  <c r="F400" i="1" s="1"/>
  <c r="D401" i="1"/>
  <c r="F401" i="1" s="1"/>
  <c r="D402" i="1"/>
  <c r="F402" i="1" s="1"/>
  <c r="D403" i="1"/>
  <c r="F403" i="1" s="1"/>
  <c r="D404" i="1"/>
  <c r="F404" i="1" s="1"/>
  <c r="D405" i="1"/>
  <c r="D406" i="1"/>
  <c r="F406" i="1" s="1"/>
  <c r="D407" i="1"/>
  <c r="D408" i="1"/>
  <c r="F408" i="1" s="1"/>
  <c r="D409" i="1"/>
  <c r="F409" i="1" s="1"/>
  <c r="D410" i="1"/>
  <c r="F410" i="1" s="1"/>
  <c r="D411" i="1"/>
  <c r="F411" i="1" s="1"/>
  <c r="D412" i="1"/>
  <c r="F412" i="1" s="1"/>
  <c r="D413" i="1"/>
  <c r="F413" i="1" s="1"/>
  <c r="D414" i="1"/>
  <c r="F414" i="1" s="1"/>
  <c r="D415" i="1"/>
  <c r="D416" i="1"/>
  <c r="F416" i="1" s="1"/>
  <c r="D417" i="1"/>
  <c r="F417" i="1" s="1"/>
  <c r="D418" i="1"/>
  <c r="F418" i="1" s="1"/>
  <c r="D419" i="1"/>
  <c r="F419" i="1" s="1"/>
  <c r="D420" i="1"/>
  <c r="F420" i="1" s="1"/>
  <c r="D421" i="1"/>
  <c r="D422" i="1"/>
  <c r="F422" i="1" s="1"/>
  <c r="D423" i="1"/>
  <c r="D424" i="1"/>
  <c r="F424" i="1" s="1"/>
  <c r="D425" i="1"/>
  <c r="F425" i="1" s="1"/>
  <c r="D426" i="1"/>
  <c r="F426" i="1" s="1"/>
  <c r="D427" i="1"/>
  <c r="F427" i="1" s="1"/>
  <c r="D428" i="1"/>
  <c r="F428" i="1" s="1"/>
  <c r="D429" i="1"/>
  <c r="F429" i="1" s="1"/>
  <c r="D430" i="1"/>
  <c r="F430" i="1" s="1"/>
  <c r="D431" i="1"/>
  <c r="D432" i="1"/>
  <c r="F432" i="1" s="1"/>
  <c r="D433" i="1"/>
  <c r="F433" i="1" s="1"/>
  <c r="D434" i="1"/>
  <c r="F434" i="1" s="1"/>
  <c r="D435" i="1"/>
  <c r="F435" i="1" s="1"/>
  <c r="D436" i="1"/>
  <c r="F436" i="1" s="1"/>
  <c r="D437" i="1"/>
  <c r="D438" i="1"/>
  <c r="F438" i="1" s="1"/>
  <c r="D439" i="1"/>
  <c r="D440" i="1"/>
  <c r="F440" i="1" s="1"/>
  <c r="D441" i="1"/>
  <c r="F441" i="1" s="1"/>
  <c r="D442" i="1"/>
  <c r="F442" i="1" s="1"/>
  <c r="D443" i="1"/>
  <c r="F443" i="1" s="1"/>
  <c r="D444" i="1"/>
  <c r="F444" i="1" s="1"/>
  <c r="D445" i="1"/>
  <c r="F445" i="1" s="1"/>
  <c r="D446" i="1"/>
  <c r="F446" i="1" s="1"/>
  <c r="D447" i="1"/>
  <c r="D448" i="1"/>
  <c r="F448" i="1" s="1"/>
  <c r="D449" i="1"/>
  <c r="F449" i="1" s="1"/>
  <c r="D450" i="1"/>
  <c r="F450" i="1" s="1"/>
  <c r="D451" i="1"/>
  <c r="F451" i="1" s="1"/>
  <c r="D452" i="1"/>
  <c r="F452" i="1" s="1"/>
  <c r="D453" i="1"/>
  <c r="D454" i="1"/>
  <c r="F454" i="1" s="1"/>
  <c r="D455" i="1"/>
  <c r="D456" i="1"/>
  <c r="F456" i="1" s="1"/>
  <c r="D457" i="1"/>
  <c r="F457" i="1" s="1"/>
  <c r="D458" i="1"/>
  <c r="F458" i="1" s="1"/>
  <c r="D459" i="1"/>
  <c r="F459" i="1" s="1"/>
  <c r="D460" i="1"/>
  <c r="F460" i="1" s="1"/>
  <c r="D461" i="1"/>
  <c r="F461" i="1" s="1"/>
  <c r="D462" i="1"/>
  <c r="D463" i="1"/>
  <c r="D464" i="1"/>
  <c r="F464" i="1" s="1"/>
  <c r="D465" i="1"/>
  <c r="F465" i="1" s="1"/>
  <c r="D466" i="1"/>
  <c r="F466" i="1" s="1"/>
  <c r="D467" i="1"/>
  <c r="F467" i="1" s="1"/>
  <c r="D468" i="1"/>
  <c r="F468" i="1" s="1"/>
  <c r="D469" i="1"/>
  <c r="D470" i="1"/>
  <c r="F470" i="1" s="1"/>
  <c r="D471" i="1"/>
  <c r="D472" i="1"/>
  <c r="F472" i="1" s="1"/>
  <c r="D473" i="1"/>
  <c r="F473" i="1" s="1"/>
  <c r="D474" i="1"/>
  <c r="F474" i="1" s="1"/>
  <c r="D475" i="1"/>
  <c r="F475" i="1" s="1"/>
  <c r="D476" i="1"/>
  <c r="F476" i="1" s="1"/>
  <c r="D477" i="1"/>
  <c r="F477" i="1" s="1"/>
  <c r="D478" i="1"/>
  <c r="F478" i="1" s="1"/>
  <c r="D479" i="1"/>
  <c r="D480" i="1"/>
  <c r="F480" i="1" s="1"/>
  <c r="D481" i="1"/>
  <c r="F481" i="1" s="1"/>
  <c r="D482" i="1"/>
  <c r="F482" i="1" s="1"/>
  <c r="D483" i="1"/>
  <c r="F483" i="1" s="1"/>
  <c r="D484" i="1"/>
  <c r="F484" i="1" s="1"/>
  <c r="D485" i="1"/>
  <c r="D486" i="1"/>
  <c r="F486" i="1" s="1"/>
  <c r="D487" i="1"/>
  <c r="D488" i="1"/>
  <c r="F488" i="1" s="1"/>
  <c r="D489" i="1"/>
  <c r="F489" i="1" s="1"/>
  <c r="D490" i="1"/>
  <c r="F490" i="1" s="1"/>
  <c r="D491" i="1"/>
  <c r="F491" i="1" s="1"/>
  <c r="D492" i="1"/>
  <c r="F492" i="1" s="1"/>
  <c r="D493" i="1"/>
  <c r="F493" i="1" s="1"/>
  <c r="D494" i="1"/>
  <c r="F494" i="1" s="1"/>
  <c r="D495" i="1"/>
  <c r="D496" i="1"/>
  <c r="F496" i="1" s="1"/>
  <c r="D497" i="1"/>
  <c r="F497" i="1" s="1"/>
  <c r="D498" i="1"/>
  <c r="F498" i="1" s="1"/>
  <c r="D499" i="1"/>
  <c r="F499" i="1" s="1"/>
  <c r="D500" i="1"/>
  <c r="F500" i="1" s="1"/>
  <c r="D501" i="1"/>
  <c r="D502" i="1"/>
  <c r="F502" i="1" s="1"/>
  <c r="D503" i="1"/>
  <c r="D504" i="1"/>
  <c r="F504" i="1" s="1"/>
  <c r="D505" i="1"/>
  <c r="F505" i="1" s="1"/>
  <c r="D506" i="1"/>
  <c r="F506" i="1" s="1"/>
  <c r="D507" i="1"/>
  <c r="F507" i="1" s="1"/>
  <c r="D508" i="1"/>
  <c r="F508" i="1" s="1"/>
  <c r="D509" i="1"/>
  <c r="F509" i="1" s="1"/>
  <c r="D510" i="1"/>
  <c r="F510" i="1" s="1"/>
  <c r="D511" i="1"/>
  <c r="D512" i="1"/>
  <c r="F512" i="1" s="1"/>
  <c r="D513" i="1"/>
  <c r="F513" i="1" s="1"/>
  <c r="D514" i="1"/>
  <c r="F514" i="1" s="1"/>
  <c r="D515" i="1"/>
  <c r="F515" i="1" s="1"/>
  <c r="D516" i="1"/>
  <c r="F516" i="1" s="1"/>
  <c r="D517" i="1"/>
  <c r="D518" i="1"/>
  <c r="F518" i="1" s="1"/>
  <c r="D519" i="1"/>
  <c r="D520" i="1"/>
  <c r="F520" i="1" s="1"/>
  <c r="D521" i="1"/>
  <c r="F521" i="1" s="1"/>
  <c r="D522" i="1"/>
  <c r="F522" i="1" s="1"/>
  <c r="D523" i="1"/>
  <c r="F523" i="1" s="1"/>
  <c r="D524" i="1"/>
  <c r="D525" i="1"/>
  <c r="F525" i="1" s="1"/>
  <c r="D526" i="1"/>
  <c r="F526" i="1" s="1"/>
  <c r="D527" i="1"/>
  <c r="D528" i="1"/>
  <c r="F528" i="1" s="1"/>
  <c r="D529" i="1"/>
  <c r="F529" i="1" s="1"/>
  <c r="D530" i="1"/>
  <c r="F530" i="1" s="1"/>
  <c r="D531" i="1"/>
  <c r="F531" i="1" s="1"/>
  <c r="D532" i="1"/>
  <c r="F532" i="1" s="1"/>
  <c r="D533" i="1"/>
  <c r="D534" i="1"/>
  <c r="F534" i="1" s="1"/>
  <c r="D535" i="1"/>
  <c r="D536" i="1"/>
  <c r="F536" i="1" s="1"/>
  <c r="D537" i="1"/>
  <c r="F537" i="1" s="1"/>
  <c r="D538" i="1"/>
  <c r="F538" i="1" s="1"/>
  <c r="D539" i="1"/>
  <c r="F539" i="1" s="1"/>
  <c r="D540" i="1"/>
  <c r="F540" i="1" s="1"/>
  <c r="D541" i="1"/>
  <c r="D542" i="1"/>
  <c r="F542" i="1" s="1"/>
  <c r="D543" i="1"/>
  <c r="D544" i="1"/>
  <c r="F544" i="1" s="1"/>
  <c r="D545" i="1"/>
  <c r="F545" i="1" s="1"/>
  <c r="D546" i="1"/>
  <c r="F546" i="1" s="1"/>
  <c r="D547" i="1"/>
  <c r="F547" i="1" s="1"/>
  <c r="D548" i="1"/>
  <c r="F548" i="1" s="1"/>
  <c r="D549" i="1"/>
  <c r="F549" i="1" s="1"/>
  <c r="D550" i="1"/>
  <c r="F550" i="1" s="1"/>
  <c r="D551" i="1"/>
  <c r="D552" i="1"/>
  <c r="F552" i="1" s="1"/>
  <c r="D553" i="1"/>
  <c r="F553" i="1" s="1"/>
  <c r="D554" i="1"/>
  <c r="F554" i="1" s="1"/>
  <c r="D555" i="1"/>
  <c r="F555" i="1" s="1"/>
  <c r="D556" i="1"/>
  <c r="F556" i="1" s="1"/>
  <c r="D557" i="1"/>
  <c r="D558" i="1"/>
  <c r="F558" i="1" s="1"/>
  <c r="D559" i="1"/>
  <c r="D560" i="1"/>
  <c r="F560" i="1" s="1"/>
  <c r="D561" i="1"/>
  <c r="F561" i="1" s="1"/>
  <c r="D562" i="1"/>
  <c r="F562" i="1" s="1"/>
  <c r="D563" i="1"/>
  <c r="D564" i="1"/>
  <c r="D565" i="1"/>
  <c r="F565" i="1" s="1"/>
  <c r="D566" i="1"/>
  <c r="F566" i="1" s="1"/>
  <c r="D567" i="1"/>
  <c r="D568" i="1"/>
  <c r="F568" i="1" s="1"/>
  <c r="D569" i="1"/>
  <c r="F569" i="1" s="1"/>
  <c r="D570" i="1"/>
  <c r="F570" i="1" s="1"/>
  <c r="D571" i="1"/>
  <c r="F571" i="1" s="1"/>
  <c r="D572" i="1"/>
  <c r="F572" i="1" s="1"/>
  <c r="D573" i="1"/>
  <c r="F573" i="1" s="1"/>
  <c r="D574" i="1"/>
  <c r="F574" i="1" s="1"/>
  <c r="D575" i="1"/>
  <c r="D576" i="1"/>
  <c r="F576" i="1" s="1"/>
  <c r="D577" i="1"/>
  <c r="F577" i="1" s="1"/>
  <c r="D578" i="1"/>
  <c r="F578" i="1" s="1"/>
  <c r="D579" i="1"/>
  <c r="F579" i="1" s="1"/>
  <c r="D580" i="1"/>
  <c r="F580" i="1" s="1"/>
  <c r="D581" i="1"/>
  <c r="D582" i="1"/>
  <c r="F582" i="1" s="1"/>
  <c r="D583" i="1"/>
  <c r="D584" i="1"/>
  <c r="F584" i="1" s="1"/>
  <c r="D585" i="1"/>
  <c r="F585" i="1" s="1"/>
  <c r="D586" i="1"/>
  <c r="F586" i="1" s="1"/>
  <c r="D587" i="1"/>
  <c r="F587" i="1" s="1"/>
  <c r="D588" i="1"/>
  <c r="F588" i="1" s="1"/>
  <c r="D589" i="1"/>
  <c r="D590" i="1"/>
  <c r="F590" i="1" s="1"/>
  <c r="D591" i="1"/>
  <c r="D592" i="1"/>
  <c r="F592" i="1" s="1"/>
  <c r="D593" i="1"/>
  <c r="F593" i="1" s="1"/>
  <c r="D594" i="1"/>
  <c r="F594" i="1" s="1"/>
  <c r="D595" i="1"/>
  <c r="F595" i="1" s="1"/>
  <c r="D596" i="1"/>
  <c r="D597" i="1"/>
  <c r="F597" i="1" s="1"/>
  <c r="D598" i="1"/>
  <c r="F598" i="1" s="1"/>
  <c r="D599" i="1"/>
  <c r="D600" i="1"/>
  <c r="F600" i="1" s="1"/>
  <c r="D601" i="1"/>
  <c r="F601" i="1" s="1"/>
  <c r="D602" i="1"/>
  <c r="F602" i="1" s="1"/>
  <c r="D603" i="1"/>
  <c r="F603" i="1" s="1"/>
  <c r="D604" i="1"/>
  <c r="F604" i="1" s="1"/>
  <c r="D605" i="1"/>
  <c r="F605" i="1" s="1"/>
  <c r="D606" i="1"/>
  <c r="F606" i="1" s="1"/>
  <c r="D607" i="1"/>
  <c r="D608" i="1"/>
  <c r="F608" i="1" s="1"/>
  <c r="D609" i="1"/>
  <c r="F609" i="1" s="1"/>
  <c r="D610" i="1"/>
  <c r="F610" i="1" s="1"/>
  <c r="D611" i="1"/>
  <c r="F611" i="1" s="1"/>
  <c r="D612" i="1"/>
  <c r="F612" i="1" s="1"/>
  <c r="D613" i="1"/>
  <c r="D614" i="1"/>
  <c r="F614" i="1" s="1"/>
  <c r="D615" i="1"/>
  <c r="D616" i="1"/>
  <c r="F616" i="1" s="1"/>
  <c r="D617" i="1"/>
  <c r="F617" i="1" s="1"/>
  <c r="D618" i="1"/>
  <c r="F618" i="1" s="1"/>
  <c r="D619" i="1"/>
  <c r="F619" i="1" s="1"/>
  <c r="D620" i="1"/>
  <c r="F620" i="1" s="1"/>
  <c r="D621" i="1"/>
  <c r="D622" i="1"/>
  <c r="F622" i="1" s="1"/>
  <c r="D623" i="1"/>
  <c r="D624" i="1"/>
  <c r="F624" i="1" s="1"/>
  <c r="D625" i="1"/>
  <c r="F625" i="1" s="1"/>
  <c r="D626" i="1"/>
  <c r="F626" i="1" s="1"/>
  <c r="D627" i="1"/>
  <c r="F627" i="1" s="1"/>
  <c r="D628" i="1"/>
  <c r="D629" i="1"/>
  <c r="F629" i="1" s="1"/>
  <c r="D630" i="1"/>
  <c r="F630" i="1" s="1"/>
  <c r="D631" i="1"/>
  <c r="D632" i="1"/>
  <c r="F632" i="1" s="1"/>
  <c r="D633" i="1"/>
  <c r="F633" i="1" s="1"/>
  <c r="D634" i="1"/>
  <c r="F634" i="1" s="1"/>
  <c r="D635" i="1"/>
  <c r="F635" i="1" s="1"/>
  <c r="D636" i="1"/>
  <c r="F636" i="1" s="1"/>
  <c r="D637" i="1"/>
  <c r="F637" i="1" s="1"/>
  <c r="D638" i="1"/>
  <c r="F638" i="1" s="1"/>
  <c r="D639" i="1"/>
  <c r="D640" i="1"/>
  <c r="F640" i="1" s="1"/>
  <c r="D641" i="1"/>
  <c r="F641" i="1" s="1"/>
  <c r="D642" i="1"/>
  <c r="F642" i="1" s="1"/>
  <c r="D643" i="1"/>
  <c r="F643" i="1" s="1"/>
  <c r="D644" i="1"/>
  <c r="F644" i="1" s="1"/>
  <c r="D645" i="1"/>
  <c r="D646" i="1"/>
  <c r="F646" i="1" s="1"/>
  <c r="D647" i="1"/>
  <c r="D648" i="1"/>
  <c r="F648" i="1" s="1"/>
  <c r="D649" i="1"/>
  <c r="F649" i="1" s="1"/>
  <c r="D650" i="1"/>
  <c r="F650" i="1" s="1"/>
  <c r="D651" i="1"/>
  <c r="F651" i="1" s="1"/>
  <c r="D652" i="1"/>
  <c r="F652" i="1" s="1"/>
  <c r="D653" i="1"/>
  <c r="D654" i="1"/>
  <c r="F654" i="1" s="1"/>
  <c r="D655" i="1"/>
  <c r="D656" i="1"/>
  <c r="F656" i="1" s="1"/>
  <c r="D657" i="1"/>
  <c r="F657" i="1" s="1"/>
  <c r="D658" i="1"/>
  <c r="F658" i="1" s="1"/>
  <c r="D659" i="1"/>
  <c r="F659" i="1" s="1"/>
  <c r="D660" i="1"/>
  <c r="D661" i="1"/>
  <c r="F661" i="1" s="1"/>
  <c r="D662" i="1"/>
  <c r="F662" i="1" s="1"/>
  <c r="D663" i="1"/>
  <c r="D664" i="1"/>
  <c r="F664" i="1" s="1"/>
  <c r="D665" i="1"/>
  <c r="F665" i="1" s="1"/>
  <c r="D666" i="1"/>
  <c r="F666" i="1" s="1"/>
  <c r="D667" i="1"/>
  <c r="F667" i="1" s="1"/>
  <c r="D668" i="1"/>
  <c r="F668" i="1" s="1"/>
  <c r="D669" i="1"/>
  <c r="F669" i="1" s="1"/>
  <c r="D670" i="1"/>
  <c r="F670" i="1" s="1"/>
  <c r="D671" i="1"/>
  <c r="D672" i="1"/>
  <c r="F672" i="1" s="1"/>
  <c r="D673" i="1"/>
  <c r="F673" i="1" s="1"/>
  <c r="D674" i="1"/>
  <c r="F674" i="1" s="1"/>
  <c r="D675" i="1"/>
  <c r="F675" i="1" s="1"/>
  <c r="D676" i="1"/>
  <c r="F676" i="1" s="1"/>
  <c r="D677" i="1"/>
  <c r="D678" i="1"/>
  <c r="F678" i="1" s="1"/>
  <c r="D679" i="1"/>
  <c r="D680" i="1"/>
  <c r="F680" i="1" s="1"/>
  <c r="D681" i="1"/>
  <c r="F681" i="1" s="1"/>
  <c r="D682" i="1"/>
  <c r="F682" i="1" s="1"/>
  <c r="D683" i="1"/>
  <c r="F683" i="1" s="1"/>
  <c r="D684" i="1"/>
  <c r="F684" i="1" s="1"/>
  <c r="D685" i="1"/>
  <c r="D686" i="1"/>
  <c r="F686" i="1" s="1"/>
  <c r="D687" i="1"/>
  <c r="D688" i="1"/>
  <c r="F688" i="1" s="1"/>
  <c r="D689" i="1"/>
  <c r="F689" i="1" s="1"/>
  <c r="D690" i="1"/>
  <c r="F690" i="1" s="1"/>
  <c r="D691" i="1"/>
  <c r="D692" i="1"/>
  <c r="D693" i="1"/>
  <c r="F693" i="1" s="1"/>
  <c r="D694" i="1"/>
  <c r="F694" i="1" s="1"/>
  <c r="D695" i="1"/>
  <c r="D696" i="1"/>
  <c r="F696" i="1" s="1"/>
  <c r="D697" i="1"/>
  <c r="F697" i="1" s="1"/>
  <c r="D698" i="1"/>
  <c r="F698" i="1" s="1"/>
  <c r="D699" i="1"/>
  <c r="D700" i="1"/>
  <c r="F700" i="1" s="1"/>
  <c r="D701" i="1"/>
  <c r="F701" i="1" s="1"/>
  <c r="D702" i="1"/>
  <c r="F702" i="1" s="1"/>
  <c r="D703" i="1"/>
  <c r="D704" i="1"/>
  <c r="F704" i="1" s="1"/>
  <c r="D705" i="1"/>
  <c r="F705" i="1" s="1"/>
  <c r="D706" i="1"/>
  <c r="F706" i="1" s="1"/>
  <c r="D707" i="1"/>
  <c r="F707" i="1" s="1"/>
  <c r="D708" i="1"/>
  <c r="D709" i="1"/>
  <c r="F709" i="1" s="1"/>
  <c r="D710" i="1"/>
  <c r="F710" i="1" s="1"/>
  <c r="D711" i="1"/>
  <c r="D712" i="1"/>
  <c r="F712" i="1" s="1"/>
  <c r="D713" i="1"/>
  <c r="F713" i="1" s="1"/>
  <c r="D714" i="1"/>
  <c r="F714" i="1" s="1"/>
  <c r="D715" i="1"/>
  <c r="F715" i="1" s="1"/>
  <c r="D716" i="1"/>
  <c r="D717" i="1"/>
  <c r="F717" i="1" s="1"/>
  <c r="D718" i="1"/>
  <c r="F718" i="1" s="1"/>
  <c r="D719" i="1"/>
  <c r="D720" i="1"/>
  <c r="F720" i="1" s="1"/>
  <c r="D721" i="1"/>
  <c r="F721" i="1" s="1"/>
  <c r="D722" i="1"/>
  <c r="F722" i="1" s="1"/>
  <c r="D723" i="1"/>
  <c r="D724" i="1"/>
  <c r="D725" i="1"/>
  <c r="F725" i="1" s="1"/>
  <c r="D726" i="1"/>
  <c r="F726" i="1" s="1"/>
  <c r="D727" i="1"/>
  <c r="D728" i="1"/>
  <c r="F728" i="1" s="1"/>
  <c r="D729" i="1"/>
  <c r="F729" i="1" s="1"/>
  <c r="D730" i="1"/>
  <c r="F730" i="1" s="1"/>
  <c r="D731" i="1"/>
  <c r="F731" i="1" s="1"/>
  <c r="D732" i="1"/>
  <c r="D733" i="1"/>
  <c r="F733" i="1" s="1"/>
  <c r="D734" i="1"/>
  <c r="F734" i="1" s="1"/>
  <c r="D735" i="1"/>
  <c r="D736" i="1"/>
  <c r="F736" i="1" s="1"/>
  <c r="D737" i="1"/>
  <c r="F737" i="1" s="1"/>
  <c r="D738" i="1"/>
  <c r="F738" i="1" s="1"/>
  <c r="D739" i="1"/>
  <c r="F739" i="1" s="1"/>
  <c r="D740" i="1"/>
  <c r="F740" i="1" s="1"/>
  <c r="D741" i="1"/>
  <c r="F741" i="1" s="1"/>
  <c r="D742" i="1"/>
  <c r="F742" i="1" s="1"/>
  <c r="D743" i="1"/>
  <c r="D744" i="1"/>
  <c r="F744" i="1" s="1"/>
  <c r="D745" i="1"/>
  <c r="F745" i="1" s="1"/>
  <c r="D746" i="1"/>
  <c r="F746" i="1" s="1"/>
  <c r="D747" i="1"/>
  <c r="F747" i="1" s="1"/>
  <c r="D748" i="1"/>
  <c r="D749" i="1"/>
  <c r="F749" i="1" s="1"/>
  <c r="D750" i="1"/>
  <c r="F750" i="1" s="1"/>
  <c r="D751" i="1"/>
  <c r="D752" i="1"/>
  <c r="F752" i="1" s="1"/>
  <c r="D753" i="1"/>
  <c r="F753" i="1" s="1"/>
  <c r="D754" i="1"/>
  <c r="F754" i="1" s="1"/>
  <c r="D755" i="1"/>
  <c r="D756" i="1"/>
  <c r="D757" i="1"/>
  <c r="F757" i="1" s="1"/>
  <c r="D758" i="1"/>
  <c r="F758" i="1" s="1"/>
  <c r="D759" i="1"/>
  <c r="D760" i="1"/>
  <c r="F760" i="1" s="1"/>
  <c r="D761" i="1"/>
  <c r="F761" i="1" s="1"/>
  <c r="D762" i="1"/>
  <c r="F762" i="1" s="1"/>
  <c r="D763" i="1"/>
  <c r="D764" i="1"/>
  <c r="D765" i="1"/>
  <c r="F765" i="1" s="1"/>
  <c r="D766" i="1"/>
  <c r="F766" i="1" s="1"/>
  <c r="D767" i="1"/>
  <c r="D768" i="1"/>
  <c r="F768" i="1" s="1"/>
  <c r="D769" i="1"/>
  <c r="F769" i="1" s="1"/>
  <c r="D770" i="1"/>
  <c r="F770" i="1" s="1"/>
  <c r="D771" i="1"/>
  <c r="F771" i="1" s="1"/>
  <c r="D772" i="1"/>
  <c r="D773" i="1"/>
  <c r="F773" i="1" s="1"/>
  <c r="D774" i="1"/>
  <c r="F774" i="1" s="1"/>
  <c r="D775" i="1"/>
  <c r="D776" i="1"/>
  <c r="F776" i="1" s="1"/>
  <c r="D777" i="1"/>
  <c r="F777" i="1" s="1"/>
  <c r="D778" i="1"/>
  <c r="F778" i="1" s="1"/>
  <c r="D779" i="1"/>
  <c r="F779" i="1" s="1"/>
  <c r="D780" i="1"/>
  <c r="D781" i="1"/>
  <c r="F781" i="1" s="1"/>
  <c r="D782" i="1"/>
  <c r="F782" i="1" s="1"/>
  <c r="D783" i="1"/>
  <c r="D784" i="1"/>
  <c r="F784" i="1" s="1"/>
  <c r="D785" i="1"/>
  <c r="F785" i="1" s="1"/>
  <c r="D786" i="1"/>
  <c r="F786" i="1" s="1"/>
  <c r="D787" i="1"/>
  <c r="D788" i="1"/>
  <c r="D789" i="1"/>
  <c r="F789" i="1" s="1"/>
  <c r="D790" i="1"/>
  <c r="F790" i="1" s="1"/>
  <c r="D791" i="1"/>
  <c r="D792" i="1"/>
  <c r="F792" i="1" s="1"/>
  <c r="D793" i="1"/>
  <c r="F793" i="1" s="1"/>
  <c r="D794" i="1"/>
  <c r="F794" i="1" s="1"/>
  <c r="D795" i="1"/>
  <c r="F795" i="1" s="1"/>
  <c r="D796" i="1"/>
  <c r="F796" i="1" s="1"/>
  <c r="D797" i="1"/>
  <c r="F797" i="1" s="1"/>
  <c r="D798" i="1"/>
  <c r="F798" i="1" s="1"/>
  <c r="D799" i="1"/>
  <c r="D800" i="1"/>
  <c r="F800" i="1" s="1"/>
  <c r="D801" i="1"/>
  <c r="F801" i="1" s="1"/>
  <c r="D802" i="1"/>
  <c r="F802" i="1" s="1"/>
  <c r="D803" i="1"/>
  <c r="F803" i="1" s="1"/>
  <c r="D804" i="1"/>
  <c r="D805" i="1"/>
  <c r="D806" i="1"/>
  <c r="F806" i="1" s="1"/>
  <c r="D807" i="1"/>
  <c r="D808" i="1"/>
  <c r="F808" i="1" s="1"/>
  <c r="D809" i="1"/>
  <c r="F809" i="1" s="1"/>
  <c r="D810" i="1"/>
  <c r="F810" i="1" s="1"/>
  <c r="D811" i="1"/>
  <c r="F811" i="1" s="1"/>
  <c r="D812" i="1"/>
  <c r="D813" i="1"/>
  <c r="F813" i="1" s="1"/>
  <c r="D814" i="1"/>
  <c r="F814" i="1" s="1"/>
  <c r="D815" i="1"/>
  <c r="D816" i="1"/>
  <c r="F816" i="1" s="1"/>
  <c r="D817" i="1"/>
  <c r="F817" i="1" s="1"/>
  <c r="D818" i="1"/>
  <c r="F818" i="1" s="1"/>
  <c r="D819" i="1"/>
  <c r="D820" i="1"/>
  <c r="D821" i="1"/>
  <c r="F821" i="1" s="1"/>
  <c r="D822" i="1"/>
  <c r="F822" i="1" s="1"/>
  <c r="D823" i="1"/>
  <c r="D824" i="1"/>
  <c r="F824" i="1" s="1"/>
  <c r="D825" i="1"/>
  <c r="F825" i="1" s="1"/>
  <c r="D826" i="1"/>
  <c r="F826" i="1" s="1"/>
  <c r="D827" i="1"/>
  <c r="D828" i="1"/>
  <c r="F828" i="1" s="1"/>
  <c r="D829" i="1"/>
  <c r="F829" i="1" s="1"/>
  <c r="D830" i="1"/>
  <c r="F830" i="1" s="1"/>
  <c r="D831" i="1"/>
  <c r="D832" i="1"/>
  <c r="F832" i="1" s="1"/>
  <c r="D833" i="1"/>
  <c r="F833" i="1" s="1"/>
  <c r="D834" i="1"/>
  <c r="F834" i="1" s="1"/>
  <c r="D835" i="1"/>
  <c r="F835" i="1" s="1"/>
  <c r="D836" i="1"/>
  <c r="D837" i="1"/>
  <c r="D838" i="1"/>
  <c r="F838" i="1" s="1"/>
  <c r="D839" i="1"/>
  <c r="D840" i="1"/>
  <c r="F840" i="1" s="1"/>
  <c r="D841" i="1"/>
  <c r="F841" i="1" s="1"/>
  <c r="D842" i="1"/>
  <c r="F842" i="1" s="1"/>
  <c r="D843" i="1"/>
  <c r="F843" i="1" s="1"/>
  <c r="D844" i="1"/>
  <c r="D845" i="1"/>
  <c r="D846" i="1"/>
  <c r="F846" i="1" s="1"/>
  <c r="D847" i="1"/>
  <c r="D848" i="1"/>
  <c r="F848" i="1" s="1"/>
  <c r="D849" i="1"/>
  <c r="F849" i="1" s="1"/>
  <c r="D850" i="1"/>
  <c r="F850" i="1" s="1"/>
  <c r="D851" i="1"/>
  <c r="D852" i="1"/>
  <c r="D853" i="1"/>
  <c r="F853" i="1" s="1"/>
  <c r="D854" i="1"/>
  <c r="F854" i="1" s="1"/>
  <c r="D855" i="1"/>
  <c r="D856" i="1"/>
  <c r="F856" i="1" s="1"/>
  <c r="D857" i="1"/>
  <c r="F857" i="1" s="1"/>
  <c r="D858" i="1"/>
  <c r="F858" i="1" s="1"/>
  <c r="D859" i="1"/>
  <c r="F859" i="1" s="1"/>
  <c r="D860" i="1"/>
  <c r="F860" i="1" s="1"/>
  <c r="D861" i="1"/>
  <c r="F861" i="1" s="1"/>
  <c r="D862" i="1"/>
  <c r="F862" i="1" s="1"/>
  <c r="D863" i="1"/>
  <c r="D864" i="1"/>
  <c r="F864" i="1" s="1"/>
  <c r="D865" i="1"/>
  <c r="F865" i="1" s="1"/>
  <c r="D866" i="1"/>
  <c r="F866" i="1" s="1"/>
  <c r="D867" i="1"/>
  <c r="F867" i="1" s="1"/>
  <c r="D868" i="1"/>
  <c r="F868" i="1" s="1"/>
  <c r="D869" i="1"/>
  <c r="F869" i="1" s="1"/>
  <c r="D870" i="1"/>
  <c r="F870" i="1" s="1"/>
  <c r="D871" i="1"/>
  <c r="D872" i="1"/>
  <c r="F872" i="1" s="1"/>
  <c r="D873" i="1"/>
  <c r="F873" i="1" s="1"/>
  <c r="D874" i="1"/>
  <c r="F874" i="1" s="1"/>
  <c r="D875" i="1"/>
  <c r="F875" i="1" s="1"/>
  <c r="D876" i="1"/>
  <c r="D877" i="1"/>
  <c r="F877" i="1" s="1"/>
  <c r="D878" i="1"/>
  <c r="F878" i="1" s="1"/>
  <c r="D879" i="1"/>
  <c r="D880" i="1"/>
  <c r="F880" i="1" s="1"/>
  <c r="D881" i="1"/>
  <c r="F881" i="1" s="1"/>
  <c r="D882" i="1"/>
  <c r="F882" i="1" s="1"/>
  <c r="D883" i="1"/>
  <c r="D884" i="1"/>
  <c r="D885" i="1"/>
  <c r="F885" i="1" s="1"/>
  <c r="D886" i="1"/>
  <c r="F886" i="1" s="1"/>
  <c r="D887" i="1"/>
  <c r="D888" i="1"/>
  <c r="F888" i="1" s="1"/>
  <c r="D889" i="1"/>
  <c r="F889" i="1" s="1"/>
  <c r="D890" i="1"/>
  <c r="F890" i="1" s="1"/>
  <c r="D891" i="1"/>
  <c r="D892" i="1"/>
  <c r="F892" i="1" s="1"/>
  <c r="D893" i="1"/>
  <c r="F893" i="1" s="1"/>
  <c r="D894" i="1"/>
  <c r="F894" i="1" s="1"/>
  <c r="D895" i="1"/>
  <c r="D896" i="1"/>
  <c r="F896" i="1" s="1"/>
  <c r="D897" i="1"/>
  <c r="F897" i="1" s="1"/>
  <c r="D898" i="1"/>
  <c r="F898" i="1" s="1"/>
  <c r="D899" i="1"/>
  <c r="F899" i="1" s="1"/>
  <c r="D900" i="1"/>
  <c r="D901" i="1"/>
  <c r="F901" i="1" s="1"/>
  <c r="D902" i="1"/>
  <c r="F902" i="1" s="1"/>
  <c r="D903" i="1"/>
  <c r="F903" i="1" s="1"/>
  <c r="D904" i="1"/>
  <c r="F904" i="1" s="1"/>
  <c r="D905" i="1"/>
  <c r="F905" i="1" s="1"/>
  <c r="D906" i="1"/>
  <c r="F906" i="1" s="1"/>
  <c r="D907" i="1"/>
  <c r="F907" i="1" s="1"/>
  <c r="D908" i="1"/>
  <c r="D909" i="1"/>
  <c r="F909" i="1" s="1"/>
  <c r="D910" i="1"/>
  <c r="F910" i="1" s="1"/>
  <c r="D911" i="1"/>
  <c r="D912" i="1"/>
  <c r="F912" i="1" s="1"/>
  <c r="D913" i="1"/>
  <c r="F913" i="1" s="1"/>
  <c r="D914" i="1"/>
  <c r="F914" i="1" s="1"/>
  <c r="D915" i="1"/>
  <c r="D916" i="1"/>
  <c r="D917" i="1"/>
  <c r="F917" i="1" s="1"/>
  <c r="D918" i="1"/>
  <c r="F918" i="1" s="1"/>
  <c r="D919" i="1"/>
  <c r="D920" i="1"/>
  <c r="F920" i="1" s="1"/>
  <c r="D921" i="1"/>
  <c r="F921" i="1" s="1"/>
  <c r="D922" i="1"/>
  <c r="F922" i="1" s="1"/>
  <c r="D923" i="1"/>
  <c r="F923" i="1" s="1"/>
  <c r="D924" i="1"/>
  <c r="F924" i="1" s="1"/>
  <c r="D925" i="1"/>
  <c r="F925" i="1" s="1"/>
  <c r="D926" i="1"/>
  <c r="F926" i="1" s="1"/>
  <c r="D927" i="1"/>
  <c r="D928" i="1"/>
  <c r="F928" i="1" s="1"/>
  <c r="D929" i="1"/>
  <c r="F929" i="1" s="1"/>
  <c r="D930" i="1"/>
  <c r="F930" i="1" s="1"/>
  <c r="D931" i="1"/>
  <c r="F931" i="1" s="1"/>
  <c r="D932" i="1"/>
  <c r="F932" i="1" s="1"/>
  <c r="D933" i="1"/>
  <c r="F933" i="1" s="1"/>
  <c r="D934" i="1"/>
  <c r="F934" i="1" s="1"/>
  <c r="D935" i="1"/>
  <c r="D936" i="1"/>
  <c r="F936" i="1" s="1"/>
  <c r="D937" i="1"/>
  <c r="F937" i="1" s="1"/>
  <c r="D938" i="1"/>
  <c r="F938" i="1" s="1"/>
  <c r="D939" i="1"/>
  <c r="F939" i="1" s="1"/>
  <c r="D940" i="1"/>
  <c r="D941" i="1"/>
  <c r="F941" i="1" s="1"/>
  <c r="D942" i="1"/>
  <c r="F942" i="1" s="1"/>
  <c r="D943" i="1"/>
  <c r="D944" i="1"/>
  <c r="F944" i="1" s="1"/>
  <c r="D945" i="1"/>
  <c r="F945" i="1" s="1"/>
  <c r="D946" i="1"/>
  <c r="F946" i="1" s="1"/>
  <c r="D947" i="1"/>
  <c r="D948" i="1"/>
  <c r="D949" i="1"/>
  <c r="F949" i="1" s="1"/>
  <c r="D950" i="1"/>
  <c r="F950" i="1" s="1"/>
  <c r="D951" i="1"/>
  <c r="D952" i="1"/>
  <c r="F952" i="1" s="1"/>
  <c r="D953" i="1"/>
  <c r="F953" i="1" s="1"/>
  <c r="D954" i="1"/>
  <c r="F954" i="1" s="1"/>
  <c r="D955" i="1"/>
  <c r="D956" i="1"/>
  <c r="F956" i="1" s="1"/>
  <c r="D957" i="1"/>
  <c r="F957" i="1" s="1"/>
  <c r="D958" i="1"/>
  <c r="F958" i="1" s="1"/>
  <c r="D959" i="1"/>
  <c r="D960" i="1"/>
  <c r="F960" i="1" s="1"/>
  <c r="D961" i="1"/>
  <c r="F961" i="1" s="1"/>
  <c r="D962" i="1"/>
  <c r="F962" i="1" s="1"/>
  <c r="D963" i="1"/>
  <c r="F963" i="1" s="1"/>
  <c r="D964" i="1"/>
  <c r="D965" i="1"/>
  <c r="F965" i="1" s="1"/>
  <c r="D966" i="1"/>
  <c r="F966" i="1" s="1"/>
  <c r="D967" i="1"/>
  <c r="D968" i="1"/>
  <c r="F968" i="1" s="1"/>
  <c r="D969" i="1"/>
  <c r="F969" i="1" s="1"/>
  <c r="D970" i="1"/>
  <c r="F970" i="1" s="1"/>
  <c r="D971" i="1"/>
  <c r="F971" i="1" s="1"/>
  <c r="D972" i="1"/>
  <c r="D973" i="1"/>
  <c r="F973" i="1" s="1"/>
  <c r="D974" i="1"/>
  <c r="F974" i="1" s="1"/>
  <c r="D975" i="1"/>
  <c r="D976" i="1"/>
  <c r="F976" i="1" s="1"/>
  <c r="D977" i="1"/>
  <c r="F977" i="1" s="1"/>
  <c r="D978" i="1"/>
  <c r="F978" i="1" s="1"/>
  <c r="D979" i="1"/>
  <c r="D980" i="1"/>
  <c r="D981" i="1"/>
  <c r="F981" i="1" s="1"/>
  <c r="D982" i="1"/>
  <c r="F982" i="1" s="1"/>
  <c r="D983" i="1"/>
  <c r="D984" i="1"/>
  <c r="F984" i="1" s="1"/>
  <c r="D985" i="1"/>
  <c r="F985" i="1" s="1"/>
  <c r="D986" i="1"/>
  <c r="F986" i="1" s="1"/>
  <c r="D987" i="1"/>
  <c r="F987" i="1" s="1"/>
  <c r="D988" i="1"/>
  <c r="D989" i="1"/>
  <c r="F989" i="1" s="1"/>
  <c r="D990" i="1"/>
  <c r="F990" i="1" s="1"/>
  <c r="D991" i="1"/>
  <c r="D992" i="1"/>
  <c r="F992" i="1" s="1"/>
  <c r="D993" i="1"/>
  <c r="F993" i="1" s="1"/>
  <c r="D994" i="1"/>
  <c r="F994" i="1" s="1"/>
  <c r="D995" i="1"/>
  <c r="F995" i="1" s="1"/>
  <c r="D996" i="1"/>
  <c r="F996" i="1" s="1"/>
  <c r="D997" i="1"/>
  <c r="F997" i="1" s="1"/>
  <c r="D998" i="1"/>
  <c r="F998" i="1" s="1"/>
  <c r="D999" i="1"/>
  <c r="D1000" i="1"/>
  <c r="F1000" i="1" s="1"/>
  <c r="D1001" i="1"/>
  <c r="F1001" i="1" s="1"/>
  <c r="D1002" i="1"/>
  <c r="F1002" i="1" s="1"/>
  <c r="D1003" i="1"/>
  <c r="F1003" i="1" s="1"/>
  <c r="D1004" i="1"/>
  <c r="D1005" i="1"/>
  <c r="F1005" i="1" s="1"/>
  <c r="D1006" i="1"/>
  <c r="F1006" i="1" s="1"/>
  <c r="D1007" i="1"/>
  <c r="D1008" i="1"/>
  <c r="F1008" i="1" s="1"/>
  <c r="D1009" i="1"/>
  <c r="F1009" i="1" s="1"/>
  <c r="D1010" i="1"/>
  <c r="F1010" i="1" s="1"/>
  <c r="D1011" i="1"/>
  <c r="D1012" i="1"/>
  <c r="D1013" i="1"/>
  <c r="F1013" i="1" s="1"/>
  <c r="D1014" i="1"/>
  <c r="F1014" i="1" s="1"/>
  <c r="D1015" i="1"/>
  <c r="D1016" i="1"/>
  <c r="F1016" i="1" s="1"/>
  <c r="D1017" i="1"/>
  <c r="F1017" i="1" s="1"/>
  <c r="D1018" i="1"/>
  <c r="F1018" i="1" s="1"/>
  <c r="D1019" i="1"/>
  <c r="D1020" i="1"/>
  <c r="D1021" i="1"/>
  <c r="F1021" i="1" s="1"/>
  <c r="D1022" i="1"/>
  <c r="F1022" i="1" s="1"/>
  <c r="D1023" i="1"/>
  <c r="D1024" i="1"/>
  <c r="F1024" i="1" s="1"/>
  <c r="D1025" i="1"/>
  <c r="F1025" i="1" s="1"/>
  <c r="D1026" i="1"/>
  <c r="F1026" i="1" s="1"/>
  <c r="D1027" i="1"/>
  <c r="F1027" i="1" s="1"/>
  <c r="D1028" i="1"/>
  <c r="D1029" i="1"/>
  <c r="F1029" i="1" s="1"/>
  <c r="D1030" i="1"/>
  <c r="F1030" i="1" s="1"/>
  <c r="D1031" i="1"/>
  <c r="D1032" i="1"/>
  <c r="F1032" i="1" s="1"/>
  <c r="D1033" i="1"/>
  <c r="F1033" i="1" s="1"/>
  <c r="D1034" i="1"/>
  <c r="F1034" i="1" s="1"/>
  <c r="D1035" i="1"/>
  <c r="F1035" i="1" s="1"/>
  <c r="D1036" i="1"/>
  <c r="D1037" i="1"/>
  <c r="F1037" i="1" s="1"/>
  <c r="D1038" i="1"/>
  <c r="F1038" i="1" s="1"/>
  <c r="D1039" i="1"/>
  <c r="D1040" i="1"/>
  <c r="F1040" i="1" s="1"/>
  <c r="D1041" i="1"/>
  <c r="F1041" i="1" s="1"/>
  <c r="D1042" i="1"/>
  <c r="F1042" i="1" s="1"/>
  <c r="D1043" i="1"/>
  <c r="D1044" i="1"/>
  <c r="D1045" i="1"/>
  <c r="F1045" i="1" s="1"/>
  <c r="D1046" i="1"/>
  <c r="F1046" i="1" s="1"/>
  <c r="D1047" i="1"/>
  <c r="D1048" i="1"/>
  <c r="F1048" i="1" s="1"/>
  <c r="D1049" i="1"/>
  <c r="F1049" i="1" s="1"/>
  <c r="D1050" i="1"/>
  <c r="F1050" i="1" s="1"/>
  <c r="D1051" i="1"/>
  <c r="F1051" i="1" s="1"/>
  <c r="D1052" i="1"/>
  <c r="F1052" i="1" s="1"/>
  <c r="D1053" i="1"/>
  <c r="F1053" i="1" s="1"/>
  <c r="D1054" i="1"/>
  <c r="F1054" i="1" s="1"/>
  <c r="D1055" i="1"/>
  <c r="D1056" i="1"/>
  <c r="F1056" i="1" s="1"/>
  <c r="D1057" i="1"/>
  <c r="F1057" i="1" s="1"/>
  <c r="D1058" i="1"/>
  <c r="F1058" i="1" s="1"/>
  <c r="D1059" i="1"/>
  <c r="F1059" i="1" s="1"/>
  <c r="D1060" i="1"/>
  <c r="D1061" i="1"/>
  <c r="D1062" i="1"/>
  <c r="F1062" i="1" s="1"/>
  <c r="D1063" i="1"/>
  <c r="D1064" i="1"/>
  <c r="F1064" i="1" s="1"/>
  <c r="D1065" i="1"/>
  <c r="F1065" i="1" s="1"/>
  <c r="D1066" i="1"/>
  <c r="F1066" i="1" s="1"/>
  <c r="D1067" i="1"/>
  <c r="F1067" i="1" s="1"/>
  <c r="D1068" i="1"/>
  <c r="D1069" i="1"/>
  <c r="F1069" i="1" s="1"/>
  <c r="D1070" i="1"/>
  <c r="F1070" i="1" s="1"/>
  <c r="D1071" i="1"/>
  <c r="D1072" i="1"/>
  <c r="F1072" i="1" s="1"/>
  <c r="D1073" i="1"/>
  <c r="F1073" i="1" s="1"/>
  <c r="D1074" i="1"/>
  <c r="F1074" i="1" s="1"/>
  <c r="D1075" i="1"/>
  <c r="D1076" i="1"/>
  <c r="D1077" i="1"/>
  <c r="F1077" i="1" s="1"/>
  <c r="D1078" i="1"/>
  <c r="F1078" i="1" s="1"/>
  <c r="D1079" i="1"/>
  <c r="D1080" i="1"/>
  <c r="F1080" i="1" s="1"/>
  <c r="D1081" i="1"/>
  <c r="F1081" i="1" s="1"/>
  <c r="D1082" i="1"/>
  <c r="F1082" i="1" s="1"/>
  <c r="D1083" i="1"/>
  <c r="D1084" i="1"/>
  <c r="F1084" i="1" s="1"/>
  <c r="D1085" i="1"/>
  <c r="F1085" i="1" s="1"/>
  <c r="D1086" i="1"/>
  <c r="F1086" i="1" s="1"/>
  <c r="D1087" i="1"/>
  <c r="D1088" i="1"/>
  <c r="F1088" i="1" s="1"/>
  <c r="D1089" i="1"/>
  <c r="F1089" i="1" s="1"/>
  <c r="D1090" i="1"/>
  <c r="F1090" i="1" s="1"/>
  <c r="D1091" i="1"/>
  <c r="F1091" i="1" s="1"/>
  <c r="D1092" i="1"/>
  <c r="D1093" i="1"/>
  <c r="D1094" i="1"/>
  <c r="F1094" i="1" s="1"/>
  <c r="D1095" i="1"/>
  <c r="D1096" i="1"/>
  <c r="F1096" i="1" s="1"/>
  <c r="D1097" i="1"/>
  <c r="F1097" i="1" s="1"/>
  <c r="D1098" i="1"/>
  <c r="F1098" i="1" s="1"/>
  <c r="D1099" i="1"/>
  <c r="F1099" i="1" s="1"/>
  <c r="D1100" i="1"/>
  <c r="D1101" i="1"/>
  <c r="F1101" i="1" s="1"/>
  <c r="D1102" i="1"/>
  <c r="F1102" i="1" s="1"/>
  <c r="D1103" i="1"/>
  <c r="F1103" i="1" s="1"/>
  <c r="D1104" i="1"/>
  <c r="F1104" i="1" s="1"/>
  <c r="D1105" i="1"/>
  <c r="F1105" i="1" s="1"/>
  <c r="D1106" i="1"/>
  <c r="F1106" i="1" s="1"/>
  <c r="D1107" i="1"/>
  <c r="D1108" i="1"/>
  <c r="D1109" i="1"/>
  <c r="F1109" i="1" s="1"/>
  <c r="D1110" i="1"/>
  <c r="F1110" i="1" s="1"/>
  <c r="D1111" i="1"/>
  <c r="D1112" i="1"/>
  <c r="F1112" i="1" s="1"/>
  <c r="D1113" i="1"/>
  <c r="F1113" i="1" s="1"/>
  <c r="D1114" i="1"/>
  <c r="F1114" i="1" s="1"/>
  <c r="D1115" i="1"/>
  <c r="F1115" i="1" s="1"/>
  <c r="D1116" i="1"/>
  <c r="F1116" i="1" s="1"/>
  <c r="D1117" i="1"/>
  <c r="F1117" i="1" s="1"/>
  <c r="D1118" i="1"/>
  <c r="F1118" i="1" s="1"/>
  <c r="D1119" i="1"/>
  <c r="D1120" i="1"/>
  <c r="F1120" i="1" s="1"/>
  <c r="D1121" i="1"/>
  <c r="F1121" i="1" s="1"/>
  <c r="D1122" i="1"/>
  <c r="F1122" i="1" s="1"/>
  <c r="D1123" i="1"/>
  <c r="F1123" i="1" s="1"/>
  <c r="D1124" i="1"/>
  <c r="F1124" i="1" s="1"/>
  <c r="D1125" i="1"/>
  <c r="F1125" i="1" s="1"/>
  <c r="D1126" i="1"/>
  <c r="F1126" i="1" s="1"/>
  <c r="D1127" i="1"/>
  <c r="D1128" i="1"/>
  <c r="F1128" i="1" s="1"/>
  <c r="D1129" i="1"/>
  <c r="F1129" i="1" s="1"/>
  <c r="D1130" i="1"/>
  <c r="F1130" i="1" s="1"/>
  <c r="D1131" i="1"/>
  <c r="F1131" i="1" s="1"/>
  <c r="D1132" i="1"/>
  <c r="D1133" i="1"/>
  <c r="F1133" i="1" s="1"/>
  <c r="D1134" i="1"/>
  <c r="F1134" i="1" s="1"/>
  <c r="D1135" i="1"/>
  <c r="D1136" i="1"/>
  <c r="F1136" i="1" s="1"/>
  <c r="D1137" i="1"/>
  <c r="F1137" i="1" s="1"/>
  <c r="D1138" i="1"/>
  <c r="F1138" i="1" s="1"/>
  <c r="D1139" i="1"/>
  <c r="D1140" i="1"/>
  <c r="D1141" i="1"/>
  <c r="F1141" i="1" s="1"/>
  <c r="D1142" i="1"/>
  <c r="F1142" i="1" s="1"/>
  <c r="D1143" i="1"/>
  <c r="D1144" i="1"/>
  <c r="F1144" i="1" s="1"/>
  <c r="D1145" i="1"/>
  <c r="F1145" i="1" s="1"/>
  <c r="D1146" i="1"/>
  <c r="F1146" i="1" s="1"/>
  <c r="D1147" i="1"/>
  <c r="D1148" i="1"/>
  <c r="F1148" i="1" s="1"/>
  <c r="D1149" i="1"/>
  <c r="F1149" i="1" s="1"/>
  <c r="D1150" i="1"/>
  <c r="F1150" i="1" s="1"/>
  <c r="D1151" i="1"/>
  <c r="D1152" i="1"/>
  <c r="F1152" i="1" s="1"/>
  <c r="D1153" i="1"/>
  <c r="F1153" i="1" s="1"/>
  <c r="D1154" i="1"/>
  <c r="F1154" i="1" s="1"/>
  <c r="D1155" i="1"/>
  <c r="F1155" i="1" s="1"/>
  <c r="D1156" i="1"/>
  <c r="D1157" i="1"/>
  <c r="F1157" i="1" s="1"/>
  <c r="D1158" i="1"/>
  <c r="F1158" i="1" s="1"/>
  <c r="D1159" i="1"/>
  <c r="D1160" i="1"/>
  <c r="F1160" i="1" s="1"/>
  <c r="D1161" i="1"/>
  <c r="F1161" i="1" s="1"/>
  <c r="D1162" i="1"/>
  <c r="F1162" i="1" s="1"/>
  <c r="D1163" i="1"/>
  <c r="F1163" i="1" s="1"/>
  <c r="D1164" i="1"/>
  <c r="D1165" i="1"/>
  <c r="F1165" i="1" s="1"/>
  <c r="D1166" i="1"/>
  <c r="F1166" i="1" s="1"/>
  <c r="D1167" i="1"/>
  <c r="D1168" i="1"/>
  <c r="F1168" i="1" s="1"/>
  <c r="D1169" i="1"/>
  <c r="F1169" i="1" s="1"/>
  <c r="D1170" i="1"/>
  <c r="F1170" i="1" s="1"/>
  <c r="D1171" i="1"/>
  <c r="D1172" i="1"/>
  <c r="D1173" i="1"/>
  <c r="F1173" i="1" s="1"/>
  <c r="D1174" i="1"/>
  <c r="F1174" i="1" s="1"/>
  <c r="D1175" i="1"/>
  <c r="D1176" i="1"/>
  <c r="F1176" i="1" s="1"/>
  <c r="D1177" i="1"/>
  <c r="F1177" i="1" s="1"/>
  <c r="D1178" i="1"/>
  <c r="F1178" i="1" s="1"/>
  <c r="D1179" i="1"/>
  <c r="F1179" i="1" s="1"/>
  <c r="D1180" i="1"/>
  <c r="F1180" i="1" s="1"/>
  <c r="D1181" i="1"/>
  <c r="F1181" i="1" s="1"/>
  <c r="D1182" i="1"/>
  <c r="F1182" i="1" s="1"/>
  <c r="D1183" i="1"/>
  <c r="D1184" i="1"/>
  <c r="F1184" i="1" s="1"/>
  <c r="D1185" i="1"/>
  <c r="F1185" i="1" s="1"/>
  <c r="D1186" i="1"/>
  <c r="F1186" i="1" s="1"/>
  <c r="D1187" i="1"/>
  <c r="F1187" i="1" s="1"/>
  <c r="D1188" i="1"/>
  <c r="F1188" i="1" s="1"/>
  <c r="D1189" i="1"/>
  <c r="F1189" i="1" s="1"/>
  <c r="D1190" i="1"/>
  <c r="F1190" i="1" s="1"/>
  <c r="D1191" i="1"/>
  <c r="D1192" i="1"/>
  <c r="F1192" i="1" s="1"/>
  <c r="D1193" i="1"/>
  <c r="F1193" i="1" s="1"/>
  <c r="D1194" i="1"/>
  <c r="F1194" i="1" s="1"/>
  <c r="D1195" i="1"/>
  <c r="F1195" i="1" s="1"/>
  <c r="D1196" i="1"/>
  <c r="D1197" i="1"/>
  <c r="F1197" i="1" s="1"/>
  <c r="D1198" i="1"/>
  <c r="F1198" i="1" s="1"/>
  <c r="D1199" i="1"/>
  <c r="D1200" i="1"/>
  <c r="F1200" i="1" s="1"/>
  <c r="D1201" i="1"/>
  <c r="F1201" i="1" s="1"/>
  <c r="D1202" i="1"/>
  <c r="F1202" i="1" s="1"/>
  <c r="D1203" i="1"/>
  <c r="D1204" i="1"/>
  <c r="D1205" i="1"/>
  <c r="F1205" i="1" s="1"/>
  <c r="D1206" i="1"/>
  <c r="F1206" i="1" s="1"/>
  <c r="D1207" i="1"/>
  <c r="D1208" i="1"/>
  <c r="F1208" i="1" s="1"/>
  <c r="D1209" i="1"/>
  <c r="F1209" i="1" s="1"/>
  <c r="D1210" i="1"/>
  <c r="F1210" i="1" s="1"/>
  <c r="D1211" i="1"/>
  <c r="D1212" i="1"/>
  <c r="D1213" i="1"/>
  <c r="F1213" i="1" s="1"/>
  <c r="D1214" i="1"/>
  <c r="F1214" i="1" s="1"/>
  <c r="D1215" i="1"/>
  <c r="D1216" i="1"/>
  <c r="F1216" i="1" s="1"/>
  <c r="D1217" i="1"/>
  <c r="F1217" i="1" s="1"/>
  <c r="D1218" i="1"/>
  <c r="F1218" i="1" s="1"/>
  <c r="D1219" i="1"/>
  <c r="F1219" i="1" s="1"/>
  <c r="D1220" i="1"/>
  <c r="D1221" i="1"/>
  <c r="F1221" i="1" s="1"/>
  <c r="D1222" i="1"/>
  <c r="F1222" i="1" s="1"/>
  <c r="D1223" i="1"/>
  <c r="D1224" i="1"/>
  <c r="F1224" i="1" s="1"/>
  <c r="D1225" i="1"/>
  <c r="F1225" i="1" s="1"/>
  <c r="D1226" i="1"/>
  <c r="F1226" i="1" s="1"/>
  <c r="D1227" i="1"/>
  <c r="F1227" i="1" s="1"/>
  <c r="D1228" i="1"/>
  <c r="D1229" i="1"/>
  <c r="F1229" i="1" s="1"/>
  <c r="D1230" i="1"/>
  <c r="F1230" i="1" s="1"/>
  <c r="D1231" i="1"/>
  <c r="D1232" i="1"/>
  <c r="F1232" i="1" s="1"/>
  <c r="D1233" i="1"/>
  <c r="F1233" i="1" s="1"/>
  <c r="D1234" i="1"/>
  <c r="F1234" i="1" s="1"/>
  <c r="D1235" i="1"/>
  <c r="D1236" i="1"/>
  <c r="D1237" i="1"/>
  <c r="F1237" i="1" s="1"/>
  <c r="D1238" i="1"/>
  <c r="F1238" i="1" s="1"/>
  <c r="D1239" i="1"/>
  <c r="D1240" i="1"/>
  <c r="F1240" i="1" s="1"/>
  <c r="D1241" i="1"/>
  <c r="F1241" i="1" s="1"/>
  <c r="D1242" i="1"/>
  <c r="F1242" i="1" s="1"/>
  <c r="D1243" i="1"/>
  <c r="F1243" i="1" s="1"/>
  <c r="D1244" i="1"/>
  <c r="D1245" i="1"/>
  <c r="F1245" i="1" s="1"/>
  <c r="D1246" i="1"/>
  <c r="F1246" i="1" s="1"/>
  <c r="D1247" i="1"/>
  <c r="D1248" i="1"/>
  <c r="F1248" i="1" s="1"/>
  <c r="D1249" i="1"/>
  <c r="F1249" i="1" s="1"/>
  <c r="D1250" i="1"/>
  <c r="F1250" i="1" s="1"/>
  <c r="D1251" i="1"/>
  <c r="F1251" i="1" s="1"/>
  <c r="D1252" i="1"/>
  <c r="D1253" i="1"/>
  <c r="F1253" i="1" s="1"/>
  <c r="D1254" i="1"/>
  <c r="F1254" i="1" s="1"/>
  <c r="D1255" i="1"/>
  <c r="D1256" i="1"/>
  <c r="F1256" i="1" s="1"/>
  <c r="D1257" i="1"/>
  <c r="F1257" i="1" s="1"/>
  <c r="D1258" i="1"/>
  <c r="F1258" i="1" s="1"/>
  <c r="D1259" i="1"/>
  <c r="F1259" i="1" s="1"/>
  <c r="D1260" i="1"/>
  <c r="D1261" i="1"/>
  <c r="F1261" i="1" s="1"/>
  <c r="D1262" i="1"/>
  <c r="F1262" i="1" s="1"/>
  <c r="D1263" i="1"/>
  <c r="F1263" i="1" s="1"/>
  <c r="D1264" i="1"/>
  <c r="F1264" i="1" s="1"/>
  <c r="D1265" i="1"/>
  <c r="F1265" i="1" s="1"/>
  <c r="D1266" i="1"/>
  <c r="F1266" i="1" s="1"/>
  <c r="D1267" i="1"/>
  <c r="D1268" i="1"/>
  <c r="D1269" i="1"/>
  <c r="F1269" i="1" s="1"/>
  <c r="D1270" i="1"/>
  <c r="F1270" i="1" s="1"/>
  <c r="D1271" i="1"/>
  <c r="D1272" i="1"/>
  <c r="F1272" i="1" s="1"/>
  <c r="D1273" i="1"/>
  <c r="F1273" i="1" s="1"/>
  <c r="D1274" i="1"/>
  <c r="F1274" i="1" s="1"/>
  <c r="D1275" i="1"/>
  <c r="D1276" i="1"/>
  <c r="D1277" i="1"/>
  <c r="F1277" i="1" s="1"/>
  <c r="D1278" i="1"/>
  <c r="F1278" i="1" s="1"/>
  <c r="D1279" i="1"/>
  <c r="D1280" i="1"/>
  <c r="F1280" i="1" s="1"/>
  <c r="D1281" i="1"/>
  <c r="F1281" i="1" s="1"/>
  <c r="D1282" i="1"/>
  <c r="F1282" i="1" s="1"/>
  <c r="D1283" i="1"/>
  <c r="F1283" i="1" s="1"/>
  <c r="D1284" i="1"/>
  <c r="D1285" i="1"/>
  <c r="F1285" i="1" s="1"/>
  <c r="D1286" i="1"/>
  <c r="F1286" i="1" s="1"/>
  <c r="D1287" i="1"/>
  <c r="D1288" i="1"/>
  <c r="F1288" i="1" s="1"/>
  <c r="D1289" i="1"/>
  <c r="F1289" i="1" s="1"/>
  <c r="D1290" i="1"/>
  <c r="F1290" i="1" s="1"/>
  <c r="D1291" i="1"/>
  <c r="F1291" i="1" s="1"/>
  <c r="D1292" i="1"/>
  <c r="D1293" i="1"/>
  <c r="F1293" i="1" s="1"/>
  <c r="D1294" i="1"/>
  <c r="F1294" i="1" s="1"/>
  <c r="D1295" i="1"/>
  <c r="D1296" i="1"/>
  <c r="F1296" i="1" s="1"/>
  <c r="D1297" i="1"/>
  <c r="F1297" i="1" s="1"/>
  <c r="D1298" i="1"/>
  <c r="F1298" i="1" s="1"/>
  <c r="D1299" i="1"/>
  <c r="D1300" i="1"/>
  <c r="D1301" i="1"/>
  <c r="F1301" i="1" s="1"/>
  <c r="D1302" i="1"/>
  <c r="F1302" i="1" s="1"/>
  <c r="D1303" i="1"/>
  <c r="D1304" i="1"/>
  <c r="F1304" i="1" s="1"/>
  <c r="D1305" i="1"/>
  <c r="F1305" i="1" s="1"/>
  <c r="D1306" i="1"/>
  <c r="F1306" i="1" s="1"/>
  <c r="D1307" i="1"/>
  <c r="F1307" i="1" s="1"/>
  <c r="D1308" i="1"/>
  <c r="D1309" i="1"/>
  <c r="F1309" i="1" s="1"/>
  <c r="D1310" i="1"/>
  <c r="F1310" i="1" s="1"/>
  <c r="D1311" i="1"/>
  <c r="D1312" i="1"/>
  <c r="F1312" i="1" s="1"/>
  <c r="D1313" i="1"/>
  <c r="F1313" i="1" s="1"/>
  <c r="D1314" i="1"/>
  <c r="F1314" i="1" s="1"/>
  <c r="D1315" i="1"/>
  <c r="F1315" i="1" s="1"/>
  <c r="D1316" i="1"/>
  <c r="D1317" i="1"/>
  <c r="D1318" i="1"/>
  <c r="F1318" i="1" s="1"/>
  <c r="D1319" i="1"/>
  <c r="D1320" i="1"/>
  <c r="F1320" i="1" s="1"/>
  <c r="D1321" i="1"/>
  <c r="F1321" i="1" s="1"/>
  <c r="D1322" i="1"/>
  <c r="F1322" i="1" s="1"/>
  <c r="D1323" i="1"/>
  <c r="F1323" i="1" s="1"/>
  <c r="D1324" i="1"/>
  <c r="D1325" i="1"/>
  <c r="F1325" i="1" s="1"/>
  <c r="D1326" i="1"/>
  <c r="F1326" i="1" s="1"/>
  <c r="D1327" i="1"/>
  <c r="D1328" i="1"/>
  <c r="F1328" i="1" s="1"/>
  <c r="D1329" i="1"/>
  <c r="F1329" i="1" s="1"/>
  <c r="D1330" i="1"/>
  <c r="F1330" i="1" s="1"/>
  <c r="D1331" i="1"/>
  <c r="D1332" i="1"/>
  <c r="D1333" i="1"/>
  <c r="F1333" i="1" s="1"/>
  <c r="D1334" i="1"/>
  <c r="F1334" i="1" s="1"/>
  <c r="D1335" i="1"/>
  <c r="D1336" i="1"/>
  <c r="F1336" i="1" s="1"/>
  <c r="D1337" i="1"/>
  <c r="F1337" i="1" s="1"/>
  <c r="D1338" i="1"/>
  <c r="F1338" i="1" s="1"/>
  <c r="D1339" i="1"/>
  <c r="D1340" i="1"/>
  <c r="D1341" i="1"/>
  <c r="F1341" i="1" s="1"/>
  <c r="D1342" i="1"/>
  <c r="F1342" i="1" s="1"/>
  <c r="D1343" i="1"/>
  <c r="F1343" i="1" s="1"/>
  <c r="D1344" i="1"/>
  <c r="F1344" i="1" s="1"/>
  <c r="D1345" i="1"/>
  <c r="F1345" i="1" s="1"/>
  <c r="D1346" i="1"/>
  <c r="F1346" i="1" s="1"/>
  <c r="D1347" i="1"/>
  <c r="F1347" i="1" s="1"/>
  <c r="D1348" i="1"/>
  <c r="D1349" i="1"/>
  <c r="D1350" i="1"/>
  <c r="F1350" i="1" s="1"/>
  <c r="D1351" i="1"/>
  <c r="F1351" i="1" s="1"/>
  <c r="D1352" i="1"/>
  <c r="F1352" i="1" s="1"/>
  <c r="D1353" i="1"/>
  <c r="F1353" i="1" s="1"/>
  <c r="D1354" i="1"/>
  <c r="F1354" i="1" s="1"/>
  <c r="D1355" i="1"/>
  <c r="F1355" i="1" s="1"/>
  <c r="D1356" i="1"/>
  <c r="F1356" i="1" s="1"/>
  <c r="D1357" i="1"/>
  <c r="D1358" i="1"/>
  <c r="F1358" i="1" s="1"/>
  <c r="D1359" i="1"/>
  <c r="F1359" i="1" s="1"/>
  <c r="D1360" i="1"/>
  <c r="F1360" i="1" s="1"/>
  <c r="D1361" i="1"/>
  <c r="F1361" i="1" s="1"/>
  <c r="D1362" i="1"/>
  <c r="F1362" i="1" s="1"/>
  <c r="D1363" i="1"/>
  <c r="D1364" i="1"/>
  <c r="D1365" i="1"/>
  <c r="F1365" i="1" s="1"/>
  <c r="D1366" i="1"/>
  <c r="F1366" i="1" s="1"/>
  <c r="D1367" i="1"/>
  <c r="F1367" i="1" s="1"/>
  <c r="D1368" i="1"/>
  <c r="F1368" i="1" s="1"/>
  <c r="D1369" i="1"/>
  <c r="F1369" i="1" s="1"/>
  <c r="D1370" i="1"/>
  <c r="F1370" i="1" s="1"/>
  <c r="D1371" i="1"/>
  <c r="F1371" i="1" s="1"/>
  <c r="D1372" i="1"/>
  <c r="D1373" i="1"/>
  <c r="F1373" i="1" s="1"/>
  <c r="D1374" i="1"/>
  <c r="F1374" i="1" s="1"/>
  <c r="D1375" i="1"/>
  <c r="F1375" i="1" s="1"/>
  <c r="D1376" i="1"/>
  <c r="F1376" i="1" s="1"/>
  <c r="D1377" i="1"/>
  <c r="F1377" i="1" s="1"/>
  <c r="D1378" i="1"/>
  <c r="F1378" i="1" s="1"/>
  <c r="D1379" i="1"/>
  <c r="F1379" i="1" s="1"/>
  <c r="D1380" i="1"/>
  <c r="D1381" i="1"/>
  <c r="F1381" i="1" s="1"/>
  <c r="D1382" i="1"/>
  <c r="F1382" i="1" s="1"/>
  <c r="D1383" i="1"/>
  <c r="F1383" i="1" s="1"/>
  <c r="D1384" i="1"/>
  <c r="F1384" i="1" s="1"/>
  <c r="D1385" i="1"/>
  <c r="F1385" i="1" s="1"/>
  <c r="D1386" i="1"/>
  <c r="F1386" i="1" s="1"/>
  <c r="D1387" i="1"/>
  <c r="F1387" i="1" s="1"/>
  <c r="D1388" i="1"/>
  <c r="D1389" i="1"/>
  <c r="F1389" i="1" s="1"/>
  <c r="D1390" i="1"/>
  <c r="F1390" i="1" s="1"/>
  <c r="D1391" i="1"/>
  <c r="F1391" i="1" s="1"/>
  <c r="D1392" i="1"/>
  <c r="F1392" i="1" s="1"/>
  <c r="D1393" i="1"/>
  <c r="F1393" i="1" s="1"/>
  <c r="D1394" i="1"/>
  <c r="F1394" i="1" s="1"/>
  <c r="D1395" i="1"/>
  <c r="D1396" i="1"/>
  <c r="D1397" i="1"/>
  <c r="F1397" i="1" s="1"/>
  <c r="D1398" i="1"/>
  <c r="F1398" i="1" s="1"/>
  <c r="D1399" i="1"/>
  <c r="F1399" i="1" s="1"/>
  <c r="D1400" i="1"/>
  <c r="F1400" i="1" s="1"/>
  <c r="D1401" i="1"/>
  <c r="F1401" i="1" s="1"/>
  <c r="D1402" i="1"/>
  <c r="F1402" i="1" s="1"/>
  <c r="D1403" i="1"/>
  <c r="D1404" i="1"/>
  <c r="D1405" i="1"/>
  <c r="F1405" i="1" s="1"/>
  <c r="D1406" i="1"/>
  <c r="F1406" i="1" s="1"/>
  <c r="D1407" i="1"/>
  <c r="F1407" i="1" s="1"/>
  <c r="D1408" i="1"/>
  <c r="F1408" i="1" s="1"/>
  <c r="D1409" i="1"/>
  <c r="F1409" i="1" s="1"/>
  <c r="D1410" i="1"/>
  <c r="F1410" i="1" s="1"/>
  <c r="D1411" i="1"/>
  <c r="F1411" i="1" s="1"/>
  <c r="D1412" i="1"/>
  <c r="D1413" i="1"/>
  <c r="F1413" i="1" s="1"/>
  <c r="D1414" i="1"/>
  <c r="F1414" i="1" s="1"/>
  <c r="D1415" i="1"/>
  <c r="F1415" i="1" s="1"/>
  <c r="D1416" i="1"/>
  <c r="F1416" i="1" s="1"/>
  <c r="D1417" i="1"/>
  <c r="F1417" i="1" s="1"/>
  <c r="D1418" i="1"/>
  <c r="F1418" i="1" s="1"/>
  <c r="D1419" i="1"/>
  <c r="F1419" i="1" s="1"/>
  <c r="D1420" i="1"/>
  <c r="D1421" i="1"/>
  <c r="F1421" i="1" s="1"/>
  <c r="D1422" i="1"/>
  <c r="F1422" i="1" s="1"/>
  <c r="D1423" i="1"/>
  <c r="F1423" i="1" s="1"/>
  <c r="D1424" i="1"/>
  <c r="F1424" i="1" s="1"/>
  <c r="D1425" i="1"/>
  <c r="F1425" i="1" s="1"/>
  <c r="D1426" i="1"/>
  <c r="F1426" i="1" s="1"/>
  <c r="D1427" i="1"/>
  <c r="D1428" i="1"/>
  <c r="D1429" i="1"/>
  <c r="F1429" i="1" s="1"/>
  <c r="D1430" i="1"/>
  <c r="F1430" i="1" s="1"/>
  <c r="D1431" i="1"/>
  <c r="F1431" i="1" s="1"/>
  <c r="D1432" i="1"/>
  <c r="F1432" i="1" s="1"/>
  <c r="D1433" i="1"/>
  <c r="D1434" i="1"/>
  <c r="F1434" i="1" s="1"/>
  <c r="D1435" i="1"/>
  <c r="F1435" i="1" s="1"/>
  <c r="D1436" i="1"/>
  <c r="D1437" i="1"/>
  <c r="F1437" i="1" s="1"/>
  <c r="D1438" i="1"/>
  <c r="F1438" i="1" s="1"/>
  <c r="D1439" i="1"/>
  <c r="F1439" i="1" s="1"/>
  <c r="D1440" i="1"/>
  <c r="F1440" i="1" s="1"/>
  <c r="D1441" i="1"/>
  <c r="F1441" i="1" s="1"/>
  <c r="D1442" i="1"/>
  <c r="F1442" i="1" s="1"/>
  <c r="D1443" i="1"/>
  <c r="F1443" i="1" s="1"/>
  <c r="D1444" i="1"/>
  <c r="D1445" i="1"/>
  <c r="F1445" i="1" s="1"/>
  <c r="D1446" i="1"/>
  <c r="F1446" i="1" s="1"/>
  <c r="D1447" i="1"/>
  <c r="F1447" i="1" s="1"/>
  <c r="D1448" i="1"/>
  <c r="F1448" i="1" s="1"/>
  <c r="D1449" i="1"/>
  <c r="F1449" i="1" s="1"/>
  <c r="D1450" i="1"/>
  <c r="F1450" i="1" s="1"/>
  <c r="D1451" i="1"/>
  <c r="F1451" i="1" s="1"/>
  <c r="D1452" i="1"/>
  <c r="D1453" i="1"/>
  <c r="F1453" i="1" s="1"/>
  <c r="D1454" i="1"/>
  <c r="F1454" i="1" s="1"/>
  <c r="D1455" i="1"/>
  <c r="F1455" i="1" s="1"/>
  <c r="D1456" i="1"/>
  <c r="F1456" i="1" s="1"/>
  <c r="D1457" i="1"/>
  <c r="F1457" i="1" s="1"/>
  <c r="D1458" i="1"/>
  <c r="F1458" i="1" s="1"/>
  <c r="D1459" i="1"/>
  <c r="D1460" i="1"/>
  <c r="D1461" i="1"/>
  <c r="F1461" i="1" s="1"/>
  <c r="D1462" i="1"/>
  <c r="F1462" i="1" s="1"/>
  <c r="D1463" i="1"/>
  <c r="F1463" i="1" s="1"/>
  <c r="D1464" i="1"/>
  <c r="F1464" i="1" s="1"/>
  <c r="D1465" i="1"/>
  <c r="F1465" i="1" s="1"/>
  <c r="D1466" i="1"/>
  <c r="F1466" i="1" s="1"/>
  <c r="D1467" i="1"/>
  <c r="D1468" i="1"/>
  <c r="D1469" i="1"/>
  <c r="F1469" i="1" s="1"/>
  <c r="D1470" i="1"/>
  <c r="F1470" i="1" s="1"/>
  <c r="D1471" i="1"/>
  <c r="F1471" i="1" s="1"/>
  <c r="D1472" i="1"/>
  <c r="F1472" i="1" s="1"/>
  <c r="D1473" i="1"/>
  <c r="F1473" i="1" s="1"/>
  <c r="D1474" i="1"/>
  <c r="F1474" i="1" s="1"/>
  <c r="D1475" i="1"/>
  <c r="F1475" i="1" s="1"/>
  <c r="D1476" i="1"/>
  <c r="D1477" i="1"/>
  <c r="F1477" i="1" s="1"/>
  <c r="D1478" i="1"/>
  <c r="F1478" i="1" s="1"/>
  <c r="D1479" i="1"/>
  <c r="F1479" i="1" s="1"/>
  <c r="D1480" i="1"/>
  <c r="F1480" i="1" s="1"/>
  <c r="D1481" i="1"/>
  <c r="F1481" i="1" s="1"/>
  <c r="D1482" i="1"/>
  <c r="F1482" i="1" s="1"/>
  <c r="D1483" i="1"/>
  <c r="F1483" i="1" s="1"/>
  <c r="D1484" i="1"/>
  <c r="D1485" i="1"/>
  <c r="F1485" i="1" s="1"/>
  <c r="D1486" i="1"/>
  <c r="F1486" i="1" s="1"/>
  <c r="D1487" i="1"/>
  <c r="F1487" i="1" s="1"/>
  <c r="D1488" i="1"/>
  <c r="F1488" i="1" s="1"/>
  <c r="D1489" i="1"/>
  <c r="F1489" i="1" s="1"/>
  <c r="D1490" i="1"/>
  <c r="F1490" i="1" s="1"/>
  <c r="D1491" i="1"/>
  <c r="D1492" i="1"/>
  <c r="D1493" i="1"/>
  <c r="F1493" i="1" s="1"/>
  <c r="D1494" i="1"/>
  <c r="F1494" i="1" s="1"/>
  <c r="D1495" i="1"/>
  <c r="F1495" i="1" s="1"/>
  <c r="D1496" i="1"/>
  <c r="D1497" i="1"/>
  <c r="F1497" i="1" s="1"/>
  <c r="D1498" i="1"/>
  <c r="F1498" i="1" s="1"/>
  <c r="D1499" i="1"/>
  <c r="F1499" i="1" s="1"/>
  <c r="D1500" i="1"/>
  <c r="D2" i="1"/>
  <c r="F2" i="1" s="1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2" i="6"/>
  <c r="A308" i="6"/>
  <c r="A924" i="6"/>
  <c r="A1076" i="6"/>
  <c r="A1193" i="6"/>
  <c r="J3" i="1"/>
  <c r="B3" i="6" s="1"/>
  <c r="J4" i="1"/>
  <c r="B4" i="6" s="1"/>
  <c r="J5" i="1"/>
  <c r="B5" i="6" s="1"/>
  <c r="J6" i="1"/>
  <c r="J7" i="1"/>
  <c r="J8" i="1"/>
  <c r="J9" i="1"/>
  <c r="J10" i="1"/>
  <c r="J11" i="1"/>
  <c r="J12" i="1"/>
  <c r="J13" i="1"/>
  <c r="B13" i="6" s="1"/>
  <c r="J14" i="1"/>
  <c r="B14" i="6" s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B31" i="6" s="1"/>
  <c r="J32" i="1"/>
  <c r="J33" i="1"/>
  <c r="J34" i="1"/>
  <c r="J35" i="1"/>
  <c r="J36" i="1"/>
  <c r="J37" i="1"/>
  <c r="B37" i="6" s="1"/>
  <c r="J38" i="1"/>
  <c r="J39" i="1"/>
  <c r="J40" i="1"/>
  <c r="J41" i="1"/>
  <c r="J42" i="1"/>
  <c r="J43" i="1"/>
  <c r="J44" i="1"/>
  <c r="J45" i="1"/>
  <c r="J46" i="1"/>
  <c r="B46" i="6" s="1"/>
  <c r="J47" i="1"/>
  <c r="J48" i="1"/>
  <c r="J49" i="1"/>
  <c r="J50" i="1"/>
  <c r="J51" i="1"/>
  <c r="J52" i="1"/>
  <c r="J53" i="1"/>
  <c r="J54" i="1"/>
  <c r="B54" i="6" s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B69" i="6" s="1"/>
  <c r="J70" i="1"/>
  <c r="J71" i="1"/>
  <c r="J72" i="1"/>
  <c r="J73" i="1"/>
  <c r="J74" i="1"/>
  <c r="J75" i="1"/>
  <c r="J76" i="1"/>
  <c r="J77" i="1"/>
  <c r="B77" i="6" s="1"/>
  <c r="J78" i="1"/>
  <c r="B78" i="6" s="1"/>
  <c r="J79" i="1"/>
  <c r="J80" i="1"/>
  <c r="J81" i="1"/>
  <c r="J82" i="1"/>
  <c r="J83" i="1"/>
  <c r="J84" i="1"/>
  <c r="J85" i="1"/>
  <c r="J86" i="1"/>
  <c r="J87" i="1"/>
  <c r="B87" i="6" s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B101" i="6" s="1"/>
  <c r="J102" i="1"/>
  <c r="J103" i="1"/>
  <c r="J104" i="1"/>
  <c r="J105" i="1"/>
  <c r="J106" i="1"/>
  <c r="J107" i="1"/>
  <c r="J108" i="1"/>
  <c r="J109" i="1"/>
  <c r="J110" i="1"/>
  <c r="B110" i="6" s="1"/>
  <c r="J111" i="1"/>
  <c r="J112" i="1"/>
  <c r="J113" i="1"/>
  <c r="J114" i="1"/>
  <c r="J115" i="1"/>
  <c r="J116" i="1"/>
  <c r="J117" i="1"/>
  <c r="J118" i="1"/>
  <c r="B118" i="6" s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B133" i="6" s="1"/>
  <c r="J134" i="1"/>
  <c r="B134" i="6" s="1"/>
  <c r="J135" i="1"/>
  <c r="J136" i="1"/>
  <c r="J137" i="1"/>
  <c r="J138" i="1"/>
  <c r="J139" i="1"/>
  <c r="B139" i="6" s="1"/>
  <c r="J140" i="1"/>
  <c r="J141" i="1"/>
  <c r="J142" i="1"/>
  <c r="B142" i="6" s="1"/>
  <c r="J143" i="1"/>
  <c r="J144" i="1"/>
  <c r="J145" i="1"/>
  <c r="J146" i="1"/>
  <c r="J147" i="1"/>
  <c r="J148" i="1"/>
  <c r="B148" i="6" s="1"/>
  <c r="J149" i="1"/>
  <c r="J150" i="1"/>
  <c r="J151" i="1"/>
  <c r="J152" i="1"/>
  <c r="B152" i="6" s="1"/>
  <c r="J153" i="1"/>
  <c r="J154" i="1"/>
  <c r="J155" i="1"/>
  <c r="J156" i="1"/>
  <c r="B156" i="6" s="1"/>
  <c r="J157" i="1"/>
  <c r="J158" i="1"/>
  <c r="J159" i="1"/>
  <c r="B159" i="6" s="1"/>
  <c r="J160" i="1"/>
  <c r="B160" i="6" s="1"/>
  <c r="J161" i="1"/>
  <c r="J162" i="1"/>
  <c r="J163" i="1"/>
  <c r="J164" i="1"/>
  <c r="B164" i="6" s="1"/>
  <c r="J165" i="1"/>
  <c r="J166" i="1"/>
  <c r="J167" i="1"/>
  <c r="J168" i="1"/>
  <c r="B168" i="6" s="1"/>
  <c r="J169" i="1"/>
  <c r="J170" i="1"/>
  <c r="J171" i="1"/>
  <c r="J172" i="1"/>
  <c r="B172" i="6" s="1"/>
  <c r="J173" i="1"/>
  <c r="J174" i="1"/>
  <c r="J175" i="1"/>
  <c r="J176" i="1"/>
  <c r="B176" i="6" s="1"/>
  <c r="J177" i="1"/>
  <c r="J178" i="1"/>
  <c r="J179" i="1"/>
  <c r="J180" i="1"/>
  <c r="B180" i="6" s="1"/>
  <c r="J181" i="1"/>
  <c r="J182" i="1"/>
  <c r="J183" i="1"/>
  <c r="J184" i="1"/>
  <c r="B184" i="6" s="1"/>
  <c r="J185" i="1"/>
  <c r="J186" i="1"/>
  <c r="J187" i="1"/>
  <c r="J188" i="1"/>
  <c r="B188" i="6" s="1"/>
  <c r="J189" i="1"/>
  <c r="J190" i="1"/>
  <c r="J191" i="1"/>
  <c r="J192" i="1"/>
  <c r="B192" i="6" s="1"/>
  <c r="J193" i="1"/>
  <c r="J194" i="1"/>
  <c r="J195" i="1"/>
  <c r="J196" i="1"/>
  <c r="B196" i="6" s="1"/>
  <c r="J197" i="1"/>
  <c r="J198" i="1"/>
  <c r="J199" i="1"/>
  <c r="J200" i="1"/>
  <c r="B200" i="6" s="1"/>
  <c r="J201" i="1"/>
  <c r="J202" i="1"/>
  <c r="J203" i="1"/>
  <c r="J204" i="1"/>
  <c r="B204" i="6" s="1"/>
  <c r="J205" i="1"/>
  <c r="J206" i="1"/>
  <c r="J207" i="1"/>
  <c r="J208" i="1"/>
  <c r="B208" i="6" s="1"/>
  <c r="J209" i="1"/>
  <c r="J210" i="1"/>
  <c r="J211" i="1"/>
  <c r="J212" i="1"/>
  <c r="B212" i="6" s="1"/>
  <c r="J213" i="1"/>
  <c r="J214" i="1"/>
  <c r="J215" i="1"/>
  <c r="J216" i="1"/>
  <c r="B216" i="6" s="1"/>
  <c r="J217" i="1"/>
  <c r="J218" i="1"/>
  <c r="J219" i="1"/>
  <c r="J220" i="1"/>
  <c r="B220" i="6" s="1"/>
  <c r="J221" i="1"/>
  <c r="J222" i="1"/>
  <c r="J223" i="1"/>
  <c r="B223" i="6" s="1"/>
  <c r="J224" i="1"/>
  <c r="B224" i="6" s="1"/>
  <c r="J225" i="1"/>
  <c r="J226" i="1"/>
  <c r="J227" i="1"/>
  <c r="J228" i="1"/>
  <c r="B228" i="6" s="1"/>
  <c r="J229" i="1"/>
  <c r="J230" i="1"/>
  <c r="J231" i="1"/>
  <c r="A231" i="6" s="1"/>
  <c r="J232" i="1"/>
  <c r="B232" i="6" s="1"/>
  <c r="J233" i="1"/>
  <c r="J234" i="1"/>
  <c r="J235" i="1"/>
  <c r="J236" i="1"/>
  <c r="B236" i="6" s="1"/>
  <c r="J237" i="1"/>
  <c r="J238" i="1"/>
  <c r="J239" i="1"/>
  <c r="J240" i="1"/>
  <c r="B240" i="6" s="1"/>
  <c r="J241" i="1"/>
  <c r="J242" i="1"/>
  <c r="J243" i="1"/>
  <c r="J244" i="1"/>
  <c r="B244" i="6" s="1"/>
  <c r="J245" i="1"/>
  <c r="J246" i="1"/>
  <c r="J247" i="1"/>
  <c r="J248" i="1"/>
  <c r="B248" i="6" s="1"/>
  <c r="J249" i="1"/>
  <c r="J250" i="1"/>
  <c r="J251" i="1"/>
  <c r="J252" i="1"/>
  <c r="B252" i="6" s="1"/>
  <c r="J253" i="1"/>
  <c r="J254" i="1"/>
  <c r="J255" i="1"/>
  <c r="J256" i="1"/>
  <c r="B256" i="6" s="1"/>
  <c r="J257" i="1"/>
  <c r="J258" i="1"/>
  <c r="J259" i="1"/>
  <c r="J260" i="1"/>
  <c r="B260" i="6" s="1"/>
  <c r="J261" i="1"/>
  <c r="J262" i="1"/>
  <c r="J263" i="1"/>
  <c r="J264" i="1"/>
  <c r="B264" i="6" s="1"/>
  <c r="J265" i="1"/>
  <c r="J266" i="1"/>
  <c r="J267" i="1"/>
  <c r="J268" i="1"/>
  <c r="B268" i="6" s="1"/>
  <c r="J269" i="1"/>
  <c r="J270" i="1"/>
  <c r="J271" i="1"/>
  <c r="J272" i="1"/>
  <c r="B272" i="6" s="1"/>
  <c r="J273" i="1"/>
  <c r="J274" i="1"/>
  <c r="J275" i="1"/>
  <c r="J276" i="1"/>
  <c r="B276" i="6" s="1"/>
  <c r="J277" i="1"/>
  <c r="J278" i="1"/>
  <c r="J279" i="1"/>
  <c r="J280" i="1"/>
  <c r="B280" i="6" s="1"/>
  <c r="J281" i="1"/>
  <c r="J282" i="1"/>
  <c r="J283" i="1"/>
  <c r="J284" i="1"/>
  <c r="B284" i="6" s="1"/>
  <c r="J285" i="1"/>
  <c r="J286" i="1"/>
  <c r="J287" i="1"/>
  <c r="B287" i="6" s="1"/>
  <c r="J288" i="1"/>
  <c r="B288" i="6" s="1"/>
  <c r="J289" i="1"/>
  <c r="J290" i="1"/>
  <c r="J291" i="1"/>
  <c r="J292" i="1"/>
  <c r="B292" i="6" s="1"/>
  <c r="J293" i="1"/>
  <c r="J294" i="1"/>
  <c r="J295" i="1"/>
  <c r="J296" i="1"/>
  <c r="B296" i="6" s="1"/>
  <c r="J297" i="1"/>
  <c r="J298" i="1"/>
  <c r="J299" i="1"/>
  <c r="J300" i="1"/>
  <c r="B300" i="6" s="1"/>
  <c r="J301" i="1"/>
  <c r="J302" i="1"/>
  <c r="J303" i="1"/>
  <c r="J304" i="1"/>
  <c r="B304" i="6" s="1"/>
  <c r="J305" i="1"/>
  <c r="J306" i="1"/>
  <c r="J307" i="1"/>
  <c r="J308" i="1"/>
  <c r="B308" i="6" s="1"/>
  <c r="J309" i="1"/>
  <c r="J310" i="1"/>
  <c r="J311" i="1"/>
  <c r="J312" i="1"/>
  <c r="B312" i="6" s="1"/>
  <c r="J313" i="1"/>
  <c r="J314" i="1"/>
  <c r="J315" i="1"/>
  <c r="J316" i="1"/>
  <c r="B316" i="6" s="1"/>
  <c r="J317" i="1"/>
  <c r="J318" i="1"/>
  <c r="J319" i="1"/>
  <c r="J320" i="1"/>
  <c r="B320" i="6" s="1"/>
  <c r="J321" i="1"/>
  <c r="J322" i="1"/>
  <c r="J323" i="1"/>
  <c r="J324" i="1"/>
  <c r="B324" i="6" s="1"/>
  <c r="J325" i="1"/>
  <c r="J326" i="1"/>
  <c r="J327" i="1"/>
  <c r="J328" i="1"/>
  <c r="B328" i="6" s="1"/>
  <c r="J329" i="1"/>
  <c r="J330" i="1"/>
  <c r="J331" i="1"/>
  <c r="J332" i="1"/>
  <c r="B332" i="6" s="1"/>
  <c r="J333" i="1"/>
  <c r="J334" i="1"/>
  <c r="J335" i="1"/>
  <c r="J336" i="1"/>
  <c r="B336" i="6" s="1"/>
  <c r="J337" i="1"/>
  <c r="J338" i="1"/>
  <c r="J339" i="1"/>
  <c r="J340" i="1"/>
  <c r="B340" i="6" s="1"/>
  <c r="J341" i="1"/>
  <c r="J342" i="1"/>
  <c r="J343" i="1"/>
  <c r="J344" i="1"/>
  <c r="B344" i="6" s="1"/>
  <c r="J345" i="1"/>
  <c r="J346" i="1"/>
  <c r="J347" i="1"/>
  <c r="J348" i="1"/>
  <c r="B348" i="6" s="1"/>
  <c r="J349" i="1"/>
  <c r="J350" i="1"/>
  <c r="J351" i="1"/>
  <c r="B351" i="6" s="1"/>
  <c r="J352" i="1"/>
  <c r="B352" i="6" s="1"/>
  <c r="J353" i="1"/>
  <c r="J354" i="1"/>
  <c r="J355" i="1"/>
  <c r="J356" i="1"/>
  <c r="B356" i="6" s="1"/>
  <c r="J357" i="1"/>
  <c r="J358" i="1"/>
  <c r="J359" i="1"/>
  <c r="J360" i="1"/>
  <c r="B360" i="6" s="1"/>
  <c r="J361" i="1"/>
  <c r="J362" i="1"/>
  <c r="J363" i="1"/>
  <c r="J364" i="1"/>
  <c r="B364" i="6" s="1"/>
  <c r="J365" i="1"/>
  <c r="J366" i="1"/>
  <c r="J367" i="1"/>
  <c r="J368" i="1"/>
  <c r="B368" i="6" s="1"/>
  <c r="J369" i="1"/>
  <c r="J370" i="1"/>
  <c r="J371" i="1"/>
  <c r="J372" i="1"/>
  <c r="B372" i="6" s="1"/>
  <c r="J373" i="1"/>
  <c r="J374" i="1"/>
  <c r="J375" i="1"/>
  <c r="J376" i="1"/>
  <c r="B376" i="6" s="1"/>
  <c r="J377" i="1"/>
  <c r="J378" i="1"/>
  <c r="J379" i="1"/>
  <c r="J380" i="1"/>
  <c r="B380" i="6" s="1"/>
  <c r="J381" i="1"/>
  <c r="J382" i="1"/>
  <c r="J383" i="1"/>
  <c r="J384" i="1"/>
  <c r="B384" i="6" s="1"/>
  <c r="J385" i="1"/>
  <c r="J386" i="1"/>
  <c r="J387" i="1"/>
  <c r="J388" i="1"/>
  <c r="B388" i="6" s="1"/>
  <c r="J389" i="1"/>
  <c r="J390" i="1"/>
  <c r="J391" i="1"/>
  <c r="J392" i="1"/>
  <c r="B392" i="6" s="1"/>
  <c r="J393" i="1"/>
  <c r="J394" i="1"/>
  <c r="J395" i="1"/>
  <c r="J396" i="1"/>
  <c r="B396" i="6" s="1"/>
  <c r="J397" i="1"/>
  <c r="J398" i="1"/>
  <c r="J399" i="1"/>
  <c r="J400" i="1"/>
  <c r="B400" i="6" s="1"/>
  <c r="J401" i="1"/>
  <c r="J402" i="1"/>
  <c r="J403" i="1"/>
  <c r="J404" i="1"/>
  <c r="B404" i="6" s="1"/>
  <c r="J405" i="1"/>
  <c r="J406" i="1"/>
  <c r="J407" i="1"/>
  <c r="J408" i="1"/>
  <c r="B408" i="6" s="1"/>
  <c r="J409" i="1"/>
  <c r="J410" i="1"/>
  <c r="J411" i="1"/>
  <c r="J412" i="1"/>
  <c r="B412" i="6" s="1"/>
  <c r="J413" i="1"/>
  <c r="J414" i="1"/>
  <c r="J415" i="1"/>
  <c r="B415" i="6" s="1"/>
  <c r="J416" i="1"/>
  <c r="A416" i="6" s="1"/>
  <c r="J417" i="1"/>
  <c r="J418" i="1"/>
  <c r="J419" i="1"/>
  <c r="J420" i="1"/>
  <c r="B420" i="6" s="1"/>
  <c r="J421" i="1"/>
  <c r="J422" i="1"/>
  <c r="J423" i="1"/>
  <c r="J424" i="1"/>
  <c r="B424" i="6" s="1"/>
  <c r="J425" i="1"/>
  <c r="J426" i="1"/>
  <c r="J427" i="1"/>
  <c r="J428" i="1"/>
  <c r="B428" i="6" s="1"/>
  <c r="J429" i="1"/>
  <c r="J430" i="1"/>
  <c r="J431" i="1"/>
  <c r="J432" i="1"/>
  <c r="B432" i="6" s="1"/>
  <c r="J433" i="1"/>
  <c r="J434" i="1"/>
  <c r="J435" i="1"/>
  <c r="J436" i="1"/>
  <c r="B436" i="6" s="1"/>
  <c r="J437" i="1"/>
  <c r="J438" i="1"/>
  <c r="J439" i="1"/>
  <c r="J440" i="1"/>
  <c r="B440" i="6" s="1"/>
  <c r="J441" i="1"/>
  <c r="J442" i="1"/>
  <c r="J443" i="1"/>
  <c r="J444" i="1"/>
  <c r="B444" i="6" s="1"/>
  <c r="J445" i="1"/>
  <c r="J446" i="1"/>
  <c r="J447" i="1"/>
  <c r="J448" i="1"/>
  <c r="B448" i="6" s="1"/>
  <c r="J449" i="1"/>
  <c r="J450" i="1"/>
  <c r="J451" i="1"/>
  <c r="J452" i="1"/>
  <c r="B452" i="6" s="1"/>
  <c r="J453" i="1"/>
  <c r="J454" i="1"/>
  <c r="J455" i="1"/>
  <c r="J456" i="1"/>
  <c r="B456" i="6" s="1"/>
  <c r="J457" i="1"/>
  <c r="J458" i="1"/>
  <c r="J459" i="1"/>
  <c r="J460" i="1"/>
  <c r="B460" i="6" s="1"/>
  <c r="J461" i="1"/>
  <c r="J462" i="1"/>
  <c r="J463" i="1"/>
  <c r="J464" i="1"/>
  <c r="B464" i="6" s="1"/>
  <c r="J465" i="1"/>
  <c r="J466" i="1"/>
  <c r="J467" i="1"/>
  <c r="J468" i="1"/>
  <c r="B468" i="6" s="1"/>
  <c r="J469" i="1"/>
  <c r="J470" i="1"/>
  <c r="J471" i="1"/>
  <c r="J472" i="1"/>
  <c r="B472" i="6" s="1"/>
  <c r="J473" i="1"/>
  <c r="J474" i="1"/>
  <c r="J475" i="1"/>
  <c r="J476" i="1"/>
  <c r="B476" i="6" s="1"/>
  <c r="J477" i="1"/>
  <c r="J478" i="1"/>
  <c r="J479" i="1"/>
  <c r="B479" i="6" s="1"/>
  <c r="J480" i="1"/>
  <c r="B480" i="6" s="1"/>
  <c r="J481" i="1"/>
  <c r="J482" i="1"/>
  <c r="J483" i="1"/>
  <c r="J484" i="1"/>
  <c r="B484" i="6" s="1"/>
  <c r="J485" i="1"/>
  <c r="J486" i="1"/>
  <c r="J487" i="1"/>
  <c r="J488" i="1"/>
  <c r="B488" i="6" s="1"/>
  <c r="J489" i="1"/>
  <c r="J490" i="1"/>
  <c r="J491" i="1"/>
  <c r="J492" i="1"/>
  <c r="B492" i="6" s="1"/>
  <c r="J493" i="1"/>
  <c r="J494" i="1"/>
  <c r="J495" i="1"/>
  <c r="J496" i="1"/>
  <c r="B496" i="6" s="1"/>
  <c r="J497" i="1"/>
  <c r="J498" i="1"/>
  <c r="J499" i="1"/>
  <c r="J500" i="1"/>
  <c r="B500" i="6" s="1"/>
  <c r="J501" i="1"/>
  <c r="J502" i="1"/>
  <c r="J503" i="1"/>
  <c r="J504" i="1"/>
  <c r="B504" i="6" s="1"/>
  <c r="J505" i="1"/>
  <c r="J506" i="1"/>
  <c r="J507" i="1"/>
  <c r="J508" i="1"/>
  <c r="B508" i="6" s="1"/>
  <c r="J509" i="1"/>
  <c r="J510" i="1"/>
  <c r="J511" i="1"/>
  <c r="J512" i="1"/>
  <c r="B512" i="6" s="1"/>
  <c r="J513" i="1"/>
  <c r="J514" i="1"/>
  <c r="J515" i="1"/>
  <c r="J516" i="1"/>
  <c r="B516" i="6" s="1"/>
  <c r="J517" i="1"/>
  <c r="J518" i="1"/>
  <c r="J519" i="1"/>
  <c r="J520" i="1"/>
  <c r="B520" i="6" s="1"/>
  <c r="J521" i="1"/>
  <c r="J522" i="1"/>
  <c r="J523" i="1"/>
  <c r="J524" i="1"/>
  <c r="B524" i="6" s="1"/>
  <c r="J525" i="1"/>
  <c r="J526" i="1"/>
  <c r="J527" i="1"/>
  <c r="J528" i="1"/>
  <c r="B528" i="6" s="1"/>
  <c r="J529" i="1"/>
  <c r="J530" i="1"/>
  <c r="J531" i="1"/>
  <c r="J532" i="1"/>
  <c r="B532" i="6" s="1"/>
  <c r="J533" i="1"/>
  <c r="J534" i="1"/>
  <c r="J535" i="1"/>
  <c r="J536" i="1"/>
  <c r="B536" i="6" s="1"/>
  <c r="J537" i="1"/>
  <c r="J538" i="1"/>
  <c r="J539" i="1"/>
  <c r="J540" i="1"/>
  <c r="B540" i="6" s="1"/>
  <c r="J541" i="1"/>
  <c r="J542" i="1"/>
  <c r="J543" i="1"/>
  <c r="B543" i="6" s="1"/>
  <c r="J544" i="1"/>
  <c r="B544" i="6" s="1"/>
  <c r="J545" i="1"/>
  <c r="J546" i="1"/>
  <c r="J547" i="1"/>
  <c r="J548" i="1"/>
  <c r="B548" i="6" s="1"/>
  <c r="J549" i="1"/>
  <c r="J550" i="1"/>
  <c r="J551" i="1"/>
  <c r="J552" i="1"/>
  <c r="B552" i="6" s="1"/>
  <c r="J553" i="1"/>
  <c r="J554" i="1"/>
  <c r="J555" i="1"/>
  <c r="J556" i="1"/>
  <c r="B556" i="6" s="1"/>
  <c r="J557" i="1"/>
  <c r="J558" i="1"/>
  <c r="J559" i="1"/>
  <c r="J560" i="1"/>
  <c r="B560" i="6" s="1"/>
  <c r="J561" i="1"/>
  <c r="J562" i="1"/>
  <c r="J563" i="1"/>
  <c r="J564" i="1"/>
  <c r="B564" i="6" s="1"/>
  <c r="J565" i="1"/>
  <c r="J566" i="1"/>
  <c r="J567" i="1"/>
  <c r="J568" i="1"/>
  <c r="B568" i="6" s="1"/>
  <c r="J569" i="1"/>
  <c r="J570" i="1"/>
  <c r="J571" i="1"/>
  <c r="J572" i="1"/>
  <c r="B572" i="6" s="1"/>
  <c r="J573" i="1"/>
  <c r="J574" i="1"/>
  <c r="J575" i="1"/>
  <c r="J576" i="1"/>
  <c r="B576" i="6" s="1"/>
  <c r="J577" i="1"/>
  <c r="J578" i="1"/>
  <c r="J579" i="1"/>
  <c r="J580" i="1"/>
  <c r="B580" i="6" s="1"/>
  <c r="J581" i="1"/>
  <c r="J582" i="1"/>
  <c r="J583" i="1"/>
  <c r="J584" i="1"/>
  <c r="B584" i="6" s="1"/>
  <c r="J585" i="1"/>
  <c r="J586" i="1"/>
  <c r="J587" i="1"/>
  <c r="J588" i="1"/>
  <c r="B588" i="6" s="1"/>
  <c r="J589" i="1"/>
  <c r="J590" i="1"/>
  <c r="J591" i="1"/>
  <c r="J592" i="1"/>
  <c r="B592" i="6" s="1"/>
  <c r="J593" i="1"/>
  <c r="J594" i="1"/>
  <c r="J595" i="1"/>
  <c r="J596" i="1"/>
  <c r="B596" i="6" s="1"/>
  <c r="J597" i="1"/>
  <c r="J598" i="1"/>
  <c r="J599" i="1"/>
  <c r="J600" i="1"/>
  <c r="B600" i="6" s="1"/>
  <c r="J601" i="1"/>
  <c r="J602" i="1"/>
  <c r="J603" i="1"/>
  <c r="J604" i="1"/>
  <c r="B604" i="6" s="1"/>
  <c r="J605" i="1"/>
  <c r="J606" i="1"/>
  <c r="J607" i="1"/>
  <c r="B607" i="6" s="1"/>
  <c r="J608" i="1"/>
  <c r="B608" i="6" s="1"/>
  <c r="J609" i="1"/>
  <c r="J610" i="1"/>
  <c r="J611" i="1"/>
  <c r="J612" i="1"/>
  <c r="B612" i="6" s="1"/>
  <c r="J613" i="1"/>
  <c r="J614" i="1"/>
  <c r="J615" i="1"/>
  <c r="J616" i="1"/>
  <c r="B616" i="6" s="1"/>
  <c r="J617" i="1"/>
  <c r="J618" i="1"/>
  <c r="J619" i="1"/>
  <c r="J620" i="1"/>
  <c r="B620" i="6" s="1"/>
  <c r="J621" i="1"/>
  <c r="J622" i="1"/>
  <c r="J623" i="1"/>
  <c r="J624" i="1"/>
  <c r="B624" i="6" s="1"/>
  <c r="J625" i="1"/>
  <c r="J626" i="1"/>
  <c r="J627" i="1"/>
  <c r="J628" i="1"/>
  <c r="B628" i="6" s="1"/>
  <c r="J629" i="1"/>
  <c r="J630" i="1"/>
  <c r="J631" i="1"/>
  <c r="J632" i="1"/>
  <c r="B632" i="6" s="1"/>
  <c r="J633" i="1"/>
  <c r="J634" i="1"/>
  <c r="J635" i="1"/>
  <c r="J636" i="1"/>
  <c r="B636" i="6" s="1"/>
  <c r="J637" i="1"/>
  <c r="J638" i="1"/>
  <c r="J639" i="1"/>
  <c r="J640" i="1"/>
  <c r="B640" i="6" s="1"/>
  <c r="J641" i="1"/>
  <c r="J642" i="1"/>
  <c r="J643" i="1"/>
  <c r="J644" i="1"/>
  <c r="B644" i="6" s="1"/>
  <c r="J645" i="1"/>
  <c r="J646" i="1"/>
  <c r="J647" i="1"/>
  <c r="J648" i="1"/>
  <c r="B648" i="6" s="1"/>
  <c r="J649" i="1"/>
  <c r="J650" i="1"/>
  <c r="J651" i="1"/>
  <c r="J652" i="1"/>
  <c r="B652" i="6" s="1"/>
  <c r="J653" i="1"/>
  <c r="J654" i="1"/>
  <c r="J655" i="1"/>
  <c r="J656" i="1"/>
  <c r="B656" i="6" s="1"/>
  <c r="J657" i="1"/>
  <c r="J658" i="1"/>
  <c r="J659" i="1"/>
  <c r="J660" i="1"/>
  <c r="B660" i="6" s="1"/>
  <c r="J661" i="1"/>
  <c r="J662" i="1"/>
  <c r="J663" i="1"/>
  <c r="J664" i="1"/>
  <c r="B664" i="6" s="1"/>
  <c r="J665" i="1"/>
  <c r="J666" i="1"/>
  <c r="J667" i="1"/>
  <c r="J668" i="1"/>
  <c r="B668" i="6" s="1"/>
  <c r="J669" i="1"/>
  <c r="J670" i="1"/>
  <c r="J671" i="1"/>
  <c r="B671" i="6" s="1"/>
  <c r="J672" i="1"/>
  <c r="B672" i="6" s="1"/>
  <c r="J673" i="1"/>
  <c r="J674" i="1"/>
  <c r="J675" i="1"/>
  <c r="J676" i="1"/>
  <c r="B676" i="6" s="1"/>
  <c r="J677" i="1"/>
  <c r="J678" i="1"/>
  <c r="J679" i="1"/>
  <c r="J680" i="1"/>
  <c r="B680" i="6" s="1"/>
  <c r="J681" i="1"/>
  <c r="J682" i="1"/>
  <c r="J683" i="1"/>
  <c r="J684" i="1"/>
  <c r="B684" i="6" s="1"/>
  <c r="J685" i="1"/>
  <c r="J686" i="1"/>
  <c r="J687" i="1"/>
  <c r="J688" i="1"/>
  <c r="B688" i="6" s="1"/>
  <c r="J689" i="1"/>
  <c r="J690" i="1"/>
  <c r="J691" i="1"/>
  <c r="J692" i="1"/>
  <c r="B692" i="6" s="1"/>
  <c r="J693" i="1"/>
  <c r="J694" i="1"/>
  <c r="J695" i="1"/>
  <c r="J696" i="1"/>
  <c r="B696" i="6" s="1"/>
  <c r="J697" i="1"/>
  <c r="J698" i="1"/>
  <c r="J699" i="1"/>
  <c r="J700" i="1"/>
  <c r="B700" i="6" s="1"/>
  <c r="J701" i="1"/>
  <c r="J702" i="1"/>
  <c r="J703" i="1"/>
  <c r="J704" i="1"/>
  <c r="B704" i="6" s="1"/>
  <c r="J705" i="1"/>
  <c r="J706" i="1"/>
  <c r="J707" i="1"/>
  <c r="J708" i="1"/>
  <c r="B708" i="6" s="1"/>
  <c r="J709" i="1"/>
  <c r="A709" i="6" s="1"/>
  <c r="J710" i="1"/>
  <c r="J711" i="1"/>
  <c r="J712" i="1"/>
  <c r="B712" i="6" s="1"/>
  <c r="J713" i="1"/>
  <c r="J714" i="1"/>
  <c r="J715" i="1"/>
  <c r="J716" i="1"/>
  <c r="B716" i="6" s="1"/>
  <c r="J717" i="1"/>
  <c r="J718" i="1"/>
  <c r="J719" i="1"/>
  <c r="J720" i="1"/>
  <c r="B720" i="6" s="1"/>
  <c r="J721" i="1"/>
  <c r="J722" i="1"/>
  <c r="J723" i="1"/>
  <c r="J724" i="1"/>
  <c r="B724" i="6" s="1"/>
  <c r="J725" i="1"/>
  <c r="A725" i="6" s="1"/>
  <c r="J726" i="1"/>
  <c r="J727" i="1"/>
  <c r="J728" i="1"/>
  <c r="B728" i="6" s="1"/>
  <c r="J729" i="1"/>
  <c r="J730" i="1"/>
  <c r="J731" i="1"/>
  <c r="J732" i="1"/>
  <c r="B732" i="6" s="1"/>
  <c r="J733" i="1"/>
  <c r="J734" i="1"/>
  <c r="J735" i="1"/>
  <c r="B735" i="6" s="1"/>
  <c r="J736" i="1"/>
  <c r="B736" i="6" s="1"/>
  <c r="J737" i="1"/>
  <c r="J738" i="1"/>
  <c r="J739" i="1"/>
  <c r="J740" i="1"/>
  <c r="B740" i="6" s="1"/>
  <c r="J741" i="1"/>
  <c r="J742" i="1"/>
  <c r="J743" i="1"/>
  <c r="J744" i="1"/>
  <c r="B744" i="6" s="1"/>
  <c r="J745" i="1"/>
  <c r="J746" i="1"/>
  <c r="J747" i="1"/>
  <c r="J748" i="1"/>
  <c r="B748" i="6" s="1"/>
  <c r="J749" i="1"/>
  <c r="A749" i="6" s="1"/>
  <c r="J750" i="1"/>
  <c r="J751" i="1"/>
  <c r="J752" i="1"/>
  <c r="B752" i="6" s="1"/>
  <c r="J753" i="1"/>
  <c r="J754" i="1"/>
  <c r="J755" i="1"/>
  <c r="J756" i="1"/>
  <c r="B756" i="6" s="1"/>
  <c r="J757" i="1"/>
  <c r="J758" i="1"/>
  <c r="J759" i="1"/>
  <c r="J760" i="1"/>
  <c r="B760" i="6" s="1"/>
  <c r="J761" i="1"/>
  <c r="J762" i="1"/>
  <c r="J763" i="1"/>
  <c r="J764" i="1"/>
  <c r="B764" i="6" s="1"/>
  <c r="J765" i="1"/>
  <c r="J766" i="1"/>
  <c r="J767" i="1"/>
  <c r="J768" i="1"/>
  <c r="B768" i="6" s="1"/>
  <c r="J769" i="1"/>
  <c r="J770" i="1"/>
  <c r="J771" i="1"/>
  <c r="J772" i="1"/>
  <c r="B772" i="6" s="1"/>
  <c r="J773" i="1"/>
  <c r="A773" i="6" s="1"/>
  <c r="J774" i="1"/>
  <c r="J775" i="1"/>
  <c r="J776" i="1"/>
  <c r="B776" i="6" s="1"/>
  <c r="J777" i="1"/>
  <c r="J778" i="1"/>
  <c r="J779" i="1"/>
  <c r="J780" i="1"/>
  <c r="B780" i="6" s="1"/>
  <c r="J781" i="1"/>
  <c r="J782" i="1"/>
  <c r="J783" i="1"/>
  <c r="J784" i="1"/>
  <c r="B784" i="6" s="1"/>
  <c r="J785" i="1"/>
  <c r="J786" i="1"/>
  <c r="J787" i="1"/>
  <c r="J788" i="1"/>
  <c r="B788" i="6" s="1"/>
  <c r="J789" i="1"/>
  <c r="J790" i="1"/>
  <c r="J791" i="1"/>
  <c r="J792" i="1"/>
  <c r="B792" i="6" s="1"/>
  <c r="J793" i="1"/>
  <c r="J794" i="1"/>
  <c r="J795" i="1"/>
  <c r="B795" i="6" s="1"/>
  <c r="J796" i="1"/>
  <c r="B796" i="6" s="1"/>
  <c r="J797" i="1"/>
  <c r="J798" i="1"/>
  <c r="J799" i="1"/>
  <c r="J800" i="1"/>
  <c r="B800" i="6" s="1"/>
  <c r="J801" i="1"/>
  <c r="J802" i="1"/>
  <c r="J803" i="1"/>
  <c r="J804" i="1"/>
  <c r="B804" i="6" s="1"/>
  <c r="J805" i="1"/>
  <c r="J806" i="1"/>
  <c r="J807" i="1"/>
  <c r="J808" i="1"/>
  <c r="B808" i="6" s="1"/>
  <c r="J809" i="1"/>
  <c r="J810" i="1"/>
  <c r="J811" i="1"/>
  <c r="B811" i="6" s="1"/>
  <c r="J812" i="1"/>
  <c r="B812" i="6" s="1"/>
  <c r="J813" i="1"/>
  <c r="J814" i="1"/>
  <c r="J815" i="1"/>
  <c r="J816" i="1"/>
  <c r="B816" i="6" s="1"/>
  <c r="J817" i="1"/>
  <c r="J818" i="1"/>
  <c r="J819" i="1"/>
  <c r="J820" i="1"/>
  <c r="B820" i="6" s="1"/>
  <c r="J821" i="1"/>
  <c r="J822" i="1"/>
  <c r="J823" i="1"/>
  <c r="J824" i="1"/>
  <c r="B824" i="6" s="1"/>
  <c r="J825" i="1"/>
  <c r="J826" i="1"/>
  <c r="J827" i="1"/>
  <c r="B827" i="6" s="1"/>
  <c r="J828" i="1"/>
  <c r="B828" i="6" s="1"/>
  <c r="J829" i="1"/>
  <c r="J830" i="1"/>
  <c r="A830" i="6" s="1"/>
  <c r="J831" i="1"/>
  <c r="J832" i="1"/>
  <c r="B832" i="6" s="1"/>
  <c r="J833" i="1"/>
  <c r="J834" i="1"/>
  <c r="J835" i="1"/>
  <c r="J836" i="1"/>
  <c r="B836" i="6" s="1"/>
  <c r="J837" i="1"/>
  <c r="J838" i="1"/>
  <c r="J839" i="1"/>
  <c r="J840" i="1"/>
  <c r="B840" i="6" s="1"/>
  <c r="J841" i="1"/>
  <c r="J842" i="1"/>
  <c r="J843" i="1"/>
  <c r="B843" i="6" s="1"/>
  <c r="J844" i="1"/>
  <c r="B844" i="6" s="1"/>
  <c r="J845" i="1"/>
  <c r="J846" i="1"/>
  <c r="B846" i="6" s="1"/>
  <c r="J847" i="1"/>
  <c r="J848" i="1"/>
  <c r="B848" i="6" s="1"/>
  <c r="J849" i="1"/>
  <c r="J850" i="1"/>
  <c r="J851" i="1"/>
  <c r="J852" i="1"/>
  <c r="B852" i="6" s="1"/>
  <c r="J853" i="1"/>
  <c r="J854" i="1"/>
  <c r="B854" i="6" s="1"/>
  <c r="J855" i="1"/>
  <c r="B855" i="6" s="1"/>
  <c r="J856" i="1"/>
  <c r="B856" i="6" s="1"/>
  <c r="J857" i="1"/>
  <c r="J858" i="1"/>
  <c r="J859" i="1"/>
  <c r="J860" i="1"/>
  <c r="B860" i="6" s="1"/>
  <c r="J861" i="1"/>
  <c r="J862" i="1"/>
  <c r="B862" i="6" s="1"/>
  <c r="J863" i="1"/>
  <c r="J864" i="1"/>
  <c r="B864" i="6" s="1"/>
  <c r="J865" i="1"/>
  <c r="J866" i="1"/>
  <c r="J867" i="1"/>
  <c r="J868" i="1"/>
  <c r="B868" i="6" s="1"/>
  <c r="J869" i="1"/>
  <c r="J870" i="1"/>
  <c r="B870" i="6" s="1"/>
  <c r="J871" i="1"/>
  <c r="J872" i="1"/>
  <c r="B872" i="6" s="1"/>
  <c r="J873" i="1"/>
  <c r="J874" i="1"/>
  <c r="J875" i="1"/>
  <c r="J876" i="1"/>
  <c r="B876" i="6" s="1"/>
  <c r="J877" i="1"/>
  <c r="J878" i="1"/>
  <c r="A878" i="6" s="1"/>
  <c r="J879" i="1"/>
  <c r="J880" i="1"/>
  <c r="B880" i="6" s="1"/>
  <c r="J881" i="1"/>
  <c r="J882" i="1"/>
  <c r="J883" i="1"/>
  <c r="J884" i="1"/>
  <c r="B884" i="6" s="1"/>
  <c r="J885" i="1"/>
  <c r="J886" i="1"/>
  <c r="B886" i="6" s="1"/>
  <c r="J887" i="1"/>
  <c r="J888" i="1"/>
  <c r="B888" i="6" s="1"/>
  <c r="J889" i="1"/>
  <c r="J890" i="1"/>
  <c r="J891" i="1"/>
  <c r="J892" i="1"/>
  <c r="B892" i="6" s="1"/>
  <c r="J893" i="1"/>
  <c r="J894" i="1"/>
  <c r="B894" i="6" s="1"/>
  <c r="J895" i="1"/>
  <c r="J896" i="1"/>
  <c r="B896" i="6" s="1"/>
  <c r="J897" i="1"/>
  <c r="J898" i="1"/>
  <c r="J899" i="1"/>
  <c r="J900" i="1"/>
  <c r="B900" i="6" s="1"/>
  <c r="J901" i="1"/>
  <c r="J902" i="1"/>
  <c r="B902" i="6" s="1"/>
  <c r="J903" i="1"/>
  <c r="J904" i="1"/>
  <c r="B904" i="6" s="1"/>
  <c r="J905" i="1"/>
  <c r="J906" i="1"/>
  <c r="J907" i="1"/>
  <c r="B907" i="6" s="1"/>
  <c r="J908" i="1"/>
  <c r="B908" i="6" s="1"/>
  <c r="J909" i="1"/>
  <c r="J910" i="1"/>
  <c r="B910" i="6" s="1"/>
  <c r="J911" i="1"/>
  <c r="J912" i="1"/>
  <c r="B912" i="6" s="1"/>
  <c r="J913" i="1"/>
  <c r="J914" i="1"/>
  <c r="J915" i="1"/>
  <c r="J916" i="1"/>
  <c r="B916" i="6" s="1"/>
  <c r="J917" i="1"/>
  <c r="J918" i="1"/>
  <c r="A918" i="6" s="1"/>
  <c r="J919" i="1"/>
  <c r="B919" i="6" s="1"/>
  <c r="J920" i="1"/>
  <c r="B920" i="6" s="1"/>
  <c r="J921" i="1"/>
  <c r="J922" i="1"/>
  <c r="J923" i="1"/>
  <c r="J924" i="1"/>
  <c r="B924" i="6" s="1"/>
  <c r="J925" i="1"/>
  <c r="J926" i="1"/>
  <c r="B926" i="6" s="1"/>
  <c r="J927" i="1"/>
  <c r="J928" i="1"/>
  <c r="B928" i="6" s="1"/>
  <c r="J929" i="1"/>
  <c r="J930" i="1"/>
  <c r="J931" i="1"/>
  <c r="J932" i="1"/>
  <c r="B932" i="6" s="1"/>
  <c r="J933" i="1"/>
  <c r="J934" i="1"/>
  <c r="B934" i="6" s="1"/>
  <c r="J935" i="1"/>
  <c r="J936" i="1"/>
  <c r="B936" i="6" s="1"/>
  <c r="J937" i="1"/>
  <c r="J938" i="1"/>
  <c r="J939" i="1"/>
  <c r="J940" i="1"/>
  <c r="B940" i="6" s="1"/>
  <c r="J941" i="1"/>
  <c r="A941" i="6" s="1"/>
  <c r="J942" i="1"/>
  <c r="B942" i="6" s="1"/>
  <c r="J943" i="1"/>
  <c r="J944" i="1"/>
  <c r="B944" i="6" s="1"/>
  <c r="J945" i="1"/>
  <c r="J946" i="1"/>
  <c r="J947" i="1"/>
  <c r="J948" i="1"/>
  <c r="B948" i="6" s="1"/>
  <c r="J949" i="1"/>
  <c r="J950" i="1"/>
  <c r="B950" i="6" s="1"/>
  <c r="J951" i="1"/>
  <c r="J952" i="1"/>
  <c r="B952" i="6" s="1"/>
  <c r="J953" i="1"/>
  <c r="J954" i="1"/>
  <c r="J955" i="1"/>
  <c r="J956" i="1"/>
  <c r="B956" i="6" s="1"/>
  <c r="J957" i="1"/>
  <c r="J958" i="1"/>
  <c r="B958" i="6" s="1"/>
  <c r="J959" i="1"/>
  <c r="J960" i="1"/>
  <c r="B960" i="6" s="1"/>
  <c r="J961" i="1"/>
  <c r="J962" i="1"/>
  <c r="J963" i="1"/>
  <c r="J964" i="1"/>
  <c r="B964" i="6" s="1"/>
  <c r="J965" i="1"/>
  <c r="J966" i="1"/>
  <c r="B966" i="6" s="1"/>
  <c r="J967" i="1"/>
  <c r="J968" i="1"/>
  <c r="B968" i="6" s="1"/>
  <c r="J969" i="1"/>
  <c r="J970" i="1"/>
  <c r="J971" i="1"/>
  <c r="B971" i="6" s="1"/>
  <c r="J972" i="1"/>
  <c r="B972" i="6" s="1"/>
  <c r="J973" i="1"/>
  <c r="J974" i="1"/>
  <c r="B974" i="6" s="1"/>
  <c r="J975" i="1"/>
  <c r="J976" i="1"/>
  <c r="B976" i="6" s="1"/>
  <c r="J977" i="1"/>
  <c r="B977" i="6" s="1"/>
  <c r="J978" i="1"/>
  <c r="J979" i="1"/>
  <c r="J980" i="1"/>
  <c r="B980" i="6" s="1"/>
  <c r="J981" i="1"/>
  <c r="A981" i="6" s="1"/>
  <c r="J982" i="1"/>
  <c r="B982" i="6" s="1"/>
  <c r="J983" i="1"/>
  <c r="J984" i="1"/>
  <c r="B984" i="6" s="1"/>
  <c r="J985" i="1"/>
  <c r="B985" i="6" s="1"/>
  <c r="J986" i="1"/>
  <c r="J987" i="1"/>
  <c r="J988" i="1"/>
  <c r="B988" i="6" s="1"/>
  <c r="J989" i="1"/>
  <c r="J990" i="1"/>
  <c r="B990" i="6" s="1"/>
  <c r="J991" i="1"/>
  <c r="J992" i="1"/>
  <c r="B992" i="6" s="1"/>
  <c r="J993" i="1"/>
  <c r="B993" i="6" s="1"/>
  <c r="J994" i="1"/>
  <c r="J995" i="1"/>
  <c r="J996" i="1"/>
  <c r="B996" i="6" s="1"/>
  <c r="J997" i="1"/>
  <c r="J998" i="1"/>
  <c r="B998" i="6" s="1"/>
  <c r="J999" i="1"/>
  <c r="J1000" i="1"/>
  <c r="B1000" i="6" s="1"/>
  <c r="J1001" i="1"/>
  <c r="B1001" i="6" s="1"/>
  <c r="J1002" i="1"/>
  <c r="J1003" i="1"/>
  <c r="B1003" i="6" s="1"/>
  <c r="J1004" i="1"/>
  <c r="B1004" i="6" s="1"/>
  <c r="J1005" i="1"/>
  <c r="A1005" i="6" s="1"/>
  <c r="J1006" i="1"/>
  <c r="B1006" i="6" s="1"/>
  <c r="J1007" i="1"/>
  <c r="J1008" i="1"/>
  <c r="B1008" i="6" s="1"/>
  <c r="J1009" i="1"/>
  <c r="B1009" i="6" s="1"/>
  <c r="J1010" i="1"/>
  <c r="J1011" i="1"/>
  <c r="J1012" i="1"/>
  <c r="B1012" i="6" s="1"/>
  <c r="J1013" i="1"/>
  <c r="J1014" i="1"/>
  <c r="B1014" i="6" s="1"/>
  <c r="J1015" i="1"/>
  <c r="J1016" i="1"/>
  <c r="B1016" i="6" s="1"/>
  <c r="J1017" i="1"/>
  <c r="B1017" i="6" s="1"/>
  <c r="J1018" i="1"/>
  <c r="J1019" i="1"/>
  <c r="J1020" i="1"/>
  <c r="B1020" i="6" s="1"/>
  <c r="J1021" i="1"/>
  <c r="J1022" i="1"/>
  <c r="B1022" i="6" s="1"/>
  <c r="J1023" i="1"/>
  <c r="J1024" i="1"/>
  <c r="B1024" i="6" s="1"/>
  <c r="J1025" i="1"/>
  <c r="B1025" i="6" s="1"/>
  <c r="J1026" i="1"/>
  <c r="J1027" i="1"/>
  <c r="J1028" i="1"/>
  <c r="B1028" i="6" s="1"/>
  <c r="J1029" i="1"/>
  <c r="A1029" i="6" s="1"/>
  <c r="J1030" i="1"/>
  <c r="B1030" i="6" s="1"/>
  <c r="J1031" i="1"/>
  <c r="J1032" i="1"/>
  <c r="B1032" i="6" s="1"/>
  <c r="J1033" i="1"/>
  <c r="B1033" i="6" s="1"/>
  <c r="J1034" i="1"/>
  <c r="J1035" i="1"/>
  <c r="B1035" i="6" s="1"/>
  <c r="J1036" i="1"/>
  <c r="B1036" i="6" s="1"/>
  <c r="J1037" i="1"/>
  <c r="J1038" i="1"/>
  <c r="B1038" i="6" s="1"/>
  <c r="J1039" i="1"/>
  <c r="J1040" i="1"/>
  <c r="B1040" i="6" s="1"/>
  <c r="J1041" i="1"/>
  <c r="B1041" i="6" s="1"/>
  <c r="J1042" i="1"/>
  <c r="J1043" i="1"/>
  <c r="J1044" i="1"/>
  <c r="B1044" i="6" s="1"/>
  <c r="J1045" i="1"/>
  <c r="J1046" i="1"/>
  <c r="B1046" i="6" s="1"/>
  <c r="J1047" i="1"/>
  <c r="J1048" i="1"/>
  <c r="B1048" i="6" s="1"/>
  <c r="J1049" i="1"/>
  <c r="B1049" i="6" s="1"/>
  <c r="J1050" i="1"/>
  <c r="J1051" i="1"/>
  <c r="J1052" i="1"/>
  <c r="B1052" i="6" s="1"/>
  <c r="J1053" i="1"/>
  <c r="J1054" i="1"/>
  <c r="B1054" i="6" s="1"/>
  <c r="J1055" i="1"/>
  <c r="J1056" i="1"/>
  <c r="B1056" i="6" s="1"/>
  <c r="J1057" i="1"/>
  <c r="B1057" i="6" s="1"/>
  <c r="J1058" i="1"/>
  <c r="J1059" i="1"/>
  <c r="J1060" i="1"/>
  <c r="B1060" i="6" s="1"/>
  <c r="J1061" i="1"/>
  <c r="J1062" i="1"/>
  <c r="B1062" i="6" s="1"/>
  <c r="J1063" i="1"/>
  <c r="J1064" i="1"/>
  <c r="B1064" i="6" s="1"/>
  <c r="J1065" i="1"/>
  <c r="B1065" i="6" s="1"/>
  <c r="J1066" i="1"/>
  <c r="J1067" i="1"/>
  <c r="B1067" i="6" s="1"/>
  <c r="J1068" i="1"/>
  <c r="B1068" i="6" s="1"/>
  <c r="J1069" i="1"/>
  <c r="J1070" i="1"/>
  <c r="B1070" i="6" s="1"/>
  <c r="J1071" i="1"/>
  <c r="J1072" i="1"/>
  <c r="B1072" i="6" s="1"/>
  <c r="J1073" i="1"/>
  <c r="B1073" i="6" s="1"/>
  <c r="J1074" i="1"/>
  <c r="J1075" i="1"/>
  <c r="J1076" i="1"/>
  <c r="B1076" i="6" s="1"/>
  <c r="J1077" i="1"/>
  <c r="J1078" i="1"/>
  <c r="B1078" i="6" s="1"/>
  <c r="J1079" i="1"/>
  <c r="J1080" i="1"/>
  <c r="B1080" i="6" s="1"/>
  <c r="J1081" i="1"/>
  <c r="B1081" i="6" s="1"/>
  <c r="J1082" i="1"/>
  <c r="J1083" i="1"/>
  <c r="J1084" i="1"/>
  <c r="B1084" i="6" s="1"/>
  <c r="J1085" i="1"/>
  <c r="J1086" i="1"/>
  <c r="B1086" i="6" s="1"/>
  <c r="J1087" i="1"/>
  <c r="J1088" i="1"/>
  <c r="B1088" i="6" s="1"/>
  <c r="J1089" i="1"/>
  <c r="B1089" i="6" s="1"/>
  <c r="J1090" i="1"/>
  <c r="J1091" i="1"/>
  <c r="J1092" i="1"/>
  <c r="B1092" i="6" s="1"/>
  <c r="J1093" i="1"/>
  <c r="J1094" i="1"/>
  <c r="B1094" i="6" s="1"/>
  <c r="J1095" i="1"/>
  <c r="J1096" i="1"/>
  <c r="B1096" i="6" s="1"/>
  <c r="J1097" i="1"/>
  <c r="B1097" i="6" s="1"/>
  <c r="J1098" i="1"/>
  <c r="J1099" i="1"/>
  <c r="B1099" i="6" s="1"/>
  <c r="J1100" i="1"/>
  <c r="B1100" i="6" s="1"/>
  <c r="J1101" i="1"/>
  <c r="J1102" i="1"/>
  <c r="B1102" i="6" s="1"/>
  <c r="J1103" i="1"/>
  <c r="J1104" i="1"/>
  <c r="B1104" i="6" s="1"/>
  <c r="J1105" i="1"/>
  <c r="B1105" i="6" s="1"/>
  <c r="J1106" i="1"/>
  <c r="J1107" i="1"/>
  <c r="J1108" i="1"/>
  <c r="B1108" i="6" s="1"/>
  <c r="J1109" i="1"/>
  <c r="J1110" i="1"/>
  <c r="B1110" i="6" s="1"/>
  <c r="J1111" i="1"/>
  <c r="J1112" i="1"/>
  <c r="B1112" i="6" s="1"/>
  <c r="J1113" i="1"/>
  <c r="B1113" i="6" s="1"/>
  <c r="J1114" i="1"/>
  <c r="J1115" i="1"/>
  <c r="J1116" i="1"/>
  <c r="B1116" i="6" s="1"/>
  <c r="J1117" i="1"/>
  <c r="J1118" i="1"/>
  <c r="B1118" i="6" s="1"/>
  <c r="J1119" i="1"/>
  <c r="J1120" i="1"/>
  <c r="B1120" i="6" s="1"/>
  <c r="J1121" i="1"/>
  <c r="B1121" i="6" s="1"/>
  <c r="J1122" i="1"/>
  <c r="J1123" i="1"/>
  <c r="J1124" i="1"/>
  <c r="B1124" i="6" s="1"/>
  <c r="J1125" i="1"/>
  <c r="J1126" i="1"/>
  <c r="B1126" i="6" s="1"/>
  <c r="J1127" i="1"/>
  <c r="J1128" i="1"/>
  <c r="B1128" i="6" s="1"/>
  <c r="J1129" i="1"/>
  <c r="B1129" i="6" s="1"/>
  <c r="J1130" i="1"/>
  <c r="J1131" i="1"/>
  <c r="B1131" i="6" s="1"/>
  <c r="J1132" i="1"/>
  <c r="B1132" i="6" s="1"/>
  <c r="J1133" i="1"/>
  <c r="J1134" i="1"/>
  <c r="B1134" i="6" s="1"/>
  <c r="J1135" i="1"/>
  <c r="J1136" i="1"/>
  <c r="B1136" i="6" s="1"/>
  <c r="J1137" i="1"/>
  <c r="B1137" i="6" s="1"/>
  <c r="J1138" i="1"/>
  <c r="J1139" i="1"/>
  <c r="J1140" i="1"/>
  <c r="B1140" i="6" s="1"/>
  <c r="J1141" i="1"/>
  <c r="J1142" i="1"/>
  <c r="B1142" i="6" s="1"/>
  <c r="J1143" i="1"/>
  <c r="J1144" i="1"/>
  <c r="B1144" i="6" s="1"/>
  <c r="J1145" i="1"/>
  <c r="B1145" i="6" s="1"/>
  <c r="J1146" i="1"/>
  <c r="J1147" i="1"/>
  <c r="J1148" i="1"/>
  <c r="B1148" i="6" s="1"/>
  <c r="J1149" i="1"/>
  <c r="J1150" i="1"/>
  <c r="B1150" i="6" s="1"/>
  <c r="J1151" i="1"/>
  <c r="J1152" i="1"/>
  <c r="B1152" i="6" s="1"/>
  <c r="J1153" i="1"/>
  <c r="B1153" i="6" s="1"/>
  <c r="J1154" i="1"/>
  <c r="J1155" i="1"/>
  <c r="J1156" i="1"/>
  <c r="B1156" i="6" s="1"/>
  <c r="J1157" i="1"/>
  <c r="J1158" i="1"/>
  <c r="B1158" i="6" s="1"/>
  <c r="J1159" i="1"/>
  <c r="J1160" i="1"/>
  <c r="B1160" i="6" s="1"/>
  <c r="J1161" i="1"/>
  <c r="B1161" i="6" s="1"/>
  <c r="J1162" i="1"/>
  <c r="A1162" i="6" s="1"/>
  <c r="J1163" i="1"/>
  <c r="B1163" i="6" s="1"/>
  <c r="J1164" i="1"/>
  <c r="B1164" i="6" s="1"/>
  <c r="J1165" i="1"/>
  <c r="A1165" i="6" s="1"/>
  <c r="J1166" i="1"/>
  <c r="B1166" i="6" s="1"/>
  <c r="J1167" i="1"/>
  <c r="J1168" i="1"/>
  <c r="B1168" i="6" s="1"/>
  <c r="J1169" i="1"/>
  <c r="B1169" i="6" s="1"/>
  <c r="J1170" i="1"/>
  <c r="J1171" i="1"/>
  <c r="J1172" i="1"/>
  <c r="B1172" i="6" s="1"/>
  <c r="J1173" i="1"/>
  <c r="J1174" i="1"/>
  <c r="B1174" i="6" s="1"/>
  <c r="J1175" i="1"/>
  <c r="J1176" i="1"/>
  <c r="B1176" i="6" s="1"/>
  <c r="J1177" i="1"/>
  <c r="B1177" i="6" s="1"/>
  <c r="J1178" i="1"/>
  <c r="J1179" i="1"/>
  <c r="J1180" i="1"/>
  <c r="B1180" i="6" s="1"/>
  <c r="J1181" i="1"/>
  <c r="A1181" i="6" s="1"/>
  <c r="J1182" i="1"/>
  <c r="B1182" i="6" s="1"/>
  <c r="J1183" i="1"/>
  <c r="J1184" i="1"/>
  <c r="B1184" i="6" s="1"/>
  <c r="J1185" i="1"/>
  <c r="B1185" i="6" s="1"/>
  <c r="J1186" i="1"/>
  <c r="J1187" i="1"/>
  <c r="J1188" i="1"/>
  <c r="B1188" i="6" s="1"/>
  <c r="J1189" i="1"/>
  <c r="J1190" i="1"/>
  <c r="B1190" i="6" s="1"/>
  <c r="J1191" i="1"/>
  <c r="J1192" i="1"/>
  <c r="A1192" i="6" s="1"/>
  <c r="J1193" i="1"/>
  <c r="B1193" i="6" s="1"/>
  <c r="J1194" i="1"/>
  <c r="J1195" i="1"/>
  <c r="B1195" i="6" s="1"/>
  <c r="J1196" i="1"/>
  <c r="B1196" i="6" s="1"/>
  <c r="J1197" i="1"/>
  <c r="J1198" i="1"/>
  <c r="B1198" i="6" s="1"/>
  <c r="J1199" i="1"/>
  <c r="B1199" i="6" s="1"/>
  <c r="J1200" i="1"/>
  <c r="B1200" i="6" s="1"/>
  <c r="J1201" i="1"/>
  <c r="B1201" i="6" s="1"/>
  <c r="J1202" i="1"/>
  <c r="J1203" i="1"/>
  <c r="J1204" i="1"/>
  <c r="B1204" i="6" s="1"/>
  <c r="J1205" i="1"/>
  <c r="J1206" i="1"/>
  <c r="B1206" i="6" s="1"/>
  <c r="J1207" i="1"/>
  <c r="J1208" i="1"/>
  <c r="B1208" i="6" s="1"/>
  <c r="J1209" i="1"/>
  <c r="B1209" i="6" s="1"/>
  <c r="J1210" i="1"/>
  <c r="J1211" i="1"/>
  <c r="J1212" i="1"/>
  <c r="B1212" i="6" s="1"/>
  <c r="J1213" i="1"/>
  <c r="A1213" i="6" s="1"/>
  <c r="J1214" i="1"/>
  <c r="B1214" i="6" s="1"/>
  <c r="J1215" i="1"/>
  <c r="J1216" i="1"/>
  <c r="B1216" i="6" s="1"/>
  <c r="J1217" i="1"/>
  <c r="B1217" i="6" s="1"/>
  <c r="J1218" i="1"/>
  <c r="J1219" i="1"/>
  <c r="J1220" i="1"/>
  <c r="B1220" i="6" s="1"/>
  <c r="J1221" i="1"/>
  <c r="J1222" i="1"/>
  <c r="B1222" i="6" s="1"/>
  <c r="J1223" i="1"/>
  <c r="J1224" i="1"/>
  <c r="A1224" i="6" s="1"/>
  <c r="J1225" i="1"/>
  <c r="B1225" i="6" s="1"/>
  <c r="J1226" i="1"/>
  <c r="J1227" i="1"/>
  <c r="B1227" i="6" s="1"/>
  <c r="J1228" i="1"/>
  <c r="B1228" i="6" s="1"/>
  <c r="J1229" i="1"/>
  <c r="J1230" i="1"/>
  <c r="B1230" i="6" s="1"/>
  <c r="J1231" i="1"/>
  <c r="B1231" i="6" s="1"/>
  <c r="J1232" i="1"/>
  <c r="B1232" i="6" s="1"/>
  <c r="J1233" i="1"/>
  <c r="B1233" i="6" s="1"/>
  <c r="J1234" i="1"/>
  <c r="J1235" i="1"/>
  <c r="J1236" i="1"/>
  <c r="B1236" i="6" s="1"/>
  <c r="J1237" i="1"/>
  <c r="B1237" i="6" s="1"/>
  <c r="J1238" i="1"/>
  <c r="B1238" i="6" s="1"/>
  <c r="J1239" i="1"/>
  <c r="B1239" i="6" s="1"/>
  <c r="J1240" i="1"/>
  <c r="B1240" i="6" s="1"/>
  <c r="J1241" i="1"/>
  <c r="B1241" i="6" s="1"/>
  <c r="J1242" i="1"/>
  <c r="J1243" i="1"/>
  <c r="A1243" i="6" s="1"/>
  <c r="J1244" i="1"/>
  <c r="B1244" i="6" s="1"/>
  <c r="J1245" i="1"/>
  <c r="B1245" i="6" s="1"/>
  <c r="J1246" i="1"/>
  <c r="B1246" i="6" s="1"/>
  <c r="J1247" i="1"/>
  <c r="B1247" i="6" s="1"/>
  <c r="J1248" i="1"/>
  <c r="B1248" i="6" s="1"/>
  <c r="J1249" i="1"/>
  <c r="B1249" i="6" s="1"/>
  <c r="J1250" i="1"/>
  <c r="J1251" i="1"/>
  <c r="J1252" i="1"/>
  <c r="B1252" i="6" s="1"/>
  <c r="J1253" i="1"/>
  <c r="B1253" i="6" s="1"/>
  <c r="J1254" i="1"/>
  <c r="B1254" i="6" s="1"/>
  <c r="J1255" i="1"/>
  <c r="B1255" i="6" s="1"/>
  <c r="J1256" i="1"/>
  <c r="B1256" i="6" s="1"/>
  <c r="J1257" i="1"/>
  <c r="B1257" i="6" s="1"/>
  <c r="J1258" i="1"/>
  <c r="J1259" i="1"/>
  <c r="J1260" i="1"/>
  <c r="B1260" i="6" s="1"/>
  <c r="J1261" i="1"/>
  <c r="B1261" i="6" s="1"/>
  <c r="J1262" i="1"/>
  <c r="B1262" i="6" s="1"/>
  <c r="J1263" i="1"/>
  <c r="B1263" i="6" s="1"/>
  <c r="J1264" i="1"/>
  <c r="B1264" i="6" s="1"/>
  <c r="J1265" i="1"/>
  <c r="B1265" i="6" s="1"/>
  <c r="J1266" i="1"/>
  <c r="J1267" i="1"/>
  <c r="J1268" i="1"/>
  <c r="B1268" i="6" s="1"/>
  <c r="J1269" i="1"/>
  <c r="B1269" i="6" s="1"/>
  <c r="J1270" i="1"/>
  <c r="B1270" i="6" s="1"/>
  <c r="J1271" i="1"/>
  <c r="B1271" i="6" s="1"/>
  <c r="J1272" i="1"/>
  <c r="B1272" i="6" s="1"/>
  <c r="J1273" i="1"/>
  <c r="B1273" i="6" s="1"/>
  <c r="J1274" i="1"/>
  <c r="J1275" i="1"/>
  <c r="J1276" i="1"/>
  <c r="B1276" i="6" s="1"/>
  <c r="J1277" i="1"/>
  <c r="B1277" i="6" s="1"/>
  <c r="J1278" i="1"/>
  <c r="A1278" i="6" s="1"/>
  <c r="J1279" i="1"/>
  <c r="B1279" i="6" s="1"/>
  <c r="J1280" i="1"/>
  <c r="B1280" i="6" s="1"/>
  <c r="J1281" i="1"/>
  <c r="B1281" i="6" s="1"/>
  <c r="J1282" i="1"/>
  <c r="J1283" i="1"/>
  <c r="J1284" i="1"/>
  <c r="B1284" i="6" s="1"/>
  <c r="J1285" i="1"/>
  <c r="B1285" i="6" s="1"/>
  <c r="J1286" i="1"/>
  <c r="B1286" i="6" s="1"/>
  <c r="J1287" i="1"/>
  <c r="B1287" i="6" s="1"/>
  <c r="J1288" i="1"/>
  <c r="B1288" i="6" s="1"/>
  <c r="J1289" i="1"/>
  <c r="B1289" i="6" s="1"/>
  <c r="J1290" i="1"/>
  <c r="J1291" i="1"/>
  <c r="J1292" i="1"/>
  <c r="B1292" i="6" s="1"/>
  <c r="J1293" i="1"/>
  <c r="B1293" i="6" s="1"/>
  <c r="J1294" i="1"/>
  <c r="B1294" i="6" s="1"/>
  <c r="J1295" i="1"/>
  <c r="B1295" i="6" s="1"/>
  <c r="J1296" i="1"/>
  <c r="B1296" i="6" s="1"/>
  <c r="J1297" i="1"/>
  <c r="B1297" i="6" s="1"/>
  <c r="J1298" i="1"/>
  <c r="J1299" i="1"/>
  <c r="J1300" i="1"/>
  <c r="B1300" i="6" s="1"/>
  <c r="J1301" i="1"/>
  <c r="A1301" i="6" s="1"/>
  <c r="J1302" i="1"/>
  <c r="A1302" i="6" s="1"/>
  <c r="J1303" i="1"/>
  <c r="B1303" i="6" s="1"/>
  <c r="J1304" i="1"/>
  <c r="B1304" i="6" s="1"/>
  <c r="J1305" i="1"/>
  <c r="B1305" i="6" s="1"/>
  <c r="J1306" i="1"/>
  <c r="J1307" i="1"/>
  <c r="J1308" i="1"/>
  <c r="B1308" i="6" s="1"/>
  <c r="J1309" i="1"/>
  <c r="B1309" i="6" s="1"/>
  <c r="J1310" i="1"/>
  <c r="B1310" i="6" s="1"/>
  <c r="J1311" i="1"/>
  <c r="B1311" i="6" s="1"/>
  <c r="J1312" i="1"/>
  <c r="B1312" i="6" s="1"/>
  <c r="J1313" i="1"/>
  <c r="B1313" i="6" s="1"/>
  <c r="J1314" i="1"/>
  <c r="J1315" i="1"/>
  <c r="J1316" i="1"/>
  <c r="B1316" i="6" s="1"/>
  <c r="J1317" i="1"/>
  <c r="B1317" i="6" s="1"/>
  <c r="J1318" i="1"/>
  <c r="B1318" i="6" s="1"/>
  <c r="J1319" i="1"/>
  <c r="B1319" i="6" s="1"/>
  <c r="J1320" i="1"/>
  <c r="B1320" i="6" s="1"/>
  <c r="J1321" i="1"/>
  <c r="B1321" i="6" s="1"/>
  <c r="J1322" i="1"/>
  <c r="J1323" i="1"/>
  <c r="J1324" i="1"/>
  <c r="B1324" i="6" s="1"/>
  <c r="J1325" i="1"/>
  <c r="A1325" i="6" s="1"/>
  <c r="J1326" i="1"/>
  <c r="B1326" i="6" s="1"/>
  <c r="J1327" i="1"/>
  <c r="B1327" i="6" s="1"/>
  <c r="J1328" i="1"/>
  <c r="B1328" i="6" s="1"/>
  <c r="J1329" i="1"/>
  <c r="B1329" i="6" s="1"/>
  <c r="J1330" i="1"/>
  <c r="J1331" i="1"/>
  <c r="J1332" i="1"/>
  <c r="B1332" i="6" s="1"/>
  <c r="J1333" i="1"/>
  <c r="B1333" i="6" s="1"/>
  <c r="J1334" i="1"/>
  <c r="A1334" i="6" s="1"/>
  <c r="J1335" i="1"/>
  <c r="B1335" i="6" s="1"/>
  <c r="J1336" i="1"/>
  <c r="B1336" i="6" s="1"/>
  <c r="J1337" i="1"/>
  <c r="B1337" i="6" s="1"/>
  <c r="J1338" i="1"/>
  <c r="J1339" i="1"/>
  <c r="J1340" i="1"/>
  <c r="B1340" i="6" s="1"/>
  <c r="J1341" i="1"/>
  <c r="B1341" i="6" s="1"/>
  <c r="J1342" i="1"/>
  <c r="B1342" i="6" s="1"/>
  <c r="J1343" i="1"/>
  <c r="B1343" i="6" s="1"/>
  <c r="J1344" i="1"/>
  <c r="B1344" i="6" s="1"/>
  <c r="J1345" i="1"/>
  <c r="B1345" i="6" s="1"/>
  <c r="J1346" i="1"/>
  <c r="J1347" i="1"/>
  <c r="J1348" i="1"/>
  <c r="B1348" i="6" s="1"/>
  <c r="J1349" i="1"/>
  <c r="B1349" i="6" s="1"/>
  <c r="J1350" i="1"/>
  <c r="B1350" i="6" s="1"/>
  <c r="J1351" i="1"/>
  <c r="B1351" i="6" s="1"/>
  <c r="J1352" i="1"/>
  <c r="B1352" i="6" s="1"/>
  <c r="J1353" i="1"/>
  <c r="B1353" i="6" s="1"/>
  <c r="J1354" i="1"/>
  <c r="J1355" i="1"/>
  <c r="J1356" i="1"/>
  <c r="B1356" i="6" s="1"/>
  <c r="J1357" i="1"/>
  <c r="A1357" i="6" s="1"/>
  <c r="J1358" i="1"/>
  <c r="B1358" i="6" s="1"/>
  <c r="J1359" i="1"/>
  <c r="B1359" i="6" s="1"/>
  <c r="J1360" i="1"/>
  <c r="B1360" i="6" s="1"/>
  <c r="J1361" i="1"/>
  <c r="B1361" i="6" s="1"/>
  <c r="J1362" i="1"/>
  <c r="J1363" i="1"/>
  <c r="J1364" i="1"/>
  <c r="B1364" i="6" s="1"/>
  <c r="J1365" i="1"/>
  <c r="A1365" i="6" s="1"/>
  <c r="J1366" i="1"/>
  <c r="B1366" i="6" s="1"/>
  <c r="J1367" i="1"/>
  <c r="B1367" i="6" s="1"/>
  <c r="J1368" i="1"/>
  <c r="B1368" i="6" s="1"/>
  <c r="J1369" i="1"/>
  <c r="B1369" i="6" s="1"/>
  <c r="J1370" i="1"/>
  <c r="J1371" i="1"/>
  <c r="J1372" i="1"/>
  <c r="B1372" i="6" s="1"/>
  <c r="J1373" i="1"/>
  <c r="B1373" i="6" s="1"/>
  <c r="J1374" i="1"/>
  <c r="B1374" i="6" s="1"/>
  <c r="J1375" i="1"/>
  <c r="B1375" i="6" s="1"/>
  <c r="J1376" i="1"/>
  <c r="B1376" i="6" s="1"/>
  <c r="J1377" i="1"/>
  <c r="B1377" i="6" s="1"/>
  <c r="J1378" i="1"/>
  <c r="J1379" i="1"/>
  <c r="J1380" i="1"/>
  <c r="B1380" i="6" s="1"/>
  <c r="J1381" i="1"/>
  <c r="B1381" i="6" s="1"/>
  <c r="J1382" i="1"/>
  <c r="B1382" i="6" s="1"/>
  <c r="J1383" i="1"/>
  <c r="B1383" i="6" s="1"/>
  <c r="J1384" i="1"/>
  <c r="B1384" i="6" s="1"/>
  <c r="J1385" i="1"/>
  <c r="B1385" i="6" s="1"/>
  <c r="J1386" i="1"/>
  <c r="J1387" i="1"/>
  <c r="J1388" i="1"/>
  <c r="A1388" i="6" s="1"/>
  <c r="J1389" i="1"/>
  <c r="A1389" i="6" s="1"/>
  <c r="J1390" i="1"/>
  <c r="B1390" i="6" s="1"/>
  <c r="J1391" i="1"/>
  <c r="B1391" i="6" s="1"/>
  <c r="J1392" i="1"/>
  <c r="B1392" i="6" s="1"/>
  <c r="J1393" i="1"/>
  <c r="B1393" i="6" s="1"/>
  <c r="J1394" i="1"/>
  <c r="J1395" i="1"/>
  <c r="J1396" i="1"/>
  <c r="B1396" i="6" s="1"/>
  <c r="J1397" i="1"/>
  <c r="B1397" i="6" s="1"/>
  <c r="J1398" i="1"/>
  <c r="B1398" i="6" s="1"/>
  <c r="J1399" i="1"/>
  <c r="B1399" i="6" s="1"/>
  <c r="J1400" i="1"/>
  <c r="B1400" i="6" s="1"/>
  <c r="J1401" i="1"/>
  <c r="B1401" i="6" s="1"/>
  <c r="J1402" i="1"/>
  <c r="J1403" i="1"/>
  <c r="J1404" i="1"/>
  <c r="B1404" i="6" s="1"/>
  <c r="J1405" i="1"/>
  <c r="B1405" i="6" s="1"/>
  <c r="J1406" i="1"/>
  <c r="B1406" i="6" s="1"/>
  <c r="J1407" i="1"/>
  <c r="B1407" i="6" s="1"/>
  <c r="J1408" i="1"/>
  <c r="B1408" i="6" s="1"/>
  <c r="J1409" i="1"/>
  <c r="B1409" i="6" s="1"/>
  <c r="J1410" i="1"/>
  <c r="J1411" i="1"/>
  <c r="J1412" i="1"/>
  <c r="B1412" i="6" s="1"/>
  <c r="J1413" i="1"/>
  <c r="B1413" i="6" s="1"/>
  <c r="J1414" i="1"/>
  <c r="B1414" i="6" s="1"/>
  <c r="J1415" i="1"/>
  <c r="B1415" i="6" s="1"/>
  <c r="J1416" i="1"/>
  <c r="B1416" i="6" s="1"/>
  <c r="J1417" i="1"/>
  <c r="B1417" i="6" s="1"/>
  <c r="J1418" i="1"/>
  <c r="J1419" i="1"/>
  <c r="J1420" i="1"/>
  <c r="B1420" i="6" s="1"/>
  <c r="J1421" i="1"/>
  <c r="A1421" i="6" s="1"/>
  <c r="J1422" i="1"/>
  <c r="B1422" i="6" s="1"/>
  <c r="J1423" i="1"/>
  <c r="B1423" i="6" s="1"/>
  <c r="J1424" i="1"/>
  <c r="B1424" i="6" s="1"/>
  <c r="J1425" i="1"/>
  <c r="B1425" i="6" s="1"/>
  <c r="J1426" i="1"/>
  <c r="J1427" i="1"/>
  <c r="J1428" i="1"/>
  <c r="B1428" i="6" s="1"/>
  <c r="J1429" i="1"/>
  <c r="B1429" i="6" s="1"/>
  <c r="J1430" i="1"/>
  <c r="B1430" i="6" s="1"/>
  <c r="J1431" i="1"/>
  <c r="B1431" i="6" s="1"/>
  <c r="J1432" i="1"/>
  <c r="B1432" i="6" s="1"/>
  <c r="J1433" i="1"/>
  <c r="B1433" i="6" s="1"/>
  <c r="J1434" i="1"/>
  <c r="J1435" i="1"/>
  <c r="J1436" i="1"/>
  <c r="B1436" i="6" s="1"/>
  <c r="J1437" i="1"/>
  <c r="B1437" i="6" s="1"/>
  <c r="J1438" i="1"/>
  <c r="B1438" i="6" s="1"/>
  <c r="J1439" i="1"/>
  <c r="B1439" i="6" s="1"/>
  <c r="J1440" i="1"/>
  <c r="B1440" i="6" s="1"/>
  <c r="J1441" i="1"/>
  <c r="B1441" i="6" s="1"/>
  <c r="J1442" i="1"/>
  <c r="J1443" i="1"/>
  <c r="J1444" i="1"/>
  <c r="A1444" i="6" s="1"/>
  <c r="J1445" i="1"/>
  <c r="B1445" i="6" s="1"/>
  <c r="J1446" i="1"/>
  <c r="B1446" i="6" s="1"/>
  <c r="J1447" i="1"/>
  <c r="B1447" i="6" s="1"/>
  <c r="J1448" i="1"/>
  <c r="B1448" i="6" s="1"/>
  <c r="J1449" i="1"/>
  <c r="B1449" i="6" s="1"/>
  <c r="J1450" i="1"/>
  <c r="J1451" i="1"/>
  <c r="J1452" i="1"/>
  <c r="A1452" i="6" s="1"/>
  <c r="J1453" i="1"/>
  <c r="B1453" i="6" s="1"/>
  <c r="J1454" i="1"/>
  <c r="B1454" i="6" s="1"/>
  <c r="J1455" i="1"/>
  <c r="B1455" i="6" s="1"/>
  <c r="J1456" i="1"/>
  <c r="B1456" i="6" s="1"/>
  <c r="J1457" i="1"/>
  <c r="B1457" i="6" s="1"/>
  <c r="J1458" i="1"/>
  <c r="J1459" i="1"/>
  <c r="J1460" i="1"/>
  <c r="B1460" i="6" s="1"/>
  <c r="J1461" i="1"/>
  <c r="B1461" i="6" s="1"/>
  <c r="J1462" i="1"/>
  <c r="B1462" i="6" s="1"/>
  <c r="J1463" i="1"/>
  <c r="B1463" i="6" s="1"/>
  <c r="J1464" i="1"/>
  <c r="B1464" i="6" s="1"/>
  <c r="J1465" i="1"/>
  <c r="B1465" i="6" s="1"/>
  <c r="J1466" i="1"/>
  <c r="J1467" i="1"/>
  <c r="J1468" i="1"/>
  <c r="B1468" i="6" s="1"/>
  <c r="J1469" i="1"/>
  <c r="B1469" i="6" s="1"/>
  <c r="J1470" i="1"/>
  <c r="B1470" i="6" s="1"/>
  <c r="J1471" i="1"/>
  <c r="B1471" i="6" s="1"/>
  <c r="J1472" i="1"/>
  <c r="B1472" i="6" s="1"/>
  <c r="J1473" i="1"/>
  <c r="B1473" i="6" s="1"/>
  <c r="J1474" i="1"/>
  <c r="J1475" i="1"/>
  <c r="J1476" i="1"/>
  <c r="A1476" i="6" s="1"/>
  <c r="J1477" i="1"/>
  <c r="B1477" i="6" s="1"/>
  <c r="J1478" i="1"/>
  <c r="B1478" i="6" s="1"/>
  <c r="J1479" i="1"/>
  <c r="B1479" i="6" s="1"/>
  <c r="J1480" i="1"/>
  <c r="B1480" i="6" s="1"/>
  <c r="J1481" i="1"/>
  <c r="B1481" i="6" s="1"/>
  <c r="J1482" i="1"/>
  <c r="J1483" i="1"/>
  <c r="J1484" i="1"/>
  <c r="B1484" i="6" s="1"/>
  <c r="J1485" i="1"/>
  <c r="B1485" i="6" s="1"/>
  <c r="J1486" i="1"/>
  <c r="B1486" i="6" s="1"/>
  <c r="J1487" i="1"/>
  <c r="B1487" i="6" s="1"/>
  <c r="J1488" i="1"/>
  <c r="B1488" i="6" s="1"/>
  <c r="J1489" i="1"/>
  <c r="B1489" i="6" s="1"/>
  <c r="J1490" i="1"/>
  <c r="J1491" i="1"/>
  <c r="J1492" i="1"/>
  <c r="B1492" i="6" s="1"/>
  <c r="J1493" i="1"/>
  <c r="A1493" i="6" s="1"/>
  <c r="J1494" i="1"/>
  <c r="B1494" i="6" s="1"/>
  <c r="J1495" i="1"/>
  <c r="B1495" i="6" s="1"/>
  <c r="J1496" i="1"/>
  <c r="B1496" i="6" s="1"/>
  <c r="J1497" i="1"/>
  <c r="B1497" i="6" s="1"/>
  <c r="J1498" i="1"/>
  <c r="J1499" i="1"/>
  <c r="J1500" i="1"/>
  <c r="B1500" i="6" s="1"/>
  <c r="J2" i="1"/>
  <c r="A2" i="6" s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2" i="3"/>
  <c r="F462" i="1" l="1"/>
  <c r="F1349" i="1"/>
  <c r="F1093" i="1"/>
  <c r="F845" i="1"/>
  <c r="F653" i="1"/>
  <c r="F581" i="1"/>
  <c r="F557" i="1"/>
  <c r="F501" i="1"/>
  <c r="F437" i="1"/>
  <c r="A628" i="6"/>
  <c r="F1500" i="1"/>
  <c r="F1492" i="1"/>
  <c r="F1484" i="1"/>
  <c r="F1476" i="1"/>
  <c r="F1468" i="1"/>
  <c r="F1460" i="1"/>
  <c r="F1452" i="1"/>
  <c r="F1444" i="1"/>
  <c r="F1436" i="1"/>
  <c r="F1428" i="1"/>
  <c r="F1420" i="1"/>
  <c r="F1412" i="1"/>
  <c r="F1404" i="1"/>
  <c r="F1396" i="1"/>
  <c r="F1388" i="1"/>
  <c r="F1380" i="1"/>
  <c r="F1372" i="1"/>
  <c r="F1364" i="1"/>
  <c r="F1348" i="1"/>
  <c r="F1340" i="1"/>
  <c r="F1332" i="1"/>
  <c r="F1324" i="1"/>
  <c r="F1316" i="1"/>
  <c r="F1308" i="1"/>
  <c r="F1300" i="1"/>
  <c r="F1292" i="1"/>
  <c r="F1284" i="1"/>
  <c r="F1276" i="1"/>
  <c r="F1268" i="1"/>
  <c r="F1260" i="1"/>
  <c r="F1252" i="1"/>
  <c r="F1244" i="1"/>
  <c r="F1236" i="1"/>
  <c r="F1228" i="1"/>
  <c r="F1220" i="1"/>
  <c r="F1204" i="1"/>
  <c r="F1196" i="1"/>
  <c r="F1172" i="1"/>
  <c r="F1164" i="1"/>
  <c r="F1156" i="1"/>
  <c r="F1140" i="1"/>
  <c r="F1132" i="1"/>
  <c r="F1108" i="1"/>
  <c r="F1100" i="1"/>
  <c r="F1092" i="1"/>
  <c r="F1076" i="1"/>
  <c r="F1068" i="1"/>
  <c r="F1060" i="1"/>
  <c r="F1044" i="1"/>
  <c r="F1036" i="1"/>
  <c r="F1028" i="1"/>
  <c r="F1020" i="1"/>
  <c r="F1012" i="1"/>
  <c r="F1004" i="1"/>
  <c r="F988" i="1"/>
  <c r="F980" i="1"/>
  <c r="F972" i="1"/>
  <c r="F964" i="1"/>
  <c r="F948" i="1"/>
  <c r="F940" i="1"/>
  <c r="F916" i="1"/>
  <c r="F908" i="1"/>
  <c r="F900" i="1"/>
  <c r="F884" i="1"/>
  <c r="F876" i="1"/>
  <c r="F852" i="1"/>
  <c r="F844" i="1"/>
  <c r="F836" i="1"/>
  <c r="F820" i="1"/>
  <c r="F812" i="1"/>
  <c r="F804" i="1"/>
  <c r="F788" i="1"/>
  <c r="F780" i="1"/>
  <c r="F772" i="1"/>
  <c r="F764" i="1"/>
  <c r="F756" i="1"/>
  <c r="F748" i="1"/>
  <c r="F732" i="1"/>
  <c r="F724" i="1"/>
  <c r="F716" i="1"/>
  <c r="F708" i="1"/>
  <c r="F692" i="1"/>
  <c r="F660" i="1"/>
  <c r="F628" i="1"/>
  <c r="F596" i="1"/>
  <c r="F564" i="1"/>
  <c r="F524" i="1"/>
  <c r="F188" i="1"/>
  <c r="F164" i="1"/>
  <c r="F60" i="1"/>
  <c r="F28" i="1"/>
  <c r="F261" i="1"/>
  <c r="F245" i="1"/>
  <c r="F213" i="1"/>
  <c r="F197" i="1"/>
  <c r="F133" i="1"/>
  <c r="F77" i="1"/>
  <c r="F45" i="1"/>
  <c r="A488" i="6"/>
  <c r="F1491" i="1"/>
  <c r="F1467" i="1"/>
  <c r="F1459" i="1"/>
  <c r="F1427" i="1"/>
  <c r="F1403" i="1"/>
  <c r="F1395" i="1"/>
  <c r="F1363" i="1"/>
  <c r="F1339" i="1"/>
  <c r="F1331" i="1"/>
  <c r="F1299" i="1"/>
  <c r="F1275" i="1"/>
  <c r="F1267" i="1"/>
  <c r="F1235" i="1"/>
  <c r="F1211" i="1"/>
  <c r="F1203" i="1"/>
  <c r="F1171" i="1"/>
  <c r="F1147" i="1"/>
  <c r="F1139" i="1"/>
  <c r="F1107" i="1"/>
  <c r="F1083" i="1"/>
  <c r="F1075" i="1"/>
  <c r="F1043" i="1"/>
  <c r="F1019" i="1"/>
  <c r="F1011" i="1"/>
  <c r="F979" i="1"/>
  <c r="F955" i="1"/>
  <c r="F947" i="1"/>
  <c r="F915" i="1"/>
  <c r="F891" i="1"/>
  <c r="F883" i="1"/>
  <c r="F851" i="1"/>
  <c r="F827" i="1"/>
  <c r="F819" i="1"/>
  <c r="F787" i="1"/>
  <c r="F763" i="1"/>
  <c r="F755" i="1"/>
  <c r="F723" i="1"/>
  <c r="F699" i="1"/>
  <c r="F691" i="1"/>
  <c r="F563" i="1"/>
  <c r="F805" i="1"/>
  <c r="F685" i="1"/>
  <c r="F645" i="1"/>
  <c r="F621" i="1"/>
  <c r="F541" i="1"/>
  <c r="F517" i="1"/>
  <c r="F485" i="1"/>
  <c r="F469" i="1"/>
  <c r="F405" i="1"/>
  <c r="F389" i="1"/>
  <c r="F373" i="1"/>
  <c r="F357" i="1"/>
  <c r="F341" i="1"/>
  <c r="F325" i="1"/>
  <c r="F309" i="1"/>
  <c r="F293" i="1"/>
  <c r="F277" i="1"/>
  <c r="F253" i="1"/>
  <c r="F229" i="1"/>
  <c r="F173" i="1"/>
  <c r="F141" i="1"/>
  <c r="F117" i="1"/>
  <c r="F13" i="1"/>
  <c r="F186" i="1"/>
  <c r="A1412" i="6"/>
  <c r="A54" i="6"/>
  <c r="F1357" i="1"/>
  <c r="F1317" i="1"/>
  <c r="F1061" i="1"/>
  <c r="F837" i="1"/>
  <c r="F677" i="1"/>
  <c r="F613" i="1"/>
  <c r="F589" i="1"/>
  <c r="F533" i="1"/>
  <c r="F453" i="1"/>
  <c r="F421" i="1"/>
  <c r="A1292" i="6"/>
  <c r="F1335" i="1"/>
  <c r="F1327" i="1"/>
  <c r="F1319" i="1"/>
  <c r="F1303" i="1"/>
  <c r="F1295" i="1"/>
  <c r="F1287" i="1"/>
  <c r="F1279" i="1"/>
  <c r="F1271" i="1"/>
  <c r="F1255" i="1"/>
  <c r="F1247" i="1"/>
  <c r="F1239" i="1"/>
  <c r="F1231" i="1"/>
  <c r="F1223" i="1"/>
  <c r="F1215" i="1"/>
  <c r="F1207" i="1"/>
  <c r="F1199" i="1"/>
  <c r="F1191" i="1"/>
  <c r="F1183" i="1"/>
  <c r="F1175" i="1"/>
  <c r="F1167" i="1"/>
  <c r="F1151" i="1"/>
  <c r="F1143" i="1"/>
  <c r="F1135" i="1"/>
  <c r="F1127" i="1"/>
  <c r="F1119" i="1"/>
  <c r="F1111" i="1"/>
  <c r="F1095" i="1"/>
  <c r="F1087" i="1"/>
  <c r="F1079" i="1"/>
  <c r="F1071" i="1"/>
  <c r="F1063" i="1"/>
  <c r="F1055" i="1"/>
  <c r="F1047" i="1"/>
  <c r="F1039" i="1"/>
  <c r="F1031" i="1"/>
  <c r="F1015" i="1"/>
  <c r="F1007" i="1"/>
  <c r="F999" i="1"/>
  <c r="F991" i="1"/>
  <c r="F983" i="1"/>
  <c r="F975" i="1"/>
  <c r="F967" i="1"/>
  <c r="F959" i="1"/>
  <c r="F951" i="1"/>
  <c r="F943" i="1"/>
  <c r="F935" i="1"/>
  <c r="F927" i="1"/>
  <c r="F919" i="1"/>
  <c r="F911" i="1"/>
  <c r="F895" i="1"/>
  <c r="F887" i="1"/>
  <c r="F879" i="1"/>
  <c r="F871" i="1"/>
  <c r="F863" i="1"/>
  <c r="F855" i="1"/>
  <c r="F847" i="1"/>
  <c r="F839" i="1"/>
  <c r="F831" i="1"/>
  <c r="F823" i="1"/>
  <c r="F815" i="1"/>
  <c r="F807" i="1"/>
  <c r="F799" i="1"/>
  <c r="F791" i="1"/>
  <c r="F783" i="1"/>
  <c r="F767" i="1"/>
  <c r="F759" i="1"/>
  <c r="F751" i="1"/>
  <c r="F743" i="1"/>
  <c r="F735" i="1"/>
  <c r="F727" i="1"/>
  <c r="F719" i="1"/>
  <c r="F711" i="1"/>
  <c r="F703" i="1"/>
  <c r="F695" i="1"/>
  <c r="F687" i="1"/>
  <c r="F679" i="1"/>
  <c r="F671" i="1"/>
  <c r="F663" i="1"/>
  <c r="F655" i="1"/>
  <c r="F647" i="1"/>
  <c r="F631" i="1"/>
  <c r="F623" i="1"/>
  <c r="F615" i="1"/>
  <c r="F607" i="1"/>
  <c r="F599" i="1"/>
  <c r="F591" i="1"/>
  <c r="F583" i="1"/>
  <c r="F575" i="1"/>
  <c r="F567" i="1"/>
  <c r="F559" i="1"/>
  <c r="F551" i="1"/>
  <c r="F543" i="1"/>
  <c r="F535" i="1"/>
  <c r="F527" i="1"/>
  <c r="F519" i="1"/>
  <c r="F511" i="1"/>
  <c r="F503" i="1"/>
  <c r="F495" i="1"/>
  <c r="F487" i="1"/>
  <c r="F479" i="1"/>
  <c r="F471" i="1"/>
  <c r="F463" i="1"/>
  <c r="F455" i="1"/>
  <c r="F447" i="1"/>
  <c r="F439" i="1"/>
  <c r="F431" i="1"/>
  <c r="F423" i="1"/>
  <c r="F415" i="1"/>
  <c r="F407" i="1"/>
  <c r="F399" i="1"/>
  <c r="F391" i="1"/>
  <c r="F383" i="1"/>
  <c r="F375" i="1"/>
  <c r="F367" i="1"/>
  <c r="F359" i="1"/>
  <c r="F351" i="1"/>
  <c r="F343" i="1"/>
  <c r="F335" i="1"/>
  <c r="F327" i="1"/>
  <c r="F319" i="1"/>
  <c r="F311" i="1"/>
  <c r="F303" i="1"/>
  <c r="F295" i="1"/>
  <c r="F287" i="1"/>
  <c r="F279" i="1"/>
  <c r="F271" i="1"/>
  <c r="F263" i="1"/>
  <c r="F255" i="1"/>
  <c r="F247" i="1"/>
  <c r="F239" i="1"/>
  <c r="F231" i="1"/>
  <c r="F223" i="1"/>
  <c r="F207" i="1"/>
  <c r="F167" i="1"/>
  <c r="F159" i="1"/>
  <c r="F151" i="1"/>
  <c r="F143" i="1"/>
  <c r="F135" i="1"/>
  <c r="F127" i="1"/>
  <c r="F166" i="1"/>
  <c r="F142" i="1"/>
  <c r="F118" i="1"/>
  <c r="F102" i="1"/>
  <c r="F94" i="1"/>
  <c r="F78" i="1"/>
  <c r="F62" i="1"/>
  <c r="F46" i="1"/>
  <c r="F30" i="1"/>
  <c r="F14" i="1"/>
  <c r="A1408" i="6"/>
  <c r="A1288" i="6"/>
  <c r="A1188" i="6"/>
  <c r="A1044" i="6"/>
  <c r="A872" i="6"/>
  <c r="A624" i="6"/>
  <c r="A436" i="6"/>
  <c r="A304" i="6"/>
  <c r="B2" i="6"/>
  <c r="A1404" i="6"/>
  <c r="A1284" i="6"/>
  <c r="A1156" i="6"/>
  <c r="A1012" i="6"/>
  <c r="A868" i="6"/>
  <c r="A616" i="6"/>
  <c r="A432" i="6"/>
  <c r="A252" i="6"/>
  <c r="B1389" i="6"/>
  <c r="A1500" i="6"/>
  <c r="A1380" i="6"/>
  <c r="A1260" i="6"/>
  <c r="A1152" i="6"/>
  <c r="A1008" i="6"/>
  <c r="A816" i="6"/>
  <c r="A564" i="6"/>
  <c r="A424" i="6"/>
  <c r="A244" i="6"/>
  <c r="B1388" i="6"/>
  <c r="A1496" i="6"/>
  <c r="A1376" i="6"/>
  <c r="A1256" i="6"/>
  <c r="A1145" i="6"/>
  <c r="A1001" i="6"/>
  <c r="A756" i="6"/>
  <c r="A560" i="6"/>
  <c r="A380" i="6"/>
  <c r="A240" i="6"/>
  <c r="B1365" i="6"/>
  <c r="A1492" i="6"/>
  <c r="A1372" i="6"/>
  <c r="A1252" i="6"/>
  <c r="A1113" i="6"/>
  <c r="A968" i="6"/>
  <c r="A752" i="6"/>
  <c r="A552" i="6"/>
  <c r="A372" i="6"/>
  <c r="A188" i="6"/>
  <c r="B1192" i="6"/>
  <c r="A1468" i="6"/>
  <c r="A1348" i="6"/>
  <c r="A1225" i="6"/>
  <c r="A1081" i="6"/>
  <c r="A964" i="6"/>
  <c r="A692" i="6"/>
  <c r="A500" i="6"/>
  <c r="A368" i="6"/>
  <c r="A180" i="6"/>
  <c r="B1005" i="6"/>
  <c r="A1436" i="6"/>
  <c r="A1316" i="6"/>
  <c r="A1220" i="6"/>
  <c r="A1078" i="6"/>
  <c r="A932" i="6"/>
  <c r="A688" i="6"/>
  <c r="A496" i="6"/>
  <c r="A316" i="6"/>
  <c r="A176" i="6"/>
  <c r="A1432" i="6"/>
  <c r="A1184" i="6"/>
  <c r="A808" i="6"/>
  <c r="A1488" i="6"/>
  <c r="A1460" i="6"/>
  <c r="A1428" i="6"/>
  <c r="A1400" i="6"/>
  <c r="A1368" i="6"/>
  <c r="A1340" i="6"/>
  <c r="A1308" i="6"/>
  <c r="A1280" i="6"/>
  <c r="A1248" i="6"/>
  <c r="A1216" i="6"/>
  <c r="A1177" i="6"/>
  <c r="A1142" i="6"/>
  <c r="A1108" i="6"/>
  <c r="A1072" i="6"/>
  <c r="A1033" i="6"/>
  <c r="A996" i="6"/>
  <c r="A958" i="6"/>
  <c r="A904" i="6"/>
  <c r="A860" i="6"/>
  <c r="A800" i="6"/>
  <c r="A732" i="6"/>
  <c r="A668" i="6"/>
  <c r="A604" i="6"/>
  <c r="A540" i="6"/>
  <c r="A476" i="6"/>
  <c r="A415" i="6"/>
  <c r="A360" i="6"/>
  <c r="A296" i="6"/>
  <c r="A232" i="6"/>
  <c r="A168" i="6"/>
  <c r="B1476" i="6"/>
  <c r="B1357" i="6"/>
  <c r="B941" i="6"/>
  <c r="A1464" i="6"/>
  <c r="A1344" i="6"/>
  <c r="A1040" i="6"/>
  <c r="A1487" i="6"/>
  <c r="A1456" i="6"/>
  <c r="A1424" i="6"/>
  <c r="A1396" i="6"/>
  <c r="A1364" i="6"/>
  <c r="A1336" i="6"/>
  <c r="A1304" i="6"/>
  <c r="A1276" i="6"/>
  <c r="A1244" i="6"/>
  <c r="A1209" i="6"/>
  <c r="A1174" i="6"/>
  <c r="A1140" i="6"/>
  <c r="A1104" i="6"/>
  <c r="A1065" i="6"/>
  <c r="A1028" i="6"/>
  <c r="A992" i="6"/>
  <c r="A956" i="6"/>
  <c r="A900" i="6"/>
  <c r="A855" i="6"/>
  <c r="A792" i="6"/>
  <c r="A724" i="6"/>
  <c r="A660" i="6"/>
  <c r="A596" i="6"/>
  <c r="A532" i="6"/>
  <c r="A468" i="6"/>
  <c r="A412" i="6"/>
  <c r="A348" i="6"/>
  <c r="A284" i="6"/>
  <c r="A220" i="6"/>
  <c r="A156" i="6"/>
  <c r="B1452" i="6"/>
  <c r="B1325" i="6"/>
  <c r="B918" i="6"/>
  <c r="A912" i="6"/>
  <c r="A1484" i="6"/>
  <c r="A1423" i="6"/>
  <c r="A1392" i="6"/>
  <c r="A1360" i="6"/>
  <c r="A1332" i="6"/>
  <c r="A1300" i="6"/>
  <c r="A1272" i="6"/>
  <c r="A1240" i="6"/>
  <c r="A1206" i="6"/>
  <c r="A1172" i="6"/>
  <c r="A1136" i="6"/>
  <c r="A1097" i="6"/>
  <c r="A1060" i="6"/>
  <c r="A1024" i="6"/>
  <c r="A985" i="6"/>
  <c r="A950" i="6"/>
  <c r="A894" i="6"/>
  <c r="A848" i="6"/>
  <c r="A784" i="6"/>
  <c r="A720" i="6"/>
  <c r="A656" i="6"/>
  <c r="A592" i="6"/>
  <c r="A528" i="6"/>
  <c r="A464" i="6"/>
  <c r="A404" i="6"/>
  <c r="A340" i="6"/>
  <c r="A276" i="6"/>
  <c r="A212" i="6"/>
  <c r="A148" i="6"/>
  <c r="B1444" i="6"/>
  <c r="B1302" i="6"/>
  <c r="B773" i="6"/>
  <c r="A1312" i="6"/>
  <c r="A744" i="6"/>
  <c r="A5" i="6"/>
  <c r="A1480" i="6"/>
  <c r="A1448" i="6"/>
  <c r="A1420" i="6"/>
  <c r="A1359" i="6"/>
  <c r="A1328" i="6"/>
  <c r="A1296" i="6"/>
  <c r="A1268" i="6"/>
  <c r="A1236" i="6"/>
  <c r="A1204" i="6"/>
  <c r="A1168" i="6"/>
  <c r="A1129" i="6"/>
  <c r="A1092" i="6"/>
  <c r="A1056" i="6"/>
  <c r="A1017" i="6"/>
  <c r="A982" i="6"/>
  <c r="A944" i="6"/>
  <c r="A892" i="6"/>
  <c r="A840" i="6"/>
  <c r="A776" i="6"/>
  <c r="A712" i="6"/>
  <c r="A648" i="6"/>
  <c r="A584" i="6"/>
  <c r="A520" i="6"/>
  <c r="A456" i="6"/>
  <c r="A400" i="6"/>
  <c r="A336" i="6"/>
  <c r="A272" i="6"/>
  <c r="A208" i="6"/>
  <c r="A134" i="6"/>
  <c r="B1421" i="6"/>
  <c r="B1301" i="6"/>
  <c r="B709" i="6"/>
  <c r="A1110" i="6"/>
  <c r="A680" i="6"/>
  <c r="A4" i="6"/>
  <c r="A1416" i="6"/>
  <c r="A1384" i="6"/>
  <c r="A1356" i="6"/>
  <c r="A1324" i="6"/>
  <c r="A1295" i="6"/>
  <c r="A1264" i="6"/>
  <c r="A1232" i="6"/>
  <c r="A1200" i="6"/>
  <c r="A1161" i="6"/>
  <c r="A1124" i="6"/>
  <c r="A1088" i="6"/>
  <c r="A1049" i="6"/>
  <c r="A1014" i="6"/>
  <c r="A980" i="6"/>
  <c r="A936" i="6"/>
  <c r="A886" i="6"/>
  <c r="A832" i="6"/>
  <c r="A764" i="6"/>
  <c r="A700" i="6"/>
  <c r="A636" i="6"/>
  <c r="A572" i="6"/>
  <c r="A508" i="6"/>
  <c r="A444" i="6"/>
  <c r="A392" i="6"/>
  <c r="A328" i="6"/>
  <c r="A264" i="6"/>
  <c r="A200" i="6"/>
  <c r="A133" i="6"/>
  <c r="B1224" i="6"/>
  <c r="A1472" i="6"/>
  <c r="A1440" i="6"/>
  <c r="A1352" i="6"/>
  <c r="A1320" i="6"/>
  <c r="A1231" i="6"/>
  <c r="A1120" i="6"/>
  <c r="A1046" i="6"/>
  <c r="A976" i="6"/>
  <c r="A880" i="6"/>
  <c r="A824" i="6"/>
  <c r="A110" i="6"/>
  <c r="B1491" i="6"/>
  <c r="A1491" i="6"/>
  <c r="B1451" i="6"/>
  <c r="A1451" i="6"/>
  <c r="B1411" i="6"/>
  <c r="A1411" i="6"/>
  <c r="B1379" i="6"/>
  <c r="A1379" i="6"/>
  <c r="B1339" i="6"/>
  <c r="A1339" i="6"/>
  <c r="B1307" i="6"/>
  <c r="A1307" i="6"/>
  <c r="A1267" i="6"/>
  <c r="B1267" i="6"/>
  <c r="B1123" i="6"/>
  <c r="A1123" i="6"/>
  <c r="B1011" i="6"/>
  <c r="A1011" i="6"/>
  <c r="B979" i="6"/>
  <c r="A979" i="6"/>
  <c r="B947" i="6"/>
  <c r="A947" i="6"/>
  <c r="B883" i="6"/>
  <c r="A883" i="6"/>
  <c r="B851" i="6"/>
  <c r="A851" i="6"/>
  <c r="B819" i="6"/>
  <c r="A819" i="6"/>
  <c r="B803" i="6"/>
  <c r="A803" i="6"/>
  <c r="B763" i="6"/>
  <c r="A763" i="6"/>
  <c r="B739" i="6"/>
  <c r="A739" i="6"/>
  <c r="B723" i="6"/>
  <c r="A723" i="6"/>
  <c r="B707" i="6"/>
  <c r="A707" i="6"/>
  <c r="B675" i="6"/>
  <c r="A675" i="6"/>
  <c r="B651" i="6"/>
  <c r="A651" i="6"/>
  <c r="B643" i="6"/>
  <c r="A643" i="6"/>
  <c r="B1498" i="6"/>
  <c r="A1498" i="6"/>
  <c r="B1482" i="6"/>
  <c r="A1482" i="6"/>
  <c r="B1466" i="6"/>
  <c r="A1466" i="6"/>
  <c r="B1450" i="6"/>
  <c r="A1450" i="6"/>
  <c r="B1434" i="6"/>
  <c r="A1434" i="6"/>
  <c r="B1418" i="6"/>
  <c r="A1418" i="6"/>
  <c r="B1402" i="6"/>
  <c r="A1402" i="6"/>
  <c r="B1386" i="6"/>
  <c r="A1386" i="6"/>
  <c r="B1370" i="6"/>
  <c r="A1370" i="6"/>
  <c r="B1354" i="6"/>
  <c r="A1354" i="6"/>
  <c r="B1338" i="6"/>
  <c r="A1338" i="6"/>
  <c r="B1322" i="6"/>
  <c r="A1322" i="6"/>
  <c r="B1306" i="6"/>
  <c r="A1306" i="6"/>
  <c r="B1282" i="6"/>
  <c r="A1282" i="6"/>
  <c r="B1266" i="6"/>
  <c r="A1266" i="6"/>
  <c r="B1250" i="6"/>
  <c r="A1250" i="6"/>
  <c r="B1234" i="6"/>
  <c r="A1234" i="6"/>
  <c r="B1226" i="6"/>
  <c r="A1226" i="6"/>
  <c r="B1210" i="6"/>
  <c r="A1210" i="6"/>
  <c r="B1194" i="6"/>
  <c r="A1194" i="6"/>
  <c r="B1178" i="6"/>
  <c r="A1178" i="6"/>
  <c r="B1170" i="6"/>
  <c r="A1170" i="6"/>
  <c r="B1154" i="6"/>
  <c r="A1154" i="6"/>
  <c r="B1138" i="6"/>
  <c r="A1138" i="6"/>
  <c r="B1122" i="6"/>
  <c r="A1122" i="6"/>
  <c r="B1106" i="6"/>
  <c r="A1106" i="6"/>
  <c r="B1090" i="6"/>
  <c r="A1090" i="6"/>
  <c r="B1074" i="6"/>
  <c r="A1074" i="6"/>
  <c r="B1058" i="6"/>
  <c r="A1058" i="6"/>
  <c r="B1042" i="6"/>
  <c r="A1042" i="6"/>
  <c r="B1026" i="6"/>
  <c r="A1026" i="6"/>
  <c r="B1010" i="6"/>
  <c r="A1010" i="6"/>
  <c r="B994" i="6"/>
  <c r="A994" i="6"/>
  <c r="B978" i="6"/>
  <c r="A978" i="6"/>
  <c r="B962" i="6"/>
  <c r="A962" i="6"/>
  <c r="B930" i="6"/>
  <c r="A930" i="6"/>
  <c r="B914" i="6"/>
  <c r="A914" i="6"/>
  <c r="B898" i="6"/>
  <c r="A898" i="6"/>
  <c r="B874" i="6"/>
  <c r="A874" i="6"/>
  <c r="B858" i="6"/>
  <c r="A858" i="6"/>
  <c r="B842" i="6"/>
  <c r="A842" i="6"/>
  <c r="B834" i="6"/>
  <c r="A834" i="6"/>
  <c r="B826" i="6"/>
  <c r="A826" i="6"/>
  <c r="B810" i="6"/>
  <c r="A810" i="6"/>
  <c r="B794" i="6"/>
  <c r="A794" i="6"/>
  <c r="B778" i="6"/>
  <c r="A778" i="6"/>
  <c r="B762" i="6"/>
  <c r="A762" i="6"/>
  <c r="B746" i="6"/>
  <c r="A746" i="6"/>
  <c r="B730" i="6"/>
  <c r="A730" i="6"/>
  <c r="B706" i="6"/>
  <c r="A706" i="6"/>
  <c r="B674" i="6"/>
  <c r="A674" i="6"/>
  <c r="B658" i="6"/>
  <c r="A658" i="6"/>
  <c r="B650" i="6"/>
  <c r="A650" i="6"/>
  <c r="B634" i="6"/>
  <c r="A634" i="6"/>
  <c r="B618" i="6"/>
  <c r="A618" i="6"/>
  <c r="B602" i="6"/>
  <c r="A602" i="6"/>
  <c r="B586" i="6"/>
  <c r="A586" i="6"/>
  <c r="B562" i="6"/>
  <c r="A562" i="6"/>
  <c r="B546" i="6"/>
  <c r="A546" i="6"/>
  <c r="B538" i="6"/>
  <c r="A538" i="6"/>
  <c r="B522" i="6"/>
  <c r="A522" i="6"/>
  <c r="B506" i="6"/>
  <c r="A506" i="6"/>
  <c r="B490" i="6"/>
  <c r="A490" i="6"/>
  <c r="B458" i="6"/>
  <c r="A458" i="6"/>
  <c r="B434" i="6"/>
  <c r="A434" i="6"/>
  <c r="B418" i="6"/>
  <c r="A418" i="6"/>
  <c r="B402" i="6"/>
  <c r="A402" i="6"/>
  <c r="B386" i="6"/>
  <c r="A386" i="6"/>
  <c r="B378" i="6"/>
  <c r="A378" i="6"/>
  <c r="B362" i="6"/>
  <c r="A362" i="6"/>
  <c r="B338" i="6"/>
  <c r="A338" i="6"/>
  <c r="B330" i="6"/>
  <c r="A330" i="6"/>
  <c r="B314" i="6"/>
  <c r="A314" i="6"/>
  <c r="B298" i="6"/>
  <c r="A298" i="6"/>
  <c r="B282" i="6"/>
  <c r="A282" i="6"/>
  <c r="B274" i="6"/>
  <c r="A274" i="6"/>
  <c r="B258" i="6"/>
  <c r="A258" i="6"/>
  <c r="B242" i="6"/>
  <c r="A242" i="6"/>
  <c r="B226" i="6"/>
  <c r="A226" i="6"/>
  <c r="B218" i="6"/>
  <c r="A218" i="6"/>
  <c r="B202" i="6"/>
  <c r="A202" i="6"/>
  <c r="B186" i="6"/>
  <c r="A186" i="6"/>
  <c r="B170" i="6"/>
  <c r="A170" i="6"/>
  <c r="B162" i="6"/>
  <c r="A162" i="6"/>
  <c r="B146" i="6"/>
  <c r="A146" i="6"/>
  <c r="B130" i="6"/>
  <c r="A130" i="6"/>
  <c r="B122" i="6"/>
  <c r="A122" i="6"/>
  <c r="B106" i="6"/>
  <c r="A106" i="6"/>
  <c r="B90" i="6"/>
  <c r="A90" i="6"/>
  <c r="B74" i="6"/>
  <c r="A74" i="6"/>
  <c r="B66" i="6"/>
  <c r="A66" i="6"/>
  <c r="B58" i="6"/>
  <c r="A58" i="6"/>
  <c r="B42" i="6"/>
  <c r="A42" i="6"/>
  <c r="B34" i="6"/>
  <c r="A34" i="6"/>
  <c r="B26" i="6"/>
  <c r="A26" i="6"/>
  <c r="B18" i="6"/>
  <c r="A18" i="6"/>
  <c r="A1271" i="6"/>
  <c r="A1199" i="6"/>
  <c r="A351" i="6"/>
  <c r="A1439" i="6"/>
  <c r="A1375" i="6"/>
  <c r="A1311" i="6"/>
  <c r="A1247" i="6"/>
  <c r="A1195" i="6"/>
  <c r="A1163" i="6"/>
  <c r="A1131" i="6"/>
  <c r="A1099" i="6"/>
  <c r="A1067" i="6"/>
  <c r="A1035" i="6"/>
  <c r="A1003" i="6"/>
  <c r="A971" i="6"/>
  <c r="A843" i="6"/>
  <c r="A287" i="6"/>
  <c r="A87" i="6"/>
  <c r="B1243" i="6"/>
  <c r="B1475" i="6"/>
  <c r="A1475" i="6"/>
  <c r="B1435" i="6"/>
  <c r="A1435" i="6"/>
  <c r="B1403" i="6"/>
  <c r="A1403" i="6"/>
  <c r="B1371" i="6"/>
  <c r="A1371" i="6"/>
  <c r="B1323" i="6"/>
  <c r="A1323" i="6"/>
  <c r="B1283" i="6"/>
  <c r="A1283" i="6"/>
  <c r="B1187" i="6"/>
  <c r="A1187" i="6"/>
  <c r="B1115" i="6"/>
  <c r="A1115" i="6"/>
  <c r="B1091" i="6"/>
  <c r="A1091" i="6"/>
  <c r="B1059" i="6"/>
  <c r="A1059" i="6"/>
  <c r="B1027" i="6"/>
  <c r="A1027" i="6"/>
  <c r="B995" i="6"/>
  <c r="A995" i="6"/>
  <c r="B963" i="6"/>
  <c r="A963" i="6"/>
  <c r="B899" i="6"/>
  <c r="A899" i="6"/>
  <c r="B875" i="6"/>
  <c r="A875" i="6"/>
  <c r="B779" i="6"/>
  <c r="A779" i="6"/>
  <c r="B747" i="6"/>
  <c r="A747" i="6"/>
  <c r="B731" i="6"/>
  <c r="A731" i="6"/>
  <c r="B715" i="6"/>
  <c r="A715" i="6"/>
  <c r="B699" i="6"/>
  <c r="A699" i="6"/>
  <c r="B667" i="6"/>
  <c r="A667" i="6"/>
  <c r="B659" i="6"/>
  <c r="A659" i="6"/>
  <c r="B635" i="6"/>
  <c r="A635" i="6"/>
  <c r="A811" i="6"/>
  <c r="B1490" i="6"/>
  <c r="A1490" i="6"/>
  <c r="B1474" i="6"/>
  <c r="A1474" i="6"/>
  <c r="B1458" i="6"/>
  <c r="A1458" i="6"/>
  <c r="B1442" i="6"/>
  <c r="A1442" i="6"/>
  <c r="B1426" i="6"/>
  <c r="A1426" i="6"/>
  <c r="B1410" i="6"/>
  <c r="A1410" i="6"/>
  <c r="B1394" i="6"/>
  <c r="A1394" i="6"/>
  <c r="B1378" i="6"/>
  <c r="A1378" i="6"/>
  <c r="B1362" i="6"/>
  <c r="A1362" i="6"/>
  <c r="B1346" i="6"/>
  <c r="A1346" i="6"/>
  <c r="B1330" i="6"/>
  <c r="A1330" i="6"/>
  <c r="B1314" i="6"/>
  <c r="A1314" i="6"/>
  <c r="B1298" i="6"/>
  <c r="A1298" i="6"/>
  <c r="B1290" i="6"/>
  <c r="A1290" i="6"/>
  <c r="B1274" i="6"/>
  <c r="A1274" i="6"/>
  <c r="B1258" i="6"/>
  <c r="A1258" i="6"/>
  <c r="B1242" i="6"/>
  <c r="A1242" i="6"/>
  <c r="B1218" i="6"/>
  <c r="A1218" i="6"/>
  <c r="B1202" i="6"/>
  <c r="A1202" i="6"/>
  <c r="B1186" i="6"/>
  <c r="A1186" i="6"/>
  <c r="A1146" i="6"/>
  <c r="B1146" i="6"/>
  <c r="B1130" i="6"/>
  <c r="A1130" i="6"/>
  <c r="B1114" i="6"/>
  <c r="A1114" i="6"/>
  <c r="B1098" i="6"/>
  <c r="A1098" i="6"/>
  <c r="B1082" i="6"/>
  <c r="A1082" i="6"/>
  <c r="B1066" i="6"/>
  <c r="A1066" i="6"/>
  <c r="B1050" i="6"/>
  <c r="A1050" i="6"/>
  <c r="B1034" i="6"/>
  <c r="A1034" i="6"/>
  <c r="B1018" i="6"/>
  <c r="A1018" i="6"/>
  <c r="B1002" i="6"/>
  <c r="A1002" i="6"/>
  <c r="B986" i="6"/>
  <c r="A986" i="6"/>
  <c r="B970" i="6"/>
  <c r="A970" i="6"/>
  <c r="B954" i="6"/>
  <c r="A954" i="6"/>
  <c r="B946" i="6"/>
  <c r="A946" i="6"/>
  <c r="B938" i="6"/>
  <c r="A938" i="6"/>
  <c r="B922" i="6"/>
  <c r="A922" i="6"/>
  <c r="B906" i="6"/>
  <c r="A906" i="6"/>
  <c r="B890" i="6"/>
  <c r="A890" i="6"/>
  <c r="B882" i="6"/>
  <c r="A882" i="6"/>
  <c r="B866" i="6"/>
  <c r="A866" i="6"/>
  <c r="B850" i="6"/>
  <c r="A850" i="6"/>
  <c r="B818" i="6"/>
  <c r="A818" i="6"/>
  <c r="B802" i="6"/>
  <c r="A802" i="6"/>
  <c r="B786" i="6"/>
  <c r="A786" i="6"/>
  <c r="B770" i="6"/>
  <c r="A770" i="6"/>
  <c r="B754" i="6"/>
  <c r="A754" i="6"/>
  <c r="B738" i="6"/>
  <c r="A738" i="6"/>
  <c r="B722" i="6"/>
  <c r="A722" i="6"/>
  <c r="B714" i="6"/>
  <c r="A714" i="6"/>
  <c r="B698" i="6"/>
  <c r="A698" i="6"/>
  <c r="B690" i="6"/>
  <c r="A690" i="6"/>
  <c r="B682" i="6"/>
  <c r="A682" i="6"/>
  <c r="B666" i="6"/>
  <c r="A666" i="6"/>
  <c r="B642" i="6"/>
  <c r="A642" i="6"/>
  <c r="B626" i="6"/>
  <c r="A626" i="6"/>
  <c r="B610" i="6"/>
  <c r="A610" i="6"/>
  <c r="B594" i="6"/>
  <c r="A594" i="6"/>
  <c r="B578" i="6"/>
  <c r="A578" i="6"/>
  <c r="B570" i="6"/>
  <c r="A570" i="6"/>
  <c r="B554" i="6"/>
  <c r="A554" i="6"/>
  <c r="B530" i="6"/>
  <c r="A530" i="6"/>
  <c r="B514" i="6"/>
  <c r="A514" i="6"/>
  <c r="B498" i="6"/>
  <c r="A498" i="6"/>
  <c r="B482" i="6"/>
  <c r="A482" i="6"/>
  <c r="B474" i="6"/>
  <c r="A474" i="6"/>
  <c r="B466" i="6"/>
  <c r="A466" i="6"/>
  <c r="B450" i="6"/>
  <c r="A450" i="6"/>
  <c r="B442" i="6"/>
  <c r="A442" i="6"/>
  <c r="B426" i="6"/>
  <c r="A426" i="6"/>
  <c r="B410" i="6"/>
  <c r="A410" i="6"/>
  <c r="B394" i="6"/>
  <c r="A394" i="6"/>
  <c r="B370" i="6"/>
  <c r="A370" i="6"/>
  <c r="B354" i="6"/>
  <c r="A354" i="6"/>
  <c r="B346" i="6"/>
  <c r="A346" i="6"/>
  <c r="B322" i="6"/>
  <c r="A322" i="6"/>
  <c r="B306" i="6"/>
  <c r="A306" i="6"/>
  <c r="B290" i="6"/>
  <c r="A290" i="6"/>
  <c r="B266" i="6"/>
  <c r="A266" i="6"/>
  <c r="B250" i="6"/>
  <c r="A250" i="6"/>
  <c r="B234" i="6"/>
  <c r="A234" i="6"/>
  <c r="B210" i="6"/>
  <c r="A210" i="6"/>
  <c r="B194" i="6"/>
  <c r="A194" i="6"/>
  <c r="B178" i="6"/>
  <c r="A178" i="6"/>
  <c r="B154" i="6"/>
  <c r="A154" i="6"/>
  <c r="B138" i="6"/>
  <c r="A138" i="6"/>
  <c r="B114" i="6"/>
  <c r="A114" i="6"/>
  <c r="B98" i="6"/>
  <c r="A98" i="6"/>
  <c r="B82" i="6"/>
  <c r="A82" i="6"/>
  <c r="B50" i="6"/>
  <c r="A50" i="6"/>
  <c r="B10" i="6"/>
  <c r="A10" i="6"/>
  <c r="A1463" i="6"/>
  <c r="A1399" i="6"/>
  <c r="A1335" i="6"/>
  <c r="A1227" i="6"/>
  <c r="A1479" i="6"/>
  <c r="A1415" i="6"/>
  <c r="A1351" i="6"/>
  <c r="A1287" i="6"/>
  <c r="A795" i="6"/>
  <c r="A735" i="6"/>
  <c r="A223" i="6"/>
  <c r="B1483" i="6"/>
  <c r="A1483" i="6"/>
  <c r="B1419" i="6"/>
  <c r="A1419" i="6"/>
  <c r="B1355" i="6"/>
  <c r="A1355" i="6"/>
  <c r="B1299" i="6"/>
  <c r="A1299" i="6"/>
  <c r="B1219" i="6"/>
  <c r="A1219" i="6"/>
  <c r="B1155" i="6"/>
  <c r="A1155" i="6"/>
  <c r="B923" i="6"/>
  <c r="A923" i="6"/>
  <c r="B1207" i="6"/>
  <c r="A1207" i="6"/>
  <c r="B1175" i="6"/>
  <c r="A1175" i="6"/>
  <c r="B1143" i="6"/>
  <c r="A1143" i="6"/>
  <c r="B1111" i="6"/>
  <c r="A1111" i="6"/>
  <c r="B1071" i="6"/>
  <c r="A1071" i="6"/>
  <c r="B1039" i="6"/>
  <c r="A1039" i="6"/>
  <c r="B1007" i="6"/>
  <c r="A1007" i="6"/>
  <c r="B975" i="6"/>
  <c r="A975" i="6"/>
  <c r="B935" i="6"/>
  <c r="A935" i="6"/>
  <c r="B911" i="6"/>
  <c r="A911" i="6"/>
  <c r="B879" i="6"/>
  <c r="A879" i="6"/>
  <c r="B831" i="6"/>
  <c r="A831" i="6"/>
  <c r="B791" i="6"/>
  <c r="A791" i="6"/>
  <c r="B767" i="6"/>
  <c r="A767" i="6"/>
  <c r="B743" i="6"/>
  <c r="A743" i="6"/>
  <c r="B703" i="6"/>
  <c r="A703" i="6"/>
  <c r="B639" i="6"/>
  <c r="A639" i="6"/>
  <c r="B591" i="6"/>
  <c r="A591" i="6"/>
  <c r="B575" i="6"/>
  <c r="A575" i="6"/>
  <c r="B567" i="6"/>
  <c r="A567" i="6"/>
  <c r="B559" i="6"/>
  <c r="A559" i="6"/>
  <c r="B551" i="6"/>
  <c r="A551" i="6"/>
  <c r="B527" i="6"/>
  <c r="A527" i="6"/>
  <c r="B511" i="6"/>
  <c r="A511" i="6"/>
  <c r="B503" i="6"/>
  <c r="A503" i="6"/>
  <c r="B455" i="6"/>
  <c r="A455" i="6"/>
  <c r="B439" i="6"/>
  <c r="A439" i="6"/>
  <c r="B407" i="6"/>
  <c r="A407" i="6"/>
  <c r="B383" i="6"/>
  <c r="A383" i="6"/>
  <c r="A327" i="6"/>
  <c r="B327" i="6"/>
  <c r="B311" i="6"/>
  <c r="A311" i="6"/>
  <c r="B295" i="6"/>
  <c r="A295" i="6"/>
  <c r="B271" i="6"/>
  <c r="A271" i="6"/>
  <c r="B207" i="6"/>
  <c r="A207" i="6"/>
  <c r="B183" i="6"/>
  <c r="A183" i="6"/>
  <c r="B167" i="6"/>
  <c r="A167" i="6"/>
  <c r="B143" i="6"/>
  <c r="A143" i="6"/>
  <c r="B119" i="6"/>
  <c r="A119" i="6"/>
  <c r="B55" i="6"/>
  <c r="A55" i="6"/>
  <c r="B23" i="6"/>
  <c r="A23" i="6"/>
  <c r="A1263" i="6"/>
  <c r="A1495" i="6"/>
  <c r="A1431" i="6"/>
  <c r="A1367" i="6"/>
  <c r="A1303" i="6"/>
  <c r="A1239" i="6"/>
  <c r="A827" i="6"/>
  <c r="A607" i="6"/>
  <c r="B1499" i="6"/>
  <c r="A1499" i="6"/>
  <c r="B1459" i="6"/>
  <c r="A1459" i="6"/>
  <c r="B1427" i="6"/>
  <c r="A1427" i="6"/>
  <c r="B1387" i="6"/>
  <c r="A1387" i="6"/>
  <c r="B1347" i="6"/>
  <c r="A1347" i="6"/>
  <c r="B1315" i="6"/>
  <c r="A1315" i="6"/>
  <c r="B1275" i="6"/>
  <c r="A1275" i="6"/>
  <c r="B1251" i="6"/>
  <c r="A1251" i="6"/>
  <c r="B1211" i="6"/>
  <c r="A1211" i="6"/>
  <c r="B1179" i="6"/>
  <c r="A1179" i="6"/>
  <c r="B1147" i="6"/>
  <c r="A1147" i="6"/>
  <c r="B1075" i="6"/>
  <c r="A1075" i="6"/>
  <c r="B1043" i="6"/>
  <c r="A1043" i="6"/>
  <c r="B939" i="6"/>
  <c r="A939" i="6"/>
  <c r="B915" i="6"/>
  <c r="A915" i="6"/>
  <c r="B891" i="6"/>
  <c r="A891" i="6"/>
  <c r="B859" i="6"/>
  <c r="A859" i="6"/>
  <c r="B835" i="6"/>
  <c r="A835" i="6"/>
  <c r="B771" i="6"/>
  <c r="A771" i="6"/>
  <c r="B691" i="6"/>
  <c r="A691" i="6"/>
  <c r="A1223" i="6"/>
  <c r="B1223" i="6"/>
  <c r="B1215" i="6"/>
  <c r="A1215" i="6"/>
  <c r="B1191" i="6"/>
  <c r="A1191" i="6"/>
  <c r="B1167" i="6"/>
  <c r="A1167" i="6"/>
  <c r="B1151" i="6"/>
  <c r="A1151" i="6"/>
  <c r="B1127" i="6"/>
  <c r="A1127" i="6"/>
  <c r="B1103" i="6"/>
  <c r="A1103" i="6"/>
  <c r="A1087" i="6"/>
  <c r="B1087" i="6"/>
  <c r="A1063" i="6"/>
  <c r="B1063" i="6"/>
  <c r="A1047" i="6"/>
  <c r="B1047" i="6"/>
  <c r="B1023" i="6"/>
  <c r="A1023" i="6"/>
  <c r="A999" i="6"/>
  <c r="B999" i="6"/>
  <c r="B983" i="6"/>
  <c r="A983" i="6"/>
  <c r="B959" i="6"/>
  <c r="A959" i="6"/>
  <c r="B951" i="6"/>
  <c r="A951" i="6"/>
  <c r="B927" i="6"/>
  <c r="A927" i="6"/>
  <c r="B903" i="6"/>
  <c r="A903" i="6"/>
  <c r="B887" i="6"/>
  <c r="A887" i="6"/>
  <c r="B871" i="6"/>
  <c r="A871" i="6"/>
  <c r="B847" i="6"/>
  <c r="A847" i="6"/>
  <c r="B823" i="6"/>
  <c r="A823" i="6"/>
  <c r="B807" i="6"/>
  <c r="A807" i="6"/>
  <c r="B775" i="6"/>
  <c r="A775" i="6"/>
  <c r="B719" i="6"/>
  <c r="A719" i="6"/>
  <c r="B695" i="6"/>
  <c r="A695" i="6"/>
  <c r="B679" i="6"/>
  <c r="A679" i="6"/>
  <c r="B655" i="6"/>
  <c r="A655" i="6"/>
  <c r="B623" i="6"/>
  <c r="A623" i="6"/>
  <c r="B359" i="6"/>
  <c r="A359" i="6"/>
  <c r="B335" i="6"/>
  <c r="A335" i="6"/>
  <c r="B319" i="6"/>
  <c r="A319" i="6"/>
  <c r="B255" i="6"/>
  <c r="A255" i="6"/>
  <c r="B247" i="6"/>
  <c r="A247" i="6"/>
  <c r="B199" i="6"/>
  <c r="A199" i="6"/>
  <c r="B175" i="6"/>
  <c r="A175" i="6"/>
  <c r="B151" i="6"/>
  <c r="A151" i="6"/>
  <c r="B135" i="6"/>
  <c r="A135" i="6"/>
  <c r="B111" i="6"/>
  <c r="A111" i="6"/>
  <c r="B103" i="6"/>
  <c r="A103" i="6"/>
  <c r="B79" i="6"/>
  <c r="A79" i="6"/>
  <c r="B63" i="6"/>
  <c r="A63" i="6"/>
  <c r="B39" i="6"/>
  <c r="A39" i="6"/>
  <c r="B15" i="6"/>
  <c r="A15" i="6"/>
  <c r="A1455" i="6"/>
  <c r="A1391" i="6"/>
  <c r="A671" i="6"/>
  <c r="A31" i="6"/>
  <c r="A1471" i="6"/>
  <c r="A1407" i="6"/>
  <c r="A1343" i="6"/>
  <c r="A1279" i="6"/>
  <c r="A907" i="6"/>
  <c r="A543" i="6"/>
  <c r="B1162" i="6"/>
  <c r="B231" i="6"/>
  <c r="B1467" i="6"/>
  <c r="A1467" i="6"/>
  <c r="B1443" i="6"/>
  <c r="A1443" i="6"/>
  <c r="B1395" i="6"/>
  <c r="A1395" i="6"/>
  <c r="B1363" i="6"/>
  <c r="A1363" i="6"/>
  <c r="B1331" i="6"/>
  <c r="A1331" i="6"/>
  <c r="B1291" i="6"/>
  <c r="A1291" i="6"/>
  <c r="B1259" i="6"/>
  <c r="A1259" i="6"/>
  <c r="B1235" i="6"/>
  <c r="A1235" i="6"/>
  <c r="B1203" i="6"/>
  <c r="A1203" i="6"/>
  <c r="B1171" i="6"/>
  <c r="A1171" i="6"/>
  <c r="B1139" i="6"/>
  <c r="A1139" i="6"/>
  <c r="B1107" i="6"/>
  <c r="A1107" i="6"/>
  <c r="B1083" i="6"/>
  <c r="A1083" i="6"/>
  <c r="B1051" i="6"/>
  <c r="A1051" i="6"/>
  <c r="B1019" i="6"/>
  <c r="A1019" i="6"/>
  <c r="B987" i="6"/>
  <c r="A987" i="6"/>
  <c r="B955" i="6"/>
  <c r="A955" i="6"/>
  <c r="B931" i="6"/>
  <c r="A931" i="6"/>
  <c r="B867" i="6"/>
  <c r="A867" i="6"/>
  <c r="B787" i="6"/>
  <c r="A787" i="6"/>
  <c r="B755" i="6"/>
  <c r="A755" i="6"/>
  <c r="A683" i="6"/>
  <c r="B683" i="6"/>
  <c r="B1183" i="6"/>
  <c r="A1183" i="6"/>
  <c r="B1159" i="6"/>
  <c r="A1159" i="6"/>
  <c r="B1135" i="6"/>
  <c r="A1135" i="6"/>
  <c r="B1119" i="6"/>
  <c r="A1119" i="6"/>
  <c r="B1095" i="6"/>
  <c r="A1095" i="6"/>
  <c r="B1079" i="6"/>
  <c r="A1079" i="6"/>
  <c r="B1055" i="6"/>
  <c r="A1055" i="6"/>
  <c r="B1031" i="6"/>
  <c r="A1031" i="6"/>
  <c r="B1015" i="6"/>
  <c r="A1015" i="6"/>
  <c r="B991" i="6"/>
  <c r="A991" i="6"/>
  <c r="B967" i="6"/>
  <c r="A967" i="6"/>
  <c r="B943" i="6"/>
  <c r="A943" i="6"/>
  <c r="B895" i="6"/>
  <c r="A895" i="6"/>
  <c r="B863" i="6"/>
  <c r="A863" i="6"/>
  <c r="B839" i="6"/>
  <c r="A839" i="6"/>
  <c r="B815" i="6"/>
  <c r="A815" i="6"/>
  <c r="B799" i="6"/>
  <c r="A799" i="6"/>
  <c r="B783" i="6"/>
  <c r="A783" i="6"/>
  <c r="B759" i="6"/>
  <c r="A759" i="6"/>
  <c r="B751" i="6"/>
  <c r="A751" i="6"/>
  <c r="B727" i="6"/>
  <c r="A727" i="6"/>
  <c r="B711" i="6"/>
  <c r="A711" i="6"/>
  <c r="B687" i="6"/>
  <c r="A687" i="6"/>
  <c r="B663" i="6"/>
  <c r="A663" i="6"/>
  <c r="B647" i="6"/>
  <c r="A647" i="6"/>
  <c r="B631" i="6"/>
  <c r="A631" i="6"/>
  <c r="B615" i="6"/>
  <c r="A615" i="6"/>
  <c r="B599" i="6"/>
  <c r="A599" i="6"/>
  <c r="B583" i="6"/>
  <c r="A583" i="6"/>
  <c r="B535" i="6"/>
  <c r="A535" i="6"/>
  <c r="B519" i="6"/>
  <c r="A519" i="6"/>
  <c r="B495" i="6"/>
  <c r="A495" i="6"/>
  <c r="B487" i="6"/>
  <c r="A487" i="6"/>
  <c r="B471" i="6"/>
  <c r="A471" i="6"/>
  <c r="B463" i="6"/>
  <c r="A463" i="6"/>
  <c r="B447" i="6"/>
  <c r="A447" i="6"/>
  <c r="B431" i="6"/>
  <c r="A431" i="6"/>
  <c r="B423" i="6"/>
  <c r="A423" i="6"/>
  <c r="B399" i="6"/>
  <c r="A399" i="6"/>
  <c r="B391" i="6"/>
  <c r="A391" i="6"/>
  <c r="B375" i="6"/>
  <c r="A375" i="6"/>
  <c r="B367" i="6"/>
  <c r="A367" i="6"/>
  <c r="B343" i="6"/>
  <c r="A343" i="6"/>
  <c r="B303" i="6"/>
  <c r="A303" i="6"/>
  <c r="B279" i="6"/>
  <c r="A279" i="6"/>
  <c r="B263" i="6"/>
  <c r="A263" i="6"/>
  <c r="B239" i="6"/>
  <c r="A239" i="6"/>
  <c r="B215" i="6"/>
  <c r="A215" i="6"/>
  <c r="B191" i="6"/>
  <c r="A191" i="6"/>
  <c r="B127" i="6"/>
  <c r="A127" i="6"/>
  <c r="B95" i="6"/>
  <c r="A95" i="6"/>
  <c r="B71" i="6"/>
  <c r="A71" i="6"/>
  <c r="B47" i="6"/>
  <c r="A47" i="6"/>
  <c r="B7" i="6"/>
  <c r="A7" i="6"/>
  <c r="A1327" i="6"/>
  <c r="A919" i="6"/>
  <c r="A159" i="6"/>
  <c r="A1447" i="6"/>
  <c r="A1383" i="6"/>
  <c r="A1319" i="6"/>
  <c r="A1255" i="6"/>
  <c r="A479" i="6"/>
  <c r="B627" i="6"/>
  <c r="A627" i="6"/>
  <c r="B619" i="6"/>
  <c r="A619" i="6"/>
  <c r="B611" i="6"/>
  <c r="A611" i="6"/>
  <c r="B603" i="6"/>
  <c r="A603" i="6"/>
  <c r="B595" i="6"/>
  <c r="A595" i="6"/>
  <c r="B587" i="6"/>
  <c r="A587" i="6"/>
  <c r="A579" i="6"/>
  <c r="B579" i="6"/>
  <c r="B571" i="6"/>
  <c r="A571" i="6"/>
  <c r="A563" i="6"/>
  <c r="B563" i="6"/>
  <c r="B555" i="6"/>
  <c r="A555" i="6"/>
  <c r="B547" i="6"/>
  <c r="A547" i="6"/>
  <c r="B539" i="6"/>
  <c r="A539" i="6"/>
  <c r="B531" i="6"/>
  <c r="A531" i="6"/>
  <c r="B523" i="6"/>
  <c r="A523" i="6"/>
  <c r="B515" i="6"/>
  <c r="A515" i="6"/>
  <c r="B507" i="6"/>
  <c r="A507" i="6"/>
  <c r="B499" i="6"/>
  <c r="A499" i="6"/>
  <c r="B491" i="6"/>
  <c r="A491" i="6"/>
  <c r="B483" i="6"/>
  <c r="A483" i="6"/>
  <c r="B475" i="6"/>
  <c r="A475" i="6"/>
  <c r="B467" i="6"/>
  <c r="A467" i="6"/>
  <c r="B459" i="6"/>
  <c r="A459" i="6"/>
  <c r="B451" i="6"/>
  <c r="A451" i="6"/>
  <c r="B443" i="6"/>
  <c r="A443" i="6"/>
  <c r="B435" i="6"/>
  <c r="A435" i="6"/>
  <c r="B427" i="6"/>
  <c r="A427" i="6"/>
  <c r="B419" i="6"/>
  <c r="A419" i="6"/>
  <c r="B411" i="6"/>
  <c r="A411" i="6"/>
  <c r="B403" i="6"/>
  <c r="A403" i="6"/>
  <c r="B395" i="6"/>
  <c r="A395" i="6"/>
  <c r="B387" i="6"/>
  <c r="A387" i="6"/>
  <c r="B379" i="6"/>
  <c r="A379" i="6"/>
  <c r="B371" i="6"/>
  <c r="A371" i="6"/>
  <c r="B363" i="6"/>
  <c r="A363" i="6"/>
  <c r="B355" i="6"/>
  <c r="A355" i="6"/>
  <c r="B347" i="6"/>
  <c r="A347" i="6"/>
  <c r="B339" i="6"/>
  <c r="A339" i="6"/>
  <c r="B331" i="6"/>
  <c r="A331" i="6"/>
  <c r="B323" i="6"/>
  <c r="A323" i="6"/>
  <c r="B315" i="6"/>
  <c r="A315" i="6"/>
  <c r="B307" i="6"/>
  <c r="A307" i="6"/>
  <c r="B299" i="6"/>
  <c r="A299" i="6"/>
  <c r="B291" i="6"/>
  <c r="A291" i="6"/>
  <c r="B283" i="6"/>
  <c r="A283" i="6"/>
  <c r="B275" i="6"/>
  <c r="A275" i="6"/>
  <c r="B267" i="6"/>
  <c r="A267" i="6"/>
  <c r="B259" i="6"/>
  <c r="A259" i="6"/>
  <c r="B251" i="6"/>
  <c r="A251" i="6"/>
  <c r="B243" i="6"/>
  <c r="A243" i="6"/>
  <c r="B235" i="6"/>
  <c r="A235" i="6"/>
  <c r="B227" i="6"/>
  <c r="A227" i="6"/>
  <c r="B219" i="6"/>
  <c r="A219" i="6"/>
  <c r="B211" i="6"/>
  <c r="A211" i="6"/>
  <c r="B203" i="6"/>
  <c r="A203" i="6"/>
  <c r="B195" i="6"/>
  <c r="A195" i="6"/>
  <c r="B187" i="6"/>
  <c r="A187" i="6"/>
  <c r="B179" i="6"/>
  <c r="A179" i="6"/>
  <c r="B171" i="6"/>
  <c r="A171" i="6"/>
  <c r="B163" i="6"/>
  <c r="A163" i="6"/>
  <c r="B155" i="6"/>
  <c r="A155" i="6"/>
  <c r="B147" i="6"/>
  <c r="A147" i="6"/>
  <c r="B131" i="6"/>
  <c r="A131" i="6"/>
  <c r="B123" i="6"/>
  <c r="A123" i="6"/>
  <c r="B115" i="6"/>
  <c r="A115" i="6"/>
  <c r="B107" i="6"/>
  <c r="A107" i="6"/>
  <c r="B99" i="6"/>
  <c r="A99" i="6"/>
  <c r="B91" i="6"/>
  <c r="A91" i="6"/>
  <c r="B83" i="6"/>
  <c r="A83" i="6"/>
  <c r="B75" i="6"/>
  <c r="A75" i="6"/>
  <c r="B67" i="6"/>
  <c r="A67" i="6"/>
  <c r="B59" i="6"/>
  <c r="A59" i="6"/>
  <c r="B51" i="6"/>
  <c r="A51" i="6"/>
  <c r="B43" i="6"/>
  <c r="A43" i="6"/>
  <c r="B35" i="6"/>
  <c r="A35" i="6"/>
  <c r="B27" i="6"/>
  <c r="A27" i="6"/>
  <c r="B19" i="6"/>
  <c r="A19" i="6"/>
  <c r="B11" i="6"/>
  <c r="A11" i="6"/>
  <c r="A1222" i="6"/>
  <c r="A1190" i="6"/>
  <c r="A1158" i="6"/>
  <c r="A1126" i="6"/>
  <c r="A1094" i="6"/>
  <c r="A1062" i="6"/>
  <c r="A1030" i="6"/>
  <c r="A998" i="6"/>
  <c r="A926" i="6"/>
  <c r="A862" i="6"/>
  <c r="A118" i="6"/>
  <c r="B1334" i="6"/>
  <c r="B1278" i="6"/>
  <c r="B969" i="6"/>
  <c r="A969" i="6"/>
  <c r="B961" i="6"/>
  <c r="A961" i="6"/>
  <c r="B953" i="6"/>
  <c r="A953" i="6"/>
  <c r="B945" i="6"/>
  <c r="A945" i="6"/>
  <c r="B937" i="6"/>
  <c r="A937" i="6"/>
  <c r="B929" i="6"/>
  <c r="A929" i="6"/>
  <c r="B921" i="6"/>
  <c r="A921" i="6"/>
  <c r="B913" i="6"/>
  <c r="A913" i="6"/>
  <c r="B905" i="6"/>
  <c r="A905" i="6"/>
  <c r="B897" i="6"/>
  <c r="A897" i="6"/>
  <c r="B889" i="6"/>
  <c r="A889" i="6"/>
  <c r="B881" i="6"/>
  <c r="A881" i="6"/>
  <c r="B873" i="6"/>
  <c r="A873" i="6"/>
  <c r="B865" i="6"/>
  <c r="A865" i="6"/>
  <c r="B857" i="6"/>
  <c r="A857" i="6"/>
  <c r="B849" i="6"/>
  <c r="A849" i="6"/>
  <c r="B841" i="6"/>
  <c r="A841" i="6"/>
  <c r="B833" i="6"/>
  <c r="A833" i="6"/>
  <c r="B825" i="6"/>
  <c r="A825" i="6"/>
  <c r="B817" i="6"/>
  <c r="A817" i="6"/>
  <c r="B809" i="6"/>
  <c r="A809" i="6"/>
  <c r="B801" i="6"/>
  <c r="A801" i="6"/>
  <c r="B793" i="6"/>
  <c r="A793" i="6"/>
  <c r="B785" i="6"/>
  <c r="A785" i="6"/>
  <c r="B777" i="6"/>
  <c r="A777" i="6"/>
  <c r="B769" i="6"/>
  <c r="A769" i="6"/>
  <c r="B761" i="6"/>
  <c r="A761" i="6"/>
  <c r="B753" i="6"/>
  <c r="A753" i="6"/>
  <c r="B745" i="6"/>
  <c r="A745" i="6"/>
  <c r="B737" i="6"/>
  <c r="A737" i="6"/>
  <c r="B729" i="6"/>
  <c r="A729" i="6"/>
  <c r="B721" i="6"/>
  <c r="A721" i="6"/>
  <c r="B713" i="6"/>
  <c r="A713" i="6"/>
  <c r="B705" i="6"/>
  <c r="A705" i="6"/>
  <c r="B697" i="6"/>
  <c r="A697" i="6"/>
  <c r="B689" i="6"/>
  <c r="A689" i="6"/>
  <c r="B681" i="6"/>
  <c r="A681" i="6"/>
  <c r="B673" i="6"/>
  <c r="A673" i="6"/>
  <c r="B665" i="6"/>
  <c r="A665" i="6"/>
  <c r="B657" i="6"/>
  <c r="A657" i="6"/>
  <c r="B649" i="6"/>
  <c r="A649" i="6"/>
  <c r="B641" i="6"/>
  <c r="A641" i="6"/>
  <c r="B633" i="6"/>
  <c r="A633" i="6"/>
  <c r="B625" i="6"/>
  <c r="A625" i="6"/>
  <c r="B617" i="6"/>
  <c r="A617" i="6"/>
  <c r="B609" i="6"/>
  <c r="A609" i="6"/>
  <c r="B601" i="6"/>
  <c r="A601" i="6"/>
  <c r="B593" i="6"/>
  <c r="A593" i="6"/>
  <c r="B585" i="6"/>
  <c r="A585" i="6"/>
  <c r="B577" i="6"/>
  <c r="A577" i="6"/>
  <c r="B569" i="6"/>
  <c r="A569" i="6"/>
  <c r="B561" i="6"/>
  <c r="A561" i="6"/>
  <c r="B553" i="6"/>
  <c r="A553" i="6"/>
  <c r="B545" i="6"/>
  <c r="A545" i="6"/>
  <c r="B537" i="6"/>
  <c r="A537" i="6"/>
  <c r="B529" i="6"/>
  <c r="A529" i="6"/>
  <c r="B521" i="6"/>
  <c r="A521" i="6"/>
  <c r="B513" i="6"/>
  <c r="A513" i="6"/>
  <c r="B505" i="6"/>
  <c r="A505" i="6"/>
  <c r="B497" i="6"/>
  <c r="A497" i="6"/>
  <c r="B489" i="6"/>
  <c r="A489" i="6"/>
  <c r="B481" i="6"/>
  <c r="A481" i="6"/>
  <c r="B473" i="6"/>
  <c r="A473" i="6"/>
  <c r="B465" i="6"/>
  <c r="A465" i="6"/>
  <c r="B457" i="6"/>
  <c r="A457" i="6"/>
  <c r="B449" i="6"/>
  <c r="A449" i="6"/>
  <c r="B441" i="6"/>
  <c r="A441" i="6"/>
  <c r="B433" i="6"/>
  <c r="A433" i="6"/>
  <c r="B425" i="6"/>
  <c r="A425" i="6"/>
  <c r="B417" i="6"/>
  <c r="A417" i="6"/>
  <c r="B409" i="6"/>
  <c r="A409" i="6"/>
  <c r="B401" i="6"/>
  <c r="A401" i="6"/>
  <c r="B393" i="6"/>
  <c r="A393" i="6"/>
  <c r="B385" i="6"/>
  <c r="A385" i="6"/>
  <c r="B377" i="6"/>
  <c r="A377" i="6"/>
  <c r="B369" i="6"/>
  <c r="A369" i="6"/>
  <c r="B361" i="6"/>
  <c r="A361" i="6"/>
  <c r="B353" i="6"/>
  <c r="A353" i="6"/>
  <c r="B345" i="6"/>
  <c r="A345" i="6"/>
  <c r="B337" i="6"/>
  <c r="A337" i="6"/>
  <c r="B329" i="6"/>
  <c r="A329" i="6"/>
  <c r="B321" i="6"/>
  <c r="A321" i="6"/>
  <c r="B313" i="6"/>
  <c r="A313" i="6"/>
  <c r="B305" i="6"/>
  <c r="A305" i="6"/>
  <c r="B297" i="6"/>
  <c r="A297" i="6"/>
  <c r="B289" i="6"/>
  <c r="A289" i="6"/>
  <c r="B281" i="6"/>
  <c r="A281" i="6"/>
  <c r="B273" i="6"/>
  <c r="A273" i="6"/>
  <c r="B265" i="6"/>
  <c r="A265" i="6"/>
  <c r="B257" i="6"/>
  <c r="A257" i="6"/>
  <c r="B249" i="6"/>
  <c r="A249" i="6"/>
  <c r="B241" i="6"/>
  <c r="A241" i="6"/>
  <c r="B233" i="6"/>
  <c r="A233" i="6"/>
  <c r="B225" i="6"/>
  <c r="A225" i="6"/>
  <c r="B217" i="6"/>
  <c r="A217" i="6"/>
  <c r="B209" i="6"/>
  <c r="A209" i="6"/>
  <c r="B201" i="6"/>
  <c r="A201" i="6"/>
  <c r="B193" i="6"/>
  <c r="A193" i="6"/>
  <c r="B185" i="6"/>
  <c r="A185" i="6"/>
  <c r="B177" i="6"/>
  <c r="A177" i="6"/>
  <c r="B169" i="6"/>
  <c r="A169" i="6"/>
  <c r="B161" i="6"/>
  <c r="A161" i="6"/>
  <c r="B153" i="6"/>
  <c r="A153" i="6"/>
  <c r="B145" i="6"/>
  <c r="A145" i="6"/>
  <c r="B137" i="6"/>
  <c r="A137" i="6"/>
  <c r="B129" i="6"/>
  <c r="A129" i="6"/>
  <c r="B121" i="6"/>
  <c r="A121" i="6"/>
  <c r="B113" i="6"/>
  <c r="A113" i="6"/>
  <c r="B105" i="6"/>
  <c r="A105" i="6"/>
  <c r="B97" i="6"/>
  <c r="A97" i="6"/>
  <c r="B89" i="6"/>
  <c r="A89" i="6"/>
  <c r="B81" i="6"/>
  <c r="A81" i="6"/>
  <c r="B73" i="6"/>
  <c r="A73" i="6"/>
  <c r="B65" i="6"/>
  <c r="A65" i="6"/>
  <c r="B57" i="6"/>
  <c r="A57" i="6"/>
  <c r="B49" i="6"/>
  <c r="A49" i="6"/>
  <c r="B41" i="6"/>
  <c r="A41" i="6"/>
  <c r="B33" i="6"/>
  <c r="A33" i="6"/>
  <c r="B25" i="6"/>
  <c r="A25" i="6"/>
  <c r="B17" i="6"/>
  <c r="A17" i="6"/>
  <c r="B9" i="6"/>
  <c r="A9" i="6"/>
  <c r="A1494" i="6"/>
  <c r="A1486" i="6"/>
  <c r="A1478" i="6"/>
  <c r="A1470" i="6"/>
  <c r="A1462" i="6"/>
  <c r="A1454" i="6"/>
  <c r="A1446" i="6"/>
  <c r="A1438" i="6"/>
  <c r="A1430" i="6"/>
  <c r="A1422" i="6"/>
  <c r="A1414" i="6"/>
  <c r="A1406" i="6"/>
  <c r="A1398" i="6"/>
  <c r="A1390" i="6"/>
  <c r="A1382" i="6"/>
  <c r="A1374" i="6"/>
  <c r="A1366" i="6"/>
  <c r="A1358" i="6"/>
  <c r="A1350" i="6"/>
  <c r="A1342" i="6"/>
  <c r="A1326" i="6"/>
  <c r="A1318" i="6"/>
  <c r="A1310" i="6"/>
  <c r="A1294" i="6"/>
  <c r="A1286" i="6"/>
  <c r="A1270" i="6"/>
  <c r="A1262" i="6"/>
  <c r="A1254" i="6"/>
  <c r="A1246" i="6"/>
  <c r="A1238" i="6"/>
  <c r="A1230" i="6"/>
  <c r="A1208" i="6"/>
  <c r="A1198" i="6"/>
  <c r="A1176" i="6"/>
  <c r="A1166" i="6"/>
  <c r="A1144" i="6"/>
  <c r="A1134" i="6"/>
  <c r="A1112" i="6"/>
  <c r="A1102" i="6"/>
  <c r="A1080" i="6"/>
  <c r="A1070" i="6"/>
  <c r="A1048" i="6"/>
  <c r="A1038" i="6"/>
  <c r="A1016" i="6"/>
  <c r="A1006" i="6"/>
  <c r="A984" i="6"/>
  <c r="A974" i="6"/>
  <c r="A960" i="6"/>
  <c r="A948" i="6"/>
  <c r="A910" i="6"/>
  <c r="A896" i="6"/>
  <c r="A884" i="6"/>
  <c r="A846" i="6"/>
  <c r="A760" i="6"/>
  <c r="A740" i="6"/>
  <c r="A696" i="6"/>
  <c r="A676" i="6"/>
  <c r="A632" i="6"/>
  <c r="A612" i="6"/>
  <c r="A568" i="6"/>
  <c r="A548" i="6"/>
  <c r="A504" i="6"/>
  <c r="A484" i="6"/>
  <c r="A440" i="6"/>
  <c r="A420" i="6"/>
  <c r="A376" i="6"/>
  <c r="A356" i="6"/>
  <c r="A312" i="6"/>
  <c r="A292" i="6"/>
  <c r="A248" i="6"/>
  <c r="A228" i="6"/>
  <c r="A184" i="6"/>
  <c r="A164" i="6"/>
  <c r="A142" i="6"/>
  <c r="A101" i="6"/>
  <c r="A46" i="6"/>
  <c r="B1493" i="6"/>
  <c r="B1181" i="6"/>
  <c r="B749" i="6"/>
  <c r="B416" i="6"/>
  <c r="B144" i="6"/>
  <c r="A144" i="6"/>
  <c r="B136" i="6"/>
  <c r="A136" i="6"/>
  <c r="A128" i="6"/>
  <c r="B128" i="6"/>
  <c r="B120" i="6"/>
  <c r="A120" i="6"/>
  <c r="B112" i="6"/>
  <c r="A112" i="6"/>
  <c r="B104" i="6"/>
  <c r="A104" i="6"/>
  <c r="B96" i="6"/>
  <c r="A96" i="6"/>
  <c r="B88" i="6"/>
  <c r="A88" i="6"/>
  <c r="B80" i="6"/>
  <c r="A80" i="6"/>
  <c r="B72" i="6"/>
  <c r="A72" i="6"/>
  <c r="A64" i="6"/>
  <c r="B64" i="6"/>
  <c r="B56" i="6"/>
  <c r="A56" i="6"/>
  <c r="B48" i="6"/>
  <c r="A48" i="6"/>
  <c r="B40" i="6"/>
  <c r="A40" i="6"/>
  <c r="A32" i="6"/>
  <c r="B32" i="6"/>
  <c r="B24" i="6"/>
  <c r="A24" i="6"/>
  <c r="B16" i="6"/>
  <c r="A16" i="6"/>
  <c r="A8" i="6"/>
  <c r="B8" i="6"/>
  <c r="A3" i="6"/>
  <c r="A1485" i="6"/>
  <c r="A1477" i="6"/>
  <c r="A1469" i="6"/>
  <c r="A1461" i="6"/>
  <c r="A1453" i="6"/>
  <c r="A1445" i="6"/>
  <c r="A1437" i="6"/>
  <c r="A1429" i="6"/>
  <c r="A1413" i="6"/>
  <c r="A1405" i="6"/>
  <c r="A1397" i="6"/>
  <c r="A1381" i="6"/>
  <c r="A1373" i="6"/>
  <c r="A1349" i="6"/>
  <c r="A1341" i="6"/>
  <c r="A1333" i="6"/>
  <c r="A1317" i="6"/>
  <c r="A1309" i="6"/>
  <c r="A1293" i="6"/>
  <c r="A1285" i="6"/>
  <c r="A1277" i="6"/>
  <c r="A1269" i="6"/>
  <c r="A1261" i="6"/>
  <c r="A1253" i="6"/>
  <c r="A1245" i="6"/>
  <c r="A1237" i="6"/>
  <c r="A1228" i="6"/>
  <c r="A1217" i="6"/>
  <c r="A1196" i="6"/>
  <c r="A1185" i="6"/>
  <c r="A1164" i="6"/>
  <c r="A1153" i="6"/>
  <c r="A1132" i="6"/>
  <c r="A1121" i="6"/>
  <c r="A1100" i="6"/>
  <c r="A1089" i="6"/>
  <c r="A1068" i="6"/>
  <c r="A1057" i="6"/>
  <c r="A1036" i="6"/>
  <c r="A1025" i="6"/>
  <c r="A1004" i="6"/>
  <c r="A993" i="6"/>
  <c r="A972" i="6"/>
  <c r="A934" i="6"/>
  <c r="A920" i="6"/>
  <c r="A908" i="6"/>
  <c r="A870" i="6"/>
  <c r="A856" i="6"/>
  <c r="A844" i="6"/>
  <c r="A828" i="6"/>
  <c r="A812" i="6"/>
  <c r="A796" i="6"/>
  <c r="A780" i="6"/>
  <c r="A736" i="6"/>
  <c r="A716" i="6"/>
  <c r="A672" i="6"/>
  <c r="A652" i="6"/>
  <c r="A608" i="6"/>
  <c r="A588" i="6"/>
  <c r="A544" i="6"/>
  <c r="A524" i="6"/>
  <c r="A480" i="6"/>
  <c r="A460" i="6"/>
  <c r="A396" i="6"/>
  <c r="A352" i="6"/>
  <c r="A332" i="6"/>
  <c r="A288" i="6"/>
  <c r="A268" i="6"/>
  <c r="A224" i="6"/>
  <c r="A204" i="6"/>
  <c r="A160" i="6"/>
  <c r="A139" i="6"/>
  <c r="A37" i="6"/>
  <c r="B1165" i="6"/>
  <c r="B1029" i="6"/>
  <c r="B878" i="6"/>
  <c r="B725" i="6"/>
  <c r="B838" i="6"/>
  <c r="A838" i="6"/>
  <c r="B814" i="6"/>
  <c r="A814" i="6"/>
  <c r="B806" i="6"/>
  <c r="A806" i="6"/>
  <c r="B790" i="6"/>
  <c r="A790" i="6"/>
  <c r="B774" i="6"/>
  <c r="A774" i="6"/>
  <c r="B758" i="6"/>
  <c r="A758" i="6"/>
  <c r="B742" i="6"/>
  <c r="A742" i="6"/>
  <c r="B726" i="6"/>
  <c r="A726" i="6"/>
  <c r="B710" i="6"/>
  <c r="A710" i="6"/>
  <c r="B694" i="6"/>
  <c r="A694" i="6"/>
  <c r="B678" i="6"/>
  <c r="A678" i="6"/>
  <c r="B662" i="6"/>
  <c r="A662" i="6"/>
  <c r="B646" i="6"/>
  <c r="A646" i="6"/>
  <c r="B622" i="6"/>
  <c r="A622" i="6"/>
  <c r="B606" i="6"/>
  <c r="A606" i="6"/>
  <c r="B590" i="6"/>
  <c r="A590" i="6"/>
  <c r="B582" i="6"/>
  <c r="A582" i="6"/>
  <c r="B566" i="6"/>
  <c r="A566" i="6"/>
  <c r="B550" i="6"/>
  <c r="A550" i="6"/>
  <c r="B534" i="6"/>
  <c r="A534" i="6"/>
  <c r="B518" i="6"/>
  <c r="A518" i="6"/>
  <c r="B502" i="6"/>
  <c r="A502" i="6"/>
  <c r="B486" i="6"/>
  <c r="A486" i="6"/>
  <c r="B470" i="6"/>
  <c r="A470" i="6"/>
  <c r="B454" i="6"/>
  <c r="A454" i="6"/>
  <c r="B446" i="6"/>
  <c r="A446" i="6"/>
  <c r="B430" i="6"/>
  <c r="A430" i="6"/>
  <c r="B414" i="6"/>
  <c r="A414" i="6"/>
  <c r="B398" i="6"/>
  <c r="A398" i="6"/>
  <c r="B382" i="6"/>
  <c r="A382" i="6"/>
  <c r="B366" i="6"/>
  <c r="A366" i="6"/>
  <c r="B350" i="6"/>
  <c r="A350" i="6"/>
  <c r="B334" i="6"/>
  <c r="A334" i="6"/>
  <c r="B318" i="6"/>
  <c r="A318" i="6"/>
  <c r="B302" i="6"/>
  <c r="A302" i="6"/>
  <c r="B286" i="6"/>
  <c r="A286" i="6"/>
  <c r="B270" i="6"/>
  <c r="A270" i="6"/>
  <c r="B254" i="6"/>
  <c r="A254" i="6"/>
  <c r="B238" i="6"/>
  <c r="A238" i="6"/>
  <c r="B222" i="6"/>
  <c r="A222" i="6"/>
  <c r="B206" i="6"/>
  <c r="A206" i="6"/>
  <c r="B190" i="6"/>
  <c r="A190" i="6"/>
  <c r="B174" i="6"/>
  <c r="A174" i="6"/>
  <c r="B166" i="6"/>
  <c r="A166" i="6"/>
  <c r="B150" i="6"/>
  <c r="A150" i="6"/>
  <c r="B94" i="6"/>
  <c r="A94" i="6"/>
  <c r="B62" i="6"/>
  <c r="A62" i="6"/>
  <c r="B38" i="6"/>
  <c r="A38" i="6"/>
  <c r="B30" i="6"/>
  <c r="A30" i="6"/>
  <c r="B22" i="6"/>
  <c r="A22" i="6"/>
  <c r="B6" i="6"/>
  <c r="A6" i="6"/>
  <c r="A854" i="6"/>
  <c r="A78" i="6"/>
  <c r="B1229" i="6"/>
  <c r="A1229" i="6"/>
  <c r="B1221" i="6"/>
  <c r="A1221" i="6"/>
  <c r="B1205" i="6"/>
  <c r="A1205" i="6"/>
  <c r="B1197" i="6"/>
  <c r="A1197" i="6"/>
  <c r="B1189" i="6"/>
  <c r="A1189" i="6"/>
  <c r="B1173" i="6"/>
  <c r="A1173" i="6"/>
  <c r="B1157" i="6"/>
  <c r="A1157" i="6"/>
  <c r="B1149" i="6"/>
  <c r="A1149" i="6"/>
  <c r="B1141" i="6"/>
  <c r="A1141" i="6"/>
  <c r="B1133" i="6"/>
  <c r="A1133" i="6"/>
  <c r="B1125" i="6"/>
  <c r="A1125" i="6"/>
  <c r="B1117" i="6"/>
  <c r="A1117" i="6"/>
  <c r="A1109" i="6"/>
  <c r="B1109" i="6"/>
  <c r="B1101" i="6"/>
  <c r="A1101" i="6"/>
  <c r="B1093" i="6"/>
  <c r="A1093" i="6"/>
  <c r="B1085" i="6"/>
  <c r="A1085" i="6"/>
  <c r="B1077" i="6"/>
  <c r="A1077" i="6"/>
  <c r="B1069" i="6"/>
  <c r="A1069" i="6"/>
  <c r="B1061" i="6"/>
  <c r="A1061" i="6"/>
  <c r="B1053" i="6"/>
  <c r="A1053" i="6"/>
  <c r="B1045" i="6"/>
  <c r="A1045" i="6"/>
  <c r="B1037" i="6"/>
  <c r="A1037" i="6"/>
  <c r="B1021" i="6"/>
  <c r="A1021" i="6"/>
  <c r="B1013" i="6"/>
  <c r="A1013" i="6"/>
  <c r="B997" i="6"/>
  <c r="A997" i="6"/>
  <c r="B989" i="6"/>
  <c r="A989" i="6"/>
  <c r="B973" i="6"/>
  <c r="A973" i="6"/>
  <c r="B965" i="6"/>
  <c r="A965" i="6"/>
  <c r="B957" i="6"/>
  <c r="A957" i="6"/>
  <c r="B949" i="6"/>
  <c r="A949" i="6"/>
  <c r="B933" i="6"/>
  <c r="A933" i="6"/>
  <c r="B925" i="6"/>
  <c r="A925" i="6"/>
  <c r="B917" i="6"/>
  <c r="A917" i="6"/>
  <c r="B909" i="6"/>
  <c r="A909" i="6"/>
  <c r="B901" i="6"/>
  <c r="A901" i="6"/>
  <c r="B893" i="6"/>
  <c r="A893" i="6"/>
  <c r="B885" i="6"/>
  <c r="A885" i="6"/>
  <c r="A877" i="6"/>
  <c r="B877" i="6"/>
  <c r="B869" i="6"/>
  <c r="A869" i="6"/>
  <c r="B861" i="6"/>
  <c r="A861" i="6"/>
  <c r="B853" i="6"/>
  <c r="A853" i="6"/>
  <c r="B845" i="6"/>
  <c r="A845" i="6"/>
  <c r="B837" i="6"/>
  <c r="A837" i="6"/>
  <c r="B829" i="6"/>
  <c r="A829" i="6"/>
  <c r="B821" i="6"/>
  <c r="A821" i="6"/>
  <c r="B813" i="6"/>
  <c r="A813" i="6"/>
  <c r="B805" i="6"/>
  <c r="A805" i="6"/>
  <c r="B797" i="6"/>
  <c r="A797" i="6"/>
  <c r="B789" i="6"/>
  <c r="A789" i="6"/>
  <c r="B781" i="6"/>
  <c r="A781" i="6"/>
  <c r="B765" i="6"/>
  <c r="A765" i="6"/>
  <c r="B757" i="6"/>
  <c r="A757" i="6"/>
  <c r="B741" i="6"/>
  <c r="A741" i="6"/>
  <c r="B733" i="6"/>
  <c r="A733" i="6"/>
  <c r="B717" i="6"/>
  <c r="A717" i="6"/>
  <c r="B701" i="6"/>
  <c r="A701" i="6"/>
  <c r="B693" i="6"/>
  <c r="A693" i="6"/>
  <c r="B685" i="6"/>
  <c r="A685" i="6"/>
  <c r="B677" i="6"/>
  <c r="A677" i="6"/>
  <c r="B669" i="6"/>
  <c r="A669" i="6"/>
  <c r="B661" i="6"/>
  <c r="A661" i="6"/>
  <c r="B653" i="6"/>
  <c r="A653" i="6"/>
  <c r="B645" i="6"/>
  <c r="A645" i="6"/>
  <c r="B637" i="6"/>
  <c r="A637" i="6"/>
  <c r="B629" i="6"/>
  <c r="A629" i="6"/>
  <c r="B621" i="6"/>
  <c r="A621" i="6"/>
  <c r="B613" i="6"/>
  <c r="A613" i="6"/>
  <c r="B605" i="6"/>
  <c r="A605" i="6"/>
  <c r="B597" i="6"/>
  <c r="A597" i="6"/>
  <c r="B589" i="6"/>
  <c r="A589" i="6"/>
  <c r="B581" i="6"/>
  <c r="A581" i="6"/>
  <c r="B573" i="6"/>
  <c r="A573" i="6"/>
  <c r="B565" i="6"/>
  <c r="A565" i="6"/>
  <c r="B557" i="6"/>
  <c r="A557" i="6"/>
  <c r="B549" i="6"/>
  <c r="A549" i="6"/>
  <c r="B541" i="6"/>
  <c r="A541" i="6"/>
  <c r="B533" i="6"/>
  <c r="A533" i="6"/>
  <c r="B525" i="6"/>
  <c r="A525" i="6"/>
  <c r="B517" i="6"/>
  <c r="A517" i="6"/>
  <c r="B509" i="6"/>
  <c r="A509" i="6"/>
  <c r="B501" i="6"/>
  <c r="A501" i="6"/>
  <c r="B493" i="6"/>
  <c r="A493" i="6"/>
  <c r="B485" i="6"/>
  <c r="A485" i="6"/>
  <c r="B477" i="6"/>
  <c r="A477" i="6"/>
  <c r="B469" i="6"/>
  <c r="A469" i="6"/>
  <c r="B461" i="6"/>
  <c r="A461" i="6"/>
  <c r="B453" i="6"/>
  <c r="A453" i="6"/>
  <c r="B445" i="6"/>
  <c r="A445" i="6"/>
  <c r="B437" i="6"/>
  <c r="A437" i="6"/>
  <c r="B429" i="6"/>
  <c r="A429" i="6"/>
  <c r="B421" i="6"/>
  <c r="A421" i="6"/>
  <c r="B413" i="6"/>
  <c r="A413" i="6"/>
  <c r="B405" i="6"/>
  <c r="A405" i="6"/>
  <c r="B397" i="6"/>
  <c r="A397" i="6"/>
  <c r="B389" i="6"/>
  <c r="A389" i="6"/>
  <c r="B381" i="6"/>
  <c r="A381" i="6"/>
  <c r="B373" i="6"/>
  <c r="A373" i="6"/>
  <c r="B365" i="6"/>
  <c r="A365" i="6"/>
  <c r="B357" i="6"/>
  <c r="A357" i="6"/>
  <c r="B349" i="6"/>
  <c r="A349" i="6"/>
  <c r="B341" i="6"/>
  <c r="A341" i="6"/>
  <c r="B333" i="6"/>
  <c r="A333" i="6"/>
  <c r="B325" i="6"/>
  <c r="A325" i="6"/>
  <c r="B317" i="6"/>
  <c r="A317" i="6"/>
  <c r="B309" i="6"/>
  <c r="A309" i="6"/>
  <c r="B301" i="6"/>
  <c r="A301" i="6"/>
  <c r="B293" i="6"/>
  <c r="A293" i="6"/>
  <c r="B285" i="6"/>
  <c r="A285" i="6"/>
  <c r="B277" i="6"/>
  <c r="A277" i="6"/>
  <c r="B269" i="6"/>
  <c r="A269" i="6"/>
  <c r="B261" i="6"/>
  <c r="A261" i="6"/>
  <c r="B253" i="6"/>
  <c r="A253" i="6"/>
  <c r="B245" i="6"/>
  <c r="A245" i="6"/>
  <c r="B237" i="6"/>
  <c r="A237" i="6"/>
  <c r="B229" i="6"/>
  <c r="A229" i="6"/>
  <c r="B221" i="6"/>
  <c r="A221" i="6"/>
  <c r="B213" i="6"/>
  <c r="A213" i="6"/>
  <c r="B205" i="6"/>
  <c r="A205" i="6"/>
  <c r="B197" i="6"/>
  <c r="A197" i="6"/>
  <c r="B189" i="6"/>
  <c r="A189" i="6"/>
  <c r="B181" i="6"/>
  <c r="A181" i="6"/>
  <c r="B173" i="6"/>
  <c r="A173" i="6"/>
  <c r="B165" i="6"/>
  <c r="A165" i="6"/>
  <c r="B157" i="6"/>
  <c r="A157" i="6"/>
  <c r="B149" i="6"/>
  <c r="A149" i="6"/>
  <c r="B141" i="6"/>
  <c r="A141" i="6"/>
  <c r="B125" i="6"/>
  <c r="A125" i="6"/>
  <c r="B117" i="6"/>
  <c r="A117" i="6"/>
  <c r="B109" i="6"/>
  <c r="A109" i="6"/>
  <c r="B93" i="6"/>
  <c r="A93" i="6"/>
  <c r="B85" i="6"/>
  <c r="A85" i="6"/>
  <c r="B61" i="6"/>
  <c r="A61" i="6"/>
  <c r="B53" i="6"/>
  <c r="A53" i="6"/>
  <c r="B45" i="6"/>
  <c r="A45" i="6"/>
  <c r="B29" i="6"/>
  <c r="A29" i="6"/>
  <c r="B21" i="6"/>
  <c r="A21" i="6"/>
  <c r="A1214" i="6"/>
  <c r="A1182" i="6"/>
  <c r="A1160" i="6"/>
  <c r="A1150" i="6"/>
  <c r="A1128" i="6"/>
  <c r="A1118" i="6"/>
  <c r="A1096" i="6"/>
  <c r="A1086" i="6"/>
  <c r="A1064" i="6"/>
  <c r="A1054" i="6"/>
  <c r="A1032" i="6"/>
  <c r="A1022" i="6"/>
  <c r="A1000" i="6"/>
  <c r="A990" i="6"/>
  <c r="A942" i="6"/>
  <c r="A928" i="6"/>
  <c r="A916" i="6"/>
  <c r="A864" i="6"/>
  <c r="A852" i="6"/>
  <c r="A772" i="6"/>
  <c r="A728" i="6"/>
  <c r="A708" i="6"/>
  <c r="A664" i="6"/>
  <c r="A644" i="6"/>
  <c r="A600" i="6"/>
  <c r="A580" i="6"/>
  <c r="A536" i="6"/>
  <c r="A516" i="6"/>
  <c r="A472" i="6"/>
  <c r="A452" i="6"/>
  <c r="A408" i="6"/>
  <c r="A388" i="6"/>
  <c r="A344" i="6"/>
  <c r="A324" i="6"/>
  <c r="A280" i="6"/>
  <c r="A260" i="6"/>
  <c r="A216" i="6"/>
  <c r="A196" i="6"/>
  <c r="A152" i="6"/>
  <c r="A77" i="6"/>
  <c r="A14" i="6"/>
  <c r="B981" i="6"/>
  <c r="B830" i="6"/>
  <c r="B822" i="6"/>
  <c r="A822" i="6"/>
  <c r="B798" i="6"/>
  <c r="A798" i="6"/>
  <c r="B782" i="6"/>
  <c r="A782" i="6"/>
  <c r="B766" i="6"/>
  <c r="A766" i="6"/>
  <c r="B750" i="6"/>
  <c r="A750" i="6"/>
  <c r="B734" i="6"/>
  <c r="A734" i="6"/>
  <c r="B718" i="6"/>
  <c r="A718" i="6"/>
  <c r="B702" i="6"/>
  <c r="A702" i="6"/>
  <c r="B686" i="6"/>
  <c r="A686" i="6"/>
  <c r="B670" i="6"/>
  <c r="A670" i="6"/>
  <c r="B654" i="6"/>
  <c r="A654" i="6"/>
  <c r="B638" i="6"/>
  <c r="A638" i="6"/>
  <c r="B630" i="6"/>
  <c r="A630" i="6"/>
  <c r="B614" i="6"/>
  <c r="A614" i="6"/>
  <c r="B598" i="6"/>
  <c r="A598" i="6"/>
  <c r="B574" i="6"/>
  <c r="A574" i="6"/>
  <c r="B558" i="6"/>
  <c r="A558" i="6"/>
  <c r="B542" i="6"/>
  <c r="A542" i="6"/>
  <c r="B526" i="6"/>
  <c r="A526" i="6"/>
  <c r="B510" i="6"/>
  <c r="A510" i="6"/>
  <c r="B494" i="6"/>
  <c r="A494" i="6"/>
  <c r="B478" i="6"/>
  <c r="A478" i="6"/>
  <c r="B462" i="6"/>
  <c r="A462" i="6"/>
  <c r="B438" i="6"/>
  <c r="A438" i="6"/>
  <c r="B422" i="6"/>
  <c r="A422" i="6"/>
  <c r="B406" i="6"/>
  <c r="A406" i="6"/>
  <c r="B390" i="6"/>
  <c r="A390" i="6"/>
  <c r="B374" i="6"/>
  <c r="A374" i="6"/>
  <c r="B358" i="6"/>
  <c r="A358" i="6"/>
  <c r="B342" i="6"/>
  <c r="A342" i="6"/>
  <c r="B326" i="6"/>
  <c r="A326" i="6"/>
  <c r="B310" i="6"/>
  <c r="A310" i="6"/>
  <c r="B294" i="6"/>
  <c r="A294" i="6"/>
  <c r="B278" i="6"/>
  <c r="A278" i="6"/>
  <c r="B262" i="6"/>
  <c r="A262" i="6"/>
  <c r="B246" i="6"/>
  <c r="A246" i="6"/>
  <c r="B230" i="6"/>
  <c r="A230" i="6"/>
  <c r="B214" i="6"/>
  <c r="A214" i="6"/>
  <c r="B198" i="6"/>
  <c r="A198" i="6"/>
  <c r="B182" i="6"/>
  <c r="A182" i="6"/>
  <c r="B158" i="6"/>
  <c r="A158" i="6"/>
  <c r="B126" i="6"/>
  <c r="A126" i="6"/>
  <c r="B102" i="6"/>
  <c r="A102" i="6"/>
  <c r="B86" i="6"/>
  <c r="A86" i="6"/>
  <c r="B70" i="6"/>
  <c r="A70" i="6"/>
  <c r="B140" i="6"/>
  <c r="A140" i="6"/>
  <c r="B132" i="6"/>
  <c r="A132" i="6"/>
  <c r="B124" i="6"/>
  <c r="A124" i="6"/>
  <c r="B116" i="6"/>
  <c r="A116" i="6"/>
  <c r="B108" i="6"/>
  <c r="A108" i="6"/>
  <c r="B100" i="6"/>
  <c r="A100" i="6"/>
  <c r="B92" i="6"/>
  <c r="A92" i="6"/>
  <c r="B84" i="6"/>
  <c r="A84" i="6"/>
  <c r="B76" i="6"/>
  <c r="A76" i="6"/>
  <c r="B68" i="6"/>
  <c r="A68" i="6"/>
  <c r="B60" i="6"/>
  <c r="A60" i="6"/>
  <c r="B52" i="6"/>
  <c r="A52" i="6"/>
  <c r="B44" i="6"/>
  <c r="A44" i="6"/>
  <c r="B36" i="6"/>
  <c r="A36" i="6"/>
  <c r="B28" i="6"/>
  <c r="A28" i="6"/>
  <c r="B20" i="6"/>
  <c r="A20" i="6"/>
  <c r="B12" i="6"/>
  <c r="A12" i="6"/>
  <c r="A1497" i="6"/>
  <c r="A1489" i="6"/>
  <c r="A1481" i="6"/>
  <c r="A1473" i="6"/>
  <c r="A1465" i="6"/>
  <c r="A1457" i="6"/>
  <c r="A1449" i="6"/>
  <c r="A1441" i="6"/>
  <c r="A1433" i="6"/>
  <c r="A1425" i="6"/>
  <c r="A1417" i="6"/>
  <c r="A1409" i="6"/>
  <c r="A1401" i="6"/>
  <c r="A1393" i="6"/>
  <c r="A1385" i="6"/>
  <c r="A1377" i="6"/>
  <c r="A1369" i="6"/>
  <c r="A1361" i="6"/>
  <c r="A1353" i="6"/>
  <c r="A1345" i="6"/>
  <c r="A1337" i="6"/>
  <c r="A1329" i="6"/>
  <c r="A1321" i="6"/>
  <c r="A1313" i="6"/>
  <c r="A1305" i="6"/>
  <c r="A1297" i="6"/>
  <c r="A1289" i="6"/>
  <c r="A1281" i="6"/>
  <c r="A1273" i="6"/>
  <c r="A1265" i="6"/>
  <c r="A1257" i="6"/>
  <c r="A1249" i="6"/>
  <c r="A1241" i="6"/>
  <c r="A1233" i="6"/>
  <c r="A1212" i="6"/>
  <c r="A1201" i="6"/>
  <c r="A1180" i="6"/>
  <c r="A1169" i="6"/>
  <c r="A1148" i="6"/>
  <c r="A1137" i="6"/>
  <c r="A1116" i="6"/>
  <c r="A1105" i="6"/>
  <c r="A1084" i="6"/>
  <c r="A1073" i="6"/>
  <c r="A1052" i="6"/>
  <c r="A1041" i="6"/>
  <c r="A1020" i="6"/>
  <c r="A1009" i="6"/>
  <c r="A988" i="6"/>
  <c r="A977" i="6"/>
  <c r="A966" i="6"/>
  <c r="A952" i="6"/>
  <c r="A940" i="6"/>
  <c r="A902" i="6"/>
  <c r="A888" i="6"/>
  <c r="A876" i="6"/>
  <c r="A836" i="6"/>
  <c r="A820" i="6"/>
  <c r="A804" i="6"/>
  <c r="A788" i="6"/>
  <c r="A768" i="6"/>
  <c r="A748" i="6"/>
  <c r="A704" i="6"/>
  <c r="A684" i="6"/>
  <c r="A640" i="6"/>
  <c r="A620" i="6"/>
  <c r="A576" i="6"/>
  <c r="A556" i="6"/>
  <c r="A512" i="6"/>
  <c r="A492" i="6"/>
  <c r="A448" i="6"/>
  <c r="A428" i="6"/>
  <c r="A384" i="6"/>
  <c r="A364" i="6"/>
  <c r="A320" i="6"/>
  <c r="A300" i="6"/>
  <c r="A256" i="6"/>
  <c r="A236" i="6"/>
  <c r="A192" i="6"/>
  <c r="A172" i="6"/>
  <c r="A69" i="6"/>
  <c r="A13" i="6"/>
  <c r="B1213" i="6"/>
</calcChain>
</file>

<file path=xl/sharedStrings.xml><?xml version="1.0" encoding="utf-8"?>
<sst xmlns="http://schemas.openxmlformats.org/spreadsheetml/2006/main" count="3142" uniqueCount="81">
  <si>
    <t>Kunden-ID</t>
  </si>
  <si>
    <t>Region</t>
  </si>
  <si>
    <t>Pumpentyp</t>
  </si>
  <si>
    <t>Menge</t>
  </si>
  <si>
    <t>Einkaufswert</t>
  </si>
  <si>
    <t>Datum-Bestellung</t>
  </si>
  <si>
    <t>Datum-Versand</t>
  </si>
  <si>
    <t>Zahlungseingang</t>
  </si>
  <si>
    <t>Verkaufspreis</t>
  </si>
  <si>
    <t>Produktionskosten</t>
  </si>
  <si>
    <t>Typ</t>
  </si>
  <si>
    <t>Produktionsdauer</t>
  </si>
  <si>
    <t>Umsatz</t>
  </si>
  <si>
    <t>Kosten</t>
  </si>
  <si>
    <t>Ertragswert vor Steuern</t>
  </si>
  <si>
    <t>Forderungen</t>
  </si>
  <si>
    <t>Bezahlt</t>
  </si>
  <si>
    <t>Rechnungs-ID</t>
  </si>
  <si>
    <t>Lieferung</t>
  </si>
  <si>
    <t>Produktqualität</t>
  </si>
  <si>
    <t>Preis-Leistung</t>
  </si>
  <si>
    <t>Kundenservice</t>
  </si>
  <si>
    <t>allgemeine Zufriedenheit</t>
  </si>
  <si>
    <t>A</t>
  </si>
  <si>
    <t>B</t>
  </si>
  <si>
    <t>C</t>
  </si>
  <si>
    <t>D</t>
  </si>
  <si>
    <t>1,2</t>
  </si>
  <si>
    <t>1,5</t>
  </si>
  <si>
    <t>Ja</t>
  </si>
  <si>
    <t>Zeitstempel</t>
  </si>
  <si>
    <t>Produkt-ID</t>
  </si>
  <si>
    <t>Produkt-Typ</t>
  </si>
  <si>
    <t>Ergebnis</t>
  </si>
  <si>
    <t>Prüfverfahren</t>
  </si>
  <si>
    <t>Maschine</t>
  </si>
  <si>
    <t>Wartung</t>
  </si>
  <si>
    <t>Ausfall</t>
  </si>
  <si>
    <t>Nordamerika</t>
  </si>
  <si>
    <t>Afrika</t>
  </si>
  <si>
    <t>Lateinamerika</t>
  </si>
  <si>
    <t>Asien</t>
  </si>
  <si>
    <t>Regionen:</t>
  </si>
  <si>
    <t>Europa</t>
  </si>
  <si>
    <t>Hilfszahl-Typ</t>
  </si>
  <si>
    <t>Hilfszahl-Region</t>
  </si>
  <si>
    <t>Geschäftskunde</t>
  </si>
  <si>
    <t>Privatkunde</t>
  </si>
  <si>
    <t>Teilnahme</t>
  </si>
  <si>
    <t>Nein</t>
  </si>
  <si>
    <t>Hilfszahl Umfrage</t>
  </si>
  <si>
    <t>-</t>
  </si>
  <si>
    <t>Hilfezahl Kunde</t>
  </si>
  <si>
    <t>Hilfezahl Pumpentyp</t>
  </si>
  <si>
    <t>Hilfezahl Menge Geschäftlich</t>
  </si>
  <si>
    <t>Hilfezahl Menge Privat</t>
  </si>
  <si>
    <t>Kundenart</t>
  </si>
  <si>
    <t>Hilfezahl Versand</t>
  </si>
  <si>
    <t>Hilfezahl Bezahlung</t>
  </si>
  <si>
    <t>Wartung/Ausfall</t>
  </si>
  <si>
    <t>Behoben</t>
  </si>
  <si>
    <t>Vorgangs-ID</t>
  </si>
  <si>
    <t>Hilfezahl Maschine</t>
  </si>
  <si>
    <t>Hilfezahl W/A</t>
  </si>
  <si>
    <t>Hilfezahl Zeitstempel</t>
  </si>
  <si>
    <t>Hilfezahl Behoben</t>
  </si>
  <si>
    <t>Datum</t>
  </si>
  <si>
    <t>Hilfezahl Datum</t>
  </si>
  <si>
    <t>Hilfszahl Typ</t>
  </si>
  <si>
    <t>Hilfszahl Zeitstempel</t>
  </si>
  <si>
    <t>Hilfszahl Datum</t>
  </si>
  <si>
    <t>Verfahren</t>
  </si>
  <si>
    <t>Druckkontrolle</t>
  </si>
  <si>
    <t>Sichtkontrolle</t>
  </si>
  <si>
    <t>Lastkontrolle</t>
  </si>
  <si>
    <t>Bestanden</t>
  </si>
  <si>
    <t>Durchgefallen</t>
  </si>
  <si>
    <t>Prüfnummer</t>
  </si>
  <si>
    <t>Hilfszahl Prüfverfahren</t>
  </si>
  <si>
    <t>Hilfszahl Ergebnis</t>
  </si>
  <si>
    <t>Umfragenteilnahme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</si>
</sst>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:ss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" fontId="0" fillId="0" borderId="0" xfId="0" applyNumberFormat="1"/>
    <xf numFmtId="14" fontId="0" fillId="0" borderId="0" xfId="0" applyNumberFormat="1"/>
    <xf numFmtId="164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Ertrag!$A$2:$A$18</c:f>
              <c:numCache>
                <c:formatCode>General</c:formatCode>
                <c:ptCount val="17"/>
                <c:pt idx="0">
                  <c:v>7649</c:v>
                </c:pt>
                <c:pt idx="1">
                  <c:v>7650</c:v>
                </c:pt>
                <c:pt idx="2">
                  <c:v>7651</c:v>
                </c:pt>
                <c:pt idx="3">
                  <c:v>7652</c:v>
                </c:pt>
                <c:pt idx="4">
                  <c:v>7653</c:v>
                </c:pt>
                <c:pt idx="5">
                  <c:v>7654</c:v>
                </c:pt>
                <c:pt idx="6">
                  <c:v>7655</c:v>
                </c:pt>
                <c:pt idx="7">
                  <c:v>7656</c:v>
                </c:pt>
                <c:pt idx="8">
                  <c:v>7657</c:v>
                </c:pt>
                <c:pt idx="9">
                  <c:v>7658</c:v>
                </c:pt>
                <c:pt idx="10">
                  <c:v>7659</c:v>
                </c:pt>
                <c:pt idx="11">
                  <c:v>7660</c:v>
                </c:pt>
                <c:pt idx="12">
                  <c:v>7661</c:v>
                </c:pt>
                <c:pt idx="13">
                  <c:v>7662</c:v>
                </c:pt>
                <c:pt idx="14">
                  <c:v>7663</c:v>
                </c:pt>
                <c:pt idx="15">
                  <c:v>7664</c:v>
                </c:pt>
                <c:pt idx="16">
                  <c:v>7665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45-4F9F-B38B-3F9042F03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7790896"/>
        <c:axId val="1177793296"/>
      </c:barChart>
      <c:catAx>
        <c:axId val="11777908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7793296"/>
        <c:crosses val="autoZero"/>
        <c:auto val="1"/>
        <c:lblAlgn val="ctr"/>
        <c:lblOffset val="100"/>
        <c:noMultiLvlLbl val="0"/>
      </c:catAx>
      <c:valAx>
        <c:axId val="117779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7779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98CA5B0-3FFD-4D5F-A5FB-C5762E4F6595}">
  <sheetPr codeName="Diagramm5"/>
  <sheetViews>
    <sheetView zoomScale="63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4138" cy="5999655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210AD78A-F4A6-B990-25A6-FB821E4EC70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BC477-3E8D-40E5-A9E6-84D71AA586BE}">
  <sheetPr codeName="Tabelle1"/>
  <dimension ref="A1:S1500"/>
  <sheetViews>
    <sheetView topLeftCell="A1498" workbookViewId="0">
      <selection activeCell="E1501" sqref="E1501"/>
    </sheetView>
  </sheetViews>
  <sheetFormatPr baseColWidth="10" defaultRowHeight="14.5" x14ac:dyDescent="0.35"/>
  <cols>
    <col min="1" max="1" width="12.26953125" bestFit="1" customWidth="1"/>
    <col min="6" max="6" width="11.6328125" bestFit="1" customWidth="1"/>
    <col min="7" max="7" width="15.6328125" bestFit="1" customWidth="1"/>
    <col min="8" max="8" width="13.90625" bestFit="1" customWidth="1"/>
    <col min="9" max="9" width="14.6328125" bestFit="1" customWidth="1"/>
    <col min="10" max="10" width="26.36328125" bestFit="1" customWidth="1"/>
    <col min="13" max="13" width="15.453125" bestFit="1" customWidth="1"/>
    <col min="14" max="14" width="13.7265625" bestFit="1" customWidth="1"/>
    <col min="15" max="15" width="18.08984375" bestFit="1" customWidth="1"/>
    <col min="16" max="16" width="24.90625" bestFit="1" customWidth="1"/>
    <col min="17" max="17" width="19.453125" bestFit="1" customWidth="1"/>
    <col min="18" max="18" width="15.26953125" bestFit="1" customWidth="1"/>
    <col min="19" max="19" width="17.08984375" bestFit="1" customWidth="1"/>
  </cols>
  <sheetData>
    <row r="1" spans="1:19" x14ac:dyDescent="0.35">
      <c r="A1" t="s">
        <v>17</v>
      </c>
      <c r="B1" t="s">
        <v>0</v>
      </c>
      <c r="C1" t="s">
        <v>56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80</v>
      </c>
      <c r="M1" t="s">
        <v>50</v>
      </c>
      <c r="N1" t="s">
        <v>52</v>
      </c>
      <c r="O1" t="s">
        <v>53</v>
      </c>
      <c r="P1" t="s">
        <v>54</v>
      </c>
      <c r="Q1" t="s">
        <v>55</v>
      </c>
      <c r="R1" t="s">
        <v>57</v>
      </c>
      <c r="S1" t="s">
        <v>58</v>
      </c>
    </row>
    <row r="2" spans="1:19" x14ac:dyDescent="0.35">
      <c r="A2">
        <v>7649</v>
      </c>
      <c r="B2">
        <v>360</v>
      </c>
      <c r="C2" t="str">
        <f>VLOOKUP(B2,Kunde!A:C,3,FALSE)</f>
        <v>Geschäftskunde</v>
      </c>
      <c r="D2" t="str">
        <f>VLOOKUP(O2,Produkt!$A$1:$E$5,2,FALSE)</f>
        <v>A</v>
      </c>
      <c r="E2">
        <f>IF(C2="Geschäftskunde",P2,Q2)</f>
        <v>17</v>
      </c>
      <c r="F2">
        <f>VLOOKUP(D2,Produkt!$B$1:$C$5,2,FALSE)*Bestellungen!E2</f>
        <v>5100</v>
      </c>
      <c r="G2" s="2">
        <v>45009</v>
      </c>
      <c r="H2" s="2">
        <f>G2+R2</f>
        <v>45015</v>
      </c>
      <c r="I2" s="2">
        <f>G2+S2</f>
        <v>45055</v>
      </c>
      <c r="J2" t="str">
        <f>VLOOKUP(M2,Umfragenteilnahme!$A$2:$B$3,2,)</f>
        <v>Ja</v>
      </c>
      <c r="M2">
        <v>1</v>
      </c>
      <c r="N2">
        <v>360</v>
      </c>
      <c r="O2">
        <v>1</v>
      </c>
      <c r="P2">
        <v>17</v>
      </c>
      <c r="Q2">
        <v>9</v>
      </c>
      <c r="R2">
        <v>6</v>
      </c>
      <c r="S2">
        <v>46</v>
      </c>
    </row>
    <row r="3" spans="1:19" x14ac:dyDescent="0.35">
      <c r="A3">
        <v>7650</v>
      </c>
      <c r="B3">
        <v>521</v>
      </c>
      <c r="C3" t="str">
        <f>VLOOKUP(B3,Kunde!A:C,3,FALSE)</f>
        <v>Geschäftskunde</v>
      </c>
      <c r="D3" t="str">
        <f>VLOOKUP(O3,Produkt!$A$1:$E$5,2,FALSE)</f>
        <v>B</v>
      </c>
      <c r="E3">
        <f t="shared" ref="E3:E66" si="0">IF(C3="Geschäftskunde",P3,Q3)</f>
        <v>139</v>
      </c>
      <c r="F3">
        <f>VLOOKUP(D3,Produkt!$B$1:$C$5,2,FALSE)*Bestellungen!E3</f>
        <v>66720</v>
      </c>
      <c r="G3" s="2">
        <v>44812</v>
      </c>
      <c r="H3" s="2">
        <f t="shared" ref="H3:H66" si="1">G3+R3</f>
        <v>44816</v>
      </c>
      <c r="I3" s="2">
        <f t="shared" ref="I3:I66" si="2">G3+S3</f>
        <v>44834</v>
      </c>
      <c r="J3" t="str">
        <f>VLOOKUP(M3,Umfragenteilnahme!$A$2:$B$3,2,)</f>
        <v>Ja</v>
      </c>
      <c r="M3">
        <v>1</v>
      </c>
      <c r="N3">
        <v>521</v>
      </c>
      <c r="O3">
        <v>2</v>
      </c>
      <c r="P3">
        <v>139</v>
      </c>
      <c r="Q3">
        <v>2</v>
      </c>
      <c r="R3">
        <v>4</v>
      </c>
      <c r="S3">
        <v>22</v>
      </c>
    </row>
    <row r="4" spans="1:19" x14ac:dyDescent="0.35">
      <c r="A4">
        <v>7651</v>
      </c>
      <c r="B4">
        <v>256</v>
      </c>
      <c r="C4" t="str">
        <f>VLOOKUP(B4,Kunde!A:C,3,FALSE)</f>
        <v>Geschäftskunde</v>
      </c>
      <c r="D4" t="str">
        <f>VLOOKUP(O4,Produkt!$A$1:$E$5,2,FALSE)</f>
        <v>B</v>
      </c>
      <c r="E4">
        <f t="shared" si="0"/>
        <v>89</v>
      </c>
      <c r="F4">
        <f>VLOOKUP(D4,Produkt!$B$1:$C$5,2,FALSE)*Bestellungen!E4</f>
        <v>42720</v>
      </c>
      <c r="G4" s="2">
        <v>44878</v>
      </c>
      <c r="H4" s="2">
        <f t="shared" si="1"/>
        <v>44881</v>
      </c>
      <c r="I4" s="2">
        <f t="shared" si="2"/>
        <v>44903</v>
      </c>
      <c r="J4" t="str">
        <f>VLOOKUP(M4,Umfragenteilnahme!$A$2:$B$3,2,)</f>
        <v>Nein</v>
      </c>
      <c r="M4">
        <v>2</v>
      </c>
      <c r="N4">
        <v>256</v>
      </c>
      <c r="O4">
        <v>2</v>
      </c>
      <c r="P4">
        <v>89</v>
      </c>
      <c r="Q4">
        <v>10</v>
      </c>
      <c r="R4">
        <v>3</v>
      </c>
      <c r="S4">
        <v>25</v>
      </c>
    </row>
    <row r="5" spans="1:19" x14ac:dyDescent="0.35">
      <c r="A5">
        <v>7652</v>
      </c>
      <c r="B5">
        <v>582</v>
      </c>
      <c r="C5" t="str">
        <f>VLOOKUP(B5,Kunde!A:C,3,FALSE)</f>
        <v>Geschäftskunde</v>
      </c>
      <c r="D5" t="str">
        <f>VLOOKUP(O5,Produkt!$A$1:$E$5,2,FALSE)</f>
        <v>C</v>
      </c>
      <c r="E5">
        <f t="shared" si="0"/>
        <v>101</v>
      </c>
      <c r="F5">
        <f>VLOOKUP(D5,Produkt!$B$1:$C$5,2,FALSE)*Bestellungen!E5</f>
        <v>151500</v>
      </c>
      <c r="G5" s="2">
        <v>44950</v>
      </c>
      <c r="H5" s="2">
        <f t="shared" si="1"/>
        <v>44955</v>
      </c>
      <c r="I5" s="2">
        <f t="shared" si="2"/>
        <v>44981</v>
      </c>
      <c r="J5" t="str">
        <f>VLOOKUP(M5,Umfragenteilnahme!$A$2:$B$3,2,)</f>
        <v>Ja</v>
      </c>
      <c r="M5">
        <v>1</v>
      </c>
      <c r="N5">
        <v>582</v>
      </c>
      <c r="O5">
        <v>3</v>
      </c>
      <c r="P5">
        <v>101</v>
      </c>
      <c r="Q5">
        <v>1</v>
      </c>
      <c r="R5">
        <v>5</v>
      </c>
      <c r="S5">
        <v>31</v>
      </c>
    </row>
    <row r="6" spans="1:19" x14ac:dyDescent="0.35">
      <c r="A6">
        <v>7653</v>
      </c>
      <c r="B6">
        <v>410</v>
      </c>
      <c r="C6" t="str">
        <f>VLOOKUP(B6,Kunde!A:C,3,FALSE)</f>
        <v>Geschäftskunde</v>
      </c>
      <c r="D6" t="str">
        <f>VLOOKUP(O6,Produkt!$A$1:$E$5,2,FALSE)</f>
        <v>D</v>
      </c>
      <c r="E6">
        <f t="shared" si="0"/>
        <v>14</v>
      </c>
      <c r="F6">
        <f>VLOOKUP(D6,Produkt!$B$1:$C$5,2,FALSE)*Bestellungen!E6</f>
        <v>11200</v>
      </c>
      <c r="G6" s="2">
        <v>44736</v>
      </c>
      <c r="H6" s="2">
        <f t="shared" si="1"/>
        <v>44739</v>
      </c>
      <c r="I6" s="2">
        <f t="shared" si="2"/>
        <v>44762</v>
      </c>
      <c r="J6" t="str">
        <f>VLOOKUP(M6,Umfragenteilnahme!$A$2:$B$3,2,)</f>
        <v>Nein</v>
      </c>
      <c r="M6">
        <v>2</v>
      </c>
      <c r="N6">
        <v>410</v>
      </c>
      <c r="O6">
        <v>4</v>
      </c>
      <c r="P6">
        <v>14</v>
      </c>
      <c r="Q6">
        <v>5</v>
      </c>
      <c r="R6">
        <v>3</v>
      </c>
      <c r="S6">
        <v>26</v>
      </c>
    </row>
    <row r="7" spans="1:19" x14ac:dyDescent="0.35">
      <c r="A7">
        <v>7654</v>
      </c>
      <c r="B7">
        <v>132</v>
      </c>
      <c r="C7" t="str">
        <f>VLOOKUP(B7,Kunde!A:C,3,FALSE)</f>
        <v>Geschäftskunde</v>
      </c>
      <c r="D7" t="str">
        <f>VLOOKUP(O7,Produkt!$A$1:$E$5,2,FALSE)</f>
        <v>D</v>
      </c>
      <c r="E7">
        <f t="shared" si="0"/>
        <v>121</v>
      </c>
      <c r="F7">
        <f>VLOOKUP(D7,Produkt!$B$1:$C$5,2,FALSE)*Bestellungen!E7</f>
        <v>96800</v>
      </c>
      <c r="G7" s="2">
        <v>45051</v>
      </c>
      <c r="H7" s="2">
        <f t="shared" si="1"/>
        <v>45055</v>
      </c>
      <c r="I7" s="2">
        <f t="shared" si="2"/>
        <v>45068</v>
      </c>
      <c r="J7" t="str">
        <f>VLOOKUP(M7,Umfragenteilnahme!$A$2:$B$3,2,)</f>
        <v>Ja</v>
      </c>
      <c r="M7">
        <v>1</v>
      </c>
      <c r="N7">
        <v>132</v>
      </c>
      <c r="O7">
        <v>4</v>
      </c>
      <c r="P7">
        <v>121</v>
      </c>
      <c r="Q7">
        <v>5</v>
      </c>
      <c r="R7">
        <v>4</v>
      </c>
      <c r="S7">
        <v>17</v>
      </c>
    </row>
    <row r="8" spans="1:19" x14ac:dyDescent="0.35">
      <c r="A8">
        <v>7655</v>
      </c>
      <c r="B8">
        <v>747</v>
      </c>
      <c r="C8" t="str">
        <f>VLOOKUP(B8,Kunde!A:C,3,FALSE)</f>
        <v>Geschäftskunde</v>
      </c>
      <c r="D8" t="str">
        <f>VLOOKUP(O8,Produkt!$A$1:$E$5,2,FALSE)</f>
        <v>C</v>
      </c>
      <c r="E8">
        <f t="shared" si="0"/>
        <v>119</v>
      </c>
      <c r="F8">
        <f>VLOOKUP(D8,Produkt!$B$1:$C$5,2,FALSE)*Bestellungen!E8</f>
        <v>178500</v>
      </c>
      <c r="G8" s="2">
        <v>44906</v>
      </c>
      <c r="H8" s="2">
        <f t="shared" si="1"/>
        <v>44908</v>
      </c>
      <c r="I8" s="2">
        <f t="shared" si="2"/>
        <v>44927</v>
      </c>
      <c r="J8" t="str">
        <f>VLOOKUP(M8,Umfragenteilnahme!$A$2:$B$3,2,)</f>
        <v>Nein</v>
      </c>
      <c r="M8">
        <v>2</v>
      </c>
      <c r="N8">
        <v>747</v>
      </c>
      <c r="O8">
        <v>3</v>
      </c>
      <c r="P8">
        <v>119</v>
      </c>
      <c r="Q8">
        <v>8</v>
      </c>
      <c r="R8">
        <v>2</v>
      </c>
      <c r="S8">
        <v>21</v>
      </c>
    </row>
    <row r="9" spans="1:19" x14ac:dyDescent="0.35">
      <c r="A9">
        <v>7656</v>
      </c>
      <c r="B9">
        <v>693</v>
      </c>
      <c r="C9" t="str">
        <f>VLOOKUP(B9,Kunde!A:C,3,FALSE)</f>
        <v>Privatkunde</v>
      </c>
      <c r="D9" t="str">
        <f>VLOOKUP(O9,Produkt!$A$1:$E$5,2,FALSE)</f>
        <v>D</v>
      </c>
      <c r="E9">
        <f t="shared" si="0"/>
        <v>5</v>
      </c>
      <c r="F9">
        <f>VLOOKUP(D9,Produkt!$B$1:$C$5,2,FALSE)*Bestellungen!E9</f>
        <v>4000</v>
      </c>
      <c r="G9" s="2">
        <v>45028</v>
      </c>
      <c r="H9" s="2">
        <f t="shared" si="1"/>
        <v>45031</v>
      </c>
      <c r="I9" s="2">
        <f t="shared" si="2"/>
        <v>45077</v>
      </c>
      <c r="J9" t="str">
        <f>VLOOKUP(M9,Umfragenteilnahme!$A$2:$B$3,2,)</f>
        <v>Nein</v>
      </c>
      <c r="M9">
        <v>2</v>
      </c>
      <c r="N9">
        <v>693</v>
      </c>
      <c r="O9">
        <v>4</v>
      </c>
      <c r="P9">
        <v>110</v>
      </c>
      <c r="Q9">
        <v>5</v>
      </c>
      <c r="R9">
        <v>3</v>
      </c>
      <c r="S9">
        <v>49</v>
      </c>
    </row>
    <row r="10" spans="1:19" x14ac:dyDescent="0.35">
      <c r="A10">
        <v>7657</v>
      </c>
      <c r="B10">
        <v>23</v>
      </c>
      <c r="C10" t="str">
        <f>VLOOKUP(B10,Kunde!A:C,3,FALSE)</f>
        <v>Geschäftskunde</v>
      </c>
      <c r="D10" t="str">
        <f>VLOOKUP(O10,Produkt!$A$1:$E$5,2,FALSE)</f>
        <v>A</v>
      </c>
      <c r="E10">
        <f t="shared" si="0"/>
        <v>126</v>
      </c>
      <c r="F10">
        <f>VLOOKUP(D10,Produkt!$B$1:$C$5,2,FALSE)*Bestellungen!E10</f>
        <v>37800</v>
      </c>
      <c r="G10" s="2">
        <v>44929</v>
      </c>
      <c r="H10" s="2">
        <f t="shared" si="1"/>
        <v>44933</v>
      </c>
      <c r="I10" s="2">
        <f t="shared" si="2"/>
        <v>44936</v>
      </c>
      <c r="J10" t="str">
        <f>VLOOKUP(M10,Umfragenteilnahme!$A$2:$B$3,2,)</f>
        <v>Ja</v>
      </c>
      <c r="M10">
        <v>1</v>
      </c>
      <c r="N10">
        <v>23</v>
      </c>
      <c r="O10">
        <v>1</v>
      </c>
      <c r="P10">
        <v>126</v>
      </c>
      <c r="Q10">
        <v>3</v>
      </c>
      <c r="R10">
        <v>4</v>
      </c>
      <c r="S10">
        <v>7</v>
      </c>
    </row>
    <row r="11" spans="1:19" x14ac:dyDescent="0.35">
      <c r="A11">
        <v>7658</v>
      </c>
      <c r="B11">
        <v>726</v>
      </c>
      <c r="C11" t="str">
        <f>VLOOKUP(B11,Kunde!A:C,3,FALSE)</f>
        <v>Geschäftskunde</v>
      </c>
      <c r="D11" t="str">
        <f>VLOOKUP(O11,Produkt!$A$1:$E$5,2,FALSE)</f>
        <v>C</v>
      </c>
      <c r="E11">
        <f t="shared" si="0"/>
        <v>148</v>
      </c>
      <c r="F11">
        <f>VLOOKUP(D11,Produkt!$B$1:$C$5,2,FALSE)*Bestellungen!E11</f>
        <v>222000</v>
      </c>
      <c r="G11" s="2">
        <v>44895</v>
      </c>
      <c r="H11" s="2">
        <f t="shared" si="1"/>
        <v>44898</v>
      </c>
      <c r="I11" s="2">
        <f t="shared" si="2"/>
        <v>44948</v>
      </c>
      <c r="J11" t="str">
        <f>VLOOKUP(M11,Umfragenteilnahme!$A$2:$B$3,2,)</f>
        <v>Ja</v>
      </c>
      <c r="M11">
        <v>1</v>
      </c>
      <c r="N11">
        <v>726</v>
      </c>
      <c r="O11">
        <v>3</v>
      </c>
      <c r="P11">
        <v>148</v>
      </c>
      <c r="Q11">
        <v>8</v>
      </c>
      <c r="R11">
        <v>3</v>
      </c>
      <c r="S11">
        <v>53</v>
      </c>
    </row>
    <row r="12" spans="1:19" x14ac:dyDescent="0.35">
      <c r="A12">
        <v>7659</v>
      </c>
      <c r="B12">
        <v>299</v>
      </c>
      <c r="C12" t="str">
        <f>VLOOKUP(B12,Kunde!A:C,3,FALSE)</f>
        <v>Geschäftskunde</v>
      </c>
      <c r="D12" t="str">
        <f>VLOOKUP(O12,Produkt!$A$1:$E$5,2,FALSE)</f>
        <v>A</v>
      </c>
      <c r="E12">
        <f t="shared" si="0"/>
        <v>123</v>
      </c>
      <c r="F12">
        <f>VLOOKUP(D12,Produkt!$B$1:$C$5,2,FALSE)*Bestellungen!E12</f>
        <v>36900</v>
      </c>
      <c r="G12" s="2">
        <v>44821</v>
      </c>
      <c r="H12" s="2">
        <f t="shared" si="1"/>
        <v>44824</v>
      </c>
      <c r="I12" s="2">
        <f t="shared" si="2"/>
        <v>44859</v>
      </c>
      <c r="J12" t="str">
        <f>VLOOKUP(M12,Umfragenteilnahme!$A$2:$B$3,2,)</f>
        <v>Ja</v>
      </c>
      <c r="M12">
        <v>1</v>
      </c>
      <c r="N12">
        <v>299</v>
      </c>
      <c r="O12">
        <v>1</v>
      </c>
      <c r="P12">
        <v>123</v>
      </c>
      <c r="Q12">
        <v>8</v>
      </c>
      <c r="R12">
        <v>3</v>
      </c>
      <c r="S12">
        <v>38</v>
      </c>
    </row>
    <row r="13" spans="1:19" x14ac:dyDescent="0.35">
      <c r="A13">
        <v>7660</v>
      </c>
      <c r="B13">
        <v>24</v>
      </c>
      <c r="C13" t="str">
        <f>VLOOKUP(B13,Kunde!A:C,3,FALSE)</f>
        <v>Geschäftskunde</v>
      </c>
      <c r="D13" t="str">
        <f>VLOOKUP(O13,Produkt!$A$1:$E$5,2,FALSE)</f>
        <v>A</v>
      </c>
      <c r="E13">
        <f t="shared" si="0"/>
        <v>139</v>
      </c>
      <c r="F13">
        <f>VLOOKUP(D13,Produkt!$B$1:$C$5,2,FALSE)*Bestellungen!E13</f>
        <v>41700</v>
      </c>
      <c r="G13" s="2">
        <v>44796</v>
      </c>
      <c r="H13" s="2">
        <f t="shared" si="1"/>
        <v>44803</v>
      </c>
      <c r="I13" s="2">
        <f t="shared" si="2"/>
        <v>44842</v>
      </c>
      <c r="J13" t="str">
        <f>VLOOKUP(M13,Umfragenteilnahme!$A$2:$B$3,2,)</f>
        <v>Nein</v>
      </c>
      <c r="M13">
        <v>2</v>
      </c>
      <c r="N13">
        <v>24</v>
      </c>
      <c r="O13">
        <v>1</v>
      </c>
      <c r="P13">
        <v>139</v>
      </c>
      <c r="Q13">
        <v>2</v>
      </c>
      <c r="R13">
        <v>7</v>
      </c>
      <c r="S13">
        <v>46</v>
      </c>
    </row>
    <row r="14" spans="1:19" x14ac:dyDescent="0.35">
      <c r="A14">
        <v>7661</v>
      </c>
      <c r="B14">
        <v>17</v>
      </c>
      <c r="C14" t="str">
        <f>VLOOKUP(B14,Kunde!A:C,3,FALSE)</f>
        <v>Geschäftskunde</v>
      </c>
      <c r="D14" t="str">
        <f>VLOOKUP(O14,Produkt!$A$1:$E$5,2,FALSE)</f>
        <v>D</v>
      </c>
      <c r="E14">
        <f t="shared" si="0"/>
        <v>61</v>
      </c>
      <c r="F14">
        <f>VLOOKUP(D14,Produkt!$B$1:$C$5,2,FALSE)*Bestellungen!E14</f>
        <v>48800</v>
      </c>
      <c r="G14" s="2">
        <v>44884</v>
      </c>
      <c r="H14" s="2">
        <f t="shared" si="1"/>
        <v>44890</v>
      </c>
      <c r="I14" s="2">
        <f t="shared" si="2"/>
        <v>44927</v>
      </c>
      <c r="J14" t="str">
        <f>VLOOKUP(M14,Umfragenteilnahme!$A$2:$B$3,2,)</f>
        <v>Nein</v>
      </c>
      <c r="M14">
        <v>2</v>
      </c>
      <c r="N14">
        <v>17</v>
      </c>
      <c r="O14">
        <v>4</v>
      </c>
      <c r="P14">
        <v>61</v>
      </c>
      <c r="Q14">
        <v>7</v>
      </c>
      <c r="R14">
        <v>6</v>
      </c>
      <c r="S14">
        <v>43</v>
      </c>
    </row>
    <row r="15" spans="1:19" x14ac:dyDescent="0.35">
      <c r="A15">
        <v>7662</v>
      </c>
      <c r="B15">
        <v>530</v>
      </c>
      <c r="C15" t="str">
        <f>VLOOKUP(B15,Kunde!A:C,3,FALSE)</f>
        <v>Geschäftskunde</v>
      </c>
      <c r="D15" t="str">
        <f>VLOOKUP(O15,Produkt!$A$1:$E$5,2,FALSE)</f>
        <v>D</v>
      </c>
      <c r="E15">
        <f t="shared" si="0"/>
        <v>12</v>
      </c>
      <c r="F15">
        <f>VLOOKUP(D15,Produkt!$B$1:$C$5,2,FALSE)*Bestellungen!E15</f>
        <v>9600</v>
      </c>
      <c r="G15" s="2">
        <v>44883</v>
      </c>
      <c r="H15" s="2">
        <f t="shared" si="1"/>
        <v>44890</v>
      </c>
      <c r="I15" s="2">
        <f t="shared" si="2"/>
        <v>44896</v>
      </c>
      <c r="J15" t="str">
        <f>VLOOKUP(M15,Umfragenteilnahme!$A$2:$B$3,2,)</f>
        <v>Ja</v>
      </c>
      <c r="M15">
        <v>1</v>
      </c>
      <c r="N15">
        <v>530</v>
      </c>
      <c r="O15">
        <v>4</v>
      </c>
      <c r="P15">
        <v>12</v>
      </c>
      <c r="Q15">
        <v>7</v>
      </c>
      <c r="R15">
        <v>7</v>
      </c>
      <c r="S15">
        <v>13</v>
      </c>
    </row>
    <row r="16" spans="1:19" x14ac:dyDescent="0.35">
      <c r="A16">
        <v>7663</v>
      </c>
      <c r="B16">
        <v>542</v>
      </c>
      <c r="C16" t="str">
        <f>VLOOKUP(B16,Kunde!A:C,3,FALSE)</f>
        <v>Geschäftskunde</v>
      </c>
      <c r="D16" t="str">
        <f>VLOOKUP(O16,Produkt!$A$1:$E$5,2,FALSE)</f>
        <v>C</v>
      </c>
      <c r="E16">
        <f t="shared" si="0"/>
        <v>117</v>
      </c>
      <c r="F16">
        <f>VLOOKUP(D16,Produkt!$B$1:$C$5,2,FALSE)*Bestellungen!E16</f>
        <v>175500</v>
      </c>
      <c r="G16" s="2">
        <v>45070</v>
      </c>
      <c r="H16" s="2">
        <f t="shared" si="1"/>
        <v>45073</v>
      </c>
      <c r="I16" s="2">
        <f t="shared" si="2"/>
        <v>45108</v>
      </c>
      <c r="J16" t="str">
        <f>VLOOKUP(M16,Umfragenteilnahme!$A$2:$B$3,2,)</f>
        <v>Nein</v>
      </c>
      <c r="M16">
        <v>2</v>
      </c>
      <c r="N16">
        <v>542</v>
      </c>
      <c r="O16">
        <v>3</v>
      </c>
      <c r="P16">
        <v>117</v>
      </c>
      <c r="Q16">
        <v>10</v>
      </c>
      <c r="R16">
        <v>3</v>
      </c>
      <c r="S16">
        <v>38</v>
      </c>
    </row>
    <row r="17" spans="1:19" x14ac:dyDescent="0.35">
      <c r="A17">
        <v>7664</v>
      </c>
      <c r="B17">
        <v>636</v>
      </c>
      <c r="C17" t="str">
        <f>VLOOKUP(B17,Kunde!A:C,3,FALSE)</f>
        <v>Geschäftskunde</v>
      </c>
      <c r="D17" t="str">
        <f>VLOOKUP(O17,Produkt!$A$1:$E$5,2,FALSE)</f>
        <v>D</v>
      </c>
      <c r="E17">
        <f t="shared" si="0"/>
        <v>86</v>
      </c>
      <c r="F17">
        <f>VLOOKUP(D17,Produkt!$B$1:$C$5,2,FALSE)*Bestellungen!E17</f>
        <v>68800</v>
      </c>
      <c r="G17" s="2">
        <v>44869</v>
      </c>
      <c r="H17" s="2">
        <f t="shared" si="1"/>
        <v>44876</v>
      </c>
      <c r="I17" s="2">
        <f t="shared" si="2"/>
        <v>44916</v>
      </c>
      <c r="J17" t="str">
        <f>VLOOKUP(M17,Umfragenteilnahme!$A$2:$B$3,2,)</f>
        <v>Nein</v>
      </c>
      <c r="M17">
        <v>2</v>
      </c>
      <c r="N17">
        <v>636</v>
      </c>
      <c r="O17">
        <v>4</v>
      </c>
      <c r="P17">
        <v>86</v>
      </c>
      <c r="Q17">
        <v>3</v>
      </c>
      <c r="R17">
        <v>7</v>
      </c>
      <c r="S17">
        <v>47</v>
      </c>
    </row>
    <row r="18" spans="1:19" x14ac:dyDescent="0.35">
      <c r="A18">
        <v>7665</v>
      </c>
      <c r="B18">
        <v>162</v>
      </c>
      <c r="C18" t="str">
        <f>VLOOKUP(B18,Kunde!A:C,3,FALSE)</f>
        <v>Geschäftskunde</v>
      </c>
      <c r="D18" t="str">
        <f>VLOOKUP(O18,Produkt!$A$1:$E$5,2,FALSE)</f>
        <v>B</v>
      </c>
      <c r="E18">
        <f t="shared" si="0"/>
        <v>83</v>
      </c>
      <c r="F18">
        <f>VLOOKUP(D18,Produkt!$B$1:$C$5,2,FALSE)*Bestellungen!E18</f>
        <v>39840</v>
      </c>
      <c r="G18" s="2">
        <v>44905</v>
      </c>
      <c r="H18" s="2">
        <f t="shared" si="1"/>
        <v>44911</v>
      </c>
      <c r="I18" s="2">
        <f t="shared" si="2"/>
        <v>44918</v>
      </c>
      <c r="J18" t="str">
        <f>VLOOKUP(M18,Umfragenteilnahme!$A$2:$B$3,2,)</f>
        <v>Nein</v>
      </c>
      <c r="M18">
        <v>2</v>
      </c>
      <c r="N18">
        <v>162</v>
      </c>
      <c r="O18">
        <v>2</v>
      </c>
      <c r="P18">
        <v>83</v>
      </c>
      <c r="Q18">
        <v>4</v>
      </c>
      <c r="R18">
        <v>6</v>
      </c>
      <c r="S18">
        <v>13</v>
      </c>
    </row>
    <row r="19" spans="1:19" x14ac:dyDescent="0.35">
      <c r="A19">
        <v>7666</v>
      </c>
      <c r="B19">
        <v>490</v>
      </c>
      <c r="C19" t="str">
        <f>VLOOKUP(B19,Kunde!A:C,3,FALSE)</f>
        <v>Privatkunde</v>
      </c>
      <c r="D19" t="str">
        <f>VLOOKUP(O19,Produkt!$A$1:$E$5,2,FALSE)</f>
        <v>B</v>
      </c>
      <c r="E19">
        <f t="shared" si="0"/>
        <v>4</v>
      </c>
      <c r="F19">
        <f>VLOOKUP(D19,Produkt!$B$1:$C$5,2,FALSE)*Bestellungen!E19</f>
        <v>1920</v>
      </c>
      <c r="G19" s="2">
        <v>44740</v>
      </c>
      <c r="H19" s="2">
        <f t="shared" si="1"/>
        <v>44743</v>
      </c>
      <c r="I19" s="2">
        <f t="shared" si="2"/>
        <v>44783</v>
      </c>
      <c r="J19" t="str">
        <f>VLOOKUP(M19,Umfragenteilnahme!$A$2:$B$3,2,)</f>
        <v>Nein</v>
      </c>
      <c r="M19">
        <v>2</v>
      </c>
      <c r="N19">
        <v>490</v>
      </c>
      <c r="O19">
        <v>2</v>
      </c>
      <c r="P19">
        <v>31</v>
      </c>
      <c r="Q19">
        <v>4</v>
      </c>
      <c r="R19">
        <v>3</v>
      </c>
      <c r="S19">
        <v>43</v>
      </c>
    </row>
    <row r="20" spans="1:19" x14ac:dyDescent="0.35">
      <c r="A20">
        <v>7667</v>
      </c>
      <c r="B20">
        <v>167</v>
      </c>
      <c r="C20" t="str">
        <f>VLOOKUP(B20,Kunde!A:C,3,FALSE)</f>
        <v>Geschäftskunde</v>
      </c>
      <c r="D20" t="str">
        <f>VLOOKUP(O20,Produkt!$A$1:$E$5,2,FALSE)</f>
        <v>B</v>
      </c>
      <c r="E20">
        <f t="shared" si="0"/>
        <v>45</v>
      </c>
      <c r="F20">
        <f>VLOOKUP(D20,Produkt!$B$1:$C$5,2,FALSE)*Bestellungen!E20</f>
        <v>21600</v>
      </c>
      <c r="G20" s="2">
        <v>44869</v>
      </c>
      <c r="H20" s="2">
        <f t="shared" si="1"/>
        <v>44875</v>
      </c>
      <c r="I20" s="2">
        <f t="shared" si="2"/>
        <v>44888</v>
      </c>
      <c r="J20" t="str">
        <f>VLOOKUP(M20,Umfragenteilnahme!$A$2:$B$3,2,)</f>
        <v>Nein</v>
      </c>
      <c r="M20">
        <v>2</v>
      </c>
      <c r="N20">
        <v>167</v>
      </c>
      <c r="O20">
        <v>2</v>
      </c>
      <c r="P20">
        <v>45</v>
      </c>
      <c r="Q20">
        <v>5</v>
      </c>
      <c r="R20">
        <v>6</v>
      </c>
      <c r="S20">
        <v>19</v>
      </c>
    </row>
    <row r="21" spans="1:19" x14ac:dyDescent="0.35">
      <c r="A21">
        <v>7668</v>
      </c>
      <c r="B21">
        <v>358</v>
      </c>
      <c r="C21" t="str">
        <f>VLOOKUP(B21,Kunde!A:C,3,FALSE)</f>
        <v>Geschäftskunde</v>
      </c>
      <c r="D21" t="str">
        <f>VLOOKUP(O21,Produkt!$A$1:$E$5,2,FALSE)</f>
        <v>C</v>
      </c>
      <c r="E21">
        <f t="shared" si="0"/>
        <v>64</v>
      </c>
      <c r="F21">
        <f>VLOOKUP(D21,Produkt!$B$1:$C$5,2,FALSE)*Bestellungen!E21</f>
        <v>96000</v>
      </c>
      <c r="G21" s="2">
        <v>45041</v>
      </c>
      <c r="H21" s="2">
        <f t="shared" si="1"/>
        <v>45047</v>
      </c>
      <c r="I21" s="2">
        <f t="shared" si="2"/>
        <v>45056</v>
      </c>
      <c r="J21" t="str">
        <f>VLOOKUP(M21,Umfragenteilnahme!$A$2:$B$3,2,)</f>
        <v>Ja</v>
      </c>
      <c r="M21">
        <v>1</v>
      </c>
      <c r="N21">
        <v>358</v>
      </c>
      <c r="O21">
        <v>3</v>
      </c>
      <c r="P21">
        <v>64</v>
      </c>
      <c r="Q21">
        <v>4</v>
      </c>
      <c r="R21">
        <v>6</v>
      </c>
      <c r="S21">
        <v>15</v>
      </c>
    </row>
    <row r="22" spans="1:19" x14ac:dyDescent="0.35">
      <c r="A22">
        <v>7669</v>
      </c>
      <c r="B22">
        <v>504</v>
      </c>
      <c r="C22" t="str">
        <f>VLOOKUP(B22,Kunde!A:C,3,FALSE)</f>
        <v>Privatkunde</v>
      </c>
      <c r="D22" t="str">
        <f>VLOOKUP(O22,Produkt!$A$1:$E$5,2,FALSE)</f>
        <v>B</v>
      </c>
      <c r="E22">
        <f t="shared" si="0"/>
        <v>5</v>
      </c>
      <c r="F22">
        <f>VLOOKUP(D22,Produkt!$B$1:$C$5,2,FALSE)*Bestellungen!E22</f>
        <v>2400</v>
      </c>
      <c r="G22" s="2">
        <v>44948</v>
      </c>
      <c r="H22" s="2">
        <f t="shared" si="1"/>
        <v>44954</v>
      </c>
      <c r="I22" s="2">
        <f t="shared" si="2"/>
        <v>44955</v>
      </c>
      <c r="J22" t="str">
        <f>VLOOKUP(M22,Umfragenteilnahme!$A$2:$B$3,2,)</f>
        <v>Nein</v>
      </c>
      <c r="M22">
        <v>2</v>
      </c>
      <c r="N22">
        <v>504</v>
      </c>
      <c r="O22">
        <v>2</v>
      </c>
      <c r="P22">
        <v>107</v>
      </c>
      <c r="Q22">
        <v>5</v>
      </c>
      <c r="R22">
        <v>6</v>
      </c>
      <c r="S22">
        <v>7</v>
      </c>
    </row>
    <row r="23" spans="1:19" x14ac:dyDescent="0.35">
      <c r="A23">
        <v>7670</v>
      </c>
      <c r="B23">
        <v>554</v>
      </c>
      <c r="C23" t="str">
        <f>VLOOKUP(B23,Kunde!A:C,3,FALSE)</f>
        <v>Geschäftskunde</v>
      </c>
      <c r="D23" t="str">
        <f>VLOOKUP(O23,Produkt!$A$1:$E$5,2,FALSE)</f>
        <v>A</v>
      </c>
      <c r="E23">
        <f t="shared" si="0"/>
        <v>80</v>
      </c>
      <c r="F23">
        <f>VLOOKUP(D23,Produkt!$B$1:$C$5,2,FALSE)*Bestellungen!E23</f>
        <v>24000</v>
      </c>
      <c r="G23" s="2">
        <v>45040</v>
      </c>
      <c r="H23" s="2">
        <f t="shared" si="1"/>
        <v>45047</v>
      </c>
      <c r="I23" s="2">
        <f t="shared" si="2"/>
        <v>45093</v>
      </c>
      <c r="J23" t="str">
        <f>VLOOKUP(M23,Umfragenteilnahme!$A$2:$B$3,2,)</f>
        <v>Ja</v>
      </c>
      <c r="M23">
        <v>1</v>
      </c>
      <c r="N23">
        <v>554</v>
      </c>
      <c r="O23">
        <v>1</v>
      </c>
      <c r="P23">
        <v>80</v>
      </c>
      <c r="Q23">
        <v>10</v>
      </c>
      <c r="R23">
        <v>7</v>
      </c>
      <c r="S23">
        <v>53</v>
      </c>
    </row>
    <row r="24" spans="1:19" x14ac:dyDescent="0.35">
      <c r="A24">
        <v>7671</v>
      </c>
      <c r="B24">
        <v>143</v>
      </c>
      <c r="C24" t="str">
        <f>VLOOKUP(B24,Kunde!A:C,3,FALSE)</f>
        <v>Geschäftskunde</v>
      </c>
      <c r="D24" t="str">
        <f>VLOOKUP(O24,Produkt!$A$1:$E$5,2,FALSE)</f>
        <v>A</v>
      </c>
      <c r="E24">
        <f t="shared" si="0"/>
        <v>109</v>
      </c>
      <c r="F24">
        <f>VLOOKUP(D24,Produkt!$B$1:$C$5,2,FALSE)*Bestellungen!E24</f>
        <v>32700</v>
      </c>
      <c r="G24" s="2">
        <v>44889</v>
      </c>
      <c r="H24" s="2">
        <f t="shared" si="1"/>
        <v>44896</v>
      </c>
      <c r="I24" s="2">
        <f t="shared" si="2"/>
        <v>44906</v>
      </c>
      <c r="J24" t="str">
        <f>VLOOKUP(M24,Umfragenteilnahme!$A$2:$B$3,2,)</f>
        <v>Ja</v>
      </c>
      <c r="M24">
        <v>1</v>
      </c>
      <c r="N24">
        <v>143</v>
      </c>
      <c r="O24">
        <v>1</v>
      </c>
      <c r="P24">
        <v>109</v>
      </c>
      <c r="Q24">
        <v>5</v>
      </c>
      <c r="R24">
        <v>7</v>
      </c>
      <c r="S24">
        <v>17</v>
      </c>
    </row>
    <row r="25" spans="1:19" x14ac:dyDescent="0.35">
      <c r="A25">
        <v>7672</v>
      </c>
      <c r="B25">
        <v>416</v>
      </c>
      <c r="C25" t="str">
        <f>VLOOKUP(B25,Kunde!A:C,3,FALSE)</f>
        <v>Geschäftskunde</v>
      </c>
      <c r="D25" t="str">
        <f>VLOOKUP(O25,Produkt!$A$1:$E$5,2,FALSE)</f>
        <v>B</v>
      </c>
      <c r="E25">
        <f t="shared" si="0"/>
        <v>44</v>
      </c>
      <c r="F25">
        <f>VLOOKUP(D25,Produkt!$B$1:$C$5,2,FALSE)*Bestellungen!E25</f>
        <v>21120</v>
      </c>
      <c r="G25" s="2">
        <v>44751</v>
      </c>
      <c r="H25" s="2">
        <f t="shared" si="1"/>
        <v>44757</v>
      </c>
      <c r="I25" s="2">
        <f t="shared" si="2"/>
        <v>44764</v>
      </c>
      <c r="J25" t="str">
        <f>VLOOKUP(M25,Umfragenteilnahme!$A$2:$B$3,2,)</f>
        <v>Nein</v>
      </c>
      <c r="M25">
        <v>2</v>
      </c>
      <c r="N25">
        <v>416</v>
      </c>
      <c r="O25">
        <v>2</v>
      </c>
      <c r="P25">
        <v>44</v>
      </c>
      <c r="Q25">
        <v>3</v>
      </c>
      <c r="R25">
        <v>6</v>
      </c>
      <c r="S25">
        <v>13</v>
      </c>
    </row>
    <row r="26" spans="1:19" x14ac:dyDescent="0.35">
      <c r="A26">
        <v>7673</v>
      </c>
      <c r="B26">
        <v>357</v>
      </c>
      <c r="C26" t="str">
        <f>VLOOKUP(B26,Kunde!A:C,3,FALSE)</f>
        <v>Geschäftskunde</v>
      </c>
      <c r="D26" t="str">
        <f>VLOOKUP(O26,Produkt!$A$1:$E$5,2,FALSE)</f>
        <v>B</v>
      </c>
      <c r="E26">
        <f t="shared" si="0"/>
        <v>47</v>
      </c>
      <c r="F26">
        <f>VLOOKUP(D26,Produkt!$B$1:$C$5,2,FALSE)*Bestellungen!E26</f>
        <v>22560</v>
      </c>
      <c r="G26" s="2">
        <v>45046</v>
      </c>
      <c r="H26" s="2">
        <f t="shared" si="1"/>
        <v>45049</v>
      </c>
      <c r="I26" s="2">
        <f t="shared" si="2"/>
        <v>45100</v>
      </c>
      <c r="J26" t="str">
        <f>VLOOKUP(M26,Umfragenteilnahme!$A$2:$B$3,2,)</f>
        <v>Ja</v>
      </c>
      <c r="M26">
        <v>1</v>
      </c>
      <c r="N26">
        <v>357</v>
      </c>
      <c r="O26">
        <v>2</v>
      </c>
      <c r="P26">
        <v>47</v>
      </c>
      <c r="Q26">
        <v>9</v>
      </c>
      <c r="R26">
        <v>3</v>
      </c>
      <c r="S26">
        <v>54</v>
      </c>
    </row>
    <row r="27" spans="1:19" x14ac:dyDescent="0.35">
      <c r="A27">
        <v>7674</v>
      </c>
      <c r="B27">
        <v>119</v>
      </c>
      <c r="C27" t="str">
        <f>VLOOKUP(B27,Kunde!A:C,3,FALSE)</f>
        <v>Geschäftskunde</v>
      </c>
      <c r="D27" t="str">
        <f>VLOOKUP(O27,Produkt!$A$1:$E$5,2,FALSE)</f>
        <v>A</v>
      </c>
      <c r="E27">
        <f t="shared" si="0"/>
        <v>136</v>
      </c>
      <c r="F27">
        <f>VLOOKUP(D27,Produkt!$B$1:$C$5,2,FALSE)*Bestellungen!E27</f>
        <v>40800</v>
      </c>
      <c r="G27" s="2">
        <v>45049</v>
      </c>
      <c r="H27" s="2">
        <f t="shared" si="1"/>
        <v>45051</v>
      </c>
      <c r="I27" s="2">
        <f t="shared" si="2"/>
        <v>45061</v>
      </c>
      <c r="J27" t="str">
        <f>VLOOKUP(M27,Umfragenteilnahme!$A$2:$B$3,2,)</f>
        <v>Ja</v>
      </c>
      <c r="M27">
        <v>1</v>
      </c>
      <c r="N27">
        <v>119</v>
      </c>
      <c r="O27">
        <v>1</v>
      </c>
      <c r="P27">
        <v>136</v>
      </c>
      <c r="Q27">
        <v>7</v>
      </c>
      <c r="R27">
        <v>2</v>
      </c>
      <c r="S27">
        <v>12</v>
      </c>
    </row>
    <row r="28" spans="1:19" x14ac:dyDescent="0.35">
      <c r="A28">
        <v>7675</v>
      </c>
      <c r="B28">
        <v>481</v>
      </c>
      <c r="C28" t="str">
        <f>VLOOKUP(B28,Kunde!A:C,3,FALSE)</f>
        <v>Geschäftskunde</v>
      </c>
      <c r="D28" t="str">
        <f>VLOOKUP(O28,Produkt!$A$1:$E$5,2,FALSE)</f>
        <v>B</v>
      </c>
      <c r="E28">
        <f t="shared" si="0"/>
        <v>137</v>
      </c>
      <c r="F28">
        <f>VLOOKUP(D28,Produkt!$B$1:$C$5,2,FALSE)*Bestellungen!E28</f>
        <v>65760</v>
      </c>
      <c r="G28" s="2">
        <v>44816</v>
      </c>
      <c r="H28" s="2">
        <f t="shared" si="1"/>
        <v>44821</v>
      </c>
      <c r="I28" s="2">
        <f t="shared" si="2"/>
        <v>44828</v>
      </c>
      <c r="J28" t="str">
        <f>VLOOKUP(M28,Umfragenteilnahme!$A$2:$B$3,2,)</f>
        <v>Nein</v>
      </c>
      <c r="M28">
        <v>2</v>
      </c>
      <c r="N28">
        <v>481</v>
      </c>
      <c r="O28">
        <v>2</v>
      </c>
      <c r="P28">
        <v>137</v>
      </c>
      <c r="Q28">
        <v>9</v>
      </c>
      <c r="R28">
        <v>5</v>
      </c>
      <c r="S28">
        <v>12</v>
      </c>
    </row>
    <row r="29" spans="1:19" x14ac:dyDescent="0.35">
      <c r="A29">
        <v>7676</v>
      </c>
      <c r="B29">
        <v>235</v>
      </c>
      <c r="C29" t="str">
        <f>VLOOKUP(B29,Kunde!A:C,3,FALSE)</f>
        <v>Geschäftskunde</v>
      </c>
      <c r="D29" t="str">
        <f>VLOOKUP(O29,Produkt!$A$1:$E$5,2,FALSE)</f>
        <v>A</v>
      </c>
      <c r="E29">
        <f t="shared" si="0"/>
        <v>32</v>
      </c>
      <c r="F29">
        <f>VLOOKUP(D29,Produkt!$B$1:$C$5,2,FALSE)*Bestellungen!E29</f>
        <v>9600</v>
      </c>
      <c r="G29" s="2">
        <v>45065</v>
      </c>
      <c r="H29" s="2">
        <f t="shared" si="1"/>
        <v>45070</v>
      </c>
      <c r="I29" s="2">
        <f t="shared" si="2"/>
        <v>45119</v>
      </c>
      <c r="J29" t="str">
        <f>VLOOKUP(M29,Umfragenteilnahme!$A$2:$B$3,2,)</f>
        <v>Nein</v>
      </c>
      <c r="M29">
        <v>2</v>
      </c>
      <c r="N29">
        <v>235</v>
      </c>
      <c r="O29">
        <v>1</v>
      </c>
      <c r="P29">
        <v>32</v>
      </c>
      <c r="Q29">
        <v>7</v>
      </c>
      <c r="R29">
        <v>5</v>
      </c>
      <c r="S29">
        <v>54</v>
      </c>
    </row>
    <row r="30" spans="1:19" x14ac:dyDescent="0.35">
      <c r="A30">
        <v>7677</v>
      </c>
      <c r="B30">
        <v>175</v>
      </c>
      <c r="C30" t="str">
        <f>VLOOKUP(B30,Kunde!A:C,3,FALSE)</f>
        <v>Geschäftskunde</v>
      </c>
      <c r="D30" t="str">
        <f>VLOOKUP(O30,Produkt!$A$1:$E$5,2,FALSE)</f>
        <v>A</v>
      </c>
      <c r="E30">
        <f t="shared" si="0"/>
        <v>116</v>
      </c>
      <c r="F30">
        <f>VLOOKUP(D30,Produkt!$B$1:$C$5,2,FALSE)*Bestellungen!E30</f>
        <v>34800</v>
      </c>
      <c r="G30" s="2">
        <v>44936</v>
      </c>
      <c r="H30" s="2">
        <f t="shared" si="1"/>
        <v>44942</v>
      </c>
      <c r="I30" s="2">
        <f t="shared" si="2"/>
        <v>44943</v>
      </c>
      <c r="J30" t="str">
        <f>VLOOKUP(M30,Umfragenteilnahme!$A$2:$B$3,2,)</f>
        <v>Nein</v>
      </c>
      <c r="M30">
        <v>2</v>
      </c>
      <c r="N30">
        <v>175</v>
      </c>
      <c r="O30">
        <v>1</v>
      </c>
      <c r="P30">
        <v>116</v>
      </c>
      <c r="Q30">
        <v>7</v>
      </c>
      <c r="R30">
        <v>6</v>
      </c>
      <c r="S30">
        <v>7</v>
      </c>
    </row>
    <row r="31" spans="1:19" x14ac:dyDescent="0.35">
      <c r="A31">
        <v>7678</v>
      </c>
      <c r="B31">
        <v>674</v>
      </c>
      <c r="C31" t="str">
        <f>VLOOKUP(B31,Kunde!A:C,3,FALSE)</f>
        <v>Privatkunde</v>
      </c>
      <c r="D31" t="str">
        <f>VLOOKUP(O31,Produkt!$A$1:$E$5,2,FALSE)</f>
        <v>A</v>
      </c>
      <c r="E31">
        <f t="shared" si="0"/>
        <v>10</v>
      </c>
      <c r="F31">
        <f>VLOOKUP(D31,Produkt!$B$1:$C$5,2,FALSE)*Bestellungen!E31</f>
        <v>3000</v>
      </c>
      <c r="G31" s="2">
        <v>45058</v>
      </c>
      <c r="H31" s="2">
        <f t="shared" si="1"/>
        <v>45065</v>
      </c>
      <c r="I31" s="2">
        <f t="shared" si="2"/>
        <v>45076</v>
      </c>
      <c r="J31" t="str">
        <f>VLOOKUP(M31,Umfragenteilnahme!$A$2:$B$3,2,)</f>
        <v>Nein</v>
      </c>
      <c r="M31">
        <v>2</v>
      </c>
      <c r="N31">
        <v>674</v>
      </c>
      <c r="O31">
        <v>1</v>
      </c>
      <c r="P31">
        <v>31</v>
      </c>
      <c r="Q31">
        <v>10</v>
      </c>
      <c r="R31">
        <v>7</v>
      </c>
      <c r="S31">
        <v>18</v>
      </c>
    </row>
    <row r="32" spans="1:19" x14ac:dyDescent="0.35">
      <c r="A32">
        <v>7679</v>
      </c>
      <c r="B32">
        <v>688</v>
      </c>
      <c r="C32" t="str">
        <f>VLOOKUP(B32,Kunde!A:C,3,FALSE)</f>
        <v>Geschäftskunde</v>
      </c>
      <c r="D32" t="str">
        <f>VLOOKUP(O32,Produkt!$A$1:$E$5,2,FALSE)</f>
        <v>D</v>
      </c>
      <c r="E32">
        <f t="shared" si="0"/>
        <v>125</v>
      </c>
      <c r="F32">
        <f>VLOOKUP(D32,Produkt!$B$1:$C$5,2,FALSE)*Bestellungen!E32</f>
        <v>100000</v>
      </c>
      <c r="G32" s="2">
        <v>44789</v>
      </c>
      <c r="H32" s="2">
        <f t="shared" si="1"/>
        <v>44795</v>
      </c>
      <c r="I32" s="2">
        <f t="shared" si="2"/>
        <v>44819</v>
      </c>
      <c r="J32" t="str">
        <f>VLOOKUP(M32,Umfragenteilnahme!$A$2:$B$3,2,)</f>
        <v>Nein</v>
      </c>
      <c r="M32">
        <v>2</v>
      </c>
      <c r="N32">
        <v>688</v>
      </c>
      <c r="O32">
        <v>4</v>
      </c>
      <c r="P32">
        <v>125</v>
      </c>
      <c r="Q32">
        <v>3</v>
      </c>
      <c r="R32">
        <v>6</v>
      </c>
      <c r="S32">
        <v>30</v>
      </c>
    </row>
    <row r="33" spans="1:19" x14ac:dyDescent="0.35">
      <c r="A33">
        <v>7680</v>
      </c>
      <c r="B33">
        <v>21</v>
      </c>
      <c r="C33" t="str">
        <f>VLOOKUP(B33,Kunde!A:C,3,FALSE)</f>
        <v>Geschäftskunde</v>
      </c>
      <c r="D33" t="str">
        <f>VLOOKUP(O33,Produkt!$A$1:$E$5,2,FALSE)</f>
        <v>A</v>
      </c>
      <c r="E33">
        <f t="shared" si="0"/>
        <v>14</v>
      </c>
      <c r="F33">
        <f>VLOOKUP(D33,Produkt!$B$1:$C$5,2,FALSE)*Bestellungen!E33</f>
        <v>4200</v>
      </c>
      <c r="G33" s="2">
        <v>44989</v>
      </c>
      <c r="H33" s="2">
        <f t="shared" si="1"/>
        <v>44992</v>
      </c>
      <c r="I33" s="2">
        <f t="shared" si="2"/>
        <v>45035</v>
      </c>
      <c r="J33" t="str">
        <f>VLOOKUP(M33,Umfragenteilnahme!$A$2:$B$3,2,)</f>
        <v>Nein</v>
      </c>
      <c r="M33">
        <v>2</v>
      </c>
      <c r="N33">
        <v>21</v>
      </c>
      <c r="O33">
        <v>1</v>
      </c>
      <c r="P33">
        <v>14</v>
      </c>
      <c r="Q33">
        <v>9</v>
      </c>
      <c r="R33">
        <v>3</v>
      </c>
      <c r="S33">
        <v>46</v>
      </c>
    </row>
    <row r="34" spans="1:19" x14ac:dyDescent="0.35">
      <c r="A34">
        <v>7681</v>
      </c>
      <c r="B34">
        <v>131</v>
      </c>
      <c r="C34" t="str">
        <f>VLOOKUP(B34,Kunde!A:C,3,FALSE)</f>
        <v>Privatkunde</v>
      </c>
      <c r="D34" t="str">
        <f>VLOOKUP(O34,Produkt!$A$1:$E$5,2,FALSE)</f>
        <v>D</v>
      </c>
      <c r="E34">
        <f t="shared" si="0"/>
        <v>9</v>
      </c>
      <c r="F34">
        <f>VLOOKUP(D34,Produkt!$B$1:$C$5,2,FALSE)*Bestellungen!E34</f>
        <v>7200</v>
      </c>
      <c r="G34" s="2">
        <v>44716</v>
      </c>
      <c r="H34" s="2">
        <f t="shared" si="1"/>
        <v>44720</v>
      </c>
      <c r="I34" s="2">
        <f t="shared" si="2"/>
        <v>44727</v>
      </c>
      <c r="J34" t="str">
        <f>VLOOKUP(M34,Umfragenteilnahme!$A$2:$B$3,2,)</f>
        <v>Ja</v>
      </c>
      <c r="M34">
        <v>1</v>
      </c>
      <c r="N34">
        <v>131</v>
      </c>
      <c r="O34">
        <v>4</v>
      </c>
      <c r="P34">
        <v>119</v>
      </c>
      <c r="Q34">
        <v>9</v>
      </c>
      <c r="R34">
        <v>4</v>
      </c>
      <c r="S34">
        <v>11</v>
      </c>
    </row>
    <row r="35" spans="1:19" x14ac:dyDescent="0.35">
      <c r="A35">
        <v>7682</v>
      </c>
      <c r="B35">
        <v>190</v>
      </c>
      <c r="C35" t="str">
        <f>VLOOKUP(B35,Kunde!A:C,3,FALSE)</f>
        <v>Geschäftskunde</v>
      </c>
      <c r="D35" t="str">
        <f>VLOOKUP(O35,Produkt!$A$1:$E$5,2,FALSE)</f>
        <v>B</v>
      </c>
      <c r="E35">
        <f t="shared" si="0"/>
        <v>109</v>
      </c>
      <c r="F35">
        <f>VLOOKUP(D35,Produkt!$B$1:$C$5,2,FALSE)*Bestellungen!E35</f>
        <v>52320</v>
      </c>
      <c r="G35" s="2">
        <v>44734</v>
      </c>
      <c r="H35" s="2">
        <f t="shared" si="1"/>
        <v>44738</v>
      </c>
      <c r="I35" s="2">
        <f t="shared" si="2"/>
        <v>44758</v>
      </c>
      <c r="J35" t="str">
        <f>VLOOKUP(M35,Umfragenteilnahme!$A$2:$B$3,2,)</f>
        <v>Ja</v>
      </c>
      <c r="M35">
        <v>1</v>
      </c>
      <c r="N35">
        <v>190</v>
      </c>
      <c r="O35">
        <v>2</v>
      </c>
      <c r="P35">
        <v>109</v>
      </c>
      <c r="Q35">
        <v>10</v>
      </c>
      <c r="R35">
        <v>4</v>
      </c>
      <c r="S35">
        <v>24</v>
      </c>
    </row>
    <row r="36" spans="1:19" x14ac:dyDescent="0.35">
      <c r="A36">
        <v>7683</v>
      </c>
      <c r="B36">
        <v>472</v>
      </c>
      <c r="C36" t="str">
        <f>VLOOKUP(B36,Kunde!A:C,3,FALSE)</f>
        <v>Privatkunde</v>
      </c>
      <c r="D36" t="str">
        <f>VLOOKUP(O36,Produkt!$A$1:$E$5,2,FALSE)</f>
        <v>C</v>
      </c>
      <c r="E36">
        <f t="shared" si="0"/>
        <v>4</v>
      </c>
      <c r="F36">
        <f>VLOOKUP(D36,Produkt!$B$1:$C$5,2,FALSE)*Bestellungen!E36</f>
        <v>6000</v>
      </c>
      <c r="G36" s="2">
        <v>44771</v>
      </c>
      <c r="H36" s="2">
        <f t="shared" si="1"/>
        <v>44777</v>
      </c>
      <c r="I36" s="2">
        <f t="shared" si="2"/>
        <v>44796</v>
      </c>
      <c r="J36" t="str">
        <f>VLOOKUP(M36,Umfragenteilnahme!$A$2:$B$3,2,)</f>
        <v>Ja</v>
      </c>
      <c r="M36">
        <v>1</v>
      </c>
      <c r="N36">
        <v>472</v>
      </c>
      <c r="O36">
        <v>3</v>
      </c>
      <c r="P36">
        <v>91</v>
      </c>
      <c r="Q36">
        <v>4</v>
      </c>
      <c r="R36">
        <v>6</v>
      </c>
      <c r="S36">
        <v>25</v>
      </c>
    </row>
    <row r="37" spans="1:19" x14ac:dyDescent="0.35">
      <c r="A37">
        <v>7684</v>
      </c>
      <c r="B37">
        <v>600</v>
      </c>
      <c r="C37" t="str">
        <f>VLOOKUP(B37,Kunde!A:C,3,FALSE)</f>
        <v>Privatkunde</v>
      </c>
      <c r="D37" t="str">
        <f>VLOOKUP(O37,Produkt!$A$1:$E$5,2,FALSE)</f>
        <v>B</v>
      </c>
      <c r="E37">
        <f t="shared" si="0"/>
        <v>4</v>
      </c>
      <c r="F37">
        <f>VLOOKUP(D37,Produkt!$B$1:$C$5,2,FALSE)*Bestellungen!E37</f>
        <v>1920</v>
      </c>
      <c r="G37" s="2">
        <v>44774</v>
      </c>
      <c r="H37" s="2">
        <f t="shared" si="1"/>
        <v>44776</v>
      </c>
      <c r="I37" s="2">
        <f t="shared" si="2"/>
        <v>44822</v>
      </c>
      <c r="J37" t="str">
        <f>VLOOKUP(M37,Umfragenteilnahme!$A$2:$B$3,2,)</f>
        <v>Ja</v>
      </c>
      <c r="M37">
        <v>1</v>
      </c>
      <c r="N37">
        <v>600</v>
      </c>
      <c r="O37">
        <v>2</v>
      </c>
      <c r="P37">
        <v>30</v>
      </c>
      <c r="Q37">
        <v>4</v>
      </c>
      <c r="R37">
        <v>2</v>
      </c>
      <c r="S37">
        <v>48</v>
      </c>
    </row>
    <row r="38" spans="1:19" x14ac:dyDescent="0.35">
      <c r="A38">
        <v>7685</v>
      </c>
      <c r="B38">
        <v>689</v>
      </c>
      <c r="C38" t="str">
        <f>VLOOKUP(B38,Kunde!A:C,3,FALSE)</f>
        <v>Geschäftskunde</v>
      </c>
      <c r="D38" t="str">
        <f>VLOOKUP(O38,Produkt!$A$1:$E$5,2,FALSE)</f>
        <v>D</v>
      </c>
      <c r="E38">
        <f t="shared" si="0"/>
        <v>90</v>
      </c>
      <c r="F38">
        <f>VLOOKUP(D38,Produkt!$B$1:$C$5,2,FALSE)*Bestellungen!E38</f>
        <v>72000</v>
      </c>
      <c r="G38" s="2">
        <v>44792</v>
      </c>
      <c r="H38" s="2">
        <f t="shared" si="1"/>
        <v>44795</v>
      </c>
      <c r="I38" s="2">
        <f t="shared" si="2"/>
        <v>44847</v>
      </c>
      <c r="J38" t="str">
        <f>VLOOKUP(M38,Umfragenteilnahme!$A$2:$B$3,2,)</f>
        <v>Ja</v>
      </c>
      <c r="M38">
        <v>1</v>
      </c>
      <c r="N38">
        <v>689</v>
      </c>
      <c r="O38">
        <v>4</v>
      </c>
      <c r="P38">
        <v>90</v>
      </c>
      <c r="Q38">
        <v>9</v>
      </c>
      <c r="R38">
        <v>3</v>
      </c>
      <c r="S38">
        <v>55</v>
      </c>
    </row>
    <row r="39" spans="1:19" x14ac:dyDescent="0.35">
      <c r="A39">
        <v>7686</v>
      </c>
      <c r="B39">
        <v>410</v>
      </c>
      <c r="C39" t="str">
        <f>VLOOKUP(B39,Kunde!A:C,3,FALSE)</f>
        <v>Geschäftskunde</v>
      </c>
      <c r="D39" t="str">
        <f>VLOOKUP(O39,Produkt!$A$1:$E$5,2,FALSE)</f>
        <v>B</v>
      </c>
      <c r="E39">
        <f t="shared" si="0"/>
        <v>58</v>
      </c>
      <c r="F39">
        <f>VLOOKUP(D39,Produkt!$B$1:$C$5,2,FALSE)*Bestellungen!E39</f>
        <v>27840</v>
      </c>
      <c r="G39" s="2">
        <v>44853</v>
      </c>
      <c r="H39" s="2">
        <f t="shared" si="1"/>
        <v>44860</v>
      </c>
      <c r="I39" s="2">
        <f t="shared" si="2"/>
        <v>44856</v>
      </c>
      <c r="J39" t="str">
        <f>VLOOKUP(M39,Umfragenteilnahme!$A$2:$B$3,2,)</f>
        <v>Ja</v>
      </c>
      <c r="M39">
        <v>1</v>
      </c>
      <c r="N39">
        <v>410</v>
      </c>
      <c r="O39">
        <v>2</v>
      </c>
      <c r="P39">
        <v>58</v>
      </c>
      <c r="Q39">
        <v>4</v>
      </c>
      <c r="R39">
        <v>7</v>
      </c>
      <c r="S39">
        <v>3</v>
      </c>
    </row>
    <row r="40" spans="1:19" x14ac:dyDescent="0.35">
      <c r="A40">
        <v>7687</v>
      </c>
      <c r="B40">
        <v>151</v>
      </c>
      <c r="C40" t="str">
        <f>VLOOKUP(B40,Kunde!A:C,3,FALSE)</f>
        <v>Geschäftskunde</v>
      </c>
      <c r="D40" t="str">
        <f>VLOOKUP(O40,Produkt!$A$1:$E$5,2,FALSE)</f>
        <v>A</v>
      </c>
      <c r="E40">
        <f t="shared" si="0"/>
        <v>16</v>
      </c>
      <c r="F40">
        <f>VLOOKUP(D40,Produkt!$B$1:$C$5,2,FALSE)*Bestellungen!E40</f>
        <v>4800</v>
      </c>
      <c r="G40" s="2">
        <v>44933</v>
      </c>
      <c r="H40" s="2">
        <f t="shared" si="1"/>
        <v>44940</v>
      </c>
      <c r="I40" s="2">
        <f t="shared" si="2"/>
        <v>44940</v>
      </c>
      <c r="J40" t="str">
        <f>VLOOKUP(M40,Umfragenteilnahme!$A$2:$B$3,2,)</f>
        <v>Ja</v>
      </c>
      <c r="M40">
        <v>1</v>
      </c>
      <c r="N40">
        <v>151</v>
      </c>
      <c r="O40">
        <v>1</v>
      </c>
      <c r="P40">
        <v>16</v>
      </c>
      <c r="Q40">
        <v>5</v>
      </c>
      <c r="R40">
        <v>7</v>
      </c>
      <c r="S40">
        <v>7</v>
      </c>
    </row>
    <row r="41" spans="1:19" x14ac:dyDescent="0.35">
      <c r="A41">
        <v>7688</v>
      </c>
      <c r="B41">
        <v>320</v>
      </c>
      <c r="C41" t="str">
        <f>VLOOKUP(B41,Kunde!A:C,3,FALSE)</f>
        <v>Privatkunde</v>
      </c>
      <c r="D41" t="str">
        <f>VLOOKUP(O41,Produkt!$A$1:$E$5,2,FALSE)</f>
        <v>A</v>
      </c>
      <c r="E41">
        <f t="shared" si="0"/>
        <v>7</v>
      </c>
      <c r="F41">
        <f>VLOOKUP(D41,Produkt!$B$1:$C$5,2,FALSE)*Bestellungen!E41</f>
        <v>2100</v>
      </c>
      <c r="G41" s="2">
        <v>44969</v>
      </c>
      <c r="H41" s="2">
        <f t="shared" si="1"/>
        <v>44973</v>
      </c>
      <c r="I41" s="2">
        <f t="shared" si="2"/>
        <v>45004</v>
      </c>
      <c r="J41" t="str">
        <f>VLOOKUP(M41,Umfragenteilnahme!$A$2:$B$3,2,)</f>
        <v>Ja</v>
      </c>
      <c r="M41">
        <v>1</v>
      </c>
      <c r="N41">
        <v>320</v>
      </c>
      <c r="O41">
        <v>1</v>
      </c>
      <c r="P41">
        <v>38</v>
      </c>
      <c r="Q41">
        <v>7</v>
      </c>
      <c r="R41">
        <v>4</v>
      </c>
      <c r="S41">
        <v>35</v>
      </c>
    </row>
    <row r="42" spans="1:19" x14ac:dyDescent="0.35">
      <c r="A42">
        <v>7689</v>
      </c>
      <c r="B42">
        <v>342</v>
      </c>
      <c r="C42" t="str">
        <f>VLOOKUP(B42,Kunde!A:C,3,FALSE)</f>
        <v>Geschäftskunde</v>
      </c>
      <c r="D42" t="str">
        <f>VLOOKUP(O42,Produkt!$A$1:$E$5,2,FALSE)</f>
        <v>D</v>
      </c>
      <c r="E42">
        <f t="shared" si="0"/>
        <v>88</v>
      </c>
      <c r="F42">
        <f>VLOOKUP(D42,Produkt!$B$1:$C$5,2,FALSE)*Bestellungen!E42</f>
        <v>70400</v>
      </c>
      <c r="G42" s="2">
        <v>44984</v>
      </c>
      <c r="H42" s="2">
        <f t="shared" si="1"/>
        <v>44987</v>
      </c>
      <c r="I42" s="2">
        <f t="shared" si="2"/>
        <v>44999</v>
      </c>
      <c r="J42" t="str">
        <f>VLOOKUP(M42,Umfragenteilnahme!$A$2:$B$3,2,)</f>
        <v>Ja</v>
      </c>
      <c r="M42">
        <v>1</v>
      </c>
      <c r="N42">
        <v>342</v>
      </c>
      <c r="O42">
        <v>4</v>
      </c>
      <c r="P42">
        <v>88</v>
      </c>
      <c r="Q42">
        <v>6</v>
      </c>
      <c r="R42">
        <v>3</v>
      </c>
      <c r="S42">
        <v>15</v>
      </c>
    </row>
    <row r="43" spans="1:19" x14ac:dyDescent="0.35">
      <c r="A43">
        <v>7690</v>
      </c>
      <c r="B43">
        <v>240</v>
      </c>
      <c r="C43" t="str">
        <f>VLOOKUP(B43,Kunde!A:C,3,FALSE)</f>
        <v>Geschäftskunde</v>
      </c>
      <c r="D43" t="str">
        <f>VLOOKUP(O43,Produkt!$A$1:$E$5,2,FALSE)</f>
        <v>D</v>
      </c>
      <c r="E43">
        <f t="shared" si="0"/>
        <v>90</v>
      </c>
      <c r="F43">
        <f>VLOOKUP(D43,Produkt!$B$1:$C$5,2,FALSE)*Bestellungen!E43</f>
        <v>72000</v>
      </c>
      <c r="G43" s="2">
        <v>45039</v>
      </c>
      <c r="H43" s="2">
        <f t="shared" si="1"/>
        <v>45043</v>
      </c>
      <c r="I43" s="2">
        <f t="shared" si="2"/>
        <v>45061</v>
      </c>
      <c r="J43" t="str">
        <f>VLOOKUP(M43,Umfragenteilnahme!$A$2:$B$3,2,)</f>
        <v>Nein</v>
      </c>
      <c r="M43">
        <v>2</v>
      </c>
      <c r="N43">
        <v>240</v>
      </c>
      <c r="O43">
        <v>4</v>
      </c>
      <c r="P43">
        <v>90</v>
      </c>
      <c r="Q43">
        <v>7</v>
      </c>
      <c r="R43">
        <v>4</v>
      </c>
      <c r="S43">
        <v>22</v>
      </c>
    </row>
    <row r="44" spans="1:19" x14ac:dyDescent="0.35">
      <c r="A44">
        <v>7691</v>
      </c>
      <c r="B44">
        <v>744</v>
      </c>
      <c r="C44" t="str">
        <f>VLOOKUP(B44,Kunde!A:C,3,FALSE)</f>
        <v>Geschäftskunde</v>
      </c>
      <c r="D44" t="str">
        <f>VLOOKUP(O44,Produkt!$A$1:$E$5,2,FALSE)</f>
        <v>A</v>
      </c>
      <c r="E44">
        <f t="shared" si="0"/>
        <v>29</v>
      </c>
      <c r="F44">
        <f>VLOOKUP(D44,Produkt!$B$1:$C$5,2,FALSE)*Bestellungen!E44</f>
        <v>8700</v>
      </c>
      <c r="G44" s="2">
        <v>44930</v>
      </c>
      <c r="H44" s="2">
        <f t="shared" si="1"/>
        <v>44932</v>
      </c>
      <c r="I44" s="2">
        <f t="shared" si="2"/>
        <v>44969</v>
      </c>
      <c r="J44" t="str">
        <f>VLOOKUP(M44,Umfragenteilnahme!$A$2:$B$3,2,)</f>
        <v>Nein</v>
      </c>
      <c r="M44">
        <v>2</v>
      </c>
      <c r="N44">
        <v>744</v>
      </c>
      <c r="O44">
        <v>1</v>
      </c>
      <c r="P44">
        <v>29</v>
      </c>
      <c r="Q44">
        <v>6</v>
      </c>
      <c r="R44">
        <v>2</v>
      </c>
      <c r="S44">
        <v>39</v>
      </c>
    </row>
    <row r="45" spans="1:19" x14ac:dyDescent="0.35">
      <c r="A45">
        <v>7692</v>
      </c>
      <c r="B45">
        <v>517</v>
      </c>
      <c r="C45" t="str">
        <f>VLOOKUP(B45,Kunde!A:C,3,FALSE)</f>
        <v>Geschäftskunde</v>
      </c>
      <c r="D45" t="str">
        <f>VLOOKUP(O45,Produkt!$A$1:$E$5,2,FALSE)</f>
        <v>C</v>
      </c>
      <c r="E45">
        <f t="shared" si="0"/>
        <v>18</v>
      </c>
      <c r="F45">
        <f>VLOOKUP(D45,Produkt!$B$1:$C$5,2,FALSE)*Bestellungen!E45</f>
        <v>27000</v>
      </c>
      <c r="G45" s="2">
        <v>44749</v>
      </c>
      <c r="H45" s="2">
        <f t="shared" si="1"/>
        <v>44752</v>
      </c>
      <c r="I45" s="2">
        <f t="shared" si="2"/>
        <v>44760</v>
      </c>
      <c r="J45" t="str">
        <f>VLOOKUP(M45,Umfragenteilnahme!$A$2:$B$3,2,)</f>
        <v>Ja</v>
      </c>
      <c r="M45">
        <v>1</v>
      </c>
      <c r="N45">
        <v>517</v>
      </c>
      <c r="O45">
        <v>3</v>
      </c>
      <c r="P45">
        <v>18</v>
      </c>
      <c r="Q45">
        <v>7</v>
      </c>
      <c r="R45">
        <v>3</v>
      </c>
      <c r="S45">
        <v>11</v>
      </c>
    </row>
    <row r="46" spans="1:19" x14ac:dyDescent="0.35">
      <c r="A46">
        <v>7693</v>
      </c>
      <c r="B46">
        <v>487</v>
      </c>
      <c r="C46" t="str">
        <f>VLOOKUP(B46,Kunde!A:C,3,FALSE)</f>
        <v>Geschäftskunde</v>
      </c>
      <c r="D46" t="str">
        <f>VLOOKUP(O46,Produkt!$A$1:$E$5,2,FALSE)</f>
        <v>D</v>
      </c>
      <c r="E46">
        <f t="shared" si="0"/>
        <v>115</v>
      </c>
      <c r="F46">
        <f>VLOOKUP(D46,Produkt!$B$1:$C$5,2,FALSE)*Bestellungen!E46</f>
        <v>92000</v>
      </c>
      <c r="G46" s="2">
        <v>44878</v>
      </c>
      <c r="H46" s="2">
        <f t="shared" si="1"/>
        <v>44880</v>
      </c>
      <c r="I46" s="2">
        <f t="shared" si="2"/>
        <v>44921</v>
      </c>
      <c r="J46" t="str">
        <f>VLOOKUP(M46,Umfragenteilnahme!$A$2:$B$3,2,)</f>
        <v>Nein</v>
      </c>
      <c r="M46">
        <v>2</v>
      </c>
      <c r="N46">
        <v>487</v>
      </c>
      <c r="O46">
        <v>4</v>
      </c>
      <c r="P46">
        <v>115</v>
      </c>
      <c r="Q46">
        <v>8</v>
      </c>
      <c r="R46">
        <v>2</v>
      </c>
      <c r="S46">
        <v>43</v>
      </c>
    </row>
    <row r="47" spans="1:19" x14ac:dyDescent="0.35">
      <c r="A47">
        <v>7694</v>
      </c>
      <c r="B47">
        <v>671</v>
      </c>
      <c r="C47" t="str">
        <f>VLOOKUP(B47,Kunde!A:C,3,FALSE)</f>
        <v>Geschäftskunde</v>
      </c>
      <c r="D47" t="str">
        <f>VLOOKUP(O47,Produkt!$A$1:$E$5,2,FALSE)</f>
        <v>B</v>
      </c>
      <c r="E47">
        <f t="shared" si="0"/>
        <v>104</v>
      </c>
      <c r="F47">
        <f>VLOOKUP(D47,Produkt!$B$1:$C$5,2,FALSE)*Bestellungen!E47</f>
        <v>49920</v>
      </c>
      <c r="G47" s="2">
        <v>44992</v>
      </c>
      <c r="H47" s="2">
        <f t="shared" si="1"/>
        <v>44999</v>
      </c>
      <c r="I47" s="2">
        <f t="shared" si="2"/>
        <v>45011</v>
      </c>
      <c r="J47" t="str">
        <f>VLOOKUP(M47,Umfragenteilnahme!$A$2:$B$3,2,)</f>
        <v>Ja</v>
      </c>
      <c r="M47">
        <v>1</v>
      </c>
      <c r="N47">
        <v>671</v>
      </c>
      <c r="O47">
        <v>2</v>
      </c>
      <c r="P47">
        <v>104</v>
      </c>
      <c r="Q47">
        <v>7</v>
      </c>
      <c r="R47">
        <v>7</v>
      </c>
      <c r="S47">
        <v>19</v>
      </c>
    </row>
    <row r="48" spans="1:19" x14ac:dyDescent="0.35">
      <c r="A48">
        <v>7695</v>
      </c>
      <c r="B48">
        <v>60</v>
      </c>
      <c r="C48" t="str">
        <f>VLOOKUP(B48,Kunde!A:C,3,FALSE)</f>
        <v>Geschäftskunde</v>
      </c>
      <c r="D48" t="str">
        <f>VLOOKUP(O48,Produkt!$A$1:$E$5,2,FALSE)</f>
        <v>A</v>
      </c>
      <c r="E48">
        <f t="shared" si="0"/>
        <v>110</v>
      </c>
      <c r="F48">
        <f>VLOOKUP(D48,Produkt!$B$1:$C$5,2,FALSE)*Bestellungen!E48</f>
        <v>33000</v>
      </c>
      <c r="G48" s="2">
        <v>45011</v>
      </c>
      <c r="H48" s="2">
        <f t="shared" si="1"/>
        <v>45013</v>
      </c>
      <c r="I48" s="2">
        <f t="shared" si="2"/>
        <v>45058</v>
      </c>
      <c r="J48" t="str">
        <f>VLOOKUP(M48,Umfragenteilnahme!$A$2:$B$3,2,)</f>
        <v>Ja</v>
      </c>
      <c r="M48">
        <v>1</v>
      </c>
      <c r="N48">
        <v>60</v>
      </c>
      <c r="O48">
        <v>1</v>
      </c>
      <c r="P48">
        <v>110</v>
      </c>
      <c r="Q48">
        <v>5</v>
      </c>
      <c r="R48">
        <v>2</v>
      </c>
      <c r="S48">
        <v>47</v>
      </c>
    </row>
    <row r="49" spans="1:19" x14ac:dyDescent="0.35">
      <c r="A49">
        <v>7696</v>
      </c>
      <c r="B49">
        <v>787</v>
      </c>
      <c r="C49" t="str">
        <f>VLOOKUP(B49,Kunde!A:C,3,FALSE)</f>
        <v>Geschäftskunde</v>
      </c>
      <c r="D49" t="str">
        <f>VLOOKUP(O49,Produkt!$A$1:$E$5,2,FALSE)</f>
        <v>B</v>
      </c>
      <c r="E49">
        <f t="shared" si="0"/>
        <v>46</v>
      </c>
      <c r="F49">
        <f>VLOOKUP(D49,Produkt!$B$1:$C$5,2,FALSE)*Bestellungen!E49</f>
        <v>22080</v>
      </c>
      <c r="G49" s="2">
        <v>44810</v>
      </c>
      <c r="H49" s="2">
        <f t="shared" si="1"/>
        <v>44813</v>
      </c>
      <c r="I49" s="2">
        <f t="shared" si="2"/>
        <v>44865</v>
      </c>
      <c r="J49" t="str">
        <f>VLOOKUP(M49,Umfragenteilnahme!$A$2:$B$3,2,)</f>
        <v>Nein</v>
      </c>
      <c r="M49">
        <v>2</v>
      </c>
      <c r="N49">
        <v>787</v>
      </c>
      <c r="O49">
        <v>2</v>
      </c>
      <c r="P49">
        <v>46</v>
      </c>
      <c r="Q49">
        <v>10</v>
      </c>
      <c r="R49">
        <v>3</v>
      </c>
      <c r="S49">
        <v>55</v>
      </c>
    </row>
    <row r="50" spans="1:19" x14ac:dyDescent="0.35">
      <c r="A50">
        <v>7697</v>
      </c>
      <c r="B50">
        <v>388</v>
      </c>
      <c r="C50" t="str">
        <f>VLOOKUP(B50,Kunde!A:C,3,FALSE)</f>
        <v>Geschäftskunde</v>
      </c>
      <c r="D50" t="str">
        <f>VLOOKUP(O50,Produkt!$A$1:$E$5,2,FALSE)</f>
        <v>D</v>
      </c>
      <c r="E50">
        <f t="shared" si="0"/>
        <v>68</v>
      </c>
      <c r="F50">
        <f>VLOOKUP(D50,Produkt!$B$1:$C$5,2,FALSE)*Bestellungen!E50</f>
        <v>54400</v>
      </c>
      <c r="G50" s="2">
        <v>44749</v>
      </c>
      <c r="H50" s="2">
        <f t="shared" si="1"/>
        <v>44755</v>
      </c>
      <c r="I50" s="2">
        <f t="shared" si="2"/>
        <v>44807</v>
      </c>
      <c r="J50" t="str">
        <f>VLOOKUP(M50,Umfragenteilnahme!$A$2:$B$3,2,)</f>
        <v>Nein</v>
      </c>
      <c r="M50">
        <v>2</v>
      </c>
      <c r="N50">
        <v>388</v>
      </c>
      <c r="O50">
        <v>4</v>
      </c>
      <c r="P50">
        <v>68</v>
      </c>
      <c r="Q50">
        <v>9</v>
      </c>
      <c r="R50">
        <v>6</v>
      </c>
      <c r="S50">
        <v>58</v>
      </c>
    </row>
    <row r="51" spans="1:19" x14ac:dyDescent="0.35">
      <c r="A51">
        <v>7698</v>
      </c>
      <c r="B51">
        <v>751</v>
      </c>
      <c r="C51" t="str">
        <f>VLOOKUP(B51,Kunde!A:C,3,FALSE)</f>
        <v>Geschäftskunde</v>
      </c>
      <c r="D51" t="str">
        <f>VLOOKUP(O51,Produkt!$A$1:$E$5,2,FALSE)</f>
        <v>B</v>
      </c>
      <c r="E51">
        <f t="shared" si="0"/>
        <v>72</v>
      </c>
      <c r="F51">
        <f>VLOOKUP(D51,Produkt!$B$1:$C$5,2,FALSE)*Bestellungen!E51</f>
        <v>34560</v>
      </c>
      <c r="G51" s="2">
        <v>44720</v>
      </c>
      <c r="H51" s="2">
        <f t="shared" si="1"/>
        <v>44727</v>
      </c>
      <c r="I51" s="2">
        <f t="shared" si="2"/>
        <v>44757</v>
      </c>
      <c r="J51" t="str">
        <f>VLOOKUP(M51,Umfragenteilnahme!$A$2:$B$3,2,)</f>
        <v>Ja</v>
      </c>
      <c r="M51">
        <v>1</v>
      </c>
      <c r="N51">
        <v>751</v>
      </c>
      <c r="O51">
        <v>2</v>
      </c>
      <c r="P51">
        <v>72</v>
      </c>
      <c r="Q51">
        <v>3</v>
      </c>
      <c r="R51">
        <v>7</v>
      </c>
      <c r="S51">
        <v>37</v>
      </c>
    </row>
    <row r="52" spans="1:19" x14ac:dyDescent="0.35">
      <c r="A52">
        <v>7699</v>
      </c>
      <c r="B52">
        <v>312</v>
      </c>
      <c r="C52" t="str">
        <f>VLOOKUP(B52,Kunde!A:C,3,FALSE)</f>
        <v>Geschäftskunde</v>
      </c>
      <c r="D52" t="str">
        <f>VLOOKUP(O52,Produkt!$A$1:$E$5,2,FALSE)</f>
        <v>B</v>
      </c>
      <c r="E52">
        <f t="shared" si="0"/>
        <v>84</v>
      </c>
      <c r="F52">
        <f>VLOOKUP(D52,Produkt!$B$1:$C$5,2,FALSE)*Bestellungen!E52</f>
        <v>40320</v>
      </c>
      <c r="G52" s="2">
        <v>44797</v>
      </c>
      <c r="H52" s="2">
        <f t="shared" si="1"/>
        <v>44803</v>
      </c>
      <c r="I52" s="2">
        <f t="shared" si="2"/>
        <v>44814</v>
      </c>
      <c r="J52" t="str">
        <f>VLOOKUP(M52,Umfragenteilnahme!$A$2:$B$3,2,)</f>
        <v>Nein</v>
      </c>
      <c r="M52">
        <v>2</v>
      </c>
      <c r="N52">
        <v>312</v>
      </c>
      <c r="O52">
        <v>2</v>
      </c>
      <c r="P52">
        <v>84</v>
      </c>
      <c r="Q52">
        <v>2</v>
      </c>
      <c r="R52">
        <v>6</v>
      </c>
      <c r="S52">
        <v>17</v>
      </c>
    </row>
    <row r="53" spans="1:19" x14ac:dyDescent="0.35">
      <c r="A53">
        <v>7700</v>
      </c>
      <c r="B53">
        <v>498</v>
      </c>
      <c r="C53" t="str">
        <f>VLOOKUP(B53,Kunde!A:C,3,FALSE)</f>
        <v>Geschäftskunde</v>
      </c>
      <c r="D53" t="str">
        <f>VLOOKUP(O53,Produkt!$A$1:$E$5,2,FALSE)</f>
        <v>D</v>
      </c>
      <c r="E53">
        <f t="shared" si="0"/>
        <v>130</v>
      </c>
      <c r="F53">
        <f>VLOOKUP(D53,Produkt!$B$1:$C$5,2,FALSE)*Bestellungen!E53</f>
        <v>104000</v>
      </c>
      <c r="G53" s="2">
        <v>44853</v>
      </c>
      <c r="H53" s="2">
        <f t="shared" si="1"/>
        <v>44859</v>
      </c>
      <c r="I53" s="2">
        <f t="shared" si="2"/>
        <v>44866</v>
      </c>
      <c r="J53" t="str">
        <f>VLOOKUP(M53,Umfragenteilnahme!$A$2:$B$3,2,)</f>
        <v>Ja</v>
      </c>
      <c r="M53">
        <v>1</v>
      </c>
      <c r="N53">
        <v>498</v>
      </c>
      <c r="O53">
        <v>4</v>
      </c>
      <c r="P53">
        <v>130</v>
      </c>
      <c r="Q53">
        <v>7</v>
      </c>
      <c r="R53">
        <v>6</v>
      </c>
      <c r="S53">
        <v>13</v>
      </c>
    </row>
    <row r="54" spans="1:19" x14ac:dyDescent="0.35">
      <c r="A54">
        <v>7701</v>
      </c>
      <c r="B54">
        <v>673</v>
      </c>
      <c r="C54" t="str">
        <f>VLOOKUP(B54,Kunde!A:C,3,FALSE)</f>
        <v>Geschäftskunde</v>
      </c>
      <c r="D54" t="str">
        <f>VLOOKUP(O54,Produkt!$A$1:$E$5,2,FALSE)</f>
        <v>A</v>
      </c>
      <c r="E54">
        <f t="shared" si="0"/>
        <v>23</v>
      </c>
      <c r="F54">
        <f>VLOOKUP(D54,Produkt!$B$1:$C$5,2,FALSE)*Bestellungen!E54</f>
        <v>6900</v>
      </c>
      <c r="G54" s="2">
        <v>44733</v>
      </c>
      <c r="H54" s="2">
        <f t="shared" si="1"/>
        <v>44735</v>
      </c>
      <c r="I54" s="2">
        <f t="shared" si="2"/>
        <v>44737</v>
      </c>
      <c r="J54" t="str">
        <f>VLOOKUP(M54,Umfragenteilnahme!$A$2:$B$3,2,)</f>
        <v>Nein</v>
      </c>
      <c r="M54">
        <v>2</v>
      </c>
      <c r="N54">
        <v>673</v>
      </c>
      <c r="O54">
        <v>1</v>
      </c>
      <c r="P54">
        <v>23</v>
      </c>
      <c r="Q54">
        <v>9</v>
      </c>
      <c r="R54">
        <v>2</v>
      </c>
      <c r="S54">
        <v>4</v>
      </c>
    </row>
    <row r="55" spans="1:19" x14ac:dyDescent="0.35">
      <c r="A55">
        <v>7702</v>
      </c>
      <c r="B55">
        <v>216</v>
      </c>
      <c r="C55" t="str">
        <f>VLOOKUP(B55,Kunde!A:C,3,FALSE)</f>
        <v>Geschäftskunde</v>
      </c>
      <c r="D55" t="str">
        <f>VLOOKUP(O55,Produkt!$A$1:$E$5,2,FALSE)</f>
        <v>A</v>
      </c>
      <c r="E55">
        <f t="shared" si="0"/>
        <v>71</v>
      </c>
      <c r="F55">
        <f>VLOOKUP(D55,Produkt!$B$1:$C$5,2,FALSE)*Bestellungen!E55</f>
        <v>21300</v>
      </c>
      <c r="G55" s="2">
        <v>44834</v>
      </c>
      <c r="H55" s="2">
        <f t="shared" si="1"/>
        <v>44836</v>
      </c>
      <c r="I55" s="2">
        <f t="shared" si="2"/>
        <v>44873</v>
      </c>
      <c r="J55" t="str">
        <f>VLOOKUP(M55,Umfragenteilnahme!$A$2:$B$3,2,)</f>
        <v>Nein</v>
      </c>
      <c r="M55">
        <v>2</v>
      </c>
      <c r="N55">
        <v>216</v>
      </c>
      <c r="O55">
        <v>1</v>
      </c>
      <c r="P55">
        <v>71</v>
      </c>
      <c r="Q55">
        <v>10</v>
      </c>
      <c r="R55">
        <v>2</v>
      </c>
      <c r="S55">
        <v>39</v>
      </c>
    </row>
    <row r="56" spans="1:19" x14ac:dyDescent="0.35">
      <c r="A56">
        <v>7703</v>
      </c>
      <c r="B56">
        <v>153</v>
      </c>
      <c r="C56" t="str">
        <f>VLOOKUP(B56,Kunde!A:C,3,FALSE)</f>
        <v>Geschäftskunde</v>
      </c>
      <c r="D56" t="str">
        <f>VLOOKUP(O56,Produkt!$A$1:$E$5,2,FALSE)</f>
        <v>B</v>
      </c>
      <c r="E56">
        <f t="shared" si="0"/>
        <v>38</v>
      </c>
      <c r="F56">
        <f>VLOOKUP(D56,Produkt!$B$1:$C$5,2,FALSE)*Bestellungen!E56</f>
        <v>18240</v>
      </c>
      <c r="G56" s="2">
        <v>44713</v>
      </c>
      <c r="H56" s="2">
        <f t="shared" si="1"/>
        <v>44716</v>
      </c>
      <c r="I56" s="2">
        <f t="shared" si="2"/>
        <v>44729</v>
      </c>
      <c r="J56" t="str">
        <f>VLOOKUP(M56,Umfragenteilnahme!$A$2:$B$3,2,)</f>
        <v>Ja</v>
      </c>
      <c r="M56">
        <v>1</v>
      </c>
      <c r="N56">
        <v>153</v>
      </c>
      <c r="O56">
        <v>2</v>
      </c>
      <c r="P56">
        <v>38</v>
      </c>
      <c r="Q56">
        <v>8</v>
      </c>
      <c r="R56">
        <v>3</v>
      </c>
      <c r="S56">
        <v>16</v>
      </c>
    </row>
    <row r="57" spans="1:19" x14ac:dyDescent="0.35">
      <c r="A57">
        <v>7704</v>
      </c>
      <c r="B57">
        <v>657</v>
      </c>
      <c r="C57" t="str">
        <f>VLOOKUP(B57,Kunde!A:C,3,FALSE)</f>
        <v>Geschäftskunde</v>
      </c>
      <c r="D57" t="str">
        <f>VLOOKUP(O57,Produkt!$A$1:$E$5,2,FALSE)</f>
        <v>B</v>
      </c>
      <c r="E57">
        <f t="shared" si="0"/>
        <v>66</v>
      </c>
      <c r="F57">
        <f>VLOOKUP(D57,Produkt!$B$1:$C$5,2,FALSE)*Bestellungen!E57</f>
        <v>31680</v>
      </c>
      <c r="G57" s="2">
        <v>44973</v>
      </c>
      <c r="H57" s="2">
        <f t="shared" si="1"/>
        <v>44975</v>
      </c>
      <c r="I57" s="2">
        <f t="shared" si="2"/>
        <v>45004</v>
      </c>
      <c r="J57" t="str">
        <f>VLOOKUP(M57,Umfragenteilnahme!$A$2:$B$3,2,)</f>
        <v>Ja</v>
      </c>
      <c r="M57">
        <v>1</v>
      </c>
      <c r="N57">
        <v>657</v>
      </c>
      <c r="O57">
        <v>2</v>
      </c>
      <c r="P57">
        <v>66</v>
      </c>
      <c r="Q57">
        <v>2</v>
      </c>
      <c r="R57">
        <v>2</v>
      </c>
      <c r="S57">
        <v>31</v>
      </c>
    </row>
    <row r="58" spans="1:19" x14ac:dyDescent="0.35">
      <c r="A58">
        <v>7705</v>
      </c>
      <c r="B58">
        <v>258</v>
      </c>
      <c r="C58" t="str">
        <f>VLOOKUP(B58,Kunde!A:C,3,FALSE)</f>
        <v>Geschäftskunde</v>
      </c>
      <c r="D58" t="str">
        <f>VLOOKUP(O58,Produkt!$A$1:$E$5,2,FALSE)</f>
        <v>D</v>
      </c>
      <c r="E58">
        <f t="shared" si="0"/>
        <v>32</v>
      </c>
      <c r="F58">
        <f>VLOOKUP(D58,Produkt!$B$1:$C$5,2,FALSE)*Bestellungen!E58</f>
        <v>25600</v>
      </c>
      <c r="G58" s="2">
        <v>44769</v>
      </c>
      <c r="H58" s="2">
        <f t="shared" si="1"/>
        <v>44776</v>
      </c>
      <c r="I58" s="2">
        <f t="shared" si="2"/>
        <v>44805</v>
      </c>
      <c r="J58" t="str">
        <f>VLOOKUP(M58,Umfragenteilnahme!$A$2:$B$3,2,)</f>
        <v>Nein</v>
      </c>
      <c r="M58">
        <v>2</v>
      </c>
      <c r="N58">
        <v>258</v>
      </c>
      <c r="O58">
        <v>4</v>
      </c>
      <c r="P58">
        <v>32</v>
      </c>
      <c r="Q58">
        <v>9</v>
      </c>
      <c r="R58">
        <v>7</v>
      </c>
      <c r="S58">
        <v>36</v>
      </c>
    </row>
    <row r="59" spans="1:19" x14ac:dyDescent="0.35">
      <c r="A59">
        <v>7706</v>
      </c>
      <c r="B59">
        <v>539</v>
      </c>
      <c r="C59" t="str">
        <f>VLOOKUP(B59,Kunde!A:C,3,FALSE)</f>
        <v>Geschäftskunde</v>
      </c>
      <c r="D59" t="str">
        <f>VLOOKUP(O59,Produkt!$A$1:$E$5,2,FALSE)</f>
        <v>D</v>
      </c>
      <c r="E59">
        <f t="shared" si="0"/>
        <v>23</v>
      </c>
      <c r="F59">
        <f>VLOOKUP(D59,Produkt!$B$1:$C$5,2,FALSE)*Bestellungen!E59</f>
        <v>18400</v>
      </c>
      <c r="G59" s="2">
        <v>45046</v>
      </c>
      <c r="H59" s="2">
        <f t="shared" si="1"/>
        <v>45052</v>
      </c>
      <c r="I59" s="2">
        <f t="shared" si="2"/>
        <v>45089</v>
      </c>
      <c r="J59" t="str">
        <f>VLOOKUP(M59,Umfragenteilnahme!$A$2:$B$3,2,)</f>
        <v>Ja</v>
      </c>
      <c r="M59">
        <v>1</v>
      </c>
      <c r="N59">
        <v>539</v>
      </c>
      <c r="O59">
        <v>4</v>
      </c>
      <c r="P59">
        <v>23</v>
      </c>
      <c r="Q59">
        <v>2</v>
      </c>
      <c r="R59">
        <v>6</v>
      </c>
      <c r="S59">
        <v>43</v>
      </c>
    </row>
    <row r="60" spans="1:19" x14ac:dyDescent="0.35">
      <c r="A60">
        <v>7707</v>
      </c>
      <c r="B60">
        <v>716</v>
      </c>
      <c r="C60" t="str">
        <f>VLOOKUP(B60,Kunde!A:C,3,FALSE)</f>
        <v>Geschäftskunde</v>
      </c>
      <c r="D60" t="str">
        <f>VLOOKUP(O60,Produkt!$A$1:$E$5,2,FALSE)</f>
        <v>A</v>
      </c>
      <c r="E60">
        <f t="shared" si="0"/>
        <v>58</v>
      </c>
      <c r="F60">
        <f>VLOOKUP(D60,Produkt!$B$1:$C$5,2,FALSE)*Bestellungen!E60</f>
        <v>17400</v>
      </c>
      <c r="G60" s="2">
        <v>44973</v>
      </c>
      <c r="H60" s="2">
        <f t="shared" si="1"/>
        <v>44976</v>
      </c>
      <c r="I60" s="2">
        <f t="shared" si="2"/>
        <v>45019</v>
      </c>
      <c r="J60" t="str">
        <f>VLOOKUP(M60,Umfragenteilnahme!$A$2:$B$3,2,)</f>
        <v>Nein</v>
      </c>
      <c r="M60">
        <v>2</v>
      </c>
      <c r="N60">
        <v>716</v>
      </c>
      <c r="O60">
        <v>1</v>
      </c>
      <c r="P60">
        <v>58</v>
      </c>
      <c r="Q60">
        <v>4</v>
      </c>
      <c r="R60">
        <v>3</v>
      </c>
      <c r="S60">
        <v>46</v>
      </c>
    </row>
    <row r="61" spans="1:19" x14ac:dyDescent="0.35">
      <c r="A61">
        <v>7708</v>
      </c>
      <c r="B61">
        <v>673</v>
      </c>
      <c r="C61" t="str">
        <f>VLOOKUP(B61,Kunde!A:C,3,FALSE)</f>
        <v>Geschäftskunde</v>
      </c>
      <c r="D61" t="str">
        <f>VLOOKUP(O61,Produkt!$A$1:$E$5,2,FALSE)</f>
        <v>D</v>
      </c>
      <c r="E61">
        <f t="shared" si="0"/>
        <v>96</v>
      </c>
      <c r="F61">
        <f>VLOOKUP(D61,Produkt!$B$1:$C$5,2,FALSE)*Bestellungen!E61</f>
        <v>76800</v>
      </c>
      <c r="G61" s="2">
        <v>45018</v>
      </c>
      <c r="H61" s="2">
        <f t="shared" si="1"/>
        <v>45021</v>
      </c>
      <c r="I61" s="2">
        <f t="shared" si="2"/>
        <v>45071</v>
      </c>
      <c r="J61" t="str">
        <f>VLOOKUP(M61,Umfragenteilnahme!$A$2:$B$3,2,)</f>
        <v>Ja</v>
      </c>
      <c r="M61">
        <v>1</v>
      </c>
      <c r="N61">
        <v>673</v>
      </c>
      <c r="O61">
        <v>4</v>
      </c>
      <c r="P61">
        <v>96</v>
      </c>
      <c r="Q61">
        <v>6</v>
      </c>
      <c r="R61">
        <v>3</v>
      </c>
      <c r="S61">
        <v>53</v>
      </c>
    </row>
    <row r="62" spans="1:19" x14ac:dyDescent="0.35">
      <c r="A62">
        <v>7709</v>
      </c>
      <c r="B62">
        <v>512</v>
      </c>
      <c r="C62" t="str">
        <f>VLOOKUP(B62,Kunde!A:C,3,FALSE)</f>
        <v>Geschäftskunde</v>
      </c>
      <c r="D62" t="str">
        <f>VLOOKUP(O62,Produkt!$A$1:$E$5,2,FALSE)</f>
        <v>B</v>
      </c>
      <c r="E62">
        <f t="shared" si="0"/>
        <v>130</v>
      </c>
      <c r="F62">
        <f>VLOOKUP(D62,Produkt!$B$1:$C$5,2,FALSE)*Bestellungen!E62</f>
        <v>62400</v>
      </c>
      <c r="G62" s="2">
        <v>45022</v>
      </c>
      <c r="H62" s="2">
        <f t="shared" si="1"/>
        <v>45028</v>
      </c>
      <c r="I62" s="2">
        <f t="shared" si="2"/>
        <v>45059</v>
      </c>
      <c r="J62" t="str">
        <f>VLOOKUP(M62,Umfragenteilnahme!$A$2:$B$3,2,)</f>
        <v>Nein</v>
      </c>
      <c r="M62">
        <v>2</v>
      </c>
      <c r="N62">
        <v>512</v>
      </c>
      <c r="O62">
        <v>2</v>
      </c>
      <c r="P62">
        <v>130</v>
      </c>
      <c r="Q62">
        <v>8</v>
      </c>
      <c r="R62">
        <v>6</v>
      </c>
      <c r="S62">
        <v>37</v>
      </c>
    </row>
    <row r="63" spans="1:19" x14ac:dyDescent="0.35">
      <c r="A63">
        <v>7710</v>
      </c>
      <c r="B63">
        <v>707</v>
      </c>
      <c r="C63" t="str">
        <f>VLOOKUP(B63,Kunde!A:C,3,FALSE)</f>
        <v>Geschäftskunde</v>
      </c>
      <c r="D63" t="str">
        <f>VLOOKUP(O63,Produkt!$A$1:$E$5,2,FALSE)</f>
        <v>B</v>
      </c>
      <c r="E63">
        <f t="shared" si="0"/>
        <v>83</v>
      </c>
      <c r="F63">
        <f>VLOOKUP(D63,Produkt!$B$1:$C$5,2,FALSE)*Bestellungen!E63</f>
        <v>39840</v>
      </c>
      <c r="G63" s="2">
        <v>45062</v>
      </c>
      <c r="H63" s="2">
        <f t="shared" si="1"/>
        <v>45069</v>
      </c>
      <c r="I63" s="2">
        <f t="shared" si="2"/>
        <v>45084</v>
      </c>
      <c r="J63" t="str">
        <f>VLOOKUP(M63,Umfragenteilnahme!$A$2:$B$3,2,)</f>
        <v>Nein</v>
      </c>
      <c r="M63">
        <v>2</v>
      </c>
      <c r="N63">
        <v>707</v>
      </c>
      <c r="O63">
        <v>2</v>
      </c>
      <c r="P63">
        <v>83</v>
      </c>
      <c r="Q63">
        <v>10</v>
      </c>
      <c r="R63">
        <v>7</v>
      </c>
      <c r="S63">
        <v>22</v>
      </c>
    </row>
    <row r="64" spans="1:19" x14ac:dyDescent="0.35">
      <c r="A64">
        <v>7711</v>
      </c>
      <c r="B64">
        <v>237</v>
      </c>
      <c r="C64" t="str">
        <f>VLOOKUP(B64,Kunde!A:C,3,FALSE)</f>
        <v>Geschäftskunde</v>
      </c>
      <c r="D64" t="str">
        <f>VLOOKUP(O64,Produkt!$A$1:$E$5,2,FALSE)</f>
        <v>D</v>
      </c>
      <c r="E64">
        <f t="shared" si="0"/>
        <v>67</v>
      </c>
      <c r="F64">
        <f>VLOOKUP(D64,Produkt!$B$1:$C$5,2,FALSE)*Bestellungen!E64</f>
        <v>53600</v>
      </c>
      <c r="G64" s="2">
        <v>44986</v>
      </c>
      <c r="H64" s="2">
        <f t="shared" si="1"/>
        <v>44993</v>
      </c>
      <c r="I64" s="2">
        <f t="shared" si="2"/>
        <v>45012</v>
      </c>
      <c r="J64" t="str">
        <f>VLOOKUP(M64,Umfragenteilnahme!$A$2:$B$3,2,)</f>
        <v>Ja</v>
      </c>
      <c r="M64">
        <v>1</v>
      </c>
      <c r="N64">
        <v>237</v>
      </c>
      <c r="O64">
        <v>4</v>
      </c>
      <c r="P64">
        <v>67</v>
      </c>
      <c r="Q64">
        <v>2</v>
      </c>
      <c r="R64">
        <v>7</v>
      </c>
      <c r="S64">
        <v>26</v>
      </c>
    </row>
    <row r="65" spans="1:19" x14ac:dyDescent="0.35">
      <c r="A65">
        <v>7712</v>
      </c>
      <c r="B65">
        <v>299</v>
      </c>
      <c r="C65" t="str">
        <f>VLOOKUP(B65,Kunde!A:C,3,FALSE)</f>
        <v>Geschäftskunde</v>
      </c>
      <c r="D65" t="str">
        <f>VLOOKUP(O65,Produkt!$A$1:$E$5,2,FALSE)</f>
        <v>A</v>
      </c>
      <c r="E65">
        <f t="shared" si="0"/>
        <v>137</v>
      </c>
      <c r="F65">
        <f>VLOOKUP(D65,Produkt!$B$1:$C$5,2,FALSE)*Bestellungen!E65</f>
        <v>41100</v>
      </c>
      <c r="G65" s="2">
        <v>44860</v>
      </c>
      <c r="H65" s="2">
        <f t="shared" si="1"/>
        <v>44863</v>
      </c>
      <c r="I65" s="2">
        <f t="shared" si="2"/>
        <v>44895</v>
      </c>
      <c r="J65" t="str">
        <f>VLOOKUP(M65,Umfragenteilnahme!$A$2:$B$3,2,)</f>
        <v>Ja</v>
      </c>
      <c r="M65">
        <v>1</v>
      </c>
      <c r="N65">
        <v>299</v>
      </c>
      <c r="O65">
        <v>1</v>
      </c>
      <c r="P65">
        <v>137</v>
      </c>
      <c r="Q65">
        <v>8</v>
      </c>
      <c r="R65">
        <v>3</v>
      </c>
      <c r="S65">
        <v>35</v>
      </c>
    </row>
    <row r="66" spans="1:19" x14ac:dyDescent="0.35">
      <c r="A66">
        <v>7713</v>
      </c>
      <c r="B66">
        <v>573</v>
      </c>
      <c r="C66" t="str">
        <f>VLOOKUP(B66,Kunde!A:C,3,FALSE)</f>
        <v>Geschäftskunde</v>
      </c>
      <c r="D66" t="str">
        <f>VLOOKUP(O66,Produkt!$A$1:$E$5,2,FALSE)</f>
        <v>A</v>
      </c>
      <c r="E66">
        <f t="shared" si="0"/>
        <v>107</v>
      </c>
      <c r="F66">
        <f>VLOOKUP(D66,Produkt!$B$1:$C$5,2,FALSE)*Bestellungen!E66</f>
        <v>32100</v>
      </c>
      <c r="G66" s="2">
        <v>44799</v>
      </c>
      <c r="H66" s="2">
        <f t="shared" si="1"/>
        <v>44805</v>
      </c>
      <c r="I66" s="2">
        <f t="shared" si="2"/>
        <v>44848</v>
      </c>
      <c r="J66" t="str">
        <f>VLOOKUP(M66,Umfragenteilnahme!$A$2:$B$3,2,)</f>
        <v>Ja</v>
      </c>
      <c r="M66">
        <v>1</v>
      </c>
      <c r="N66">
        <v>573</v>
      </c>
      <c r="O66">
        <v>1</v>
      </c>
      <c r="P66">
        <v>107</v>
      </c>
      <c r="Q66">
        <v>7</v>
      </c>
      <c r="R66">
        <v>6</v>
      </c>
      <c r="S66">
        <v>49</v>
      </c>
    </row>
    <row r="67" spans="1:19" x14ac:dyDescent="0.35">
      <c r="A67">
        <v>7714</v>
      </c>
      <c r="B67">
        <v>309</v>
      </c>
      <c r="C67" t="str">
        <f>VLOOKUP(B67,Kunde!A:C,3,FALSE)</f>
        <v>Geschäftskunde</v>
      </c>
      <c r="D67" t="str">
        <f>VLOOKUP(O67,Produkt!$A$1:$E$5,2,FALSE)</f>
        <v>D</v>
      </c>
      <c r="E67">
        <f t="shared" ref="E67:E130" si="3">IF(C67="Geschäftskunde",P67,Q67)</f>
        <v>52</v>
      </c>
      <c r="F67">
        <f>VLOOKUP(D67,Produkt!$B$1:$C$5,2,FALSE)*Bestellungen!E67</f>
        <v>41600</v>
      </c>
      <c r="G67" s="2">
        <v>44894</v>
      </c>
      <c r="H67" s="2">
        <f t="shared" ref="H67:H130" si="4">G67+R67</f>
        <v>44899</v>
      </c>
      <c r="I67" s="2">
        <f t="shared" ref="I67:I130" si="5">G67+S67</f>
        <v>44953</v>
      </c>
      <c r="J67" t="str">
        <f>VLOOKUP(M67,Umfragenteilnahme!$A$2:$B$3,2,)</f>
        <v>Nein</v>
      </c>
      <c r="M67">
        <v>2</v>
      </c>
      <c r="N67">
        <v>309</v>
      </c>
      <c r="O67">
        <v>4</v>
      </c>
      <c r="P67">
        <v>52</v>
      </c>
      <c r="Q67">
        <v>7</v>
      </c>
      <c r="R67">
        <v>5</v>
      </c>
      <c r="S67">
        <v>59</v>
      </c>
    </row>
    <row r="68" spans="1:19" x14ac:dyDescent="0.35">
      <c r="A68">
        <v>7715</v>
      </c>
      <c r="B68">
        <v>267</v>
      </c>
      <c r="C68" t="str">
        <f>VLOOKUP(B68,Kunde!A:C,3,FALSE)</f>
        <v>Geschäftskunde</v>
      </c>
      <c r="D68" t="str">
        <f>VLOOKUP(O68,Produkt!$A$1:$E$5,2,FALSE)</f>
        <v>A</v>
      </c>
      <c r="E68">
        <f t="shared" si="3"/>
        <v>46</v>
      </c>
      <c r="F68">
        <f>VLOOKUP(D68,Produkt!$B$1:$C$5,2,FALSE)*Bestellungen!E68</f>
        <v>13800</v>
      </c>
      <c r="G68" s="2">
        <v>44860</v>
      </c>
      <c r="H68" s="2">
        <f t="shared" si="4"/>
        <v>44867</v>
      </c>
      <c r="I68" s="2">
        <f t="shared" si="5"/>
        <v>44880</v>
      </c>
      <c r="J68" t="str">
        <f>VLOOKUP(M68,Umfragenteilnahme!$A$2:$B$3,2,)</f>
        <v>Ja</v>
      </c>
      <c r="M68">
        <v>1</v>
      </c>
      <c r="N68">
        <v>267</v>
      </c>
      <c r="O68">
        <v>1</v>
      </c>
      <c r="P68">
        <v>46</v>
      </c>
      <c r="Q68">
        <v>2</v>
      </c>
      <c r="R68">
        <v>7</v>
      </c>
      <c r="S68">
        <v>20</v>
      </c>
    </row>
    <row r="69" spans="1:19" x14ac:dyDescent="0.35">
      <c r="A69">
        <v>7716</v>
      </c>
      <c r="B69">
        <v>691</v>
      </c>
      <c r="C69" t="str">
        <f>VLOOKUP(B69,Kunde!A:C,3,FALSE)</f>
        <v>Geschäftskunde</v>
      </c>
      <c r="D69" t="str">
        <f>VLOOKUP(O69,Produkt!$A$1:$E$5,2,FALSE)</f>
        <v>B</v>
      </c>
      <c r="E69">
        <f t="shared" si="3"/>
        <v>144</v>
      </c>
      <c r="F69">
        <f>VLOOKUP(D69,Produkt!$B$1:$C$5,2,FALSE)*Bestellungen!E69</f>
        <v>69120</v>
      </c>
      <c r="G69" s="2">
        <v>44991</v>
      </c>
      <c r="H69" s="2">
        <f t="shared" si="4"/>
        <v>44993</v>
      </c>
      <c r="I69" s="2">
        <f t="shared" si="5"/>
        <v>45045</v>
      </c>
      <c r="J69" t="str">
        <f>VLOOKUP(M69,Umfragenteilnahme!$A$2:$B$3,2,)</f>
        <v>Ja</v>
      </c>
      <c r="M69">
        <v>1</v>
      </c>
      <c r="N69">
        <v>691</v>
      </c>
      <c r="O69">
        <v>2</v>
      </c>
      <c r="P69">
        <v>144</v>
      </c>
      <c r="Q69">
        <v>7</v>
      </c>
      <c r="R69">
        <v>2</v>
      </c>
      <c r="S69">
        <v>54</v>
      </c>
    </row>
    <row r="70" spans="1:19" x14ac:dyDescent="0.35">
      <c r="A70">
        <v>7717</v>
      </c>
      <c r="B70">
        <v>145</v>
      </c>
      <c r="C70" t="str">
        <f>VLOOKUP(B70,Kunde!A:C,3,FALSE)</f>
        <v>Geschäftskunde</v>
      </c>
      <c r="D70" t="str">
        <f>VLOOKUP(O70,Produkt!$A$1:$E$5,2,FALSE)</f>
        <v>D</v>
      </c>
      <c r="E70">
        <f t="shared" si="3"/>
        <v>137</v>
      </c>
      <c r="F70">
        <f>VLOOKUP(D70,Produkt!$B$1:$C$5,2,FALSE)*Bestellungen!E70</f>
        <v>109600</v>
      </c>
      <c r="G70" s="2">
        <v>44817</v>
      </c>
      <c r="H70" s="2">
        <f t="shared" si="4"/>
        <v>44824</v>
      </c>
      <c r="I70" s="2">
        <f t="shared" si="5"/>
        <v>44844</v>
      </c>
      <c r="J70" t="str">
        <f>VLOOKUP(M70,Umfragenteilnahme!$A$2:$B$3,2,)</f>
        <v>Ja</v>
      </c>
      <c r="M70">
        <v>1</v>
      </c>
      <c r="N70">
        <v>145</v>
      </c>
      <c r="O70">
        <v>4</v>
      </c>
      <c r="P70">
        <v>137</v>
      </c>
      <c r="Q70">
        <v>1</v>
      </c>
      <c r="R70">
        <v>7</v>
      </c>
      <c r="S70">
        <v>27</v>
      </c>
    </row>
    <row r="71" spans="1:19" x14ac:dyDescent="0.35">
      <c r="A71">
        <v>7718</v>
      </c>
      <c r="B71">
        <v>110</v>
      </c>
      <c r="C71" t="str">
        <f>VLOOKUP(B71,Kunde!A:C,3,FALSE)</f>
        <v>Privatkunde</v>
      </c>
      <c r="D71" t="str">
        <f>VLOOKUP(O71,Produkt!$A$1:$E$5,2,FALSE)</f>
        <v>C</v>
      </c>
      <c r="E71">
        <f t="shared" si="3"/>
        <v>8</v>
      </c>
      <c r="F71">
        <f>VLOOKUP(D71,Produkt!$B$1:$C$5,2,FALSE)*Bestellungen!E71</f>
        <v>12000</v>
      </c>
      <c r="G71" s="2">
        <v>44928</v>
      </c>
      <c r="H71" s="2">
        <f t="shared" si="4"/>
        <v>44934</v>
      </c>
      <c r="I71" s="2">
        <f t="shared" si="5"/>
        <v>44974</v>
      </c>
      <c r="J71" t="str">
        <f>VLOOKUP(M71,Umfragenteilnahme!$A$2:$B$3,2,)</f>
        <v>Nein</v>
      </c>
      <c r="M71">
        <v>2</v>
      </c>
      <c r="N71">
        <v>110</v>
      </c>
      <c r="O71">
        <v>3</v>
      </c>
      <c r="P71">
        <v>22</v>
      </c>
      <c r="Q71">
        <v>8</v>
      </c>
      <c r="R71">
        <v>6</v>
      </c>
      <c r="S71">
        <v>46</v>
      </c>
    </row>
    <row r="72" spans="1:19" x14ac:dyDescent="0.35">
      <c r="A72">
        <v>7719</v>
      </c>
      <c r="B72">
        <v>689</v>
      </c>
      <c r="C72" t="str">
        <f>VLOOKUP(B72,Kunde!A:C,3,FALSE)</f>
        <v>Geschäftskunde</v>
      </c>
      <c r="D72" t="str">
        <f>VLOOKUP(O72,Produkt!$A$1:$E$5,2,FALSE)</f>
        <v>D</v>
      </c>
      <c r="E72">
        <f t="shared" si="3"/>
        <v>120</v>
      </c>
      <c r="F72">
        <f>VLOOKUP(D72,Produkt!$B$1:$C$5,2,FALSE)*Bestellungen!E72</f>
        <v>96000</v>
      </c>
      <c r="G72" s="2">
        <v>44748</v>
      </c>
      <c r="H72" s="2">
        <f t="shared" si="4"/>
        <v>44755</v>
      </c>
      <c r="I72" s="2">
        <f t="shared" si="5"/>
        <v>44794</v>
      </c>
      <c r="J72" t="str">
        <f>VLOOKUP(M72,Umfragenteilnahme!$A$2:$B$3,2,)</f>
        <v>Nein</v>
      </c>
      <c r="M72">
        <v>2</v>
      </c>
      <c r="N72">
        <v>689</v>
      </c>
      <c r="O72">
        <v>4</v>
      </c>
      <c r="P72">
        <v>120</v>
      </c>
      <c r="Q72">
        <v>10</v>
      </c>
      <c r="R72">
        <v>7</v>
      </c>
      <c r="S72">
        <v>46</v>
      </c>
    </row>
    <row r="73" spans="1:19" x14ac:dyDescent="0.35">
      <c r="A73">
        <v>7720</v>
      </c>
      <c r="B73">
        <v>56</v>
      </c>
      <c r="C73" t="str">
        <f>VLOOKUP(B73,Kunde!A:C,3,FALSE)</f>
        <v>Geschäftskunde</v>
      </c>
      <c r="D73" t="str">
        <f>VLOOKUP(O73,Produkt!$A$1:$E$5,2,FALSE)</f>
        <v>B</v>
      </c>
      <c r="E73">
        <f t="shared" si="3"/>
        <v>90</v>
      </c>
      <c r="F73">
        <f>VLOOKUP(D73,Produkt!$B$1:$C$5,2,FALSE)*Bestellungen!E73</f>
        <v>43200</v>
      </c>
      <c r="G73" s="2">
        <v>44768</v>
      </c>
      <c r="H73" s="2">
        <f t="shared" si="4"/>
        <v>44775</v>
      </c>
      <c r="I73" s="2">
        <f t="shared" si="5"/>
        <v>44808</v>
      </c>
      <c r="J73" t="str">
        <f>VLOOKUP(M73,Umfragenteilnahme!$A$2:$B$3,2,)</f>
        <v>Ja</v>
      </c>
      <c r="M73">
        <v>1</v>
      </c>
      <c r="N73">
        <v>56</v>
      </c>
      <c r="O73">
        <v>2</v>
      </c>
      <c r="P73">
        <v>90</v>
      </c>
      <c r="Q73">
        <v>4</v>
      </c>
      <c r="R73">
        <v>7</v>
      </c>
      <c r="S73">
        <v>40</v>
      </c>
    </row>
    <row r="74" spans="1:19" x14ac:dyDescent="0.35">
      <c r="A74">
        <v>7721</v>
      </c>
      <c r="B74">
        <v>458</v>
      </c>
      <c r="C74" t="str">
        <f>VLOOKUP(B74,Kunde!A:C,3,FALSE)</f>
        <v>Privatkunde</v>
      </c>
      <c r="D74" t="str">
        <f>VLOOKUP(O74,Produkt!$A$1:$E$5,2,FALSE)</f>
        <v>A</v>
      </c>
      <c r="E74">
        <f t="shared" si="3"/>
        <v>7</v>
      </c>
      <c r="F74">
        <f>VLOOKUP(D74,Produkt!$B$1:$C$5,2,FALSE)*Bestellungen!E74</f>
        <v>2100</v>
      </c>
      <c r="G74" s="2">
        <v>44764</v>
      </c>
      <c r="H74" s="2">
        <f t="shared" si="4"/>
        <v>44767</v>
      </c>
      <c r="I74" s="2">
        <f t="shared" si="5"/>
        <v>44806</v>
      </c>
      <c r="J74" t="str">
        <f>VLOOKUP(M74,Umfragenteilnahme!$A$2:$B$3,2,)</f>
        <v>Nein</v>
      </c>
      <c r="M74">
        <v>2</v>
      </c>
      <c r="N74">
        <v>458</v>
      </c>
      <c r="O74">
        <v>1</v>
      </c>
      <c r="P74">
        <v>43</v>
      </c>
      <c r="Q74">
        <v>7</v>
      </c>
      <c r="R74">
        <v>3</v>
      </c>
      <c r="S74">
        <v>42</v>
      </c>
    </row>
    <row r="75" spans="1:19" x14ac:dyDescent="0.35">
      <c r="A75">
        <v>7722</v>
      </c>
      <c r="B75">
        <v>410</v>
      </c>
      <c r="C75" t="str">
        <f>VLOOKUP(B75,Kunde!A:C,3,FALSE)</f>
        <v>Geschäftskunde</v>
      </c>
      <c r="D75" t="str">
        <f>VLOOKUP(O75,Produkt!$A$1:$E$5,2,FALSE)</f>
        <v>C</v>
      </c>
      <c r="E75">
        <f t="shared" si="3"/>
        <v>123</v>
      </c>
      <c r="F75">
        <f>VLOOKUP(D75,Produkt!$B$1:$C$5,2,FALSE)*Bestellungen!E75</f>
        <v>184500</v>
      </c>
      <c r="G75" s="2">
        <v>45010</v>
      </c>
      <c r="H75" s="2">
        <f t="shared" si="4"/>
        <v>45013</v>
      </c>
      <c r="I75" s="2">
        <f t="shared" si="5"/>
        <v>45041</v>
      </c>
      <c r="J75" t="str">
        <f>VLOOKUP(M75,Umfragenteilnahme!$A$2:$B$3,2,)</f>
        <v>Ja</v>
      </c>
      <c r="M75">
        <v>1</v>
      </c>
      <c r="N75">
        <v>410</v>
      </c>
      <c r="O75">
        <v>3</v>
      </c>
      <c r="P75">
        <v>123</v>
      </c>
      <c r="Q75">
        <v>4</v>
      </c>
      <c r="R75">
        <v>3</v>
      </c>
      <c r="S75">
        <v>31</v>
      </c>
    </row>
    <row r="76" spans="1:19" x14ac:dyDescent="0.35">
      <c r="A76">
        <v>7723</v>
      </c>
      <c r="B76">
        <v>99</v>
      </c>
      <c r="C76" t="str">
        <f>VLOOKUP(B76,Kunde!A:C,3,FALSE)</f>
        <v>Privatkunde</v>
      </c>
      <c r="D76" t="str">
        <f>VLOOKUP(O76,Produkt!$A$1:$E$5,2,FALSE)</f>
        <v>D</v>
      </c>
      <c r="E76">
        <f t="shared" si="3"/>
        <v>2</v>
      </c>
      <c r="F76">
        <f>VLOOKUP(D76,Produkt!$B$1:$C$5,2,FALSE)*Bestellungen!E76</f>
        <v>1600</v>
      </c>
      <c r="G76" s="2">
        <v>44801</v>
      </c>
      <c r="H76" s="2">
        <f t="shared" si="4"/>
        <v>44806</v>
      </c>
      <c r="I76" s="2">
        <f t="shared" si="5"/>
        <v>44857</v>
      </c>
      <c r="J76" t="str">
        <f>VLOOKUP(M76,Umfragenteilnahme!$A$2:$B$3,2,)</f>
        <v>Ja</v>
      </c>
      <c r="M76">
        <v>1</v>
      </c>
      <c r="N76">
        <v>99</v>
      </c>
      <c r="O76">
        <v>4</v>
      </c>
      <c r="P76">
        <v>97</v>
      </c>
      <c r="Q76">
        <v>2</v>
      </c>
      <c r="R76">
        <v>5</v>
      </c>
      <c r="S76">
        <v>56</v>
      </c>
    </row>
    <row r="77" spans="1:19" x14ac:dyDescent="0.35">
      <c r="A77">
        <v>7724</v>
      </c>
      <c r="B77">
        <v>235</v>
      </c>
      <c r="C77" t="str">
        <f>VLOOKUP(B77,Kunde!A:C,3,FALSE)</f>
        <v>Geschäftskunde</v>
      </c>
      <c r="D77" t="str">
        <f>VLOOKUP(O77,Produkt!$A$1:$E$5,2,FALSE)</f>
        <v>B</v>
      </c>
      <c r="E77">
        <f t="shared" si="3"/>
        <v>52</v>
      </c>
      <c r="F77">
        <f>VLOOKUP(D77,Produkt!$B$1:$C$5,2,FALSE)*Bestellungen!E77</f>
        <v>24960</v>
      </c>
      <c r="G77" s="2">
        <v>45007</v>
      </c>
      <c r="H77" s="2">
        <f t="shared" si="4"/>
        <v>45009</v>
      </c>
      <c r="I77" s="2">
        <f t="shared" si="5"/>
        <v>45056</v>
      </c>
      <c r="J77" t="str">
        <f>VLOOKUP(M77,Umfragenteilnahme!$A$2:$B$3,2,)</f>
        <v>Ja</v>
      </c>
      <c r="M77">
        <v>1</v>
      </c>
      <c r="N77">
        <v>235</v>
      </c>
      <c r="O77">
        <v>2</v>
      </c>
      <c r="P77">
        <v>52</v>
      </c>
      <c r="Q77">
        <v>6</v>
      </c>
      <c r="R77">
        <v>2</v>
      </c>
      <c r="S77">
        <v>49</v>
      </c>
    </row>
    <row r="78" spans="1:19" x14ac:dyDescent="0.35">
      <c r="A78">
        <v>7725</v>
      </c>
      <c r="B78">
        <v>33</v>
      </c>
      <c r="C78" t="str">
        <f>VLOOKUP(B78,Kunde!A:C,3,FALSE)</f>
        <v>Geschäftskunde</v>
      </c>
      <c r="D78" t="str">
        <f>VLOOKUP(O78,Produkt!$A$1:$E$5,2,FALSE)</f>
        <v>A</v>
      </c>
      <c r="E78">
        <f t="shared" si="3"/>
        <v>42</v>
      </c>
      <c r="F78">
        <f>VLOOKUP(D78,Produkt!$B$1:$C$5,2,FALSE)*Bestellungen!E78</f>
        <v>12600</v>
      </c>
      <c r="G78" s="2">
        <v>44844</v>
      </c>
      <c r="H78" s="2">
        <f t="shared" si="4"/>
        <v>44846</v>
      </c>
      <c r="I78" s="2">
        <f t="shared" si="5"/>
        <v>44850</v>
      </c>
      <c r="J78" t="str">
        <f>VLOOKUP(M78,Umfragenteilnahme!$A$2:$B$3,2,)</f>
        <v>Ja</v>
      </c>
      <c r="M78">
        <v>1</v>
      </c>
      <c r="N78">
        <v>33</v>
      </c>
      <c r="O78">
        <v>1</v>
      </c>
      <c r="P78">
        <v>42</v>
      </c>
      <c r="Q78">
        <v>5</v>
      </c>
      <c r="R78">
        <v>2</v>
      </c>
      <c r="S78">
        <v>6</v>
      </c>
    </row>
    <row r="79" spans="1:19" x14ac:dyDescent="0.35">
      <c r="A79">
        <v>7726</v>
      </c>
      <c r="B79">
        <v>284</v>
      </c>
      <c r="C79" t="str">
        <f>VLOOKUP(B79,Kunde!A:C,3,FALSE)</f>
        <v>Geschäftskunde</v>
      </c>
      <c r="D79" t="str">
        <f>VLOOKUP(O79,Produkt!$A$1:$E$5,2,FALSE)</f>
        <v>D</v>
      </c>
      <c r="E79">
        <f t="shared" si="3"/>
        <v>60</v>
      </c>
      <c r="F79">
        <f>VLOOKUP(D79,Produkt!$B$1:$C$5,2,FALSE)*Bestellungen!E79</f>
        <v>48000</v>
      </c>
      <c r="G79" s="2">
        <v>44764</v>
      </c>
      <c r="H79" s="2">
        <f t="shared" si="4"/>
        <v>44768</v>
      </c>
      <c r="I79" s="2">
        <f t="shared" si="5"/>
        <v>44769</v>
      </c>
      <c r="J79" t="str">
        <f>VLOOKUP(M79,Umfragenteilnahme!$A$2:$B$3,2,)</f>
        <v>Nein</v>
      </c>
      <c r="M79">
        <v>2</v>
      </c>
      <c r="N79">
        <v>284</v>
      </c>
      <c r="O79">
        <v>4</v>
      </c>
      <c r="P79">
        <v>60</v>
      </c>
      <c r="Q79">
        <v>8</v>
      </c>
      <c r="R79">
        <v>4</v>
      </c>
      <c r="S79">
        <v>5</v>
      </c>
    </row>
    <row r="80" spans="1:19" x14ac:dyDescent="0.35">
      <c r="A80">
        <v>7727</v>
      </c>
      <c r="B80">
        <v>549</v>
      </c>
      <c r="C80" t="str">
        <f>VLOOKUP(B80,Kunde!A:C,3,FALSE)</f>
        <v>Privatkunde</v>
      </c>
      <c r="D80" t="str">
        <f>VLOOKUP(O80,Produkt!$A$1:$E$5,2,FALSE)</f>
        <v>A</v>
      </c>
      <c r="E80">
        <f t="shared" si="3"/>
        <v>8</v>
      </c>
      <c r="F80">
        <f>VLOOKUP(D80,Produkt!$B$1:$C$5,2,FALSE)*Bestellungen!E80</f>
        <v>2400</v>
      </c>
      <c r="G80" s="2">
        <v>44935</v>
      </c>
      <c r="H80" s="2">
        <f t="shared" si="4"/>
        <v>44938</v>
      </c>
      <c r="I80" s="2">
        <f t="shared" si="5"/>
        <v>44947</v>
      </c>
      <c r="J80" t="str">
        <f>VLOOKUP(M80,Umfragenteilnahme!$A$2:$B$3,2,)</f>
        <v>Nein</v>
      </c>
      <c r="M80">
        <v>2</v>
      </c>
      <c r="N80">
        <v>549</v>
      </c>
      <c r="O80">
        <v>1</v>
      </c>
      <c r="P80">
        <v>62</v>
      </c>
      <c r="Q80">
        <v>8</v>
      </c>
      <c r="R80">
        <v>3</v>
      </c>
      <c r="S80">
        <v>12</v>
      </c>
    </row>
    <row r="81" spans="1:19" x14ac:dyDescent="0.35">
      <c r="A81">
        <v>7728</v>
      </c>
      <c r="B81">
        <v>135</v>
      </c>
      <c r="C81" t="str">
        <f>VLOOKUP(B81,Kunde!A:C,3,FALSE)</f>
        <v>Geschäftskunde</v>
      </c>
      <c r="D81" t="str">
        <f>VLOOKUP(O81,Produkt!$A$1:$E$5,2,FALSE)</f>
        <v>B</v>
      </c>
      <c r="E81">
        <f t="shared" si="3"/>
        <v>61</v>
      </c>
      <c r="F81">
        <f>VLOOKUP(D81,Produkt!$B$1:$C$5,2,FALSE)*Bestellungen!E81</f>
        <v>29280</v>
      </c>
      <c r="G81" s="2">
        <v>45031</v>
      </c>
      <c r="H81" s="2">
        <f t="shared" si="4"/>
        <v>45034</v>
      </c>
      <c r="I81" s="2">
        <f t="shared" si="5"/>
        <v>45038</v>
      </c>
      <c r="J81" t="str">
        <f>VLOOKUP(M81,Umfragenteilnahme!$A$2:$B$3,2,)</f>
        <v>Nein</v>
      </c>
      <c r="M81">
        <v>2</v>
      </c>
      <c r="N81">
        <v>135</v>
      </c>
      <c r="O81">
        <v>2</v>
      </c>
      <c r="P81">
        <v>61</v>
      </c>
      <c r="Q81">
        <v>1</v>
      </c>
      <c r="R81">
        <v>3</v>
      </c>
      <c r="S81">
        <v>7</v>
      </c>
    </row>
    <row r="82" spans="1:19" x14ac:dyDescent="0.35">
      <c r="A82">
        <v>7729</v>
      </c>
      <c r="B82">
        <v>164</v>
      </c>
      <c r="C82" t="str">
        <f>VLOOKUP(B82,Kunde!A:C,3,FALSE)</f>
        <v>Geschäftskunde</v>
      </c>
      <c r="D82" t="str">
        <f>VLOOKUP(O82,Produkt!$A$1:$E$5,2,FALSE)</f>
        <v>A</v>
      </c>
      <c r="E82">
        <f t="shared" si="3"/>
        <v>147</v>
      </c>
      <c r="F82">
        <f>VLOOKUP(D82,Produkt!$B$1:$C$5,2,FALSE)*Bestellungen!E82</f>
        <v>44100</v>
      </c>
      <c r="G82" s="2">
        <v>44836</v>
      </c>
      <c r="H82" s="2">
        <f t="shared" si="4"/>
        <v>44842</v>
      </c>
      <c r="I82" s="2">
        <f t="shared" si="5"/>
        <v>44863</v>
      </c>
      <c r="J82" t="str">
        <f>VLOOKUP(M82,Umfragenteilnahme!$A$2:$B$3,2,)</f>
        <v>Nein</v>
      </c>
      <c r="M82">
        <v>2</v>
      </c>
      <c r="N82">
        <v>164</v>
      </c>
      <c r="O82">
        <v>1</v>
      </c>
      <c r="P82">
        <v>147</v>
      </c>
      <c r="Q82">
        <v>4</v>
      </c>
      <c r="R82">
        <v>6</v>
      </c>
      <c r="S82">
        <v>27</v>
      </c>
    </row>
    <row r="83" spans="1:19" x14ac:dyDescent="0.35">
      <c r="A83">
        <v>7730</v>
      </c>
      <c r="B83">
        <v>274</v>
      </c>
      <c r="C83" t="str">
        <f>VLOOKUP(B83,Kunde!A:C,3,FALSE)</f>
        <v>Geschäftskunde</v>
      </c>
      <c r="D83" t="str">
        <f>VLOOKUP(O83,Produkt!$A$1:$E$5,2,FALSE)</f>
        <v>A</v>
      </c>
      <c r="E83">
        <f t="shared" si="3"/>
        <v>43</v>
      </c>
      <c r="F83">
        <f>VLOOKUP(D83,Produkt!$B$1:$C$5,2,FALSE)*Bestellungen!E83</f>
        <v>12900</v>
      </c>
      <c r="G83" s="2">
        <v>44868</v>
      </c>
      <c r="H83" s="2">
        <f t="shared" si="4"/>
        <v>44871</v>
      </c>
      <c r="I83" s="2">
        <f t="shared" si="5"/>
        <v>44876</v>
      </c>
      <c r="J83" t="str">
        <f>VLOOKUP(M83,Umfragenteilnahme!$A$2:$B$3,2,)</f>
        <v>Ja</v>
      </c>
      <c r="M83">
        <v>1</v>
      </c>
      <c r="N83">
        <v>274</v>
      </c>
      <c r="O83">
        <v>1</v>
      </c>
      <c r="P83">
        <v>43</v>
      </c>
      <c r="Q83">
        <v>7</v>
      </c>
      <c r="R83">
        <v>3</v>
      </c>
      <c r="S83">
        <v>8</v>
      </c>
    </row>
    <row r="84" spans="1:19" x14ac:dyDescent="0.35">
      <c r="A84">
        <v>7731</v>
      </c>
      <c r="B84">
        <v>598</v>
      </c>
      <c r="C84" t="str">
        <f>VLOOKUP(B84,Kunde!A:C,3,FALSE)</f>
        <v>Geschäftskunde</v>
      </c>
      <c r="D84" t="str">
        <f>VLOOKUP(O84,Produkt!$A$1:$E$5,2,FALSE)</f>
        <v>A</v>
      </c>
      <c r="E84">
        <f t="shared" si="3"/>
        <v>87</v>
      </c>
      <c r="F84">
        <f>VLOOKUP(D84,Produkt!$B$1:$C$5,2,FALSE)*Bestellungen!E84</f>
        <v>26100</v>
      </c>
      <c r="G84" s="2">
        <v>44865</v>
      </c>
      <c r="H84" s="2">
        <f t="shared" si="4"/>
        <v>44870</v>
      </c>
      <c r="I84" s="2">
        <f t="shared" si="5"/>
        <v>44892</v>
      </c>
      <c r="J84" t="str">
        <f>VLOOKUP(M84,Umfragenteilnahme!$A$2:$B$3,2,)</f>
        <v>Nein</v>
      </c>
      <c r="M84">
        <v>2</v>
      </c>
      <c r="N84">
        <v>598</v>
      </c>
      <c r="O84">
        <v>1</v>
      </c>
      <c r="P84">
        <v>87</v>
      </c>
      <c r="Q84">
        <v>5</v>
      </c>
      <c r="R84">
        <v>5</v>
      </c>
      <c r="S84">
        <v>27</v>
      </c>
    </row>
    <row r="85" spans="1:19" x14ac:dyDescent="0.35">
      <c r="A85">
        <v>7732</v>
      </c>
      <c r="B85">
        <v>298</v>
      </c>
      <c r="C85" t="str">
        <f>VLOOKUP(B85,Kunde!A:C,3,FALSE)</f>
        <v>Geschäftskunde</v>
      </c>
      <c r="D85" t="str">
        <f>VLOOKUP(O85,Produkt!$A$1:$E$5,2,FALSE)</f>
        <v>B</v>
      </c>
      <c r="E85">
        <f t="shared" si="3"/>
        <v>34</v>
      </c>
      <c r="F85">
        <f>VLOOKUP(D85,Produkt!$B$1:$C$5,2,FALSE)*Bestellungen!E85</f>
        <v>16320</v>
      </c>
      <c r="G85" s="2">
        <v>44743</v>
      </c>
      <c r="H85" s="2">
        <f t="shared" si="4"/>
        <v>44748</v>
      </c>
      <c r="I85" s="2">
        <f t="shared" si="5"/>
        <v>44780</v>
      </c>
      <c r="J85" t="str">
        <f>VLOOKUP(M85,Umfragenteilnahme!$A$2:$B$3,2,)</f>
        <v>Nein</v>
      </c>
      <c r="M85">
        <v>2</v>
      </c>
      <c r="N85">
        <v>298</v>
      </c>
      <c r="O85">
        <v>2</v>
      </c>
      <c r="P85">
        <v>34</v>
      </c>
      <c r="Q85">
        <v>7</v>
      </c>
      <c r="R85">
        <v>5</v>
      </c>
      <c r="S85">
        <v>37</v>
      </c>
    </row>
    <row r="86" spans="1:19" x14ac:dyDescent="0.35">
      <c r="A86">
        <v>7733</v>
      </c>
      <c r="B86">
        <v>446</v>
      </c>
      <c r="C86" t="str">
        <f>VLOOKUP(B86,Kunde!A:C,3,FALSE)</f>
        <v>Geschäftskunde</v>
      </c>
      <c r="D86" t="str">
        <f>VLOOKUP(O86,Produkt!$A$1:$E$5,2,FALSE)</f>
        <v>C</v>
      </c>
      <c r="E86">
        <f t="shared" si="3"/>
        <v>82</v>
      </c>
      <c r="F86">
        <f>VLOOKUP(D86,Produkt!$B$1:$C$5,2,FALSE)*Bestellungen!E86</f>
        <v>123000</v>
      </c>
      <c r="G86" s="2">
        <v>44823</v>
      </c>
      <c r="H86" s="2">
        <f t="shared" si="4"/>
        <v>44826</v>
      </c>
      <c r="I86" s="2">
        <f t="shared" si="5"/>
        <v>44857</v>
      </c>
      <c r="J86" t="str">
        <f>VLOOKUP(M86,Umfragenteilnahme!$A$2:$B$3,2,)</f>
        <v>Nein</v>
      </c>
      <c r="M86">
        <v>2</v>
      </c>
      <c r="N86">
        <v>446</v>
      </c>
      <c r="O86">
        <v>3</v>
      </c>
      <c r="P86">
        <v>82</v>
      </c>
      <c r="Q86">
        <v>10</v>
      </c>
      <c r="R86">
        <v>3</v>
      </c>
      <c r="S86">
        <v>34</v>
      </c>
    </row>
    <row r="87" spans="1:19" x14ac:dyDescent="0.35">
      <c r="A87">
        <v>7734</v>
      </c>
      <c r="B87">
        <v>659</v>
      </c>
      <c r="C87" t="str">
        <f>VLOOKUP(B87,Kunde!A:C,3,FALSE)</f>
        <v>Privatkunde</v>
      </c>
      <c r="D87" t="str">
        <f>VLOOKUP(O87,Produkt!$A$1:$E$5,2,FALSE)</f>
        <v>B</v>
      </c>
      <c r="E87">
        <f t="shared" si="3"/>
        <v>6</v>
      </c>
      <c r="F87">
        <f>VLOOKUP(D87,Produkt!$B$1:$C$5,2,FALSE)*Bestellungen!E87</f>
        <v>2880</v>
      </c>
      <c r="G87" s="2">
        <v>44790</v>
      </c>
      <c r="H87" s="2">
        <f t="shared" si="4"/>
        <v>44793</v>
      </c>
      <c r="I87" s="2">
        <f t="shared" si="5"/>
        <v>44826</v>
      </c>
      <c r="J87" t="str">
        <f>VLOOKUP(M87,Umfragenteilnahme!$A$2:$B$3,2,)</f>
        <v>Ja</v>
      </c>
      <c r="M87">
        <v>1</v>
      </c>
      <c r="N87">
        <v>659</v>
      </c>
      <c r="O87">
        <v>2</v>
      </c>
      <c r="P87">
        <v>26</v>
      </c>
      <c r="Q87">
        <v>6</v>
      </c>
      <c r="R87">
        <v>3</v>
      </c>
      <c r="S87">
        <v>36</v>
      </c>
    </row>
    <row r="88" spans="1:19" x14ac:dyDescent="0.35">
      <c r="A88">
        <v>7735</v>
      </c>
      <c r="B88">
        <v>531</v>
      </c>
      <c r="C88" t="str">
        <f>VLOOKUP(B88,Kunde!A:C,3,FALSE)</f>
        <v>Geschäftskunde</v>
      </c>
      <c r="D88" t="str">
        <f>VLOOKUP(O88,Produkt!$A$1:$E$5,2,FALSE)</f>
        <v>D</v>
      </c>
      <c r="E88">
        <f t="shared" si="3"/>
        <v>22</v>
      </c>
      <c r="F88">
        <f>VLOOKUP(D88,Produkt!$B$1:$C$5,2,FALSE)*Bestellungen!E88</f>
        <v>17600</v>
      </c>
      <c r="G88" s="2">
        <v>44826</v>
      </c>
      <c r="H88" s="2">
        <f t="shared" si="4"/>
        <v>44829</v>
      </c>
      <c r="I88" s="2">
        <f t="shared" si="5"/>
        <v>44836</v>
      </c>
      <c r="J88" t="str">
        <f>VLOOKUP(M88,Umfragenteilnahme!$A$2:$B$3,2,)</f>
        <v>Ja</v>
      </c>
      <c r="M88">
        <v>1</v>
      </c>
      <c r="N88">
        <v>531</v>
      </c>
      <c r="O88">
        <v>4</v>
      </c>
      <c r="P88">
        <v>22</v>
      </c>
      <c r="Q88">
        <v>9</v>
      </c>
      <c r="R88">
        <v>3</v>
      </c>
      <c r="S88">
        <v>10</v>
      </c>
    </row>
    <row r="89" spans="1:19" x14ac:dyDescent="0.35">
      <c r="A89">
        <v>7736</v>
      </c>
      <c r="B89">
        <v>450</v>
      </c>
      <c r="C89" t="str">
        <f>VLOOKUP(B89,Kunde!A:C,3,FALSE)</f>
        <v>Geschäftskunde</v>
      </c>
      <c r="D89" t="str">
        <f>VLOOKUP(O89,Produkt!$A$1:$E$5,2,FALSE)</f>
        <v>D</v>
      </c>
      <c r="E89">
        <f t="shared" si="3"/>
        <v>86</v>
      </c>
      <c r="F89">
        <f>VLOOKUP(D89,Produkt!$B$1:$C$5,2,FALSE)*Bestellungen!E89</f>
        <v>68800</v>
      </c>
      <c r="G89" s="2">
        <v>45073</v>
      </c>
      <c r="H89" s="2">
        <f t="shared" si="4"/>
        <v>45077</v>
      </c>
      <c r="I89" s="2">
        <f t="shared" si="5"/>
        <v>45118</v>
      </c>
      <c r="J89" t="str">
        <f>VLOOKUP(M89,Umfragenteilnahme!$A$2:$B$3,2,)</f>
        <v>Ja</v>
      </c>
      <c r="M89">
        <v>1</v>
      </c>
      <c r="N89">
        <v>450</v>
      </c>
      <c r="O89">
        <v>4</v>
      </c>
      <c r="P89">
        <v>86</v>
      </c>
      <c r="Q89">
        <v>8</v>
      </c>
      <c r="R89">
        <v>4</v>
      </c>
      <c r="S89">
        <v>45</v>
      </c>
    </row>
    <row r="90" spans="1:19" x14ac:dyDescent="0.35">
      <c r="A90">
        <v>7737</v>
      </c>
      <c r="B90">
        <v>218</v>
      </c>
      <c r="C90" t="str">
        <f>VLOOKUP(B90,Kunde!A:C,3,FALSE)</f>
        <v>Geschäftskunde</v>
      </c>
      <c r="D90" t="str">
        <f>VLOOKUP(O90,Produkt!$A$1:$E$5,2,FALSE)</f>
        <v>D</v>
      </c>
      <c r="E90">
        <f t="shared" si="3"/>
        <v>31</v>
      </c>
      <c r="F90">
        <f>VLOOKUP(D90,Produkt!$B$1:$C$5,2,FALSE)*Bestellungen!E90</f>
        <v>24800</v>
      </c>
      <c r="G90" s="2">
        <v>44861</v>
      </c>
      <c r="H90" s="2">
        <f t="shared" si="4"/>
        <v>44863</v>
      </c>
      <c r="I90" s="2">
        <f t="shared" si="5"/>
        <v>44918</v>
      </c>
      <c r="J90" t="str">
        <f>VLOOKUP(M90,Umfragenteilnahme!$A$2:$B$3,2,)</f>
        <v>Ja</v>
      </c>
      <c r="M90">
        <v>1</v>
      </c>
      <c r="N90">
        <v>218</v>
      </c>
      <c r="O90">
        <v>4</v>
      </c>
      <c r="P90">
        <v>31</v>
      </c>
      <c r="Q90">
        <v>6</v>
      </c>
      <c r="R90">
        <v>2</v>
      </c>
      <c r="S90">
        <v>57</v>
      </c>
    </row>
    <row r="91" spans="1:19" x14ac:dyDescent="0.35">
      <c r="A91">
        <v>7738</v>
      </c>
      <c r="B91">
        <v>671</v>
      </c>
      <c r="C91" t="str">
        <f>VLOOKUP(B91,Kunde!A:C,3,FALSE)</f>
        <v>Geschäftskunde</v>
      </c>
      <c r="D91" t="str">
        <f>VLOOKUP(O91,Produkt!$A$1:$E$5,2,FALSE)</f>
        <v>C</v>
      </c>
      <c r="E91">
        <f t="shared" si="3"/>
        <v>140</v>
      </c>
      <c r="F91">
        <f>VLOOKUP(D91,Produkt!$B$1:$C$5,2,FALSE)*Bestellungen!E91</f>
        <v>210000</v>
      </c>
      <c r="G91" s="2">
        <v>44965</v>
      </c>
      <c r="H91" s="2">
        <f t="shared" si="4"/>
        <v>44967</v>
      </c>
      <c r="I91" s="2">
        <f t="shared" si="5"/>
        <v>45001</v>
      </c>
      <c r="J91" t="str">
        <f>VLOOKUP(M91,Umfragenteilnahme!$A$2:$B$3,2,)</f>
        <v>Nein</v>
      </c>
      <c r="M91">
        <v>2</v>
      </c>
      <c r="N91">
        <v>671</v>
      </c>
      <c r="O91">
        <v>3</v>
      </c>
      <c r="P91">
        <v>140</v>
      </c>
      <c r="Q91">
        <v>6</v>
      </c>
      <c r="R91">
        <v>2</v>
      </c>
      <c r="S91">
        <v>36</v>
      </c>
    </row>
    <row r="92" spans="1:19" x14ac:dyDescent="0.35">
      <c r="A92">
        <v>7739</v>
      </c>
      <c r="B92">
        <v>98</v>
      </c>
      <c r="C92" t="str">
        <f>VLOOKUP(B92,Kunde!A:C,3,FALSE)</f>
        <v>Geschäftskunde</v>
      </c>
      <c r="D92" t="str">
        <f>VLOOKUP(O92,Produkt!$A$1:$E$5,2,FALSE)</f>
        <v>C</v>
      </c>
      <c r="E92">
        <f t="shared" si="3"/>
        <v>129</v>
      </c>
      <c r="F92">
        <f>VLOOKUP(D92,Produkt!$B$1:$C$5,2,FALSE)*Bestellungen!E92</f>
        <v>193500</v>
      </c>
      <c r="G92" s="2">
        <v>44888</v>
      </c>
      <c r="H92" s="2">
        <f t="shared" si="4"/>
        <v>44891</v>
      </c>
      <c r="I92" s="2">
        <f t="shared" si="5"/>
        <v>44924</v>
      </c>
      <c r="J92" t="str">
        <f>VLOOKUP(M92,Umfragenteilnahme!$A$2:$B$3,2,)</f>
        <v>Ja</v>
      </c>
      <c r="M92">
        <v>1</v>
      </c>
      <c r="N92">
        <v>98</v>
      </c>
      <c r="O92">
        <v>3</v>
      </c>
      <c r="P92">
        <v>129</v>
      </c>
      <c r="Q92">
        <v>1</v>
      </c>
      <c r="R92">
        <v>3</v>
      </c>
      <c r="S92">
        <v>36</v>
      </c>
    </row>
    <row r="93" spans="1:19" x14ac:dyDescent="0.35">
      <c r="A93">
        <v>7740</v>
      </c>
      <c r="B93">
        <v>105</v>
      </c>
      <c r="C93" t="str">
        <f>VLOOKUP(B93,Kunde!A:C,3,FALSE)</f>
        <v>Geschäftskunde</v>
      </c>
      <c r="D93" t="str">
        <f>VLOOKUP(O93,Produkt!$A$1:$E$5,2,FALSE)</f>
        <v>D</v>
      </c>
      <c r="E93">
        <f t="shared" si="3"/>
        <v>29</v>
      </c>
      <c r="F93">
        <f>VLOOKUP(D93,Produkt!$B$1:$C$5,2,FALSE)*Bestellungen!E93</f>
        <v>23200</v>
      </c>
      <c r="G93" s="2">
        <v>44723</v>
      </c>
      <c r="H93" s="2">
        <f t="shared" si="4"/>
        <v>44727</v>
      </c>
      <c r="I93" s="2">
        <f t="shared" si="5"/>
        <v>44726</v>
      </c>
      <c r="J93" t="str">
        <f>VLOOKUP(M93,Umfragenteilnahme!$A$2:$B$3,2,)</f>
        <v>Nein</v>
      </c>
      <c r="M93">
        <v>2</v>
      </c>
      <c r="N93">
        <v>105</v>
      </c>
      <c r="O93">
        <v>4</v>
      </c>
      <c r="P93">
        <v>29</v>
      </c>
      <c r="Q93">
        <v>1</v>
      </c>
      <c r="R93">
        <v>4</v>
      </c>
      <c r="S93">
        <v>3</v>
      </c>
    </row>
    <row r="94" spans="1:19" x14ac:dyDescent="0.35">
      <c r="A94">
        <v>7741</v>
      </c>
      <c r="B94">
        <v>560</v>
      </c>
      <c r="C94" t="str">
        <f>VLOOKUP(B94,Kunde!A:C,3,FALSE)</f>
        <v>Privatkunde</v>
      </c>
      <c r="D94" t="str">
        <f>VLOOKUP(O94,Produkt!$A$1:$E$5,2,FALSE)</f>
        <v>B</v>
      </c>
      <c r="E94">
        <f t="shared" si="3"/>
        <v>6</v>
      </c>
      <c r="F94">
        <f>VLOOKUP(D94,Produkt!$B$1:$C$5,2,FALSE)*Bestellungen!E94</f>
        <v>2880</v>
      </c>
      <c r="G94" s="2">
        <v>44740</v>
      </c>
      <c r="H94" s="2">
        <f t="shared" si="4"/>
        <v>44746</v>
      </c>
      <c r="I94" s="2">
        <f t="shared" si="5"/>
        <v>44797</v>
      </c>
      <c r="J94" t="str">
        <f>VLOOKUP(M94,Umfragenteilnahme!$A$2:$B$3,2,)</f>
        <v>Nein</v>
      </c>
      <c r="M94">
        <v>2</v>
      </c>
      <c r="N94">
        <v>560</v>
      </c>
      <c r="O94">
        <v>2</v>
      </c>
      <c r="P94">
        <v>68</v>
      </c>
      <c r="Q94">
        <v>6</v>
      </c>
      <c r="R94">
        <v>6</v>
      </c>
      <c r="S94">
        <v>57</v>
      </c>
    </row>
    <row r="95" spans="1:19" x14ac:dyDescent="0.35">
      <c r="A95">
        <v>7742</v>
      </c>
      <c r="B95">
        <v>424</v>
      </c>
      <c r="C95" t="str">
        <f>VLOOKUP(B95,Kunde!A:C,3,FALSE)</f>
        <v>Privatkunde</v>
      </c>
      <c r="D95" t="str">
        <f>VLOOKUP(O95,Produkt!$A$1:$E$5,2,FALSE)</f>
        <v>C</v>
      </c>
      <c r="E95">
        <f t="shared" si="3"/>
        <v>5</v>
      </c>
      <c r="F95">
        <f>VLOOKUP(D95,Produkt!$B$1:$C$5,2,FALSE)*Bestellungen!E95</f>
        <v>7500</v>
      </c>
      <c r="G95" s="2">
        <v>44962</v>
      </c>
      <c r="H95" s="2">
        <f t="shared" si="4"/>
        <v>44968</v>
      </c>
      <c r="I95" s="2">
        <f t="shared" si="5"/>
        <v>44969</v>
      </c>
      <c r="J95" t="str">
        <f>VLOOKUP(M95,Umfragenteilnahme!$A$2:$B$3,2,)</f>
        <v>Ja</v>
      </c>
      <c r="M95">
        <v>1</v>
      </c>
      <c r="N95">
        <v>424</v>
      </c>
      <c r="O95">
        <v>3</v>
      </c>
      <c r="P95">
        <v>87</v>
      </c>
      <c r="Q95">
        <v>5</v>
      </c>
      <c r="R95">
        <v>6</v>
      </c>
      <c r="S95">
        <v>7</v>
      </c>
    </row>
    <row r="96" spans="1:19" x14ac:dyDescent="0.35">
      <c r="A96">
        <v>7743</v>
      </c>
      <c r="B96">
        <v>663</v>
      </c>
      <c r="C96" t="str">
        <f>VLOOKUP(B96,Kunde!A:C,3,FALSE)</f>
        <v>Privatkunde</v>
      </c>
      <c r="D96" t="str">
        <f>VLOOKUP(O96,Produkt!$A$1:$E$5,2,FALSE)</f>
        <v>C</v>
      </c>
      <c r="E96">
        <f t="shared" si="3"/>
        <v>3</v>
      </c>
      <c r="F96">
        <f>VLOOKUP(D96,Produkt!$B$1:$C$5,2,FALSE)*Bestellungen!E96</f>
        <v>4500</v>
      </c>
      <c r="G96" s="2">
        <v>45000</v>
      </c>
      <c r="H96" s="2">
        <f t="shared" si="4"/>
        <v>45005</v>
      </c>
      <c r="I96" s="2">
        <f t="shared" si="5"/>
        <v>45019</v>
      </c>
      <c r="J96" t="str">
        <f>VLOOKUP(M96,Umfragenteilnahme!$A$2:$B$3,2,)</f>
        <v>Nein</v>
      </c>
      <c r="M96">
        <v>2</v>
      </c>
      <c r="N96">
        <v>663</v>
      </c>
      <c r="O96">
        <v>3</v>
      </c>
      <c r="P96">
        <v>73</v>
      </c>
      <c r="Q96">
        <v>3</v>
      </c>
      <c r="R96">
        <v>5</v>
      </c>
      <c r="S96">
        <v>19</v>
      </c>
    </row>
    <row r="97" spans="1:19" x14ac:dyDescent="0.35">
      <c r="A97">
        <v>7744</v>
      </c>
      <c r="B97">
        <v>250</v>
      </c>
      <c r="C97" t="str">
        <f>VLOOKUP(B97,Kunde!A:C,3,FALSE)</f>
        <v>Geschäftskunde</v>
      </c>
      <c r="D97" t="str">
        <f>VLOOKUP(O97,Produkt!$A$1:$E$5,2,FALSE)</f>
        <v>B</v>
      </c>
      <c r="E97">
        <f t="shared" si="3"/>
        <v>149</v>
      </c>
      <c r="F97">
        <f>VLOOKUP(D97,Produkt!$B$1:$C$5,2,FALSE)*Bestellungen!E97</f>
        <v>71520</v>
      </c>
      <c r="G97" s="2">
        <v>44983</v>
      </c>
      <c r="H97" s="2">
        <f t="shared" si="4"/>
        <v>44989</v>
      </c>
      <c r="I97" s="2">
        <f t="shared" si="5"/>
        <v>45034</v>
      </c>
      <c r="J97" t="str">
        <f>VLOOKUP(M97,Umfragenteilnahme!$A$2:$B$3,2,)</f>
        <v>Ja</v>
      </c>
      <c r="M97">
        <v>1</v>
      </c>
      <c r="N97">
        <v>250</v>
      </c>
      <c r="O97">
        <v>2</v>
      </c>
      <c r="P97">
        <v>149</v>
      </c>
      <c r="Q97">
        <v>5</v>
      </c>
      <c r="R97">
        <v>6</v>
      </c>
      <c r="S97">
        <v>51</v>
      </c>
    </row>
    <row r="98" spans="1:19" x14ac:dyDescent="0.35">
      <c r="A98">
        <v>7745</v>
      </c>
      <c r="B98">
        <v>193</v>
      </c>
      <c r="C98" t="str">
        <f>VLOOKUP(B98,Kunde!A:C,3,FALSE)</f>
        <v>Geschäftskunde</v>
      </c>
      <c r="D98" t="str">
        <f>VLOOKUP(O98,Produkt!$A$1:$E$5,2,FALSE)</f>
        <v>D</v>
      </c>
      <c r="E98">
        <f t="shared" si="3"/>
        <v>126</v>
      </c>
      <c r="F98">
        <f>VLOOKUP(D98,Produkt!$B$1:$C$5,2,FALSE)*Bestellungen!E98</f>
        <v>100800</v>
      </c>
      <c r="G98" s="2">
        <v>44926</v>
      </c>
      <c r="H98" s="2">
        <f t="shared" si="4"/>
        <v>44930</v>
      </c>
      <c r="I98" s="2">
        <f t="shared" si="5"/>
        <v>44947</v>
      </c>
      <c r="J98" t="str">
        <f>VLOOKUP(M98,Umfragenteilnahme!$A$2:$B$3,2,)</f>
        <v>Nein</v>
      </c>
      <c r="M98">
        <v>2</v>
      </c>
      <c r="N98">
        <v>193</v>
      </c>
      <c r="O98">
        <v>4</v>
      </c>
      <c r="P98">
        <v>126</v>
      </c>
      <c r="Q98">
        <v>10</v>
      </c>
      <c r="R98">
        <v>4</v>
      </c>
      <c r="S98">
        <v>21</v>
      </c>
    </row>
    <row r="99" spans="1:19" x14ac:dyDescent="0.35">
      <c r="A99">
        <v>7746</v>
      </c>
      <c r="B99">
        <v>63</v>
      </c>
      <c r="C99" t="str">
        <f>VLOOKUP(B99,Kunde!A:C,3,FALSE)</f>
        <v>Geschäftskunde</v>
      </c>
      <c r="D99" t="str">
        <f>VLOOKUP(O99,Produkt!$A$1:$E$5,2,FALSE)</f>
        <v>B</v>
      </c>
      <c r="E99">
        <f t="shared" si="3"/>
        <v>82</v>
      </c>
      <c r="F99">
        <f>VLOOKUP(D99,Produkt!$B$1:$C$5,2,FALSE)*Bestellungen!E99</f>
        <v>39360</v>
      </c>
      <c r="G99" s="2">
        <v>44978</v>
      </c>
      <c r="H99" s="2">
        <f t="shared" si="4"/>
        <v>44980</v>
      </c>
      <c r="I99" s="2">
        <f t="shared" si="5"/>
        <v>45035</v>
      </c>
      <c r="J99" t="str">
        <f>VLOOKUP(M99,Umfragenteilnahme!$A$2:$B$3,2,)</f>
        <v>Nein</v>
      </c>
      <c r="M99">
        <v>2</v>
      </c>
      <c r="N99">
        <v>63</v>
      </c>
      <c r="O99">
        <v>2</v>
      </c>
      <c r="P99">
        <v>82</v>
      </c>
      <c r="Q99">
        <v>9</v>
      </c>
      <c r="R99">
        <v>2</v>
      </c>
      <c r="S99">
        <v>57</v>
      </c>
    </row>
    <row r="100" spans="1:19" x14ac:dyDescent="0.35">
      <c r="A100">
        <v>7747</v>
      </c>
      <c r="B100">
        <v>648</v>
      </c>
      <c r="C100" t="str">
        <f>VLOOKUP(B100,Kunde!A:C,3,FALSE)</f>
        <v>Geschäftskunde</v>
      </c>
      <c r="D100" t="str">
        <f>VLOOKUP(O100,Produkt!$A$1:$E$5,2,FALSE)</f>
        <v>B</v>
      </c>
      <c r="E100">
        <f t="shared" si="3"/>
        <v>43</v>
      </c>
      <c r="F100">
        <f>VLOOKUP(D100,Produkt!$B$1:$C$5,2,FALSE)*Bestellungen!E100</f>
        <v>20640</v>
      </c>
      <c r="G100" s="2">
        <v>45046</v>
      </c>
      <c r="H100" s="2">
        <f t="shared" si="4"/>
        <v>45053</v>
      </c>
      <c r="I100" s="2">
        <f t="shared" si="5"/>
        <v>45102</v>
      </c>
      <c r="J100" t="str">
        <f>VLOOKUP(M100,Umfragenteilnahme!$A$2:$B$3,2,)</f>
        <v>Ja</v>
      </c>
      <c r="M100">
        <v>1</v>
      </c>
      <c r="N100">
        <v>648</v>
      </c>
      <c r="O100">
        <v>2</v>
      </c>
      <c r="P100">
        <v>43</v>
      </c>
      <c r="Q100">
        <v>7</v>
      </c>
      <c r="R100">
        <v>7</v>
      </c>
      <c r="S100">
        <v>56</v>
      </c>
    </row>
    <row r="101" spans="1:19" x14ac:dyDescent="0.35">
      <c r="A101">
        <v>7748</v>
      </c>
      <c r="B101">
        <v>58</v>
      </c>
      <c r="C101" t="str">
        <f>VLOOKUP(B101,Kunde!A:C,3,FALSE)</f>
        <v>Geschäftskunde</v>
      </c>
      <c r="D101" t="str">
        <f>VLOOKUP(O101,Produkt!$A$1:$E$5,2,FALSE)</f>
        <v>B</v>
      </c>
      <c r="E101">
        <f t="shared" si="3"/>
        <v>82</v>
      </c>
      <c r="F101">
        <f>VLOOKUP(D101,Produkt!$B$1:$C$5,2,FALSE)*Bestellungen!E101</f>
        <v>39360</v>
      </c>
      <c r="G101" s="2">
        <v>44854</v>
      </c>
      <c r="H101" s="2">
        <f t="shared" si="4"/>
        <v>44856</v>
      </c>
      <c r="I101" s="2">
        <f t="shared" si="5"/>
        <v>44869</v>
      </c>
      <c r="J101" t="str">
        <f>VLOOKUP(M101,Umfragenteilnahme!$A$2:$B$3,2,)</f>
        <v>Ja</v>
      </c>
      <c r="M101">
        <v>1</v>
      </c>
      <c r="N101">
        <v>58</v>
      </c>
      <c r="O101">
        <v>2</v>
      </c>
      <c r="P101">
        <v>82</v>
      </c>
      <c r="Q101">
        <v>9</v>
      </c>
      <c r="R101">
        <v>2</v>
      </c>
      <c r="S101">
        <v>15</v>
      </c>
    </row>
    <row r="102" spans="1:19" x14ac:dyDescent="0.35">
      <c r="A102">
        <v>7749</v>
      </c>
      <c r="B102">
        <v>531</v>
      </c>
      <c r="C102" t="str">
        <f>VLOOKUP(B102,Kunde!A:C,3,FALSE)</f>
        <v>Geschäftskunde</v>
      </c>
      <c r="D102" t="str">
        <f>VLOOKUP(O102,Produkt!$A$1:$E$5,2,FALSE)</f>
        <v>B</v>
      </c>
      <c r="E102">
        <f t="shared" si="3"/>
        <v>125</v>
      </c>
      <c r="F102">
        <f>VLOOKUP(D102,Produkt!$B$1:$C$5,2,FALSE)*Bestellungen!E102</f>
        <v>60000</v>
      </c>
      <c r="G102" s="2">
        <v>44868</v>
      </c>
      <c r="H102" s="2">
        <f t="shared" si="4"/>
        <v>44873</v>
      </c>
      <c r="I102" s="2">
        <f t="shared" si="5"/>
        <v>44902</v>
      </c>
      <c r="J102" t="str">
        <f>VLOOKUP(M102,Umfragenteilnahme!$A$2:$B$3,2,)</f>
        <v>Nein</v>
      </c>
      <c r="M102">
        <v>2</v>
      </c>
      <c r="N102">
        <v>531</v>
      </c>
      <c r="O102">
        <v>2</v>
      </c>
      <c r="P102">
        <v>125</v>
      </c>
      <c r="Q102">
        <v>9</v>
      </c>
      <c r="R102">
        <v>5</v>
      </c>
      <c r="S102">
        <v>34</v>
      </c>
    </row>
    <row r="103" spans="1:19" x14ac:dyDescent="0.35">
      <c r="A103">
        <v>7750</v>
      </c>
      <c r="B103">
        <v>745</v>
      </c>
      <c r="C103" t="str">
        <f>VLOOKUP(B103,Kunde!A:C,3,FALSE)</f>
        <v>Geschäftskunde</v>
      </c>
      <c r="D103" t="str">
        <f>VLOOKUP(O103,Produkt!$A$1:$E$5,2,FALSE)</f>
        <v>D</v>
      </c>
      <c r="E103">
        <f t="shared" si="3"/>
        <v>33</v>
      </c>
      <c r="F103">
        <f>VLOOKUP(D103,Produkt!$B$1:$C$5,2,FALSE)*Bestellungen!E103</f>
        <v>26400</v>
      </c>
      <c r="G103" s="2">
        <v>44936</v>
      </c>
      <c r="H103" s="2">
        <f t="shared" si="4"/>
        <v>44938</v>
      </c>
      <c r="I103" s="2">
        <f t="shared" si="5"/>
        <v>44941</v>
      </c>
      <c r="J103" t="str">
        <f>VLOOKUP(M103,Umfragenteilnahme!$A$2:$B$3,2,)</f>
        <v>Ja</v>
      </c>
      <c r="M103">
        <v>1</v>
      </c>
      <c r="N103">
        <v>745</v>
      </c>
      <c r="O103">
        <v>4</v>
      </c>
      <c r="P103">
        <v>33</v>
      </c>
      <c r="Q103">
        <v>4</v>
      </c>
      <c r="R103">
        <v>2</v>
      </c>
      <c r="S103">
        <v>5</v>
      </c>
    </row>
    <row r="104" spans="1:19" x14ac:dyDescent="0.35">
      <c r="A104">
        <v>7751</v>
      </c>
      <c r="B104">
        <v>506</v>
      </c>
      <c r="C104" t="str">
        <f>VLOOKUP(B104,Kunde!A:C,3,FALSE)</f>
        <v>Geschäftskunde</v>
      </c>
      <c r="D104" t="str">
        <f>VLOOKUP(O104,Produkt!$A$1:$E$5,2,FALSE)</f>
        <v>D</v>
      </c>
      <c r="E104">
        <f t="shared" si="3"/>
        <v>69</v>
      </c>
      <c r="F104">
        <f>VLOOKUP(D104,Produkt!$B$1:$C$5,2,FALSE)*Bestellungen!E104</f>
        <v>55200</v>
      </c>
      <c r="G104" s="2">
        <v>45015</v>
      </c>
      <c r="H104" s="2">
        <f t="shared" si="4"/>
        <v>45018</v>
      </c>
      <c r="I104" s="2">
        <f t="shared" si="5"/>
        <v>45070</v>
      </c>
      <c r="J104" t="str">
        <f>VLOOKUP(M104,Umfragenteilnahme!$A$2:$B$3,2,)</f>
        <v>Nein</v>
      </c>
      <c r="M104">
        <v>2</v>
      </c>
      <c r="N104">
        <v>506</v>
      </c>
      <c r="O104">
        <v>4</v>
      </c>
      <c r="P104">
        <v>69</v>
      </c>
      <c r="Q104">
        <v>5</v>
      </c>
      <c r="R104">
        <v>3</v>
      </c>
      <c r="S104">
        <v>55</v>
      </c>
    </row>
    <row r="105" spans="1:19" x14ac:dyDescent="0.35">
      <c r="A105">
        <v>7752</v>
      </c>
      <c r="B105">
        <v>146</v>
      </c>
      <c r="C105" t="str">
        <f>VLOOKUP(B105,Kunde!A:C,3,FALSE)</f>
        <v>Geschäftskunde</v>
      </c>
      <c r="D105" t="str">
        <f>VLOOKUP(O105,Produkt!$A$1:$E$5,2,FALSE)</f>
        <v>D</v>
      </c>
      <c r="E105">
        <f t="shared" si="3"/>
        <v>18</v>
      </c>
      <c r="F105">
        <f>VLOOKUP(D105,Produkt!$B$1:$C$5,2,FALSE)*Bestellungen!E105</f>
        <v>14400</v>
      </c>
      <c r="G105" s="2">
        <v>44788</v>
      </c>
      <c r="H105" s="2">
        <f t="shared" si="4"/>
        <v>44791</v>
      </c>
      <c r="I105" s="2">
        <f t="shared" si="5"/>
        <v>44821</v>
      </c>
      <c r="J105" t="str">
        <f>VLOOKUP(M105,Umfragenteilnahme!$A$2:$B$3,2,)</f>
        <v>Ja</v>
      </c>
      <c r="M105">
        <v>1</v>
      </c>
      <c r="N105">
        <v>146</v>
      </c>
      <c r="O105">
        <v>4</v>
      </c>
      <c r="P105">
        <v>18</v>
      </c>
      <c r="Q105">
        <v>9</v>
      </c>
      <c r="R105">
        <v>3</v>
      </c>
      <c r="S105">
        <v>33</v>
      </c>
    </row>
    <row r="106" spans="1:19" x14ac:dyDescent="0.35">
      <c r="A106">
        <v>7753</v>
      </c>
      <c r="B106">
        <v>501</v>
      </c>
      <c r="C106" t="str">
        <f>VLOOKUP(B106,Kunde!A:C,3,FALSE)</f>
        <v>Geschäftskunde</v>
      </c>
      <c r="D106" t="str">
        <f>VLOOKUP(O106,Produkt!$A$1:$E$5,2,FALSE)</f>
        <v>A</v>
      </c>
      <c r="E106">
        <f t="shared" si="3"/>
        <v>12</v>
      </c>
      <c r="F106">
        <f>VLOOKUP(D106,Produkt!$B$1:$C$5,2,FALSE)*Bestellungen!E106</f>
        <v>3600</v>
      </c>
      <c r="G106" s="2">
        <v>45018</v>
      </c>
      <c r="H106" s="2">
        <f t="shared" si="4"/>
        <v>45020</v>
      </c>
      <c r="I106" s="2">
        <f t="shared" si="5"/>
        <v>45060</v>
      </c>
      <c r="J106" t="str">
        <f>VLOOKUP(M106,Umfragenteilnahme!$A$2:$B$3,2,)</f>
        <v>Nein</v>
      </c>
      <c r="M106">
        <v>2</v>
      </c>
      <c r="N106">
        <v>501</v>
      </c>
      <c r="O106">
        <v>1</v>
      </c>
      <c r="P106">
        <v>12</v>
      </c>
      <c r="Q106">
        <v>8</v>
      </c>
      <c r="R106">
        <v>2</v>
      </c>
      <c r="S106">
        <v>42</v>
      </c>
    </row>
    <row r="107" spans="1:19" x14ac:dyDescent="0.35">
      <c r="A107">
        <v>7754</v>
      </c>
      <c r="B107">
        <v>413</v>
      </c>
      <c r="C107" t="str">
        <f>VLOOKUP(B107,Kunde!A:C,3,FALSE)</f>
        <v>Geschäftskunde</v>
      </c>
      <c r="D107" t="str">
        <f>VLOOKUP(O107,Produkt!$A$1:$E$5,2,FALSE)</f>
        <v>B</v>
      </c>
      <c r="E107">
        <f t="shared" si="3"/>
        <v>68</v>
      </c>
      <c r="F107">
        <f>VLOOKUP(D107,Produkt!$B$1:$C$5,2,FALSE)*Bestellungen!E107</f>
        <v>32640</v>
      </c>
      <c r="G107" s="2">
        <v>44948</v>
      </c>
      <c r="H107" s="2">
        <f t="shared" si="4"/>
        <v>44952</v>
      </c>
      <c r="I107" s="2">
        <f t="shared" si="5"/>
        <v>45006</v>
      </c>
      <c r="J107" t="str">
        <f>VLOOKUP(M107,Umfragenteilnahme!$A$2:$B$3,2,)</f>
        <v>Nein</v>
      </c>
      <c r="M107">
        <v>2</v>
      </c>
      <c r="N107">
        <v>413</v>
      </c>
      <c r="O107">
        <v>2</v>
      </c>
      <c r="P107">
        <v>68</v>
      </c>
      <c r="Q107">
        <v>6</v>
      </c>
      <c r="R107">
        <v>4</v>
      </c>
      <c r="S107">
        <v>58</v>
      </c>
    </row>
    <row r="108" spans="1:19" x14ac:dyDescent="0.35">
      <c r="A108">
        <v>7755</v>
      </c>
      <c r="B108">
        <v>75</v>
      </c>
      <c r="C108" t="str">
        <f>VLOOKUP(B108,Kunde!A:C,3,FALSE)</f>
        <v>Privatkunde</v>
      </c>
      <c r="D108" t="str">
        <f>VLOOKUP(O108,Produkt!$A$1:$E$5,2,FALSE)</f>
        <v>B</v>
      </c>
      <c r="E108">
        <f t="shared" si="3"/>
        <v>10</v>
      </c>
      <c r="F108">
        <f>VLOOKUP(D108,Produkt!$B$1:$C$5,2,FALSE)*Bestellungen!E108</f>
        <v>4800</v>
      </c>
      <c r="G108" s="2">
        <v>44816</v>
      </c>
      <c r="H108" s="2">
        <f t="shared" si="4"/>
        <v>44823</v>
      </c>
      <c r="I108" s="2">
        <f t="shared" si="5"/>
        <v>44864</v>
      </c>
      <c r="J108" t="str">
        <f>VLOOKUP(M108,Umfragenteilnahme!$A$2:$B$3,2,)</f>
        <v>Nein</v>
      </c>
      <c r="M108">
        <v>2</v>
      </c>
      <c r="N108">
        <v>75</v>
      </c>
      <c r="O108">
        <v>2</v>
      </c>
      <c r="P108">
        <v>36</v>
      </c>
      <c r="Q108">
        <v>10</v>
      </c>
      <c r="R108">
        <v>7</v>
      </c>
      <c r="S108">
        <v>48</v>
      </c>
    </row>
    <row r="109" spans="1:19" x14ac:dyDescent="0.35">
      <c r="A109">
        <v>7756</v>
      </c>
      <c r="B109">
        <v>33</v>
      </c>
      <c r="C109" t="str">
        <f>VLOOKUP(B109,Kunde!A:C,3,FALSE)</f>
        <v>Geschäftskunde</v>
      </c>
      <c r="D109" t="str">
        <f>VLOOKUP(O109,Produkt!$A$1:$E$5,2,FALSE)</f>
        <v>A</v>
      </c>
      <c r="E109">
        <f t="shared" si="3"/>
        <v>20</v>
      </c>
      <c r="F109">
        <f>VLOOKUP(D109,Produkt!$B$1:$C$5,2,FALSE)*Bestellungen!E109</f>
        <v>6000</v>
      </c>
      <c r="G109" s="2">
        <v>44906</v>
      </c>
      <c r="H109" s="2">
        <f t="shared" si="4"/>
        <v>44910</v>
      </c>
      <c r="I109" s="2">
        <f t="shared" si="5"/>
        <v>44957</v>
      </c>
      <c r="J109" t="str">
        <f>VLOOKUP(M109,Umfragenteilnahme!$A$2:$B$3,2,)</f>
        <v>Nein</v>
      </c>
      <c r="M109">
        <v>2</v>
      </c>
      <c r="N109">
        <v>33</v>
      </c>
      <c r="O109">
        <v>1</v>
      </c>
      <c r="P109">
        <v>20</v>
      </c>
      <c r="Q109">
        <v>4</v>
      </c>
      <c r="R109">
        <v>4</v>
      </c>
      <c r="S109">
        <v>51</v>
      </c>
    </row>
    <row r="110" spans="1:19" x14ac:dyDescent="0.35">
      <c r="A110">
        <v>7757</v>
      </c>
      <c r="B110">
        <v>407</v>
      </c>
      <c r="C110" t="str">
        <f>VLOOKUP(B110,Kunde!A:C,3,FALSE)</f>
        <v>Geschäftskunde</v>
      </c>
      <c r="D110" t="str">
        <f>VLOOKUP(O110,Produkt!$A$1:$E$5,2,FALSE)</f>
        <v>A</v>
      </c>
      <c r="E110">
        <f t="shared" si="3"/>
        <v>97</v>
      </c>
      <c r="F110">
        <f>VLOOKUP(D110,Produkt!$B$1:$C$5,2,FALSE)*Bestellungen!E110</f>
        <v>29100</v>
      </c>
      <c r="G110" s="2">
        <v>44995</v>
      </c>
      <c r="H110" s="2">
        <f t="shared" si="4"/>
        <v>45002</v>
      </c>
      <c r="I110" s="2">
        <f t="shared" si="5"/>
        <v>45043</v>
      </c>
      <c r="J110" t="str">
        <f>VLOOKUP(M110,Umfragenteilnahme!$A$2:$B$3,2,)</f>
        <v>Ja</v>
      </c>
      <c r="M110">
        <v>1</v>
      </c>
      <c r="N110">
        <v>407</v>
      </c>
      <c r="O110">
        <v>1</v>
      </c>
      <c r="P110">
        <v>97</v>
      </c>
      <c r="Q110">
        <v>1</v>
      </c>
      <c r="R110">
        <v>7</v>
      </c>
      <c r="S110">
        <v>48</v>
      </c>
    </row>
    <row r="111" spans="1:19" x14ac:dyDescent="0.35">
      <c r="A111">
        <v>7758</v>
      </c>
      <c r="B111">
        <v>472</v>
      </c>
      <c r="C111" t="str">
        <f>VLOOKUP(B111,Kunde!A:C,3,FALSE)</f>
        <v>Privatkunde</v>
      </c>
      <c r="D111" t="str">
        <f>VLOOKUP(O111,Produkt!$A$1:$E$5,2,FALSE)</f>
        <v>B</v>
      </c>
      <c r="E111">
        <f t="shared" si="3"/>
        <v>4</v>
      </c>
      <c r="F111">
        <f>VLOOKUP(D111,Produkt!$B$1:$C$5,2,FALSE)*Bestellungen!E111</f>
        <v>1920</v>
      </c>
      <c r="G111" s="2">
        <v>44893</v>
      </c>
      <c r="H111" s="2">
        <f t="shared" si="4"/>
        <v>44896</v>
      </c>
      <c r="I111" s="2">
        <f t="shared" si="5"/>
        <v>44930</v>
      </c>
      <c r="J111" t="str">
        <f>VLOOKUP(M111,Umfragenteilnahme!$A$2:$B$3,2,)</f>
        <v>Nein</v>
      </c>
      <c r="M111">
        <v>2</v>
      </c>
      <c r="N111">
        <v>472</v>
      </c>
      <c r="O111">
        <v>2</v>
      </c>
      <c r="P111">
        <v>110</v>
      </c>
      <c r="Q111">
        <v>4</v>
      </c>
      <c r="R111">
        <v>3</v>
      </c>
      <c r="S111">
        <v>37</v>
      </c>
    </row>
    <row r="112" spans="1:19" x14ac:dyDescent="0.35">
      <c r="A112">
        <v>7759</v>
      </c>
      <c r="B112">
        <v>159</v>
      </c>
      <c r="C112" t="str">
        <f>VLOOKUP(B112,Kunde!A:C,3,FALSE)</f>
        <v>Geschäftskunde</v>
      </c>
      <c r="D112" t="str">
        <f>VLOOKUP(O112,Produkt!$A$1:$E$5,2,FALSE)</f>
        <v>B</v>
      </c>
      <c r="E112">
        <f t="shared" si="3"/>
        <v>134</v>
      </c>
      <c r="F112">
        <f>VLOOKUP(D112,Produkt!$B$1:$C$5,2,FALSE)*Bestellungen!E112</f>
        <v>64320</v>
      </c>
      <c r="G112" s="2">
        <v>44744</v>
      </c>
      <c r="H112" s="2">
        <f t="shared" si="4"/>
        <v>44748</v>
      </c>
      <c r="I112" s="2">
        <f t="shared" si="5"/>
        <v>44782</v>
      </c>
      <c r="J112" t="str">
        <f>VLOOKUP(M112,Umfragenteilnahme!$A$2:$B$3,2,)</f>
        <v>Ja</v>
      </c>
      <c r="M112">
        <v>1</v>
      </c>
      <c r="N112">
        <v>159</v>
      </c>
      <c r="O112">
        <v>2</v>
      </c>
      <c r="P112">
        <v>134</v>
      </c>
      <c r="Q112">
        <v>6</v>
      </c>
      <c r="R112">
        <v>4</v>
      </c>
      <c r="S112">
        <v>38</v>
      </c>
    </row>
    <row r="113" spans="1:19" x14ac:dyDescent="0.35">
      <c r="A113">
        <v>7760</v>
      </c>
      <c r="B113">
        <v>770</v>
      </c>
      <c r="C113" t="str">
        <f>VLOOKUP(B113,Kunde!A:C,3,FALSE)</f>
        <v>Geschäftskunde</v>
      </c>
      <c r="D113" t="str">
        <f>VLOOKUP(O113,Produkt!$A$1:$E$5,2,FALSE)</f>
        <v>C</v>
      </c>
      <c r="E113">
        <f t="shared" si="3"/>
        <v>75</v>
      </c>
      <c r="F113">
        <f>VLOOKUP(D113,Produkt!$B$1:$C$5,2,FALSE)*Bestellungen!E113</f>
        <v>112500</v>
      </c>
      <c r="G113" s="2">
        <v>44831</v>
      </c>
      <c r="H113" s="2">
        <f t="shared" si="4"/>
        <v>44834</v>
      </c>
      <c r="I113" s="2">
        <f t="shared" si="5"/>
        <v>44891</v>
      </c>
      <c r="J113" t="str">
        <f>VLOOKUP(M113,Umfragenteilnahme!$A$2:$B$3,2,)</f>
        <v>Nein</v>
      </c>
      <c r="M113">
        <v>2</v>
      </c>
      <c r="N113">
        <v>770</v>
      </c>
      <c r="O113">
        <v>3</v>
      </c>
      <c r="P113">
        <v>75</v>
      </c>
      <c r="Q113">
        <v>9</v>
      </c>
      <c r="R113">
        <v>3</v>
      </c>
      <c r="S113">
        <v>60</v>
      </c>
    </row>
    <row r="114" spans="1:19" x14ac:dyDescent="0.35">
      <c r="A114">
        <v>7761</v>
      </c>
      <c r="B114">
        <v>563</v>
      </c>
      <c r="C114" t="str">
        <f>VLOOKUP(B114,Kunde!A:C,3,FALSE)</f>
        <v>Geschäftskunde</v>
      </c>
      <c r="D114" t="str">
        <f>VLOOKUP(O114,Produkt!$A$1:$E$5,2,FALSE)</f>
        <v>A</v>
      </c>
      <c r="E114">
        <f t="shared" si="3"/>
        <v>54</v>
      </c>
      <c r="F114">
        <f>VLOOKUP(D114,Produkt!$B$1:$C$5,2,FALSE)*Bestellungen!E114</f>
        <v>16200</v>
      </c>
      <c r="G114" s="2">
        <v>45028</v>
      </c>
      <c r="H114" s="2">
        <f t="shared" si="4"/>
        <v>45033</v>
      </c>
      <c r="I114" s="2">
        <f t="shared" si="5"/>
        <v>45057</v>
      </c>
      <c r="J114" t="str">
        <f>VLOOKUP(M114,Umfragenteilnahme!$A$2:$B$3,2,)</f>
        <v>Ja</v>
      </c>
      <c r="M114">
        <v>1</v>
      </c>
      <c r="N114">
        <v>563</v>
      </c>
      <c r="O114">
        <v>1</v>
      </c>
      <c r="P114">
        <v>54</v>
      </c>
      <c r="Q114">
        <v>9</v>
      </c>
      <c r="R114">
        <v>5</v>
      </c>
      <c r="S114">
        <v>29</v>
      </c>
    </row>
    <row r="115" spans="1:19" x14ac:dyDescent="0.35">
      <c r="A115">
        <v>7762</v>
      </c>
      <c r="B115">
        <v>550</v>
      </c>
      <c r="C115" t="str">
        <f>VLOOKUP(B115,Kunde!A:C,3,FALSE)</f>
        <v>Geschäftskunde</v>
      </c>
      <c r="D115" t="str">
        <f>VLOOKUP(O115,Produkt!$A$1:$E$5,2,FALSE)</f>
        <v>B</v>
      </c>
      <c r="E115">
        <f t="shared" si="3"/>
        <v>96</v>
      </c>
      <c r="F115">
        <f>VLOOKUP(D115,Produkt!$B$1:$C$5,2,FALSE)*Bestellungen!E115</f>
        <v>46080</v>
      </c>
      <c r="G115" s="2">
        <v>45036</v>
      </c>
      <c r="H115" s="2">
        <f t="shared" si="4"/>
        <v>45039</v>
      </c>
      <c r="I115" s="2">
        <f t="shared" si="5"/>
        <v>45075</v>
      </c>
      <c r="J115" t="str">
        <f>VLOOKUP(M115,Umfragenteilnahme!$A$2:$B$3,2,)</f>
        <v>Nein</v>
      </c>
      <c r="M115">
        <v>2</v>
      </c>
      <c r="N115">
        <v>550</v>
      </c>
      <c r="O115">
        <v>2</v>
      </c>
      <c r="P115">
        <v>96</v>
      </c>
      <c r="Q115">
        <v>9</v>
      </c>
      <c r="R115">
        <v>3</v>
      </c>
      <c r="S115">
        <v>39</v>
      </c>
    </row>
    <row r="116" spans="1:19" x14ac:dyDescent="0.35">
      <c r="A116">
        <v>7763</v>
      </c>
      <c r="B116">
        <v>760</v>
      </c>
      <c r="C116" t="str">
        <f>VLOOKUP(B116,Kunde!A:C,3,FALSE)</f>
        <v>Geschäftskunde</v>
      </c>
      <c r="D116" t="str">
        <f>VLOOKUP(O116,Produkt!$A$1:$E$5,2,FALSE)</f>
        <v>C</v>
      </c>
      <c r="E116">
        <f t="shared" si="3"/>
        <v>38</v>
      </c>
      <c r="F116">
        <f>VLOOKUP(D116,Produkt!$B$1:$C$5,2,FALSE)*Bestellungen!E116</f>
        <v>57000</v>
      </c>
      <c r="G116" s="2">
        <v>45063</v>
      </c>
      <c r="H116" s="2">
        <f t="shared" si="4"/>
        <v>45070</v>
      </c>
      <c r="I116" s="2">
        <f t="shared" si="5"/>
        <v>45110</v>
      </c>
      <c r="J116" t="str">
        <f>VLOOKUP(M116,Umfragenteilnahme!$A$2:$B$3,2,)</f>
        <v>Ja</v>
      </c>
      <c r="M116">
        <v>1</v>
      </c>
      <c r="N116">
        <v>760</v>
      </c>
      <c r="O116">
        <v>3</v>
      </c>
      <c r="P116">
        <v>38</v>
      </c>
      <c r="Q116">
        <v>1</v>
      </c>
      <c r="R116">
        <v>7</v>
      </c>
      <c r="S116">
        <v>47</v>
      </c>
    </row>
    <row r="117" spans="1:19" x14ac:dyDescent="0.35">
      <c r="A117">
        <v>7764</v>
      </c>
      <c r="B117">
        <v>344</v>
      </c>
      <c r="C117" t="str">
        <f>VLOOKUP(B117,Kunde!A:C,3,FALSE)</f>
        <v>Geschäftskunde</v>
      </c>
      <c r="D117" t="str">
        <f>VLOOKUP(O117,Produkt!$A$1:$E$5,2,FALSE)</f>
        <v>B</v>
      </c>
      <c r="E117">
        <f t="shared" si="3"/>
        <v>58</v>
      </c>
      <c r="F117">
        <f>VLOOKUP(D117,Produkt!$B$1:$C$5,2,FALSE)*Bestellungen!E117</f>
        <v>27840</v>
      </c>
      <c r="G117" s="2">
        <v>44761</v>
      </c>
      <c r="H117" s="2">
        <f t="shared" si="4"/>
        <v>44767</v>
      </c>
      <c r="I117" s="2">
        <f t="shared" si="5"/>
        <v>44806</v>
      </c>
      <c r="J117" t="str">
        <f>VLOOKUP(M117,Umfragenteilnahme!$A$2:$B$3,2,)</f>
        <v>Ja</v>
      </c>
      <c r="M117">
        <v>1</v>
      </c>
      <c r="N117">
        <v>344</v>
      </c>
      <c r="O117">
        <v>2</v>
      </c>
      <c r="P117">
        <v>58</v>
      </c>
      <c r="Q117">
        <v>4</v>
      </c>
      <c r="R117">
        <v>6</v>
      </c>
      <c r="S117">
        <v>45</v>
      </c>
    </row>
    <row r="118" spans="1:19" x14ac:dyDescent="0.35">
      <c r="A118">
        <v>7765</v>
      </c>
      <c r="B118">
        <v>61</v>
      </c>
      <c r="C118" t="str">
        <f>VLOOKUP(B118,Kunde!A:C,3,FALSE)</f>
        <v>Geschäftskunde</v>
      </c>
      <c r="D118" t="str">
        <f>VLOOKUP(O118,Produkt!$A$1:$E$5,2,FALSE)</f>
        <v>C</v>
      </c>
      <c r="E118">
        <f t="shared" si="3"/>
        <v>45</v>
      </c>
      <c r="F118">
        <f>VLOOKUP(D118,Produkt!$B$1:$C$5,2,FALSE)*Bestellungen!E118</f>
        <v>67500</v>
      </c>
      <c r="G118" s="2">
        <v>44850</v>
      </c>
      <c r="H118" s="2">
        <f t="shared" si="4"/>
        <v>44852</v>
      </c>
      <c r="I118" s="2">
        <f t="shared" si="5"/>
        <v>44886</v>
      </c>
      <c r="J118" t="str">
        <f>VLOOKUP(M118,Umfragenteilnahme!$A$2:$B$3,2,)</f>
        <v>Nein</v>
      </c>
      <c r="M118">
        <v>2</v>
      </c>
      <c r="N118">
        <v>61</v>
      </c>
      <c r="O118">
        <v>3</v>
      </c>
      <c r="P118">
        <v>45</v>
      </c>
      <c r="Q118">
        <v>2</v>
      </c>
      <c r="R118">
        <v>2</v>
      </c>
      <c r="S118">
        <v>36</v>
      </c>
    </row>
    <row r="119" spans="1:19" x14ac:dyDescent="0.35">
      <c r="A119">
        <v>7766</v>
      </c>
      <c r="B119">
        <v>190</v>
      </c>
      <c r="C119" t="str">
        <f>VLOOKUP(B119,Kunde!A:C,3,FALSE)</f>
        <v>Geschäftskunde</v>
      </c>
      <c r="D119" t="str">
        <f>VLOOKUP(O119,Produkt!$A$1:$E$5,2,FALSE)</f>
        <v>A</v>
      </c>
      <c r="E119">
        <f t="shared" si="3"/>
        <v>121</v>
      </c>
      <c r="F119">
        <f>VLOOKUP(D119,Produkt!$B$1:$C$5,2,FALSE)*Bestellungen!E119</f>
        <v>36300</v>
      </c>
      <c r="G119" s="2">
        <v>44730</v>
      </c>
      <c r="H119" s="2">
        <f t="shared" si="4"/>
        <v>44732</v>
      </c>
      <c r="I119" s="2">
        <f t="shared" si="5"/>
        <v>44753</v>
      </c>
      <c r="J119" t="str">
        <f>VLOOKUP(M119,Umfragenteilnahme!$A$2:$B$3,2,)</f>
        <v>Nein</v>
      </c>
      <c r="M119">
        <v>2</v>
      </c>
      <c r="N119">
        <v>190</v>
      </c>
      <c r="O119">
        <v>1</v>
      </c>
      <c r="P119">
        <v>121</v>
      </c>
      <c r="Q119">
        <v>9</v>
      </c>
      <c r="R119">
        <v>2</v>
      </c>
      <c r="S119">
        <v>23</v>
      </c>
    </row>
    <row r="120" spans="1:19" x14ac:dyDescent="0.35">
      <c r="A120">
        <v>7767</v>
      </c>
      <c r="B120">
        <v>344</v>
      </c>
      <c r="C120" t="str">
        <f>VLOOKUP(B120,Kunde!A:C,3,FALSE)</f>
        <v>Geschäftskunde</v>
      </c>
      <c r="D120" t="str">
        <f>VLOOKUP(O120,Produkt!$A$1:$E$5,2,FALSE)</f>
        <v>C</v>
      </c>
      <c r="E120">
        <f t="shared" si="3"/>
        <v>147</v>
      </c>
      <c r="F120">
        <f>VLOOKUP(D120,Produkt!$B$1:$C$5,2,FALSE)*Bestellungen!E120</f>
        <v>220500</v>
      </c>
      <c r="G120" s="2">
        <v>45032</v>
      </c>
      <c r="H120" s="2">
        <f t="shared" si="4"/>
        <v>45035</v>
      </c>
      <c r="I120" s="2">
        <f t="shared" si="5"/>
        <v>45067</v>
      </c>
      <c r="J120" t="str">
        <f>VLOOKUP(M120,Umfragenteilnahme!$A$2:$B$3,2,)</f>
        <v>Ja</v>
      </c>
      <c r="M120">
        <v>1</v>
      </c>
      <c r="N120">
        <v>344</v>
      </c>
      <c r="O120">
        <v>3</v>
      </c>
      <c r="P120">
        <v>147</v>
      </c>
      <c r="Q120">
        <v>2</v>
      </c>
      <c r="R120">
        <v>3</v>
      </c>
      <c r="S120">
        <v>35</v>
      </c>
    </row>
    <row r="121" spans="1:19" x14ac:dyDescent="0.35">
      <c r="A121">
        <v>7768</v>
      </c>
      <c r="B121">
        <v>80</v>
      </c>
      <c r="C121" t="str">
        <f>VLOOKUP(B121,Kunde!A:C,3,FALSE)</f>
        <v>Geschäftskunde</v>
      </c>
      <c r="D121" t="str">
        <f>VLOOKUP(O121,Produkt!$A$1:$E$5,2,FALSE)</f>
        <v>B</v>
      </c>
      <c r="E121">
        <f t="shared" si="3"/>
        <v>55</v>
      </c>
      <c r="F121">
        <f>VLOOKUP(D121,Produkt!$B$1:$C$5,2,FALSE)*Bestellungen!E121</f>
        <v>26400</v>
      </c>
      <c r="G121" s="2">
        <v>44995</v>
      </c>
      <c r="H121" s="2">
        <f t="shared" si="4"/>
        <v>44998</v>
      </c>
      <c r="I121" s="2">
        <f t="shared" si="5"/>
        <v>45023</v>
      </c>
      <c r="J121" t="str">
        <f>VLOOKUP(M121,Umfragenteilnahme!$A$2:$B$3,2,)</f>
        <v>Nein</v>
      </c>
      <c r="M121">
        <v>2</v>
      </c>
      <c r="N121">
        <v>80</v>
      </c>
      <c r="O121">
        <v>2</v>
      </c>
      <c r="P121">
        <v>55</v>
      </c>
      <c r="Q121">
        <v>9</v>
      </c>
      <c r="R121">
        <v>3</v>
      </c>
      <c r="S121">
        <v>28</v>
      </c>
    </row>
    <row r="122" spans="1:19" x14ac:dyDescent="0.35">
      <c r="A122">
        <v>7769</v>
      </c>
      <c r="B122">
        <v>455</v>
      </c>
      <c r="C122" t="str">
        <f>VLOOKUP(B122,Kunde!A:C,3,FALSE)</f>
        <v>Geschäftskunde</v>
      </c>
      <c r="D122" t="str">
        <f>VLOOKUP(O122,Produkt!$A$1:$E$5,2,FALSE)</f>
        <v>C</v>
      </c>
      <c r="E122">
        <f t="shared" si="3"/>
        <v>115</v>
      </c>
      <c r="F122">
        <f>VLOOKUP(D122,Produkt!$B$1:$C$5,2,FALSE)*Bestellungen!E122</f>
        <v>172500</v>
      </c>
      <c r="G122" s="2">
        <v>44848</v>
      </c>
      <c r="H122" s="2">
        <f t="shared" si="4"/>
        <v>44850</v>
      </c>
      <c r="I122" s="2">
        <f t="shared" si="5"/>
        <v>44875</v>
      </c>
      <c r="J122" t="str">
        <f>VLOOKUP(M122,Umfragenteilnahme!$A$2:$B$3,2,)</f>
        <v>Ja</v>
      </c>
      <c r="M122">
        <v>1</v>
      </c>
      <c r="N122">
        <v>455</v>
      </c>
      <c r="O122">
        <v>3</v>
      </c>
      <c r="P122">
        <v>115</v>
      </c>
      <c r="Q122">
        <v>10</v>
      </c>
      <c r="R122">
        <v>2</v>
      </c>
      <c r="S122">
        <v>27</v>
      </c>
    </row>
    <row r="123" spans="1:19" x14ac:dyDescent="0.35">
      <c r="A123">
        <v>7770</v>
      </c>
      <c r="B123">
        <v>78</v>
      </c>
      <c r="C123" t="str">
        <f>VLOOKUP(B123,Kunde!A:C,3,FALSE)</f>
        <v>Privatkunde</v>
      </c>
      <c r="D123" t="str">
        <f>VLOOKUP(O123,Produkt!$A$1:$E$5,2,FALSE)</f>
        <v>B</v>
      </c>
      <c r="E123">
        <f t="shared" si="3"/>
        <v>6</v>
      </c>
      <c r="F123">
        <f>VLOOKUP(D123,Produkt!$B$1:$C$5,2,FALSE)*Bestellungen!E123</f>
        <v>2880</v>
      </c>
      <c r="G123" s="2">
        <v>45006</v>
      </c>
      <c r="H123" s="2">
        <f t="shared" si="4"/>
        <v>45012</v>
      </c>
      <c r="I123" s="2">
        <f t="shared" si="5"/>
        <v>45013</v>
      </c>
      <c r="J123" t="str">
        <f>VLOOKUP(M123,Umfragenteilnahme!$A$2:$B$3,2,)</f>
        <v>Ja</v>
      </c>
      <c r="M123">
        <v>1</v>
      </c>
      <c r="N123">
        <v>78</v>
      </c>
      <c r="O123">
        <v>2</v>
      </c>
      <c r="P123">
        <v>136</v>
      </c>
      <c r="Q123">
        <v>6</v>
      </c>
      <c r="R123">
        <v>6</v>
      </c>
      <c r="S123">
        <v>7</v>
      </c>
    </row>
    <row r="124" spans="1:19" x14ac:dyDescent="0.35">
      <c r="A124">
        <v>7771</v>
      </c>
      <c r="B124">
        <v>755</v>
      </c>
      <c r="C124" t="str">
        <f>VLOOKUP(B124,Kunde!A:C,3,FALSE)</f>
        <v>Geschäftskunde</v>
      </c>
      <c r="D124" t="str">
        <f>VLOOKUP(O124,Produkt!$A$1:$E$5,2,FALSE)</f>
        <v>C</v>
      </c>
      <c r="E124">
        <f t="shared" si="3"/>
        <v>22</v>
      </c>
      <c r="F124">
        <f>VLOOKUP(D124,Produkt!$B$1:$C$5,2,FALSE)*Bestellungen!E124</f>
        <v>33000</v>
      </c>
      <c r="G124" s="2">
        <v>45067</v>
      </c>
      <c r="H124" s="2">
        <f t="shared" si="4"/>
        <v>45070</v>
      </c>
      <c r="I124" s="2">
        <f t="shared" si="5"/>
        <v>45081</v>
      </c>
      <c r="J124" t="str">
        <f>VLOOKUP(M124,Umfragenteilnahme!$A$2:$B$3,2,)</f>
        <v>Nein</v>
      </c>
      <c r="M124">
        <v>2</v>
      </c>
      <c r="N124">
        <v>755</v>
      </c>
      <c r="O124">
        <v>3</v>
      </c>
      <c r="P124">
        <v>22</v>
      </c>
      <c r="Q124">
        <v>3</v>
      </c>
      <c r="R124">
        <v>3</v>
      </c>
      <c r="S124">
        <v>14</v>
      </c>
    </row>
    <row r="125" spans="1:19" x14ac:dyDescent="0.35">
      <c r="A125">
        <v>7772</v>
      </c>
      <c r="B125">
        <v>752</v>
      </c>
      <c r="C125" t="str">
        <f>VLOOKUP(B125,Kunde!A:C,3,FALSE)</f>
        <v>Geschäftskunde</v>
      </c>
      <c r="D125" t="str">
        <f>VLOOKUP(O125,Produkt!$A$1:$E$5,2,FALSE)</f>
        <v>B</v>
      </c>
      <c r="E125">
        <f t="shared" si="3"/>
        <v>109</v>
      </c>
      <c r="F125">
        <f>VLOOKUP(D125,Produkt!$B$1:$C$5,2,FALSE)*Bestellungen!E125</f>
        <v>52320</v>
      </c>
      <c r="G125" s="2">
        <v>45065</v>
      </c>
      <c r="H125" s="2">
        <f t="shared" si="4"/>
        <v>45070</v>
      </c>
      <c r="I125" s="2">
        <f t="shared" si="5"/>
        <v>45083</v>
      </c>
      <c r="J125" t="str">
        <f>VLOOKUP(M125,Umfragenteilnahme!$A$2:$B$3,2,)</f>
        <v>Ja</v>
      </c>
      <c r="M125">
        <v>1</v>
      </c>
      <c r="N125">
        <v>752</v>
      </c>
      <c r="O125">
        <v>2</v>
      </c>
      <c r="P125">
        <v>109</v>
      </c>
      <c r="Q125">
        <v>3</v>
      </c>
      <c r="R125">
        <v>5</v>
      </c>
      <c r="S125">
        <v>18</v>
      </c>
    </row>
    <row r="126" spans="1:19" x14ac:dyDescent="0.35">
      <c r="A126">
        <v>7773</v>
      </c>
      <c r="B126">
        <v>625</v>
      </c>
      <c r="C126" t="str">
        <f>VLOOKUP(B126,Kunde!A:C,3,FALSE)</f>
        <v>Privatkunde</v>
      </c>
      <c r="D126" t="str">
        <f>VLOOKUP(O126,Produkt!$A$1:$E$5,2,FALSE)</f>
        <v>D</v>
      </c>
      <c r="E126">
        <f t="shared" si="3"/>
        <v>10</v>
      </c>
      <c r="F126">
        <f>VLOOKUP(D126,Produkt!$B$1:$C$5,2,FALSE)*Bestellungen!E126</f>
        <v>8000</v>
      </c>
      <c r="G126" s="2">
        <v>44818</v>
      </c>
      <c r="H126" s="2">
        <f t="shared" si="4"/>
        <v>44824</v>
      </c>
      <c r="I126" s="2">
        <f t="shared" si="5"/>
        <v>44854</v>
      </c>
      <c r="J126" t="str">
        <f>VLOOKUP(M126,Umfragenteilnahme!$A$2:$B$3,2,)</f>
        <v>Ja</v>
      </c>
      <c r="M126">
        <v>1</v>
      </c>
      <c r="N126">
        <v>625</v>
      </c>
      <c r="O126">
        <v>4</v>
      </c>
      <c r="P126">
        <v>36</v>
      </c>
      <c r="Q126">
        <v>10</v>
      </c>
      <c r="R126">
        <v>6</v>
      </c>
      <c r="S126">
        <v>36</v>
      </c>
    </row>
    <row r="127" spans="1:19" x14ac:dyDescent="0.35">
      <c r="A127">
        <v>7774</v>
      </c>
      <c r="B127">
        <v>282</v>
      </c>
      <c r="C127" t="str">
        <f>VLOOKUP(B127,Kunde!A:C,3,FALSE)</f>
        <v>Geschäftskunde</v>
      </c>
      <c r="D127" t="str">
        <f>VLOOKUP(O127,Produkt!$A$1:$E$5,2,FALSE)</f>
        <v>A</v>
      </c>
      <c r="E127">
        <f t="shared" si="3"/>
        <v>37</v>
      </c>
      <c r="F127">
        <f>VLOOKUP(D127,Produkt!$B$1:$C$5,2,FALSE)*Bestellungen!E127</f>
        <v>11100</v>
      </c>
      <c r="G127" s="2">
        <v>44720</v>
      </c>
      <c r="H127" s="2">
        <f t="shared" si="4"/>
        <v>44727</v>
      </c>
      <c r="I127" s="2">
        <f t="shared" si="5"/>
        <v>44731</v>
      </c>
      <c r="J127" t="str">
        <f>VLOOKUP(M127,Umfragenteilnahme!$A$2:$B$3,2,)</f>
        <v>Ja</v>
      </c>
      <c r="M127">
        <v>1</v>
      </c>
      <c r="N127">
        <v>282</v>
      </c>
      <c r="O127">
        <v>1</v>
      </c>
      <c r="P127">
        <v>37</v>
      </c>
      <c r="Q127">
        <v>6</v>
      </c>
      <c r="R127">
        <v>7</v>
      </c>
      <c r="S127">
        <v>11</v>
      </c>
    </row>
    <row r="128" spans="1:19" x14ac:dyDescent="0.35">
      <c r="A128">
        <v>7775</v>
      </c>
      <c r="B128">
        <v>195</v>
      </c>
      <c r="C128" t="str">
        <f>VLOOKUP(B128,Kunde!A:C,3,FALSE)</f>
        <v>Geschäftskunde</v>
      </c>
      <c r="D128" t="str">
        <f>VLOOKUP(O128,Produkt!$A$1:$E$5,2,FALSE)</f>
        <v>C</v>
      </c>
      <c r="E128">
        <f t="shared" si="3"/>
        <v>107</v>
      </c>
      <c r="F128">
        <f>VLOOKUP(D128,Produkt!$B$1:$C$5,2,FALSE)*Bestellungen!E128</f>
        <v>160500</v>
      </c>
      <c r="G128" s="2">
        <v>44811</v>
      </c>
      <c r="H128" s="2">
        <f t="shared" si="4"/>
        <v>44816</v>
      </c>
      <c r="I128" s="2">
        <f t="shared" si="5"/>
        <v>44852</v>
      </c>
      <c r="J128" t="str">
        <f>VLOOKUP(M128,Umfragenteilnahme!$A$2:$B$3,2,)</f>
        <v>Ja</v>
      </c>
      <c r="M128">
        <v>1</v>
      </c>
      <c r="N128">
        <v>195</v>
      </c>
      <c r="O128">
        <v>3</v>
      </c>
      <c r="P128">
        <v>107</v>
      </c>
      <c r="Q128">
        <v>5</v>
      </c>
      <c r="R128">
        <v>5</v>
      </c>
      <c r="S128">
        <v>41</v>
      </c>
    </row>
    <row r="129" spans="1:19" x14ac:dyDescent="0.35">
      <c r="A129">
        <v>7776</v>
      </c>
      <c r="B129">
        <v>467</v>
      </c>
      <c r="C129" t="str">
        <f>VLOOKUP(B129,Kunde!A:C,3,FALSE)</f>
        <v>Privatkunde</v>
      </c>
      <c r="D129" t="str">
        <f>VLOOKUP(O129,Produkt!$A$1:$E$5,2,FALSE)</f>
        <v>D</v>
      </c>
      <c r="E129">
        <f t="shared" si="3"/>
        <v>8</v>
      </c>
      <c r="F129">
        <f>VLOOKUP(D129,Produkt!$B$1:$C$5,2,FALSE)*Bestellungen!E129</f>
        <v>6400</v>
      </c>
      <c r="G129" s="2">
        <v>45002</v>
      </c>
      <c r="H129" s="2">
        <f t="shared" si="4"/>
        <v>45009</v>
      </c>
      <c r="I129" s="2">
        <f t="shared" si="5"/>
        <v>45043</v>
      </c>
      <c r="J129" t="str">
        <f>VLOOKUP(M129,Umfragenteilnahme!$A$2:$B$3,2,)</f>
        <v>Nein</v>
      </c>
      <c r="M129">
        <v>2</v>
      </c>
      <c r="N129">
        <v>467</v>
      </c>
      <c r="O129">
        <v>4</v>
      </c>
      <c r="P129">
        <v>45</v>
      </c>
      <c r="Q129">
        <v>8</v>
      </c>
      <c r="R129">
        <v>7</v>
      </c>
      <c r="S129">
        <v>41</v>
      </c>
    </row>
    <row r="130" spans="1:19" x14ac:dyDescent="0.35">
      <c r="A130">
        <v>7777</v>
      </c>
      <c r="B130">
        <v>334</v>
      </c>
      <c r="C130" t="str">
        <f>VLOOKUP(B130,Kunde!A:C,3,FALSE)</f>
        <v>Privatkunde</v>
      </c>
      <c r="D130" t="str">
        <f>VLOOKUP(O130,Produkt!$A$1:$E$5,2,FALSE)</f>
        <v>D</v>
      </c>
      <c r="E130">
        <f t="shared" si="3"/>
        <v>8</v>
      </c>
      <c r="F130">
        <f>VLOOKUP(D130,Produkt!$B$1:$C$5,2,FALSE)*Bestellungen!E130</f>
        <v>6400</v>
      </c>
      <c r="G130" s="2">
        <v>44741</v>
      </c>
      <c r="H130" s="2">
        <f t="shared" si="4"/>
        <v>44743</v>
      </c>
      <c r="I130" s="2">
        <f t="shared" si="5"/>
        <v>44744</v>
      </c>
      <c r="J130" t="str">
        <f>VLOOKUP(M130,Umfragenteilnahme!$A$2:$B$3,2,)</f>
        <v>Nein</v>
      </c>
      <c r="M130">
        <v>2</v>
      </c>
      <c r="N130">
        <v>334</v>
      </c>
      <c r="O130">
        <v>4</v>
      </c>
      <c r="P130">
        <v>80</v>
      </c>
      <c r="Q130">
        <v>8</v>
      </c>
      <c r="R130">
        <v>2</v>
      </c>
      <c r="S130">
        <v>3</v>
      </c>
    </row>
    <row r="131" spans="1:19" x14ac:dyDescent="0.35">
      <c r="A131">
        <v>7778</v>
      </c>
      <c r="B131">
        <v>162</v>
      </c>
      <c r="C131" t="str">
        <f>VLOOKUP(B131,Kunde!A:C,3,FALSE)</f>
        <v>Geschäftskunde</v>
      </c>
      <c r="D131" t="str">
        <f>VLOOKUP(O131,Produkt!$A$1:$E$5,2,FALSE)</f>
        <v>C</v>
      </c>
      <c r="E131">
        <f t="shared" ref="E131:E194" si="6">IF(C131="Geschäftskunde",P131,Q131)</f>
        <v>27</v>
      </c>
      <c r="F131">
        <f>VLOOKUP(D131,Produkt!$B$1:$C$5,2,FALSE)*Bestellungen!E131</f>
        <v>40500</v>
      </c>
      <c r="G131" s="2">
        <v>45016</v>
      </c>
      <c r="H131" s="2">
        <f t="shared" ref="H131:H194" si="7">G131+R131</f>
        <v>45022</v>
      </c>
      <c r="I131" s="2">
        <f t="shared" ref="I131:I194" si="8">G131+S131</f>
        <v>45051</v>
      </c>
      <c r="J131" t="str">
        <f>VLOOKUP(M131,Umfragenteilnahme!$A$2:$B$3,2,)</f>
        <v>Ja</v>
      </c>
      <c r="M131">
        <v>1</v>
      </c>
      <c r="N131">
        <v>162</v>
      </c>
      <c r="O131">
        <v>3</v>
      </c>
      <c r="P131">
        <v>27</v>
      </c>
      <c r="Q131">
        <v>1</v>
      </c>
      <c r="R131">
        <v>6</v>
      </c>
      <c r="S131">
        <v>35</v>
      </c>
    </row>
    <row r="132" spans="1:19" x14ac:dyDescent="0.35">
      <c r="A132">
        <v>7779</v>
      </c>
      <c r="B132">
        <v>127</v>
      </c>
      <c r="C132" t="str">
        <f>VLOOKUP(B132,Kunde!A:C,3,FALSE)</f>
        <v>Geschäftskunde</v>
      </c>
      <c r="D132" t="str">
        <f>VLOOKUP(O132,Produkt!$A$1:$E$5,2,FALSE)</f>
        <v>D</v>
      </c>
      <c r="E132">
        <f t="shared" si="6"/>
        <v>89</v>
      </c>
      <c r="F132">
        <f>VLOOKUP(D132,Produkt!$B$1:$C$5,2,FALSE)*Bestellungen!E132</f>
        <v>71200</v>
      </c>
      <c r="G132" s="2">
        <v>44821</v>
      </c>
      <c r="H132" s="2">
        <f t="shared" si="7"/>
        <v>44827</v>
      </c>
      <c r="I132" s="2">
        <f t="shared" si="8"/>
        <v>44880</v>
      </c>
      <c r="J132" t="str">
        <f>VLOOKUP(M132,Umfragenteilnahme!$A$2:$B$3,2,)</f>
        <v>Nein</v>
      </c>
      <c r="M132">
        <v>2</v>
      </c>
      <c r="N132">
        <v>127</v>
      </c>
      <c r="O132">
        <v>4</v>
      </c>
      <c r="P132">
        <v>89</v>
      </c>
      <c r="Q132">
        <v>6</v>
      </c>
      <c r="R132">
        <v>6</v>
      </c>
      <c r="S132">
        <v>59</v>
      </c>
    </row>
    <row r="133" spans="1:19" x14ac:dyDescent="0.35">
      <c r="A133">
        <v>7780</v>
      </c>
      <c r="B133">
        <v>618</v>
      </c>
      <c r="C133" t="str">
        <f>VLOOKUP(B133,Kunde!A:C,3,FALSE)</f>
        <v>Geschäftskunde</v>
      </c>
      <c r="D133" t="str">
        <f>VLOOKUP(O133,Produkt!$A$1:$E$5,2,FALSE)</f>
        <v>B</v>
      </c>
      <c r="E133">
        <f t="shared" si="6"/>
        <v>25</v>
      </c>
      <c r="F133">
        <f>VLOOKUP(D133,Produkt!$B$1:$C$5,2,FALSE)*Bestellungen!E133</f>
        <v>12000</v>
      </c>
      <c r="G133" s="2">
        <v>44754</v>
      </c>
      <c r="H133" s="2">
        <f t="shared" si="7"/>
        <v>44759</v>
      </c>
      <c r="I133" s="2">
        <f t="shared" si="8"/>
        <v>44811</v>
      </c>
      <c r="J133" t="str">
        <f>VLOOKUP(M133,Umfragenteilnahme!$A$2:$B$3,2,)</f>
        <v>Nein</v>
      </c>
      <c r="M133">
        <v>2</v>
      </c>
      <c r="N133">
        <v>618</v>
      </c>
      <c r="O133">
        <v>2</v>
      </c>
      <c r="P133">
        <v>25</v>
      </c>
      <c r="Q133">
        <v>9</v>
      </c>
      <c r="R133">
        <v>5</v>
      </c>
      <c r="S133">
        <v>57</v>
      </c>
    </row>
    <row r="134" spans="1:19" x14ac:dyDescent="0.35">
      <c r="A134">
        <v>7781</v>
      </c>
      <c r="B134">
        <v>738</v>
      </c>
      <c r="C134" t="str">
        <f>VLOOKUP(B134,Kunde!A:C,3,FALSE)</f>
        <v>Geschäftskunde</v>
      </c>
      <c r="D134" t="str">
        <f>VLOOKUP(O134,Produkt!$A$1:$E$5,2,FALSE)</f>
        <v>A</v>
      </c>
      <c r="E134">
        <f t="shared" si="6"/>
        <v>132</v>
      </c>
      <c r="F134">
        <f>VLOOKUP(D134,Produkt!$B$1:$C$5,2,FALSE)*Bestellungen!E134</f>
        <v>39600</v>
      </c>
      <c r="G134" s="2">
        <v>44867</v>
      </c>
      <c r="H134" s="2">
        <f t="shared" si="7"/>
        <v>44874</v>
      </c>
      <c r="I134" s="2">
        <f t="shared" si="8"/>
        <v>44901</v>
      </c>
      <c r="J134" t="str">
        <f>VLOOKUP(M134,Umfragenteilnahme!$A$2:$B$3,2,)</f>
        <v>Nein</v>
      </c>
      <c r="M134">
        <v>2</v>
      </c>
      <c r="N134">
        <v>738</v>
      </c>
      <c r="O134">
        <v>1</v>
      </c>
      <c r="P134">
        <v>132</v>
      </c>
      <c r="Q134">
        <v>4</v>
      </c>
      <c r="R134">
        <v>7</v>
      </c>
      <c r="S134">
        <v>34</v>
      </c>
    </row>
    <row r="135" spans="1:19" x14ac:dyDescent="0.35">
      <c r="A135">
        <v>7782</v>
      </c>
      <c r="B135">
        <v>188</v>
      </c>
      <c r="C135" t="str">
        <f>VLOOKUP(B135,Kunde!A:C,3,FALSE)</f>
        <v>Geschäftskunde</v>
      </c>
      <c r="D135" t="str">
        <f>VLOOKUP(O135,Produkt!$A$1:$E$5,2,FALSE)</f>
        <v>A</v>
      </c>
      <c r="E135">
        <f t="shared" si="6"/>
        <v>56</v>
      </c>
      <c r="F135">
        <f>VLOOKUP(D135,Produkt!$B$1:$C$5,2,FALSE)*Bestellungen!E135</f>
        <v>16800</v>
      </c>
      <c r="G135" s="2">
        <v>44844</v>
      </c>
      <c r="H135" s="2">
        <f t="shared" si="7"/>
        <v>44848</v>
      </c>
      <c r="I135" s="2">
        <f t="shared" si="8"/>
        <v>44890</v>
      </c>
      <c r="J135" t="str">
        <f>VLOOKUP(M135,Umfragenteilnahme!$A$2:$B$3,2,)</f>
        <v>Nein</v>
      </c>
      <c r="M135">
        <v>2</v>
      </c>
      <c r="N135">
        <v>188</v>
      </c>
      <c r="O135">
        <v>1</v>
      </c>
      <c r="P135">
        <v>56</v>
      </c>
      <c r="Q135">
        <v>6</v>
      </c>
      <c r="R135">
        <v>4</v>
      </c>
      <c r="S135">
        <v>46</v>
      </c>
    </row>
    <row r="136" spans="1:19" x14ac:dyDescent="0.35">
      <c r="A136">
        <v>7783</v>
      </c>
      <c r="B136">
        <v>433</v>
      </c>
      <c r="C136" t="str">
        <f>VLOOKUP(B136,Kunde!A:C,3,FALSE)</f>
        <v>Privatkunde</v>
      </c>
      <c r="D136" t="str">
        <f>VLOOKUP(O136,Produkt!$A$1:$E$5,2,FALSE)</f>
        <v>A</v>
      </c>
      <c r="E136">
        <f t="shared" si="6"/>
        <v>9</v>
      </c>
      <c r="F136">
        <f>VLOOKUP(D136,Produkt!$B$1:$C$5,2,FALSE)*Bestellungen!E136</f>
        <v>2700</v>
      </c>
      <c r="G136" s="2">
        <v>44878</v>
      </c>
      <c r="H136" s="2">
        <f t="shared" si="7"/>
        <v>44881</v>
      </c>
      <c r="I136" s="2">
        <f t="shared" si="8"/>
        <v>44893</v>
      </c>
      <c r="J136" t="str">
        <f>VLOOKUP(M136,Umfragenteilnahme!$A$2:$B$3,2,)</f>
        <v>Ja</v>
      </c>
      <c r="M136">
        <v>1</v>
      </c>
      <c r="N136">
        <v>433</v>
      </c>
      <c r="O136">
        <v>1</v>
      </c>
      <c r="P136">
        <v>63</v>
      </c>
      <c r="Q136">
        <v>9</v>
      </c>
      <c r="R136">
        <v>3</v>
      </c>
      <c r="S136">
        <v>15</v>
      </c>
    </row>
    <row r="137" spans="1:19" x14ac:dyDescent="0.35">
      <c r="A137">
        <v>7784</v>
      </c>
      <c r="B137">
        <v>494</v>
      </c>
      <c r="C137" t="str">
        <f>VLOOKUP(B137,Kunde!A:C,3,FALSE)</f>
        <v>Geschäftskunde</v>
      </c>
      <c r="D137" t="str">
        <f>VLOOKUP(O137,Produkt!$A$1:$E$5,2,FALSE)</f>
        <v>D</v>
      </c>
      <c r="E137">
        <f t="shared" si="6"/>
        <v>37</v>
      </c>
      <c r="F137">
        <f>VLOOKUP(D137,Produkt!$B$1:$C$5,2,FALSE)*Bestellungen!E137</f>
        <v>29600</v>
      </c>
      <c r="G137" s="2">
        <v>44835</v>
      </c>
      <c r="H137" s="2">
        <f t="shared" si="7"/>
        <v>44842</v>
      </c>
      <c r="I137" s="2">
        <f t="shared" si="8"/>
        <v>44883</v>
      </c>
      <c r="J137" t="str">
        <f>VLOOKUP(M137,Umfragenteilnahme!$A$2:$B$3,2,)</f>
        <v>Nein</v>
      </c>
      <c r="M137">
        <v>2</v>
      </c>
      <c r="N137">
        <v>494</v>
      </c>
      <c r="O137">
        <v>4</v>
      </c>
      <c r="P137">
        <v>37</v>
      </c>
      <c r="Q137">
        <v>1</v>
      </c>
      <c r="R137">
        <v>7</v>
      </c>
      <c r="S137">
        <v>48</v>
      </c>
    </row>
    <row r="138" spans="1:19" x14ac:dyDescent="0.35">
      <c r="A138">
        <v>7785</v>
      </c>
      <c r="B138">
        <v>609</v>
      </c>
      <c r="C138" t="str">
        <f>VLOOKUP(B138,Kunde!A:C,3,FALSE)</f>
        <v>Geschäftskunde</v>
      </c>
      <c r="D138" t="str">
        <f>VLOOKUP(O138,Produkt!$A$1:$E$5,2,FALSE)</f>
        <v>A</v>
      </c>
      <c r="E138">
        <f t="shared" si="6"/>
        <v>129</v>
      </c>
      <c r="F138">
        <f>VLOOKUP(D138,Produkt!$B$1:$C$5,2,FALSE)*Bestellungen!E138</f>
        <v>38700</v>
      </c>
      <c r="G138" s="2">
        <v>44997</v>
      </c>
      <c r="H138" s="2">
        <f t="shared" si="7"/>
        <v>45003</v>
      </c>
      <c r="I138" s="2">
        <f t="shared" si="8"/>
        <v>45017</v>
      </c>
      <c r="J138" t="str">
        <f>VLOOKUP(M138,Umfragenteilnahme!$A$2:$B$3,2,)</f>
        <v>Ja</v>
      </c>
      <c r="M138">
        <v>1</v>
      </c>
      <c r="N138">
        <v>609</v>
      </c>
      <c r="O138">
        <v>1</v>
      </c>
      <c r="P138">
        <v>129</v>
      </c>
      <c r="Q138">
        <v>9</v>
      </c>
      <c r="R138">
        <v>6</v>
      </c>
      <c r="S138">
        <v>20</v>
      </c>
    </row>
    <row r="139" spans="1:19" x14ac:dyDescent="0.35">
      <c r="A139">
        <v>7786</v>
      </c>
      <c r="B139">
        <v>98</v>
      </c>
      <c r="C139" t="str">
        <f>VLOOKUP(B139,Kunde!A:C,3,FALSE)</f>
        <v>Geschäftskunde</v>
      </c>
      <c r="D139" t="str">
        <f>VLOOKUP(O139,Produkt!$A$1:$E$5,2,FALSE)</f>
        <v>C</v>
      </c>
      <c r="E139">
        <f t="shared" si="6"/>
        <v>45</v>
      </c>
      <c r="F139">
        <f>VLOOKUP(D139,Produkt!$B$1:$C$5,2,FALSE)*Bestellungen!E139</f>
        <v>67500</v>
      </c>
      <c r="G139" s="2">
        <v>44839</v>
      </c>
      <c r="H139" s="2">
        <f t="shared" si="7"/>
        <v>44843</v>
      </c>
      <c r="I139" s="2">
        <f t="shared" si="8"/>
        <v>44873</v>
      </c>
      <c r="J139" t="str">
        <f>VLOOKUP(M139,Umfragenteilnahme!$A$2:$B$3,2,)</f>
        <v>Ja</v>
      </c>
      <c r="M139">
        <v>1</v>
      </c>
      <c r="N139">
        <v>98</v>
      </c>
      <c r="O139">
        <v>3</v>
      </c>
      <c r="P139">
        <v>45</v>
      </c>
      <c r="Q139">
        <v>5</v>
      </c>
      <c r="R139">
        <v>4</v>
      </c>
      <c r="S139">
        <v>34</v>
      </c>
    </row>
    <row r="140" spans="1:19" x14ac:dyDescent="0.35">
      <c r="A140">
        <v>7787</v>
      </c>
      <c r="B140">
        <v>254</v>
      </c>
      <c r="C140" t="str">
        <f>VLOOKUP(B140,Kunde!A:C,3,FALSE)</f>
        <v>Geschäftskunde</v>
      </c>
      <c r="D140" t="str">
        <f>VLOOKUP(O140,Produkt!$A$1:$E$5,2,FALSE)</f>
        <v>B</v>
      </c>
      <c r="E140">
        <f t="shared" si="6"/>
        <v>145</v>
      </c>
      <c r="F140">
        <f>VLOOKUP(D140,Produkt!$B$1:$C$5,2,FALSE)*Bestellungen!E140</f>
        <v>69600</v>
      </c>
      <c r="G140" s="2">
        <v>44971</v>
      </c>
      <c r="H140" s="2">
        <f t="shared" si="7"/>
        <v>44975</v>
      </c>
      <c r="I140" s="2">
        <f t="shared" si="8"/>
        <v>45011</v>
      </c>
      <c r="J140" t="str">
        <f>VLOOKUP(M140,Umfragenteilnahme!$A$2:$B$3,2,)</f>
        <v>Ja</v>
      </c>
      <c r="M140">
        <v>1</v>
      </c>
      <c r="N140">
        <v>254</v>
      </c>
      <c r="O140">
        <v>2</v>
      </c>
      <c r="P140">
        <v>145</v>
      </c>
      <c r="Q140">
        <v>2</v>
      </c>
      <c r="R140">
        <v>4</v>
      </c>
      <c r="S140">
        <v>40</v>
      </c>
    </row>
    <row r="141" spans="1:19" x14ac:dyDescent="0.35">
      <c r="A141">
        <v>7788</v>
      </c>
      <c r="B141">
        <v>294</v>
      </c>
      <c r="C141" t="str">
        <f>VLOOKUP(B141,Kunde!A:C,3,FALSE)</f>
        <v>Geschäftskunde</v>
      </c>
      <c r="D141" t="str">
        <f>VLOOKUP(O141,Produkt!$A$1:$E$5,2,FALSE)</f>
        <v>A</v>
      </c>
      <c r="E141">
        <f t="shared" si="6"/>
        <v>115</v>
      </c>
      <c r="F141">
        <f>VLOOKUP(D141,Produkt!$B$1:$C$5,2,FALSE)*Bestellungen!E141</f>
        <v>34500</v>
      </c>
      <c r="G141" s="2">
        <v>45035</v>
      </c>
      <c r="H141" s="2">
        <f t="shared" si="7"/>
        <v>45041</v>
      </c>
      <c r="I141" s="2">
        <f t="shared" si="8"/>
        <v>45051</v>
      </c>
      <c r="J141" t="str">
        <f>VLOOKUP(M141,Umfragenteilnahme!$A$2:$B$3,2,)</f>
        <v>Ja</v>
      </c>
      <c r="M141">
        <v>1</v>
      </c>
      <c r="N141">
        <v>294</v>
      </c>
      <c r="O141">
        <v>1</v>
      </c>
      <c r="P141">
        <v>115</v>
      </c>
      <c r="Q141">
        <v>9</v>
      </c>
      <c r="R141">
        <v>6</v>
      </c>
      <c r="S141">
        <v>16</v>
      </c>
    </row>
    <row r="142" spans="1:19" x14ac:dyDescent="0.35">
      <c r="A142">
        <v>7789</v>
      </c>
      <c r="B142">
        <v>503</v>
      </c>
      <c r="C142" t="str">
        <f>VLOOKUP(B142,Kunde!A:C,3,FALSE)</f>
        <v>Geschäftskunde</v>
      </c>
      <c r="D142" t="str">
        <f>VLOOKUP(O142,Produkt!$A$1:$E$5,2,FALSE)</f>
        <v>A</v>
      </c>
      <c r="E142">
        <f t="shared" si="6"/>
        <v>119</v>
      </c>
      <c r="F142">
        <f>VLOOKUP(D142,Produkt!$B$1:$C$5,2,FALSE)*Bestellungen!E142</f>
        <v>35700</v>
      </c>
      <c r="G142" s="2">
        <v>44947</v>
      </c>
      <c r="H142" s="2">
        <f t="shared" si="7"/>
        <v>44951</v>
      </c>
      <c r="I142" s="2">
        <f t="shared" si="8"/>
        <v>44957</v>
      </c>
      <c r="J142" t="str">
        <f>VLOOKUP(M142,Umfragenteilnahme!$A$2:$B$3,2,)</f>
        <v>Ja</v>
      </c>
      <c r="M142">
        <v>1</v>
      </c>
      <c r="N142">
        <v>503</v>
      </c>
      <c r="O142">
        <v>1</v>
      </c>
      <c r="P142">
        <v>119</v>
      </c>
      <c r="Q142">
        <v>2</v>
      </c>
      <c r="R142">
        <v>4</v>
      </c>
      <c r="S142">
        <v>10</v>
      </c>
    </row>
    <row r="143" spans="1:19" x14ac:dyDescent="0.35">
      <c r="A143">
        <v>7790</v>
      </c>
      <c r="B143">
        <v>108</v>
      </c>
      <c r="C143" t="str">
        <f>VLOOKUP(B143,Kunde!A:C,3,FALSE)</f>
        <v>Privatkunde</v>
      </c>
      <c r="D143" t="str">
        <f>VLOOKUP(O143,Produkt!$A$1:$E$5,2,FALSE)</f>
        <v>A</v>
      </c>
      <c r="E143">
        <f t="shared" si="6"/>
        <v>6</v>
      </c>
      <c r="F143">
        <f>VLOOKUP(D143,Produkt!$B$1:$C$5,2,FALSE)*Bestellungen!E143</f>
        <v>1800</v>
      </c>
      <c r="G143" s="2">
        <v>44783</v>
      </c>
      <c r="H143" s="2">
        <f t="shared" si="7"/>
        <v>44785</v>
      </c>
      <c r="I143" s="2">
        <f t="shared" si="8"/>
        <v>44837</v>
      </c>
      <c r="J143" t="str">
        <f>VLOOKUP(M143,Umfragenteilnahme!$A$2:$B$3,2,)</f>
        <v>Nein</v>
      </c>
      <c r="M143">
        <v>2</v>
      </c>
      <c r="N143">
        <v>108</v>
      </c>
      <c r="O143">
        <v>1</v>
      </c>
      <c r="P143">
        <v>116</v>
      </c>
      <c r="Q143">
        <v>6</v>
      </c>
      <c r="R143">
        <v>2</v>
      </c>
      <c r="S143">
        <v>54</v>
      </c>
    </row>
    <row r="144" spans="1:19" x14ac:dyDescent="0.35">
      <c r="A144">
        <v>7791</v>
      </c>
      <c r="B144">
        <v>351</v>
      </c>
      <c r="C144" t="str">
        <f>VLOOKUP(B144,Kunde!A:C,3,FALSE)</f>
        <v>Geschäftskunde</v>
      </c>
      <c r="D144" t="str">
        <f>VLOOKUP(O144,Produkt!$A$1:$E$5,2,FALSE)</f>
        <v>D</v>
      </c>
      <c r="E144">
        <f t="shared" si="6"/>
        <v>73</v>
      </c>
      <c r="F144">
        <f>VLOOKUP(D144,Produkt!$B$1:$C$5,2,FALSE)*Bestellungen!E144</f>
        <v>58400</v>
      </c>
      <c r="G144" s="2">
        <v>44969</v>
      </c>
      <c r="H144" s="2">
        <f t="shared" si="7"/>
        <v>44974</v>
      </c>
      <c r="I144" s="2">
        <f t="shared" si="8"/>
        <v>44982</v>
      </c>
      <c r="J144" t="str">
        <f>VLOOKUP(M144,Umfragenteilnahme!$A$2:$B$3,2,)</f>
        <v>Nein</v>
      </c>
      <c r="M144">
        <v>2</v>
      </c>
      <c r="N144">
        <v>351</v>
      </c>
      <c r="O144">
        <v>4</v>
      </c>
      <c r="P144">
        <v>73</v>
      </c>
      <c r="Q144">
        <v>8</v>
      </c>
      <c r="R144">
        <v>5</v>
      </c>
      <c r="S144">
        <v>13</v>
      </c>
    </row>
    <row r="145" spans="1:19" x14ac:dyDescent="0.35">
      <c r="A145">
        <v>7792</v>
      </c>
      <c r="B145">
        <v>418</v>
      </c>
      <c r="C145" t="str">
        <f>VLOOKUP(B145,Kunde!A:C,3,FALSE)</f>
        <v>Privatkunde</v>
      </c>
      <c r="D145" t="str">
        <f>VLOOKUP(O145,Produkt!$A$1:$E$5,2,FALSE)</f>
        <v>C</v>
      </c>
      <c r="E145">
        <f t="shared" si="6"/>
        <v>6</v>
      </c>
      <c r="F145">
        <f>VLOOKUP(D145,Produkt!$B$1:$C$5,2,FALSE)*Bestellungen!E145</f>
        <v>9000</v>
      </c>
      <c r="G145" s="2">
        <v>44763</v>
      </c>
      <c r="H145" s="2">
        <f t="shared" si="7"/>
        <v>44769</v>
      </c>
      <c r="I145" s="2">
        <f t="shared" si="8"/>
        <v>44775</v>
      </c>
      <c r="J145" t="str">
        <f>VLOOKUP(M145,Umfragenteilnahme!$A$2:$B$3,2,)</f>
        <v>Nein</v>
      </c>
      <c r="M145">
        <v>2</v>
      </c>
      <c r="N145">
        <v>418</v>
      </c>
      <c r="O145">
        <v>3</v>
      </c>
      <c r="P145">
        <v>103</v>
      </c>
      <c r="Q145">
        <v>6</v>
      </c>
      <c r="R145">
        <v>6</v>
      </c>
      <c r="S145">
        <v>12</v>
      </c>
    </row>
    <row r="146" spans="1:19" x14ac:dyDescent="0.35">
      <c r="A146">
        <v>7793</v>
      </c>
      <c r="B146">
        <v>472</v>
      </c>
      <c r="C146" t="str">
        <f>VLOOKUP(B146,Kunde!A:C,3,FALSE)</f>
        <v>Privatkunde</v>
      </c>
      <c r="D146" t="str">
        <f>VLOOKUP(O146,Produkt!$A$1:$E$5,2,FALSE)</f>
        <v>D</v>
      </c>
      <c r="E146">
        <f t="shared" si="6"/>
        <v>3</v>
      </c>
      <c r="F146">
        <f>VLOOKUP(D146,Produkt!$B$1:$C$5,2,FALSE)*Bestellungen!E146</f>
        <v>2400</v>
      </c>
      <c r="G146" s="2">
        <v>44845</v>
      </c>
      <c r="H146" s="2">
        <f t="shared" si="7"/>
        <v>44848</v>
      </c>
      <c r="I146" s="2">
        <f t="shared" si="8"/>
        <v>44874</v>
      </c>
      <c r="J146" t="str">
        <f>VLOOKUP(M146,Umfragenteilnahme!$A$2:$B$3,2,)</f>
        <v>Nein</v>
      </c>
      <c r="M146">
        <v>2</v>
      </c>
      <c r="N146">
        <v>472</v>
      </c>
      <c r="O146">
        <v>4</v>
      </c>
      <c r="P146">
        <v>56</v>
      </c>
      <c r="Q146">
        <v>3</v>
      </c>
      <c r="R146">
        <v>3</v>
      </c>
      <c r="S146">
        <v>29</v>
      </c>
    </row>
    <row r="147" spans="1:19" x14ac:dyDescent="0.35">
      <c r="A147">
        <v>7794</v>
      </c>
      <c r="B147">
        <v>469</v>
      </c>
      <c r="C147" t="str">
        <f>VLOOKUP(B147,Kunde!A:C,3,FALSE)</f>
        <v>Geschäftskunde</v>
      </c>
      <c r="D147" t="str">
        <f>VLOOKUP(O147,Produkt!$A$1:$E$5,2,FALSE)</f>
        <v>B</v>
      </c>
      <c r="E147">
        <f t="shared" si="6"/>
        <v>74</v>
      </c>
      <c r="F147">
        <f>VLOOKUP(D147,Produkt!$B$1:$C$5,2,FALSE)*Bestellungen!E147</f>
        <v>35520</v>
      </c>
      <c r="G147" s="2">
        <v>44894</v>
      </c>
      <c r="H147" s="2">
        <f t="shared" si="7"/>
        <v>44899</v>
      </c>
      <c r="I147" s="2">
        <f t="shared" si="8"/>
        <v>44920</v>
      </c>
      <c r="J147" t="str">
        <f>VLOOKUP(M147,Umfragenteilnahme!$A$2:$B$3,2,)</f>
        <v>Nein</v>
      </c>
      <c r="M147">
        <v>2</v>
      </c>
      <c r="N147">
        <v>469</v>
      </c>
      <c r="O147">
        <v>2</v>
      </c>
      <c r="P147">
        <v>74</v>
      </c>
      <c r="Q147">
        <v>3</v>
      </c>
      <c r="R147">
        <v>5</v>
      </c>
      <c r="S147">
        <v>26</v>
      </c>
    </row>
    <row r="148" spans="1:19" x14ac:dyDescent="0.35">
      <c r="A148">
        <v>7795</v>
      </c>
      <c r="B148">
        <v>788</v>
      </c>
      <c r="C148" t="str">
        <f>VLOOKUP(B148,Kunde!A:C,3,FALSE)</f>
        <v>Geschäftskunde</v>
      </c>
      <c r="D148" t="str">
        <f>VLOOKUP(O148,Produkt!$A$1:$E$5,2,FALSE)</f>
        <v>A</v>
      </c>
      <c r="E148">
        <f t="shared" si="6"/>
        <v>90</v>
      </c>
      <c r="F148">
        <f>VLOOKUP(D148,Produkt!$B$1:$C$5,2,FALSE)*Bestellungen!E148</f>
        <v>27000</v>
      </c>
      <c r="G148" s="2">
        <v>44996</v>
      </c>
      <c r="H148" s="2">
        <f t="shared" si="7"/>
        <v>45000</v>
      </c>
      <c r="I148" s="2">
        <f t="shared" si="8"/>
        <v>45031</v>
      </c>
      <c r="J148" t="str">
        <f>VLOOKUP(M148,Umfragenteilnahme!$A$2:$B$3,2,)</f>
        <v>Nein</v>
      </c>
      <c r="M148">
        <v>2</v>
      </c>
      <c r="N148">
        <v>788</v>
      </c>
      <c r="O148">
        <v>1</v>
      </c>
      <c r="P148">
        <v>90</v>
      </c>
      <c r="Q148">
        <v>6</v>
      </c>
      <c r="R148">
        <v>4</v>
      </c>
      <c r="S148">
        <v>35</v>
      </c>
    </row>
    <row r="149" spans="1:19" x14ac:dyDescent="0.35">
      <c r="A149">
        <v>7796</v>
      </c>
      <c r="B149">
        <v>20</v>
      </c>
      <c r="C149" t="str">
        <f>VLOOKUP(B149,Kunde!A:C,3,FALSE)</f>
        <v>Geschäftskunde</v>
      </c>
      <c r="D149" t="str">
        <f>VLOOKUP(O149,Produkt!$A$1:$E$5,2,FALSE)</f>
        <v>B</v>
      </c>
      <c r="E149">
        <f t="shared" si="6"/>
        <v>114</v>
      </c>
      <c r="F149">
        <f>VLOOKUP(D149,Produkt!$B$1:$C$5,2,FALSE)*Bestellungen!E149</f>
        <v>54720</v>
      </c>
      <c r="G149" s="2">
        <v>44855</v>
      </c>
      <c r="H149" s="2">
        <f t="shared" si="7"/>
        <v>44857</v>
      </c>
      <c r="I149" s="2">
        <f t="shared" si="8"/>
        <v>44911</v>
      </c>
      <c r="J149" t="str">
        <f>VLOOKUP(M149,Umfragenteilnahme!$A$2:$B$3,2,)</f>
        <v>Nein</v>
      </c>
      <c r="M149">
        <v>2</v>
      </c>
      <c r="N149">
        <v>20</v>
      </c>
      <c r="O149">
        <v>2</v>
      </c>
      <c r="P149">
        <v>114</v>
      </c>
      <c r="Q149">
        <v>7</v>
      </c>
      <c r="R149">
        <v>2</v>
      </c>
      <c r="S149">
        <v>56</v>
      </c>
    </row>
    <row r="150" spans="1:19" x14ac:dyDescent="0.35">
      <c r="A150">
        <v>7797</v>
      </c>
      <c r="B150">
        <v>683</v>
      </c>
      <c r="C150" t="str">
        <f>VLOOKUP(B150,Kunde!A:C,3,FALSE)</f>
        <v>Geschäftskunde</v>
      </c>
      <c r="D150" t="str">
        <f>VLOOKUP(O150,Produkt!$A$1:$E$5,2,FALSE)</f>
        <v>A</v>
      </c>
      <c r="E150">
        <f t="shared" si="6"/>
        <v>38</v>
      </c>
      <c r="F150">
        <f>VLOOKUP(D150,Produkt!$B$1:$C$5,2,FALSE)*Bestellungen!E150</f>
        <v>11400</v>
      </c>
      <c r="G150" s="2">
        <v>44758</v>
      </c>
      <c r="H150" s="2">
        <f t="shared" si="7"/>
        <v>44760</v>
      </c>
      <c r="I150" s="2">
        <f t="shared" si="8"/>
        <v>44803</v>
      </c>
      <c r="J150" t="str">
        <f>VLOOKUP(M150,Umfragenteilnahme!$A$2:$B$3,2,)</f>
        <v>Nein</v>
      </c>
      <c r="M150">
        <v>2</v>
      </c>
      <c r="N150">
        <v>683</v>
      </c>
      <c r="O150">
        <v>1</v>
      </c>
      <c r="P150">
        <v>38</v>
      </c>
      <c r="Q150">
        <v>8</v>
      </c>
      <c r="R150">
        <v>2</v>
      </c>
      <c r="S150">
        <v>45</v>
      </c>
    </row>
    <row r="151" spans="1:19" x14ac:dyDescent="0.35">
      <c r="A151">
        <v>7798</v>
      </c>
      <c r="B151">
        <v>712</v>
      </c>
      <c r="C151" t="str">
        <f>VLOOKUP(B151,Kunde!A:C,3,FALSE)</f>
        <v>Privatkunde</v>
      </c>
      <c r="D151" t="str">
        <f>VLOOKUP(O151,Produkt!$A$1:$E$5,2,FALSE)</f>
        <v>C</v>
      </c>
      <c r="E151">
        <f t="shared" si="6"/>
        <v>7</v>
      </c>
      <c r="F151">
        <f>VLOOKUP(D151,Produkt!$B$1:$C$5,2,FALSE)*Bestellungen!E151</f>
        <v>10500</v>
      </c>
      <c r="G151" s="2">
        <v>45046</v>
      </c>
      <c r="H151" s="2">
        <f t="shared" si="7"/>
        <v>45052</v>
      </c>
      <c r="I151" s="2">
        <f t="shared" si="8"/>
        <v>45083</v>
      </c>
      <c r="J151" t="str">
        <f>VLOOKUP(M151,Umfragenteilnahme!$A$2:$B$3,2,)</f>
        <v>Nein</v>
      </c>
      <c r="M151">
        <v>2</v>
      </c>
      <c r="N151">
        <v>712</v>
      </c>
      <c r="O151">
        <v>3</v>
      </c>
      <c r="P151">
        <v>111</v>
      </c>
      <c r="Q151">
        <v>7</v>
      </c>
      <c r="R151">
        <v>6</v>
      </c>
      <c r="S151">
        <v>37</v>
      </c>
    </row>
    <row r="152" spans="1:19" x14ac:dyDescent="0.35">
      <c r="A152">
        <v>7799</v>
      </c>
      <c r="B152">
        <v>336</v>
      </c>
      <c r="C152" t="str">
        <f>VLOOKUP(B152,Kunde!A:C,3,FALSE)</f>
        <v>Privatkunde</v>
      </c>
      <c r="D152" t="str">
        <f>VLOOKUP(O152,Produkt!$A$1:$E$5,2,FALSE)</f>
        <v>C</v>
      </c>
      <c r="E152">
        <f t="shared" si="6"/>
        <v>5</v>
      </c>
      <c r="F152">
        <f>VLOOKUP(D152,Produkt!$B$1:$C$5,2,FALSE)*Bestellungen!E152</f>
        <v>7500</v>
      </c>
      <c r="G152" s="2">
        <v>44807</v>
      </c>
      <c r="H152" s="2">
        <f t="shared" si="7"/>
        <v>44811</v>
      </c>
      <c r="I152" s="2">
        <f t="shared" si="8"/>
        <v>44867</v>
      </c>
      <c r="J152" t="str">
        <f>VLOOKUP(M152,Umfragenteilnahme!$A$2:$B$3,2,)</f>
        <v>Nein</v>
      </c>
      <c r="M152">
        <v>2</v>
      </c>
      <c r="N152">
        <v>336</v>
      </c>
      <c r="O152">
        <v>3</v>
      </c>
      <c r="P152">
        <v>93</v>
      </c>
      <c r="Q152">
        <v>5</v>
      </c>
      <c r="R152">
        <v>4</v>
      </c>
      <c r="S152">
        <v>60</v>
      </c>
    </row>
    <row r="153" spans="1:19" x14ac:dyDescent="0.35">
      <c r="A153">
        <v>7800</v>
      </c>
      <c r="B153">
        <v>139</v>
      </c>
      <c r="C153" t="str">
        <f>VLOOKUP(B153,Kunde!A:C,3,FALSE)</f>
        <v>Geschäftskunde</v>
      </c>
      <c r="D153" t="str">
        <f>VLOOKUP(O153,Produkt!$A$1:$E$5,2,FALSE)</f>
        <v>D</v>
      </c>
      <c r="E153">
        <f t="shared" si="6"/>
        <v>28</v>
      </c>
      <c r="F153">
        <f>VLOOKUP(D153,Produkt!$B$1:$C$5,2,FALSE)*Bestellungen!E153</f>
        <v>22400</v>
      </c>
      <c r="G153" s="2">
        <v>44915</v>
      </c>
      <c r="H153" s="2">
        <f t="shared" si="7"/>
        <v>44922</v>
      </c>
      <c r="I153" s="2">
        <f t="shared" si="8"/>
        <v>44968</v>
      </c>
      <c r="J153" t="str">
        <f>VLOOKUP(M153,Umfragenteilnahme!$A$2:$B$3,2,)</f>
        <v>Ja</v>
      </c>
      <c r="M153">
        <v>1</v>
      </c>
      <c r="N153">
        <v>139</v>
      </c>
      <c r="O153">
        <v>4</v>
      </c>
      <c r="P153">
        <v>28</v>
      </c>
      <c r="Q153">
        <v>9</v>
      </c>
      <c r="R153">
        <v>7</v>
      </c>
      <c r="S153">
        <v>53</v>
      </c>
    </row>
    <row r="154" spans="1:19" x14ac:dyDescent="0.35">
      <c r="A154">
        <v>7801</v>
      </c>
      <c r="B154">
        <v>505</v>
      </c>
      <c r="C154" t="str">
        <f>VLOOKUP(B154,Kunde!A:C,3,FALSE)</f>
        <v>Geschäftskunde</v>
      </c>
      <c r="D154" t="str">
        <f>VLOOKUP(O154,Produkt!$A$1:$E$5,2,FALSE)</f>
        <v>C</v>
      </c>
      <c r="E154">
        <f t="shared" si="6"/>
        <v>70</v>
      </c>
      <c r="F154">
        <f>VLOOKUP(D154,Produkt!$B$1:$C$5,2,FALSE)*Bestellungen!E154</f>
        <v>105000</v>
      </c>
      <c r="G154" s="2">
        <v>44846</v>
      </c>
      <c r="H154" s="2">
        <f t="shared" si="7"/>
        <v>44853</v>
      </c>
      <c r="I154" s="2">
        <f t="shared" si="8"/>
        <v>44888</v>
      </c>
      <c r="J154" t="str">
        <f>VLOOKUP(M154,Umfragenteilnahme!$A$2:$B$3,2,)</f>
        <v>Nein</v>
      </c>
      <c r="M154">
        <v>2</v>
      </c>
      <c r="N154">
        <v>505</v>
      </c>
      <c r="O154">
        <v>3</v>
      </c>
      <c r="P154">
        <v>70</v>
      </c>
      <c r="Q154">
        <v>3</v>
      </c>
      <c r="R154">
        <v>7</v>
      </c>
      <c r="S154">
        <v>42</v>
      </c>
    </row>
    <row r="155" spans="1:19" x14ac:dyDescent="0.35">
      <c r="A155">
        <v>7802</v>
      </c>
      <c r="B155">
        <v>106</v>
      </c>
      <c r="C155" t="str">
        <f>VLOOKUP(B155,Kunde!A:C,3,FALSE)</f>
        <v>Geschäftskunde</v>
      </c>
      <c r="D155" t="str">
        <f>VLOOKUP(O155,Produkt!$A$1:$E$5,2,FALSE)</f>
        <v>A</v>
      </c>
      <c r="E155">
        <f t="shared" si="6"/>
        <v>62</v>
      </c>
      <c r="F155">
        <f>VLOOKUP(D155,Produkt!$B$1:$C$5,2,FALSE)*Bestellungen!E155</f>
        <v>18600</v>
      </c>
      <c r="G155" s="2">
        <v>44903</v>
      </c>
      <c r="H155" s="2">
        <f t="shared" si="7"/>
        <v>44906</v>
      </c>
      <c r="I155" s="2">
        <f t="shared" si="8"/>
        <v>44910</v>
      </c>
      <c r="J155" t="str">
        <f>VLOOKUP(M155,Umfragenteilnahme!$A$2:$B$3,2,)</f>
        <v>Nein</v>
      </c>
      <c r="M155">
        <v>2</v>
      </c>
      <c r="N155">
        <v>106</v>
      </c>
      <c r="O155">
        <v>1</v>
      </c>
      <c r="P155">
        <v>62</v>
      </c>
      <c r="Q155">
        <v>8</v>
      </c>
      <c r="R155">
        <v>3</v>
      </c>
      <c r="S155">
        <v>7</v>
      </c>
    </row>
    <row r="156" spans="1:19" x14ac:dyDescent="0.35">
      <c r="A156">
        <v>7803</v>
      </c>
      <c r="B156">
        <v>369</v>
      </c>
      <c r="C156" t="str">
        <f>VLOOKUP(B156,Kunde!A:C,3,FALSE)</f>
        <v>Geschäftskunde</v>
      </c>
      <c r="D156" t="str">
        <f>VLOOKUP(O156,Produkt!$A$1:$E$5,2,FALSE)</f>
        <v>C</v>
      </c>
      <c r="E156">
        <f t="shared" si="6"/>
        <v>59</v>
      </c>
      <c r="F156">
        <f>VLOOKUP(D156,Produkt!$B$1:$C$5,2,FALSE)*Bestellungen!E156</f>
        <v>88500</v>
      </c>
      <c r="G156" s="2">
        <v>44968</v>
      </c>
      <c r="H156" s="2">
        <f t="shared" si="7"/>
        <v>44970</v>
      </c>
      <c r="I156" s="2">
        <f t="shared" si="8"/>
        <v>45013</v>
      </c>
      <c r="J156" t="str">
        <f>VLOOKUP(M156,Umfragenteilnahme!$A$2:$B$3,2,)</f>
        <v>Nein</v>
      </c>
      <c r="M156">
        <v>2</v>
      </c>
      <c r="N156">
        <v>369</v>
      </c>
      <c r="O156">
        <v>3</v>
      </c>
      <c r="P156">
        <v>59</v>
      </c>
      <c r="Q156">
        <v>5</v>
      </c>
      <c r="R156">
        <v>2</v>
      </c>
      <c r="S156">
        <v>45</v>
      </c>
    </row>
    <row r="157" spans="1:19" x14ac:dyDescent="0.35">
      <c r="A157">
        <v>7804</v>
      </c>
      <c r="B157">
        <v>176</v>
      </c>
      <c r="C157" t="str">
        <f>VLOOKUP(B157,Kunde!A:C,3,FALSE)</f>
        <v>Geschäftskunde</v>
      </c>
      <c r="D157" t="str">
        <f>VLOOKUP(O157,Produkt!$A$1:$E$5,2,FALSE)</f>
        <v>C</v>
      </c>
      <c r="E157">
        <f t="shared" si="6"/>
        <v>51</v>
      </c>
      <c r="F157">
        <f>VLOOKUP(D157,Produkt!$B$1:$C$5,2,FALSE)*Bestellungen!E157</f>
        <v>76500</v>
      </c>
      <c r="G157" s="2">
        <v>45047</v>
      </c>
      <c r="H157" s="2">
        <f t="shared" si="7"/>
        <v>45054</v>
      </c>
      <c r="I157" s="2">
        <f t="shared" si="8"/>
        <v>45060</v>
      </c>
      <c r="J157" t="str">
        <f>VLOOKUP(M157,Umfragenteilnahme!$A$2:$B$3,2,)</f>
        <v>Nein</v>
      </c>
      <c r="M157">
        <v>2</v>
      </c>
      <c r="N157">
        <v>176</v>
      </c>
      <c r="O157">
        <v>3</v>
      </c>
      <c r="P157">
        <v>51</v>
      </c>
      <c r="Q157">
        <v>5</v>
      </c>
      <c r="R157">
        <v>7</v>
      </c>
      <c r="S157">
        <v>13</v>
      </c>
    </row>
    <row r="158" spans="1:19" x14ac:dyDescent="0.35">
      <c r="A158">
        <v>7805</v>
      </c>
      <c r="B158">
        <v>290</v>
      </c>
      <c r="C158" t="str">
        <f>VLOOKUP(B158,Kunde!A:C,3,FALSE)</f>
        <v>Geschäftskunde</v>
      </c>
      <c r="D158" t="str">
        <f>VLOOKUP(O158,Produkt!$A$1:$E$5,2,FALSE)</f>
        <v>C</v>
      </c>
      <c r="E158">
        <f t="shared" si="6"/>
        <v>87</v>
      </c>
      <c r="F158">
        <f>VLOOKUP(D158,Produkt!$B$1:$C$5,2,FALSE)*Bestellungen!E158</f>
        <v>130500</v>
      </c>
      <c r="G158" s="2">
        <v>44851</v>
      </c>
      <c r="H158" s="2">
        <f t="shared" si="7"/>
        <v>44857</v>
      </c>
      <c r="I158" s="2">
        <f t="shared" si="8"/>
        <v>44886</v>
      </c>
      <c r="J158" t="str">
        <f>VLOOKUP(M158,Umfragenteilnahme!$A$2:$B$3,2,)</f>
        <v>Nein</v>
      </c>
      <c r="M158">
        <v>2</v>
      </c>
      <c r="N158">
        <v>290</v>
      </c>
      <c r="O158">
        <v>3</v>
      </c>
      <c r="P158">
        <v>87</v>
      </c>
      <c r="Q158">
        <v>9</v>
      </c>
      <c r="R158">
        <v>6</v>
      </c>
      <c r="S158">
        <v>35</v>
      </c>
    </row>
    <row r="159" spans="1:19" x14ac:dyDescent="0.35">
      <c r="A159">
        <v>7806</v>
      </c>
      <c r="B159">
        <v>581</v>
      </c>
      <c r="C159" t="str">
        <f>VLOOKUP(B159,Kunde!A:C,3,FALSE)</f>
        <v>Geschäftskunde</v>
      </c>
      <c r="D159" t="str">
        <f>VLOOKUP(O159,Produkt!$A$1:$E$5,2,FALSE)</f>
        <v>A</v>
      </c>
      <c r="E159">
        <f t="shared" si="6"/>
        <v>24</v>
      </c>
      <c r="F159">
        <f>VLOOKUP(D159,Produkt!$B$1:$C$5,2,FALSE)*Bestellungen!E159</f>
        <v>7200</v>
      </c>
      <c r="G159" s="2">
        <v>45029</v>
      </c>
      <c r="H159" s="2">
        <f t="shared" si="7"/>
        <v>45032</v>
      </c>
      <c r="I159" s="2">
        <f t="shared" si="8"/>
        <v>45081</v>
      </c>
      <c r="J159" t="str">
        <f>VLOOKUP(M159,Umfragenteilnahme!$A$2:$B$3,2,)</f>
        <v>Nein</v>
      </c>
      <c r="M159">
        <v>2</v>
      </c>
      <c r="N159">
        <v>581</v>
      </c>
      <c r="O159">
        <v>1</v>
      </c>
      <c r="P159">
        <v>24</v>
      </c>
      <c r="Q159">
        <v>9</v>
      </c>
      <c r="R159">
        <v>3</v>
      </c>
      <c r="S159">
        <v>52</v>
      </c>
    </row>
    <row r="160" spans="1:19" x14ac:dyDescent="0.35">
      <c r="A160">
        <v>7807</v>
      </c>
      <c r="B160">
        <v>673</v>
      </c>
      <c r="C160" t="str">
        <f>VLOOKUP(B160,Kunde!A:C,3,FALSE)</f>
        <v>Geschäftskunde</v>
      </c>
      <c r="D160" t="str">
        <f>VLOOKUP(O160,Produkt!$A$1:$E$5,2,FALSE)</f>
        <v>A</v>
      </c>
      <c r="E160">
        <f t="shared" si="6"/>
        <v>118</v>
      </c>
      <c r="F160">
        <f>VLOOKUP(D160,Produkt!$B$1:$C$5,2,FALSE)*Bestellungen!E160</f>
        <v>35400</v>
      </c>
      <c r="G160" s="2">
        <v>45058</v>
      </c>
      <c r="H160" s="2">
        <f t="shared" si="7"/>
        <v>45060</v>
      </c>
      <c r="I160" s="2">
        <f t="shared" si="8"/>
        <v>45075</v>
      </c>
      <c r="J160" t="str">
        <f>VLOOKUP(M160,Umfragenteilnahme!$A$2:$B$3,2,)</f>
        <v>Nein</v>
      </c>
      <c r="M160">
        <v>2</v>
      </c>
      <c r="N160">
        <v>673</v>
      </c>
      <c r="O160">
        <v>1</v>
      </c>
      <c r="P160">
        <v>118</v>
      </c>
      <c r="Q160">
        <v>3</v>
      </c>
      <c r="R160">
        <v>2</v>
      </c>
      <c r="S160">
        <v>17</v>
      </c>
    </row>
    <row r="161" spans="1:19" x14ac:dyDescent="0.35">
      <c r="A161">
        <v>7808</v>
      </c>
      <c r="B161">
        <v>71</v>
      </c>
      <c r="C161" t="str">
        <f>VLOOKUP(B161,Kunde!A:C,3,FALSE)</f>
        <v>Geschäftskunde</v>
      </c>
      <c r="D161" t="str">
        <f>VLOOKUP(O161,Produkt!$A$1:$E$5,2,FALSE)</f>
        <v>B</v>
      </c>
      <c r="E161">
        <f t="shared" si="6"/>
        <v>40</v>
      </c>
      <c r="F161">
        <f>VLOOKUP(D161,Produkt!$B$1:$C$5,2,FALSE)*Bestellungen!E161</f>
        <v>19200</v>
      </c>
      <c r="G161" s="2">
        <v>45012</v>
      </c>
      <c r="H161" s="2">
        <f t="shared" si="7"/>
        <v>45015</v>
      </c>
      <c r="I161" s="2">
        <f t="shared" si="8"/>
        <v>45051</v>
      </c>
      <c r="J161" t="str">
        <f>VLOOKUP(M161,Umfragenteilnahme!$A$2:$B$3,2,)</f>
        <v>Ja</v>
      </c>
      <c r="M161">
        <v>1</v>
      </c>
      <c r="N161">
        <v>71</v>
      </c>
      <c r="O161">
        <v>2</v>
      </c>
      <c r="P161">
        <v>40</v>
      </c>
      <c r="Q161">
        <v>4</v>
      </c>
      <c r="R161">
        <v>3</v>
      </c>
      <c r="S161">
        <v>39</v>
      </c>
    </row>
    <row r="162" spans="1:19" x14ac:dyDescent="0.35">
      <c r="A162">
        <v>7809</v>
      </c>
      <c r="B162">
        <v>150</v>
      </c>
      <c r="C162" t="str">
        <f>VLOOKUP(B162,Kunde!A:C,3,FALSE)</f>
        <v>Geschäftskunde</v>
      </c>
      <c r="D162" t="str">
        <f>VLOOKUP(O162,Produkt!$A$1:$E$5,2,FALSE)</f>
        <v>D</v>
      </c>
      <c r="E162">
        <f t="shared" si="6"/>
        <v>131</v>
      </c>
      <c r="F162">
        <f>VLOOKUP(D162,Produkt!$B$1:$C$5,2,FALSE)*Bestellungen!E162</f>
        <v>104800</v>
      </c>
      <c r="G162" s="2">
        <v>44805</v>
      </c>
      <c r="H162" s="2">
        <f t="shared" si="7"/>
        <v>44807</v>
      </c>
      <c r="I162" s="2">
        <f t="shared" si="8"/>
        <v>44849</v>
      </c>
      <c r="J162" t="str">
        <f>VLOOKUP(M162,Umfragenteilnahme!$A$2:$B$3,2,)</f>
        <v>Nein</v>
      </c>
      <c r="M162">
        <v>2</v>
      </c>
      <c r="N162">
        <v>150</v>
      </c>
      <c r="O162">
        <v>4</v>
      </c>
      <c r="P162">
        <v>131</v>
      </c>
      <c r="Q162">
        <v>10</v>
      </c>
      <c r="R162">
        <v>2</v>
      </c>
      <c r="S162">
        <v>44</v>
      </c>
    </row>
    <row r="163" spans="1:19" x14ac:dyDescent="0.35">
      <c r="A163">
        <v>7810</v>
      </c>
      <c r="B163">
        <v>800</v>
      </c>
      <c r="C163" t="str">
        <f>VLOOKUP(B163,Kunde!A:C,3,FALSE)</f>
        <v>Geschäftskunde</v>
      </c>
      <c r="D163" t="str">
        <f>VLOOKUP(O163,Produkt!$A$1:$E$5,2,FALSE)</f>
        <v>A</v>
      </c>
      <c r="E163">
        <f t="shared" si="6"/>
        <v>48</v>
      </c>
      <c r="F163">
        <f>VLOOKUP(D163,Produkt!$B$1:$C$5,2,FALSE)*Bestellungen!E163</f>
        <v>14400</v>
      </c>
      <c r="G163" s="2">
        <v>44942</v>
      </c>
      <c r="H163" s="2">
        <f t="shared" si="7"/>
        <v>44946</v>
      </c>
      <c r="I163" s="2">
        <f t="shared" si="8"/>
        <v>44952</v>
      </c>
      <c r="J163" t="str">
        <f>VLOOKUP(M163,Umfragenteilnahme!$A$2:$B$3,2,)</f>
        <v>Ja</v>
      </c>
      <c r="M163">
        <v>1</v>
      </c>
      <c r="N163">
        <v>800</v>
      </c>
      <c r="O163">
        <v>1</v>
      </c>
      <c r="P163">
        <v>48</v>
      </c>
      <c r="Q163">
        <v>6</v>
      </c>
      <c r="R163">
        <v>4</v>
      </c>
      <c r="S163">
        <v>10</v>
      </c>
    </row>
    <row r="164" spans="1:19" x14ac:dyDescent="0.35">
      <c r="A164">
        <v>7811</v>
      </c>
      <c r="B164">
        <v>726</v>
      </c>
      <c r="C164" t="str">
        <f>VLOOKUP(B164,Kunde!A:C,3,FALSE)</f>
        <v>Geschäftskunde</v>
      </c>
      <c r="D164" t="str">
        <f>VLOOKUP(O164,Produkt!$A$1:$E$5,2,FALSE)</f>
        <v>C</v>
      </c>
      <c r="E164">
        <f t="shared" si="6"/>
        <v>42</v>
      </c>
      <c r="F164">
        <f>VLOOKUP(D164,Produkt!$B$1:$C$5,2,FALSE)*Bestellungen!E164</f>
        <v>63000</v>
      </c>
      <c r="G164" s="2">
        <v>44824</v>
      </c>
      <c r="H164" s="2">
        <f t="shared" si="7"/>
        <v>44827</v>
      </c>
      <c r="I164" s="2">
        <f t="shared" si="8"/>
        <v>44873</v>
      </c>
      <c r="J164" t="str">
        <f>VLOOKUP(M164,Umfragenteilnahme!$A$2:$B$3,2,)</f>
        <v>Ja</v>
      </c>
      <c r="M164">
        <v>1</v>
      </c>
      <c r="N164">
        <v>726</v>
      </c>
      <c r="O164">
        <v>3</v>
      </c>
      <c r="P164">
        <v>42</v>
      </c>
      <c r="Q164">
        <v>2</v>
      </c>
      <c r="R164">
        <v>3</v>
      </c>
      <c r="S164">
        <v>49</v>
      </c>
    </row>
    <row r="165" spans="1:19" x14ac:dyDescent="0.35">
      <c r="A165">
        <v>7812</v>
      </c>
      <c r="B165">
        <v>307</v>
      </c>
      <c r="C165" t="str">
        <f>VLOOKUP(B165,Kunde!A:C,3,FALSE)</f>
        <v>Geschäftskunde</v>
      </c>
      <c r="D165" t="str">
        <f>VLOOKUP(O165,Produkt!$A$1:$E$5,2,FALSE)</f>
        <v>B</v>
      </c>
      <c r="E165">
        <f t="shared" si="6"/>
        <v>71</v>
      </c>
      <c r="F165">
        <f>VLOOKUP(D165,Produkt!$B$1:$C$5,2,FALSE)*Bestellungen!E165</f>
        <v>34080</v>
      </c>
      <c r="G165" s="2">
        <v>44958</v>
      </c>
      <c r="H165" s="2">
        <f t="shared" si="7"/>
        <v>44965</v>
      </c>
      <c r="I165" s="2">
        <f t="shared" si="8"/>
        <v>45017</v>
      </c>
      <c r="J165" t="str">
        <f>VLOOKUP(M165,Umfragenteilnahme!$A$2:$B$3,2,)</f>
        <v>Nein</v>
      </c>
      <c r="M165">
        <v>2</v>
      </c>
      <c r="N165">
        <v>307</v>
      </c>
      <c r="O165">
        <v>2</v>
      </c>
      <c r="P165">
        <v>71</v>
      </c>
      <c r="Q165">
        <v>1</v>
      </c>
      <c r="R165">
        <v>7</v>
      </c>
      <c r="S165">
        <v>59</v>
      </c>
    </row>
    <row r="166" spans="1:19" x14ac:dyDescent="0.35">
      <c r="A166">
        <v>7813</v>
      </c>
      <c r="B166">
        <v>742</v>
      </c>
      <c r="C166" t="str">
        <f>VLOOKUP(B166,Kunde!A:C,3,FALSE)</f>
        <v>Geschäftskunde</v>
      </c>
      <c r="D166" t="str">
        <f>VLOOKUP(O166,Produkt!$A$1:$E$5,2,FALSE)</f>
        <v>C</v>
      </c>
      <c r="E166">
        <f t="shared" si="6"/>
        <v>140</v>
      </c>
      <c r="F166">
        <f>VLOOKUP(D166,Produkt!$B$1:$C$5,2,FALSE)*Bestellungen!E166</f>
        <v>210000</v>
      </c>
      <c r="G166" s="2">
        <v>44999</v>
      </c>
      <c r="H166" s="2">
        <f t="shared" si="7"/>
        <v>45003</v>
      </c>
      <c r="I166" s="2">
        <f t="shared" si="8"/>
        <v>45007</v>
      </c>
      <c r="J166" t="str">
        <f>VLOOKUP(M166,Umfragenteilnahme!$A$2:$B$3,2,)</f>
        <v>Ja</v>
      </c>
      <c r="M166">
        <v>1</v>
      </c>
      <c r="N166">
        <v>742</v>
      </c>
      <c r="O166">
        <v>3</v>
      </c>
      <c r="P166">
        <v>140</v>
      </c>
      <c r="Q166">
        <v>3</v>
      </c>
      <c r="R166">
        <v>4</v>
      </c>
      <c r="S166">
        <v>8</v>
      </c>
    </row>
    <row r="167" spans="1:19" x14ac:dyDescent="0.35">
      <c r="A167">
        <v>7814</v>
      </c>
      <c r="B167">
        <v>779</v>
      </c>
      <c r="C167" t="str">
        <f>VLOOKUP(B167,Kunde!A:C,3,FALSE)</f>
        <v>Geschäftskunde</v>
      </c>
      <c r="D167" t="str">
        <f>VLOOKUP(O167,Produkt!$A$1:$E$5,2,FALSE)</f>
        <v>C</v>
      </c>
      <c r="E167">
        <f t="shared" si="6"/>
        <v>103</v>
      </c>
      <c r="F167">
        <f>VLOOKUP(D167,Produkt!$B$1:$C$5,2,FALSE)*Bestellungen!E167</f>
        <v>154500</v>
      </c>
      <c r="G167" s="2">
        <v>44890</v>
      </c>
      <c r="H167" s="2">
        <f t="shared" si="7"/>
        <v>44895</v>
      </c>
      <c r="I167" s="2">
        <f t="shared" si="8"/>
        <v>44930</v>
      </c>
      <c r="J167" t="str">
        <f>VLOOKUP(M167,Umfragenteilnahme!$A$2:$B$3,2,)</f>
        <v>Nein</v>
      </c>
      <c r="M167">
        <v>2</v>
      </c>
      <c r="N167">
        <v>779</v>
      </c>
      <c r="O167">
        <v>3</v>
      </c>
      <c r="P167">
        <v>103</v>
      </c>
      <c r="Q167">
        <v>8</v>
      </c>
      <c r="R167">
        <v>5</v>
      </c>
      <c r="S167">
        <v>40</v>
      </c>
    </row>
    <row r="168" spans="1:19" x14ac:dyDescent="0.35">
      <c r="A168">
        <v>7815</v>
      </c>
      <c r="B168">
        <v>452</v>
      </c>
      <c r="C168" t="str">
        <f>VLOOKUP(B168,Kunde!A:C,3,FALSE)</f>
        <v>Geschäftskunde</v>
      </c>
      <c r="D168" t="str">
        <f>VLOOKUP(O168,Produkt!$A$1:$E$5,2,FALSE)</f>
        <v>D</v>
      </c>
      <c r="E168">
        <f t="shared" si="6"/>
        <v>71</v>
      </c>
      <c r="F168">
        <f>VLOOKUP(D168,Produkt!$B$1:$C$5,2,FALSE)*Bestellungen!E168</f>
        <v>56800</v>
      </c>
      <c r="G168" s="2">
        <v>44718</v>
      </c>
      <c r="H168" s="2">
        <f t="shared" si="7"/>
        <v>44723</v>
      </c>
      <c r="I168" s="2">
        <f t="shared" si="8"/>
        <v>44733</v>
      </c>
      <c r="J168" t="str">
        <f>VLOOKUP(M168,Umfragenteilnahme!$A$2:$B$3,2,)</f>
        <v>Ja</v>
      </c>
      <c r="M168">
        <v>1</v>
      </c>
      <c r="N168">
        <v>452</v>
      </c>
      <c r="O168">
        <v>4</v>
      </c>
      <c r="P168">
        <v>71</v>
      </c>
      <c r="Q168">
        <v>1</v>
      </c>
      <c r="R168">
        <v>5</v>
      </c>
      <c r="S168">
        <v>15</v>
      </c>
    </row>
    <row r="169" spans="1:19" x14ac:dyDescent="0.35">
      <c r="A169">
        <v>7816</v>
      </c>
      <c r="B169">
        <v>17</v>
      </c>
      <c r="C169" t="str">
        <f>VLOOKUP(B169,Kunde!A:C,3,FALSE)</f>
        <v>Geschäftskunde</v>
      </c>
      <c r="D169" t="str">
        <f>VLOOKUP(O169,Produkt!$A$1:$E$5,2,FALSE)</f>
        <v>D</v>
      </c>
      <c r="E169">
        <f t="shared" si="6"/>
        <v>24</v>
      </c>
      <c r="F169">
        <f>VLOOKUP(D169,Produkt!$B$1:$C$5,2,FALSE)*Bestellungen!E169</f>
        <v>19200</v>
      </c>
      <c r="G169" s="2">
        <v>44917</v>
      </c>
      <c r="H169" s="2">
        <f t="shared" si="7"/>
        <v>44924</v>
      </c>
      <c r="I169" s="2">
        <f t="shared" si="8"/>
        <v>44963</v>
      </c>
      <c r="J169" t="str">
        <f>VLOOKUP(M169,Umfragenteilnahme!$A$2:$B$3,2,)</f>
        <v>Ja</v>
      </c>
      <c r="M169">
        <v>1</v>
      </c>
      <c r="N169">
        <v>17</v>
      </c>
      <c r="O169">
        <v>4</v>
      </c>
      <c r="P169">
        <v>24</v>
      </c>
      <c r="Q169">
        <v>8</v>
      </c>
      <c r="R169">
        <v>7</v>
      </c>
      <c r="S169">
        <v>46</v>
      </c>
    </row>
    <row r="170" spans="1:19" x14ac:dyDescent="0.35">
      <c r="A170">
        <v>7817</v>
      </c>
      <c r="B170">
        <v>385</v>
      </c>
      <c r="C170" t="str">
        <f>VLOOKUP(B170,Kunde!A:C,3,FALSE)</f>
        <v>Geschäftskunde</v>
      </c>
      <c r="D170" t="str">
        <f>VLOOKUP(O170,Produkt!$A$1:$E$5,2,FALSE)</f>
        <v>B</v>
      </c>
      <c r="E170">
        <f t="shared" si="6"/>
        <v>79</v>
      </c>
      <c r="F170">
        <f>VLOOKUP(D170,Produkt!$B$1:$C$5,2,FALSE)*Bestellungen!E170</f>
        <v>37920</v>
      </c>
      <c r="G170" s="2">
        <v>44971</v>
      </c>
      <c r="H170" s="2">
        <f t="shared" si="7"/>
        <v>44973</v>
      </c>
      <c r="I170" s="2">
        <f t="shared" si="8"/>
        <v>45015</v>
      </c>
      <c r="J170" t="str">
        <f>VLOOKUP(M170,Umfragenteilnahme!$A$2:$B$3,2,)</f>
        <v>Nein</v>
      </c>
      <c r="M170">
        <v>2</v>
      </c>
      <c r="N170">
        <v>385</v>
      </c>
      <c r="O170">
        <v>2</v>
      </c>
      <c r="P170">
        <v>79</v>
      </c>
      <c r="Q170">
        <v>7</v>
      </c>
      <c r="R170">
        <v>2</v>
      </c>
      <c r="S170">
        <v>44</v>
      </c>
    </row>
    <row r="171" spans="1:19" x14ac:dyDescent="0.35">
      <c r="A171">
        <v>7818</v>
      </c>
      <c r="B171">
        <v>169</v>
      </c>
      <c r="C171" t="str">
        <f>VLOOKUP(B171,Kunde!A:C,3,FALSE)</f>
        <v>Geschäftskunde</v>
      </c>
      <c r="D171" t="str">
        <f>VLOOKUP(O171,Produkt!$A$1:$E$5,2,FALSE)</f>
        <v>A</v>
      </c>
      <c r="E171">
        <f t="shared" si="6"/>
        <v>48</v>
      </c>
      <c r="F171">
        <f>VLOOKUP(D171,Produkt!$B$1:$C$5,2,FALSE)*Bestellungen!E171</f>
        <v>14400</v>
      </c>
      <c r="G171" s="2">
        <v>45020</v>
      </c>
      <c r="H171" s="2">
        <f t="shared" si="7"/>
        <v>45024</v>
      </c>
      <c r="I171" s="2">
        <f t="shared" si="8"/>
        <v>45055</v>
      </c>
      <c r="J171" t="str">
        <f>VLOOKUP(M171,Umfragenteilnahme!$A$2:$B$3,2,)</f>
        <v>Nein</v>
      </c>
      <c r="M171">
        <v>2</v>
      </c>
      <c r="N171">
        <v>169</v>
      </c>
      <c r="O171">
        <v>1</v>
      </c>
      <c r="P171">
        <v>48</v>
      </c>
      <c r="Q171">
        <v>6</v>
      </c>
      <c r="R171">
        <v>4</v>
      </c>
      <c r="S171">
        <v>35</v>
      </c>
    </row>
    <row r="172" spans="1:19" x14ac:dyDescent="0.35">
      <c r="A172">
        <v>7819</v>
      </c>
      <c r="B172">
        <v>83</v>
      </c>
      <c r="C172" t="str">
        <f>VLOOKUP(B172,Kunde!A:C,3,FALSE)</f>
        <v>Geschäftskunde</v>
      </c>
      <c r="D172" t="str">
        <f>VLOOKUP(O172,Produkt!$A$1:$E$5,2,FALSE)</f>
        <v>A</v>
      </c>
      <c r="E172">
        <f t="shared" si="6"/>
        <v>38</v>
      </c>
      <c r="F172">
        <f>VLOOKUP(D172,Produkt!$B$1:$C$5,2,FALSE)*Bestellungen!E172</f>
        <v>11400</v>
      </c>
      <c r="G172" s="2">
        <v>45036</v>
      </c>
      <c r="H172" s="2">
        <f t="shared" si="7"/>
        <v>45039</v>
      </c>
      <c r="I172" s="2">
        <f t="shared" si="8"/>
        <v>45094</v>
      </c>
      <c r="J172" t="str">
        <f>VLOOKUP(M172,Umfragenteilnahme!$A$2:$B$3,2,)</f>
        <v>Nein</v>
      </c>
      <c r="M172">
        <v>2</v>
      </c>
      <c r="N172">
        <v>83</v>
      </c>
      <c r="O172">
        <v>1</v>
      </c>
      <c r="P172">
        <v>38</v>
      </c>
      <c r="Q172">
        <v>3</v>
      </c>
      <c r="R172">
        <v>3</v>
      </c>
      <c r="S172">
        <v>58</v>
      </c>
    </row>
    <row r="173" spans="1:19" x14ac:dyDescent="0.35">
      <c r="A173">
        <v>7820</v>
      </c>
      <c r="B173">
        <v>188</v>
      </c>
      <c r="C173" t="str">
        <f>VLOOKUP(B173,Kunde!A:C,3,FALSE)</f>
        <v>Geschäftskunde</v>
      </c>
      <c r="D173" t="str">
        <f>VLOOKUP(O173,Produkt!$A$1:$E$5,2,FALSE)</f>
        <v>B</v>
      </c>
      <c r="E173">
        <f t="shared" si="6"/>
        <v>37</v>
      </c>
      <c r="F173">
        <f>VLOOKUP(D173,Produkt!$B$1:$C$5,2,FALSE)*Bestellungen!E173</f>
        <v>17760</v>
      </c>
      <c r="G173" s="2">
        <v>44893</v>
      </c>
      <c r="H173" s="2">
        <f t="shared" si="7"/>
        <v>44899</v>
      </c>
      <c r="I173" s="2">
        <f t="shared" si="8"/>
        <v>44938</v>
      </c>
      <c r="J173" t="str">
        <f>VLOOKUP(M173,Umfragenteilnahme!$A$2:$B$3,2,)</f>
        <v>Nein</v>
      </c>
      <c r="M173">
        <v>2</v>
      </c>
      <c r="N173">
        <v>188</v>
      </c>
      <c r="O173">
        <v>2</v>
      </c>
      <c r="P173">
        <v>37</v>
      </c>
      <c r="Q173">
        <v>10</v>
      </c>
      <c r="R173">
        <v>6</v>
      </c>
      <c r="S173">
        <v>45</v>
      </c>
    </row>
    <row r="174" spans="1:19" x14ac:dyDescent="0.35">
      <c r="A174">
        <v>7821</v>
      </c>
      <c r="B174">
        <v>501</v>
      </c>
      <c r="C174" t="str">
        <f>VLOOKUP(B174,Kunde!A:C,3,FALSE)</f>
        <v>Geschäftskunde</v>
      </c>
      <c r="D174" t="str">
        <f>VLOOKUP(O174,Produkt!$A$1:$E$5,2,FALSE)</f>
        <v>A</v>
      </c>
      <c r="E174">
        <f t="shared" si="6"/>
        <v>56</v>
      </c>
      <c r="F174">
        <f>VLOOKUP(D174,Produkt!$B$1:$C$5,2,FALSE)*Bestellungen!E174</f>
        <v>16800</v>
      </c>
      <c r="G174" s="2">
        <v>44969</v>
      </c>
      <c r="H174" s="2">
        <f t="shared" si="7"/>
        <v>44971</v>
      </c>
      <c r="I174" s="2">
        <f t="shared" si="8"/>
        <v>45002</v>
      </c>
      <c r="J174" t="str">
        <f>VLOOKUP(M174,Umfragenteilnahme!$A$2:$B$3,2,)</f>
        <v>Nein</v>
      </c>
      <c r="M174">
        <v>2</v>
      </c>
      <c r="N174">
        <v>501</v>
      </c>
      <c r="O174">
        <v>1</v>
      </c>
      <c r="P174">
        <v>56</v>
      </c>
      <c r="Q174">
        <v>4</v>
      </c>
      <c r="R174">
        <v>2</v>
      </c>
      <c r="S174">
        <v>33</v>
      </c>
    </row>
    <row r="175" spans="1:19" x14ac:dyDescent="0.35">
      <c r="A175">
        <v>7822</v>
      </c>
      <c r="B175">
        <v>16</v>
      </c>
      <c r="C175" t="str">
        <f>VLOOKUP(B175,Kunde!A:C,3,FALSE)</f>
        <v>Geschäftskunde</v>
      </c>
      <c r="D175" t="str">
        <f>VLOOKUP(O175,Produkt!$A$1:$E$5,2,FALSE)</f>
        <v>D</v>
      </c>
      <c r="E175">
        <f t="shared" si="6"/>
        <v>91</v>
      </c>
      <c r="F175">
        <f>VLOOKUP(D175,Produkt!$B$1:$C$5,2,FALSE)*Bestellungen!E175</f>
        <v>72800</v>
      </c>
      <c r="G175" s="2">
        <v>44795</v>
      </c>
      <c r="H175" s="2">
        <f t="shared" si="7"/>
        <v>44800</v>
      </c>
      <c r="I175" s="2">
        <f t="shared" si="8"/>
        <v>44821</v>
      </c>
      <c r="J175" t="str">
        <f>VLOOKUP(M175,Umfragenteilnahme!$A$2:$B$3,2,)</f>
        <v>Nein</v>
      </c>
      <c r="M175">
        <v>2</v>
      </c>
      <c r="N175">
        <v>16</v>
      </c>
      <c r="O175">
        <v>4</v>
      </c>
      <c r="P175">
        <v>91</v>
      </c>
      <c r="Q175">
        <v>3</v>
      </c>
      <c r="R175">
        <v>5</v>
      </c>
      <c r="S175">
        <v>26</v>
      </c>
    </row>
    <row r="176" spans="1:19" x14ac:dyDescent="0.35">
      <c r="A176">
        <v>7823</v>
      </c>
      <c r="B176">
        <v>501</v>
      </c>
      <c r="C176" t="str">
        <f>VLOOKUP(B176,Kunde!A:C,3,FALSE)</f>
        <v>Geschäftskunde</v>
      </c>
      <c r="D176" t="str">
        <f>VLOOKUP(O176,Produkt!$A$1:$E$5,2,FALSE)</f>
        <v>C</v>
      </c>
      <c r="E176">
        <f t="shared" si="6"/>
        <v>56</v>
      </c>
      <c r="F176">
        <f>VLOOKUP(D176,Produkt!$B$1:$C$5,2,FALSE)*Bestellungen!E176</f>
        <v>84000</v>
      </c>
      <c r="G176" s="2">
        <v>45017</v>
      </c>
      <c r="H176" s="2">
        <f t="shared" si="7"/>
        <v>45021</v>
      </c>
      <c r="I176" s="2">
        <f t="shared" si="8"/>
        <v>45047</v>
      </c>
      <c r="J176" t="str">
        <f>VLOOKUP(M176,Umfragenteilnahme!$A$2:$B$3,2,)</f>
        <v>Ja</v>
      </c>
      <c r="M176">
        <v>1</v>
      </c>
      <c r="N176">
        <v>501</v>
      </c>
      <c r="O176">
        <v>3</v>
      </c>
      <c r="P176">
        <v>56</v>
      </c>
      <c r="Q176">
        <v>5</v>
      </c>
      <c r="R176">
        <v>4</v>
      </c>
      <c r="S176">
        <v>30</v>
      </c>
    </row>
    <row r="177" spans="1:19" x14ac:dyDescent="0.35">
      <c r="A177">
        <v>7824</v>
      </c>
      <c r="B177">
        <v>698</v>
      </c>
      <c r="C177" t="str">
        <f>VLOOKUP(B177,Kunde!A:C,3,FALSE)</f>
        <v>Geschäftskunde</v>
      </c>
      <c r="D177" t="str">
        <f>VLOOKUP(O177,Produkt!$A$1:$E$5,2,FALSE)</f>
        <v>C</v>
      </c>
      <c r="E177">
        <f t="shared" si="6"/>
        <v>54</v>
      </c>
      <c r="F177">
        <f>VLOOKUP(D177,Produkt!$B$1:$C$5,2,FALSE)*Bestellungen!E177</f>
        <v>81000</v>
      </c>
      <c r="G177" s="2">
        <v>44934</v>
      </c>
      <c r="H177" s="2">
        <f t="shared" si="7"/>
        <v>44936</v>
      </c>
      <c r="I177" s="2">
        <f t="shared" si="8"/>
        <v>44959</v>
      </c>
      <c r="J177" t="str">
        <f>VLOOKUP(M177,Umfragenteilnahme!$A$2:$B$3,2,)</f>
        <v>Ja</v>
      </c>
      <c r="M177">
        <v>1</v>
      </c>
      <c r="N177">
        <v>698</v>
      </c>
      <c r="O177">
        <v>3</v>
      </c>
      <c r="P177">
        <v>54</v>
      </c>
      <c r="Q177">
        <v>3</v>
      </c>
      <c r="R177">
        <v>2</v>
      </c>
      <c r="S177">
        <v>25</v>
      </c>
    </row>
    <row r="178" spans="1:19" x14ac:dyDescent="0.35">
      <c r="A178">
        <v>7825</v>
      </c>
      <c r="B178">
        <v>498</v>
      </c>
      <c r="C178" t="str">
        <f>VLOOKUP(B178,Kunde!A:C,3,FALSE)</f>
        <v>Geschäftskunde</v>
      </c>
      <c r="D178" t="str">
        <f>VLOOKUP(O178,Produkt!$A$1:$E$5,2,FALSE)</f>
        <v>C</v>
      </c>
      <c r="E178">
        <f t="shared" si="6"/>
        <v>114</v>
      </c>
      <c r="F178">
        <f>VLOOKUP(D178,Produkt!$B$1:$C$5,2,FALSE)*Bestellungen!E178</f>
        <v>171000</v>
      </c>
      <c r="G178" s="2">
        <v>44727</v>
      </c>
      <c r="H178" s="2">
        <f t="shared" si="7"/>
        <v>44734</v>
      </c>
      <c r="I178" s="2">
        <f t="shared" si="8"/>
        <v>44737</v>
      </c>
      <c r="J178" t="str">
        <f>VLOOKUP(M178,Umfragenteilnahme!$A$2:$B$3,2,)</f>
        <v>Ja</v>
      </c>
      <c r="M178">
        <v>1</v>
      </c>
      <c r="N178">
        <v>498</v>
      </c>
      <c r="O178">
        <v>3</v>
      </c>
      <c r="P178">
        <v>114</v>
      </c>
      <c r="Q178">
        <v>6</v>
      </c>
      <c r="R178">
        <v>7</v>
      </c>
      <c r="S178">
        <v>10</v>
      </c>
    </row>
    <row r="179" spans="1:19" x14ac:dyDescent="0.35">
      <c r="A179">
        <v>7826</v>
      </c>
      <c r="B179">
        <v>268</v>
      </c>
      <c r="C179" t="str">
        <f>VLOOKUP(B179,Kunde!A:C,3,FALSE)</f>
        <v>Geschäftskunde</v>
      </c>
      <c r="D179" t="str">
        <f>VLOOKUP(O179,Produkt!$A$1:$E$5,2,FALSE)</f>
        <v>C</v>
      </c>
      <c r="E179">
        <f t="shared" si="6"/>
        <v>135</v>
      </c>
      <c r="F179">
        <f>VLOOKUP(D179,Produkt!$B$1:$C$5,2,FALSE)*Bestellungen!E179</f>
        <v>202500</v>
      </c>
      <c r="G179" s="2">
        <v>44805</v>
      </c>
      <c r="H179" s="2">
        <f t="shared" si="7"/>
        <v>44809</v>
      </c>
      <c r="I179" s="2">
        <f t="shared" si="8"/>
        <v>44814</v>
      </c>
      <c r="J179" t="str">
        <f>VLOOKUP(M179,Umfragenteilnahme!$A$2:$B$3,2,)</f>
        <v>Nein</v>
      </c>
      <c r="M179">
        <v>2</v>
      </c>
      <c r="N179">
        <v>268</v>
      </c>
      <c r="O179">
        <v>3</v>
      </c>
      <c r="P179">
        <v>135</v>
      </c>
      <c r="Q179">
        <v>9</v>
      </c>
      <c r="R179">
        <v>4</v>
      </c>
      <c r="S179">
        <v>9</v>
      </c>
    </row>
    <row r="180" spans="1:19" x14ac:dyDescent="0.35">
      <c r="A180">
        <v>7827</v>
      </c>
      <c r="B180">
        <v>17</v>
      </c>
      <c r="C180" t="str">
        <f>VLOOKUP(B180,Kunde!A:C,3,FALSE)</f>
        <v>Geschäftskunde</v>
      </c>
      <c r="D180" t="str">
        <f>VLOOKUP(O180,Produkt!$A$1:$E$5,2,FALSE)</f>
        <v>A</v>
      </c>
      <c r="E180">
        <f t="shared" si="6"/>
        <v>47</v>
      </c>
      <c r="F180">
        <f>VLOOKUP(D180,Produkt!$B$1:$C$5,2,FALSE)*Bestellungen!E180</f>
        <v>14100</v>
      </c>
      <c r="G180" s="2">
        <v>44749</v>
      </c>
      <c r="H180" s="2">
        <f t="shared" si="7"/>
        <v>44755</v>
      </c>
      <c r="I180" s="2">
        <f t="shared" si="8"/>
        <v>44805</v>
      </c>
      <c r="J180" t="str">
        <f>VLOOKUP(M180,Umfragenteilnahme!$A$2:$B$3,2,)</f>
        <v>Nein</v>
      </c>
      <c r="M180">
        <v>2</v>
      </c>
      <c r="N180">
        <v>17</v>
      </c>
      <c r="O180">
        <v>1</v>
      </c>
      <c r="P180">
        <v>47</v>
      </c>
      <c r="Q180">
        <v>2</v>
      </c>
      <c r="R180">
        <v>6</v>
      </c>
      <c r="S180">
        <v>56</v>
      </c>
    </row>
    <row r="181" spans="1:19" x14ac:dyDescent="0.35">
      <c r="A181">
        <v>7828</v>
      </c>
      <c r="B181">
        <v>773</v>
      </c>
      <c r="C181" t="str">
        <f>VLOOKUP(B181,Kunde!A:C,3,FALSE)</f>
        <v>Geschäftskunde</v>
      </c>
      <c r="D181" t="str">
        <f>VLOOKUP(O181,Produkt!$A$1:$E$5,2,FALSE)</f>
        <v>C</v>
      </c>
      <c r="E181">
        <f t="shared" si="6"/>
        <v>75</v>
      </c>
      <c r="F181">
        <f>VLOOKUP(D181,Produkt!$B$1:$C$5,2,FALSE)*Bestellungen!E181</f>
        <v>112500</v>
      </c>
      <c r="G181" s="2">
        <v>44922</v>
      </c>
      <c r="H181" s="2">
        <f t="shared" si="7"/>
        <v>44927</v>
      </c>
      <c r="I181" s="2">
        <f t="shared" si="8"/>
        <v>44954</v>
      </c>
      <c r="J181" t="str">
        <f>VLOOKUP(M181,Umfragenteilnahme!$A$2:$B$3,2,)</f>
        <v>Nein</v>
      </c>
      <c r="M181">
        <v>2</v>
      </c>
      <c r="N181">
        <v>773</v>
      </c>
      <c r="O181">
        <v>3</v>
      </c>
      <c r="P181">
        <v>75</v>
      </c>
      <c r="Q181">
        <v>7</v>
      </c>
      <c r="R181">
        <v>5</v>
      </c>
      <c r="S181">
        <v>32</v>
      </c>
    </row>
    <row r="182" spans="1:19" x14ac:dyDescent="0.35">
      <c r="A182">
        <v>7829</v>
      </c>
      <c r="B182">
        <v>737</v>
      </c>
      <c r="C182" t="str">
        <f>VLOOKUP(B182,Kunde!A:C,3,FALSE)</f>
        <v>Privatkunde</v>
      </c>
      <c r="D182" t="str">
        <f>VLOOKUP(O182,Produkt!$A$1:$E$5,2,FALSE)</f>
        <v>A</v>
      </c>
      <c r="E182">
        <f t="shared" si="6"/>
        <v>2</v>
      </c>
      <c r="F182">
        <f>VLOOKUP(D182,Produkt!$B$1:$C$5,2,FALSE)*Bestellungen!E182</f>
        <v>600</v>
      </c>
      <c r="G182" s="2">
        <v>44909</v>
      </c>
      <c r="H182" s="2">
        <f t="shared" si="7"/>
        <v>44912</v>
      </c>
      <c r="I182" s="2">
        <f t="shared" si="8"/>
        <v>44931</v>
      </c>
      <c r="J182" t="str">
        <f>VLOOKUP(M182,Umfragenteilnahme!$A$2:$B$3,2,)</f>
        <v>Nein</v>
      </c>
      <c r="M182">
        <v>2</v>
      </c>
      <c r="N182">
        <v>737</v>
      </c>
      <c r="O182">
        <v>1</v>
      </c>
      <c r="P182">
        <v>58</v>
      </c>
      <c r="Q182">
        <v>2</v>
      </c>
      <c r="R182">
        <v>3</v>
      </c>
      <c r="S182">
        <v>22</v>
      </c>
    </row>
    <row r="183" spans="1:19" x14ac:dyDescent="0.35">
      <c r="A183">
        <v>7830</v>
      </c>
      <c r="B183">
        <v>167</v>
      </c>
      <c r="C183" t="str">
        <f>VLOOKUP(B183,Kunde!A:C,3,FALSE)</f>
        <v>Geschäftskunde</v>
      </c>
      <c r="D183" t="str">
        <f>VLOOKUP(O183,Produkt!$A$1:$E$5,2,FALSE)</f>
        <v>D</v>
      </c>
      <c r="E183">
        <f t="shared" si="6"/>
        <v>114</v>
      </c>
      <c r="F183">
        <f>VLOOKUP(D183,Produkt!$B$1:$C$5,2,FALSE)*Bestellungen!E183</f>
        <v>91200</v>
      </c>
      <c r="G183" s="2">
        <v>44907</v>
      </c>
      <c r="H183" s="2">
        <f t="shared" si="7"/>
        <v>44910</v>
      </c>
      <c r="I183" s="2">
        <f t="shared" si="8"/>
        <v>44966</v>
      </c>
      <c r="J183" t="str">
        <f>VLOOKUP(M183,Umfragenteilnahme!$A$2:$B$3,2,)</f>
        <v>Nein</v>
      </c>
      <c r="M183">
        <v>2</v>
      </c>
      <c r="N183">
        <v>167</v>
      </c>
      <c r="O183">
        <v>4</v>
      </c>
      <c r="P183">
        <v>114</v>
      </c>
      <c r="Q183">
        <v>5</v>
      </c>
      <c r="R183">
        <v>3</v>
      </c>
      <c r="S183">
        <v>59</v>
      </c>
    </row>
    <row r="184" spans="1:19" x14ac:dyDescent="0.35">
      <c r="A184">
        <v>7831</v>
      </c>
      <c r="B184">
        <v>734</v>
      </c>
      <c r="C184" t="str">
        <f>VLOOKUP(B184,Kunde!A:C,3,FALSE)</f>
        <v>Geschäftskunde</v>
      </c>
      <c r="D184" t="str">
        <f>VLOOKUP(O184,Produkt!$A$1:$E$5,2,FALSE)</f>
        <v>A</v>
      </c>
      <c r="E184">
        <f t="shared" si="6"/>
        <v>118</v>
      </c>
      <c r="F184">
        <f>VLOOKUP(D184,Produkt!$B$1:$C$5,2,FALSE)*Bestellungen!E184</f>
        <v>35400</v>
      </c>
      <c r="G184" s="2">
        <v>44973</v>
      </c>
      <c r="H184" s="2">
        <f t="shared" si="7"/>
        <v>44975</v>
      </c>
      <c r="I184" s="2">
        <f t="shared" si="8"/>
        <v>45023</v>
      </c>
      <c r="J184" t="str">
        <f>VLOOKUP(M184,Umfragenteilnahme!$A$2:$B$3,2,)</f>
        <v>Nein</v>
      </c>
      <c r="M184">
        <v>2</v>
      </c>
      <c r="N184">
        <v>734</v>
      </c>
      <c r="O184">
        <v>1</v>
      </c>
      <c r="P184">
        <v>118</v>
      </c>
      <c r="Q184">
        <v>3</v>
      </c>
      <c r="R184">
        <v>2</v>
      </c>
      <c r="S184">
        <v>50</v>
      </c>
    </row>
    <row r="185" spans="1:19" x14ac:dyDescent="0.35">
      <c r="A185">
        <v>7832</v>
      </c>
      <c r="B185">
        <v>671</v>
      </c>
      <c r="C185" t="str">
        <f>VLOOKUP(B185,Kunde!A:C,3,FALSE)</f>
        <v>Geschäftskunde</v>
      </c>
      <c r="D185" t="str">
        <f>VLOOKUP(O185,Produkt!$A$1:$E$5,2,FALSE)</f>
        <v>A</v>
      </c>
      <c r="E185">
        <f t="shared" si="6"/>
        <v>85</v>
      </c>
      <c r="F185">
        <f>VLOOKUP(D185,Produkt!$B$1:$C$5,2,FALSE)*Bestellungen!E185</f>
        <v>25500</v>
      </c>
      <c r="G185" s="2">
        <v>45063</v>
      </c>
      <c r="H185" s="2">
        <f t="shared" si="7"/>
        <v>45068</v>
      </c>
      <c r="I185" s="2">
        <f t="shared" si="8"/>
        <v>45075</v>
      </c>
      <c r="J185" t="str">
        <f>VLOOKUP(M185,Umfragenteilnahme!$A$2:$B$3,2,)</f>
        <v>Nein</v>
      </c>
      <c r="M185">
        <v>2</v>
      </c>
      <c r="N185">
        <v>671</v>
      </c>
      <c r="O185">
        <v>1</v>
      </c>
      <c r="P185">
        <v>85</v>
      </c>
      <c r="Q185">
        <v>5</v>
      </c>
      <c r="R185">
        <v>5</v>
      </c>
      <c r="S185">
        <v>12</v>
      </c>
    </row>
    <row r="186" spans="1:19" x14ac:dyDescent="0.35">
      <c r="A186">
        <v>7833</v>
      </c>
      <c r="B186">
        <v>668</v>
      </c>
      <c r="C186" t="str">
        <f>VLOOKUP(B186,Kunde!A:C,3,FALSE)</f>
        <v>Geschäftskunde</v>
      </c>
      <c r="D186" t="str">
        <f>VLOOKUP(O186,Produkt!$A$1:$E$5,2,FALSE)</f>
        <v>C</v>
      </c>
      <c r="E186">
        <f t="shared" si="6"/>
        <v>128</v>
      </c>
      <c r="F186">
        <f>VLOOKUP(D186,Produkt!$B$1:$C$5,2,FALSE)*Bestellungen!E186</f>
        <v>192000</v>
      </c>
      <c r="G186" s="2">
        <v>44837</v>
      </c>
      <c r="H186" s="2">
        <f t="shared" si="7"/>
        <v>44839</v>
      </c>
      <c r="I186" s="2">
        <f t="shared" si="8"/>
        <v>44882</v>
      </c>
      <c r="J186" t="str">
        <f>VLOOKUP(M186,Umfragenteilnahme!$A$2:$B$3,2,)</f>
        <v>Ja</v>
      </c>
      <c r="M186">
        <v>1</v>
      </c>
      <c r="N186">
        <v>668</v>
      </c>
      <c r="O186">
        <v>3</v>
      </c>
      <c r="P186">
        <v>128</v>
      </c>
      <c r="Q186">
        <v>4</v>
      </c>
      <c r="R186">
        <v>2</v>
      </c>
      <c r="S186">
        <v>45</v>
      </c>
    </row>
    <row r="187" spans="1:19" x14ac:dyDescent="0.35">
      <c r="A187">
        <v>7834</v>
      </c>
      <c r="B187">
        <v>561</v>
      </c>
      <c r="C187" t="str">
        <f>VLOOKUP(B187,Kunde!A:C,3,FALSE)</f>
        <v>Privatkunde</v>
      </c>
      <c r="D187" t="str">
        <f>VLOOKUP(O187,Produkt!$A$1:$E$5,2,FALSE)</f>
        <v>C</v>
      </c>
      <c r="E187">
        <f t="shared" si="6"/>
        <v>2</v>
      </c>
      <c r="F187">
        <f>VLOOKUP(D187,Produkt!$B$1:$C$5,2,FALSE)*Bestellungen!E187</f>
        <v>3000</v>
      </c>
      <c r="G187" s="2">
        <v>44877</v>
      </c>
      <c r="H187" s="2">
        <f t="shared" si="7"/>
        <v>44881</v>
      </c>
      <c r="I187" s="2">
        <f t="shared" si="8"/>
        <v>44901</v>
      </c>
      <c r="J187" t="str">
        <f>VLOOKUP(M187,Umfragenteilnahme!$A$2:$B$3,2,)</f>
        <v>Ja</v>
      </c>
      <c r="M187">
        <v>1</v>
      </c>
      <c r="N187">
        <v>561</v>
      </c>
      <c r="O187">
        <v>3</v>
      </c>
      <c r="P187">
        <v>60</v>
      </c>
      <c r="Q187">
        <v>2</v>
      </c>
      <c r="R187">
        <v>4</v>
      </c>
      <c r="S187">
        <v>24</v>
      </c>
    </row>
    <row r="188" spans="1:19" x14ac:dyDescent="0.35">
      <c r="A188">
        <v>7835</v>
      </c>
      <c r="B188">
        <v>372</v>
      </c>
      <c r="C188" t="str">
        <f>VLOOKUP(B188,Kunde!A:C,3,FALSE)</f>
        <v>Geschäftskunde</v>
      </c>
      <c r="D188" t="str">
        <f>VLOOKUP(O188,Produkt!$A$1:$E$5,2,FALSE)</f>
        <v>C</v>
      </c>
      <c r="E188">
        <f t="shared" si="6"/>
        <v>103</v>
      </c>
      <c r="F188">
        <f>VLOOKUP(D188,Produkt!$B$1:$C$5,2,FALSE)*Bestellungen!E188</f>
        <v>154500</v>
      </c>
      <c r="G188" s="2">
        <v>44839</v>
      </c>
      <c r="H188" s="2">
        <f t="shared" si="7"/>
        <v>44845</v>
      </c>
      <c r="I188" s="2">
        <f t="shared" si="8"/>
        <v>44856</v>
      </c>
      <c r="J188" t="str">
        <f>VLOOKUP(M188,Umfragenteilnahme!$A$2:$B$3,2,)</f>
        <v>Nein</v>
      </c>
      <c r="M188">
        <v>2</v>
      </c>
      <c r="N188">
        <v>372</v>
      </c>
      <c r="O188">
        <v>3</v>
      </c>
      <c r="P188">
        <v>103</v>
      </c>
      <c r="Q188">
        <v>6</v>
      </c>
      <c r="R188">
        <v>6</v>
      </c>
      <c r="S188">
        <v>17</v>
      </c>
    </row>
    <row r="189" spans="1:19" x14ac:dyDescent="0.35">
      <c r="A189">
        <v>7836</v>
      </c>
      <c r="B189">
        <v>420</v>
      </c>
      <c r="C189" t="str">
        <f>VLOOKUP(B189,Kunde!A:C,3,FALSE)</f>
        <v>Geschäftskunde</v>
      </c>
      <c r="D189" t="str">
        <f>VLOOKUP(O189,Produkt!$A$1:$E$5,2,FALSE)</f>
        <v>D</v>
      </c>
      <c r="E189">
        <f t="shared" si="6"/>
        <v>27</v>
      </c>
      <c r="F189">
        <f>VLOOKUP(D189,Produkt!$B$1:$C$5,2,FALSE)*Bestellungen!E189</f>
        <v>21600</v>
      </c>
      <c r="G189" s="2">
        <v>44914</v>
      </c>
      <c r="H189" s="2">
        <f t="shared" si="7"/>
        <v>44917</v>
      </c>
      <c r="I189" s="2">
        <f t="shared" si="8"/>
        <v>44930</v>
      </c>
      <c r="J189" t="str">
        <f>VLOOKUP(M189,Umfragenteilnahme!$A$2:$B$3,2,)</f>
        <v>Ja</v>
      </c>
      <c r="M189">
        <v>1</v>
      </c>
      <c r="N189">
        <v>420</v>
      </c>
      <c r="O189">
        <v>4</v>
      </c>
      <c r="P189">
        <v>27</v>
      </c>
      <c r="Q189">
        <v>6</v>
      </c>
      <c r="R189">
        <v>3</v>
      </c>
      <c r="S189">
        <v>16</v>
      </c>
    </row>
    <row r="190" spans="1:19" x14ac:dyDescent="0.35">
      <c r="A190">
        <v>7837</v>
      </c>
      <c r="B190">
        <v>275</v>
      </c>
      <c r="C190" t="str">
        <f>VLOOKUP(B190,Kunde!A:C,3,FALSE)</f>
        <v>Geschäftskunde</v>
      </c>
      <c r="D190" t="str">
        <f>VLOOKUP(O190,Produkt!$A$1:$E$5,2,FALSE)</f>
        <v>A</v>
      </c>
      <c r="E190">
        <f t="shared" si="6"/>
        <v>30</v>
      </c>
      <c r="F190">
        <f>VLOOKUP(D190,Produkt!$B$1:$C$5,2,FALSE)*Bestellungen!E190</f>
        <v>9000</v>
      </c>
      <c r="G190" s="2">
        <v>44805</v>
      </c>
      <c r="H190" s="2">
        <f t="shared" si="7"/>
        <v>44811</v>
      </c>
      <c r="I190" s="2">
        <f t="shared" si="8"/>
        <v>44861</v>
      </c>
      <c r="J190" t="str">
        <f>VLOOKUP(M190,Umfragenteilnahme!$A$2:$B$3,2,)</f>
        <v>Nein</v>
      </c>
      <c r="M190">
        <v>2</v>
      </c>
      <c r="N190">
        <v>275</v>
      </c>
      <c r="O190">
        <v>1</v>
      </c>
      <c r="P190">
        <v>30</v>
      </c>
      <c r="Q190">
        <v>5</v>
      </c>
      <c r="R190">
        <v>6</v>
      </c>
      <c r="S190">
        <v>56</v>
      </c>
    </row>
    <row r="191" spans="1:19" x14ac:dyDescent="0.35">
      <c r="A191">
        <v>7838</v>
      </c>
      <c r="B191">
        <v>85</v>
      </c>
      <c r="C191" t="str">
        <f>VLOOKUP(B191,Kunde!A:C,3,FALSE)</f>
        <v>Geschäftskunde</v>
      </c>
      <c r="D191" t="str">
        <f>VLOOKUP(O191,Produkt!$A$1:$E$5,2,FALSE)</f>
        <v>C</v>
      </c>
      <c r="E191">
        <f t="shared" si="6"/>
        <v>56</v>
      </c>
      <c r="F191">
        <f>VLOOKUP(D191,Produkt!$B$1:$C$5,2,FALSE)*Bestellungen!E191</f>
        <v>84000</v>
      </c>
      <c r="G191" s="2">
        <v>44788</v>
      </c>
      <c r="H191" s="2">
        <f t="shared" si="7"/>
        <v>44790</v>
      </c>
      <c r="I191" s="2">
        <f t="shared" si="8"/>
        <v>44808</v>
      </c>
      <c r="J191" t="str">
        <f>VLOOKUP(M191,Umfragenteilnahme!$A$2:$B$3,2,)</f>
        <v>Ja</v>
      </c>
      <c r="M191">
        <v>1</v>
      </c>
      <c r="N191">
        <v>85</v>
      </c>
      <c r="O191">
        <v>3</v>
      </c>
      <c r="P191">
        <v>56</v>
      </c>
      <c r="Q191">
        <v>2</v>
      </c>
      <c r="R191">
        <v>2</v>
      </c>
      <c r="S191">
        <v>20</v>
      </c>
    </row>
    <row r="192" spans="1:19" x14ac:dyDescent="0.35">
      <c r="A192">
        <v>7839</v>
      </c>
      <c r="B192">
        <v>554</v>
      </c>
      <c r="C192" t="str">
        <f>VLOOKUP(B192,Kunde!A:C,3,FALSE)</f>
        <v>Geschäftskunde</v>
      </c>
      <c r="D192" t="str">
        <f>VLOOKUP(O192,Produkt!$A$1:$E$5,2,FALSE)</f>
        <v>A</v>
      </c>
      <c r="E192">
        <f t="shared" si="6"/>
        <v>92</v>
      </c>
      <c r="F192">
        <f>VLOOKUP(D192,Produkt!$B$1:$C$5,2,FALSE)*Bestellungen!E192</f>
        <v>27600</v>
      </c>
      <c r="G192" s="2">
        <v>44723</v>
      </c>
      <c r="H192" s="2">
        <f t="shared" si="7"/>
        <v>44725</v>
      </c>
      <c r="I192" s="2">
        <f t="shared" si="8"/>
        <v>44777</v>
      </c>
      <c r="J192" t="str">
        <f>VLOOKUP(M192,Umfragenteilnahme!$A$2:$B$3,2,)</f>
        <v>Nein</v>
      </c>
      <c r="M192">
        <v>2</v>
      </c>
      <c r="N192">
        <v>554</v>
      </c>
      <c r="O192">
        <v>1</v>
      </c>
      <c r="P192">
        <v>92</v>
      </c>
      <c r="Q192">
        <v>3</v>
      </c>
      <c r="R192">
        <v>2</v>
      </c>
      <c r="S192">
        <v>54</v>
      </c>
    </row>
    <row r="193" spans="1:19" x14ac:dyDescent="0.35">
      <c r="A193">
        <v>7840</v>
      </c>
      <c r="B193">
        <v>265</v>
      </c>
      <c r="C193" t="str">
        <f>VLOOKUP(B193,Kunde!A:C,3,FALSE)</f>
        <v>Geschäftskunde</v>
      </c>
      <c r="D193" t="str">
        <f>VLOOKUP(O193,Produkt!$A$1:$E$5,2,FALSE)</f>
        <v>C</v>
      </c>
      <c r="E193">
        <f t="shared" si="6"/>
        <v>56</v>
      </c>
      <c r="F193">
        <f>VLOOKUP(D193,Produkt!$B$1:$C$5,2,FALSE)*Bestellungen!E193</f>
        <v>84000</v>
      </c>
      <c r="G193" s="2">
        <v>44971</v>
      </c>
      <c r="H193" s="2">
        <f t="shared" si="7"/>
        <v>44977</v>
      </c>
      <c r="I193" s="2">
        <f t="shared" si="8"/>
        <v>44999</v>
      </c>
      <c r="J193" t="str">
        <f>VLOOKUP(M193,Umfragenteilnahme!$A$2:$B$3,2,)</f>
        <v>Nein</v>
      </c>
      <c r="M193">
        <v>2</v>
      </c>
      <c r="N193">
        <v>265</v>
      </c>
      <c r="O193">
        <v>3</v>
      </c>
      <c r="P193">
        <v>56</v>
      </c>
      <c r="Q193">
        <v>7</v>
      </c>
      <c r="R193">
        <v>6</v>
      </c>
      <c r="S193">
        <v>28</v>
      </c>
    </row>
    <row r="194" spans="1:19" x14ac:dyDescent="0.35">
      <c r="A194">
        <v>7841</v>
      </c>
      <c r="B194">
        <v>599</v>
      </c>
      <c r="C194" t="str">
        <f>VLOOKUP(B194,Kunde!A:C,3,FALSE)</f>
        <v>Geschäftskunde</v>
      </c>
      <c r="D194" t="str">
        <f>VLOOKUP(O194,Produkt!$A$1:$E$5,2,FALSE)</f>
        <v>C</v>
      </c>
      <c r="E194">
        <f t="shared" si="6"/>
        <v>27</v>
      </c>
      <c r="F194">
        <f>VLOOKUP(D194,Produkt!$B$1:$C$5,2,FALSE)*Bestellungen!E194</f>
        <v>40500</v>
      </c>
      <c r="G194" s="2">
        <v>44978</v>
      </c>
      <c r="H194" s="2">
        <f t="shared" si="7"/>
        <v>44985</v>
      </c>
      <c r="I194" s="2">
        <f t="shared" si="8"/>
        <v>45027</v>
      </c>
      <c r="J194" t="str">
        <f>VLOOKUP(M194,Umfragenteilnahme!$A$2:$B$3,2,)</f>
        <v>Ja</v>
      </c>
      <c r="M194">
        <v>1</v>
      </c>
      <c r="N194">
        <v>599</v>
      </c>
      <c r="O194">
        <v>3</v>
      </c>
      <c r="P194">
        <v>27</v>
      </c>
      <c r="Q194">
        <v>10</v>
      </c>
      <c r="R194">
        <v>7</v>
      </c>
      <c r="S194">
        <v>49</v>
      </c>
    </row>
    <row r="195" spans="1:19" x14ac:dyDescent="0.35">
      <c r="A195">
        <v>7842</v>
      </c>
      <c r="B195">
        <v>501</v>
      </c>
      <c r="C195" t="str">
        <f>VLOOKUP(B195,Kunde!A:C,3,FALSE)</f>
        <v>Geschäftskunde</v>
      </c>
      <c r="D195" t="str">
        <f>VLOOKUP(O195,Produkt!$A$1:$E$5,2,FALSE)</f>
        <v>B</v>
      </c>
      <c r="E195">
        <f t="shared" ref="E195:E258" si="9">IF(C195="Geschäftskunde",P195,Q195)</f>
        <v>12</v>
      </c>
      <c r="F195">
        <f>VLOOKUP(D195,Produkt!$B$1:$C$5,2,FALSE)*Bestellungen!E195</f>
        <v>5760</v>
      </c>
      <c r="G195" s="2">
        <v>44875</v>
      </c>
      <c r="H195" s="2">
        <f t="shared" ref="H195:H258" si="10">G195+R195</f>
        <v>44877</v>
      </c>
      <c r="I195" s="2">
        <f t="shared" ref="I195:I258" si="11">G195+S195</f>
        <v>44935</v>
      </c>
      <c r="J195" t="str">
        <f>VLOOKUP(M195,Umfragenteilnahme!$A$2:$B$3,2,)</f>
        <v>Ja</v>
      </c>
      <c r="M195">
        <v>1</v>
      </c>
      <c r="N195">
        <v>501</v>
      </c>
      <c r="O195">
        <v>2</v>
      </c>
      <c r="P195">
        <v>12</v>
      </c>
      <c r="Q195">
        <v>3</v>
      </c>
      <c r="R195">
        <v>2</v>
      </c>
      <c r="S195">
        <v>60</v>
      </c>
    </row>
    <row r="196" spans="1:19" x14ac:dyDescent="0.35">
      <c r="A196">
        <v>7843</v>
      </c>
      <c r="B196">
        <v>41</v>
      </c>
      <c r="C196" t="str">
        <f>VLOOKUP(B196,Kunde!A:C,3,FALSE)</f>
        <v>Geschäftskunde</v>
      </c>
      <c r="D196" t="str">
        <f>VLOOKUP(O196,Produkt!$A$1:$E$5,2,FALSE)</f>
        <v>D</v>
      </c>
      <c r="E196">
        <f t="shared" si="9"/>
        <v>133</v>
      </c>
      <c r="F196">
        <f>VLOOKUP(D196,Produkt!$B$1:$C$5,2,FALSE)*Bestellungen!E196</f>
        <v>106400</v>
      </c>
      <c r="G196" s="2">
        <v>44760</v>
      </c>
      <c r="H196" s="2">
        <f t="shared" si="10"/>
        <v>44766</v>
      </c>
      <c r="I196" s="2">
        <f t="shared" si="11"/>
        <v>44816</v>
      </c>
      <c r="J196" t="str">
        <f>VLOOKUP(M196,Umfragenteilnahme!$A$2:$B$3,2,)</f>
        <v>Ja</v>
      </c>
      <c r="M196">
        <v>1</v>
      </c>
      <c r="N196">
        <v>41</v>
      </c>
      <c r="O196">
        <v>4</v>
      </c>
      <c r="P196">
        <v>133</v>
      </c>
      <c r="Q196">
        <v>5</v>
      </c>
      <c r="R196">
        <v>6</v>
      </c>
      <c r="S196">
        <v>56</v>
      </c>
    </row>
    <row r="197" spans="1:19" x14ac:dyDescent="0.35">
      <c r="A197">
        <v>7844</v>
      </c>
      <c r="B197">
        <v>656</v>
      </c>
      <c r="C197" t="str">
        <f>VLOOKUP(B197,Kunde!A:C,3,FALSE)</f>
        <v>Geschäftskunde</v>
      </c>
      <c r="D197" t="str">
        <f>VLOOKUP(O197,Produkt!$A$1:$E$5,2,FALSE)</f>
        <v>B</v>
      </c>
      <c r="E197">
        <f t="shared" si="9"/>
        <v>74</v>
      </c>
      <c r="F197">
        <f>VLOOKUP(D197,Produkt!$B$1:$C$5,2,FALSE)*Bestellungen!E197</f>
        <v>35520</v>
      </c>
      <c r="G197" s="2">
        <v>44857</v>
      </c>
      <c r="H197" s="2">
        <f t="shared" si="10"/>
        <v>44862</v>
      </c>
      <c r="I197" s="2">
        <f t="shared" si="11"/>
        <v>44877</v>
      </c>
      <c r="J197" t="str">
        <f>VLOOKUP(M197,Umfragenteilnahme!$A$2:$B$3,2,)</f>
        <v>Nein</v>
      </c>
      <c r="M197">
        <v>2</v>
      </c>
      <c r="N197">
        <v>656</v>
      </c>
      <c r="O197">
        <v>2</v>
      </c>
      <c r="P197">
        <v>74</v>
      </c>
      <c r="Q197">
        <v>4</v>
      </c>
      <c r="R197">
        <v>5</v>
      </c>
      <c r="S197">
        <v>20</v>
      </c>
    </row>
    <row r="198" spans="1:19" x14ac:dyDescent="0.35">
      <c r="A198">
        <v>7845</v>
      </c>
      <c r="B198">
        <v>357</v>
      </c>
      <c r="C198" t="str">
        <f>VLOOKUP(B198,Kunde!A:C,3,FALSE)</f>
        <v>Geschäftskunde</v>
      </c>
      <c r="D198" t="str">
        <f>VLOOKUP(O198,Produkt!$A$1:$E$5,2,FALSE)</f>
        <v>B</v>
      </c>
      <c r="E198">
        <f t="shared" si="9"/>
        <v>66</v>
      </c>
      <c r="F198">
        <f>VLOOKUP(D198,Produkt!$B$1:$C$5,2,FALSE)*Bestellungen!E198</f>
        <v>31680</v>
      </c>
      <c r="G198" s="2">
        <v>45007</v>
      </c>
      <c r="H198" s="2">
        <f t="shared" si="10"/>
        <v>45012</v>
      </c>
      <c r="I198" s="2">
        <f t="shared" si="11"/>
        <v>45036</v>
      </c>
      <c r="J198" t="str">
        <f>VLOOKUP(M198,Umfragenteilnahme!$A$2:$B$3,2,)</f>
        <v>Nein</v>
      </c>
      <c r="M198">
        <v>2</v>
      </c>
      <c r="N198">
        <v>357</v>
      </c>
      <c r="O198">
        <v>2</v>
      </c>
      <c r="P198">
        <v>66</v>
      </c>
      <c r="Q198">
        <v>3</v>
      </c>
      <c r="R198">
        <v>5</v>
      </c>
      <c r="S198">
        <v>29</v>
      </c>
    </row>
    <row r="199" spans="1:19" x14ac:dyDescent="0.35">
      <c r="A199">
        <v>7846</v>
      </c>
      <c r="B199">
        <v>236</v>
      </c>
      <c r="C199" t="str">
        <f>VLOOKUP(B199,Kunde!A:C,3,FALSE)</f>
        <v>Geschäftskunde</v>
      </c>
      <c r="D199" t="str">
        <f>VLOOKUP(O199,Produkt!$A$1:$E$5,2,FALSE)</f>
        <v>C</v>
      </c>
      <c r="E199">
        <f t="shared" si="9"/>
        <v>133</v>
      </c>
      <c r="F199">
        <f>VLOOKUP(D199,Produkt!$B$1:$C$5,2,FALSE)*Bestellungen!E199</f>
        <v>199500</v>
      </c>
      <c r="G199" s="2">
        <v>44791</v>
      </c>
      <c r="H199" s="2">
        <f t="shared" si="10"/>
        <v>44794</v>
      </c>
      <c r="I199" s="2">
        <f t="shared" si="11"/>
        <v>44819</v>
      </c>
      <c r="J199" t="str">
        <f>VLOOKUP(M199,Umfragenteilnahme!$A$2:$B$3,2,)</f>
        <v>Nein</v>
      </c>
      <c r="M199">
        <v>2</v>
      </c>
      <c r="N199">
        <v>236</v>
      </c>
      <c r="O199">
        <v>3</v>
      </c>
      <c r="P199">
        <v>133</v>
      </c>
      <c r="Q199">
        <v>4</v>
      </c>
      <c r="R199">
        <v>3</v>
      </c>
      <c r="S199">
        <v>28</v>
      </c>
    </row>
    <row r="200" spans="1:19" x14ac:dyDescent="0.35">
      <c r="A200">
        <v>7847</v>
      </c>
      <c r="B200">
        <v>521</v>
      </c>
      <c r="C200" t="str">
        <f>VLOOKUP(B200,Kunde!A:C,3,FALSE)</f>
        <v>Geschäftskunde</v>
      </c>
      <c r="D200" t="str">
        <f>VLOOKUP(O200,Produkt!$A$1:$E$5,2,FALSE)</f>
        <v>A</v>
      </c>
      <c r="E200">
        <f t="shared" si="9"/>
        <v>40</v>
      </c>
      <c r="F200">
        <f>VLOOKUP(D200,Produkt!$B$1:$C$5,2,FALSE)*Bestellungen!E200</f>
        <v>12000</v>
      </c>
      <c r="G200" s="2">
        <v>44843</v>
      </c>
      <c r="H200" s="2">
        <f t="shared" si="10"/>
        <v>44848</v>
      </c>
      <c r="I200" s="2">
        <f t="shared" si="11"/>
        <v>44847</v>
      </c>
      <c r="J200" t="str">
        <f>VLOOKUP(M200,Umfragenteilnahme!$A$2:$B$3,2,)</f>
        <v>Ja</v>
      </c>
      <c r="M200">
        <v>1</v>
      </c>
      <c r="N200">
        <v>521</v>
      </c>
      <c r="O200">
        <v>1</v>
      </c>
      <c r="P200">
        <v>40</v>
      </c>
      <c r="Q200">
        <v>9</v>
      </c>
      <c r="R200">
        <v>5</v>
      </c>
      <c r="S200">
        <v>4</v>
      </c>
    </row>
    <row r="201" spans="1:19" x14ac:dyDescent="0.35">
      <c r="A201">
        <v>7848</v>
      </c>
      <c r="B201">
        <v>319</v>
      </c>
      <c r="C201" t="str">
        <f>VLOOKUP(B201,Kunde!A:C,3,FALSE)</f>
        <v>Geschäftskunde</v>
      </c>
      <c r="D201" t="str">
        <f>VLOOKUP(O201,Produkt!$A$1:$E$5,2,FALSE)</f>
        <v>C</v>
      </c>
      <c r="E201">
        <f t="shared" si="9"/>
        <v>117</v>
      </c>
      <c r="F201">
        <f>VLOOKUP(D201,Produkt!$B$1:$C$5,2,FALSE)*Bestellungen!E201</f>
        <v>175500</v>
      </c>
      <c r="G201" s="2">
        <v>44871</v>
      </c>
      <c r="H201" s="2">
        <f t="shared" si="10"/>
        <v>44878</v>
      </c>
      <c r="I201" s="2">
        <f t="shared" si="11"/>
        <v>44898</v>
      </c>
      <c r="J201" t="str">
        <f>VLOOKUP(M201,Umfragenteilnahme!$A$2:$B$3,2,)</f>
        <v>Ja</v>
      </c>
      <c r="M201">
        <v>1</v>
      </c>
      <c r="N201">
        <v>319</v>
      </c>
      <c r="O201">
        <v>3</v>
      </c>
      <c r="P201">
        <v>117</v>
      </c>
      <c r="Q201">
        <v>2</v>
      </c>
      <c r="R201">
        <v>7</v>
      </c>
      <c r="S201">
        <v>27</v>
      </c>
    </row>
    <row r="202" spans="1:19" x14ac:dyDescent="0.35">
      <c r="A202">
        <v>7849</v>
      </c>
      <c r="B202">
        <v>637</v>
      </c>
      <c r="C202" t="str">
        <f>VLOOKUP(B202,Kunde!A:C,3,FALSE)</f>
        <v>Geschäftskunde</v>
      </c>
      <c r="D202" t="str">
        <f>VLOOKUP(O202,Produkt!$A$1:$E$5,2,FALSE)</f>
        <v>A</v>
      </c>
      <c r="E202">
        <f t="shared" si="9"/>
        <v>149</v>
      </c>
      <c r="F202">
        <f>VLOOKUP(D202,Produkt!$B$1:$C$5,2,FALSE)*Bestellungen!E202</f>
        <v>44700</v>
      </c>
      <c r="G202" s="2">
        <v>44767</v>
      </c>
      <c r="H202" s="2">
        <f t="shared" si="10"/>
        <v>44769</v>
      </c>
      <c r="I202" s="2">
        <f t="shared" si="11"/>
        <v>44790</v>
      </c>
      <c r="J202" t="str">
        <f>VLOOKUP(M202,Umfragenteilnahme!$A$2:$B$3,2,)</f>
        <v>Nein</v>
      </c>
      <c r="M202">
        <v>2</v>
      </c>
      <c r="N202">
        <v>637</v>
      </c>
      <c r="O202">
        <v>1</v>
      </c>
      <c r="P202">
        <v>149</v>
      </c>
      <c r="Q202">
        <v>2</v>
      </c>
      <c r="R202">
        <v>2</v>
      </c>
      <c r="S202">
        <v>23</v>
      </c>
    </row>
    <row r="203" spans="1:19" x14ac:dyDescent="0.35">
      <c r="A203">
        <v>7850</v>
      </c>
      <c r="B203">
        <v>739</v>
      </c>
      <c r="C203" t="str">
        <f>VLOOKUP(B203,Kunde!A:C,3,FALSE)</f>
        <v>Geschäftskunde</v>
      </c>
      <c r="D203" t="str">
        <f>VLOOKUP(O203,Produkt!$A$1:$E$5,2,FALSE)</f>
        <v>C</v>
      </c>
      <c r="E203">
        <f t="shared" si="9"/>
        <v>141</v>
      </c>
      <c r="F203">
        <f>VLOOKUP(D203,Produkt!$B$1:$C$5,2,FALSE)*Bestellungen!E203</f>
        <v>211500</v>
      </c>
      <c r="G203" s="2">
        <v>44916</v>
      </c>
      <c r="H203" s="2">
        <f t="shared" si="10"/>
        <v>44919</v>
      </c>
      <c r="I203" s="2">
        <f t="shared" si="11"/>
        <v>44972</v>
      </c>
      <c r="J203" t="str">
        <f>VLOOKUP(M203,Umfragenteilnahme!$A$2:$B$3,2,)</f>
        <v>Ja</v>
      </c>
      <c r="M203">
        <v>1</v>
      </c>
      <c r="N203">
        <v>739</v>
      </c>
      <c r="O203">
        <v>3</v>
      </c>
      <c r="P203">
        <v>141</v>
      </c>
      <c r="Q203">
        <v>10</v>
      </c>
      <c r="R203">
        <v>3</v>
      </c>
      <c r="S203">
        <v>56</v>
      </c>
    </row>
    <row r="204" spans="1:19" x14ac:dyDescent="0.35">
      <c r="A204">
        <v>7851</v>
      </c>
      <c r="B204">
        <v>643</v>
      </c>
      <c r="C204" t="str">
        <f>VLOOKUP(B204,Kunde!A:C,3,FALSE)</f>
        <v>Privatkunde</v>
      </c>
      <c r="D204" t="str">
        <f>VLOOKUP(O204,Produkt!$A$1:$E$5,2,FALSE)</f>
        <v>C</v>
      </c>
      <c r="E204">
        <f t="shared" si="9"/>
        <v>3</v>
      </c>
      <c r="F204">
        <f>VLOOKUP(D204,Produkt!$B$1:$C$5,2,FALSE)*Bestellungen!E204</f>
        <v>4500</v>
      </c>
      <c r="G204" s="2">
        <v>45075</v>
      </c>
      <c r="H204" s="2">
        <f t="shared" si="10"/>
        <v>45077</v>
      </c>
      <c r="I204" s="2">
        <f t="shared" si="11"/>
        <v>45120</v>
      </c>
      <c r="J204" t="str">
        <f>VLOOKUP(M204,Umfragenteilnahme!$A$2:$B$3,2,)</f>
        <v>Ja</v>
      </c>
      <c r="M204">
        <v>1</v>
      </c>
      <c r="N204">
        <v>643</v>
      </c>
      <c r="O204">
        <v>3</v>
      </c>
      <c r="P204">
        <v>65</v>
      </c>
      <c r="Q204">
        <v>3</v>
      </c>
      <c r="R204">
        <v>2</v>
      </c>
      <c r="S204">
        <v>45</v>
      </c>
    </row>
    <row r="205" spans="1:19" x14ac:dyDescent="0.35">
      <c r="A205">
        <v>7852</v>
      </c>
      <c r="B205">
        <v>727</v>
      </c>
      <c r="C205" t="str">
        <f>VLOOKUP(B205,Kunde!A:C,3,FALSE)</f>
        <v>Geschäftskunde</v>
      </c>
      <c r="D205" t="str">
        <f>VLOOKUP(O205,Produkt!$A$1:$E$5,2,FALSE)</f>
        <v>D</v>
      </c>
      <c r="E205">
        <f t="shared" si="9"/>
        <v>12</v>
      </c>
      <c r="F205">
        <f>VLOOKUP(D205,Produkt!$B$1:$C$5,2,FALSE)*Bestellungen!E205</f>
        <v>9600</v>
      </c>
      <c r="G205" s="2">
        <v>44814</v>
      </c>
      <c r="H205" s="2">
        <f t="shared" si="10"/>
        <v>44820</v>
      </c>
      <c r="I205" s="2">
        <f t="shared" si="11"/>
        <v>44835</v>
      </c>
      <c r="J205" t="str">
        <f>VLOOKUP(M205,Umfragenteilnahme!$A$2:$B$3,2,)</f>
        <v>Ja</v>
      </c>
      <c r="M205">
        <v>1</v>
      </c>
      <c r="N205">
        <v>727</v>
      </c>
      <c r="O205">
        <v>4</v>
      </c>
      <c r="P205">
        <v>12</v>
      </c>
      <c r="Q205">
        <v>3</v>
      </c>
      <c r="R205">
        <v>6</v>
      </c>
      <c r="S205">
        <v>21</v>
      </c>
    </row>
    <row r="206" spans="1:19" x14ac:dyDescent="0.35">
      <c r="A206">
        <v>7853</v>
      </c>
      <c r="B206">
        <v>149</v>
      </c>
      <c r="C206" t="str">
        <f>VLOOKUP(B206,Kunde!A:C,3,FALSE)</f>
        <v>Geschäftskunde</v>
      </c>
      <c r="D206" t="str">
        <f>VLOOKUP(O206,Produkt!$A$1:$E$5,2,FALSE)</f>
        <v>C</v>
      </c>
      <c r="E206">
        <f t="shared" si="9"/>
        <v>118</v>
      </c>
      <c r="F206">
        <f>VLOOKUP(D206,Produkt!$B$1:$C$5,2,FALSE)*Bestellungen!E206</f>
        <v>177000</v>
      </c>
      <c r="G206" s="2">
        <v>45012</v>
      </c>
      <c r="H206" s="2">
        <f t="shared" si="10"/>
        <v>45018</v>
      </c>
      <c r="I206" s="2">
        <f t="shared" si="11"/>
        <v>45066</v>
      </c>
      <c r="J206" t="str">
        <f>VLOOKUP(M206,Umfragenteilnahme!$A$2:$B$3,2,)</f>
        <v>Ja</v>
      </c>
      <c r="M206">
        <v>1</v>
      </c>
      <c r="N206">
        <v>149</v>
      </c>
      <c r="O206">
        <v>3</v>
      </c>
      <c r="P206">
        <v>118</v>
      </c>
      <c r="Q206">
        <v>3</v>
      </c>
      <c r="R206">
        <v>6</v>
      </c>
      <c r="S206">
        <v>54</v>
      </c>
    </row>
    <row r="207" spans="1:19" x14ac:dyDescent="0.35">
      <c r="A207">
        <v>7854</v>
      </c>
      <c r="B207">
        <v>86</v>
      </c>
      <c r="C207" t="str">
        <f>VLOOKUP(B207,Kunde!A:C,3,FALSE)</f>
        <v>Geschäftskunde</v>
      </c>
      <c r="D207" t="str">
        <f>VLOOKUP(O207,Produkt!$A$1:$E$5,2,FALSE)</f>
        <v>B</v>
      </c>
      <c r="E207">
        <f t="shared" si="9"/>
        <v>43</v>
      </c>
      <c r="F207">
        <f>VLOOKUP(D207,Produkt!$B$1:$C$5,2,FALSE)*Bestellungen!E207</f>
        <v>20640</v>
      </c>
      <c r="G207" s="2">
        <v>44753</v>
      </c>
      <c r="H207" s="2">
        <f t="shared" si="10"/>
        <v>44760</v>
      </c>
      <c r="I207" s="2">
        <f t="shared" si="11"/>
        <v>44756</v>
      </c>
      <c r="J207" t="str">
        <f>VLOOKUP(M207,Umfragenteilnahme!$A$2:$B$3,2,)</f>
        <v>Nein</v>
      </c>
      <c r="M207">
        <v>2</v>
      </c>
      <c r="N207">
        <v>86</v>
      </c>
      <c r="O207">
        <v>2</v>
      </c>
      <c r="P207">
        <v>43</v>
      </c>
      <c r="Q207">
        <v>10</v>
      </c>
      <c r="R207">
        <v>7</v>
      </c>
      <c r="S207">
        <v>3</v>
      </c>
    </row>
    <row r="208" spans="1:19" x14ac:dyDescent="0.35">
      <c r="A208">
        <v>7855</v>
      </c>
      <c r="B208">
        <v>516</v>
      </c>
      <c r="C208" t="str">
        <f>VLOOKUP(B208,Kunde!A:C,3,FALSE)</f>
        <v>Geschäftskunde</v>
      </c>
      <c r="D208" t="str">
        <f>VLOOKUP(O208,Produkt!$A$1:$E$5,2,FALSE)</f>
        <v>C</v>
      </c>
      <c r="E208">
        <f t="shared" si="9"/>
        <v>130</v>
      </c>
      <c r="F208">
        <f>VLOOKUP(D208,Produkt!$B$1:$C$5,2,FALSE)*Bestellungen!E208</f>
        <v>195000</v>
      </c>
      <c r="G208" s="2">
        <v>45006</v>
      </c>
      <c r="H208" s="2">
        <f t="shared" si="10"/>
        <v>45009</v>
      </c>
      <c r="I208" s="2">
        <f t="shared" si="11"/>
        <v>45026</v>
      </c>
      <c r="J208" t="str">
        <f>VLOOKUP(M208,Umfragenteilnahme!$A$2:$B$3,2,)</f>
        <v>Nein</v>
      </c>
      <c r="M208">
        <v>2</v>
      </c>
      <c r="N208">
        <v>516</v>
      </c>
      <c r="O208">
        <v>3</v>
      </c>
      <c r="P208">
        <v>130</v>
      </c>
      <c r="Q208">
        <v>7</v>
      </c>
      <c r="R208">
        <v>3</v>
      </c>
      <c r="S208">
        <v>20</v>
      </c>
    </row>
    <row r="209" spans="1:19" x14ac:dyDescent="0.35">
      <c r="A209">
        <v>7856</v>
      </c>
      <c r="B209">
        <v>349</v>
      </c>
      <c r="C209" t="str">
        <f>VLOOKUP(B209,Kunde!A:C,3,FALSE)</f>
        <v>Privatkunde</v>
      </c>
      <c r="D209" t="str">
        <f>VLOOKUP(O209,Produkt!$A$1:$E$5,2,FALSE)</f>
        <v>D</v>
      </c>
      <c r="E209">
        <f t="shared" si="9"/>
        <v>6</v>
      </c>
      <c r="F209">
        <f>VLOOKUP(D209,Produkt!$B$1:$C$5,2,FALSE)*Bestellungen!E209</f>
        <v>4800</v>
      </c>
      <c r="G209" s="2">
        <v>44719</v>
      </c>
      <c r="H209" s="2">
        <f t="shared" si="10"/>
        <v>44722</v>
      </c>
      <c r="I209" s="2">
        <f t="shared" si="11"/>
        <v>44726</v>
      </c>
      <c r="J209" t="str">
        <f>VLOOKUP(M209,Umfragenteilnahme!$A$2:$B$3,2,)</f>
        <v>Ja</v>
      </c>
      <c r="M209">
        <v>1</v>
      </c>
      <c r="N209">
        <v>349</v>
      </c>
      <c r="O209">
        <v>4</v>
      </c>
      <c r="P209">
        <v>92</v>
      </c>
      <c r="Q209">
        <v>6</v>
      </c>
      <c r="R209">
        <v>3</v>
      </c>
      <c r="S209">
        <v>7</v>
      </c>
    </row>
    <row r="210" spans="1:19" x14ac:dyDescent="0.35">
      <c r="A210">
        <v>7857</v>
      </c>
      <c r="B210">
        <v>674</v>
      </c>
      <c r="C210" t="str">
        <f>VLOOKUP(B210,Kunde!A:C,3,FALSE)</f>
        <v>Privatkunde</v>
      </c>
      <c r="D210" t="str">
        <f>VLOOKUP(O210,Produkt!$A$1:$E$5,2,FALSE)</f>
        <v>A</v>
      </c>
      <c r="E210">
        <f t="shared" si="9"/>
        <v>10</v>
      </c>
      <c r="F210">
        <f>VLOOKUP(D210,Produkt!$B$1:$C$5,2,FALSE)*Bestellungen!E210</f>
        <v>3000</v>
      </c>
      <c r="G210" s="2">
        <v>44735</v>
      </c>
      <c r="H210" s="2">
        <f t="shared" si="10"/>
        <v>44739</v>
      </c>
      <c r="I210" s="2">
        <f t="shared" si="11"/>
        <v>44743</v>
      </c>
      <c r="J210" t="str">
        <f>VLOOKUP(M210,Umfragenteilnahme!$A$2:$B$3,2,)</f>
        <v>Nein</v>
      </c>
      <c r="M210">
        <v>2</v>
      </c>
      <c r="N210">
        <v>674</v>
      </c>
      <c r="O210">
        <v>1</v>
      </c>
      <c r="P210">
        <v>21</v>
      </c>
      <c r="Q210">
        <v>10</v>
      </c>
      <c r="R210">
        <v>4</v>
      </c>
      <c r="S210">
        <v>8</v>
      </c>
    </row>
    <row r="211" spans="1:19" x14ac:dyDescent="0.35">
      <c r="A211">
        <v>7858</v>
      </c>
      <c r="B211">
        <v>748</v>
      </c>
      <c r="C211" t="str">
        <f>VLOOKUP(B211,Kunde!A:C,3,FALSE)</f>
        <v>Geschäftskunde</v>
      </c>
      <c r="D211" t="str">
        <f>VLOOKUP(O211,Produkt!$A$1:$E$5,2,FALSE)</f>
        <v>C</v>
      </c>
      <c r="E211">
        <f t="shared" si="9"/>
        <v>23</v>
      </c>
      <c r="F211">
        <f>VLOOKUP(D211,Produkt!$B$1:$C$5,2,FALSE)*Bestellungen!E211</f>
        <v>34500</v>
      </c>
      <c r="G211" s="2">
        <v>45064</v>
      </c>
      <c r="H211" s="2">
        <f t="shared" si="10"/>
        <v>45066</v>
      </c>
      <c r="I211" s="2">
        <f t="shared" si="11"/>
        <v>45106</v>
      </c>
      <c r="J211" t="str">
        <f>VLOOKUP(M211,Umfragenteilnahme!$A$2:$B$3,2,)</f>
        <v>Ja</v>
      </c>
      <c r="M211">
        <v>1</v>
      </c>
      <c r="N211">
        <v>748</v>
      </c>
      <c r="O211">
        <v>3</v>
      </c>
      <c r="P211">
        <v>23</v>
      </c>
      <c r="Q211">
        <v>10</v>
      </c>
      <c r="R211">
        <v>2</v>
      </c>
      <c r="S211">
        <v>42</v>
      </c>
    </row>
    <row r="212" spans="1:19" x14ac:dyDescent="0.35">
      <c r="A212">
        <v>7859</v>
      </c>
      <c r="B212">
        <v>754</v>
      </c>
      <c r="C212" t="str">
        <f>VLOOKUP(B212,Kunde!A:C,3,FALSE)</f>
        <v>Geschäftskunde</v>
      </c>
      <c r="D212" t="str">
        <f>VLOOKUP(O212,Produkt!$A$1:$E$5,2,FALSE)</f>
        <v>D</v>
      </c>
      <c r="E212">
        <f t="shared" si="9"/>
        <v>149</v>
      </c>
      <c r="F212">
        <f>VLOOKUP(D212,Produkt!$B$1:$C$5,2,FALSE)*Bestellungen!E212</f>
        <v>119200</v>
      </c>
      <c r="G212" s="2">
        <v>44814</v>
      </c>
      <c r="H212" s="2">
        <f t="shared" si="10"/>
        <v>44819</v>
      </c>
      <c r="I212" s="2">
        <f t="shared" si="11"/>
        <v>44827</v>
      </c>
      <c r="J212" t="str">
        <f>VLOOKUP(M212,Umfragenteilnahme!$A$2:$B$3,2,)</f>
        <v>Ja</v>
      </c>
      <c r="M212">
        <v>1</v>
      </c>
      <c r="N212">
        <v>754</v>
      </c>
      <c r="O212">
        <v>4</v>
      </c>
      <c r="P212">
        <v>149</v>
      </c>
      <c r="Q212">
        <v>8</v>
      </c>
      <c r="R212">
        <v>5</v>
      </c>
      <c r="S212">
        <v>13</v>
      </c>
    </row>
    <row r="213" spans="1:19" x14ac:dyDescent="0.35">
      <c r="A213">
        <v>7860</v>
      </c>
      <c r="B213">
        <v>611</v>
      </c>
      <c r="C213" t="str">
        <f>VLOOKUP(B213,Kunde!A:C,3,FALSE)</f>
        <v>Geschäftskunde</v>
      </c>
      <c r="D213" t="str">
        <f>VLOOKUP(O213,Produkt!$A$1:$E$5,2,FALSE)</f>
        <v>D</v>
      </c>
      <c r="E213">
        <f t="shared" si="9"/>
        <v>76</v>
      </c>
      <c r="F213">
        <f>VLOOKUP(D213,Produkt!$B$1:$C$5,2,FALSE)*Bestellungen!E213</f>
        <v>60800</v>
      </c>
      <c r="G213" s="2">
        <v>44780</v>
      </c>
      <c r="H213" s="2">
        <f t="shared" si="10"/>
        <v>44786</v>
      </c>
      <c r="I213" s="2">
        <f t="shared" si="11"/>
        <v>44817</v>
      </c>
      <c r="J213" t="str">
        <f>VLOOKUP(M213,Umfragenteilnahme!$A$2:$B$3,2,)</f>
        <v>Ja</v>
      </c>
      <c r="M213">
        <v>1</v>
      </c>
      <c r="N213">
        <v>611</v>
      </c>
      <c r="O213">
        <v>4</v>
      </c>
      <c r="P213">
        <v>76</v>
      </c>
      <c r="Q213">
        <v>9</v>
      </c>
      <c r="R213">
        <v>6</v>
      </c>
      <c r="S213">
        <v>37</v>
      </c>
    </row>
    <row r="214" spans="1:19" x14ac:dyDescent="0.35">
      <c r="A214">
        <v>7861</v>
      </c>
      <c r="B214">
        <v>315</v>
      </c>
      <c r="C214" t="str">
        <f>VLOOKUP(B214,Kunde!A:C,3,FALSE)</f>
        <v>Geschäftskunde</v>
      </c>
      <c r="D214" t="str">
        <f>VLOOKUP(O214,Produkt!$A$1:$E$5,2,FALSE)</f>
        <v>B</v>
      </c>
      <c r="E214">
        <f t="shared" si="9"/>
        <v>133</v>
      </c>
      <c r="F214">
        <f>VLOOKUP(D214,Produkt!$B$1:$C$5,2,FALSE)*Bestellungen!E214</f>
        <v>63840</v>
      </c>
      <c r="G214" s="2">
        <v>45050</v>
      </c>
      <c r="H214" s="2">
        <f t="shared" si="10"/>
        <v>45055</v>
      </c>
      <c r="I214" s="2">
        <f t="shared" si="11"/>
        <v>45054</v>
      </c>
      <c r="J214" t="str">
        <f>VLOOKUP(M214,Umfragenteilnahme!$A$2:$B$3,2,)</f>
        <v>Ja</v>
      </c>
      <c r="M214">
        <v>1</v>
      </c>
      <c r="N214">
        <v>315</v>
      </c>
      <c r="O214">
        <v>2</v>
      </c>
      <c r="P214">
        <v>133</v>
      </c>
      <c r="Q214">
        <v>4</v>
      </c>
      <c r="R214">
        <v>5</v>
      </c>
      <c r="S214">
        <v>4</v>
      </c>
    </row>
    <row r="215" spans="1:19" x14ac:dyDescent="0.35">
      <c r="A215">
        <v>7862</v>
      </c>
      <c r="B215">
        <v>412</v>
      </c>
      <c r="C215" t="str">
        <f>VLOOKUP(B215,Kunde!A:C,3,FALSE)</f>
        <v>Geschäftskunde</v>
      </c>
      <c r="D215" t="str">
        <f>VLOOKUP(O215,Produkt!$A$1:$E$5,2,FALSE)</f>
        <v>D</v>
      </c>
      <c r="E215">
        <f t="shared" si="9"/>
        <v>20</v>
      </c>
      <c r="F215">
        <f>VLOOKUP(D215,Produkt!$B$1:$C$5,2,FALSE)*Bestellungen!E215</f>
        <v>16000</v>
      </c>
      <c r="G215" s="2">
        <v>44913</v>
      </c>
      <c r="H215" s="2">
        <f t="shared" si="10"/>
        <v>44916</v>
      </c>
      <c r="I215" s="2">
        <f t="shared" si="11"/>
        <v>44929</v>
      </c>
      <c r="J215" t="str">
        <f>VLOOKUP(M215,Umfragenteilnahme!$A$2:$B$3,2,)</f>
        <v>Ja</v>
      </c>
      <c r="M215">
        <v>1</v>
      </c>
      <c r="N215">
        <v>412</v>
      </c>
      <c r="O215">
        <v>4</v>
      </c>
      <c r="P215">
        <v>20</v>
      </c>
      <c r="Q215">
        <v>7</v>
      </c>
      <c r="R215">
        <v>3</v>
      </c>
      <c r="S215">
        <v>16</v>
      </c>
    </row>
    <row r="216" spans="1:19" x14ac:dyDescent="0.35">
      <c r="A216">
        <v>7863</v>
      </c>
      <c r="B216">
        <v>320</v>
      </c>
      <c r="C216" t="str">
        <f>VLOOKUP(B216,Kunde!A:C,3,FALSE)</f>
        <v>Privatkunde</v>
      </c>
      <c r="D216" t="str">
        <f>VLOOKUP(O216,Produkt!$A$1:$E$5,2,FALSE)</f>
        <v>A</v>
      </c>
      <c r="E216">
        <f t="shared" si="9"/>
        <v>4</v>
      </c>
      <c r="F216">
        <f>VLOOKUP(D216,Produkt!$B$1:$C$5,2,FALSE)*Bestellungen!E216</f>
        <v>1200</v>
      </c>
      <c r="G216" s="2">
        <v>44979</v>
      </c>
      <c r="H216" s="2">
        <f t="shared" si="10"/>
        <v>44982</v>
      </c>
      <c r="I216" s="2">
        <f t="shared" si="11"/>
        <v>44985</v>
      </c>
      <c r="J216" t="str">
        <f>VLOOKUP(M216,Umfragenteilnahme!$A$2:$B$3,2,)</f>
        <v>Ja</v>
      </c>
      <c r="M216">
        <v>1</v>
      </c>
      <c r="N216">
        <v>320</v>
      </c>
      <c r="O216">
        <v>1</v>
      </c>
      <c r="P216">
        <v>76</v>
      </c>
      <c r="Q216">
        <v>4</v>
      </c>
      <c r="R216">
        <v>3</v>
      </c>
      <c r="S216">
        <v>6</v>
      </c>
    </row>
    <row r="217" spans="1:19" x14ac:dyDescent="0.35">
      <c r="A217">
        <v>7864</v>
      </c>
      <c r="B217">
        <v>24</v>
      </c>
      <c r="C217" t="str">
        <f>VLOOKUP(B217,Kunde!A:C,3,FALSE)</f>
        <v>Geschäftskunde</v>
      </c>
      <c r="D217" t="str">
        <f>VLOOKUP(O217,Produkt!$A$1:$E$5,2,FALSE)</f>
        <v>B</v>
      </c>
      <c r="E217">
        <f t="shared" si="9"/>
        <v>126</v>
      </c>
      <c r="F217">
        <f>VLOOKUP(D217,Produkt!$B$1:$C$5,2,FALSE)*Bestellungen!E217</f>
        <v>60480</v>
      </c>
      <c r="G217" s="2">
        <v>44879</v>
      </c>
      <c r="H217" s="2">
        <f t="shared" si="10"/>
        <v>44882</v>
      </c>
      <c r="I217" s="2">
        <f t="shared" si="11"/>
        <v>44912</v>
      </c>
      <c r="J217" t="str">
        <f>VLOOKUP(M217,Umfragenteilnahme!$A$2:$B$3,2,)</f>
        <v>Nein</v>
      </c>
      <c r="M217">
        <v>2</v>
      </c>
      <c r="N217">
        <v>24</v>
      </c>
      <c r="O217">
        <v>2</v>
      </c>
      <c r="P217">
        <v>126</v>
      </c>
      <c r="Q217">
        <v>6</v>
      </c>
      <c r="R217">
        <v>3</v>
      </c>
      <c r="S217">
        <v>33</v>
      </c>
    </row>
    <row r="218" spans="1:19" x14ac:dyDescent="0.35">
      <c r="A218">
        <v>7865</v>
      </c>
      <c r="B218">
        <v>435</v>
      </c>
      <c r="C218" t="str">
        <f>VLOOKUP(B218,Kunde!A:C,3,FALSE)</f>
        <v>Privatkunde</v>
      </c>
      <c r="D218" t="str">
        <f>VLOOKUP(O218,Produkt!$A$1:$E$5,2,FALSE)</f>
        <v>C</v>
      </c>
      <c r="E218">
        <f t="shared" si="9"/>
        <v>7</v>
      </c>
      <c r="F218">
        <f>VLOOKUP(D218,Produkt!$B$1:$C$5,2,FALSE)*Bestellungen!E218</f>
        <v>10500</v>
      </c>
      <c r="G218" s="2">
        <v>44921</v>
      </c>
      <c r="H218" s="2">
        <f t="shared" si="10"/>
        <v>44927</v>
      </c>
      <c r="I218" s="2">
        <f t="shared" si="11"/>
        <v>44935</v>
      </c>
      <c r="J218" t="str">
        <f>VLOOKUP(M218,Umfragenteilnahme!$A$2:$B$3,2,)</f>
        <v>Ja</v>
      </c>
      <c r="M218">
        <v>1</v>
      </c>
      <c r="N218">
        <v>435</v>
      </c>
      <c r="O218">
        <v>3</v>
      </c>
      <c r="P218">
        <v>50</v>
      </c>
      <c r="Q218">
        <v>7</v>
      </c>
      <c r="R218">
        <v>6</v>
      </c>
      <c r="S218">
        <v>14</v>
      </c>
    </row>
    <row r="219" spans="1:19" x14ac:dyDescent="0.35">
      <c r="A219">
        <v>7866</v>
      </c>
      <c r="B219">
        <v>205</v>
      </c>
      <c r="C219" t="str">
        <f>VLOOKUP(B219,Kunde!A:C,3,FALSE)</f>
        <v>Privatkunde</v>
      </c>
      <c r="D219" t="str">
        <f>VLOOKUP(O219,Produkt!$A$1:$E$5,2,FALSE)</f>
        <v>C</v>
      </c>
      <c r="E219">
        <f t="shared" si="9"/>
        <v>6</v>
      </c>
      <c r="F219">
        <f>VLOOKUP(D219,Produkt!$B$1:$C$5,2,FALSE)*Bestellungen!E219</f>
        <v>9000</v>
      </c>
      <c r="G219" s="2">
        <v>44887</v>
      </c>
      <c r="H219" s="2">
        <f t="shared" si="10"/>
        <v>44892</v>
      </c>
      <c r="I219" s="2">
        <f t="shared" si="11"/>
        <v>44926</v>
      </c>
      <c r="J219" t="str">
        <f>VLOOKUP(M219,Umfragenteilnahme!$A$2:$B$3,2,)</f>
        <v>Ja</v>
      </c>
      <c r="M219">
        <v>1</v>
      </c>
      <c r="N219">
        <v>205</v>
      </c>
      <c r="O219">
        <v>3</v>
      </c>
      <c r="P219">
        <v>68</v>
      </c>
      <c r="Q219">
        <v>6</v>
      </c>
      <c r="R219">
        <v>5</v>
      </c>
      <c r="S219">
        <v>39</v>
      </c>
    </row>
    <row r="220" spans="1:19" x14ac:dyDescent="0.35">
      <c r="A220">
        <v>7867</v>
      </c>
      <c r="B220">
        <v>138</v>
      </c>
      <c r="C220" t="str">
        <f>VLOOKUP(B220,Kunde!A:C,3,FALSE)</f>
        <v>Geschäftskunde</v>
      </c>
      <c r="D220" t="str">
        <f>VLOOKUP(O220,Produkt!$A$1:$E$5,2,FALSE)</f>
        <v>D</v>
      </c>
      <c r="E220">
        <f t="shared" si="9"/>
        <v>68</v>
      </c>
      <c r="F220">
        <f>VLOOKUP(D220,Produkt!$B$1:$C$5,2,FALSE)*Bestellungen!E220</f>
        <v>54400</v>
      </c>
      <c r="G220" s="2">
        <v>45057</v>
      </c>
      <c r="H220" s="2">
        <f t="shared" si="10"/>
        <v>45061</v>
      </c>
      <c r="I220" s="2">
        <f t="shared" si="11"/>
        <v>45084</v>
      </c>
      <c r="J220" t="str">
        <f>VLOOKUP(M220,Umfragenteilnahme!$A$2:$B$3,2,)</f>
        <v>Ja</v>
      </c>
      <c r="M220">
        <v>1</v>
      </c>
      <c r="N220">
        <v>138</v>
      </c>
      <c r="O220">
        <v>4</v>
      </c>
      <c r="P220">
        <v>68</v>
      </c>
      <c r="Q220">
        <v>4</v>
      </c>
      <c r="R220">
        <v>4</v>
      </c>
      <c r="S220">
        <v>27</v>
      </c>
    </row>
    <row r="221" spans="1:19" x14ac:dyDescent="0.35">
      <c r="A221">
        <v>7868</v>
      </c>
      <c r="B221">
        <v>328</v>
      </c>
      <c r="C221" t="str">
        <f>VLOOKUP(B221,Kunde!A:C,3,FALSE)</f>
        <v>Geschäftskunde</v>
      </c>
      <c r="D221" t="str">
        <f>VLOOKUP(O221,Produkt!$A$1:$E$5,2,FALSE)</f>
        <v>A</v>
      </c>
      <c r="E221">
        <f t="shared" si="9"/>
        <v>121</v>
      </c>
      <c r="F221">
        <f>VLOOKUP(D221,Produkt!$B$1:$C$5,2,FALSE)*Bestellungen!E221</f>
        <v>36300</v>
      </c>
      <c r="G221" s="2">
        <v>44810</v>
      </c>
      <c r="H221" s="2">
        <f t="shared" si="10"/>
        <v>44812</v>
      </c>
      <c r="I221" s="2">
        <f t="shared" si="11"/>
        <v>44855</v>
      </c>
      <c r="J221" t="str">
        <f>VLOOKUP(M221,Umfragenteilnahme!$A$2:$B$3,2,)</f>
        <v>Nein</v>
      </c>
      <c r="M221">
        <v>2</v>
      </c>
      <c r="N221">
        <v>328</v>
      </c>
      <c r="O221">
        <v>1</v>
      </c>
      <c r="P221">
        <v>121</v>
      </c>
      <c r="Q221">
        <v>7</v>
      </c>
      <c r="R221">
        <v>2</v>
      </c>
      <c r="S221">
        <v>45</v>
      </c>
    </row>
    <row r="222" spans="1:19" x14ac:dyDescent="0.35">
      <c r="A222">
        <v>7869</v>
      </c>
      <c r="B222">
        <v>272</v>
      </c>
      <c r="C222" t="str">
        <f>VLOOKUP(B222,Kunde!A:C,3,FALSE)</f>
        <v>Geschäftskunde</v>
      </c>
      <c r="D222" t="str">
        <f>VLOOKUP(O222,Produkt!$A$1:$E$5,2,FALSE)</f>
        <v>C</v>
      </c>
      <c r="E222">
        <f t="shared" si="9"/>
        <v>34</v>
      </c>
      <c r="F222">
        <f>VLOOKUP(D222,Produkt!$B$1:$C$5,2,FALSE)*Bestellungen!E222</f>
        <v>51000</v>
      </c>
      <c r="G222" s="2">
        <v>44887</v>
      </c>
      <c r="H222" s="2">
        <f t="shared" si="10"/>
        <v>44893</v>
      </c>
      <c r="I222" s="2">
        <f t="shared" si="11"/>
        <v>44913</v>
      </c>
      <c r="J222" t="str">
        <f>VLOOKUP(M222,Umfragenteilnahme!$A$2:$B$3,2,)</f>
        <v>Nein</v>
      </c>
      <c r="M222">
        <v>2</v>
      </c>
      <c r="N222">
        <v>272</v>
      </c>
      <c r="O222">
        <v>3</v>
      </c>
      <c r="P222">
        <v>34</v>
      </c>
      <c r="Q222">
        <v>7</v>
      </c>
      <c r="R222">
        <v>6</v>
      </c>
      <c r="S222">
        <v>26</v>
      </c>
    </row>
    <row r="223" spans="1:19" x14ac:dyDescent="0.35">
      <c r="A223">
        <v>7870</v>
      </c>
      <c r="B223">
        <v>323</v>
      </c>
      <c r="C223" t="str">
        <f>VLOOKUP(B223,Kunde!A:C,3,FALSE)</f>
        <v>Geschäftskunde</v>
      </c>
      <c r="D223" t="str">
        <f>VLOOKUP(O223,Produkt!$A$1:$E$5,2,FALSE)</f>
        <v>B</v>
      </c>
      <c r="E223">
        <f t="shared" si="9"/>
        <v>82</v>
      </c>
      <c r="F223">
        <f>VLOOKUP(D223,Produkt!$B$1:$C$5,2,FALSE)*Bestellungen!E223</f>
        <v>39360</v>
      </c>
      <c r="G223" s="2">
        <v>44956</v>
      </c>
      <c r="H223" s="2">
        <f t="shared" si="10"/>
        <v>44962</v>
      </c>
      <c r="I223" s="2">
        <f t="shared" si="11"/>
        <v>44963</v>
      </c>
      <c r="J223" t="str">
        <f>VLOOKUP(M223,Umfragenteilnahme!$A$2:$B$3,2,)</f>
        <v>Ja</v>
      </c>
      <c r="M223">
        <v>1</v>
      </c>
      <c r="N223">
        <v>323</v>
      </c>
      <c r="O223">
        <v>2</v>
      </c>
      <c r="P223">
        <v>82</v>
      </c>
      <c r="Q223">
        <v>1</v>
      </c>
      <c r="R223">
        <v>6</v>
      </c>
      <c r="S223">
        <v>7</v>
      </c>
    </row>
    <row r="224" spans="1:19" x14ac:dyDescent="0.35">
      <c r="A224">
        <v>7871</v>
      </c>
      <c r="B224">
        <v>611</v>
      </c>
      <c r="C224" t="str">
        <f>VLOOKUP(B224,Kunde!A:C,3,FALSE)</f>
        <v>Geschäftskunde</v>
      </c>
      <c r="D224" t="str">
        <f>VLOOKUP(O224,Produkt!$A$1:$E$5,2,FALSE)</f>
        <v>D</v>
      </c>
      <c r="E224">
        <f t="shared" si="9"/>
        <v>118</v>
      </c>
      <c r="F224">
        <f>VLOOKUP(D224,Produkt!$B$1:$C$5,2,FALSE)*Bestellungen!E224</f>
        <v>94400</v>
      </c>
      <c r="G224" s="2">
        <v>44936</v>
      </c>
      <c r="H224" s="2">
        <f t="shared" si="10"/>
        <v>44940</v>
      </c>
      <c r="I224" s="2">
        <f t="shared" si="11"/>
        <v>44966</v>
      </c>
      <c r="J224" t="str">
        <f>VLOOKUP(M224,Umfragenteilnahme!$A$2:$B$3,2,)</f>
        <v>Ja</v>
      </c>
      <c r="M224">
        <v>1</v>
      </c>
      <c r="N224">
        <v>611</v>
      </c>
      <c r="O224">
        <v>4</v>
      </c>
      <c r="P224">
        <v>118</v>
      </c>
      <c r="Q224">
        <v>8</v>
      </c>
      <c r="R224">
        <v>4</v>
      </c>
      <c r="S224">
        <v>30</v>
      </c>
    </row>
    <row r="225" spans="1:19" x14ac:dyDescent="0.35">
      <c r="A225">
        <v>7872</v>
      </c>
      <c r="B225">
        <v>90</v>
      </c>
      <c r="C225" t="str">
        <f>VLOOKUP(B225,Kunde!A:C,3,FALSE)</f>
        <v>Geschäftskunde</v>
      </c>
      <c r="D225" t="str">
        <f>VLOOKUP(O225,Produkt!$A$1:$E$5,2,FALSE)</f>
        <v>B</v>
      </c>
      <c r="E225">
        <f t="shared" si="9"/>
        <v>46</v>
      </c>
      <c r="F225">
        <f>VLOOKUP(D225,Produkt!$B$1:$C$5,2,FALSE)*Bestellungen!E225</f>
        <v>22080</v>
      </c>
      <c r="G225" s="2">
        <v>45049</v>
      </c>
      <c r="H225" s="2">
        <f t="shared" si="10"/>
        <v>45054</v>
      </c>
      <c r="I225" s="2">
        <f t="shared" si="11"/>
        <v>45072</v>
      </c>
      <c r="J225" t="str">
        <f>VLOOKUP(M225,Umfragenteilnahme!$A$2:$B$3,2,)</f>
        <v>Ja</v>
      </c>
      <c r="M225">
        <v>1</v>
      </c>
      <c r="N225">
        <v>90</v>
      </c>
      <c r="O225">
        <v>2</v>
      </c>
      <c r="P225">
        <v>46</v>
      </c>
      <c r="Q225">
        <v>5</v>
      </c>
      <c r="R225">
        <v>5</v>
      </c>
      <c r="S225">
        <v>23</v>
      </c>
    </row>
    <row r="226" spans="1:19" x14ac:dyDescent="0.35">
      <c r="A226">
        <v>7873</v>
      </c>
      <c r="B226">
        <v>620</v>
      </c>
      <c r="C226" t="str">
        <f>VLOOKUP(B226,Kunde!A:C,3,FALSE)</f>
        <v>Geschäftskunde</v>
      </c>
      <c r="D226" t="str">
        <f>VLOOKUP(O226,Produkt!$A$1:$E$5,2,FALSE)</f>
        <v>D</v>
      </c>
      <c r="E226">
        <f t="shared" si="9"/>
        <v>57</v>
      </c>
      <c r="F226">
        <f>VLOOKUP(D226,Produkt!$B$1:$C$5,2,FALSE)*Bestellungen!E226</f>
        <v>45600</v>
      </c>
      <c r="G226" s="2">
        <v>44892</v>
      </c>
      <c r="H226" s="2">
        <f t="shared" si="10"/>
        <v>44897</v>
      </c>
      <c r="I226" s="2">
        <f t="shared" si="11"/>
        <v>44947</v>
      </c>
      <c r="J226" t="str">
        <f>VLOOKUP(M226,Umfragenteilnahme!$A$2:$B$3,2,)</f>
        <v>Nein</v>
      </c>
      <c r="M226">
        <v>2</v>
      </c>
      <c r="N226">
        <v>620</v>
      </c>
      <c r="O226">
        <v>4</v>
      </c>
      <c r="P226">
        <v>57</v>
      </c>
      <c r="Q226">
        <v>5</v>
      </c>
      <c r="R226">
        <v>5</v>
      </c>
      <c r="S226">
        <v>55</v>
      </c>
    </row>
    <row r="227" spans="1:19" x14ac:dyDescent="0.35">
      <c r="A227">
        <v>7874</v>
      </c>
      <c r="B227">
        <v>417</v>
      </c>
      <c r="C227" t="str">
        <f>VLOOKUP(B227,Kunde!A:C,3,FALSE)</f>
        <v>Geschäftskunde</v>
      </c>
      <c r="D227" t="str">
        <f>VLOOKUP(O227,Produkt!$A$1:$E$5,2,FALSE)</f>
        <v>B</v>
      </c>
      <c r="E227">
        <f t="shared" si="9"/>
        <v>93</v>
      </c>
      <c r="F227">
        <f>VLOOKUP(D227,Produkt!$B$1:$C$5,2,FALSE)*Bestellungen!E227</f>
        <v>44640</v>
      </c>
      <c r="G227" s="2">
        <v>44804</v>
      </c>
      <c r="H227" s="2">
        <f t="shared" si="10"/>
        <v>44806</v>
      </c>
      <c r="I227" s="2">
        <f t="shared" si="11"/>
        <v>44860</v>
      </c>
      <c r="J227" t="str">
        <f>VLOOKUP(M227,Umfragenteilnahme!$A$2:$B$3,2,)</f>
        <v>Nein</v>
      </c>
      <c r="M227">
        <v>2</v>
      </c>
      <c r="N227">
        <v>417</v>
      </c>
      <c r="O227">
        <v>2</v>
      </c>
      <c r="P227">
        <v>93</v>
      </c>
      <c r="Q227">
        <v>3</v>
      </c>
      <c r="R227">
        <v>2</v>
      </c>
      <c r="S227">
        <v>56</v>
      </c>
    </row>
    <row r="228" spans="1:19" x14ac:dyDescent="0.35">
      <c r="A228">
        <v>7875</v>
      </c>
      <c r="B228">
        <v>554</v>
      </c>
      <c r="C228" t="str">
        <f>VLOOKUP(B228,Kunde!A:C,3,FALSE)</f>
        <v>Geschäftskunde</v>
      </c>
      <c r="D228" t="str">
        <f>VLOOKUP(O228,Produkt!$A$1:$E$5,2,FALSE)</f>
        <v>D</v>
      </c>
      <c r="E228">
        <f t="shared" si="9"/>
        <v>106</v>
      </c>
      <c r="F228">
        <f>VLOOKUP(D228,Produkt!$B$1:$C$5,2,FALSE)*Bestellungen!E228</f>
        <v>84800</v>
      </c>
      <c r="G228" s="2">
        <v>44947</v>
      </c>
      <c r="H228" s="2">
        <f t="shared" si="10"/>
        <v>44953</v>
      </c>
      <c r="I228" s="2">
        <f t="shared" si="11"/>
        <v>44990</v>
      </c>
      <c r="J228" t="str">
        <f>VLOOKUP(M228,Umfragenteilnahme!$A$2:$B$3,2,)</f>
        <v>Nein</v>
      </c>
      <c r="M228">
        <v>2</v>
      </c>
      <c r="N228">
        <v>554</v>
      </c>
      <c r="O228">
        <v>4</v>
      </c>
      <c r="P228">
        <v>106</v>
      </c>
      <c r="Q228">
        <v>1</v>
      </c>
      <c r="R228">
        <v>6</v>
      </c>
      <c r="S228">
        <v>43</v>
      </c>
    </row>
    <row r="229" spans="1:19" x14ac:dyDescent="0.35">
      <c r="A229">
        <v>7876</v>
      </c>
      <c r="B229">
        <v>18</v>
      </c>
      <c r="C229" t="str">
        <f>VLOOKUP(B229,Kunde!A:C,3,FALSE)</f>
        <v>Privatkunde</v>
      </c>
      <c r="D229" t="str">
        <f>VLOOKUP(O229,Produkt!$A$1:$E$5,2,FALSE)</f>
        <v>A</v>
      </c>
      <c r="E229">
        <f t="shared" si="9"/>
        <v>3</v>
      </c>
      <c r="F229">
        <f>VLOOKUP(D229,Produkt!$B$1:$C$5,2,FALSE)*Bestellungen!E229</f>
        <v>900</v>
      </c>
      <c r="G229" s="2">
        <v>44830</v>
      </c>
      <c r="H229" s="2">
        <f t="shared" si="10"/>
        <v>44834</v>
      </c>
      <c r="I229" s="2">
        <f t="shared" si="11"/>
        <v>44887</v>
      </c>
      <c r="J229" t="str">
        <f>VLOOKUP(M229,Umfragenteilnahme!$A$2:$B$3,2,)</f>
        <v>Nein</v>
      </c>
      <c r="M229">
        <v>2</v>
      </c>
      <c r="N229">
        <v>18</v>
      </c>
      <c r="O229">
        <v>1</v>
      </c>
      <c r="P229">
        <v>114</v>
      </c>
      <c r="Q229">
        <v>3</v>
      </c>
      <c r="R229">
        <v>4</v>
      </c>
      <c r="S229">
        <v>57</v>
      </c>
    </row>
    <row r="230" spans="1:19" x14ac:dyDescent="0.35">
      <c r="A230">
        <v>7877</v>
      </c>
      <c r="B230">
        <v>790</v>
      </c>
      <c r="C230" t="str">
        <f>VLOOKUP(B230,Kunde!A:C,3,FALSE)</f>
        <v>Geschäftskunde</v>
      </c>
      <c r="D230" t="str">
        <f>VLOOKUP(O230,Produkt!$A$1:$E$5,2,FALSE)</f>
        <v>B</v>
      </c>
      <c r="E230">
        <f t="shared" si="9"/>
        <v>80</v>
      </c>
      <c r="F230">
        <f>VLOOKUP(D230,Produkt!$B$1:$C$5,2,FALSE)*Bestellungen!E230</f>
        <v>38400</v>
      </c>
      <c r="G230" s="2">
        <v>44916</v>
      </c>
      <c r="H230" s="2">
        <f t="shared" si="10"/>
        <v>44919</v>
      </c>
      <c r="I230" s="2">
        <f t="shared" si="11"/>
        <v>44956</v>
      </c>
      <c r="J230" t="str">
        <f>VLOOKUP(M230,Umfragenteilnahme!$A$2:$B$3,2,)</f>
        <v>Ja</v>
      </c>
      <c r="M230">
        <v>1</v>
      </c>
      <c r="N230">
        <v>790</v>
      </c>
      <c r="O230">
        <v>2</v>
      </c>
      <c r="P230">
        <v>80</v>
      </c>
      <c r="Q230">
        <v>7</v>
      </c>
      <c r="R230">
        <v>3</v>
      </c>
      <c r="S230">
        <v>40</v>
      </c>
    </row>
    <row r="231" spans="1:19" x14ac:dyDescent="0.35">
      <c r="A231">
        <v>7878</v>
      </c>
      <c r="B231">
        <v>683</v>
      </c>
      <c r="C231" t="str">
        <f>VLOOKUP(B231,Kunde!A:C,3,FALSE)</f>
        <v>Geschäftskunde</v>
      </c>
      <c r="D231" t="str">
        <f>VLOOKUP(O231,Produkt!$A$1:$E$5,2,FALSE)</f>
        <v>D</v>
      </c>
      <c r="E231">
        <f t="shared" si="9"/>
        <v>138</v>
      </c>
      <c r="F231">
        <f>VLOOKUP(D231,Produkt!$B$1:$C$5,2,FALSE)*Bestellungen!E231</f>
        <v>110400</v>
      </c>
      <c r="G231" s="2">
        <v>44752</v>
      </c>
      <c r="H231" s="2">
        <f t="shared" si="10"/>
        <v>44757</v>
      </c>
      <c r="I231" s="2">
        <f t="shared" si="11"/>
        <v>44789</v>
      </c>
      <c r="J231" t="str">
        <f>VLOOKUP(M231,Umfragenteilnahme!$A$2:$B$3,2,)</f>
        <v>Nein</v>
      </c>
      <c r="M231">
        <v>2</v>
      </c>
      <c r="N231">
        <v>683</v>
      </c>
      <c r="O231">
        <v>4</v>
      </c>
      <c r="P231">
        <v>138</v>
      </c>
      <c r="Q231">
        <v>2</v>
      </c>
      <c r="R231">
        <v>5</v>
      </c>
      <c r="S231">
        <v>37</v>
      </c>
    </row>
    <row r="232" spans="1:19" x14ac:dyDescent="0.35">
      <c r="A232">
        <v>7879</v>
      </c>
      <c r="B232">
        <v>477</v>
      </c>
      <c r="C232" t="str">
        <f>VLOOKUP(B232,Kunde!A:C,3,FALSE)</f>
        <v>Geschäftskunde</v>
      </c>
      <c r="D232" t="str">
        <f>VLOOKUP(O232,Produkt!$A$1:$E$5,2,FALSE)</f>
        <v>A</v>
      </c>
      <c r="E232">
        <f t="shared" si="9"/>
        <v>40</v>
      </c>
      <c r="F232">
        <f>VLOOKUP(D232,Produkt!$B$1:$C$5,2,FALSE)*Bestellungen!E232</f>
        <v>12000</v>
      </c>
      <c r="G232" s="2">
        <v>44940</v>
      </c>
      <c r="H232" s="2">
        <f t="shared" si="10"/>
        <v>44944</v>
      </c>
      <c r="I232" s="2">
        <f t="shared" si="11"/>
        <v>44947</v>
      </c>
      <c r="J232" t="str">
        <f>VLOOKUP(M232,Umfragenteilnahme!$A$2:$B$3,2,)</f>
        <v>Nein</v>
      </c>
      <c r="M232">
        <v>2</v>
      </c>
      <c r="N232">
        <v>477</v>
      </c>
      <c r="O232">
        <v>1</v>
      </c>
      <c r="P232">
        <v>40</v>
      </c>
      <c r="Q232">
        <v>10</v>
      </c>
      <c r="R232">
        <v>4</v>
      </c>
      <c r="S232">
        <v>7</v>
      </c>
    </row>
    <row r="233" spans="1:19" x14ac:dyDescent="0.35">
      <c r="A233">
        <v>7880</v>
      </c>
      <c r="B233">
        <v>294</v>
      </c>
      <c r="C233" t="str">
        <f>VLOOKUP(B233,Kunde!A:C,3,FALSE)</f>
        <v>Geschäftskunde</v>
      </c>
      <c r="D233" t="str">
        <f>VLOOKUP(O233,Produkt!$A$1:$E$5,2,FALSE)</f>
        <v>A</v>
      </c>
      <c r="E233">
        <f t="shared" si="9"/>
        <v>135</v>
      </c>
      <c r="F233">
        <f>VLOOKUP(D233,Produkt!$B$1:$C$5,2,FALSE)*Bestellungen!E233</f>
        <v>40500</v>
      </c>
      <c r="G233" s="2">
        <v>45041</v>
      </c>
      <c r="H233" s="2">
        <f t="shared" si="10"/>
        <v>45044</v>
      </c>
      <c r="I233" s="2">
        <f t="shared" si="11"/>
        <v>45049</v>
      </c>
      <c r="J233" t="str">
        <f>VLOOKUP(M233,Umfragenteilnahme!$A$2:$B$3,2,)</f>
        <v>Nein</v>
      </c>
      <c r="M233">
        <v>2</v>
      </c>
      <c r="N233">
        <v>294</v>
      </c>
      <c r="O233">
        <v>1</v>
      </c>
      <c r="P233">
        <v>135</v>
      </c>
      <c r="Q233">
        <v>10</v>
      </c>
      <c r="R233">
        <v>3</v>
      </c>
      <c r="S233">
        <v>8</v>
      </c>
    </row>
    <row r="234" spans="1:19" x14ac:dyDescent="0.35">
      <c r="A234">
        <v>7881</v>
      </c>
      <c r="B234">
        <v>14</v>
      </c>
      <c r="C234" t="str">
        <f>VLOOKUP(B234,Kunde!A:C,3,FALSE)</f>
        <v>Geschäftskunde</v>
      </c>
      <c r="D234" t="str">
        <f>VLOOKUP(O234,Produkt!$A$1:$E$5,2,FALSE)</f>
        <v>A</v>
      </c>
      <c r="E234">
        <f t="shared" si="9"/>
        <v>75</v>
      </c>
      <c r="F234">
        <f>VLOOKUP(D234,Produkt!$B$1:$C$5,2,FALSE)*Bestellungen!E234</f>
        <v>22500</v>
      </c>
      <c r="G234" s="2">
        <v>44926</v>
      </c>
      <c r="H234" s="2">
        <f t="shared" si="10"/>
        <v>44928</v>
      </c>
      <c r="I234" s="2">
        <f t="shared" si="11"/>
        <v>44961</v>
      </c>
      <c r="J234" t="str">
        <f>VLOOKUP(M234,Umfragenteilnahme!$A$2:$B$3,2,)</f>
        <v>Nein</v>
      </c>
      <c r="M234">
        <v>2</v>
      </c>
      <c r="N234">
        <v>14</v>
      </c>
      <c r="O234">
        <v>1</v>
      </c>
      <c r="P234">
        <v>75</v>
      </c>
      <c r="Q234">
        <v>7</v>
      </c>
      <c r="R234">
        <v>2</v>
      </c>
      <c r="S234">
        <v>35</v>
      </c>
    </row>
    <row r="235" spans="1:19" x14ac:dyDescent="0.35">
      <c r="A235">
        <v>7882</v>
      </c>
      <c r="B235">
        <v>312</v>
      </c>
      <c r="C235" t="str">
        <f>VLOOKUP(B235,Kunde!A:C,3,FALSE)</f>
        <v>Geschäftskunde</v>
      </c>
      <c r="D235" t="str">
        <f>VLOOKUP(O235,Produkt!$A$1:$E$5,2,FALSE)</f>
        <v>C</v>
      </c>
      <c r="E235">
        <f t="shared" si="9"/>
        <v>122</v>
      </c>
      <c r="F235">
        <f>VLOOKUP(D235,Produkt!$B$1:$C$5,2,FALSE)*Bestellungen!E235</f>
        <v>183000</v>
      </c>
      <c r="G235" s="2">
        <v>44967</v>
      </c>
      <c r="H235" s="2">
        <f t="shared" si="10"/>
        <v>44971</v>
      </c>
      <c r="I235" s="2">
        <f t="shared" si="11"/>
        <v>44974</v>
      </c>
      <c r="J235" t="str">
        <f>VLOOKUP(M235,Umfragenteilnahme!$A$2:$B$3,2,)</f>
        <v>Nein</v>
      </c>
      <c r="M235">
        <v>2</v>
      </c>
      <c r="N235">
        <v>312</v>
      </c>
      <c r="O235">
        <v>3</v>
      </c>
      <c r="P235">
        <v>122</v>
      </c>
      <c r="Q235">
        <v>3</v>
      </c>
      <c r="R235">
        <v>4</v>
      </c>
      <c r="S235">
        <v>7</v>
      </c>
    </row>
    <row r="236" spans="1:19" x14ac:dyDescent="0.35">
      <c r="A236">
        <v>7883</v>
      </c>
      <c r="B236">
        <v>641</v>
      </c>
      <c r="C236" t="str">
        <f>VLOOKUP(B236,Kunde!A:C,3,FALSE)</f>
        <v>Geschäftskunde</v>
      </c>
      <c r="D236" t="str">
        <f>VLOOKUP(O236,Produkt!$A$1:$E$5,2,FALSE)</f>
        <v>A</v>
      </c>
      <c r="E236">
        <f t="shared" si="9"/>
        <v>145</v>
      </c>
      <c r="F236">
        <f>VLOOKUP(D236,Produkt!$B$1:$C$5,2,FALSE)*Bestellungen!E236</f>
        <v>43500</v>
      </c>
      <c r="G236" s="2">
        <v>45021</v>
      </c>
      <c r="H236" s="2">
        <f t="shared" si="10"/>
        <v>45025</v>
      </c>
      <c r="I236" s="2">
        <f t="shared" si="11"/>
        <v>45043</v>
      </c>
      <c r="J236" t="str">
        <f>VLOOKUP(M236,Umfragenteilnahme!$A$2:$B$3,2,)</f>
        <v>Ja</v>
      </c>
      <c r="M236">
        <v>1</v>
      </c>
      <c r="N236">
        <v>641</v>
      </c>
      <c r="O236">
        <v>1</v>
      </c>
      <c r="P236">
        <v>145</v>
      </c>
      <c r="Q236">
        <v>7</v>
      </c>
      <c r="R236">
        <v>4</v>
      </c>
      <c r="S236">
        <v>22</v>
      </c>
    </row>
    <row r="237" spans="1:19" x14ac:dyDescent="0.35">
      <c r="A237">
        <v>7884</v>
      </c>
      <c r="B237">
        <v>581</v>
      </c>
      <c r="C237" t="str">
        <f>VLOOKUP(B237,Kunde!A:C,3,FALSE)</f>
        <v>Geschäftskunde</v>
      </c>
      <c r="D237" t="str">
        <f>VLOOKUP(O237,Produkt!$A$1:$E$5,2,FALSE)</f>
        <v>B</v>
      </c>
      <c r="E237">
        <f t="shared" si="9"/>
        <v>117</v>
      </c>
      <c r="F237">
        <f>VLOOKUP(D237,Produkt!$B$1:$C$5,2,FALSE)*Bestellungen!E237</f>
        <v>56160</v>
      </c>
      <c r="G237" s="2">
        <v>44955</v>
      </c>
      <c r="H237" s="2">
        <f t="shared" si="10"/>
        <v>44962</v>
      </c>
      <c r="I237" s="2">
        <f t="shared" si="11"/>
        <v>44965</v>
      </c>
      <c r="J237" t="str">
        <f>VLOOKUP(M237,Umfragenteilnahme!$A$2:$B$3,2,)</f>
        <v>Ja</v>
      </c>
      <c r="M237">
        <v>1</v>
      </c>
      <c r="N237">
        <v>581</v>
      </c>
      <c r="O237">
        <v>2</v>
      </c>
      <c r="P237">
        <v>117</v>
      </c>
      <c r="Q237">
        <v>4</v>
      </c>
      <c r="R237">
        <v>7</v>
      </c>
      <c r="S237">
        <v>10</v>
      </c>
    </row>
    <row r="238" spans="1:19" x14ac:dyDescent="0.35">
      <c r="A238">
        <v>7885</v>
      </c>
      <c r="B238">
        <v>157</v>
      </c>
      <c r="C238" t="str">
        <f>VLOOKUP(B238,Kunde!A:C,3,FALSE)</f>
        <v>Geschäftskunde</v>
      </c>
      <c r="D238" t="str">
        <f>VLOOKUP(O238,Produkt!$A$1:$E$5,2,FALSE)</f>
        <v>A</v>
      </c>
      <c r="E238">
        <f t="shared" si="9"/>
        <v>74</v>
      </c>
      <c r="F238">
        <f>VLOOKUP(D238,Produkt!$B$1:$C$5,2,FALSE)*Bestellungen!E238</f>
        <v>22200</v>
      </c>
      <c r="G238" s="2">
        <v>44860</v>
      </c>
      <c r="H238" s="2">
        <f t="shared" si="10"/>
        <v>44863</v>
      </c>
      <c r="I238" s="2">
        <f t="shared" si="11"/>
        <v>44869</v>
      </c>
      <c r="J238" t="str">
        <f>VLOOKUP(M238,Umfragenteilnahme!$A$2:$B$3,2,)</f>
        <v>Nein</v>
      </c>
      <c r="M238">
        <v>2</v>
      </c>
      <c r="N238">
        <v>157</v>
      </c>
      <c r="O238">
        <v>1</v>
      </c>
      <c r="P238">
        <v>74</v>
      </c>
      <c r="Q238">
        <v>7</v>
      </c>
      <c r="R238">
        <v>3</v>
      </c>
      <c r="S238">
        <v>9</v>
      </c>
    </row>
    <row r="239" spans="1:19" x14ac:dyDescent="0.35">
      <c r="A239">
        <v>7886</v>
      </c>
      <c r="B239">
        <v>575</v>
      </c>
      <c r="C239" t="str">
        <f>VLOOKUP(B239,Kunde!A:C,3,FALSE)</f>
        <v>Geschäftskunde</v>
      </c>
      <c r="D239" t="str">
        <f>VLOOKUP(O239,Produkt!$A$1:$E$5,2,FALSE)</f>
        <v>C</v>
      </c>
      <c r="E239">
        <f t="shared" si="9"/>
        <v>44</v>
      </c>
      <c r="F239">
        <f>VLOOKUP(D239,Produkt!$B$1:$C$5,2,FALSE)*Bestellungen!E239</f>
        <v>66000</v>
      </c>
      <c r="G239" s="2">
        <v>44994</v>
      </c>
      <c r="H239" s="2">
        <f t="shared" si="10"/>
        <v>44997</v>
      </c>
      <c r="I239" s="2">
        <f t="shared" si="11"/>
        <v>45017</v>
      </c>
      <c r="J239" t="str">
        <f>VLOOKUP(M239,Umfragenteilnahme!$A$2:$B$3,2,)</f>
        <v>Nein</v>
      </c>
      <c r="M239">
        <v>2</v>
      </c>
      <c r="N239">
        <v>575</v>
      </c>
      <c r="O239">
        <v>3</v>
      </c>
      <c r="P239">
        <v>44</v>
      </c>
      <c r="Q239">
        <v>10</v>
      </c>
      <c r="R239">
        <v>3</v>
      </c>
      <c r="S239">
        <v>23</v>
      </c>
    </row>
    <row r="240" spans="1:19" x14ac:dyDescent="0.35">
      <c r="A240">
        <v>7887</v>
      </c>
      <c r="B240">
        <v>277</v>
      </c>
      <c r="C240" t="str">
        <f>VLOOKUP(B240,Kunde!A:C,3,FALSE)</f>
        <v>Privatkunde</v>
      </c>
      <c r="D240" t="str">
        <f>VLOOKUP(O240,Produkt!$A$1:$E$5,2,FALSE)</f>
        <v>A</v>
      </c>
      <c r="E240">
        <f t="shared" si="9"/>
        <v>1</v>
      </c>
      <c r="F240">
        <f>VLOOKUP(D240,Produkt!$B$1:$C$5,2,FALSE)*Bestellungen!E240</f>
        <v>300</v>
      </c>
      <c r="G240" s="2">
        <v>44714</v>
      </c>
      <c r="H240" s="2">
        <f t="shared" si="10"/>
        <v>44716</v>
      </c>
      <c r="I240" s="2">
        <f t="shared" si="11"/>
        <v>44738</v>
      </c>
      <c r="J240" t="str">
        <f>VLOOKUP(M240,Umfragenteilnahme!$A$2:$B$3,2,)</f>
        <v>Nein</v>
      </c>
      <c r="M240">
        <v>2</v>
      </c>
      <c r="N240">
        <v>277</v>
      </c>
      <c r="O240">
        <v>1</v>
      </c>
      <c r="P240">
        <v>106</v>
      </c>
      <c r="Q240">
        <v>1</v>
      </c>
      <c r="R240">
        <v>2</v>
      </c>
      <c r="S240">
        <v>24</v>
      </c>
    </row>
    <row r="241" spans="1:19" x14ac:dyDescent="0.35">
      <c r="A241">
        <v>7888</v>
      </c>
      <c r="B241">
        <v>439</v>
      </c>
      <c r="C241" t="str">
        <f>VLOOKUP(B241,Kunde!A:C,3,FALSE)</f>
        <v>Geschäftskunde</v>
      </c>
      <c r="D241" t="str">
        <f>VLOOKUP(O241,Produkt!$A$1:$E$5,2,FALSE)</f>
        <v>D</v>
      </c>
      <c r="E241">
        <f t="shared" si="9"/>
        <v>56</v>
      </c>
      <c r="F241">
        <f>VLOOKUP(D241,Produkt!$B$1:$C$5,2,FALSE)*Bestellungen!E241</f>
        <v>44800</v>
      </c>
      <c r="G241" s="2">
        <v>45057</v>
      </c>
      <c r="H241" s="2">
        <f t="shared" si="10"/>
        <v>45062</v>
      </c>
      <c r="I241" s="2">
        <f t="shared" si="11"/>
        <v>45063</v>
      </c>
      <c r="J241" t="str">
        <f>VLOOKUP(M241,Umfragenteilnahme!$A$2:$B$3,2,)</f>
        <v>Ja</v>
      </c>
      <c r="M241">
        <v>1</v>
      </c>
      <c r="N241">
        <v>439</v>
      </c>
      <c r="O241">
        <v>4</v>
      </c>
      <c r="P241">
        <v>56</v>
      </c>
      <c r="Q241">
        <v>7</v>
      </c>
      <c r="R241">
        <v>5</v>
      </c>
      <c r="S241">
        <v>6</v>
      </c>
    </row>
    <row r="242" spans="1:19" x14ac:dyDescent="0.35">
      <c r="A242">
        <v>7889</v>
      </c>
      <c r="B242">
        <v>75</v>
      </c>
      <c r="C242" t="str">
        <f>VLOOKUP(B242,Kunde!A:C,3,FALSE)</f>
        <v>Privatkunde</v>
      </c>
      <c r="D242" t="str">
        <f>VLOOKUP(O242,Produkt!$A$1:$E$5,2,FALSE)</f>
        <v>A</v>
      </c>
      <c r="E242">
        <f t="shared" si="9"/>
        <v>1</v>
      </c>
      <c r="F242">
        <f>VLOOKUP(D242,Produkt!$B$1:$C$5,2,FALSE)*Bestellungen!E242</f>
        <v>300</v>
      </c>
      <c r="G242" s="2">
        <v>44791</v>
      </c>
      <c r="H242" s="2">
        <f t="shared" si="10"/>
        <v>44795</v>
      </c>
      <c r="I242" s="2">
        <f t="shared" si="11"/>
        <v>44801</v>
      </c>
      <c r="J242" t="str">
        <f>VLOOKUP(M242,Umfragenteilnahme!$A$2:$B$3,2,)</f>
        <v>Nein</v>
      </c>
      <c r="M242">
        <v>2</v>
      </c>
      <c r="N242">
        <v>75</v>
      </c>
      <c r="O242">
        <v>1</v>
      </c>
      <c r="P242">
        <v>90</v>
      </c>
      <c r="Q242">
        <v>1</v>
      </c>
      <c r="R242">
        <v>4</v>
      </c>
      <c r="S242">
        <v>10</v>
      </c>
    </row>
    <row r="243" spans="1:19" x14ac:dyDescent="0.35">
      <c r="A243">
        <v>7890</v>
      </c>
      <c r="B243">
        <v>574</v>
      </c>
      <c r="C243" t="str">
        <f>VLOOKUP(B243,Kunde!A:C,3,FALSE)</f>
        <v>Geschäftskunde</v>
      </c>
      <c r="D243" t="str">
        <f>VLOOKUP(O243,Produkt!$A$1:$E$5,2,FALSE)</f>
        <v>B</v>
      </c>
      <c r="E243">
        <f t="shared" si="9"/>
        <v>21</v>
      </c>
      <c r="F243">
        <f>VLOOKUP(D243,Produkt!$B$1:$C$5,2,FALSE)*Bestellungen!E243</f>
        <v>10080</v>
      </c>
      <c r="G243" s="2">
        <v>44978</v>
      </c>
      <c r="H243" s="2">
        <f t="shared" si="10"/>
        <v>44983</v>
      </c>
      <c r="I243" s="2">
        <f t="shared" si="11"/>
        <v>45028</v>
      </c>
      <c r="J243" t="str">
        <f>VLOOKUP(M243,Umfragenteilnahme!$A$2:$B$3,2,)</f>
        <v>Nein</v>
      </c>
      <c r="M243">
        <v>2</v>
      </c>
      <c r="N243">
        <v>574</v>
      </c>
      <c r="O243">
        <v>2</v>
      </c>
      <c r="P243">
        <v>21</v>
      </c>
      <c r="Q243">
        <v>8</v>
      </c>
      <c r="R243">
        <v>5</v>
      </c>
      <c r="S243">
        <v>50</v>
      </c>
    </row>
    <row r="244" spans="1:19" x14ac:dyDescent="0.35">
      <c r="A244">
        <v>7891</v>
      </c>
      <c r="B244">
        <v>318</v>
      </c>
      <c r="C244" t="str">
        <f>VLOOKUP(B244,Kunde!A:C,3,FALSE)</f>
        <v>Geschäftskunde</v>
      </c>
      <c r="D244" t="str">
        <f>VLOOKUP(O244,Produkt!$A$1:$E$5,2,FALSE)</f>
        <v>C</v>
      </c>
      <c r="E244">
        <f t="shared" si="9"/>
        <v>42</v>
      </c>
      <c r="F244">
        <f>VLOOKUP(D244,Produkt!$B$1:$C$5,2,FALSE)*Bestellungen!E244</f>
        <v>63000</v>
      </c>
      <c r="G244" s="2">
        <v>44718</v>
      </c>
      <c r="H244" s="2">
        <f t="shared" si="10"/>
        <v>44720</v>
      </c>
      <c r="I244" s="2">
        <f t="shared" si="11"/>
        <v>44766</v>
      </c>
      <c r="J244" t="str">
        <f>VLOOKUP(M244,Umfragenteilnahme!$A$2:$B$3,2,)</f>
        <v>Nein</v>
      </c>
      <c r="M244">
        <v>2</v>
      </c>
      <c r="N244">
        <v>318</v>
      </c>
      <c r="O244">
        <v>3</v>
      </c>
      <c r="P244">
        <v>42</v>
      </c>
      <c r="Q244">
        <v>6</v>
      </c>
      <c r="R244">
        <v>2</v>
      </c>
      <c r="S244">
        <v>48</v>
      </c>
    </row>
    <row r="245" spans="1:19" x14ac:dyDescent="0.35">
      <c r="A245">
        <v>7892</v>
      </c>
      <c r="B245">
        <v>527</v>
      </c>
      <c r="C245" t="str">
        <f>VLOOKUP(B245,Kunde!A:C,3,FALSE)</f>
        <v>Geschäftskunde</v>
      </c>
      <c r="D245" t="str">
        <f>VLOOKUP(O245,Produkt!$A$1:$E$5,2,FALSE)</f>
        <v>D</v>
      </c>
      <c r="E245">
        <f t="shared" si="9"/>
        <v>69</v>
      </c>
      <c r="F245">
        <f>VLOOKUP(D245,Produkt!$B$1:$C$5,2,FALSE)*Bestellungen!E245</f>
        <v>55200</v>
      </c>
      <c r="G245" s="2">
        <v>44962</v>
      </c>
      <c r="H245" s="2">
        <f t="shared" si="10"/>
        <v>44967</v>
      </c>
      <c r="I245" s="2">
        <f t="shared" si="11"/>
        <v>44999</v>
      </c>
      <c r="J245" t="str">
        <f>VLOOKUP(M245,Umfragenteilnahme!$A$2:$B$3,2,)</f>
        <v>Nein</v>
      </c>
      <c r="M245">
        <v>2</v>
      </c>
      <c r="N245">
        <v>527</v>
      </c>
      <c r="O245">
        <v>4</v>
      </c>
      <c r="P245">
        <v>69</v>
      </c>
      <c r="Q245">
        <v>9</v>
      </c>
      <c r="R245">
        <v>5</v>
      </c>
      <c r="S245">
        <v>37</v>
      </c>
    </row>
    <row r="246" spans="1:19" x14ac:dyDescent="0.35">
      <c r="A246">
        <v>7893</v>
      </c>
      <c r="B246">
        <v>85</v>
      </c>
      <c r="C246" t="str">
        <f>VLOOKUP(B246,Kunde!A:C,3,FALSE)</f>
        <v>Geschäftskunde</v>
      </c>
      <c r="D246" t="str">
        <f>VLOOKUP(O246,Produkt!$A$1:$E$5,2,FALSE)</f>
        <v>A</v>
      </c>
      <c r="E246">
        <f t="shared" si="9"/>
        <v>141</v>
      </c>
      <c r="F246">
        <f>VLOOKUP(D246,Produkt!$B$1:$C$5,2,FALSE)*Bestellungen!E246</f>
        <v>42300</v>
      </c>
      <c r="G246" s="2">
        <v>44859</v>
      </c>
      <c r="H246" s="2">
        <f t="shared" si="10"/>
        <v>44861</v>
      </c>
      <c r="I246" s="2">
        <f t="shared" si="11"/>
        <v>44862</v>
      </c>
      <c r="J246" t="str">
        <f>VLOOKUP(M246,Umfragenteilnahme!$A$2:$B$3,2,)</f>
        <v>Ja</v>
      </c>
      <c r="M246">
        <v>1</v>
      </c>
      <c r="N246">
        <v>85</v>
      </c>
      <c r="O246">
        <v>1</v>
      </c>
      <c r="P246">
        <v>141</v>
      </c>
      <c r="Q246">
        <v>9</v>
      </c>
      <c r="R246">
        <v>2</v>
      </c>
      <c r="S246">
        <v>3</v>
      </c>
    </row>
    <row r="247" spans="1:19" x14ac:dyDescent="0.35">
      <c r="A247">
        <v>7894</v>
      </c>
      <c r="B247">
        <v>369</v>
      </c>
      <c r="C247" t="str">
        <f>VLOOKUP(B247,Kunde!A:C,3,FALSE)</f>
        <v>Geschäftskunde</v>
      </c>
      <c r="D247" t="str">
        <f>VLOOKUP(O247,Produkt!$A$1:$E$5,2,FALSE)</f>
        <v>A</v>
      </c>
      <c r="E247">
        <f t="shared" si="9"/>
        <v>17</v>
      </c>
      <c r="F247">
        <f>VLOOKUP(D247,Produkt!$B$1:$C$5,2,FALSE)*Bestellungen!E247</f>
        <v>5100</v>
      </c>
      <c r="G247" s="2">
        <v>45045</v>
      </c>
      <c r="H247" s="2">
        <f t="shared" si="10"/>
        <v>45050</v>
      </c>
      <c r="I247" s="2">
        <f t="shared" si="11"/>
        <v>45081</v>
      </c>
      <c r="J247" t="str">
        <f>VLOOKUP(M247,Umfragenteilnahme!$A$2:$B$3,2,)</f>
        <v>Nein</v>
      </c>
      <c r="M247">
        <v>2</v>
      </c>
      <c r="N247">
        <v>369</v>
      </c>
      <c r="O247">
        <v>1</v>
      </c>
      <c r="P247">
        <v>17</v>
      </c>
      <c r="Q247">
        <v>3</v>
      </c>
      <c r="R247">
        <v>5</v>
      </c>
      <c r="S247">
        <v>36</v>
      </c>
    </row>
    <row r="248" spans="1:19" x14ac:dyDescent="0.35">
      <c r="A248">
        <v>7895</v>
      </c>
      <c r="B248">
        <v>539</v>
      </c>
      <c r="C248" t="str">
        <f>VLOOKUP(B248,Kunde!A:C,3,FALSE)</f>
        <v>Geschäftskunde</v>
      </c>
      <c r="D248" t="str">
        <f>VLOOKUP(O248,Produkt!$A$1:$E$5,2,FALSE)</f>
        <v>C</v>
      </c>
      <c r="E248">
        <f t="shared" si="9"/>
        <v>15</v>
      </c>
      <c r="F248">
        <f>VLOOKUP(D248,Produkt!$B$1:$C$5,2,FALSE)*Bestellungen!E248</f>
        <v>22500</v>
      </c>
      <c r="G248" s="2">
        <v>44977</v>
      </c>
      <c r="H248" s="2">
        <f t="shared" si="10"/>
        <v>44984</v>
      </c>
      <c r="I248" s="2">
        <f t="shared" si="11"/>
        <v>44998</v>
      </c>
      <c r="J248" t="str">
        <f>VLOOKUP(M248,Umfragenteilnahme!$A$2:$B$3,2,)</f>
        <v>Ja</v>
      </c>
      <c r="M248">
        <v>1</v>
      </c>
      <c r="N248">
        <v>539</v>
      </c>
      <c r="O248">
        <v>3</v>
      </c>
      <c r="P248">
        <v>15</v>
      </c>
      <c r="Q248">
        <v>5</v>
      </c>
      <c r="R248">
        <v>7</v>
      </c>
      <c r="S248">
        <v>21</v>
      </c>
    </row>
    <row r="249" spans="1:19" x14ac:dyDescent="0.35">
      <c r="A249">
        <v>7896</v>
      </c>
      <c r="B249">
        <v>659</v>
      </c>
      <c r="C249" t="str">
        <f>VLOOKUP(B249,Kunde!A:C,3,FALSE)</f>
        <v>Privatkunde</v>
      </c>
      <c r="D249" t="str">
        <f>VLOOKUP(O249,Produkt!$A$1:$E$5,2,FALSE)</f>
        <v>A</v>
      </c>
      <c r="E249">
        <f t="shared" si="9"/>
        <v>6</v>
      </c>
      <c r="F249">
        <f>VLOOKUP(D249,Produkt!$B$1:$C$5,2,FALSE)*Bestellungen!E249</f>
        <v>1800</v>
      </c>
      <c r="G249" s="2">
        <v>44934</v>
      </c>
      <c r="H249" s="2">
        <f t="shared" si="10"/>
        <v>44937</v>
      </c>
      <c r="I249" s="2">
        <f t="shared" si="11"/>
        <v>44956</v>
      </c>
      <c r="J249" t="str">
        <f>VLOOKUP(M249,Umfragenteilnahme!$A$2:$B$3,2,)</f>
        <v>Nein</v>
      </c>
      <c r="M249">
        <v>2</v>
      </c>
      <c r="N249">
        <v>659</v>
      </c>
      <c r="O249">
        <v>1</v>
      </c>
      <c r="P249">
        <v>17</v>
      </c>
      <c r="Q249">
        <v>6</v>
      </c>
      <c r="R249">
        <v>3</v>
      </c>
      <c r="S249">
        <v>22</v>
      </c>
    </row>
    <row r="250" spans="1:19" x14ac:dyDescent="0.35">
      <c r="A250">
        <v>7897</v>
      </c>
      <c r="B250">
        <v>119</v>
      </c>
      <c r="C250" t="str">
        <f>VLOOKUP(B250,Kunde!A:C,3,FALSE)</f>
        <v>Geschäftskunde</v>
      </c>
      <c r="D250" t="str">
        <f>VLOOKUP(O250,Produkt!$A$1:$E$5,2,FALSE)</f>
        <v>C</v>
      </c>
      <c r="E250">
        <f t="shared" si="9"/>
        <v>108</v>
      </c>
      <c r="F250">
        <f>VLOOKUP(D250,Produkt!$B$1:$C$5,2,FALSE)*Bestellungen!E250</f>
        <v>162000</v>
      </c>
      <c r="G250" s="2">
        <v>44932</v>
      </c>
      <c r="H250" s="2">
        <f t="shared" si="10"/>
        <v>44936</v>
      </c>
      <c r="I250" s="2">
        <f t="shared" si="11"/>
        <v>44982</v>
      </c>
      <c r="J250" t="str">
        <f>VLOOKUP(M250,Umfragenteilnahme!$A$2:$B$3,2,)</f>
        <v>Nein</v>
      </c>
      <c r="M250">
        <v>2</v>
      </c>
      <c r="N250">
        <v>119</v>
      </c>
      <c r="O250">
        <v>3</v>
      </c>
      <c r="P250">
        <v>108</v>
      </c>
      <c r="Q250">
        <v>9</v>
      </c>
      <c r="R250">
        <v>4</v>
      </c>
      <c r="S250">
        <v>50</v>
      </c>
    </row>
    <row r="251" spans="1:19" x14ac:dyDescent="0.35">
      <c r="A251">
        <v>7898</v>
      </c>
      <c r="B251">
        <v>320</v>
      </c>
      <c r="C251" t="str">
        <f>VLOOKUP(B251,Kunde!A:C,3,FALSE)</f>
        <v>Privatkunde</v>
      </c>
      <c r="D251" t="str">
        <f>VLOOKUP(O251,Produkt!$A$1:$E$5,2,FALSE)</f>
        <v>C</v>
      </c>
      <c r="E251">
        <f t="shared" si="9"/>
        <v>8</v>
      </c>
      <c r="F251">
        <f>VLOOKUP(D251,Produkt!$B$1:$C$5,2,FALSE)*Bestellungen!E251</f>
        <v>12000</v>
      </c>
      <c r="G251" s="2">
        <v>44829</v>
      </c>
      <c r="H251" s="2">
        <f t="shared" si="10"/>
        <v>44831</v>
      </c>
      <c r="I251" s="2">
        <f t="shared" si="11"/>
        <v>44864</v>
      </c>
      <c r="J251" t="str">
        <f>VLOOKUP(M251,Umfragenteilnahme!$A$2:$B$3,2,)</f>
        <v>Nein</v>
      </c>
      <c r="M251">
        <v>2</v>
      </c>
      <c r="N251">
        <v>320</v>
      </c>
      <c r="O251">
        <v>3</v>
      </c>
      <c r="P251">
        <v>55</v>
      </c>
      <c r="Q251">
        <v>8</v>
      </c>
      <c r="R251">
        <v>2</v>
      </c>
      <c r="S251">
        <v>35</v>
      </c>
    </row>
    <row r="252" spans="1:19" x14ac:dyDescent="0.35">
      <c r="A252">
        <v>7899</v>
      </c>
      <c r="B252">
        <v>794</v>
      </c>
      <c r="C252" t="str">
        <f>VLOOKUP(B252,Kunde!A:C,3,FALSE)</f>
        <v>Geschäftskunde</v>
      </c>
      <c r="D252" t="str">
        <f>VLOOKUP(O252,Produkt!$A$1:$E$5,2,FALSE)</f>
        <v>B</v>
      </c>
      <c r="E252">
        <f t="shared" si="9"/>
        <v>90</v>
      </c>
      <c r="F252">
        <f>VLOOKUP(D252,Produkt!$B$1:$C$5,2,FALSE)*Bestellungen!E252</f>
        <v>43200</v>
      </c>
      <c r="G252" s="2">
        <v>44959</v>
      </c>
      <c r="H252" s="2">
        <f t="shared" si="10"/>
        <v>44962</v>
      </c>
      <c r="I252" s="2">
        <f t="shared" si="11"/>
        <v>44981</v>
      </c>
      <c r="J252" t="str">
        <f>VLOOKUP(M252,Umfragenteilnahme!$A$2:$B$3,2,)</f>
        <v>Nein</v>
      </c>
      <c r="M252">
        <v>2</v>
      </c>
      <c r="N252">
        <v>794</v>
      </c>
      <c r="O252">
        <v>2</v>
      </c>
      <c r="P252">
        <v>90</v>
      </c>
      <c r="Q252">
        <v>10</v>
      </c>
      <c r="R252">
        <v>3</v>
      </c>
      <c r="S252">
        <v>22</v>
      </c>
    </row>
    <row r="253" spans="1:19" x14ac:dyDescent="0.35">
      <c r="A253">
        <v>7900</v>
      </c>
      <c r="B253">
        <v>399</v>
      </c>
      <c r="C253" t="str">
        <f>VLOOKUP(B253,Kunde!A:C,3,FALSE)</f>
        <v>Geschäftskunde</v>
      </c>
      <c r="D253" t="str">
        <f>VLOOKUP(O253,Produkt!$A$1:$E$5,2,FALSE)</f>
        <v>B</v>
      </c>
      <c r="E253">
        <f t="shared" si="9"/>
        <v>111</v>
      </c>
      <c r="F253">
        <f>VLOOKUP(D253,Produkt!$B$1:$C$5,2,FALSE)*Bestellungen!E253</f>
        <v>53280</v>
      </c>
      <c r="G253" s="2">
        <v>45063</v>
      </c>
      <c r="H253" s="2">
        <f t="shared" si="10"/>
        <v>45068</v>
      </c>
      <c r="I253" s="2">
        <f t="shared" si="11"/>
        <v>45095</v>
      </c>
      <c r="J253" t="str">
        <f>VLOOKUP(M253,Umfragenteilnahme!$A$2:$B$3,2,)</f>
        <v>Nein</v>
      </c>
      <c r="M253">
        <v>2</v>
      </c>
      <c r="N253">
        <v>399</v>
      </c>
      <c r="O253">
        <v>2</v>
      </c>
      <c r="P253">
        <v>111</v>
      </c>
      <c r="Q253">
        <v>2</v>
      </c>
      <c r="R253">
        <v>5</v>
      </c>
      <c r="S253">
        <v>32</v>
      </c>
    </row>
    <row r="254" spans="1:19" x14ac:dyDescent="0.35">
      <c r="A254">
        <v>7901</v>
      </c>
      <c r="B254">
        <v>160</v>
      </c>
      <c r="C254" t="str">
        <f>VLOOKUP(B254,Kunde!A:C,3,FALSE)</f>
        <v>Geschäftskunde</v>
      </c>
      <c r="D254" t="str">
        <f>VLOOKUP(O254,Produkt!$A$1:$E$5,2,FALSE)</f>
        <v>A</v>
      </c>
      <c r="E254">
        <f t="shared" si="9"/>
        <v>96</v>
      </c>
      <c r="F254">
        <f>VLOOKUP(D254,Produkt!$B$1:$C$5,2,FALSE)*Bestellungen!E254</f>
        <v>28800</v>
      </c>
      <c r="G254" s="2">
        <v>44891</v>
      </c>
      <c r="H254" s="2">
        <f t="shared" si="10"/>
        <v>44893</v>
      </c>
      <c r="I254" s="2">
        <f t="shared" si="11"/>
        <v>44907</v>
      </c>
      <c r="J254" t="str">
        <f>VLOOKUP(M254,Umfragenteilnahme!$A$2:$B$3,2,)</f>
        <v>Ja</v>
      </c>
      <c r="M254">
        <v>1</v>
      </c>
      <c r="N254">
        <v>160</v>
      </c>
      <c r="O254">
        <v>1</v>
      </c>
      <c r="P254">
        <v>96</v>
      </c>
      <c r="Q254">
        <v>4</v>
      </c>
      <c r="R254">
        <v>2</v>
      </c>
      <c r="S254">
        <v>16</v>
      </c>
    </row>
    <row r="255" spans="1:19" x14ac:dyDescent="0.35">
      <c r="A255">
        <v>7902</v>
      </c>
      <c r="B255">
        <v>179</v>
      </c>
      <c r="C255" t="str">
        <f>VLOOKUP(B255,Kunde!A:C,3,FALSE)</f>
        <v>Geschäftskunde</v>
      </c>
      <c r="D255" t="str">
        <f>VLOOKUP(O255,Produkt!$A$1:$E$5,2,FALSE)</f>
        <v>D</v>
      </c>
      <c r="E255">
        <f t="shared" si="9"/>
        <v>112</v>
      </c>
      <c r="F255">
        <f>VLOOKUP(D255,Produkt!$B$1:$C$5,2,FALSE)*Bestellungen!E255</f>
        <v>89600</v>
      </c>
      <c r="G255" s="2">
        <v>44791</v>
      </c>
      <c r="H255" s="2">
        <f t="shared" si="10"/>
        <v>44794</v>
      </c>
      <c r="I255" s="2">
        <f t="shared" si="11"/>
        <v>44812</v>
      </c>
      <c r="J255" t="str">
        <f>VLOOKUP(M255,Umfragenteilnahme!$A$2:$B$3,2,)</f>
        <v>Nein</v>
      </c>
      <c r="M255">
        <v>2</v>
      </c>
      <c r="N255">
        <v>179</v>
      </c>
      <c r="O255">
        <v>4</v>
      </c>
      <c r="P255">
        <v>112</v>
      </c>
      <c r="Q255">
        <v>3</v>
      </c>
      <c r="R255">
        <v>3</v>
      </c>
      <c r="S255">
        <v>21</v>
      </c>
    </row>
    <row r="256" spans="1:19" x14ac:dyDescent="0.35">
      <c r="A256">
        <v>7903</v>
      </c>
      <c r="B256">
        <v>303</v>
      </c>
      <c r="C256" t="str">
        <f>VLOOKUP(B256,Kunde!A:C,3,FALSE)</f>
        <v>Geschäftskunde</v>
      </c>
      <c r="D256" t="str">
        <f>VLOOKUP(O256,Produkt!$A$1:$E$5,2,FALSE)</f>
        <v>D</v>
      </c>
      <c r="E256">
        <f t="shared" si="9"/>
        <v>117</v>
      </c>
      <c r="F256">
        <f>VLOOKUP(D256,Produkt!$B$1:$C$5,2,FALSE)*Bestellungen!E256</f>
        <v>93600</v>
      </c>
      <c r="G256" s="2">
        <v>44760</v>
      </c>
      <c r="H256" s="2">
        <f t="shared" si="10"/>
        <v>44762</v>
      </c>
      <c r="I256" s="2">
        <f t="shared" si="11"/>
        <v>44783</v>
      </c>
      <c r="J256" t="str">
        <f>VLOOKUP(M256,Umfragenteilnahme!$A$2:$B$3,2,)</f>
        <v>Nein</v>
      </c>
      <c r="M256">
        <v>2</v>
      </c>
      <c r="N256">
        <v>303</v>
      </c>
      <c r="O256">
        <v>4</v>
      </c>
      <c r="P256">
        <v>117</v>
      </c>
      <c r="Q256">
        <v>10</v>
      </c>
      <c r="R256">
        <v>2</v>
      </c>
      <c r="S256">
        <v>23</v>
      </c>
    </row>
    <row r="257" spans="1:19" x14ac:dyDescent="0.35">
      <c r="A257">
        <v>7904</v>
      </c>
      <c r="B257">
        <v>388</v>
      </c>
      <c r="C257" t="str">
        <f>VLOOKUP(B257,Kunde!A:C,3,FALSE)</f>
        <v>Geschäftskunde</v>
      </c>
      <c r="D257" t="str">
        <f>VLOOKUP(O257,Produkt!$A$1:$E$5,2,FALSE)</f>
        <v>D</v>
      </c>
      <c r="E257">
        <f t="shared" si="9"/>
        <v>97</v>
      </c>
      <c r="F257">
        <f>VLOOKUP(D257,Produkt!$B$1:$C$5,2,FALSE)*Bestellungen!E257</f>
        <v>77600</v>
      </c>
      <c r="G257" s="2">
        <v>44834</v>
      </c>
      <c r="H257" s="2">
        <f t="shared" si="10"/>
        <v>44837</v>
      </c>
      <c r="I257" s="2">
        <f t="shared" si="11"/>
        <v>44864</v>
      </c>
      <c r="J257" t="str">
        <f>VLOOKUP(M257,Umfragenteilnahme!$A$2:$B$3,2,)</f>
        <v>Nein</v>
      </c>
      <c r="M257">
        <v>2</v>
      </c>
      <c r="N257">
        <v>388</v>
      </c>
      <c r="O257">
        <v>4</v>
      </c>
      <c r="P257">
        <v>97</v>
      </c>
      <c r="Q257">
        <v>6</v>
      </c>
      <c r="R257">
        <v>3</v>
      </c>
      <c r="S257">
        <v>30</v>
      </c>
    </row>
    <row r="258" spans="1:19" x14ac:dyDescent="0.35">
      <c r="A258">
        <v>7905</v>
      </c>
      <c r="B258">
        <v>430</v>
      </c>
      <c r="C258" t="str">
        <f>VLOOKUP(B258,Kunde!A:C,3,FALSE)</f>
        <v>Privatkunde</v>
      </c>
      <c r="D258" t="str">
        <f>VLOOKUP(O258,Produkt!$A$1:$E$5,2,FALSE)</f>
        <v>C</v>
      </c>
      <c r="E258">
        <f t="shared" si="9"/>
        <v>9</v>
      </c>
      <c r="F258">
        <f>VLOOKUP(D258,Produkt!$B$1:$C$5,2,FALSE)*Bestellungen!E258</f>
        <v>13500</v>
      </c>
      <c r="G258" s="2">
        <v>44985</v>
      </c>
      <c r="H258" s="2">
        <f t="shared" si="10"/>
        <v>44988</v>
      </c>
      <c r="I258" s="2">
        <f t="shared" si="11"/>
        <v>45045</v>
      </c>
      <c r="J258" t="str">
        <f>VLOOKUP(M258,Umfragenteilnahme!$A$2:$B$3,2,)</f>
        <v>Nein</v>
      </c>
      <c r="M258">
        <v>2</v>
      </c>
      <c r="N258">
        <v>430</v>
      </c>
      <c r="O258">
        <v>3</v>
      </c>
      <c r="P258">
        <v>114</v>
      </c>
      <c r="Q258">
        <v>9</v>
      </c>
      <c r="R258">
        <v>3</v>
      </c>
      <c r="S258">
        <v>60</v>
      </c>
    </row>
    <row r="259" spans="1:19" x14ac:dyDescent="0.35">
      <c r="A259">
        <v>7906</v>
      </c>
      <c r="B259">
        <v>728</v>
      </c>
      <c r="C259" t="str">
        <f>VLOOKUP(B259,Kunde!A:C,3,FALSE)</f>
        <v>Geschäftskunde</v>
      </c>
      <c r="D259" t="str">
        <f>VLOOKUP(O259,Produkt!$A$1:$E$5,2,FALSE)</f>
        <v>B</v>
      </c>
      <c r="E259">
        <f t="shared" ref="E259:E322" si="12">IF(C259="Geschäftskunde",P259,Q259)</f>
        <v>40</v>
      </c>
      <c r="F259">
        <f>VLOOKUP(D259,Produkt!$B$1:$C$5,2,FALSE)*Bestellungen!E259</f>
        <v>19200</v>
      </c>
      <c r="G259" s="2">
        <v>44730</v>
      </c>
      <c r="H259" s="2">
        <f t="shared" ref="H259:H322" si="13">G259+R259</f>
        <v>44736</v>
      </c>
      <c r="I259" s="2">
        <f t="shared" ref="I259:I322" si="14">G259+S259</f>
        <v>44758</v>
      </c>
      <c r="J259" t="str">
        <f>VLOOKUP(M259,Umfragenteilnahme!$A$2:$B$3,2,)</f>
        <v>Ja</v>
      </c>
      <c r="M259">
        <v>1</v>
      </c>
      <c r="N259">
        <v>728</v>
      </c>
      <c r="O259">
        <v>2</v>
      </c>
      <c r="P259">
        <v>40</v>
      </c>
      <c r="Q259">
        <v>7</v>
      </c>
      <c r="R259">
        <v>6</v>
      </c>
      <c r="S259">
        <v>28</v>
      </c>
    </row>
    <row r="260" spans="1:19" x14ac:dyDescent="0.35">
      <c r="A260">
        <v>7907</v>
      </c>
      <c r="B260">
        <v>600</v>
      </c>
      <c r="C260" t="str">
        <f>VLOOKUP(B260,Kunde!A:C,3,FALSE)</f>
        <v>Privatkunde</v>
      </c>
      <c r="D260" t="str">
        <f>VLOOKUP(O260,Produkt!$A$1:$E$5,2,FALSE)</f>
        <v>A</v>
      </c>
      <c r="E260">
        <f t="shared" si="12"/>
        <v>4</v>
      </c>
      <c r="F260">
        <f>VLOOKUP(D260,Produkt!$B$1:$C$5,2,FALSE)*Bestellungen!E260</f>
        <v>1200</v>
      </c>
      <c r="G260" s="2">
        <v>44732</v>
      </c>
      <c r="H260" s="2">
        <f t="shared" si="13"/>
        <v>44737</v>
      </c>
      <c r="I260" s="2">
        <f t="shared" si="14"/>
        <v>44753</v>
      </c>
      <c r="J260" t="str">
        <f>VLOOKUP(M260,Umfragenteilnahme!$A$2:$B$3,2,)</f>
        <v>Nein</v>
      </c>
      <c r="M260">
        <v>2</v>
      </c>
      <c r="N260">
        <v>600</v>
      </c>
      <c r="O260">
        <v>1</v>
      </c>
      <c r="P260">
        <v>120</v>
      </c>
      <c r="Q260">
        <v>4</v>
      </c>
      <c r="R260">
        <v>5</v>
      </c>
      <c r="S260">
        <v>21</v>
      </c>
    </row>
    <row r="261" spans="1:19" x14ac:dyDescent="0.35">
      <c r="A261">
        <v>7908</v>
      </c>
      <c r="B261">
        <v>444</v>
      </c>
      <c r="C261" t="str">
        <f>VLOOKUP(B261,Kunde!A:C,3,FALSE)</f>
        <v>Geschäftskunde</v>
      </c>
      <c r="D261" t="str">
        <f>VLOOKUP(O261,Produkt!$A$1:$E$5,2,FALSE)</f>
        <v>D</v>
      </c>
      <c r="E261">
        <f t="shared" si="12"/>
        <v>102</v>
      </c>
      <c r="F261">
        <f>VLOOKUP(D261,Produkt!$B$1:$C$5,2,FALSE)*Bestellungen!E261</f>
        <v>81600</v>
      </c>
      <c r="G261" s="2">
        <v>45030</v>
      </c>
      <c r="H261" s="2">
        <f t="shared" si="13"/>
        <v>45035</v>
      </c>
      <c r="I261" s="2">
        <f t="shared" si="14"/>
        <v>45081</v>
      </c>
      <c r="J261" t="str">
        <f>VLOOKUP(M261,Umfragenteilnahme!$A$2:$B$3,2,)</f>
        <v>Nein</v>
      </c>
      <c r="M261">
        <v>2</v>
      </c>
      <c r="N261">
        <v>444</v>
      </c>
      <c r="O261">
        <v>4</v>
      </c>
      <c r="P261">
        <v>102</v>
      </c>
      <c r="Q261">
        <v>4</v>
      </c>
      <c r="R261">
        <v>5</v>
      </c>
      <c r="S261">
        <v>51</v>
      </c>
    </row>
    <row r="262" spans="1:19" x14ac:dyDescent="0.35">
      <c r="A262">
        <v>7909</v>
      </c>
      <c r="B262">
        <v>643</v>
      </c>
      <c r="C262" t="str">
        <f>VLOOKUP(B262,Kunde!A:C,3,FALSE)</f>
        <v>Privatkunde</v>
      </c>
      <c r="D262" t="str">
        <f>VLOOKUP(O262,Produkt!$A$1:$E$5,2,FALSE)</f>
        <v>C</v>
      </c>
      <c r="E262">
        <f t="shared" si="12"/>
        <v>10</v>
      </c>
      <c r="F262">
        <f>VLOOKUP(D262,Produkt!$B$1:$C$5,2,FALSE)*Bestellungen!E262</f>
        <v>15000</v>
      </c>
      <c r="G262" s="2">
        <v>44930</v>
      </c>
      <c r="H262" s="2">
        <f t="shared" si="13"/>
        <v>44934</v>
      </c>
      <c r="I262" s="2">
        <f t="shared" si="14"/>
        <v>44969</v>
      </c>
      <c r="J262" t="str">
        <f>VLOOKUP(M262,Umfragenteilnahme!$A$2:$B$3,2,)</f>
        <v>Ja</v>
      </c>
      <c r="M262">
        <v>1</v>
      </c>
      <c r="N262">
        <v>643</v>
      </c>
      <c r="O262">
        <v>3</v>
      </c>
      <c r="P262">
        <v>120</v>
      </c>
      <c r="Q262">
        <v>10</v>
      </c>
      <c r="R262">
        <v>4</v>
      </c>
      <c r="S262">
        <v>39</v>
      </c>
    </row>
    <row r="263" spans="1:19" x14ac:dyDescent="0.35">
      <c r="A263">
        <v>7910</v>
      </c>
      <c r="B263">
        <v>583</v>
      </c>
      <c r="C263" t="str">
        <f>VLOOKUP(B263,Kunde!A:C,3,FALSE)</f>
        <v>Geschäftskunde</v>
      </c>
      <c r="D263" t="str">
        <f>VLOOKUP(O263,Produkt!$A$1:$E$5,2,FALSE)</f>
        <v>A</v>
      </c>
      <c r="E263">
        <f t="shared" si="12"/>
        <v>48</v>
      </c>
      <c r="F263">
        <f>VLOOKUP(D263,Produkt!$B$1:$C$5,2,FALSE)*Bestellungen!E263</f>
        <v>14400</v>
      </c>
      <c r="G263" s="2">
        <v>44753</v>
      </c>
      <c r="H263" s="2">
        <f t="shared" si="13"/>
        <v>44759</v>
      </c>
      <c r="I263" s="2">
        <f t="shared" si="14"/>
        <v>44812</v>
      </c>
      <c r="J263" t="str">
        <f>VLOOKUP(M263,Umfragenteilnahme!$A$2:$B$3,2,)</f>
        <v>Nein</v>
      </c>
      <c r="M263">
        <v>2</v>
      </c>
      <c r="N263">
        <v>583</v>
      </c>
      <c r="O263">
        <v>1</v>
      </c>
      <c r="P263">
        <v>48</v>
      </c>
      <c r="Q263">
        <v>10</v>
      </c>
      <c r="R263">
        <v>6</v>
      </c>
      <c r="S263">
        <v>59</v>
      </c>
    </row>
    <row r="264" spans="1:19" x14ac:dyDescent="0.35">
      <c r="A264">
        <v>7911</v>
      </c>
      <c r="B264">
        <v>47</v>
      </c>
      <c r="C264" t="str">
        <f>VLOOKUP(B264,Kunde!A:C,3,FALSE)</f>
        <v>Geschäftskunde</v>
      </c>
      <c r="D264" t="str">
        <f>VLOOKUP(O264,Produkt!$A$1:$E$5,2,FALSE)</f>
        <v>C</v>
      </c>
      <c r="E264">
        <f t="shared" si="12"/>
        <v>18</v>
      </c>
      <c r="F264">
        <f>VLOOKUP(D264,Produkt!$B$1:$C$5,2,FALSE)*Bestellungen!E264</f>
        <v>27000</v>
      </c>
      <c r="G264" s="2">
        <v>45000</v>
      </c>
      <c r="H264" s="2">
        <f t="shared" si="13"/>
        <v>45005</v>
      </c>
      <c r="I264" s="2">
        <f t="shared" si="14"/>
        <v>45018</v>
      </c>
      <c r="J264" t="str">
        <f>VLOOKUP(M264,Umfragenteilnahme!$A$2:$B$3,2,)</f>
        <v>Nein</v>
      </c>
      <c r="M264">
        <v>2</v>
      </c>
      <c r="N264">
        <v>47</v>
      </c>
      <c r="O264">
        <v>3</v>
      </c>
      <c r="P264">
        <v>18</v>
      </c>
      <c r="Q264">
        <v>2</v>
      </c>
      <c r="R264">
        <v>5</v>
      </c>
      <c r="S264">
        <v>18</v>
      </c>
    </row>
    <row r="265" spans="1:19" x14ac:dyDescent="0.35">
      <c r="A265">
        <v>7912</v>
      </c>
      <c r="B265">
        <v>159</v>
      </c>
      <c r="C265" t="str">
        <f>VLOOKUP(B265,Kunde!A:C,3,FALSE)</f>
        <v>Geschäftskunde</v>
      </c>
      <c r="D265" t="str">
        <f>VLOOKUP(O265,Produkt!$A$1:$E$5,2,FALSE)</f>
        <v>A</v>
      </c>
      <c r="E265">
        <f t="shared" si="12"/>
        <v>134</v>
      </c>
      <c r="F265">
        <f>VLOOKUP(D265,Produkt!$B$1:$C$5,2,FALSE)*Bestellungen!E265</f>
        <v>40200</v>
      </c>
      <c r="G265" s="2">
        <v>44850</v>
      </c>
      <c r="H265" s="2">
        <f t="shared" si="13"/>
        <v>44853</v>
      </c>
      <c r="I265" s="2">
        <f t="shared" si="14"/>
        <v>44855</v>
      </c>
      <c r="J265" t="str">
        <f>VLOOKUP(M265,Umfragenteilnahme!$A$2:$B$3,2,)</f>
        <v>Nein</v>
      </c>
      <c r="M265">
        <v>2</v>
      </c>
      <c r="N265">
        <v>159</v>
      </c>
      <c r="O265">
        <v>1</v>
      </c>
      <c r="P265">
        <v>134</v>
      </c>
      <c r="Q265">
        <v>1</v>
      </c>
      <c r="R265">
        <v>3</v>
      </c>
      <c r="S265">
        <v>5</v>
      </c>
    </row>
    <row r="266" spans="1:19" x14ac:dyDescent="0.35">
      <c r="A266">
        <v>7913</v>
      </c>
      <c r="B266">
        <v>278</v>
      </c>
      <c r="C266" t="str">
        <f>VLOOKUP(B266,Kunde!A:C,3,FALSE)</f>
        <v>Geschäftskunde</v>
      </c>
      <c r="D266" t="str">
        <f>VLOOKUP(O266,Produkt!$A$1:$E$5,2,FALSE)</f>
        <v>D</v>
      </c>
      <c r="E266">
        <f t="shared" si="12"/>
        <v>83</v>
      </c>
      <c r="F266">
        <f>VLOOKUP(D266,Produkt!$B$1:$C$5,2,FALSE)*Bestellungen!E266</f>
        <v>66400</v>
      </c>
      <c r="G266" s="2">
        <v>44742</v>
      </c>
      <c r="H266" s="2">
        <f t="shared" si="13"/>
        <v>44745</v>
      </c>
      <c r="I266" s="2">
        <f t="shared" si="14"/>
        <v>44769</v>
      </c>
      <c r="J266" t="str">
        <f>VLOOKUP(M266,Umfragenteilnahme!$A$2:$B$3,2,)</f>
        <v>Nein</v>
      </c>
      <c r="M266">
        <v>2</v>
      </c>
      <c r="N266">
        <v>278</v>
      </c>
      <c r="O266">
        <v>4</v>
      </c>
      <c r="P266">
        <v>83</v>
      </c>
      <c r="Q266">
        <v>1</v>
      </c>
      <c r="R266">
        <v>3</v>
      </c>
      <c r="S266">
        <v>27</v>
      </c>
    </row>
    <row r="267" spans="1:19" x14ac:dyDescent="0.35">
      <c r="A267">
        <v>7914</v>
      </c>
      <c r="B267">
        <v>743</v>
      </c>
      <c r="C267" t="str">
        <f>VLOOKUP(B267,Kunde!A:C,3,FALSE)</f>
        <v>Geschäftskunde</v>
      </c>
      <c r="D267" t="str">
        <f>VLOOKUP(O267,Produkt!$A$1:$E$5,2,FALSE)</f>
        <v>B</v>
      </c>
      <c r="E267">
        <f t="shared" si="12"/>
        <v>140</v>
      </c>
      <c r="F267">
        <f>VLOOKUP(D267,Produkt!$B$1:$C$5,2,FALSE)*Bestellungen!E267</f>
        <v>67200</v>
      </c>
      <c r="G267" s="2">
        <v>44827</v>
      </c>
      <c r="H267" s="2">
        <f t="shared" si="13"/>
        <v>44829</v>
      </c>
      <c r="I267" s="2">
        <f t="shared" si="14"/>
        <v>44873</v>
      </c>
      <c r="J267" t="str">
        <f>VLOOKUP(M267,Umfragenteilnahme!$A$2:$B$3,2,)</f>
        <v>Nein</v>
      </c>
      <c r="M267">
        <v>2</v>
      </c>
      <c r="N267">
        <v>743</v>
      </c>
      <c r="O267">
        <v>2</v>
      </c>
      <c r="P267">
        <v>140</v>
      </c>
      <c r="Q267">
        <v>7</v>
      </c>
      <c r="R267">
        <v>2</v>
      </c>
      <c r="S267">
        <v>46</v>
      </c>
    </row>
    <row r="268" spans="1:19" x14ac:dyDescent="0.35">
      <c r="A268">
        <v>7915</v>
      </c>
      <c r="B268">
        <v>694</v>
      </c>
      <c r="C268" t="str">
        <f>VLOOKUP(B268,Kunde!A:C,3,FALSE)</f>
        <v>Geschäftskunde</v>
      </c>
      <c r="D268" t="str">
        <f>VLOOKUP(O268,Produkt!$A$1:$E$5,2,FALSE)</f>
        <v>C</v>
      </c>
      <c r="E268">
        <f t="shared" si="12"/>
        <v>95</v>
      </c>
      <c r="F268">
        <f>VLOOKUP(D268,Produkt!$B$1:$C$5,2,FALSE)*Bestellungen!E268</f>
        <v>142500</v>
      </c>
      <c r="G268" s="2">
        <v>44758</v>
      </c>
      <c r="H268" s="2">
        <f t="shared" si="13"/>
        <v>44763</v>
      </c>
      <c r="I268" s="2">
        <f t="shared" si="14"/>
        <v>44762</v>
      </c>
      <c r="J268" t="str">
        <f>VLOOKUP(M268,Umfragenteilnahme!$A$2:$B$3,2,)</f>
        <v>Nein</v>
      </c>
      <c r="M268">
        <v>2</v>
      </c>
      <c r="N268">
        <v>694</v>
      </c>
      <c r="O268">
        <v>3</v>
      </c>
      <c r="P268">
        <v>95</v>
      </c>
      <c r="Q268">
        <v>2</v>
      </c>
      <c r="R268">
        <v>5</v>
      </c>
      <c r="S268">
        <v>4</v>
      </c>
    </row>
    <row r="269" spans="1:19" x14ac:dyDescent="0.35">
      <c r="A269">
        <v>7916</v>
      </c>
      <c r="B269">
        <v>92</v>
      </c>
      <c r="C269" t="str">
        <f>VLOOKUP(B269,Kunde!A:C,3,FALSE)</f>
        <v>Privatkunde</v>
      </c>
      <c r="D269" t="str">
        <f>VLOOKUP(O269,Produkt!$A$1:$E$5,2,FALSE)</f>
        <v>D</v>
      </c>
      <c r="E269">
        <f t="shared" si="12"/>
        <v>8</v>
      </c>
      <c r="F269">
        <f>VLOOKUP(D269,Produkt!$B$1:$C$5,2,FALSE)*Bestellungen!E269</f>
        <v>6400</v>
      </c>
      <c r="G269" s="2">
        <v>44966</v>
      </c>
      <c r="H269" s="2">
        <f t="shared" si="13"/>
        <v>44971</v>
      </c>
      <c r="I269" s="2">
        <f t="shared" si="14"/>
        <v>44983</v>
      </c>
      <c r="J269" t="str">
        <f>VLOOKUP(M269,Umfragenteilnahme!$A$2:$B$3,2,)</f>
        <v>Nein</v>
      </c>
      <c r="M269">
        <v>2</v>
      </c>
      <c r="N269">
        <v>92</v>
      </c>
      <c r="O269">
        <v>4</v>
      </c>
      <c r="P269">
        <v>136</v>
      </c>
      <c r="Q269">
        <v>8</v>
      </c>
      <c r="R269">
        <v>5</v>
      </c>
      <c r="S269">
        <v>17</v>
      </c>
    </row>
    <row r="270" spans="1:19" x14ac:dyDescent="0.35">
      <c r="A270">
        <v>7917</v>
      </c>
      <c r="B270">
        <v>503</v>
      </c>
      <c r="C270" t="str">
        <f>VLOOKUP(B270,Kunde!A:C,3,FALSE)</f>
        <v>Geschäftskunde</v>
      </c>
      <c r="D270" t="str">
        <f>VLOOKUP(O270,Produkt!$A$1:$E$5,2,FALSE)</f>
        <v>C</v>
      </c>
      <c r="E270">
        <f t="shared" si="12"/>
        <v>19</v>
      </c>
      <c r="F270">
        <f>VLOOKUP(D270,Produkt!$B$1:$C$5,2,FALSE)*Bestellungen!E270</f>
        <v>28500</v>
      </c>
      <c r="G270" s="2">
        <v>44963</v>
      </c>
      <c r="H270" s="2">
        <f t="shared" si="13"/>
        <v>44970</v>
      </c>
      <c r="I270" s="2">
        <f t="shared" si="14"/>
        <v>44995</v>
      </c>
      <c r="J270" t="str">
        <f>VLOOKUP(M270,Umfragenteilnahme!$A$2:$B$3,2,)</f>
        <v>Nein</v>
      </c>
      <c r="M270">
        <v>2</v>
      </c>
      <c r="N270">
        <v>503</v>
      </c>
      <c r="O270">
        <v>3</v>
      </c>
      <c r="P270">
        <v>19</v>
      </c>
      <c r="Q270">
        <v>5</v>
      </c>
      <c r="R270">
        <v>7</v>
      </c>
      <c r="S270">
        <v>32</v>
      </c>
    </row>
    <row r="271" spans="1:19" x14ac:dyDescent="0.35">
      <c r="A271">
        <v>7918</v>
      </c>
      <c r="B271">
        <v>93</v>
      </c>
      <c r="C271" t="str">
        <f>VLOOKUP(B271,Kunde!A:C,3,FALSE)</f>
        <v>Geschäftskunde</v>
      </c>
      <c r="D271" t="str">
        <f>VLOOKUP(O271,Produkt!$A$1:$E$5,2,FALSE)</f>
        <v>A</v>
      </c>
      <c r="E271">
        <f t="shared" si="12"/>
        <v>15</v>
      </c>
      <c r="F271">
        <f>VLOOKUP(D271,Produkt!$B$1:$C$5,2,FALSE)*Bestellungen!E271</f>
        <v>4500</v>
      </c>
      <c r="G271" s="2">
        <v>44712</v>
      </c>
      <c r="H271" s="2">
        <f t="shared" si="13"/>
        <v>44714</v>
      </c>
      <c r="I271" s="2">
        <f t="shared" si="14"/>
        <v>44745</v>
      </c>
      <c r="J271" t="str">
        <f>VLOOKUP(M271,Umfragenteilnahme!$A$2:$B$3,2,)</f>
        <v>Ja</v>
      </c>
      <c r="M271">
        <v>1</v>
      </c>
      <c r="N271">
        <v>93</v>
      </c>
      <c r="O271">
        <v>1</v>
      </c>
      <c r="P271">
        <v>15</v>
      </c>
      <c r="Q271">
        <v>4</v>
      </c>
      <c r="R271">
        <v>2</v>
      </c>
      <c r="S271">
        <v>33</v>
      </c>
    </row>
    <row r="272" spans="1:19" x14ac:dyDescent="0.35">
      <c r="A272">
        <v>7919</v>
      </c>
      <c r="B272">
        <v>714</v>
      </c>
      <c r="C272" t="str">
        <f>VLOOKUP(B272,Kunde!A:C,3,FALSE)</f>
        <v>Geschäftskunde</v>
      </c>
      <c r="D272" t="str">
        <f>VLOOKUP(O272,Produkt!$A$1:$E$5,2,FALSE)</f>
        <v>D</v>
      </c>
      <c r="E272">
        <f t="shared" si="12"/>
        <v>119</v>
      </c>
      <c r="F272">
        <f>VLOOKUP(D272,Produkt!$B$1:$C$5,2,FALSE)*Bestellungen!E272</f>
        <v>95200</v>
      </c>
      <c r="G272" s="2">
        <v>44806</v>
      </c>
      <c r="H272" s="2">
        <f t="shared" si="13"/>
        <v>44810</v>
      </c>
      <c r="I272" s="2">
        <f t="shared" si="14"/>
        <v>44860</v>
      </c>
      <c r="J272" t="str">
        <f>VLOOKUP(M272,Umfragenteilnahme!$A$2:$B$3,2,)</f>
        <v>Nein</v>
      </c>
      <c r="M272">
        <v>2</v>
      </c>
      <c r="N272">
        <v>714</v>
      </c>
      <c r="O272">
        <v>4</v>
      </c>
      <c r="P272">
        <v>119</v>
      </c>
      <c r="Q272">
        <v>7</v>
      </c>
      <c r="R272">
        <v>4</v>
      </c>
      <c r="S272">
        <v>54</v>
      </c>
    </row>
    <row r="273" spans="1:19" x14ac:dyDescent="0.35">
      <c r="A273">
        <v>7920</v>
      </c>
      <c r="B273">
        <v>694</v>
      </c>
      <c r="C273" t="str">
        <f>VLOOKUP(B273,Kunde!A:C,3,FALSE)</f>
        <v>Geschäftskunde</v>
      </c>
      <c r="D273" t="str">
        <f>VLOOKUP(O273,Produkt!$A$1:$E$5,2,FALSE)</f>
        <v>B</v>
      </c>
      <c r="E273">
        <f t="shared" si="12"/>
        <v>113</v>
      </c>
      <c r="F273">
        <f>VLOOKUP(D273,Produkt!$B$1:$C$5,2,FALSE)*Bestellungen!E273</f>
        <v>54240</v>
      </c>
      <c r="G273" s="2">
        <v>44846</v>
      </c>
      <c r="H273" s="2">
        <f t="shared" si="13"/>
        <v>44850</v>
      </c>
      <c r="I273" s="2">
        <f t="shared" si="14"/>
        <v>44897</v>
      </c>
      <c r="J273" t="str">
        <f>VLOOKUP(M273,Umfragenteilnahme!$A$2:$B$3,2,)</f>
        <v>Nein</v>
      </c>
      <c r="M273">
        <v>2</v>
      </c>
      <c r="N273">
        <v>694</v>
      </c>
      <c r="O273">
        <v>2</v>
      </c>
      <c r="P273">
        <v>113</v>
      </c>
      <c r="Q273">
        <v>3</v>
      </c>
      <c r="R273">
        <v>4</v>
      </c>
      <c r="S273">
        <v>51</v>
      </c>
    </row>
    <row r="274" spans="1:19" x14ac:dyDescent="0.35">
      <c r="A274">
        <v>7921</v>
      </c>
      <c r="B274">
        <v>624</v>
      </c>
      <c r="C274" t="str">
        <f>VLOOKUP(B274,Kunde!A:C,3,FALSE)</f>
        <v>Privatkunde</v>
      </c>
      <c r="D274" t="str">
        <f>VLOOKUP(O274,Produkt!$A$1:$E$5,2,FALSE)</f>
        <v>A</v>
      </c>
      <c r="E274">
        <f t="shared" si="12"/>
        <v>8</v>
      </c>
      <c r="F274">
        <f>VLOOKUP(D274,Produkt!$B$1:$C$5,2,FALSE)*Bestellungen!E274</f>
        <v>2400</v>
      </c>
      <c r="G274" s="2">
        <v>44847</v>
      </c>
      <c r="H274" s="2">
        <f t="shared" si="13"/>
        <v>44854</v>
      </c>
      <c r="I274" s="2">
        <f t="shared" si="14"/>
        <v>44878</v>
      </c>
      <c r="J274" t="str">
        <f>VLOOKUP(M274,Umfragenteilnahme!$A$2:$B$3,2,)</f>
        <v>Nein</v>
      </c>
      <c r="M274">
        <v>2</v>
      </c>
      <c r="N274">
        <v>624</v>
      </c>
      <c r="O274">
        <v>1</v>
      </c>
      <c r="P274">
        <v>135</v>
      </c>
      <c r="Q274">
        <v>8</v>
      </c>
      <c r="R274">
        <v>7</v>
      </c>
      <c r="S274">
        <v>31</v>
      </c>
    </row>
    <row r="275" spans="1:19" x14ac:dyDescent="0.35">
      <c r="A275">
        <v>7922</v>
      </c>
      <c r="B275">
        <v>398</v>
      </c>
      <c r="C275" t="str">
        <f>VLOOKUP(B275,Kunde!A:C,3,FALSE)</f>
        <v>Privatkunde</v>
      </c>
      <c r="D275" t="str">
        <f>VLOOKUP(O275,Produkt!$A$1:$E$5,2,FALSE)</f>
        <v>D</v>
      </c>
      <c r="E275">
        <f t="shared" si="12"/>
        <v>1</v>
      </c>
      <c r="F275">
        <f>VLOOKUP(D275,Produkt!$B$1:$C$5,2,FALSE)*Bestellungen!E275</f>
        <v>800</v>
      </c>
      <c r="G275" s="2">
        <v>44749</v>
      </c>
      <c r="H275" s="2">
        <f t="shared" si="13"/>
        <v>44751</v>
      </c>
      <c r="I275" s="2">
        <f t="shared" si="14"/>
        <v>44764</v>
      </c>
      <c r="J275" t="str">
        <f>VLOOKUP(M275,Umfragenteilnahme!$A$2:$B$3,2,)</f>
        <v>Ja</v>
      </c>
      <c r="M275">
        <v>1</v>
      </c>
      <c r="N275">
        <v>398</v>
      </c>
      <c r="O275">
        <v>4</v>
      </c>
      <c r="P275">
        <v>41</v>
      </c>
      <c r="Q275">
        <v>1</v>
      </c>
      <c r="R275">
        <v>2</v>
      </c>
      <c r="S275">
        <v>15</v>
      </c>
    </row>
    <row r="276" spans="1:19" x14ac:dyDescent="0.35">
      <c r="A276">
        <v>7923</v>
      </c>
      <c r="B276">
        <v>345</v>
      </c>
      <c r="C276" t="str">
        <f>VLOOKUP(B276,Kunde!A:C,3,FALSE)</f>
        <v>Geschäftskunde</v>
      </c>
      <c r="D276" t="str">
        <f>VLOOKUP(O276,Produkt!$A$1:$E$5,2,FALSE)</f>
        <v>A</v>
      </c>
      <c r="E276">
        <f t="shared" si="12"/>
        <v>117</v>
      </c>
      <c r="F276">
        <f>VLOOKUP(D276,Produkt!$B$1:$C$5,2,FALSE)*Bestellungen!E276</f>
        <v>35100</v>
      </c>
      <c r="G276" s="2">
        <v>44979</v>
      </c>
      <c r="H276" s="2">
        <f t="shared" si="13"/>
        <v>44982</v>
      </c>
      <c r="I276" s="2">
        <f t="shared" si="14"/>
        <v>45039</v>
      </c>
      <c r="J276" t="str">
        <f>VLOOKUP(M276,Umfragenteilnahme!$A$2:$B$3,2,)</f>
        <v>Ja</v>
      </c>
      <c r="M276">
        <v>1</v>
      </c>
      <c r="N276">
        <v>345</v>
      </c>
      <c r="O276">
        <v>1</v>
      </c>
      <c r="P276">
        <v>117</v>
      </c>
      <c r="Q276">
        <v>8</v>
      </c>
      <c r="R276">
        <v>3</v>
      </c>
      <c r="S276">
        <v>60</v>
      </c>
    </row>
    <row r="277" spans="1:19" x14ac:dyDescent="0.35">
      <c r="A277">
        <v>7924</v>
      </c>
      <c r="B277">
        <v>638</v>
      </c>
      <c r="C277" t="str">
        <f>VLOOKUP(B277,Kunde!A:C,3,FALSE)</f>
        <v>Geschäftskunde</v>
      </c>
      <c r="D277" t="str">
        <f>VLOOKUP(O277,Produkt!$A$1:$E$5,2,FALSE)</f>
        <v>C</v>
      </c>
      <c r="E277">
        <f t="shared" si="12"/>
        <v>26</v>
      </c>
      <c r="F277">
        <f>VLOOKUP(D277,Produkt!$B$1:$C$5,2,FALSE)*Bestellungen!E277</f>
        <v>39000</v>
      </c>
      <c r="G277" s="2">
        <v>44892</v>
      </c>
      <c r="H277" s="2">
        <f t="shared" si="13"/>
        <v>44895</v>
      </c>
      <c r="I277" s="2">
        <f t="shared" si="14"/>
        <v>44896</v>
      </c>
      <c r="J277" t="str">
        <f>VLOOKUP(M277,Umfragenteilnahme!$A$2:$B$3,2,)</f>
        <v>Nein</v>
      </c>
      <c r="M277">
        <v>2</v>
      </c>
      <c r="N277">
        <v>638</v>
      </c>
      <c r="O277">
        <v>3</v>
      </c>
      <c r="P277">
        <v>26</v>
      </c>
      <c r="Q277">
        <v>10</v>
      </c>
      <c r="R277">
        <v>3</v>
      </c>
      <c r="S277">
        <v>4</v>
      </c>
    </row>
    <row r="278" spans="1:19" x14ac:dyDescent="0.35">
      <c r="A278">
        <v>7925</v>
      </c>
      <c r="B278">
        <v>742</v>
      </c>
      <c r="C278" t="str">
        <f>VLOOKUP(B278,Kunde!A:C,3,FALSE)</f>
        <v>Geschäftskunde</v>
      </c>
      <c r="D278" t="str">
        <f>VLOOKUP(O278,Produkt!$A$1:$E$5,2,FALSE)</f>
        <v>D</v>
      </c>
      <c r="E278">
        <f t="shared" si="12"/>
        <v>108</v>
      </c>
      <c r="F278">
        <f>VLOOKUP(D278,Produkt!$B$1:$C$5,2,FALSE)*Bestellungen!E278</f>
        <v>86400</v>
      </c>
      <c r="G278" s="2">
        <v>44923</v>
      </c>
      <c r="H278" s="2">
        <f t="shared" si="13"/>
        <v>44926</v>
      </c>
      <c r="I278" s="2">
        <f t="shared" si="14"/>
        <v>44948</v>
      </c>
      <c r="J278" t="str">
        <f>VLOOKUP(M278,Umfragenteilnahme!$A$2:$B$3,2,)</f>
        <v>Nein</v>
      </c>
      <c r="M278">
        <v>2</v>
      </c>
      <c r="N278">
        <v>742</v>
      </c>
      <c r="O278">
        <v>4</v>
      </c>
      <c r="P278">
        <v>108</v>
      </c>
      <c r="Q278">
        <v>4</v>
      </c>
      <c r="R278">
        <v>3</v>
      </c>
      <c r="S278">
        <v>25</v>
      </c>
    </row>
    <row r="279" spans="1:19" x14ac:dyDescent="0.35">
      <c r="A279">
        <v>7926</v>
      </c>
      <c r="B279">
        <v>383</v>
      </c>
      <c r="C279" t="str">
        <f>VLOOKUP(B279,Kunde!A:C,3,FALSE)</f>
        <v>Geschäftskunde</v>
      </c>
      <c r="D279" t="str">
        <f>VLOOKUP(O279,Produkt!$A$1:$E$5,2,FALSE)</f>
        <v>C</v>
      </c>
      <c r="E279">
        <f t="shared" si="12"/>
        <v>113</v>
      </c>
      <c r="F279">
        <f>VLOOKUP(D279,Produkt!$B$1:$C$5,2,FALSE)*Bestellungen!E279</f>
        <v>169500</v>
      </c>
      <c r="G279" s="2">
        <v>45060</v>
      </c>
      <c r="H279" s="2">
        <f t="shared" si="13"/>
        <v>45062</v>
      </c>
      <c r="I279" s="2">
        <f t="shared" si="14"/>
        <v>45064</v>
      </c>
      <c r="J279" t="str">
        <f>VLOOKUP(M279,Umfragenteilnahme!$A$2:$B$3,2,)</f>
        <v>Ja</v>
      </c>
      <c r="M279">
        <v>1</v>
      </c>
      <c r="N279">
        <v>383</v>
      </c>
      <c r="O279">
        <v>3</v>
      </c>
      <c r="P279">
        <v>113</v>
      </c>
      <c r="Q279">
        <v>4</v>
      </c>
      <c r="R279">
        <v>2</v>
      </c>
      <c r="S279">
        <v>4</v>
      </c>
    </row>
    <row r="280" spans="1:19" x14ac:dyDescent="0.35">
      <c r="A280">
        <v>7927</v>
      </c>
      <c r="B280">
        <v>68</v>
      </c>
      <c r="C280" t="str">
        <f>VLOOKUP(B280,Kunde!A:C,3,FALSE)</f>
        <v>Geschäftskunde</v>
      </c>
      <c r="D280" t="str">
        <f>VLOOKUP(O280,Produkt!$A$1:$E$5,2,FALSE)</f>
        <v>C</v>
      </c>
      <c r="E280">
        <f t="shared" si="12"/>
        <v>22</v>
      </c>
      <c r="F280">
        <f>VLOOKUP(D280,Produkt!$B$1:$C$5,2,FALSE)*Bestellungen!E280</f>
        <v>33000</v>
      </c>
      <c r="G280" s="2">
        <v>44817</v>
      </c>
      <c r="H280" s="2">
        <f t="shared" si="13"/>
        <v>44823</v>
      </c>
      <c r="I280" s="2">
        <f t="shared" si="14"/>
        <v>44841</v>
      </c>
      <c r="J280" t="str">
        <f>VLOOKUP(M280,Umfragenteilnahme!$A$2:$B$3,2,)</f>
        <v>Nein</v>
      </c>
      <c r="M280">
        <v>2</v>
      </c>
      <c r="N280">
        <v>68</v>
      </c>
      <c r="O280">
        <v>3</v>
      </c>
      <c r="P280">
        <v>22</v>
      </c>
      <c r="Q280">
        <v>1</v>
      </c>
      <c r="R280">
        <v>6</v>
      </c>
      <c r="S280">
        <v>24</v>
      </c>
    </row>
    <row r="281" spans="1:19" x14ac:dyDescent="0.35">
      <c r="A281">
        <v>7928</v>
      </c>
      <c r="B281">
        <v>94</v>
      </c>
      <c r="C281" t="str">
        <f>VLOOKUP(B281,Kunde!A:C,3,FALSE)</f>
        <v>Geschäftskunde</v>
      </c>
      <c r="D281" t="str">
        <f>VLOOKUP(O281,Produkt!$A$1:$E$5,2,FALSE)</f>
        <v>D</v>
      </c>
      <c r="E281">
        <f t="shared" si="12"/>
        <v>146</v>
      </c>
      <c r="F281">
        <f>VLOOKUP(D281,Produkt!$B$1:$C$5,2,FALSE)*Bestellungen!E281</f>
        <v>116800</v>
      </c>
      <c r="G281" s="2">
        <v>44714</v>
      </c>
      <c r="H281" s="2">
        <f t="shared" si="13"/>
        <v>44718</v>
      </c>
      <c r="I281" s="2">
        <f t="shared" si="14"/>
        <v>44718</v>
      </c>
      <c r="J281" t="str">
        <f>VLOOKUP(M281,Umfragenteilnahme!$A$2:$B$3,2,)</f>
        <v>Nein</v>
      </c>
      <c r="M281">
        <v>2</v>
      </c>
      <c r="N281">
        <v>94</v>
      </c>
      <c r="O281">
        <v>4</v>
      </c>
      <c r="P281">
        <v>146</v>
      </c>
      <c r="Q281">
        <v>3</v>
      </c>
      <c r="R281">
        <v>4</v>
      </c>
      <c r="S281">
        <v>4</v>
      </c>
    </row>
    <row r="282" spans="1:19" x14ac:dyDescent="0.35">
      <c r="A282">
        <v>7929</v>
      </c>
      <c r="B282">
        <v>650</v>
      </c>
      <c r="C282" t="str">
        <f>VLOOKUP(B282,Kunde!A:C,3,FALSE)</f>
        <v>Privatkunde</v>
      </c>
      <c r="D282" t="str">
        <f>VLOOKUP(O282,Produkt!$A$1:$E$5,2,FALSE)</f>
        <v>C</v>
      </c>
      <c r="E282">
        <f t="shared" si="12"/>
        <v>9</v>
      </c>
      <c r="F282">
        <f>VLOOKUP(D282,Produkt!$B$1:$C$5,2,FALSE)*Bestellungen!E282</f>
        <v>13500</v>
      </c>
      <c r="G282" s="2">
        <v>44720</v>
      </c>
      <c r="H282" s="2">
        <f t="shared" si="13"/>
        <v>44724</v>
      </c>
      <c r="I282" s="2">
        <f t="shared" si="14"/>
        <v>44751</v>
      </c>
      <c r="J282" t="str">
        <f>VLOOKUP(M282,Umfragenteilnahme!$A$2:$B$3,2,)</f>
        <v>Ja</v>
      </c>
      <c r="M282">
        <v>1</v>
      </c>
      <c r="N282">
        <v>650</v>
      </c>
      <c r="O282">
        <v>3</v>
      </c>
      <c r="P282">
        <v>65</v>
      </c>
      <c r="Q282">
        <v>9</v>
      </c>
      <c r="R282">
        <v>4</v>
      </c>
      <c r="S282">
        <v>31</v>
      </c>
    </row>
    <row r="283" spans="1:19" x14ac:dyDescent="0.35">
      <c r="A283">
        <v>7930</v>
      </c>
      <c r="B283">
        <v>562</v>
      </c>
      <c r="C283" t="str">
        <f>VLOOKUP(B283,Kunde!A:C,3,FALSE)</f>
        <v>Geschäftskunde</v>
      </c>
      <c r="D283" t="str">
        <f>VLOOKUP(O283,Produkt!$A$1:$E$5,2,FALSE)</f>
        <v>B</v>
      </c>
      <c r="E283">
        <f t="shared" si="12"/>
        <v>106</v>
      </c>
      <c r="F283">
        <f>VLOOKUP(D283,Produkt!$B$1:$C$5,2,FALSE)*Bestellungen!E283</f>
        <v>50880</v>
      </c>
      <c r="G283" s="2">
        <v>45038</v>
      </c>
      <c r="H283" s="2">
        <f t="shared" si="13"/>
        <v>45045</v>
      </c>
      <c r="I283" s="2">
        <f t="shared" si="14"/>
        <v>45043</v>
      </c>
      <c r="J283" t="str">
        <f>VLOOKUP(M283,Umfragenteilnahme!$A$2:$B$3,2,)</f>
        <v>Ja</v>
      </c>
      <c r="M283">
        <v>1</v>
      </c>
      <c r="N283">
        <v>562</v>
      </c>
      <c r="O283">
        <v>2</v>
      </c>
      <c r="P283">
        <v>106</v>
      </c>
      <c r="Q283">
        <v>9</v>
      </c>
      <c r="R283">
        <v>7</v>
      </c>
      <c r="S283">
        <v>5</v>
      </c>
    </row>
    <row r="284" spans="1:19" x14ac:dyDescent="0.35">
      <c r="A284">
        <v>7931</v>
      </c>
      <c r="B284">
        <v>738</v>
      </c>
      <c r="C284" t="str">
        <f>VLOOKUP(B284,Kunde!A:C,3,FALSE)</f>
        <v>Geschäftskunde</v>
      </c>
      <c r="D284" t="str">
        <f>VLOOKUP(O284,Produkt!$A$1:$E$5,2,FALSE)</f>
        <v>C</v>
      </c>
      <c r="E284">
        <f t="shared" si="12"/>
        <v>128</v>
      </c>
      <c r="F284">
        <f>VLOOKUP(D284,Produkt!$B$1:$C$5,2,FALSE)*Bestellungen!E284</f>
        <v>192000</v>
      </c>
      <c r="G284" s="2">
        <v>44959</v>
      </c>
      <c r="H284" s="2">
        <f t="shared" si="13"/>
        <v>44964</v>
      </c>
      <c r="I284" s="2">
        <f t="shared" si="14"/>
        <v>45003</v>
      </c>
      <c r="J284" t="str">
        <f>VLOOKUP(M284,Umfragenteilnahme!$A$2:$B$3,2,)</f>
        <v>Nein</v>
      </c>
      <c r="M284">
        <v>2</v>
      </c>
      <c r="N284">
        <v>738</v>
      </c>
      <c r="O284">
        <v>3</v>
      </c>
      <c r="P284">
        <v>128</v>
      </c>
      <c r="Q284">
        <v>4</v>
      </c>
      <c r="R284">
        <v>5</v>
      </c>
      <c r="S284">
        <v>44</v>
      </c>
    </row>
    <row r="285" spans="1:19" x14ac:dyDescent="0.35">
      <c r="A285">
        <v>7932</v>
      </c>
      <c r="B285">
        <v>254</v>
      </c>
      <c r="C285" t="str">
        <f>VLOOKUP(B285,Kunde!A:C,3,FALSE)</f>
        <v>Geschäftskunde</v>
      </c>
      <c r="D285" t="str">
        <f>VLOOKUP(O285,Produkt!$A$1:$E$5,2,FALSE)</f>
        <v>B</v>
      </c>
      <c r="E285">
        <f t="shared" si="12"/>
        <v>107</v>
      </c>
      <c r="F285">
        <f>VLOOKUP(D285,Produkt!$B$1:$C$5,2,FALSE)*Bestellungen!E285</f>
        <v>51360</v>
      </c>
      <c r="G285" s="2">
        <v>44992</v>
      </c>
      <c r="H285" s="2">
        <f t="shared" si="13"/>
        <v>44998</v>
      </c>
      <c r="I285" s="2">
        <f t="shared" si="14"/>
        <v>45043</v>
      </c>
      <c r="J285" t="str">
        <f>VLOOKUP(M285,Umfragenteilnahme!$A$2:$B$3,2,)</f>
        <v>Nein</v>
      </c>
      <c r="M285">
        <v>2</v>
      </c>
      <c r="N285">
        <v>254</v>
      </c>
      <c r="O285">
        <v>2</v>
      </c>
      <c r="P285">
        <v>107</v>
      </c>
      <c r="Q285">
        <v>8</v>
      </c>
      <c r="R285">
        <v>6</v>
      </c>
      <c r="S285">
        <v>51</v>
      </c>
    </row>
    <row r="286" spans="1:19" x14ac:dyDescent="0.35">
      <c r="A286">
        <v>7933</v>
      </c>
      <c r="B286">
        <v>434</v>
      </c>
      <c r="C286" t="str">
        <f>VLOOKUP(B286,Kunde!A:C,3,FALSE)</f>
        <v>Geschäftskunde</v>
      </c>
      <c r="D286" t="str">
        <f>VLOOKUP(O286,Produkt!$A$1:$E$5,2,FALSE)</f>
        <v>A</v>
      </c>
      <c r="E286">
        <f t="shared" si="12"/>
        <v>128</v>
      </c>
      <c r="F286">
        <f>VLOOKUP(D286,Produkt!$B$1:$C$5,2,FALSE)*Bestellungen!E286</f>
        <v>38400</v>
      </c>
      <c r="G286" s="2">
        <v>44748</v>
      </c>
      <c r="H286" s="2">
        <f t="shared" si="13"/>
        <v>44750</v>
      </c>
      <c r="I286" s="2">
        <f t="shared" si="14"/>
        <v>44765</v>
      </c>
      <c r="J286" t="str">
        <f>VLOOKUP(M286,Umfragenteilnahme!$A$2:$B$3,2,)</f>
        <v>Nein</v>
      </c>
      <c r="M286">
        <v>2</v>
      </c>
      <c r="N286">
        <v>434</v>
      </c>
      <c r="O286">
        <v>1</v>
      </c>
      <c r="P286">
        <v>128</v>
      </c>
      <c r="Q286">
        <v>3</v>
      </c>
      <c r="R286">
        <v>2</v>
      </c>
      <c r="S286">
        <v>17</v>
      </c>
    </row>
    <row r="287" spans="1:19" x14ac:dyDescent="0.35">
      <c r="A287">
        <v>7934</v>
      </c>
      <c r="B287">
        <v>157</v>
      </c>
      <c r="C287" t="str">
        <f>VLOOKUP(B287,Kunde!A:C,3,FALSE)</f>
        <v>Geschäftskunde</v>
      </c>
      <c r="D287" t="str">
        <f>VLOOKUP(O287,Produkt!$A$1:$E$5,2,FALSE)</f>
        <v>D</v>
      </c>
      <c r="E287">
        <f t="shared" si="12"/>
        <v>111</v>
      </c>
      <c r="F287">
        <f>VLOOKUP(D287,Produkt!$B$1:$C$5,2,FALSE)*Bestellungen!E287</f>
        <v>88800</v>
      </c>
      <c r="G287" s="2">
        <v>44907</v>
      </c>
      <c r="H287" s="2">
        <f t="shared" si="13"/>
        <v>44913</v>
      </c>
      <c r="I287" s="2">
        <f t="shared" si="14"/>
        <v>44955</v>
      </c>
      <c r="J287" t="str">
        <f>VLOOKUP(M287,Umfragenteilnahme!$A$2:$B$3,2,)</f>
        <v>Ja</v>
      </c>
      <c r="M287">
        <v>1</v>
      </c>
      <c r="N287">
        <v>157</v>
      </c>
      <c r="O287">
        <v>4</v>
      </c>
      <c r="P287">
        <v>111</v>
      </c>
      <c r="Q287">
        <v>2</v>
      </c>
      <c r="R287">
        <v>6</v>
      </c>
      <c r="S287">
        <v>48</v>
      </c>
    </row>
    <row r="288" spans="1:19" x14ac:dyDescent="0.35">
      <c r="A288">
        <v>7935</v>
      </c>
      <c r="B288">
        <v>4</v>
      </c>
      <c r="C288" t="str">
        <f>VLOOKUP(B288,Kunde!A:C,3,FALSE)</f>
        <v>Geschäftskunde</v>
      </c>
      <c r="D288" t="str">
        <f>VLOOKUP(O288,Produkt!$A$1:$E$5,2,FALSE)</f>
        <v>A</v>
      </c>
      <c r="E288">
        <f t="shared" si="12"/>
        <v>77</v>
      </c>
      <c r="F288">
        <f>VLOOKUP(D288,Produkt!$B$1:$C$5,2,FALSE)*Bestellungen!E288</f>
        <v>23100</v>
      </c>
      <c r="G288" s="2">
        <v>44906</v>
      </c>
      <c r="H288" s="2">
        <f t="shared" si="13"/>
        <v>44908</v>
      </c>
      <c r="I288" s="2">
        <f t="shared" si="14"/>
        <v>44925</v>
      </c>
      <c r="J288" t="str">
        <f>VLOOKUP(M288,Umfragenteilnahme!$A$2:$B$3,2,)</f>
        <v>Nein</v>
      </c>
      <c r="M288">
        <v>2</v>
      </c>
      <c r="N288">
        <v>4</v>
      </c>
      <c r="O288">
        <v>1</v>
      </c>
      <c r="P288">
        <v>77</v>
      </c>
      <c r="Q288">
        <v>3</v>
      </c>
      <c r="R288">
        <v>2</v>
      </c>
      <c r="S288">
        <v>19</v>
      </c>
    </row>
    <row r="289" spans="1:19" x14ac:dyDescent="0.35">
      <c r="A289">
        <v>7936</v>
      </c>
      <c r="B289">
        <v>195</v>
      </c>
      <c r="C289" t="str">
        <f>VLOOKUP(B289,Kunde!A:C,3,FALSE)</f>
        <v>Geschäftskunde</v>
      </c>
      <c r="D289" t="str">
        <f>VLOOKUP(O289,Produkt!$A$1:$E$5,2,FALSE)</f>
        <v>C</v>
      </c>
      <c r="E289">
        <f t="shared" si="12"/>
        <v>106</v>
      </c>
      <c r="F289">
        <f>VLOOKUP(D289,Produkt!$B$1:$C$5,2,FALSE)*Bestellungen!E289</f>
        <v>159000</v>
      </c>
      <c r="G289" s="2">
        <v>44948</v>
      </c>
      <c r="H289" s="2">
        <f t="shared" si="13"/>
        <v>44955</v>
      </c>
      <c r="I289" s="2">
        <f t="shared" si="14"/>
        <v>44993</v>
      </c>
      <c r="J289" t="str">
        <f>VLOOKUP(M289,Umfragenteilnahme!$A$2:$B$3,2,)</f>
        <v>Nein</v>
      </c>
      <c r="M289">
        <v>2</v>
      </c>
      <c r="N289">
        <v>195</v>
      </c>
      <c r="O289">
        <v>3</v>
      </c>
      <c r="P289">
        <v>106</v>
      </c>
      <c r="Q289">
        <v>10</v>
      </c>
      <c r="R289">
        <v>7</v>
      </c>
      <c r="S289">
        <v>45</v>
      </c>
    </row>
    <row r="290" spans="1:19" x14ac:dyDescent="0.35">
      <c r="A290">
        <v>7937</v>
      </c>
      <c r="B290">
        <v>633</v>
      </c>
      <c r="C290" t="str">
        <f>VLOOKUP(B290,Kunde!A:C,3,FALSE)</f>
        <v>Privatkunde</v>
      </c>
      <c r="D290" t="str">
        <f>VLOOKUP(O290,Produkt!$A$1:$E$5,2,FALSE)</f>
        <v>A</v>
      </c>
      <c r="E290">
        <f t="shared" si="12"/>
        <v>10</v>
      </c>
      <c r="F290">
        <f>VLOOKUP(D290,Produkt!$B$1:$C$5,2,FALSE)*Bestellungen!E290</f>
        <v>3000</v>
      </c>
      <c r="G290" s="2">
        <v>45017</v>
      </c>
      <c r="H290" s="2">
        <f t="shared" si="13"/>
        <v>45021</v>
      </c>
      <c r="I290" s="2">
        <f t="shared" si="14"/>
        <v>45051</v>
      </c>
      <c r="J290" t="str">
        <f>VLOOKUP(M290,Umfragenteilnahme!$A$2:$B$3,2,)</f>
        <v>Ja</v>
      </c>
      <c r="M290">
        <v>1</v>
      </c>
      <c r="N290">
        <v>633</v>
      </c>
      <c r="O290">
        <v>1</v>
      </c>
      <c r="P290">
        <v>66</v>
      </c>
      <c r="Q290">
        <v>10</v>
      </c>
      <c r="R290">
        <v>4</v>
      </c>
      <c r="S290">
        <v>34</v>
      </c>
    </row>
    <row r="291" spans="1:19" x14ac:dyDescent="0.35">
      <c r="A291">
        <v>7938</v>
      </c>
      <c r="B291">
        <v>126</v>
      </c>
      <c r="C291" t="str">
        <f>VLOOKUP(B291,Kunde!A:C,3,FALSE)</f>
        <v>Geschäftskunde</v>
      </c>
      <c r="D291" t="str">
        <f>VLOOKUP(O291,Produkt!$A$1:$E$5,2,FALSE)</f>
        <v>B</v>
      </c>
      <c r="E291">
        <f t="shared" si="12"/>
        <v>125</v>
      </c>
      <c r="F291">
        <f>VLOOKUP(D291,Produkt!$B$1:$C$5,2,FALSE)*Bestellungen!E291</f>
        <v>60000</v>
      </c>
      <c r="G291" s="2">
        <v>44992</v>
      </c>
      <c r="H291" s="2">
        <f t="shared" si="13"/>
        <v>44994</v>
      </c>
      <c r="I291" s="2">
        <f t="shared" si="14"/>
        <v>45034</v>
      </c>
      <c r="J291" t="str">
        <f>VLOOKUP(M291,Umfragenteilnahme!$A$2:$B$3,2,)</f>
        <v>Ja</v>
      </c>
      <c r="M291">
        <v>1</v>
      </c>
      <c r="N291">
        <v>126</v>
      </c>
      <c r="O291">
        <v>2</v>
      </c>
      <c r="P291">
        <v>125</v>
      </c>
      <c r="Q291">
        <v>3</v>
      </c>
      <c r="R291">
        <v>2</v>
      </c>
      <c r="S291">
        <v>42</v>
      </c>
    </row>
    <row r="292" spans="1:19" x14ac:dyDescent="0.35">
      <c r="A292">
        <v>7939</v>
      </c>
      <c r="B292">
        <v>765</v>
      </c>
      <c r="C292" t="str">
        <f>VLOOKUP(B292,Kunde!A:C,3,FALSE)</f>
        <v>Geschäftskunde</v>
      </c>
      <c r="D292" t="str">
        <f>VLOOKUP(O292,Produkt!$A$1:$E$5,2,FALSE)</f>
        <v>C</v>
      </c>
      <c r="E292">
        <f t="shared" si="12"/>
        <v>50</v>
      </c>
      <c r="F292">
        <f>VLOOKUP(D292,Produkt!$B$1:$C$5,2,FALSE)*Bestellungen!E292</f>
        <v>75000</v>
      </c>
      <c r="G292" s="2">
        <v>44765</v>
      </c>
      <c r="H292" s="2">
        <f t="shared" si="13"/>
        <v>44768</v>
      </c>
      <c r="I292" s="2">
        <f t="shared" si="14"/>
        <v>44802</v>
      </c>
      <c r="J292" t="str">
        <f>VLOOKUP(M292,Umfragenteilnahme!$A$2:$B$3,2,)</f>
        <v>Ja</v>
      </c>
      <c r="M292">
        <v>1</v>
      </c>
      <c r="N292">
        <v>765</v>
      </c>
      <c r="O292">
        <v>3</v>
      </c>
      <c r="P292">
        <v>50</v>
      </c>
      <c r="Q292">
        <v>3</v>
      </c>
      <c r="R292">
        <v>3</v>
      </c>
      <c r="S292">
        <v>37</v>
      </c>
    </row>
    <row r="293" spans="1:19" x14ac:dyDescent="0.35">
      <c r="A293">
        <v>7940</v>
      </c>
      <c r="B293">
        <v>413</v>
      </c>
      <c r="C293" t="str">
        <f>VLOOKUP(B293,Kunde!A:C,3,FALSE)</f>
        <v>Geschäftskunde</v>
      </c>
      <c r="D293" t="str">
        <f>VLOOKUP(O293,Produkt!$A$1:$E$5,2,FALSE)</f>
        <v>D</v>
      </c>
      <c r="E293">
        <f t="shared" si="12"/>
        <v>116</v>
      </c>
      <c r="F293">
        <f>VLOOKUP(D293,Produkt!$B$1:$C$5,2,FALSE)*Bestellungen!E293</f>
        <v>92800</v>
      </c>
      <c r="G293" s="2">
        <v>44734</v>
      </c>
      <c r="H293" s="2">
        <f t="shared" si="13"/>
        <v>44738</v>
      </c>
      <c r="I293" s="2">
        <f t="shared" si="14"/>
        <v>44786</v>
      </c>
      <c r="J293" t="str">
        <f>VLOOKUP(M293,Umfragenteilnahme!$A$2:$B$3,2,)</f>
        <v>Ja</v>
      </c>
      <c r="M293">
        <v>1</v>
      </c>
      <c r="N293">
        <v>413</v>
      </c>
      <c r="O293">
        <v>4</v>
      </c>
      <c r="P293">
        <v>116</v>
      </c>
      <c r="Q293">
        <v>1</v>
      </c>
      <c r="R293">
        <v>4</v>
      </c>
      <c r="S293">
        <v>52</v>
      </c>
    </row>
    <row r="294" spans="1:19" x14ac:dyDescent="0.35">
      <c r="A294">
        <v>7941</v>
      </c>
      <c r="B294">
        <v>48</v>
      </c>
      <c r="C294" t="str">
        <f>VLOOKUP(B294,Kunde!A:C,3,FALSE)</f>
        <v>Geschäftskunde</v>
      </c>
      <c r="D294" t="str">
        <f>VLOOKUP(O294,Produkt!$A$1:$E$5,2,FALSE)</f>
        <v>A</v>
      </c>
      <c r="E294">
        <f t="shared" si="12"/>
        <v>30</v>
      </c>
      <c r="F294">
        <f>VLOOKUP(D294,Produkt!$B$1:$C$5,2,FALSE)*Bestellungen!E294</f>
        <v>9000</v>
      </c>
      <c r="G294" s="2">
        <v>44869</v>
      </c>
      <c r="H294" s="2">
        <f t="shared" si="13"/>
        <v>44872</v>
      </c>
      <c r="I294" s="2">
        <f t="shared" si="14"/>
        <v>44914</v>
      </c>
      <c r="J294" t="str">
        <f>VLOOKUP(M294,Umfragenteilnahme!$A$2:$B$3,2,)</f>
        <v>Nein</v>
      </c>
      <c r="M294">
        <v>2</v>
      </c>
      <c r="N294">
        <v>48</v>
      </c>
      <c r="O294">
        <v>1</v>
      </c>
      <c r="P294">
        <v>30</v>
      </c>
      <c r="Q294">
        <v>7</v>
      </c>
      <c r="R294">
        <v>3</v>
      </c>
      <c r="S294">
        <v>45</v>
      </c>
    </row>
    <row r="295" spans="1:19" x14ac:dyDescent="0.35">
      <c r="A295">
        <v>7942</v>
      </c>
      <c r="B295">
        <v>272</v>
      </c>
      <c r="C295" t="str">
        <f>VLOOKUP(B295,Kunde!A:C,3,FALSE)</f>
        <v>Geschäftskunde</v>
      </c>
      <c r="D295" t="str">
        <f>VLOOKUP(O295,Produkt!$A$1:$E$5,2,FALSE)</f>
        <v>B</v>
      </c>
      <c r="E295">
        <f t="shared" si="12"/>
        <v>149</v>
      </c>
      <c r="F295">
        <f>VLOOKUP(D295,Produkt!$B$1:$C$5,2,FALSE)*Bestellungen!E295</f>
        <v>71520</v>
      </c>
      <c r="G295" s="2">
        <v>44902</v>
      </c>
      <c r="H295" s="2">
        <f t="shared" si="13"/>
        <v>44908</v>
      </c>
      <c r="I295" s="2">
        <f t="shared" si="14"/>
        <v>44909</v>
      </c>
      <c r="J295" t="str">
        <f>VLOOKUP(M295,Umfragenteilnahme!$A$2:$B$3,2,)</f>
        <v>Nein</v>
      </c>
      <c r="M295">
        <v>2</v>
      </c>
      <c r="N295">
        <v>272</v>
      </c>
      <c r="O295">
        <v>2</v>
      </c>
      <c r="P295">
        <v>149</v>
      </c>
      <c r="Q295">
        <v>9</v>
      </c>
      <c r="R295">
        <v>6</v>
      </c>
      <c r="S295">
        <v>7</v>
      </c>
    </row>
    <row r="296" spans="1:19" x14ac:dyDescent="0.35">
      <c r="A296">
        <v>7943</v>
      </c>
      <c r="B296">
        <v>457</v>
      </c>
      <c r="C296" t="str">
        <f>VLOOKUP(B296,Kunde!A:C,3,FALSE)</f>
        <v>Geschäftskunde</v>
      </c>
      <c r="D296" t="str">
        <f>VLOOKUP(O296,Produkt!$A$1:$E$5,2,FALSE)</f>
        <v>C</v>
      </c>
      <c r="E296">
        <f t="shared" si="12"/>
        <v>71</v>
      </c>
      <c r="F296">
        <f>VLOOKUP(D296,Produkt!$B$1:$C$5,2,FALSE)*Bestellungen!E296</f>
        <v>106500</v>
      </c>
      <c r="G296" s="2">
        <v>44733</v>
      </c>
      <c r="H296" s="2">
        <f t="shared" si="13"/>
        <v>44735</v>
      </c>
      <c r="I296" s="2">
        <f t="shared" si="14"/>
        <v>44758</v>
      </c>
      <c r="J296" t="str">
        <f>VLOOKUP(M296,Umfragenteilnahme!$A$2:$B$3,2,)</f>
        <v>Ja</v>
      </c>
      <c r="M296">
        <v>1</v>
      </c>
      <c r="N296">
        <v>457</v>
      </c>
      <c r="O296">
        <v>3</v>
      </c>
      <c r="P296">
        <v>71</v>
      </c>
      <c r="Q296">
        <v>7</v>
      </c>
      <c r="R296">
        <v>2</v>
      </c>
      <c r="S296">
        <v>25</v>
      </c>
    </row>
    <row r="297" spans="1:19" x14ac:dyDescent="0.35">
      <c r="A297">
        <v>7944</v>
      </c>
      <c r="B297">
        <v>21</v>
      </c>
      <c r="C297" t="str">
        <f>VLOOKUP(B297,Kunde!A:C,3,FALSE)</f>
        <v>Geschäftskunde</v>
      </c>
      <c r="D297" t="str">
        <f>VLOOKUP(O297,Produkt!$A$1:$E$5,2,FALSE)</f>
        <v>A</v>
      </c>
      <c r="E297">
        <f t="shared" si="12"/>
        <v>130</v>
      </c>
      <c r="F297">
        <f>VLOOKUP(D297,Produkt!$B$1:$C$5,2,FALSE)*Bestellungen!E297</f>
        <v>39000</v>
      </c>
      <c r="G297" s="2">
        <v>44792</v>
      </c>
      <c r="H297" s="2">
        <f t="shared" si="13"/>
        <v>44797</v>
      </c>
      <c r="I297" s="2">
        <f t="shared" si="14"/>
        <v>44816</v>
      </c>
      <c r="J297" t="str">
        <f>VLOOKUP(M297,Umfragenteilnahme!$A$2:$B$3,2,)</f>
        <v>Ja</v>
      </c>
      <c r="M297">
        <v>1</v>
      </c>
      <c r="N297">
        <v>21</v>
      </c>
      <c r="O297">
        <v>1</v>
      </c>
      <c r="P297">
        <v>130</v>
      </c>
      <c r="Q297">
        <v>7</v>
      </c>
      <c r="R297">
        <v>5</v>
      </c>
      <c r="S297">
        <v>24</v>
      </c>
    </row>
    <row r="298" spans="1:19" x14ac:dyDescent="0.35">
      <c r="A298">
        <v>7945</v>
      </c>
      <c r="B298">
        <v>287</v>
      </c>
      <c r="C298" t="str">
        <f>VLOOKUP(B298,Kunde!A:C,3,FALSE)</f>
        <v>Privatkunde</v>
      </c>
      <c r="D298" t="str">
        <f>VLOOKUP(O298,Produkt!$A$1:$E$5,2,FALSE)</f>
        <v>D</v>
      </c>
      <c r="E298">
        <f t="shared" si="12"/>
        <v>2</v>
      </c>
      <c r="F298">
        <f>VLOOKUP(D298,Produkt!$B$1:$C$5,2,FALSE)*Bestellungen!E298</f>
        <v>1600</v>
      </c>
      <c r="G298" s="2">
        <v>44833</v>
      </c>
      <c r="H298" s="2">
        <f t="shared" si="13"/>
        <v>44836</v>
      </c>
      <c r="I298" s="2">
        <f t="shared" si="14"/>
        <v>44867</v>
      </c>
      <c r="J298" t="str">
        <f>VLOOKUP(M298,Umfragenteilnahme!$A$2:$B$3,2,)</f>
        <v>Nein</v>
      </c>
      <c r="M298">
        <v>2</v>
      </c>
      <c r="N298">
        <v>287</v>
      </c>
      <c r="O298">
        <v>4</v>
      </c>
      <c r="P298">
        <v>72</v>
      </c>
      <c r="Q298">
        <v>2</v>
      </c>
      <c r="R298">
        <v>3</v>
      </c>
      <c r="S298">
        <v>34</v>
      </c>
    </row>
    <row r="299" spans="1:19" x14ac:dyDescent="0.35">
      <c r="A299">
        <v>7946</v>
      </c>
      <c r="B299">
        <v>371</v>
      </c>
      <c r="C299" t="str">
        <f>VLOOKUP(B299,Kunde!A:C,3,FALSE)</f>
        <v>Privatkunde</v>
      </c>
      <c r="D299" t="str">
        <f>VLOOKUP(O299,Produkt!$A$1:$E$5,2,FALSE)</f>
        <v>D</v>
      </c>
      <c r="E299">
        <f t="shared" si="12"/>
        <v>2</v>
      </c>
      <c r="F299">
        <f>VLOOKUP(D299,Produkt!$B$1:$C$5,2,FALSE)*Bestellungen!E299</f>
        <v>1600</v>
      </c>
      <c r="G299" s="2">
        <v>44889</v>
      </c>
      <c r="H299" s="2">
        <f t="shared" si="13"/>
        <v>44895</v>
      </c>
      <c r="I299" s="2">
        <f t="shared" si="14"/>
        <v>44894</v>
      </c>
      <c r="J299" t="str">
        <f>VLOOKUP(M299,Umfragenteilnahme!$A$2:$B$3,2,)</f>
        <v>Ja</v>
      </c>
      <c r="M299">
        <v>1</v>
      </c>
      <c r="N299">
        <v>371</v>
      </c>
      <c r="O299">
        <v>4</v>
      </c>
      <c r="P299">
        <v>26</v>
      </c>
      <c r="Q299">
        <v>2</v>
      </c>
      <c r="R299">
        <v>6</v>
      </c>
      <c r="S299">
        <v>5</v>
      </c>
    </row>
    <row r="300" spans="1:19" x14ac:dyDescent="0.35">
      <c r="A300">
        <v>7947</v>
      </c>
      <c r="B300">
        <v>88</v>
      </c>
      <c r="C300" t="str">
        <f>VLOOKUP(B300,Kunde!A:C,3,FALSE)</f>
        <v>Geschäftskunde</v>
      </c>
      <c r="D300" t="str">
        <f>VLOOKUP(O300,Produkt!$A$1:$E$5,2,FALSE)</f>
        <v>B</v>
      </c>
      <c r="E300">
        <f t="shared" si="12"/>
        <v>22</v>
      </c>
      <c r="F300">
        <f>VLOOKUP(D300,Produkt!$B$1:$C$5,2,FALSE)*Bestellungen!E300</f>
        <v>10560</v>
      </c>
      <c r="G300" s="2">
        <v>44886</v>
      </c>
      <c r="H300" s="2">
        <f t="shared" si="13"/>
        <v>44890</v>
      </c>
      <c r="I300" s="2">
        <f t="shared" si="14"/>
        <v>44915</v>
      </c>
      <c r="J300" t="str">
        <f>VLOOKUP(M300,Umfragenteilnahme!$A$2:$B$3,2,)</f>
        <v>Nein</v>
      </c>
      <c r="M300">
        <v>2</v>
      </c>
      <c r="N300">
        <v>88</v>
      </c>
      <c r="O300">
        <v>2</v>
      </c>
      <c r="P300">
        <v>22</v>
      </c>
      <c r="Q300">
        <v>1</v>
      </c>
      <c r="R300">
        <v>4</v>
      </c>
      <c r="S300">
        <v>29</v>
      </c>
    </row>
    <row r="301" spans="1:19" x14ac:dyDescent="0.35">
      <c r="A301">
        <v>7948</v>
      </c>
      <c r="B301">
        <v>372</v>
      </c>
      <c r="C301" t="str">
        <f>VLOOKUP(B301,Kunde!A:C,3,FALSE)</f>
        <v>Geschäftskunde</v>
      </c>
      <c r="D301" t="str">
        <f>VLOOKUP(O301,Produkt!$A$1:$E$5,2,FALSE)</f>
        <v>B</v>
      </c>
      <c r="E301">
        <f t="shared" si="12"/>
        <v>42</v>
      </c>
      <c r="F301">
        <f>VLOOKUP(D301,Produkt!$B$1:$C$5,2,FALSE)*Bestellungen!E301</f>
        <v>20160</v>
      </c>
      <c r="G301" s="2">
        <v>44757</v>
      </c>
      <c r="H301" s="2">
        <f t="shared" si="13"/>
        <v>44764</v>
      </c>
      <c r="I301" s="2">
        <f t="shared" si="14"/>
        <v>44805</v>
      </c>
      <c r="J301" t="str">
        <f>VLOOKUP(M301,Umfragenteilnahme!$A$2:$B$3,2,)</f>
        <v>Nein</v>
      </c>
      <c r="M301">
        <v>2</v>
      </c>
      <c r="N301">
        <v>372</v>
      </c>
      <c r="O301">
        <v>2</v>
      </c>
      <c r="P301">
        <v>42</v>
      </c>
      <c r="Q301">
        <v>5</v>
      </c>
      <c r="R301">
        <v>7</v>
      </c>
      <c r="S301">
        <v>48</v>
      </c>
    </row>
    <row r="302" spans="1:19" x14ac:dyDescent="0.35">
      <c r="A302">
        <v>7949</v>
      </c>
      <c r="B302">
        <v>758</v>
      </c>
      <c r="C302" t="str">
        <f>VLOOKUP(B302,Kunde!A:C,3,FALSE)</f>
        <v>Geschäftskunde</v>
      </c>
      <c r="D302" t="str">
        <f>VLOOKUP(O302,Produkt!$A$1:$E$5,2,FALSE)</f>
        <v>D</v>
      </c>
      <c r="E302">
        <f t="shared" si="12"/>
        <v>74</v>
      </c>
      <c r="F302">
        <f>VLOOKUP(D302,Produkt!$B$1:$C$5,2,FALSE)*Bestellungen!E302</f>
        <v>59200</v>
      </c>
      <c r="G302" s="2">
        <v>44926</v>
      </c>
      <c r="H302" s="2">
        <f t="shared" si="13"/>
        <v>44928</v>
      </c>
      <c r="I302" s="2">
        <f t="shared" si="14"/>
        <v>44968</v>
      </c>
      <c r="J302" t="str">
        <f>VLOOKUP(M302,Umfragenteilnahme!$A$2:$B$3,2,)</f>
        <v>Nein</v>
      </c>
      <c r="M302">
        <v>2</v>
      </c>
      <c r="N302">
        <v>758</v>
      </c>
      <c r="O302">
        <v>4</v>
      </c>
      <c r="P302">
        <v>74</v>
      </c>
      <c r="Q302">
        <v>4</v>
      </c>
      <c r="R302">
        <v>2</v>
      </c>
      <c r="S302">
        <v>42</v>
      </c>
    </row>
    <row r="303" spans="1:19" x14ac:dyDescent="0.35">
      <c r="A303">
        <v>7950</v>
      </c>
      <c r="B303">
        <v>299</v>
      </c>
      <c r="C303" t="str">
        <f>VLOOKUP(B303,Kunde!A:C,3,FALSE)</f>
        <v>Geschäftskunde</v>
      </c>
      <c r="D303" t="str">
        <f>VLOOKUP(O303,Produkt!$A$1:$E$5,2,FALSE)</f>
        <v>A</v>
      </c>
      <c r="E303">
        <f t="shared" si="12"/>
        <v>34</v>
      </c>
      <c r="F303">
        <f>VLOOKUP(D303,Produkt!$B$1:$C$5,2,FALSE)*Bestellungen!E303</f>
        <v>10200</v>
      </c>
      <c r="G303" s="2">
        <v>44917</v>
      </c>
      <c r="H303" s="2">
        <f t="shared" si="13"/>
        <v>44920</v>
      </c>
      <c r="I303" s="2">
        <f t="shared" si="14"/>
        <v>44950</v>
      </c>
      <c r="J303" t="str">
        <f>VLOOKUP(M303,Umfragenteilnahme!$A$2:$B$3,2,)</f>
        <v>Ja</v>
      </c>
      <c r="M303">
        <v>1</v>
      </c>
      <c r="N303">
        <v>299</v>
      </c>
      <c r="O303">
        <v>1</v>
      </c>
      <c r="P303">
        <v>34</v>
      </c>
      <c r="Q303">
        <v>4</v>
      </c>
      <c r="R303">
        <v>3</v>
      </c>
      <c r="S303">
        <v>33</v>
      </c>
    </row>
    <row r="304" spans="1:19" x14ac:dyDescent="0.35">
      <c r="A304">
        <v>7951</v>
      </c>
      <c r="B304">
        <v>512</v>
      </c>
      <c r="C304" t="str">
        <f>VLOOKUP(B304,Kunde!A:C,3,FALSE)</f>
        <v>Geschäftskunde</v>
      </c>
      <c r="D304" t="str">
        <f>VLOOKUP(O304,Produkt!$A$1:$E$5,2,FALSE)</f>
        <v>A</v>
      </c>
      <c r="E304">
        <f t="shared" si="12"/>
        <v>20</v>
      </c>
      <c r="F304">
        <f>VLOOKUP(D304,Produkt!$B$1:$C$5,2,FALSE)*Bestellungen!E304</f>
        <v>6000</v>
      </c>
      <c r="G304" s="2">
        <v>44766</v>
      </c>
      <c r="H304" s="2">
        <f t="shared" si="13"/>
        <v>44769</v>
      </c>
      <c r="I304" s="2">
        <f t="shared" si="14"/>
        <v>44805</v>
      </c>
      <c r="J304" t="str">
        <f>VLOOKUP(M304,Umfragenteilnahme!$A$2:$B$3,2,)</f>
        <v>Ja</v>
      </c>
      <c r="M304">
        <v>1</v>
      </c>
      <c r="N304">
        <v>512</v>
      </c>
      <c r="O304">
        <v>1</v>
      </c>
      <c r="P304">
        <v>20</v>
      </c>
      <c r="Q304">
        <v>3</v>
      </c>
      <c r="R304">
        <v>3</v>
      </c>
      <c r="S304">
        <v>39</v>
      </c>
    </row>
    <row r="305" spans="1:19" x14ac:dyDescent="0.35">
      <c r="A305">
        <v>7952</v>
      </c>
      <c r="B305">
        <v>265</v>
      </c>
      <c r="C305" t="str">
        <f>VLOOKUP(B305,Kunde!A:C,3,FALSE)</f>
        <v>Geschäftskunde</v>
      </c>
      <c r="D305" t="str">
        <f>VLOOKUP(O305,Produkt!$A$1:$E$5,2,FALSE)</f>
        <v>C</v>
      </c>
      <c r="E305">
        <f t="shared" si="12"/>
        <v>15</v>
      </c>
      <c r="F305">
        <f>VLOOKUP(D305,Produkt!$B$1:$C$5,2,FALSE)*Bestellungen!E305</f>
        <v>22500</v>
      </c>
      <c r="G305" s="2">
        <v>44829</v>
      </c>
      <c r="H305" s="2">
        <f t="shared" si="13"/>
        <v>44832</v>
      </c>
      <c r="I305" s="2">
        <f t="shared" si="14"/>
        <v>44887</v>
      </c>
      <c r="J305" t="str">
        <f>VLOOKUP(M305,Umfragenteilnahme!$A$2:$B$3,2,)</f>
        <v>Nein</v>
      </c>
      <c r="M305">
        <v>2</v>
      </c>
      <c r="N305">
        <v>265</v>
      </c>
      <c r="O305">
        <v>3</v>
      </c>
      <c r="P305">
        <v>15</v>
      </c>
      <c r="Q305">
        <v>8</v>
      </c>
      <c r="R305">
        <v>3</v>
      </c>
      <c r="S305">
        <v>58</v>
      </c>
    </row>
    <row r="306" spans="1:19" x14ac:dyDescent="0.35">
      <c r="A306">
        <v>7953</v>
      </c>
      <c r="B306">
        <v>382</v>
      </c>
      <c r="C306" t="str">
        <f>VLOOKUP(B306,Kunde!A:C,3,FALSE)</f>
        <v>Geschäftskunde</v>
      </c>
      <c r="D306" t="str">
        <f>VLOOKUP(O306,Produkt!$A$1:$E$5,2,FALSE)</f>
        <v>D</v>
      </c>
      <c r="E306">
        <f t="shared" si="12"/>
        <v>146</v>
      </c>
      <c r="F306">
        <f>VLOOKUP(D306,Produkt!$B$1:$C$5,2,FALSE)*Bestellungen!E306</f>
        <v>116800</v>
      </c>
      <c r="G306" s="2">
        <v>44945</v>
      </c>
      <c r="H306" s="2">
        <f t="shared" si="13"/>
        <v>44950</v>
      </c>
      <c r="I306" s="2">
        <f t="shared" si="14"/>
        <v>44999</v>
      </c>
      <c r="J306" t="str">
        <f>VLOOKUP(M306,Umfragenteilnahme!$A$2:$B$3,2,)</f>
        <v>Nein</v>
      </c>
      <c r="M306">
        <v>2</v>
      </c>
      <c r="N306">
        <v>382</v>
      </c>
      <c r="O306">
        <v>4</v>
      </c>
      <c r="P306">
        <v>146</v>
      </c>
      <c r="Q306">
        <v>3</v>
      </c>
      <c r="R306">
        <v>5</v>
      </c>
      <c r="S306">
        <v>54</v>
      </c>
    </row>
    <row r="307" spans="1:19" x14ac:dyDescent="0.35">
      <c r="A307">
        <v>7954</v>
      </c>
      <c r="B307">
        <v>387</v>
      </c>
      <c r="C307" t="str">
        <f>VLOOKUP(B307,Kunde!A:C,3,FALSE)</f>
        <v>Geschäftskunde</v>
      </c>
      <c r="D307" t="str">
        <f>VLOOKUP(O307,Produkt!$A$1:$E$5,2,FALSE)</f>
        <v>B</v>
      </c>
      <c r="E307">
        <f t="shared" si="12"/>
        <v>124</v>
      </c>
      <c r="F307">
        <f>VLOOKUP(D307,Produkt!$B$1:$C$5,2,FALSE)*Bestellungen!E307</f>
        <v>59520</v>
      </c>
      <c r="G307" s="2">
        <v>44753</v>
      </c>
      <c r="H307" s="2">
        <f t="shared" si="13"/>
        <v>44755</v>
      </c>
      <c r="I307" s="2">
        <f t="shared" si="14"/>
        <v>44811</v>
      </c>
      <c r="J307" t="str">
        <f>VLOOKUP(M307,Umfragenteilnahme!$A$2:$B$3,2,)</f>
        <v>Nein</v>
      </c>
      <c r="M307">
        <v>2</v>
      </c>
      <c r="N307">
        <v>387</v>
      </c>
      <c r="O307">
        <v>2</v>
      </c>
      <c r="P307">
        <v>124</v>
      </c>
      <c r="Q307">
        <v>1</v>
      </c>
      <c r="R307">
        <v>2</v>
      </c>
      <c r="S307">
        <v>58</v>
      </c>
    </row>
    <row r="308" spans="1:19" x14ac:dyDescent="0.35">
      <c r="A308">
        <v>7955</v>
      </c>
      <c r="B308">
        <v>42</v>
      </c>
      <c r="C308" t="str">
        <f>VLOOKUP(B308,Kunde!A:C,3,FALSE)</f>
        <v>Geschäftskunde</v>
      </c>
      <c r="D308" t="str">
        <f>VLOOKUP(O308,Produkt!$A$1:$E$5,2,FALSE)</f>
        <v>D</v>
      </c>
      <c r="E308">
        <f t="shared" si="12"/>
        <v>60</v>
      </c>
      <c r="F308">
        <f>VLOOKUP(D308,Produkt!$B$1:$C$5,2,FALSE)*Bestellungen!E308</f>
        <v>48000</v>
      </c>
      <c r="G308" s="2">
        <v>44819</v>
      </c>
      <c r="H308" s="2">
        <f t="shared" si="13"/>
        <v>44821</v>
      </c>
      <c r="I308" s="2">
        <f t="shared" si="14"/>
        <v>44845</v>
      </c>
      <c r="J308" t="str">
        <f>VLOOKUP(M308,Umfragenteilnahme!$A$2:$B$3,2,)</f>
        <v>Nein</v>
      </c>
      <c r="M308">
        <v>2</v>
      </c>
      <c r="N308">
        <v>42</v>
      </c>
      <c r="O308">
        <v>4</v>
      </c>
      <c r="P308">
        <v>60</v>
      </c>
      <c r="Q308">
        <v>2</v>
      </c>
      <c r="R308">
        <v>2</v>
      </c>
      <c r="S308">
        <v>26</v>
      </c>
    </row>
    <row r="309" spans="1:19" x14ac:dyDescent="0.35">
      <c r="A309">
        <v>7956</v>
      </c>
      <c r="B309">
        <v>22</v>
      </c>
      <c r="C309" t="str">
        <f>VLOOKUP(B309,Kunde!A:C,3,FALSE)</f>
        <v>Geschäftskunde</v>
      </c>
      <c r="D309" t="str">
        <f>VLOOKUP(O309,Produkt!$A$1:$E$5,2,FALSE)</f>
        <v>C</v>
      </c>
      <c r="E309">
        <f t="shared" si="12"/>
        <v>134</v>
      </c>
      <c r="F309">
        <f>VLOOKUP(D309,Produkt!$B$1:$C$5,2,FALSE)*Bestellungen!E309</f>
        <v>201000</v>
      </c>
      <c r="G309" s="2">
        <v>44751</v>
      </c>
      <c r="H309" s="2">
        <f t="shared" si="13"/>
        <v>44758</v>
      </c>
      <c r="I309" s="2">
        <f t="shared" si="14"/>
        <v>44775</v>
      </c>
      <c r="J309" t="str">
        <f>VLOOKUP(M309,Umfragenteilnahme!$A$2:$B$3,2,)</f>
        <v>Ja</v>
      </c>
      <c r="M309">
        <v>1</v>
      </c>
      <c r="N309">
        <v>22</v>
      </c>
      <c r="O309">
        <v>3</v>
      </c>
      <c r="P309">
        <v>134</v>
      </c>
      <c r="Q309">
        <v>8</v>
      </c>
      <c r="R309">
        <v>7</v>
      </c>
      <c r="S309">
        <v>24</v>
      </c>
    </row>
    <row r="310" spans="1:19" x14ac:dyDescent="0.35">
      <c r="A310">
        <v>7957</v>
      </c>
      <c r="B310">
        <v>587</v>
      </c>
      <c r="C310" t="str">
        <f>VLOOKUP(B310,Kunde!A:C,3,FALSE)</f>
        <v>Geschäftskunde</v>
      </c>
      <c r="D310" t="str">
        <f>VLOOKUP(O310,Produkt!$A$1:$E$5,2,FALSE)</f>
        <v>D</v>
      </c>
      <c r="E310">
        <f t="shared" si="12"/>
        <v>69</v>
      </c>
      <c r="F310">
        <f>VLOOKUP(D310,Produkt!$B$1:$C$5,2,FALSE)*Bestellungen!E310</f>
        <v>55200</v>
      </c>
      <c r="G310" s="2">
        <v>44949</v>
      </c>
      <c r="H310" s="2">
        <f t="shared" si="13"/>
        <v>44951</v>
      </c>
      <c r="I310" s="2">
        <f t="shared" si="14"/>
        <v>44968</v>
      </c>
      <c r="J310" t="str">
        <f>VLOOKUP(M310,Umfragenteilnahme!$A$2:$B$3,2,)</f>
        <v>Nein</v>
      </c>
      <c r="M310">
        <v>2</v>
      </c>
      <c r="N310">
        <v>587</v>
      </c>
      <c r="O310">
        <v>4</v>
      </c>
      <c r="P310">
        <v>69</v>
      </c>
      <c r="Q310">
        <v>5</v>
      </c>
      <c r="R310">
        <v>2</v>
      </c>
      <c r="S310">
        <v>19</v>
      </c>
    </row>
    <row r="311" spans="1:19" x14ac:dyDescent="0.35">
      <c r="A311">
        <v>7958</v>
      </c>
      <c r="B311">
        <v>39</v>
      </c>
      <c r="C311" t="str">
        <f>VLOOKUP(B311,Kunde!A:C,3,FALSE)</f>
        <v>Geschäftskunde</v>
      </c>
      <c r="D311" t="str">
        <f>VLOOKUP(O311,Produkt!$A$1:$E$5,2,FALSE)</f>
        <v>B</v>
      </c>
      <c r="E311">
        <f t="shared" si="12"/>
        <v>86</v>
      </c>
      <c r="F311">
        <f>VLOOKUP(D311,Produkt!$B$1:$C$5,2,FALSE)*Bestellungen!E311</f>
        <v>41280</v>
      </c>
      <c r="G311" s="2">
        <v>44800</v>
      </c>
      <c r="H311" s="2">
        <f t="shared" si="13"/>
        <v>44803</v>
      </c>
      <c r="I311" s="2">
        <f t="shared" si="14"/>
        <v>44818</v>
      </c>
      <c r="J311" t="str">
        <f>VLOOKUP(M311,Umfragenteilnahme!$A$2:$B$3,2,)</f>
        <v>Nein</v>
      </c>
      <c r="M311">
        <v>2</v>
      </c>
      <c r="N311">
        <v>39</v>
      </c>
      <c r="O311">
        <v>2</v>
      </c>
      <c r="P311">
        <v>86</v>
      </c>
      <c r="Q311">
        <v>4</v>
      </c>
      <c r="R311">
        <v>3</v>
      </c>
      <c r="S311">
        <v>18</v>
      </c>
    </row>
    <row r="312" spans="1:19" x14ac:dyDescent="0.35">
      <c r="A312">
        <v>7959</v>
      </c>
      <c r="B312">
        <v>180</v>
      </c>
      <c r="C312" t="str">
        <f>VLOOKUP(B312,Kunde!A:C,3,FALSE)</f>
        <v>Geschäftskunde</v>
      </c>
      <c r="D312" t="str">
        <f>VLOOKUP(O312,Produkt!$A$1:$E$5,2,FALSE)</f>
        <v>C</v>
      </c>
      <c r="E312">
        <f t="shared" si="12"/>
        <v>104</v>
      </c>
      <c r="F312">
        <f>VLOOKUP(D312,Produkt!$B$1:$C$5,2,FALSE)*Bestellungen!E312</f>
        <v>156000</v>
      </c>
      <c r="G312" s="2">
        <v>44973</v>
      </c>
      <c r="H312" s="2">
        <f t="shared" si="13"/>
        <v>44980</v>
      </c>
      <c r="I312" s="2">
        <f t="shared" si="14"/>
        <v>45024</v>
      </c>
      <c r="J312" t="str">
        <f>VLOOKUP(M312,Umfragenteilnahme!$A$2:$B$3,2,)</f>
        <v>Ja</v>
      </c>
      <c r="M312">
        <v>1</v>
      </c>
      <c r="N312">
        <v>180</v>
      </c>
      <c r="O312">
        <v>3</v>
      </c>
      <c r="P312">
        <v>104</v>
      </c>
      <c r="Q312">
        <v>8</v>
      </c>
      <c r="R312">
        <v>7</v>
      </c>
      <c r="S312">
        <v>51</v>
      </c>
    </row>
    <row r="313" spans="1:19" x14ac:dyDescent="0.35">
      <c r="A313">
        <v>7960</v>
      </c>
      <c r="B313">
        <v>151</v>
      </c>
      <c r="C313" t="str">
        <f>VLOOKUP(B313,Kunde!A:C,3,FALSE)</f>
        <v>Geschäftskunde</v>
      </c>
      <c r="D313" t="str">
        <f>VLOOKUP(O313,Produkt!$A$1:$E$5,2,FALSE)</f>
        <v>B</v>
      </c>
      <c r="E313">
        <f t="shared" si="12"/>
        <v>40</v>
      </c>
      <c r="F313">
        <f>VLOOKUP(D313,Produkt!$B$1:$C$5,2,FALSE)*Bestellungen!E313</f>
        <v>19200</v>
      </c>
      <c r="G313" s="2">
        <v>45064</v>
      </c>
      <c r="H313" s="2">
        <f t="shared" si="13"/>
        <v>45071</v>
      </c>
      <c r="I313" s="2">
        <f t="shared" si="14"/>
        <v>45069</v>
      </c>
      <c r="J313" t="str">
        <f>VLOOKUP(M313,Umfragenteilnahme!$A$2:$B$3,2,)</f>
        <v>Nein</v>
      </c>
      <c r="M313">
        <v>2</v>
      </c>
      <c r="N313">
        <v>151</v>
      </c>
      <c r="O313">
        <v>2</v>
      </c>
      <c r="P313">
        <v>40</v>
      </c>
      <c r="Q313">
        <v>9</v>
      </c>
      <c r="R313">
        <v>7</v>
      </c>
      <c r="S313">
        <v>5</v>
      </c>
    </row>
    <row r="314" spans="1:19" x14ac:dyDescent="0.35">
      <c r="A314">
        <v>7961</v>
      </c>
      <c r="B314">
        <v>9</v>
      </c>
      <c r="C314" t="str">
        <f>VLOOKUP(B314,Kunde!A:C,3,FALSE)</f>
        <v>Geschäftskunde</v>
      </c>
      <c r="D314" t="str">
        <f>VLOOKUP(O314,Produkt!$A$1:$E$5,2,FALSE)</f>
        <v>C</v>
      </c>
      <c r="E314">
        <f t="shared" si="12"/>
        <v>112</v>
      </c>
      <c r="F314">
        <f>VLOOKUP(D314,Produkt!$B$1:$C$5,2,FALSE)*Bestellungen!E314</f>
        <v>168000</v>
      </c>
      <c r="G314" s="2">
        <v>45077</v>
      </c>
      <c r="H314" s="2">
        <f t="shared" si="13"/>
        <v>45082</v>
      </c>
      <c r="I314" s="2">
        <f t="shared" si="14"/>
        <v>45137</v>
      </c>
      <c r="J314" t="str">
        <f>VLOOKUP(M314,Umfragenteilnahme!$A$2:$B$3,2,)</f>
        <v>Nein</v>
      </c>
      <c r="M314">
        <v>2</v>
      </c>
      <c r="N314">
        <v>9</v>
      </c>
      <c r="O314">
        <v>3</v>
      </c>
      <c r="P314">
        <v>112</v>
      </c>
      <c r="Q314">
        <v>3</v>
      </c>
      <c r="R314">
        <v>5</v>
      </c>
      <c r="S314">
        <v>60</v>
      </c>
    </row>
    <row r="315" spans="1:19" x14ac:dyDescent="0.35">
      <c r="A315">
        <v>7962</v>
      </c>
      <c r="B315">
        <v>474</v>
      </c>
      <c r="C315" t="str">
        <f>VLOOKUP(B315,Kunde!A:C,3,FALSE)</f>
        <v>Geschäftskunde</v>
      </c>
      <c r="D315" t="str">
        <f>VLOOKUP(O315,Produkt!$A$1:$E$5,2,FALSE)</f>
        <v>A</v>
      </c>
      <c r="E315">
        <f t="shared" si="12"/>
        <v>89</v>
      </c>
      <c r="F315">
        <f>VLOOKUP(D315,Produkt!$B$1:$C$5,2,FALSE)*Bestellungen!E315</f>
        <v>26700</v>
      </c>
      <c r="G315" s="2">
        <v>44917</v>
      </c>
      <c r="H315" s="2">
        <f t="shared" si="13"/>
        <v>44922</v>
      </c>
      <c r="I315" s="2">
        <f t="shared" si="14"/>
        <v>44926</v>
      </c>
      <c r="J315" t="str">
        <f>VLOOKUP(M315,Umfragenteilnahme!$A$2:$B$3,2,)</f>
        <v>Ja</v>
      </c>
      <c r="M315">
        <v>1</v>
      </c>
      <c r="N315">
        <v>474</v>
      </c>
      <c r="O315">
        <v>1</v>
      </c>
      <c r="P315">
        <v>89</v>
      </c>
      <c r="Q315">
        <v>9</v>
      </c>
      <c r="R315">
        <v>5</v>
      </c>
      <c r="S315">
        <v>9</v>
      </c>
    </row>
    <row r="316" spans="1:19" x14ac:dyDescent="0.35">
      <c r="A316">
        <v>7963</v>
      </c>
      <c r="B316">
        <v>769</v>
      </c>
      <c r="C316" t="str">
        <f>VLOOKUP(B316,Kunde!A:C,3,FALSE)</f>
        <v>Geschäftskunde</v>
      </c>
      <c r="D316" t="str">
        <f>VLOOKUP(O316,Produkt!$A$1:$E$5,2,FALSE)</f>
        <v>C</v>
      </c>
      <c r="E316">
        <f t="shared" si="12"/>
        <v>141</v>
      </c>
      <c r="F316">
        <f>VLOOKUP(D316,Produkt!$B$1:$C$5,2,FALSE)*Bestellungen!E316</f>
        <v>211500</v>
      </c>
      <c r="G316" s="2">
        <v>44830</v>
      </c>
      <c r="H316" s="2">
        <f t="shared" si="13"/>
        <v>44836</v>
      </c>
      <c r="I316" s="2">
        <f t="shared" si="14"/>
        <v>44857</v>
      </c>
      <c r="J316" t="str">
        <f>VLOOKUP(M316,Umfragenteilnahme!$A$2:$B$3,2,)</f>
        <v>Nein</v>
      </c>
      <c r="M316">
        <v>2</v>
      </c>
      <c r="N316">
        <v>769</v>
      </c>
      <c r="O316">
        <v>3</v>
      </c>
      <c r="P316">
        <v>141</v>
      </c>
      <c r="Q316">
        <v>3</v>
      </c>
      <c r="R316">
        <v>6</v>
      </c>
      <c r="S316">
        <v>27</v>
      </c>
    </row>
    <row r="317" spans="1:19" x14ac:dyDescent="0.35">
      <c r="A317">
        <v>7964</v>
      </c>
      <c r="B317">
        <v>341</v>
      </c>
      <c r="C317" t="str">
        <f>VLOOKUP(B317,Kunde!A:C,3,FALSE)</f>
        <v>Privatkunde</v>
      </c>
      <c r="D317" t="str">
        <f>VLOOKUP(O317,Produkt!$A$1:$E$5,2,FALSE)</f>
        <v>B</v>
      </c>
      <c r="E317">
        <f t="shared" si="12"/>
        <v>7</v>
      </c>
      <c r="F317">
        <f>VLOOKUP(D317,Produkt!$B$1:$C$5,2,FALSE)*Bestellungen!E317</f>
        <v>3360</v>
      </c>
      <c r="G317" s="2">
        <v>44978</v>
      </c>
      <c r="H317" s="2">
        <f t="shared" si="13"/>
        <v>44983</v>
      </c>
      <c r="I317" s="2">
        <f t="shared" si="14"/>
        <v>45000</v>
      </c>
      <c r="J317" t="str">
        <f>VLOOKUP(M317,Umfragenteilnahme!$A$2:$B$3,2,)</f>
        <v>Ja</v>
      </c>
      <c r="M317">
        <v>1</v>
      </c>
      <c r="N317">
        <v>341</v>
      </c>
      <c r="O317">
        <v>2</v>
      </c>
      <c r="P317">
        <v>20</v>
      </c>
      <c r="Q317">
        <v>7</v>
      </c>
      <c r="R317">
        <v>5</v>
      </c>
      <c r="S317">
        <v>22</v>
      </c>
    </row>
    <row r="318" spans="1:19" x14ac:dyDescent="0.35">
      <c r="A318">
        <v>7965</v>
      </c>
      <c r="B318">
        <v>108</v>
      </c>
      <c r="C318" t="str">
        <f>VLOOKUP(B318,Kunde!A:C,3,FALSE)</f>
        <v>Privatkunde</v>
      </c>
      <c r="D318" t="str">
        <f>VLOOKUP(O318,Produkt!$A$1:$E$5,2,FALSE)</f>
        <v>C</v>
      </c>
      <c r="E318">
        <f t="shared" si="12"/>
        <v>2</v>
      </c>
      <c r="F318">
        <f>VLOOKUP(D318,Produkt!$B$1:$C$5,2,FALSE)*Bestellungen!E318</f>
        <v>3000</v>
      </c>
      <c r="G318" s="2">
        <v>44778</v>
      </c>
      <c r="H318" s="2">
        <f t="shared" si="13"/>
        <v>44782</v>
      </c>
      <c r="I318" s="2">
        <f t="shared" si="14"/>
        <v>44783</v>
      </c>
      <c r="J318" t="str">
        <f>VLOOKUP(M318,Umfragenteilnahme!$A$2:$B$3,2,)</f>
        <v>Ja</v>
      </c>
      <c r="M318">
        <v>1</v>
      </c>
      <c r="N318">
        <v>108</v>
      </c>
      <c r="O318">
        <v>3</v>
      </c>
      <c r="P318">
        <v>147</v>
      </c>
      <c r="Q318">
        <v>2</v>
      </c>
      <c r="R318">
        <v>4</v>
      </c>
      <c r="S318">
        <v>5</v>
      </c>
    </row>
    <row r="319" spans="1:19" x14ac:dyDescent="0.35">
      <c r="A319">
        <v>7966</v>
      </c>
      <c r="B319">
        <v>68</v>
      </c>
      <c r="C319" t="str">
        <f>VLOOKUP(B319,Kunde!A:C,3,FALSE)</f>
        <v>Geschäftskunde</v>
      </c>
      <c r="D319" t="str">
        <f>VLOOKUP(O319,Produkt!$A$1:$E$5,2,FALSE)</f>
        <v>C</v>
      </c>
      <c r="E319">
        <f t="shared" si="12"/>
        <v>127</v>
      </c>
      <c r="F319">
        <f>VLOOKUP(D319,Produkt!$B$1:$C$5,2,FALSE)*Bestellungen!E319</f>
        <v>190500</v>
      </c>
      <c r="G319" s="2">
        <v>45003</v>
      </c>
      <c r="H319" s="2">
        <f t="shared" si="13"/>
        <v>45010</v>
      </c>
      <c r="I319" s="2">
        <f t="shared" si="14"/>
        <v>45008</v>
      </c>
      <c r="J319" t="str">
        <f>VLOOKUP(M319,Umfragenteilnahme!$A$2:$B$3,2,)</f>
        <v>Ja</v>
      </c>
      <c r="M319">
        <v>1</v>
      </c>
      <c r="N319">
        <v>68</v>
      </c>
      <c r="O319">
        <v>3</v>
      </c>
      <c r="P319">
        <v>127</v>
      </c>
      <c r="Q319">
        <v>9</v>
      </c>
      <c r="R319">
        <v>7</v>
      </c>
      <c r="S319">
        <v>5</v>
      </c>
    </row>
    <row r="320" spans="1:19" x14ac:dyDescent="0.35">
      <c r="A320">
        <v>7967</v>
      </c>
      <c r="B320">
        <v>425</v>
      </c>
      <c r="C320" t="str">
        <f>VLOOKUP(B320,Kunde!A:C,3,FALSE)</f>
        <v>Geschäftskunde</v>
      </c>
      <c r="D320" t="str">
        <f>VLOOKUP(O320,Produkt!$A$1:$E$5,2,FALSE)</f>
        <v>C</v>
      </c>
      <c r="E320">
        <f t="shared" si="12"/>
        <v>74</v>
      </c>
      <c r="F320">
        <f>VLOOKUP(D320,Produkt!$B$1:$C$5,2,FALSE)*Bestellungen!E320</f>
        <v>111000</v>
      </c>
      <c r="G320" s="2">
        <v>44818</v>
      </c>
      <c r="H320" s="2">
        <f t="shared" si="13"/>
        <v>44822</v>
      </c>
      <c r="I320" s="2">
        <f t="shared" si="14"/>
        <v>44840</v>
      </c>
      <c r="J320" t="str">
        <f>VLOOKUP(M320,Umfragenteilnahme!$A$2:$B$3,2,)</f>
        <v>Ja</v>
      </c>
      <c r="M320">
        <v>1</v>
      </c>
      <c r="N320">
        <v>425</v>
      </c>
      <c r="O320">
        <v>3</v>
      </c>
      <c r="P320">
        <v>74</v>
      </c>
      <c r="Q320">
        <v>5</v>
      </c>
      <c r="R320">
        <v>4</v>
      </c>
      <c r="S320">
        <v>22</v>
      </c>
    </row>
    <row r="321" spans="1:19" x14ac:dyDescent="0.35">
      <c r="A321">
        <v>7968</v>
      </c>
      <c r="B321">
        <v>55</v>
      </c>
      <c r="C321" t="str">
        <f>VLOOKUP(B321,Kunde!A:C,3,FALSE)</f>
        <v>Geschäftskunde</v>
      </c>
      <c r="D321" t="str">
        <f>VLOOKUP(O321,Produkt!$A$1:$E$5,2,FALSE)</f>
        <v>C</v>
      </c>
      <c r="E321">
        <f t="shared" si="12"/>
        <v>137</v>
      </c>
      <c r="F321">
        <f>VLOOKUP(D321,Produkt!$B$1:$C$5,2,FALSE)*Bestellungen!E321</f>
        <v>205500</v>
      </c>
      <c r="G321" s="2">
        <v>44944</v>
      </c>
      <c r="H321" s="2">
        <f t="shared" si="13"/>
        <v>44949</v>
      </c>
      <c r="I321" s="2">
        <f t="shared" si="14"/>
        <v>44962</v>
      </c>
      <c r="J321" t="str">
        <f>VLOOKUP(M321,Umfragenteilnahme!$A$2:$B$3,2,)</f>
        <v>Nein</v>
      </c>
      <c r="M321">
        <v>2</v>
      </c>
      <c r="N321">
        <v>55</v>
      </c>
      <c r="O321">
        <v>3</v>
      </c>
      <c r="P321">
        <v>137</v>
      </c>
      <c r="Q321">
        <v>1</v>
      </c>
      <c r="R321">
        <v>5</v>
      </c>
      <c r="S321">
        <v>18</v>
      </c>
    </row>
    <row r="322" spans="1:19" x14ac:dyDescent="0.35">
      <c r="A322">
        <v>7969</v>
      </c>
      <c r="B322">
        <v>140</v>
      </c>
      <c r="C322" t="str">
        <f>VLOOKUP(B322,Kunde!A:C,3,FALSE)</f>
        <v>Geschäftskunde</v>
      </c>
      <c r="D322" t="str">
        <f>VLOOKUP(O322,Produkt!$A$1:$E$5,2,FALSE)</f>
        <v>A</v>
      </c>
      <c r="E322">
        <f t="shared" si="12"/>
        <v>115</v>
      </c>
      <c r="F322">
        <f>VLOOKUP(D322,Produkt!$B$1:$C$5,2,FALSE)*Bestellungen!E322</f>
        <v>34500</v>
      </c>
      <c r="G322" s="2">
        <v>45063</v>
      </c>
      <c r="H322" s="2">
        <f t="shared" si="13"/>
        <v>45070</v>
      </c>
      <c r="I322" s="2">
        <f t="shared" si="14"/>
        <v>45083</v>
      </c>
      <c r="J322" t="str">
        <f>VLOOKUP(M322,Umfragenteilnahme!$A$2:$B$3,2,)</f>
        <v>Ja</v>
      </c>
      <c r="M322">
        <v>1</v>
      </c>
      <c r="N322">
        <v>140</v>
      </c>
      <c r="O322">
        <v>1</v>
      </c>
      <c r="P322">
        <v>115</v>
      </c>
      <c r="Q322">
        <v>2</v>
      </c>
      <c r="R322">
        <v>7</v>
      </c>
      <c r="S322">
        <v>20</v>
      </c>
    </row>
    <row r="323" spans="1:19" x14ac:dyDescent="0.35">
      <c r="A323">
        <v>7970</v>
      </c>
      <c r="B323">
        <v>411</v>
      </c>
      <c r="C323" t="str">
        <f>VLOOKUP(B323,Kunde!A:C,3,FALSE)</f>
        <v>Geschäftskunde</v>
      </c>
      <c r="D323" t="str">
        <f>VLOOKUP(O323,Produkt!$A$1:$E$5,2,FALSE)</f>
        <v>A</v>
      </c>
      <c r="E323">
        <f t="shared" ref="E323:E386" si="15">IF(C323="Geschäftskunde",P323,Q323)</f>
        <v>42</v>
      </c>
      <c r="F323">
        <f>VLOOKUP(D323,Produkt!$B$1:$C$5,2,FALSE)*Bestellungen!E323</f>
        <v>12600</v>
      </c>
      <c r="G323" s="2">
        <v>45060</v>
      </c>
      <c r="H323" s="2">
        <f t="shared" ref="H323:H386" si="16">G323+R323</f>
        <v>45066</v>
      </c>
      <c r="I323" s="2">
        <f t="shared" ref="I323:I386" si="17">G323+S323</f>
        <v>45103</v>
      </c>
      <c r="J323" t="str">
        <f>VLOOKUP(M323,Umfragenteilnahme!$A$2:$B$3,2,)</f>
        <v>Nein</v>
      </c>
      <c r="M323">
        <v>2</v>
      </c>
      <c r="N323">
        <v>411</v>
      </c>
      <c r="O323">
        <v>1</v>
      </c>
      <c r="P323">
        <v>42</v>
      </c>
      <c r="Q323">
        <v>4</v>
      </c>
      <c r="R323">
        <v>6</v>
      </c>
      <c r="S323">
        <v>43</v>
      </c>
    </row>
    <row r="324" spans="1:19" x14ac:dyDescent="0.35">
      <c r="A324">
        <v>7971</v>
      </c>
      <c r="B324">
        <v>189</v>
      </c>
      <c r="C324" t="str">
        <f>VLOOKUP(B324,Kunde!A:C,3,FALSE)</f>
        <v>Geschäftskunde</v>
      </c>
      <c r="D324" t="str">
        <f>VLOOKUP(O324,Produkt!$A$1:$E$5,2,FALSE)</f>
        <v>C</v>
      </c>
      <c r="E324">
        <f t="shared" si="15"/>
        <v>37</v>
      </c>
      <c r="F324">
        <f>VLOOKUP(D324,Produkt!$B$1:$C$5,2,FALSE)*Bestellungen!E324</f>
        <v>55500</v>
      </c>
      <c r="G324" s="2">
        <v>45012</v>
      </c>
      <c r="H324" s="2">
        <f t="shared" si="16"/>
        <v>45016</v>
      </c>
      <c r="I324" s="2">
        <f t="shared" si="17"/>
        <v>45063</v>
      </c>
      <c r="J324" t="str">
        <f>VLOOKUP(M324,Umfragenteilnahme!$A$2:$B$3,2,)</f>
        <v>Ja</v>
      </c>
      <c r="M324">
        <v>1</v>
      </c>
      <c r="N324">
        <v>189</v>
      </c>
      <c r="O324">
        <v>3</v>
      </c>
      <c r="P324">
        <v>37</v>
      </c>
      <c r="Q324">
        <v>9</v>
      </c>
      <c r="R324">
        <v>4</v>
      </c>
      <c r="S324">
        <v>51</v>
      </c>
    </row>
    <row r="325" spans="1:19" x14ac:dyDescent="0.35">
      <c r="A325">
        <v>7972</v>
      </c>
      <c r="B325">
        <v>349</v>
      </c>
      <c r="C325" t="str">
        <f>VLOOKUP(B325,Kunde!A:C,3,FALSE)</f>
        <v>Privatkunde</v>
      </c>
      <c r="D325" t="str">
        <f>VLOOKUP(O325,Produkt!$A$1:$E$5,2,FALSE)</f>
        <v>D</v>
      </c>
      <c r="E325">
        <f t="shared" si="15"/>
        <v>5</v>
      </c>
      <c r="F325">
        <f>VLOOKUP(D325,Produkt!$B$1:$C$5,2,FALSE)*Bestellungen!E325</f>
        <v>4000</v>
      </c>
      <c r="G325" s="2">
        <v>45003</v>
      </c>
      <c r="H325" s="2">
        <f t="shared" si="16"/>
        <v>45007</v>
      </c>
      <c r="I325" s="2">
        <f t="shared" si="17"/>
        <v>45056</v>
      </c>
      <c r="J325" t="str">
        <f>VLOOKUP(M325,Umfragenteilnahme!$A$2:$B$3,2,)</f>
        <v>Nein</v>
      </c>
      <c r="M325">
        <v>2</v>
      </c>
      <c r="N325">
        <v>349</v>
      </c>
      <c r="O325">
        <v>4</v>
      </c>
      <c r="P325">
        <v>141</v>
      </c>
      <c r="Q325">
        <v>5</v>
      </c>
      <c r="R325">
        <v>4</v>
      </c>
      <c r="S325">
        <v>53</v>
      </c>
    </row>
    <row r="326" spans="1:19" x14ac:dyDescent="0.35">
      <c r="A326">
        <v>7973</v>
      </c>
      <c r="B326">
        <v>394</v>
      </c>
      <c r="C326" t="str">
        <f>VLOOKUP(B326,Kunde!A:C,3,FALSE)</f>
        <v>Geschäftskunde</v>
      </c>
      <c r="D326" t="str">
        <f>VLOOKUP(O326,Produkt!$A$1:$E$5,2,FALSE)</f>
        <v>B</v>
      </c>
      <c r="E326">
        <f t="shared" si="15"/>
        <v>94</v>
      </c>
      <c r="F326">
        <f>VLOOKUP(D326,Produkt!$B$1:$C$5,2,FALSE)*Bestellungen!E326</f>
        <v>45120</v>
      </c>
      <c r="G326" s="2">
        <v>44908</v>
      </c>
      <c r="H326" s="2">
        <f t="shared" si="16"/>
        <v>44912</v>
      </c>
      <c r="I326" s="2">
        <f t="shared" si="17"/>
        <v>44956</v>
      </c>
      <c r="J326" t="str">
        <f>VLOOKUP(M326,Umfragenteilnahme!$A$2:$B$3,2,)</f>
        <v>Nein</v>
      </c>
      <c r="M326">
        <v>2</v>
      </c>
      <c r="N326">
        <v>394</v>
      </c>
      <c r="O326">
        <v>2</v>
      </c>
      <c r="P326">
        <v>94</v>
      </c>
      <c r="Q326">
        <v>1</v>
      </c>
      <c r="R326">
        <v>4</v>
      </c>
      <c r="S326">
        <v>48</v>
      </c>
    </row>
    <row r="327" spans="1:19" x14ac:dyDescent="0.35">
      <c r="A327">
        <v>7974</v>
      </c>
      <c r="B327">
        <v>470</v>
      </c>
      <c r="C327" t="str">
        <f>VLOOKUP(B327,Kunde!A:C,3,FALSE)</f>
        <v>Geschäftskunde</v>
      </c>
      <c r="D327" t="str">
        <f>VLOOKUP(O327,Produkt!$A$1:$E$5,2,FALSE)</f>
        <v>D</v>
      </c>
      <c r="E327">
        <f t="shared" si="15"/>
        <v>66</v>
      </c>
      <c r="F327">
        <f>VLOOKUP(D327,Produkt!$B$1:$C$5,2,FALSE)*Bestellungen!E327</f>
        <v>52800</v>
      </c>
      <c r="G327" s="2">
        <v>44989</v>
      </c>
      <c r="H327" s="2">
        <f t="shared" si="16"/>
        <v>44995</v>
      </c>
      <c r="I327" s="2">
        <f t="shared" si="17"/>
        <v>45040</v>
      </c>
      <c r="J327" t="str">
        <f>VLOOKUP(M327,Umfragenteilnahme!$A$2:$B$3,2,)</f>
        <v>Ja</v>
      </c>
      <c r="M327">
        <v>1</v>
      </c>
      <c r="N327">
        <v>470</v>
      </c>
      <c r="O327">
        <v>4</v>
      </c>
      <c r="P327">
        <v>66</v>
      </c>
      <c r="Q327">
        <v>7</v>
      </c>
      <c r="R327">
        <v>6</v>
      </c>
      <c r="S327">
        <v>51</v>
      </c>
    </row>
    <row r="328" spans="1:19" x14ac:dyDescent="0.35">
      <c r="A328">
        <v>7975</v>
      </c>
      <c r="B328">
        <v>359</v>
      </c>
      <c r="C328" t="str">
        <f>VLOOKUP(B328,Kunde!A:C,3,FALSE)</f>
        <v>Privatkunde</v>
      </c>
      <c r="D328" t="str">
        <f>VLOOKUP(O328,Produkt!$A$1:$E$5,2,FALSE)</f>
        <v>D</v>
      </c>
      <c r="E328">
        <f t="shared" si="15"/>
        <v>5</v>
      </c>
      <c r="F328">
        <f>VLOOKUP(D328,Produkt!$B$1:$C$5,2,FALSE)*Bestellungen!E328</f>
        <v>4000</v>
      </c>
      <c r="G328" s="2">
        <v>44828</v>
      </c>
      <c r="H328" s="2">
        <f t="shared" si="16"/>
        <v>44833</v>
      </c>
      <c r="I328" s="2">
        <f t="shared" si="17"/>
        <v>44878</v>
      </c>
      <c r="J328" t="str">
        <f>VLOOKUP(M328,Umfragenteilnahme!$A$2:$B$3,2,)</f>
        <v>Ja</v>
      </c>
      <c r="M328">
        <v>1</v>
      </c>
      <c r="N328">
        <v>359</v>
      </c>
      <c r="O328">
        <v>4</v>
      </c>
      <c r="P328">
        <v>114</v>
      </c>
      <c r="Q328">
        <v>5</v>
      </c>
      <c r="R328">
        <v>5</v>
      </c>
      <c r="S328">
        <v>50</v>
      </c>
    </row>
    <row r="329" spans="1:19" x14ac:dyDescent="0.35">
      <c r="A329">
        <v>7976</v>
      </c>
      <c r="B329">
        <v>524</v>
      </c>
      <c r="C329" t="str">
        <f>VLOOKUP(B329,Kunde!A:C,3,FALSE)</f>
        <v>Privatkunde</v>
      </c>
      <c r="D329" t="str">
        <f>VLOOKUP(O329,Produkt!$A$1:$E$5,2,FALSE)</f>
        <v>C</v>
      </c>
      <c r="E329">
        <f t="shared" si="15"/>
        <v>1</v>
      </c>
      <c r="F329">
        <f>VLOOKUP(D329,Produkt!$B$1:$C$5,2,FALSE)*Bestellungen!E329</f>
        <v>1500</v>
      </c>
      <c r="G329" s="2">
        <v>44981</v>
      </c>
      <c r="H329" s="2">
        <f t="shared" si="16"/>
        <v>44984</v>
      </c>
      <c r="I329" s="2">
        <f t="shared" si="17"/>
        <v>45018</v>
      </c>
      <c r="J329" t="str">
        <f>VLOOKUP(M329,Umfragenteilnahme!$A$2:$B$3,2,)</f>
        <v>Ja</v>
      </c>
      <c r="M329">
        <v>1</v>
      </c>
      <c r="N329">
        <v>524</v>
      </c>
      <c r="O329">
        <v>3</v>
      </c>
      <c r="P329">
        <v>47</v>
      </c>
      <c r="Q329">
        <v>1</v>
      </c>
      <c r="R329">
        <v>3</v>
      </c>
      <c r="S329">
        <v>37</v>
      </c>
    </row>
    <row r="330" spans="1:19" x14ac:dyDescent="0.35">
      <c r="A330">
        <v>7977</v>
      </c>
      <c r="B330">
        <v>120</v>
      </c>
      <c r="C330" t="str">
        <f>VLOOKUP(B330,Kunde!A:C,3,FALSE)</f>
        <v>Geschäftskunde</v>
      </c>
      <c r="D330" t="str">
        <f>VLOOKUP(O330,Produkt!$A$1:$E$5,2,FALSE)</f>
        <v>D</v>
      </c>
      <c r="E330">
        <f t="shared" si="15"/>
        <v>138</v>
      </c>
      <c r="F330">
        <f>VLOOKUP(D330,Produkt!$B$1:$C$5,2,FALSE)*Bestellungen!E330</f>
        <v>110400</v>
      </c>
      <c r="G330" s="2">
        <v>45033</v>
      </c>
      <c r="H330" s="2">
        <f t="shared" si="16"/>
        <v>45036</v>
      </c>
      <c r="I330" s="2">
        <f t="shared" si="17"/>
        <v>45054</v>
      </c>
      <c r="J330" t="str">
        <f>VLOOKUP(M330,Umfragenteilnahme!$A$2:$B$3,2,)</f>
        <v>Nein</v>
      </c>
      <c r="M330">
        <v>2</v>
      </c>
      <c r="N330">
        <v>120</v>
      </c>
      <c r="O330">
        <v>4</v>
      </c>
      <c r="P330">
        <v>138</v>
      </c>
      <c r="Q330">
        <v>8</v>
      </c>
      <c r="R330">
        <v>3</v>
      </c>
      <c r="S330">
        <v>21</v>
      </c>
    </row>
    <row r="331" spans="1:19" x14ac:dyDescent="0.35">
      <c r="A331">
        <v>7978</v>
      </c>
      <c r="B331">
        <v>705</v>
      </c>
      <c r="C331" t="str">
        <f>VLOOKUP(B331,Kunde!A:C,3,FALSE)</f>
        <v>Geschäftskunde</v>
      </c>
      <c r="D331" t="str">
        <f>VLOOKUP(O331,Produkt!$A$1:$E$5,2,FALSE)</f>
        <v>B</v>
      </c>
      <c r="E331">
        <f t="shared" si="15"/>
        <v>90</v>
      </c>
      <c r="F331">
        <f>VLOOKUP(D331,Produkt!$B$1:$C$5,2,FALSE)*Bestellungen!E331</f>
        <v>43200</v>
      </c>
      <c r="G331" s="2">
        <v>44886</v>
      </c>
      <c r="H331" s="2">
        <f t="shared" si="16"/>
        <v>44893</v>
      </c>
      <c r="I331" s="2">
        <f t="shared" si="17"/>
        <v>44936</v>
      </c>
      <c r="J331" t="str">
        <f>VLOOKUP(M331,Umfragenteilnahme!$A$2:$B$3,2,)</f>
        <v>Ja</v>
      </c>
      <c r="M331">
        <v>1</v>
      </c>
      <c r="N331">
        <v>705</v>
      </c>
      <c r="O331">
        <v>2</v>
      </c>
      <c r="P331">
        <v>90</v>
      </c>
      <c r="Q331">
        <v>5</v>
      </c>
      <c r="R331">
        <v>7</v>
      </c>
      <c r="S331">
        <v>50</v>
      </c>
    </row>
    <row r="332" spans="1:19" x14ac:dyDescent="0.35">
      <c r="A332">
        <v>7979</v>
      </c>
      <c r="B332">
        <v>600</v>
      </c>
      <c r="C332" t="str">
        <f>VLOOKUP(B332,Kunde!A:C,3,FALSE)</f>
        <v>Privatkunde</v>
      </c>
      <c r="D332" t="str">
        <f>VLOOKUP(O332,Produkt!$A$1:$E$5,2,FALSE)</f>
        <v>C</v>
      </c>
      <c r="E332">
        <f t="shared" si="15"/>
        <v>2</v>
      </c>
      <c r="F332">
        <f>VLOOKUP(D332,Produkt!$B$1:$C$5,2,FALSE)*Bestellungen!E332</f>
        <v>3000</v>
      </c>
      <c r="G332" s="2">
        <v>44985</v>
      </c>
      <c r="H332" s="2">
        <f t="shared" si="16"/>
        <v>44991</v>
      </c>
      <c r="I332" s="2">
        <f t="shared" si="17"/>
        <v>45042</v>
      </c>
      <c r="J332" t="str">
        <f>VLOOKUP(M332,Umfragenteilnahme!$A$2:$B$3,2,)</f>
        <v>Nein</v>
      </c>
      <c r="M332">
        <v>2</v>
      </c>
      <c r="N332">
        <v>600</v>
      </c>
      <c r="O332">
        <v>3</v>
      </c>
      <c r="P332">
        <v>90</v>
      </c>
      <c r="Q332">
        <v>2</v>
      </c>
      <c r="R332">
        <v>6</v>
      </c>
      <c r="S332">
        <v>57</v>
      </c>
    </row>
    <row r="333" spans="1:19" x14ac:dyDescent="0.35">
      <c r="A333">
        <v>7980</v>
      </c>
      <c r="B333">
        <v>433</v>
      </c>
      <c r="C333" t="str">
        <f>VLOOKUP(B333,Kunde!A:C,3,FALSE)</f>
        <v>Privatkunde</v>
      </c>
      <c r="D333" t="str">
        <f>VLOOKUP(O333,Produkt!$A$1:$E$5,2,FALSE)</f>
        <v>C</v>
      </c>
      <c r="E333">
        <f t="shared" si="15"/>
        <v>4</v>
      </c>
      <c r="F333">
        <f>VLOOKUP(D333,Produkt!$B$1:$C$5,2,FALSE)*Bestellungen!E333</f>
        <v>6000</v>
      </c>
      <c r="G333" s="2">
        <v>44834</v>
      </c>
      <c r="H333" s="2">
        <f t="shared" si="16"/>
        <v>44840</v>
      </c>
      <c r="I333" s="2">
        <f t="shared" si="17"/>
        <v>44887</v>
      </c>
      <c r="J333" t="str">
        <f>VLOOKUP(M333,Umfragenteilnahme!$A$2:$B$3,2,)</f>
        <v>Ja</v>
      </c>
      <c r="M333">
        <v>1</v>
      </c>
      <c r="N333">
        <v>433</v>
      </c>
      <c r="O333">
        <v>3</v>
      </c>
      <c r="P333">
        <v>87</v>
      </c>
      <c r="Q333">
        <v>4</v>
      </c>
      <c r="R333">
        <v>6</v>
      </c>
      <c r="S333">
        <v>53</v>
      </c>
    </row>
    <row r="334" spans="1:19" x14ac:dyDescent="0.35">
      <c r="A334">
        <v>7981</v>
      </c>
      <c r="B334">
        <v>443</v>
      </c>
      <c r="C334" t="str">
        <f>VLOOKUP(B334,Kunde!A:C,3,FALSE)</f>
        <v>Geschäftskunde</v>
      </c>
      <c r="D334" t="str">
        <f>VLOOKUP(O334,Produkt!$A$1:$E$5,2,FALSE)</f>
        <v>B</v>
      </c>
      <c r="E334">
        <f t="shared" si="15"/>
        <v>94</v>
      </c>
      <c r="F334">
        <f>VLOOKUP(D334,Produkt!$B$1:$C$5,2,FALSE)*Bestellungen!E334</f>
        <v>45120</v>
      </c>
      <c r="G334" s="2">
        <v>44875</v>
      </c>
      <c r="H334" s="2">
        <f t="shared" si="16"/>
        <v>44881</v>
      </c>
      <c r="I334" s="2">
        <f t="shared" si="17"/>
        <v>44935</v>
      </c>
      <c r="J334" t="str">
        <f>VLOOKUP(M334,Umfragenteilnahme!$A$2:$B$3,2,)</f>
        <v>Ja</v>
      </c>
      <c r="M334">
        <v>1</v>
      </c>
      <c r="N334">
        <v>443</v>
      </c>
      <c r="O334">
        <v>2</v>
      </c>
      <c r="P334">
        <v>94</v>
      </c>
      <c r="Q334">
        <v>7</v>
      </c>
      <c r="R334">
        <v>6</v>
      </c>
      <c r="S334">
        <v>60</v>
      </c>
    </row>
    <row r="335" spans="1:19" x14ac:dyDescent="0.35">
      <c r="A335">
        <v>7982</v>
      </c>
      <c r="B335">
        <v>375</v>
      </c>
      <c r="C335" t="str">
        <f>VLOOKUP(B335,Kunde!A:C,3,FALSE)</f>
        <v>Privatkunde</v>
      </c>
      <c r="D335" t="str">
        <f>VLOOKUP(O335,Produkt!$A$1:$E$5,2,FALSE)</f>
        <v>D</v>
      </c>
      <c r="E335">
        <f t="shared" si="15"/>
        <v>8</v>
      </c>
      <c r="F335">
        <f>VLOOKUP(D335,Produkt!$B$1:$C$5,2,FALSE)*Bestellungen!E335</f>
        <v>6400</v>
      </c>
      <c r="G335" s="2">
        <v>44830</v>
      </c>
      <c r="H335" s="2">
        <f t="shared" si="16"/>
        <v>44835</v>
      </c>
      <c r="I335" s="2">
        <f t="shared" si="17"/>
        <v>44839</v>
      </c>
      <c r="J335" t="str">
        <f>VLOOKUP(M335,Umfragenteilnahme!$A$2:$B$3,2,)</f>
        <v>Ja</v>
      </c>
      <c r="M335">
        <v>1</v>
      </c>
      <c r="N335">
        <v>375</v>
      </c>
      <c r="O335">
        <v>4</v>
      </c>
      <c r="P335">
        <v>124</v>
      </c>
      <c r="Q335">
        <v>8</v>
      </c>
      <c r="R335">
        <v>5</v>
      </c>
      <c r="S335">
        <v>9</v>
      </c>
    </row>
    <row r="336" spans="1:19" x14ac:dyDescent="0.35">
      <c r="A336">
        <v>7983</v>
      </c>
      <c r="B336">
        <v>145</v>
      </c>
      <c r="C336" t="str">
        <f>VLOOKUP(B336,Kunde!A:C,3,FALSE)</f>
        <v>Geschäftskunde</v>
      </c>
      <c r="D336" t="str">
        <f>VLOOKUP(O336,Produkt!$A$1:$E$5,2,FALSE)</f>
        <v>C</v>
      </c>
      <c r="E336">
        <f t="shared" si="15"/>
        <v>44</v>
      </c>
      <c r="F336">
        <f>VLOOKUP(D336,Produkt!$B$1:$C$5,2,FALSE)*Bestellungen!E336</f>
        <v>66000</v>
      </c>
      <c r="G336" s="2">
        <v>44918</v>
      </c>
      <c r="H336" s="2">
        <f t="shared" si="16"/>
        <v>44923</v>
      </c>
      <c r="I336" s="2">
        <f t="shared" si="17"/>
        <v>44966</v>
      </c>
      <c r="J336" t="str">
        <f>VLOOKUP(M336,Umfragenteilnahme!$A$2:$B$3,2,)</f>
        <v>Ja</v>
      </c>
      <c r="M336">
        <v>1</v>
      </c>
      <c r="N336">
        <v>145</v>
      </c>
      <c r="O336">
        <v>3</v>
      </c>
      <c r="P336">
        <v>44</v>
      </c>
      <c r="Q336">
        <v>3</v>
      </c>
      <c r="R336">
        <v>5</v>
      </c>
      <c r="S336">
        <v>48</v>
      </c>
    </row>
    <row r="337" spans="1:19" x14ac:dyDescent="0.35">
      <c r="A337">
        <v>7984</v>
      </c>
      <c r="B337">
        <v>321</v>
      </c>
      <c r="C337" t="str">
        <f>VLOOKUP(B337,Kunde!A:C,3,FALSE)</f>
        <v>Geschäftskunde</v>
      </c>
      <c r="D337" t="str">
        <f>VLOOKUP(O337,Produkt!$A$1:$E$5,2,FALSE)</f>
        <v>D</v>
      </c>
      <c r="E337">
        <f t="shared" si="15"/>
        <v>121</v>
      </c>
      <c r="F337">
        <f>VLOOKUP(D337,Produkt!$B$1:$C$5,2,FALSE)*Bestellungen!E337</f>
        <v>96800</v>
      </c>
      <c r="G337" s="2">
        <v>44932</v>
      </c>
      <c r="H337" s="2">
        <f t="shared" si="16"/>
        <v>44934</v>
      </c>
      <c r="I337" s="2">
        <f t="shared" si="17"/>
        <v>44992</v>
      </c>
      <c r="J337" t="str">
        <f>VLOOKUP(M337,Umfragenteilnahme!$A$2:$B$3,2,)</f>
        <v>Ja</v>
      </c>
      <c r="M337">
        <v>1</v>
      </c>
      <c r="N337">
        <v>321</v>
      </c>
      <c r="O337">
        <v>4</v>
      </c>
      <c r="P337">
        <v>121</v>
      </c>
      <c r="Q337">
        <v>7</v>
      </c>
      <c r="R337">
        <v>2</v>
      </c>
      <c r="S337">
        <v>60</v>
      </c>
    </row>
    <row r="338" spans="1:19" x14ac:dyDescent="0.35">
      <c r="A338">
        <v>7985</v>
      </c>
      <c r="B338">
        <v>98</v>
      </c>
      <c r="C338" t="str">
        <f>VLOOKUP(B338,Kunde!A:C,3,FALSE)</f>
        <v>Geschäftskunde</v>
      </c>
      <c r="D338" t="str">
        <f>VLOOKUP(O338,Produkt!$A$1:$E$5,2,FALSE)</f>
        <v>B</v>
      </c>
      <c r="E338">
        <f t="shared" si="15"/>
        <v>111</v>
      </c>
      <c r="F338">
        <f>VLOOKUP(D338,Produkt!$B$1:$C$5,2,FALSE)*Bestellungen!E338</f>
        <v>53280</v>
      </c>
      <c r="G338" s="2">
        <v>44856</v>
      </c>
      <c r="H338" s="2">
        <f t="shared" si="16"/>
        <v>44858</v>
      </c>
      <c r="I338" s="2">
        <f t="shared" si="17"/>
        <v>44905</v>
      </c>
      <c r="J338" t="str">
        <f>VLOOKUP(M338,Umfragenteilnahme!$A$2:$B$3,2,)</f>
        <v>Nein</v>
      </c>
      <c r="M338">
        <v>2</v>
      </c>
      <c r="N338">
        <v>98</v>
      </c>
      <c r="O338">
        <v>2</v>
      </c>
      <c r="P338">
        <v>111</v>
      </c>
      <c r="Q338">
        <v>1</v>
      </c>
      <c r="R338">
        <v>2</v>
      </c>
      <c r="S338">
        <v>49</v>
      </c>
    </row>
    <row r="339" spans="1:19" x14ac:dyDescent="0.35">
      <c r="A339">
        <v>7986</v>
      </c>
      <c r="B339">
        <v>512</v>
      </c>
      <c r="C339" t="str">
        <f>VLOOKUP(B339,Kunde!A:C,3,FALSE)</f>
        <v>Geschäftskunde</v>
      </c>
      <c r="D339" t="str">
        <f>VLOOKUP(O339,Produkt!$A$1:$E$5,2,FALSE)</f>
        <v>B</v>
      </c>
      <c r="E339">
        <f t="shared" si="15"/>
        <v>132</v>
      </c>
      <c r="F339">
        <f>VLOOKUP(D339,Produkt!$B$1:$C$5,2,FALSE)*Bestellungen!E339</f>
        <v>63360</v>
      </c>
      <c r="G339" s="2">
        <v>44958</v>
      </c>
      <c r="H339" s="2">
        <f t="shared" si="16"/>
        <v>44964</v>
      </c>
      <c r="I339" s="2">
        <f t="shared" si="17"/>
        <v>45008</v>
      </c>
      <c r="J339" t="str">
        <f>VLOOKUP(M339,Umfragenteilnahme!$A$2:$B$3,2,)</f>
        <v>Nein</v>
      </c>
      <c r="M339">
        <v>2</v>
      </c>
      <c r="N339">
        <v>512</v>
      </c>
      <c r="O339">
        <v>2</v>
      </c>
      <c r="P339">
        <v>132</v>
      </c>
      <c r="Q339">
        <v>1</v>
      </c>
      <c r="R339">
        <v>6</v>
      </c>
      <c r="S339">
        <v>50</v>
      </c>
    </row>
    <row r="340" spans="1:19" x14ac:dyDescent="0.35">
      <c r="A340">
        <v>7987</v>
      </c>
      <c r="B340">
        <v>759</v>
      </c>
      <c r="C340" t="str">
        <f>VLOOKUP(B340,Kunde!A:C,3,FALSE)</f>
        <v>Geschäftskunde</v>
      </c>
      <c r="D340" t="str">
        <f>VLOOKUP(O340,Produkt!$A$1:$E$5,2,FALSE)</f>
        <v>A</v>
      </c>
      <c r="E340">
        <f t="shared" si="15"/>
        <v>129</v>
      </c>
      <c r="F340">
        <f>VLOOKUP(D340,Produkt!$B$1:$C$5,2,FALSE)*Bestellungen!E340</f>
        <v>38700</v>
      </c>
      <c r="G340" s="2">
        <v>44757</v>
      </c>
      <c r="H340" s="2">
        <f t="shared" si="16"/>
        <v>44764</v>
      </c>
      <c r="I340" s="2">
        <f t="shared" si="17"/>
        <v>44789</v>
      </c>
      <c r="J340" t="str">
        <f>VLOOKUP(M340,Umfragenteilnahme!$A$2:$B$3,2,)</f>
        <v>Ja</v>
      </c>
      <c r="M340">
        <v>1</v>
      </c>
      <c r="N340">
        <v>759</v>
      </c>
      <c r="O340">
        <v>1</v>
      </c>
      <c r="P340">
        <v>129</v>
      </c>
      <c r="Q340">
        <v>6</v>
      </c>
      <c r="R340">
        <v>7</v>
      </c>
      <c r="S340">
        <v>32</v>
      </c>
    </row>
    <row r="341" spans="1:19" x14ac:dyDescent="0.35">
      <c r="A341">
        <v>7988</v>
      </c>
      <c r="B341">
        <v>437</v>
      </c>
      <c r="C341" t="str">
        <f>VLOOKUP(B341,Kunde!A:C,3,FALSE)</f>
        <v>Geschäftskunde</v>
      </c>
      <c r="D341" t="str">
        <f>VLOOKUP(O341,Produkt!$A$1:$E$5,2,FALSE)</f>
        <v>D</v>
      </c>
      <c r="E341">
        <f t="shared" si="15"/>
        <v>130</v>
      </c>
      <c r="F341">
        <f>VLOOKUP(D341,Produkt!$B$1:$C$5,2,FALSE)*Bestellungen!E341</f>
        <v>104000</v>
      </c>
      <c r="G341" s="2">
        <v>45012</v>
      </c>
      <c r="H341" s="2">
        <f t="shared" si="16"/>
        <v>45016</v>
      </c>
      <c r="I341" s="2">
        <f t="shared" si="17"/>
        <v>45055</v>
      </c>
      <c r="J341" t="str">
        <f>VLOOKUP(M341,Umfragenteilnahme!$A$2:$B$3,2,)</f>
        <v>Nein</v>
      </c>
      <c r="M341">
        <v>2</v>
      </c>
      <c r="N341">
        <v>437</v>
      </c>
      <c r="O341">
        <v>4</v>
      </c>
      <c r="P341">
        <v>130</v>
      </c>
      <c r="Q341">
        <v>3</v>
      </c>
      <c r="R341">
        <v>4</v>
      </c>
      <c r="S341">
        <v>43</v>
      </c>
    </row>
    <row r="342" spans="1:19" x14ac:dyDescent="0.35">
      <c r="A342">
        <v>7989</v>
      </c>
      <c r="B342">
        <v>287</v>
      </c>
      <c r="C342" t="str">
        <f>VLOOKUP(B342,Kunde!A:C,3,FALSE)</f>
        <v>Privatkunde</v>
      </c>
      <c r="D342" t="str">
        <f>VLOOKUP(O342,Produkt!$A$1:$E$5,2,FALSE)</f>
        <v>B</v>
      </c>
      <c r="E342">
        <f t="shared" si="15"/>
        <v>1</v>
      </c>
      <c r="F342">
        <f>VLOOKUP(D342,Produkt!$B$1:$C$5,2,FALSE)*Bestellungen!E342</f>
        <v>480</v>
      </c>
      <c r="G342" s="2">
        <v>44880</v>
      </c>
      <c r="H342" s="2">
        <f t="shared" si="16"/>
        <v>44885</v>
      </c>
      <c r="I342" s="2">
        <f t="shared" si="17"/>
        <v>44928</v>
      </c>
      <c r="J342" t="str">
        <f>VLOOKUP(M342,Umfragenteilnahme!$A$2:$B$3,2,)</f>
        <v>Ja</v>
      </c>
      <c r="M342">
        <v>1</v>
      </c>
      <c r="N342">
        <v>287</v>
      </c>
      <c r="O342">
        <v>2</v>
      </c>
      <c r="P342">
        <v>18</v>
      </c>
      <c r="Q342">
        <v>1</v>
      </c>
      <c r="R342">
        <v>5</v>
      </c>
      <c r="S342">
        <v>48</v>
      </c>
    </row>
    <row r="343" spans="1:19" x14ac:dyDescent="0.35">
      <c r="A343">
        <v>7990</v>
      </c>
      <c r="B343">
        <v>534</v>
      </c>
      <c r="C343" t="str">
        <f>VLOOKUP(B343,Kunde!A:C,3,FALSE)</f>
        <v>Geschäftskunde</v>
      </c>
      <c r="D343" t="str">
        <f>VLOOKUP(O343,Produkt!$A$1:$E$5,2,FALSE)</f>
        <v>D</v>
      </c>
      <c r="E343">
        <f t="shared" si="15"/>
        <v>98</v>
      </c>
      <c r="F343">
        <f>VLOOKUP(D343,Produkt!$B$1:$C$5,2,FALSE)*Bestellungen!E343</f>
        <v>78400</v>
      </c>
      <c r="G343" s="2">
        <v>44887</v>
      </c>
      <c r="H343" s="2">
        <f t="shared" si="16"/>
        <v>44889</v>
      </c>
      <c r="I343" s="2">
        <f t="shared" si="17"/>
        <v>44894</v>
      </c>
      <c r="J343" t="str">
        <f>VLOOKUP(M343,Umfragenteilnahme!$A$2:$B$3,2,)</f>
        <v>Nein</v>
      </c>
      <c r="M343">
        <v>2</v>
      </c>
      <c r="N343">
        <v>534</v>
      </c>
      <c r="O343">
        <v>4</v>
      </c>
      <c r="P343">
        <v>98</v>
      </c>
      <c r="Q343">
        <v>4</v>
      </c>
      <c r="R343">
        <v>2</v>
      </c>
      <c r="S343">
        <v>7</v>
      </c>
    </row>
    <row r="344" spans="1:19" x14ac:dyDescent="0.35">
      <c r="A344">
        <v>7991</v>
      </c>
      <c r="B344">
        <v>657</v>
      </c>
      <c r="C344" t="str">
        <f>VLOOKUP(B344,Kunde!A:C,3,FALSE)</f>
        <v>Geschäftskunde</v>
      </c>
      <c r="D344" t="str">
        <f>VLOOKUP(O344,Produkt!$A$1:$E$5,2,FALSE)</f>
        <v>B</v>
      </c>
      <c r="E344">
        <f t="shared" si="15"/>
        <v>110</v>
      </c>
      <c r="F344">
        <f>VLOOKUP(D344,Produkt!$B$1:$C$5,2,FALSE)*Bestellungen!E344</f>
        <v>52800</v>
      </c>
      <c r="G344" s="2">
        <v>44835</v>
      </c>
      <c r="H344" s="2">
        <f t="shared" si="16"/>
        <v>44838</v>
      </c>
      <c r="I344" s="2">
        <f t="shared" si="17"/>
        <v>44883</v>
      </c>
      <c r="J344" t="str">
        <f>VLOOKUP(M344,Umfragenteilnahme!$A$2:$B$3,2,)</f>
        <v>Ja</v>
      </c>
      <c r="M344">
        <v>1</v>
      </c>
      <c r="N344">
        <v>657</v>
      </c>
      <c r="O344">
        <v>2</v>
      </c>
      <c r="P344">
        <v>110</v>
      </c>
      <c r="Q344">
        <v>8</v>
      </c>
      <c r="R344">
        <v>3</v>
      </c>
      <c r="S344">
        <v>48</v>
      </c>
    </row>
    <row r="345" spans="1:19" x14ac:dyDescent="0.35">
      <c r="A345">
        <v>7992</v>
      </c>
      <c r="B345">
        <v>168</v>
      </c>
      <c r="C345" t="str">
        <f>VLOOKUP(B345,Kunde!A:C,3,FALSE)</f>
        <v>Geschäftskunde</v>
      </c>
      <c r="D345" t="str">
        <f>VLOOKUP(O345,Produkt!$A$1:$E$5,2,FALSE)</f>
        <v>C</v>
      </c>
      <c r="E345">
        <f t="shared" si="15"/>
        <v>72</v>
      </c>
      <c r="F345">
        <f>VLOOKUP(D345,Produkt!$B$1:$C$5,2,FALSE)*Bestellungen!E345</f>
        <v>108000</v>
      </c>
      <c r="G345" s="2">
        <v>44754</v>
      </c>
      <c r="H345" s="2">
        <f t="shared" si="16"/>
        <v>44757</v>
      </c>
      <c r="I345" s="2">
        <f t="shared" si="17"/>
        <v>44760</v>
      </c>
      <c r="J345" t="str">
        <f>VLOOKUP(M345,Umfragenteilnahme!$A$2:$B$3,2,)</f>
        <v>Ja</v>
      </c>
      <c r="M345">
        <v>1</v>
      </c>
      <c r="N345">
        <v>168</v>
      </c>
      <c r="O345">
        <v>3</v>
      </c>
      <c r="P345">
        <v>72</v>
      </c>
      <c r="Q345">
        <v>6</v>
      </c>
      <c r="R345">
        <v>3</v>
      </c>
      <c r="S345">
        <v>6</v>
      </c>
    </row>
    <row r="346" spans="1:19" x14ac:dyDescent="0.35">
      <c r="A346">
        <v>7993</v>
      </c>
      <c r="B346">
        <v>7</v>
      </c>
      <c r="C346" t="str">
        <f>VLOOKUP(B346,Kunde!A:C,3,FALSE)</f>
        <v>Geschäftskunde</v>
      </c>
      <c r="D346" t="str">
        <f>VLOOKUP(O346,Produkt!$A$1:$E$5,2,FALSE)</f>
        <v>B</v>
      </c>
      <c r="E346">
        <f t="shared" si="15"/>
        <v>46</v>
      </c>
      <c r="F346">
        <f>VLOOKUP(D346,Produkt!$B$1:$C$5,2,FALSE)*Bestellungen!E346</f>
        <v>22080</v>
      </c>
      <c r="G346" s="2">
        <v>44737</v>
      </c>
      <c r="H346" s="2">
        <f t="shared" si="16"/>
        <v>44744</v>
      </c>
      <c r="I346" s="2">
        <f t="shared" si="17"/>
        <v>44785</v>
      </c>
      <c r="J346" t="str">
        <f>VLOOKUP(M346,Umfragenteilnahme!$A$2:$B$3,2,)</f>
        <v>Ja</v>
      </c>
      <c r="M346">
        <v>1</v>
      </c>
      <c r="N346">
        <v>7</v>
      </c>
      <c r="O346">
        <v>2</v>
      </c>
      <c r="P346">
        <v>46</v>
      </c>
      <c r="Q346">
        <v>8</v>
      </c>
      <c r="R346">
        <v>7</v>
      </c>
      <c r="S346">
        <v>48</v>
      </c>
    </row>
    <row r="347" spans="1:19" x14ac:dyDescent="0.35">
      <c r="A347">
        <v>7994</v>
      </c>
      <c r="B347">
        <v>754</v>
      </c>
      <c r="C347" t="str">
        <f>VLOOKUP(B347,Kunde!A:C,3,FALSE)</f>
        <v>Geschäftskunde</v>
      </c>
      <c r="D347" t="str">
        <f>VLOOKUP(O347,Produkt!$A$1:$E$5,2,FALSE)</f>
        <v>D</v>
      </c>
      <c r="E347">
        <f t="shared" si="15"/>
        <v>121</v>
      </c>
      <c r="F347">
        <f>VLOOKUP(D347,Produkt!$B$1:$C$5,2,FALSE)*Bestellungen!E347</f>
        <v>96800</v>
      </c>
      <c r="G347" s="2">
        <v>44787</v>
      </c>
      <c r="H347" s="2">
        <f t="shared" si="16"/>
        <v>44789</v>
      </c>
      <c r="I347" s="2">
        <f t="shared" si="17"/>
        <v>44818</v>
      </c>
      <c r="J347" t="str">
        <f>VLOOKUP(M347,Umfragenteilnahme!$A$2:$B$3,2,)</f>
        <v>Nein</v>
      </c>
      <c r="M347">
        <v>2</v>
      </c>
      <c r="N347">
        <v>754</v>
      </c>
      <c r="O347">
        <v>4</v>
      </c>
      <c r="P347">
        <v>121</v>
      </c>
      <c r="Q347">
        <v>1</v>
      </c>
      <c r="R347">
        <v>2</v>
      </c>
      <c r="S347">
        <v>31</v>
      </c>
    </row>
    <row r="348" spans="1:19" x14ac:dyDescent="0.35">
      <c r="A348">
        <v>7995</v>
      </c>
      <c r="B348">
        <v>702</v>
      </c>
      <c r="C348" t="str">
        <f>VLOOKUP(B348,Kunde!A:C,3,FALSE)</f>
        <v>Privatkunde</v>
      </c>
      <c r="D348" t="str">
        <f>VLOOKUP(O348,Produkt!$A$1:$E$5,2,FALSE)</f>
        <v>A</v>
      </c>
      <c r="E348">
        <f t="shared" si="15"/>
        <v>2</v>
      </c>
      <c r="F348">
        <f>VLOOKUP(D348,Produkt!$B$1:$C$5,2,FALSE)*Bestellungen!E348</f>
        <v>600</v>
      </c>
      <c r="G348" s="2">
        <v>44724</v>
      </c>
      <c r="H348" s="2">
        <f t="shared" si="16"/>
        <v>44727</v>
      </c>
      <c r="I348" s="2">
        <f t="shared" si="17"/>
        <v>44773</v>
      </c>
      <c r="J348" t="str">
        <f>VLOOKUP(M348,Umfragenteilnahme!$A$2:$B$3,2,)</f>
        <v>Ja</v>
      </c>
      <c r="M348">
        <v>1</v>
      </c>
      <c r="N348">
        <v>702</v>
      </c>
      <c r="O348">
        <v>1</v>
      </c>
      <c r="P348">
        <v>59</v>
      </c>
      <c r="Q348">
        <v>2</v>
      </c>
      <c r="R348">
        <v>3</v>
      </c>
      <c r="S348">
        <v>49</v>
      </c>
    </row>
    <row r="349" spans="1:19" x14ac:dyDescent="0.35">
      <c r="A349">
        <v>7996</v>
      </c>
      <c r="B349">
        <v>8</v>
      </c>
      <c r="C349" t="str">
        <f>VLOOKUP(B349,Kunde!A:C,3,FALSE)</f>
        <v>Geschäftskunde</v>
      </c>
      <c r="D349" t="str">
        <f>VLOOKUP(O349,Produkt!$A$1:$E$5,2,FALSE)</f>
        <v>C</v>
      </c>
      <c r="E349">
        <f t="shared" si="15"/>
        <v>62</v>
      </c>
      <c r="F349">
        <f>VLOOKUP(D349,Produkt!$B$1:$C$5,2,FALSE)*Bestellungen!E349</f>
        <v>93000</v>
      </c>
      <c r="G349" s="2">
        <v>44966</v>
      </c>
      <c r="H349" s="2">
        <f t="shared" si="16"/>
        <v>44972</v>
      </c>
      <c r="I349" s="2">
        <f t="shared" si="17"/>
        <v>44992</v>
      </c>
      <c r="J349" t="str">
        <f>VLOOKUP(M349,Umfragenteilnahme!$A$2:$B$3,2,)</f>
        <v>Ja</v>
      </c>
      <c r="M349">
        <v>1</v>
      </c>
      <c r="N349">
        <v>8</v>
      </c>
      <c r="O349">
        <v>3</v>
      </c>
      <c r="P349">
        <v>62</v>
      </c>
      <c r="Q349">
        <v>3</v>
      </c>
      <c r="R349">
        <v>6</v>
      </c>
      <c r="S349">
        <v>26</v>
      </c>
    </row>
    <row r="350" spans="1:19" x14ac:dyDescent="0.35">
      <c r="A350">
        <v>7997</v>
      </c>
      <c r="B350">
        <v>106</v>
      </c>
      <c r="C350" t="str">
        <f>VLOOKUP(B350,Kunde!A:C,3,FALSE)</f>
        <v>Geschäftskunde</v>
      </c>
      <c r="D350" t="str">
        <f>VLOOKUP(O350,Produkt!$A$1:$E$5,2,FALSE)</f>
        <v>A</v>
      </c>
      <c r="E350">
        <f t="shared" si="15"/>
        <v>20</v>
      </c>
      <c r="F350">
        <f>VLOOKUP(D350,Produkt!$B$1:$C$5,2,FALSE)*Bestellungen!E350</f>
        <v>6000</v>
      </c>
      <c r="G350" s="2">
        <v>44942</v>
      </c>
      <c r="H350" s="2">
        <f t="shared" si="16"/>
        <v>44947</v>
      </c>
      <c r="I350" s="2">
        <f t="shared" si="17"/>
        <v>44965</v>
      </c>
      <c r="J350" t="str">
        <f>VLOOKUP(M350,Umfragenteilnahme!$A$2:$B$3,2,)</f>
        <v>Ja</v>
      </c>
      <c r="M350">
        <v>1</v>
      </c>
      <c r="N350">
        <v>106</v>
      </c>
      <c r="O350">
        <v>1</v>
      </c>
      <c r="P350">
        <v>20</v>
      </c>
      <c r="Q350">
        <v>3</v>
      </c>
      <c r="R350">
        <v>5</v>
      </c>
      <c r="S350">
        <v>23</v>
      </c>
    </row>
    <row r="351" spans="1:19" x14ac:dyDescent="0.35">
      <c r="A351">
        <v>7998</v>
      </c>
      <c r="B351">
        <v>649</v>
      </c>
      <c r="C351" t="str">
        <f>VLOOKUP(B351,Kunde!A:C,3,FALSE)</f>
        <v>Geschäftskunde</v>
      </c>
      <c r="D351" t="str">
        <f>VLOOKUP(O351,Produkt!$A$1:$E$5,2,FALSE)</f>
        <v>A</v>
      </c>
      <c r="E351">
        <f t="shared" si="15"/>
        <v>97</v>
      </c>
      <c r="F351">
        <f>VLOOKUP(D351,Produkt!$B$1:$C$5,2,FALSE)*Bestellungen!E351</f>
        <v>29100</v>
      </c>
      <c r="G351" s="2">
        <v>44865</v>
      </c>
      <c r="H351" s="2">
        <f t="shared" si="16"/>
        <v>44867</v>
      </c>
      <c r="I351" s="2">
        <f t="shared" si="17"/>
        <v>44914</v>
      </c>
      <c r="J351" t="str">
        <f>VLOOKUP(M351,Umfragenteilnahme!$A$2:$B$3,2,)</f>
        <v>Ja</v>
      </c>
      <c r="M351">
        <v>1</v>
      </c>
      <c r="N351">
        <v>649</v>
      </c>
      <c r="O351">
        <v>1</v>
      </c>
      <c r="P351">
        <v>97</v>
      </c>
      <c r="Q351">
        <v>9</v>
      </c>
      <c r="R351">
        <v>2</v>
      </c>
      <c r="S351">
        <v>49</v>
      </c>
    </row>
    <row r="352" spans="1:19" x14ac:dyDescent="0.35">
      <c r="A352">
        <v>7999</v>
      </c>
      <c r="B352">
        <v>761</v>
      </c>
      <c r="C352" t="str">
        <f>VLOOKUP(B352,Kunde!A:C,3,FALSE)</f>
        <v>Geschäftskunde</v>
      </c>
      <c r="D352" t="str">
        <f>VLOOKUP(O352,Produkt!$A$1:$E$5,2,FALSE)</f>
        <v>C</v>
      </c>
      <c r="E352">
        <f t="shared" si="15"/>
        <v>89</v>
      </c>
      <c r="F352">
        <f>VLOOKUP(D352,Produkt!$B$1:$C$5,2,FALSE)*Bestellungen!E352</f>
        <v>133500</v>
      </c>
      <c r="G352" s="2">
        <v>44905</v>
      </c>
      <c r="H352" s="2">
        <f t="shared" si="16"/>
        <v>44912</v>
      </c>
      <c r="I352" s="2">
        <f t="shared" si="17"/>
        <v>44954</v>
      </c>
      <c r="J352" t="str">
        <f>VLOOKUP(M352,Umfragenteilnahme!$A$2:$B$3,2,)</f>
        <v>Ja</v>
      </c>
      <c r="M352">
        <v>1</v>
      </c>
      <c r="N352">
        <v>761</v>
      </c>
      <c r="O352">
        <v>3</v>
      </c>
      <c r="P352">
        <v>89</v>
      </c>
      <c r="Q352">
        <v>8</v>
      </c>
      <c r="R352">
        <v>7</v>
      </c>
      <c r="S352">
        <v>49</v>
      </c>
    </row>
    <row r="353" spans="1:19" x14ac:dyDescent="0.35">
      <c r="A353">
        <v>8000</v>
      </c>
      <c r="B353">
        <v>266</v>
      </c>
      <c r="C353" t="str">
        <f>VLOOKUP(B353,Kunde!A:C,3,FALSE)</f>
        <v>Geschäftskunde</v>
      </c>
      <c r="D353" t="str">
        <f>VLOOKUP(O353,Produkt!$A$1:$E$5,2,FALSE)</f>
        <v>D</v>
      </c>
      <c r="E353">
        <f t="shared" si="15"/>
        <v>109</v>
      </c>
      <c r="F353">
        <f>VLOOKUP(D353,Produkt!$B$1:$C$5,2,FALSE)*Bestellungen!E353</f>
        <v>87200</v>
      </c>
      <c r="G353" s="2">
        <v>44832</v>
      </c>
      <c r="H353" s="2">
        <f t="shared" si="16"/>
        <v>44839</v>
      </c>
      <c r="I353" s="2">
        <f t="shared" si="17"/>
        <v>44846</v>
      </c>
      <c r="J353" t="str">
        <f>VLOOKUP(M353,Umfragenteilnahme!$A$2:$B$3,2,)</f>
        <v>Nein</v>
      </c>
      <c r="M353">
        <v>2</v>
      </c>
      <c r="N353">
        <v>266</v>
      </c>
      <c r="O353">
        <v>4</v>
      </c>
      <c r="P353">
        <v>109</v>
      </c>
      <c r="Q353">
        <v>3</v>
      </c>
      <c r="R353">
        <v>7</v>
      </c>
      <c r="S353">
        <v>14</v>
      </c>
    </row>
    <row r="354" spans="1:19" x14ac:dyDescent="0.35">
      <c r="A354">
        <v>8001</v>
      </c>
      <c r="B354">
        <v>482</v>
      </c>
      <c r="C354" t="str">
        <f>VLOOKUP(B354,Kunde!A:C,3,FALSE)</f>
        <v>Geschäftskunde</v>
      </c>
      <c r="D354" t="str">
        <f>VLOOKUP(O354,Produkt!$A$1:$E$5,2,FALSE)</f>
        <v>D</v>
      </c>
      <c r="E354">
        <f t="shared" si="15"/>
        <v>148</v>
      </c>
      <c r="F354">
        <f>VLOOKUP(D354,Produkt!$B$1:$C$5,2,FALSE)*Bestellungen!E354</f>
        <v>118400</v>
      </c>
      <c r="G354" s="2">
        <v>44932</v>
      </c>
      <c r="H354" s="2">
        <f t="shared" si="16"/>
        <v>44935</v>
      </c>
      <c r="I354" s="2">
        <f t="shared" si="17"/>
        <v>44973</v>
      </c>
      <c r="J354" t="str">
        <f>VLOOKUP(M354,Umfragenteilnahme!$A$2:$B$3,2,)</f>
        <v>Ja</v>
      </c>
      <c r="M354">
        <v>1</v>
      </c>
      <c r="N354">
        <v>482</v>
      </c>
      <c r="O354">
        <v>4</v>
      </c>
      <c r="P354">
        <v>148</v>
      </c>
      <c r="Q354">
        <v>7</v>
      </c>
      <c r="R354">
        <v>3</v>
      </c>
      <c r="S354">
        <v>41</v>
      </c>
    </row>
    <row r="355" spans="1:19" x14ac:dyDescent="0.35">
      <c r="A355">
        <v>8002</v>
      </c>
      <c r="B355">
        <v>2</v>
      </c>
      <c r="C355" t="str">
        <f>VLOOKUP(B355,Kunde!A:C,3,FALSE)</f>
        <v>Privatkunde</v>
      </c>
      <c r="D355" t="str">
        <f>VLOOKUP(O355,Produkt!$A$1:$E$5,2,FALSE)</f>
        <v>B</v>
      </c>
      <c r="E355">
        <f t="shared" si="15"/>
        <v>2</v>
      </c>
      <c r="F355">
        <f>VLOOKUP(D355,Produkt!$B$1:$C$5,2,FALSE)*Bestellungen!E355</f>
        <v>960</v>
      </c>
      <c r="G355" s="2">
        <v>45010</v>
      </c>
      <c r="H355" s="2">
        <f t="shared" si="16"/>
        <v>45016</v>
      </c>
      <c r="I355" s="2">
        <f t="shared" si="17"/>
        <v>45019</v>
      </c>
      <c r="J355" t="str">
        <f>VLOOKUP(M355,Umfragenteilnahme!$A$2:$B$3,2,)</f>
        <v>Nein</v>
      </c>
      <c r="M355">
        <v>2</v>
      </c>
      <c r="N355">
        <v>2</v>
      </c>
      <c r="O355">
        <v>2</v>
      </c>
      <c r="P355">
        <v>12</v>
      </c>
      <c r="Q355">
        <v>2</v>
      </c>
      <c r="R355">
        <v>6</v>
      </c>
      <c r="S355">
        <v>9</v>
      </c>
    </row>
    <row r="356" spans="1:19" x14ac:dyDescent="0.35">
      <c r="A356">
        <v>8003</v>
      </c>
      <c r="B356">
        <v>751</v>
      </c>
      <c r="C356" t="str">
        <f>VLOOKUP(B356,Kunde!A:C,3,FALSE)</f>
        <v>Geschäftskunde</v>
      </c>
      <c r="D356" t="str">
        <f>VLOOKUP(O356,Produkt!$A$1:$E$5,2,FALSE)</f>
        <v>D</v>
      </c>
      <c r="E356">
        <f t="shared" si="15"/>
        <v>17</v>
      </c>
      <c r="F356">
        <f>VLOOKUP(D356,Produkt!$B$1:$C$5,2,FALSE)*Bestellungen!E356</f>
        <v>13600</v>
      </c>
      <c r="G356" s="2">
        <v>44750</v>
      </c>
      <c r="H356" s="2">
        <f t="shared" si="16"/>
        <v>44755</v>
      </c>
      <c r="I356" s="2">
        <f t="shared" si="17"/>
        <v>44779</v>
      </c>
      <c r="J356" t="str">
        <f>VLOOKUP(M356,Umfragenteilnahme!$A$2:$B$3,2,)</f>
        <v>Nein</v>
      </c>
      <c r="M356">
        <v>2</v>
      </c>
      <c r="N356">
        <v>751</v>
      </c>
      <c r="O356">
        <v>4</v>
      </c>
      <c r="P356">
        <v>17</v>
      </c>
      <c r="Q356">
        <v>6</v>
      </c>
      <c r="R356">
        <v>5</v>
      </c>
      <c r="S356">
        <v>29</v>
      </c>
    </row>
    <row r="357" spans="1:19" x14ac:dyDescent="0.35">
      <c r="A357">
        <v>8004</v>
      </c>
      <c r="B357">
        <v>462</v>
      </c>
      <c r="C357" t="str">
        <f>VLOOKUP(B357,Kunde!A:C,3,FALSE)</f>
        <v>Geschäftskunde</v>
      </c>
      <c r="D357" t="str">
        <f>VLOOKUP(O357,Produkt!$A$1:$E$5,2,FALSE)</f>
        <v>A</v>
      </c>
      <c r="E357">
        <f t="shared" si="15"/>
        <v>57</v>
      </c>
      <c r="F357">
        <f>VLOOKUP(D357,Produkt!$B$1:$C$5,2,FALSE)*Bestellungen!E357</f>
        <v>17100</v>
      </c>
      <c r="G357" s="2">
        <v>45070</v>
      </c>
      <c r="H357" s="2">
        <f t="shared" si="16"/>
        <v>45075</v>
      </c>
      <c r="I357" s="2">
        <f t="shared" si="17"/>
        <v>45091</v>
      </c>
      <c r="J357" t="str">
        <f>VLOOKUP(M357,Umfragenteilnahme!$A$2:$B$3,2,)</f>
        <v>Ja</v>
      </c>
      <c r="M357">
        <v>1</v>
      </c>
      <c r="N357">
        <v>462</v>
      </c>
      <c r="O357">
        <v>1</v>
      </c>
      <c r="P357">
        <v>57</v>
      </c>
      <c r="Q357">
        <v>9</v>
      </c>
      <c r="R357">
        <v>5</v>
      </c>
      <c r="S357">
        <v>21</v>
      </c>
    </row>
    <row r="358" spans="1:19" x14ac:dyDescent="0.35">
      <c r="A358">
        <v>8005</v>
      </c>
      <c r="B358">
        <v>481</v>
      </c>
      <c r="C358" t="str">
        <f>VLOOKUP(B358,Kunde!A:C,3,FALSE)</f>
        <v>Geschäftskunde</v>
      </c>
      <c r="D358" t="str">
        <f>VLOOKUP(O358,Produkt!$A$1:$E$5,2,FALSE)</f>
        <v>A</v>
      </c>
      <c r="E358">
        <f t="shared" si="15"/>
        <v>41</v>
      </c>
      <c r="F358">
        <f>VLOOKUP(D358,Produkt!$B$1:$C$5,2,FALSE)*Bestellungen!E358</f>
        <v>12300</v>
      </c>
      <c r="G358" s="2">
        <v>44823</v>
      </c>
      <c r="H358" s="2">
        <f t="shared" si="16"/>
        <v>44829</v>
      </c>
      <c r="I358" s="2">
        <f t="shared" si="17"/>
        <v>44870</v>
      </c>
      <c r="J358" t="str">
        <f>VLOOKUP(M358,Umfragenteilnahme!$A$2:$B$3,2,)</f>
        <v>Ja</v>
      </c>
      <c r="M358">
        <v>1</v>
      </c>
      <c r="N358">
        <v>481</v>
      </c>
      <c r="O358">
        <v>1</v>
      </c>
      <c r="P358">
        <v>41</v>
      </c>
      <c r="Q358">
        <v>7</v>
      </c>
      <c r="R358">
        <v>6</v>
      </c>
      <c r="S358">
        <v>47</v>
      </c>
    </row>
    <row r="359" spans="1:19" x14ac:dyDescent="0.35">
      <c r="A359">
        <v>8006</v>
      </c>
      <c r="B359">
        <v>546</v>
      </c>
      <c r="C359" t="str">
        <f>VLOOKUP(B359,Kunde!A:C,3,FALSE)</f>
        <v>Privatkunde</v>
      </c>
      <c r="D359" t="str">
        <f>VLOOKUP(O359,Produkt!$A$1:$E$5,2,FALSE)</f>
        <v>A</v>
      </c>
      <c r="E359">
        <f t="shared" si="15"/>
        <v>3</v>
      </c>
      <c r="F359">
        <f>VLOOKUP(D359,Produkt!$B$1:$C$5,2,FALSE)*Bestellungen!E359</f>
        <v>900</v>
      </c>
      <c r="G359" s="2">
        <v>44969</v>
      </c>
      <c r="H359" s="2">
        <f t="shared" si="16"/>
        <v>44974</v>
      </c>
      <c r="I359" s="2">
        <f t="shared" si="17"/>
        <v>44988</v>
      </c>
      <c r="J359" t="str">
        <f>VLOOKUP(M359,Umfragenteilnahme!$A$2:$B$3,2,)</f>
        <v>Nein</v>
      </c>
      <c r="M359">
        <v>2</v>
      </c>
      <c r="N359">
        <v>546</v>
      </c>
      <c r="O359">
        <v>1</v>
      </c>
      <c r="P359">
        <v>93</v>
      </c>
      <c r="Q359">
        <v>3</v>
      </c>
      <c r="R359">
        <v>5</v>
      </c>
      <c r="S359">
        <v>19</v>
      </c>
    </row>
    <row r="360" spans="1:19" x14ac:dyDescent="0.35">
      <c r="A360">
        <v>8007</v>
      </c>
      <c r="B360">
        <v>43</v>
      </c>
      <c r="C360" t="str">
        <f>VLOOKUP(B360,Kunde!A:C,3,FALSE)</f>
        <v>Geschäftskunde</v>
      </c>
      <c r="D360" t="str">
        <f>VLOOKUP(O360,Produkt!$A$1:$E$5,2,FALSE)</f>
        <v>B</v>
      </c>
      <c r="E360">
        <f t="shared" si="15"/>
        <v>33</v>
      </c>
      <c r="F360">
        <f>VLOOKUP(D360,Produkt!$B$1:$C$5,2,FALSE)*Bestellungen!E360</f>
        <v>15840</v>
      </c>
      <c r="G360" s="2">
        <v>45002</v>
      </c>
      <c r="H360" s="2">
        <f t="shared" si="16"/>
        <v>45004</v>
      </c>
      <c r="I360" s="2">
        <f t="shared" si="17"/>
        <v>45033</v>
      </c>
      <c r="J360" t="str">
        <f>VLOOKUP(M360,Umfragenteilnahme!$A$2:$B$3,2,)</f>
        <v>Ja</v>
      </c>
      <c r="M360">
        <v>1</v>
      </c>
      <c r="N360">
        <v>43</v>
      </c>
      <c r="O360">
        <v>2</v>
      </c>
      <c r="P360">
        <v>33</v>
      </c>
      <c r="Q360">
        <v>4</v>
      </c>
      <c r="R360">
        <v>2</v>
      </c>
      <c r="S360">
        <v>31</v>
      </c>
    </row>
    <row r="361" spans="1:19" x14ac:dyDescent="0.35">
      <c r="A361">
        <v>8008</v>
      </c>
      <c r="B361">
        <v>299</v>
      </c>
      <c r="C361" t="str">
        <f>VLOOKUP(B361,Kunde!A:C,3,FALSE)</f>
        <v>Geschäftskunde</v>
      </c>
      <c r="D361" t="str">
        <f>VLOOKUP(O361,Produkt!$A$1:$E$5,2,FALSE)</f>
        <v>B</v>
      </c>
      <c r="E361">
        <f t="shared" si="15"/>
        <v>51</v>
      </c>
      <c r="F361">
        <f>VLOOKUP(D361,Produkt!$B$1:$C$5,2,FALSE)*Bestellungen!E361</f>
        <v>24480</v>
      </c>
      <c r="G361" s="2">
        <v>45070</v>
      </c>
      <c r="H361" s="2">
        <f t="shared" si="16"/>
        <v>45077</v>
      </c>
      <c r="I361" s="2">
        <f t="shared" si="17"/>
        <v>45077</v>
      </c>
      <c r="J361" t="str">
        <f>VLOOKUP(M361,Umfragenteilnahme!$A$2:$B$3,2,)</f>
        <v>Nein</v>
      </c>
      <c r="M361">
        <v>2</v>
      </c>
      <c r="N361">
        <v>299</v>
      </c>
      <c r="O361">
        <v>2</v>
      </c>
      <c r="P361">
        <v>51</v>
      </c>
      <c r="Q361">
        <v>2</v>
      </c>
      <c r="R361">
        <v>7</v>
      </c>
      <c r="S361">
        <v>7</v>
      </c>
    </row>
    <row r="362" spans="1:19" x14ac:dyDescent="0.35">
      <c r="A362">
        <v>8009</v>
      </c>
      <c r="B362">
        <v>734</v>
      </c>
      <c r="C362" t="str">
        <f>VLOOKUP(B362,Kunde!A:C,3,FALSE)</f>
        <v>Geschäftskunde</v>
      </c>
      <c r="D362" t="str">
        <f>VLOOKUP(O362,Produkt!$A$1:$E$5,2,FALSE)</f>
        <v>D</v>
      </c>
      <c r="E362">
        <f t="shared" si="15"/>
        <v>17</v>
      </c>
      <c r="F362">
        <f>VLOOKUP(D362,Produkt!$B$1:$C$5,2,FALSE)*Bestellungen!E362</f>
        <v>13600</v>
      </c>
      <c r="G362" s="2">
        <v>44905</v>
      </c>
      <c r="H362" s="2">
        <f t="shared" si="16"/>
        <v>44912</v>
      </c>
      <c r="I362" s="2">
        <f t="shared" si="17"/>
        <v>44951</v>
      </c>
      <c r="J362" t="str">
        <f>VLOOKUP(M362,Umfragenteilnahme!$A$2:$B$3,2,)</f>
        <v>Nein</v>
      </c>
      <c r="M362">
        <v>2</v>
      </c>
      <c r="N362">
        <v>734</v>
      </c>
      <c r="O362">
        <v>4</v>
      </c>
      <c r="P362">
        <v>17</v>
      </c>
      <c r="Q362">
        <v>7</v>
      </c>
      <c r="R362">
        <v>7</v>
      </c>
      <c r="S362">
        <v>46</v>
      </c>
    </row>
    <row r="363" spans="1:19" x14ac:dyDescent="0.35">
      <c r="A363">
        <v>8010</v>
      </c>
      <c r="B363">
        <v>82</v>
      </c>
      <c r="C363" t="str">
        <f>VLOOKUP(B363,Kunde!A:C,3,FALSE)</f>
        <v>Geschäftskunde</v>
      </c>
      <c r="D363" t="str">
        <f>VLOOKUP(O363,Produkt!$A$1:$E$5,2,FALSE)</f>
        <v>D</v>
      </c>
      <c r="E363">
        <f t="shared" si="15"/>
        <v>37</v>
      </c>
      <c r="F363">
        <f>VLOOKUP(D363,Produkt!$B$1:$C$5,2,FALSE)*Bestellungen!E363</f>
        <v>29600</v>
      </c>
      <c r="G363" s="2">
        <v>44783</v>
      </c>
      <c r="H363" s="2">
        <f t="shared" si="16"/>
        <v>44785</v>
      </c>
      <c r="I363" s="2">
        <f t="shared" si="17"/>
        <v>44829</v>
      </c>
      <c r="J363" t="str">
        <f>VLOOKUP(M363,Umfragenteilnahme!$A$2:$B$3,2,)</f>
        <v>Ja</v>
      </c>
      <c r="M363">
        <v>1</v>
      </c>
      <c r="N363">
        <v>82</v>
      </c>
      <c r="O363">
        <v>4</v>
      </c>
      <c r="P363">
        <v>37</v>
      </c>
      <c r="Q363">
        <v>3</v>
      </c>
      <c r="R363">
        <v>2</v>
      </c>
      <c r="S363">
        <v>46</v>
      </c>
    </row>
    <row r="364" spans="1:19" x14ac:dyDescent="0.35">
      <c r="A364">
        <v>8011</v>
      </c>
      <c r="B364">
        <v>97</v>
      </c>
      <c r="C364" t="str">
        <f>VLOOKUP(B364,Kunde!A:C,3,FALSE)</f>
        <v>Geschäftskunde</v>
      </c>
      <c r="D364" t="str">
        <f>VLOOKUP(O364,Produkt!$A$1:$E$5,2,FALSE)</f>
        <v>C</v>
      </c>
      <c r="E364">
        <f t="shared" si="15"/>
        <v>29</v>
      </c>
      <c r="F364">
        <f>VLOOKUP(D364,Produkt!$B$1:$C$5,2,FALSE)*Bestellungen!E364</f>
        <v>43500</v>
      </c>
      <c r="G364" s="2">
        <v>44725</v>
      </c>
      <c r="H364" s="2">
        <f t="shared" si="16"/>
        <v>44730</v>
      </c>
      <c r="I364" s="2">
        <f t="shared" si="17"/>
        <v>44755</v>
      </c>
      <c r="J364" t="str">
        <f>VLOOKUP(M364,Umfragenteilnahme!$A$2:$B$3,2,)</f>
        <v>Ja</v>
      </c>
      <c r="M364">
        <v>1</v>
      </c>
      <c r="N364">
        <v>97</v>
      </c>
      <c r="O364">
        <v>3</v>
      </c>
      <c r="P364">
        <v>29</v>
      </c>
      <c r="Q364">
        <v>3</v>
      </c>
      <c r="R364">
        <v>5</v>
      </c>
      <c r="S364">
        <v>30</v>
      </c>
    </row>
    <row r="365" spans="1:19" x14ac:dyDescent="0.35">
      <c r="A365">
        <v>8012</v>
      </c>
      <c r="B365">
        <v>500</v>
      </c>
      <c r="C365" t="str">
        <f>VLOOKUP(B365,Kunde!A:C,3,FALSE)</f>
        <v>Geschäftskunde</v>
      </c>
      <c r="D365" t="str">
        <f>VLOOKUP(O365,Produkt!$A$1:$E$5,2,FALSE)</f>
        <v>B</v>
      </c>
      <c r="E365">
        <f t="shared" si="15"/>
        <v>20</v>
      </c>
      <c r="F365">
        <f>VLOOKUP(D365,Produkt!$B$1:$C$5,2,FALSE)*Bestellungen!E365</f>
        <v>9600</v>
      </c>
      <c r="G365" s="2">
        <v>44748</v>
      </c>
      <c r="H365" s="2">
        <f t="shared" si="16"/>
        <v>44752</v>
      </c>
      <c r="I365" s="2">
        <f t="shared" si="17"/>
        <v>44780</v>
      </c>
      <c r="J365" t="str">
        <f>VLOOKUP(M365,Umfragenteilnahme!$A$2:$B$3,2,)</f>
        <v>Nein</v>
      </c>
      <c r="M365">
        <v>2</v>
      </c>
      <c r="N365">
        <v>500</v>
      </c>
      <c r="O365">
        <v>2</v>
      </c>
      <c r="P365">
        <v>20</v>
      </c>
      <c r="Q365">
        <v>6</v>
      </c>
      <c r="R365">
        <v>4</v>
      </c>
      <c r="S365">
        <v>32</v>
      </c>
    </row>
    <row r="366" spans="1:19" x14ac:dyDescent="0.35">
      <c r="A366">
        <v>8013</v>
      </c>
      <c r="B366">
        <v>554</v>
      </c>
      <c r="C366" t="str">
        <f>VLOOKUP(B366,Kunde!A:C,3,FALSE)</f>
        <v>Geschäftskunde</v>
      </c>
      <c r="D366" t="str">
        <f>VLOOKUP(O366,Produkt!$A$1:$E$5,2,FALSE)</f>
        <v>A</v>
      </c>
      <c r="E366">
        <f t="shared" si="15"/>
        <v>114</v>
      </c>
      <c r="F366">
        <f>VLOOKUP(D366,Produkt!$B$1:$C$5,2,FALSE)*Bestellungen!E366</f>
        <v>34200</v>
      </c>
      <c r="G366" s="2">
        <v>44999</v>
      </c>
      <c r="H366" s="2">
        <f t="shared" si="16"/>
        <v>45003</v>
      </c>
      <c r="I366" s="2">
        <f t="shared" si="17"/>
        <v>45014</v>
      </c>
      <c r="J366" t="str">
        <f>VLOOKUP(M366,Umfragenteilnahme!$A$2:$B$3,2,)</f>
        <v>Nein</v>
      </c>
      <c r="M366">
        <v>2</v>
      </c>
      <c r="N366">
        <v>554</v>
      </c>
      <c r="O366">
        <v>1</v>
      </c>
      <c r="P366">
        <v>114</v>
      </c>
      <c r="Q366">
        <v>3</v>
      </c>
      <c r="R366">
        <v>4</v>
      </c>
      <c r="S366">
        <v>15</v>
      </c>
    </row>
    <row r="367" spans="1:19" x14ac:dyDescent="0.35">
      <c r="A367">
        <v>8014</v>
      </c>
      <c r="B367">
        <v>425</v>
      </c>
      <c r="C367" t="str">
        <f>VLOOKUP(B367,Kunde!A:C,3,FALSE)</f>
        <v>Geschäftskunde</v>
      </c>
      <c r="D367" t="str">
        <f>VLOOKUP(O367,Produkt!$A$1:$E$5,2,FALSE)</f>
        <v>B</v>
      </c>
      <c r="E367">
        <f t="shared" si="15"/>
        <v>106</v>
      </c>
      <c r="F367">
        <f>VLOOKUP(D367,Produkt!$B$1:$C$5,2,FALSE)*Bestellungen!E367</f>
        <v>50880</v>
      </c>
      <c r="G367" s="2">
        <v>45019</v>
      </c>
      <c r="H367" s="2">
        <f t="shared" si="16"/>
        <v>45023</v>
      </c>
      <c r="I367" s="2">
        <f t="shared" si="17"/>
        <v>45027</v>
      </c>
      <c r="J367" t="str">
        <f>VLOOKUP(M367,Umfragenteilnahme!$A$2:$B$3,2,)</f>
        <v>Nein</v>
      </c>
      <c r="M367">
        <v>2</v>
      </c>
      <c r="N367">
        <v>425</v>
      </c>
      <c r="O367">
        <v>2</v>
      </c>
      <c r="P367">
        <v>106</v>
      </c>
      <c r="Q367">
        <v>9</v>
      </c>
      <c r="R367">
        <v>4</v>
      </c>
      <c r="S367">
        <v>8</v>
      </c>
    </row>
    <row r="368" spans="1:19" x14ac:dyDescent="0.35">
      <c r="A368">
        <v>8015</v>
      </c>
      <c r="B368">
        <v>439</v>
      </c>
      <c r="C368" t="str">
        <f>VLOOKUP(B368,Kunde!A:C,3,FALSE)</f>
        <v>Geschäftskunde</v>
      </c>
      <c r="D368" t="str">
        <f>VLOOKUP(O368,Produkt!$A$1:$E$5,2,FALSE)</f>
        <v>C</v>
      </c>
      <c r="E368">
        <f t="shared" si="15"/>
        <v>150</v>
      </c>
      <c r="F368">
        <f>VLOOKUP(D368,Produkt!$B$1:$C$5,2,FALSE)*Bestellungen!E368</f>
        <v>225000</v>
      </c>
      <c r="G368" s="2">
        <v>44744</v>
      </c>
      <c r="H368" s="2">
        <f t="shared" si="16"/>
        <v>44747</v>
      </c>
      <c r="I368" s="2">
        <f t="shared" si="17"/>
        <v>44769</v>
      </c>
      <c r="J368" t="str">
        <f>VLOOKUP(M368,Umfragenteilnahme!$A$2:$B$3,2,)</f>
        <v>Nein</v>
      </c>
      <c r="M368">
        <v>2</v>
      </c>
      <c r="N368">
        <v>439</v>
      </c>
      <c r="O368">
        <v>3</v>
      </c>
      <c r="P368">
        <v>150</v>
      </c>
      <c r="Q368">
        <v>1</v>
      </c>
      <c r="R368">
        <v>3</v>
      </c>
      <c r="S368">
        <v>25</v>
      </c>
    </row>
    <row r="369" spans="1:19" x14ac:dyDescent="0.35">
      <c r="A369">
        <v>8016</v>
      </c>
      <c r="B369">
        <v>679</v>
      </c>
      <c r="C369" t="str">
        <f>VLOOKUP(B369,Kunde!A:C,3,FALSE)</f>
        <v>Geschäftskunde</v>
      </c>
      <c r="D369" t="str">
        <f>VLOOKUP(O369,Produkt!$A$1:$E$5,2,FALSE)</f>
        <v>C</v>
      </c>
      <c r="E369">
        <f t="shared" si="15"/>
        <v>81</v>
      </c>
      <c r="F369">
        <f>VLOOKUP(D369,Produkt!$B$1:$C$5,2,FALSE)*Bestellungen!E369</f>
        <v>121500</v>
      </c>
      <c r="G369" s="2">
        <v>44860</v>
      </c>
      <c r="H369" s="2">
        <f t="shared" si="16"/>
        <v>44866</v>
      </c>
      <c r="I369" s="2">
        <f t="shared" si="17"/>
        <v>44872</v>
      </c>
      <c r="J369" t="str">
        <f>VLOOKUP(M369,Umfragenteilnahme!$A$2:$B$3,2,)</f>
        <v>Nein</v>
      </c>
      <c r="M369">
        <v>2</v>
      </c>
      <c r="N369">
        <v>679</v>
      </c>
      <c r="O369">
        <v>3</v>
      </c>
      <c r="P369">
        <v>81</v>
      </c>
      <c r="Q369">
        <v>9</v>
      </c>
      <c r="R369">
        <v>6</v>
      </c>
      <c r="S369">
        <v>12</v>
      </c>
    </row>
    <row r="370" spans="1:19" x14ac:dyDescent="0.35">
      <c r="A370">
        <v>8017</v>
      </c>
      <c r="B370">
        <v>668</v>
      </c>
      <c r="C370" t="str">
        <f>VLOOKUP(B370,Kunde!A:C,3,FALSE)</f>
        <v>Geschäftskunde</v>
      </c>
      <c r="D370" t="str">
        <f>VLOOKUP(O370,Produkt!$A$1:$E$5,2,FALSE)</f>
        <v>D</v>
      </c>
      <c r="E370">
        <f t="shared" si="15"/>
        <v>65</v>
      </c>
      <c r="F370">
        <f>VLOOKUP(D370,Produkt!$B$1:$C$5,2,FALSE)*Bestellungen!E370</f>
        <v>52000</v>
      </c>
      <c r="G370" s="2">
        <v>44886</v>
      </c>
      <c r="H370" s="2">
        <f t="shared" si="16"/>
        <v>44892</v>
      </c>
      <c r="I370" s="2">
        <f t="shared" si="17"/>
        <v>44915</v>
      </c>
      <c r="J370" t="str">
        <f>VLOOKUP(M370,Umfragenteilnahme!$A$2:$B$3,2,)</f>
        <v>Ja</v>
      </c>
      <c r="M370">
        <v>1</v>
      </c>
      <c r="N370">
        <v>668</v>
      </c>
      <c r="O370">
        <v>4</v>
      </c>
      <c r="P370">
        <v>65</v>
      </c>
      <c r="Q370">
        <v>4</v>
      </c>
      <c r="R370">
        <v>6</v>
      </c>
      <c r="S370">
        <v>29</v>
      </c>
    </row>
    <row r="371" spans="1:19" x14ac:dyDescent="0.35">
      <c r="A371">
        <v>8018</v>
      </c>
      <c r="B371">
        <v>167</v>
      </c>
      <c r="C371" t="str">
        <f>VLOOKUP(B371,Kunde!A:C,3,FALSE)</f>
        <v>Geschäftskunde</v>
      </c>
      <c r="D371" t="str">
        <f>VLOOKUP(O371,Produkt!$A$1:$E$5,2,FALSE)</f>
        <v>B</v>
      </c>
      <c r="E371">
        <f t="shared" si="15"/>
        <v>52</v>
      </c>
      <c r="F371">
        <f>VLOOKUP(D371,Produkt!$B$1:$C$5,2,FALSE)*Bestellungen!E371</f>
        <v>24960</v>
      </c>
      <c r="G371" s="2">
        <v>44926</v>
      </c>
      <c r="H371" s="2">
        <f t="shared" si="16"/>
        <v>44933</v>
      </c>
      <c r="I371" s="2">
        <f t="shared" si="17"/>
        <v>44977</v>
      </c>
      <c r="J371" t="str">
        <f>VLOOKUP(M371,Umfragenteilnahme!$A$2:$B$3,2,)</f>
        <v>Nein</v>
      </c>
      <c r="M371">
        <v>2</v>
      </c>
      <c r="N371">
        <v>167</v>
      </c>
      <c r="O371">
        <v>2</v>
      </c>
      <c r="P371">
        <v>52</v>
      </c>
      <c r="Q371">
        <v>9</v>
      </c>
      <c r="R371">
        <v>7</v>
      </c>
      <c r="S371">
        <v>51</v>
      </c>
    </row>
    <row r="372" spans="1:19" x14ac:dyDescent="0.35">
      <c r="A372">
        <v>8019</v>
      </c>
      <c r="B372">
        <v>430</v>
      </c>
      <c r="C372" t="str">
        <f>VLOOKUP(B372,Kunde!A:C,3,FALSE)</f>
        <v>Privatkunde</v>
      </c>
      <c r="D372" t="str">
        <f>VLOOKUP(O372,Produkt!$A$1:$E$5,2,FALSE)</f>
        <v>D</v>
      </c>
      <c r="E372">
        <f t="shared" si="15"/>
        <v>1</v>
      </c>
      <c r="F372">
        <f>VLOOKUP(D372,Produkt!$B$1:$C$5,2,FALSE)*Bestellungen!E372</f>
        <v>800</v>
      </c>
      <c r="G372" s="2">
        <v>44942</v>
      </c>
      <c r="H372" s="2">
        <f t="shared" si="16"/>
        <v>44947</v>
      </c>
      <c r="I372" s="2">
        <f t="shared" si="17"/>
        <v>44948</v>
      </c>
      <c r="J372" t="str">
        <f>VLOOKUP(M372,Umfragenteilnahme!$A$2:$B$3,2,)</f>
        <v>Ja</v>
      </c>
      <c r="M372">
        <v>1</v>
      </c>
      <c r="N372">
        <v>430</v>
      </c>
      <c r="O372">
        <v>4</v>
      </c>
      <c r="P372">
        <v>110</v>
      </c>
      <c r="Q372">
        <v>1</v>
      </c>
      <c r="R372">
        <v>5</v>
      </c>
      <c r="S372">
        <v>6</v>
      </c>
    </row>
    <row r="373" spans="1:19" x14ac:dyDescent="0.35">
      <c r="A373">
        <v>8020</v>
      </c>
      <c r="B373">
        <v>637</v>
      </c>
      <c r="C373" t="str">
        <f>VLOOKUP(B373,Kunde!A:C,3,FALSE)</f>
        <v>Geschäftskunde</v>
      </c>
      <c r="D373" t="str">
        <f>VLOOKUP(O373,Produkt!$A$1:$E$5,2,FALSE)</f>
        <v>D</v>
      </c>
      <c r="E373">
        <f t="shared" si="15"/>
        <v>88</v>
      </c>
      <c r="F373">
        <f>VLOOKUP(D373,Produkt!$B$1:$C$5,2,FALSE)*Bestellungen!E373</f>
        <v>70400</v>
      </c>
      <c r="G373" s="2">
        <v>44733</v>
      </c>
      <c r="H373" s="2">
        <f t="shared" si="16"/>
        <v>44740</v>
      </c>
      <c r="I373" s="2">
        <f t="shared" si="17"/>
        <v>44789</v>
      </c>
      <c r="J373" t="str">
        <f>VLOOKUP(M373,Umfragenteilnahme!$A$2:$B$3,2,)</f>
        <v>Ja</v>
      </c>
      <c r="M373">
        <v>1</v>
      </c>
      <c r="N373">
        <v>637</v>
      </c>
      <c r="O373">
        <v>4</v>
      </c>
      <c r="P373">
        <v>88</v>
      </c>
      <c r="Q373">
        <v>10</v>
      </c>
      <c r="R373">
        <v>7</v>
      </c>
      <c r="S373">
        <v>56</v>
      </c>
    </row>
    <row r="374" spans="1:19" x14ac:dyDescent="0.35">
      <c r="A374">
        <v>8021</v>
      </c>
      <c r="B374">
        <v>306</v>
      </c>
      <c r="C374" t="str">
        <f>VLOOKUP(B374,Kunde!A:C,3,FALSE)</f>
        <v>Geschäftskunde</v>
      </c>
      <c r="D374" t="str">
        <f>VLOOKUP(O374,Produkt!$A$1:$E$5,2,FALSE)</f>
        <v>C</v>
      </c>
      <c r="E374">
        <f t="shared" si="15"/>
        <v>131</v>
      </c>
      <c r="F374">
        <f>VLOOKUP(D374,Produkt!$B$1:$C$5,2,FALSE)*Bestellungen!E374</f>
        <v>196500</v>
      </c>
      <c r="G374" s="2">
        <v>44910</v>
      </c>
      <c r="H374" s="2">
        <f t="shared" si="16"/>
        <v>44912</v>
      </c>
      <c r="I374" s="2">
        <f t="shared" si="17"/>
        <v>44959</v>
      </c>
      <c r="J374" t="str">
        <f>VLOOKUP(M374,Umfragenteilnahme!$A$2:$B$3,2,)</f>
        <v>Nein</v>
      </c>
      <c r="M374">
        <v>2</v>
      </c>
      <c r="N374">
        <v>306</v>
      </c>
      <c r="O374">
        <v>3</v>
      </c>
      <c r="P374">
        <v>131</v>
      </c>
      <c r="Q374">
        <v>1</v>
      </c>
      <c r="R374">
        <v>2</v>
      </c>
      <c r="S374">
        <v>49</v>
      </c>
    </row>
    <row r="375" spans="1:19" x14ac:dyDescent="0.35">
      <c r="A375">
        <v>8022</v>
      </c>
      <c r="B375">
        <v>406</v>
      </c>
      <c r="C375" t="str">
        <f>VLOOKUP(B375,Kunde!A:C,3,FALSE)</f>
        <v>Geschäftskunde</v>
      </c>
      <c r="D375" t="str">
        <f>VLOOKUP(O375,Produkt!$A$1:$E$5,2,FALSE)</f>
        <v>D</v>
      </c>
      <c r="E375">
        <f t="shared" si="15"/>
        <v>15</v>
      </c>
      <c r="F375">
        <f>VLOOKUP(D375,Produkt!$B$1:$C$5,2,FALSE)*Bestellungen!E375</f>
        <v>12000</v>
      </c>
      <c r="G375" s="2">
        <v>45074</v>
      </c>
      <c r="H375" s="2">
        <f t="shared" si="16"/>
        <v>45078</v>
      </c>
      <c r="I375" s="2">
        <f t="shared" si="17"/>
        <v>45082</v>
      </c>
      <c r="J375" t="str">
        <f>VLOOKUP(M375,Umfragenteilnahme!$A$2:$B$3,2,)</f>
        <v>Ja</v>
      </c>
      <c r="M375">
        <v>1</v>
      </c>
      <c r="N375">
        <v>406</v>
      </c>
      <c r="O375">
        <v>4</v>
      </c>
      <c r="P375">
        <v>15</v>
      </c>
      <c r="Q375">
        <v>7</v>
      </c>
      <c r="R375">
        <v>4</v>
      </c>
      <c r="S375">
        <v>8</v>
      </c>
    </row>
    <row r="376" spans="1:19" x14ac:dyDescent="0.35">
      <c r="A376">
        <v>8023</v>
      </c>
      <c r="B376">
        <v>455</v>
      </c>
      <c r="C376" t="str">
        <f>VLOOKUP(B376,Kunde!A:C,3,FALSE)</f>
        <v>Geschäftskunde</v>
      </c>
      <c r="D376" t="str">
        <f>VLOOKUP(O376,Produkt!$A$1:$E$5,2,FALSE)</f>
        <v>C</v>
      </c>
      <c r="E376">
        <f t="shared" si="15"/>
        <v>99</v>
      </c>
      <c r="F376">
        <f>VLOOKUP(D376,Produkt!$B$1:$C$5,2,FALSE)*Bestellungen!E376</f>
        <v>148500</v>
      </c>
      <c r="G376" s="2">
        <v>45041</v>
      </c>
      <c r="H376" s="2">
        <f t="shared" si="16"/>
        <v>45046</v>
      </c>
      <c r="I376" s="2">
        <f t="shared" si="17"/>
        <v>45061</v>
      </c>
      <c r="J376" t="str">
        <f>VLOOKUP(M376,Umfragenteilnahme!$A$2:$B$3,2,)</f>
        <v>Ja</v>
      </c>
      <c r="M376">
        <v>1</v>
      </c>
      <c r="N376">
        <v>455</v>
      </c>
      <c r="O376">
        <v>3</v>
      </c>
      <c r="P376">
        <v>99</v>
      </c>
      <c r="Q376">
        <v>4</v>
      </c>
      <c r="R376">
        <v>5</v>
      </c>
      <c r="S376">
        <v>20</v>
      </c>
    </row>
    <row r="377" spans="1:19" x14ac:dyDescent="0.35">
      <c r="A377">
        <v>8024</v>
      </c>
      <c r="B377">
        <v>369</v>
      </c>
      <c r="C377" t="str">
        <f>VLOOKUP(B377,Kunde!A:C,3,FALSE)</f>
        <v>Geschäftskunde</v>
      </c>
      <c r="D377" t="str">
        <f>VLOOKUP(O377,Produkt!$A$1:$E$5,2,FALSE)</f>
        <v>A</v>
      </c>
      <c r="E377">
        <f t="shared" si="15"/>
        <v>116</v>
      </c>
      <c r="F377">
        <f>VLOOKUP(D377,Produkt!$B$1:$C$5,2,FALSE)*Bestellungen!E377</f>
        <v>34800</v>
      </c>
      <c r="G377" s="2">
        <v>45028</v>
      </c>
      <c r="H377" s="2">
        <f t="shared" si="16"/>
        <v>45032</v>
      </c>
      <c r="I377" s="2">
        <f t="shared" si="17"/>
        <v>45051</v>
      </c>
      <c r="J377" t="str">
        <f>VLOOKUP(M377,Umfragenteilnahme!$A$2:$B$3,2,)</f>
        <v>Ja</v>
      </c>
      <c r="M377">
        <v>1</v>
      </c>
      <c r="N377">
        <v>369</v>
      </c>
      <c r="O377">
        <v>1</v>
      </c>
      <c r="P377">
        <v>116</v>
      </c>
      <c r="Q377">
        <v>1</v>
      </c>
      <c r="R377">
        <v>4</v>
      </c>
      <c r="S377">
        <v>23</v>
      </c>
    </row>
    <row r="378" spans="1:19" x14ac:dyDescent="0.35">
      <c r="A378">
        <v>8025</v>
      </c>
      <c r="B378">
        <v>626</v>
      </c>
      <c r="C378" t="str">
        <f>VLOOKUP(B378,Kunde!A:C,3,FALSE)</f>
        <v>Geschäftskunde</v>
      </c>
      <c r="D378" t="str">
        <f>VLOOKUP(O378,Produkt!$A$1:$E$5,2,FALSE)</f>
        <v>D</v>
      </c>
      <c r="E378">
        <f t="shared" si="15"/>
        <v>67</v>
      </c>
      <c r="F378">
        <f>VLOOKUP(D378,Produkt!$B$1:$C$5,2,FALSE)*Bestellungen!E378</f>
        <v>53600</v>
      </c>
      <c r="G378" s="2">
        <v>44777</v>
      </c>
      <c r="H378" s="2">
        <f t="shared" si="16"/>
        <v>44784</v>
      </c>
      <c r="I378" s="2">
        <f t="shared" si="17"/>
        <v>44836</v>
      </c>
      <c r="J378" t="str">
        <f>VLOOKUP(M378,Umfragenteilnahme!$A$2:$B$3,2,)</f>
        <v>Nein</v>
      </c>
      <c r="M378">
        <v>2</v>
      </c>
      <c r="N378">
        <v>626</v>
      </c>
      <c r="O378">
        <v>4</v>
      </c>
      <c r="P378">
        <v>67</v>
      </c>
      <c r="Q378">
        <v>10</v>
      </c>
      <c r="R378">
        <v>7</v>
      </c>
      <c r="S378">
        <v>59</v>
      </c>
    </row>
    <row r="379" spans="1:19" x14ac:dyDescent="0.35">
      <c r="A379">
        <v>8026</v>
      </c>
      <c r="B379">
        <v>504</v>
      </c>
      <c r="C379" t="str">
        <f>VLOOKUP(B379,Kunde!A:C,3,FALSE)</f>
        <v>Privatkunde</v>
      </c>
      <c r="D379" t="str">
        <f>VLOOKUP(O379,Produkt!$A$1:$E$5,2,FALSE)</f>
        <v>B</v>
      </c>
      <c r="E379">
        <f t="shared" si="15"/>
        <v>7</v>
      </c>
      <c r="F379">
        <f>VLOOKUP(D379,Produkt!$B$1:$C$5,2,FALSE)*Bestellungen!E379</f>
        <v>3360</v>
      </c>
      <c r="G379" s="2">
        <v>44979</v>
      </c>
      <c r="H379" s="2">
        <f t="shared" si="16"/>
        <v>44981</v>
      </c>
      <c r="I379" s="2">
        <f t="shared" si="17"/>
        <v>45006</v>
      </c>
      <c r="J379" t="str">
        <f>VLOOKUP(M379,Umfragenteilnahme!$A$2:$B$3,2,)</f>
        <v>Ja</v>
      </c>
      <c r="M379">
        <v>1</v>
      </c>
      <c r="N379">
        <v>504</v>
      </c>
      <c r="O379">
        <v>2</v>
      </c>
      <c r="P379">
        <v>104</v>
      </c>
      <c r="Q379">
        <v>7</v>
      </c>
      <c r="R379">
        <v>2</v>
      </c>
      <c r="S379">
        <v>27</v>
      </c>
    </row>
    <row r="380" spans="1:19" x14ac:dyDescent="0.35">
      <c r="A380">
        <v>8027</v>
      </c>
      <c r="B380">
        <v>219</v>
      </c>
      <c r="C380" t="str">
        <f>VLOOKUP(B380,Kunde!A:C,3,FALSE)</f>
        <v>Geschäftskunde</v>
      </c>
      <c r="D380" t="str">
        <f>VLOOKUP(O380,Produkt!$A$1:$E$5,2,FALSE)</f>
        <v>B</v>
      </c>
      <c r="E380">
        <f t="shared" si="15"/>
        <v>70</v>
      </c>
      <c r="F380">
        <f>VLOOKUP(D380,Produkt!$B$1:$C$5,2,FALSE)*Bestellungen!E380</f>
        <v>33600</v>
      </c>
      <c r="G380" s="2">
        <v>44830</v>
      </c>
      <c r="H380" s="2">
        <f t="shared" si="16"/>
        <v>44833</v>
      </c>
      <c r="I380" s="2">
        <f t="shared" si="17"/>
        <v>44883</v>
      </c>
      <c r="J380" t="str">
        <f>VLOOKUP(M380,Umfragenteilnahme!$A$2:$B$3,2,)</f>
        <v>Ja</v>
      </c>
      <c r="M380">
        <v>1</v>
      </c>
      <c r="N380">
        <v>219</v>
      </c>
      <c r="O380">
        <v>2</v>
      </c>
      <c r="P380">
        <v>70</v>
      </c>
      <c r="Q380">
        <v>9</v>
      </c>
      <c r="R380">
        <v>3</v>
      </c>
      <c r="S380">
        <v>53</v>
      </c>
    </row>
    <row r="381" spans="1:19" x14ac:dyDescent="0.35">
      <c r="A381">
        <v>8028</v>
      </c>
      <c r="B381">
        <v>280</v>
      </c>
      <c r="C381" t="str">
        <f>VLOOKUP(B381,Kunde!A:C,3,FALSE)</f>
        <v>Geschäftskunde</v>
      </c>
      <c r="D381" t="str">
        <f>VLOOKUP(O381,Produkt!$A$1:$E$5,2,FALSE)</f>
        <v>C</v>
      </c>
      <c r="E381">
        <f t="shared" si="15"/>
        <v>123</v>
      </c>
      <c r="F381">
        <f>VLOOKUP(D381,Produkt!$B$1:$C$5,2,FALSE)*Bestellungen!E381</f>
        <v>184500</v>
      </c>
      <c r="G381" s="2">
        <v>44864</v>
      </c>
      <c r="H381" s="2">
        <f t="shared" si="16"/>
        <v>44867</v>
      </c>
      <c r="I381" s="2">
        <f t="shared" si="17"/>
        <v>44912</v>
      </c>
      <c r="J381" t="str">
        <f>VLOOKUP(M381,Umfragenteilnahme!$A$2:$B$3,2,)</f>
        <v>Nein</v>
      </c>
      <c r="M381">
        <v>2</v>
      </c>
      <c r="N381">
        <v>280</v>
      </c>
      <c r="O381">
        <v>3</v>
      </c>
      <c r="P381">
        <v>123</v>
      </c>
      <c r="Q381">
        <v>3</v>
      </c>
      <c r="R381">
        <v>3</v>
      </c>
      <c r="S381">
        <v>48</v>
      </c>
    </row>
    <row r="382" spans="1:19" x14ac:dyDescent="0.35">
      <c r="A382">
        <v>8029</v>
      </c>
      <c r="B382">
        <v>566</v>
      </c>
      <c r="C382" t="str">
        <f>VLOOKUP(B382,Kunde!A:C,3,FALSE)</f>
        <v>Geschäftskunde</v>
      </c>
      <c r="D382" t="str">
        <f>VLOOKUP(O382,Produkt!$A$1:$E$5,2,FALSE)</f>
        <v>A</v>
      </c>
      <c r="E382">
        <f t="shared" si="15"/>
        <v>40</v>
      </c>
      <c r="F382">
        <f>VLOOKUP(D382,Produkt!$B$1:$C$5,2,FALSE)*Bestellungen!E382</f>
        <v>12000</v>
      </c>
      <c r="G382" s="2">
        <v>44720</v>
      </c>
      <c r="H382" s="2">
        <f t="shared" si="16"/>
        <v>44725</v>
      </c>
      <c r="I382" s="2">
        <f t="shared" si="17"/>
        <v>44776</v>
      </c>
      <c r="J382" t="str">
        <f>VLOOKUP(M382,Umfragenteilnahme!$A$2:$B$3,2,)</f>
        <v>Ja</v>
      </c>
      <c r="M382">
        <v>1</v>
      </c>
      <c r="N382">
        <v>566</v>
      </c>
      <c r="O382">
        <v>1</v>
      </c>
      <c r="P382">
        <v>40</v>
      </c>
      <c r="Q382">
        <v>1</v>
      </c>
      <c r="R382">
        <v>5</v>
      </c>
      <c r="S382">
        <v>56</v>
      </c>
    </row>
    <row r="383" spans="1:19" x14ac:dyDescent="0.35">
      <c r="A383">
        <v>8030</v>
      </c>
      <c r="B383">
        <v>262</v>
      </c>
      <c r="C383" t="str">
        <f>VLOOKUP(B383,Kunde!A:C,3,FALSE)</f>
        <v>Geschäftskunde</v>
      </c>
      <c r="D383" t="str">
        <f>VLOOKUP(O383,Produkt!$A$1:$E$5,2,FALSE)</f>
        <v>A</v>
      </c>
      <c r="E383">
        <f t="shared" si="15"/>
        <v>93</v>
      </c>
      <c r="F383">
        <f>VLOOKUP(D383,Produkt!$B$1:$C$5,2,FALSE)*Bestellungen!E383</f>
        <v>27900</v>
      </c>
      <c r="G383" s="2">
        <v>45044</v>
      </c>
      <c r="H383" s="2">
        <f t="shared" si="16"/>
        <v>45046</v>
      </c>
      <c r="I383" s="2">
        <f t="shared" si="17"/>
        <v>45082</v>
      </c>
      <c r="J383" t="str">
        <f>VLOOKUP(M383,Umfragenteilnahme!$A$2:$B$3,2,)</f>
        <v>Nein</v>
      </c>
      <c r="M383">
        <v>2</v>
      </c>
      <c r="N383">
        <v>262</v>
      </c>
      <c r="O383">
        <v>1</v>
      </c>
      <c r="P383">
        <v>93</v>
      </c>
      <c r="Q383">
        <v>1</v>
      </c>
      <c r="R383">
        <v>2</v>
      </c>
      <c r="S383">
        <v>38</v>
      </c>
    </row>
    <row r="384" spans="1:19" x14ac:dyDescent="0.35">
      <c r="A384">
        <v>8031</v>
      </c>
      <c r="B384">
        <v>444</v>
      </c>
      <c r="C384" t="str">
        <f>VLOOKUP(B384,Kunde!A:C,3,FALSE)</f>
        <v>Geschäftskunde</v>
      </c>
      <c r="D384" t="str">
        <f>VLOOKUP(O384,Produkt!$A$1:$E$5,2,FALSE)</f>
        <v>A</v>
      </c>
      <c r="E384">
        <f t="shared" si="15"/>
        <v>143</v>
      </c>
      <c r="F384">
        <f>VLOOKUP(D384,Produkt!$B$1:$C$5,2,FALSE)*Bestellungen!E384</f>
        <v>42900</v>
      </c>
      <c r="G384" s="2">
        <v>44939</v>
      </c>
      <c r="H384" s="2">
        <f t="shared" si="16"/>
        <v>44942</v>
      </c>
      <c r="I384" s="2">
        <f t="shared" si="17"/>
        <v>44991</v>
      </c>
      <c r="J384" t="str">
        <f>VLOOKUP(M384,Umfragenteilnahme!$A$2:$B$3,2,)</f>
        <v>Nein</v>
      </c>
      <c r="M384">
        <v>2</v>
      </c>
      <c r="N384">
        <v>444</v>
      </c>
      <c r="O384">
        <v>1</v>
      </c>
      <c r="P384">
        <v>143</v>
      </c>
      <c r="Q384">
        <v>1</v>
      </c>
      <c r="R384">
        <v>3</v>
      </c>
      <c r="S384">
        <v>52</v>
      </c>
    </row>
    <row r="385" spans="1:19" x14ac:dyDescent="0.35">
      <c r="A385">
        <v>8032</v>
      </c>
      <c r="B385">
        <v>138</v>
      </c>
      <c r="C385" t="str">
        <f>VLOOKUP(B385,Kunde!A:C,3,FALSE)</f>
        <v>Geschäftskunde</v>
      </c>
      <c r="D385" t="str">
        <f>VLOOKUP(O385,Produkt!$A$1:$E$5,2,FALSE)</f>
        <v>D</v>
      </c>
      <c r="E385">
        <f t="shared" si="15"/>
        <v>30</v>
      </c>
      <c r="F385">
        <f>VLOOKUP(D385,Produkt!$B$1:$C$5,2,FALSE)*Bestellungen!E385</f>
        <v>24000</v>
      </c>
      <c r="G385" s="2">
        <v>44954</v>
      </c>
      <c r="H385" s="2">
        <f t="shared" si="16"/>
        <v>44958</v>
      </c>
      <c r="I385" s="2">
        <f t="shared" si="17"/>
        <v>45007</v>
      </c>
      <c r="J385" t="str">
        <f>VLOOKUP(M385,Umfragenteilnahme!$A$2:$B$3,2,)</f>
        <v>Nein</v>
      </c>
      <c r="M385">
        <v>2</v>
      </c>
      <c r="N385">
        <v>138</v>
      </c>
      <c r="O385">
        <v>4</v>
      </c>
      <c r="P385">
        <v>30</v>
      </c>
      <c r="Q385">
        <v>8</v>
      </c>
      <c r="R385">
        <v>4</v>
      </c>
      <c r="S385">
        <v>53</v>
      </c>
    </row>
    <row r="386" spans="1:19" x14ac:dyDescent="0.35">
      <c r="A386">
        <v>8033</v>
      </c>
      <c r="B386">
        <v>312</v>
      </c>
      <c r="C386" t="str">
        <f>VLOOKUP(B386,Kunde!A:C,3,FALSE)</f>
        <v>Geschäftskunde</v>
      </c>
      <c r="D386" t="str">
        <f>VLOOKUP(O386,Produkt!$A$1:$E$5,2,FALSE)</f>
        <v>C</v>
      </c>
      <c r="E386">
        <f t="shared" si="15"/>
        <v>55</v>
      </c>
      <c r="F386">
        <f>VLOOKUP(D386,Produkt!$B$1:$C$5,2,FALSE)*Bestellungen!E386</f>
        <v>82500</v>
      </c>
      <c r="G386" s="2">
        <v>44749</v>
      </c>
      <c r="H386" s="2">
        <f t="shared" si="16"/>
        <v>44752</v>
      </c>
      <c r="I386" s="2">
        <f t="shared" si="17"/>
        <v>44776</v>
      </c>
      <c r="J386" t="str">
        <f>VLOOKUP(M386,Umfragenteilnahme!$A$2:$B$3,2,)</f>
        <v>Ja</v>
      </c>
      <c r="M386">
        <v>1</v>
      </c>
      <c r="N386">
        <v>312</v>
      </c>
      <c r="O386">
        <v>3</v>
      </c>
      <c r="P386">
        <v>55</v>
      </c>
      <c r="Q386">
        <v>7</v>
      </c>
      <c r="R386">
        <v>3</v>
      </c>
      <c r="S386">
        <v>27</v>
      </c>
    </row>
    <row r="387" spans="1:19" x14ac:dyDescent="0.35">
      <c r="A387">
        <v>8034</v>
      </c>
      <c r="B387">
        <v>250</v>
      </c>
      <c r="C387" t="str">
        <f>VLOOKUP(B387,Kunde!A:C,3,FALSE)</f>
        <v>Geschäftskunde</v>
      </c>
      <c r="D387" t="str">
        <f>VLOOKUP(O387,Produkt!$A$1:$E$5,2,FALSE)</f>
        <v>D</v>
      </c>
      <c r="E387">
        <f t="shared" ref="E387:E450" si="18">IF(C387="Geschäftskunde",P387,Q387)</f>
        <v>90</v>
      </c>
      <c r="F387">
        <f>VLOOKUP(D387,Produkt!$B$1:$C$5,2,FALSE)*Bestellungen!E387</f>
        <v>72000</v>
      </c>
      <c r="G387" s="2">
        <v>44734</v>
      </c>
      <c r="H387" s="2">
        <f t="shared" ref="H387:H450" si="19">G387+R387</f>
        <v>44741</v>
      </c>
      <c r="I387" s="2">
        <f t="shared" ref="I387:I450" si="20">G387+S387</f>
        <v>44782</v>
      </c>
      <c r="J387" t="str">
        <f>VLOOKUP(M387,Umfragenteilnahme!$A$2:$B$3,2,)</f>
        <v>Ja</v>
      </c>
      <c r="M387">
        <v>1</v>
      </c>
      <c r="N387">
        <v>250</v>
      </c>
      <c r="O387">
        <v>4</v>
      </c>
      <c r="P387">
        <v>90</v>
      </c>
      <c r="Q387">
        <v>7</v>
      </c>
      <c r="R387">
        <v>7</v>
      </c>
      <c r="S387">
        <v>48</v>
      </c>
    </row>
    <row r="388" spans="1:19" x14ac:dyDescent="0.35">
      <c r="A388">
        <v>8035</v>
      </c>
      <c r="B388">
        <v>278</v>
      </c>
      <c r="C388" t="str">
        <f>VLOOKUP(B388,Kunde!A:C,3,FALSE)</f>
        <v>Geschäftskunde</v>
      </c>
      <c r="D388" t="str">
        <f>VLOOKUP(O388,Produkt!$A$1:$E$5,2,FALSE)</f>
        <v>C</v>
      </c>
      <c r="E388">
        <f t="shared" si="18"/>
        <v>72</v>
      </c>
      <c r="F388">
        <f>VLOOKUP(D388,Produkt!$B$1:$C$5,2,FALSE)*Bestellungen!E388</f>
        <v>108000</v>
      </c>
      <c r="G388" s="2">
        <v>44787</v>
      </c>
      <c r="H388" s="2">
        <f t="shared" si="19"/>
        <v>44789</v>
      </c>
      <c r="I388" s="2">
        <f t="shared" si="20"/>
        <v>44807</v>
      </c>
      <c r="J388" t="str">
        <f>VLOOKUP(M388,Umfragenteilnahme!$A$2:$B$3,2,)</f>
        <v>Ja</v>
      </c>
      <c r="M388">
        <v>1</v>
      </c>
      <c r="N388">
        <v>278</v>
      </c>
      <c r="O388">
        <v>3</v>
      </c>
      <c r="P388">
        <v>72</v>
      </c>
      <c r="Q388">
        <v>9</v>
      </c>
      <c r="R388">
        <v>2</v>
      </c>
      <c r="S388">
        <v>20</v>
      </c>
    </row>
    <row r="389" spans="1:19" x14ac:dyDescent="0.35">
      <c r="A389">
        <v>8036</v>
      </c>
      <c r="B389">
        <v>779</v>
      </c>
      <c r="C389" t="str">
        <f>VLOOKUP(B389,Kunde!A:C,3,FALSE)</f>
        <v>Geschäftskunde</v>
      </c>
      <c r="D389" t="str">
        <f>VLOOKUP(O389,Produkt!$A$1:$E$5,2,FALSE)</f>
        <v>B</v>
      </c>
      <c r="E389">
        <f t="shared" si="18"/>
        <v>121</v>
      </c>
      <c r="F389">
        <f>VLOOKUP(D389,Produkt!$B$1:$C$5,2,FALSE)*Bestellungen!E389</f>
        <v>58080</v>
      </c>
      <c r="G389" s="2">
        <v>45005</v>
      </c>
      <c r="H389" s="2">
        <f t="shared" si="19"/>
        <v>45011</v>
      </c>
      <c r="I389" s="2">
        <f t="shared" si="20"/>
        <v>45030</v>
      </c>
      <c r="J389" t="str">
        <f>VLOOKUP(M389,Umfragenteilnahme!$A$2:$B$3,2,)</f>
        <v>Nein</v>
      </c>
      <c r="M389">
        <v>2</v>
      </c>
      <c r="N389">
        <v>779</v>
      </c>
      <c r="O389">
        <v>2</v>
      </c>
      <c r="P389">
        <v>121</v>
      </c>
      <c r="Q389">
        <v>7</v>
      </c>
      <c r="R389">
        <v>6</v>
      </c>
      <c r="S389">
        <v>25</v>
      </c>
    </row>
    <row r="390" spans="1:19" x14ac:dyDescent="0.35">
      <c r="A390">
        <v>8037</v>
      </c>
      <c r="B390">
        <v>163</v>
      </c>
      <c r="C390" t="str">
        <f>VLOOKUP(B390,Kunde!A:C,3,FALSE)</f>
        <v>Geschäftskunde</v>
      </c>
      <c r="D390" t="str">
        <f>VLOOKUP(O390,Produkt!$A$1:$E$5,2,FALSE)</f>
        <v>D</v>
      </c>
      <c r="E390">
        <f t="shared" si="18"/>
        <v>148</v>
      </c>
      <c r="F390">
        <f>VLOOKUP(D390,Produkt!$B$1:$C$5,2,FALSE)*Bestellungen!E390</f>
        <v>118400</v>
      </c>
      <c r="G390" s="2">
        <v>44988</v>
      </c>
      <c r="H390" s="2">
        <f t="shared" si="19"/>
        <v>44995</v>
      </c>
      <c r="I390" s="2">
        <f t="shared" si="20"/>
        <v>45048</v>
      </c>
      <c r="J390" t="str">
        <f>VLOOKUP(M390,Umfragenteilnahme!$A$2:$B$3,2,)</f>
        <v>Ja</v>
      </c>
      <c r="M390">
        <v>1</v>
      </c>
      <c r="N390">
        <v>163</v>
      </c>
      <c r="O390">
        <v>4</v>
      </c>
      <c r="P390">
        <v>148</v>
      </c>
      <c r="Q390">
        <v>5</v>
      </c>
      <c r="R390">
        <v>7</v>
      </c>
      <c r="S390">
        <v>60</v>
      </c>
    </row>
    <row r="391" spans="1:19" x14ac:dyDescent="0.35">
      <c r="A391">
        <v>8038</v>
      </c>
      <c r="B391">
        <v>606</v>
      </c>
      <c r="C391" t="str">
        <f>VLOOKUP(B391,Kunde!A:C,3,FALSE)</f>
        <v>Geschäftskunde</v>
      </c>
      <c r="D391" t="str">
        <f>VLOOKUP(O391,Produkt!$A$1:$E$5,2,FALSE)</f>
        <v>B</v>
      </c>
      <c r="E391">
        <f t="shared" si="18"/>
        <v>36</v>
      </c>
      <c r="F391">
        <f>VLOOKUP(D391,Produkt!$B$1:$C$5,2,FALSE)*Bestellungen!E391</f>
        <v>17280</v>
      </c>
      <c r="G391" s="2">
        <v>44824</v>
      </c>
      <c r="H391" s="2">
        <f t="shared" si="19"/>
        <v>44829</v>
      </c>
      <c r="I391" s="2">
        <f t="shared" si="20"/>
        <v>44876</v>
      </c>
      <c r="J391" t="str">
        <f>VLOOKUP(M391,Umfragenteilnahme!$A$2:$B$3,2,)</f>
        <v>Ja</v>
      </c>
      <c r="M391">
        <v>1</v>
      </c>
      <c r="N391">
        <v>606</v>
      </c>
      <c r="O391">
        <v>2</v>
      </c>
      <c r="P391">
        <v>36</v>
      </c>
      <c r="Q391">
        <v>8</v>
      </c>
      <c r="R391">
        <v>5</v>
      </c>
      <c r="S391">
        <v>52</v>
      </c>
    </row>
    <row r="392" spans="1:19" x14ac:dyDescent="0.35">
      <c r="A392">
        <v>8039</v>
      </c>
      <c r="B392">
        <v>706</v>
      </c>
      <c r="C392" t="str">
        <f>VLOOKUP(B392,Kunde!A:C,3,FALSE)</f>
        <v>Geschäftskunde</v>
      </c>
      <c r="D392" t="str">
        <f>VLOOKUP(O392,Produkt!$A$1:$E$5,2,FALSE)</f>
        <v>B</v>
      </c>
      <c r="E392">
        <f t="shared" si="18"/>
        <v>121</v>
      </c>
      <c r="F392">
        <f>VLOOKUP(D392,Produkt!$B$1:$C$5,2,FALSE)*Bestellungen!E392</f>
        <v>58080</v>
      </c>
      <c r="G392" s="2">
        <v>44898</v>
      </c>
      <c r="H392" s="2">
        <f t="shared" si="19"/>
        <v>44905</v>
      </c>
      <c r="I392" s="2">
        <f t="shared" si="20"/>
        <v>44916</v>
      </c>
      <c r="J392" t="str">
        <f>VLOOKUP(M392,Umfragenteilnahme!$A$2:$B$3,2,)</f>
        <v>Ja</v>
      </c>
      <c r="M392">
        <v>1</v>
      </c>
      <c r="N392">
        <v>706</v>
      </c>
      <c r="O392">
        <v>2</v>
      </c>
      <c r="P392">
        <v>121</v>
      </c>
      <c r="Q392">
        <v>3</v>
      </c>
      <c r="R392">
        <v>7</v>
      </c>
      <c r="S392">
        <v>18</v>
      </c>
    </row>
    <row r="393" spans="1:19" x14ac:dyDescent="0.35">
      <c r="A393">
        <v>8040</v>
      </c>
      <c r="B393">
        <v>724</v>
      </c>
      <c r="C393" t="str">
        <f>VLOOKUP(B393,Kunde!A:C,3,FALSE)</f>
        <v>Geschäftskunde</v>
      </c>
      <c r="D393" t="str">
        <f>VLOOKUP(O393,Produkt!$A$1:$E$5,2,FALSE)</f>
        <v>D</v>
      </c>
      <c r="E393">
        <f t="shared" si="18"/>
        <v>55</v>
      </c>
      <c r="F393">
        <f>VLOOKUP(D393,Produkt!$B$1:$C$5,2,FALSE)*Bestellungen!E393</f>
        <v>44000</v>
      </c>
      <c r="G393" s="2">
        <v>44971</v>
      </c>
      <c r="H393" s="2">
        <f t="shared" si="19"/>
        <v>44976</v>
      </c>
      <c r="I393" s="2">
        <f t="shared" si="20"/>
        <v>44974</v>
      </c>
      <c r="J393" t="str">
        <f>VLOOKUP(M393,Umfragenteilnahme!$A$2:$B$3,2,)</f>
        <v>Nein</v>
      </c>
      <c r="M393">
        <v>2</v>
      </c>
      <c r="N393">
        <v>724</v>
      </c>
      <c r="O393">
        <v>4</v>
      </c>
      <c r="P393">
        <v>55</v>
      </c>
      <c r="Q393">
        <v>1</v>
      </c>
      <c r="R393">
        <v>5</v>
      </c>
      <c r="S393">
        <v>3</v>
      </c>
    </row>
    <row r="394" spans="1:19" x14ac:dyDescent="0.35">
      <c r="A394">
        <v>8041</v>
      </c>
      <c r="B394">
        <v>727</v>
      </c>
      <c r="C394" t="str">
        <f>VLOOKUP(B394,Kunde!A:C,3,FALSE)</f>
        <v>Geschäftskunde</v>
      </c>
      <c r="D394" t="str">
        <f>VLOOKUP(O394,Produkt!$A$1:$E$5,2,FALSE)</f>
        <v>A</v>
      </c>
      <c r="E394">
        <f t="shared" si="18"/>
        <v>114</v>
      </c>
      <c r="F394">
        <f>VLOOKUP(D394,Produkt!$B$1:$C$5,2,FALSE)*Bestellungen!E394</f>
        <v>34200</v>
      </c>
      <c r="G394" s="2">
        <v>44775</v>
      </c>
      <c r="H394" s="2">
        <f t="shared" si="19"/>
        <v>44781</v>
      </c>
      <c r="I394" s="2">
        <f t="shared" si="20"/>
        <v>44824</v>
      </c>
      <c r="J394" t="str">
        <f>VLOOKUP(M394,Umfragenteilnahme!$A$2:$B$3,2,)</f>
        <v>Ja</v>
      </c>
      <c r="M394">
        <v>1</v>
      </c>
      <c r="N394">
        <v>727</v>
      </c>
      <c r="O394">
        <v>1</v>
      </c>
      <c r="P394">
        <v>114</v>
      </c>
      <c r="Q394">
        <v>3</v>
      </c>
      <c r="R394">
        <v>6</v>
      </c>
      <c r="S394">
        <v>49</v>
      </c>
    </row>
    <row r="395" spans="1:19" x14ac:dyDescent="0.35">
      <c r="A395">
        <v>8042</v>
      </c>
      <c r="B395">
        <v>481</v>
      </c>
      <c r="C395" t="str">
        <f>VLOOKUP(B395,Kunde!A:C,3,FALSE)</f>
        <v>Geschäftskunde</v>
      </c>
      <c r="D395" t="str">
        <f>VLOOKUP(O395,Produkt!$A$1:$E$5,2,FALSE)</f>
        <v>C</v>
      </c>
      <c r="E395">
        <f t="shared" si="18"/>
        <v>13</v>
      </c>
      <c r="F395">
        <f>VLOOKUP(D395,Produkt!$B$1:$C$5,2,FALSE)*Bestellungen!E395</f>
        <v>19500</v>
      </c>
      <c r="G395" s="2">
        <v>44750</v>
      </c>
      <c r="H395" s="2">
        <f t="shared" si="19"/>
        <v>44752</v>
      </c>
      <c r="I395" s="2">
        <f t="shared" si="20"/>
        <v>44810</v>
      </c>
      <c r="J395" t="str">
        <f>VLOOKUP(M395,Umfragenteilnahme!$A$2:$B$3,2,)</f>
        <v>Ja</v>
      </c>
      <c r="M395">
        <v>1</v>
      </c>
      <c r="N395">
        <v>481</v>
      </c>
      <c r="O395">
        <v>3</v>
      </c>
      <c r="P395">
        <v>13</v>
      </c>
      <c r="Q395">
        <v>7</v>
      </c>
      <c r="R395">
        <v>2</v>
      </c>
      <c r="S395">
        <v>60</v>
      </c>
    </row>
    <row r="396" spans="1:19" x14ac:dyDescent="0.35">
      <c r="A396">
        <v>8043</v>
      </c>
      <c r="B396">
        <v>537</v>
      </c>
      <c r="C396" t="str">
        <f>VLOOKUP(B396,Kunde!A:C,3,FALSE)</f>
        <v>Geschäftskunde</v>
      </c>
      <c r="D396" t="str">
        <f>VLOOKUP(O396,Produkt!$A$1:$E$5,2,FALSE)</f>
        <v>A</v>
      </c>
      <c r="E396">
        <f t="shared" si="18"/>
        <v>92</v>
      </c>
      <c r="F396">
        <f>VLOOKUP(D396,Produkt!$B$1:$C$5,2,FALSE)*Bestellungen!E396</f>
        <v>27600</v>
      </c>
      <c r="G396" s="2">
        <v>45071</v>
      </c>
      <c r="H396" s="2">
        <f t="shared" si="19"/>
        <v>45074</v>
      </c>
      <c r="I396" s="2">
        <f t="shared" si="20"/>
        <v>45120</v>
      </c>
      <c r="J396" t="str">
        <f>VLOOKUP(M396,Umfragenteilnahme!$A$2:$B$3,2,)</f>
        <v>Nein</v>
      </c>
      <c r="M396">
        <v>2</v>
      </c>
      <c r="N396">
        <v>537</v>
      </c>
      <c r="O396">
        <v>1</v>
      </c>
      <c r="P396">
        <v>92</v>
      </c>
      <c r="Q396">
        <v>3</v>
      </c>
      <c r="R396">
        <v>3</v>
      </c>
      <c r="S396">
        <v>49</v>
      </c>
    </row>
    <row r="397" spans="1:19" x14ac:dyDescent="0.35">
      <c r="A397">
        <v>8044</v>
      </c>
      <c r="B397">
        <v>696</v>
      </c>
      <c r="C397" t="str">
        <f>VLOOKUP(B397,Kunde!A:C,3,FALSE)</f>
        <v>Geschäftskunde</v>
      </c>
      <c r="D397" t="str">
        <f>VLOOKUP(O397,Produkt!$A$1:$E$5,2,FALSE)</f>
        <v>B</v>
      </c>
      <c r="E397">
        <f t="shared" si="18"/>
        <v>32</v>
      </c>
      <c r="F397">
        <f>VLOOKUP(D397,Produkt!$B$1:$C$5,2,FALSE)*Bestellungen!E397</f>
        <v>15360</v>
      </c>
      <c r="G397" s="2">
        <v>44961</v>
      </c>
      <c r="H397" s="2">
        <f t="shared" si="19"/>
        <v>44964</v>
      </c>
      <c r="I397" s="2">
        <f t="shared" si="20"/>
        <v>44976</v>
      </c>
      <c r="J397" t="str">
        <f>VLOOKUP(M397,Umfragenteilnahme!$A$2:$B$3,2,)</f>
        <v>Ja</v>
      </c>
      <c r="M397">
        <v>1</v>
      </c>
      <c r="N397">
        <v>696</v>
      </c>
      <c r="O397">
        <v>2</v>
      </c>
      <c r="P397">
        <v>32</v>
      </c>
      <c r="Q397">
        <v>5</v>
      </c>
      <c r="R397">
        <v>3</v>
      </c>
      <c r="S397">
        <v>15</v>
      </c>
    </row>
    <row r="398" spans="1:19" x14ac:dyDescent="0.35">
      <c r="A398">
        <v>8045</v>
      </c>
      <c r="B398">
        <v>494</v>
      </c>
      <c r="C398" t="str">
        <f>VLOOKUP(B398,Kunde!A:C,3,FALSE)</f>
        <v>Geschäftskunde</v>
      </c>
      <c r="D398" t="str">
        <f>VLOOKUP(O398,Produkt!$A$1:$E$5,2,FALSE)</f>
        <v>D</v>
      </c>
      <c r="E398">
        <f t="shared" si="18"/>
        <v>29</v>
      </c>
      <c r="F398">
        <f>VLOOKUP(D398,Produkt!$B$1:$C$5,2,FALSE)*Bestellungen!E398</f>
        <v>23200</v>
      </c>
      <c r="G398" s="2">
        <v>44912</v>
      </c>
      <c r="H398" s="2">
        <f t="shared" si="19"/>
        <v>44914</v>
      </c>
      <c r="I398" s="2">
        <f t="shared" si="20"/>
        <v>44968</v>
      </c>
      <c r="J398" t="str">
        <f>VLOOKUP(M398,Umfragenteilnahme!$A$2:$B$3,2,)</f>
        <v>Nein</v>
      </c>
      <c r="M398">
        <v>2</v>
      </c>
      <c r="N398">
        <v>494</v>
      </c>
      <c r="O398">
        <v>4</v>
      </c>
      <c r="P398">
        <v>29</v>
      </c>
      <c r="Q398">
        <v>9</v>
      </c>
      <c r="R398">
        <v>2</v>
      </c>
      <c r="S398">
        <v>56</v>
      </c>
    </row>
    <row r="399" spans="1:19" x14ac:dyDescent="0.35">
      <c r="A399">
        <v>8046</v>
      </c>
      <c r="B399">
        <v>236</v>
      </c>
      <c r="C399" t="str">
        <f>VLOOKUP(B399,Kunde!A:C,3,FALSE)</f>
        <v>Geschäftskunde</v>
      </c>
      <c r="D399" t="str">
        <f>VLOOKUP(O399,Produkt!$A$1:$E$5,2,FALSE)</f>
        <v>C</v>
      </c>
      <c r="E399">
        <f t="shared" si="18"/>
        <v>148</v>
      </c>
      <c r="F399">
        <f>VLOOKUP(D399,Produkt!$B$1:$C$5,2,FALSE)*Bestellungen!E399</f>
        <v>222000</v>
      </c>
      <c r="G399" s="2">
        <v>45022</v>
      </c>
      <c r="H399" s="2">
        <f t="shared" si="19"/>
        <v>45029</v>
      </c>
      <c r="I399" s="2">
        <f t="shared" si="20"/>
        <v>45034</v>
      </c>
      <c r="J399" t="str">
        <f>VLOOKUP(M399,Umfragenteilnahme!$A$2:$B$3,2,)</f>
        <v>Ja</v>
      </c>
      <c r="M399">
        <v>1</v>
      </c>
      <c r="N399">
        <v>236</v>
      </c>
      <c r="O399">
        <v>3</v>
      </c>
      <c r="P399">
        <v>148</v>
      </c>
      <c r="Q399">
        <v>4</v>
      </c>
      <c r="R399">
        <v>7</v>
      </c>
      <c r="S399">
        <v>12</v>
      </c>
    </row>
    <row r="400" spans="1:19" x14ac:dyDescent="0.35">
      <c r="A400">
        <v>8047</v>
      </c>
      <c r="B400">
        <v>561</v>
      </c>
      <c r="C400" t="str">
        <f>VLOOKUP(B400,Kunde!A:C,3,FALSE)</f>
        <v>Privatkunde</v>
      </c>
      <c r="D400" t="str">
        <f>VLOOKUP(O400,Produkt!$A$1:$E$5,2,FALSE)</f>
        <v>D</v>
      </c>
      <c r="E400">
        <f t="shared" si="18"/>
        <v>9</v>
      </c>
      <c r="F400">
        <f>VLOOKUP(D400,Produkt!$B$1:$C$5,2,FALSE)*Bestellungen!E400</f>
        <v>7200</v>
      </c>
      <c r="G400" s="2">
        <v>44881</v>
      </c>
      <c r="H400" s="2">
        <f t="shared" si="19"/>
        <v>44886</v>
      </c>
      <c r="I400" s="2">
        <f t="shared" si="20"/>
        <v>44892</v>
      </c>
      <c r="J400" t="str">
        <f>VLOOKUP(M400,Umfragenteilnahme!$A$2:$B$3,2,)</f>
        <v>Nein</v>
      </c>
      <c r="M400">
        <v>2</v>
      </c>
      <c r="N400">
        <v>561</v>
      </c>
      <c r="O400">
        <v>4</v>
      </c>
      <c r="P400">
        <v>33</v>
      </c>
      <c r="Q400">
        <v>9</v>
      </c>
      <c r="R400">
        <v>5</v>
      </c>
      <c r="S400">
        <v>11</v>
      </c>
    </row>
    <row r="401" spans="1:19" x14ac:dyDescent="0.35">
      <c r="A401">
        <v>8048</v>
      </c>
      <c r="B401">
        <v>1</v>
      </c>
      <c r="C401" t="str">
        <f>VLOOKUP(B401,Kunde!A:C,3,FALSE)</f>
        <v>Geschäftskunde</v>
      </c>
      <c r="D401" t="str">
        <f>VLOOKUP(O401,Produkt!$A$1:$E$5,2,FALSE)</f>
        <v>A</v>
      </c>
      <c r="E401">
        <f t="shared" si="18"/>
        <v>50</v>
      </c>
      <c r="F401">
        <f>VLOOKUP(D401,Produkt!$B$1:$C$5,2,FALSE)*Bestellungen!E401</f>
        <v>15000</v>
      </c>
      <c r="G401" s="2">
        <v>44892</v>
      </c>
      <c r="H401" s="2">
        <f t="shared" si="19"/>
        <v>44894</v>
      </c>
      <c r="I401" s="2">
        <f t="shared" si="20"/>
        <v>44924</v>
      </c>
      <c r="J401" t="str">
        <f>VLOOKUP(M401,Umfragenteilnahme!$A$2:$B$3,2,)</f>
        <v>Nein</v>
      </c>
      <c r="M401">
        <v>2</v>
      </c>
      <c r="N401">
        <v>1</v>
      </c>
      <c r="O401">
        <v>1</v>
      </c>
      <c r="P401">
        <v>50</v>
      </c>
      <c r="Q401">
        <v>4</v>
      </c>
      <c r="R401">
        <v>2</v>
      </c>
      <c r="S401">
        <v>32</v>
      </c>
    </row>
    <row r="402" spans="1:19" x14ac:dyDescent="0.35">
      <c r="A402">
        <v>8049</v>
      </c>
      <c r="B402">
        <v>727</v>
      </c>
      <c r="C402" t="str">
        <f>VLOOKUP(B402,Kunde!A:C,3,FALSE)</f>
        <v>Geschäftskunde</v>
      </c>
      <c r="D402" t="str">
        <f>VLOOKUP(O402,Produkt!$A$1:$E$5,2,FALSE)</f>
        <v>B</v>
      </c>
      <c r="E402">
        <f t="shared" si="18"/>
        <v>47</v>
      </c>
      <c r="F402">
        <f>VLOOKUP(D402,Produkt!$B$1:$C$5,2,FALSE)*Bestellungen!E402</f>
        <v>22560</v>
      </c>
      <c r="G402" s="2">
        <v>44713</v>
      </c>
      <c r="H402" s="2">
        <f t="shared" si="19"/>
        <v>44716</v>
      </c>
      <c r="I402" s="2">
        <f t="shared" si="20"/>
        <v>44763</v>
      </c>
      <c r="J402" t="str">
        <f>VLOOKUP(M402,Umfragenteilnahme!$A$2:$B$3,2,)</f>
        <v>Nein</v>
      </c>
      <c r="M402">
        <v>2</v>
      </c>
      <c r="N402">
        <v>727</v>
      </c>
      <c r="O402">
        <v>2</v>
      </c>
      <c r="P402">
        <v>47</v>
      </c>
      <c r="Q402">
        <v>8</v>
      </c>
      <c r="R402">
        <v>3</v>
      </c>
      <c r="S402">
        <v>50</v>
      </c>
    </row>
    <row r="403" spans="1:19" x14ac:dyDescent="0.35">
      <c r="A403">
        <v>8050</v>
      </c>
      <c r="B403">
        <v>519</v>
      </c>
      <c r="C403" t="str">
        <f>VLOOKUP(B403,Kunde!A:C,3,FALSE)</f>
        <v>Geschäftskunde</v>
      </c>
      <c r="D403" t="str">
        <f>VLOOKUP(O403,Produkt!$A$1:$E$5,2,FALSE)</f>
        <v>B</v>
      </c>
      <c r="E403">
        <f t="shared" si="18"/>
        <v>100</v>
      </c>
      <c r="F403">
        <f>VLOOKUP(D403,Produkt!$B$1:$C$5,2,FALSE)*Bestellungen!E403</f>
        <v>48000</v>
      </c>
      <c r="G403" s="2">
        <v>44824</v>
      </c>
      <c r="H403" s="2">
        <f t="shared" si="19"/>
        <v>44827</v>
      </c>
      <c r="I403" s="2">
        <f t="shared" si="20"/>
        <v>44832</v>
      </c>
      <c r="J403" t="str">
        <f>VLOOKUP(M403,Umfragenteilnahme!$A$2:$B$3,2,)</f>
        <v>Nein</v>
      </c>
      <c r="M403">
        <v>2</v>
      </c>
      <c r="N403">
        <v>519</v>
      </c>
      <c r="O403">
        <v>2</v>
      </c>
      <c r="P403">
        <v>100</v>
      </c>
      <c r="Q403">
        <v>5</v>
      </c>
      <c r="R403">
        <v>3</v>
      </c>
      <c r="S403">
        <v>8</v>
      </c>
    </row>
    <row r="404" spans="1:19" x14ac:dyDescent="0.35">
      <c r="A404">
        <v>8051</v>
      </c>
      <c r="B404">
        <v>748</v>
      </c>
      <c r="C404" t="str">
        <f>VLOOKUP(B404,Kunde!A:C,3,FALSE)</f>
        <v>Geschäftskunde</v>
      </c>
      <c r="D404" t="str">
        <f>VLOOKUP(O404,Produkt!$A$1:$E$5,2,FALSE)</f>
        <v>C</v>
      </c>
      <c r="E404">
        <f t="shared" si="18"/>
        <v>93</v>
      </c>
      <c r="F404">
        <f>VLOOKUP(D404,Produkt!$B$1:$C$5,2,FALSE)*Bestellungen!E404</f>
        <v>139500</v>
      </c>
      <c r="G404" s="2">
        <v>45021</v>
      </c>
      <c r="H404" s="2">
        <f t="shared" si="19"/>
        <v>45023</v>
      </c>
      <c r="I404" s="2">
        <f t="shared" si="20"/>
        <v>45060</v>
      </c>
      <c r="J404" t="str">
        <f>VLOOKUP(M404,Umfragenteilnahme!$A$2:$B$3,2,)</f>
        <v>Nein</v>
      </c>
      <c r="M404">
        <v>2</v>
      </c>
      <c r="N404">
        <v>748</v>
      </c>
      <c r="O404">
        <v>3</v>
      </c>
      <c r="P404">
        <v>93</v>
      </c>
      <c r="Q404">
        <v>4</v>
      </c>
      <c r="R404">
        <v>2</v>
      </c>
      <c r="S404">
        <v>39</v>
      </c>
    </row>
    <row r="405" spans="1:19" x14ac:dyDescent="0.35">
      <c r="A405">
        <v>8052</v>
      </c>
      <c r="B405">
        <v>293</v>
      </c>
      <c r="C405" t="str">
        <f>VLOOKUP(B405,Kunde!A:C,3,FALSE)</f>
        <v>Geschäftskunde</v>
      </c>
      <c r="D405" t="str">
        <f>VLOOKUP(O405,Produkt!$A$1:$E$5,2,FALSE)</f>
        <v>A</v>
      </c>
      <c r="E405">
        <f t="shared" si="18"/>
        <v>77</v>
      </c>
      <c r="F405">
        <f>VLOOKUP(D405,Produkt!$B$1:$C$5,2,FALSE)*Bestellungen!E405</f>
        <v>23100</v>
      </c>
      <c r="G405" s="2">
        <v>44833</v>
      </c>
      <c r="H405" s="2">
        <f t="shared" si="19"/>
        <v>44836</v>
      </c>
      <c r="I405" s="2">
        <f t="shared" si="20"/>
        <v>44861</v>
      </c>
      <c r="J405" t="str">
        <f>VLOOKUP(M405,Umfragenteilnahme!$A$2:$B$3,2,)</f>
        <v>Nein</v>
      </c>
      <c r="M405">
        <v>2</v>
      </c>
      <c r="N405">
        <v>293</v>
      </c>
      <c r="O405">
        <v>1</v>
      </c>
      <c r="P405">
        <v>77</v>
      </c>
      <c r="Q405">
        <v>4</v>
      </c>
      <c r="R405">
        <v>3</v>
      </c>
      <c r="S405">
        <v>28</v>
      </c>
    </row>
    <row r="406" spans="1:19" x14ac:dyDescent="0.35">
      <c r="A406">
        <v>8053</v>
      </c>
      <c r="B406">
        <v>609</v>
      </c>
      <c r="C406" t="str">
        <f>VLOOKUP(B406,Kunde!A:C,3,FALSE)</f>
        <v>Geschäftskunde</v>
      </c>
      <c r="D406" t="str">
        <f>VLOOKUP(O406,Produkt!$A$1:$E$5,2,FALSE)</f>
        <v>C</v>
      </c>
      <c r="E406">
        <f t="shared" si="18"/>
        <v>58</v>
      </c>
      <c r="F406">
        <f>VLOOKUP(D406,Produkt!$B$1:$C$5,2,FALSE)*Bestellungen!E406</f>
        <v>87000</v>
      </c>
      <c r="G406" s="2">
        <v>44951</v>
      </c>
      <c r="H406" s="2">
        <f t="shared" si="19"/>
        <v>44953</v>
      </c>
      <c r="I406" s="2">
        <f t="shared" si="20"/>
        <v>44979</v>
      </c>
      <c r="J406" t="str">
        <f>VLOOKUP(M406,Umfragenteilnahme!$A$2:$B$3,2,)</f>
        <v>Nein</v>
      </c>
      <c r="M406">
        <v>2</v>
      </c>
      <c r="N406">
        <v>609</v>
      </c>
      <c r="O406">
        <v>3</v>
      </c>
      <c r="P406">
        <v>58</v>
      </c>
      <c r="Q406">
        <v>9</v>
      </c>
      <c r="R406">
        <v>2</v>
      </c>
      <c r="S406">
        <v>28</v>
      </c>
    </row>
    <row r="407" spans="1:19" x14ac:dyDescent="0.35">
      <c r="A407">
        <v>8054</v>
      </c>
      <c r="B407">
        <v>216</v>
      </c>
      <c r="C407" t="str">
        <f>VLOOKUP(B407,Kunde!A:C,3,FALSE)</f>
        <v>Geschäftskunde</v>
      </c>
      <c r="D407" t="str">
        <f>VLOOKUP(O407,Produkt!$A$1:$E$5,2,FALSE)</f>
        <v>C</v>
      </c>
      <c r="E407">
        <f t="shared" si="18"/>
        <v>110</v>
      </c>
      <c r="F407">
        <f>VLOOKUP(D407,Produkt!$B$1:$C$5,2,FALSE)*Bestellungen!E407</f>
        <v>165000</v>
      </c>
      <c r="G407" s="2">
        <v>44871</v>
      </c>
      <c r="H407" s="2">
        <f t="shared" si="19"/>
        <v>44873</v>
      </c>
      <c r="I407" s="2">
        <f t="shared" si="20"/>
        <v>44876</v>
      </c>
      <c r="J407" t="str">
        <f>VLOOKUP(M407,Umfragenteilnahme!$A$2:$B$3,2,)</f>
        <v>Nein</v>
      </c>
      <c r="M407">
        <v>2</v>
      </c>
      <c r="N407">
        <v>216</v>
      </c>
      <c r="O407">
        <v>3</v>
      </c>
      <c r="P407">
        <v>110</v>
      </c>
      <c r="Q407">
        <v>6</v>
      </c>
      <c r="R407">
        <v>2</v>
      </c>
      <c r="S407">
        <v>5</v>
      </c>
    </row>
    <row r="408" spans="1:19" x14ac:dyDescent="0.35">
      <c r="A408">
        <v>8055</v>
      </c>
      <c r="B408">
        <v>319</v>
      </c>
      <c r="C408" t="str">
        <f>VLOOKUP(B408,Kunde!A:C,3,FALSE)</f>
        <v>Geschäftskunde</v>
      </c>
      <c r="D408" t="str">
        <f>VLOOKUP(O408,Produkt!$A$1:$E$5,2,FALSE)</f>
        <v>A</v>
      </c>
      <c r="E408">
        <f t="shared" si="18"/>
        <v>132</v>
      </c>
      <c r="F408">
        <f>VLOOKUP(D408,Produkt!$B$1:$C$5,2,FALSE)*Bestellungen!E408</f>
        <v>39600</v>
      </c>
      <c r="G408" s="2">
        <v>44961</v>
      </c>
      <c r="H408" s="2">
        <f t="shared" si="19"/>
        <v>44963</v>
      </c>
      <c r="I408" s="2">
        <f t="shared" si="20"/>
        <v>44973</v>
      </c>
      <c r="J408" t="str">
        <f>VLOOKUP(M408,Umfragenteilnahme!$A$2:$B$3,2,)</f>
        <v>Nein</v>
      </c>
      <c r="M408">
        <v>2</v>
      </c>
      <c r="N408">
        <v>319</v>
      </c>
      <c r="O408">
        <v>1</v>
      </c>
      <c r="P408">
        <v>132</v>
      </c>
      <c r="Q408">
        <v>4</v>
      </c>
      <c r="R408">
        <v>2</v>
      </c>
      <c r="S408">
        <v>12</v>
      </c>
    </row>
    <row r="409" spans="1:19" x14ac:dyDescent="0.35">
      <c r="A409">
        <v>8056</v>
      </c>
      <c r="B409">
        <v>747</v>
      </c>
      <c r="C409" t="str">
        <f>VLOOKUP(B409,Kunde!A:C,3,FALSE)</f>
        <v>Geschäftskunde</v>
      </c>
      <c r="D409" t="str">
        <f>VLOOKUP(O409,Produkt!$A$1:$E$5,2,FALSE)</f>
        <v>C</v>
      </c>
      <c r="E409">
        <f t="shared" si="18"/>
        <v>146</v>
      </c>
      <c r="F409">
        <f>VLOOKUP(D409,Produkt!$B$1:$C$5,2,FALSE)*Bestellungen!E409</f>
        <v>219000</v>
      </c>
      <c r="G409" s="2">
        <v>44754</v>
      </c>
      <c r="H409" s="2">
        <f t="shared" si="19"/>
        <v>44759</v>
      </c>
      <c r="I409" s="2">
        <f t="shared" si="20"/>
        <v>44797</v>
      </c>
      <c r="J409" t="str">
        <f>VLOOKUP(M409,Umfragenteilnahme!$A$2:$B$3,2,)</f>
        <v>Ja</v>
      </c>
      <c r="M409">
        <v>1</v>
      </c>
      <c r="N409">
        <v>747</v>
      </c>
      <c r="O409">
        <v>3</v>
      </c>
      <c r="P409">
        <v>146</v>
      </c>
      <c r="Q409">
        <v>10</v>
      </c>
      <c r="R409">
        <v>5</v>
      </c>
      <c r="S409">
        <v>43</v>
      </c>
    </row>
    <row r="410" spans="1:19" x14ac:dyDescent="0.35">
      <c r="A410">
        <v>8057</v>
      </c>
      <c r="B410">
        <v>632</v>
      </c>
      <c r="C410" t="str">
        <f>VLOOKUP(B410,Kunde!A:C,3,FALSE)</f>
        <v>Geschäftskunde</v>
      </c>
      <c r="D410" t="str">
        <f>VLOOKUP(O410,Produkt!$A$1:$E$5,2,FALSE)</f>
        <v>D</v>
      </c>
      <c r="E410">
        <f t="shared" si="18"/>
        <v>148</v>
      </c>
      <c r="F410">
        <f>VLOOKUP(D410,Produkt!$B$1:$C$5,2,FALSE)*Bestellungen!E410</f>
        <v>118400</v>
      </c>
      <c r="G410" s="2">
        <v>44747</v>
      </c>
      <c r="H410" s="2">
        <f t="shared" si="19"/>
        <v>44751</v>
      </c>
      <c r="I410" s="2">
        <f t="shared" si="20"/>
        <v>44757</v>
      </c>
      <c r="J410" t="str">
        <f>VLOOKUP(M410,Umfragenteilnahme!$A$2:$B$3,2,)</f>
        <v>Nein</v>
      </c>
      <c r="M410">
        <v>2</v>
      </c>
      <c r="N410">
        <v>632</v>
      </c>
      <c r="O410">
        <v>4</v>
      </c>
      <c r="P410">
        <v>148</v>
      </c>
      <c r="Q410">
        <v>6</v>
      </c>
      <c r="R410">
        <v>4</v>
      </c>
      <c r="S410">
        <v>10</v>
      </c>
    </row>
    <row r="411" spans="1:19" x14ac:dyDescent="0.35">
      <c r="A411">
        <v>8058</v>
      </c>
      <c r="B411">
        <v>423</v>
      </c>
      <c r="C411" t="str">
        <f>VLOOKUP(B411,Kunde!A:C,3,FALSE)</f>
        <v>Geschäftskunde</v>
      </c>
      <c r="D411" t="str">
        <f>VLOOKUP(O411,Produkt!$A$1:$E$5,2,FALSE)</f>
        <v>B</v>
      </c>
      <c r="E411">
        <f t="shared" si="18"/>
        <v>121</v>
      </c>
      <c r="F411">
        <f>VLOOKUP(D411,Produkt!$B$1:$C$5,2,FALSE)*Bestellungen!E411</f>
        <v>58080</v>
      </c>
      <c r="G411" s="2">
        <v>44847</v>
      </c>
      <c r="H411" s="2">
        <f t="shared" si="19"/>
        <v>44851</v>
      </c>
      <c r="I411" s="2">
        <f t="shared" si="20"/>
        <v>44892</v>
      </c>
      <c r="J411" t="str">
        <f>VLOOKUP(M411,Umfragenteilnahme!$A$2:$B$3,2,)</f>
        <v>Ja</v>
      </c>
      <c r="M411">
        <v>1</v>
      </c>
      <c r="N411">
        <v>423</v>
      </c>
      <c r="O411">
        <v>2</v>
      </c>
      <c r="P411">
        <v>121</v>
      </c>
      <c r="Q411">
        <v>2</v>
      </c>
      <c r="R411">
        <v>4</v>
      </c>
      <c r="S411">
        <v>45</v>
      </c>
    </row>
    <row r="412" spans="1:19" x14ac:dyDescent="0.35">
      <c r="A412">
        <v>8059</v>
      </c>
      <c r="B412">
        <v>630</v>
      </c>
      <c r="C412" t="str">
        <f>VLOOKUP(B412,Kunde!A:C,3,FALSE)</f>
        <v>Geschäftskunde</v>
      </c>
      <c r="D412" t="str">
        <f>VLOOKUP(O412,Produkt!$A$1:$E$5,2,FALSE)</f>
        <v>A</v>
      </c>
      <c r="E412">
        <f t="shared" si="18"/>
        <v>147</v>
      </c>
      <c r="F412">
        <f>VLOOKUP(D412,Produkt!$B$1:$C$5,2,FALSE)*Bestellungen!E412</f>
        <v>44100</v>
      </c>
      <c r="G412" s="2">
        <v>44871</v>
      </c>
      <c r="H412" s="2">
        <f t="shared" si="19"/>
        <v>44876</v>
      </c>
      <c r="I412" s="2">
        <f t="shared" si="20"/>
        <v>44917</v>
      </c>
      <c r="J412" t="str">
        <f>VLOOKUP(M412,Umfragenteilnahme!$A$2:$B$3,2,)</f>
        <v>Ja</v>
      </c>
      <c r="M412">
        <v>1</v>
      </c>
      <c r="N412">
        <v>630</v>
      </c>
      <c r="O412">
        <v>1</v>
      </c>
      <c r="P412">
        <v>147</v>
      </c>
      <c r="Q412">
        <v>1</v>
      </c>
      <c r="R412">
        <v>5</v>
      </c>
      <c r="S412">
        <v>46</v>
      </c>
    </row>
    <row r="413" spans="1:19" x14ac:dyDescent="0.35">
      <c r="A413">
        <v>8060</v>
      </c>
      <c r="B413">
        <v>412</v>
      </c>
      <c r="C413" t="str">
        <f>VLOOKUP(B413,Kunde!A:C,3,FALSE)</f>
        <v>Geschäftskunde</v>
      </c>
      <c r="D413" t="str">
        <f>VLOOKUP(O413,Produkt!$A$1:$E$5,2,FALSE)</f>
        <v>B</v>
      </c>
      <c r="E413">
        <f t="shared" si="18"/>
        <v>73</v>
      </c>
      <c r="F413">
        <f>VLOOKUP(D413,Produkt!$B$1:$C$5,2,FALSE)*Bestellungen!E413</f>
        <v>35040</v>
      </c>
      <c r="G413" s="2">
        <v>44754</v>
      </c>
      <c r="H413" s="2">
        <f t="shared" si="19"/>
        <v>44756</v>
      </c>
      <c r="I413" s="2">
        <f t="shared" si="20"/>
        <v>44792</v>
      </c>
      <c r="J413" t="str">
        <f>VLOOKUP(M413,Umfragenteilnahme!$A$2:$B$3,2,)</f>
        <v>Nein</v>
      </c>
      <c r="M413">
        <v>2</v>
      </c>
      <c r="N413">
        <v>412</v>
      </c>
      <c r="O413">
        <v>2</v>
      </c>
      <c r="P413">
        <v>73</v>
      </c>
      <c r="Q413">
        <v>1</v>
      </c>
      <c r="R413">
        <v>2</v>
      </c>
      <c r="S413">
        <v>38</v>
      </c>
    </row>
    <row r="414" spans="1:19" x14ac:dyDescent="0.35">
      <c r="A414">
        <v>8061</v>
      </c>
      <c r="B414">
        <v>432</v>
      </c>
      <c r="C414" t="str">
        <f>VLOOKUP(B414,Kunde!A:C,3,FALSE)</f>
        <v>Geschäftskunde</v>
      </c>
      <c r="D414" t="str">
        <f>VLOOKUP(O414,Produkt!$A$1:$E$5,2,FALSE)</f>
        <v>A</v>
      </c>
      <c r="E414">
        <f t="shared" si="18"/>
        <v>90</v>
      </c>
      <c r="F414">
        <f>VLOOKUP(D414,Produkt!$B$1:$C$5,2,FALSE)*Bestellungen!E414</f>
        <v>27000</v>
      </c>
      <c r="G414" s="2">
        <v>44770</v>
      </c>
      <c r="H414" s="2">
        <f t="shared" si="19"/>
        <v>44775</v>
      </c>
      <c r="I414" s="2">
        <f t="shared" si="20"/>
        <v>44796</v>
      </c>
      <c r="J414" t="str">
        <f>VLOOKUP(M414,Umfragenteilnahme!$A$2:$B$3,2,)</f>
        <v>Ja</v>
      </c>
      <c r="M414">
        <v>1</v>
      </c>
      <c r="N414">
        <v>432</v>
      </c>
      <c r="O414">
        <v>1</v>
      </c>
      <c r="P414">
        <v>90</v>
      </c>
      <c r="Q414">
        <v>8</v>
      </c>
      <c r="R414">
        <v>5</v>
      </c>
      <c r="S414">
        <v>26</v>
      </c>
    </row>
    <row r="415" spans="1:19" x14ac:dyDescent="0.35">
      <c r="A415">
        <v>8062</v>
      </c>
      <c r="B415">
        <v>104</v>
      </c>
      <c r="C415" t="str">
        <f>VLOOKUP(B415,Kunde!A:C,3,FALSE)</f>
        <v>Geschäftskunde</v>
      </c>
      <c r="D415" t="str">
        <f>VLOOKUP(O415,Produkt!$A$1:$E$5,2,FALSE)</f>
        <v>C</v>
      </c>
      <c r="E415">
        <f t="shared" si="18"/>
        <v>145</v>
      </c>
      <c r="F415">
        <f>VLOOKUP(D415,Produkt!$B$1:$C$5,2,FALSE)*Bestellungen!E415</f>
        <v>217500</v>
      </c>
      <c r="G415" s="2">
        <v>44957</v>
      </c>
      <c r="H415" s="2">
        <f t="shared" si="19"/>
        <v>44959</v>
      </c>
      <c r="I415" s="2">
        <f t="shared" si="20"/>
        <v>44972</v>
      </c>
      <c r="J415" t="str">
        <f>VLOOKUP(M415,Umfragenteilnahme!$A$2:$B$3,2,)</f>
        <v>Nein</v>
      </c>
      <c r="M415">
        <v>2</v>
      </c>
      <c r="N415">
        <v>104</v>
      </c>
      <c r="O415">
        <v>3</v>
      </c>
      <c r="P415">
        <v>145</v>
      </c>
      <c r="Q415">
        <v>6</v>
      </c>
      <c r="R415">
        <v>2</v>
      </c>
      <c r="S415">
        <v>15</v>
      </c>
    </row>
    <row r="416" spans="1:19" x14ac:dyDescent="0.35">
      <c r="A416">
        <v>8063</v>
      </c>
      <c r="B416">
        <v>500</v>
      </c>
      <c r="C416" t="str">
        <f>VLOOKUP(B416,Kunde!A:C,3,FALSE)</f>
        <v>Geschäftskunde</v>
      </c>
      <c r="D416" t="str">
        <f>VLOOKUP(O416,Produkt!$A$1:$E$5,2,FALSE)</f>
        <v>C</v>
      </c>
      <c r="E416">
        <f t="shared" si="18"/>
        <v>74</v>
      </c>
      <c r="F416">
        <f>VLOOKUP(D416,Produkt!$B$1:$C$5,2,FALSE)*Bestellungen!E416</f>
        <v>111000</v>
      </c>
      <c r="G416" s="2">
        <v>44912</v>
      </c>
      <c r="H416" s="2">
        <f t="shared" si="19"/>
        <v>44915</v>
      </c>
      <c r="I416" s="2">
        <f t="shared" si="20"/>
        <v>44935</v>
      </c>
      <c r="J416" t="str">
        <f>VLOOKUP(M416,Umfragenteilnahme!$A$2:$B$3,2,)</f>
        <v>Ja</v>
      </c>
      <c r="M416">
        <v>1</v>
      </c>
      <c r="N416">
        <v>500</v>
      </c>
      <c r="O416">
        <v>3</v>
      </c>
      <c r="P416">
        <v>74</v>
      </c>
      <c r="Q416">
        <v>9</v>
      </c>
      <c r="R416">
        <v>3</v>
      </c>
      <c r="S416">
        <v>23</v>
      </c>
    </row>
    <row r="417" spans="1:19" x14ac:dyDescent="0.35">
      <c r="A417">
        <v>8064</v>
      </c>
      <c r="B417">
        <v>461</v>
      </c>
      <c r="C417" t="str">
        <f>VLOOKUP(B417,Kunde!A:C,3,FALSE)</f>
        <v>Privatkunde</v>
      </c>
      <c r="D417" t="str">
        <f>VLOOKUP(O417,Produkt!$A$1:$E$5,2,FALSE)</f>
        <v>A</v>
      </c>
      <c r="E417">
        <f t="shared" si="18"/>
        <v>5</v>
      </c>
      <c r="F417">
        <f>VLOOKUP(D417,Produkt!$B$1:$C$5,2,FALSE)*Bestellungen!E417</f>
        <v>1500</v>
      </c>
      <c r="G417" s="2">
        <v>44732</v>
      </c>
      <c r="H417" s="2">
        <f t="shared" si="19"/>
        <v>44738</v>
      </c>
      <c r="I417" s="2">
        <f t="shared" si="20"/>
        <v>44776</v>
      </c>
      <c r="J417" t="str">
        <f>VLOOKUP(M417,Umfragenteilnahme!$A$2:$B$3,2,)</f>
        <v>Ja</v>
      </c>
      <c r="M417">
        <v>1</v>
      </c>
      <c r="N417">
        <v>461</v>
      </c>
      <c r="O417">
        <v>1</v>
      </c>
      <c r="P417">
        <v>82</v>
      </c>
      <c r="Q417">
        <v>5</v>
      </c>
      <c r="R417">
        <v>6</v>
      </c>
      <c r="S417">
        <v>44</v>
      </c>
    </row>
    <row r="418" spans="1:19" x14ac:dyDescent="0.35">
      <c r="A418">
        <v>8065</v>
      </c>
      <c r="B418">
        <v>88</v>
      </c>
      <c r="C418" t="str">
        <f>VLOOKUP(B418,Kunde!A:C,3,FALSE)</f>
        <v>Geschäftskunde</v>
      </c>
      <c r="D418" t="str">
        <f>VLOOKUP(O418,Produkt!$A$1:$E$5,2,FALSE)</f>
        <v>A</v>
      </c>
      <c r="E418">
        <f t="shared" si="18"/>
        <v>31</v>
      </c>
      <c r="F418">
        <f>VLOOKUP(D418,Produkt!$B$1:$C$5,2,FALSE)*Bestellungen!E418</f>
        <v>9300</v>
      </c>
      <c r="G418" s="2">
        <v>44826</v>
      </c>
      <c r="H418" s="2">
        <f t="shared" si="19"/>
        <v>44829</v>
      </c>
      <c r="I418" s="2">
        <f t="shared" si="20"/>
        <v>44838</v>
      </c>
      <c r="J418" t="str">
        <f>VLOOKUP(M418,Umfragenteilnahme!$A$2:$B$3,2,)</f>
        <v>Ja</v>
      </c>
      <c r="M418">
        <v>1</v>
      </c>
      <c r="N418">
        <v>88</v>
      </c>
      <c r="O418">
        <v>1</v>
      </c>
      <c r="P418">
        <v>31</v>
      </c>
      <c r="Q418">
        <v>10</v>
      </c>
      <c r="R418">
        <v>3</v>
      </c>
      <c r="S418">
        <v>12</v>
      </c>
    </row>
    <row r="419" spans="1:19" x14ac:dyDescent="0.35">
      <c r="A419">
        <v>8066</v>
      </c>
      <c r="B419">
        <v>188</v>
      </c>
      <c r="C419" t="str">
        <f>VLOOKUP(B419,Kunde!A:C,3,FALSE)</f>
        <v>Geschäftskunde</v>
      </c>
      <c r="D419" t="str">
        <f>VLOOKUP(O419,Produkt!$A$1:$E$5,2,FALSE)</f>
        <v>D</v>
      </c>
      <c r="E419">
        <f t="shared" si="18"/>
        <v>101</v>
      </c>
      <c r="F419">
        <f>VLOOKUP(D419,Produkt!$B$1:$C$5,2,FALSE)*Bestellungen!E419</f>
        <v>80800</v>
      </c>
      <c r="G419" s="2">
        <v>45033</v>
      </c>
      <c r="H419" s="2">
        <f t="shared" si="19"/>
        <v>45039</v>
      </c>
      <c r="I419" s="2">
        <f t="shared" si="20"/>
        <v>45036</v>
      </c>
      <c r="J419" t="str">
        <f>VLOOKUP(M419,Umfragenteilnahme!$A$2:$B$3,2,)</f>
        <v>Nein</v>
      </c>
      <c r="M419">
        <v>2</v>
      </c>
      <c r="N419">
        <v>188</v>
      </c>
      <c r="O419">
        <v>4</v>
      </c>
      <c r="P419">
        <v>101</v>
      </c>
      <c r="Q419">
        <v>7</v>
      </c>
      <c r="R419">
        <v>6</v>
      </c>
      <c r="S419">
        <v>3</v>
      </c>
    </row>
    <row r="420" spans="1:19" x14ac:dyDescent="0.35">
      <c r="A420">
        <v>8067</v>
      </c>
      <c r="B420">
        <v>636</v>
      </c>
      <c r="C420" t="str">
        <f>VLOOKUP(B420,Kunde!A:C,3,FALSE)</f>
        <v>Geschäftskunde</v>
      </c>
      <c r="D420" t="str">
        <f>VLOOKUP(O420,Produkt!$A$1:$E$5,2,FALSE)</f>
        <v>A</v>
      </c>
      <c r="E420">
        <f t="shared" si="18"/>
        <v>130</v>
      </c>
      <c r="F420">
        <f>VLOOKUP(D420,Produkt!$B$1:$C$5,2,FALSE)*Bestellungen!E420</f>
        <v>39000</v>
      </c>
      <c r="G420" s="2">
        <v>44917</v>
      </c>
      <c r="H420" s="2">
        <f t="shared" si="19"/>
        <v>44923</v>
      </c>
      <c r="I420" s="2">
        <f t="shared" si="20"/>
        <v>44941</v>
      </c>
      <c r="J420" t="str">
        <f>VLOOKUP(M420,Umfragenteilnahme!$A$2:$B$3,2,)</f>
        <v>Nein</v>
      </c>
      <c r="M420">
        <v>2</v>
      </c>
      <c r="N420">
        <v>636</v>
      </c>
      <c r="O420">
        <v>1</v>
      </c>
      <c r="P420">
        <v>130</v>
      </c>
      <c r="Q420">
        <v>4</v>
      </c>
      <c r="R420">
        <v>6</v>
      </c>
      <c r="S420">
        <v>24</v>
      </c>
    </row>
    <row r="421" spans="1:19" x14ac:dyDescent="0.35">
      <c r="A421">
        <v>8068</v>
      </c>
      <c r="B421">
        <v>159</v>
      </c>
      <c r="C421" t="str">
        <f>VLOOKUP(B421,Kunde!A:C,3,FALSE)</f>
        <v>Geschäftskunde</v>
      </c>
      <c r="D421" t="str">
        <f>VLOOKUP(O421,Produkt!$A$1:$E$5,2,FALSE)</f>
        <v>A</v>
      </c>
      <c r="E421">
        <f t="shared" si="18"/>
        <v>30</v>
      </c>
      <c r="F421">
        <f>VLOOKUP(D421,Produkt!$B$1:$C$5,2,FALSE)*Bestellungen!E421</f>
        <v>9000</v>
      </c>
      <c r="G421" s="2">
        <v>44951</v>
      </c>
      <c r="H421" s="2">
        <f t="shared" si="19"/>
        <v>44953</v>
      </c>
      <c r="I421" s="2">
        <f t="shared" si="20"/>
        <v>44987</v>
      </c>
      <c r="J421" t="str">
        <f>VLOOKUP(M421,Umfragenteilnahme!$A$2:$B$3,2,)</f>
        <v>Nein</v>
      </c>
      <c r="M421">
        <v>2</v>
      </c>
      <c r="N421">
        <v>159</v>
      </c>
      <c r="O421">
        <v>1</v>
      </c>
      <c r="P421">
        <v>30</v>
      </c>
      <c r="Q421">
        <v>4</v>
      </c>
      <c r="R421">
        <v>2</v>
      </c>
      <c r="S421">
        <v>36</v>
      </c>
    </row>
    <row r="422" spans="1:19" x14ac:dyDescent="0.35">
      <c r="A422">
        <v>8069</v>
      </c>
      <c r="B422">
        <v>596</v>
      </c>
      <c r="C422" t="str">
        <f>VLOOKUP(B422,Kunde!A:C,3,FALSE)</f>
        <v>Geschäftskunde</v>
      </c>
      <c r="D422" t="str">
        <f>VLOOKUP(O422,Produkt!$A$1:$E$5,2,FALSE)</f>
        <v>B</v>
      </c>
      <c r="E422">
        <f t="shared" si="18"/>
        <v>54</v>
      </c>
      <c r="F422">
        <f>VLOOKUP(D422,Produkt!$B$1:$C$5,2,FALSE)*Bestellungen!E422</f>
        <v>25920</v>
      </c>
      <c r="G422" s="2">
        <v>44870</v>
      </c>
      <c r="H422" s="2">
        <f t="shared" si="19"/>
        <v>44877</v>
      </c>
      <c r="I422" s="2">
        <f t="shared" si="20"/>
        <v>44923</v>
      </c>
      <c r="J422" t="str">
        <f>VLOOKUP(M422,Umfragenteilnahme!$A$2:$B$3,2,)</f>
        <v>Nein</v>
      </c>
      <c r="M422">
        <v>2</v>
      </c>
      <c r="N422">
        <v>596</v>
      </c>
      <c r="O422">
        <v>2</v>
      </c>
      <c r="P422">
        <v>54</v>
      </c>
      <c r="Q422">
        <v>4</v>
      </c>
      <c r="R422">
        <v>7</v>
      </c>
      <c r="S422">
        <v>53</v>
      </c>
    </row>
    <row r="423" spans="1:19" x14ac:dyDescent="0.35">
      <c r="A423">
        <v>8070</v>
      </c>
      <c r="B423">
        <v>682</v>
      </c>
      <c r="C423" t="str">
        <f>VLOOKUP(B423,Kunde!A:C,3,FALSE)</f>
        <v>Privatkunde</v>
      </c>
      <c r="D423" t="str">
        <f>VLOOKUP(O423,Produkt!$A$1:$E$5,2,FALSE)</f>
        <v>D</v>
      </c>
      <c r="E423">
        <f t="shared" si="18"/>
        <v>7</v>
      </c>
      <c r="F423">
        <f>VLOOKUP(D423,Produkt!$B$1:$C$5,2,FALSE)*Bestellungen!E423</f>
        <v>5600</v>
      </c>
      <c r="G423" s="2">
        <v>44897</v>
      </c>
      <c r="H423" s="2">
        <f t="shared" si="19"/>
        <v>44902</v>
      </c>
      <c r="I423" s="2">
        <f t="shared" si="20"/>
        <v>44951</v>
      </c>
      <c r="J423" t="str">
        <f>VLOOKUP(M423,Umfragenteilnahme!$A$2:$B$3,2,)</f>
        <v>Ja</v>
      </c>
      <c r="M423">
        <v>1</v>
      </c>
      <c r="N423">
        <v>682</v>
      </c>
      <c r="O423">
        <v>4</v>
      </c>
      <c r="P423">
        <v>22</v>
      </c>
      <c r="Q423">
        <v>7</v>
      </c>
      <c r="R423">
        <v>5</v>
      </c>
      <c r="S423">
        <v>54</v>
      </c>
    </row>
    <row r="424" spans="1:19" x14ac:dyDescent="0.35">
      <c r="A424">
        <v>8071</v>
      </c>
      <c r="B424">
        <v>661</v>
      </c>
      <c r="C424" t="str">
        <f>VLOOKUP(B424,Kunde!A:C,3,FALSE)</f>
        <v>Geschäftskunde</v>
      </c>
      <c r="D424" t="str">
        <f>VLOOKUP(O424,Produkt!$A$1:$E$5,2,FALSE)</f>
        <v>D</v>
      </c>
      <c r="E424">
        <f t="shared" si="18"/>
        <v>47</v>
      </c>
      <c r="F424">
        <f>VLOOKUP(D424,Produkt!$B$1:$C$5,2,FALSE)*Bestellungen!E424</f>
        <v>37600</v>
      </c>
      <c r="G424" s="2">
        <v>44975</v>
      </c>
      <c r="H424" s="2">
        <f t="shared" si="19"/>
        <v>44979</v>
      </c>
      <c r="I424" s="2">
        <f t="shared" si="20"/>
        <v>45030</v>
      </c>
      <c r="J424" t="str">
        <f>VLOOKUP(M424,Umfragenteilnahme!$A$2:$B$3,2,)</f>
        <v>Ja</v>
      </c>
      <c r="M424">
        <v>1</v>
      </c>
      <c r="N424">
        <v>661</v>
      </c>
      <c r="O424">
        <v>4</v>
      </c>
      <c r="P424">
        <v>47</v>
      </c>
      <c r="Q424">
        <v>2</v>
      </c>
      <c r="R424">
        <v>4</v>
      </c>
      <c r="S424">
        <v>55</v>
      </c>
    </row>
    <row r="425" spans="1:19" x14ac:dyDescent="0.35">
      <c r="A425">
        <v>8072</v>
      </c>
      <c r="B425">
        <v>610</v>
      </c>
      <c r="C425" t="str">
        <f>VLOOKUP(B425,Kunde!A:C,3,FALSE)</f>
        <v>Geschäftskunde</v>
      </c>
      <c r="D425" t="str">
        <f>VLOOKUP(O425,Produkt!$A$1:$E$5,2,FALSE)</f>
        <v>A</v>
      </c>
      <c r="E425">
        <f t="shared" si="18"/>
        <v>35</v>
      </c>
      <c r="F425">
        <f>VLOOKUP(D425,Produkt!$B$1:$C$5,2,FALSE)*Bestellungen!E425</f>
        <v>10500</v>
      </c>
      <c r="G425" s="2">
        <v>44925</v>
      </c>
      <c r="H425" s="2">
        <f t="shared" si="19"/>
        <v>44932</v>
      </c>
      <c r="I425" s="2">
        <f t="shared" si="20"/>
        <v>44977</v>
      </c>
      <c r="J425" t="str">
        <f>VLOOKUP(M425,Umfragenteilnahme!$A$2:$B$3,2,)</f>
        <v>Ja</v>
      </c>
      <c r="M425">
        <v>1</v>
      </c>
      <c r="N425">
        <v>610</v>
      </c>
      <c r="O425">
        <v>1</v>
      </c>
      <c r="P425">
        <v>35</v>
      </c>
      <c r="Q425">
        <v>1</v>
      </c>
      <c r="R425">
        <v>7</v>
      </c>
      <c r="S425">
        <v>52</v>
      </c>
    </row>
    <row r="426" spans="1:19" x14ac:dyDescent="0.35">
      <c r="A426">
        <v>8073</v>
      </c>
      <c r="B426">
        <v>395</v>
      </c>
      <c r="C426" t="str">
        <f>VLOOKUP(B426,Kunde!A:C,3,FALSE)</f>
        <v>Geschäftskunde</v>
      </c>
      <c r="D426" t="str">
        <f>VLOOKUP(O426,Produkt!$A$1:$E$5,2,FALSE)</f>
        <v>C</v>
      </c>
      <c r="E426">
        <f t="shared" si="18"/>
        <v>18</v>
      </c>
      <c r="F426">
        <f>VLOOKUP(D426,Produkt!$B$1:$C$5,2,FALSE)*Bestellungen!E426</f>
        <v>27000</v>
      </c>
      <c r="G426" s="2">
        <v>44991</v>
      </c>
      <c r="H426" s="2">
        <f t="shared" si="19"/>
        <v>44996</v>
      </c>
      <c r="I426" s="2">
        <f t="shared" si="20"/>
        <v>45011</v>
      </c>
      <c r="J426" t="str">
        <f>VLOOKUP(M426,Umfragenteilnahme!$A$2:$B$3,2,)</f>
        <v>Ja</v>
      </c>
      <c r="M426">
        <v>1</v>
      </c>
      <c r="N426">
        <v>395</v>
      </c>
      <c r="O426">
        <v>3</v>
      </c>
      <c r="P426">
        <v>18</v>
      </c>
      <c r="Q426">
        <v>2</v>
      </c>
      <c r="R426">
        <v>5</v>
      </c>
      <c r="S426">
        <v>20</v>
      </c>
    </row>
    <row r="427" spans="1:19" x14ac:dyDescent="0.35">
      <c r="A427">
        <v>8074</v>
      </c>
      <c r="B427">
        <v>174</v>
      </c>
      <c r="C427" t="str">
        <f>VLOOKUP(B427,Kunde!A:C,3,FALSE)</f>
        <v>Geschäftskunde</v>
      </c>
      <c r="D427" t="str">
        <f>VLOOKUP(O427,Produkt!$A$1:$E$5,2,FALSE)</f>
        <v>C</v>
      </c>
      <c r="E427">
        <f t="shared" si="18"/>
        <v>11</v>
      </c>
      <c r="F427">
        <f>VLOOKUP(D427,Produkt!$B$1:$C$5,2,FALSE)*Bestellungen!E427</f>
        <v>16500</v>
      </c>
      <c r="G427" s="2">
        <v>44927</v>
      </c>
      <c r="H427" s="2">
        <f t="shared" si="19"/>
        <v>44934</v>
      </c>
      <c r="I427" s="2">
        <f t="shared" si="20"/>
        <v>44985</v>
      </c>
      <c r="J427" t="str">
        <f>VLOOKUP(M427,Umfragenteilnahme!$A$2:$B$3,2,)</f>
        <v>Ja</v>
      </c>
      <c r="M427">
        <v>1</v>
      </c>
      <c r="N427">
        <v>174</v>
      </c>
      <c r="O427">
        <v>3</v>
      </c>
      <c r="P427">
        <v>11</v>
      </c>
      <c r="Q427">
        <v>6</v>
      </c>
      <c r="R427">
        <v>7</v>
      </c>
      <c r="S427">
        <v>58</v>
      </c>
    </row>
    <row r="428" spans="1:19" x14ac:dyDescent="0.35">
      <c r="A428">
        <v>8075</v>
      </c>
      <c r="B428">
        <v>238</v>
      </c>
      <c r="C428" t="str">
        <f>VLOOKUP(B428,Kunde!A:C,3,FALSE)</f>
        <v>Geschäftskunde</v>
      </c>
      <c r="D428" t="str">
        <f>VLOOKUP(O428,Produkt!$A$1:$E$5,2,FALSE)</f>
        <v>C</v>
      </c>
      <c r="E428">
        <f t="shared" si="18"/>
        <v>100</v>
      </c>
      <c r="F428">
        <f>VLOOKUP(D428,Produkt!$B$1:$C$5,2,FALSE)*Bestellungen!E428</f>
        <v>150000</v>
      </c>
      <c r="G428" s="2">
        <v>44980</v>
      </c>
      <c r="H428" s="2">
        <f t="shared" si="19"/>
        <v>44985</v>
      </c>
      <c r="I428" s="2">
        <f t="shared" si="20"/>
        <v>45008</v>
      </c>
      <c r="J428" t="str">
        <f>VLOOKUP(M428,Umfragenteilnahme!$A$2:$B$3,2,)</f>
        <v>Nein</v>
      </c>
      <c r="M428">
        <v>2</v>
      </c>
      <c r="N428">
        <v>238</v>
      </c>
      <c r="O428">
        <v>3</v>
      </c>
      <c r="P428">
        <v>100</v>
      </c>
      <c r="Q428">
        <v>2</v>
      </c>
      <c r="R428">
        <v>5</v>
      </c>
      <c r="S428">
        <v>28</v>
      </c>
    </row>
    <row r="429" spans="1:19" x14ac:dyDescent="0.35">
      <c r="A429">
        <v>8076</v>
      </c>
      <c r="B429">
        <v>663</v>
      </c>
      <c r="C429" t="str">
        <f>VLOOKUP(B429,Kunde!A:C,3,FALSE)</f>
        <v>Privatkunde</v>
      </c>
      <c r="D429" t="str">
        <f>VLOOKUP(O429,Produkt!$A$1:$E$5,2,FALSE)</f>
        <v>A</v>
      </c>
      <c r="E429">
        <f t="shared" si="18"/>
        <v>4</v>
      </c>
      <c r="F429">
        <f>VLOOKUP(D429,Produkt!$B$1:$C$5,2,FALSE)*Bestellungen!E429</f>
        <v>1200</v>
      </c>
      <c r="G429" s="2">
        <v>44918</v>
      </c>
      <c r="H429" s="2">
        <f t="shared" si="19"/>
        <v>44920</v>
      </c>
      <c r="I429" s="2">
        <f t="shared" si="20"/>
        <v>44975</v>
      </c>
      <c r="J429" t="str">
        <f>VLOOKUP(M429,Umfragenteilnahme!$A$2:$B$3,2,)</f>
        <v>Ja</v>
      </c>
      <c r="M429">
        <v>1</v>
      </c>
      <c r="N429">
        <v>663</v>
      </c>
      <c r="O429">
        <v>1</v>
      </c>
      <c r="P429">
        <v>39</v>
      </c>
      <c r="Q429">
        <v>4</v>
      </c>
      <c r="R429">
        <v>2</v>
      </c>
      <c r="S429">
        <v>57</v>
      </c>
    </row>
    <row r="430" spans="1:19" x14ac:dyDescent="0.35">
      <c r="A430">
        <v>8077</v>
      </c>
      <c r="B430">
        <v>556</v>
      </c>
      <c r="C430" t="str">
        <f>VLOOKUP(B430,Kunde!A:C,3,FALSE)</f>
        <v>Geschäftskunde</v>
      </c>
      <c r="D430" t="str">
        <f>VLOOKUP(O430,Produkt!$A$1:$E$5,2,FALSE)</f>
        <v>B</v>
      </c>
      <c r="E430">
        <f t="shared" si="18"/>
        <v>46</v>
      </c>
      <c r="F430">
        <f>VLOOKUP(D430,Produkt!$B$1:$C$5,2,FALSE)*Bestellungen!E430</f>
        <v>22080</v>
      </c>
      <c r="G430" s="2">
        <v>44835</v>
      </c>
      <c r="H430" s="2">
        <f t="shared" si="19"/>
        <v>44840</v>
      </c>
      <c r="I430" s="2">
        <f t="shared" si="20"/>
        <v>44892</v>
      </c>
      <c r="J430" t="str">
        <f>VLOOKUP(M430,Umfragenteilnahme!$A$2:$B$3,2,)</f>
        <v>Ja</v>
      </c>
      <c r="M430">
        <v>1</v>
      </c>
      <c r="N430">
        <v>556</v>
      </c>
      <c r="O430">
        <v>2</v>
      </c>
      <c r="P430">
        <v>46</v>
      </c>
      <c r="Q430">
        <v>9</v>
      </c>
      <c r="R430">
        <v>5</v>
      </c>
      <c r="S430">
        <v>57</v>
      </c>
    </row>
    <row r="431" spans="1:19" x14ac:dyDescent="0.35">
      <c r="A431">
        <v>8078</v>
      </c>
      <c r="B431">
        <v>558</v>
      </c>
      <c r="C431" t="str">
        <f>VLOOKUP(B431,Kunde!A:C,3,FALSE)</f>
        <v>Geschäftskunde</v>
      </c>
      <c r="D431" t="str">
        <f>VLOOKUP(O431,Produkt!$A$1:$E$5,2,FALSE)</f>
        <v>B</v>
      </c>
      <c r="E431">
        <f t="shared" si="18"/>
        <v>70</v>
      </c>
      <c r="F431">
        <f>VLOOKUP(D431,Produkt!$B$1:$C$5,2,FALSE)*Bestellungen!E431</f>
        <v>33600</v>
      </c>
      <c r="G431" s="2">
        <v>44893</v>
      </c>
      <c r="H431" s="2">
        <f t="shared" si="19"/>
        <v>44900</v>
      </c>
      <c r="I431" s="2">
        <f t="shared" si="20"/>
        <v>44898</v>
      </c>
      <c r="J431" t="str">
        <f>VLOOKUP(M431,Umfragenteilnahme!$A$2:$B$3,2,)</f>
        <v>Nein</v>
      </c>
      <c r="M431">
        <v>2</v>
      </c>
      <c r="N431">
        <v>558</v>
      </c>
      <c r="O431">
        <v>2</v>
      </c>
      <c r="P431">
        <v>70</v>
      </c>
      <c r="Q431">
        <v>1</v>
      </c>
      <c r="R431">
        <v>7</v>
      </c>
      <c r="S431">
        <v>5</v>
      </c>
    </row>
    <row r="432" spans="1:19" x14ac:dyDescent="0.35">
      <c r="A432">
        <v>8079</v>
      </c>
      <c r="B432">
        <v>491</v>
      </c>
      <c r="C432" t="str">
        <f>VLOOKUP(B432,Kunde!A:C,3,FALSE)</f>
        <v>Privatkunde</v>
      </c>
      <c r="D432" t="str">
        <f>VLOOKUP(O432,Produkt!$A$1:$E$5,2,FALSE)</f>
        <v>C</v>
      </c>
      <c r="E432">
        <f t="shared" si="18"/>
        <v>3</v>
      </c>
      <c r="F432">
        <f>VLOOKUP(D432,Produkt!$B$1:$C$5,2,FALSE)*Bestellungen!E432</f>
        <v>4500</v>
      </c>
      <c r="G432" s="2">
        <v>44818</v>
      </c>
      <c r="H432" s="2">
        <f t="shared" si="19"/>
        <v>44820</v>
      </c>
      <c r="I432" s="2">
        <f t="shared" si="20"/>
        <v>44873</v>
      </c>
      <c r="J432" t="str">
        <f>VLOOKUP(M432,Umfragenteilnahme!$A$2:$B$3,2,)</f>
        <v>Ja</v>
      </c>
      <c r="M432">
        <v>1</v>
      </c>
      <c r="N432">
        <v>491</v>
      </c>
      <c r="O432">
        <v>3</v>
      </c>
      <c r="P432">
        <v>10</v>
      </c>
      <c r="Q432">
        <v>3</v>
      </c>
      <c r="R432">
        <v>2</v>
      </c>
      <c r="S432">
        <v>55</v>
      </c>
    </row>
    <row r="433" spans="1:19" x14ac:dyDescent="0.35">
      <c r="A433">
        <v>8080</v>
      </c>
      <c r="B433">
        <v>594</v>
      </c>
      <c r="C433" t="str">
        <f>VLOOKUP(B433,Kunde!A:C,3,FALSE)</f>
        <v>Geschäftskunde</v>
      </c>
      <c r="D433" t="str">
        <f>VLOOKUP(O433,Produkt!$A$1:$E$5,2,FALSE)</f>
        <v>D</v>
      </c>
      <c r="E433">
        <f t="shared" si="18"/>
        <v>125</v>
      </c>
      <c r="F433">
        <f>VLOOKUP(D433,Produkt!$B$1:$C$5,2,FALSE)*Bestellungen!E433</f>
        <v>100000</v>
      </c>
      <c r="G433" s="2">
        <v>44884</v>
      </c>
      <c r="H433" s="2">
        <f t="shared" si="19"/>
        <v>44888</v>
      </c>
      <c r="I433" s="2">
        <f t="shared" si="20"/>
        <v>44898</v>
      </c>
      <c r="J433" t="str">
        <f>VLOOKUP(M433,Umfragenteilnahme!$A$2:$B$3,2,)</f>
        <v>Ja</v>
      </c>
      <c r="M433">
        <v>1</v>
      </c>
      <c r="N433">
        <v>594</v>
      </c>
      <c r="O433">
        <v>4</v>
      </c>
      <c r="P433">
        <v>125</v>
      </c>
      <c r="Q433">
        <v>10</v>
      </c>
      <c r="R433">
        <v>4</v>
      </c>
      <c r="S433">
        <v>14</v>
      </c>
    </row>
    <row r="434" spans="1:19" x14ac:dyDescent="0.35">
      <c r="A434">
        <v>8081</v>
      </c>
      <c r="B434">
        <v>313</v>
      </c>
      <c r="C434" t="str">
        <f>VLOOKUP(B434,Kunde!A:C,3,FALSE)</f>
        <v>Geschäftskunde</v>
      </c>
      <c r="D434" t="str">
        <f>VLOOKUP(O434,Produkt!$A$1:$E$5,2,FALSE)</f>
        <v>D</v>
      </c>
      <c r="E434">
        <f t="shared" si="18"/>
        <v>19</v>
      </c>
      <c r="F434">
        <f>VLOOKUP(D434,Produkt!$B$1:$C$5,2,FALSE)*Bestellungen!E434</f>
        <v>15200</v>
      </c>
      <c r="G434" s="2">
        <v>44785</v>
      </c>
      <c r="H434" s="2">
        <f t="shared" si="19"/>
        <v>44787</v>
      </c>
      <c r="I434" s="2">
        <f t="shared" si="20"/>
        <v>44811</v>
      </c>
      <c r="J434" t="str">
        <f>VLOOKUP(M434,Umfragenteilnahme!$A$2:$B$3,2,)</f>
        <v>Nein</v>
      </c>
      <c r="M434">
        <v>2</v>
      </c>
      <c r="N434">
        <v>313</v>
      </c>
      <c r="O434">
        <v>4</v>
      </c>
      <c r="P434">
        <v>19</v>
      </c>
      <c r="Q434">
        <v>3</v>
      </c>
      <c r="R434">
        <v>2</v>
      </c>
      <c r="S434">
        <v>26</v>
      </c>
    </row>
    <row r="435" spans="1:19" x14ac:dyDescent="0.35">
      <c r="A435">
        <v>8082</v>
      </c>
      <c r="B435">
        <v>332</v>
      </c>
      <c r="C435" t="str">
        <f>VLOOKUP(B435,Kunde!A:C,3,FALSE)</f>
        <v>Geschäftskunde</v>
      </c>
      <c r="D435" t="str">
        <f>VLOOKUP(O435,Produkt!$A$1:$E$5,2,FALSE)</f>
        <v>C</v>
      </c>
      <c r="E435">
        <f t="shared" si="18"/>
        <v>72</v>
      </c>
      <c r="F435">
        <f>VLOOKUP(D435,Produkt!$B$1:$C$5,2,FALSE)*Bestellungen!E435</f>
        <v>108000</v>
      </c>
      <c r="G435" s="2">
        <v>44747</v>
      </c>
      <c r="H435" s="2">
        <f t="shared" si="19"/>
        <v>44752</v>
      </c>
      <c r="I435" s="2">
        <f t="shared" si="20"/>
        <v>44753</v>
      </c>
      <c r="J435" t="str">
        <f>VLOOKUP(M435,Umfragenteilnahme!$A$2:$B$3,2,)</f>
        <v>Nein</v>
      </c>
      <c r="M435">
        <v>2</v>
      </c>
      <c r="N435">
        <v>332</v>
      </c>
      <c r="O435">
        <v>3</v>
      </c>
      <c r="P435">
        <v>72</v>
      </c>
      <c r="Q435">
        <v>6</v>
      </c>
      <c r="R435">
        <v>5</v>
      </c>
      <c r="S435">
        <v>6</v>
      </c>
    </row>
    <row r="436" spans="1:19" x14ac:dyDescent="0.35">
      <c r="A436">
        <v>8083</v>
      </c>
      <c r="B436">
        <v>417</v>
      </c>
      <c r="C436" t="str">
        <f>VLOOKUP(B436,Kunde!A:C,3,FALSE)</f>
        <v>Geschäftskunde</v>
      </c>
      <c r="D436" t="str">
        <f>VLOOKUP(O436,Produkt!$A$1:$E$5,2,FALSE)</f>
        <v>C</v>
      </c>
      <c r="E436">
        <f t="shared" si="18"/>
        <v>141</v>
      </c>
      <c r="F436">
        <f>VLOOKUP(D436,Produkt!$B$1:$C$5,2,FALSE)*Bestellungen!E436</f>
        <v>211500</v>
      </c>
      <c r="G436" s="2">
        <v>45072</v>
      </c>
      <c r="H436" s="2">
        <f t="shared" si="19"/>
        <v>45078</v>
      </c>
      <c r="I436" s="2">
        <f t="shared" si="20"/>
        <v>45101</v>
      </c>
      <c r="J436" t="str">
        <f>VLOOKUP(M436,Umfragenteilnahme!$A$2:$B$3,2,)</f>
        <v>Nein</v>
      </c>
      <c r="M436">
        <v>2</v>
      </c>
      <c r="N436">
        <v>417</v>
      </c>
      <c r="O436">
        <v>3</v>
      </c>
      <c r="P436">
        <v>141</v>
      </c>
      <c r="Q436">
        <v>6</v>
      </c>
      <c r="R436">
        <v>6</v>
      </c>
      <c r="S436">
        <v>29</v>
      </c>
    </row>
    <row r="437" spans="1:19" x14ac:dyDescent="0.35">
      <c r="A437">
        <v>8084</v>
      </c>
      <c r="B437">
        <v>150</v>
      </c>
      <c r="C437" t="str">
        <f>VLOOKUP(B437,Kunde!A:C,3,FALSE)</f>
        <v>Geschäftskunde</v>
      </c>
      <c r="D437" t="str">
        <f>VLOOKUP(O437,Produkt!$A$1:$E$5,2,FALSE)</f>
        <v>C</v>
      </c>
      <c r="E437">
        <f t="shared" si="18"/>
        <v>43</v>
      </c>
      <c r="F437">
        <f>VLOOKUP(D437,Produkt!$B$1:$C$5,2,FALSE)*Bestellungen!E437</f>
        <v>64500</v>
      </c>
      <c r="G437" s="2">
        <v>45070</v>
      </c>
      <c r="H437" s="2">
        <f t="shared" si="19"/>
        <v>45076</v>
      </c>
      <c r="I437" s="2">
        <f t="shared" si="20"/>
        <v>45080</v>
      </c>
      <c r="J437" t="str">
        <f>VLOOKUP(M437,Umfragenteilnahme!$A$2:$B$3,2,)</f>
        <v>Nein</v>
      </c>
      <c r="M437">
        <v>2</v>
      </c>
      <c r="N437">
        <v>150</v>
      </c>
      <c r="O437">
        <v>3</v>
      </c>
      <c r="P437">
        <v>43</v>
      </c>
      <c r="Q437">
        <v>10</v>
      </c>
      <c r="R437">
        <v>6</v>
      </c>
      <c r="S437">
        <v>10</v>
      </c>
    </row>
    <row r="438" spans="1:19" x14ac:dyDescent="0.35">
      <c r="A438">
        <v>8085</v>
      </c>
      <c r="B438">
        <v>714</v>
      </c>
      <c r="C438" t="str">
        <f>VLOOKUP(B438,Kunde!A:C,3,FALSE)</f>
        <v>Geschäftskunde</v>
      </c>
      <c r="D438" t="str">
        <f>VLOOKUP(O438,Produkt!$A$1:$E$5,2,FALSE)</f>
        <v>C</v>
      </c>
      <c r="E438">
        <f t="shared" si="18"/>
        <v>76</v>
      </c>
      <c r="F438">
        <f>VLOOKUP(D438,Produkt!$B$1:$C$5,2,FALSE)*Bestellungen!E438</f>
        <v>114000</v>
      </c>
      <c r="G438" s="2">
        <v>45067</v>
      </c>
      <c r="H438" s="2">
        <f t="shared" si="19"/>
        <v>45069</v>
      </c>
      <c r="I438" s="2">
        <f t="shared" si="20"/>
        <v>45107</v>
      </c>
      <c r="J438" t="str">
        <f>VLOOKUP(M438,Umfragenteilnahme!$A$2:$B$3,2,)</f>
        <v>Ja</v>
      </c>
      <c r="M438">
        <v>1</v>
      </c>
      <c r="N438">
        <v>714</v>
      </c>
      <c r="O438">
        <v>3</v>
      </c>
      <c r="P438">
        <v>76</v>
      </c>
      <c r="Q438">
        <v>9</v>
      </c>
      <c r="R438">
        <v>2</v>
      </c>
      <c r="S438">
        <v>40</v>
      </c>
    </row>
    <row r="439" spans="1:19" x14ac:dyDescent="0.35">
      <c r="A439">
        <v>8086</v>
      </c>
      <c r="B439">
        <v>512</v>
      </c>
      <c r="C439" t="str">
        <f>VLOOKUP(B439,Kunde!A:C,3,FALSE)</f>
        <v>Geschäftskunde</v>
      </c>
      <c r="D439" t="str">
        <f>VLOOKUP(O439,Produkt!$A$1:$E$5,2,FALSE)</f>
        <v>A</v>
      </c>
      <c r="E439">
        <f t="shared" si="18"/>
        <v>98</v>
      </c>
      <c r="F439">
        <f>VLOOKUP(D439,Produkt!$B$1:$C$5,2,FALSE)*Bestellungen!E439</f>
        <v>29400</v>
      </c>
      <c r="G439" s="2">
        <v>44752</v>
      </c>
      <c r="H439" s="2">
        <f t="shared" si="19"/>
        <v>44754</v>
      </c>
      <c r="I439" s="2">
        <f t="shared" si="20"/>
        <v>44784</v>
      </c>
      <c r="J439" t="str">
        <f>VLOOKUP(M439,Umfragenteilnahme!$A$2:$B$3,2,)</f>
        <v>Nein</v>
      </c>
      <c r="M439">
        <v>2</v>
      </c>
      <c r="N439">
        <v>512</v>
      </c>
      <c r="O439">
        <v>1</v>
      </c>
      <c r="P439">
        <v>98</v>
      </c>
      <c r="Q439">
        <v>4</v>
      </c>
      <c r="R439">
        <v>2</v>
      </c>
      <c r="S439">
        <v>32</v>
      </c>
    </row>
    <row r="440" spans="1:19" x14ac:dyDescent="0.35">
      <c r="A440">
        <v>8087</v>
      </c>
      <c r="B440">
        <v>362</v>
      </c>
      <c r="C440" t="str">
        <f>VLOOKUP(B440,Kunde!A:C,3,FALSE)</f>
        <v>Geschäftskunde</v>
      </c>
      <c r="D440" t="str">
        <f>VLOOKUP(O440,Produkt!$A$1:$E$5,2,FALSE)</f>
        <v>C</v>
      </c>
      <c r="E440">
        <f t="shared" si="18"/>
        <v>145</v>
      </c>
      <c r="F440">
        <f>VLOOKUP(D440,Produkt!$B$1:$C$5,2,FALSE)*Bestellungen!E440</f>
        <v>217500</v>
      </c>
      <c r="G440" s="2">
        <v>44967</v>
      </c>
      <c r="H440" s="2">
        <f t="shared" si="19"/>
        <v>44973</v>
      </c>
      <c r="I440" s="2">
        <f t="shared" si="20"/>
        <v>44970</v>
      </c>
      <c r="J440" t="str">
        <f>VLOOKUP(M440,Umfragenteilnahme!$A$2:$B$3,2,)</f>
        <v>Ja</v>
      </c>
      <c r="M440">
        <v>1</v>
      </c>
      <c r="N440">
        <v>362</v>
      </c>
      <c r="O440">
        <v>3</v>
      </c>
      <c r="P440">
        <v>145</v>
      </c>
      <c r="Q440">
        <v>3</v>
      </c>
      <c r="R440">
        <v>6</v>
      </c>
      <c r="S440">
        <v>3</v>
      </c>
    </row>
    <row r="441" spans="1:19" x14ac:dyDescent="0.35">
      <c r="A441">
        <v>8088</v>
      </c>
      <c r="B441">
        <v>719</v>
      </c>
      <c r="C441" t="str">
        <f>VLOOKUP(B441,Kunde!A:C,3,FALSE)</f>
        <v>Geschäftskunde</v>
      </c>
      <c r="D441" t="str">
        <f>VLOOKUP(O441,Produkt!$A$1:$E$5,2,FALSE)</f>
        <v>D</v>
      </c>
      <c r="E441">
        <f t="shared" si="18"/>
        <v>126</v>
      </c>
      <c r="F441">
        <f>VLOOKUP(D441,Produkt!$B$1:$C$5,2,FALSE)*Bestellungen!E441</f>
        <v>100800</v>
      </c>
      <c r="G441" s="2">
        <v>44900</v>
      </c>
      <c r="H441" s="2">
        <f t="shared" si="19"/>
        <v>44902</v>
      </c>
      <c r="I441" s="2">
        <f t="shared" si="20"/>
        <v>44925</v>
      </c>
      <c r="J441" t="str">
        <f>VLOOKUP(M441,Umfragenteilnahme!$A$2:$B$3,2,)</f>
        <v>Ja</v>
      </c>
      <c r="M441">
        <v>1</v>
      </c>
      <c r="N441">
        <v>719</v>
      </c>
      <c r="O441">
        <v>4</v>
      </c>
      <c r="P441">
        <v>126</v>
      </c>
      <c r="Q441">
        <v>3</v>
      </c>
      <c r="R441">
        <v>2</v>
      </c>
      <c r="S441">
        <v>25</v>
      </c>
    </row>
    <row r="442" spans="1:19" x14ac:dyDescent="0.35">
      <c r="A442">
        <v>8089</v>
      </c>
      <c r="B442">
        <v>611</v>
      </c>
      <c r="C442" t="str">
        <f>VLOOKUP(B442,Kunde!A:C,3,FALSE)</f>
        <v>Geschäftskunde</v>
      </c>
      <c r="D442" t="str">
        <f>VLOOKUP(O442,Produkt!$A$1:$E$5,2,FALSE)</f>
        <v>B</v>
      </c>
      <c r="E442">
        <f t="shared" si="18"/>
        <v>64</v>
      </c>
      <c r="F442">
        <f>VLOOKUP(D442,Produkt!$B$1:$C$5,2,FALSE)*Bestellungen!E442</f>
        <v>30720</v>
      </c>
      <c r="G442" s="2">
        <v>44998</v>
      </c>
      <c r="H442" s="2">
        <f t="shared" si="19"/>
        <v>45000</v>
      </c>
      <c r="I442" s="2">
        <f t="shared" si="20"/>
        <v>45051</v>
      </c>
      <c r="J442" t="str">
        <f>VLOOKUP(M442,Umfragenteilnahme!$A$2:$B$3,2,)</f>
        <v>Ja</v>
      </c>
      <c r="M442">
        <v>1</v>
      </c>
      <c r="N442">
        <v>611</v>
      </c>
      <c r="O442">
        <v>2</v>
      </c>
      <c r="P442">
        <v>64</v>
      </c>
      <c r="Q442">
        <v>5</v>
      </c>
      <c r="R442">
        <v>2</v>
      </c>
      <c r="S442">
        <v>53</v>
      </c>
    </row>
    <row r="443" spans="1:19" x14ac:dyDescent="0.35">
      <c r="A443">
        <v>8090</v>
      </c>
      <c r="B443">
        <v>398</v>
      </c>
      <c r="C443" t="str">
        <f>VLOOKUP(B443,Kunde!A:C,3,FALSE)</f>
        <v>Privatkunde</v>
      </c>
      <c r="D443" t="str">
        <f>VLOOKUP(O443,Produkt!$A$1:$E$5,2,FALSE)</f>
        <v>D</v>
      </c>
      <c r="E443">
        <f t="shared" si="18"/>
        <v>6</v>
      </c>
      <c r="F443">
        <f>VLOOKUP(D443,Produkt!$B$1:$C$5,2,FALSE)*Bestellungen!E443</f>
        <v>4800</v>
      </c>
      <c r="G443" s="2">
        <v>44861</v>
      </c>
      <c r="H443" s="2">
        <f t="shared" si="19"/>
        <v>44864</v>
      </c>
      <c r="I443" s="2">
        <f t="shared" si="20"/>
        <v>44904</v>
      </c>
      <c r="J443" t="str">
        <f>VLOOKUP(M443,Umfragenteilnahme!$A$2:$B$3,2,)</f>
        <v>Nein</v>
      </c>
      <c r="M443">
        <v>2</v>
      </c>
      <c r="N443">
        <v>398</v>
      </c>
      <c r="O443">
        <v>4</v>
      </c>
      <c r="P443">
        <v>59</v>
      </c>
      <c r="Q443">
        <v>6</v>
      </c>
      <c r="R443">
        <v>3</v>
      </c>
      <c r="S443">
        <v>43</v>
      </c>
    </row>
    <row r="444" spans="1:19" x14ac:dyDescent="0.35">
      <c r="A444">
        <v>8091</v>
      </c>
      <c r="B444">
        <v>411</v>
      </c>
      <c r="C444" t="str">
        <f>VLOOKUP(B444,Kunde!A:C,3,FALSE)</f>
        <v>Geschäftskunde</v>
      </c>
      <c r="D444" t="str">
        <f>VLOOKUP(O444,Produkt!$A$1:$E$5,2,FALSE)</f>
        <v>B</v>
      </c>
      <c r="E444">
        <f t="shared" si="18"/>
        <v>30</v>
      </c>
      <c r="F444">
        <f>VLOOKUP(D444,Produkt!$B$1:$C$5,2,FALSE)*Bestellungen!E444</f>
        <v>14400</v>
      </c>
      <c r="G444" s="2">
        <v>44875</v>
      </c>
      <c r="H444" s="2">
        <f t="shared" si="19"/>
        <v>44882</v>
      </c>
      <c r="I444" s="2">
        <f t="shared" si="20"/>
        <v>44882</v>
      </c>
      <c r="J444" t="str">
        <f>VLOOKUP(M444,Umfragenteilnahme!$A$2:$B$3,2,)</f>
        <v>Ja</v>
      </c>
      <c r="M444">
        <v>1</v>
      </c>
      <c r="N444">
        <v>411</v>
      </c>
      <c r="O444">
        <v>2</v>
      </c>
      <c r="P444">
        <v>30</v>
      </c>
      <c r="Q444">
        <v>6</v>
      </c>
      <c r="R444">
        <v>7</v>
      </c>
      <c r="S444">
        <v>7</v>
      </c>
    </row>
    <row r="445" spans="1:19" x14ac:dyDescent="0.35">
      <c r="A445">
        <v>8092</v>
      </c>
      <c r="B445">
        <v>385</v>
      </c>
      <c r="C445" t="str">
        <f>VLOOKUP(B445,Kunde!A:C,3,FALSE)</f>
        <v>Geschäftskunde</v>
      </c>
      <c r="D445" t="str">
        <f>VLOOKUP(O445,Produkt!$A$1:$E$5,2,FALSE)</f>
        <v>C</v>
      </c>
      <c r="E445">
        <f t="shared" si="18"/>
        <v>26</v>
      </c>
      <c r="F445">
        <f>VLOOKUP(D445,Produkt!$B$1:$C$5,2,FALSE)*Bestellungen!E445</f>
        <v>39000</v>
      </c>
      <c r="G445" s="2">
        <v>44977</v>
      </c>
      <c r="H445" s="2">
        <f t="shared" si="19"/>
        <v>44983</v>
      </c>
      <c r="I445" s="2">
        <f t="shared" si="20"/>
        <v>44991</v>
      </c>
      <c r="J445" t="str">
        <f>VLOOKUP(M445,Umfragenteilnahme!$A$2:$B$3,2,)</f>
        <v>Ja</v>
      </c>
      <c r="M445">
        <v>1</v>
      </c>
      <c r="N445">
        <v>385</v>
      </c>
      <c r="O445">
        <v>3</v>
      </c>
      <c r="P445">
        <v>26</v>
      </c>
      <c r="Q445">
        <v>9</v>
      </c>
      <c r="R445">
        <v>6</v>
      </c>
      <c r="S445">
        <v>14</v>
      </c>
    </row>
    <row r="446" spans="1:19" x14ac:dyDescent="0.35">
      <c r="A446">
        <v>8093</v>
      </c>
      <c r="B446">
        <v>555</v>
      </c>
      <c r="C446" t="str">
        <f>VLOOKUP(B446,Kunde!A:C,3,FALSE)</f>
        <v>Geschäftskunde</v>
      </c>
      <c r="D446" t="str">
        <f>VLOOKUP(O446,Produkt!$A$1:$E$5,2,FALSE)</f>
        <v>D</v>
      </c>
      <c r="E446">
        <f t="shared" si="18"/>
        <v>138</v>
      </c>
      <c r="F446">
        <f>VLOOKUP(D446,Produkt!$B$1:$C$5,2,FALSE)*Bestellungen!E446</f>
        <v>110400</v>
      </c>
      <c r="G446" s="2">
        <v>44833</v>
      </c>
      <c r="H446" s="2">
        <f t="shared" si="19"/>
        <v>44840</v>
      </c>
      <c r="I446" s="2">
        <f t="shared" si="20"/>
        <v>44846</v>
      </c>
      <c r="J446" t="str">
        <f>VLOOKUP(M446,Umfragenteilnahme!$A$2:$B$3,2,)</f>
        <v>Nein</v>
      </c>
      <c r="M446">
        <v>2</v>
      </c>
      <c r="N446">
        <v>555</v>
      </c>
      <c r="O446">
        <v>4</v>
      </c>
      <c r="P446">
        <v>138</v>
      </c>
      <c r="Q446">
        <v>6</v>
      </c>
      <c r="R446">
        <v>7</v>
      </c>
      <c r="S446">
        <v>13</v>
      </c>
    </row>
    <row r="447" spans="1:19" x14ac:dyDescent="0.35">
      <c r="A447">
        <v>8094</v>
      </c>
      <c r="B447">
        <v>81</v>
      </c>
      <c r="C447" t="str">
        <f>VLOOKUP(B447,Kunde!A:C,3,FALSE)</f>
        <v>Privatkunde</v>
      </c>
      <c r="D447" t="str">
        <f>VLOOKUP(O447,Produkt!$A$1:$E$5,2,FALSE)</f>
        <v>A</v>
      </c>
      <c r="E447">
        <f t="shared" si="18"/>
        <v>10</v>
      </c>
      <c r="F447">
        <f>VLOOKUP(D447,Produkt!$B$1:$C$5,2,FALSE)*Bestellungen!E447</f>
        <v>3000</v>
      </c>
      <c r="G447" s="2">
        <v>44955</v>
      </c>
      <c r="H447" s="2">
        <f t="shared" si="19"/>
        <v>44961</v>
      </c>
      <c r="I447" s="2">
        <f t="shared" si="20"/>
        <v>45014</v>
      </c>
      <c r="J447" t="str">
        <f>VLOOKUP(M447,Umfragenteilnahme!$A$2:$B$3,2,)</f>
        <v>Nein</v>
      </c>
      <c r="M447">
        <v>2</v>
      </c>
      <c r="N447">
        <v>81</v>
      </c>
      <c r="O447">
        <v>1</v>
      </c>
      <c r="P447">
        <v>28</v>
      </c>
      <c r="Q447">
        <v>10</v>
      </c>
      <c r="R447">
        <v>6</v>
      </c>
      <c r="S447">
        <v>59</v>
      </c>
    </row>
    <row r="448" spans="1:19" x14ac:dyDescent="0.35">
      <c r="A448">
        <v>8095</v>
      </c>
      <c r="B448">
        <v>436</v>
      </c>
      <c r="C448" t="str">
        <f>VLOOKUP(B448,Kunde!A:C,3,FALSE)</f>
        <v>Privatkunde</v>
      </c>
      <c r="D448" t="str">
        <f>VLOOKUP(O448,Produkt!$A$1:$E$5,2,FALSE)</f>
        <v>C</v>
      </c>
      <c r="E448">
        <f t="shared" si="18"/>
        <v>6</v>
      </c>
      <c r="F448">
        <f>VLOOKUP(D448,Produkt!$B$1:$C$5,2,FALSE)*Bestellungen!E448</f>
        <v>9000</v>
      </c>
      <c r="G448" s="2">
        <v>44971</v>
      </c>
      <c r="H448" s="2">
        <f t="shared" si="19"/>
        <v>44978</v>
      </c>
      <c r="I448" s="2">
        <f t="shared" si="20"/>
        <v>45029</v>
      </c>
      <c r="J448" t="str">
        <f>VLOOKUP(M448,Umfragenteilnahme!$A$2:$B$3,2,)</f>
        <v>Nein</v>
      </c>
      <c r="M448">
        <v>2</v>
      </c>
      <c r="N448">
        <v>436</v>
      </c>
      <c r="O448">
        <v>3</v>
      </c>
      <c r="P448">
        <v>104</v>
      </c>
      <c r="Q448">
        <v>6</v>
      </c>
      <c r="R448">
        <v>7</v>
      </c>
      <c r="S448">
        <v>58</v>
      </c>
    </row>
    <row r="449" spans="1:19" x14ac:dyDescent="0.35">
      <c r="A449">
        <v>8096</v>
      </c>
      <c r="B449">
        <v>522</v>
      </c>
      <c r="C449" t="str">
        <f>VLOOKUP(B449,Kunde!A:C,3,FALSE)</f>
        <v>Geschäftskunde</v>
      </c>
      <c r="D449" t="str">
        <f>VLOOKUP(O449,Produkt!$A$1:$E$5,2,FALSE)</f>
        <v>C</v>
      </c>
      <c r="E449">
        <f t="shared" si="18"/>
        <v>82</v>
      </c>
      <c r="F449">
        <f>VLOOKUP(D449,Produkt!$B$1:$C$5,2,FALSE)*Bestellungen!E449</f>
        <v>123000</v>
      </c>
      <c r="G449" s="2">
        <v>44743</v>
      </c>
      <c r="H449" s="2">
        <f t="shared" si="19"/>
        <v>44750</v>
      </c>
      <c r="I449" s="2">
        <f t="shared" si="20"/>
        <v>44790</v>
      </c>
      <c r="J449" t="str">
        <f>VLOOKUP(M449,Umfragenteilnahme!$A$2:$B$3,2,)</f>
        <v>Ja</v>
      </c>
      <c r="M449">
        <v>1</v>
      </c>
      <c r="N449">
        <v>522</v>
      </c>
      <c r="O449">
        <v>3</v>
      </c>
      <c r="P449">
        <v>82</v>
      </c>
      <c r="Q449">
        <v>3</v>
      </c>
      <c r="R449">
        <v>7</v>
      </c>
      <c r="S449">
        <v>47</v>
      </c>
    </row>
    <row r="450" spans="1:19" x14ac:dyDescent="0.35">
      <c r="A450">
        <v>8097</v>
      </c>
      <c r="B450">
        <v>443</v>
      </c>
      <c r="C450" t="str">
        <f>VLOOKUP(B450,Kunde!A:C,3,FALSE)</f>
        <v>Geschäftskunde</v>
      </c>
      <c r="D450" t="str">
        <f>VLOOKUP(O450,Produkt!$A$1:$E$5,2,FALSE)</f>
        <v>D</v>
      </c>
      <c r="E450">
        <f t="shared" si="18"/>
        <v>140</v>
      </c>
      <c r="F450">
        <f>VLOOKUP(D450,Produkt!$B$1:$C$5,2,FALSE)*Bestellungen!E450</f>
        <v>112000</v>
      </c>
      <c r="G450" s="2">
        <v>44784</v>
      </c>
      <c r="H450" s="2">
        <f t="shared" si="19"/>
        <v>44786</v>
      </c>
      <c r="I450" s="2">
        <f t="shared" si="20"/>
        <v>44829</v>
      </c>
      <c r="J450" t="str">
        <f>VLOOKUP(M450,Umfragenteilnahme!$A$2:$B$3,2,)</f>
        <v>Nein</v>
      </c>
      <c r="M450">
        <v>2</v>
      </c>
      <c r="N450">
        <v>443</v>
      </c>
      <c r="O450">
        <v>4</v>
      </c>
      <c r="P450">
        <v>140</v>
      </c>
      <c r="Q450">
        <v>9</v>
      </c>
      <c r="R450">
        <v>2</v>
      </c>
      <c r="S450">
        <v>45</v>
      </c>
    </row>
    <row r="451" spans="1:19" x14ac:dyDescent="0.35">
      <c r="A451">
        <v>8098</v>
      </c>
      <c r="B451">
        <v>624</v>
      </c>
      <c r="C451" t="str">
        <f>VLOOKUP(B451,Kunde!A:C,3,FALSE)</f>
        <v>Privatkunde</v>
      </c>
      <c r="D451" t="str">
        <f>VLOOKUP(O451,Produkt!$A$1:$E$5,2,FALSE)</f>
        <v>C</v>
      </c>
      <c r="E451">
        <f t="shared" ref="E451:E514" si="21">IF(C451="Geschäftskunde",P451,Q451)</f>
        <v>2</v>
      </c>
      <c r="F451">
        <f>VLOOKUP(D451,Produkt!$B$1:$C$5,2,FALSE)*Bestellungen!E451</f>
        <v>3000</v>
      </c>
      <c r="G451" s="2">
        <v>44715</v>
      </c>
      <c r="H451" s="2">
        <f t="shared" ref="H451:H514" si="22">G451+R451</f>
        <v>44718</v>
      </c>
      <c r="I451" s="2">
        <f t="shared" ref="I451:I514" si="23">G451+S451</f>
        <v>44735</v>
      </c>
      <c r="J451" t="str">
        <f>VLOOKUP(M451,Umfragenteilnahme!$A$2:$B$3,2,)</f>
        <v>Nein</v>
      </c>
      <c r="M451">
        <v>2</v>
      </c>
      <c r="N451">
        <v>624</v>
      </c>
      <c r="O451">
        <v>3</v>
      </c>
      <c r="P451">
        <v>79</v>
      </c>
      <c r="Q451">
        <v>2</v>
      </c>
      <c r="R451">
        <v>3</v>
      </c>
      <c r="S451">
        <v>20</v>
      </c>
    </row>
    <row r="452" spans="1:19" x14ac:dyDescent="0.35">
      <c r="A452">
        <v>8099</v>
      </c>
      <c r="B452">
        <v>136</v>
      </c>
      <c r="C452" t="str">
        <f>VLOOKUP(B452,Kunde!A:C,3,FALSE)</f>
        <v>Privatkunde</v>
      </c>
      <c r="D452" t="str">
        <f>VLOOKUP(O452,Produkt!$A$1:$E$5,2,FALSE)</f>
        <v>C</v>
      </c>
      <c r="E452">
        <f t="shared" si="21"/>
        <v>5</v>
      </c>
      <c r="F452">
        <f>VLOOKUP(D452,Produkt!$B$1:$C$5,2,FALSE)*Bestellungen!E452</f>
        <v>7500</v>
      </c>
      <c r="G452" s="2">
        <v>45027</v>
      </c>
      <c r="H452" s="2">
        <f t="shared" si="22"/>
        <v>45032</v>
      </c>
      <c r="I452" s="2">
        <f t="shared" si="23"/>
        <v>45039</v>
      </c>
      <c r="J452" t="str">
        <f>VLOOKUP(M452,Umfragenteilnahme!$A$2:$B$3,2,)</f>
        <v>Ja</v>
      </c>
      <c r="M452">
        <v>1</v>
      </c>
      <c r="N452">
        <v>136</v>
      </c>
      <c r="O452">
        <v>3</v>
      </c>
      <c r="P452">
        <v>138</v>
      </c>
      <c r="Q452">
        <v>5</v>
      </c>
      <c r="R452">
        <v>5</v>
      </c>
      <c r="S452">
        <v>12</v>
      </c>
    </row>
    <row r="453" spans="1:19" x14ac:dyDescent="0.35">
      <c r="A453">
        <v>8100</v>
      </c>
      <c r="B453">
        <v>256</v>
      </c>
      <c r="C453" t="str">
        <f>VLOOKUP(B453,Kunde!A:C,3,FALSE)</f>
        <v>Geschäftskunde</v>
      </c>
      <c r="D453" t="str">
        <f>VLOOKUP(O453,Produkt!$A$1:$E$5,2,FALSE)</f>
        <v>A</v>
      </c>
      <c r="E453">
        <f t="shared" si="21"/>
        <v>52</v>
      </c>
      <c r="F453">
        <f>VLOOKUP(D453,Produkt!$B$1:$C$5,2,FALSE)*Bestellungen!E453</f>
        <v>15600</v>
      </c>
      <c r="G453" s="2">
        <v>44886</v>
      </c>
      <c r="H453" s="2">
        <f t="shared" si="22"/>
        <v>44891</v>
      </c>
      <c r="I453" s="2">
        <f t="shared" si="23"/>
        <v>44938</v>
      </c>
      <c r="J453" t="str">
        <f>VLOOKUP(M453,Umfragenteilnahme!$A$2:$B$3,2,)</f>
        <v>Nein</v>
      </c>
      <c r="M453">
        <v>2</v>
      </c>
      <c r="N453">
        <v>256</v>
      </c>
      <c r="O453">
        <v>1</v>
      </c>
      <c r="P453">
        <v>52</v>
      </c>
      <c r="Q453">
        <v>8</v>
      </c>
      <c r="R453">
        <v>5</v>
      </c>
      <c r="S453">
        <v>52</v>
      </c>
    </row>
    <row r="454" spans="1:19" x14ac:dyDescent="0.35">
      <c r="A454">
        <v>8101</v>
      </c>
      <c r="B454">
        <v>451</v>
      </c>
      <c r="C454" t="str">
        <f>VLOOKUP(B454,Kunde!A:C,3,FALSE)</f>
        <v>Geschäftskunde</v>
      </c>
      <c r="D454" t="str">
        <f>VLOOKUP(O454,Produkt!$A$1:$E$5,2,FALSE)</f>
        <v>B</v>
      </c>
      <c r="E454">
        <f t="shared" si="21"/>
        <v>30</v>
      </c>
      <c r="F454">
        <f>VLOOKUP(D454,Produkt!$B$1:$C$5,2,FALSE)*Bestellungen!E454</f>
        <v>14400</v>
      </c>
      <c r="G454" s="2">
        <v>44957</v>
      </c>
      <c r="H454" s="2">
        <f t="shared" si="22"/>
        <v>44960</v>
      </c>
      <c r="I454" s="2">
        <f t="shared" si="23"/>
        <v>45005</v>
      </c>
      <c r="J454" t="str">
        <f>VLOOKUP(M454,Umfragenteilnahme!$A$2:$B$3,2,)</f>
        <v>Ja</v>
      </c>
      <c r="M454">
        <v>1</v>
      </c>
      <c r="N454">
        <v>451</v>
      </c>
      <c r="O454">
        <v>2</v>
      </c>
      <c r="P454">
        <v>30</v>
      </c>
      <c r="Q454">
        <v>10</v>
      </c>
      <c r="R454">
        <v>3</v>
      </c>
      <c r="S454">
        <v>48</v>
      </c>
    </row>
    <row r="455" spans="1:19" x14ac:dyDescent="0.35">
      <c r="A455">
        <v>8102</v>
      </c>
      <c r="B455">
        <v>313</v>
      </c>
      <c r="C455" t="str">
        <f>VLOOKUP(B455,Kunde!A:C,3,FALSE)</f>
        <v>Geschäftskunde</v>
      </c>
      <c r="D455" t="str">
        <f>VLOOKUP(O455,Produkt!$A$1:$E$5,2,FALSE)</f>
        <v>A</v>
      </c>
      <c r="E455">
        <f t="shared" si="21"/>
        <v>47</v>
      </c>
      <c r="F455">
        <f>VLOOKUP(D455,Produkt!$B$1:$C$5,2,FALSE)*Bestellungen!E455</f>
        <v>14100</v>
      </c>
      <c r="G455" s="2">
        <v>44861</v>
      </c>
      <c r="H455" s="2">
        <f t="shared" si="22"/>
        <v>44865</v>
      </c>
      <c r="I455" s="2">
        <f t="shared" si="23"/>
        <v>44905</v>
      </c>
      <c r="J455" t="str">
        <f>VLOOKUP(M455,Umfragenteilnahme!$A$2:$B$3,2,)</f>
        <v>Nein</v>
      </c>
      <c r="M455">
        <v>2</v>
      </c>
      <c r="N455">
        <v>313</v>
      </c>
      <c r="O455">
        <v>1</v>
      </c>
      <c r="P455">
        <v>47</v>
      </c>
      <c r="Q455">
        <v>2</v>
      </c>
      <c r="R455">
        <v>4</v>
      </c>
      <c r="S455">
        <v>44</v>
      </c>
    </row>
    <row r="456" spans="1:19" x14ac:dyDescent="0.35">
      <c r="A456">
        <v>8103</v>
      </c>
      <c r="B456">
        <v>755</v>
      </c>
      <c r="C456" t="str">
        <f>VLOOKUP(B456,Kunde!A:C,3,FALSE)</f>
        <v>Geschäftskunde</v>
      </c>
      <c r="D456" t="str">
        <f>VLOOKUP(O456,Produkt!$A$1:$E$5,2,FALSE)</f>
        <v>C</v>
      </c>
      <c r="E456">
        <f t="shared" si="21"/>
        <v>130</v>
      </c>
      <c r="F456">
        <f>VLOOKUP(D456,Produkt!$B$1:$C$5,2,FALSE)*Bestellungen!E456</f>
        <v>195000</v>
      </c>
      <c r="G456" s="2">
        <v>45026</v>
      </c>
      <c r="H456" s="2">
        <f t="shared" si="22"/>
        <v>45029</v>
      </c>
      <c r="I456" s="2">
        <f t="shared" si="23"/>
        <v>45031</v>
      </c>
      <c r="J456" t="str">
        <f>VLOOKUP(M456,Umfragenteilnahme!$A$2:$B$3,2,)</f>
        <v>Ja</v>
      </c>
      <c r="M456">
        <v>1</v>
      </c>
      <c r="N456">
        <v>755</v>
      </c>
      <c r="O456">
        <v>3</v>
      </c>
      <c r="P456">
        <v>130</v>
      </c>
      <c r="Q456">
        <v>8</v>
      </c>
      <c r="R456">
        <v>3</v>
      </c>
      <c r="S456">
        <v>5</v>
      </c>
    </row>
    <row r="457" spans="1:19" x14ac:dyDescent="0.35">
      <c r="A457">
        <v>8104</v>
      </c>
      <c r="B457">
        <v>214</v>
      </c>
      <c r="C457" t="str">
        <f>VLOOKUP(B457,Kunde!A:C,3,FALSE)</f>
        <v>Geschäftskunde</v>
      </c>
      <c r="D457" t="str">
        <f>VLOOKUP(O457,Produkt!$A$1:$E$5,2,FALSE)</f>
        <v>B</v>
      </c>
      <c r="E457">
        <f t="shared" si="21"/>
        <v>130</v>
      </c>
      <c r="F457">
        <f>VLOOKUP(D457,Produkt!$B$1:$C$5,2,FALSE)*Bestellungen!E457</f>
        <v>62400</v>
      </c>
      <c r="G457" s="2">
        <v>44757</v>
      </c>
      <c r="H457" s="2">
        <f t="shared" si="22"/>
        <v>44764</v>
      </c>
      <c r="I457" s="2">
        <f t="shared" si="23"/>
        <v>44779</v>
      </c>
      <c r="J457" t="str">
        <f>VLOOKUP(M457,Umfragenteilnahme!$A$2:$B$3,2,)</f>
        <v>Nein</v>
      </c>
      <c r="M457">
        <v>2</v>
      </c>
      <c r="N457">
        <v>214</v>
      </c>
      <c r="O457">
        <v>2</v>
      </c>
      <c r="P457">
        <v>130</v>
      </c>
      <c r="Q457">
        <v>1</v>
      </c>
      <c r="R457">
        <v>7</v>
      </c>
      <c r="S457">
        <v>22</v>
      </c>
    </row>
    <row r="458" spans="1:19" x14ac:dyDescent="0.35">
      <c r="A458">
        <v>8105</v>
      </c>
      <c r="B458">
        <v>537</v>
      </c>
      <c r="C458" t="str">
        <f>VLOOKUP(B458,Kunde!A:C,3,FALSE)</f>
        <v>Geschäftskunde</v>
      </c>
      <c r="D458" t="str">
        <f>VLOOKUP(O458,Produkt!$A$1:$E$5,2,FALSE)</f>
        <v>C</v>
      </c>
      <c r="E458">
        <f t="shared" si="21"/>
        <v>133</v>
      </c>
      <c r="F458">
        <f>VLOOKUP(D458,Produkt!$B$1:$C$5,2,FALSE)*Bestellungen!E458</f>
        <v>199500</v>
      </c>
      <c r="G458" s="2">
        <v>44989</v>
      </c>
      <c r="H458" s="2">
        <f t="shared" si="22"/>
        <v>44991</v>
      </c>
      <c r="I458" s="2">
        <f t="shared" si="23"/>
        <v>45041</v>
      </c>
      <c r="J458" t="str">
        <f>VLOOKUP(M458,Umfragenteilnahme!$A$2:$B$3,2,)</f>
        <v>Ja</v>
      </c>
      <c r="M458">
        <v>1</v>
      </c>
      <c r="N458">
        <v>537</v>
      </c>
      <c r="O458">
        <v>3</v>
      </c>
      <c r="P458">
        <v>133</v>
      </c>
      <c r="Q458">
        <v>2</v>
      </c>
      <c r="R458">
        <v>2</v>
      </c>
      <c r="S458">
        <v>52</v>
      </c>
    </row>
    <row r="459" spans="1:19" x14ac:dyDescent="0.35">
      <c r="A459">
        <v>8106</v>
      </c>
      <c r="B459">
        <v>688</v>
      </c>
      <c r="C459" t="str">
        <f>VLOOKUP(B459,Kunde!A:C,3,FALSE)</f>
        <v>Geschäftskunde</v>
      </c>
      <c r="D459" t="str">
        <f>VLOOKUP(O459,Produkt!$A$1:$E$5,2,FALSE)</f>
        <v>D</v>
      </c>
      <c r="E459">
        <f t="shared" si="21"/>
        <v>123</v>
      </c>
      <c r="F459">
        <f>VLOOKUP(D459,Produkt!$B$1:$C$5,2,FALSE)*Bestellungen!E459</f>
        <v>98400</v>
      </c>
      <c r="G459" s="2">
        <v>44816</v>
      </c>
      <c r="H459" s="2">
        <f t="shared" si="22"/>
        <v>44823</v>
      </c>
      <c r="I459" s="2">
        <f t="shared" si="23"/>
        <v>44873</v>
      </c>
      <c r="J459" t="str">
        <f>VLOOKUP(M459,Umfragenteilnahme!$A$2:$B$3,2,)</f>
        <v>Ja</v>
      </c>
      <c r="M459">
        <v>1</v>
      </c>
      <c r="N459">
        <v>688</v>
      </c>
      <c r="O459">
        <v>4</v>
      </c>
      <c r="P459">
        <v>123</v>
      </c>
      <c r="Q459">
        <v>3</v>
      </c>
      <c r="R459">
        <v>7</v>
      </c>
      <c r="S459">
        <v>57</v>
      </c>
    </row>
    <row r="460" spans="1:19" x14ac:dyDescent="0.35">
      <c r="A460">
        <v>8107</v>
      </c>
      <c r="B460">
        <v>82</v>
      </c>
      <c r="C460" t="str">
        <f>VLOOKUP(B460,Kunde!A:C,3,FALSE)</f>
        <v>Geschäftskunde</v>
      </c>
      <c r="D460" t="str">
        <f>VLOOKUP(O460,Produkt!$A$1:$E$5,2,FALSE)</f>
        <v>A</v>
      </c>
      <c r="E460">
        <f t="shared" si="21"/>
        <v>93</v>
      </c>
      <c r="F460">
        <f>VLOOKUP(D460,Produkt!$B$1:$C$5,2,FALSE)*Bestellungen!E460</f>
        <v>27900</v>
      </c>
      <c r="G460" s="2">
        <v>44734</v>
      </c>
      <c r="H460" s="2">
        <f t="shared" si="22"/>
        <v>44739</v>
      </c>
      <c r="I460" s="2">
        <f t="shared" si="23"/>
        <v>44770</v>
      </c>
      <c r="J460" t="str">
        <f>VLOOKUP(M460,Umfragenteilnahme!$A$2:$B$3,2,)</f>
        <v>Ja</v>
      </c>
      <c r="M460">
        <v>1</v>
      </c>
      <c r="N460">
        <v>82</v>
      </c>
      <c r="O460">
        <v>1</v>
      </c>
      <c r="P460">
        <v>93</v>
      </c>
      <c r="Q460">
        <v>3</v>
      </c>
      <c r="R460">
        <v>5</v>
      </c>
      <c r="S460">
        <v>36</v>
      </c>
    </row>
    <row r="461" spans="1:19" x14ac:dyDescent="0.35">
      <c r="A461">
        <v>8108</v>
      </c>
      <c r="B461">
        <v>306</v>
      </c>
      <c r="C461" t="str">
        <f>VLOOKUP(B461,Kunde!A:C,3,FALSE)</f>
        <v>Geschäftskunde</v>
      </c>
      <c r="D461" t="str">
        <f>VLOOKUP(O461,Produkt!$A$1:$E$5,2,FALSE)</f>
        <v>A</v>
      </c>
      <c r="E461">
        <f t="shared" si="21"/>
        <v>14</v>
      </c>
      <c r="F461">
        <f>VLOOKUP(D461,Produkt!$B$1:$C$5,2,FALSE)*Bestellungen!E461</f>
        <v>4200</v>
      </c>
      <c r="G461" s="2">
        <v>45061</v>
      </c>
      <c r="H461" s="2">
        <f t="shared" si="22"/>
        <v>45063</v>
      </c>
      <c r="I461" s="2">
        <f t="shared" si="23"/>
        <v>45096</v>
      </c>
      <c r="J461" t="str">
        <f>VLOOKUP(M461,Umfragenteilnahme!$A$2:$B$3,2,)</f>
        <v>Ja</v>
      </c>
      <c r="M461">
        <v>1</v>
      </c>
      <c r="N461">
        <v>306</v>
      </c>
      <c r="O461">
        <v>1</v>
      </c>
      <c r="P461">
        <v>14</v>
      </c>
      <c r="Q461">
        <v>7</v>
      </c>
      <c r="R461">
        <v>2</v>
      </c>
      <c r="S461">
        <v>35</v>
      </c>
    </row>
    <row r="462" spans="1:19" x14ac:dyDescent="0.35">
      <c r="A462">
        <v>8109</v>
      </c>
      <c r="B462">
        <v>667</v>
      </c>
      <c r="C462" t="str">
        <f>VLOOKUP(B462,Kunde!A:C,3,FALSE)</f>
        <v>Geschäftskunde</v>
      </c>
      <c r="D462" t="str">
        <f>VLOOKUP(O462,Produkt!$A$1:$E$5,2,FALSE)</f>
        <v>D</v>
      </c>
      <c r="E462">
        <f t="shared" si="21"/>
        <v>55</v>
      </c>
      <c r="F462">
        <f>VLOOKUP(D462,Produkt!$B$1:$C$5,2,FALSE)*Bestellungen!E462</f>
        <v>44000</v>
      </c>
      <c r="G462" s="2">
        <v>45034</v>
      </c>
      <c r="H462" s="2">
        <f t="shared" si="22"/>
        <v>45040</v>
      </c>
      <c r="I462" s="2">
        <f t="shared" si="23"/>
        <v>45047</v>
      </c>
      <c r="J462" t="str">
        <f>VLOOKUP(M462,Umfragenteilnahme!$A$2:$B$3,2,)</f>
        <v>Ja</v>
      </c>
      <c r="M462">
        <v>1</v>
      </c>
      <c r="N462">
        <v>667</v>
      </c>
      <c r="O462">
        <v>4</v>
      </c>
      <c r="P462">
        <v>55</v>
      </c>
      <c r="Q462">
        <v>3</v>
      </c>
      <c r="R462">
        <v>6</v>
      </c>
      <c r="S462">
        <v>13</v>
      </c>
    </row>
    <row r="463" spans="1:19" x14ac:dyDescent="0.35">
      <c r="A463">
        <v>8110</v>
      </c>
      <c r="B463">
        <v>357</v>
      </c>
      <c r="C463" t="str">
        <f>VLOOKUP(B463,Kunde!A:C,3,FALSE)</f>
        <v>Geschäftskunde</v>
      </c>
      <c r="D463" t="str">
        <f>VLOOKUP(O463,Produkt!$A$1:$E$5,2,FALSE)</f>
        <v>D</v>
      </c>
      <c r="E463">
        <f t="shared" si="21"/>
        <v>112</v>
      </c>
      <c r="F463">
        <f>VLOOKUP(D463,Produkt!$B$1:$C$5,2,FALSE)*Bestellungen!E463</f>
        <v>89600</v>
      </c>
      <c r="G463" s="2">
        <v>44738</v>
      </c>
      <c r="H463" s="2">
        <f t="shared" si="22"/>
        <v>44743</v>
      </c>
      <c r="I463" s="2">
        <f t="shared" si="23"/>
        <v>44750</v>
      </c>
      <c r="J463" t="str">
        <f>VLOOKUP(M463,Umfragenteilnahme!$A$2:$B$3,2,)</f>
        <v>Nein</v>
      </c>
      <c r="M463">
        <v>2</v>
      </c>
      <c r="N463">
        <v>357</v>
      </c>
      <c r="O463">
        <v>4</v>
      </c>
      <c r="P463">
        <v>112</v>
      </c>
      <c r="Q463">
        <v>4</v>
      </c>
      <c r="R463">
        <v>5</v>
      </c>
      <c r="S463">
        <v>12</v>
      </c>
    </row>
    <row r="464" spans="1:19" x14ac:dyDescent="0.35">
      <c r="A464">
        <v>8111</v>
      </c>
      <c r="B464">
        <v>111</v>
      </c>
      <c r="C464" t="str">
        <f>VLOOKUP(B464,Kunde!A:C,3,FALSE)</f>
        <v>Geschäftskunde</v>
      </c>
      <c r="D464" t="str">
        <f>VLOOKUP(O464,Produkt!$A$1:$E$5,2,FALSE)</f>
        <v>C</v>
      </c>
      <c r="E464">
        <f t="shared" si="21"/>
        <v>111</v>
      </c>
      <c r="F464">
        <f>VLOOKUP(D464,Produkt!$B$1:$C$5,2,FALSE)*Bestellungen!E464</f>
        <v>166500</v>
      </c>
      <c r="G464" s="2">
        <v>44760</v>
      </c>
      <c r="H464" s="2">
        <f t="shared" si="22"/>
        <v>44766</v>
      </c>
      <c r="I464" s="2">
        <f t="shared" si="23"/>
        <v>44782</v>
      </c>
      <c r="J464" t="str">
        <f>VLOOKUP(M464,Umfragenteilnahme!$A$2:$B$3,2,)</f>
        <v>Ja</v>
      </c>
      <c r="M464">
        <v>1</v>
      </c>
      <c r="N464">
        <v>111</v>
      </c>
      <c r="O464">
        <v>3</v>
      </c>
      <c r="P464">
        <v>111</v>
      </c>
      <c r="Q464">
        <v>10</v>
      </c>
      <c r="R464">
        <v>6</v>
      </c>
      <c r="S464">
        <v>22</v>
      </c>
    </row>
    <row r="465" spans="1:19" x14ac:dyDescent="0.35">
      <c r="A465">
        <v>8112</v>
      </c>
      <c r="B465">
        <v>121</v>
      </c>
      <c r="C465" t="str">
        <f>VLOOKUP(B465,Kunde!A:C,3,FALSE)</f>
        <v>Geschäftskunde</v>
      </c>
      <c r="D465" t="str">
        <f>VLOOKUP(O465,Produkt!$A$1:$E$5,2,FALSE)</f>
        <v>C</v>
      </c>
      <c r="E465">
        <f t="shared" si="21"/>
        <v>72</v>
      </c>
      <c r="F465">
        <f>VLOOKUP(D465,Produkt!$B$1:$C$5,2,FALSE)*Bestellungen!E465</f>
        <v>108000</v>
      </c>
      <c r="G465" s="2">
        <v>44847</v>
      </c>
      <c r="H465" s="2">
        <f t="shared" si="22"/>
        <v>44852</v>
      </c>
      <c r="I465" s="2">
        <f t="shared" si="23"/>
        <v>44890</v>
      </c>
      <c r="J465" t="str">
        <f>VLOOKUP(M465,Umfragenteilnahme!$A$2:$B$3,2,)</f>
        <v>Nein</v>
      </c>
      <c r="M465">
        <v>2</v>
      </c>
      <c r="N465">
        <v>121</v>
      </c>
      <c r="O465">
        <v>3</v>
      </c>
      <c r="P465">
        <v>72</v>
      </c>
      <c r="Q465">
        <v>2</v>
      </c>
      <c r="R465">
        <v>5</v>
      </c>
      <c r="S465">
        <v>43</v>
      </c>
    </row>
    <row r="466" spans="1:19" x14ac:dyDescent="0.35">
      <c r="A466">
        <v>8113</v>
      </c>
      <c r="B466">
        <v>716</v>
      </c>
      <c r="C466" t="str">
        <f>VLOOKUP(B466,Kunde!A:C,3,FALSE)</f>
        <v>Geschäftskunde</v>
      </c>
      <c r="D466" t="str">
        <f>VLOOKUP(O466,Produkt!$A$1:$E$5,2,FALSE)</f>
        <v>D</v>
      </c>
      <c r="E466">
        <f t="shared" si="21"/>
        <v>41</v>
      </c>
      <c r="F466">
        <f>VLOOKUP(D466,Produkt!$B$1:$C$5,2,FALSE)*Bestellungen!E466</f>
        <v>32800</v>
      </c>
      <c r="G466" s="2">
        <v>45049</v>
      </c>
      <c r="H466" s="2">
        <f t="shared" si="22"/>
        <v>45051</v>
      </c>
      <c r="I466" s="2">
        <f t="shared" si="23"/>
        <v>45092</v>
      </c>
      <c r="J466" t="str">
        <f>VLOOKUP(M466,Umfragenteilnahme!$A$2:$B$3,2,)</f>
        <v>Ja</v>
      </c>
      <c r="M466">
        <v>1</v>
      </c>
      <c r="N466">
        <v>716</v>
      </c>
      <c r="O466">
        <v>4</v>
      </c>
      <c r="P466">
        <v>41</v>
      </c>
      <c r="Q466">
        <v>2</v>
      </c>
      <c r="R466">
        <v>2</v>
      </c>
      <c r="S466">
        <v>43</v>
      </c>
    </row>
    <row r="467" spans="1:19" x14ac:dyDescent="0.35">
      <c r="A467">
        <v>8114</v>
      </c>
      <c r="B467">
        <v>738</v>
      </c>
      <c r="C467" t="str">
        <f>VLOOKUP(B467,Kunde!A:C,3,FALSE)</f>
        <v>Geschäftskunde</v>
      </c>
      <c r="D467" t="str">
        <f>VLOOKUP(O467,Produkt!$A$1:$E$5,2,FALSE)</f>
        <v>A</v>
      </c>
      <c r="E467">
        <f t="shared" si="21"/>
        <v>46</v>
      </c>
      <c r="F467">
        <f>VLOOKUP(D467,Produkt!$B$1:$C$5,2,FALSE)*Bestellungen!E467</f>
        <v>13800</v>
      </c>
      <c r="G467" s="2">
        <v>44810</v>
      </c>
      <c r="H467" s="2">
        <f t="shared" si="22"/>
        <v>44817</v>
      </c>
      <c r="I467" s="2">
        <f t="shared" si="23"/>
        <v>44844</v>
      </c>
      <c r="J467" t="str">
        <f>VLOOKUP(M467,Umfragenteilnahme!$A$2:$B$3,2,)</f>
        <v>Ja</v>
      </c>
      <c r="M467">
        <v>1</v>
      </c>
      <c r="N467">
        <v>738</v>
      </c>
      <c r="O467">
        <v>1</v>
      </c>
      <c r="P467">
        <v>46</v>
      </c>
      <c r="Q467">
        <v>3</v>
      </c>
      <c r="R467">
        <v>7</v>
      </c>
      <c r="S467">
        <v>34</v>
      </c>
    </row>
    <row r="468" spans="1:19" x14ac:dyDescent="0.35">
      <c r="A468">
        <v>8115</v>
      </c>
      <c r="B468">
        <v>184</v>
      </c>
      <c r="C468" t="str">
        <f>VLOOKUP(B468,Kunde!A:C,3,FALSE)</f>
        <v>Geschäftskunde</v>
      </c>
      <c r="D468" t="str">
        <f>VLOOKUP(O468,Produkt!$A$1:$E$5,2,FALSE)</f>
        <v>A</v>
      </c>
      <c r="E468">
        <f t="shared" si="21"/>
        <v>34</v>
      </c>
      <c r="F468">
        <f>VLOOKUP(D468,Produkt!$B$1:$C$5,2,FALSE)*Bestellungen!E468</f>
        <v>10200</v>
      </c>
      <c r="G468" s="2">
        <v>45042</v>
      </c>
      <c r="H468" s="2">
        <f t="shared" si="22"/>
        <v>45046</v>
      </c>
      <c r="I468" s="2">
        <f t="shared" si="23"/>
        <v>45099</v>
      </c>
      <c r="J468" t="str">
        <f>VLOOKUP(M468,Umfragenteilnahme!$A$2:$B$3,2,)</f>
        <v>Ja</v>
      </c>
      <c r="M468">
        <v>1</v>
      </c>
      <c r="N468">
        <v>184</v>
      </c>
      <c r="O468">
        <v>1</v>
      </c>
      <c r="P468">
        <v>34</v>
      </c>
      <c r="Q468">
        <v>1</v>
      </c>
      <c r="R468">
        <v>4</v>
      </c>
      <c r="S468">
        <v>57</v>
      </c>
    </row>
    <row r="469" spans="1:19" x14ac:dyDescent="0.35">
      <c r="A469">
        <v>8116</v>
      </c>
      <c r="B469">
        <v>439</v>
      </c>
      <c r="C469" t="str">
        <f>VLOOKUP(B469,Kunde!A:C,3,FALSE)</f>
        <v>Geschäftskunde</v>
      </c>
      <c r="D469" t="str">
        <f>VLOOKUP(O469,Produkt!$A$1:$E$5,2,FALSE)</f>
        <v>A</v>
      </c>
      <c r="E469">
        <f t="shared" si="21"/>
        <v>127</v>
      </c>
      <c r="F469">
        <f>VLOOKUP(D469,Produkt!$B$1:$C$5,2,FALSE)*Bestellungen!E469</f>
        <v>38100</v>
      </c>
      <c r="G469" s="2">
        <v>44904</v>
      </c>
      <c r="H469" s="2">
        <f t="shared" si="22"/>
        <v>44909</v>
      </c>
      <c r="I469" s="2">
        <f t="shared" si="23"/>
        <v>44960</v>
      </c>
      <c r="J469" t="str">
        <f>VLOOKUP(M469,Umfragenteilnahme!$A$2:$B$3,2,)</f>
        <v>Nein</v>
      </c>
      <c r="M469">
        <v>2</v>
      </c>
      <c r="N469">
        <v>439</v>
      </c>
      <c r="O469">
        <v>1</v>
      </c>
      <c r="P469">
        <v>127</v>
      </c>
      <c r="Q469">
        <v>5</v>
      </c>
      <c r="R469">
        <v>5</v>
      </c>
      <c r="S469">
        <v>56</v>
      </c>
    </row>
    <row r="470" spans="1:19" x14ac:dyDescent="0.35">
      <c r="A470">
        <v>8117</v>
      </c>
      <c r="B470">
        <v>728</v>
      </c>
      <c r="C470" t="str">
        <f>VLOOKUP(B470,Kunde!A:C,3,FALSE)</f>
        <v>Geschäftskunde</v>
      </c>
      <c r="D470" t="str">
        <f>VLOOKUP(O470,Produkt!$A$1:$E$5,2,FALSE)</f>
        <v>D</v>
      </c>
      <c r="E470">
        <f t="shared" si="21"/>
        <v>96</v>
      </c>
      <c r="F470">
        <f>VLOOKUP(D470,Produkt!$B$1:$C$5,2,FALSE)*Bestellungen!E470</f>
        <v>76800</v>
      </c>
      <c r="G470" s="2">
        <v>44938</v>
      </c>
      <c r="H470" s="2">
        <f t="shared" si="22"/>
        <v>44942</v>
      </c>
      <c r="I470" s="2">
        <f t="shared" si="23"/>
        <v>44983</v>
      </c>
      <c r="J470" t="str">
        <f>VLOOKUP(M470,Umfragenteilnahme!$A$2:$B$3,2,)</f>
        <v>Ja</v>
      </c>
      <c r="M470">
        <v>1</v>
      </c>
      <c r="N470">
        <v>728</v>
      </c>
      <c r="O470">
        <v>4</v>
      </c>
      <c r="P470">
        <v>96</v>
      </c>
      <c r="Q470">
        <v>10</v>
      </c>
      <c r="R470">
        <v>4</v>
      </c>
      <c r="S470">
        <v>45</v>
      </c>
    </row>
    <row r="471" spans="1:19" x14ac:dyDescent="0.35">
      <c r="A471">
        <v>8118</v>
      </c>
      <c r="B471">
        <v>642</v>
      </c>
      <c r="C471" t="str">
        <f>VLOOKUP(B471,Kunde!A:C,3,FALSE)</f>
        <v>Geschäftskunde</v>
      </c>
      <c r="D471" t="str">
        <f>VLOOKUP(O471,Produkt!$A$1:$E$5,2,FALSE)</f>
        <v>C</v>
      </c>
      <c r="E471">
        <f t="shared" si="21"/>
        <v>40</v>
      </c>
      <c r="F471">
        <f>VLOOKUP(D471,Produkt!$B$1:$C$5,2,FALSE)*Bestellungen!E471</f>
        <v>60000</v>
      </c>
      <c r="G471" s="2">
        <v>44956</v>
      </c>
      <c r="H471" s="2">
        <f t="shared" si="22"/>
        <v>44960</v>
      </c>
      <c r="I471" s="2">
        <f t="shared" si="23"/>
        <v>44990</v>
      </c>
      <c r="J471" t="str">
        <f>VLOOKUP(M471,Umfragenteilnahme!$A$2:$B$3,2,)</f>
        <v>Ja</v>
      </c>
      <c r="M471">
        <v>1</v>
      </c>
      <c r="N471">
        <v>642</v>
      </c>
      <c r="O471">
        <v>3</v>
      </c>
      <c r="P471">
        <v>40</v>
      </c>
      <c r="Q471">
        <v>1</v>
      </c>
      <c r="R471">
        <v>4</v>
      </c>
      <c r="S471">
        <v>34</v>
      </c>
    </row>
    <row r="472" spans="1:19" x14ac:dyDescent="0.35">
      <c r="A472">
        <v>8119</v>
      </c>
      <c r="B472">
        <v>493</v>
      </c>
      <c r="C472" t="str">
        <f>VLOOKUP(B472,Kunde!A:C,3,FALSE)</f>
        <v>Geschäftskunde</v>
      </c>
      <c r="D472" t="str">
        <f>VLOOKUP(O472,Produkt!$A$1:$E$5,2,FALSE)</f>
        <v>A</v>
      </c>
      <c r="E472">
        <f t="shared" si="21"/>
        <v>84</v>
      </c>
      <c r="F472">
        <f>VLOOKUP(D472,Produkt!$B$1:$C$5,2,FALSE)*Bestellungen!E472</f>
        <v>25200</v>
      </c>
      <c r="G472" s="2">
        <v>44793</v>
      </c>
      <c r="H472" s="2">
        <f t="shared" si="22"/>
        <v>44797</v>
      </c>
      <c r="I472" s="2">
        <f t="shared" si="23"/>
        <v>44838</v>
      </c>
      <c r="J472" t="str">
        <f>VLOOKUP(M472,Umfragenteilnahme!$A$2:$B$3,2,)</f>
        <v>Nein</v>
      </c>
      <c r="M472">
        <v>2</v>
      </c>
      <c r="N472">
        <v>493</v>
      </c>
      <c r="O472">
        <v>1</v>
      </c>
      <c r="P472">
        <v>84</v>
      </c>
      <c r="Q472">
        <v>4</v>
      </c>
      <c r="R472">
        <v>4</v>
      </c>
      <c r="S472">
        <v>45</v>
      </c>
    </row>
    <row r="473" spans="1:19" x14ac:dyDescent="0.35">
      <c r="A473">
        <v>8120</v>
      </c>
      <c r="B473">
        <v>552</v>
      </c>
      <c r="C473" t="str">
        <f>VLOOKUP(B473,Kunde!A:C,3,FALSE)</f>
        <v>Geschäftskunde</v>
      </c>
      <c r="D473" t="str">
        <f>VLOOKUP(O473,Produkt!$A$1:$E$5,2,FALSE)</f>
        <v>B</v>
      </c>
      <c r="E473">
        <f t="shared" si="21"/>
        <v>61</v>
      </c>
      <c r="F473">
        <f>VLOOKUP(D473,Produkt!$B$1:$C$5,2,FALSE)*Bestellungen!E473</f>
        <v>29280</v>
      </c>
      <c r="G473" s="2">
        <v>44896</v>
      </c>
      <c r="H473" s="2">
        <f t="shared" si="22"/>
        <v>44902</v>
      </c>
      <c r="I473" s="2">
        <f t="shared" si="23"/>
        <v>44902</v>
      </c>
      <c r="J473" t="str">
        <f>VLOOKUP(M473,Umfragenteilnahme!$A$2:$B$3,2,)</f>
        <v>Ja</v>
      </c>
      <c r="M473">
        <v>1</v>
      </c>
      <c r="N473">
        <v>552</v>
      </c>
      <c r="O473">
        <v>2</v>
      </c>
      <c r="P473">
        <v>61</v>
      </c>
      <c r="Q473">
        <v>5</v>
      </c>
      <c r="R473">
        <v>6</v>
      </c>
      <c r="S473">
        <v>6</v>
      </c>
    </row>
    <row r="474" spans="1:19" x14ac:dyDescent="0.35">
      <c r="A474">
        <v>8121</v>
      </c>
      <c r="B474">
        <v>444</v>
      </c>
      <c r="C474" t="str">
        <f>VLOOKUP(B474,Kunde!A:C,3,FALSE)</f>
        <v>Geschäftskunde</v>
      </c>
      <c r="D474" t="str">
        <f>VLOOKUP(O474,Produkt!$A$1:$E$5,2,FALSE)</f>
        <v>B</v>
      </c>
      <c r="E474">
        <f t="shared" si="21"/>
        <v>15</v>
      </c>
      <c r="F474">
        <f>VLOOKUP(D474,Produkt!$B$1:$C$5,2,FALSE)*Bestellungen!E474</f>
        <v>7200</v>
      </c>
      <c r="G474" s="2">
        <v>44790</v>
      </c>
      <c r="H474" s="2">
        <f t="shared" si="22"/>
        <v>44797</v>
      </c>
      <c r="I474" s="2">
        <f t="shared" si="23"/>
        <v>44820</v>
      </c>
      <c r="J474" t="str">
        <f>VLOOKUP(M474,Umfragenteilnahme!$A$2:$B$3,2,)</f>
        <v>Nein</v>
      </c>
      <c r="M474">
        <v>2</v>
      </c>
      <c r="N474">
        <v>444</v>
      </c>
      <c r="O474">
        <v>2</v>
      </c>
      <c r="P474">
        <v>15</v>
      </c>
      <c r="Q474">
        <v>10</v>
      </c>
      <c r="R474">
        <v>7</v>
      </c>
      <c r="S474">
        <v>30</v>
      </c>
    </row>
    <row r="475" spans="1:19" x14ac:dyDescent="0.35">
      <c r="A475">
        <v>8122</v>
      </c>
      <c r="B475">
        <v>189</v>
      </c>
      <c r="C475" t="str">
        <f>VLOOKUP(B475,Kunde!A:C,3,FALSE)</f>
        <v>Geschäftskunde</v>
      </c>
      <c r="D475" t="str">
        <f>VLOOKUP(O475,Produkt!$A$1:$E$5,2,FALSE)</f>
        <v>D</v>
      </c>
      <c r="E475">
        <f t="shared" si="21"/>
        <v>69</v>
      </c>
      <c r="F475">
        <f>VLOOKUP(D475,Produkt!$B$1:$C$5,2,FALSE)*Bestellungen!E475</f>
        <v>55200</v>
      </c>
      <c r="G475" s="2">
        <v>44771</v>
      </c>
      <c r="H475" s="2">
        <f t="shared" si="22"/>
        <v>44773</v>
      </c>
      <c r="I475" s="2">
        <f t="shared" si="23"/>
        <v>44830</v>
      </c>
      <c r="J475" t="str">
        <f>VLOOKUP(M475,Umfragenteilnahme!$A$2:$B$3,2,)</f>
        <v>Nein</v>
      </c>
      <c r="M475">
        <v>2</v>
      </c>
      <c r="N475">
        <v>189</v>
      </c>
      <c r="O475">
        <v>4</v>
      </c>
      <c r="P475">
        <v>69</v>
      </c>
      <c r="Q475">
        <v>10</v>
      </c>
      <c r="R475">
        <v>2</v>
      </c>
      <c r="S475">
        <v>59</v>
      </c>
    </row>
    <row r="476" spans="1:19" x14ac:dyDescent="0.35">
      <c r="A476">
        <v>8123</v>
      </c>
      <c r="B476">
        <v>780</v>
      </c>
      <c r="C476" t="str">
        <f>VLOOKUP(B476,Kunde!A:C,3,FALSE)</f>
        <v>Geschäftskunde</v>
      </c>
      <c r="D476" t="str">
        <f>VLOOKUP(O476,Produkt!$A$1:$E$5,2,FALSE)</f>
        <v>D</v>
      </c>
      <c r="E476">
        <f t="shared" si="21"/>
        <v>10</v>
      </c>
      <c r="F476">
        <f>VLOOKUP(D476,Produkt!$B$1:$C$5,2,FALSE)*Bestellungen!E476</f>
        <v>8000</v>
      </c>
      <c r="G476" s="2">
        <v>44901</v>
      </c>
      <c r="H476" s="2">
        <f t="shared" si="22"/>
        <v>44904</v>
      </c>
      <c r="I476" s="2">
        <f t="shared" si="23"/>
        <v>44954</v>
      </c>
      <c r="J476" t="str">
        <f>VLOOKUP(M476,Umfragenteilnahme!$A$2:$B$3,2,)</f>
        <v>Nein</v>
      </c>
      <c r="M476">
        <v>2</v>
      </c>
      <c r="N476">
        <v>780</v>
      </c>
      <c r="O476">
        <v>4</v>
      </c>
      <c r="P476">
        <v>10</v>
      </c>
      <c r="Q476">
        <v>1</v>
      </c>
      <c r="R476">
        <v>3</v>
      </c>
      <c r="S476">
        <v>53</v>
      </c>
    </row>
    <row r="477" spans="1:19" x14ac:dyDescent="0.35">
      <c r="A477">
        <v>8124</v>
      </c>
      <c r="B477">
        <v>305</v>
      </c>
      <c r="C477" t="str">
        <f>VLOOKUP(B477,Kunde!A:C,3,FALSE)</f>
        <v>Geschäftskunde</v>
      </c>
      <c r="D477" t="str">
        <f>VLOOKUP(O477,Produkt!$A$1:$E$5,2,FALSE)</f>
        <v>A</v>
      </c>
      <c r="E477">
        <f t="shared" si="21"/>
        <v>23</v>
      </c>
      <c r="F477">
        <f>VLOOKUP(D477,Produkt!$B$1:$C$5,2,FALSE)*Bestellungen!E477</f>
        <v>6900</v>
      </c>
      <c r="G477" s="2">
        <v>44818</v>
      </c>
      <c r="H477" s="2">
        <f t="shared" si="22"/>
        <v>44824</v>
      </c>
      <c r="I477" s="2">
        <f t="shared" si="23"/>
        <v>44876</v>
      </c>
      <c r="J477" t="str">
        <f>VLOOKUP(M477,Umfragenteilnahme!$A$2:$B$3,2,)</f>
        <v>Nein</v>
      </c>
      <c r="M477">
        <v>2</v>
      </c>
      <c r="N477">
        <v>305</v>
      </c>
      <c r="O477">
        <v>1</v>
      </c>
      <c r="P477">
        <v>23</v>
      </c>
      <c r="Q477">
        <v>8</v>
      </c>
      <c r="R477">
        <v>6</v>
      </c>
      <c r="S477">
        <v>58</v>
      </c>
    </row>
    <row r="478" spans="1:19" x14ac:dyDescent="0.35">
      <c r="A478">
        <v>8125</v>
      </c>
      <c r="B478">
        <v>793</v>
      </c>
      <c r="C478" t="str">
        <f>VLOOKUP(B478,Kunde!A:C,3,FALSE)</f>
        <v>Geschäftskunde</v>
      </c>
      <c r="D478" t="str">
        <f>VLOOKUP(O478,Produkt!$A$1:$E$5,2,FALSE)</f>
        <v>A</v>
      </c>
      <c r="E478">
        <f t="shared" si="21"/>
        <v>59</v>
      </c>
      <c r="F478">
        <f>VLOOKUP(D478,Produkt!$B$1:$C$5,2,FALSE)*Bestellungen!E478</f>
        <v>17700</v>
      </c>
      <c r="G478" s="2">
        <v>44841</v>
      </c>
      <c r="H478" s="2">
        <f t="shared" si="22"/>
        <v>44845</v>
      </c>
      <c r="I478" s="2">
        <f t="shared" si="23"/>
        <v>44881</v>
      </c>
      <c r="J478" t="str">
        <f>VLOOKUP(M478,Umfragenteilnahme!$A$2:$B$3,2,)</f>
        <v>Ja</v>
      </c>
      <c r="M478">
        <v>1</v>
      </c>
      <c r="N478">
        <v>793</v>
      </c>
      <c r="O478">
        <v>1</v>
      </c>
      <c r="P478">
        <v>59</v>
      </c>
      <c r="Q478">
        <v>5</v>
      </c>
      <c r="R478">
        <v>4</v>
      </c>
      <c r="S478">
        <v>40</v>
      </c>
    </row>
    <row r="479" spans="1:19" x14ac:dyDescent="0.35">
      <c r="A479">
        <v>8126</v>
      </c>
      <c r="B479">
        <v>256</v>
      </c>
      <c r="C479" t="str">
        <f>VLOOKUP(B479,Kunde!A:C,3,FALSE)</f>
        <v>Geschäftskunde</v>
      </c>
      <c r="D479" t="str">
        <f>VLOOKUP(O479,Produkt!$A$1:$E$5,2,FALSE)</f>
        <v>C</v>
      </c>
      <c r="E479">
        <f t="shared" si="21"/>
        <v>41</v>
      </c>
      <c r="F479">
        <f>VLOOKUP(D479,Produkt!$B$1:$C$5,2,FALSE)*Bestellungen!E479</f>
        <v>61500</v>
      </c>
      <c r="G479" s="2">
        <v>44925</v>
      </c>
      <c r="H479" s="2">
        <f t="shared" si="22"/>
        <v>44932</v>
      </c>
      <c r="I479" s="2">
        <f t="shared" si="23"/>
        <v>44954</v>
      </c>
      <c r="J479" t="str">
        <f>VLOOKUP(M479,Umfragenteilnahme!$A$2:$B$3,2,)</f>
        <v>Ja</v>
      </c>
      <c r="M479">
        <v>1</v>
      </c>
      <c r="N479">
        <v>256</v>
      </c>
      <c r="O479">
        <v>3</v>
      </c>
      <c r="P479">
        <v>41</v>
      </c>
      <c r="Q479">
        <v>2</v>
      </c>
      <c r="R479">
        <v>7</v>
      </c>
      <c r="S479">
        <v>29</v>
      </c>
    </row>
    <row r="480" spans="1:19" x14ac:dyDescent="0.35">
      <c r="A480">
        <v>8127</v>
      </c>
      <c r="B480">
        <v>485</v>
      </c>
      <c r="C480" t="str">
        <f>VLOOKUP(B480,Kunde!A:C,3,FALSE)</f>
        <v>Geschäftskunde</v>
      </c>
      <c r="D480" t="str">
        <f>VLOOKUP(O480,Produkt!$A$1:$E$5,2,FALSE)</f>
        <v>B</v>
      </c>
      <c r="E480">
        <f t="shared" si="21"/>
        <v>20</v>
      </c>
      <c r="F480">
        <f>VLOOKUP(D480,Produkt!$B$1:$C$5,2,FALSE)*Bestellungen!E480</f>
        <v>9600</v>
      </c>
      <c r="G480" s="2">
        <v>44785</v>
      </c>
      <c r="H480" s="2">
        <f t="shared" si="22"/>
        <v>44787</v>
      </c>
      <c r="I480" s="2">
        <f t="shared" si="23"/>
        <v>44796</v>
      </c>
      <c r="J480" t="str">
        <f>VLOOKUP(M480,Umfragenteilnahme!$A$2:$B$3,2,)</f>
        <v>Ja</v>
      </c>
      <c r="M480">
        <v>1</v>
      </c>
      <c r="N480">
        <v>485</v>
      </c>
      <c r="O480">
        <v>2</v>
      </c>
      <c r="P480">
        <v>20</v>
      </c>
      <c r="Q480">
        <v>5</v>
      </c>
      <c r="R480">
        <v>2</v>
      </c>
      <c r="S480">
        <v>11</v>
      </c>
    </row>
    <row r="481" spans="1:19" x14ac:dyDescent="0.35">
      <c r="A481">
        <v>8128</v>
      </c>
      <c r="B481">
        <v>747</v>
      </c>
      <c r="C481" t="str">
        <f>VLOOKUP(B481,Kunde!A:C,3,FALSE)</f>
        <v>Geschäftskunde</v>
      </c>
      <c r="D481" t="str">
        <f>VLOOKUP(O481,Produkt!$A$1:$E$5,2,FALSE)</f>
        <v>C</v>
      </c>
      <c r="E481">
        <f t="shared" si="21"/>
        <v>49</v>
      </c>
      <c r="F481">
        <f>VLOOKUP(D481,Produkt!$B$1:$C$5,2,FALSE)*Bestellungen!E481</f>
        <v>73500</v>
      </c>
      <c r="G481" s="2">
        <v>44866</v>
      </c>
      <c r="H481" s="2">
        <f t="shared" si="22"/>
        <v>44871</v>
      </c>
      <c r="I481" s="2">
        <f t="shared" si="23"/>
        <v>44900</v>
      </c>
      <c r="J481" t="str">
        <f>VLOOKUP(M481,Umfragenteilnahme!$A$2:$B$3,2,)</f>
        <v>Nein</v>
      </c>
      <c r="M481">
        <v>2</v>
      </c>
      <c r="N481">
        <v>747</v>
      </c>
      <c r="O481">
        <v>3</v>
      </c>
      <c r="P481">
        <v>49</v>
      </c>
      <c r="Q481">
        <v>6</v>
      </c>
      <c r="R481">
        <v>5</v>
      </c>
      <c r="S481">
        <v>34</v>
      </c>
    </row>
    <row r="482" spans="1:19" x14ac:dyDescent="0.35">
      <c r="A482">
        <v>8129</v>
      </c>
      <c r="B482">
        <v>752</v>
      </c>
      <c r="C482" t="str">
        <f>VLOOKUP(B482,Kunde!A:C,3,FALSE)</f>
        <v>Geschäftskunde</v>
      </c>
      <c r="D482" t="str">
        <f>VLOOKUP(O482,Produkt!$A$1:$E$5,2,FALSE)</f>
        <v>A</v>
      </c>
      <c r="E482">
        <f t="shared" si="21"/>
        <v>148</v>
      </c>
      <c r="F482">
        <f>VLOOKUP(D482,Produkt!$B$1:$C$5,2,FALSE)*Bestellungen!E482</f>
        <v>44400</v>
      </c>
      <c r="G482" s="2">
        <v>44911</v>
      </c>
      <c r="H482" s="2">
        <f t="shared" si="22"/>
        <v>44918</v>
      </c>
      <c r="I482" s="2">
        <f t="shared" si="23"/>
        <v>44938</v>
      </c>
      <c r="J482" t="str">
        <f>VLOOKUP(M482,Umfragenteilnahme!$A$2:$B$3,2,)</f>
        <v>Nein</v>
      </c>
      <c r="M482">
        <v>2</v>
      </c>
      <c r="N482">
        <v>752</v>
      </c>
      <c r="O482">
        <v>1</v>
      </c>
      <c r="P482">
        <v>148</v>
      </c>
      <c r="Q482">
        <v>5</v>
      </c>
      <c r="R482">
        <v>7</v>
      </c>
      <c r="S482">
        <v>27</v>
      </c>
    </row>
    <row r="483" spans="1:19" x14ac:dyDescent="0.35">
      <c r="A483">
        <v>8130</v>
      </c>
      <c r="B483">
        <v>218</v>
      </c>
      <c r="C483" t="str">
        <f>VLOOKUP(B483,Kunde!A:C,3,FALSE)</f>
        <v>Geschäftskunde</v>
      </c>
      <c r="D483" t="str">
        <f>VLOOKUP(O483,Produkt!$A$1:$E$5,2,FALSE)</f>
        <v>D</v>
      </c>
      <c r="E483">
        <f t="shared" si="21"/>
        <v>53</v>
      </c>
      <c r="F483">
        <f>VLOOKUP(D483,Produkt!$B$1:$C$5,2,FALSE)*Bestellungen!E483</f>
        <v>42400</v>
      </c>
      <c r="G483" s="2">
        <v>44730</v>
      </c>
      <c r="H483" s="2">
        <f t="shared" si="22"/>
        <v>44735</v>
      </c>
      <c r="I483" s="2">
        <f t="shared" si="23"/>
        <v>44787</v>
      </c>
      <c r="J483" t="str">
        <f>VLOOKUP(M483,Umfragenteilnahme!$A$2:$B$3,2,)</f>
        <v>Nein</v>
      </c>
      <c r="M483">
        <v>2</v>
      </c>
      <c r="N483">
        <v>218</v>
      </c>
      <c r="O483">
        <v>4</v>
      </c>
      <c r="P483">
        <v>53</v>
      </c>
      <c r="Q483">
        <v>2</v>
      </c>
      <c r="R483">
        <v>5</v>
      </c>
      <c r="S483">
        <v>57</v>
      </c>
    </row>
    <row r="484" spans="1:19" x14ac:dyDescent="0.35">
      <c r="A484">
        <v>8131</v>
      </c>
      <c r="B484">
        <v>194</v>
      </c>
      <c r="C484" t="str">
        <f>VLOOKUP(B484,Kunde!A:C,3,FALSE)</f>
        <v>Privatkunde</v>
      </c>
      <c r="D484" t="str">
        <f>VLOOKUP(O484,Produkt!$A$1:$E$5,2,FALSE)</f>
        <v>A</v>
      </c>
      <c r="E484">
        <f t="shared" si="21"/>
        <v>5</v>
      </c>
      <c r="F484">
        <f>VLOOKUP(D484,Produkt!$B$1:$C$5,2,FALSE)*Bestellungen!E484</f>
        <v>1500</v>
      </c>
      <c r="G484" s="2">
        <v>44821</v>
      </c>
      <c r="H484" s="2">
        <f t="shared" si="22"/>
        <v>44823</v>
      </c>
      <c r="I484" s="2">
        <f t="shared" si="23"/>
        <v>44871</v>
      </c>
      <c r="J484" t="str">
        <f>VLOOKUP(M484,Umfragenteilnahme!$A$2:$B$3,2,)</f>
        <v>Nein</v>
      </c>
      <c r="M484">
        <v>2</v>
      </c>
      <c r="N484">
        <v>194</v>
      </c>
      <c r="O484">
        <v>1</v>
      </c>
      <c r="P484">
        <v>79</v>
      </c>
      <c r="Q484">
        <v>5</v>
      </c>
      <c r="R484">
        <v>2</v>
      </c>
      <c r="S484">
        <v>50</v>
      </c>
    </row>
    <row r="485" spans="1:19" x14ac:dyDescent="0.35">
      <c r="A485">
        <v>8132</v>
      </c>
      <c r="B485">
        <v>25</v>
      </c>
      <c r="C485" t="str">
        <f>VLOOKUP(B485,Kunde!A:C,3,FALSE)</f>
        <v>Geschäftskunde</v>
      </c>
      <c r="D485" t="str">
        <f>VLOOKUP(O485,Produkt!$A$1:$E$5,2,FALSE)</f>
        <v>A</v>
      </c>
      <c r="E485">
        <f t="shared" si="21"/>
        <v>136</v>
      </c>
      <c r="F485">
        <f>VLOOKUP(D485,Produkt!$B$1:$C$5,2,FALSE)*Bestellungen!E485</f>
        <v>40800</v>
      </c>
      <c r="G485" s="2">
        <v>45015</v>
      </c>
      <c r="H485" s="2">
        <f t="shared" si="22"/>
        <v>45019</v>
      </c>
      <c r="I485" s="2">
        <f t="shared" si="23"/>
        <v>45038</v>
      </c>
      <c r="J485" t="str">
        <f>VLOOKUP(M485,Umfragenteilnahme!$A$2:$B$3,2,)</f>
        <v>Ja</v>
      </c>
      <c r="M485">
        <v>1</v>
      </c>
      <c r="N485">
        <v>25</v>
      </c>
      <c r="O485">
        <v>1</v>
      </c>
      <c r="P485">
        <v>136</v>
      </c>
      <c r="Q485">
        <v>2</v>
      </c>
      <c r="R485">
        <v>4</v>
      </c>
      <c r="S485">
        <v>23</v>
      </c>
    </row>
    <row r="486" spans="1:19" x14ac:dyDescent="0.35">
      <c r="A486">
        <v>8133</v>
      </c>
      <c r="B486">
        <v>49</v>
      </c>
      <c r="C486" t="str">
        <f>VLOOKUP(B486,Kunde!A:C,3,FALSE)</f>
        <v>Geschäftskunde</v>
      </c>
      <c r="D486" t="str">
        <f>VLOOKUP(O486,Produkt!$A$1:$E$5,2,FALSE)</f>
        <v>D</v>
      </c>
      <c r="E486">
        <f t="shared" si="21"/>
        <v>140</v>
      </c>
      <c r="F486">
        <f>VLOOKUP(D486,Produkt!$B$1:$C$5,2,FALSE)*Bestellungen!E486</f>
        <v>112000</v>
      </c>
      <c r="G486" s="2">
        <v>44787</v>
      </c>
      <c r="H486" s="2">
        <f t="shared" si="22"/>
        <v>44790</v>
      </c>
      <c r="I486" s="2">
        <f t="shared" si="23"/>
        <v>44796</v>
      </c>
      <c r="J486" t="str">
        <f>VLOOKUP(M486,Umfragenteilnahme!$A$2:$B$3,2,)</f>
        <v>Nein</v>
      </c>
      <c r="M486">
        <v>2</v>
      </c>
      <c r="N486">
        <v>49</v>
      </c>
      <c r="O486">
        <v>4</v>
      </c>
      <c r="P486">
        <v>140</v>
      </c>
      <c r="Q486">
        <v>7</v>
      </c>
      <c r="R486">
        <v>3</v>
      </c>
      <c r="S486">
        <v>9</v>
      </c>
    </row>
    <row r="487" spans="1:19" x14ac:dyDescent="0.35">
      <c r="A487">
        <v>8134</v>
      </c>
      <c r="B487">
        <v>651</v>
      </c>
      <c r="C487" t="str">
        <f>VLOOKUP(B487,Kunde!A:C,3,FALSE)</f>
        <v>Geschäftskunde</v>
      </c>
      <c r="D487" t="str">
        <f>VLOOKUP(O487,Produkt!$A$1:$E$5,2,FALSE)</f>
        <v>D</v>
      </c>
      <c r="E487">
        <f t="shared" si="21"/>
        <v>35</v>
      </c>
      <c r="F487">
        <f>VLOOKUP(D487,Produkt!$B$1:$C$5,2,FALSE)*Bestellungen!E487</f>
        <v>28000</v>
      </c>
      <c r="G487" s="2">
        <v>44855</v>
      </c>
      <c r="H487" s="2">
        <f t="shared" si="22"/>
        <v>44862</v>
      </c>
      <c r="I487" s="2">
        <f t="shared" si="23"/>
        <v>44897</v>
      </c>
      <c r="J487" t="str">
        <f>VLOOKUP(M487,Umfragenteilnahme!$A$2:$B$3,2,)</f>
        <v>Ja</v>
      </c>
      <c r="M487">
        <v>1</v>
      </c>
      <c r="N487">
        <v>651</v>
      </c>
      <c r="O487">
        <v>4</v>
      </c>
      <c r="P487">
        <v>35</v>
      </c>
      <c r="Q487">
        <v>4</v>
      </c>
      <c r="R487">
        <v>7</v>
      </c>
      <c r="S487">
        <v>42</v>
      </c>
    </row>
    <row r="488" spans="1:19" x14ac:dyDescent="0.35">
      <c r="A488">
        <v>8135</v>
      </c>
      <c r="B488">
        <v>10</v>
      </c>
      <c r="C488" t="str">
        <f>VLOOKUP(B488,Kunde!A:C,3,FALSE)</f>
        <v>Geschäftskunde</v>
      </c>
      <c r="D488" t="str">
        <f>VLOOKUP(O488,Produkt!$A$1:$E$5,2,FALSE)</f>
        <v>C</v>
      </c>
      <c r="E488">
        <f t="shared" si="21"/>
        <v>139</v>
      </c>
      <c r="F488">
        <f>VLOOKUP(D488,Produkt!$B$1:$C$5,2,FALSE)*Bestellungen!E488</f>
        <v>208500</v>
      </c>
      <c r="G488" s="2">
        <v>44848</v>
      </c>
      <c r="H488" s="2">
        <f t="shared" si="22"/>
        <v>44851</v>
      </c>
      <c r="I488" s="2">
        <f t="shared" si="23"/>
        <v>44894</v>
      </c>
      <c r="J488" t="str">
        <f>VLOOKUP(M488,Umfragenteilnahme!$A$2:$B$3,2,)</f>
        <v>Nein</v>
      </c>
      <c r="M488">
        <v>2</v>
      </c>
      <c r="N488">
        <v>10</v>
      </c>
      <c r="O488">
        <v>3</v>
      </c>
      <c r="P488">
        <v>139</v>
      </c>
      <c r="Q488">
        <v>5</v>
      </c>
      <c r="R488">
        <v>3</v>
      </c>
      <c r="S488">
        <v>46</v>
      </c>
    </row>
    <row r="489" spans="1:19" x14ac:dyDescent="0.35">
      <c r="A489">
        <v>8136</v>
      </c>
      <c r="B489">
        <v>573</v>
      </c>
      <c r="C489" t="str">
        <f>VLOOKUP(B489,Kunde!A:C,3,FALSE)</f>
        <v>Geschäftskunde</v>
      </c>
      <c r="D489" t="str">
        <f>VLOOKUP(O489,Produkt!$A$1:$E$5,2,FALSE)</f>
        <v>D</v>
      </c>
      <c r="E489">
        <f t="shared" si="21"/>
        <v>92</v>
      </c>
      <c r="F489">
        <f>VLOOKUP(D489,Produkt!$B$1:$C$5,2,FALSE)*Bestellungen!E489</f>
        <v>73600</v>
      </c>
      <c r="G489" s="2">
        <v>45072</v>
      </c>
      <c r="H489" s="2">
        <f t="shared" si="22"/>
        <v>45077</v>
      </c>
      <c r="I489" s="2">
        <f t="shared" si="23"/>
        <v>45122</v>
      </c>
      <c r="J489" t="str">
        <f>VLOOKUP(M489,Umfragenteilnahme!$A$2:$B$3,2,)</f>
        <v>Nein</v>
      </c>
      <c r="M489">
        <v>2</v>
      </c>
      <c r="N489">
        <v>573</v>
      </c>
      <c r="O489">
        <v>4</v>
      </c>
      <c r="P489">
        <v>92</v>
      </c>
      <c r="Q489">
        <v>8</v>
      </c>
      <c r="R489">
        <v>5</v>
      </c>
      <c r="S489">
        <v>50</v>
      </c>
    </row>
    <row r="490" spans="1:19" x14ac:dyDescent="0.35">
      <c r="A490">
        <v>8137</v>
      </c>
      <c r="B490">
        <v>198</v>
      </c>
      <c r="C490" t="str">
        <f>VLOOKUP(B490,Kunde!A:C,3,FALSE)</f>
        <v>Geschäftskunde</v>
      </c>
      <c r="D490" t="str">
        <f>VLOOKUP(O490,Produkt!$A$1:$E$5,2,FALSE)</f>
        <v>D</v>
      </c>
      <c r="E490">
        <f t="shared" si="21"/>
        <v>82</v>
      </c>
      <c r="F490">
        <f>VLOOKUP(D490,Produkt!$B$1:$C$5,2,FALSE)*Bestellungen!E490</f>
        <v>65600</v>
      </c>
      <c r="G490" s="2">
        <v>44726</v>
      </c>
      <c r="H490" s="2">
        <f t="shared" si="22"/>
        <v>44731</v>
      </c>
      <c r="I490" s="2">
        <f t="shared" si="23"/>
        <v>44771</v>
      </c>
      <c r="J490" t="str">
        <f>VLOOKUP(M490,Umfragenteilnahme!$A$2:$B$3,2,)</f>
        <v>Nein</v>
      </c>
      <c r="M490">
        <v>2</v>
      </c>
      <c r="N490">
        <v>198</v>
      </c>
      <c r="O490">
        <v>4</v>
      </c>
      <c r="P490">
        <v>82</v>
      </c>
      <c r="Q490">
        <v>5</v>
      </c>
      <c r="R490">
        <v>5</v>
      </c>
      <c r="S490">
        <v>45</v>
      </c>
    </row>
    <row r="491" spans="1:19" x14ac:dyDescent="0.35">
      <c r="A491">
        <v>8138</v>
      </c>
      <c r="B491">
        <v>592</v>
      </c>
      <c r="C491" t="str">
        <f>VLOOKUP(B491,Kunde!A:C,3,FALSE)</f>
        <v>Geschäftskunde</v>
      </c>
      <c r="D491" t="str">
        <f>VLOOKUP(O491,Produkt!$A$1:$E$5,2,FALSE)</f>
        <v>B</v>
      </c>
      <c r="E491">
        <f t="shared" si="21"/>
        <v>26</v>
      </c>
      <c r="F491">
        <f>VLOOKUP(D491,Produkt!$B$1:$C$5,2,FALSE)*Bestellungen!E491</f>
        <v>12480</v>
      </c>
      <c r="G491" s="2">
        <v>45037</v>
      </c>
      <c r="H491" s="2">
        <f t="shared" si="22"/>
        <v>45041</v>
      </c>
      <c r="I491" s="2">
        <f t="shared" si="23"/>
        <v>45048</v>
      </c>
      <c r="J491" t="str">
        <f>VLOOKUP(M491,Umfragenteilnahme!$A$2:$B$3,2,)</f>
        <v>Ja</v>
      </c>
      <c r="M491">
        <v>1</v>
      </c>
      <c r="N491">
        <v>592</v>
      </c>
      <c r="O491">
        <v>2</v>
      </c>
      <c r="P491">
        <v>26</v>
      </c>
      <c r="Q491">
        <v>1</v>
      </c>
      <c r="R491">
        <v>4</v>
      </c>
      <c r="S491">
        <v>11</v>
      </c>
    </row>
    <row r="492" spans="1:19" x14ac:dyDescent="0.35">
      <c r="A492">
        <v>8139</v>
      </c>
      <c r="B492">
        <v>68</v>
      </c>
      <c r="C492" t="str">
        <f>VLOOKUP(B492,Kunde!A:C,3,FALSE)</f>
        <v>Geschäftskunde</v>
      </c>
      <c r="D492" t="str">
        <f>VLOOKUP(O492,Produkt!$A$1:$E$5,2,FALSE)</f>
        <v>B</v>
      </c>
      <c r="E492">
        <f t="shared" si="21"/>
        <v>130</v>
      </c>
      <c r="F492">
        <f>VLOOKUP(D492,Produkt!$B$1:$C$5,2,FALSE)*Bestellungen!E492</f>
        <v>62400</v>
      </c>
      <c r="G492" s="2">
        <v>45012</v>
      </c>
      <c r="H492" s="2">
        <f t="shared" si="22"/>
        <v>45014</v>
      </c>
      <c r="I492" s="2">
        <f t="shared" si="23"/>
        <v>45060</v>
      </c>
      <c r="J492" t="str">
        <f>VLOOKUP(M492,Umfragenteilnahme!$A$2:$B$3,2,)</f>
        <v>Ja</v>
      </c>
      <c r="M492">
        <v>1</v>
      </c>
      <c r="N492">
        <v>68</v>
      </c>
      <c r="O492">
        <v>2</v>
      </c>
      <c r="P492">
        <v>130</v>
      </c>
      <c r="Q492">
        <v>10</v>
      </c>
      <c r="R492">
        <v>2</v>
      </c>
      <c r="S492">
        <v>48</v>
      </c>
    </row>
    <row r="493" spans="1:19" x14ac:dyDescent="0.35">
      <c r="A493">
        <v>8140</v>
      </c>
      <c r="B493">
        <v>447</v>
      </c>
      <c r="C493" t="str">
        <f>VLOOKUP(B493,Kunde!A:C,3,FALSE)</f>
        <v>Geschäftskunde</v>
      </c>
      <c r="D493" t="str">
        <f>VLOOKUP(O493,Produkt!$A$1:$E$5,2,FALSE)</f>
        <v>C</v>
      </c>
      <c r="E493">
        <f t="shared" si="21"/>
        <v>93</v>
      </c>
      <c r="F493">
        <f>VLOOKUP(D493,Produkt!$B$1:$C$5,2,FALSE)*Bestellungen!E493</f>
        <v>139500</v>
      </c>
      <c r="G493" s="2">
        <v>44732</v>
      </c>
      <c r="H493" s="2">
        <f t="shared" si="22"/>
        <v>44734</v>
      </c>
      <c r="I493" s="2">
        <f t="shared" si="23"/>
        <v>44768</v>
      </c>
      <c r="J493" t="str">
        <f>VLOOKUP(M493,Umfragenteilnahme!$A$2:$B$3,2,)</f>
        <v>Ja</v>
      </c>
      <c r="M493">
        <v>1</v>
      </c>
      <c r="N493">
        <v>447</v>
      </c>
      <c r="O493">
        <v>3</v>
      </c>
      <c r="P493">
        <v>93</v>
      </c>
      <c r="Q493">
        <v>9</v>
      </c>
      <c r="R493">
        <v>2</v>
      </c>
      <c r="S493">
        <v>36</v>
      </c>
    </row>
    <row r="494" spans="1:19" x14ac:dyDescent="0.35">
      <c r="A494">
        <v>8141</v>
      </c>
      <c r="B494">
        <v>545</v>
      </c>
      <c r="C494" t="str">
        <f>VLOOKUP(B494,Kunde!A:C,3,FALSE)</f>
        <v>Geschäftskunde</v>
      </c>
      <c r="D494" t="str">
        <f>VLOOKUP(O494,Produkt!$A$1:$E$5,2,FALSE)</f>
        <v>A</v>
      </c>
      <c r="E494">
        <f t="shared" si="21"/>
        <v>52</v>
      </c>
      <c r="F494">
        <f>VLOOKUP(D494,Produkt!$B$1:$C$5,2,FALSE)*Bestellungen!E494</f>
        <v>15600</v>
      </c>
      <c r="G494" s="2">
        <v>44800</v>
      </c>
      <c r="H494" s="2">
        <f t="shared" si="22"/>
        <v>44803</v>
      </c>
      <c r="I494" s="2">
        <f t="shared" si="23"/>
        <v>44855</v>
      </c>
      <c r="J494" t="str">
        <f>VLOOKUP(M494,Umfragenteilnahme!$A$2:$B$3,2,)</f>
        <v>Ja</v>
      </c>
      <c r="M494">
        <v>1</v>
      </c>
      <c r="N494">
        <v>545</v>
      </c>
      <c r="O494">
        <v>1</v>
      </c>
      <c r="P494">
        <v>52</v>
      </c>
      <c r="Q494">
        <v>2</v>
      </c>
      <c r="R494">
        <v>3</v>
      </c>
      <c r="S494">
        <v>55</v>
      </c>
    </row>
    <row r="495" spans="1:19" x14ac:dyDescent="0.35">
      <c r="A495">
        <v>8142</v>
      </c>
      <c r="B495">
        <v>453</v>
      </c>
      <c r="C495" t="str">
        <f>VLOOKUP(B495,Kunde!A:C,3,FALSE)</f>
        <v>Privatkunde</v>
      </c>
      <c r="D495" t="str">
        <f>VLOOKUP(O495,Produkt!$A$1:$E$5,2,FALSE)</f>
        <v>D</v>
      </c>
      <c r="E495">
        <f t="shared" si="21"/>
        <v>1</v>
      </c>
      <c r="F495">
        <f>VLOOKUP(D495,Produkt!$B$1:$C$5,2,FALSE)*Bestellungen!E495</f>
        <v>800</v>
      </c>
      <c r="G495" s="2">
        <v>44817</v>
      </c>
      <c r="H495" s="2">
        <f t="shared" si="22"/>
        <v>44820</v>
      </c>
      <c r="I495" s="2">
        <f t="shared" si="23"/>
        <v>44866</v>
      </c>
      <c r="J495" t="str">
        <f>VLOOKUP(M495,Umfragenteilnahme!$A$2:$B$3,2,)</f>
        <v>Ja</v>
      </c>
      <c r="M495">
        <v>1</v>
      </c>
      <c r="N495">
        <v>453</v>
      </c>
      <c r="O495">
        <v>4</v>
      </c>
      <c r="P495">
        <v>12</v>
      </c>
      <c r="Q495">
        <v>1</v>
      </c>
      <c r="R495">
        <v>3</v>
      </c>
      <c r="S495">
        <v>49</v>
      </c>
    </row>
    <row r="496" spans="1:19" x14ac:dyDescent="0.35">
      <c r="A496">
        <v>8143</v>
      </c>
      <c r="B496">
        <v>188</v>
      </c>
      <c r="C496" t="str">
        <f>VLOOKUP(B496,Kunde!A:C,3,FALSE)</f>
        <v>Geschäftskunde</v>
      </c>
      <c r="D496" t="str">
        <f>VLOOKUP(O496,Produkt!$A$1:$E$5,2,FALSE)</f>
        <v>B</v>
      </c>
      <c r="E496">
        <f t="shared" si="21"/>
        <v>37</v>
      </c>
      <c r="F496">
        <f>VLOOKUP(D496,Produkt!$B$1:$C$5,2,FALSE)*Bestellungen!E496</f>
        <v>17760</v>
      </c>
      <c r="G496" s="2">
        <v>44999</v>
      </c>
      <c r="H496" s="2">
        <f t="shared" si="22"/>
        <v>45003</v>
      </c>
      <c r="I496" s="2">
        <f t="shared" si="23"/>
        <v>45033</v>
      </c>
      <c r="J496" t="str">
        <f>VLOOKUP(M496,Umfragenteilnahme!$A$2:$B$3,2,)</f>
        <v>Ja</v>
      </c>
      <c r="M496">
        <v>1</v>
      </c>
      <c r="N496">
        <v>188</v>
      </c>
      <c r="O496">
        <v>2</v>
      </c>
      <c r="P496">
        <v>37</v>
      </c>
      <c r="Q496">
        <v>3</v>
      </c>
      <c r="R496">
        <v>4</v>
      </c>
      <c r="S496">
        <v>34</v>
      </c>
    </row>
    <row r="497" spans="1:19" x14ac:dyDescent="0.35">
      <c r="A497">
        <v>8144</v>
      </c>
      <c r="B497">
        <v>320</v>
      </c>
      <c r="C497" t="str">
        <f>VLOOKUP(B497,Kunde!A:C,3,FALSE)</f>
        <v>Privatkunde</v>
      </c>
      <c r="D497" t="str">
        <f>VLOOKUP(O497,Produkt!$A$1:$E$5,2,FALSE)</f>
        <v>A</v>
      </c>
      <c r="E497">
        <f t="shared" si="21"/>
        <v>9</v>
      </c>
      <c r="F497">
        <f>VLOOKUP(D497,Produkt!$B$1:$C$5,2,FALSE)*Bestellungen!E497</f>
        <v>2700</v>
      </c>
      <c r="G497" s="2">
        <v>44890</v>
      </c>
      <c r="H497" s="2">
        <f t="shared" si="22"/>
        <v>44896</v>
      </c>
      <c r="I497" s="2">
        <f t="shared" si="23"/>
        <v>44941</v>
      </c>
      <c r="J497" t="str">
        <f>VLOOKUP(M497,Umfragenteilnahme!$A$2:$B$3,2,)</f>
        <v>Ja</v>
      </c>
      <c r="M497">
        <v>1</v>
      </c>
      <c r="N497">
        <v>320</v>
      </c>
      <c r="O497">
        <v>1</v>
      </c>
      <c r="P497">
        <v>92</v>
      </c>
      <c r="Q497">
        <v>9</v>
      </c>
      <c r="R497">
        <v>6</v>
      </c>
      <c r="S497">
        <v>51</v>
      </c>
    </row>
    <row r="498" spans="1:19" x14ac:dyDescent="0.35">
      <c r="A498">
        <v>8145</v>
      </c>
      <c r="B498">
        <v>774</v>
      </c>
      <c r="C498" t="str">
        <f>VLOOKUP(B498,Kunde!A:C,3,FALSE)</f>
        <v>Geschäftskunde</v>
      </c>
      <c r="D498" t="str">
        <f>VLOOKUP(O498,Produkt!$A$1:$E$5,2,FALSE)</f>
        <v>A</v>
      </c>
      <c r="E498">
        <f t="shared" si="21"/>
        <v>136</v>
      </c>
      <c r="F498">
        <f>VLOOKUP(D498,Produkt!$B$1:$C$5,2,FALSE)*Bestellungen!E498</f>
        <v>40800</v>
      </c>
      <c r="G498" s="2">
        <v>44948</v>
      </c>
      <c r="H498" s="2">
        <f t="shared" si="22"/>
        <v>44954</v>
      </c>
      <c r="I498" s="2">
        <f t="shared" si="23"/>
        <v>44968</v>
      </c>
      <c r="J498" t="str">
        <f>VLOOKUP(M498,Umfragenteilnahme!$A$2:$B$3,2,)</f>
        <v>Ja</v>
      </c>
      <c r="M498">
        <v>1</v>
      </c>
      <c r="N498">
        <v>774</v>
      </c>
      <c r="O498">
        <v>1</v>
      </c>
      <c r="P498">
        <v>136</v>
      </c>
      <c r="Q498">
        <v>2</v>
      </c>
      <c r="R498">
        <v>6</v>
      </c>
      <c r="S498">
        <v>20</v>
      </c>
    </row>
    <row r="499" spans="1:19" x14ac:dyDescent="0.35">
      <c r="A499">
        <v>8146</v>
      </c>
      <c r="B499">
        <v>459</v>
      </c>
      <c r="C499" t="str">
        <f>VLOOKUP(B499,Kunde!A:C,3,FALSE)</f>
        <v>Geschäftskunde</v>
      </c>
      <c r="D499" t="str">
        <f>VLOOKUP(O499,Produkt!$A$1:$E$5,2,FALSE)</f>
        <v>B</v>
      </c>
      <c r="E499">
        <f t="shared" si="21"/>
        <v>20</v>
      </c>
      <c r="F499">
        <f>VLOOKUP(D499,Produkt!$B$1:$C$5,2,FALSE)*Bestellungen!E499</f>
        <v>9600</v>
      </c>
      <c r="G499" s="2">
        <v>44886</v>
      </c>
      <c r="H499" s="2">
        <f t="shared" si="22"/>
        <v>44893</v>
      </c>
      <c r="I499" s="2">
        <f t="shared" si="23"/>
        <v>44920</v>
      </c>
      <c r="J499" t="str">
        <f>VLOOKUP(M499,Umfragenteilnahme!$A$2:$B$3,2,)</f>
        <v>Ja</v>
      </c>
      <c r="M499">
        <v>1</v>
      </c>
      <c r="N499">
        <v>459</v>
      </c>
      <c r="O499">
        <v>2</v>
      </c>
      <c r="P499">
        <v>20</v>
      </c>
      <c r="Q499">
        <v>10</v>
      </c>
      <c r="R499">
        <v>7</v>
      </c>
      <c r="S499">
        <v>34</v>
      </c>
    </row>
    <row r="500" spans="1:19" x14ac:dyDescent="0.35">
      <c r="A500">
        <v>8147</v>
      </c>
      <c r="B500">
        <v>584</v>
      </c>
      <c r="C500" t="str">
        <f>VLOOKUP(B500,Kunde!A:C,3,FALSE)</f>
        <v>Geschäftskunde</v>
      </c>
      <c r="D500" t="str">
        <f>VLOOKUP(O500,Produkt!$A$1:$E$5,2,FALSE)</f>
        <v>B</v>
      </c>
      <c r="E500">
        <f t="shared" si="21"/>
        <v>46</v>
      </c>
      <c r="F500">
        <f>VLOOKUP(D500,Produkt!$B$1:$C$5,2,FALSE)*Bestellungen!E500</f>
        <v>22080</v>
      </c>
      <c r="G500" s="2">
        <v>44977</v>
      </c>
      <c r="H500" s="2">
        <f t="shared" si="22"/>
        <v>44980</v>
      </c>
      <c r="I500" s="2">
        <f t="shared" si="23"/>
        <v>45013</v>
      </c>
      <c r="J500" t="str">
        <f>VLOOKUP(M500,Umfragenteilnahme!$A$2:$B$3,2,)</f>
        <v>Nein</v>
      </c>
      <c r="M500">
        <v>2</v>
      </c>
      <c r="N500">
        <v>584</v>
      </c>
      <c r="O500">
        <v>2</v>
      </c>
      <c r="P500">
        <v>46</v>
      </c>
      <c r="Q500">
        <v>8</v>
      </c>
      <c r="R500">
        <v>3</v>
      </c>
      <c r="S500">
        <v>36</v>
      </c>
    </row>
    <row r="501" spans="1:19" x14ac:dyDescent="0.35">
      <c r="A501">
        <v>8148</v>
      </c>
      <c r="B501">
        <v>623</v>
      </c>
      <c r="C501" t="str">
        <f>VLOOKUP(B501,Kunde!A:C,3,FALSE)</f>
        <v>Privatkunde</v>
      </c>
      <c r="D501" t="str">
        <f>VLOOKUP(O501,Produkt!$A$1:$E$5,2,FALSE)</f>
        <v>C</v>
      </c>
      <c r="E501">
        <f t="shared" si="21"/>
        <v>4</v>
      </c>
      <c r="F501">
        <f>VLOOKUP(D501,Produkt!$B$1:$C$5,2,FALSE)*Bestellungen!E501</f>
        <v>6000</v>
      </c>
      <c r="G501" s="2">
        <v>44909</v>
      </c>
      <c r="H501" s="2">
        <f t="shared" si="22"/>
        <v>44914</v>
      </c>
      <c r="I501" s="2">
        <f t="shared" si="23"/>
        <v>44969</v>
      </c>
      <c r="J501" t="str">
        <f>VLOOKUP(M501,Umfragenteilnahme!$A$2:$B$3,2,)</f>
        <v>Ja</v>
      </c>
      <c r="M501">
        <v>1</v>
      </c>
      <c r="N501">
        <v>623</v>
      </c>
      <c r="O501">
        <v>3</v>
      </c>
      <c r="P501">
        <v>92</v>
      </c>
      <c r="Q501">
        <v>4</v>
      </c>
      <c r="R501">
        <v>5</v>
      </c>
      <c r="S501">
        <v>60</v>
      </c>
    </row>
    <row r="502" spans="1:19" x14ac:dyDescent="0.35">
      <c r="A502">
        <v>8149</v>
      </c>
      <c r="B502">
        <v>663</v>
      </c>
      <c r="C502" t="str">
        <f>VLOOKUP(B502,Kunde!A:C,3,FALSE)</f>
        <v>Privatkunde</v>
      </c>
      <c r="D502" t="str">
        <f>VLOOKUP(O502,Produkt!$A$1:$E$5,2,FALSE)</f>
        <v>D</v>
      </c>
      <c r="E502">
        <f t="shared" si="21"/>
        <v>7</v>
      </c>
      <c r="F502">
        <f>VLOOKUP(D502,Produkt!$B$1:$C$5,2,FALSE)*Bestellungen!E502</f>
        <v>5600</v>
      </c>
      <c r="G502" s="2">
        <v>44799</v>
      </c>
      <c r="H502" s="2">
        <f t="shared" si="22"/>
        <v>44804</v>
      </c>
      <c r="I502" s="2">
        <f t="shared" si="23"/>
        <v>44856</v>
      </c>
      <c r="J502" t="str">
        <f>VLOOKUP(M502,Umfragenteilnahme!$A$2:$B$3,2,)</f>
        <v>Ja</v>
      </c>
      <c r="M502">
        <v>1</v>
      </c>
      <c r="N502">
        <v>663</v>
      </c>
      <c r="O502">
        <v>4</v>
      </c>
      <c r="P502">
        <v>114</v>
      </c>
      <c r="Q502">
        <v>7</v>
      </c>
      <c r="R502">
        <v>5</v>
      </c>
      <c r="S502">
        <v>57</v>
      </c>
    </row>
    <row r="503" spans="1:19" x14ac:dyDescent="0.35">
      <c r="A503">
        <v>8150</v>
      </c>
      <c r="B503">
        <v>492</v>
      </c>
      <c r="C503" t="str">
        <f>VLOOKUP(B503,Kunde!A:C,3,FALSE)</f>
        <v>Geschäftskunde</v>
      </c>
      <c r="D503" t="str">
        <f>VLOOKUP(O503,Produkt!$A$1:$E$5,2,FALSE)</f>
        <v>B</v>
      </c>
      <c r="E503">
        <f t="shared" si="21"/>
        <v>131</v>
      </c>
      <c r="F503">
        <f>VLOOKUP(D503,Produkt!$B$1:$C$5,2,FALSE)*Bestellungen!E503</f>
        <v>62880</v>
      </c>
      <c r="G503" s="2">
        <v>45023</v>
      </c>
      <c r="H503" s="2">
        <f t="shared" si="22"/>
        <v>45026</v>
      </c>
      <c r="I503" s="2">
        <f t="shared" si="23"/>
        <v>45050</v>
      </c>
      <c r="J503" t="str">
        <f>VLOOKUP(M503,Umfragenteilnahme!$A$2:$B$3,2,)</f>
        <v>Ja</v>
      </c>
      <c r="M503">
        <v>1</v>
      </c>
      <c r="N503">
        <v>492</v>
      </c>
      <c r="O503">
        <v>2</v>
      </c>
      <c r="P503">
        <v>131</v>
      </c>
      <c r="Q503">
        <v>7</v>
      </c>
      <c r="R503">
        <v>3</v>
      </c>
      <c r="S503">
        <v>27</v>
      </c>
    </row>
    <row r="504" spans="1:19" x14ac:dyDescent="0.35">
      <c r="A504">
        <v>8151</v>
      </c>
      <c r="B504">
        <v>572</v>
      </c>
      <c r="C504" t="str">
        <f>VLOOKUP(B504,Kunde!A:C,3,FALSE)</f>
        <v>Geschäftskunde</v>
      </c>
      <c r="D504" t="str">
        <f>VLOOKUP(O504,Produkt!$A$1:$E$5,2,FALSE)</f>
        <v>D</v>
      </c>
      <c r="E504">
        <f t="shared" si="21"/>
        <v>91</v>
      </c>
      <c r="F504">
        <f>VLOOKUP(D504,Produkt!$B$1:$C$5,2,FALSE)*Bestellungen!E504</f>
        <v>72800</v>
      </c>
      <c r="G504" s="2">
        <v>44989</v>
      </c>
      <c r="H504" s="2">
        <f t="shared" si="22"/>
        <v>44992</v>
      </c>
      <c r="I504" s="2">
        <f t="shared" si="23"/>
        <v>45008</v>
      </c>
      <c r="J504" t="str">
        <f>VLOOKUP(M504,Umfragenteilnahme!$A$2:$B$3,2,)</f>
        <v>Nein</v>
      </c>
      <c r="M504">
        <v>2</v>
      </c>
      <c r="N504">
        <v>572</v>
      </c>
      <c r="O504">
        <v>4</v>
      </c>
      <c r="P504">
        <v>91</v>
      </c>
      <c r="Q504">
        <v>7</v>
      </c>
      <c r="R504">
        <v>3</v>
      </c>
      <c r="S504">
        <v>19</v>
      </c>
    </row>
    <row r="505" spans="1:19" x14ac:dyDescent="0.35">
      <c r="A505">
        <v>8152</v>
      </c>
      <c r="B505">
        <v>642</v>
      </c>
      <c r="C505" t="str">
        <f>VLOOKUP(B505,Kunde!A:C,3,FALSE)</f>
        <v>Geschäftskunde</v>
      </c>
      <c r="D505" t="str">
        <f>VLOOKUP(O505,Produkt!$A$1:$E$5,2,FALSE)</f>
        <v>A</v>
      </c>
      <c r="E505">
        <f t="shared" si="21"/>
        <v>117</v>
      </c>
      <c r="F505">
        <f>VLOOKUP(D505,Produkt!$B$1:$C$5,2,FALSE)*Bestellungen!E505</f>
        <v>35100</v>
      </c>
      <c r="G505" s="2">
        <v>44728</v>
      </c>
      <c r="H505" s="2">
        <f t="shared" si="22"/>
        <v>44735</v>
      </c>
      <c r="I505" s="2">
        <f t="shared" si="23"/>
        <v>44757</v>
      </c>
      <c r="J505" t="str">
        <f>VLOOKUP(M505,Umfragenteilnahme!$A$2:$B$3,2,)</f>
        <v>Nein</v>
      </c>
      <c r="M505">
        <v>2</v>
      </c>
      <c r="N505">
        <v>642</v>
      </c>
      <c r="O505">
        <v>1</v>
      </c>
      <c r="P505">
        <v>117</v>
      </c>
      <c r="Q505">
        <v>10</v>
      </c>
      <c r="R505">
        <v>7</v>
      </c>
      <c r="S505">
        <v>29</v>
      </c>
    </row>
    <row r="506" spans="1:19" x14ac:dyDescent="0.35">
      <c r="A506">
        <v>8153</v>
      </c>
      <c r="B506">
        <v>622</v>
      </c>
      <c r="C506" t="str">
        <f>VLOOKUP(B506,Kunde!A:C,3,FALSE)</f>
        <v>Geschäftskunde</v>
      </c>
      <c r="D506" t="str">
        <f>VLOOKUP(O506,Produkt!$A$1:$E$5,2,FALSE)</f>
        <v>D</v>
      </c>
      <c r="E506">
        <f t="shared" si="21"/>
        <v>122</v>
      </c>
      <c r="F506">
        <f>VLOOKUP(D506,Produkt!$B$1:$C$5,2,FALSE)*Bestellungen!E506</f>
        <v>97600</v>
      </c>
      <c r="G506" s="2">
        <v>44804</v>
      </c>
      <c r="H506" s="2">
        <f t="shared" si="22"/>
        <v>44806</v>
      </c>
      <c r="I506" s="2">
        <f t="shared" si="23"/>
        <v>44813</v>
      </c>
      <c r="J506" t="str">
        <f>VLOOKUP(M506,Umfragenteilnahme!$A$2:$B$3,2,)</f>
        <v>Nein</v>
      </c>
      <c r="M506">
        <v>2</v>
      </c>
      <c r="N506">
        <v>622</v>
      </c>
      <c r="O506">
        <v>4</v>
      </c>
      <c r="P506">
        <v>122</v>
      </c>
      <c r="Q506">
        <v>9</v>
      </c>
      <c r="R506">
        <v>2</v>
      </c>
      <c r="S506">
        <v>9</v>
      </c>
    </row>
    <row r="507" spans="1:19" x14ac:dyDescent="0.35">
      <c r="A507">
        <v>8154</v>
      </c>
      <c r="B507">
        <v>93</v>
      </c>
      <c r="C507" t="str">
        <f>VLOOKUP(B507,Kunde!A:C,3,FALSE)</f>
        <v>Geschäftskunde</v>
      </c>
      <c r="D507" t="str">
        <f>VLOOKUP(O507,Produkt!$A$1:$E$5,2,FALSE)</f>
        <v>C</v>
      </c>
      <c r="E507">
        <f t="shared" si="21"/>
        <v>47</v>
      </c>
      <c r="F507">
        <f>VLOOKUP(D507,Produkt!$B$1:$C$5,2,FALSE)*Bestellungen!E507</f>
        <v>70500</v>
      </c>
      <c r="G507" s="2">
        <v>44815</v>
      </c>
      <c r="H507" s="2">
        <f t="shared" si="22"/>
        <v>44822</v>
      </c>
      <c r="I507" s="2">
        <f t="shared" si="23"/>
        <v>44818</v>
      </c>
      <c r="J507" t="str">
        <f>VLOOKUP(M507,Umfragenteilnahme!$A$2:$B$3,2,)</f>
        <v>Ja</v>
      </c>
      <c r="M507">
        <v>1</v>
      </c>
      <c r="N507">
        <v>93</v>
      </c>
      <c r="O507">
        <v>3</v>
      </c>
      <c r="P507">
        <v>47</v>
      </c>
      <c r="Q507">
        <v>5</v>
      </c>
      <c r="R507">
        <v>7</v>
      </c>
      <c r="S507">
        <v>3</v>
      </c>
    </row>
    <row r="508" spans="1:19" x14ac:dyDescent="0.35">
      <c r="A508">
        <v>8155</v>
      </c>
      <c r="B508">
        <v>471</v>
      </c>
      <c r="C508" t="str">
        <f>VLOOKUP(B508,Kunde!A:C,3,FALSE)</f>
        <v>Privatkunde</v>
      </c>
      <c r="D508" t="str">
        <f>VLOOKUP(O508,Produkt!$A$1:$E$5,2,FALSE)</f>
        <v>C</v>
      </c>
      <c r="E508">
        <f t="shared" si="21"/>
        <v>3</v>
      </c>
      <c r="F508">
        <f>VLOOKUP(D508,Produkt!$B$1:$C$5,2,FALSE)*Bestellungen!E508</f>
        <v>4500</v>
      </c>
      <c r="G508" s="2">
        <v>44767</v>
      </c>
      <c r="H508" s="2">
        <f t="shared" si="22"/>
        <v>44772</v>
      </c>
      <c r="I508" s="2">
        <f t="shared" si="23"/>
        <v>44803</v>
      </c>
      <c r="J508" t="str">
        <f>VLOOKUP(M508,Umfragenteilnahme!$A$2:$B$3,2,)</f>
        <v>Nein</v>
      </c>
      <c r="M508">
        <v>2</v>
      </c>
      <c r="N508">
        <v>471</v>
      </c>
      <c r="O508">
        <v>3</v>
      </c>
      <c r="P508">
        <v>35</v>
      </c>
      <c r="Q508">
        <v>3</v>
      </c>
      <c r="R508">
        <v>5</v>
      </c>
      <c r="S508">
        <v>36</v>
      </c>
    </row>
    <row r="509" spans="1:19" x14ac:dyDescent="0.35">
      <c r="A509">
        <v>8156</v>
      </c>
      <c r="B509">
        <v>708</v>
      </c>
      <c r="C509" t="str">
        <f>VLOOKUP(B509,Kunde!A:C,3,FALSE)</f>
        <v>Geschäftskunde</v>
      </c>
      <c r="D509" t="str">
        <f>VLOOKUP(O509,Produkt!$A$1:$E$5,2,FALSE)</f>
        <v>A</v>
      </c>
      <c r="E509">
        <f t="shared" si="21"/>
        <v>66</v>
      </c>
      <c r="F509">
        <f>VLOOKUP(D509,Produkt!$B$1:$C$5,2,FALSE)*Bestellungen!E509</f>
        <v>19800</v>
      </c>
      <c r="G509" s="2">
        <v>44916</v>
      </c>
      <c r="H509" s="2">
        <f t="shared" si="22"/>
        <v>44923</v>
      </c>
      <c r="I509" s="2">
        <f t="shared" si="23"/>
        <v>44923</v>
      </c>
      <c r="J509" t="str">
        <f>VLOOKUP(M509,Umfragenteilnahme!$A$2:$B$3,2,)</f>
        <v>Ja</v>
      </c>
      <c r="M509">
        <v>1</v>
      </c>
      <c r="N509">
        <v>708</v>
      </c>
      <c r="O509">
        <v>1</v>
      </c>
      <c r="P509">
        <v>66</v>
      </c>
      <c r="Q509">
        <v>2</v>
      </c>
      <c r="R509">
        <v>7</v>
      </c>
      <c r="S509">
        <v>7</v>
      </c>
    </row>
    <row r="510" spans="1:19" x14ac:dyDescent="0.35">
      <c r="A510">
        <v>8157</v>
      </c>
      <c r="B510">
        <v>310</v>
      </c>
      <c r="C510" t="str">
        <f>VLOOKUP(B510,Kunde!A:C,3,FALSE)</f>
        <v>Geschäftskunde</v>
      </c>
      <c r="D510" t="str">
        <f>VLOOKUP(O510,Produkt!$A$1:$E$5,2,FALSE)</f>
        <v>C</v>
      </c>
      <c r="E510">
        <f t="shared" si="21"/>
        <v>28</v>
      </c>
      <c r="F510">
        <f>VLOOKUP(D510,Produkt!$B$1:$C$5,2,FALSE)*Bestellungen!E510</f>
        <v>42000</v>
      </c>
      <c r="G510" s="2">
        <v>45057</v>
      </c>
      <c r="H510" s="2">
        <f t="shared" si="22"/>
        <v>45060</v>
      </c>
      <c r="I510" s="2">
        <f t="shared" si="23"/>
        <v>45098</v>
      </c>
      <c r="J510" t="str">
        <f>VLOOKUP(M510,Umfragenteilnahme!$A$2:$B$3,2,)</f>
        <v>Nein</v>
      </c>
      <c r="M510">
        <v>2</v>
      </c>
      <c r="N510">
        <v>310</v>
      </c>
      <c r="O510">
        <v>3</v>
      </c>
      <c r="P510">
        <v>28</v>
      </c>
      <c r="Q510">
        <v>1</v>
      </c>
      <c r="R510">
        <v>3</v>
      </c>
      <c r="S510">
        <v>41</v>
      </c>
    </row>
    <row r="511" spans="1:19" x14ac:dyDescent="0.35">
      <c r="A511">
        <v>8158</v>
      </c>
      <c r="B511">
        <v>789</v>
      </c>
      <c r="C511" t="str">
        <f>VLOOKUP(B511,Kunde!A:C,3,FALSE)</f>
        <v>Geschäftskunde</v>
      </c>
      <c r="D511" t="str">
        <f>VLOOKUP(O511,Produkt!$A$1:$E$5,2,FALSE)</f>
        <v>D</v>
      </c>
      <c r="E511">
        <f t="shared" si="21"/>
        <v>32</v>
      </c>
      <c r="F511">
        <f>VLOOKUP(D511,Produkt!$B$1:$C$5,2,FALSE)*Bestellungen!E511</f>
        <v>25600</v>
      </c>
      <c r="G511" s="2">
        <v>45028</v>
      </c>
      <c r="H511" s="2">
        <f t="shared" si="22"/>
        <v>45031</v>
      </c>
      <c r="I511" s="2">
        <f t="shared" si="23"/>
        <v>45072</v>
      </c>
      <c r="J511" t="str">
        <f>VLOOKUP(M511,Umfragenteilnahme!$A$2:$B$3,2,)</f>
        <v>Ja</v>
      </c>
      <c r="M511">
        <v>1</v>
      </c>
      <c r="N511">
        <v>789</v>
      </c>
      <c r="O511">
        <v>4</v>
      </c>
      <c r="P511">
        <v>32</v>
      </c>
      <c r="Q511">
        <v>1</v>
      </c>
      <c r="R511">
        <v>3</v>
      </c>
      <c r="S511">
        <v>44</v>
      </c>
    </row>
    <row r="512" spans="1:19" x14ac:dyDescent="0.35">
      <c r="A512">
        <v>8159</v>
      </c>
      <c r="B512">
        <v>398</v>
      </c>
      <c r="C512" t="str">
        <f>VLOOKUP(B512,Kunde!A:C,3,FALSE)</f>
        <v>Privatkunde</v>
      </c>
      <c r="D512" t="str">
        <f>VLOOKUP(O512,Produkt!$A$1:$E$5,2,FALSE)</f>
        <v>B</v>
      </c>
      <c r="E512">
        <f t="shared" si="21"/>
        <v>6</v>
      </c>
      <c r="F512">
        <f>VLOOKUP(D512,Produkt!$B$1:$C$5,2,FALSE)*Bestellungen!E512</f>
        <v>2880</v>
      </c>
      <c r="G512" s="2">
        <v>44734</v>
      </c>
      <c r="H512" s="2">
        <f t="shared" si="22"/>
        <v>44738</v>
      </c>
      <c r="I512" s="2">
        <f t="shared" si="23"/>
        <v>44737</v>
      </c>
      <c r="J512" t="str">
        <f>VLOOKUP(M512,Umfragenteilnahme!$A$2:$B$3,2,)</f>
        <v>Ja</v>
      </c>
      <c r="M512">
        <v>1</v>
      </c>
      <c r="N512">
        <v>398</v>
      </c>
      <c r="O512">
        <v>2</v>
      </c>
      <c r="P512">
        <v>91</v>
      </c>
      <c r="Q512">
        <v>6</v>
      </c>
      <c r="R512">
        <v>4</v>
      </c>
      <c r="S512">
        <v>3</v>
      </c>
    </row>
    <row r="513" spans="1:19" x14ac:dyDescent="0.35">
      <c r="A513">
        <v>8160</v>
      </c>
      <c r="B513">
        <v>85</v>
      </c>
      <c r="C513" t="str">
        <f>VLOOKUP(B513,Kunde!A:C,3,FALSE)</f>
        <v>Geschäftskunde</v>
      </c>
      <c r="D513" t="str">
        <f>VLOOKUP(O513,Produkt!$A$1:$E$5,2,FALSE)</f>
        <v>D</v>
      </c>
      <c r="E513">
        <f t="shared" si="21"/>
        <v>92</v>
      </c>
      <c r="F513">
        <f>VLOOKUP(D513,Produkt!$B$1:$C$5,2,FALSE)*Bestellungen!E513</f>
        <v>73600</v>
      </c>
      <c r="G513" s="2">
        <v>44871</v>
      </c>
      <c r="H513" s="2">
        <f t="shared" si="22"/>
        <v>44873</v>
      </c>
      <c r="I513" s="2">
        <f t="shared" si="23"/>
        <v>44904</v>
      </c>
      <c r="J513" t="str">
        <f>VLOOKUP(M513,Umfragenteilnahme!$A$2:$B$3,2,)</f>
        <v>Nein</v>
      </c>
      <c r="M513">
        <v>2</v>
      </c>
      <c r="N513">
        <v>85</v>
      </c>
      <c r="O513">
        <v>4</v>
      </c>
      <c r="P513">
        <v>92</v>
      </c>
      <c r="Q513">
        <v>3</v>
      </c>
      <c r="R513">
        <v>2</v>
      </c>
      <c r="S513">
        <v>33</v>
      </c>
    </row>
    <row r="514" spans="1:19" x14ac:dyDescent="0.35">
      <c r="A514">
        <v>8161</v>
      </c>
      <c r="B514">
        <v>637</v>
      </c>
      <c r="C514" t="str">
        <f>VLOOKUP(B514,Kunde!A:C,3,FALSE)</f>
        <v>Geschäftskunde</v>
      </c>
      <c r="D514" t="str">
        <f>VLOOKUP(O514,Produkt!$A$1:$E$5,2,FALSE)</f>
        <v>B</v>
      </c>
      <c r="E514">
        <f t="shared" si="21"/>
        <v>76</v>
      </c>
      <c r="F514">
        <f>VLOOKUP(D514,Produkt!$B$1:$C$5,2,FALSE)*Bestellungen!E514</f>
        <v>36480</v>
      </c>
      <c r="G514" s="2">
        <v>44901</v>
      </c>
      <c r="H514" s="2">
        <f t="shared" si="22"/>
        <v>44904</v>
      </c>
      <c r="I514" s="2">
        <f t="shared" si="23"/>
        <v>44949</v>
      </c>
      <c r="J514" t="str">
        <f>VLOOKUP(M514,Umfragenteilnahme!$A$2:$B$3,2,)</f>
        <v>Ja</v>
      </c>
      <c r="M514">
        <v>1</v>
      </c>
      <c r="N514">
        <v>637</v>
      </c>
      <c r="O514">
        <v>2</v>
      </c>
      <c r="P514">
        <v>76</v>
      </c>
      <c r="Q514">
        <v>3</v>
      </c>
      <c r="R514">
        <v>3</v>
      </c>
      <c r="S514">
        <v>48</v>
      </c>
    </row>
    <row r="515" spans="1:19" x14ac:dyDescent="0.35">
      <c r="A515">
        <v>8162</v>
      </c>
      <c r="B515">
        <v>628</v>
      </c>
      <c r="C515" t="str">
        <f>VLOOKUP(B515,Kunde!A:C,3,FALSE)</f>
        <v>Privatkunde</v>
      </c>
      <c r="D515" t="str">
        <f>VLOOKUP(O515,Produkt!$A$1:$E$5,2,FALSE)</f>
        <v>B</v>
      </c>
      <c r="E515">
        <f t="shared" ref="E515:E578" si="24">IF(C515="Geschäftskunde",P515,Q515)</f>
        <v>3</v>
      </c>
      <c r="F515">
        <f>VLOOKUP(D515,Produkt!$B$1:$C$5,2,FALSE)*Bestellungen!E515</f>
        <v>1440</v>
      </c>
      <c r="G515" s="2">
        <v>45020</v>
      </c>
      <c r="H515" s="2">
        <f t="shared" ref="H515:H578" si="25">G515+R515</f>
        <v>45025</v>
      </c>
      <c r="I515" s="2">
        <f t="shared" ref="I515:I578" si="26">G515+S515</f>
        <v>45062</v>
      </c>
      <c r="J515" t="str">
        <f>VLOOKUP(M515,Umfragenteilnahme!$A$2:$B$3,2,)</f>
        <v>Ja</v>
      </c>
      <c r="M515">
        <v>1</v>
      </c>
      <c r="N515">
        <v>628</v>
      </c>
      <c r="O515">
        <v>2</v>
      </c>
      <c r="P515">
        <v>86</v>
      </c>
      <c r="Q515">
        <v>3</v>
      </c>
      <c r="R515">
        <v>5</v>
      </c>
      <c r="S515">
        <v>42</v>
      </c>
    </row>
    <row r="516" spans="1:19" x14ac:dyDescent="0.35">
      <c r="A516">
        <v>8163</v>
      </c>
      <c r="B516">
        <v>189</v>
      </c>
      <c r="C516" t="str">
        <f>VLOOKUP(B516,Kunde!A:C,3,FALSE)</f>
        <v>Geschäftskunde</v>
      </c>
      <c r="D516" t="str">
        <f>VLOOKUP(O516,Produkt!$A$1:$E$5,2,FALSE)</f>
        <v>A</v>
      </c>
      <c r="E516">
        <f t="shared" si="24"/>
        <v>100</v>
      </c>
      <c r="F516">
        <f>VLOOKUP(D516,Produkt!$B$1:$C$5,2,FALSE)*Bestellungen!E516</f>
        <v>30000</v>
      </c>
      <c r="G516" s="2">
        <v>45006</v>
      </c>
      <c r="H516" s="2">
        <f t="shared" si="25"/>
        <v>45013</v>
      </c>
      <c r="I516" s="2">
        <f t="shared" si="26"/>
        <v>45027</v>
      </c>
      <c r="J516" t="str">
        <f>VLOOKUP(M516,Umfragenteilnahme!$A$2:$B$3,2,)</f>
        <v>Nein</v>
      </c>
      <c r="M516">
        <v>2</v>
      </c>
      <c r="N516">
        <v>189</v>
      </c>
      <c r="O516">
        <v>1</v>
      </c>
      <c r="P516">
        <v>100</v>
      </c>
      <c r="Q516">
        <v>2</v>
      </c>
      <c r="R516">
        <v>7</v>
      </c>
      <c r="S516">
        <v>21</v>
      </c>
    </row>
    <row r="517" spans="1:19" x14ac:dyDescent="0.35">
      <c r="A517">
        <v>8164</v>
      </c>
      <c r="B517">
        <v>519</v>
      </c>
      <c r="C517" t="str">
        <f>VLOOKUP(B517,Kunde!A:C,3,FALSE)</f>
        <v>Geschäftskunde</v>
      </c>
      <c r="D517" t="str">
        <f>VLOOKUP(O517,Produkt!$A$1:$E$5,2,FALSE)</f>
        <v>C</v>
      </c>
      <c r="E517">
        <f t="shared" si="24"/>
        <v>107</v>
      </c>
      <c r="F517">
        <f>VLOOKUP(D517,Produkt!$B$1:$C$5,2,FALSE)*Bestellungen!E517</f>
        <v>160500</v>
      </c>
      <c r="G517" s="2">
        <v>44740</v>
      </c>
      <c r="H517" s="2">
        <f t="shared" si="25"/>
        <v>44746</v>
      </c>
      <c r="I517" s="2">
        <f t="shared" si="26"/>
        <v>44783</v>
      </c>
      <c r="J517" t="str">
        <f>VLOOKUP(M517,Umfragenteilnahme!$A$2:$B$3,2,)</f>
        <v>Nein</v>
      </c>
      <c r="M517">
        <v>2</v>
      </c>
      <c r="N517">
        <v>519</v>
      </c>
      <c r="O517">
        <v>3</v>
      </c>
      <c r="P517">
        <v>107</v>
      </c>
      <c r="Q517">
        <v>8</v>
      </c>
      <c r="R517">
        <v>6</v>
      </c>
      <c r="S517">
        <v>43</v>
      </c>
    </row>
    <row r="518" spans="1:19" x14ac:dyDescent="0.35">
      <c r="A518">
        <v>8165</v>
      </c>
      <c r="B518">
        <v>39</v>
      </c>
      <c r="C518" t="str">
        <f>VLOOKUP(B518,Kunde!A:C,3,FALSE)</f>
        <v>Geschäftskunde</v>
      </c>
      <c r="D518" t="str">
        <f>VLOOKUP(O518,Produkt!$A$1:$E$5,2,FALSE)</f>
        <v>A</v>
      </c>
      <c r="E518">
        <f t="shared" si="24"/>
        <v>16</v>
      </c>
      <c r="F518">
        <f>VLOOKUP(D518,Produkt!$B$1:$C$5,2,FALSE)*Bestellungen!E518</f>
        <v>4800</v>
      </c>
      <c r="G518" s="2">
        <v>44938</v>
      </c>
      <c r="H518" s="2">
        <f t="shared" si="25"/>
        <v>44940</v>
      </c>
      <c r="I518" s="2">
        <f t="shared" si="26"/>
        <v>44979</v>
      </c>
      <c r="J518" t="str">
        <f>VLOOKUP(M518,Umfragenteilnahme!$A$2:$B$3,2,)</f>
        <v>Ja</v>
      </c>
      <c r="M518">
        <v>1</v>
      </c>
      <c r="N518">
        <v>39</v>
      </c>
      <c r="O518">
        <v>1</v>
      </c>
      <c r="P518">
        <v>16</v>
      </c>
      <c r="Q518">
        <v>4</v>
      </c>
      <c r="R518">
        <v>2</v>
      </c>
      <c r="S518">
        <v>41</v>
      </c>
    </row>
    <row r="519" spans="1:19" x14ac:dyDescent="0.35">
      <c r="A519">
        <v>8166</v>
      </c>
      <c r="B519">
        <v>578</v>
      </c>
      <c r="C519" t="str">
        <f>VLOOKUP(B519,Kunde!A:C,3,FALSE)</f>
        <v>Geschäftskunde</v>
      </c>
      <c r="D519" t="str">
        <f>VLOOKUP(O519,Produkt!$A$1:$E$5,2,FALSE)</f>
        <v>C</v>
      </c>
      <c r="E519">
        <f t="shared" si="24"/>
        <v>20</v>
      </c>
      <c r="F519">
        <f>VLOOKUP(D519,Produkt!$B$1:$C$5,2,FALSE)*Bestellungen!E519</f>
        <v>30000</v>
      </c>
      <c r="G519" s="2">
        <v>44887</v>
      </c>
      <c r="H519" s="2">
        <f t="shared" si="25"/>
        <v>44889</v>
      </c>
      <c r="I519" s="2">
        <f t="shared" si="26"/>
        <v>44919</v>
      </c>
      <c r="J519" t="str">
        <f>VLOOKUP(M519,Umfragenteilnahme!$A$2:$B$3,2,)</f>
        <v>Ja</v>
      </c>
      <c r="M519">
        <v>1</v>
      </c>
      <c r="N519">
        <v>578</v>
      </c>
      <c r="O519">
        <v>3</v>
      </c>
      <c r="P519">
        <v>20</v>
      </c>
      <c r="Q519">
        <v>1</v>
      </c>
      <c r="R519">
        <v>2</v>
      </c>
      <c r="S519">
        <v>32</v>
      </c>
    </row>
    <row r="520" spans="1:19" x14ac:dyDescent="0.35">
      <c r="A520">
        <v>8167</v>
      </c>
      <c r="B520">
        <v>181</v>
      </c>
      <c r="C520" t="str">
        <f>VLOOKUP(B520,Kunde!A:C,3,FALSE)</f>
        <v>Geschäftskunde</v>
      </c>
      <c r="D520" t="str">
        <f>VLOOKUP(O520,Produkt!$A$1:$E$5,2,FALSE)</f>
        <v>B</v>
      </c>
      <c r="E520">
        <f t="shared" si="24"/>
        <v>133</v>
      </c>
      <c r="F520">
        <f>VLOOKUP(D520,Produkt!$B$1:$C$5,2,FALSE)*Bestellungen!E520</f>
        <v>63840</v>
      </c>
      <c r="G520" s="2">
        <v>44783</v>
      </c>
      <c r="H520" s="2">
        <f t="shared" si="25"/>
        <v>44786</v>
      </c>
      <c r="I520" s="2">
        <f t="shared" si="26"/>
        <v>44812</v>
      </c>
      <c r="J520" t="str">
        <f>VLOOKUP(M520,Umfragenteilnahme!$A$2:$B$3,2,)</f>
        <v>Ja</v>
      </c>
      <c r="M520">
        <v>1</v>
      </c>
      <c r="N520">
        <v>181</v>
      </c>
      <c r="O520">
        <v>2</v>
      </c>
      <c r="P520">
        <v>133</v>
      </c>
      <c r="Q520">
        <v>6</v>
      </c>
      <c r="R520">
        <v>3</v>
      </c>
      <c r="S520">
        <v>29</v>
      </c>
    </row>
    <row r="521" spans="1:19" x14ac:dyDescent="0.35">
      <c r="A521">
        <v>8168</v>
      </c>
      <c r="B521">
        <v>505</v>
      </c>
      <c r="C521" t="str">
        <f>VLOOKUP(B521,Kunde!A:C,3,FALSE)</f>
        <v>Geschäftskunde</v>
      </c>
      <c r="D521" t="str">
        <f>VLOOKUP(O521,Produkt!$A$1:$E$5,2,FALSE)</f>
        <v>D</v>
      </c>
      <c r="E521">
        <f t="shared" si="24"/>
        <v>35</v>
      </c>
      <c r="F521">
        <f>VLOOKUP(D521,Produkt!$B$1:$C$5,2,FALSE)*Bestellungen!E521</f>
        <v>28000</v>
      </c>
      <c r="G521" s="2">
        <v>45069</v>
      </c>
      <c r="H521" s="2">
        <f t="shared" si="25"/>
        <v>45071</v>
      </c>
      <c r="I521" s="2">
        <f t="shared" si="26"/>
        <v>45094</v>
      </c>
      <c r="J521" t="str">
        <f>VLOOKUP(M521,Umfragenteilnahme!$A$2:$B$3,2,)</f>
        <v>Ja</v>
      </c>
      <c r="M521">
        <v>1</v>
      </c>
      <c r="N521">
        <v>505</v>
      </c>
      <c r="O521">
        <v>4</v>
      </c>
      <c r="P521">
        <v>35</v>
      </c>
      <c r="Q521">
        <v>3</v>
      </c>
      <c r="R521">
        <v>2</v>
      </c>
      <c r="S521">
        <v>25</v>
      </c>
    </row>
    <row r="522" spans="1:19" x14ac:dyDescent="0.35">
      <c r="A522">
        <v>8169</v>
      </c>
      <c r="B522">
        <v>160</v>
      </c>
      <c r="C522" t="str">
        <f>VLOOKUP(B522,Kunde!A:C,3,FALSE)</f>
        <v>Geschäftskunde</v>
      </c>
      <c r="D522" t="str">
        <f>VLOOKUP(O522,Produkt!$A$1:$E$5,2,FALSE)</f>
        <v>D</v>
      </c>
      <c r="E522">
        <f t="shared" si="24"/>
        <v>26</v>
      </c>
      <c r="F522">
        <f>VLOOKUP(D522,Produkt!$B$1:$C$5,2,FALSE)*Bestellungen!E522</f>
        <v>20800</v>
      </c>
      <c r="G522" s="2">
        <v>44730</v>
      </c>
      <c r="H522" s="2">
        <f t="shared" si="25"/>
        <v>44736</v>
      </c>
      <c r="I522" s="2">
        <f t="shared" si="26"/>
        <v>44750</v>
      </c>
      <c r="J522" t="str">
        <f>VLOOKUP(M522,Umfragenteilnahme!$A$2:$B$3,2,)</f>
        <v>Nein</v>
      </c>
      <c r="M522">
        <v>2</v>
      </c>
      <c r="N522">
        <v>160</v>
      </c>
      <c r="O522">
        <v>4</v>
      </c>
      <c r="P522">
        <v>26</v>
      </c>
      <c r="Q522">
        <v>6</v>
      </c>
      <c r="R522">
        <v>6</v>
      </c>
      <c r="S522">
        <v>20</v>
      </c>
    </row>
    <row r="523" spans="1:19" x14ac:dyDescent="0.35">
      <c r="A523">
        <v>8170</v>
      </c>
      <c r="B523">
        <v>692</v>
      </c>
      <c r="C523" t="str">
        <f>VLOOKUP(B523,Kunde!A:C,3,FALSE)</f>
        <v>Geschäftskunde</v>
      </c>
      <c r="D523" t="str">
        <f>VLOOKUP(O523,Produkt!$A$1:$E$5,2,FALSE)</f>
        <v>A</v>
      </c>
      <c r="E523">
        <f t="shared" si="24"/>
        <v>21</v>
      </c>
      <c r="F523">
        <f>VLOOKUP(D523,Produkt!$B$1:$C$5,2,FALSE)*Bestellungen!E523</f>
        <v>6300</v>
      </c>
      <c r="G523" s="2">
        <v>44737</v>
      </c>
      <c r="H523" s="2">
        <f t="shared" si="25"/>
        <v>44739</v>
      </c>
      <c r="I523" s="2">
        <f t="shared" si="26"/>
        <v>44755</v>
      </c>
      <c r="J523" t="str">
        <f>VLOOKUP(M523,Umfragenteilnahme!$A$2:$B$3,2,)</f>
        <v>Ja</v>
      </c>
      <c r="M523">
        <v>1</v>
      </c>
      <c r="N523">
        <v>692</v>
      </c>
      <c r="O523">
        <v>1</v>
      </c>
      <c r="P523">
        <v>21</v>
      </c>
      <c r="Q523">
        <v>4</v>
      </c>
      <c r="R523">
        <v>2</v>
      </c>
      <c r="S523">
        <v>18</v>
      </c>
    </row>
    <row r="524" spans="1:19" x14ac:dyDescent="0.35">
      <c r="A524">
        <v>8171</v>
      </c>
      <c r="B524">
        <v>352</v>
      </c>
      <c r="C524" t="str">
        <f>VLOOKUP(B524,Kunde!A:C,3,FALSE)</f>
        <v>Geschäftskunde</v>
      </c>
      <c r="D524" t="str">
        <f>VLOOKUP(O524,Produkt!$A$1:$E$5,2,FALSE)</f>
        <v>B</v>
      </c>
      <c r="E524">
        <f t="shared" si="24"/>
        <v>35</v>
      </c>
      <c r="F524">
        <f>VLOOKUP(D524,Produkt!$B$1:$C$5,2,FALSE)*Bestellungen!E524</f>
        <v>16800</v>
      </c>
      <c r="G524" s="2">
        <v>44954</v>
      </c>
      <c r="H524" s="2">
        <f t="shared" si="25"/>
        <v>44958</v>
      </c>
      <c r="I524" s="2">
        <f t="shared" si="26"/>
        <v>44975</v>
      </c>
      <c r="J524" t="str">
        <f>VLOOKUP(M524,Umfragenteilnahme!$A$2:$B$3,2,)</f>
        <v>Nein</v>
      </c>
      <c r="M524">
        <v>2</v>
      </c>
      <c r="N524">
        <v>352</v>
      </c>
      <c r="O524">
        <v>2</v>
      </c>
      <c r="P524">
        <v>35</v>
      </c>
      <c r="Q524">
        <v>2</v>
      </c>
      <c r="R524">
        <v>4</v>
      </c>
      <c r="S524">
        <v>21</v>
      </c>
    </row>
    <row r="525" spans="1:19" x14ac:dyDescent="0.35">
      <c r="A525">
        <v>8172</v>
      </c>
      <c r="B525">
        <v>500</v>
      </c>
      <c r="C525" t="str">
        <f>VLOOKUP(B525,Kunde!A:C,3,FALSE)</f>
        <v>Geschäftskunde</v>
      </c>
      <c r="D525" t="str">
        <f>VLOOKUP(O525,Produkt!$A$1:$E$5,2,FALSE)</f>
        <v>C</v>
      </c>
      <c r="E525">
        <f t="shared" si="24"/>
        <v>65</v>
      </c>
      <c r="F525">
        <f>VLOOKUP(D525,Produkt!$B$1:$C$5,2,FALSE)*Bestellungen!E525</f>
        <v>97500</v>
      </c>
      <c r="G525" s="2">
        <v>44915</v>
      </c>
      <c r="H525" s="2">
        <f t="shared" si="25"/>
        <v>44918</v>
      </c>
      <c r="I525" s="2">
        <f t="shared" si="26"/>
        <v>44929</v>
      </c>
      <c r="J525" t="str">
        <f>VLOOKUP(M525,Umfragenteilnahme!$A$2:$B$3,2,)</f>
        <v>Nein</v>
      </c>
      <c r="M525">
        <v>2</v>
      </c>
      <c r="N525">
        <v>500</v>
      </c>
      <c r="O525">
        <v>3</v>
      </c>
      <c r="P525">
        <v>65</v>
      </c>
      <c r="Q525">
        <v>8</v>
      </c>
      <c r="R525">
        <v>3</v>
      </c>
      <c r="S525">
        <v>14</v>
      </c>
    </row>
    <row r="526" spans="1:19" x14ac:dyDescent="0.35">
      <c r="A526">
        <v>8173</v>
      </c>
      <c r="B526">
        <v>565</v>
      </c>
      <c r="C526" t="str">
        <f>VLOOKUP(B526,Kunde!A:C,3,FALSE)</f>
        <v>Geschäftskunde</v>
      </c>
      <c r="D526" t="str">
        <f>VLOOKUP(O526,Produkt!$A$1:$E$5,2,FALSE)</f>
        <v>D</v>
      </c>
      <c r="E526">
        <f t="shared" si="24"/>
        <v>142</v>
      </c>
      <c r="F526">
        <f>VLOOKUP(D526,Produkt!$B$1:$C$5,2,FALSE)*Bestellungen!E526</f>
        <v>113600</v>
      </c>
      <c r="G526" s="2">
        <v>44955</v>
      </c>
      <c r="H526" s="2">
        <f t="shared" si="25"/>
        <v>44961</v>
      </c>
      <c r="I526" s="2">
        <f t="shared" si="26"/>
        <v>44997</v>
      </c>
      <c r="J526" t="str">
        <f>VLOOKUP(M526,Umfragenteilnahme!$A$2:$B$3,2,)</f>
        <v>Ja</v>
      </c>
      <c r="M526">
        <v>1</v>
      </c>
      <c r="N526">
        <v>565</v>
      </c>
      <c r="O526">
        <v>4</v>
      </c>
      <c r="P526">
        <v>142</v>
      </c>
      <c r="Q526">
        <v>9</v>
      </c>
      <c r="R526">
        <v>6</v>
      </c>
      <c r="S526">
        <v>42</v>
      </c>
    </row>
    <row r="527" spans="1:19" x14ac:dyDescent="0.35">
      <c r="A527">
        <v>8174</v>
      </c>
      <c r="B527">
        <v>719</v>
      </c>
      <c r="C527" t="str">
        <f>VLOOKUP(B527,Kunde!A:C,3,FALSE)</f>
        <v>Geschäftskunde</v>
      </c>
      <c r="D527" t="str">
        <f>VLOOKUP(O527,Produkt!$A$1:$E$5,2,FALSE)</f>
        <v>C</v>
      </c>
      <c r="E527">
        <f t="shared" si="24"/>
        <v>49</v>
      </c>
      <c r="F527">
        <f>VLOOKUP(D527,Produkt!$B$1:$C$5,2,FALSE)*Bestellungen!E527</f>
        <v>73500</v>
      </c>
      <c r="G527" s="2">
        <v>44884</v>
      </c>
      <c r="H527" s="2">
        <f t="shared" si="25"/>
        <v>44886</v>
      </c>
      <c r="I527" s="2">
        <f t="shared" si="26"/>
        <v>44931</v>
      </c>
      <c r="J527" t="str">
        <f>VLOOKUP(M527,Umfragenteilnahme!$A$2:$B$3,2,)</f>
        <v>Nein</v>
      </c>
      <c r="M527">
        <v>2</v>
      </c>
      <c r="N527">
        <v>719</v>
      </c>
      <c r="O527">
        <v>3</v>
      </c>
      <c r="P527">
        <v>49</v>
      </c>
      <c r="Q527">
        <v>3</v>
      </c>
      <c r="R527">
        <v>2</v>
      </c>
      <c r="S527">
        <v>47</v>
      </c>
    </row>
    <row r="528" spans="1:19" x14ac:dyDescent="0.35">
      <c r="A528">
        <v>8175</v>
      </c>
      <c r="B528">
        <v>226</v>
      </c>
      <c r="C528" t="str">
        <f>VLOOKUP(B528,Kunde!A:C,3,FALSE)</f>
        <v>Privatkunde</v>
      </c>
      <c r="D528" t="str">
        <f>VLOOKUP(O528,Produkt!$A$1:$E$5,2,FALSE)</f>
        <v>D</v>
      </c>
      <c r="E528">
        <f t="shared" si="24"/>
        <v>3</v>
      </c>
      <c r="F528">
        <f>VLOOKUP(D528,Produkt!$B$1:$C$5,2,FALSE)*Bestellungen!E528</f>
        <v>2400</v>
      </c>
      <c r="G528" s="2">
        <v>44852</v>
      </c>
      <c r="H528" s="2">
        <f t="shared" si="25"/>
        <v>44858</v>
      </c>
      <c r="I528" s="2">
        <f t="shared" si="26"/>
        <v>44909</v>
      </c>
      <c r="J528" t="str">
        <f>VLOOKUP(M528,Umfragenteilnahme!$A$2:$B$3,2,)</f>
        <v>Ja</v>
      </c>
      <c r="M528">
        <v>1</v>
      </c>
      <c r="N528">
        <v>226</v>
      </c>
      <c r="O528">
        <v>4</v>
      </c>
      <c r="P528">
        <v>123</v>
      </c>
      <c r="Q528">
        <v>3</v>
      </c>
      <c r="R528">
        <v>6</v>
      </c>
      <c r="S528">
        <v>57</v>
      </c>
    </row>
    <row r="529" spans="1:19" x14ac:dyDescent="0.35">
      <c r="A529">
        <v>8176</v>
      </c>
      <c r="B529">
        <v>446</v>
      </c>
      <c r="C529" t="str">
        <f>VLOOKUP(B529,Kunde!A:C,3,FALSE)</f>
        <v>Geschäftskunde</v>
      </c>
      <c r="D529" t="str">
        <f>VLOOKUP(O529,Produkt!$A$1:$E$5,2,FALSE)</f>
        <v>D</v>
      </c>
      <c r="E529">
        <f t="shared" si="24"/>
        <v>71</v>
      </c>
      <c r="F529">
        <f>VLOOKUP(D529,Produkt!$B$1:$C$5,2,FALSE)*Bestellungen!E529</f>
        <v>56800</v>
      </c>
      <c r="G529" s="2">
        <v>44832</v>
      </c>
      <c r="H529" s="2">
        <f t="shared" si="25"/>
        <v>44839</v>
      </c>
      <c r="I529" s="2">
        <f t="shared" si="26"/>
        <v>44865</v>
      </c>
      <c r="J529" t="str">
        <f>VLOOKUP(M529,Umfragenteilnahme!$A$2:$B$3,2,)</f>
        <v>Ja</v>
      </c>
      <c r="M529">
        <v>1</v>
      </c>
      <c r="N529">
        <v>446</v>
      </c>
      <c r="O529">
        <v>4</v>
      </c>
      <c r="P529">
        <v>71</v>
      </c>
      <c r="Q529">
        <v>1</v>
      </c>
      <c r="R529">
        <v>7</v>
      </c>
      <c r="S529">
        <v>33</v>
      </c>
    </row>
    <row r="530" spans="1:19" x14ac:dyDescent="0.35">
      <c r="A530">
        <v>8177</v>
      </c>
      <c r="B530">
        <v>444</v>
      </c>
      <c r="C530" t="str">
        <f>VLOOKUP(B530,Kunde!A:C,3,FALSE)</f>
        <v>Geschäftskunde</v>
      </c>
      <c r="D530" t="str">
        <f>VLOOKUP(O530,Produkt!$A$1:$E$5,2,FALSE)</f>
        <v>A</v>
      </c>
      <c r="E530">
        <f t="shared" si="24"/>
        <v>17</v>
      </c>
      <c r="F530">
        <f>VLOOKUP(D530,Produkt!$B$1:$C$5,2,FALSE)*Bestellungen!E530</f>
        <v>5100</v>
      </c>
      <c r="G530" s="2">
        <v>44727</v>
      </c>
      <c r="H530" s="2">
        <f t="shared" si="25"/>
        <v>44733</v>
      </c>
      <c r="I530" s="2">
        <f t="shared" si="26"/>
        <v>44742</v>
      </c>
      <c r="J530" t="str">
        <f>VLOOKUP(M530,Umfragenteilnahme!$A$2:$B$3,2,)</f>
        <v>Nein</v>
      </c>
      <c r="M530">
        <v>2</v>
      </c>
      <c r="N530">
        <v>444</v>
      </c>
      <c r="O530">
        <v>1</v>
      </c>
      <c r="P530">
        <v>17</v>
      </c>
      <c r="Q530">
        <v>10</v>
      </c>
      <c r="R530">
        <v>6</v>
      </c>
      <c r="S530">
        <v>15</v>
      </c>
    </row>
    <row r="531" spans="1:19" x14ac:dyDescent="0.35">
      <c r="A531">
        <v>8178</v>
      </c>
      <c r="B531">
        <v>56</v>
      </c>
      <c r="C531" t="str">
        <f>VLOOKUP(B531,Kunde!A:C,3,FALSE)</f>
        <v>Geschäftskunde</v>
      </c>
      <c r="D531" t="str">
        <f>VLOOKUP(O531,Produkt!$A$1:$E$5,2,FALSE)</f>
        <v>D</v>
      </c>
      <c r="E531">
        <f t="shared" si="24"/>
        <v>24</v>
      </c>
      <c r="F531">
        <f>VLOOKUP(D531,Produkt!$B$1:$C$5,2,FALSE)*Bestellungen!E531</f>
        <v>19200</v>
      </c>
      <c r="G531" s="2">
        <v>45037</v>
      </c>
      <c r="H531" s="2">
        <f t="shared" si="25"/>
        <v>45044</v>
      </c>
      <c r="I531" s="2">
        <f t="shared" si="26"/>
        <v>45081</v>
      </c>
      <c r="J531" t="str">
        <f>VLOOKUP(M531,Umfragenteilnahme!$A$2:$B$3,2,)</f>
        <v>Nein</v>
      </c>
      <c r="M531">
        <v>2</v>
      </c>
      <c r="N531">
        <v>56</v>
      </c>
      <c r="O531">
        <v>4</v>
      </c>
      <c r="P531">
        <v>24</v>
      </c>
      <c r="Q531">
        <v>5</v>
      </c>
      <c r="R531">
        <v>7</v>
      </c>
      <c r="S531">
        <v>44</v>
      </c>
    </row>
    <row r="532" spans="1:19" x14ac:dyDescent="0.35">
      <c r="A532">
        <v>8179</v>
      </c>
      <c r="B532">
        <v>643</v>
      </c>
      <c r="C532" t="str">
        <f>VLOOKUP(B532,Kunde!A:C,3,FALSE)</f>
        <v>Privatkunde</v>
      </c>
      <c r="D532" t="str">
        <f>VLOOKUP(O532,Produkt!$A$1:$E$5,2,FALSE)</f>
        <v>B</v>
      </c>
      <c r="E532">
        <f t="shared" si="24"/>
        <v>8</v>
      </c>
      <c r="F532">
        <f>VLOOKUP(D532,Produkt!$B$1:$C$5,2,FALSE)*Bestellungen!E532</f>
        <v>3840</v>
      </c>
      <c r="G532" s="2">
        <v>44959</v>
      </c>
      <c r="H532" s="2">
        <f t="shared" si="25"/>
        <v>44963</v>
      </c>
      <c r="I532" s="2">
        <f t="shared" si="26"/>
        <v>44992</v>
      </c>
      <c r="J532" t="str">
        <f>VLOOKUP(M532,Umfragenteilnahme!$A$2:$B$3,2,)</f>
        <v>Ja</v>
      </c>
      <c r="M532">
        <v>1</v>
      </c>
      <c r="N532">
        <v>643</v>
      </c>
      <c r="O532">
        <v>2</v>
      </c>
      <c r="P532">
        <v>92</v>
      </c>
      <c r="Q532">
        <v>8</v>
      </c>
      <c r="R532">
        <v>4</v>
      </c>
      <c r="S532">
        <v>33</v>
      </c>
    </row>
    <row r="533" spans="1:19" x14ac:dyDescent="0.35">
      <c r="A533">
        <v>8180</v>
      </c>
      <c r="B533">
        <v>390</v>
      </c>
      <c r="C533" t="str">
        <f>VLOOKUP(B533,Kunde!A:C,3,FALSE)</f>
        <v>Geschäftskunde</v>
      </c>
      <c r="D533" t="str">
        <f>VLOOKUP(O533,Produkt!$A$1:$E$5,2,FALSE)</f>
        <v>B</v>
      </c>
      <c r="E533">
        <f t="shared" si="24"/>
        <v>124</v>
      </c>
      <c r="F533">
        <f>VLOOKUP(D533,Produkt!$B$1:$C$5,2,FALSE)*Bestellungen!E533</f>
        <v>59520</v>
      </c>
      <c r="G533" s="2">
        <v>44848</v>
      </c>
      <c r="H533" s="2">
        <f t="shared" si="25"/>
        <v>44855</v>
      </c>
      <c r="I533" s="2">
        <f t="shared" si="26"/>
        <v>44869</v>
      </c>
      <c r="J533" t="str">
        <f>VLOOKUP(M533,Umfragenteilnahme!$A$2:$B$3,2,)</f>
        <v>Nein</v>
      </c>
      <c r="M533">
        <v>2</v>
      </c>
      <c r="N533">
        <v>390</v>
      </c>
      <c r="O533">
        <v>2</v>
      </c>
      <c r="P533">
        <v>124</v>
      </c>
      <c r="Q533">
        <v>9</v>
      </c>
      <c r="R533">
        <v>7</v>
      </c>
      <c r="S533">
        <v>21</v>
      </c>
    </row>
    <row r="534" spans="1:19" x14ac:dyDescent="0.35">
      <c r="A534">
        <v>8181</v>
      </c>
      <c r="B534">
        <v>680</v>
      </c>
      <c r="C534" t="str">
        <f>VLOOKUP(B534,Kunde!A:C,3,FALSE)</f>
        <v>Geschäftskunde</v>
      </c>
      <c r="D534" t="str">
        <f>VLOOKUP(O534,Produkt!$A$1:$E$5,2,FALSE)</f>
        <v>A</v>
      </c>
      <c r="E534">
        <f t="shared" si="24"/>
        <v>74</v>
      </c>
      <c r="F534">
        <f>VLOOKUP(D534,Produkt!$B$1:$C$5,2,FALSE)*Bestellungen!E534</f>
        <v>22200</v>
      </c>
      <c r="G534" s="2">
        <v>44769</v>
      </c>
      <c r="H534" s="2">
        <f t="shared" si="25"/>
        <v>44773</v>
      </c>
      <c r="I534" s="2">
        <f t="shared" si="26"/>
        <v>44810</v>
      </c>
      <c r="J534" t="str">
        <f>VLOOKUP(M534,Umfragenteilnahme!$A$2:$B$3,2,)</f>
        <v>Nein</v>
      </c>
      <c r="M534">
        <v>2</v>
      </c>
      <c r="N534">
        <v>680</v>
      </c>
      <c r="O534">
        <v>1</v>
      </c>
      <c r="P534">
        <v>74</v>
      </c>
      <c r="Q534">
        <v>7</v>
      </c>
      <c r="R534">
        <v>4</v>
      </c>
      <c r="S534">
        <v>41</v>
      </c>
    </row>
    <row r="535" spans="1:19" x14ac:dyDescent="0.35">
      <c r="A535">
        <v>8182</v>
      </c>
      <c r="B535">
        <v>544</v>
      </c>
      <c r="C535" t="str">
        <f>VLOOKUP(B535,Kunde!A:C,3,FALSE)</f>
        <v>Geschäftskunde</v>
      </c>
      <c r="D535" t="str">
        <f>VLOOKUP(O535,Produkt!$A$1:$E$5,2,FALSE)</f>
        <v>C</v>
      </c>
      <c r="E535">
        <f t="shared" si="24"/>
        <v>141</v>
      </c>
      <c r="F535">
        <f>VLOOKUP(D535,Produkt!$B$1:$C$5,2,FALSE)*Bestellungen!E535</f>
        <v>211500</v>
      </c>
      <c r="G535" s="2">
        <v>44994</v>
      </c>
      <c r="H535" s="2">
        <f t="shared" si="25"/>
        <v>44998</v>
      </c>
      <c r="I535" s="2">
        <f t="shared" si="26"/>
        <v>45026</v>
      </c>
      <c r="J535" t="str">
        <f>VLOOKUP(M535,Umfragenteilnahme!$A$2:$B$3,2,)</f>
        <v>Ja</v>
      </c>
      <c r="M535">
        <v>1</v>
      </c>
      <c r="N535">
        <v>544</v>
      </c>
      <c r="O535">
        <v>3</v>
      </c>
      <c r="P535">
        <v>141</v>
      </c>
      <c r="Q535">
        <v>6</v>
      </c>
      <c r="R535">
        <v>4</v>
      </c>
      <c r="S535">
        <v>32</v>
      </c>
    </row>
    <row r="536" spans="1:19" x14ac:dyDescent="0.35">
      <c r="A536">
        <v>8183</v>
      </c>
      <c r="B536">
        <v>277</v>
      </c>
      <c r="C536" t="str">
        <f>VLOOKUP(B536,Kunde!A:C,3,FALSE)</f>
        <v>Privatkunde</v>
      </c>
      <c r="D536" t="str">
        <f>VLOOKUP(O536,Produkt!$A$1:$E$5,2,FALSE)</f>
        <v>D</v>
      </c>
      <c r="E536">
        <f t="shared" si="24"/>
        <v>2</v>
      </c>
      <c r="F536">
        <f>VLOOKUP(D536,Produkt!$B$1:$C$5,2,FALSE)*Bestellungen!E536</f>
        <v>1600</v>
      </c>
      <c r="G536" s="2">
        <v>44975</v>
      </c>
      <c r="H536" s="2">
        <f t="shared" si="25"/>
        <v>44979</v>
      </c>
      <c r="I536" s="2">
        <f t="shared" si="26"/>
        <v>44998</v>
      </c>
      <c r="J536" t="str">
        <f>VLOOKUP(M536,Umfragenteilnahme!$A$2:$B$3,2,)</f>
        <v>Ja</v>
      </c>
      <c r="M536">
        <v>1</v>
      </c>
      <c r="N536">
        <v>277</v>
      </c>
      <c r="O536">
        <v>4</v>
      </c>
      <c r="P536">
        <v>112</v>
      </c>
      <c r="Q536">
        <v>2</v>
      </c>
      <c r="R536">
        <v>4</v>
      </c>
      <c r="S536">
        <v>23</v>
      </c>
    </row>
    <row r="537" spans="1:19" x14ac:dyDescent="0.35">
      <c r="A537">
        <v>8184</v>
      </c>
      <c r="B537">
        <v>431</v>
      </c>
      <c r="C537" t="str">
        <f>VLOOKUP(B537,Kunde!A:C,3,FALSE)</f>
        <v>Geschäftskunde</v>
      </c>
      <c r="D537" t="str">
        <f>VLOOKUP(O537,Produkt!$A$1:$E$5,2,FALSE)</f>
        <v>A</v>
      </c>
      <c r="E537">
        <f t="shared" si="24"/>
        <v>145</v>
      </c>
      <c r="F537">
        <f>VLOOKUP(D537,Produkt!$B$1:$C$5,2,FALSE)*Bestellungen!E537</f>
        <v>43500</v>
      </c>
      <c r="G537" s="2">
        <v>44918</v>
      </c>
      <c r="H537" s="2">
        <f t="shared" si="25"/>
        <v>44922</v>
      </c>
      <c r="I537" s="2">
        <f t="shared" si="26"/>
        <v>44931</v>
      </c>
      <c r="J537" t="str">
        <f>VLOOKUP(M537,Umfragenteilnahme!$A$2:$B$3,2,)</f>
        <v>Ja</v>
      </c>
      <c r="M537">
        <v>1</v>
      </c>
      <c r="N537">
        <v>431</v>
      </c>
      <c r="O537">
        <v>1</v>
      </c>
      <c r="P537">
        <v>145</v>
      </c>
      <c r="Q537">
        <v>9</v>
      </c>
      <c r="R537">
        <v>4</v>
      </c>
      <c r="S537">
        <v>13</v>
      </c>
    </row>
    <row r="538" spans="1:19" x14ac:dyDescent="0.35">
      <c r="A538">
        <v>8185</v>
      </c>
      <c r="B538">
        <v>577</v>
      </c>
      <c r="C538" t="str">
        <f>VLOOKUP(B538,Kunde!A:C,3,FALSE)</f>
        <v>Geschäftskunde</v>
      </c>
      <c r="D538" t="str">
        <f>VLOOKUP(O538,Produkt!$A$1:$E$5,2,FALSE)</f>
        <v>D</v>
      </c>
      <c r="E538">
        <f t="shared" si="24"/>
        <v>144</v>
      </c>
      <c r="F538">
        <f>VLOOKUP(D538,Produkt!$B$1:$C$5,2,FALSE)*Bestellungen!E538</f>
        <v>115200</v>
      </c>
      <c r="G538" s="2">
        <v>44796</v>
      </c>
      <c r="H538" s="2">
        <f t="shared" si="25"/>
        <v>44800</v>
      </c>
      <c r="I538" s="2">
        <f t="shared" si="26"/>
        <v>44856</v>
      </c>
      <c r="J538" t="str">
        <f>VLOOKUP(M538,Umfragenteilnahme!$A$2:$B$3,2,)</f>
        <v>Nein</v>
      </c>
      <c r="M538">
        <v>2</v>
      </c>
      <c r="N538">
        <v>577</v>
      </c>
      <c r="O538">
        <v>4</v>
      </c>
      <c r="P538">
        <v>144</v>
      </c>
      <c r="Q538">
        <v>7</v>
      </c>
      <c r="R538">
        <v>4</v>
      </c>
      <c r="S538">
        <v>60</v>
      </c>
    </row>
    <row r="539" spans="1:19" x14ac:dyDescent="0.35">
      <c r="A539">
        <v>8186</v>
      </c>
      <c r="B539">
        <v>524</v>
      </c>
      <c r="C539" t="str">
        <f>VLOOKUP(B539,Kunde!A:C,3,FALSE)</f>
        <v>Privatkunde</v>
      </c>
      <c r="D539" t="str">
        <f>VLOOKUP(O539,Produkt!$A$1:$E$5,2,FALSE)</f>
        <v>D</v>
      </c>
      <c r="E539">
        <f t="shared" si="24"/>
        <v>3</v>
      </c>
      <c r="F539">
        <f>VLOOKUP(D539,Produkt!$B$1:$C$5,2,FALSE)*Bestellungen!E539</f>
        <v>2400</v>
      </c>
      <c r="G539" s="2">
        <v>44782</v>
      </c>
      <c r="H539" s="2">
        <f t="shared" si="25"/>
        <v>44785</v>
      </c>
      <c r="I539" s="2">
        <f t="shared" si="26"/>
        <v>44785</v>
      </c>
      <c r="J539" t="str">
        <f>VLOOKUP(M539,Umfragenteilnahme!$A$2:$B$3,2,)</f>
        <v>Ja</v>
      </c>
      <c r="M539">
        <v>1</v>
      </c>
      <c r="N539">
        <v>524</v>
      </c>
      <c r="O539">
        <v>4</v>
      </c>
      <c r="P539">
        <v>92</v>
      </c>
      <c r="Q539">
        <v>3</v>
      </c>
      <c r="R539">
        <v>3</v>
      </c>
      <c r="S539">
        <v>3</v>
      </c>
    </row>
    <row r="540" spans="1:19" x14ac:dyDescent="0.35">
      <c r="A540">
        <v>8187</v>
      </c>
      <c r="B540">
        <v>315</v>
      </c>
      <c r="C540" t="str">
        <f>VLOOKUP(B540,Kunde!A:C,3,FALSE)</f>
        <v>Geschäftskunde</v>
      </c>
      <c r="D540" t="str">
        <f>VLOOKUP(O540,Produkt!$A$1:$E$5,2,FALSE)</f>
        <v>C</v>
      </c>
      <c r="E540">
        <f t="shared" si="24"/>
        <v>129</v>
      </c>
      <c r="F540">
        <f>VLOOKUP(D540,Produkt!$B$1:$C$5,2,FALSE)*Bestellungen!E540</f>
        <v>193500</v>
      </c>
      <c r="G540" s="2">
        <v>44920</v>
      </c>
      <c r="H540" s="2">
        <f t="shared" si="25"/>
        <v>44924</v>
      </c>
      <c r="I540" s="2">
        <f t="shared" si="26"/>
        <v>44971</v>
      </c>
      <c r="J540" t="str">
        <f>VLOOKUP(M540,Umfragenteilnahme!$A$2:$B$3,2,)</f>
        <v>Ja</v>
      </c>
      <c r="M540">
        <v>1</v>
      </c>
      <c r="N540">
        <v>315</v>
      </c>
      <c r="O540">
        <v>3</v>
      </c>
      <c r="P540">
        <v>129</v>
      </c>
      <c r="Q540">
        <v>7</v>
      </c>
      <c r="R540">
        <v>4</v>
      </c>
      <c r="S540">
        <v>51</v>
      </c>
    </row>
    <row r="541" spans="1:19" x14ac:dyDescent="0.35">
      <c r="A541">
        <v>8188</v>
      </c>
      <c r="B541">
        <v>107</v>
      </c>
      <c r="C541" t="str">
        <f>VLOOKUP(B541,Kunde!A:C,3,FALSE)</f>
        <v>Geschäftskunde</v>
      </c>
      <c r="D541" t="str">
        <f>VLOOKUP(O541,Produkt!$A$1:$E$5,2,FALSE)</f>
        <v>C</v>
      </c>
      <c r="E541">
        <f t="shared" si="24"/>
        <v>68</v>
      </c>
      <c r="F541">
        <f>VLOOKUP(D541,Produkt!$B$1:$C$5,2,FALSE)*Bestellungen!E541</f>
        <v>102000</v>
      </c>
      <c r="G541" s="2">
        <v>44799</v>
      </c>
      <c r="H541" s="2">
        <f t="shared" si="25"/>
        <v>44804</v>
      </c>
      <c r="I541" s="2">
        <f t="shared" si="26"/>
        <v>44858</v>
      </c>
      <c r="J541" t="str">
        <f>VLOOKUP(M541,Umfragenteilnahme!$A$2:$B$3,2,)</f>
        <v>Nein</v>
      </c>
      <c r="M541">
        <v>2</v>
      </c>
      <c r="N541">
        <v>107</v>
      </c>
      <c r="O541">
        <v>3</v>
      </c>
      <c r="P541">
        <v>68</v>
      </c>
      <c r="Q541">
        <v>7</v>
      </c>
      <c r="R541">
        <v>5</v>
      </c>
      <c r="S541">
        <v>59</v>
      </c>
    </row>
    <row r="542" spans="1:19" x14ac:dyDescent="0.35">
      <c r="A542">
        <v>8189</v>
      </c>
      <c r="B542">
        <v>240</v>
      </c>
      <c r="C542" t="str">
        <f>VLOOKUP(B542,Kunde!A:C,3,FALSE)</f>
        <v>Geschäftskunde</v>
      </c>
      <c r="D542" t="str">
        <f>VLOOKUP(O542,Produkt!$A$1:$E$5,2,FALSE)</f>
        <v>D</v>
      </c>
      <c r="E542">
        <f t="shared" si="24"/>
        <v>150</v>
      </c>
      <c r="F542">
        <f>VLOOKUP(D542,Produkt!$B$1:$C$5,2,FALSE)*Bestellungen!E542</f>
        <v>120000</v>
      </c>
      <c r="G542" s="2">
        <v>44863</v>
      </c>
      <c r="H542" s="2">
        <f t="shared" si="25"/>
        <v>44866</v>
      </c>
      <c r="I542" s="2">
        <f t="shared" si="26"/>
        <v>44885</v>
      </c>
      <c r="J542" t="str">
        <f>VLOOKUP(M542,Umfragenteilnahme!$A$2:$B$3,2,)</f>
        <v>Nein</v>
      </c>
      <c r="M542">
        <v>2</v>
      </c>
      <c r="N542">
        <v>240</v>
      </c>
      <c r="O542">
        <v>4</v>
      </c>
      <c r="P542">
        <v>150</v>
      </c>
      <c r="Q542">
        <v>1</v>
      </c>
      <c r="R542">
        <v>3</v>
      </c>
      <c r="S542">
        <v>22</v>
      </c>
    </row>
    <row r="543" spans="1:19" x14ac:dyDescent="0.35">
      <c r="A543">
        <v>8190</v>
      </c>
      <c r="B543">
        <v>362</v>
      </c>
      <c r="C543" t="str">
        <f>VLOOKUP(B543,Kunde!A:C,3,FALSE)</f>
        <v>Geschäftskunde</v>
      </c>
      <c r="D543" t="str">
        <f>VLOOKUP(O543,Produkt!$A$1:$E$5,2,FALSE)</f>
        <v>A</v>
      </c>
      <c r="E543">
        <f t="shared" si="24"/>
        <v>134</v>
      </c>
      <c r="F543">
        <f>VLOOKUP(D543,Produkt!$B$1:$C$5,2,FALSE)*Bestellungen!E543</f>
        <v>40200</v>
      </c>
      <c r="G543" s="2">
        <v>44765</v>
      </c>
      <c r="H543" s="2">
        <f t="shared" si="25"/>
        <v>44768</v>
      </c>
      <c r="I543" s="2">
        <f t="shared" si="26"/>
        <v>44782</v>
      </c>
      <c r="J543" t="str">
        <f>VLOOKUP(M543,Umfragenteilnahme!$A$2:$B$3,2,)</f>
        <v>Nein</v>
      </c>
      <c r="M543">
        <v>2</v>
      </c>
      <c r="N543">
        <v>362</v>
      </c>
      <c r="O543">
        <v>1</v>
      </c>
      <c r="P543">
        <v>134</v>
      </c>
      <c r="Q543">
        <v>1</v>
      </c>
      <c r="R543">
        <v>3</v>
      </c>
      <c r="S543">
        <v>17</v>
      </c>
    </row>
    <row r="544" spans="1:19" x14ac:dyDescent="0.35">
      <c r="A544">
        <v>8191</v>
      </c>
      <c r="B544">
        <v>255</v>
      </c>
      <c r="C544" t="str">
        <f>VLOOKUP(B544,Kunde!A:C,3,FALSE)</f>
        <v>Geschäftskunde</v>
      </c>
      <c r="D544" t="str">
        <f>VLOOKUP(O544,Produkt!$A$1:$E$5,2,FALSE)</f>
        <v>A</v>
      </c>
      <c r="E544">
        <f t="shared" si="24"/>
        <v>11</v>
      </c>
      <c r="F544">
        <f>VLOOKUP(D544,Produkt!$B$1:$C$5,2,FALSE)*Bestellungen!E544</f>
        <v>3300</v>
      </c>
      <c r="G544" s="2">
        <v>44933</v>
      </c>
      <c r="H544" s="2">
        <f t="shared" si="25"/>
        <v>44937</v>
      </c>
      <c r="I544" s="2">
        <f t="shared" si="26"/>
        <v>44982</v>
      </c>
      <c r="J544" t="str">
        <f>VLOOKUP(M544,Umfragenteilnahme!$A$2:$B$3,2,)</f>
        <v>Ja</v>
      </c>
      <c r="M544">
        <v>1</v>
      </c>
      <c r="N544">
        <v>255</v>
      </c>
      <c r="O544">
        <v>1</v>
      </c>
      <c r="P544">
        <v>11</v>
      </c>
      <c r="Q544">
        <v>2</v>
      </c>
      <c r="R544">
        <v>4</v>
      </c>
      <c r="S544">
        <v>49</v>
      </c>
    </row>
    <row r="545" spans="1:19" x14ac:dyDescent="0.35">
      <c r="A545">
        <v>8192</v>
      </c>
      <c r="B545">
        <v>607</v>
      </c>
      <c r="C545" t="str">
        <f>VLOOKUP(B545,Kunde!A:C,3,FALSE)</f>
        <v>Geschäftskunde</v>
      </c>
      <c r="D545" t="str">
        <f>VLOOKUP(O545,Produkt!$A$1:$E$5,2,FALSE)</f>
        <v>B</v>
      </c>
      <c r="E545">
        <f t="shared" si="24"/>
        <v>62</v>
      </c>
      <c r="F545">
        <f>VLOOKUP(D545,Produkt!$B$1:$C$5,2,FALSE)*Bestellungen!E545</f>
        <v>29760</v>
      </c>
      <c r="G545" s="2">
        <v>44747</v>
      </c>
      <c r="H545" s="2">
        <f t="shared" si="25"/>
        <v>44753</v>
      </c>
      <c r="I545" s="2">
        <f t="shared" si="26"/>
        <v>44793</v>
      </c>
      <c r="J545" t="str">
        <f>VLOOKUP(M545,Umfragenteilnahme!$A$2:$B$3,2,)</f>
        <v>Nein</v>
      </c>
      <c r="M545">
        <v>2</v>
      </c>
      <c r="N545">
        <v>607</v>
      </c>
      <c r="O545">
        <v>2</v>
      </c>
      <c r="P545">
        <v>62</v>
      </c>
      <c r="Q545">
        <v>3</v>
      </c>
      <c r="R545">
        <v>6</v>
      </c>
      <c r="S545">
        <v>46</v>
      </c>
    </row>
    <row r="546" spans="1:19" x14ac:dyDescent="0.35">
      <c r="A546">
        <v>8193</v>
      </c>
      <c r="B546">
        <v>476</v>
      </c>
      <c r="C546" t="str">
        <f>VLOOKUP(B546,Kunde!A:C,3,FALSE)</f>
        <v>Geschäftskunde</v>
      </c>
      <c r="D546" t="str">
        <f>VLOOKUP(O546,Produkt!$A$1:$E$5,2,FALSE)</f>
        <v>C</v>
      </c>
      <c r="E546">
        <f t="shared" si="24"/>
        <v>38</v>
      </c>
      <c r="F546">
        <f>VLOOKUP(D546,Produkt!$B$1:$C$5,2,FALSE)*Bestellungen!E546</f>
        <v>57000</v>
      </c>
      <c r="G546" s="2">
        <v>44773</v>
      </c>
      <c r="H546" s="2">
        <f t="shared" si="25"/>
        <v>44775</v>
      </c>
      <c r="I546" s="2">
        <f t="shared" si="26"/>
        <v>44791</v>
      </c>
      <c r="J546" t="str">
        <f>VLOOKUP(M546,Umfragenteilnahme!$A$2:$B$3,2,)</f>
        <v>Nein</v>
      </c>
      <c r="M546">
        <v>2</v>
      </c>
      <c r="N546">
        <v>476</v>
      </c>
      <c r="O546">
        <v>3</v>
      </c>
      <c r="P546">
        <v>38</v>
      </c>
      <c r="Q546">
        <v>4</v>
      </c>
      <c r="R546">
        <v>2</v>
      </c>
      <c r="S546">
        <v>18</v>
      </c>
    </row>
    <row r="547" spans="1:19" x14ac:dyDescent="0.35">
      <c r="A547">
        <v>8194</v>
      </c>
      <c r="B547">
        <v>339</v>
      </c>
      <c r="C547" t="str">
        <f>VLOOKUP(B547,Kunde!A:C,3,FALSE)</f>
        <v>Geschäftskunde</v>
      </c>
      <c r="D547" t="str">
        <f>VLOOKUP(O547,Produkt!$A$1:$E$5,2,FALSE)</f>
        <v>D</v>
      </c>
      <c r="E547">
        <f t="shared" si="24"/>
        <v>85</v>
      </c>
      <c r="F547">
        <f>VLOOKUP(D547,Produkt!$B$1:$C$5,2,FALSE)*Bestellungen!E547</f>
        <v>68000</v>
      </c>
      <c r="G547" s="2">
        <v>44812</v>
      </c>
      <c r="H547" s="2">
        <f t="shared" si="25"/>
        <v>44816</v>
      </c>
      <c r="I547" s="2">
        <f t="shared" si="26"/>
        <v>44840</v>
      </c>
      <c r="J547" t="str">
        <f>VLOOKUP(M547,Umfragenteilnahme!$A$2:$B$3,2,)</f>
        <v>Nein</v>
      </c>
      <c r="M547">
        <v>2</v>
      </c>
      <c r="N547">
        <v>339</v>
      </c>
      <c r="O547">
        <v>4</v>
      </c>
      <c r="P547">
        <v>85</v>
      </c>
      <c r="Q547">
        <v>2</v>
      </c>
      <c r="R547">
        <v>4</v>
      </c>
      <c r="S547">
        <v>28</v>
      </c>
    </row>
    <row r="548" spans="1:19" x14ac:dyDescent="0.35">
      <c r="A548">
        <v>8195</v>
      </c>
      <c r="B548">
        <v>63</v>
      </c>
      <c r="C548" t="str">
        <f>VLOOKUP(B548,Kunde!A:C,3,FALSE)</f>
        <v>Geschäftskunde</v>
      </c>
      <c r="D548" t="str">
        <f>VLOOKUP(O548,Produkt!$A$1:$E$5,2,FALSE)</f>
        <v>C</v>
      </c>
      <c r="E548">
        <f t="shared" si="24"/>
        <v>32</v>
      </c>
      <c r="F548">
        <f>VLOOKUP(D548,Produkt!$B$1:$C$5,2,FALSE)*Bestellungen!E548</f>
        <v>48000</v>
      </c>
      <c r="G548" s="2">
        <v>45013</v>
      </c>
      <c r="H548" s="2">
        <f t="shared" si="25"/>
        <v>45015</v>
      </c>
      <c r="I548" s="2">
        <f t="shared" si="26"/>
        <v>45025</v>
      </c>
      <c r="J548" t="str">
        <f>VLOOKUP(M548,Umfragenteilnahme!$A$2:$B$3,2,)</f>
        <v>Nein</v>
      </c>
      <c r="M548">
        <v>2</v>
      </c>
      <c r="N548">
        <v>63</v>
      </c>
      <c r="O548">
        <v>3</v>
      </c>
      <c r="P548">
        <v>32</v>
      </c>
      <c r="Q548">
        <v>4</v>
      </c>
      <c r="R548">
        <v>2</v>
      </c>
      <c r="S548">
        <v>12</v>
      </c>
    </row>
    <row r="549" spans="1:19" x14ac:dyDescent="0.35">
      <c r="A549">
        <v>8196</v>
      </c>
      <c r="B549">
        <v>505</v>
      </c>
      <c r="C549" t="str">
        <f>VLOOKUP(B549,Kunde!A:C,3,FALSE)</f>
        <v>Geschäftskunde</v>
      </c>
      <c r="D549" t="str">
        <f>VLOOKUP(O549,Produkt!$A$1:$E$5,2,FALSE)</f>
        <v>B</v>
      </c>
      <c r="E549">
        <f t="shared" si="24"/>
        <v>115</v>
      </c>
      <c r="F549">
        <f>VLOOKUP(D549,Produkt!$B$1:$C$5,2,FALSE)*Bestellungen!E549</f>
        <v>55200</v>
      </c>
      <c r="G549" s="2">
        <v>44867</v>
      </c>
      <c r="H549" s="2">
        <f t="shared" si="25"/>
        <v>44871</v>
      </c>
      <c r="I549" s="2">
        <f t="shared" si="26"/>
        <v>44901</v>
      </c>
      <c r="J549" t="str">
        <f>VLOOKUP(M549,Umfragenteilnahme!$A$2:$B$3,2,)</f>
        <v>Nein</v>
      </c>
      <c r="M549">
        <v>2</v>
      </c>
      <c r="N549">
        <v>505</v>
      </c>
      <c r="O549">
        <v>2</v>
      </c>
      <c r="P549">
        <v>115</v>
      </c>
      <c r="Q549">
        <v>10</v>
      </c>
      <c r="R549">
        <v>4</v>
      </c>
      <c r="S549">
        <v>34</v>
      </c>
    </row>
    <row r="550" spans="1:19" x14ac:dyDescent="0.35">
      <c r="A550">
        <v>8197</v>
      </c>
      <c r="B550">
        <v>559</v>
      </c>
      <c r="C550" t="str">
        <f>VLOOKUP(B550,Kunde!A:C,3,FALSE)</f>
        <v>Geschäftskunde</v>
      </c>
      <c r="D550" t="str">
        <f>VLOOKUP(O550,Produkt!$A$1:$E$5,2,FALSE)</f>
        <v>A</v>
      </c>
      <c r="E550">
        <f t="shared" si="24"/>
        <v>32</v>
      </c>
      <c r="F550">
        <f>VLOOKUP(D550,Produkt!$B$1:$C$5,2,FALSE)*Bestellungen!E550</f>
        <v>9600</v>
      </c>
      <c r="G550" s="2">
        <v>44909</v>
      </c>
      <c r="H550" s="2">
        <f t="shared" si="25"/>
        <v>44913</v>
      </c>
      <c r="I550" s="2">
        <f t="shared" si="26"/>
        <v>44955</v>
      </c>
      <c r="J550" t="str">
        <f>VLOOKUP(M550,Umfragenteilnahme!$A$2:$B$3,2,)</f>
        <v>Nein</v>
      </c>
      <c r="M550">
        <v>2</v>
      </c>
      <c r="N550">
        <v>559</v>
      </c>
      <c r="O550">
        <v>1</v>
      </c>
      <c r="P550">
        <v>32</v>
      </c>
      <c r="Q550">
        <v>5</v>
      </c>
      <c r="R550">
        <v>4</v>
      </c>
      <c r="S550">
        <v>46</v>
      </c>
    </row>
    <row r="551" spans="1:19" x14ac:dyDescent="0.35">
      <c r="A551">
        <v>8198</v>
      </c>
      <c r="B551">
        <v>738</v>
      </c>
      <c r="C551" t="str">
        <f>VLOOKUP(B551,Kunde!A:C,3,FALSE)</f>
        <v>Geschäftskunde</v>
      </c>
      <c r="D551" t="str">
        <f>VLOOKUP(O551,Produkt!$A$1:$E$5,2,FALSE)</f>
        <v>D</v>
      </c>
      <c r="E551">
        <f t="shared" si="24"/>
        <v>26</v>
      </c>
      <c r="F551">
        <f>VLOOKUP(D551,Produkt!$B$1:$C$5,2,FALSE)*Bestellungen!E551</f>
        <v>20800</v>
      </c>
      <c r="G551" s="2">
        <v>45069</v>
      </c>
      <c r="H551" s="2">
        <f t="shared" si="25"/>
        <v>45073</v>
      </c>
      <c r="I551" s="2">
        <f t="shared" si="26"/>
        <v>45076</v>
      </c>
      <c r="J551" t="str">
        <f>VLOOKUP(M551,Umfragenteilnahme!$A$2:$B$3,2,)</f>
        <v>Ja</v>
      </c>
      <c r="M551">
        <v>1</v>
      </c>
      <c r="N551">
        <v>738</v>
      </c>
      <c r="O551">
        <v>4</v>
      </c>
      <c r="P551">
        <v>26</v>
      </c>
      <c r="Q551">
        <v>5</v>
      </c>
      <c r="R551">
        <v>4</v>
      </c>
      <c r="S551">
        <v>7</v>
      </c>
    </row>
    <row r="552" spans="1:19" x14ac:dyDescent="0.35">
      <c r="A552">
        <v>8199</v>
      </c>
      <c r="B552">
        <v>52</v>
      </c>
      <c r="C552" t="str">
        <f>VLOOKUP(B552,Kunde!A:C,3,FALSE)</f>
        <v>Privatkunde</v>
      </c>
      <c r="D552" t="str">
        <f>VLOOKUP(O552,Produkt!$A$1:$E$5,2,FALSE)</f>
        <v>B</v>
      </c>
      <c r="E552">
        <f t="shared" si="24"/>
        <v>5</v>
      </c>
      <c r="F552">
        <f>VLOOKUP(D552,Produkt!$B$1:$C$5,2,FALSE)*Bestellungen!E552</f>
        <v>2400</v>
      </c>
      <c r="G552" s="2">
        <v>44810</v>
      </c>
      <c r="H552" s="2">
        <f t="shared" si="25"/>
        <v>44813</v>
      </c>
      <c r="I552" s="2">
        <f t="shared" si="26"/>
        <v>44843</v>
      </c>
      <c r="J552" t="str">
        <f>VLOOKUP(M552,Umfragenteilnahme!$A$2:$B$3,2,)</f>
        <v>Nein</v>
      </c>
      <c r="M552">
        <v>2</v>
      </c>
      <c r="N552">
        <v>52</v>
      </c>
      <c r="O552">
        <v>2</v>
      </c>
      <c r="P552">
        <v>32</v>
      </c>
      <c r="Q552">
        <v>5</v>
      </c>
      <c r="R552">
        <v>3</v>
      </c>
      <c r="S552">
        <v>33</v>
      </c>
    </row>
    <row r="553" spans="1:19" x14ac:dyDescent="0.35">
      <c r="A553">
        <v>8200</v>
      </c>
      <c r="B553">
        <v>373</v>
      </c>
      <c r="C553" t="str">
        <f>VLOOKUP(B553,Kunde!A:C,3,FALSE)</f>
        <v>Geschäftskunde</v>
      </c>
      <c r="D553" t="str">
        <f>VLOOKUP(O553,Produkt!$A$1:$E$5,2,FALSE)</f>
        <v>C</v>
      </c>
      <c r="E553">
        <f t="shared" si="24"/>
        <v>59</v>
      </c>
      <c r="F553">
        <f>VLOOKUP(D553,Produkt!$B$1:$C$5,2,FALSE)*Bestellungen!E553</f>
        <v>88500</v>
      </c>
      <c r="G553" s="2">
        <v>44982</v>
      </c>
      <c r="H553" s="2">
        <f t="shared" si="25"/>
        <v>44989</v>
      </c>
      <c r="I553" s="2">
        <f t="shared" si="26"/>
        <v>45007</v>
      </c>
      <c r="J553" t="str">
        <f>VLOOKUP(M553,Umfragenteilnahme!$A$2:$B$3,2,)</f>
        <v>Ja</v>
      </c>
      <c r="M553">
        <v>1</v>
      </c>
      <c r="N553">
        <v>373</v>
      </c>
      <c r="O553">
        <v>3</v>
      </c>
      <c r="P553">
        <v>59</v>
      </c>
      <c r="Q553">
        <v>2</v>
      </c>
      <c r="R553">
        <v>7</v>
      </c>
      <c r="S553">
        <v>25</v>
      </c>
    </row>
    <row r="554" spans="1:19" x14ac:dyDescent="0.35">
      <c r="A554">
        <v>8201</v>
      </c>
      <c r="B554">
        <v>727</v>
      </c>
      <c r="C554" t="str">
        <f>VLOOKUP(B554,Kunde!A:C,3,FALSE)</f>
        <v>Geschäftskunde</v>
      </c>
      <c r="D554" t="str">
        <f>VLOOKUP(O554,Produkt!$A$1:$E$5,2,FALSE)</f>
        <v>B</v>
      </c>
      <c r="E554">
        <f t="shared" si="24"/>
        <v>101</v>
      </c>
      <c r="F554">
        <f>VLOOKUP(D554,Produkt!$B$1:$C$5,2,FALSE)*Bestellungen!E554</f>
        <v>48480</v>
      </c>
      <c r="G554" s="2">
        <v>45030</v>
      </c>
      <c r="H554" s="2">
        <f t="shared" si="25"/>
        <v>45037</v>
      </c>
      <c r="I554" s="2">
        <f t="shared" si="26"/>
        <v>45062</v>
      </c>
      <c r="J554" t="str">
        <f>VLOOKUP(M554,Umfragenteilnahme!$A$2:$B$3,2,)</f>
        <v>Ja</v>
      </c>
      <c r="M554">
        <v>1</v>
      </c>
      <c r="N554">
        <v>727</v>
      </c>
      <c r="O554">
        <v>2</v>
      </c>
      <c r="P554">
        <v>101</v>
      </c>
      <c r="Q554">
        <v>10</v>
      </c>
      <c r="R554">
        <v>7</v>
      </c>
      <c r="S554">
        <v>32</v>
      </c>
    </row>
    <row r="555" spans="1:19" x14ac:dyDescent="0.35">
      <c r="A555">
        <v>8202</v>
      </c>
      <c r="B555">
        <v>546</v>
      </c>
      <c r="C555" t="str">
        <f>VLOOKUP(B555,Kunde!A:C,3,FALSE)</f>
        <v>Privatkunde</v>
      </c>
      <c r="D555" t="str">
        <f>VLOOKUP(O555,Produkt!$A$1:$E$5,2,FALSE)</f>
        <v>A</v>
      </c>
      <c r="E555">
        <f t="shared" si="24"/>
        <v>6</v>
      </c>
      <c r="F555">
        <f>VLOOKUP(D555,Produkt!$B$1:$C$5,2,FALSE)*Bestellungen!E555</f>
        <v>1800</v>
      </c>
      <c r="G555" s="2">
        <v>44924</v>
      </c>
      <c r="H555" s="2">
        <f t="shared" si="25"/>
        <v>44931</v>
      </c>
      <c r="I555" s="2">
        <f t="shared" si="26"/>
        <v>44950</v>
      </c>
      <c r="J555" t="str">
        <f>VLOOKUP(M555,Umfragenteilnahme!$A$2:$B$3,2,)</f>
        <v>Ja</v>
      </c>
      <c r="M555">
        <v>1</v>
      </c>
      <c r="N555">
        <v>546</v>
      </c>
      <c r="O555">
        <v>1</v>
      </c>
      <c r="P555">
        <v>146</v>
      </c>
      <c r="Q555">
        <v>6</v>
      </c>
      <c r="R555">
        <v>7</v>
      </c>
      <c r="S555">
        <v>26</v>
      </c>
    </row>
    <row r="556" spans="1:19" x14ac:dyDescent="0.35">
      <c r="A556">
        <v>8203</v>
      </c>
      <c r="B556">
        <v>56</v>
      </c>
      <c r="C556" t="str">
        <f>VLOOKUP(B556,Kunde!A:C,3,FALSE)</f>
        <v>Geschäftskunde</v>
      </c>
      <c r="D556" t="str">
        <f>VLOOKUP(O556,Produkt!$A$1:$E$5,2,FALSE)</f>
        <v>B</v>
      </c>
      <c r="E556">
        <f t="shared" si="24"/>
        <v>85</v>
      </c>
      <c r="F556">
        <f>VLOOKUP(D556,Produkt!$B$1:$C$5,2,FALSE)*Bestellungen!E556</f>
        <v>40800</v>
      </c>
      <c r="G556" s="2">
        <v>44905</v>
      </c>
      <c r="H556" s="2">
        <f t="shared" si="25"/>
        <v>44910</v>
      </c>
      <c r="I556" s="2">
        <f t="shared" si="26"/>
        <v>44928</v>
      </c>
      <c r="J556" t="str">
        <f>VLOOKUP(M556,Umfragenteilnahme!$A$2:$B$3,2,)</f>
        <v>Nein</v>
      </c>
      <c r="M556">
        <v>2</v>
      </c>
      <c r="N556">
        <v>56</v>
      </c>
      <c r="O556">
        <v>2</v>
      </c>
      <c r="P556">
        <v>85</v>
      </c>
      <c r="Q556">
        <v>10</v>
      </c>
      <c r="R556">
        <v>5</v>
      </c>
      <c r="S556">
        <v>23</v>
      </c>
    </row>
    <row r="557" spans="1:19" x14ac:dyDescent="0.35">
      <c r="A557">
        <v>8204</v>
      </c>
      <c r="B557">
        <v>300</v>
      </c>
      <c r="C557" t="str">
        <f>VLOOKUP(B557,Kunde!A:C,3,FALSE)</f>
        <v>Geschäftskunde</v>
      </c>
      <c r="D557" t="str">
        <f>VLOOKUP(O557,Produkt!$A$1:$E$5,2,FALSE)</f>
        <v>A</v>
      </c>
      <c r="E557">
        <f t="shared" si="24"/>
        <v>149</v>
      </c>
      <c r="F557">
        <f>VLOOKUP(D557,Produkt!$B$1:$C$5,2,FALSE)*Bestellungen!E557</f>
        <v>44700</v>
      </c>
      <c r="G557" s="2">
        <v>44809</v>
      </c>
      <c r="H557" s="2">
        <f t="shared" si="25"/>
        <v>44813</v>
      </c>
      <c r="I557" s="2">
        <f t="shared" si="26"/>
        <v>44866</v>
      </c>
      <c r="J557" t="str">
        <f>VLOOKUP(M557,Umfragenteilnahme!$A$2:$B$3,2,)</f>
        <v>Ja</v>
      </c>
      <c r="M557">
        <v>1</v>
      </c>
      <c r="N557">
        <v>300</v>
      </c>
      <c r="O557">
        <v>1</v>
      </c>
      <c r="P557">
        <v>149</v>
      </c>
      <c r="Q557">
        <v>5</v>
      </c>
      <c r="R557">
        <v>4</v>
      </c>
      <c r="S557">
        <v>57</v>
      </c>
    </row>
    <row r="558" spans="1:19" x14ac:dyDescent="0.35">
      <c r="A558">
        <v>8205</v>
      </c>
      <c r="B558">
        <v>288</v>
      </c>
      <c r="C558" t="str">
        <f>VLOOKUP(B558,Kunde!A:C,3,FALSE)</f>
        <v>Privatkunde</v>
      </c>
      <c r="D558" t="str">
        <f>VLOOKUP(O558,Produkt!$A$1:$E$5,2,FALSE)</f>
        <v>D</v>
      </c>
      <c r="E558">
        <f t="shared" si="24"/>
        <v>9</v>
      </c>
      <c r="F558">
        <f>VLOOKUP(D558,Produkt!$B$1:$C$5,2,FALSE)*Bestellungen!E558</f>
        <v>7200</v>
      </c>
      <c r="G558" s="2">
        <v>44712</v>
      </c>
      <c r="H558" s="2">
        <f t="shared" si="25"/>
        <v>44717</v>
      </c>
      <c r="I558" s="2">
        <f t="shared" si="26"/>
        <v>44738</v>
      </c>
      <c r="J558" t="str">
        <f>VLOOKUP(M558,Umfragenteilnahme!$A$2:$B$3,2,)</f>
        <v>Nein</v>
      </c>
      <c r="M558">
        <v>2</v>
      </c>
      <c r="N558">
        <v>288</v>
      </c>
      <c r="O558">
        <v>4</v>
      </c>
      <c r="P558">
        <v>134</v>
      </c>
      <c r="Q558">
        <v>9</v>
      </c>
      <c r="R558">
        <v>5</v>
      </c>
      <c r="S558">
        <v>26</v>
      </c>
    </row>
    <row r="559" spans="1:19" x14ac:dyDescent="0.35">
      <c r="A559">
        <v>8206</v>
      </c>
      <c r="B559">
        <v>334</v>
      </c>
      <c r="C559" t="str">
        <f>VLOOKUP(B559,Kunde!A:C,3,FALSE)</f>
        <v>Privatkunde</v>
      </c>
      <c r="D559" t="str">
        <f>VLOOKUP(O559,Produkt!$A$1:$E$5,2,FALSE)</f>
        <v>D</v>
      </c>
      <c r="E559">
        <f t="shared" si="24"/>
        <v>5</v>
      </c>
      <c r="F559">
        <f>VLOOKUP(D559,Produkt!$B$1:$C$5,2,FALSE)*Bestellungen!E559</f>
        <v>4000</v>
      </c>
      <c r="G559" s="2">
        <v>44888</v>
      </c>
      <c r="H559" s="2">
        <f t="shared" si="25"/>
        <v>44891</v>
      </c>
      <c r="I559" s="2">
        <f t="shared" si="26"/>
        <v>44924</v>
      </c>
      <c r="J559" t="str">
        <f>VLOOKUP(M559,Umfragenteilnahme!$A$2:$B$3,2,)</f>
        <v>Ja</v>
      </c>
      <c r="M559">
        <v>1</v>
      </c>
      <c r="N559">
        <v>334</v>
      </c>
      <c r="O559">
        <v>4</v>
      </c>
      <c r="P559">
        <v>104</v>
      </c>
      <c r="Q559">
        <v>5</v>
      </c>
      <c r="R559">
        <v>3</v>
      </c>
      <c r="S559">
        <v>36</v>
      </c>
    </row>
    <row r="560" spans="1:19" x14ac:dyDescent="0.35">
      <c r="A560">
        <v>8207</v>
      </c>
      <c r="B560">
        <v>671</v>
      </c>
      <c r="C560" t="str">
        <f>VLOOKUP(B560,Kunde!A:C,3,FALSE)</f>
        <v>Geschäftskunde</v>
      </c>
      <c r="D560" t="str">
        <f>VLOOKUP(O560,Produkt!$A$1:$E$5,2,FALSE)</f>
        <v>B</v>
      </c>
      <c r="E560">
        <f t="shared" si="24"/>
        <v>130</v>
      </c>
      <c r="F560">
        <f>VLOOKUP(D560,Produkt!$B$1:$C$5,2,FALSE)*Bestellungen!E560</f>
        <v>62400</v>
      </c>
      <c r="G560" s="2">
        <v>45046</v>
      </c>
      <c r="H560" s="2">
        <f t="shared" si="25"/>
        <v>45052</v>
      </c>
      <c r="I560" s="2">
        <f t="shared" si="26"/>
        <v>45069</v>
      </c>
      <c r="J560" t="str">
        <f>VLOOKUP(M560,Umfragenteilnahme!$A$2:$B$3,2,)</f>
        <v>Nein</v>
      </c>
      <c r="M560">
        <v>2</v>
      </c>
      <c r="N560">
        <v>671</v>
      </c>
      <c r="O560">
        <v>2</v>
      </c>
      <c r="P560">
        <v>130</v>
      </c>
      <c r="Q560">
        <v>9</v>
      </c>
      <c r="R560">
        <v>6</v>
      </c>
      <c r="S560">
        <v>23</v>
      </c>
    </row>
    <row r="561" spans="1:19" x14ac:dyDescent="0.35">
      <c r="A561">
        <v>8208</v>
      </c>
      <c r="B561">
        <v>309</v>
      </c>
      <c r="C561" t="str">
        <f>VLOOKUP(B561,Kunde!A:C,3,FALSE)</f>
        <v>Geschäftskunde</v>
      </c>
      <c r="D561" t="str">
        <f>VLOOKUP(O561,Produkt!$A$1:$E$5,2,FALSE)</f>
        <v>D</v>
      </c>
      <c r="E561">
        <f t="shared" si="24"/>
        <v>107</v>
      </c>
      <c r="F561">
        <f>VLOOKUP(D561,Produkt!$B$1:$C$5,2,FALSE)*Bestellungen!E561</f>
        <v>85600</v>
      </c>
      <c r="G561" s="2">
        <v>44952</v>
      </c>
      <c r="H561" s="2">
        <f t="shared" si="25"/>
        <v>44954</v>
      </c>
      <c r="I561" s="2">
        <f t="shared" si="26"/>
        <v>44995</v>
      </c>
      <c r="J561" t="str">
        <f>VLOOKUP(M561,Umfragenteilnahme!$A$2:$B$3,2,)</f>
        <v>Nein</v>
      </c>
      <c r="M561">
        <v>2</v>
      </c>
      <c r="N561">
        <v>309</v>
      </c>
      <c r="O561">
        <v>4</v>
      </c>
      <c r="P561">
        <v>107</v>
      </c>
      <c r="Q561">
        <v>10</v>
      </c>
      <c r="R561">
        <v>2</v>
      </c>
      <c r="S561">
        <v>43</v>
      </c>
    </row>
    <row r="562" spans="1:19" x14ac:dyDescent="0.35">
      <c r="A562">
        <v>8209</v>
      </c>
      <c r="B562">
        <v>367</v>
      </c>
      <c r="C562" t="str">
        <f>VLOOKUP(B562,Kunde!A:C,3,FALSE)</f>
        <v>Privatkunde</v>
      </c>
      <c r="D562" t="str">
        <f>VLOOKUP(O562,Produkt!$A$1:$E$5,2,FALSE)</f>
        <v>B</v>
      </c>
      <c r="E562">
        <f t="shared" si="24"/>
        <v>4</v>
      </c>
      <c r="F562">
        <f>VLOOKUP(D562,Produkt!$B$1:$C$5,2,FALSE)*Bestellungen!E562</f>
        <v>1920</v>
      </c>
      <c r="G562" s="2">
        <v>45012</v>
      </c>
      <c r="H562" s="2">
        <f t="shared" si="25"/>
        <v>45016</v>
      </c>
      <c r="I562" s="2">
        <f t="shared" si="26"/>
        <v>45033</v>
      </c>
      <c r="J562" t="str">
        <f>VLOOKUP(M562,Umfragenteilnahme!$A$2:$B$3,2,)</f>
        <v>Nein</v>
      </c>
      <c r="M562">
        <v>2</v>
      </c>
      <c r="N562">
        <v>367</v>
      </c>
      <c r="O562">
        <v>2</v>
      </c>
      <c r="P562">
        <v>121</v>
      </c>
      <c r="Q562">
        <v>4</v>
      </c>
      <c r="R562">
        <v>4</v>
      </c>
      <c r="S562">
        <v>21</v>
      </c>
    </row>
    <row r="563" spans="1:19" x14ac:dyDescent="0.35">
      <c r="A563">
        <v>8210</v>
      </c>
      <c r="B563">
        <v>354</v>
      </c>
      <c r="C563" t="str">
        <f>VLOOKUP(B563,Kunde!A:C,3,FALSE)</f>
        <v>Geschäftskunde</v>
      </c>
      <c r="D563" t="str">
        <f>VLOOKUP(O563,Produkt!$A$1:$E$5,2,FALSE)</f>
        <v>C</v>
      </c>
      <c r="E563">
        <f t="shared" si="24"/>
        <v>55</v>
      </c>
      <c r="F563">
        <f>VLOOKUP(D563,Produkt!$B$1:$C$5,2,FALSE)*Bestellungen!E563</f>
        <v>82500</v>
      </c>
      <c r="G563" s="2">
        <v>44898</v>
      </c>
      <c r="H563" s="2">
        <f t="shared" si="25"/>
        <v>44902</v>
      </c>
      <c r="I563" s="2">
        <f t="shared" si="26"/>
        <v>44943</v>
      </c>
      <c r="J563" t="str">
        <f>VLOOKUP(M563,Umfragenteilnahme!$A$2:$B$3,2,)</f>
        <v>Ja</v>
      </c>
      <c r="M563">
        <v>1</v>
      </c>
      <c r="N563">
        <v>354</v>
      </c>
      <c r="O563">
        <v>3</v>
      </c>
      <c r="P563">
        <v>55</v>
      </c>
      <c r="Q563">
        <v>1</v>
      </c>
      <c r="R563">
        <v>4</v>
      </c>
      <c r="S563">
        <v>45</v>
      </c>
    </row>
    <row r="564" spans="1:19" x14ac:dyDescent="0.35">
      <c r="A564">
        <v>8211</v>
      </c>
      <c r="B564">
        <v>407</v>
      </c>
      <c r="C564" t="str">
        <f>VLOOKUP(B564,Kunde!A:C,3,FALSE)</f>
        <v>Geschäftskunde</v>
      </c>
      <c r="D564" t="str">
        <f>VLOOKUP(O564,Produkt!$A$1:$E$5,2,FALSE)</f>
        <v>B</v>
      </c>
      <c r="E564">
        <f t="shared" si="24"/>
        <v>75</v>
      </c>
      <c r="F564">
        <f>VLOOKUP(D564,Produkt!$B$1:$C$5,2,FALSE)*Bestellungen!E564</f>
        <v>36000</v>
      </c>
      <c r="G564" s="2">
        <v>44844</v>
      </c>
      <c r="H564" s="2">
        <f t="shared" si="25"/>
        <v>44849</v>
      </c>
      <c r="I564" s="2">
        <f t="shared" si="26"/>
        <v>44890</v>
      </c>
      <c r="J564" t="str">
        <f>VLOOKUP(M564,Umfragenteilnahme!$A$2:$B$3,2,)</f>
        <v>Ja</v>
      </c>
      <c r="M564">
        <v>1</v>
      </c>
      <c r="N564">
        <v>407</v>
      </c>
      <c r="O564">
        <v>2</v>
      </c>
      <c r="P564">
        <v>75</v>
      </c>
      <c r="Q564">
        <v>5</v>
      </c>
      <c r="R564">
        <v>5</v>
      </c>
      <c r="S564">
        <v>46</v>
      </c>
    </row>
    <row r="565" spans="1:19" x14ac:dyDescent="0.35">
      <c r="A565">
        <v>8212</v>
      </c>
      <c r="B565">
        <v>93</v>
      </c>
      <c r="C565" t="str">
        <f>VLOOKUP(B565,Kunde!A:C,3,FALSE)</f>
        <v>Geschäftskunde</v>
      </c>
      <c r="D565" t="str">
        <f>VLOOKUP(O565,Produkt!$A$1:$E$5,2,FALSE)</f>
        <v>D</v>
      </c>
      <c r="E565">
        <f t="shared" si="24"/>
        <v>70</v>
      </c>
      <c r="F565">
        <f>VLOOKUP(D565,Produkt!$B$1:$C$5,2,FALSE)*Bestellungen!E565</f>
        <v>56000</v>
      </c>
      <c r="G565" s="2">
        <v>44858</v>
      </c>
      <c r="H565" s="2">
        <f t="shared" si="25"/>
        <v>44861</v>
      </c>
      <c r="I565" s="2">
        <f t="shared" si="26"/>
        <v>44914</v>
      </c>
      <c r="J565" t="str">
        <f>VLOOKUP(M565,Umfragenteilnahme!$A$2:$B$3,2,)</f>
        <v>Ja</v>
      </c>
      <c r="M565">
        <v>1</v>
      </c>
      <c r="N565">
        <v>93</v>
      </c>
      <c r="O565">
        <v>4</v>
      </c>
      <c r="P565">
        <v>70</v>
      </c>
      <c r="Q565">
        <v>1</v>
      </c>
      <c r="R565">
        <v>3</v>
      </c>
      <c r="S565">
        <v>56</v>
      </c>
    </row>
    <row r="566" spans="1:19" x14ac:dyDescent="0.35">
      <c r="A566">
        <v>8213</v>
      </c>
      <c r="B566">
        <v>227</v>
      </c>
      <c r="C566" t="str">
        <f>VLOOKUP(B566,Kunde!A:C,3,FALSE)</f>
        <v>Geschäftskunde</v>
      </c>
      <c r="D566" t="str">
        <f>VLOOKUP(O566,Produkt!$A$1:$E$5,2,FALSE)</f>
        <v>C</v>
      </c>
      <c r="E566">
        <f t="shared" si="24"/>
        <v>80</v>
      </c>
      <c r="F566">
        <f>VLOOKUP(D566,Produkt!$B$1:$C$5,2,FALSE)*Bestellungen!E566</f>
        <v>120000</v>
      </c>
      <c r="G566" s="2">
        <v>44807</v>
      </c>
      <c r="H566" s="2">
        <f t="shared" si="25"/>
        <v>44809</v>
      </c>
      <c r="I566" s="2">
        <f t="shared" si="26"/>
        <v>44851</v>
      </c>
      <c r="J566" t="str">
        <f>VLOOKUP(M566,Umfragenteilnahme!$A$2:$B$3,2,)</f>
        <v>Nein</v>
      </c>
      <c r="M566">
        <v>2</v>
      </c>
      <c r="N566">
        <v>227</v>
      </c>
      <c r="O566">
        <v>3</v>
      </c>
      <c r="P566">
        <v>80</v>
      </c>
      <c r="Q566">
        <v>4</v>
      </c>
      <c r="R566">
        <v>2</v>
      </c>
      <c r="S566">
        <v>44</v>
      </c>
    </row>
    <row r="567" spans="1:19" x14ac:dyDescent="0.35">
      <c r="A567">
        <v>8214</v>
      </c>
      <c r="B567">
        <v>300</v>
      </c>
      <c r="C567" t="str">
        <f>VLOOKUP(B567,Kunde!A:C,3,FALSE)</f>
        <v>Geschäftskunde</v>
      </c>
      <c r="D567" t="str">
        <f>VLOOKUP(O567,Produkt!$A$1:$E$5,2,FALSE)</f>
        <v>A</v>
      </c>
      <c r="E567">
        <f t="shared" si="24"/>
        <v>71</v>
      </c>
      <c r="F567">
        <f>VLOOKUP(D567,Produkt!$B$1:$C$5,2,FALSE)*Bestellungen!E567</f>
        <v>21300</v>
      </c>
      <c r="G567" s="2">
        <v>45021</v>
      </c>
      <c r="H567" s="2">
        <f t="shared" si="25"/>
        <v>45026</v>
      </c>
      <c r="I567" s="2">
        <f t="shared" si="26"/>
        <v>45034</v>
      </c>
      <c r="J567" t="str">
        <f>VLOOKUP(M567,Umfragenteilnahme!$A$2:$B$3,2,)</f>
        <v>Nein</v>
      </c>
      <c r="M567">
        <v>2</v>
      </c>
      <c r="N567">
        <v>300</v>
      </c>
      <c r="O567">
        <v>1</v>
      </c>
      <c r="P567">
        <v>71</v>
      </c>
      <c r="Q567">
        <v>8</v>
      </c>
      <c r="R567">
        <v>5</v>
      </c>
      <c r="S567">
        <v>13</v>
      </c>
    </row>
    <row r="568" spans="1:19" x14ac:dyDescent="0.35">
      <c r="A568">
        <v>8215</v>
      </c>
      <c r="B568">
        <v>448</v>
      </c>
      <c r="C568" t="str">
        <f>VLOOKUP(B568,Kunde!A:C,3,FALSE)</f>
        <v>Geschäftskunde</v>
      </c>
      <c r="D568" t="str">
        <f>VLOOKUP(O568,Produkt!$A$1:$E$5,2,FALSE)</f>
        <v>C</v>
      </c>
      <c r="E568">
        <f t="shared" si="24"/>
        <v>94</v>
      </c>
      <c r="F568">
        <f>VLOOKUP(D568,Produkt!$B$1:$C$5,2,FALSE)*Bestellungen!E568</f>
        <v>141000</v>
      </c>
      <c r="G568" s="2">
        <v>44967</v>
      </c>
      <c r="H568" s="2">
        <f t="shared" si="25"/>
        <v>44974</v>
      </c>
      <c r="I568" s="2">
        <f t="shared" si="26"/>
        <v>45024</v>
      </c>
      <c r="J568" t="str">
        <f>VLOOKUP(M568,Umfragenteilnahme!$A$2:$B$3,2,)</f>
        <v>Ja</v>
      </c>
      <c r="M568">
        <v>1</v>
      </c>
      <c r="N568">
        <v>448</v>
      </c>
      <c r="O568">
        <v>3</v>
      </c>
      <c r="P568">
        <v>94</v>
      </c>
      <c r="Q568">
        <v>10</v>
      </c>
      <c r="R568">
        <v>7</v>
      </c>
      <c r="S568">
        <v>57</v>
      </c>
    </row>
    <row r="569" spans="1:19" x14ac:dyDescent="0.35">
      <c r="A569">
        <v>8216</v>
      </c>
      <c r="B569">
        <v>235</v>
      </c>
      <c r="C569" t="str">
        <f>VLOOKUP(B569,Kunde!A:C,3,FALSE)</f>
        <v>Geschäftskunde</v>
      </c>
      <c r="D569" t="str">
        <f>VLOOKUP(O569,Produkt!$A$1:$E$5,2,FALSE)</f>
        <v>A</v>
      </c>
      <c r="E569">
        <f t="shared" si="24"/>
        <v>50</v>
      </c>
      <c r="F569">
        <f>VLOOKUP(D569,Produkt!$B$1:$C$5,2,FALSE)*Bestellungen!E569</f>
        <v>15000</v>
      </c>
      <c r="G569" s="2">
        <v>44915</v>
      </c>
      <c r="H569" s="2">
        <f t="shared" si="25"/>
        <v>44921</v>
      </c>
      <c r="I569" s="2">
        <f t="shared" si="26"/>
        <v>44974</v>
      </c>
      <c r="J569" t="str">
        <f>VLOOKUP(M569,Umfragenteilnahme!$A$2:$B$3,2,)</f>
        <v>Ja</v>
      </c>
      <c r="M569">
        <v>1</v>
      </c>
      <c r="N569">
        <v>235</v>
      </c>
      <c r="O569">
        <v>1</v>
      </c>
      <c r="P569">
        <v>50</v>
      </c>
      <c r="Q569">
        <v>9</v>
      </c>
      <c r="R569">
        <v>6</v>
      </c>
      <c r="S569">
        <v>59</v>
      </c>
    </row>
    <row r="570" spans="1:19" x14ac:dyDescent="0.35">
      <c r="A570">
        <v>8217</v>
      </c>
      <c r="B570">
        <v>344</v>
      </c>
      <c r="C570" t="str">
        <f>VLOOKUP(B570,Kunde!A:C,3,FALSE)</f>
        <v>Geschäftskunde</v>
      </c>
      <c r="D570" t="str">
        <f>VLOOKUP(O570,Produkt!$A$1:$E$5,2,FALSE)</f>
        <v>C</v>
      </c>
      <c r="E570">
        <f t="shared" si="24"/>
        <v>149</v>
      </c>
      <c r="F570">
        <f>VLOOKUP(D570,Produkt!$B$1:$C$5,2,FALSE)*Bestellungen!E570</f>
        <v>223500</v>
      </c>
      <c r="G570" s="2">
        <v>44792</v>
      </c>
      <c r="H570" s="2">
        <f t="shared" si="25"/>
        <v>44795</v>
      </c>
      <c r="I570" s="2">
        <f t="shared" si="26"/>
        <v>44796</v>
      </c>
      <c r="J570" t="str">
        <f>VLOOKUP(M570,Umfragenteilnahme!$A$2:$B$3,2,)</f>
        <v>Nein</v>
      </c>
      <c r="M570">
        <v>2</v>
      </c>
      <c r="N570">
        <v>344</v>
      </c>
      <c r="O570">
        <v>3</v>
      </c>
      <c r="P570">
        <v>149</v>
      </c>
      <c r="Q570">
        <v>2</v>
      </c>
      <c r="R570">
        <v>3</v>
      </c>
      <c r="S570">
        <v>4</v>
      </c>
    </row>
    <row r="571" spans="1:19" x14ac:dyDescent="0.35">
      <c r="A571">
        <v>8218</v>
      </c>
      <c r="B571">
        <v>307</v>
      </c>
      <c r="C571" t="str">
        <f>VLOOKUP(B571,Kunde!A:C,3,FALSE)</f>
        <v>Geschäftskunde</v>
      </c>
      <c r="D571" t="str">
        <f>VLOOKUP(O571,Produkt!$A$1:$E$5,2,FALSE)</f>
        <v>A</v>
      </c>
      <c r="E571">
        <f t="shared" si="24"/>
        <v>83</v>
      </c>
      <c r="F571">
        <f>VLOOKUP(D571,Produkt!$B$1:$C$5,2,FALSE)*Bestellungen!E571</f>
        <v>24900</v>
      </c>
      <c r="G571" s="2">
        <v>44728</v>
      </c>
      <c r="H571" s="2">
        <f t="shared" si="25"/>
        <v>44734</v>
      </c>
      <c r="I571" s="2">
        <f t="shared" si="26"/>
        <v>44733</v>
      </c>
      <c r="J571" t="str">
        <f>VLOOKUP(M571,Umfragenteilnahme!$A$2:$B$3,2,)</f>
        <v>Ja</v>
      </c>
      <c r="M571">
        <v>1</v>
      </c>
      <c r="N571">
        <v>307</v>
      </c>
      <c r="O571">
        <v>1</v>
      </c>
      <c r="P571">
        <v>83</v>
      </c>
      <c r="Q571">
        <v>9</v>
      </c>
      <c r="R571">
        <v>6</v>
      </c>
      <c r="S571">
        <v>5</v>
      </c>
    </row>
    <row r="572" spans="1:19" x14ac:dyDescent="0.35">
      <c r="A572">
        <v>8219</v>
      </c>
      <c r="B572">
        <v>300</v>
      </c>
      <c r="C572" t="str">
        <f>VLOOKUP(B572,Kunde!A:C,3,FALSE)</f>
        <v>Geschäftskunde</v>
      </c>
      <c r="D572" t="str">
        <f>VLOOKUP(O572,Produkt!$A$1:$E$5,2,FALSE)</f>
        <v>C</v>
      </c>
      <c r="E572">
        <f t="shared" si="24"/>
        <v>88</v>
      </c>
      <c r="F572">
        <f>VLOOKUP(D572,Produkt!$B$1:$C$5,2,FALSE)*Bestellungen!E572</f>
        <v>132000</v>
      </c>
      <c r="G572" s="2">
        <v>44914</v>
      </c>
      <c r="H572" s="2">
        <f t="shared" si="25"/>
        <v>44920</v>
      </c>
      <c r="I572" s="2">
        <f t="shared" si="26"/>
        <v>44949</v>
      </c>
      <c r="J572" t="str">
        <f>VLOOKUP(M572,Umfragenteilnahme!$A$2:$B$3,2,)</f>
        <v>Ja</v>
      </c>
      <c r="M572">
        <v>1</v>
      </c>
      <c r="N572">
        <v>300</v>
      </c>
      <c r="O572">
        <v>3</v>
      </c>
      <c r="P572">
        <v>88</v>
      </c>
      <c r="Q572">
        <v>10</v>
      </c>
      <c r="R572">
        <v>6</v>
      </c>
      <c r="S572">
        <v>35</v>
      </c>
    </row>
    <row r="573" spans="1:19" x14ac:dyDescent="0.35">
      <c r="A573">
        <v>8220</v>
      </c>
      <c r="B573">
        <v>651</v>
      </c>
      <c r="C573" t="str">
        <f>VLOOKUP(B573,Kunde!A:C,3,FALSE)</f>
        <v>Geschäftskunde</v>
      </c>
      <c r="D573" t="str">
        <f>VLOOKUP(O573,Produkt!$A$1:$E$5,2,FALSE)</f>
        <v>A</v>
      </c>
      <c r="E573">
        <f t="shared" si="24"/>
        <v>94</v>
      </c>
      <c r="F573">
        <f>VLOOKUP(D573,Produkt!$B$1:$C$5,2,FALSE)*Bestellungen!E573</f>
        <v>28200</v>
      </c>
      <c r="G573" s="2">
        <v>44750</v>
      </c>
      <c r="H573" s="2">
        <f t="shared" si="25"/>
        <v>44754</v>
      </c>
      <c r="I573" s="2">
        <f t="shared" si="26"/>
        <v>44807</v>
      </c>
      <c r="J573" t="str">
        <f>VLOOKUP(M573,Umfragenteilnahme!$A$2:$B$3,2,)</f>
        <v>Ja</v>
      </c>
      <c r="M573">
        <v>1</v>
      </c>
      <c r="N573">
        <v>651</v>
      </c>
      <c r="O573">
        <v>1</v>
      </c>
      <c r="P573">
        <v>94</v>
      </c>
      <c r="Q573">
        <v>3</v>
      </c>
      <c r="R573">
        <v>4</v>
      </c>
      <c r="S573">
        <v>57</v>
      </c>
    </row>
    <row r="574" spans="1:19" x14ac:dyDescent="0.35">
      <c r="A574">
        <v>8221</v>
      </c>
      <c r="B574">
        <v>358</v>
      </c>
      <c r="C574" t="str">
        <f>VLOOKUP(B574,Kunde!A:C,3,FALSE)</f>
        <v>Geschäftskunde</v>
      </c>
      <c r="D574" t="str">
        <f>VLOOKUP(O574,Produkt!$A$1:$E$5,2,FALSE)</f>
        <v>B</v>
      </c>
      <c r="E574">
        <f t="shared" si="24"/>
        <v>17</v>
      </c>
      <c r="F574">
        <f>VLOOKUP(D574,Produkt!$B$1:$C$5,2,FALSE)*Bestellungen!E574</f>
        <v>8160</v>
      </c>
      <c r="G574" s="2">
        <v>44861</v>
      </c>
      <c r="H574" s="2">
        <f t="shared" si="25"/>
        <v>44864</v>
      </c>
      <c r="I574" s="2">
        <f t="shared" si="26"/>
        <v>44890</v>
      </c>
      <c r="J574" t="str">
        <f>VLOOKUP(M574,Umfragenteilnahme!$A$2:$B$3,2,)</f>
        <v>Nein</v>
      </c>
      <c r="M574">
        <v>2</v>
      </c>
      <c r="N574">
        <v>358</v>
      </c>
      <c r="O574">
        <v>2</v>
      </c>
      <c r="P574">
        <v>17</v>
      </c>
      <c r="Q574">
        <v>10</v>
      </c>
      <c r="R574">
        <v>3</v>
      </c>
      <c r="S574">
        <v>29</v>
      </c>
    </row>
    <row r="575" spans="1:19" x14ac:dyDescent="0.35">
      <c r="A575">
        <v>8222</v>
      </c>
      <c r="B575">
        <v>446</v>
      </c>
      <c r="C575" t="str">
        <f>VLOOKUP(B575,Kunde!A:C,3,FALSE)</f>
        <v>Geschäftskunde</v>
      </c>
      <c r="D575" t="str">
        <f>VLOOKUP(O575,Produkt!$A$1:$E$5,2,FALSE)</f>
        <v>C</v>
      </c>
      <c r="E575">
        <f t="shared" si="24"/>
        <v>125</v>
      </c>
      <c r="F575">
        <f>VLOOKUP(D575,Produkt!$B$1:$C$5,2,FALSE)*Bestellungen!E575</f>
        <v>187500</v>
      </c>
      <c r="G575" s="2">
        <v>44928</v>
      </c>
      <c r="H575" s="2">
        <f t="shared" si="25"/>
        <v>44931</v>
      </c>
      <c r="I575" s="2">
        <f t="shared" si="26"/>
        <v>44979</v>
      </c>
      <c r="J575" t="str">
        <f>VLOOKUP(M575,Umfragenteilnahme!$A$2:$B$3,2,)</f>
        <v>Nein</v>
      </c>
      <c r="M575">
        <v>2</v>
      </c>
      <c r="N575">
        <v>446</v>
      </c>
      <c r="O575">
        <v>3</v>
      </c>
      <c r="P575">
        <v>125</v>
      </c>
      <c r="Q575">
        <v>7</v>
      </c>
      <c r="R575">
        <v>3</v>
      </c>
      <c r="S575">
        <v>51</v>
      </c>
    </row>
    <row r="576" spans="1:19" x14ac:dyDescent="0.35">
      <c r="A576">
        <v>8223</v>
      </c>
      <c r="B576">
        <v>472</v>
      </c>
      <c r="C576" t="str">
        <f>VLOOKUP(B576,Kunde!A:C,3,FALSE)</f>
        <v>Privatkunde</v>
      </c>
      <c r="D576" t="str">
        <f>VLOOKUP(O576,Produkt!$A$1:$E$5,2,FALSE)</f>
        <v>D</v>
      </c>
      <c r="E576">
        <f t="shared" si="24"/>
        <v>5</v>
      </c>
      <c r="F576">
        <f>VLOOKUP(D576,Produkt!$B$1:$C$5,2,FALSE)*Bestellungen!E576</f>
        <v>4000</v>
      </c>
      <c r="G576" s="2">
        <v>44780</v>
      </c>
      <c r="H576" s="2">
        <f t="shared" si="25"/>
        <v>44787</v>
      </c>
      <c r="I576" s="2">
        <f t="shared" si="26"/>
        <v>44830</v>
      </c>
      <c r="J576" t="str">
        <f>VLOOKUP(M576,Umfragenteilnahme!$A$2:$B$3,2,)</f>
        <v>Ja</v>
      </c>
      <c r="M576">
        <v>1</v>
      </c>
      <c r="N576">
        <v>472</v>
      </c>
      <c r="O576">
        <v>4</v>
      </c>
      <c r="P576">
        <v>20</v>
      </c>
      <c r="Q576">
        <v>5</v>
      </c>
      <c r="R576">
        <v>7</v>
      </c>
      <c r="S576">
        <v>50</v>
      </c>
    </row>
    <row r="577" spans="1:19" x14ac:dyDescent="0.35">
      <c r="A577">
        <v>8224</v>
      </c>
      <c r="B577">
        <v>12</v>
      </c>
      <c r="C577" t="str">
        <f>VLOOKUP(B577,Kunde!A:C,3,FALSE)</f>
        <v>Privatkunde</v>
      </c>
      <c r="D577" t="str">
        <f>VLOOKUP(O577,Produkt!$A$1:$E$5,2,FALSE)</f>
        <v>D</v>
      </c>
      <c r="E577">
        <f t="shared" si="24"/>
        <v>1</v>
      </c>
      <c r="F577">
        <f>VLOOKUP(D577,Produkt!$B$1:$C$5,2,FALSE)*Bestellungen!E577</f>
        <v>800</v>
      </c>
      <c r="G577" s="2">
        <v>45045</v>
      </c>
      <c r="H577" s="2">
        <f t="shared" si="25"/>
        <v>45049</v>
      </c>
      <c r="I577" s="2">
        <f t="shared" si="26"/>
        <v>45057</v>
      </c>
      <c r="J577" t="str">
        <f>VLOOKUP(M577,Umfragenteilnahme!$A$2:$B$3,2,)</f>
        <v>Nein</v>
      </c>
      <c r="M577">
        <v>2</v>
      </c>
      <c r="N577">
        <v>12</v>
      </c>
      <c r="O577">
        <v>4</v>
      </c>
      <c r="P577">
        <v>45</v>
      </c>
      <c r="Q577">
        <v>1</v>
      </c>
      <c r="R577">
        <v>4</v>
      </c>
      <c r="S577">
        <v>12</v>
      </c>
    </row>
    <row r="578" spans="1:19" x14ac:dyDescent="0.35">
      <c r="A578">
        <v>8225</v>
      </c>
      <c r="B578">
        <v>408</v>
      </c>
      <c r="C578" t="str">
        <f>VLOOKUP(B578,Kunde!A:C,3,FALSE)</f>
        <v>Geschäftskunde</v>
      </c>
      <c r="D578" t="str">
        <f>VLOOKUP(O578,Produkt!$A$1:$E$5,2,FALSE)</f>
        <v>B</v>
      </c>
      <c r="E578">
        <f t="shared" si="24"/>
        <v>136</v>
      </c>
      <c r="F578">
        <f>VLOOKUP(D578,Produkt!$B$1:$C$5,2,FALSE)*Bestellungen!E578</f>
        <v>65280</v>
      </c>
      <c r="G578" s="2">
        <v>44786</v>
      </c>
      <c r="H578" s="2">
        <f t="shared" si="25"/>
        <v>44792</v>
      </c>
      <c r="I578" s="2">
        <f t="shared" si="26"/>
        <v>44841</v>
      </c>
      <c r="J578" t="str">
        <f>VLOOKUP(M578,Umfragenteilnahme!$A$2:$B$3,2,)</f>
        <v>Nein</v>
      </c>
      <c r="M578">
        <v>2</v>
      </c>
      <c r="N578">
        <v>408</v>
      </c>
      <c r="O578">
        <v>2</v>
      </c>
      <c r="P578">
        <v>136</v>
      </c>
      <c r="Q578">
        <v>3</v>
      </c>
      <c r="R578">
        <v>6</v>
      </c>
      <c r="S578">
        <v>55</v>
      </c>
    </row>
    <row r="579" spans="1:19" x14ac:dyDescent="0.35">
      <c r="A579">
        <v>8226</v>
      </c>
      <c r="B579">
        <v>500</v>
      </c>
      <c r="C579" t="str">
        <f>VLOOKUP(B579,Kunde!A:C,3,FALSE)</f>
        <v>Geschäftskunde</v>
      </c>
      <c r="D579" t="str">
        <f>VLOOKUP(O579,Produkt!$A$1:$E$5,2,FALSE)</f>
        <v>C</v>
      </c>
      <c r="E579">
        <f t="shared" ref="E579:E642" si="27">IF(C579="Geschäftskunde",P579,Q579)</f>
        <v>13</v>
      </c>
      <c r="F579">
        <f>VLOOKUP(D579,Produkt!$B$1:$C$5,2,FALSE)*Bestellungen!E579</f>
        <v>19500</v>
      </c>
      <c r="G579" s="2">
        <v>44863</v>
      </c>
      <c r="H579" s="2">
        <f t="shared" ref="H579:H642" si="28">G579+R579</f>
        <v>44866</v>
      </c>
      <c r="I579" s="2">
        <f t="shared" ref="I579:I642" si="29">G579+S579</f>
        <v>44882</v>
      </c>
      <c r="J579" t="str">
        <f>VLOOKUP(M579,Umfragenteilnahme!$A$2:$B$3,2,)</f>
        <v>Nein</v>
      </c>
      <c r="M579">
        <v>2</v>
      </c>
      <c r="N579">
        <v>500</v>
      </c>
      <c r="O579">
        <v>3</v>
      </c>
      <c r="P579">
        <v>13</v>
      </c>
      <c r="Q579">
        <v>1</v>
      </c>
      <c r="R579">
        <v>3</v>
      </c>
      <c r="S579">
        <v>19</v>
      </c>
    </row>
    <row r="580" spans="1:19" x14ac:dyDescent="0.35">
      <c r="A580">
        <v>8227</v>
      </c>
      <c r="B580">
        <v>192</v>
      </c>
      <c r="C580" t="str">
        <f>VLOOKUP(B580,Kunde!A:C,3,FALSE)</f>
        <v>Privatkunde</v>
      </c>
      <c r="D580" t="str">
        <f>VLOOKUP(O580,Produkt!$A$1:$E$5,2,FALSE)</f>
        <v>B</v>
      </c>
      <c r="E580">
        <f t="shared" si="27"/>
        <v>5</v>
      </c>
      <c r="F580">
        <f>VLOOKUP(D580,Produkt!$B$1:$C$5,2,FALSE)*Bestellungen!E580</f>
        <v>2400</v>
      </c>
      <c r="G580" s="2">
        <v>44978</v>
      </c>
      <c r="H580" s="2">
        <f t="shared" si="28"/>
        <v>44983</v>
      </c>
      <c r="I580" s="2">
        <f t="shared" si="29"/>
        <v>44988</v>
      </c>
      <c r="J580" t="str">
        <f>VLOOKUP(M580,Umfragenteilnahme!$A$2:$B$3,2,)</f>
        <v>Nein</v>
      </c>
      <c r="M580">
        <v>2</v>
      </c>
      <c r="N580">
        <v>192</v>
      </c>
      <c r="O580">
        <v>2</v>
      </c>
      <c r="P580">
        <v>38</v>
      </c>
      <c r="Q580">
        <v>5</v>
      </c>
      <c r="R580">
        <v>5</v>
      </c>
      <c r="S580">
        <v>10</v>
      </c>
    </row>
    <row r="581" spans="1:19" x14ac:dyDescent="0.35">
      <c r="A581">
        <v>8228</v>
      </c>
      <c r="B581">
        <v>408</v>
      </c>
      <c r="C581" t="str">
        <f>VLOOKUP(B581,Kunde!A:C,3,FALSE)</f>
        <v>Geschäftskunde</v>
      </c>
      <c r="D581" t="str">
        <f>VLOOKUP(O581,Produkt!$A$1:$E$5,2,FALSE)</f>
        <v>A</v>
      </c>
      <c r="E581">
        <f t="shared" si="27"/>
        <v>40</v>
      </c>
      <c r="F581">
        <f>VLOOKUP(D581,Produkt!$B$1:$C$5,2,FALSE)*Bestellungen!E581</f>
        <v>12000</v>
      </c>
      <c r="G581" s="2">
        <v>45016</v>
      </c>
      <c r="H581" s="2">
        <f t="shared" si="28"/>
        <v>45020</v>
      </c>
      <c r="I581" s="2">
        <f t="shared" si="29"/>
        <v>45075</v>
      </c>
      <c r="J581" t="str">
        <f>VLOOKUP(M581,Umfragenteilnahme!$A$2:$B$3,2,)</f>
        <v>Nein</v>
      </c>
      <c r="M581">
        <v>2</v>
      </c>
      <c r="N581">
        <v>408</v>
      </c>
      <c r="O581">
        <v>1</v>
      </c>
      <c r="P581">
        <v>40</v>
      </c>
      <c r="Q581">
        <v>4</v>
      </c>
      <c r="R581">
        <v>4</v>
      </c>
      <c r="S581">
        <v>59</v>
      </c>
    </row>
    <row r="582" spans="1:19" x14ac:dyDescent="0.35">
      <c r="A582">
        <v>8229</v>
      </c>
      <c r="B582">
        <v>616</v>
      </c>
      <c r="C582" t="str">
        <f>VLOOKUP(B582,Kunde!A:C,3,FALSE)</f>
        <v>Privatkunde</v>
      </c>
      <c r="D582" t="str">
        <f>VLOOKUP(O582,Produkt!$A$1:$E$5,2,FALSE)</f>
        <v>B</v>
      </c>
      <c r="E582">
        <f t="shared" si="27"/>
        <v>6</v>
      </c>
      <c r="F582">
        <f>VLOOKUP(D582,Produkt!$B$1:$C$5,2,FALSE)*Bestellungen!E582</f>
        <v>2880</v>
      </c>
      <c r="G582" s="2">
        <v>45041</v>
      </c>
      <c r="H582" s="2">
        <f t="shared" si="28"/>
        <v>45046</v>
      </c>
      <c r="I582" s="2">
        <f t="shared" si="29"/>
        <v>45066</v>
      </c>
      <c r="J582" t="str">
        <f>VLOOKUP(M582,Umfragenteilnahme!$A$2:$B$3,2,)</f>
        <v>Nein</v>
      </c>
      <c r="M582">
        <v>2</v>
      </c>
      <c r="N582">
        <v>616</v>
      </c>
      <c r="O582">
        <v>2</v>
      </c>
      <c r="P582">
        <v>93</v>
      </c>
      <c r="Q582">
        <v>6</v>
      </c>
      <c r="R582">
        <v>5</v>
      </c>
      <c r="S582">
        <v>25</v>
      </c>
    </row>
    <row r="583" spans="1:19" x14ac:dyDescent="0.35">
      <c r="A583">
        <v>8230</v>
      </c>
      <c r="B583">
        <v>417</v>
      </c>
      <c r="C583" t="str">
        <f>VLOOKUP(B583,Kunde!A:C,3,FALSE)</f>
        <v>Geschäftskunde</v>
      </c>
      <c r="D583" t="str">
        <f>VLOOKUP(O583,Produkt!$A$1:$E$5,2,FALSE)</f>
        <v>D</v>
      </c>
      <c r="E583">
        <f t="shared" si="27"/>
        <v>117</v>
      </c>
      <c r="F583">
        <f>VLOOKUP(D583,Produkt!$B$1:$C$5,2,FALSE)*Bestellungen!E583</f>
        <v>93600</v>
      </c>
      <c r="G583" s="2">
        <v>44875</v>
      </c>
      <c r="H583" s="2">
        <f t="shared" si="28"/>
        <v>44881</v>
      </c>
      <c r="I583" s="2">
        <f t="shared" si="29"/>
        <v>44917</v>
      </c>
      <c r="J583" t="str">
        <f>VLOOKUP(M583,Umfragenteilnahme!$A$2:$B$3,2,)</f>
        <v>Nein</v>
      </c>
      <c r="M583">
        <v>2</v>
      </c>
      <c r="N583">
        <v>417</v>
      </c>
      <c r="O583">
        <v>4</v>
      </c>
      <c r="P583">
        <v>117</v>
      </c>
      <c r="Q583">
        <v>2</v>
      </c>
      <c r="R583">
        <v>6</v>
      </c>
      <c r="S583">
        <v>42</v>
      </c>
    </row>
    <row r="584" spans="1:19" x14ac:dyDescent="0.35">
      <c r="A584">
        <v>8231</v>
      </c>
      <c r="B584">
        <v>48</v>
      </c>
      <c r="C584" t="str">
        <f>VLOOKUP(B584,Kunde!A:C,3,FALSE)</f>
        <v>Geschäftskunde</v>
      </c>
      <c r="D584" t="str">
        <f>VLOOKUP(O584,Produkt!$A$1:$E$5,2,FALSE)</f>
        <v>C</v>
      </c>
      <c r="E584">
        <f t="shared" si="27"/>
        <v>126</v>
      </c>
      <c r="F584">
        <f>VLOOKUP(D584,Produkt!$B$1:$C$5,2,FALSE)*Bestellungen!E584</f>
        <v>189000</v>
      </c>
      <c r="G584" s="2">
        <v>44774</v>
      </c>
      <c r="H584" s="2">
        <f t="shared" si="28"/>
        <v>44776</v>
      </c>
      <c r="I584" s="2">
        <f t="shared" si="29"/>
        <v>44832</v>
      </c>
      <c r="J584" t="str">
        <f>VLOOKUP(M584,Umfragenteilnahme!$A$2:$B$3,2,)</f>
        <v>Ja</v>
      </c>
      <c r="M584">
        <v>1</v>
      </c>
      <c r="N584">
        <v>48</v>
      </c>
      <c r="O584">
        <v>3</v>
      </c>
      <c r="P584">
        <v>126</v>
      </c>
      <c r="Q584">
        <v>2</v>
      </c>
      <c r="R584">
        <v>2</v>
      </c>
      <c r="S584">
        <v>58</v>
      </c>
    </row>
    <row r="585" spans="1:19" x14ac:dyDescent="0.35">
      <c r="A585">
        <v>8232</v>
      </c>
      <c r="B585">
        <v>415</v>
      </c>
      <c r="C585" t="str">
        <f>VLOOKUP(B585,Kunde!A:C,3,FALSE)</f>
        <v>Geschäftskunde</v>
      </c>
      <c r="D585" t="str">
        <f>VLOOKUP(O585,Produkt!$A$1:$E$5,2,FALSE)</f>
        <v>C</v>
      </c>
      <c r="E585">
        <f t="shared" si="27"/>
        <v>48</v>
      </c>
      <c r="F585">
        <f>VLOOKUP(D585,Produkt!$B$1:$C$5,2,FALSE)*Bestellungen!E585</f>
        <v>72000</v>
      </c>
      <c r="G585" s="2">
        <v>44797</v>
      </c>
      <c r="H585" s="2">
        <f t="shared" si="28"/>
        <v>44799</v>
      </c>
      <c r="I585" s="2">
        <f t="shared" si="29"/>
        <v>44843</v>
      </c>
      <c r="J585" t="str">
        <f>VLOOKUP(M585,Umfragenteilnahme!$A$2:$B$3,2,)</f>
        <v>Ja</v>
      </c>
      <c r="M585">
        <v>1</v>
      </c>
      <c r="N585">
        <v>415</v>
      </c>
      <c r="O585">
        <v>3</v>
      </c>
      <c r="P585">
        <v>48</v>
      </c>
      <c r="Q585">
        <v>5</v>
      </c>
      <c r="R585">
        <v>2</v>
      </c>
      <c r="S585">
        <v>46</v>
      </c>
    </row>
    <row r="586" spans="1:19" x14ac:dyDescent="0.35">
      <c r="A586">
        <v>8233</v>
      </c>
      <c r="B586">
        <v>360</v>
      </c>
      <c r="C586" t="str">
        <f>VLOOKUP(B586,Kunde!A:C,3,FALSE)</f>
        <v>Geschäftskunde</v>
      </c>
      <c r="D586" t="str">
        <f>VLOOKUP(O586,Produkt!$A$1:$E$5,2,FALSE)</f>
        <v>D</v>
      </c>
      <c r="E586">
        <f t="shared" si="27"/>
        <v>49</v>
      </c>
      <c r="F586">
        <f>VLOOKUP(D586,Produkt!$B$1:$C$5,2,FALSE)*Bestellungen!E586</f>
        <v>39200</v>
      </c>
      <c r="G586" s="2">
        <v>44749</v>
      </c>
      <c r="H586" s="2">
        <f t="shared" si="28"/>
        <v>44753</v>
      </c>
      <c r="I586" s="2">
        <f t="shared" si="29"/>
        <v>44802</v>
      </c>
      <c r="J586" t="str">
        <f>VLOOKUP(M586,Umfragenteilnahme!$A$2:$B$3,2,)</f>
        <v>Ja</v>
      </c>
      <c r="M586">
        <v>1</v>
      </c>
      <c r="N586">
        <v>360</v>
      </c>
      <c r="O586">
        <v>4</v>
      </c>
      <c r="P586">
        <v>49</v>
      </c>
      <c r="Q586">
        <v>10</v>
      </c>
      <c r="R586">
        <v>4</v>
      </c>
      <c r="S586">
        <v>53</v>
      </c>
    </row>
    <row r="587" spans="1:19" x14ac:dyDescent="0.35">
      <c r="A587">
        <v>8234</v>
      </c>
      <c r="B587">
        <v>710</v>
      </c>
      <c r="C587" t="str">
        <f>VLOOKUP(B587,Kunde!A:C,3,FALSE)</f>
        <v>Geschäftskunde</v>
      </c>
      <c r="D587" t="str">
        <f>VLOOKUP(O587,Produkt!$A$1:$E$5,2,FALSE)</f>
        <v>B</v>
      </c>
      <c r="E587">
        <f t="shared" si="27"/>
        <v>106</v>
      </c>
      <c r="F587">
        <f>VLOOKUP(D587,Produkt!$B$1:$C$5,2,FALSE)*Bestellungen!E587</f>
        <v>50880</v>
      </c>
      <c r="G587" s="2">
        <v>45043</v>
      </c>
      <c r="H587" s="2">
        <f t="shared" si="28"/>
        <v>45050</v>
      </c>
      <c r="I587" s="2">
        <f t="shared" si="29"/>
        <v>45096</v>
      </c>
      <c r="J587" t="str">
        <f>VLOOKUP(M587,Umfragenteilnahme!$A$2:$B$3,2,)</f>
        <v>Ja</v>
      </c>
      <c r="M587">
        <v>1</v>
      </c>
      <c r="N587">
        <v>710</v>
      </c>
      <c r="O587">
        <v>2</v>
      </c>
      <c r="P587">
        <v>106</v>
      </c>
      <c r="Q587">
        <v>3</v>
      </c>
      <c r="R587">
        <v>7</v>
      </c>
      <c r="S587">
        <v>53</v>
      </c>
    </row>
    <row r="588" spans="1:19" x14ac:dyDescent="0.35">
      <c r="A588">
        <v>8235</v>
      </c>
      <c r="B588">
        <v>751</v>
      </c>
      <c r="C588" t="str">
        <f>VLOOKUP(B588,Kunde!A:C,3,FALSE)</f>
        <v>Geschäftskunde</v>
      </c>
      <c r="D588" t="str">
        <f>VLOOKUP(O588,Produkt!$A$1:$E$5,2,FALSE)</f>
        <v>A</v>
      </c>
      <c r="E588">
        <f t="shared" si="27"/>
        <v>32</v>
      </c>
      <c r="F588">
        <f>VLOOKUP(D588,Produkt!$B$1:$C$5,2,FALSE)*Bestellungen!E588</f>
        <v>9600</v>
      </c>
      <c r="G588" s="2">
        <v>44970</v>
      </c>
      <c r="H588" s="2">
        <f t="shared" si="28"/>
        <v>44973</v>
      </c>
      <c r="I588" s="2">
        <f t="shared" si="29"/>
        <v>45019</v>
      </c>
      <c r="J588" t="str">
        <f>VLOOKUP(M588,Umfragenteilnahme!$A$2:$B$3,2,)</f>
        <v>Nein</v>
      </c>
      <c r="M588">
        <v>2</v>
      </c>
      <c r="N588">
        <v>751</v>
      </c>
      <c r="O588">
        <v>1</v>
      </c>
      <c r="P588">
        <v>32</v>
      </c>
      <c r="Q588">
        <v>1</v>
      </c>
      <c r="R588">
        <v>3</v>
      </c>
      <c r="S588">
        <v>49</v>
      </c>
    </row>
    <row r="589" spans="1:19" x14ac:dyDescent="0.35">
      <c r="A589">
        <v>8236</v>
      </c>
      <c r="B589">
        <v>419</v>
      </c>
      <c r="C589" t="str">
        <f>VLOOKUP(B589,Kunde!A:C,3,FALSE)</f>
        <v>Geschäftskunde</v>
      </c>
      <c r="D589" t="str">
        <f>VLOOKUP(O589,Produkt!$A$1:$E$5,2,FALSE)</f>
        <v>A</v>
      </c>
      <c r="E589">
        <f t="shared" si="27"/>
        <v>72</v>
      </c>
      <c r="F589">
        <f>VLOOKUP(D589,Produkt!$B$1:$C$5,2,FALSE)*Bestellungen!E589</f>
        <v>21600</v>
      </c>
      <c r="G589" s="2">
        <v>44816</v>
      </c>
      <c r="H589" s="2">
        <f t="shared" si="28"/>
        <v>44819</v>
      </c>
      <c r="I589" s="2">
        <f t="shared" si="29"/>
        <v>44861</v>
      </c>
      <c r="J589" t="str">
        <f>VLOOKUP(M589,Umfragenteilnahme!$A$2:$B$3,2,)</f>
        <v>Ja</v>
      </c>
      <c r="M589">
        <v>1</v>
      </c>
      <c r="N589">
        <v>419</v>
      </c>
      <c r="O589">
        <v>1</v>
      </c>
      <c r="P589">
        <v>72</v>
      </c>
      <c r="Q589">
        <v>1</v>
      </c>
      <c r="R589">
        <v>3</v>
      </c>
      <c r="S589">
        <v>45</v>
      </c>
    </row>
    <row r="590" spans="1:19" x14ac:dyDescent="0.35">
      <c r="A590">
        <v>8237</v>
      </c>
      <c r="B590">
        <v>653</v>
      </c>
      <c r="C590" t="str">
        <f>VLOOKUP(B590,Kunde!A:C,3,FALSE)</f>
        <v>Geschäftskunde</v>
      </c>
      <c r="D590" t="str">
        <f>VLOOKUP(O590,Produkt!$A$1:$E$5,2,FALSE)</f>
        <v>B</v>
      </c>
      <c r="E590">
        <f t="shared" si="27"/>
        <v>45</v>
      </c>
      <c r="F590">
        <f>VLOOKUP(D590,Produkt!$B$1:$C$5,2,FALSE)*Bestellungen!E590</f>
        <v>21600</v>
      </c>
      <c r="G590" s="2">
        <v>44951</v>
      </c>
      <c r="H590" s="2">
        <f t="shared" si="28"/>
        <v>44956</v>
      </c>
      <c r="I590" s="2">
        <f t="shared" si="29"/>
        <v>44974</v>
      </c>
      <c r="J590" t="str">
        <f>VLOOKUP(M590,Umfragenteilnahme!$A$2:$B$3,2,)</f>
        <v>Nein</v>
      </c>
      <c r="M590">
        <v>2</v>
      </c>
      <c r="N590">
        <v>653</v>
      </c>
      <c r="O590">
        <v>2</v>
      </c>
      <c r="P590">
        <v>45</v>
      </c>
      <c r="Q590">
        <v>2</v>
      </c>
      <c r="R590">
        <v>5</v>
      </c>
      <c r="S590">
        <v>23</v>
      </c>
    </row>
    <row r="591" spans="1:19" x14ac:dyDescent="0.35">
      <c r="A591">
        <v>8238</v>
      </c>
      <c r="B591">
        <v>110</v>
      </c>
      <c r="C591" t="str">
        <f>VLOOKUP(B591,Kunde!A:C,3,FALSE)</f>
        <v>Privatkunde</v>
      </c>
      <c r="D591" t="str">
        <f>VLOOKUP(O591,Produkt!$A$1:$E$5,2,FALSE)</f>
        <v>A</v>
      </c>
      <c r="E591">
        <f t="shared" si="27"/>
        <v>8</v>
      </c>
      <c r="F591">
        <f>VLOOKUP(D591,Produkt!$B$1:$C$5,2,FALSE)*Bestellungen!E591</f>
        <v>2400</v>
      </c>
      <c r="G591" s="2">
        <v>44876</v>
      </c>
      <c r="H591" s="2">
        <f t="shared" si="28"/>
        <v>44880</v>
      </c>
      <c r="I591" s="2">
        <f t="shared" si="29"/>
        <v>44914</v>
      </c>
      <c r="J591" t="str">
        <f>VLOOKUP(M591,Umfragenteilnahme!$A$2:$B$3,2,)</f>
        <v>Nein</v>
      </c>
      <c r="M591">
        <v>2</v>
      </c>
      <c r="N591">
        <v>110</v>
      </c>
      <c r="O591">
        <v>1</v>
      </c>
      <c r="P591">
        <v>114</v>
      </c>
      <c r="Q591">
        <v>8</v>
      </c>
      <c r="R591">
        <v>4</v>
      </c>
      <c r="S591">
        <v>38</v>
      </c>
    </row>
    <row r="592" spans="1:19" x14ac:dyDescent="0.35">
      <c r="A592">
        <v>8239</v>
      </c>
      <c r="B592">
        <v>668</v>
      </c>
      <c r="C592" t="str">
        <f>VLOOKUP(B592,Kunde!A:C,3,FALSE)</f>
        <v>Geschäftskunde</v>
      </c>
      <c r="D592" t="str">
        <f>VLOOKUP(O592,Produkt!$A$1:$E$5,2,FALSE)</f>
        <v>D</v>
      </c>
      <c r="E592">
        <f t="shared" si="27"/>
        <v>85</v>
      </c>
      <c r="F592">
        <f>VLOOKUP(D592,Produkt!$B$1:$C$5,2,FALSE)*Bestellungen!E592</f>
        <v>68000</v>
      </c>
      <c r="G592" s="2">
        <v>45028</v>
      </c>
      <c r="H592" s="2">
        <f t="shared" si="28"/>
        <v>45030</v>
      </c>
      <c r="I592" s="2">
        <f t="shared" si="29"/>
        <v>45057</v>
      </c>
      <c r="J592" t="str">
        <f>VLOOKUP(M592,Umfragenteilnahme!$A$2:$B$3,2,)</f>
        <v>Ja</v>
      </c>
      <c r="M592">
        <v>1</v>
      </c>
      <c r="N592">
        <v>668</v>
      </c>
      <c r="O592">
        <v>4</v>
      </c>
      <c r="P592">
        <v>85</v>
      </c>
      <c r="Q592">
        <v>9</v>
      </c>
      <c r="R592">
        <v>2</v>
      </c>
      <c r="S592">
        <v>29</v>
      </c>
    </row>
    <row r="593" spans="1:19" x14ac:dyDescent="0.35">
      <c r="A593">
        <v>8240</v>
      </c>
      <c r="B593">
        <v>28</v>
      </c>
      <c r="C593" t="str">
        <f>VLOOKUP(B593,Kunde!A:C,3,FALSE)</f>
        <v>Geschäftskunde</v>
      </c>
      <c r="D593" t="str">
        <f>VLOOKUP(O593,Produkt!$A$1:$E$5,2,FALSE)</f>
        <v>C</v>
      </c>
      <c r="E593">
        <f t="shared" si="27"/>
        <v>14</v>
      </c>
      <c r="F593">
        <f>VLOOKUP(D593,Produkt!$B$1:$C$5,2,FALSE)*Bestellungen!E593</f>
        <v>21000</v>
      </c>
      <c r="G593" s="2">
        <v>44963</v>
      </c>
      <c r="H593" s="2">
        <f t="shared" si="28"/>
        <v>44966</v>
      </c>
      <c r="I593" s="2">
        <f t="shared" si="29"/>
        <v>45006</v>
      </c>
      <c r="J593" t="str">
        <f>VLOOKUP(M593,Umfragenteilnahme!$A$2:$B$3,2,)</f>
        <v>Ja</v>
      </c>
      <c r="M593">
        <v>1</v>
      </c>
      <c r="N593">
        <v>28</v>
      </c>
      <c r="O593">
        <v>3</v>
      </c>
      <c r="P593">
        <v>14</v>
      </c>
      <c r="Q593">
        <v>2</v>
      </c>
      <c r="R593">
        <v>3</v>
      </c>
      <c r="S593">
        <v>43</v>
      </c>
    </row>
    <row r="594" spans="1:19" x14ac:dyDescent="0.35">
      <c r="A594">
        <v>8241</v>
      </c>
      <c r="B594">
        <v>327</v>
      </c>
      <c r="C594" t="str">
        <f>VLOOKUP(B594,Kunde!A:C,3,FALSE)</f>
        <v>Geschäftskunde</v>
      </c>
      <c r="D594" t="str">
        <f>VLOOKUP(O594,Produkt!$A$1:$E$5,2,FALSE)</f>
        <v>C</v>
      </c>
      <c r="E594">
        <f t="shared" si="27"/>
        <v>127</v>
      </c>
      <c r="F594">
        <f>VLOOKUP(D594,Produkt!$B$1:$C$5,2,FALSE)*Bestellungen!E594</f>
        <v>190500</v>
      </c>
      <c r="G594" s="2">
        <v>44756</v>
      </c>
      <c r="H594" s="2">
        <f t="shared" si="28"/>
        <v>44761</v>
      </c>
      <c r="I594" s="2">
        <f t="shared" si="29"/>
        <v>44802</v>
      </c>
      <c r="J594" t="str">
        <f>VLOOKUP(M594,Umfragenteilnahme!$A$2:$B$3,2,)</f>
        <v>Ja</v>
      </c>
      <c r="M594">
        <v>1</v>
      </c>
      <c r="N594">
        <v>327</v>
      </c>
      <c r="O594">
        <v>3</v>
      </c>
      <c r="P594">
        <v>127</v>
      </c>
      <c r="Q594">
        <v>5</v>
      </c>
      <c r="R594">
        <v>5</v>
      </c>
      <c r="S594">
        <v>46</v>
      </c>
    </row>
    <row r="595" spans="1:19" x14ac:dyDescent="0.35">
      <c r="A595">
        <v>8242</v>
      </c>
      <c r="B595">
        <v>225</v>
      </c>
      <c r="C595" t="str">
        <f>VLOOKUP(B595,Kunde!A:C,3,FALSE)</f>
        <v>Geschäftskunde</v>
      </c>
      <c r="D595" t="str">
        <f>VLOOKUP(O595,Produkt!$A$1:$E$5,2,FALSE)</f>
        <v>D</v>
      </c>
      <c r="E595">
        <f t="shared" si="27"/>
        <v>53</v>
      </c>
      <c r="F595">
        <f>VLOOKUP(D595,Produkt!$B$1:$C$5,2,FALSE)*Bestellungen!E595</f>
        <v>42400</v>
      </c>
      <c r="G595" s="2">
        <v>44888</v>
      </c>
      <c r="H595" s="2">
        <f t="shared" si="28"/>
        <v>44892</v>
      </c>
      <c r="I595" s="2">
        <f t="shared" si="29"/>
        <v>44903</v>
      </c>
      <c r="J595" t="str">
        <f>VLOOKUP(M595,Umfragenteilnahme!$A$2:$B$3,2,)</f>
        <v>Nein</v>
      </c>
      <c r="M595">
        <v>2</v>
      </c>
      <c r="N595">
        <v>225</v>
      </c>
      <c r="O595">
        <v>4</v>
      </c>
      <c r="P595">
        <v>53</v>
      </c>
      <c r="Q595">
        <v>3</v>
      </c>
      <c r="R595">
        <v>4</v>
      </c>
      <c r="S595">
        <v>15</v>
      </c>
    </row>
    <row r="596" spans="1:19" x14ac:dyDescent="0.35">
      <c r="A596">
        <v>8243</v>
      </c>
      <c r="B596">
        <v>770</v>
      </c>
      <c r="C596" t="str">
        <f>VLOOKUP(B596,Kunde!A:C,3,FALSE)</f>
        <v>Geschäftskunde</v>
      </c>
      <c r="D596" t="str">
        <f>VLOOKUP(O596,Produkt!$A$1:$E$5,2,FALSE)</f>
        <v>B</v>
      </c>
      <c r="E596">
        <f t="shared" si="27"/>
        <v>132</v>
      </c>
      <c r="F596">
        <f>VLOOKUP(D596,Produkt!$B$1:$C$5,2,FALSE)*Bestellungen!E596</f>
        <v>63360</v>
      </c>
      <c r="G596" s="2">
        <v>44784</v>
      </c>
      <c r="H596" s="2">
        <f t="shared" si="28"/>
        <v>44789</v>
      </c>
      <c r="I596" s="2">
        <f t="shared" si="29"/>
        <v>44828</v>
      </c>
      <c r="J596" t="str">
        <f>VLOOKUP(M596,Umfragenteilnahme!$A$2:$B$3,2,)</f>
        <v>Nein</v>
      </c>
      <c r="M596">
        <v>2</v>
      </c>
      <c r="N596">
        <v>770</v>
      </c>
      <c r="O596">
        <v>2</v>
      </c>
      <c r="P596">
        <v>132</v>
      </c>
      <c r="Q596">
        <v>9</v>
      </c>
      <c r="R596">
        <v>5</v>
      </c>
      <c r="S596">
        <v>44</v>
      </c>
    </row>
    <row r="597" spans="1:19" x14ac:dyDescent="0.35">
      <c r="A597">
        <v>8244</v>
      </c>
      <c r="B597">
        <v>83</v>
      </c>
      <c r="C597" t="str">
        <f>VLOOKUP(B597,Kunde!A:C,3,FALSE)</f>
        <v>Geschäftskunde</v>
      </c>
      <c r="D597" t="str">
        <f>VLOOKUP(O597,Produkt!$A$1:$E$5,2,FALSE)</f>
        <v>B</v>
      </c>
      <c r="E597">
        <f t="shared" si="27"/>
        <v>76</v>
      </c>
      <c r="F597">
        <f>VLOOKUP(D597,Produkt!$B$1:$C$5,2,FALSE)*Bestellungen!E597</f>
        <v>36480</v>
      </c>
      <c r="G597" s="2">
        <v>44939</v>
      </c>
      <c r="H597" s="2">
        <f t="shared" si="28"/>
        <v>44941</v>
      </c>
      <c r="I597" s="2">
        <f t="shared" si="29"/>
        <v>44975</v>
      </c>
      <c r="J597" t="str">
        <f>VLOOKUP(M597,Umfragenteilnahme!$A$2:$B$3,2,)</f>
        <v>Nein</v>
      </c>
      <c r="M597">
        <v>2</v>
      </c>
      <c r="N597">
        <v>83</v>
      </c>
      <c r="O597">
        <v>2</v>
      </c>
      <c r="P597">
        <v>76</v>
      </c>
      <c r="Q597">
        <v>10</v>
      </c>
      <c r="R597">
        <v>2</v>
      </c>
      <c r="S597">
        <v>36</v>
      </c>
    </row>
    <row r="598" spans="1:19" x14ac:dyDescent="0.35">
      <c r="A598">
        <v>8245</v>
      </c>
      <c r="B598">
        <v>218</v>
      </c>
      <c r="C598" t="str">
        <f>VLOOKUP(B598,Kunde!A:C,3,FALSE)</f>
        <v>Geschäftskunde</v>
      </c>
      <c r="D598" t="str">
        <f>VLOOKUP(O598,Produkt!$A$1:$E$5,2,FALSE)</f>
        <v>B</v>
      </c>
      <c r="E598">
        <f t="shared" si="27"/>
        <v>17</v>
      </c>
      <c r="F598">
        <f>VLOOKUP(D598,Produkt!$B$1:$C$5,2,FALSE)*Bestellungen!E598</f>
        <v>8160</v>
      </c>
      <c r="G598" s="2">
        <v>45029</v>
      </c>
      <c r="H598" s="2">
        <f t="shared" si="28"/>
        <v>45035</v>
      </c>
      <c r="I598" s="2">
        <f t="shared" si="29"/>
        <v>45060</v>
      </c>
      <c r="J598" t="str">
        <f>VLOOKUP(M598,Umfragenteilnahme!$A$2:$B$3,2,)</f>
        <v>Nein</v>
      </c>
      <c r="M598">
        <v>2</v>
      </c>
      <c r="N598">
        <v>218</v>
      </c>
      <c r="O598">
        <v>2</v>
      </c>
      <c r="P598">
        <v>17</v>
      </c>
      <c r="Q598">
        <v>9</v>
      </c>
      <c r="R598">
        <v>6</v>
      </c>
      <c r="S598">
        <v>31</v>
      </c>
    </row>
    <row r="599" spans="1:19" x14ac:dyDescent="0.35">
      <c r="A599">
        <v>8246</v>
      </c>
      <c r="B599">
        <v>675</v>
      </c>
      <c r="C599" t="str">
        <f>VLOOKUP(B599,Kunde!A:C,3,FALSE)</f>
        <v>Geschäftskunde</v>
      </c>
      <c r="D599" t="str">
        <f>VLOOKUP(O599,Produkt!$A$1:$E$5,2,FALSE)</f>
        <v>A</v>
      </c>
      <c r="E599">
        <f t="shared" si="27"/>
        <v>35</v>
      </c>
      <c r="F599">
        <f>VLOOKUP(D599,Produkt!$B$1:$C$5,2,FALSE)*Bestellungen!E599</f>
        <v>10500</v>
      </c>
      <c r="G599" s="2">
        <v>45006</v>
      </c>
      <c r="H599" s="2">
        <f t="shared" si="28"/>
        <v>45012</v>
      </c>
      <c r="I599" s="2">
        <f t="shared" si="29"/>
        <v>45018</v>
      </c>
      <c r="J599" t="str">
        <f>VLOOKUP(M599,Umfragenteilnahme!$A$2:$B$3,2,)</f>
        <v>Nein</v>
      </c>
      <c r="M599">
        <v>2</v>
      </c>
      <c r="N599">
        <v>675</v>
      </c>
      <c r="O599">
        <v>1</v>
      </c>
      <c r="P599">
        <v>35</v>
      </c>
      <c r="Q599">
        <v>3</v>
      </c>
      <c r="R599">
        <v>6</v>
      </c>
      <c r="S599">
        <v>12</v>
      </c>
    </row>
    <row r="600" spans="1:19" x14ac:dyDescent="0.35">
      <c r="A600">
        <v>8247</v>
      </c>
      <c r="B600">
        <v>600</v>
      </c>
      <c r="C600" t="str">
        <f>VLOOKUP(B600,Kunde!A:C,3,FALSE)</f>
        <v>Privatkunde</v>
      </c>
      <c r="D600" t="str">
        <f>VLOOKUP(O600,Produkt!$A$1:$E$5,2,FALSE)</f>
        <v>B</v>
      </c>
      <c r="E600">
        <f t="shared" si="27"/>
        <v>4</v>
      </c>
      <c r="F600">
        <f>VLOOKUP(D600,Produkt!$B$1:$C$5,2,FALSE)*Bestellungen!E600</f>
        <v>1920</v>
      </c>
      <c r="G600" s="2">
        <v>44990</v>
      </c>
      <c r="H600" s="2">
        <f t="shared" si="28"/>
        <v>44993</v>
      </c>
      <c r="I600" s="2">
        <f t="shared" si="29"/>
        <v>45045</v>
      </c>
      <c r="J600" t="str">
        <f>VLOOKUP(M600,Umfragenteilnahme!$A$2:$B$3,2,)</f>
        <v>Ja</v>
      </c>
      <c r="M600">
        <v>1</v>
      </c>
      <c r="N600">
        <v>600</v>
      </c>
      <c r="O600">
        <v>2</v>
      </c>
      <c r="P600">
        <v>67</v>
      </c>
      <c r="Q600">
        <v>4</v>
      </c>
      <c r="R600">
        <v>3</v>
      </c>
      <c r="S600">
        <v>55</v>
      </c>
    </row>
    <row r="601" spans="1:19" x14ac:dyDescent="0.35">
      <c r="A601">
        <v>8248</v>
      </c>
      <c r="B601">
        <v>94</v>
      </c>
      <c r="C601" t="str">
        <f>VLOOKUP(B601,Kunde!A:C,3,FALSE)</f>
        <v>Geschäftskunde</v>
      </c>
      <c r="D601" t="str">
        <f>VLOOKUP(O601,Produkt!$A$1:$E$5,2,FALSE)</f>
        <v>B</v>
      </c>
      <c r="E601">
        <f t="shared" si="27"/>
        <v>55</v>
      </c>
      <c r="F601">
        <f>VLOOKUP(D601,Produkt!$B$1:$C$5,2,FALSE)*Bestellungen!E601</f>
        <v>26400</v>
      </c>
      <c r="G601" s="2">
        <v>44748</v>
      </c>
      <c r="H601" s="2">
        <f t="shared" si="28"/>
        <v>44752</v>
      </c>
      <c r="I601" s="2">
        <f t="shared" si="29"/>
        <v>44771</v>
      </c>
      <c r="J601" t="str">
        <f>VLOOKUP(M601,Umfragenteilnahme!$A$2:$B$3,2,)</f>
        <v>Nein</v>
      </c>
      <c r="M601">
        <v>2</v>
      </c>
      <c r="N601">
        <v>94</v>
      </c>
      <c r="O601">
        <v>2</v>
      </c>
      <c r="P601">
        <v>55</v>
      </c>
      <c r="Q601">
        <v>1</v>
      </c>
      <c r="R601">
        <v>4</v>
      </c>
      <c r="S601">
        <v>23</v>
      </c>
    </row>
    <row r="602" spans="1:19" x14ac:dyDescent="0.35">
      <c r="A602">
        <v>8249</v>
      </c>
      <c r="B602">
        <v>745</v>
      </c>
      <c r="C602" t="str">
        <f>VLOOKUP(B602,Kunde!A:C,3,FALSE)</f>
        <v>Geschäftskunde</v>
      </c>
      <c r="D602" t="str">
        <f>VLOOKUP(O602,Produkt!$A$1:$E$5,2,FALSE)</f>
        <v>C</v>
      </c>
      <c r="E602">
        <f t="shared" si="27"/>
        <v>126</v>
      </c>
      <c r="F602">
        <f>VLOOKUP(D602,Produkt!$B$1:$C$5,2,FALSE)*Bestellungen!E602</f>
        <v>189000</v>
      </c>
      <c r="G602" s="2">
        <v>44823</v>
      </c>
      <c r="H602" s="2">
        <f t="shared" si="28"/>
        <v>44827</v>
      </c>
      <c r="I602" s="2">
        <f t="shared" si="29"/>
        <v>44861</v>
      </c>
      <c r="J602" t="str">
        <f>VLOOKUP(M602,Umfragenteilnahme!$A$2:$B$3,2,)</f>
        <v>Ja</v>
      </c>
      <c r="M602">
        <v>1</v>
      </c>
      <c r="N602">
        <v>745</v>
      </c>
      <c r="O602">
        <v>3</v>
      </c>
      <c r="P602">
        <v>126</v>
      </c>
      <c r="Q602">
        <v>10</v>
      </c>
      <c r="R602">
        <v>4</v>
      </c>
      <c r="S602">
        <v>38</v>
      </c>
    </row>
    <row r="603" spans="1:19" x14ac:dyDescent="0.35">
      <c r="A603">
        <v>8250</v>
      </c>
      <c r="B603">
        <v>341</v>
      </c>
      <c r="C603" t="str">
        <f>VLOOKUP(B603,Kunde!A:C,3,FALSE)</f>
        <v>Privatkunde</v>
      </c>
      <c r="D603" t="str">
        <f>VLOOKUP(O603,Produkt!$A$1:$E$5,2,FALSE)</f>
        <v>A</v>
      </c>
      <c r="E603">
        <f t="shared" si="27"/>
        <v>7</v>
      </c>
      <c r="F603">
        <f>VLOOKUP(D603,Produkt!$B$1:$C$5,2,FALSE)*Bestellungen!E603</f>
        <v>2100</v>
      </c>
      <c r="G603" s="2">
        <v>44809</v>
      </c>
      <c r="H603" s="2">
        <f t="shared" si="28"/>
        <v>44811</v>
      </c>
      <c r="I603" s="2">
        <f t="shared" si="29"/>
        <v>44869</v>
      </c>
      <c r="J603" t="str">
        <f>VLOOKUP(M603,Umfragenteilnahme!$A$2:$B$3,2,)</f>
        <v>Nein</v>
      </c>
      <c r="M603">
        <v>2</v>
      </c>
      <c r="N603">
        <v>341</v>
      </c>
      <c r="O603">
        <v>1</v>
      </c>
      <c r="P603">
        <v>86</v>
      </c>
      <c r="Q603">
        <v>7</v>
      </c>
      <c r="R603">
        <v>2</v>
      </c>
      <c r="S603">
        <v>60</v>
      </c>
    </row>
    <row r="604" spans="1:19" x14ac:dyDescent="0.35">
      <c r="A604">
        <v>8251</v>
      </c>
      <c r="B604">
        <v>683</v>
      </c>
      <c r="C604" t="str">
        <f>VLOOKUP(B604,Kunde!A:C,3,FALSE)</f>
        <v>Geschäftskunde</v>
      </c>
      <c r="D604" t="str">
        <f>VLOOKUP(O604,Produkt!$A$1:$E$5,2,FALSE)</f>
        <v>D</v>
      </c>
      <c r="E604">
        <f t="shared" si="27"/>
        <v>62</v>
      </c>
      <c r="F604">
        <f>VLOOKUP(D604,Produkt!$B$1:$C$5,2,FALSE)*Bestellungen!E604</f>
        <v>49600</v>
      </c>
      <c r="G604" s="2">
        <v>44911</v>
      </c>
      <c r="H604" s="2">
        <f t="shared" si="28"/>
        <v>44916</v>
      </c>
      <c r="I604" s="2">
        <f t="shared" si="29"/>
        <v>44938</v>
      </c>
      <c r="J604" t="str">
        <f>VLOOKUP(M604,Umfragenteilnahme!$A$2:$B$3,2,)</f>
        <v>Nein</v>
      </c>
      <c r="M604">
        <v>2</v>
      </c>
      <c r="N604">
        <v>683</v>
      </c>
      <c r="O604">
        <v>4</v>
      </c>
      <c r="P604">
        <v>62</v>
      </c>
      <c r="Q604">
        <v>6</v>
      </c>
      <c r="R604">
        <v>5</v>
      </c>
      <c r="S604">
        <v>27</v>
      </c>
    </row>
    <row r="605" spans="1:19" x14ac:dyDescent="0.35">
      <c r="A605">
        <v>8252</v>
      </c>
      <c r="B605">
        <v>704</v>
      </c>
      <c r="C605" t="str">
        <f>VLOOKUP(B605,Kunde!A:C,3,FALSE)</f>
        <v>Geschäftskunde</v>
      </c>
      <c r="D605" t="str">
        <f>VLOOKUP(O605,Produkt!$A$1:$E$5,2,FALSE)</f>
        <v>D</v>
      </c>
      <c r="E605">
        <f t="shared" si="27"/>
        <v>52</v>
      </c>
      <c r="F605">
        <f>VLOOKUP(D605,Produkt!$B$1:$C$5,2,FALSE)*Bestellungen!E605</f>
        <v>41600</v>
      </c>
      <c r="G605" s="2">
        <v>44813</v>
      </c>
      <c r="H605" s="2">
        <f t="shared" si="28"/>
        <v>44820</v>
      </c>
      <c r="I605" s="2">
        <f t="shared" si="29"/>
        <v>44845</v>
      </c>
      <c r="J605" t="str">
        <f>VLOOKUP(M605,Umfragenteilnahme!$A$2:$B$3,2,)</f>
        <v>Ja</v>
      </c>
      <c r="M605">
        <v>1</v>
      </c>
      <c r="N605">
        <v>704</v>
      </c>
      <c r="O605">
        <v>4</v>
      </c>
      <c r="P605">
        <v>52</v>
      </c>
      <c r="Q605">
        <v>8</v>
      </c>
      <c r="R605">
        <v>7</v>
      </c>
      <c r="S605">
        <v>32</v>
      </c>
    </row>
    <row r="606" spans="1:19" x14ac:dyDescent="0.35">
      <c r="A606">
        <v>8253</v>
      </c>
      <c r="B606">
        <v>547</v>
      </c>
      <c r="C606" t="str">
        <f>VLOOKUP(B606,Kunde!A:C,3,FALSE)</f>
        <v>Geschäftskunde</v>
      </c>
      <c r="D606" t="str">
        <f>VLOOKUP(O606,Produkt!$A$1:$E$5,2,FALSE)</f>
        <v>C</v>
      </c>
      <c r="E606">
        <f t="shared" si="27"/>
        <v>71</v>
      </c>
      <c r="F606">
        <f>VLOOKUP(D606,Produkt!$B$1:$C$5,2,FALSE)*Bestellungen!E606</f>
        <v>106500</v>
      </c>
      <c r="G606" s="2">
        <v>44842</v>
      </c>
      <c r="H606" s="2">
        <f t="shared" si="28"/>
        <v>44848</v>
      </c>
      <c r="I606" s="2">
        <f t="shared" si="29"/>
        <v>44867</v>
      </c>
      <c r="J606" t="str">
        <f>VLOOKUP(M606,Umfragenteilnahme!$A$2:$B$3,2,)</f>
        <v>Nein</v>
      </c>
      <c r="M606">
        <v>2</v>
      </c>
      <c r="N606">
        <v>547</v>
      </c>
      <c r="O606">
        <v>3</v>
      </c>
      <c r="P606">
        <v>71</v>
      </c>
      <c r="Q606">
        <v>6</v>
      </c>
      <c r="R606">
        <v>6</v>
      </c>
      <c r="S606">
        <v>25</v>
      </c>
    </row>
    <row r="607" spans="1:19" x14ac:dyDescent="0.35">
      <c r="A607">
        <v>8254</v>
      </c>
      <c r="B607">
        <v>734</v>
      </c>
      <c r="C607" t="str">
        <f>VLOOKUP(B607,Kunde!A:C,3,FALSE)</f>
        <v>Geschäftskunde</v>
      </c>
      <c r="D607" t="str">
        <f>VLOOKUP(O607,Produkt!$A$1:$E$5,2,FALSE)</f>
        <v>A</v>
      </c>
      <c r="E607">
        <f t="shared" si="27"/>
        <v>109</v>
      </c>
      <c r="F607">
        <f>VLOOKUP(D607,Produkt!$B$1:$C$5,2,FALSE)*Bestellungen!E607</f>
        <v>32700</v>
      </c>
      <c r="G607" s="2">
        <v>44968</v>
      </c>
      <c r="H607" s="2">
        <f t="shared" si="28"/>
        <v>44974</v>
      </c>
      <c r="I607" s="2">
        <f t="shared" si="29"/>
        <v>45024</v>
      </c>
      <c r="J607" t="str">
        <f>VLOOKUP(M607,Umfragenteilnahme!$A$2:$B$3,2,)</f>
        <v>Ja</v>
      </c>
      <c r="M607">
        <v>1</v>
      </c>
      <c r="N607">
        <v>734</v>
      </c>
      <c r="O607">
        <v>1</v>
      </c>
      <c r="P607">
        <v>109</v>
      </c>
      <c r="Q607">
        <v>6</v>
      </c>
      <c r="R607">
        <v>6</v>
      </c>
      <c r="S607">
        <v>56</v>
      </c>
    </row>
    <row r="608" spans="1:19" x14ac:dyDescent="0.35">
      <c r="A608">
        <v>8255</v>
      </c>
      <c r="B608">
        <v>173</v>
      </c>
      <c r="C608" t="str">
        <f>VLOOKUP(B608,Kunde!A:C,3,FALSE)</f>
        <v>Geschäftskunde</v>
      </c>
      <c r="D608" t="str">
        <f>VLOOKUP(O608,Produkt!$A$1:$E$5,2,FALSE)</f>
        <v>C</v>
      </c>
      <c r="E608">
        <f t="shared" si="27"/>
        <v>59</v>
      </c>
      <c r="F608">
        <f>VLOOKUP(D608,Produkt!$B$1:$C$5,2,FALSE)*Bestellungen!E608</f>
        <v>88500</v>
      </c>
      <c r="G608" s="2">
        <v>44758</v>
      </c>
      <c r="H608" s="2">
        <f t="shared" si="28"/>
        <v>44762</v>
      </c>
      <c r="I608" s="2">
        <f t="shared" si="29"/>
        <v>44790</v>
      </c>
      <c r="J608" t="str">
        <f>VLOOKUP(M608,Umfragenteilnahme!$A$2:$B$3,2,)</f>
        <v>Ja</v>
      </c>
      <c r="M608">
        <v>1</v>
      </c>
      <c r="N608">
        <v>173</v>
      </c>
      <c r="O608">
        <v>3</v>
      </c>
      <c r="P608">
        <v>59</v>
      </c>
      <c r="Q608">
        <v>9</v>
      </c>
      <c r="R608">
        <v>4</v>
      </c>
      <c r="S608">
        <v>32</v>
      </c>
    </row>
    <row r="609" spans="1:19" x14ac:dyDescent="0.35">
      <c r="A609">
        <v>8256</v>
      </c>
      <c r="B609">
        <v>537</v>
      </c>
      <c r="C609" t="str">
        <f>VLOOKUP(B609,Kunde!A:C,3,FALSE)</f>
        <v>Geschäftskunde</v>
      </c>
      <c r="D609" t="str">
        <f>VLOOKUP(O609,Produkt!$A$1:$E$5,2,FALSE)</f>
        <v>B</v>
      </c>
      <c r="E609">
        <f t="shared" si="27"/>
        <v>68</v>
      </c>
      <c r="F609">
        <f>VLOOKUP(D609,Produkt!$B$1:$C$5,2,FALSE)*Bestellungen!E609</f>
        <v>32640</v>
      </c>
      <c r="G609" s="2">
        <v>45042</v>
      </c>
      <c r="H609" s="2">
        <f t="shared" si="28"/>
        <v>45044</v>
      </c>
      <c r="I609" s="2">
        <f t="shared" si="29"/>
        <v>45050</v>
      </c>
      <c r="J609" t="str">
        <f>VLOOKUP(M609,Umfragenteilnahme!$A$2:$B$3,2,)</f>
        <v>Nein</v>
      </c>
      <c r="M609">
        <v>2</v>
      </c>
      <c r="N609">
        <v>537</v>
      </c>
      <c r="O609">
        <v>2</v>
      </c>
      <c r="P609">
        <v>68</v>
      </c>
      <c r="Q609">
        <v>8</v>
      </c>
      <c r="R609">
        <v>2</v>
      </c>
      <c r="S609">
        <v>8</v>
      </c>
    </row>
    <row r="610" spans="1:19" x14ac:dyDescent="0.35">
      <c r="A610">
        <v>8257</v>
      </c>
      <c r="B610">
        <v>32</v>
      </c>
      <c r="C610" t="str">
        <f>VLOOKUP(B610,Kunde!A:C,3,FALSE)</f>
        <v>Geschäftskunde</v>
      </c>
      <c r="D610" t="str">
        <f>VLOOKUP(O610,Produkt!$A$1:$E$5,2,FALSE)</f>
        <v>A</v>
      </c>
      <c r="E610">
        <f t="shared" si="27"/>
        <v>117</v>
      </c>
      <c r="F610">
        <f>VLOOKUP(D610,Produkt!$B$1:$C$5,2,FALSE)*Bestellungen!E610</f>
        <v>35100</v>
      </c>
      <c r="G610" s="2">
        <v>44793</v>
      </c>
      <c r="H610" s="2">
        <f t="shared" si="28"/>
        <v>44797</v>
      </c>
      <c r="I610" s="2">
        <f t="shared" si="29"/>
        <v>44844</v>
      </c>
      <c r="J610" t="str">
        <f>VLOOKUP(M610,Umfragenteilnahme!$A$2:$B$3,2,)</f>
        <v>Ja</v>
      </c>
      <c r="M610">
        <v>1</v>
      </c>
      <c r="N610">
        <v>32</v>
      </c>
      <c r="O610">
        <v>1</v>
      </c>
      <c r="P610">
        <v>117</v>
      </c>
      <c r="Q610">
        <v>8</v>
      </c>
      <c r="R610">
        <v>4</v>
      </c>
      <c r="S610">
        <v>51</v>
      </c>
    </row>
    <row r="611" spans="1:19" x14ac:dyDescent="0.35">
      <c r="A611">
        <v>8258</v>
      </c>
      <c r="B611">
        <v>596</v>
      </c>
      <c r="C611" t="str">
        <f>VLOOKUP(B611,Kunde!A:C,3,FALSE)</f>
        <v>Geschäftskunde</v>
      </c>
      <c r="D611" t="str">
        <f>VLOOKUP(O611,Produkt!$A$1:$E$5,2,FALSE)</f>
        <v>C</v>
      </c>
      <c r="E611">
        <f t="shared" si="27"/>
        <v>107</v>
      </c>
      <c r="F611">
        <f>VLOOKUP(D611,Produkt!$B$1:$C$5,2,FALSE)*Bestellungen!E611</f>
        <v>160500</v>
      </c>
      <c r="G611" s="2">
        <v>44867</v>
      </c>
      <c r="H611" s="2">
        <f t="shared" si="28"/>
        <v>44873</v>
      </c>
      <c r="I611" s="2">
        <f t="shared" si="29"/>
        <v>44897</v>
      </c>
      <c r="J611" t="str">
        <f>VLOOKUP(M611,Umfragenteilnahme!$A$2:$B$3,2,)</f>
        <v>Ja</v>
      </c>
      <c r="M611">
        <v>1</v>
      </c>
      <c r="N611">
        <v>596</v>
      </c>
      <c r="O611">
        <v>3</v>
      </c>
      <c r="P611">
        <v>107</v>
      </c>
      <c r="Q611">
        <v>5</v>
      </c>
      <c r="R611">
        <v>6</v>
      </c>
      <c r="S611">
        <v>30</v>
      </c>
    </row>
    <row r="612" spans="1:19" x14ac:dyDescent="0.35">
      <c r="A612">
        <v>8259</v>
      </c>
      <c r="B612">
        <v>462</v>
      </c>
      <c r="C612" t="str">
        <f>VLOOKUP(B612,Kunde!A:C,3,FALSE)</f>
        <v>Geschäftskunde</v>
      </c>
      <c r="D612" t="str">
        <f>VLOOKUP(O612,Produkt!$A$1:$E$5,2,FALSE)</f>
        <v>A</v>
      </c>
      <c r="E612">
        <f t="shared" si="27"/>
        <v>19</v>
      </c>
      <c r="F612">
        <f>VLOOKUP(D612,Produkt!$B$1:$C$5,2,FALSE)*Bestellungen!E612</f>
        <v>5700</v>
      </c>
      <c r="G612" s="2">
        <v>44907</v>
      </c>
      <c r="H612" s="2">
        <f t="shared" si="28"/>
        <v>44910</v>
      </c>
      <c r="I612" s="2">
        <f t="shared" si="29"/>
        <v>44954</v>
      </c>
      <c r="J612" t="str">
        <f>VLOOKUP(M612,Umfragenteilnahme!$A$2:$B$3,2,)</f>
        <v>Nein</v>
      </c>
      <c r="M612">
        <v>2</v>
      </c>
      <c r="N612">
        <v>462</v>
      </c>
      <c r="O612">
        <v>1</v>
      </c>
      <c r="P612">
        <v>19</v>
      </c>
      <c r="Q612">
        <v>6</v>
      </c>
      <c r="R612">
        <v>3</v>
      </c>
      <c r="S612">
        <v>47</v>
      </c>
    </row>
    <row r="613" spans="1:19" x14ac:dyDescent="0.35">
      <c r="A613">
        <v>8260</v>
      </c>
      <c r="B613">
        <v>572</v>
      </c>
      <c r="C613" t="str">
        <f>VLOOKUP(B613,Kunde!A:C,3,FALSE)</f>
        <v>Geschäftskunde</v>
      </c>
      <c r="D613" t="str">
        <f>VLOOKUP(O613,Produkt!$A$1:$E$5,2,FALSE)</f>
        <v>A</v>
      </c>
      <c r="E613">
        <f t="shared" si="27"/>
        <v>76</v>
      </c>
      <c r="F613">
        <f>VLOOKUP(D613,Produkt!$B$1:$C$5,2,FALSE)*Bestellungen!E613</f>
        <v>22800</v>
      </c>
      <c r="G613" s="2">
        <v>45051</v>
      </c>
      <c r="H613" s="2">
        <f t="shared" si="28"/>
        <v>45056</v>
      </c>
      <c r="I613" s="2">
        <f t="shared" si="29"/>
        <v>45109</v>
      </c>
      <c r="J613" t="str">
        <f>VLOOKUP(M613,Umfragenteilnahme!$A$2:$B$3,2,)</f>
        <v>Ja</v>
      </c>
      <c r="M613">
        <v>1</v>
      </c>
      <c r="N613">
        <v>572</v>
      </c>
      <c r="O613">
        <v>1</v>
      </c>
      <c r="P613">
        <v>76</v>
      </c>
      <c r="Q613">
        <v>4</v>
      </c>
      <c r="R613">
        <v>5</v>
      </c>
      <c r="S613">
        <v>58</v>
      </c>
    </row>
    <row r="614" spans="1:19" x14ac:dyDescent="0.35">
      <c r="A614">
        <v>8261</v>
      </c>
      <c r="B614">
        <v>554</v>
      </c>
      <c r="C614" t="str">
        <f>VLOOKUP(B614,Kunde!A:C,3,FALSE)</f>
        <v>Geschäftskunde</v>
      </c>
      <c r="D614" t="str">
        <f>VLOOKUP(O614,Produkt!$A$1:$E$5,2,FALSE)</f>
        <v>B</v>
      </c>
      <c r="E614">
        <f t="shared" si="27"/>
        <v>35</v>
      </c>
      <c r="F614">
        <f>VLOOKUP(D614,Produkt!$B$1:$C$5,2,FALSE)*Bestellungen!E614</f>
        <v>16800</v>
      </c>
      <c r="G614" s="2">
        <v>44811</v>
      </c>
      <c r="H614" s="2">
        <f t="shared" si="28"/>
        <v>44814</v>
      </c>
      <c r="I614" s="2">
        <f t="shared" si="29"/>
        <v>44858</v>
      </c>
      <c r="J614" t="str">
        <f>VLOOKUP(M614,Umfragenteilnahme!$A$2:$B$3,2,)</f>
        <v>Nein</v>
      </c>
      <c r="M614">
        <v>2</v>
      </c>
      <c r="N614">
        <v>554</v>
      </c>
      <c r="O614">
        <v>2</v>
      </c>
      <c r="P614">
        <v>35</v>
      </c>
      <c r="Q614">
        <v>6</v>
      </c>
      <c r="R614">
        <v>3</v>
      </c>
      <c r="S614">
        <v>47</v>
      </c>
    </row>
    <row r="615" spans="1:19" x14ac:dyDescent="0.35">
      <c r="A615">
        <v>8262</v>
      </c>
      <c r="B615">
        <v>633</v>
      </c>
      <c r="C615" t="str">
        <f>VLOOKUP(B615,Kunde!A:C,3,FALSE)</f>
        <v>Privatkunde</v>
      </c>
      <c r="D615" t="str">
        <f>VLOOKUP(O615,Produkt!$A$1:$E$5,2,FALSE)</f>
        <v>D</v>
      </c>
      <c r="E615">
        <f t="shared" si="27"/>
        <v>3</v>
      </c>
      <c r="F615">
        <f>VLOOKUP(D615,Produkt!$B$1:$C$5,2,FALSE)*Bestellungen!E615</f>
        <v>2400</v>
      </c>
      <c r="G615" s="2">
        <v>44716</v>
      </c>
      <c r="H615" s="2">
        <f t="shared" si="28"/>
        <v>44720</v>
      </c>
      <c r="I615" s="2">
        <f t="shared" si="29"/>
        <v>44729</v>
      </c>
      <c r="J615" t="str">
        <f>VLOOKUP(M615,Umfragenteilnahme!$A$2:$B$3,2,)</f>
        <v>Nein</v>
      </c>
      <c r="M615">
        <v>2</v>
      </c>
      <c r="N615">
        <v>633</v>
      </c>
      <c r="O615">
        <v>4</v>
      </c>
      <c r="P615">
        <v>117</v>
      </c>
      <c r="Q615">
        <v>3</v>
      </c>
      <c r="R615">
        <v>4</v>
      </c>
      <c r="S615">
        <v>13</v>
      </c>
    </row>
    <row r="616" spans="1:19" x14ac:dyDescent="0.35">
      <c r="A616">
        <v>8263</v>
      </c>
      <c r="B616">
        <v>122</v>
      </c>
      <c r="C616" t="str">
        <f>VLOOKUP(B616,Kunde!A:C,3,FALSE)</f>
        <v>Geschäftskunde</v>
      </c>
      <c r="D616" t="str">
        <f>VLOOKUP(O616,Produkt!$A$1:$E$5,2,FALSE)</f>
        <v>D</v>
      </c>
      <c r="E616">
        <f t="shared" si="27"/>
        <v>63</v>
      </c>
      <c r="F616">
        <f>VLOOKUP(D616,Produkt!$B$1:$C$5,2,FALSE)*Bestellungen!E616</f>
        <v>50400</v>
      </c>
      <c r="G616" s="2">
        <v>44775</v>
      </c>
      <c r="H616" s="2">
        <f t="shared" si="28"/>
        <v>44781</v>
      </c>
      <c r="I616" s="2">
        <f t="shared" si="29"/>
        <v>44832</v>
      </c>
      <c r="J616" t="str">
        <f>VLOOKUP(M616,Umfragenteilnahme!$A$2:$B$3,2,)</f>
        <v>Ja</v>
      </c>
      <c r="M616">
        <v>1</v>
      </c>
      <c r="N616">
        <v>122</v>
      </c>
      <c r="O616">
        <v>4</v>
      </c>
      <c r="P616">
        <v>63</v>
      </c>
      <c r="Q616">
        <v>1</v>
      </c>
      <c r="R616">
        <v>6</v>
      </c>
      <c r="S616">
        <v>57</v>
      </c>
    </row>
    <row r="617" spans="1:19" x14ac:dyDescent="0.35">
      <c r="A617">
        <v>8264</v>
      </c>
      <c r="B617">
        <v>267</v>
      </c>
      <c r="C617" t="str">
        <f>VLOOKUP(B617,Kunde!A:C,3,FALSE)</f>
        <v>Geschäftskunde</v>
      </c>
      <c r="D617" t="str">
        <f>VLOOKUP(O617,Produkt!$A$1:$E$5,2,FALSE)</f>
        <v>A</v>
      </c>
      <c r="E617">
        <f t="shared" si="27"/>
        <v>21</v>
      </c>
      <c r="F617">
        <f>VLOOKUP(D617,Produkt!$B$1:$C$5,2,FALSE)*Bestellungen!E617</f>
        <v>6300</v>
      </c>
      <c r="G617" s="2">
        <v>45030</v>
      </c>
      <c r="H617" s="2">
        <f t="shared" si="28"/>
        <v>45034</v>
      </c>
      <c r="I617" s="2">
        <f t="shared" si="29"/>
        <v>45086</v>
      </c>
      <c r="J617" t="str">
        <f>VLOOKUP(M617,Umfragenteilnahme!$A$2:$B$3,2,)</f>
        <v>Ja</v>
      </c>
      <c r="M617">
        <v>1</v>
      </c>
      <c r="N617">
        <v>267</v>
      </c>
      <c r="O617">
        <v>1</v>
      </c>
      <c r="P617">
        <v>21</v>
      </c>
      <c r="Q617">
        <v>2</v>
      </c>
      <c r="R617">
        <v>4</v>
      </c>
      <c r="S617">
        <v>56</v>
      </c>
    </row>
    <row r="618" spans="1:19" x14ac:dyDescent="0.35">
      <c r="A618">
        <v>8265</v>
      </c>
      <c r="B618">
        <v>112</v>
      </c>
      <c r="C618" t="str">
        <f>VLOOKUP(B618,Kunde!A:C,3,FALSE)</f>
        <v>Geschäftskunde</v>
      </c>
      <c r="D618" t="str">
        <f>VLOOKUP(O618,Produkt!$A$1:$E$5,2,FALSE)</f>
        <v>B</v>
      </c>
      <c r="E618">
        <f t="shared" si="27"/>
        <v>78</v>
      </c>
      <c r="F618">
        <f>VLOOKUP(D618,Produkt!$B$1:$C$5,2,FALSE)*Bestellungen!E618</f>
        <v>37440</v>
      </c>
      <c r="G618" s="2">
        <v>45024</v>
      </c>
      <c r="H618" s="2">
        <f t="shared" si="28"/>
        <v>45030</v>
      </c>
      <c r="I618" s="2">
        <f t="shared" si="29"/>
        <v>45053</v>
      </c>
      <c r="J618" t="str">
        <f>VLOOKUP(M618,Umfragenteilnahme!$A$2:$B$3,2,)</f>
        <v>Nein</v>
      </c>
      <c r="M618">
        <v>2</v>
      </c>
      <c r="N618">
        <v>112</v>
      </c>
      <c r="O618">
        <v>2</v>
      </c>
      <c r="P618">
        <v>78</v>
      </c>
      <c r="Q618">
        <v>2</v>
      </c>
      <c r="R618">
        <v>6</v>
      </c>
      <c r="S618">
        <v>29</v>
      </c>
    </row>
    <row r="619" spans="1:19" x14ac:dyDescent="0.35">
      <c r="A619">
        <v>8266</v>
      </c>
      <c r="B619">
        <v>80</v>
      </c>
      <c r="C619" t="str">
        <f>VLOOKUP(B619,Kunde!A:C,3,FALSE)</f>
        <v>Geschäftskunde</v>
      </c>
      <c r="D619" t="str">
        <f>VLOOKUP(O619,Produkt!$A$1:$E$5,2,FALSE)</f>
        <v>A</v>
      </c>
      <c r="E619">
        <f t="shared" si="27"/>
        <v>113</v>
      </c>
      <c r="F619">
        <f>VLOOKUP(D619,Produkt!$B$1:$C$5,2,FALSE)*Bestellungen!E619</f>
        <v>33900</v>
      </c>
      <c r="G619" s="2">
        <v>44757</v>
      </c>
      <c r="H619" s="2">
        <f t="shared" si="28"/>
        <v>44761</v>
      </c>
      <c r="I619" s="2">
        <f t="shared" si="29"/>
        <v>44787</v>
      </c>
      <c r="J619" t="str">
        <f>VLOOKUP(M619,Umfragenteilnahme!$A$2:$B$3,2,)</f>
        <v>Nein</v>
      </c>
      <c r="M619">
        <v>2</v>
      </c>
      <c r="N619">
        <v>80</v>
      </c>
      <c r="O619">
        <v>1</v>
      </c>
      <c r="P619">
        <v>113</v>
      </c>
      <c r="Q619">
        <v>5</v>
      </c>
      <c r="R619">
        <v>4</v>
      </c>
      <c r="S619">
        <v>30</v>
      </c>
    </row>
    <row r="620" spans="1:19" x14ac:dyDescent="0.35">
      <c r="A620">
        <v>8267</v>
      </c>
      <c r="B620">
        <v>694</v>
      </c>
      <c r="C620" t="str">
        <f>VLOOKUP(B620,Kunde!A:C,3,FALSE)</f>
        <v>Geschäftskunde</v>
      </c>
      <c r="D620" t="str">
        <f>VLOOKUP(O620,Produkt!$A$1:$E$5,2,FALSE)</f>
        <v>B</v>
      </c>
      <c r="E620">
        <f t="shared" si="27"/>
        <v>47</v>
      </c>
      <c r="F620">
        <f>VLOOKUP(D620,Produkt!$B$1:$C$5,2,FALSE)*Bestellungen!E620</f>
        <v>22560</v>
      </c>
      <c r="G620" s="2">
        <v>44874</v>
      </c>
      <c r="H620" s="2">
        <f t="shared" si="28"/>
        <v>44881</v>
      </c>
      <c r="I620" s="2">
        <f t="shared" si="29"/>
        <v>44880</v>
      </c>
      <c r="J620" t="str">
        <f>VLOOKUP(M620,Umfragenteilnahme!$A$2:$B$3,2,)</f>
        <v>Ja</v>
      </c>
      <c r="M620">
        <v>1</v>
      </c>
      <c r="N620">
        <v>694</v>
      </c>
      <c r="O620">
        <v>2</v>
      </c>
      <c r="P620">
        <v>47</v>
      </c>
      <c r="Q620">
        <v>4</v>
      </c>
      <c r="R620">
        <v>7</v>
      </c>
      <c r="S620">
        <v>6</v>
      </c>
    </row>
    <row r="621" spans="1:19" x14ac:dyDescent="0.35">
      <c r="A621">
        <v>8268</v>
      </c>
      <c r="B621">
        <v>422</v>
      </c>
      <c r="C621" t="str">
        <f>VLOOKUP(B621,Kunde!A:C,3,FALSE)</f>
        <v>Geschäftskunde</v>
      </c>
      <c r="D621" t="str">
        <f>VLOOKUP(O621,Produkt!$A$1:$E$5,2,FALSE)</f>
        <v>A</v>
      </c>
      <c r="E621">
        <f t="shared" si="27"/>
        <v>130</v>
      </c>
      <c r="F621">
        <f>VLOOKUP(D621,Produkt!$B$1:$C$5,2,FALSE)*Bestellungen!E621</f>
        <v>39000</v>
      </c>
      <c r="G621" s="2">
        <v>45077</v>
      </c>
      <c r="H621" s="2">
        <f t="shared" si="28"/>
        <v>45084</v>
      </c>
      <c r="I621" s="2">
        <f t="shared" si="29"/>
        <v>45102</v>
      </c>
      <c r="J621" t="str">
        <f>VLOOKUP(M621,Umfragenteilnahme!$A$2:$B$3,2,)</f>
        <v>Ja</v>
      </c>
      <c r="M621">
        <v>1</v>
      </c>
      <c r="N621">
        <v>422</v>
      </c>
      <c r="O621">
        <v>1</v>
      </c>
      <c r="P621">
        <v>130</v>
      </c>
      <c r="Q621">
        <v>3</v>
      </c>
      <c r="R621">
        <v>7</v>
      </c>
      <c r="S621">
        <v>25</v>
      </c>
    </row>
    <row r="622" spans="1:19" x14ac:dyDescent="0.35">
      <c r="A622">
        <v>8269</v>
      </c>
      <c r="B622">
        <v>11</v>
      </c>
      <c r="C622" t="str">
        <f>VLOOKUP(B622,Kunde!A:C,3,FALSE)</f>
        <v>Geschäftskunde</v>
      </c>
      <c r="D622" t="str">
        <f>VLOOKUP(O622,Produkt!$A$1:$E$5,2,FALSE)</f>
        <v>A</v>
      </c>
      <c r="E622">
        <f t="shared" si="27"/>
        <v>16</v>
      </c>
      <c r="F622">
        <f>VLOOKUP(D622,Produkt!$B$1:$C$5,2,FALSE)*Bestellungen!E622</f>
        <v>4800</v>
      </c>
      <c r="G622" s="2">
        <v>45061</v>
      </c>
      <c r="H622" s="2">
        <f t="shared" si="28"/>
        <v>45065</v>
      </c>
      <c r="I622" s="2">
        <f t="shared" si="29"/>
        <v>45100</v>
      </c>
      <c r="J622" t="str">
        <f>VLOOKUP(M622,Umfragenteilnahme!$A$2:$B$3,2,)</f>
        <v>Nein</v>
      </c>
      <c r="M622">
        <v>2</v>
      </c>
      <c r="N622">
        <v>11</v>
      </c>
      <c r="O622">
        <v>1</v>
      </c>
      <c r="P622">
        <v>16</v>
      </c>
      <c r="Q622">
        <v>2</v>
      </c>
      <c r="R622">
        <v>4</v>
      </c>
      <c r="S622">
        <v>39</v>
      </c>
    </row>
    <row r="623" spans="1:19" x14ac:dyDescent="0.35">
      <c r="A623">
        <v>8270</v>
      </c>
      <c r="B623">
        <v>646</v>
      </c>
      <c r="C623" t="str">
        <f>VLOOKUP(B623,Kunde!A:C,3,FALSE)</f>
        <v>Geschäftskunde</v>
      </c>
      <c r="D623" t="str">
        <f>VLOOKUP(O623,Produkt!$A$1:$E$5,2,FALSE)</f>
        <v>B</v>
      </c>
      <c r="E623">
        <f t="shared" si="27"/>
        <v>46</v>
      </c>
      <c r="F623">
        <f>VLOOKUP(D623,Produkt!$B$1:$C$5,2,FALSE)*Bestellungen!E623</f>
        <v>22080</v>
      </c>
      <c r="G623" s="2">
        <v>45062</v>
      </c>
      <c r="H623" s="2">
        <f t="shared" si="28"/>
        <v>45067</v>
      </c>
      <c r="I623" s="2">
        <f t="shared" si="29"/>
        <v>45092</v>
      </c>
      <c r="J623" t="str">
        <f>VLOOKUP(M623,Umfragenteilnahme!$A$2:$B$3,2,)</f>
        <v>Nein</v>
      </c>
      <c r="M623">
        <v>2</v>
      </c>
      <c r="N623">
        <v>646</v>
      </c>
      <c r="O623">
        <v>2</v>
      </c>
      <c r="P623">
        <v>46</v>
      </c>
      <c r="Q623">
        <v>7</v>
      </c>
      <c r="R623">
        <v>5</v>
      </c>
      <c r="S623">
        <v>30</v>
      </c>
    </row>
    <row r="624" spans="1:19" x14ac:dyDescent="0.35">
      <c r="A624">
        <v>8271</v>
      </c>
      <c r="B624">
        <v>87</v>
      </c>
      <c r="C624" t="str">
        <f>VLOOKUP(B624,Kunde!A:C,3,FALSE)</f>
        <v>Geschäftskunde</v>
      </c>
      <c r="D624" t="str">
        <f>VLOOKUP(O624,Produkt!$A$1:$E$5,2,FALSE)</f>
        <v>C</v>
      </c>
      <c r="E624">
        <f t="shared" si="27"/>
        <v>51</v>
      </c>
      <c r="F624">
        <f>VLOOKUP(D624,Produkt!$B$1:$C$5,2,FALSE)*Bestellungen!E624</f>
        <v>76500</v>
      </c>
      <c r="G624" s="2">
        <v>44833</v>
      </c>
      <c r="H624" s="2">
        <f t="shared" si="28"/>
        <v>44839</v>
      </c>
      <c r="I624" s="2">
        <f t="shared" si="29"/>
        <v>44869</v>
      </c>
      <c r="J624" t="str">
        <f>VLOOKUP(M624,Umfragenteilnahme!$A$2:$B$3,2,)</f>
        <v>Ja</v>
      </c>
      <c r="M624">
        <v>1</v>
      </c>
      <c r="N624">
        <v>87</v>
      </c>
      <c r="O624">
        <v>3</v>
      </c>
      <c r="P624">
        <v>51</v>
      </c>
      <c r="Q624">
        <v>9</v>
      </c>
      <c r="R624">
        <v>6</v>
      </c>
      <c r="S624">
        <v>36</v>
      </c>
    </row>
    <row r="625" spans="1:19" x14ac:dyDescent="0.35">
      <c r="A625">
        <v>8272</v>
      </c>
      <c r="B625">
        <v>736</v>
      </c>
      <c r="C625" t="str">
        <f>VLOOKUP(B625,Kunde!A:C,3,FALSE)</f>
        <v>Privatkunde</v>
      </c>
      <c r="D625" t="str">
        <f>VLOOKUP(O625,Produkt!$A$1:$E$5,2,FALSE)</f>
        <v>C</v>
      </c>
      <c r="E625">
        <f t="shared" si="27"/>
        <v>8</v>
      </c>
      <c r="F625">
        <f>VLOOKUP(D625,Produkt!$B$1:$C$5,2,FALSE)*Bestellungen!E625</f>
        <v>12000</v>
      </c>
      <c r="G625" s="2">
        <v>44987</v>
      </c>
      <c r="H625" s="2">
        <f t="shared" si="28"/>
        <v>44994</v>
      </c>
      <c r="I625" s="2">
        <f t="shared" si="29"/>
        <v>45010</v>
      </c>
      <c r="J625" t="str">
        <f>VLOOKUP(M625,Umfragenteilnahme!$A$2:$B$3,2,)</f>
        <v>Ja</v>
      </c>
      <c r="M625">
        <v>1</v>
      </c>
      <c r="N625">
        <v>736</v>
      </c>
      <c r="O625">
        <v>3</v>
      </c>
      <c r="P625">
        <v>65</v>
      </c>
      <c r="Q625">
        <v>8</v>
      </c>
      <c r="R625">
        <v>7</v>
      </c>
      <c r="S625">
        <v>23</v>
      </c>
    </row>
    <row r="626" spans="1:19" x14ac:dyDescent="0.35">
      <c r="A626">
        <v>8273</v>
      </c>
      <c r="B626">
        <v>157</v>
      </c>
      <c r="C626" t="str">
        <f>VLOOKUP(B626,Kunde!A:C,3,FALSE)</f>
        <v>Geschäftskunde</v>
      </c>
      <c r="D626" t="str">
        <f>VLOOKUP(O626,Produkt!$A$1:$E$5,2,FALSE)</f>
        <v>D</v>
      </c>
      <c r="E626">
        <f t="shared" si="27"/>
        <v>111</v>
      </c>
      <c r="F626">
        <f>VLOOKUP(D626,Produkt!$B$1:$C$5,2,FALSE)*Bestellungen!E626</f>
        <v>88800</v>
      </c>
      <c r="G626" s="2">
        <v>44948</v>
      </c>
      <c r="H626" s="2">
        <f t="shared" si="28"/>
        <v>44950</v>
      </c>
      <c r="I626" s="2">
        <f t="shared" si="29"/>
        <v>44995</v>
      </c>
      <c r="J626" t="str">
        <f>VLOOKUP(M626,Umfragenteilnahme!$A$2:$B$3,2,)</f>
        <v>Nein</v>
      </c>
      <c r="M626">
        <v>2</v>
      </c>
      <c r="N626">
        <v>157</v>
      </c>
      <c r="O626">
        <v>4</v>
      </c>
      <c r="P626">
        <v>111</v>
      </c>
      <c r="Q626">
        <v>8</v>
      </c>
      <c r="R626">
        <v>2</v>
      </c>
      <c r="S626">
        <v>47</v>
      </c>
    </row>
    <row r="627" spans="1:19" x14ac:dyDescent="0.35">
      <c r="A627">
        <v>8274</v>
      </c>
      <c r="B627">
        <v>193</v>
      </c>
      <c r="C627" t="str">
        <f>VLOOKUP(B627,Kunde!A:C,3,FALSE)</f>
        <v>Geschäftskunde</v>
      </c>
      <c r="D627" t="str">
        <f>VLOOKUP(O627,Produkt!$A$1:$E$5,2,FALSE)</f>
        <v>C</v>
      </c>
      <c r="E627">
        <f t="shared" si="27"/>
        <v>42</v>
      </c>
      <c r="F627">
        <f>VLOOKUP(D627,Produkt!$B$1:$C$5,2,FALSE)*Bestellungen!E627</f>
        <v>63000</v>
      </c>
      <c r="G627" s="2">
        <v>44886</v>
      </c>
      <c r="H627" s="2">
        <f t="shared" si="28"/>
        <v>44890</v>
      </c>
      <c r="I627" s="2">
        <f t="shared" si="29"/>
        <v>44894</v>
      </c>
      <c r="J627" t="str">
        <f>VLOOKUP(M627,Umfragenteilnahme!$A$2:$B$3,2,)</f>
        <v>Nein</v>
      </c>
      <c r="M627">
        <v>2</v>
      </c>
      <c r="N627">
        <v>193</v>
      </c>
      <c r="O627">
        <v>3</v>
      </c>
      <c r="P627">
        <v>42</v>
      </c>
      <c r="Q627">
        <v>7</v>
      </c>
      <c r="R627">
        <v>4</v>
      </c>
      <c r="S627">
        <v>8</v>
      </c>
    </row>
    <row r="628" spans="1:19" x14ac:dyDescent="0.35">
      <c r="A628">
        <v>8275</v>
      </c>
      <c r="B628">
        <v>504</v>
      </c>
      <c r="C628" t="str">
        <f>VLOOKUP(B628,Kunde!A:C,3,FALSE)</f>
        <v>Privatkunde</v>
      </c>
      <c r="D628" t="str">
        <f>VLOOKUP(O628,Produkt!$A$1:$E$5,2,FALSE)</f>
        <v>C</v>
      </c>
      <c r="E628">
        <f t="shared" si="27"/>
        <v>9</v>
      </c>
      <c r="F628">
        <f>VLOOKUP(D628,Produkt!$B$1:$C$5,2,FALSE)*Bestellungen!E628</f>
        <v>13500</v>
      </c>
      <c r="G628" s="2">
        <v>45016</v>
      </c>
      <c r="H628" s="2">
        <f t="shared" si="28"/>
        <v>45022</v>
      </c>
      <c r="I628" s="2">
        <f t="shared" si="29"/>
        <v>45024</v>
      </c>
      <c r="J628" t="str">
        <f>VLOOKUP(M628,Umfragenteilnahme!$A$2:$B$3,2,)</f>
        <v>Ja</v>
      </c>
      <c r="M628">
        <v>1</v>
      </c>
      <c r="N628">
        <v>504</v>
      </c>
      <c r="O628">
        <v>3</v>
      </c>
      <c r="P628">
        <v>10</v>
      </c>
      <c r="Q628">
        <v>9</v>
      </c>
      <c r="R628">
        <v>6</v>
      </c>
      <c r="S628">
        <v>8</v>
      </c>
    </row>
    <row r="629" spans="1:19" x14ac:dyDescent="0.35">
      <c r="A629">
        <v>8276</v>
      </c>
      <c r="B629">
        <v>205</v>
      </c>
      <c r="C629" t="str">
        <f>VLOOKUP(B629,Kunde!A:C,3,FALSE)</f>
        <v>Privatkunde</v>
      </c>
      <c r="D629" t="str">
        <f>VLOOKUP(O629,Produkt!$A$1:$E$5,2,FALSE)</f>
        <v>D</v>
      </c>
      <c r="E629">
        <f t="shared" si="27"/>
        <v>5</v>
      </c>
      <c r="F629">
        <f>VLOOKUP(D629,Produkt!$B$1:$C$5,2,FALSE)*Bestellungen!E629</f>
        <v>4000</v>
      </c>
      <c r="G629" s="2">
        <v>44716</v>
      </c>
      <c r="H629" s="2">
        <f t="shared" si="28"/>
        <v>44720</v>
      </c>
      <c r="I629" s="2">
        <f t="shared" si="29"/>
        <v>44771</v>
      </c>
      <c r="J629" t="str">
        <f>VLOOKUP(M629,Umfragenteilnahme!$A$2:$B$3,2,)</f>
        <v>Nein</v>
      </c>
      <c r="M629">
        <v>2</v>
      </c>
      <c r="N629">
        <v>205</v>
      </c>
      <c r="O629">
        <v>4</v>
      </c>
      <c r="P629">
        <v>35</v>
      </c>
      <c r="Q629">
        <v>5</v>
      </c>
      <c r="R629">
        <v>4</v>
      </c>
      <c r="S629">
        <v>55</v>
      </c>
    </row>
    <row r="630" spans="1:19" x14ac:dyDescent="0.35">
      <c r="A630">
        <v>8277</v>
      </c>
      <c r="B630">
        <v>152</v>
      </c>
      <c r="C630" t="str">
        <f>VLOOKUP(B630,Kunde!A:C,3,FALSE)</f>
        <v>Geschäftskunde</v>
      </c>
      <c r="D630" t="str">
        <f>VLOOKUP(O630,Produkt!$A$1:$E$5,2,FALSE)</f>
        <v>A</v>
      </c>
      <c r="E630">
        <f t="shared" si="27"/>
        <v>40</v>
      </c>
      <c r="F630">
        <f>VLOOKUP(D630,Produkt!$B$1:$C$5,2,FALSE)*Bestellungen!E630</f>
        <v>12000</v>
      </c>
      <c r="G630" s="2">
        <v>44776</v>
      </c>
      <c r="H630" s="2">
        <f t="shared" si="28"/>
        <v>44782</v>
      </c>
      <c r="I630" s="2">
        <f t="shared" si="29"/>
        <v>44829</v>
      </c>
      <c r="J630" t="str">
        <f>VLOOKUP(M630,Umfragenteilnahme!$A$2:$B$3,2,)</f>
        <v>Ja</v>
      </c>
      <c r="M630">
        <v>1</v>
      </c>
      <c r="N630">
        <v>152</v>
      </c>
      <c r="O630">
        <v>1</v>
      </c>
      <c r="P630">
        <v>40</v>
      </c>
      <c r="Q630">
        <v>3</v>
      </c>
      <c r="R630">
        <v>6</v>
      </c>
      <c r="S630">
        <v>53</v>
      </c>
    </row>
    <row r="631" spans="1:19" x14ac:dyDescent="0.35">
      <c r="A631">
        <v>8278</v>
      </c>
      <c r="B631">
        <v>442</v>
      </c>
      <c r="C631" t="str">
        <f>VLOOKUP(B631,Kunde!A:C,3,FALSE)</f>
        <v>Geschäftskunde</v>
      </c>
      <c r="D631" t="str">
        <f>VLOOKUP(O631,Produkt!$A$1:$E$5,2,FALSE)</f>
        <v>C</v>
      </c>
      <c r="E631">
        <f t="shared" si="27"/>
        <v>113</v>
      </c>
      <c r="F631">
        <f>VLOOKUP(D631,Produkt!$B$1:$C$5,2,FALSE)*Bestellungen!E631</f>
        <v>169500</v>
      </c>
      <c r="G631" s="2">
        <v>45057</v>
      </c>
      <c r="H631" s="2">
        <f t="shared" si="28"/>
        <v>45063</v>
      </c>
      <c r="I631" s="2">
        <f t="shared" si="29"/>
        <v>45103</v>
      </c>
      <c r="J631" t="str">
        <f>VLOOKUP(M631,Umfragenteilnahme!$A$2:$B$3,2,)</f>
        <v>Ja</v>
      </c>
      <c r="M631">
        <v>1</v>
      </c>
      <c r="N631">
        <v>442</v>
      </c>
      <c r="O631">
        <v>3</v>
      </c>
      <c r="P631">
        <v>113</v>
      </c>
      <c r="Q631">
        <v>5</v>
      </c>
      <c r="R631">
        <v>6</v>
      </c>
      <c r="S631">
        <v>46</v>
      </c>
    </row>
    <row r="632" spans="1:19" x14ac:dyDescent="0.35">
      <c r="A632">
        <v>8279</v>
      </c>
      <c r="B632">
        <v>516</v>
      </c>
      <c r="C632" t="str">
        <f>VLOOKUP(B632,Kunde!A:C,3,FALSE)</f>
        <v>Geschäftskunde</v>
      </c>
      <c r="D632" t="str">
        <f>VLOOKUP(O632,Produkt!$A$1:$E$5,2,FALSE)</f>
        <v>C</v>
      </c>
      <c r="E632">
        <f t="shared" si="27"/>
        <v>80</v>
      </c>
      <c r="F632">
        <f>VLOOKUP(D632,Produkt!$B$1:$C$5,2,FALSE)*Bestellungen!E632</f>
        <v>120000</v>
      </c>
      <c r="G632" s="2">
        <v>44874</v>
      </c>
      <c r="H632" s="2">
        <f t="shared" si="28"/>
        <v>44878</v>
      </c>
      <c r="I632" s="2">
        <f t="shared" si="29"/>
        <v>44924</v>
      </c>
      <c r="J632" t="str">
        <f>VLOOKUP(M632,Umfragenteilnahme!$A$2:$B$3,2,)</f>
        <v>Ja</v>
      </c>
      <c r="M632">
        <v>1</v>
      </c>
      <c r="N632">
        <v>516</v>
      </c>
      <c r="O632">
        <v>3</v>
      </c>
      <c r="P632">
        <v>80</v>
      </c>
      <c r="Q632">
        <v>5</v>
      </c>
      <c r="R632">
        <v>4</v>
      </c>
      <c r="S632">
        <v>50</v>
      </c>
    </row>
    <row r="633" spans="1:19" x14ac:dyDescent="0.35">
      <c r="A633">
        <v>8280</v>
      </c>
      <c r="B633">
        <v>780</v>
      </c>
      <c r="C633" t="str">
        <f>VLOOKUP(B633,Kunde!A:C,3,FALSE)</f>
        <v>Geschäftskunde</v>
      </c>
      <c r="D633" t="str">
        <f>VLOOKUP(O633,Produkt!$A$1:$E$5,2,FALSE)</f>
        <v>D</v>
      </c>
      <c r="E633">
        <f t="shared" si="27"/>
        <v>61</v>
      </c>
      <c r="F633">
        <f>VLOOKUP(D633,Produkt!$B$1:$C$5,2,FALSE)*Bestellungen!E633</f>
        <v>48800</v>
      </c>
      <c r="G633" s="2">
        <v>44885</v>
      </c>
      <c r="H633" s="2">
        <f t="shared" si="28"/>
        <v>44892</v>
      </c>
      <c r="I633" s="2">
        <f t="shared" si="29"/>
        <v>44927</v>
      </c>
      <c r="J633" t="str">
        <f>VLOOKUP(M633,Umfragenteilnahme!$A$2:$B$3,2,)</f>
        <v>Ja</v>
      </c>
      <c r="M633">
        <v>1</v>
      </c>
      <c r="N633">
        <v>780</v>
      </c>
      <c r="O633">
        <v>4</v>
      </c>
      <c r="P633">
        <v>61</v>
      </c>
      <c r="Q633">
        <v>6</v>
      </c>
      <c r="R633">
        <v>7</v>
      </c>
      <c r="S633">
        <v>42</v>
      </c>
    </row>
    <row r="634" spans="1:19" x14ac:dyDescent="0.35">
      <c r="A634">
        <v>8281</v>
      </c>
      <c r="B634">
        <v>235</v>
      </c>
      <c r="C634" t="str">
        <f>VLOOKUP(B634,Kunde!A:C,3,FALSE)</f>
        <v>Geschäftskunde</v>
      </c>
      <c r="D634" t="str">
        <f>VLOOKUP(O634,Produkt!$A$1:$E$5,2,FALSE)</f>
        <v>B</v>
      </c>
      <c r="E634">
        <f t="shared" si="27"/>
        <v>106</v>
      </c>
      <c r="F634">
        <f>VLOOKUP(D634,Produkt!$B$1:$C$5,2,FALSE)*Bestellungen!E634</f>
        <v>50880</v>
      </c>
      <c r="G634" s="2">
        <v>44840</v>
      </c>
      <c r="H634" s="2">
        <f t="shared" si="28"/>
        <v>44843</v>
      </c>
      <c r="I634" s="2">
        <f t="shared" si="29"/>
        <v>44882</v>
      </c>
      <c r="J634" t="str">
        <f>VLOOKUP(M634,Umfragenteilnahme!$A$2:$B$3,2,)</f>
        <v>Ja</v>
      </c>
      <c r="M634">
        <v>1</v>
      </c>
      <c r="N634">
        <v>235</v>
      </c>
      <c r="O634">
        <v>2</v>
      </c>
      <c r="P634">
        <v>106</v>
      </c>
      <c r="Q634">
        <v>4</v>
      </c>
      <c r="R634">
        <v>3</v>
      </c>
      <c r="S634">
        <v>42</v>
      </c>
    </row>
    <row r="635" spans="1:19" x14ac:dyDescent="0.35">
      <c r="A635">
        <v>8282</v>
      </c>
      <c r="B635">
        <v>632</v>
      </c>
      <c r="C635" t="str">
        <f>VLOOKUP(B635,Kunde!A:C,3,FALSE)</f>
        <v>Geschäftskunde</v>
      </c>
      <c r="D635" t="str">
        <f>VLOOKUP(O635,Produkt!$A$1:$E$5,2,FALSE)</f>
        <v>C</v>
      </c>
      <c r="E635">
        <f t="shared" si="27"/>
        <v>22</v>
      </c>
      <c r="F635">
        <f>VLOOKUP(D635,Produkt!$B$1:$C$5,2,FALSE)*Bestellungen!E635</f>
        <v>33000</v>
      </c>
      <c r="G635" s="2">
        <v>44861</v>
      </c>
      <c r="H635" s="2">
        <f t="shared" si="28"/>
        <v>44864</v>
      </c>
      <c r="I635" s="2">
        <f t="shared" si="29"/>
        <v>44902</v>
      </c>
      <c r="J635" t="str">
        <f>VLOOKUP(M635,Umfragenteilnahme!$A$2:$B$3,2,)</f>
        <v>Nein</v>
      </c>
      <c r="M635">
        <v>2</v>
      </c>
      <c r="N635">
        <v>632</v>
      </c>
      <c r="O635">
        <v>3</v>
      </c>
      <c r="P635">
        <v>22</v>
      </c>
      <c r="Q635">
        <v>2</v>
      </c>
      <c r="R635">
        <v>3</v>
      </c>
      <c r="S635">
        <v>41</v>
      </c>
    </row>
    <row r="636" spans="1:19" x14ac:dyDescent="0.35">
      <c r="A636">
        <v>8283</v>
      </c>
      <c r="B636">
        <v>225</v>
      </c>
      <c r="C636" t="str">
        <f>VLOOKUP(B636,Kunde!A:C,3,FALSE)</f>
        <v>Geschäftskunde</v>
      </c>
      <c r="D636" t="str">
        <f>VLOOKUP(O636,Produkt!$A$1:$E$5,2,FALSE)</f>
        <v>A</v>
      </c>
      <c r="E636">
        <f t="shared" si="27"/>
        <v>126</v>
      </c>
      <c r="F636">
        <f>VLOOKUP(D636,Produkt!$B$1:$C$5,2,FALSE)*Bestellungen!E636</f>
        <v>37800</v>
      </c>
      <c r="G636" s="2">
        <v>44930</v>
      </c>
      <c r="H636" s="2">
        <f t="shared" si="28"/>
        <v>44934</v>
      </c>
      <c r="I636" s="2">
        <f t="shared" si="29"/>
        <v>44957</v>
      </c>
      <c r="J636" t="str">
        <f>VLOOKUP(M636,Umfragenteilnahme!$A$2:$B$3,2,)</f>
        <v>Nein</v>
      </c>
      <c r="M636">
        <v>2</v>
      </c>
      <c r="N636">
        <v>225</v>
      </c>
      <c r="O636">
        <v>1</v>
      </c>
      <c r="P636">
        <v>126</v>
      </c>
      <c r="Q636">
        <v>9</v>
      </c>
      <c r="R636">
        <v>4</v>
      </c>
      <c r="S636">
        <v>27</v>
      </c>
    </row>
    <row r="637" spans="1:19" x14ac:dyDescent="0.35">
      <c r="A637">
        <v>8284</v>
      </c>
      <c r="B637">
        <v>673</v>
      </c>
      <c r="C637" t="str">
        <f>VLOOKUP(B637,Kunde!A:C,3,FALSE)</f>
        <v>Geschäftskunde</v>
      </c>
      <c r="D637" t="str">
        <f>VLOOKUP(O637,Produkt!$A$1:$E$5,2,FALSE)</f>
        <v>A</v>
      </c>
      <c r="E637">
        <f t="shared" si="27"/>
        <v>133</v>
      </c>
      <c r="F637">
        <f>VLOOKUP(D637,Produkt!$B$1:$C$5,2,FALSE)*Bestellungen!E637</f>
        <v>39900</v>
      </c>
      <c r="G637" s="2">
        <v>44765</v>
      </c>
      <c r="H637" s="2">
        <f t="shared" si="28"/>
        <v>44767</v>
      </c>
      <c r="I637" s="2">
        <f t="shared" si="29"/>
        <v>44815</v>
      </c>
      <c r="J637" t="str">
        <f>VLOOKUP(M637,Umfragenteilnahme!$A$2:$B$3,2,)</f>
        <v>Nein</v>
      </c>
      <c r="M637">
        <v>2</v>
      </c>
      <c r="N637">
        <v>673</v>
      </c>
      <c r="O637">
        <v>1</v>
      </c>
      <c r="P637">
        <v>133</v>
      </c>
      <c r="Q637">
        <v>1</v>
      </c>
      <c r="R637">
        <v>2</v>
      </c>
      <c r="S637">
        <v>50</v>
      </c>
    </row>
    <row r="638" spans="1:19" x14ac:dyDescent="0.35">
      <c r="A638">
        <v>8285</v>
      </c>
      <c r="B638">
        <v>482</v>
      </c>
      <c r="C638" t="str">
        <f>VLOOKUP(B638,Kunde!A:C,3,FALSE)</f>
        <v>Geschäftskunde</v>
      </c>
      <c r="D638" t="str">
        <f>VLOOKUP(O638,Produkt!$A$1:$E$5,2,FALSE)</f>
        <v>D</v>
      </c>
      <c r="E638">
        <f t="shared" si="27"/>
        <v>114</v>
      </c>
      <c r="F638">
        <f>VLOOKUP(D638,Produkt!$B$1:$C$5,2,FALSE)*Bestellungen!E638</f>
        <v>91200</v>
      </c>
      <c r="G638" s="2">
        <v>44861</v>
      </c>
      <c r="H638" s="2">
        <f t="shared" si="28"/>
        <v>44868</v>
      </c>
      <c r="I638" s="2">
        <f t="shared" si="29"/>
        <v>44887</v>
      </c>
      <c r="J638" t="str">
        <f>VLOOKUP(M638,Umfragenteilnahme!$A$2:$B$3,2,)</f>
        <v>Nein</v>
      </c>
      <c r="M638">
        <v>2</v>
      </c>
      <c r="N638">
        <v>482</v>
      </c>
      <c r="O638">
        <v>4</v>
      </c>
      <c r="P638">
        <v>114</v>
      </c>
      <c r="Q638">
        <v>4</v>
      </c>
      <c r="R638">
        <v>7</v>
      </c>
      <c r="S638">
        <v>26</v>
      </c>
    </row>
    <row r="639" spans="1:19" x14ac:dyDescent="0.35">
      <c r="A639">
        <v>8286</v>
      </c>
      <c r="B639">
        <v>167</v>
      </c>
      <c r="C639" t="str">
        <f>VLOOKUP(B639,Kunde!A:C,3,FALSE)</f>
        <v>Geschäftskunde</v>
      </c>
      <c r="D639" t="str">
        <f>VLOOKUP(O639,Produkt!$A$1:$E$5,2,FALSE)</f>
        <v>B</v>
      </c>
      <c r="E639">
        <f t="shared" si="27"/>
        <v>109</v>
      </c>
      <c r="F639">
        <f>VLOOKUP(D639,Produkt!$B$1:$C$5,2,FALSE)*Bestellungen!E639</f>
        <v>52320</v>
      </c>
      <c r="G639" s="2">
        <v>45043</v>
      </c>
      <c r="H639" s="2">
        <f t="shared" si="28"/>
        <v>45047</v>
      </c>
      <c r="I639" s="2">
        <f t="shared" si="29"/>
        <v>45099</v>
      </c>
      <c r="J639" t="str">
        <f>VLOOKUP(M639,Umfragenteilnahme!$A$2:$B$3,2,)</f>
        <v>Ja</v>
      </c>
      <c r="M639">
        <v>1</v>
      </c>
      <c r="N639">
        <v>167</v>
      </c>
      <c r="O639">
        <v>2</v>
      </c>
      <c r="P639">
        <v>109</v>
      </c>
      <c r="Q639">
        <v>10</v>
      </c>
      <c r="R639">
        <v>4</v>
      </c>
      <c r="S639">
        <v>56</v>
      </c>
    </row>
    <row r="640" spans="1:19" x14ac:dyDescent="0.35">
      <c r="A640">
        <v>8287</v>
      </c>
      <c r="B640">
        <v>582</v>
      </c>
      <c r="C640" t="str">
        <f>VLOOKUP(B640,Kunde!A:C,3,FALSE)</f>
        <v>Geschäftskunde</v>
      </c>
      <c r="D640" t="str">
        <f>VLOOKUP(O640,Produkt!$A$1:$E$5,2,FALSE)</f>
        <v>B</v>
      </c>
      <c r="E640">
        <f t="shared" si="27"/>
        <v>59</v>
      </c>
      <c r="F640">
        <f>VLOOKUP(D640,Produkt!$B$1:$C$5,2,FALSE)*Bestellungen!E640</f>
        <v>28320</v>
      </c>
      <c r="G640" s="2">
        <v>44953</v>
      </c>
      <c r="H640" s="2">
        <f t="shared" si="28"/>
        <v>44957</v>
      </c>
      <c r="I640" s="2">
        <f t="shared" si="29"/>
        <v>45001</v>
      </c>
      <c r="J640" t="str">
        <f>VLOOKUP(M640,Umfragenteilnahme!$A$2:$B$3,2,)</f>
        <v>Nein</v>
      </c>
      <c r="M640">
        <v>2</v>
      </c>
      <c r="N640">
        <v>582</v>
      </c>
      <c r="O640">
        <v>2</v>
      </c>
      <c r="P640">
        <v>59</v>
      </c>
      <c r="Q640">
        <v>10</v>
      </c>
      <c r="R640">
        <v>4</v>
      </c>
      <c r="S640">
        <v>48</v>
      </c>
    </row>
    <row r="641" spans="1:19" x14ac:dyDescent="0.35">
      <c r="A641">
        <v>8288</v>
      </c>
      <c r="B641">
        <v>100</v>
      </c>
      <c r="C641" t="str">
        <f>VLOOKUP(B641,Kunde!A:C,3,FALSE)</f>
        <v>Privatkunde</v>
      </c>
      <c r="D641" t="str">
        <f>VLOOKUP(O641,Produkt!$A$1:$E$5,2,FALSE)</f>
        <v>C</v>
      </c>
      <c r="E641">
        <f t="shared" si="27"/>
        <v>7</v>
      </c>
      <c r="F641">
        <f>VLOOKUP(D641,Produkt!$B$1:$C$5,2,FALSE)*Bestellungen!E641</f>
        <v>10500</v>
      </c>
      <c r="G641" s="2">
        <v>45076</v>
      </c>
      <c r="H641" s="2">
        <f t="shared" si="28"/>
        <v>45082</v>
      </c>
      <c r="I641" s="2">
        <f t="shared" si="29"/>
        <v>45106</v>
      </c>
      <c r="J641" t="str">
        <f>VLOOKUP(M641,Umfragenteilnahme!$A$2:$B$3,2,)</f>
        <v>Nein</v>
      </c>
      <c r="M641">
        <v>2</v>
      </c>
      <c r="N641">
        <v>100</v>
      </c>
      <c r="O641">
        <v>3</v>
      </c>
      <c r="P641">
        <v>144</v>
      </c>
      <c r="Q641">
        <v>7</v>
      </c>
      <c r="R641">
        <v>6</v>
      </c>
      <c r="S641">
        <v>30</v>
      </c>
    </row>
    <row r="642" spans="1:19" x14ac:dyDescent="0.35">
      <c r="A642">
        <v>8289</v>
      </c>
      <c r="B642">
        <v>387</v>
      </c>
      <c r="C642" t="str">
        <f>VLOOKUP(B642,Kunde!A:C,3,FALSE)</f>
        <v>Geschäftskunde</v>
      </c>
      <c r="D642" t="str">
        <f>VLOOKUP(O642,Produkt!$A$1:$E$5,2,FALSE)</f>
        <v>B</v>
      </c>
      <c r="E642">
        <f t="shared" si="27"/>
        <v>42</v>
      </c>
      <c r="F642">
        <f>VLOOKUP(D642,Produkt!$B$1:$C$5,2,FALSE)*Bestellungen!E642</f>
        <v>20160</v>
      </c>
      <c r="G642" s="2">
        <v>44720</v>
      </c>
      <c r="H642" s="2">
        <f t="shared" si="28"/>
        <v>44724</v>
      </c>
      <c r="I642" s="2">
        <f t="shared" si="29"/>
        <v>44769</v>
      </c>
      <c r="J642" t="str">
        <f>VLOOKUP(M642,Umfragenteilnahme!$A$2:$B$3,2,)</f>
        <v>Ja</v>
      </c>
      <c r="M642">
        <v>1</v>
      </c>
      <c r="N642">
        <v>387</v>
      </c>
      <c r="O642">
        <v>2</v>
      </c>
      <c r="P642">
        <v>42</v>
      </c>
      <c r="Q642">
        <v>10</v>
      </c>
      <c r="R642">
        <v>4</v>
      </c>
      <c r="S642">
        <v>49</v>
      </c>
    </row>
    <row r="643" spans="1:19" x14ac:dyDescent="0.35">
      <c r="A643">
        <v>8290</v>
      </c>
      <c r="B643">
        <v>153</v>
      </c>
      <c r="C643" t="str">
        <f>VLOOKUP(B643,Kunde!A:C,3,FALSE)</f>
        <v>Geschäftskunde</v>
      </c>
      <c r="D643" t="str">
        <f>VLOOKUP(O643,Produkt!$A$1:$E$5,2,FALSE)</f>
        <v>A</v>
      </c>
      <c r="E643">
        <f t="shared" ref="E643:E706" si="30">IF(C643="Geschäftskunde",P643,Q643)</f>
        <v>91</v>
      </c>
      <c r="F643">
        <f>VLOOKUP(D643,Produkt!$B$1:$C$5,2,FALSE)*Bestellungen!E643</f>
        <v>27300</v>
      </c>
      <c r="G643" s="2">
        <v>44717</v>
      </c>
      <c r="H643" s="2">
        <f t="shared" ref="H643:H706" si="31">G643+R643</f>
        <v>44719</v>
      </c>
      <c r="I643" s="2">
        <f t="shared" ref="I643:I706" si="32">G643+S643</f>
        <v>44722</v>
      </c>
      <c r="J643" t="str">
        <f>VLOOKUP(M643,Umfragenteilnahme!$A$2:$B$3,2,)</f>
        <v>Nein</v>
      </c>
      <c r="M643">
        <v>2</v>
      </c>
      <c r="N643">
        <v>153</v>
      </c>
      <c r="O643">
        <v>1</v>
      </c>
      <c r="P643">
        <v>91</v>
      </c>
      <c r="Q643">
        <v>9</v>
      </c>
      <c r="R643">
        <v>2</v>
      </c>
      <c r="S643">
        <v>5</v>
      </c>
    </row>
    <row r="644" spans="1:19" x14ac:dyDescent="0.35">
      <c r="A644">
        <v>8291</v>
      </c>
      <c r="B644">
        <v>464</v>
      </c>
      <c r="C644" t="str">
        <f>VLOOKUP(B644,Kunde!A:C,3,FALSE)</f>
        <v>Geschäftskunde</v>
      </c>
      <c r="D644" t="str">
        <f>VLOOKUP(O644,Produkt!$A$1:$E$5,2,FALSE)</f>
        <v>A</v>
      </c>
      <c r="E644">
        <f t="shared" si="30"/>
        <v>30</v>
      </c>
      <c r="F644">
        <f>VLOOKUP(D644,Produkt!$B$1:$C$5,2,FALSE)*Bestellungen!E644</f>
        <v>9000</v>
      </c>
      <c r="G644" s="2">
        <v>44944</v>
      </c>
      <c r="H644" s="2">
        <f t="shared" si="31"/>
        <v>44950</v>
      </c>
      <c r="I644" s="2">
        <f t="shared" si="32"/>
        <v>44958</v>
      </c>
      <c r="J644" t="str">
        <f>VLOOKUP(M644,Umfragenteilnahme!$A$2:$B$3,2,)</f>
        <v>Ja</v>
      </c>
      <c r="M644">
        <v>1</v>
      </c>
      <c r="N644">
        <v>464</v>
      </c>
      <c r="O644">
        <v>1</v>
      </c>
      <c r="P644">
        <v>30</v>
      </c>
      <c r="Q644">
        <v>5</v>
      </c>
      <c r="R644">
        <v>6</v>
      </c>
      <c r="S644">
        <v>14</v>
      </c>
    </row>
    <row r="645" spans="1:19" x14ac:dyDescent="0.35">
      <c r="A645">
        <v>8292</v>
      </c>
      <c r="B645">
        <v>639</v>
      </c>
      <c r="C645" t="str">
        <f>VLOOKUP(B645,Kunde!A:C,3,FALSE)</f>
        <v>Geschäftskunde</v>
      </c>
      <c r="D645" t="str">
        <f>VLOOKUP(O645,Produkt!$A$1:$E$5,2,FALSE)</f>
        <v>C</v>
      </c>
      <c r="E645">
        <f t="shared" si="30"/>
        <v>12</v>
      </c>
      <c r="F645">
        <f>VLOOKUP(D645,Produkt!$B$1:$C$5,2,FALSE)*Bestellungen!E645</f>
        <v>18000</v>
      </c>
      <c r="G645" s="2">
        <v>45001</v>
      </c>
      <c r="H645" s="2">
        <f t="shared" si="31"/>
        <v>45008</v>
      </c>
      <c r="I645" s="2">
        <f t="shared" si="32"/>
        <v>45016</v>
      </c>
      <c r="J645" t="str">
        <f>VLOOKUP(M645,Umfragenteilnahme!$A$2:$B$3,2,)</f>
        <v>Ja</v>
      </c>
      <c r="M645">
        <v>1</v>
      </c>
      <c r="N645">
        <v>639</v>
      </c>
      <c r="O645">
        <v>3</v>
      </c>
      <c r="P645">
        <v>12</v>
      </c>
      <c r="Q645">
        <v>6</v>
      </c>
      <c r="R645">
        <v>7</v>
      </c>
      <c r="S645">
        <v>15</v>
      </c>
    </row>
    <row r="646" spans="1:19" x14ac:dyDescent="0.35">
      <c r="A646">
        <v>8293</v>
      </c>
      <c r="B646">
        <v>635</v>
      </c>
      <c r="C646" t="str">
        <f>VLOOKUP(B646,Kunde!A:C,3,FALSE)</f>
        <v>Geschäftskunde</v>
      </c>
      <c r="D646" t="str">
        <f>VLOOKUP(O646,Produkt!$A$1:$E$5,2,FALSE)</f>
        <v>C</v>
      </c>
      <c r="E646">
        <f t="shared" si="30"/>
        <v>46</v>
      </c>
      <c r="F646">
        <f>VLOOKUP(D646,Produkt!$B$1:$C$5,2,FALSE)*Bestellungen!E646</f>
        <v>69000</v>
      </c>
      <c r="G646" s="2">
        <v>44963</v>
      </c>
      <c r="H646" s="2">
        <f t="shared" si="31"/>
        <v>44970</v>
      </c>
      <c r="I646" s="2">
        <f t="shared" si="32"/>
        <v>44987</v>
      </c>
      <c r="J646" t="str">
        <f>VLOOKUP(M646,Umfragenteilnahme!$A$2:$B$3,2,)</f>
        <v>Nein</v>
      </c>
      <c r="M646">
        <v>2</v>
      </c>
      <c r="N646">
        <v>635</v>
      </c>
      <c r="O646">
        <v>3</v>
      </c>
      <c r="P646">
        <v>46</v>
      </c>
      <c r="Q646">
        <v>9</v>
      </c>
      <c r="R646">
        <v>7</v>
      </c>
      <c r="S646">
        <v>24</v>
      </c>
    </row>
    <row r="647" spans="1:19" x14ac:dyDescent="0.35">
      <c r="A647">
        <v>8294</v>
      </c>
      <c r="B647">
        <v>500</v>
      </c>
      <c r="C647" t="str">
        <f>VLOOKUP(B647,Kunde!A:C,3,FALSE)</f>
        <v>Geschäftskunde</v>
      </c>
      <c r="D647" t="str">
        <f>VLOOKUP(O647,Produkt!$A$1:$E$5,2,FALSE)</f>
        <v>C</v>
      </c>
      <c r="E647">
        <f t="shared" si="30"/>
        <v>32</v>
      </c>
      <c r="F647">
        <f>VLOOKUP(D647,Produkt!$B$1:$C$5,2,FALSE)*Bestellungen!E647</f>
        <v>48000</v>
      </c>
      <c r="G647" s="2">
        <v>44962</v>
      </c>
      <c r="H647" s="2">
        <f t="shared" si="31"/>
        <v>44967</v>
      </c>
      <c r="I647" s="2">
        <f t="shared" si="32"/>
        <v>45009</v>
      </c>
      <c r="J647" t="str">
        <f>VLOOKUP(M647,Umfragenteilnahme!$A$2:$B$3,2,)</f>
        <v>Nein</v>
      </c>
      <c r="M647">
        <v>2</v>
      </c>
      <c r="N647">
        <v>500</v>
      </c>
      <c r="O647">
        <v>3</v>
      </c>
      <c r="P647">
        <v>32</v>
      </c>
      <c r="Q647">
        <v>1</v>
      </c>
      <c r="R647">
        <v>5</v>
      </c>
      <c r="S647">
        <v>47</v>
      </c>
    </row>
    <row r="648" spans="1:19" x14ac:dyDescent="0.35">
      <c r="A648">
        <v>8295</v>
      </c>
      <c r="B648">
        <v>301</v>
      </c>
      <c r="C648" t="str">
        <f>VLOOKUP(B648,Kunde!A:C,3,FALSE)</f>
        <v>Geschäftskunde</v>
      </c>
      <c r="D648" t="str">
        <f>VLOOKUP(O648,Produkt!$A$1:$E$5,2,FALSE)</f>
        <v>C</v>
      </c>
      <c r="E648">
        <f t="shared" si="30"/>
        <v>12</v>
      </c>
      <c r="F648">
        <f>VLOOKUP(D648,Produkt!$B$1:$C$5,2,FALSE)*Bestellungen!E648</f>
        <v>18000</v>
      </c>
      <c r="G648" s="2">
        <v>44971</v>
      </c>
      <c r="H648" s="2">
        <f t="shared" si="31"/>
        <v>44978</v>
      </c>
      <c r="I648" s="2">
        <f t="shared" si="32"/>
        <v>45022</v>
      </c>
      <c r="J648" t="str">
        <f>VLOOKUP(M648,Umfragenteilnahme!$A$2:$B$3,2,)</f>
        <v>Nein</v>
      </c>
      <c r="M648">
        <v>2</v>
      </c>
      <c r="N648">
        <v>301</v>
      </c>
      <c r="O648">
        <v>3</v>
      </c>
      <c r="P648">
        <v>12</v>
      </c>
      <c r="Q648">
        <v>7</v>
      </c>
      <c r="R648">
        <v>7</v>
      </c>
      <c r="S648">
        <v>51</v>
      </c>
    </row>
    <row r="649" spans="1:19" x14ac:dyDescent="0.35">
      <c r="A649">
        <v>8296</v>
      </c>
      <c r="B649">
        <v>514</v>
      </c>
      <c r="C649" t="str">
        <f>VLOOKUP(B649,Kunde!A:C,3,FALSE)</f>
        <v>Privatkunde</v>
      </c>
      <c r="D649" t="str">
        <f>VLOOKUP(O649,Produkt!$A$1:$E$5,2,FALSE)</f>
        <v>B</v>
      </c>
      <c r="E649">
        <f t="shared" si="30"/>
        <v>6</v>
      </c>
      <c r="F649">
        <f>VLOOKUP(D649,Produkt!$B$1:$C$5,2,FALSE)*Bestellungen!E649</f>
        <v>2880</v>
      </c>
      <c r="G649" s="2">
        <v>44849</v>
      </c>
      <c r="H649" s="2">
        <f t="shared" si="31"/>
        <v>44855</v>
      </c>
      <c r="I649" s="2">
        <f t="shared" si="32"/>
        <v>44897</v>
      </c>
      <c r="J649" t="str">
        <f>VLOOKUP(M649,Umfragenteilnahme!$A$2:$B$3,2,)</f>
        <v>Nein</v>
      </c>
      <c r="M649">
        <v>2</v>
      </c>
      <c r="N649">
        <v>514</v>
      </c>
      <c r="O649">
        <v>2</v>
      </c>
      <c r="P649">
        <v>131</v>
      </c>
      <c r="Q649">
        <v>6</v>
      </c>
      <c r="R649">
        <v>6</v>
      </c>
      <c r="S649">
        <v>48</v>
      </c>
    </row>
    <row r="650" spans="1:19" x14ac:dyDescent="0.35">
      <c r="A650">
        <v>8297</v>
      </c>
      <c r="B650">
        <v>2</v>
      </c>
      <c r="C650" t="str">
        <f>VLOOKUP(B650,Kunde!A:C,3,FALSE)</f>
        <v>Privatkunde</v>
      </c>
      <c r="D650" t="str">
        <f>VLOOKUP(O650,Produkt!$A$1:$E$5,2,FALSE)</f>
        <v>A</v>
      </c>
      <c r="E650">
        <f t="shared" si="30"/>
        <v>3</v>
      </c>
      <c r="F650">
        <f>VLOOKUP(D650,Produkt!$B$1:$C$5,2,FALSE)*Bestellungen!E650</f>
        <v>900</v>
      </c>
      <c r="G650" s="2">
        <v>44931</v>
      </c>
      <c r="H650" s="2">
        <f t="shared" si="31"/>
        <v>44933</v>
      </c>
      <c r="I650" s="2">
        <f t="shared" si="32"/>
        <v>44984</v>
      </c>
      <c r="J650" t="str">
        <f>VLOOKUP(M650,Umfragenteilnahme!$A$2:$B$3,2,)</f>
        <v>Nein</v>
      </c>
      <c r="M650">
        <v>2</v>
      </c>
      <c r="N650">
        <v>2</v>
      </c>
      <c r="O650">
        <v>1</v>
      </c>
      <c r="P650">
        <v>119</v>
      </c>
      <c r="Q650">
        <v>3</v>
      </c>
      <c r="R650">
        <v>2</v>
      </c>
      <c r="S650">
        <v>53</v>
      </c>
    </row>
    <row r="651" spans="1:19" x14ac:dyDescent="0.35">
      <c r="A651">
        <v>8298</v>
      </c>
      <c r="B651">
        <v>703</v>
      </c>
      <c r="C651" t="str">
        <f>VLOOKUP(B651,Kunde!A:C,3,FALSE)</f>
        <v>Geschäftskunde</v>
      </c>
      <c r="D651" t="str">
        <f>VLOOKUP(O651,Produkt!$A$1:$E$5,2,FALSE)</f>
        <v>D</v>
      </c>
      <c r="E651">
        <f t="shared" si="30"/>
        <v>89</v>
      </c>
      <c r="F651">
        <f>VLOOKUP(D651,Produkt!$B$1:$C$5,2,FALSE)*Bestellungen!E651</f>
        <v>71200</v>
      </c>
      <c r="G651" s="2">
        <v>45000</v>
      </c>
      <c r="H651" s="2">
        <f t="shared" si="31"/>
        <v>45007</v>
      </c>
      <c r="I651" s="2">
        <f t="shared" si="32"/>
        <v>45030</v>
      </c>
      <c r="J651" t="str">
        <f>VLOOKUP(M651,Umfragenteilnahme!$A$2:$B$3,2,)</f>
        <v>Nein</v>
      </c>
      <c r="M651">
        <v>2</v>
      </c>
      <c r="N651">
        <v>703</v>
      </c>
      <c r="O651">
        <v>4</v>
      </c>
      <c r="P651">
        <v>89</v>
      </c>
      <c r="Q651">
        <v>4</v>
      </c>
      <c r="R651">
        <v>7</v>
      </c>
      <c r="S651">
        <v>30</v>
      </c>
    </row>
    <row r="652" spans="1:19" x14ac:dyDescent="0.35">
      <c r="A652">
        <v>8299</v>
      </c>
      <c r="B652">
        <v>275</v>
      </c>
      <c r="C652" t="str">
        <f>VLOOKUP(B652,Kunde!A:C,3,FALSE)</f>
        <v>Geschäftskunde</v>
      </c>
      <c r="D652" t="str">
        <f>VLOOKUP(O652,Produkt!$A$1:$E$5,2,FALSE)</f>
        <v>D</v>
      </c>
      <c r="E652">
        <f t="shared" si="30"/>
        <v>93</v>
      </c>
      <c r="F652">
        <f>VLOOKUP(D652,Produkt!$B$1:$C$5,2,FALSE)*Bestellungen!E652</f>
        <v>74400</v>
      </c>
      <c r="G652" s="2">
        <v>45039</v>
      </c>
      <c r="H652" s="2">
        <f t="shared" si="31"/>
        <v>45043</v>
      </c>
      <c r="I652" s="2">
        <f t="shared" si="32"/>
        <v>45094</v>
      </c>
      <c r="J652" t="str">
        <f>VLOOKUP(M652,Umfragenteilnahme!$A$2:$B$3,2,)</f>
        <v>Ja</v>
      </c>
      <c r="M652">
        <v>1</v>
      </c>
      <c r="N652">
        <v>275</v>
      </c>
      <c r="O652">
        <v>4</v>
      </c>
      <c r="P652">
        <v>93</v>
      </c>
      <c r="Q652">
        <v>6</v>
      </c>
      <c r="R652">
        <v>4</v>
      </c>
      <c r="S652">
        <v>55</v>
      </c>
    </row>
    <row r="653" spans="1:19" x14ac:dyDescent="0.35">
      <c r="A653">
        <v>8300</v>
      </c>
      <c r="B653">
        <v>434</v>
      </c>
      <c r="C653" t="str">
        <f>VLOOKUP(B653,Kunde!A:C,3,FALSE)</f>
        <v>Geschäftskunde</v>
      </c>
      <c r="D653" t="str">
        <f>VLOOKUP(O653,Produkt!$A$1:$E$5,2,FALSE)</f>
        <v>A</v>
      </c>
      <c r="E653">
        <f t="shared" si="30"/>
        <v>116</v>
      </c>
      <c r="F653">
        <f>VLOOKUP(D653,Produkt!$B$1:$C$5,2,FALSE)*Bestellungen!E653</f>
        <v>34800</v>
      </c>
      <c r="G653" s="2">
        <v>44750</v>
      </c>
      <c r="H653" s="2">
        <f t="shared" si="31"/>
        <v>44754</v>
      </c>
      <c r="I653" s="2">
        <f t="shared" si="32"/>
        <v>44785</v>
      </c>
      <c r="J653" t="str">
        <f>VLOOKUP(M653,Umfragenteilnahme!$A$2:$B$3,2,)</f>
        <v>Ja</v>
      </c>
      <c r="M653">
        <v>1</v>
      </c>
      <c r="N653">
        <v>434</v>
      </c>
      <c r="O653">
        <v>1</v>
      </c>
      <c r="P653">
        <v>116</v>
      </c>
      <c r="Q653">
        <v>1</v>
      </c>
      <c r="R653">
        <v>4</v>
      </c>
      <c r="S653">
        <v>35</v>
      </c>
    </row>
    <row r="654" spans="1:19" x14ac:dyDescent="0.35">
      <c r="A654">
        <v>8301</v>
      </c>
      <c r="B654">
        <v>550</v>
      </c>
      <c r="C654" t="str">
        <f>VLOOKUP(B654,Kunde!A:C,3,FALSE)</f>
        <v>Geschäftskunde</v>
      </c>
      <c r="D654" t="str">
        <f>VLOOKUP(O654,Produkt!$A$1:$E$5,2,FALSE)</f>
        <v>D</v>
      </c>
      <c r="E654">
        <f t="shared" si="30"/>
        <v>65</v>
      </c>
      <c r="F654">
        <f>VLOOKUP(D654,Produkt!$B$1:$C$5,2,FALSE)*Bestellungen!E654</f>
        <v>52000</v>
      </c>
      <c r="G654" s="2">
        <v>44724</v>
      </c>
      <c r="H654" s="2">
        <f t="shared" si="31"/>
        <v>44728</v>
      </c>
      <c r="I654" s="2">
        <f t="shared" si="32"/>
        <v>44783</v>
      </c>
      <c r="J654" t="str">
        <f>VLOOKUP(M654,Umfragenteilnahme!$A$2:$B$3,2,)</f>
        <v>Nein</v>
      </c>
      <c r="M654">
        <v>2</v>
      </c>
      <c r="N654">
        <v>550</v>
      </c>
      <c r="O654">
        <v>4</v>
      </c>
      <c r="P654">
        <v>65</v>
      </c>
      <c r="Q654">
        <v>5</v>
      </c>
      <c r="R654">
        <v>4</v>
      </c>
      <c r="S654">
        <v>59</v>
      </c>
    </row>
    <row r="655" spans="1:19" x14ac:dyDescent="0.35">
      <c r="A655">
        <v>8302</v>
      </c>
      <c r="B655">
        <v>567</v>
      </c>
      <c r="C655" t="str">
        <f>VLOOKUP(B655,Kunde!A:C,3,FALSE)</f>
        <v>Geschäftskunde</v>
      </c>
      <c r="D655" t="str">
        <f>VLOOKUP(O655,Produkt!$A$1:$E$5,2,FALSE)</f>
        <v>C</v>
      </c>
      <c r="E655">
        <f t="shared" si="30"/>
        <v>48</v>
      </c>
      <c r="F655">
        <f>VLOOKUP(D655,Produkt!$B$1:$C$5,2,FALSE)*Bestellungen!E655</f>
        <v>72000</v>
      </c>
      <c r="G655" s="2">
        <v>44960</v>
      </c>
      <c r="H655" s="2">
        <f t="shared" si="31"/>
        <v>44962</v>
      </c>
      <c r="I655" s="2">
        <f t="shared" si="32"/>
        <v>45005</v>
      </c>
      <c r="J655" t="str">
        <f>VLOOKUP(M655,Umfragenteilnahme!$A$2:$B$3,2,)</f>
        <v>Ja</v>
      </c>
      <c r="M655">
        <v>1</v>
      </c>
      <c r="N655">
        <v>567</v>
      </c>
      <c r="O655">
        <v>3</v>
      </c>
      <c r="P655">
        <v>48</v>
      </c>
      <c r="Q655">
        <v>7</v>
      </c>
      <c r="R655">
        <v>2</v>
      </c>
      <c r="S655">
        <v>45</v>
      </c>
    </row>
    <row r="656" spans="1:19" x14ac:dyDescent="0.35">
      <c r="A656">
        <v>8303</v>
      </c>
      <c r="B656">
        <v>527</v>
      </c>
      <c r="C656" t="str">
        <f>VLOOKUP(B656,Kunde!A:C,3,FALSE)</f>
        <v>Geschäftskunde</v>
      </c>
      <c r="D656" t="str">
        <f>VLOOKUP(O656,Produkt!$A$1:$E$5,2,FALSE)</f>
        <v>C</v>
      </c>
      <c r="E656">
        <f t="shared" si="30"/>
        <v>150</v>
      </c>
      <c r="F656">
        <f>VLOOKUP(D656,Produkt!$B$1:$C$5,2,FALSE)*Bestellungen!E656</f>
        <v>225000</v>
      </c>
      <c r="G656" s="2">
        <v>44911</v>
      </c>
      <c r="H656" s="2">
        <f t="shared" si="31"/>
        <v>44915</v>
      </c>
      <c r="I656" s="2">
        <f t="shared" si="32"/>
        <v>44964</v>
      </c>
      <c r="J656" t="str">
        <f>VLOOKUP(M656,Umfragenteilnahme!$A$2:$B$3,2,)</f>
        <v>Ja</v>
      </c>
      <c r="M656">
        <v>1</v>
      </c>
      <c r="N656">
        <v>527</v>
      </c>
      <c r="O656">
        <v>3</v>
      </c>
      <c r="P656">
        <v>150</v>
      </c>
      <c r="Q656">
        <v>4</v>
      </c>
      <c r="R656">
        <v>4</v>
      </c>
      <c r="S656">
        <v>53</v>
      </c>
    </row>
    <row r="657" spans="1:19" x14ac:dyDescent="0.35">
      <c r="A657">
        <v>8304</v>
      </c>
      <c r="B657">
        <v>68</v>
      </c>
      <c r="C657" t="str">
        <f>VLOOKUP(B657,Kunde!A:C,3,FALSE)</f>
        <v>Geschäftskunde</v>
      </c>
      <c r="D657" t="str">
        <f>VLOOKUP(O657,Produkt!$A$1:$E$5,2,FALSE)</f>
        <v>D</v>
      </c>
      <c r="E657">
        <f t="shared" si="30"/>
        <v>147</v>
      </c>
      <c r="F657">
        <f>VLOOKUP(D657,Produkt!$B$1:$C$5,2,FALSE)*Bestellungen!E657</f>
        <v>117600</v>
      </c>
      <c r="G657" s="2">
        <v>44995</v>
      </c>
      <c r="H657" s="2">
        <f t="shared" si="31"/>
        <v>45000</v>
      </c>
      <c r="I657" s="2">
        <f t="shared" si="32"/>
        <v>45000</v>
      </c>
      <c r="J657" t="str">
        <f>VLOOKUP(M657,Umfragenteilnahme!$A$2:$B$3,2,)</f>
        <v>Ja</v>
      </c>
      <c r="M657">
        <v>1</v>
      </c>
      <c r="N657">
        <v>68</v>
      </c>
      <c r="O657">
        <v>4</v>
      </c>
      <c r="P657">
        <v>147</v>
      </c>
      <c r="Q657">
        <v>4</v>
      </c>
      <c r="R657">
        <v>5</v>
      </c>
      <c r="S657">
        <v>5</v>
      </c>
    </row>
    <row r="658" spans="1:19" x14ac:dyDescent="0.35">
      <c r="A658">
        <v>8305</v>
      </c>
      <c r="B658">
        <v>40</v>
      </c>
      <c r="C658" t="str">
        <f>VLOOKUP(B658,Kunde!A:C,3,FALSE)</f>
        <v>Geschäftskunde</v>
      </c>
      <c r="D658" t="str">
        <f>VLOOKUP(O658,Produkt!$A$1:$E$5,2,FALSE)</f>
        <v>A</v>
      </c>
      <c r="E658">
        <f t="shared" si="30"/>
        <v>26</v>
      </c>
      <c r="F658">
        <f>VLOOKUP(D658,Produkt!$B$1:$C$5,2,FALSE)*Bestellungen!E658</f>
        <v>7800</v>
      </c>
      <c r="G658" s="2">
        <v>44802</v>
      </c>
      <c r="H658" s="2">
        <f t="shared" si="31"/>
        <v>44805</v>
      </c>
      <c r="I658" s="2">
        <f t="shared" si="32"/>
        <v>44809</v>
      </c>
      <c r="J658" t="str">
        <f>VLOOKUP(M658,Umfragenteilnahme!$A$2:$B$3,2,)</f>
        <v>Ja</v>
      </c>
      <c r="M658">
        <v>1</v>
      </c>
      <c r="N658">
        <v>40</v>
      </c>
      <c r="O658">
        <v>1</v>
      </c>
      <c r="P658">
        <v>26</v>
      </c>
      <c r="Q658">
        <v>2</v>
      </c>
      <c r="R658">
        <v>3</v>
      </c>
      <c r="S658">
        <v>7</v>
      </c>
    </row>
    <row r="659" spans="1:19" x14ac:dyDescent="0.35">
      <c r="A659">
        <v>8306</v>
      </c>
      <c r="B659">
        <v>60</v>
      </c>
      <c r="C659" t="str">
        <f>VLOOKUP(B659,Kunde!A:C,3,FALSE)</f>
        <v>Geschäftskunde</v>
      </c>
      <c r="D659" t="str">
        <f>VLOOKUP(O659,Produkt!$A$1:$E$5,2,FALSE)</f>
        <v>B</v>
      </c>
      <c r="E659">
        <f t="shared" si="30"/>
        <v>61</v>
      </c>
      <c r="F659">
        <f>VLOOKUP(D659,Produkt!$B$1:$C$5,2,FALSE)*Bestellungen!E659</f>
        <v>29280</v>
      </c>
      <c r="G659" s="2">
        <v>44814</v>
      </c>
      <c r="H659" s="2">
        <f t="shared" si="31"/>
        <v>44819</v>
      </c>
      <c r="I659" s="2">
        <f t="shared" si="32"/>
        <v>44829</v>
      </c>
      <c r="J659" t="str">
        <f>VLOOKUP(M659,Umfragenteilnahme!$A$2:$B$3,2,)</f>
        <v>Nein</v>
      </c>
      <c r="M659">
        <v>2</v>
      </c>
      <c r="N659">
        <v>60</v>
      </c>
      <c r="O659">
        <v>2</v>
      </c>
      <c r="P659">
        <v>61</v>
      </c>
      <c r="Q659">
        <v>3</v>
      </c>
      <c r="R659">
        <v>5</v>
      </c>
      <c r="S659">
        <v>15</v>
      </c>
    </row>
    <row r="660" spans="1:19" x14ac:dyDescent="0.35">
      <c r="A660">
        <v>8307</v>
      </c>
      <c r="B660">
        <v>476</v>
      </c>
      <c r="C660" t="str">
        <f>VLOOKUP(B660,Kunde!A:C,3,FALSE)</f>
        <v>Geschäftskunde</v>
      </c>
      <c r="D660" t="str">
        <f>VLOOKUP(O660,Produkt!$A$1:$E$5,2,FALSE)</f>
        <v>B</v>
      </c>
      <c r="E660">
        <f t="shared" si="30"/>
        <v>15</v>
      </c>
      <c r="F660">
        <f>VLOOKUP(D660,Produkt!$B$1:$C$5,2,FALSE)*Bestellungen!E660</f>
        <v>7200</v>
      </c>
      <c r="G660" s="2">
        <v>44933</v>
      </c>
      <c r="H660" s="2">
        <f t="shared" si="31"/>
        <v>44939</v>
      </c>
      <c r="I660" s="2">
        <f t="shared" si="32"/>
        <v>44981</v>
      </c>
      <c r="J660" t="str">
        <f>VLOOKUP(M660,Umfragenteilnahme!$A$2:$B$3,2,)</f>
        <v>Nein</v>
      </c>
      <c r="M660">
        <v>2</v>
      </c>
      <c r="N660">
        <v>476</v>
      </c>
      <c r="O660">
        <v>2</v>
      </c>
      <c r="P660">
        <v>15</v>
      </c>
      <c r="Q660">
        <v>6</v>
      </c>
      <c r="R660">
        <v>6</v>
      </c>
      <c r="S660">
        <v>48</v>
      </c>
    </row>
    <row r="661" spans="1:19" x14ac:dyDescent="0.35">
      <c r="A661">
        <v>8308</v>
      </c>
      <c r="B661">
        <v>57</v>
      </c>
      <c r="C661" t="str">
        <f>VLOOKUP(B661,Kunde!A:C,3,FALSE)</f>
        <v>Geschäftskunde</v>
      </c>
      <c r="D661" t="str">
        <f>VLOOKUP(O661,Produkt!$A$1:$E$5,2,FALSE)</f>
        <v>A</v>
      </c>
      <c r="E661">
        <f t="shared" si="30"/>
        <v>17</v>
      </c>
      <c r="F661">
        <f>VLOOKUP(D661,Produkt!$B$1:$C$5,2,FALSE)*Bestellungen!E661</f>
        <v>5100</v>
      </c>
      <c r="G661" s="2">
        <v>45003</v>
      </c>
      <c r="H661" s="2">
        <f t="shared" si="31"/>
        <v>45006</v>
      </c>
      <c r="I661" s="2">
        <f t="shared" si="32"/>
        <v>45061</v>
      </c>
      <c r="J661" t="str">
        <f>VLOOKUP(M661,Umfragenteilnahme!$A$2:$B$3,2,)</f>
        <v>Nein</v>
      </c>
      <c r="M661">
        <v>2</v>
      </c>
      <c r="N661">
        <v>57</v>
      </c>
      <c r="O661">
        <v>1</v>
      </c>
      <c r="P661">
        <v>17</v>
      </c>
      <c r="Q661">
        <v>5</v>
      </c>
      <c r="R661">
        <v>3</v>
      </c>
      <c r="S661">
        <v>58</v>
      </c>
    </row>
    <row r="662" spans="1:19" x14ac:dyDescent="0.35">
      <c r="A662">
        <v>8309</v>
      </c>
      <c r="B662">
        <v>764</v>
      </c>
      <c r="C662" t="str">
        <f>VLOOKUP(B662,Kunde!A:C,3,FALSE)</f>
        <v>Privatkunde</v>
      </c>
      <c r="D662" t="str">
        <f>VLOOKUP(O662,Produkt!$A$1:$E$5,2,FALSE)</f>
        <v>B</v>
      </c>
      <c r="E662">
        <f t="shared" si="30"/>
        <v>8</v>
      </c>
      <c r="F662">
        <f>VLOOKUP(D662,Produkt!$B$1:$C$5,2,FALSE)*Bestellungen!E662</f>
        <v>3840</v>
      </c>
      <c r="G662" s="2">
        <v>44819</v>
      </c>
      <c r="H662" s="2">
        <f t="shared" si="31"/>
        <v>44823</v>
      </c>
      <c r="I662" s="2">
        <f t="shared" si="32"/>
        <v>44876</v>
      </c>
      <c r="J662" t="str">
        <f>VLOOKUP(M662,Umfragenteilnahme!$A$2:$B$3,2,)</f>
        <v>Ja</v>
      </c>
      <c r="M662">
        <v>1</v>
      </c>
      <c r="N662">
        <v>764</v>
      </c>
      <c r="O662">
        <v>2</v>
      </c>
      <c r="P662">
        <v>20</v>
      </c>
      <c r="Q662">
        <v>8</v>
      </c>
      <c r="R662">
        <v>4</v>
      </c>
      <c r="S662">
        <v>57</v>
      </c>
    </row>
    <row r="663" spans="1:19" x14ac:dyDescent="0.35">
      <c r="A663">
        <v>8310</v>
      </c>
      <c r="B663">
        <v>178</v>
      </c>
      <c r="C663" t="str">
        <f>VLOOKUP(B663,Kunde!A:C,3,FALSE)</f>
        <v>Privatkunde</v>
      </c>
      <c r="D663" t="str">
        <f>VLOOKUP(O663,Produkt!$A$1:$E$5,2,FALSE)</f>
        <v>A</v>
      </c>
      <c r="E663">
        <f t="shared" si="30"/>
        <v>4</v>
      </c>
      <c r="F663">
        <f>VLOOKUP(D663,Produkt!$B$1:$C$5,2,FALSE)*Bestellungen!E663</f>
        <v>1200</v>
      </c>
      <c r="G663" s="2">
        <v>44979</v>
      </c>
      <c r="H663" s="2">
        <f t="shared" si="31"/>
        <v>44981</v>
      </c>
      <c r="I663" s="2">
        <f t="shared" si="32"/>
        <v>45008</v>
      </c>
      <c r="J663" t="str">
        <f>VLOOKUP(M663,Umfragenteilnahme!$A$2:$B$3,2,)</f>
        <v>Ja</v>
      </c>
      <c r="M663">
        <v>1</v>
      </c>
      <c r="N663">
        <v>178</v>
      </c>
      <c r="O663">
        <v>1</v>
      </c>
      <c r="P663">
        <v>47</v>
      </c>
      <c r="Q663">
        <v>4</v>
      </c>
      <c r="R663">
        <v>2</v>
      </c>
      <c r="S663">
        <v>29</v>
      </c>
    </row>
    <row r="664" spans="1:19" x14ac:dyDescent="0.35">
      <c r="A664">
        <v>8311</v>
      </c>
      <c r="B664">
        <v>291</v>
      </c>
      <c r="C664" t="str">
        <f>VLOOKUP(B664,Kunde!A:C,3,FALSE)</f>
        <v>Geschäftskunde</v>
      </c>
      <c r="D664" t="str">
        <f>VLOOKUP(O664,Produkt!$A$1:$E$5,2,FALSE)</f>
        <v>A</v>
      </c>
      <c r="E664">
        <f t="shared" si="30"/>
        <v>44</v>
      </c>
      <c r="F664">
        <f>VLOOKUP(D664,Produkt!$B$1:$C$5,2,FALSE)*Bestellungen!E664</f>
        <v>13200</v>
      </c>
      <c r="G664" s="2">
        <v>44853</v>
      </c>
      <c r="H664" s="2">
        <f t="shared" si="31"/>
        <v>44859</v>
      </c>
      <c r="I664" s="2">
        <f t="shared" si="32"/>
        <v>44912</v>
      </c>
      <c r="J664" t="str">
        <f>VLOOKUP(M664,Umfragenteilnahme!$A$2:$B$3,2,)</f>
        <v>Nein</v>
      </c>
      <c r="M664">
        <v>2</v>
      </c>
      <c r="N664">
        <v>291</v>
      </c>
      <c r="O664">
        <v>1</v>
      </c>
      <c r="P664">
        <v>44</v>
      </c>
      <c r="Q664">
        <v>7</v>
      </c>
      <c r="R664">
        <v>6</v>
      </c>
      <c r="S664">
        <v>59</v>
      </c>
    </row>
    <row r="665" spans="1:19" x14ac:dyDescent="0.35">
      <c r="A665">
        <v>8312</v>
      </c>
      <c r="B665">
        <v>327</v>
      </c>
      <c r="C665" t="str">
        <f>VLOOKUP(B665,Kunde!A:C,3,FALSE)</f>
        <v>Geschäftskunde</v>
      </c>
      <c r="D665" t="str">
        <f>VLOOKUP(O665,Produkt!$A$1:$E$5,2,FALSE)</f>
        <v>C</v>
      </c>
      <c r="E665">
        <f t="shared" si="30"/>
        <v>128</v>
      </c>
      <c r="F665">
        <f>VLOOKUP(D665,Produkt!$B$1:$C$5,2,FALSE)*Bestellungen!E665</f>
        <v>192000</v>
      </c>
      <c r="G665" s="2">
        <v>44731</v>
      </c>
      <c r="H665" s="2">
        <f t="shared" si="31"/>
        <v>44737</v>
      </c>
      <c r="I665" s="2">
        <f t="shared" si="32"/>
        <v>44785</v>
      </c>
      <c r="J665" t="str">
        <f>VLOOKUP(M665,Umfragenteilnahme!$A$2:$B$3,2,)</f>
        <v>Nein</v>
      </c>
      <c r="M665">
        <v>2</v>
      </c>
      <c r="N665">
        <v>327</v>
      </c>
      <c r="O665">
        <v>3</v>
      </c>
      <c r="P665">
        <v>128</v>
      </c>
      <c r="Q665">
        <v>10</v>
      </c>
      <c r="R665">
        <v>6</v>
      </c>
      <c r="S665">
        <v>54</v>
      </c>
    </row>
    <row r="666" spans="1:19" x14ac:dyDescent="0.35">
      <c r="A666">
        <v>8313</v>
      </c>
      <c r="B666">
        <v>7</v>
      </c>
      <c r="C666" t="str">
        <f>VLOOKUP(B666,Kunde!A:C,3,FALSE)</f>
        <v>Geschäftskunde</v>
      </c>
      <c r="D666" t="str">
        <f>VLOOKUP(O666,Produkt!$A$1:$E$5,2,FALSE)</f>
        <v>B</v>
      </c>
      <c r="E666">
        <f t="shared" si="30"/>
        <v>78</v>
      </c>
      <c r="F666">
        <f>VLOOKUP(D666,Produkt!$B$1:$C$5,2,FALSE)*Bestellungen!E666</f>
        <v>37440</v>
      </c>
      <c r="G666" s="2">
        <v>45067</v>
      </c>
      <c r="H666" s="2">
        <f t="shared" si="31"/>
        <v>45069</v>
      </c>
      <c r="I666" s="2">
        <f t="shared" si="32"/>
        <v>45110</v>
      </c>
      <c r="J666" t="str">
        <f>VLOOKUP(M666,Umfragenteilnahme!$A$2:$B$3,2,)</f>
        <v>Nein</v>
      </c>
      <c r="M666">
        <v>2</v>
      </c>
      <c r="N666">
        <v>7</v>
      </c>
      <c r="O666">
        <v>2</v>
      </c>
      <c r="P666">
        <v>78</v>
      </c>
      <c r="Q666">
        <v>10</v>
      </c>
      <c r="R666">
        <v>2</v>
      </c>
      <c r="S666">
        <v>43</v>
      </c>
    </row>
    <row r="667" spans="1:19" x14ac:dyDescent="0.35">
      <c r="A667">
        <v>8314</v>
      </c>
      <c r="B667">
        <v>314</v>
      </c>
      <c r="C667" t="str">
        <f>VLOOKUP(B667,Kunde!A:C,3,FALSE)</f>
        <v>Geschäftskunde</v>
      </c>
      <c r="D667" t="str">
        <f>VLOOKUP(O667,Produkt!$A$1:$E$5,2,FALSE)</f>
        <v>C</v>
      </c>
      <c r="E667">
        <f t="shared" si="30"/>
        <v>47</v>
      </c>
      <c r="F667">
        <f>VLOOKUP(D667,Produkt!$B$1:$C$5,2,FALSE)*Bestellungen!E667</f>
        <v>70500</v>
      </c>
      <c r="G667" s="2">
        <v>44766</v>
      </c>
      <c r="H667" s="2">
        <f t="shared" si="31"/>
        <v>44771</v>
      </c>
      <c r="I667" s="2">
        <f t="shared" si="32"/>
        <v>44798</v>
      </c>
      <c r="J667" t="str">
        <f>VLOOKUP(M667,Umfragenteilnahme!$A$2:$B$3,2,)</f>
        <v>Ja</v>
      </c>
      <c r="M667">
        <v>1</v>
      </c>
      <c r="N667">
        <v>314</v>
      </c>
      <c r="O667">
        <v>3</v>
      </c>
      <c r="P667">
        <v>47</v>
      </c>
      <c r="Q667">
        <v>1</v>
      </c>
      <c r="R667">
        <v>5</v>
      </c>
      <c r="S667">
        <v>32</v>
      </c>
    </row>
    <row r="668" spans="1:19" x14ac:dyDescent="0.35">
      <c r="A668">
        <v>8315</v>
      </c>
      <c r="B668">
        <v>189</v>
      </c>
      <c r="C668" t="str">
        <f>VLOOKUP(B668,Kunde!A:C,3,FALSE)</f>
        <v>Geschäftskunde</v>
      </c>
      <c r="D668" t="str">
        <f>VLOOKUP(O668,Produkt!$A$1:$E$5,2,FALSE)</f>
        <v>B</v>
      </c>
      <c r="E668">
        <f t="shared" si="30"/>
        <v>89</v>
      </c>
      <c r="F668">
        <f>VLOOKUP(D668,Produkt!$B$1:$C$5,2,FALSE)*Bestellungen!E668</f>
        <v>42720</v>
      </c>
      <c r="G668" s="2">
        <v>44910</v>
      </c>
      <c r="H668" s="2">
        <f t="shared" si="31"/>
        <v>44912</v>
      </c>
      <c r="I668" s="2">
        <f t="shared" si="32"/>
        <v>44924</v>
      </c>
      <c r="J668" t="str">
        <f>VLOOKUP(M668,Umfragenteilnahme!$A$2:$B$3,2,)</f>
        <v>Ja</v>
      </c>
      <c r="M668">
        <v>1</v>
      </c>
      <c r="N668">
        <v>189</v>
      </c>
      <c r="O668">
        <v>2</v>
      </c>
      <c r="P668">
        <v>89</v>
      </c>
      <c r="Q668">
        <v>5</v>
      </c>
      <c r="R668">
        <v>2</v>
      </c>
      <c r="S668">
        <v>14</v>
      </c>
    </row>
    <row r="669" spans="1:19" x14ac:dyDescent="0.35">
      <c r="A669">
        <v>8316</v>
      </c>
      <c r="B669">
        <v>565</v>
      </c>
      <c r="C669" t="str">
        <f>VLOOKUP(B669,Kunde!A:C,3,FALSE)</f>
        <v>Geschäftskunde</v>
      </c>
      <c r="D669" t="str">
        <f>VLOOKUP(O669,Produkt!$A$1:$E$5,2,FALSE)</f>
        <v>A</v>
      </c>
      <c r="E669">
        <f t="shared" si="30"/>
        <v>82</v>
      </c>
      <c r="F669">
        <f>VLOOKUP(D669,Produkt!$B$1:$C$5,2,FALSE)*Bestellungen!E669</f>
        <v>24600</v>
      </c>
      <c r="G669" s="2">
        <v>44842</v>
      </c>
      <c r="H669" s="2">
        <f t="shared" si="31"/>
        <v>44848</v>
      </c>
      <c r="I669" s="2">
        <f t="shared" si="32"/>
        <v>44886</v>
      </c>
      <c r="J669" t="str">
        <f>VLOOKUP(M669,Umfragenteilnahme!$A$2:$B$3,2,)</f>
        <v>Nein</v>
      </c>
      <c r="M669">
        <v>2</v>
      </c>
      <c r="N669">
        <v>565</v>
      </c>
      <c r="O669">
        <v>1</v>
      </c>
      <c r="P669">
        <v>82</v>
      </c>
      <c r="Q669">
        <v>3</v>
      </c>
      <c r="R669">
        <v>6</v>
      </c>
      <c r="S669">
        <v>44</v>
      </c>
    </row>
    <row r="670" spans="1:19" x14ac:dyDescent="0.35">
      <c r="A670">
        <v>8317</v>
      </c>
      <c r="B670">
        <v>34</v>
      </c>
      <c r="C670" t="str">
        <f>VLOOKUP(B670,Kunde!A:C,3,FALSE)</f>
        <v>Privatkunde</v>
      </c>
      <c r="D670" t="str">
        <f>VLOOKUP(O670,Produkt!$A$1:$E$5,2,FALSE)</f>
        <v>A</v>
      </c>
      <c r="E670">
        <f t="shared" si="30"/>
        <v>2</v>
      </c>
      <c r="F670">
        <f>VLOOKUP(D670,Produkt!$B$1:$C$5,2,FALSE)*Bestellungen!E670</f>
        <v>600</v>
      </c>
      <c r="G670" s="2">
        <v>44911</v>
      </c>
      <c r="H670" s="2">
        <f t="shared" si="31"/>
        <v>44917</v>
      </c>
      <c r="I670" s="2">
        <f t="shared" si="32"/>
        <v>44945</v>
      </c>
      <c r="J670" t="str">
        <f>VLOOKUP(M670,Umfragenteilnahme!$A$2:$B$3,2,)</f>
        <v>Nein</v>
      </c>
      <c r="M670">
        <v>2</v>
      </c>
      <c r="N670">
        <v>34</v>
      </c>
      <c r="O670">
        <v>1</v>
      </c>
      <c r="P670">
        <v>88</v>
      </c>
      <c r="Q670">
        <v>2</v>
      </c>
      <c r="R670">
        <v>6</v>
      </c>
      <c r="S670">
        <v>34</v>
      </c>
    </row>
    <row r="671" spans="1:19" x14ac:dyDescent="0.35">
      <c r="A671">
        <v>8318</v>
      </c>
      <c r="B671">
        <v>76</v>
      </c>
      <c r="C671" t="str">
        <f>VLOOKUP(B671,Kunde!A:C,3,FALSE)</f>
        <v>Geschäftskunde</v>
      </c>
      <c r="D671" t="str">
        <f>VLOOKUP(O671,Produkt!$A$1:$E$5,2,FALSE)</f>
        <v>D</v>
      </c>
      <c r="E671">
        <f t="shared" si="30"/>
        <v>34</v>
      </c>
      <c r="F671">
        <f>VLOOKUP(D671,Produkt!$B$1:$C$5,2,FALSE)*Bestellungen!E671</f>
        <v>27200</v>
      </c>
      <c r="G671" s="2">
        <v>44965</v>
      </c>
      <c r="H671" s="2">
        <f t="shared" si="31"/>
        <v>44968</v>
      </c>
      <c r="I671" s="2">
        <f t="shared" si="32"/>
        <v>45011</v>
      </c>
      <c r="J671" t="str">
        <f>VLOOKUP(M671,Umfragenteilnahme!$A$2:$B$3,2,)</f>
        <v>Nein</v>
      </c>
      <c r="M671">
        <v>2</v>
      </c>
      <c r="N671">
        <v>76</v>
      </c>
      <c r="O671">
        <v>4</v>
      </c>
      <c r="P671">
        <v>34</v>
      </c>
      <c r="Q671">
        <v>4</v>
      </c>
      <c r="R671">
        <v>3</v>
      </c>
      <c r="S671">
        <v>46</v>
      </c>
    </row>
    <row r="672" spans="1:19" x14ac:dyDescent="0.35">
      <c r="A672">
        <v>8319</v>
      </c>
      <c r="B672">
        <v>62</v>
      </c>
      <c r="C672" t="str">
        <f>VLOOKUP(B672,Kunde!A:C,3,FALSE)</f>
        <v>Geschäftskunde</v>
      </c>
      <c r="D672" t="str">
        <f>VLOOKUP(O672,Produkt!$A$1:$E$5,2,FALSE)</f>
        <v>B</v>
      </c>
      <c r="E672">
        <f t="shared" si="30"/>
        <v>88</v>
      </c>
      <c r="F672">
        <f>VLOOKUP(D672,Produkt!$B$1:$C$5,2,FALSE)*Bestellungen!E672</f>
        <v>42240</v>
      </c>
      <c r="G672" s="2">
        <v>44888</v>
      </c>
      <c r="H672" s="2">
        <f t="shared" si="31"/>
        <v>44891</v>
      </c>
      <c r="I672" s="2">
        <f t="shared" si="32"/>
        <v>44939</v>
      </c>
      <c r="J672" t="str">
        <f>VLOOKUP(M672,Umfragenteilnahme!$A$2:$B$3,2,)</f>
        <v>Nein</v>
      </c>
      <c r="M672">
        <v>2</v>
      </c>
      <c r="N672">
        <v>62</v>
      </c>
      <c r="O672">
        <v>2</v>
      </c>
      <c r="P672">
        <v>88</v>
      </c>
      <c r="Q672">
        <v>10</v>
      </c>
      <c r="R672">
        <v>3</v>
      </c>
      <c r="S672">
        <v>51</v>
      </c>
    </row>
    <row r="673" spans="1:19" x14ac:dyDescent="0.35">
      <c r="A673">
        <v>8320</v>
      </c>
      <c r="B673">
        <v>773</v>
      </c>
      <c r="C673" t="str">
        <f>VLOOKUP(B673,Kunde!A:C,3,FALSE)</f>
        <v>Geschäftskunde</v>
      </c>
      <c r="D673" t="str">
        <f>VLOOKUP(O673,Produkt!$A$1:$E$5,2,FALSE)</f>
        <v>B</v>
      </c>
      <c r="E673">
        <f t="shared" si="30"/>
        <v>94</v>
      </c>
      <c r="F673">
        <f>VLOOKUP(D673,Produkt!$B$1:$C$5,2,FALSE)*Bestellungen!E673</f>
        <v>45120</v>
      </c>
      <c r="G673" s="2">
        <v>44753</v>
      </c>
      <c r="H673" s="2">
        <f t="shared" si="31"/>
        <v>44755</v>
      </c>
      <c r="I673" s="2">
        <f t="shared" si="32"/>
        <v>44768</v>
      </c>
      <c r="J673" t="str">
        <f>VLOOKUP(M673,Umfragenteilnahme!$A$2:$B$3,2,)</f>
        <v>Ja</v>
      </c>
      <c r="M673">
        <v>1</v>
      </c>
      <c r="N673">
        <v>773</v>
      </c>
      <c r="O673">
        <v>2</v>
      </c>
      <c r="P673">
        <v>94</v>
      </c>
      <c r="Q673">
        <v>5</v>
      </c>
      <c r="R673">
        <v>2</v>
      </c>
      <c r="S673">
        <v>15</v>
      </c>
    </row>
    <row r="674" spans="1:19" x14ac:dyDescent="0.35">
      <c r="A674">
        <v>8321</v>
      </c>
      <c r="B674">
        <v>500</v>
      </c>
      <c r="C674" t="str">
        <f>VLOOKUP(B674,Kunde!A:C,3,FALSE)</f>
        <v>Geschäftskunde</v>
      </c>
      <c r="D674" t="str">
        <f>VLOOKUP(O674,Produkt!$A$1:$E$5,2,FALSE)</f>
        <v>B</v>
      </c>
      <c r="E674">
        <f t="shared" si="30"/>
        <v>139</v>
      </c>
      <c r="F674">
        <f>VLOOKUP(D674,Produkt!$B$1:$C$5,2,FALSE)*Bestellungen!E674</f>
        <v>66720</v>
      </c>
      <c r="G674" s="2">
        <v>44749</v>
      </c>
      <c r="H674" s="2">
        <f t="shared" si="31"/>
        <v>44755</v>
      </c>
      <c r="I674" s="2">
        <f t="shared" si="32"/>
        <v>44769</v>
      </c>
      <c r="J674" t="str">
        <f>VLOOKUP(M674,Umfragenteilnahme!$A$2:$B$3,2,)</f>
        <v>Nein</v>
      </c>
      <c r="M674">
        <v>2</v>
      </c>
      <c r="N674">
        <v>500</v>
      </c>
      <c r="O674">
        <v>2</v>
      </c>
      <c r="P674">
        <v>139</v>
      </c>
      <c r="Q674">
        <v>8</v>
      </c>
      <c r="R674">
        <v>6</v>
      </c>
      <c r="S674">
        <v>20</v>
      </c>
    </row>
    <row r="675" spans="1:19" x14ac:dyDescent="0.35">
      <c r="A675">
        <v>8322</v>
      </c>
      <c r="B675">
        <v>357</v>
      </c>
      <c r="C675" t="str">
        <f>VLOOKUP(B675,Kunde!A:C,3,FALSE)</f>
        <v>Geschäftskunde</v>
      </c>
      <c r="D675" t="str">
        <f>VLOOKUP(O675,Produkt!$A$1:$E$5,2,FALSE)</f>
        <v>A</v>
      </c>
      <c r="E675">
        <f t="shared" si="30"/>
        <v>95</v>
      </c>
      <c r="F675">
        <f>VLOOKUP(D675,Produkt!$B$1:$C$5,2,FALSE)*Bestellungen!E675</f>
        <v>28500</v>
      </c>
      <c r="G675" s="2">
        <v>44785</v>
      </c>
      <c r="H675" s="2">
        <f t="shared" si="31"/>
        <v>44787</v>
      </c>
      <c r="I675" s="2">
        <f t="shared" si="32"/>
        <v>44834</v>
      </c>
      <c r="J675" t="str">
        <f>VLOOKUP(M675,Umfragenteilnahme!$A$2:$B$3,2,)</f>
        <v>Nein</v>
      </c>
      <c r="M675">
        <v>2</v>
      </c>
      <c r="N675">
        <v>357</v>
      </c>
      <c r="O675">
        <v>1</v>
      </c>
      <c r="P675">
        <v>95</v>
      </c>
      <c r="Q675">
        <v>5</v>
      </c>
      <c r="R675">
        <v>2</v>
      </c>
      <c r="S675">
        <v>49</v>
      </c>
    </row>
    <row r="676" spans="1:19" x14ac:dyDescent="0.35">
      <c r="A676">
        <v>8323</v>
      </c>
      <c r="B676">
        <v>15</v>
      </c>
      <c r="C676" t="str">
        <f>VLOOKUP(B676,Kunde!A:C,3,FALSE)</f>
        <v>Geschäftskunde</v>
      </c>
      <c r="D676" t="str">
        <f>VLOOKUP(O676,Produkt!$A$1:$E$5,2,FALSE)</f>
        <v>A</v>
      </c>
      <c r="E676">
        <f t="shared" si="30"/>
        <v>112</v>
      </c>
      <c r="F676">
        <f>VLOOKUP(D676,Produkt!$B$1:$C$5,2,FALSE)*Bestellungen!E676</f>
        <v>33600</v>
      </c>
      <c r="G676" s="2">
        <v>45050</v>
      </c>
      <c r="H676" s="2">
        <f t="shared" si="31"/>
        <v>45053</v>
      </c>
      <c r="I676" s="2">
        <f t="shared" si="32"/>
        <v>45061</v>
      </c>
      <c r="J676" t="str">
        <f>VLOOKUP(M676,Umfragenteilnahme!$A$2:$B$3,2,)</f>
        <v>Nein</v>
      </c>
      <c r="M676">
        <v>2</v>
      </c>
      <c r="N676">
        <v>15</v>
      </c>
      <c r="O676">
        <v>1</v>
      </c>
      <c r="P676">
        <v>112</v>
      </c>
      <c r="Q676">
        <v>4</v>
      </c>
      <c r="R676">
        <v>3</v>
      </c>
      <c r="S676">
        <v>11</v>
      </c>
    </row>
    <row r="677" spans="1:19" x14ac:dyDescent="0.35">
      <c r="A677">
        <v>8324</v>
      </c>
      <c r="B677">
        <v>656</v>
      </c>
      <c r="C677" t="str">
        <f>VLOOKUP(B677,Kunde!A:C,3,FALSE)</f>
        <v>Geschäftskunde</v>
      </c>
      <c r="D677" t="str">
        <f>VLOOKUP(O677,Produkt!$A$1:$E$5,2,FALSE)</f>
        <v>B</v>
      </c>
      <c r="E677">
        <f t="shared" si="30"/>
        <v>129</v>
      </c>
      <c r="F677">
        <f>VLOOKUP(D677,Produkt!$B$1:$C$5,2,FALSE)*Bestellungen!E677</f>
        <v>61920</v>
      </c>
      <c r="G677" s="2">
        <v>44998</v>
      </c>
      <c r="H677" s="2">
        <f t="shared" si="31"/>
        <v>45003</v>
      </c>
      <c r="I677" s="2">
        <f t="shared" si="32"/>
        <v>45023</v>
      </c>
      <c r="J677" t="str">
        <f>VLOOKUP(M677,Umfragenteilnahme!$A$2:$B$3,2,)</f>
        <v>Nein</v>
      </c>
      <c r="M677">
        <v>2</v>
      </c>
      <c r="N677">
        <v>656</v>
      </c>
      <c r="O677">
        <v>2</v>
      </c>
      <c r="P677">
        <v>129</v>
      </c>
      <c r="Q677">
        <v>8</v>
      </c>
      <c r="R677">
        <v>5</v>
      </c>
      <c r="S677">
        <v>25</v>
      </c>
    </row>
    <row r="678" spans="1:19" x14ac:dyDescent="0.35">
      <c r="A678">
        <v>8325</v>
      </c>
      <c r="B678">
        <v>53</v>
      </c>
      <c r="C678" t="str">
        <f>VLOOKUP(B678,Kunde!A:C,3,FALSE)</f>
        <v>Geschäftskunde</v>
      </c>
      <c r="D678" t="str">
        <f>VLOOKUP(O678,Produkt!$A$1:$E$5,2,FALSE)</f>
        <v>B</v>
      </c>
      <c r="E678">
        <f t="shared" si="30"/>
        <v>39</v>
      </c>
      <c r="F678">
        <f>VLOOKUP(D678,Produkt!$B$1:$C$5,2,FALSE)*Bestellungen!E678</f>
        <v>18720</v>
      </c>
      <c r="G678" s="2">
        <v>44846</v>
      </c>
      <c r="H678" s="2">
        <f t="shared" si="31"/>
        <v>44848</v>
      </c>
      <c r="I678" s="2">
        <f t="shared" si="32"/>
        <v>44849</v>
      </c>
      <c r="J678" t="str">
        <f>VLOOKUP(M678,Umfragenteilnahme!$A$2:$B$3,2,)</f>
        <v>Nein</v>
      </c>
      <c r="M678">
        <v>2</v>
      </c>
      <c r="N678">
        <v>53</v>
      </c>
      <c r="O678">
        <v>2</v>
      </c>
      <c r="P678">
        <v>39</v>
      </c>
      <c r="Q678">
        <v>6</v>
      </c>
      <c r="R678">
        <v>2</v>
      </c>
      <c r="S678">
        <v>3</v>
      </c>
    </row>
    <row r="679" spans="1:19" x14ac:dyDescent="0.35">
      <c r="A679">
        <v>8326</v>
      </c>
      <c r="B679">
        <v>66</v>
      </c>
      <c r="C679" t="str">
        <f>VLOOKUP(B679,Kunde!A:C,3,FALSE)</f>
        <v>Geschäftskunde</v>
      </c>
      <c r="D679" t="str">
        <f>VLOOKUP(O679,Produkt!$A$1:$E$5,2,FALSE)</f>
        <v>A</v>
      </c>
      <c r="E679">
        <f t="shared" si="30"/>
        <v>70</v>
      </c>
      <c r="F679">
        <f>VLOOKUP(D679,Produkt!$B$1:$C$5,2,FALSE)*Bestellungen!E679</f>
        <v>21000</v>
      </c>
      <c r="G679" s="2">
        <v>44924</v>
      </c>
      <c r="H679" s="2">
        <f t="shared" si="31"/>
        <v>44927</v>
      </c>
      <c r="I679" s="2">
        <f t="shared" si="32"/>
        <v>44964</v>
      </c>
      <c r="J679" t="str">
        <f>VLOOKUP(M679,Umfragenteilnahme!$A$2:$B$3,2,)</f>
        <v>Ja</v>
      </c>
      <c r="M679">
        <v>1</v>
      </c>
      <c r="N679">
        <v>66</v>
      </c>
      <c r="O679">
        <v>1</v>
      </c>
      <c r="P679">
        <v>70</v>
      </c>
      <c r="Q679">
        <v>7</v>
      </c>
      <c r="R679">
        <v>3</v>
      </c>
      <c r="S679">
        <v>40</v>
      </c>
    </row>
    <row r="680" spans="1:19" x14ac:dyDescent="0.35">
      <c r="A680">
        <v>8327</v>
      </c>
      <c r="B680">
        <v>660</v>
      </c>
      <c r="C680" t="str">
        <f>VLOOKUP(B680,Kunde!A:C,3,FALSE)</f>
        <v>Geschäftskunde</v>
      </c>
      <c r="D680" t="str">
        <f>VLOOKUP(O680,Produkt!$A$1:$E$5,2,FALSE)</f>
        <v>A</v>
      </c>
      <c r="E680">
        <f t="shared" si="30"/>
        <v>48</v>
      </c>
      <c r="F680">
        <f>VLOOKUP(D680,Produkt!$B$1:$C$5,2,FALSE)*Bestellungen!E680</f>
        <v>14400</v>
      </c>
      <c r="G680" s="2">
        <v>44864</v>
      </c>
      <c r="H680" s="2">
        <f t="shared" si="31"/>
        <v>44867</v>
      </c>
      <c r="I680" s="2">
        <f t="shared" si="32"/>
        <v>44888</v>
      </c>
      <c r="J680" t="str">
        <f>VLOOKUP(M680,Umfragenteilnahme!$A$2:$B$3,2,)</f>
        <v>Nein</v>
      </c>
      <c r="M680">
        <v>2</v>
      </c>
      <c r="N680">
        <v>660</v>
      </c>
      <c r="O680">
        <v>1</v>
      </c>
      <c r="P680">
        <v>48</v>
      </c>
      <c r="Q680">
        <v>6</v>
      </c>
      <c r="R680">
        <v>3</v>
      </c>
      <c r="S680">
        <v>24</v>
      </c>
    </row>
    <row r="681" spans="1:19" x14ac:dyDescent="0.35">
      <c r="A681">
        <v>8328</v>
      </c>
      <c r="B681">
        <v>107</v>
      </c>
      <c r="C681" t="str">
        <f>VLOOKUP(B681,Kunde!A:C,3,FALSE)</f>
        <v>Geschäftskunde</v>
      </c>
      <c r="D681" t="str">
        <f>VLOOKUP(O681,Produkt!$A$1:$E$5,2,FALSE)</f>
        <v>A</v>
      </c>
      <c r="E681">
        <f t="shared" si="30"/>
        <v>24</v>
      </c>
      <c r="F681">
        <f>VLOOKUP(D681,Produkt!$B$1:$C$5,2,FALSE)*Bestellungen!E681</f>
        <v>7200</v>
      </c>
      <c r="G681" s="2">
        <v>44764</v>
      </c>
      <c r="H681" s="2">
        <f t="shared" si="31"/>
        <v>44769</v>
      </c>
      <c r="I681" s="2">
        <f t="shared" si="32"/>
        <v>44803</v>
      </c>
      <c r="J681" t="str">
        <f>VLOOKUP(M681,Umfragenteilnahme!$A$2:$B$3,2,)</f>
        <v>Nein</v>
      </c>
      <c r="M681">
        <v>2</v>
      </c>
      <c r="N681">
        <v>107</v>
      </c>
      <c r="O681">
        <v>1</v>
      </c>
      <c r="P681">
        <v>24</v>
      </c>
      <c r="Q681">
        <v>7</v>
      </c>
      <c r="R681">
        <v>5</v>
      </c>
      <c r="S681">
        <v>39</v>
      </c>
    </row>
    <row r="682" spans="1:19" x14ac:dyDescent="0.35">
      <c r="A682">
        <v>8329</v>
      </c>
      <c r="B682">
        <v>110</v>
      </c>
      <c r="C682" t="str">
        <f>VLOOKUP(B682,Kunde!A:C,3,FALSE)</f>
        <v>Privatkunde</v>
      </c>
      <c r="D682" t="str">
        <f>VLOOKUP(O682,Produkt!$A$1:$E$5,2,FALSE)</f>
        <v>D</v>
      </c>
      <c r="E682">
        <f t="shared" si="30"/>
        <v>2</v>
      </c>
      <c r="F682">
        <f>VLOOKUP(D682,Produkt!$B$1:$C$5,2,FALSE)*Bestellungen!E682</f>
        <v>1600</v>
      </c>
      <c r="G682" s="2">
        <v>45022</v>
      </c>
      <c r="H682" s="2">
        <f t="shared" si="31"/>
        <v>45025</v>
      </c>
      <c r="I682" s="2">
        <f t="shared" si="32"/>
        <v>45028</v>
      </c>
      <c r="J682" t="str">
        <f>VLOOKUP(M682,Umfragenteilnahme!$A$2:$B$3,2,)</f>
        <v>Ja</v>
      </c>
      <c r="M682">
        <v>1</v>
      </c>
      <c r="N682">
        <v>110</v>
      </c>
      <c r="O682">
        <v>4</v>
      </c>
      <c r="P682">
        <v>45</v>
      </c>
      <c r="Q682">
        <v>2</v>
      </c>
      <c r="R682">
        <v>3</v>
      </c>
      <c r="S682">
        <v>6</v>
      </c>
    </row>
    <row r="683" spans="1:19" x14ac:dyDescent="0.35">
      <c r="A683">
        <v>8330</v>
      </c>
      <c r="B683">
        <v>66</v>
      </c>
      <c r="C683" t="str">
        <f>VLOOKUP(B683,Kunde!A:C,3,FALSE)</f>
        <v>Geschäftskunde</v>
      </c>
      <c r="D683" t="str">
        <f>VLOOKUP(O683,Produkt!$A$1:$E$5,2,FALSE)</f>
        <v>A</v>
      </c>
      <c r="E683">
        <f t="shared" si="30"/>
        <v>135</v>
      </c>
      <c r="F683">
        <f>VLOOKUP(D683,Produkt!$B$1:$C$5,2,FALSE)*Bestellungen!E683</f>
        <v>40500</v>
      </c>
      <c r="G683" s="2">
        <v>44831</v>
      </c>
      <c r="H683" s="2">
        <f t="shared" si="31"/>
        <v>44835</v>
      </c>
      <c r="I683" s="2">
        <f t="shared" si="32"/>
        <v>44849</v>
      </c>
      <c r="J683" t="str">
        <f>VLOOKUP(M683,Umfragenteilnahme!$A$2:$B$3,2,)</f>
        <v>Nein</v>
      </c>
      <c r="M683">
        <v>2</v>
      </c>
      <c r="N683">
        <v>66</v>
      </c>
      <c r="O683">
        <v>1</v>
      </c>
      <c r="P683">
        <v>135</v>
      </c>
      <c r="Q683">
        <v>1</v>
      </c>
      <c r="R683">
        <v>4</v>
      </c>
      <c r="S683">
        <v>18</v>
      </c>
    </row>
    <row r="684" spans="1:19" x14ac:dyDescent="0.35">
      <c r="A684">
        <v>8331</v>
      </c>
      <c r="B684">
        <v>43</v>
      </c>
      <c r="C684" t="str">
        <f>VLOOKUP(B684,Kunde!A:C,3,FALSE)</f>
        <v>Geschäftskunde</v>
      </c>
      <c r="D684" t="str">
        <f>VLOOKUP(O684,Produkt!$A$1:$E$5,2,FALSE)</f>
        <v>B</v>
      </c>
      <c r="E684">
        <f t="shared" si="30"/>
        <v>124</v>
      </c>
      <c r="F684">
        <f>VLOOKUP(D684,Produkt!$B$1:$C$5,2,FALSE)*Bestellungen!E684</f>
        <v>59520</v>
      </c>
      <c r="G684" s="2">
        <v>44833</v>
      </c>
      <c r="H684" s="2">
        <f t="shared" si="31"/>
        <v>44835</v>
      </c>
      <c r="I684" s="2">
        <f t="shared" si="32"/>
        <v>44865</v>
      </c>
      <c r="J684" t="str">
        <f>VLOOKUP(M684,Umfragenteilnahme!$A$2:$B$3,2,)</f>
        <v>Ja</v>
      </c>
      <c r="M684">
        <v>1</v>
      </c>
      <c r="N684">
        <v>43</v>
      </c>
      <c r="O684">
        <v>2</v>
      </c>
      <c r="P684">
        <v>124</v>
      </c>
      <c r="Q684">
        <v>6</v>
      </c>
      <c r="R684">
        <v>2</v>
      </c>
      <c r="S684">
        <v>32</v>
      </c>
    </row>
    <row r="685" spans="1:19" x14ac:dyDescent="0.35">
      <c r="A685">
        <v>8332</v>
      </c>
      <c r="B685">
        <v>296</v>
      </c>
      <c r="C685" t="str">
        <f>VLOOKUP(B685,Kunde!A:C,3,FALSE)</f>
        <v>Geschäftskunde</v>
      </c>
      <c r="D685" t="str">
        <f>VLOOKUP(O685,Produkt!$A$1:$E$5,2,FALSE)</f>
        <v>B</v>
      </c>
      <c r="E685">
        <f t="shared" si="30"/>
        <v>130</v>
      </c>
      <c r="F685">
        <f>VLOOKUP(D685,Produkt!$B$1:$C$5,2,FALSE)*Bestellungen!E685</f>
        <v>62400</v>
      </c>
      <c r="G685" s="2">
        <v>44933</v>
      </c>
      <c r="H685" s="2">
        <f t="shared" si="31"/>
        <v>44939</v>
      </c>
      <c r="I685" s="2">
        <f t="shared" si="32"/>
        <v>44981</v>
      </c>
      <c r="J685" t="str">
        <f>VLOOKUP(M685,Umfragenteilnahme!$A$2:$B$3,2,)</f>
        <v>Nein</v>
      </c>
      <c r="M685">
        <v>2</v>
      </c>
      <c r="N685">
        <v>296</v>
      </c>
      <c r="O685">
        <v>2</v>
      </c>
      <c r="P685">
        <v>130</v>
      </c>
      <c r="Q685">
        <v>9</v>
      </c>
      <c r="R685">
        <v>6</v>
      </c>
      <c r="S685">
        <v>48</v>
      </c>
    </row>
    <row r="686" spans="1:19" x14ac:dyDescent="0.35">
      <c r="A686">
        <v>8333</v>
      </c>
      <c r="B686">
        <v>583</v>
      </c>
      <c r="C686" t="str">
        <f>VLOOKUP(B686,Kunde!A:C,3,FALSE)</f>
        <v>Geschäftskunde</v>
      </c>
      <c r="D686" t="str">
        <f>VLOOKUP(O686,Produkt!$A$1:$E$5,2,FALSE)</f>
        <v>B</v>
      </c>
      <c r="E686">
        <f t="shared" si="30"/>
        <v>42</v>
      </c>
      <c r="F686">
        <f>VLOOKUP(D686,Produkt!$B$1:$C$5,2,FALSE)*Bestellungen!E686</f>
        <v>20160</v>
      </c>
      <c r="G686" s="2">
        <v>44973</v>
      </c>
      <c r="H686" s="2">
        <f t="shared" si="31"/>
        <v>44975</v>
      </c>
      <c r="I686" s="2">
        <f t="shared" si="32"/>
        <v>45009</v>
      </c>
      <c r="J686" t="str">
        <f>VLOOKUP(M686,Umfragenteilnahme!$A$2:$B$3,2,)</f>
        <v>Nein</v>
      </c>
      <c r="M686">
        <v>2</v>
      </c>
      <c r="N686">
        <v>583</v>
      </c>
      <c r="O686">
        <v>2</v>
      </c>
      <c r="P686">
        <v>42</v>
      </c>
      <c r="Q686">
        <v>6</v>
      </c>
      <c r="R686">
        <v>2</v>
      </c>
      <c r="S686">
        <v>36</v>
      </c>
    </row>
    <row r="687" spans="1:19" x14ac:dyDescent="0.35">
      <c r="A687">
        <v>8334</v>
      </c>
      <c r="B687">
        <v>459</v>
      </c>
      <c r="C687" t="str">
        <f>VLOOKUP(B687,Kunde!A:C,3,FALSE)</f>
        <v>Geschäftskunde</v>
      </c>
      <c r="D687" t="str">
        <f>VLOOKUP(O687,Produkt!$A$1:$E$5,2,FALSE)</f>
        <v>B</v>
      </c>
      <c r="E687">
        <f t="shared" si="30"/>
        <v>92</v>
      </c>
      <c r="F687">
        <f>VLOOKUP(D687,Produkt!$B$1:$C$5,2,FALSE)*Bestellungen!E687</f>
        <v>44160</v>
      </c>
      <c r="G687" s="2">
        <v>44827</v>
      </c>
      <c r="H687" s="2">
        <f t="shared" si="31"/>
        <v>44831</v>
      </c>
      <c r="I687" s="2">
        <f t="shared" si="32"/>
        <v>44830</v>
      </c>
      <c r="J687" t="str">
        <f>VLOOKUP(M687,Umfragenteilnahme!$A$2:$B$3,2,)</f>
        <v>Ja</v>
      </c>
      <c r="M687">
        <v>1</v>
      </c>
      <c r="N687">
        <v>459</v>
      </c>
      <c r="O687">
        <v>2</v>
      </c>
      <c r="P687">
        <v>92</v>
      </c>
      <c r="Q687">
        <v>8</v>
      </c>
      <c r="R687">
        <v>4</v>
      </c>
      <c r="S687">
        <v>3</v>
      </c>
    </row>
    <row r="688" spans="1:19" x14ac:dyDescent="0.35">
      <c r="A688">
        <v>8335</v>
      </c>
      <c r="B688">
        <v>527</v>
      </c>
      <c r="C688" t="str">
        <f>VLOOKUP(B688,Kunde!A:C,3,FALSE)</f>
        <v>Geschäftskunde</v>
      </c>
      <c r="D688" t="str">
        <f>VLOOKUP(O688,Produkt!$A$1:$E$5,2,FALSE)</f>
        <v>D</v>
      </c>
      <c r="E688">
        <f t="shared" si="30"/>
        <v>96</v>
      </c>
      <c r="F688">
        <f>VLOOKUP(D688,Produkt!$B$1:$C$5,2,FALSE)*Bestellungen!E688</f>
        <v>76800</v>
      </c>
      <c r="G688" s="2">
        <v>45018</v>
      </c>
      <c r="H688" s="2">
        <f t="shared" si="31"/>
        <v>45025</v>
      </c>
      <c r="I688" s="2">
        <f t="shared" si="32"/>
        <v>45040</v>
      </c>
      <c r="J688" t="str">
        <f>VLOOKUP(M688,Umfragenteilnahme!$A$2:$B$3,2,)</f>
        <v>Nein</v>
      </c>
      <c r="M688">
        <v>2</v>
      </c>
      <c r="N688">
        <v>527</v>
      </c>
      <c r="O688">
        <v>4</v>
      </c>
      <c r="P688">
        <v>96</v>
      </c>
      <c r="Q688">
        <v>4</v>
      </c>
      <c r="R688">
        <v>7</v>
      </c>
      <c r="S688">
        <v>22</v>
      </c>
    </row>
    <row r="689" spans="1:19" x14ac:dyDescent="0.35">
      <c r="A689">
        <v>8336</v>
      </c>
      <c r="B689">
        <v>18</v>
      </c>
      <c r="C689" t="str">
        <f>VLOOKUP(B689,Kunde!A:C,3,FALSE)</f>
        <v>Privatkunde</v>
      </c>
      <c r="D689" t="str">
        <f>VLOOKUP(O689,Produkt!$A$1:$E$5,2,FALSE)</f>
        <v>D</v>
      </c>
      <c r="E689">
        <f t="shared" si="30"/>
        <v>8</v>
      </c>
      <c r="F689">
        <f>VLOOKUP(D689,Produkt!$B$1:$C$5,2,FALSE)*Bestellungen!E689</f>
        <v>6400</v>
      </c>
      <c r="G689" s="2">
        <v>45063</v>
      </c>
      <c r="H689" s="2">
        <f t="shared" si="31"/>
        <v>45069</v>
      </c>
      <c r="I689" s="2">
        <f t="shared" si="32"/>
        <v>45093</v>
      </c>
      <c r="J689" t="str">
        <f>VLOOKUP(M689,Umfragenteilnahme!$A$2:$B$3,2,)</f>
        <v>Ja</v>
      </c>
      <c r="M689">
        <v>1</v>
      </c>
      <c r="N689">
        <v>18</v>
      </c>
      <c r="O689">
        <v>4</v>
      </c>
      <c r="P689">
        <v>129</v>
      </c>
      <c r="Q689">
        <v>8</v>
      </c>
      <c r="R689">
        <v>6</v>
      </c>
      <c r="S689">
        <v>30</v>
      </c>
    </row>
    <row r="690" spans="1:19" x14ac:dyDescent="0.35">
      <c r="A690">
        <v>8337</v>
      </c>
      <c r="B690">
        <v>100</v>
      </c>
      <c r="C690" t="str">
        <f>VLOOKUP(B690,Kunde!A:C,3,FALSE)</f>
        <v>Privatkunde</v>
      </c>
      <c r="D690" t="str">
        <f>VLOOKUP(O690,Produkt!$A$1:$E$5,2,FALSE)</f>
        <v>A</v>
      </c>
      <c r="E690">
        <f t="shared" si="30"/>
        <v>3</v>
      </c>
      <c r="F690">
        <f>VLOOKUP(D690,Produkt!$B$1:$C$5,2,FALSE)*Bestellungen!E690</f>
        <v>900</v>
      </c>
      <c r="G690" s="2">
        <v>45003</v>
      </c>
      <c r="H690" s="2">
        <f t="shared" si="31"/>
        <v>45006</v>
      </c>
      <c r="I690" s="2">
        <f t="shared" si="32"/>
        <v>45049</v>
      </c>
      <c r="J690" t="str">
        <f>VLOOKUP(M690,Umfragenteilnahme!$A$2:$B$3,2,)</f>
        <v>Nein</v>
      </c>
      <c r="M690">
        <v>2</v>
      </c>
      <c r="N690">
        <v>100</v>
      </c>
      <c r="O690">
        <v>1</v>
      </c>
      <c r="P690">
        <v>84</v>
      </c>
      <c r="Q690">
        <v>3</v>
      </c>
      <c r="R690">
        <v>3</v>
      </c>
      <c r="S690">
        <v>46</v>
      </c>
    </row>
    <row r="691" spans="1:19" x14ac:dyDescent="0.35">
      <c r="A691">
        <v>8338</v>
      </c>
      <c r="B691">
        <v>89</v>
      </c>
      <c r="C691" t="str">
        <f>VLOOKUP(B691,Kunde!A:C,3,FALSE)</f>
        <v>Geschäftskunde</v>
      </c>
      <c r="D691" t="str">
        <f>VLOOKUP(O691,Produkt!$A$1:$E$5,2,FALSE)</f>
        <v>A</v>
      </c>
      <c r="E691">
        <f t="shared" si="30"/>
        <v>136</v>
      </c>
      <c r="F691">
        <f>VLOOKUP(D691,Produkt!$B$1:$C$5,2,FALSE)*Bestellungen!E691</f>
        <v>40800</v>
      </c>
      <c r="G691" s="2">
        <v>45071</v>
      </c>
      <c r="H691" s="2">
        <f t="shared" si="31"/>
        <v>45075</v>
      </c>
      <c r="I691" s="2">
        <f t="shared" si="32"/>
        <v>45102</v>
      </c>
      <c r="J691" t="str">
        <f>VLOOKUP(M691,Umfragenteilnahme!$A$2:$B$3,2,)</f>
        <v>Ja</v>
      </c>
      <c r="M691">
        <v>1</v>
      </c>
      <c r="N691">
        <v>89</v>
      </c>
      <c r="O691">
        <v>1</v>
      </c>
      <c r="P691">
        <v>136</v>
      </c>
      <c r="Q691">
        <v>5</v>
      </c>
      <c r="R691">
        <v>4</v>
      </c>
      <c r="S691">
        <v>31</v>
      </c>
    </row>
    <row r="692" spans="1:19" x14ac:dyDescent="0.35">
      <c r="A692">
        <v>8339</v>
      </c>
      <c r="B692">
        <v>744</v>
      </c>
      <c r="C692" t="str">
        <f>VLOOKUP(B692,Kunde!A:C,3,FALSE)</f>
        <v>Geschäftskunde</v>
      </c>
      <c r="D692" t="str">
        <f>VLOOKUP(O692,Produkt!$A$1:$E$5,2,FALSE)</f>
        <v>D</v>
      </c>
      <c r="E692">
        <f t="shared" si="30"/>
        <v>93</v>
      </c>
      <c r="F692">
        <f>VLOOKUP(D692,Produkt!$B$1:$C$5,2,FALSE)*Bestellungen!E692</f>
        <v>74400</v>
      </c>
      <c r="G692" s="2">
        <v>45007</v>
      </c>
      <c r="H692" s="2">
        <f t="shared" si="31"/>
        <v>45010</v>
      </c>
      <c r="I692" s="2">
        <f t="shared" si="32"/>
        <v>45046</v>
      </c>
      <c r="J692" t="str">
        <f>VLOOKUP(M692,Umfragenteilnahme!$A$2:$B$3,2,)</f>
        <v>Nein</v>
      </c>
      <c r="M692">
        <v>2</v>
      </c>
      <c r="N692">
        <v>744</v>
      </c>
      <c r="O692">
        <v>4</v>
      </c>
      <c r="P692">
        <v>93</v>
      </c>
      <c r="Q692">
        <v>4</v>
      </c>
      <c r="R692">
        <v>3</v>
      </c>
      <c r="S692">
        <v>39</v>
      </c>
    </row>
    <row r="693" spans="1:19" x14ac:dyDescent="0.35">
      <c r="A693">
        <v>8340</v>
      </c>
      <c r="B693">
        <v>547</v>
      </c>
      <c r="C693" t="str">
        <f>VLOOKUP(B693,Kunde!A:C,3,FALSE)</f>
        <v>Geschäftskunde</v>
      </c>
      <c r="D693" t="str">
        <f>VLOOKUP(O693,Produkt!$A$1:$E$5,2,FALSE)</f>
        <v>B</v>
      </c>
      <c r="E693">
        <f t="shared" si="30"/>
        <v>68</v>
      </c>
      <c r="F693">
        <f>VLOOKUP(D693,Produkt!$B$1:$C$5,2,FALSE)*Bestellungen!E693</f>
        <v>32640</v>
      </c>
      <c r="G693" s="2">
        <v>44782</v>
      </c>
      <c r="H693" s="2">
        <f t="shared" si="31"/>
        <v>44784</v>
      </c>
      <c r="I693" s="2">
        <f t="shared" si="32"/>
        <v>44790</v>
      </c>
      <c r="J693" t="str">
        <f>VLOOKUP(M693,Umfragenteilnahme!$A$2:$B$3,2,)</f>
        <v>Nein</v>
      </c>
      <c r="M693">
        <v>2</v>
      </c>
      <c r="N693">
        <v>547</v>
      </c>
      <c r="O693">
        <v>2</v>
      </c>
      <c r="P693">
        <v>68</v>
      </c>
      <c r="Q693">
        <v>1</v>
      </c>
      <c r="R693">
        <v>2</v>
      </c>
      <c r="S693">
        <v>8</v>
      </c>
    </row>
    <row r="694" spans="1:19" x14ac:dyDescent="0.35">
      <c r="A694">
        <v>8341</v>
      </c>
      <c r="B694">
        <v>406</v>
      </c>
      <c r="C694" t="str">
        <f>VLOOKUP(B694,Kunde!A:C,3,FALSE)</f>
        <v>Geschäftskunde</v>
      </c>
      <c r="D694" t="str">
        <f>VLOOKUP(O694,Produkt!$A$1:$E$5,2,FALSE)</f>
        <v>A</v>
      </c>
      <c r="E694">
        <f t="shared" si="30"/>
        <v>143</v>
      </c>
      <c r="F694">
        <f>VLOOKUP(D694,Produkt!$B$1:$C$5,2,FALSE)*Bestellungen!E694</f>
        <v>42900</v>
      </c>
      <c r="G694" s="2">
        <v>44981</v>
      </c>
      <c r="H694" s="2">
        <f t="shared" si="31"/>
        <v>44983</v>
      </c>
      <c r="I694" s="2">
        <f t="shared" si="32"/>
        <v>44995</v>
      </c>
      <c r="J694" t="str">
        <f>VLOOKUP(M694,Umfragenteilnahme!$A$2:$B$3,2,)</f>
        <v>Ja</v>
      </c>
      <c r="M694">
        <v>1</v>
      </c>
      <c r="N694">
        <v>406</v>
      </c>
      <c r="O694">
        <v>1</v>
      </c>
      <c r="P694">
        <v>143</v>
      </c>
      <c r="Q694">
        <v>9</v>
      </c>
      <c r="R694">
        <v>2</v>
      </c>
      <c r="S694">
        <v>14</v>
      </c>
    </row>
    <row r="695" spans="1:19" x14ac:dyDescent="0.35">
      <c r="A695">
        <v>8342</v>
      </c>
      <c r="B695">
        <v>456</v>
      </c>
      <c r="C695" t="str">
        <f>VLOOKUP(B695,Kunde!A:C,3,FALSE)</f>
        <v>Privatkunde</v>
      </c>
      <c r="D695" t="str">
        <f>VLOOKUP(O695,Produkt!$A$1:$E$5,2,FALSE)</f>
        <v>B</v>
      </c>
      <c r="E695">
        <f t="shared" si="30"/>
        <v>4</v>
      </c>
      <c r="F695">
        <f>VLOOKUP(D695,Produkt!$B$1:$C$5,2,FALSE)*Bestellungen!E695</f>
        <v>1920</v>
      </c>
      <c r="G695" s="2">
        <v>44792</v>
      </c>
      <c r="H695" s="2">
        <f t="shared" si="31"/>
        <v>44799</v>
      </c>
      <c r="I695" s="2">
        <f t="shared" si="32"/>
        <v>44837</v>
      </c>
      <c r="J695" t="str">
        <f>VLOOKUP(M695,Umfragenteilnahme!$A$2:$B$3,2,)</f>
        <v>Nein</v>
      </c>
      <c r="M695">
        <v>2</v>
      </c>
      <c r="N695">
        <v>456</v>
      </c>
      <c r="O695">
        <v>2</v>
      </c>
      <c r="P695">
        <v>14</v>
      </c>
      <c r="Q695">
        <v>4</v>
      </c>
      <c r="R695">
        <v>7</v>
      </c>
      <c r="S695">
        <v>45</v>
      </c>
    </row>
    <row r="696" spans="1:19" x14ac:dyDescent="0.35">
      <c r="A696">
        <v>8343</v>
      </c>
      <c r="B696">
        <v>69</v>
      </c>
      <c r="C696" t="str">
        <f>VLOOKUP(B696,Kunde!A:C,3,FALSE)</f>
        <v>Geschäftskunde</v>
      </c>
      <c r="D696" t="str">
        <f>VLOOKUP(O696,Produkt!$A$1:$E$5,2,FALSE)</f>
        <v>D</v>
      </c>
      <c r="E696">
        <f t="shared" si="30"/>
        <v>58</v>
      </c>
      <c r="F696">
        <f>VLOOKUP(D696,Produkt!$B$1:$C$5,2,FALSE)*Bestellungen!E696</f>
        <v>46400</v>
      </c>
      <c r="G696" s="2">
        <v>44743</v>
      </c>
      <c r="H696" s="2">
        <f t="shared" si="31"/>
        <v>44746</v>
      </c>
      <c r="I696" s="2">
        <f t="shared" si="32"/>
        <v>44750</v>
      </c>
      <c r="J696" t="str">
        <f>VLOOKUP(M696,Umfragenteilnahme!$A$2:$B$3,2,)</f>
        <v>Nein</v>
      </c>
      <c r="M696">
        <v>2</v>
      </c>
      <c r="N696">
        <v>69</v>
      </c>
      <c r="O696">
        <v>4</v>
      </c>
      <c r="P696">
        <v>58</v>
      </c>
      <c r="Q696">
        <v>3</v>
      </c>
      <c r="R696">
        <v>3</v>
      </c>
      <c r="S696">
        <v>7</v>
      </c>
    </row>
    <row r="697" spans="1:19" x14ac:dyDescent="0.35">
      <c r="A697">
        <v>8344</v>
      </c>
      <c r="B697">
        <v>161</v>
      </c>
      <c r="C697" t="str">
        <f>VLOOKUP(B697,Kunde!A:C,3,FALSE)</f>
        <v>Geschäftskunde</v>
      </c>
      <c r="D697" t="str">
        <f>VLOOKUP(O697,Produkt!$A$1:$E$5,2,FALSE)</f>
        <v>B</v>
      </c>
      <c r="E697">
        <f t="shared" si="30"/>
        <v>29</v>
      </c>
      <c r="F697">
        <f>VLOOKUP(D697,Produkt!$B$1:$C$5,2,FALSE)*Bestellungen!E697</f>
        <v>13920</v>
      </c>
      <c r="G697" s="2">
        <v>44744</v>
      </c>
      <c r="H697" s="2">
        <f t="shared" si="31"/>
        <v>44747</v>
      </c>
      <c r="I697" s="2">
        <f t="shared" si="32"/>
        <v>44751</v>
      </c>
      <c r="J697" t="str">
        <f>VLOOKUP(M697,Umfragenteilnahme!$A$2:$B$3,2,)</f>
        <v>Ja</v>
      </c>
      <c r="M697">
        <v>1</v>
      </c>
      <c r="N697">
        <v>161</v>
      </c>
      <c r="O697">
        <v>2</v>
      </c>
      <c r="P697">
        <v>29</v>
      </c>
      <c r="Q697">
        <v>1</v>
      </c>
      <c r="R697">
        <v>3</v>
      </c>
      <c r="S697">
        <v>7</v>
      </c>
    </row>
    <row r="698" spans="1:19" x14ac:dyDescent="0.35">
      <c r="A698">
        <v>8345</v>
      </c>
      <c r="B698">
        <v>653</v>
      </c>
      <c r="C698" t="str">
        <f>VLOOKUP(B698,Kunde!A:C,3,FALSE)</f>
        <v>Geschäftskunde</v>
      </c>
      <c r="D698" t="str">
        <f>VLOOKUP(O698,Produkt!$A$1:$E$5,2,FALSE)</f>
        <v>A</v>
      </c>
      <c r="E698">
        <f t="shared" si="30"/>
        <v>61</v>
      </c>
      <c r="F698">
        <f>VLOOKUP(D698,Produkt!$B$1:$C$5,2,FALSE)*Bestellungen!E698</f>
        <v>18300</v>
      </c>
      <c r="G698" s="2">
        <v>44827</v>
      </c>
      <c r="H698" s="2">
        <f t="shared" si="31"/>
        <v>44831</v>
      </c>
      <c r="I698" s="2">
        <f t="shared" si="32"/>
        <v>44867</v>
      </c>
      <c r="J698" t="str">
        <f>VLOOKUP(M698,Umfragenteilnahme!$A$2:$B$3,2,)</f>
        <v>Nein</v>
      </c>
      <c r="M698">
        <v>2</v>
      </c>
      <c r="N698">
        <v>653</v>
      </c>
      <c r="O698">
        <v>1</v>
      </c>
      <c r="P698">
        <v>61</v>
      </c>
      <c r="Q698">
        <v>5</v>
      </c>
      <c r="R698">
        <v>4</v>
      </c>
      <c r="S698">
        <v>40</v>
      </c>
    </row>
    <row r="699" spans="1:19" x14ac:dyDescent="0.35">
      <c r="A699">
        <v>8346</v>
      </c>
      <c r="B699">
        <v>649</v>
      </c>
      <c r="C699" t="str">
        <f>VLOOKUP(B699,Kunde!A:C,3,FALSE)</f>
        <v>Geschäftskunde</v>
      </c>
      <c r="D699" t="str">
        <f>VLOOKUP(O699,Produkt!$A$1:$E$5,2,FALSE)</f>
        <v>D</v>
      </c>
      <c r="E699">
        <f t="shared" si="30"/>
        <v>127</v>
      </c>
      <c r="F699">
        <f>VLOOKUP(D699,Produkt!$B$1:$C$5,2,FALSE)*Bestellungen!E699</f>
        <v>101600</v>
      </c>
      <c r="G699" s="2">
        <v>44927</v>
      </c>
      <c r="H699" s="2">
        <f t="shared" si="31"/>
        <v>44932</v>
      </c>
      <c r="I699" s="2">
        <f t="shared" si="32"/>
        <v>44939</v>
      </c>
      <c r="J699" t="str">
        <f>VLOOKUP(M699,Umfragenteilnahme!$A$2:$B$3,2,)</f>
        <v>Nein</v>
      </c>
      <c r="M699">
        <v>2</v>
      </c>
      <c r="N699">
        <v>649</v>
      </c>
      <c r="O699">
        <v>4</v>
      </c>
      <c r="P699">
        <v>127</v>
      </c>
      <c r="Q699">
        <v>10</v>
      </c>
      <c r="R699">
        <v>5</v>
      </c>
      <c r="S699">
        <v>12</v>
      </c>
    </row>
    <row r="700" spans="1:19" x14ac:dyDescent="0.35">
      <c r="A700">
        <v>8347</v>
      </c>
      <c r="B700">
        <v>300</v>
      </c>
      <c r="C700" t="str">
        <f>VLOOKUP(B700,Kunde!A:C,3,FALSE)</f>
        <v>Geschäftskunde</v>
      </c>
      <c r="D700" t="str">
        <f>VLOOKUP(O700,Produkt!$A$1:$E$5,2,FALSE)</f>
        <v>A</v>
      </c>
      <c r="E700">
        <f t="shared" si="30"/>
        <v>15</v>
      </c>
      <c r="F700">
        <f>VLOOKUP(D700,Produkt!$B$1:$C$5,2,FALSE)*Bestellungen!E700</f>
        <v>4500</v>
      </c>
      <c r="G700" s="2">
        <v>44821</v>
      </c>
      <c r="H700" s="2">
        <f t="shared" si="31"/>
        <v>44824</v>
      </c>
      <c r="I700" s="2">
        <f t="shared" si="32"/>
        <v>44857</v>
      </c>
      <c r="J700" t="str">
        <f>VLOOKUP(M700,Umfragenteilnahme!$A$2:$B$3,2,)</f>
        <v>Ja</v>
      </c>
      <c r="M700">
        <v>1</v>
      </c>
      <c r="N700">
        <v>300</v>
      </c>
      <c r="O700">
        <v>1</v>
      </c>
      <c r="P700">
        <v>15</v>
      </c>
      <c r="Q700">
        <v>2</v>
      </c>
      <c r="R700">
        <v>3</v>
      </c>
      <c r="S700">
        <v>36</v>
      </c>
    </row>
    <row r="701" spans="1:19" x14ac:dyDescent="0.35">
      <c r="A701">
        <v>8348</v>
      </c>
      <c r="B701">
        <v>791</v>
      </c>
      <c r="C701" t="str">
        <f>VLOOKUP(B701,Kunde!A:C,3,FALSE)</f>
        <v>Geschäftskunde</v>
      </c>
      <c r="D701" t="str">
        <f>VLOOKUP(O701,Produkt!$A$1:$E$5,2,FALSE)</f>
        <v>A</v>
      </c>
      <c r="E701">
        <f t="shared" si="30"/>
        <v>96</v>
      </c>
      <c r="F701">
        <f>VLOOKUP(D701,Produkt!$B$1:$C$5,2,FALSE)*Bestellungen!E701</f>
        <v>28800</v>
      </c>
      <c r="G701" s="2">
        <v>44895</v>
      </c>
      <c r="H701" s="2">
        <f t="shared" si="31"/>
        <v>44897</v>
      </c>
      <c r="I701" s="2">
        <f t="shared" si="32"/>
        <v>44950</v>
      </c>
      <c r="J701" t="str">
        <f>VLOOKUP(M701,Umfragenteilnahme!$A$2:$B$3,2,)</f>
        <v>Nein</v>
      </c>
      <c r="M701">
        <v>2</v>
      </c>
      <c r="N701">
        <v>791</v>
      </c>
      <c r="O701">
        <v>1</v>
      </c>
      <c r="P701">
        <v>96</v>
      </c>
      <c r="Q701">
        <v>7</v>
      </c>
      <c r="R701">
        <v>2</v>
      </c>
      <c r="S701">
        <v>55</v>
      </c>
    </row>
    <row r="702" spans="1:19" x14ac:dyDescent="0.35">
      <c r="A702">
        <v>8349</v>
      </c>
      <c r="B702">
        <v>667</v>
      </c>
      <c r="C702" t="str">
        <f>VLOOKUP(B702,Kunde!A:C,3,FALSE)</f>
        <v>Geschäftskunde</v>
      </c>
      <c r="D702" t="str">
        <f>VLOOKUP(O702,Produkt!$A$1:$E$5,2,FALSE)</f>
        <v>C</v>
      </c>
      <c r="E702">
        <f t="shared" si="30"/>
        <v>96</v>
      </c>
      <c r="F702">
        <f>VLOOKUP(D702,Produkt!$B$1:$C$5,2,FALSE)*Bestellungen!E702</f>
        <v>144000</v>
      </c>
      <c r="G702" s="2">
        <v>45001</v>
      </c>
      <c r="H702" s="2">
        <f t="shared" si="31"/>
        <v>45007</v>
      </c>
      <c r="I702" s="2">
        <f t="shared" si="32"/>
        <v>45004</v>
      </c>
      <c r="J702" t="str">
        <f>VLOOKUP(M702,Umfragenteilnahme!$A$2:$B$3,2,)</f>
        <v>Nein</v>
      </c>
      <c r="M702">
        <v>2</v>
      </c>
      <c r="N702">
        <v>667</v>
      </c>
      <c r="O702">
        <v>3</v>
      </c>
      <c r="P702">
        <v>96</v>
      </c>
      <c r="Q702">
        <v>5</v>
      </c>
      <c r="R702">
        <v>6</v>
      </c>
      <c r="S702">
        <v>3</v>
      </c>
    </row>
    <row r="703" spans="1:19" x14ac:dyDescent="0.35">
      <c r="A703">
        <v>8350</v>
      </c>
      <c r="B703">
        <v>76</v>
      </c>
      <c r="C703" t="str">
        <f>VLOOKUP(B703,Kunde!A:C,3,FALSE)</f>
        <v>Geschäftskunde</v>
      </c>
      <c r="D703" t="str">
        <f>VLOOKUP(O703,Produkt!$A$1:$E$5,2,FALSE)</f>
        <v>C</v>
      </c>
      <c r="E703">
        <f t="shared" si="30"/>
        <v>69</v>
      </c>
      <c r="F703">
        <f>VLOOKUP(D703,Produkt!$B$1:$C$5,2,FALSE)*Bestellungen!E703</f>
        <v>103500</v>
      </c>
      <c r="G703" s="2">
        <v>44734</v>
      </c>
      <c r="H703" s="2">
        <f t="shared" si="31"/>
        <v>44737</v>
      </c>
      <c r="I703" s="2">
        <f t="shared" si="32"/>
        <v>44743</v>
      </c>
      <c r="J703" t="str">
        <f>VLOOKUP(M703,Umfragenteilnahme!$A$2:$B$3,2,)</f>
        <v>Ja</v>
      </c>
      <c r="M703">
        <v>1</v>
      </c>
      <c r="N703">
        <v>76</v>
      </c>
      <c r="O703">
        <v>3</v>
      </c>
      <c r="P703">
        <v>69</v>
      </c>
      <c r="Q703">
        <v>8</v>
      </c>
      <c r="R703">
        <v>3</v>
      </c>
      <c r="S703">
        <v>9</v>
      </c>
    </row>
    <row r="704" spans="1:19" x14ac:dyDescent="0.35">
      <c r="A704">
        <v>8351</v>
      </c>
      <c r="B704">
        <v>734</v>
      </c>
      <c r="C704" t="str">
        <f>VLOOKUP(B704,Kunde!A:C,3,FALSE)</f>
        <v>Geschäftskunde</v>
      </c>
      <c r="D704" t="str">
        <f>VLOOKUP(O704,Produkt!$A$1:$E$5,2,FALSE)</f>
        <v>D</v>
      </c>
      <c r="E704">
        <f t="shared" si="30"/>
        <v>146</v>
      </c>
      <c r="F704">
        <f>VLOOKUP(D704,Produkt!$B$1:$C$5,2,FALSE)*Bestellungen!E704</f>
        <v>116800</v>
      </c>
      <c r="G704" s="2">
        <v>44966</v>
      </c>
      <c r="H704" s="2">
        <f t="shared" si="31"/>
        <v>44968</v>
      </c>
      <c r="I704" s="2">
        <f t="shared" si="32"/>
        <v>44995</v>
      </c>
      <c r="J704" t="str">
        <f>VLOOKUP(M704,Umfragenteilnahme!$A$2:$B$3,2,)</f>
        <v>Ja</v>
      </c>
      <c r="M704">
        <v>1</v>
      </c>
      <c r="N704">
        <v>734</v>
      </c>
      <c r="O704">
        <v>4</v>
      </c>
      <c r="P704">
        <v>146</v>
      </c>
      <c r="Q704">
        <v>2</v>
      </c>
      <c r="R704">
        <v>2</v>
      </c>
      <c r="S704">
        <v>29</v>
      </c>
    </row>
    <row r="705" spans="1:19" x14ac:dyDescent="0.35">
      <c r="A705">
        <v>8352</v>
      </c>
      <c r="B705">
        <v>554</v>
      </c>
      <c r="C705" t="str">
        <f>VLOOKUP(B705,Kunde!A:C,3,FALSE)</f>
        <v>Geschäftskunde</v>
      </c>
      <c r="D705" t="str">
        <f>VLOOKUP(O705,Produkt!$A$1:$E$5,2,FALSE)</f>
        <v>D</v>
      </c>
      <c r="E705">
        <f t="shared" si="30"/>
        <v>46</v>
      </c>
      <c r="F705">
        <f>VLOOKUP(D705,Produkt!$B$1:$C$5,2,FALSE)*Bestellungen!E705</f>
        <v>36800</v>
      </c>
      <c r="G705" s="2">
        <v>44920</v>
      </c>
      <c r="H705" s="2">
        <f t="shared" si="31"/>
        <v>44924</v>
      </c>
      <c r="I705" s="2">
        <f t="shared" si="32"/>
        <v>44947</v>
      </c>
      <c r="J705" t="str">
        <f>VLOOKUP(M705,Umfragenteilnahme!$A$2:$B$3,2,)</f>
        <v>Ja</v>
      </c>
      <c r="M705">
        <v>1</v>
      </c>
      <c r="N705">
        <v>554</v>
      </c>
      <c r="O705">
        <v>4</v>
      </c>
      <c r="P705">
        <v>46</v>
      </c>
      <c r="Q705">
        <v>8</v>
      </c>
      <c r="R705">
        <v>4</v>
      </c>
      <c r="S705">
        <v>27</v>
      </c>
    </row>
    <row r="706" spans="1:19" x14ac:dyDescent="0.35">
      <c r="A706">
        <v>8353</v>
      </c>
      <c r="B706">
        <v>30</v>
      </c>
      <c r="C706" t="str">
        <f>VLOOKUP(B706,Kunde!A:C,3,FALSE)</f>
        <v>Privatkunde</v>
      </c>
      <c r="D706" t="str">
        <f>VLOOKUP(O706,Produkt!$A$1:$E$5,2,FALSE)</f>
        <v>A</v>
      </c>
      <c r="E706">
        <f t="shared" si="30"/>
        <v>8</v>
      </c>
      <c r="F706">
        <f>VLOOKUP(D706,Produkt!$B$1:$C$5,2,FALSE)*Bestellungen!E706</f>
        <v>2400</v>
      </c>
      <c r="G706" s="2">
        <v>44970</v>
      </c>
      <c r="H706" s="2">
        <f t="shared" si="31"/>
        <v>44977</v>
      </c>
      <c r="I706" s="2">
        <f t="shared" si="32"/>
        <v>44978</v>
      </c>
      <c r="J706" t="str">
        <f>VLOOKUP(M706,Umfragenteilnahme!$A$2:$B$3,2,)</f>
        <v>Ja</v>
      </c>
      <c r="M706">
        <v>1</v>
      </c>
      <c r="N706">
        <v>30</v>
      </c>
      <c r="O706">
        <v>1</v>
      </c>
      <c r="P706">
        <v>104</v>
      </c>
      <c r="Q706">
        <v>8</v>
      </c>
      <c r="R706">
        <v>7</v>
      </c>
      <c r="S706">
        <v>8</v>
      </c>
    </row>
    <row r="707" spans="1:19" x14ac:dyDescent="0.35">
      <c r="A707">
        <v>8354</v>
      </c>
      <c r="B707">
        <v>239</v>
      </c>
      <c r="C707" t="str">
        <f>VLOOKUP(B707,Kunde!A:C,3,FALSE)</f>
        <v>Geschäftskunde</v>
      </c>
      <c r="D707" t="str">
        <f>VLOOKUP(O707,Produkt!$A$1:$E$5,2,FALSE)</f>
        <v>B</v>
      </c>
      <c r="E707">
        <f t="shared" ref="E707:E770" si="33">IF(C707="Geschäftskunde",P707,Q707)</f>
        <v>19</v>
      </c>
      <c r="F707">
        <f>VLOOKUP(D707,Produkt!$B$1:$C$5,2,FALSE)*Bestellungen!E707</f>
        <v>9120</v>
      </c>
      <c r="G707" s="2">
        <v>44778</v>
      </c>
      <c r="H707" s="2">
        <f t="shared" ref="H707:H770" si="34">G707+R707</f>
        <v>44780</v>
      </c>
      <c r="I707" s="2">
        <f t="shared" ref="I707:I770" si="35">G707+S707</f>
        <v>44801</v>
      </c>
      <c r="J707" t="str">
        <f>VLOOKUP(M707,Umfragenteilnahme!$A$2:$B$3,2,)</f>
        <v>Nein</v>
      </c>
      <c r="M707">
        <v>2</v>
      </c>
      <c r="N707">
        <v>239</v>
      </c>
      <c r="O707">
        <v>2</v>
      </c>
      <c r="P707">
        <v>19</v>
      </c>
      <c r="Q707">
        <v>9</v>
      </c>
      <c r="R707">
        <v>2</v>
      </c>
      <c r="S707">
        <v>23</v>
      </c>
    </row>
    <row r="708" spans="1:19" x14ac:dyDescent="0.35">
      <c r="A708">
        <v>8355</v>
      </c>
      <c r="B708">
        <v>145</v>
      </c>
      <c r="C708" t="str">
        <f>VLOOKUP(B708,Kunde!A:C,3,FALSE)</f>
        <v>Geschäftskunde</v>
      </c>
      <c r="D708" t="str">
        <f>VLOOKUP(O708,Produkt!$A$1:$E$5,2,FALSE)</f>
        <v>C</v>
      </c>
      <c r="E708">
        <f t="shared" si="33"/>
        <v>14</v>
      </c>
      <c r="F708">
        <f>VLOOKUP(D708,Produkt!$B$1:$C$5,2,FALSE)*Bestellungen!E708</f>
        <v>21000</v>
      </c>
      <c r="G708" s="2">
        <v>44879</v>
      </c>
      <c r="H708" s="2">
        <f t="shared" si="34"/>
        <v>44883</v>
      </c>
      <c r="I708" s="2">
        <f t="shared" si="35"/>
        <v>44934</v>
      </c>
      <c r="J708" t="str">
        <f>VLOOKUP(M708,Umfragenteilnahme!$A$2:$B$3,2,)</f>
        <v>Nein</v>
      </c>
      <c r="M708">
        <v>2</v>
      </c>
      <c r="N708">
        <v>145</v>
      </c>
      <c r="O708">
        <v>3</v>
      </c>
      <c r="P708">
        <v>14</v>
      </c>
      <c r="Q708">
        <v>10</v>
      </c>
      <c r="R708">
        <v>4</v>
      </c>
      <c r="S708">
        <v>55</v>
      </c>
    </row>
    <row r="709" spans="1:19" x14ac:dyDescent="0.35">
      <c r="A709">
        <v>8356</v>
      </c>
      <c r="B709">
        <v>298</v>
      </c>
      <c r="C709" t="str">
        <f>VLOOKUP(B709,Kunde!A:C,3,FALSE)</f>
        <v>Geschäftskunde</v>
      </c>
      <c r="D709" t="str">
        <f>VLOOKUP(O709,Produkt!$A$1:$E$5,2,FALSE)</f>
        <v>D</v>
      </c>
      <c r="E709">
        <f t="shared" si="33"/>
        <v>37</v>
      </c>
      <c r="F709">
        <f>VLOOKUP(D709,Produkt!$B$1:$C$5,2,FALSE)*Bestellungen!E709</f>
        <v>29600</v>
      </c>
      <c r="G709" s="2">
        <v>44775</v>
      </c>
      <c r="H709" s="2">
        <f t="shared" si="34"/>
        <v>44779</v>
      </c>
      <c r="I709" s="2">
        <f t="shared" si="35"/>
        <v>44797</v>
      </c>
      <c r="J709" t="str">
        <f>VLOOKUP(M709,Umfragenteilnahme!$A$2:$B$3,2,)</f>
        <v>Nein</v>
      </c>
      <c r="M709">
        <v>2</v>
      </c>
      <c r="N709">
        <v>298</v>
      </c>
      <c r="O709">
        <v>4</v>
      </c>
      <c r="P709">
        <v>37</v>
      </c>
      <c r="Q709">
        <v>8</v>
      </c>
      <c r="R709">
        <v>4</v>
      </c>
      <c r="S709">
        <v>22</v>
      </c>
    </row>
    <row r="710" spans="1:19" x14ac:dyDescent="0.35">
      <c r="A710">
        <v>8357</v>
      </c>
      <c r="B710">
        <v>622</v>
      </c>
      <c r="C710" t="str">
        <f>VLOOKUP(B710,Kunde!A:C,3,FALSE)</f>
        <v>Geschäftskunde</v>
      </c>
      <c r="D710" t="str">
        <f>VLOOKUP(O710,Produkt!$A$1:$E$5,2,FALSE)</f>
        <v>A</v>
      </c>
      <c r="E710">
        <f t="shared" si="33"/>
        <v>85</v>
      </c>
      <c r="F710">
        <f>VLOOKUP(D710,Produkt!$B$1:$C$5,2,FALSE)*Bestellungen!E710</f>
        <v>25500</v>
      </c>
      <c r="G710" s="2">
        <v>44788</v>
      </c>
      <c r="H710" s="2">
        <f t="shared" si="34"/>
        <v>44795</v>
      </c>
      <c r="I710" s="2">
        <f t="shared" si="35"/>
        <v>44810</v>
      </c>
      <c r="J710" t="str">
        <f>VLOOKUP(M710,Umfragenteilnahme!$A$2:$B$3,2,)</f>
        <v>Ja</v>
      </c>
      <c r="M710">
        <v>1</v>
      </c>
      <c r="N710">
        <v>622</v>
      </c>
      <c r="O710">
        <v>1</v>
      </c>
      <c r="P710">
        <v>85</v>
      </c>
      <c r="Q710">
        <v>1</v>
      </c>
      <c r="R710">
        <v>7</v>
      </c>
      <c r="S710">
        <v>22</v>
      </c>
    </row>
    <row r="711" spans="1:19" x14ac:dyDescent="0.35">
      <c r="A711">
        <v>8358</v>
      </c>
      <c r="B711">
        <v>311</v>
      </c>
      <c r="C711" t="str">
        <f>VLOOKUP(B711,Kunde!A:C,3,FALSE)</f>
        <v>Geschäftskunde</v>
      </c>
      <c r="D711" t="str">
        <f>VLOOKUP(O711,Produkt!$A$1:$E$5,2,FALSE)</f>
        <v>C</v>
      </c>
      <c r="E711">
        <f t="shared" si="33"/>
        <v>106</v>
      </c>
      <c r="F711">
        <f>VLOOKUP(D711,Produkt!$B$1:$C$5,2,FALSE)*Bestellungen!E711</f>
        <v>159000</v>
      </c>
      <c r="G711" s="2">
        <v>44903</v>
      </c>
      <c r="H711" s="2">
        <f t="shared" si="34"/>
        <v>44906</v>
      </c>
      <c r="I711" s="2">
        <f t="shared" si="35"/>
        <v>44931</v>
      </c>
      <c r="J711" t="str">
        <f>VLOOKUP(M711,Umfragenteilnahme!$A$2:$B$3,2,)</f>
        <v>Nein</v>
      </c>
      <c r="M711">
        <v>2</v>
      </c>
      <c r="N711">
        <v>311</v>
      </c>
      <c r="O711">
        <v>3</v>
      </c>
      <c r="P711">
        <v>106</v>
      </c>
      <c r="Q711">
        <v>10</v>
      </c>
      <c r="R711">
        <v>3</v>
      </c>
      <c r="S711">
        <v>28</v>
      </c>
    </row>
    <row r="712" spans="1:19" x14ac:dyDescent="0.35">
      <c r="A712">
        <v>8359</v>
      </c>
      <c r="B712">
        <v>321</v>
      </c>
      <c r="C712" t="str">
        <f>VLOOKUP(B712,Kunde!A:C,3,FALSE)</f>
        <v>Geschäftskunde</v>
      </c>
      <c r="D712" t="str">
        <f>VLOOKUP(O712,Produkt!$A$1:$E$5,2,FALSE)</f>
        <v>D</v>
      </c>
      <c r="E712">
        <f t="shared" si="33"/>
        <v>74</v>
      </c>
      <c r="F712">
        <f>VLOOKUP(D712,Produkt!$B$1:$C$5,2,FALSE)*Bestellungen!E712</f>
        <v>59200</v>
      </c>
      <c r="G712" s="2">
        <v>45024</v>
      </c>
      <c r="H712" s="2">
        <f t="shared" si="34"/>
        <v>45029</v>
      </c>
      <c r="I712" s="2">
        <f t="shared" si="35"/>
        <v>45054</v>
      </c>
      <c r="J712" t="str">
        <f>VLOOKUP(M712,Umfragenteilnahme!$A$2:$B$3,2,)</f>
        <v>Ja</v>
      </c>
      <c r="M712">
        <v>1</v>
      </c>
      <c r="N712">
        <v>321</v>
      </c>
      <c r="O712">
        <v>4</v>
      </c>
      <c r="P712">
        <v>74</v>
      </c>
      <c r="Q712">
        <v>2</v>
      </c>
      <c r="R712">
        <v>5</v>
      </c>
      <c r="S712">
        <v>30</v>
      </c>
    </row>
    <row r="713" spans="1:19" x14ac:dyDescent="0.35">
      <c r="A713">
        <v>8360</v>
      </c>
      <c r="B713">
        <v>674</v>
      </c>
      <c r="C713" t="str">
        <f>VLOOKUP(B713,Kunde!A:C,3,FALSE)</f>
        <v>Privatkunde</v>
      </c>
      <c r="D713" t="str">
        <f>VLOOKUP(O713,Produkt!$A$1:$E$5,2,FALSE)</f>
        <v>A</v>
      </c>
      <c r="E713">
        <f t="shared" si="33"/>
        <v>9</v>
      </c>
      <c r="F713">
        <f>VLOOKUP(D713,Produkt!$B$1:$C$5,2,FALSE)*Bestellungen!E713</f>
        <v>2700</v>
      </c>
      <c r="G713" s="2">
        <v>44922</v>
      </c>
      <c r="H713" s="2">
        <f t="shared" si="34"/>
        <v>44928</v>
      </c>
      <c r="I713" s="2">
        <f t="shared" si="35"/>
        <v>44956</v>
      </c>
      <c r="J713" t="str">
        <f>VLOOKUP(M713,Umfragenteilnahme!$A$2:$B$3,2,)</f>
        <v>Nein</v>
      </c>
      <c r="M713">
        <v>2</v>
      </c>
      <c r="N713">
        <v>674</v>
      </c>
      <c r="O713">
        <v>1</v>
      </c>
      <c r="P713">
        <v>69</v>
      </c>
      <c r="Q713">
        <v>9</v>
      </c>
      <c r="R713">
        <v>6</v>
      </c>
      <c r="S713">
        <v>34</v>
      </c>
    </row>
    <row r="714" spans="1:19" x14ac:dyDescent="0.35">
      <c r="A714">
        <v>8361</v>
      </c>
      <c r="B714">
        <v>675</v>
      </c>
      <c r="C714" t="str">
        <f>VLOOKUP(B714,Kunde!A:C,3,FALSE)</f>
        <v>Geschäftskunde</v>
      </c>
      <c r="D714" t="str">
        <f>VLOOKUP(O714,Produkt!$A$1:$E$5,2,FALSE)</f>
        <v>D</v>
      </c>
      <c r="E714">
        <f t="shared" si="33"/>
        <v>92</v>
      </c>
      <c r="F714">
        <f>VLOOKUP(D714,Produkt!$B$1:$C$5,2,FALSE)*Bestellungen!E714</f>
        <v>73600</v>
      </c>
      <c r="G714" s="2">
        <v>44940</v>
      </c>
      <c r="H714" s="2">
        <f t="shared" si="34"/>
        <v>44942</v>
      </c>
      <c r="I714" s="2">
        <f t="shared" si="35"/>
        <v>44998</v>
      </c>
      <c r="J714" t="str">
        <f>VLOOKUP(M714,Umfragenteilnahme!$A$2:$B$3,2,)</f>
        <v>Nein</v>
      </c>
      <c r="M714">
        <v>2</v>
      </c>
      <c r="N714">
        <v>675</v>
      </c>
      <c r="O714">
        <v>4</v>
      </c>
      <c r="P714">
        <v>92</v>
      </c>
      <c r="Q714">
        <v>6</v>
      </c>
      <c r="R714">
        <v>2</v>
      </c>
      <c r="S714">
        <v>58</v>
      </c>
    </row>
    <row r="715" spans="1:19" x14ac:dyDescent="0.35">
      <c r="A715">
        <v>8362</v>
      </c>
      <c r="B715">
        <v>377</v>
      </c>
      <c r="C715" t="str">
        <f>VLOOKUP(B715,Kunde!A:C,3,FALSE)</f>
        <v>Geschäftskunde</v>
      </c>
      <c r="D715" t="str">
        <f>VLOOKUP(O715,Produkt!$A$1:$E$5,2,FALSE)</f>
        <v>D</v>
      </c>
      <c r="E715">
        <f t="shared" si="33"/>
        <v>115</v>
      </c>
      <c r="F715">
        <f>VLOOKUP(D715,Produkt!$B$1:$C$5,2,FALSE)*Bestellungen!E715</f>
        <v>92000</v>
      </c>
      <c r="G715" s="2">
        <v>45040</v>
      </c>
      <c r="H715" s="2">
        <f t="shared" si="34"/>
        <v>45042</v>
      </c>
      <c r="I715" s="2">
        <f t="shared" si="35"/>
        <v>45052</v>
      </c>
      <c r="J715" t="str">
        <f>VLOOKUP(M715,Umfragenteilnahme!$A$2:$B$3,2,)</f>
        <v>Ja</v>
      </c>
      <c r="M715">
        <v>1</v>
      </c>
      <c r="N715">
        <v>377</v>
      </c>
      <c r="O715">
        <v>4</v>
      </c>
      <c r="P715">
        <v>115</v>
      </c>
      <c r="Q715">
        <v>7</v>
      </c>
      <c r="R715">
        <v>2</v>
      </c>
      <c r="S715">
        <v>12</v>
      </c>
    </row>
    <row r="716" spans="1:19" x14ac:dyDescent="0.35">
      <c r="A716">
        <v>8363</v>
      </c>
      <c r="B716">
        <v>594</v>
      </c>
      <c r="C716" t="str">
        <f>VLOOKUP(B716,Kunde!A:C,3,FALSE)</f>
        <v>Geschäftskunde</v>
      </c>
      <c r="D716" t="str">
        <f>VLOOKUP(O716,Produkt!$A$1:$E$5,2,FALSE)</f>
        <v>C</v>
      </c>
      <c r="E716">
        <f t="shared" si="33"/>
        <v>124</v>
      </c>
      <c r="F716">
        <f>VLOOKUP(D716,Produkt!$B$1:$C$5,2,FALSE)*Bestellungen!E716</f>
        <v>186000</v>
      </c>
      <c r="G716" s="2">
        <v>44808</v>
      </c>
      <c r="H716" s="2">
        <f t="shared" si="34"/>
        <v>44812</v>
      </c>
      <c r="I716" s="2">
        <f t="shared" si="35"/>
        <v>44857</v>
      </c>
      <c r="J716" t="str">
        <f>VLOOKUP(M716,Umfragenteilnahme!$A$2:$B$3,2,)</f>
        <v>Nein</v>
      </c>
      <c r="M716">
        <v>2</v>
      </c>
      <c r="N716">
        <v>594</v>
      </c>
      <c r="O716">
        <v>3</v>
      </c>
      <c r="P716">
        <v>124</v>
      </c>
      <c r="Q716">
        <v>8</v>
      </c>
      <c r="R716">
        <v>4</v>
      </c>
      <c r="S716">
        <v>49</v>
      </c>
    </row>
    <row r="717" spans="1:19" x14ac:dyDescent="0.35">
      <c r="A717">
        <v>8364</v>
      </c>
      <c r="B717">
        <v>477</v>
      </c>
      <c r="C717" t="str">
        <f>VLOOKUP(B717,Kunde!A:C,3,FALSE)</f>
        <v>Geschäftskunde</v>
      </c>
      <c r="D717" t="str">
        <f>VLOOKUP(O717,Produkt!$A$1:$E$5,2,FALSE)</f>
        <v>C</v>
      </c>
      <c r="E717">
        <f t="shared" si="33"/>
        <v>123</v>
      </c>
      <c r="F717">
        <f>VLOOKUP(D717,Produkt!$B$1:$C$5,2,FALSE)*Bestellungen!E717</f>
        <v>184500</v>
      </c>
      <c r="G717" s="2">
        <v>44790</v>
      </c>
      <c r="H717" s="2">
        <f t="shared" si="34"/>
        <v>44797</v>
      </c>
      <c r="I717" s="2">
        <f t="shared" si="35"/>
        <v>44841</v>
      </c>
      <c r="J717" t="str">
        <f>VLOOKUP(M717,Umfragenteilnahme!$A$2:$B$3,2,)</f>
        <v>Nein</v>
      </c>
      <c r="M717">
        <v>2</v>
      </c>
      <c r="N717">
        <v>477</v>
      </c>
      <c r="O717">
        <v>3</v>
      </c>
      <c r="P717">
        <v>123</v>
      </c>
      <c r="Q717">
        <v>8</v>
      </c>
      <c r="R717">
        <v>7</v>
      </c>
      <c r="S717">
        <v>51</v>
      </c>
    </row>
    <row r="718" spans="1:19" x14ac:dyDescent="0.35">
      <c r="A718">
        <v>8365</v>
      </c>
      <c r="B718">
        <v>714</v>
      </c>
      <c r="C718" t="str">
        <f>VLOOKUP(B718,Kunde!A:C,3,FALSE)</f>
        <v>Geschäftskunde</v>
      </c>
      <c r="D718" t="str">
        <f>VLOOKUP(O718,Produkt!$A$1:$E$5,2,FALSE)</f>
        <v>C</v>
      </c>
      <c r="E718">
        <f t="shared" si="33"/>
        <v>82</v>
      </c>
      <c r="F718">
        <f>VLOOKUP(D718,Produkt!$B$1:$C$5,2,FALSE)*Bestellungen!E718</f>
        <v>123000</v>
      </c>
      <c r="G718" s="2">
        <v>44813</v>
      </c>
      <c r="H718" s="2">
        <f t="shared" si="34"/>
        <v>44819</v>
      </c>
      <c r="I718" s="2">
        <f t="shared" si="35"/>
        <v>44816</v>
      </c>
      <c r="J718" t="str">
        <f>VLOOKUP(M718,Umfragenteilnahme!$A$2:$B$3,2,)</f>
        <v>Ja</v>
      </c>
      <c r="M718">
        <v>1</v>
      </c>
      <c r="N718">
        <v>714</v>
      </c>
      <c r="O718">
        <v>3</v>
      </c>
      <c r="P718">
        <v>82</v>
      </c>
      <c r="Q718">
        <v>6</v>
      </c>
      <c r="R718">
        <v>6</v>
      </c>
      <c r="S718">
        <v>3</v>
      </c>
    </row>
    <row r="719" spans="1:19" x14ac:dyDescent="0.35">
      <c r="A719">
        <v>8366</v>
      </c>
      <c r="B719">
        <v>140</v>
      </c>
      <c r="C719" t="str">
        <f>VLOOKUP(B719,Kunde!A:C,3,FALSE)</f>
        <v>Geschäftskunde</v>
      </c>
      <c r="D719" t="str">
        <f>VLOOKUP(O719,Produkt!$A$1:$E$5,2,FALSE)</f>
        <v>B</v>
      </c>
      <c r="E719">
        <f t="shared" si="33"/>
        <v>102</v>
      </c>
      <c r="F719">
        <f>VLOOKUP(D719,Produkt!$B$1:$C$5,2,FALSE)*Bestellungen!E719</f>
        <v>48960</v>
      </c>
      <c r="G719" s="2">
        <v>44735</v>
      </c>
      <c r="H719" s="2">
        <f t="shared" si="34"/>
        <v>44741</v>
      </c>
      <c r="I719" s="2">
        <f t="shared" si="35"/>
        <v>44764</v>
      </c>
      <c r="J719" t="str">
        <f>VLOOKUP(M719,Umfragenteilnahme!$A$2:$B$3,2,)</f>
        <v>Ja</v>
      </c>
      <c r="M719">
        <v>1</v>
      </c>
      <c r="N719">
        <v>140</v>
      </c>
      <c r="O719">
        <v>2</v>
      </c>
      <c r="P719">
        <v>102</v>
      </c>
      <c r="Q719">
        <v>6</v>
      </c>
      <c r="R719">
        <v>6</v>
      </c>
      <c r="S719">
        <v>29</v>
      </c>
    </row>
    <row r="720" spans="1:19" x14ac:dyDescent="0.35">
      <c r="A720">
        <v>8367</v>
      </c>
      <c r="B720">
        <v>85</v>
      </c>
      <c r="C720" t="str">
        <f>VLOOKUP(B720,Kunde!A:C,3,FALSE)</f>
        <v>Geschäftskunde</v>
      </c>
      <c r="D720" t="str">
        <f>VLOOKUP(O720,Produkt!$A$1:$E$5,2,FALSE)</f>
        <v>B</v>
      </c>
      <c r="E720">
        <f t="shared" si="33"/>
        <v>133</v>
      </c>
      <c r="F720">
        <f>VLOOKUP(D720,Produkt!$B$1:$C$5,2,FALSE)*Bestellungen!E720</f>
        <v>63840</v>
      </c>
      <c r="G720" s="2">
        <v>44857</v>
      </c>
      <c r="H720" s="2">
        <f t="shared" si="34"/>
        <v>44860</v>
      </c>
      <c r="I720" s="2">
        <f t="shared" si="35"/>
        <v>44861</v>
      </c>
      <c r="J720" t="str">
        <f>VLOOKUP(M720,Umfragenteilnahme!$A$2:$B$3,2,)</f>
        <v>Nein</v>
      </c>
      <c r="M720">
        <v>2</v>
      </c>
      <c r="N720">
        <v>85</v>
      </c>
      <c r="O720">
        <v>2</v>
      </c>
      <c r="P720">
        <v>133</v>
      </c>
      <c r="Q720">
        <v>9</v>
      </c>
      <c r="R720">
        <v>3</v>
      </c>
      <c r="S720">
        <v>4</v>
      </c>
    </row>
    <row r="721" spans="1:19" x14ac:dyDescent="0.35">
      <c r="A721">
        <v>8368</v>
      </c>
      <c r="B721">
        <v>227</v>
      </c>
      <c r="C721" t="str">
        <f>VLOOKUP(B721,Kunde!A:C,3,FALSE)</f>
        <v>Geschäftskunde</v>
      </c>
      <c r="D721" t="str">
        <f>VLOOKUP(O721,Produkt!$A$1:$E$5,2,FALSE)</f>
        <v>B</v>
      </c>
      <c r="E721">
        <f t="shared" si="33"/>
        <v>67</v>
      </c>
      <c r="F721">
        <f>VLOOKUP(D721,Produkt!$B$1:$C$5,2,FALSE)*Bestellungen!E721</f>
        <v>32160</v>
      </c>
      <c r="G721" s="2">
        <v>44755</v>
      </c>
      <c r="H721" s="2">
        <f t="shared" si="34"/>
        <v>44759</v>
      </c>
      <c r="I721" s="2">
        <f t="shared" si="35"/>
        <v>44776</v>
      </c>
      <c r="J721" t="str">
        <f>VLOOKUP(M721,Umfragenteilnahme!$A$2:$B$3,2,)</f>
        <v>Nein</v>
      </c>
      <c r="M721">
        <v>2</v>
      </c>
      <c r="N721">
        <v>227</v>
      </c>
      <c r="O721">
        <v>2</v>
      </c>
      <c r="P721">
        <v>67</v>
      </c>
      <c r="Q721">
        <v>3</v>
      </c>
      <c r="R721">
        <v>4</v>
      </c>
      <c r="S721">
        <v>21</v>
      </c>
    </row>
    <row r="722" spans="1:19" x14ac:dyDescent="0.35">
      <c r="A722">
        <v>8369</v>
      </c>
      <c r="B722">
        <v>254</v>
      </c>
      <c r="C722" t="str">
        <f>VLOOKUP(B722,Kunde!A:C,3,FALSE)</f>
        <v>Geschäftskunde</v>
      </c>
      <c r="D722" t="str">
        <f>VLOOKUP(O722,Produkt!$A$1:$E$5,2,FALSE)</f>
        <v>C</v>
      </c>
      <c r="E722">
        <f t="shared" si="33"/>
        <v>129</v>
      </c>
      <c r="F722">
        <f>VLOOKUP(D722,Produkt!$B$1:$C$5,2,FALSE)*Bestellungen!E722</f>
        <v>193500</v>
      </c>
      <c r="G722" s="2">
        <v>45009</v>
      </c>
      <c r="H722" s="2">
        <f t="shared" si="34"/>
        <v>45013</v>
      </c>
      <c r="I722" s="2">
        <f t="shared" si="35"/>
        <v>45033</v>
      </c>
      <c r="J722" t="str">
        <f>VLOOKUP(M722,Umfragenteilnahme!$A$2:$B$3,2,)</f>
        <v>Nein</v>
      </c>
      <c r="M722">
        <v>2</v>
      </c>
      <c r="N722">
        <v>254</v>
      </c>
      <c r="O722">
        <v>3</v>
      </c>
      <c r="P722">
        <v>129</v>
      </c>
      <c r="Q722">
        <v>7</v>
      </c>
      <c r="R722">
        <v>4</v>
      </c>
      <c r="S722">
        <v>24</v>
      </c>
    </row>
    <row r="723" spans="1:19" x14ac:dyDescent="0.35">
      <c r="A723">
        <v>8370</v>
      </c>
      <c r="B723">
        <v>660</v>
      </c>
      <c r="C723" t="str">
        <f>VLOOKUP(B723,Kunde!A:C,3,FALSE)</f>
        <v>Geschäftskunde</v>
      </c>
      <c r="D723" t="str">
        <f>VLOOKUP(O723,Produkt!$A$1:$E$5,2,FALSE)</f>
        <v>B</v>
      </c>
      <c r="E723">
        <f t="shared" si="33"/>
        <v>25</v>
      </c>
      <c r="F723">
        <f>VLOOKUP(D723,Produkt!$B$1:$C$5,2,FALSE)*Bestellungen!E723</f>
        <v>12000</v>
      </c>
      <c r="G723" s="2">
        <v>44791</v>
      </c>
      <c r="H723" s="2">
        <f t="shared" si="34"/>
        <v>44797</v>
      </c>
      <c r="I723" s="2">
        <f t="shared" si="35"/>
        <v>44834</v>
      </c>
      <c r="J723" t="str">
        <f>VLOOKUP(M723,Umfragenteilnahme!$A$2:$B$3,2,)</f>
        <v>Ja</v>
      </c>
      <c r="M723">
        <v>1</v>
      </c>
      <c r="N723">
        <v>660</v>
      </c>
      <c r="O723">
        <v>2</v>
      </c>
      <c r="P723">
        <v>25</v>
      </c>
      <c r="Q723">
        <v>10</v>
      </c>
      <c r="R723">
        <v>6</v>
      </c>
      <c r="S723">
        <v>43</v>
      </c>
    </row>
    <row r="724" spans="1:19" x14ac:dyDescent="0.35">
      <c r="A724">
        <v>8371</v>
      </c>
      <c r="B724">
        <v>513</v>
      </c>
      <c r="C724" t="str">
        <f>VLOOKUP(B724,Kunde!A:C,3,FALSE)</f>
        <v>Geschäftskunde</v>
      </c>
      <c r="D724" t="str">
        <f>VLOOKUP(O724,Produkt!$A$1:$E$5,2,FALSE)</f>
        <v>D</v>
      </c>
      <c r="E724">
        <f t="shared" si="33"/>
        <v>56</v>
      </c>
      <c r="F724">
        <f>VLOOKUP(D724,Produkt!$B$1:$C$5,2,FALSE)*Bestellungen!E724</f>
        <v>44800</v>
      </c>
      <c r="G724" s="2">
        <v>44965</v>
      </c>
      <c r="H724" s="2">
        <f t="shared" si="34"/>
        <v>44968</v>
      </c>
      <c r="I724" s="2">
        <f t="shared" si="35"/>
        <v>44998</v>
      </c>
      <c r="J724" t="str">
        <f>VLOOKUP(M724,Umfragenteilnahme!$A$2:$B$3,2,)</f>
        <v>Nein</v>
      </c>
      <c r="M724">
        <v>2</v>
      </c>
      <c r="N724">
        <v>513</v>
      </c>
      <c r="O724">
        <v>4</v>
      </c>
      <c r="P724">
        <v>56</v>
      </c>
      <c r="Q724">
        <v>7</v>
      </c>
      <c r="R724">
        <v>3</v>
      </c>
      <c r="S724">
        <v>33</v>
      </c>
    </row>
    <row r="725" spans="1:19" x14ac:dyDescent="0.35">
      <c r="A725">
        <v>8372</v>
      </c>
      <c r="B725">
        <v>63</v>
      </c>
      <c r="C725" t="str">
        <f>VLOOKUP(B725,Kunde!A:C,3,FALSE)</f>
        <v>Geschäftskunde</v>
      </c>
      <c r="D725" t="str">
        <f>VLOOKUP(O725,Produkt!$A$1:$E$5,2,FALSE)</f>
        <v>B</v>
      </c>
      <c r="E725">
        <f t="shared" si="33"/>
        <v>21</v>
      </c>
      <c r="F725">
        <f>VLOOKUP(D725,Produkt!$B$1:$C$5,2,FALSE)*Bestellungen!E725</f>
        <v>10080</v>
      </c>
      <c r="G725" s="2">
        <v>45026</v>
      </c>
      <c r="H725" s="2">
        <f t="shared" si="34"/>
        <v>45030</v>
      </c>
      <c r="I725" s="2">
        <f t="shared" si="35"/>
        <v>45056</v>
      </c>
      <c r="J725" t="str">
        <f>VLOOKUP(M725,Umfragenteilnahme!$A$2:$B$3,2,)</f>
        <v>Ja</v>
      </c>
      <c r="M725">
        <v>1</v>
      </c>
      <c r="N725">
        <v>63</v>
      </c>
      <c r="O725">
        <v>2</v>
      </c>
      <c r="P725">
        <v>21</v>
      </c>
      <c r="Q725">
        <v>7</v>
      </c>
      <c r="R725">
        <v>4</v>
      </c>
      <c r="S725">
        <v>30</v>
      </c>
    </row>
    <row r="726" spans="1:19" x14ac:dyDescent="0.35">
      <c r="A726">
        <v>8373</v>
      </c>
      <c r="B726">
        <v>306</v>
      </c>
      <c r="C726" t="str">
        <f>VLOOKUP(B726,Kunde!A:C,3,FALSE)</f>
        <v>Geschäftskunde</v>
      </c>
      <c r="D726" t="str">
        <f>VLOOKUP(O726,Produkt!$A$1:$E$5,2,FALSE)</f>
        <v>C</v>
      </c>
      <c r="E726">
        <f t="shared" si="33"/>
        <v>133</v>
      </c>
      <c r="F726">
        <f>VLOOKUP(D726,Produkt!$B$1:$C$5,2,FALSE)*Bestellungen!E726</f>
        <v>199500</v>
      </c>
      <c r="G726" s="2">
        <v>44793</v>
      </c>
      <c r="H726" s="2">
        <f t="shared" si="34"/>
        <v>44796</v>
      </c>
      <c r="I726" s="2">
        <f t="shared" si="35"/>
        <v>44840</v>
      </c>
      <c r="J726" t="str">
        <f>VLOOKUP(M726,Umfragenteilnahme!$A$2:$B$3,2,)</f>
        <v>Ja</v>
      </c>
      <c r="M726">
        <v>1</v>
      </c>
      <c r="N726">
        <v>306</v>
      </c>
      <c r="O726">
        <v>3</v>
      </c>
      <c r="P726">
        <v>133</v>
      </c>
      <c r="Q726">
        <v>7</v>
      </c>
      <c r="R726">
        <v>3</v>
      </c>
      <c r="S726">
        <v>47</v>
      </c>
    </row>
    <row r="727" spans="1:19" x14ac:dyDescent="0.35">
      <c r="A727">
        <v>8374</v>
      </c>
      <c r="B727">
        <v>97</v>
      </c>
      <c r="C727" t="str">
        <f>VLOOKUP(B727,Kunde!A:C,3,FALSE)</f>
        <v>Geschäftskunde</v>
      </c>
      <c r="D727" t="str">
        <f>VLOOKUP(O727,Produkt!$A$1:$E$5,2,FALSE)</f>
        <v>C</v>
      </c>
      <c r="E727">
        <f t="shared" si="33"/>
        <v>71</v>
      </c>
      <c r="F727">
        <f>VLOOKUP(D727,Produkt!$B$1:$C$5,2,FALSE)*Bestellungen!E727</f>
        <v>106500</v>
      </c>
      <c r="G727" s="2">
        <v>44716</v>
      </c>
      <c r="H727" s="2">
        <f t="shared" si="34"/>
        <v>44723</v>
      </c>
      <c r="I727" s="2">
        <f t="shared" si="35"/>
        <v>44757</v>
      </c>
      <c r="J727" t="str">
        <f>VLOOKUP(M727,Umfragenteilnahme!$A$2:$B$3,2,)</f>
        <v>Nein</v>
      </c>
      <c r="M727">
        <v>2</v>
      </c>
      <c r="N727">
        <v>97</v>
      </c>
      <c r="O727">
        <v>3</v>
      </c>
      <c r="P727">
        <v>71</v>
      </c>
      <c r="Q727">
        <v>8</v>
      </c>
      <c r="R727">
        <v>7</v>
      </c>
      <c r="S727">
        <v>41</v>
      </c>
    </row>
    <row r="728" spans="1:19" x14ac:dyDescent="0.35">
      <c r="A728">
        <v>8375</v>
      </c>
      <c r="B728">
        <v>550</v>
      </c>
      <c r="C728" t="str">
        <f>VLOOKUP(B728,Kunde!A:C,3,FALSE)</f>
        <v>Geschäftskunde</v>
      </c>
      <c r="D728" t="str">
        <f>VLOOKUP(O728,Produkt!$A$1:$E$5,2,FALSE)</f>
        <v>B</v>
      </c>
      <c r="E728">
        <f t="shared" si="33"/>
        <v>36</v>
      </c>
      <c r="F728">
        <f>VLOOKUP(D728,Produkt!$B$1:$C$5,2,FALSE)*Bestellungen!E728</f>
        <v>17280</v>
      </c>
      <c r="G728" s="2">
        <v>44921</v>
      </c>
      <c r="H728" s="2">
        <f t="shared" si="34"/>
        <v>44923</v>
      </c>
      <c r="I728" s="2">
        <f t="shared" si="35"/>
        <v>44939</v>
      </c>
      <c r="J728" t="str">
        <f>VLOOKUP(M728,Umfragenteilnahme!$A$2:$B$3,2,)</f>
        <v>Nein</v>
      </c>
      <c r="M728">
        <v>2</v>
      </c>
      <c r="N728">
        <v>550</v>
      </c>
      <c r="O728">
        <v>2</v>
      </c>
      <c r="P728">
        <v>36</v>
      </c>
      <c r="Q728">
        <v>4</v>
      </c>
      <c r="R728">
        <v>2</v>
      </c>
      <c r="S728">
        <v>18</v>
      </c>
    </row>
    <row r="729" spans="1:19" x14ac:dyDescent="0.35">
      <c r="A729">
        <v>8376</v>
      </c>
      <c r="B729">
        <v>52</v>
      </c>
      <c r="C729" t="str">
        <f>VLOOKUP(B729,Kunde!A:C,3,FALSE)</f>
        <v>Privatkunde</v>
      </c>
      <c r="D729" t="str">
        <f>VLOOKUP(O729,Produkt!$A$1:$E$5,2,FALSE)</f>
        <v>A</v>
      </c>
      <c r="E729">
        <f t="shared" si="33"/>
        <v>10</v>
      </c>
      <c r="F729">
        <f>VLOOKUP(D729,Produkt!$B$1:$C$5,2,FALSE)*Bestellungen!E729</f>
        <v>3000</v>
      </c>
      <c r="G729" s="2">
        <v>44811</v>
      </c>
      <c r="H729" s="2">
        <f t="shared" si="34"/>
        <v>44813</v>
      </c>
      <c r="I729" s="2">
        <f t="shared" si="35"/>
        <v>44816</v>
      </c>
      <c r="J729" t="str">
        <f>VLOOKUP(M729,Umfragenteilnahme!$A$2:$B$3,2,)</f>
        <v>Nein</v>
      </c>
      <c r="M729">
        <v>2</v>
      </c>
      <c r="N729">
        <v>52</v>
      </c>
      <c r="O729">
        <v>1</v>
      </c>
      <c r="P729">
        <v>127</v>
      </c>
      <c r="Q729">
        <v>10</v>
      </c>
      <c r="R729">
        <v>2</v>
      </c>
      <c r="S729">
        <v>5</v>
      </c>
    </row>
    <row r="730" spans="1:19" x14ac:dyDescent="0.35">
      <c r="A730">
        <v>8377</v>
      </c>
      <c r="B730">
        <v>114</v>
      </c>
      <c r="C730" t="str">
        <f>VLOOKUP(B730,Kunde!A:C,3,FALSE)</f>
        <v>Geschäftskunde</v>
      </c>
      <c r="D730" t="str">
        <f>VLOOKUP(O730,Produkt!$A$1:$E$5,2,FALSE)</f>
        <v>C</v>
      </c>
      <c r="E730">
        <f t="shared" si="33"/>
        <v>129</v>
      </c>
      <c r="F730">
        <f>VLOOKUP(D730,Produkt!$B$1:$C$5,2,FALSE)*Bestellungen!E730</f>
        <v>193500</v>
      </c>
      <c r="G730" s="2">
        <v>44988</v>
      </c>
      <c r="H730" s="2">
        <f t="shared" si="34"/>
        <v>44994</v>
      </c>
      <c r="I730" s="2">
        <f t="shared" si="35"/>
        <v>45041</v>
      </c>
      <c r="J730" t="str">
        <f>VLOOKUP(M730,Umfragenteilnahme!$A$2:$B$3,2,)</f>
        <v>Ja</v>
      </c>
      <c r="M730">
        <v>1</v>
      </c>
      <c r="N730">
        <v>114</v>
      </c>
      <c r="O730">
        <v>3</v>
      </c>
      <c r="P730">
        <v>129</v>
      </c>
      <c r="Q730">
        <v>6</v>
      </c>
      <c r="R730">
        <v>6</v>
      </c>
      <c r="S730">
        <v>53</v>
      </c>
    </row>
    <row r="731" spans="1:19" x14ac:dyDescent="0.35">
      <c r="A731">
        <v>8378</v>
      </c>
      <c r="B731">
        <v>108</v>
      </c>
      <c r="C731" t="str">
        <f>VLOOKUP(B731,Kunde!A:C,3,FALSE)</f>
        <v>Privatkunde</v>
      </c>
      <c r="D731" t="str">
        <f>VLOOKUP(O731,Produkt!$A$1:$E$5,2,FALSE)</f>
        <v>C</v>
      </c>
      <c r="E731">
        <f t="shared" si="33"/>
        <v>8</v>
      </c>
      <c r="F731">
        <f>VLOOKUP(D731,Produkt!$B$1:$C$5,2,FALSE)*Bestellungen!E731</f>
        <v>12000</v>
      </c>
      <c r="G731" s="2">
        <v>44925</v>
      </c>
      <c r="H731" s="2">
        <f t="shared" si="34"/>
        <v>44927</v>
      </c>
      <c r="I731" s="2">
        <f t="shared" si="35"/>
        <v>44978</v>
      </c>
      <c r="J731" t="str">
        <f>VLOOKUP(M731,Umfragenteilnahme!$A$2:$B$3,2,)</f>
        <v>Nein</v>
      </c>
      <c r="M731">
        <v>2</v>
      </c>
      <c r="N731">
        <v>108</v>
      </c>
      <c r="O731">
        <v>3</v>
      </c>
      <c r="P731">
        <v>148</v>
      </c>
      <c r="Q731">
        <v>8</v>
      </c>
      <c r="R731">
        <v>2</v>
      </c>
      <c r="S731">
        <v>53</v>
      </c>
    </row>
    <row r="732" spans="1:19" x14ac:dyDescent="0.35">
      <c r="A732">
        <v>8379</v>
      </c>
      <c r="B732">
        <v>601</v>
      </c>
      <c r="C732" t="str">
        <f>VLOOKUP(B732,Kunde!A:C,3,FALSE)</f>
        <v>Geschäftskunde</v>
      </c>
      <c r="D732" t="str">
        <f>VLOOKUP(O732,Produkt!$A$1:$E$5,2,FALSE)</f>
        <v>C</v>
      </c>
      <c r="E732">
        <f t="shared" si="33"/>
        <v>40</v>
      </c>
      <c r="F732">
        <f>VLOOKUP(D732,Produkt!$B$1:$C$5,2,FALSE)*Bestellungen!E732</f>
        <v>60000</v>
      </c>
      <c r="G732" s="2">
        <v>44786</v>
      </c>
      <c r="H732" s="2">
        <f t="shared" si="34"/>
        <v>44793</v>
      </c>
      <c r="I732" s="2">
        <f t="shared" si="35"/>
        <v>44799</v>
      </c>
      <c r="J732" t="str">
        <f>VLOOKUP(M732,Umfragenteilnahme!$A$2:$B$3,2,)</f>
        <v>Nein</v>
      </c>
      <c r="M732">
        <v>2</v>
      </c>
      <c r="N732">
        <v>601</v>
      </c>
      <c r="O732">
        <v>3</v>
      </c>
      <c r="P732">
        <v>40</v>
      </c>
      <c r="Q732">
        <v>2</v>
      </c>
      <c r="R732">
        <v>7</v>
      </c>
      <c r="S732">
        <v>13</v>
      </c>
    </row>
    <row r="733" spans="1:19" x14ac:dyDescent="0.35">
      <c r="A733">
        <v>8380</v>
      </c>
      <c r="B733">
        <v>523</v>
      </c>
      <c r="C733" t="str">
        <f>VLOOKUP(B733,Kunde!A:C,3,FALSE)</f>
        <v>Geschäftskunde</v>
      </c>
      <c r="D733" t="str">
        <f>VLOOKUP(O733,Produkt!$A$1:$E$5,2,FALSE)</f>
        <v>B</v>
      </c>
      <c r="E733">
        <f t="shared" si="33"/>
        <v>138</v>
      </c>
      <c r="F733">
        <f>VLOOKUP(D733,Produkt!$B$1:$C$5,2,FALSE)*Bestellungen!E733</f>
        <v>66240</v>
      </c>
      <c r="G733" s="2">
        <v>44840</v>
      </c>
      <c r="H733" s="2">
        <f t="shared" si="34"/>
        <v>44845</v>
      </c>
      <c r="I733" s="2">
        <f t="shared" si="35"/>
        <v>44869</v>
      </c>
      <c r="J733" t="str">
        <f>VLOOKUP(M733,Umfragenteilnahme!$A$2:$B$3,2,)</f>
        <v>Nein</v>
      </c>
      <c r="M733">
        <v>2</v>
      </c>
      <c r="N733">
        <v>523</v>
      </c>
      <c r="O733">
        <v>2</v>
      </c>
      <c r="P733">
        <v>138</v>
      </c>
      <c r="Q733">
        <v>8</v>
      </c>
      <c r="R733">
        <v>5</v>
      </c>
      <c r="S733">
        <v>29</v>
      </c>
    </row>
    <row r="734" spans="1:19" x14ac:dyDescent="0.35">
      <c r="A734">
        <v>8381</v>
      </c>
      <c r="B734">
        <v>735</v>
      </c>
      <c r="C734" t="str">
        <f>VLOOKUP(B734,Kunde!A:C,3,FALSE)</f>
        <v>Geschäftskunde</v>
      </c>
      <c r="D734" t="str">
        <f>VLOOKUP(O734,Produkt!$A$1:$E$5,2,FALSE)</f>
        <v>B</v>
      </c>
      <c r="E734">
        <f t="shared" si="33"/>
        <v>88</v>
      </c>
      <c r="F734">
        <f>VLOOKUP(D734,Produkt!$B$1:$C$5,2,FALSE)*Bestellungen!E734</f>
        <v>42240</v>
      </c>
      <c r="G734" s="2">
        <v>45025</v>
      </c>
      <c r="H734" s="2">
        <f t="shared" si="34"/>
        <v>45028</v>
      </c>
      <c r="I734" s="2">
        <f t="shared" si="35"/>
        <v>45043</v>
      </c>
      <c r="J734" t="str">
        <f>VLOOKUP(M734,Umfragenteilnahme!$A$2:$B$3,2,)</f>
        <v>Nein</v>
      </c>
      <c r="M734">
        <v>2</v>
      </c>
      <c r="N734">
        <v>735</v>
      </c>
      <c r="O734">
        <v>2</v>
      </c>
      <c r="P734">
        <v>88</v>
      </c>
      <c r="Q734">
        <v>4</v>
      </c>
      <c r="R734">
        <v>3</v>
      </c>
      <c r="S734">
        <v>18</v>
      </c>
    </row>
    <row r="735" spans="1:19" x14ac:dyDescent="0.35">
      <c r="A735">
        <v>8382</v>
      </c>
      <c r="B735">
        <v>580</v>
      </c>
      <c r="C735" t="str">
        <f>VLOOKUP(B735,Kunde!A:C,3,FALSE)</f>
        <v>Geschäftskunde</v>
      </c>
      <c r="D735" t="str">
        <f>VLOOKUP(O735,Produkt!$A$1:$E$5,2,FALSE)</f>
        <v>B</v>
      </c>
      <c r="E735">
        <f t="shared" si="33"/>
        <v>130</v>
      </c>
      <c r="F735">
        <f>VLOOKUP(D735,Produkt!$B$1:$C$5,2,FALSE)*Bestellungen!E735</f>
        <v>62400</v>
      </c>
      <c r="G735" s="2">
        <v>44954</v>
      </c>
      <c r="H735" s="2">
        <f t="shared" si="34"/>
        <v>44958</v>
      </c>
      <c r="I735" s="2">
        <f t="shared" si="35"/>
        <v>44958</v>
      </c>
      <c r="J735" t="str">
        <f>VLOOKUP(M735,Umfragenteilnahme!$A$2:$B$3,2,)</f>
        <v>Ja</v>
      </c>
      <c r="M735">
        <v>1</v>
      </c>
      <c r="N735">
        <v>580</v>
      </c>
      <c r="O735">
        <v>2</v>
      </c>
      <c r="P735">
        <v>130</v>
      </c>
      <c r="Q735">
        <v>9</v>
      </c>
      <c r="R735">
        <v>4</v>
      </c>
      <c r="S735">
        <v>4</v>
      </c>
    </row>
    <row r="736" spans="1:19" x14ac:dyDescent="0.35">
      <c r="A736">
        <v>8383</v>
      </c>
      <c r="B736">
        <v>508</v>
      </c>
      <c r="C736" t="str">
        <f>VLOOKUP(B736,Kunde!A:C,3,FALSE)</f>
        <v>Geschäftskunde</v>
      </c>
      <c r="D736" t="str">
        <f>VLOOKUP(O736,Produkt!$A$1:$E$5,2,FALSE)</f>
        <v>B</v>
      </c>
      <c r="E736">
        <f t="shared" si="33"/>
        <v>51</v>
      </c>
      <c r="F736">
        <f>VLOOKUP(D736,Produkt!$B$1:$C$5,2,FALSE)*Bestellungen!E736</f>
        <v>24480</v>
      </c>
      <c r="G736" s="2">
        <v>44830</v>
      </c>
      <c r="H736" s="2">
        <f t="shared" si="34"/>
        <v>44835</v>
      </c>
      <c r="I736" s="2">
        <f t="shared" si="35"/>
        <v>44834</v>
      </c>
      <c r="J736" t="str">
        <f>VLOOKUP(M736,Umfragenteilnahme!$A$2:$B$3,2,)</f>
        <v>Ja</v>
      </c>
      <c r="M736">
        <v>1</v>
      </c>
      <c r="N736">
        <v>508</v>
      </c>
      <c r="O736">
        <v>2</v>
      </c>
      <c r="P736">
        <v>51</v>
      </c>
      <c r="Q736">
        <v>2</v>
      </c>
      <c r="R736">
        <v>5</v>
      </c>
      <c r="S736">
        <v>4</v>
      </c>
    </row>
    <row r="737" spans="1:19" x14ac:dyDescent="0.35">
      <c r="A737">
        <v>8384</v>
      </c>
      <c r="B737">
        <v>729</v>
      </c>
      <c r="C737" t="str">
        <f>VLOOKUP(B737,Kunde!A:C,3,FALSE)</f>
        <v>Geschäftskunde</v>
      </c>
      <c r="D737" t="str">
        <f>VLOOKUP(O737,Produkt!$A$1:$E$5,2,FALSE)</f>
        <v>C</v>
      </c>
      <c r="E737">
        <f t="shared" si="33"/>
        <v>92</v>
      </c>
      <c r="F737">
        <f>VLOOKUP(D737,Produkt!$B$1:$C$5,2,FALSE)*Bestellungen!E737</f>
        <v>138000</v>
      </c>
      <c r="G737" s="2">
        <v>44916</v>
      </c>
      <c r="H737" s="2">
        <f t="shared" si="34"/>
        <v>44920</v>
      </c>
      <c r="I737" s="2">
        <f t="shared" si="35"/>
        <v>44921</v>
      </c>
      <c r="J737" t="str">
        <f>VLOOKUP(M737,Umfragenteilnahme!$A$2:$B$3,2,)</f>
        <v>Nein</v>
      </c>
      <c r="M737">
        <v>2</v>
      </c>
      <c r="N737">
        <v>729</v>
      </c>
      <c r="O737">
        <v>3</v>
      </c>
      <c r="P737">
        <v>92</v>
      </c>
      <c r="Q737">
        <v>3</v>
      </c>
      <c r="R737">
        <v>4</v>
      </c>
      <c r="S737">
        <v>5</v>
      </c>
    </row>
    <row r="738" spans="1:19" x14ac:dyDescent="0.35">
      <c r="A738">
        <v>8385</v>
      </c>
      <c r="B738">
        <v>617</v>
      </c>
      <c r="C738" t="str">
        <f>VLOOKUP(B738,Kunde!A:C,3,FALSE)</f>
        <v>Geschäftskunde</v>
      </c>
      <c r="D738" t="str">
        <f>VLOOKUP(O738,Produkt!$A$1:$E$5,2,FALSE)</f>
        <v>D</v>
      </c>
      <c r="E738">
        <f t="shared" si="33"/>
        <v>84</v>
      </c>
      <c r="F738">
        <f>VLOOKUP(D738,Produkt!$B$1:$C$5,2,FALSE)*Bestellungen!E738</f>
        <v>67200</v>
      </c>
      <c r="G738" s="2">
        <v>44801</v>
      </c>
      <c r="H738" s="2">
        <f t="shared" si="34"/>
        <v>44807</v>
      </c>
      <c r="I738" s="2">
        <f t="shared" si="35"/>
        <v>44821</v>
      </c>
      <c r="J738" t="str">
        <f>VLOOKUP(M738,Umfragenteilnahme!$A$2:$B$3,2,)</f>
        <v>Ja</v>
      </c>
      <c r="M738">
        <v>1</v>
      </c>
      <c r="N738">
        <v>617</v>
      </c>
      <c r="O738">
        <v>4</v>
      </c>
      <c r="P738">
        <v>84</v>
      </c>
      <c r="Q738">
        <v>2</v>
      </c>
      <c r="R738">
        <v>6</v>
      </c>
      <c r="S738">
        <v>20</v>
      </c>
    </row>
    <row r="739" spans="1:19" x14ac:dyDescent="0.35">
      <c r="A739">
        <v>8386</v>
      </c>
      <c r="B739">
        <v>60</v>
      </c>
      <c r="C739" t="str">
        <f>VLOOKUP(B739,Kunde!A:C,3,FALSE)</f>
        <v>Geschäftskunde</v>
      </c>
      <c r="D739" t="str">
        <f>VLOOKUP(O739,Produkt!$A$1:$E$5,2,FALSE)</f>
        <v>A</v>
      </c>
      <c r="E739">
        <f t="shared" si="33"/>
        <v>41</v>
      </c>
      <c r="F739">
        <f>VLOOKUP(D739,Produkt!$B$1:$C$5,2,FALSE)*Bestellungen!E739</f>
        <v>12300</v>
      </c>
      <c r="G739" s="2">
        <v>44833</v>
      </c>
      <c r="H739" s="2">
        <f t="shared" si="34"/>
        <v>44835</v>
      </c>
      <c r="I739" s="2">
        <f t="shared" si="35"/>
        <v>44888</v>
      </c>
      <c r="J739" t="str">
        <f>VLOOKUP(M739,Umfragenteilnahme!$A$2:$B$3,2,)</f>
        <v>Nein</v>
      </c>
      <c r="M739">
        <v>2</v>
      </c>
      <c r="N739">
        <v>60</v>
      </c>
      <c r="O739">
        <v>1</v>
      </c>
      <c r="P739">
        <v>41</v>
      </c>
      <c r="Q739">
        <v>9</v>
      </c>
      <c r="R739">
        <v>2</v>
      </c>
      <c r="S739">
        <v>55</v>
      </c>
    </row>
    <row r="740" spans="1:19" x14ac:dyDescent="0.35">
      <c r="A740">
        <v>8387</v>
      </c>
      <c r="B740">
        <v>116</v>
      </c>
      <c r="C740" t="str">
        <f>VLOOKUP(B740,Kunde!A:C,3,FALSE)</f>
        <v>Geschäftskunde</v>
      </c>
      <c r="D740" t="str">
        <f>VLOOKUP(O740,Produkt!$A$1:$E$5,2,FALSE)</f>
        <v>D</v>
      </c>
      <c r="E740">
        <f t="shared" si="33"/>
        <v>98</v>
      </c>
      <c r="F740">
        <f>VLOOKUP(D740,Produkt!$B$1:$C$5,2,FALSE)*Bestellungen!E740</f>
        <v>78400</v>
      </c>
      <c r="G740" s="2">
        <v>44899</v>
      </c>
      <c r="H740" s="2">
        <f t="shared" si="34"/>
        <v>44906</v>
      </c>
      <c r="I740" s="2">
        <f t="shared" si="35"/>
        <v>44935</v>
      </c>
      <c r="J740" t="str">
        <f>VLOOKUP(M740,Umfragenteilnahme!$A$2:$B$3,2,)</f>
        <v>Nein</v>
      </c>
      <c r="M740">
        <v>2</v>
      </c>
      <c r="N740">
        <v>116</v>
      </c>
      <c r="O740">
        <v>4</v>
      </c>
      <c r="P740">
        <v>98</v>
      </c>
      <c r="Q740">
        <v>9</v>
      </c>
      <c r="R740">
        <v>7</v>
      </c>
      <c r="S740">
        <v>36</v>
      </c>
    </row>
    <row r="741" spans="1:19" x14ac:dyDescent="0.35">
      <c r="A741">
        <v>8388</v>
      </c>
      <c r="B741">
        <v>314</v>
      </c>
      <c r="C741" t="str">
        <f>VLOOKUP(B741,Kunde!A:C,3,FALSE)</f>
        <v>Geschäftskunde</v>
      </c>
      <c r="D741" t="str">
        <f>VLOOKUP(O741,Produkt!$A$1:$E$5,2,FALSE)</f>
        <v>C</v>
      </c>
      <c r="E741">
        <f t="shared" si="33"/>
        <v>107</v>
      </c>
      <c r="F741">
        <f>VLOOKUP(D741,Produkt!$B$1:$C$5,2,FALSE)*Bestellungen!E741</f>
        <v>160500</v>
      </c>
      <c r="G741" s="2">
        <v>44868</v>
      </c>
      <c r="H741" s="2">
        <f t="shared" si="34"/>
        <v>44873</v>
      </c>
      <c r="I741" s="2">
        <f t="shared" si="35"/>
        <v>44876</v>
      </c>
      <c r="J741" t="str">
        <f>VLOOKUP(M741,Umfragenteilnahme!$A$2:$B$3,2,)</f>
        <v>Ja</v>
      </c>
      <c r="M741">
        <v>1</v>
      </c>
      <c r="N741">
        <v>314</v>
      </c>
      <c r="O741">
        <v>3</v>
      </c>
      <c r="P741">
        <v>107</v>
      </c>
      <c r="Q741">
        <v>9</v>
      </c>
      <c r="R741">
        <v>5</v>
      </c>
      <c r="S741">
        <v>8</v>
      </c>
    </row>
    <row r="742" spans="1:19" x14ac:dyDescent="0.35">
      <c r="A742">
        <v>8389</v>
      </c>
      <c r="B742">
        <v>232</v>
      </c>
      <c r="C742" t="str">
        <f>VLOOKUP(B742,Kunde!A:C,3,FALSE)</f>
        <v>Geschäftskunde</v>
      </c>
      <c r="D742" t="str">
        <f>VLOOKUP(O742,Produkt!$A$1:$E$5,2,FALSE)</f>
        <v>C</v>
      </c>
      <c r="E742">
        <f t="shared" si="33"/>
        <v>60</v>
      </c>
      <c r="F742">
        <f>VLOOKUP(D742,Produkt!$B$1:$C$5,2,FALSE)*Bestellungen!E742</f>
        <v>90000</v>
      </c>
      <c r="G742" s="2">
        <v>45044</v>
      </c>
      <c r="H742" s="2">
        <f t="shared" si="34"/>
        <v>45048</v>
      </c>
      <c r="I742" s="2">
        <f t="shared" si="35"/>
        <v>45050</v>
      </c>
      <c r="J742" t="str">
        <f>VLOOKUP(M742,Umfragenteilnahme!$A$2:$B$3,2,)</f>
        <v>Ja</v>
      </c>
      <c r="M742">
        <v>1</v>
      </c>
      <c r="N742">
        <v>232</v>
      </c>
      <c r="O742">
        <v>3</v>
      </c>
      <c r="P742">
        <v>60</v>
      </c>
      <c r="Q742">
        <v>10</v>
      </c>
      <c r="R742">
        <v>4</v>
      </c>
      <c r="S742">
        <v>6</v>
      </c>
    </row>
    <row r="743" spans="1:19" x14ac:dyDescent="0.35">
      <c r="A743">
        <v>8390</v>
      </c>
      <c r="B743">
        <v>301</v>
      </c>
      <c r="C743" t="str">
        <f>VLOOKUP(B743,Kunde!A:C,3,FALSE)</f>
        <v>Geschäftskunde</v>
      </c>
      <c r="D743" t="str">
        <f>VLOOKUP(O743,Produkt!$A$1:$E$5,2,FALSE)</f>
        <v>C</v>
      </c>
      <c r="E743">
        <f t="shared" si="33"/>
        <v>43</v>
      </c>
      <c r="F743">
        <f>VLOOKUP(D743,Produkt!$B$1:$C$5,2,FALSE)*Bestellungen!E743</f>
        <v>64500</v>
      </c>
      <c r="G743" s="2">
        <v>45021</v>
      </c>
      <c r="H743" s="2">
        <f t="shared" si="34"/>
        <v>45026</v>
      </c>
      <c r="I743" s="2">
        <f t="shared" si="35"/>
        <v>45032</v>
      </c>
      <c r="J743" t="str">
        <f>VLOOKUP(M743,Umfragenteilnahme!$A$2:$B$3,2,)</f>
        <v>Ja</v>
      </c>
      <c r="M743">
        <v>1</v>
      </c>
      <c r="N743">
        <v>301</v>
      </c>
      <c r="O743">
        <v>3</v>
      </c>
      <c r="P743">
        <v>43</v>
      </c>
      <c r="Q743">
        <v>10</v>
      </c>
      <c r="R743">
        <v>5</v>
      </c>
      <c r="S743">
        <v>11</v>
      </c>
    </row>
    <row r="744" spans="1:19" x14ac:dyDescent="0.35">
      <c r="A744">
        <v>8391</v>
      </c>
      <c r="B744">
        <v>356</v>
      </c>
      <c r="C744" t="str">
        <f>VLOOKUP(B744,Kunde!A:C,3,FALSE)</f>
        <v>Geschäftskunde</v>
      </c>
      <c r="D744" t="str">
        <f>VLOOKUP(O744,Produkt!$A$1:$E$5,2,FALSE)</f>
        <v>A</v>
      </c>
      <c r="E744">
        <f t="shared" si="33"/>
        <v>78</v>
      </c>
      <c r="F744">
        <f>VLOOKUP(D744,Produkt!$B$1:$C$5,2,FALSE)*Bestellungen!E744</f>
        <v>23400</v>
      </c>
      <c r="G744" s="2">
        <v>44777</v>
      </c>
      <c r="H744" s="2">
        <f t="shared" si="34"/>
        <v>44779</v>
      </c>
      <c r="I744" s="2">
        <f t="shared" si="35"/>
        <v>44831</v>
      </c>
      <c r="J744" t="str">
        <f>VLOOKUP(M744,Umfragenteilnahme!$A$2:$B$3,2,)</f>
        <v>Ja</v>
      </c>
      <c r="M744">
        <v>1</v>
      </c>
      <c r="N744">
        <v>356</v>
      </c>
      <c r="O744">
        <v>1</v>
      </c>
      <c r="P744">
        <v>78</v>
      </c>
      <c r="Q744">
        <v>9</v>
      </c>
      <c r="R744">
        <v>2</v>
      </c>
      <c r="S744">
        <v>54</v>
      </c>
    </row>
    <row r="745" spans="1:19" x14ac:dyDescent="0.35">
      <c r="A745">
        <v>8392</v>
      </c>
      <c r="B745">
        <v>411</v>
      </c>
      <c r="C745" t="str">
        <f>VLOOKUP(B745,Kunde!A:C,3,FALSE)</f>
        <v>Geschäftskunde</v>
      </c>
      <c r="D745" t="str">
        <f>VLOOKUP(O745,Produkt!$A$1:$E$5,2,FALSE)</f>
        <v>A</v>
      </c>
      <c r="E745">
        <f t="shared" si="33"/>
        <v>101</v>
      </c>
      <c r="F745">
        <f>VLOOKUP(D745,Produkt!$B$1:$C$5,2,FALSE)*Bestellungen!E745</f>
        <v>30300</v>
      </c>
      <c r="G745" s="2">
        <v>44755</v>
      </c>
      <c r="H745" s="2">
        <f t="shared" si="34"/>
        <v>44757</v>
      </c>
      <c r="I745" s="2">
        <f t="shared" si="35"/>
        <v>44785</v>
      </c>
      <c r="J745" t="str">
        <f>VLOOKUP(M745,Umfragenteilnahme!$A$2:$B$3,2,)</f>
        <v>Ja</v>
      </c>
      <c r="M745">
        <v>1</v>
      </c>
      <c r="N745">
        <v>411</v>
      </c>
      <c r="O745">
        <v>1</v>
      </c>
      <c r="P745">
        <v>101</v>
      </c>
      <c r="Q745">
        <v>10</v>
      </c>
      <c r="R745">
        <v>2</v>
      </c>
      <c r="S745">
        <v>30</v>
      </c>
    </row>
    <row r="746" spans="1:19" x14ac:dyDescent="0.35">
      <c r="A746">
        <v>8393</v>
      </c>
      <c r="B746">
        <v>68</v>
      </c>
      <c r="C746" t="str">
        <f>VLOOKUP(B746,Kunde!A:C,3,FALSE)</f>
        <v>Geschäftskunde</v>
      </c>
      <c r="D746" t="str">
        <f>VLOOKUP(O746,Produkt!$A$1:$E$5,2,FALSE)</f>
        <v>C</v>
      </c>
      <c r="E746">
        <f t="shared" si="33"/>
        <v>56</v>
      </c>
      <c r="F746">
        <f>VLOOKUP(D746,Produkt!$B$1:$C$5,2,FALSE)*Bestellungen!E746</f>
        <v>84000</v>
      </c>
      <c r="G746" s="2">
        <v>44736</v>
      </c>
      <c r="H746" s="2">
        <f t="shared" si="34"/>
        <v>44738</v>
      </c>
      <c r="I746" s="2">
        <f t="shared" si="35"/>
        <v>44740</v>
      </c>
      <c r="J746" t="str">
        <f>VLOOKUP(M746,Umfragenteilnahme!$A$2:$B$3,2,)</f>
        <v>Ja</v>
      </c>
      <c r="M746">
        <v>1</v>
      </c>
      <c r="N746">
        <v>68</v>
      </c>
      <c r="O746">
        <v>3</v>
      </c>
      <c r="P746">
        <v>56</v>
      </c>
      <c r="Q746">
        <v>4</v>
      </c>
      <c r="R746">
        <v>2</v>
      </c>
      <c r="S746">
        <v>4</v>
      </c>
    </row>
    <row r="747" spans="1:19" x14ac:dyDescent="0.35">
      <c r="A747">
        <v>8394</v>
      </c>
      <c r="B747">
        <v>626</v>
      </c>
      <c r="C747" t="str">
        <f>VLOOKUP(B747,Kunde!A:C,3,FALSE)</f>
        <v>Geschäftskunde</v>
      </c>
      <c r="D747" t="str">
        <f>VLOOKUP(O747,Produkt!$A$1:$E$5,2,FALSE)</f>
        <v>D</v>
      </c>
      <c r="E747">
        <f t="shared" si="33"/>
        <v>59</v>
      </c>
      <c r="F747">
        <f>VLOOKUP(D747,Produkt!$B$1:$C$5,2,FALSE)*Bestellungen!E747</f>
        <v>47200</v>
      </c>
      <c r="G747" s="2">
        <v>44921</v>
      </c>
      <c r="H747" s="2">
        <f t="shared" si="34"/>
        <v>44924</v>
      </c>
      <c r="I747" s="2">
        <f t="shared" si="35"/>
        <v>44959</v>
      </c>
      <c r="J747" t="str">
        <f>VLOOKUP(M747,Umfragenteilnahme!$A$2:$B$3,2,)</f>
        <v>Ja</v>
      </c>
      <c r="M747">
        <v>1</v>
      </c>
      <c r="N747">
        <v>626</v>
      </c>
      <c r="O747">
        <v>4</v>
      </c>
      <c r="P747">
        <v>59</v>
      </c>
      <c r="Q747">
        <v>1</v>
      </c>
      <c r="R747">
        <v>3</v>
      </c>
      <c r="S747">
        <v>38</v>
      </c>
    </row>
    <row r="748" spans="1:19" x14ac:dyDescent="0.35">
      <c r="A748">
        <v>8395</v>
      </c>
      <c r="B748">
        <v>699</v>
      </c>
      <c r="C748" t="str">
        <f>VLOOKUP(B748,Kunde!A:C,3,FALSE)</f>
        <v>Privatkunde</v>
      </c>
      <c r="D748" t="str">
        <f>VLOOKUP(O748,Produkt!$A$1:$E$5,2,FALSE)</f>
        <v>B</v>
      </c>
      <c r="E748">
        <f t="shared" si="33"/>
        <v>2</v>
      </c>
      <c r="F748">
        <f>VLOOKUP(D748,Produkt!$B$1:$C$5,2,FALSE)*Bestellungen!E748</f>
        <v>960</v>
      </c>
      <c r="G748" s="2">
        <v>44909</v>
      </c>
      <c r="H748" s="2">
        <f t="shared" si="34"/>
        <v>44914</v>
      </c>
      <c r="I748" s="2">
        <f t="shared" si="35"/>
        <v>44942</v>
      </c>
      <c r="J748" t="str">
        <f>VLOOKUP(M748,Umfragenteilnahme!$A$2:$B$3,2,)</f>
        <v>Ja</v>
      </c>
      <c r="M748">
        <v>1</v>
      </c>
      <c r="N748">
        <v>699</v>
      </c>
      <c r="O748">
        <v>2</v>
      </c>
      <c r="P748">
        <v>41</v>
      </c>
      <c r="Q748">
        <v>2</v>
      </c>
      <c r="R748">
        <v>5</v>
      </c>
      <c r="S748">
        <v>33</v>
      </c>
    </row>
    <row r="749" spans="1:19" x14ac:dyDescent="0.35">
      <c r="A749">
        <v>8396</v>
      </c>
      <c r="B749">
        <v>761</v>
      </c>
      <c r="C749" t="str">
        <f>VLOOKUP(B749,Kunde!A:C,3,FALSE)</f>
        <v>Geschäftskunde</v>
      </c>
      <c r="D749" t="str">
        <f>VLOOKUP(O749,Produkt!$A$1:$E$5,2,FALSE)</f>
        <v>C</v>
      </c>
      <c r="E749">
        <f t="shared" si="33"/>
        <v>93</v>
      </c>
      <c r="F749">
        <f>VLOOKUP(D749,Produkt!$B$1:$C$5,2,FALSE)*Bestellungen!E749</f>
        <v>139500</v>
      </c>
      <c r="G749" s="2">
        <v>44940</v>
      </c>
      <c r="H749" s="2">
        <f t="shared" si="34"/>
        <v>44945</v>
      </c>
      <c r="I749" s="2">
        <f t="shared" si="35"/>
        <v>44984</v>
      </c>
      <c r="J749" t="str">
        <f>VLOOKUP(M749,Umfragenteilnahme!$A$2:$B$3,2,)</f>
        <v>Nein</v>
      </c>
      <c r="M749">
        <v>2</v>
      </c>
      <c r="N749">
        <v>761</v>
      </c>
      <c r="O749">
        <v>3</v>
      </c>
      <c r="P749">
        <v>93</v>
      </c>
      <c r="Q749">
        <v>9</v>
      </c>
      <c r="R749">
        <v>5</v>
      </c>
      <c r="S749">
        <v>44</v>
      </c>
    </row>
    <row r="750" spans="1:19" x14ac:dyDescent="0.35">
      <c r="A750">
        <v>8397</v>
      </c>
      <c r="B750">
        <v>358</v>
      </c>
      <c r="C750" t="str">
        <f>VLOOKUP(B750,Kunde!A:C,3,FALSE)</f>
        <v>Geschäftskunde</v>
      </c>
      <c r="D750" t="str">
        <f>VLOOKUP(O750,Produkt!$A$1:$E$5,2,FALSE)</f>
        <v>C</v>
      </c>
      <c r="E750">
        <f t="shared" si="33"/>
        <v>120</v>
      </c>
      <c r="F750">
        <f>VLOOKUP(D750,Produkt!$B$1:$C$5,2,FALSE)*Bestellungen!E750</f>
        <v>180000</v>
      </c>
      <c r="G750" s="2">
        <v>45038</v>
      </c>
      <c r="H750" s="2">
        <f t="shared" si="34"/>
        <v>45044</v>
      </c>
      <c r="I750" s="2">
        <f t="shared" si="35"/>
        <v>45092</v>
      </c>
      <c r="J750" t="str">
        <f>VLOOKUP(M750,Umfragenteilnahme!$A$2:$B$3,2,)</f>
        <v>Ja</v>
      </c>
      <c r="M750">
        <v>1</v>
      </c>
      <c r="N750">
        <v>358</v>
      </c>
      <c r="O750">
        <v>3</v>
      </c>
      <c r="P750">
        <v>120</v>
      </c>
      <c r="Q750">
        <v>5</v>
      </c>
      <c r="R750">
        <v>6</v>
      </c>
      <c r="S750">
        <v>54</v>
      </c>
    </row>
    <row r="751" spans="1:19" x14ac:dyDescent="0.35">
      <c r="A751">
        <v>8398</v>
      </c>
      <c r="B751">
        <v>294</v>
      </c>
      <c r="C751" t="str">
        <f>VLOOKUP(B751,Kunde!A:C,3,FALSE)</f>
        <v>Geschäftskunde</v>
      </c>
      <c r="D751" t="str">
        <f>VLOOKUP(O751,Produkt!$A$1:$E$5,2,FALSE)</f>
        <v>A</v>
      </c>
      <c r="E751">
        <f t="shared" si="33"/>
        <v>143</v>
      </c>
      <c r="F751">
        <f>VLOOKUP(D751,Produkt!$B$1:$C$5,2,FALSE)*Bestellungen!E751</f>
        <v>42900</v>
      </c>
      <c r="G751" s="2">
        <v>44995</v>
      </c>
      <c r="H751" s="2">
        <f t="shared" si="34"/>
        <v>44999</v>
      </c>
      <c r="I751" s="2">
        <f t="shared" si="35"/>
        <v>45045</v>
      </c>
      <c r="J751" t="str">
        <f>VLOOKUP(M751,Umfragenteilnahme!$A$2:$B$3,2,)</f>
        <v>Ja</v>
      </c>
      <c r="M751">
        <v>1</v>
      </c>
      <c r="N751">
        <v>294</v>
      </c>
      <c r="O751">
        <v>1</v>
      </c>
      <c r="P751">
        <v>143</v>
      </c>
      <c r="Q751">
        <v>5</v>
      </c>
      <c r="R751">
        <v>4</v>
      </c>
      <c r="S751">
        <v>50</v>
      </c>
    </row>
    <row r="752" spans="1:19" x14ac:dyDescent="0.35">
      <c r="A752">
        <v>8399</v>
      </c>
      <c r="B752">
        <v>679</v>
      </c>
      <c r="C752" t="str">
        <f>VLOOKUP(B752,Kunde!A:C,3,FALSE)</f>
        <v>Geschäftskunde</v>
      </c>
      <c r="D752" t="str">
        <f>VLOOKUP(O752,Produkt!$A$1:$E$5,2,FALSE)</f>
        <v>B</v>
      </c>
      <c r="E752">
        <f t="shared" si="33"/>
        <v>61</v>
      </c>
      <c r="F752">
        <f>VLOOKUP(D752,Produkt!$B$1:$C$5,2,FALSE)*Bestellungen!E752</f>
        <v>29280</v>
      </c>
      <c r="G752" s="2">
        <v>45053</v>
      </c>
      <c r="H752" s="2">
        <f t="shared" si="34"/>
        <v>45060</v>
      </c>
      <c r="I752" s="2">
        <f t="shared" si="35"/>
        <v>45070</v>
      </c>
      <c r="J752" t="str">
        <f>VLOOKUP(M752,Umfragenteilnahme!$A$2:$B$3,2,)</f>
        <v>Ja</v>
      </c>
      <c r="M752">
        <v>1</v>
      </c>
      <c r="N752">
        <v>679</v>
      </c>
      <c r="O752">
        <v>2</v>
      </c>
      <c r="P752">
        <v>61</v>
      </c>
      <c r="Q752">
        <v>3</v>
      </c>
      <c r="R752">
        <v>7</v>
      </c>
      <c r="S752">
        <v>17</v>
      </c>
    </row>
    <row r="753" spans="1:19" x14ac:dyDescent="0.35">
      <c r="A753">
        <v>8400</v>
      </c>
      <c r="B753">
        <v>687</v>
      </c>
      <c r="C753" t="str">
        <f>VLOOKUP(B753,Kunde!A:C,3,FALSE)</f>
        <v>Geschäftskunde</v>
      </c>
      <c r="D753" t="str">
        <f>VLOOKUP(O753,Produkt!$A$1:$E$5,2,FALSE)</f>
        <v>B</v>
      </c>
      <c r="E753">
        <f t="shared" si="33"/>
        <v>101</v>
      </c>
      <c r="F753">
        <f>VLOOKUP(D753,Produkt!$B$1:$C$5,2,FALSE)*Bestellungen!E753</f>
        <v>48480</v>
      </c>
      <c r="G753" s="2">
        <v>44763</v>
      </c>
      <c r="H753" s="2">
        <f t="shared" si="34"/>
        <v>44768</v>
      </c>
      <c r="I753" s="2">
        <f t="shared" si="35"/>
        <v>44805</v>
      </c>
      <c r="J753" t="str">
        <f>VLOOKUP(M753,Umfragenteilnahme!$A$2:$B$3,2,)</f>
        <v>Nein</v>
      </c>
      <c r="M753">
        <v>2</v>
      </c>
      <c r="N753">
        <v>687</v>
      </c>
      <c r="O753">
        <v>2</v>
      </c>
      <c r="P753">
        <v>101</v>
      </c>
      <c r="Q753">
        <v>3</v>
      </c>
      <c r="R753">
        <v>5</v>
      </c>
      <c r="S753">
        <v>42</v>
      </c>
    </row>
    <row r="754" spans="1:19" x14ac:dyDescent="0.35">
      <c r="A754">
        <v>8401</v>
      </c>
      <c r="B754">
        <v>2</v>
      </c>
      <c r="C754" t="str">
        <f>VLOOKUP(B754,Kunde!A:C,3,FALSE)</f>
        <v>Privatkunde</v>
      </c>
      <c r="D754" t="str">
        <f>VLOOKUP(O754,Produkt!$A$1:$E$5,2,FALSE)</f>
        <v>C</v>
      </c>
      <c r="E754">
        <f t="shared" si="33"/>
        <v>6</v>
      </c>
      <c r="F754">
        <f>VLOOKUP(D754,Produkt!$B$1:$C$5,2,FALSE)*Bestellungen!E754</f>
        <v>9000</v>
      </c>
      <c r="G754" s="2">
        <v>44829</v>
      </c>
      <c r="H754" s="2">
        <f t="shared" si="34"/>
        <v>44835</v>
      </c>
      <c r="I754" s="2">
        <f t="shared" si="35"/>
        <v>44834</v>
      </c>
      <c r="J754" t="str">
        <f>VLOOKUP(M754,Umfragenteilnahme!$A$2:$B$3,2,)</f>
        <v>Nein</v>
      </c>
      <c r="M754">
        <v>2</v>
      </c>
      <c r="N754">
        <v>2</v>
      </c>
      <c r="O754">
        <v>3</v>
      </c>
      <c r="P754">
        <v>94</v>
      </c>
      <c r="Q754">
        <v>6</v>
      </c>
      <c r="R754">
        <v>6</v>
      </c>
      <c r="S754">
        <v>5</v>
      </c>
    </row>
    <row r="755" spans="1:19" x14ac:dyDescent="0.35">
      <c r="A755">
        <v>8402</v>
      </c>
      <c r="B755">
        <v>17</v>
      </c>
      <c r="C755" t="str">
        <f>VLOOKUP(B755,Kunde!A:C,3,FALSE)</f>
        <v>Geschäftskunde</v>
      </c>
      <c r="D755" t="str">
        <f>VLOOKUP(O755,Produkt!$A$1:$E$5,2,FALSE)</f>
        <v>C</v>
      </c>
      <c r="E755">
        <f t="shared" si="33"/>
        <v>75</v>
      </c>
      <c r="F755">
        <f>VLOOKUP(D755,Produkt!$B$1:$C$5,2,FALSE)*Bestellungen!E755</f>
        <v>112500</v>
      </c>
      <c r="G755" s="2">
        <v>44869</v>
      </c>
      <c r="H755" s="2">
        <f t="shared" si="34"/>
        <v>44871</v>
      </c>
      <c r="I755" s="2">
        <f t="shared" si="35"/>
        <v>44886</v>
      </c>
      <c r="J755" t="str">
        <f>VLOOKUP(M755,Umfragenteilnahme!$A$2:$B$3,2,)</f>
        <v>Nein</v>
      </c>
      <c r="M755">
        <v>2</v>
      </c>
      <c r="N755">
        <v>17</v>
      </c>
      <c r="O755">
        <v>3</v>
      </c>
      <c r="P755">
        <v>75</v>
      </c>
      <c r="Q755">
        <v>2</v>
      </c>
      <c r="R755">
        <v>2</v>
      </c>
      <c r="S755">
        <v>17</v>
      </c>
    </row>
    <row r="756" spans="1:19" x14ac:dyDescent="0.35">
      <c r="A756">
        <v>8403</v>
      </c>
      <c r="B756">
        <v>264</v>
      </c>
      <c r="C756" t="str">
        <f>VLOOKUP(B756,Kunde!A:C,3,FALSE)</f>
        <v>Geschäftskunde</v>
      </c>
      <c r="D756" t="str">
        <f>VLOOKUP(O756,Produkt!$A$1:$E$5,2,FALSE)</f>
        <v>D</v>
      </c>
      <c r="E756">
        <f t="shared" si="33"/>
        <v>58</v>
      </c>
      <c r="F756">
        <f>VLOOKUP(D756,Produkt!$B$1:$C$5,2,FALSE)*Bestellungen!E756</f>
        <v>46400</v>
      </c>
      <c r="G756" s="2">
        <v>45044</v>
      </c>
      <c r="H756" s="2">
        <f t="shared" si="34"/>
        <v>45049</v>
      </c>
      <c r="I756" s="2">
        <f t="shared" si="35"/>
        <v>45096</v>
      </c>
      <c r="J756" t="str">
        <f>VLOOKUP(M756,Umfragenteilnahme!$A$2:$B$3,2,)</f>
        <v>Nein</v>
      </c>
      <c r="M756">
        <v>2</v>
      </c>
      <c r="N756">
        <v>264</v>
      </c>
      <c r="O756">
        <v>4</v>
      </c>
      <c r="P756">
        <v>58</v>
      </c>
      <c r="Q756">
        <v>3</v>
      </c>
      <c r="R756">
        <v>5</v>
      </c>
      <c r="S756">
        <v>52</v>
      </c>
    </row>
    <row r="757" spans="1:19" x14ac:dyDescent="0.35">
      <c r="A757">
        <v>8404</v>
      </c>
      <c r="B757">
        <v>704</v>
      </c>
      <c r="C757" t="str">
        <f>VLOOKUP(B757,Kunde!A:C,3,FALSE)</f>
        <v>Geschäftskunde</v>
      </c>
      <c r="D757" t="str">
        <f>VLOOKUP(O757,Produkt!$A$1:$E$5,2,FALSE)</f>
        <v>A</v>
      </c>
      <c r="E757">
        <f t="shared" si="33"/>
        <v>123</v>
      </c>
      <c r="F757">
        <f>VLOOKUP(D757,Produkt!$B$1:$C$5,2,FALSE)*Bestellungen!E757</f>
        <v>36900</v>
      </c>
      <c r="G757" s="2">
        <v>44965</v>
      </c>
      <c r="H757" s="2">
        <f t="shared" si="34"/>
        <v>44972</v>
      </c>
      <c r="I757" s="2">
        <f t="shared" si="35"/>
        <v>44995</v>
      </c>
      <c r="J757" t="str">
        <f>VLOOKUP(M757,Umfragenteilnahme!$A$2:$B$3,2,)</f>
        <v>Ja</v>
      </c>
      <c r="M757">
        <v>1</v>
      </c>
      <c r="N757">
        <v>704</v>
      </c>
      <c r="O757">
        <v>1</v>
      </c>
      <c r="P757">
        <v>123</v>
      </c>
      <c r="Q757">
        <v>4</v>
      </c>
      <c r="R757">
        <v>7</v>
      </c>
      <c r="S757">
        <v>30</v>
      </c>
    </row>
    <row r="758" spans="1:19" x14ac:dyDescent="0.35">
      <c r="A758">
        <v>8405</v>
      </c>
      <c r="B758">
        <v>424</v>
      </c>
      <c r="C758" t="str">
        <f>VLOOKUP(B758,Kunde!A:C,3,FALSE)</f>
        <v>Privatkunde</v>
      </c>
      <c r="D758" t="str">
        <f>VLOOKUP(O758,Produkt!$A$1:$E$5,2,FALSE)</f>
        <v>D</v>
      </c>
      <c r="E758">
        <f t="shared" si="33"/>
        <v>2</v>
      </c>
      <c r="F758">
        <f>VLOOKUP(D758,Produkt!$B$1:$C$5,2,FALSE)*Bestellungen!E758</f>
        <v>1600</v>
      </c>
      <c r="G758" s="2">
        <v>44954</v>
      </c>
      <c r="H758" s="2">
        <f t="shared" si="34"/>
        <v>44961</v>
      </c>
      <c r="I758" s="2">
        <f t="shared" si="35"/>
        <v>44976</v>
      </c>
      <c r="J758" t="str">
        <f>VLOOKUP(M758,Umfragenteilnahme!$A$2:$B$3,2,)</f>
        <v>Nein</v>
      </c>
      <c r="M758">
        <v>2</v>
      </c>
      <c r="N758">
        <v>424</v>
      </c>
      <c r="O758">
        <v>4</v>
      </c>
      <c r="P758">
        <v>139</v>
      </c>
      <c r="Q758">
        <v>2</v>
      </c>
      <c r="R758">
        <v>7</v>
      </c>
      <c r="S758">
        <v>22</v>
      </c>
    </row>
    <row r="759" spans="1:19" x14ac:dyDescent="0.35">
      <c r="A759">
        <v>8406</v>
      </c>
      <c r="B759">
        <v>116</v>
      </c>
      <c r="C759" t="str">
        <f>VLOOKUP(B759,Kunde!A:C,3,FALSE)</f>
        <v>Geschäftskunde</v>
      </c>
      <c r="D759" t="str">
        <f>VLOOKUP(O759,Produkt!$A$1:$E$5,2,FALSE)</f>
        <v>D</v>
      </c>
      <c r="E759">
        <f t="shared" si="33"/>
        <v>78</v>
      </c>
      <c r="F759">
        <f>VLOOKUP(D759,Produkt!$B$1:$C$5,2,FALSE)*Bestellungen!E759</f>
        <v>62400</v>
      </c>
      <c r="G759" s="2">
        <v>45027</v>
      </c>
      <c r="H759" s="2">
        <f t="shared" si="34"/>
        <v>45032</v>
      </c>
      <c r="I759" s="2">
        <f t="shared" si="35"/>
        <v>45084</v>
      </c>
      <c r="J759" t="str">
        <f>VLOOKUP(M759,Umfragenteilnahme!$A$2:$B$3,2,)</f>
        <v>Nein</v>
      </c>
      <c r="M759">
        <v>2</v>
      </c>
      <c r="N759">
        <v>116</v>
      </c>
      <c r="O759">
        <v>4</v>
      </c>
      <c r="P759">
        <v>78</v>
      </c>
      <c r="Q759">
        <v>8</v>
      </c>
      <c r="R759">
        <v>5</v>
      </c>
      <c r="S759">
        <v>57</v>
      </c>
    </row>
    <row r="760" spans="1:19" x14ac:dyDescent="0.35">
      <c r="A760">
        <v>8407</v>
      </c>
      <c r="B760">
        <v>365</v>
      </c>
      <c r="C760" t="str">
        <f>VLOOKUP(B760,Kunde!A:C,3,FALSE)</f>
        <v>Geschäftskunde</v>
      </c>
      <c r="D760" t="str">
        <f>VLOOKUP(O760,Produkt!$A$1:$E$5,2,FALSE)</f>
        <v>A</v>
      </c>
      <c r="E760">
        <f t="shared" si="33"/>
        <v>49</v>
      </c>
      <c r="F760">
        <f>VLOOKUP(D760,Produkt!$B$1:$C$5,2,FALSE)*Bestellungen!E760</f>
        <v>14700</v>
      </c>
      <c r="G760" s="2">
        <v>44864</v>
      </c>
      <c r="H760" s="2">
        <f t="shared" si="34"/>
        <v>44866</v>
      </c>
      <c r="I760" s="2">
        <f t="shared" si="35"/>
        <v>44913</v>
      </c>
      <c r="J760" t="str">
        <f>VLOOKUP(M760,Umfragenteilnahme!$A$2:$B$3,2,)</f>
        <v>Nein</v>
      </c>
      <c r="M760">
        <v>2</v>
      </c>
      <c r="N760">
        <v>365</v>
      </c>
      <c r="O760">
        <v>1</v>
      </c>
      <c r="P760">
        <v>49</v>
      </c>
      <c r="Q760">
        <v>4</v>
      </c>
      <c r="R760">
        <v>2</v>
      </c>
      <c r="S760">
        <v>49</v>
      </c>
    </row>
    <row r="761" spans="1:19" x14ac:dyDescent="0.35">
      <c r="A761">
        <v>8408</v>
      </c>
      <c r="B761">
        <v>793</v>
      </c>
      <c r="C761" t="str">
        <f>VLOOKUP(B761,Kunde!A:C,3,FALSE)</f>
        <v>Geschäftskunde</v>
      </c>
      <c r="D761" t="str">
        <f>VLOOKUP(O761,Produkt!$A$1:$E$5,2,FALSE)</f>
        <v>A</v>
      </c>
      <c r="E761">
        <f t="shared" si="33"/>
        <v>147</v>
      </c>
      <c r="F761">
        <f>VLOOKUP(D761,Produkt!$B$1:$C$5,2,FALSE)*Bestellungen!E761</f>
        <v>44100</v>
      </c>
      <c r="G761" s="2">
        <v>44897</v>
      </c>
      <c r="H761" s="2">
        <f t="shared" si="34"/>
        <v>44901</v>
      </c>
      <c r="I761" s="2">
        <f t="shared" si="35"/>
        <v>44918</v>
      </c>
      <c r="J761" t="str">
        <f>VLOOKUP(M761,Umfragenteilnahme!$A$2:$B$3,2,)</f>
        <v>Ja</v>
      </c>
      <c r="M761">
        <v>1</v>
      </c>
      <c r="N761">
        <v>793</v>
      </c>
      <c r="O761">
        <v>1</v>
      </c>
      <c r="P761">
        <v>147</v>
      </c>
      <c r="Q761">
        <v>5</v>
      </c>
      <c r="R761">
        <v>4</v>
      </c>
      <c r="S761">
        <v>21</v>
      </c>
    </row>
    <row r="762" spans="1:19" x14ac:dyDescent="0.35">
      <c r="A762">
        <v>8409</v>
      </c>
      <c r="B762">
        <v>794</v>
      </c>
      <c r="C762" t="str">
        <f>VLOOKUP(B762,Kunde!A:C,3,FALSE)</f>
        <v>Geschäftskunde</v>
      </c>
      <c r="D762" t="str">
        <f>VLOOKUP(O762,Produkt!$A$1:$E$5,2,FALSE)</f>
        <v>A</v>
      </c>
      <c r="E762">
        <f t="shared" si="33"/>
        <v>22</v>
      </c>
      <c r="F762">
        <f>VLOOKUP(D762,Produkt!$B$1:$C$5,2,FALSE)*Bestellungen!E762</f>
        <v>6600</v>
      </c>
      <c r="G762" s="2">
        <v>44892</v>
      </c>
      <c r="H762" s="2">
        <f t="shared" si="34"/>
        <v>44895</v>
      </c>
      <c r="I762" s="2">
        <f t="shared" si="35"/>
        <v>44900</v>
      </c>
      <c r="J762" t="str">
        <f>VLOOKUP(M762,Umfragenteilnahme!$A$2:$B$3,2,)</f>
        <v>Nein</v>
      </c>
      <c r="M762">
        <v>2</v>
      </c>
      <c r="N762">
        <v>794</v>
      </c>
      <c r="O762">
        <v>1</v>
      </c>
      <c r="P762">
        <v>22</v>
      </c>
      <c r="Q762">
        <v>1</v>
      </c>
      <c r="R762">
        <v>3</v>
      </c>
      <c r="S762">
        <v>8</v>
      </c>
    </row>
    <row r="763" spans="1:19" x14ac:dyDescent="0.35">
      <c r="A763">
        <v>8410</v>
      </c>
      <c r="B763">
        <v>319</v>
      </c>
      <c r="C763" t="str">
        <f>VLOOKUP(B763,Kunde!A:C,3,FALSE)</f>
        <v>Geschäftskunde</v>
      </c>
      <c r="D763" t="str">
        <f>VLOOKUP(O763,Produkt!$A$1:$E$5,2,FALSE)</f>
        <v>D</v>
      </c>
      <c r="E763">
        <f t="shared" si="33"/>
        <v>20</v>
      </c>
      <c r="F763">
        <f>VLOOKUP(D763,Produkt!$B$1:$C$5,2,FALSE)*Bestellungen!E763</f>
        <v>16000</v>
      </c>
      <c r="G763" s="2">
        <v>44874</v>
      </c>
      <c r="H763" s="2">
        <f t="shared" si="34"/>
        <v>44880</v>
      </c>
      <c r="I763" s="2">
        <f t="shared" si="35"/>
        <v>44932</v>
      </c>
      <c r="J763" t="str">
        <f>VLOOKUP(M763,Umfragenteilnahme!$A$2:$B$3,2,)</f>
        <v>Nein</v>
      </c>
      <c r="M763">
        <v>2</v>
      </c>
      <c r="N763">
        <v>319</v>
      </c>
      <c r="O763">
        <v>4</v>
      </c>
      <c r="P763">
        <v>20</v>
      </c>
      <c r="Q763">
        <v>5</v>
      </c>
      <c r="R763">
        <v>6</v>
      </c>
      <c r="S763">
        <v>58</v>
      </c>
    </row>
    <row r="764" spans="1:19" x14ac:dyDescent="0.35">
      <c r="A764">
        <v>8411</v>
      </c>
      <c r="B764">
        <v>792</v>
      </c>
      <c r="C764" t="str">
        <f>VLOOKUP(B764,Kunde!A:C,3,FALSE)</f>
        <v>Geschäftskunde</v>
      </c>
      <c r="D764" t="str">
        <f>VLOOKUP(O764,Produkt!$A$1:$E$5,2,FALSE)</f>
        <v>A</v>
      </c>
      <c r="E764">
        <f t="shared" si="33"/>
        <v>147</v>
      </c>
      <c r="F764">
        <f>VLOOKUP(D764,Produkt!$B$1:$C$5,2,FALSE)*Bestellungen!E764</f>
        <v>44100</v>
      </c>
      <c r="G764" s="2">
        <v>44811</v>
      </c>
      <c r="H764" s="2">
        <f t="shared" si="34"/>
        <v>44816</v>
      </c>
      <c r="I764" s="2">
        <f t="shared" si="35"/>
        <v>44835</v>
      </c>
      <c r="J764" t="str">
        <f>VLOOKUP(M764,Umfragenteilnahme!$A$2:$B$3,2,)</f>
        <v>Ja</v>
      </c>
      <c r="M764">
        <v>1</v>
      </c>
      <c r="N764">
        <v>792</v>
      </c>
      <c r="O764">
        <v>1</v>
      </c>
      <c r="P764">
        <v>147</v>
      </c>
      <c r="Q764">
        <v>8</v>
      </c>
      <c r="R764">
        <v>5</v>
      </c>
      <c r="S764">
        <v>24</v>
      </c>
    </row>
    <row r="765" spans="1:19" x14ac:dyDescent="0.35">
      <c r="A765">
        <v>8412</v>
      </c>
      <c r="B765">
        <v>316</v>
      </c>
      <c r="C765" t="str">
        <f>VLOOKUP(B765,Kunde!A:C,3,FALSE)</f>
        <v>Geschäftskunde</v>
      </c>
      <c r="D765" t="str">
        <f>VLOOKUP(O765,Produkt!$A$1:$E$5,2,FALSE)</f>
        <v>A</v>
      </c>
      <c r="E765">
        <f t="shared" si="33"/>
        <v>57</v>
      </c>
      <c r="F765">
        <f>VLOOKUP(D765,Produkt!$B$1:$C$5,2,FALSE)*Bestellungen!E765</f>
        <v>17100</v>
      </c>
      <c r="G765" s="2">
        <v>44722</v>
      </c>
      <c r="H765" s="2">
        <f t="shared" si="34"/>
        <v>44729</v>
      </c>
      <c r="I765" s="2">
        <f t="shared" si="35"/>
        <v>44774</v>
      </c>
      <c r="J765" t="str">
        <f>VLOOKUP(M765,Umfragenteilnahme!$A$2:$B$3,2,)</f>
        <v>Nein</v>
      </c>
      <c r="M765">
        <v>2</v>
      </c>
      <c r="N765">
        <v>316</v>
      </c>
      <c r="O765">
        <v>1</v>
      </c>
      <c r="P765">
        <v>57</v>
      </c>
      <c r="Q765">
        <v>10</v>
      </c>
      <c r="R765">
        <v>7</v>
      </c>
      <c r="S765">
        <v>52</v>
      </c>
    </row>
    <row r="766" spans="1:19" x14ac:dyDescent="0.35">
      <c r="A766">
        <v>8413</v>
      </c>
      <c r="B766">
        <v>191</v>
      </c>
      <c r="C766" t="str">
        <f>VLOOKUP(B766,Kunde!A:C,3,FALSE)</f>
        <v>Geschäftskunde</v>
      </c>
      <c r="D766" t="str">
        <f>VLOOKUP(O766,Produkt!$A$1:$E$5,2,FALSE)</f>
        <v>C</v>
      </c>
      <c r="E766">
        <f t="shared" si="33"/>
        <v>115</v>
      </c>
      <c r="F766">
        <f>VLOOKUP(D766,Produkt!$B$1:$C$5,2,FALSE)*Bestellungen!E766</f>
        <v>172500</v>
      </c>
      <c r="G766" s="2">
        <v>44806</v>
      </c>
      <c r="H766" s="2">
        <f t="shared" si="34"/>
        <v>44810</v>
      </c>
      <c r="I766" s="2">
        <f t="shared" si="35"/>
        <v>44852</v>
      </c>
      <c r="J766" t="str">
        <f>VLOOKUP(M766,Umfragenteilnahme!$A$2:$B$3,2,)</f>
        <v>Ja</v>
      </c>
      <c r="M766">
        <v>1</v>
      </c>
      <c r="N766">
        <v>191</v>
      </c>
      <c r="O766">
        <v>3</v>
      </c>
      <c r="P766">
        <v>115</v>
      </c>
      <c r="Q766">
        <v>7</v>
      </c>
      <c r="R766">
        <v>4</v>
      </c>
      <c r="S766">
        <v>46</v>
      </c>
    </row>
    <row r="767" spans="1:19" x14ac:dyDescent="0.35">
      <c r="A767">
        <v>8414</v>
      </c>
      <c r="B767">
        <v>17</v>
      </c>
      <c r="C767" t="str">
        <f>VLOOKUP(B767,Kunde!A:C,3,FALSE)</f>
        <v>Geschäftskunde</v>
      </c>
      <c r="D767" t="str">
        <f>VLOOKUP(O767,Produkt!$A$1:$E$5,2,FALSE)</f>
        <v>A</v>
      </c>
      <c r="E767">
        <f t="shared" si="33"/>
        <v>33</v>
      </c>
      <c r="F767">
        <f>VLOOKUP(D767,Produkt!$B$1:$C$5,2,FALSE)*Bestellungen!E767</f>
        <v>9900</v>
      </c>
      <c r="G767" s="2">
        <v>44750</v>
      </c>
      <c r="H767" s="2">
        <f t="shared" si="34"/>
        <v>44755</v>
      </c>
      <c r="I767" s="2">
        <f t="shared" si="35"/>
        <v>44781</v>
      </c>
      <c r="J767" t="str">
        <f>VLOOKUP(M767,Umfragenteilnahme!$A$2:$B$3,2,)</f>
        <v>Nein</v>
      </c>
      <c r="M767">
        <v>2</v>
      </c>
      <c r="N767">
        <v>17</v>
      </c>
      <c r="O767">
        <v>1</v>
      </c>
      <c r="P767">
        <v>33</v>
      </c>
      <c r="Q767">
        <v>4</v>
      </c>
      <c r="R767">
        <v>5</v>
      </c>
      <c r="S767">
        <v>31</v>
      </c>
    </row>
    <row r="768" spans="1:19" x14ac:dyDescent="0.35">
      <c r="A768">
        <v>8415</v>
      </c>
      <c r="B768">
        <v>532</v>
      </c>
      <c r="C768" t="str">
        <f>VLOOKUP(B768,Kunde!A:C,3,FALSE)</f>
        <v>Geschäftskunde</v>
      </c>
      <c r="D768" t="str">
        <f>VLOOKUP(O768,Produkt!$A$1:$E$5,2,FALSE)</f>
        <v>B</v>
      </c>
      <c r="E768">
        <f t="shared" si="33"/>
        <v>63</v>
      </c>
      <c r="F768">
        <f>VLOOKUP(D768,Produkt!$B$1:$C$5,2,FALSE)*Bestellungen!E768</f>
        <v>30240</v>
      </c>
      <c r="G768" s="2">
        <v>44830</v>
      </c>
      <c r="H768" s="2">
        <f t="shared" si="34"/>
        <v>44834</v>
      </c>
      <c r="I768" s="2">
        <f t="shared" si="35"/>
        <v>44881</v>
      </c>
      <c r="J768" t="str">
        <f>VLOOKUP(M768,Umfragenteilnahme!$A$2:$B$3,2,)</f>
        <v>Ja</v>
      </c>
      <c r="M768">
        <v>1</v>
      </c>
      <c r="N768">
        <v>532</v>
      </c>
      <c r="O768">
        <v>2</v>
      </c>
      <c r="P768">
        <v>63</v>
      </c>
      <c r="Q768">
        <v>7</v>
      </c>
      <c r="R768">
        <v>4</v>
      </c>
      <c r="S768">
        <v>51</v>
      </c>
    </row>
    <row r="769" spans="1:19" x14ac:dyDescent="0.35">
      <c r="A769">
        <v>8416</v>
      </c>
      <c r="B769">
        <v>391</v>
      </c>
      <c r="C769" t="str">
        <f>VLOOKUP(B769,Kunde!A:C,3,FALSE)</f>
        <v>Geschäftskunde</v>
      </c>
      <c r="D769" t="str">
        <f>VLOOKUP(O769,Produkt!$A$1:$E$5,2,FALSE)</f>
        <v>D</v>
      </c>
      <c r="E769">
        <f t="shared" si="33"/>
        <v>101</v>
      </c>
      <c r="F769">
        <f>VLOOKUP(D769,Produkt!$B$1:$C$5,2,FALSE)*Bestellungen!E769</f>
        <v>80800</v>
      </c>
      <c r="G769" s="2">
        <v>44753</v>
      </c>
      <c r="H769" s="2">
        <f t="shared" si="34"/>
        <v>44757</v>
      </c>
      <c r="I769" s="2">
        <f t="shared" si="35"/>
        <v>44798</v>
      </c>
      <c r="J769" t="str">
        <f>VLOOKUP(M769,Umfragenteilnahme!$A$2:$B$3,2,)</f>
        <v>Nein</v>
      </c>
      <c r="M769">
        <v>2</v>
      </c>
      <c r="N769">
        <v>391</v>
      </c>
      <c r="O769">
        <v>4</v>
      </c>
      <c r="P769">
        <v>101</v>
      </c>
      <c r="Q769">
        <v>9</v>
      </c>
      <c r="R769">
        <v>4</v>
      </c>
      <c r="S769">
        <v>45</v>
      </c>
    </row>
    <row r="770" spans="1:19" x14ac:dyDescent="0.35">
      <c r="A770">
        <v>8417</v>
      </c>
      <c r="B770">
        <v>432</v>
      </c>
      <c r="C770" t="str">
        <f>VLOOKUP(B770,Kunde!A:C,3,FALSE)</f>
        <v>Geschäftskunde</v>
      </c>
      <c r="D770" t="str">
        <f>VLOOKUP(O770,Produkt!$A$1:$E$5,2,FALSE)</f>
        <v>A</v>
      </c>
      <c r="E770">
        <f t="shared" si="33"/>
        <v>69</v>
      </c>
      <c r="F770">
        <f>VLOOKUP(D770,Produkt!$B$1:$C$5,2,FALSE)*Bestellungen!E770</f>
        <v>20700</v>
      </c>
      <c r="G770" s="2">
        <v>44768</v>
      </c>
      <c r="H770" s="2">
        <f t="shared" si="34"/>
        <v>44774</v>
      </c>
      <c r="I770" s="2">
        <f t="shared" si="35"/>
        <v>44791</v>
      </c>
      <c r="J770" t="str">
        <f>VLOOKUP(M770,Umfragenteilnahme!$A$2:$B$3,2,)</f>
        <v>Ja</v>
      </c>
      <c r="M770">
        <v>1</v>
      </c>
      <c r="N770">
        <v>432</v>
      </c>
      <c r="O770">
        <v>1</v>
      </c>
      <c r="P770">
        <v>69</v>
      </c>
      <c r="Q770">
        <v>3</v>
      </c>
      <c r="R770">
        <v>6</v>
      </c>
      <c r="S770">
        <v>23</v>
      </c>
    </row>
    <row r="771" spans="1:19" x14ac:dyDescent="0.35">
      <c r="A771">
        <v>8418</v>
      </c>
      <c r="B771">
        <v>87</v>
      </c>
      <c r="C771" t="str">
        <f>VLOOKUP(B771,Kunde!A:C,3,FALSE)</f>
        <v>Geschäftskunde</v>
      </c>
      <c r="D771" t="str">
        <f>VLOOKUP(O771,Produkt!$A$1:$E$5,2,FALSE)</f>
        <v>D</v>
      </c>
      <c r="E771">
        <f t="shared" ref="E771:E834" si="36">IF(C771="Geschäftskunde",P771,Q771)</f>
        <v>122</v>
      </c>
      <c r="F771">
        <f>VLOOKUP(D771,Produkt!$B$1:$C$5,2,FALSE)*Bestellungen!E771</f>
        <v>97600</v>
      </c>
      <c r="G771" s="2">
        <v>44950</v>
      </c>
      <c r="H771" s="2">
        <f t="shared" ref="H771:H834" si="37">G771+R771</f>
        <v>44955</v>
      </c>
      <c r="I771" s="2">
        <f t="shared" ref="I771:I834" si="38">G771+S771</f>
        <v>44997</v>
      </c>
      <c r="J771" t="str">
        <f>VLOOKUP(M771,Umfragenteilnahme!$A$2:$B$3,2,)</f>
        <v>Nein</v>
      </c>
      <c r="M771">
        <v>2</v>
      </c>
      <c r="N771">
        <v>87</v>
      </c>
      <c r="O771">
        <v>4</v>
      </c>
      <c r="P771">
        <v>122</v>
      </c>
      <c r="Q771">
        <v>8</v>
      </c>
      <c r="R771">
        <v>5</v>
      </c>
      <c r="S771">
        <v>47</v>
      </c>
    </row>
    <row r="772" spans="1:19" x14ac:dyDescent="0.35">
      <c r="A772">
        <v>8419</v>
      </c>
      <c r="B772">
        <v>325</v>
      </c>
      <c r="C772" t="str">
        <f>VLOOKUP(B772,Kunde!A:C,3,FALSE)</f>
        <v>Geschäftskunde</v>
      </c>
      <c r="D772" t="str">
        <f>VLOOKUP(O772,Produkt!$A$1:$E$5,2,FALSE)</f>
        <v>C</v>
      </c>
      <c r="E772">
        <f t="shared" si="36"/>
        <v>75</v>
      </c>
      <c r="F772">
        <f>VLOOKUP(D772,Produkt!$B$1:$C$5,2,FALSE)*Bestellungen!E772</f>
        <v>112500</v>
      </c>
      <c r="G772" s="2">
        <v>44858</v>
      </c>
      <c r="H772" s="2">
        <f t="shared" si="37"/>
        <v>44863</v>
      </c>
      <c r="I772" s="2">
        <f t="shared" si="38"/>
        <v>44888</v>
      </c>
      <c r="J772" t="str">
        <f>VLOOKUP(M772,Umfragenteilnahme!$A$2:$B$3,2,)</f>
        <v>Nein</v>
      </c>
      <c r="M772">
        <v>2</v>
      </c>
      <c r="N772">
        <v>325</v>
      </c>
      <c r="O772">
        <v>3</v>
      </c>
      <c r="P772">
        <v>75</v>
      </c>
      <c r="Q772">
        <v>6</v>
      </c>
      <c r="R772">
        <v>5</v>
      </c>
      <c r="S772">
        <v>30</v>
      </c>
    </row>
    <row r="773" spans="1:19" x14ac:dyDescent="0.35">
      <c r="A773">
        <v>8420</v>
      </c>
      <c r="B773">
        <v>663</v>
      </c>
      <c r="C773" t="str">
        <f>VLOOKUP(B773,Kunde!A:C,3,FALSE)</f>
        <v>Privatkunde</v>
      </c>
      <c r="D773" t="str">
        <f>VLOOKUP(O773,Produkt!$A$1:$E$5,2,FALSE)</f>
        <v>C</v>
      </c>
      <c r="E773">
        <f t="shared" si="36"/>
        <v>1</v>
      </c>
      <c r="F773">
        <f>VLOOKUP(D773,Produkt!$B$1:$C$5,2,FALSE)*Bestellungen!E773</f>
        <v>1500</v>
      </c>
      <c r="G773" s="2">
        <v>45065</v>
      </c>
      <c r="H773" s="2">
        <f t="shared" si="37"/>
        <v>45071</v>
      </c>
      <c r="I773" s="2">
        <f t="shared" si="38"/>
        <v>45101</v>
      </c>
      <c r="J773" t="str">
        <f>VLOOKUP(M773,Umfragenteilnahme!$A$2:$B$3,2,)</f>
        <v>Nein</v>
      </c>
      <c r="M773">
        <v>2</v>
      </c>
      <c r="N773">
        <v>663</v>
      </c>
      <c r="O773">
        <v>3</v>
      </c>
      <c r="P773">
        <v>127</v>
      </c>
      <c r="Q773">
        <v>1</v>
      </c>
      <c r="R773">
        <v>6</v>
      </c>
      <c r="S773">
        <v>36</v>
      </c>
    </row>
    <row r="774" spans="1:19" x14ac:dyDescent="0.35">
      <c r="A774">
        <v>8421</v>
      </c>
      <c r="B774">
        <v>46</v>
      </c>
      <c r="C774" t="str">
        <f>VLOOKUP(B774,Kunde!A:C,3,FALSE)</f>
        <v>Geschäftskunde</v>
      </c>
      <c r="D774" t="str">
        <f>VLOOKUP(O774,Produkt!$A$1:$E$5,2,FALSE)</f>
        <v>B</v>
      </c>
      <c r="E774">
        <f t="shared" si="36"/>
        <v>31</v>
      </c>
      <c r="F774">
        <f>VLOOKUP(D774,Produkt!$B$1:$C$5,2,FALSE)*Bestellungen!E774</f>
        <v>14880</v>
      </c>
      <c r="G774" s="2">
        <v>45077</v>
      </c>
      <c r="H774" s="2">
        <f t="shared" si="37"/>
        <v>45081</v>
      </c>
      <c r="I774" s="2">
        <f t="shared" si="38"/>
        <v>45136</v>
      </c>
      <c r="J774" t="str">
        <f>VLOOKUP(M774,Umfragenteilnahme!$A$2:$B$3,2,)</f>
        <v>Ja</v>
      </c>
      <c r="M774">
        <v>1</v>
      </c>
      <c r="N774">
        <v>46</v>
      </c>
      <c r="O774">
        <v>2</v>
      </c>
      <c r="P774">
        <v>31</v>
      </c>
      <c r="Q774">
        <v>5</v>
      </c>
      <c r="R774">
        <v>4</v>
      </c>
      <c r="S774">
        <v>59</v>
      </c>
    </row>
    <row r="775" spans="1:19" x14ac:dyDescent="0.35">
      <c r="A775">
        <v>8422</v>
      </c>
      <c r="B775">
        <v>530</v>
      </c>
      <c r="C775" t="str">
        <f>VLOOKUP(B775,Kunde!A:C,3,FALSE)</f>
        <v>Geschäftskunde</v>
      </c>
      <c r="D775" t="str">
        <f>VLOOKUP(O775,Produkt!$A$1:$E$5,2,FALSE)</f>
        <v>D</v>
      </c>
      <c r="E775">
        <f t="shared" si="36"/>
        <v>146</v>
      </c>
      <c r="F775">
        <f>VLOOKUP(D775,Produkt!$B$1:$C$5,2,FALSE)*Bestellungen!E775</f>
        <v>116800</v>
      </c>
      <c r="G775" s="2">
        <v>44837</v>
      </c>
      <c r="H775" s="2">
        <f t="shared" si="37"/>
        <v>44843</v>
      </c>
      <c r="I775" s="2">
        <f t="shared" si="38"/>
        <v>44879</v>
      </c>
      <c r="J775" t="str">
        <f>VLOOKUP(M775,Umfragenteilnahme!$A$2:$B$3,2,)</f>
        <v>Ja</v>
      </c>
      <c r="M775">
        <v>1</v>
      </c>
      <c r="N775">
        <v>530</v>
      </c>
      <c r="O775">
        <v>4</v>
      </c>
      <c r="P775">
        <v>146</v>
      </c>
      <c r="Q775">
        <v>7</v>
      </c>
      <c r="R775">
        <v>6</v>
      </c>
      <c r="S775">
        <v>42</v>
      </c>
    </row>
    <row r="776" spans="1:19" x14ac:dyDescent="0.35">
      <c r="A776">
        <v>8423</v>
      </c>
      <c r="B776">
        <v>357</v>
      </c>
      <c r="C776" t="str">
        <f>VLOOKUP(B776,Kunde!A:C,3,FALSE)</f>
        <v>Geschäftskunde</v>
      </c>
      <c r="D776" t="str">
        <f>VLOOKUP(O776,Produkt!$A$1:$E$5,2,FALSE)</f>
        <v>D</v>
      </c>
      <c r="E776">
        <f t="shared" si="36"/>
        <v>14</v>
      </c>
      <c r="F776">
        <f>VLOOKUP(D776,Produkt!$B$1:$C$5,2,FALSE)*Bestellungen!E776</f>
        <v>11200</v>
      </c>
      <c r="G776" s="2">
        <v>45033</v>
      </c>
      <c r="H776" s="2">
        <f t="shared" si="37"/>
        <v>45038</v>
      </c>
      <c r="I776" s="2">
        <f t="shared" si="38"/>
        <v>45041</v>
      </c>
      <c r="J776" t="str">
        <f>VLOOKUP(M776,Umfragenteilnahme!$A$2:$B$3,2,)</f>
        <v>Nein</v>
      </c>
      <c r="M776">
        <v>2</v>
      </c>
      <c r="N776">
        <v>357</v>
      </c>
      <c r="O776">
        <v>4</v>
      </c>
      <c r="P776">
        <v>14</v>
      </c>
      <c r="Q776">
        <v>6</v>
      </c>
      <c r="R776">
        <v>5</v>
      </c>
      <c r="S776">
        <v>8</v>
      </c>
    </row>
    <row r="777" spans="1:19" x14ac:dyDescent="0.35">
      <c r="A777">
        <v>8424</v>
      </c>
      <c r="B777">
        <v>154</v>
      </c>
      <c r="C777" t="str">
        <f>VLOOKUP(B777,Kunde!A:C,3,FALSE)</f>
        <v>Geschäftskunde</v>
      </c>
      <c r="D777" t="str">
        <f>VLOOKUP(O777,Produkt!$A$1:$E$5,2,FALSE)</f>
        <v>C</v>
      </c>
      <c r="E777">
        <f t="shared" si="36"/>
        <v>133</v>
      </c>
      <c r="F777">
        <f>VLOOKUP(D777,Produkt!$B$1:$C$5,2,FALSE)*Bestellungen!E777</f>
        <v>199500</v>
      </c>
      <c r="G777" s="2">
        <v>44750</v>
      </c>
      <c r="H777" s="2">
        <f t="shared" si="37"/>
        <v>44755</v>
      </c>
      <c r="I777" s="2">
        <f t="shared" si="38"/>
        <v>44758</v>
      </c>
      <c r="J777" t="str">
        <f>VLOOKUP(M777,Umfragenteilnahme!$A$2:$B$3,2,)</f>
        <v>Ja</v>
      </c>
      <c r="M777">
        <v>1</v>
      </c>
      <c r="N777">
        <v>154</v>
      </c>
      <c r="O777">
        <v>3</v>
      </c>
      <c r="P777">
        <v>133</v>
      </c>
      <c r="Q777">
        <v>3</v>
      </c>
      <c r="R777">
        <v>5</v>
      </c>
      <c r="S777">
        <v>8</v>
      </c>
    </row>
    <row r="778" spans="1:19" x14ac:dyDescent="0.35">
      <c r="A778">
        <v>8425</v>
      </c>
      <c r="B778">
        <v>417</v>
      </c>
      <c r="C778" t="str">
        <f>VLOOKUP(B778,Kunde!A:C,3,FALSE)</f>
        <v>Geschäftskunde</v>
      </c>
      <c r="D778" t="str">
        <f>VLOOKUP(O778,Produkt!$A$1:$E$5,2,FALSE)</f>
        <v>D</v>
      </c>
      <c r="E778">
        <f t="shared" si="36"/>
        <v>48</v>
      </c>
      <c r="F778">
        <f>VLOOKUP(D778,Produkt!$B$1:$C$5,2,FALSE)*Bestellungen!E778</f>
        <v>38400</v>
      </c>
      <c r="G778" s="2">
        <v>44718</v>
      </c>
      <c r="H778" s="2">
        <f t="shared" si="37"/>
        <v>44721</v>
      </c>
      <c r="I778" s="2">
        <f t="shared" si="38"/>
        <v>44749</v>
      </c>
      <c r="J778" t="str">
        <f>VLOOKUP(M778,Umfragenteilnahme!$A$2:$B$3,2,)</f>
        <v>Nein</v>
      </c>
      <c r="M778">
        <v>2</v>
      </c>
      <c r="N778">
        <v>417</v>
      </c>
      <c r="O778">
        <v>4</v>
      </c>
      <c r="P778">
        <v>48</v>
      </c>
      <c r="Q778">
        <v>8</v>
      </c>
      <c r="R778">
        <v>3</v>
      </c>
      <c r="S778">
        <v>31</v>
      </c>
    </row>
    <row r="779" spans="1:19" x14ac:dyDescent="0.35">
      <c r="A779">
        <v>8426</v>
      </c>
      <c r="B779">
        <v>30</v>
      </c>
      <c r="C779" t="str">
        <f>VLOOKUP(B779,Kunde!A:C,3,FALSE)</f>
        <v>Privatkunde</v>
      </c>
      <c r="D779" t="str">
        <f>VLOOKUP(O779,Produkt!$A$1:$E$5,2,FALSE)</f>
        <v>B</v>
      </c>
      <c r="E779">
        <f t="shared" si="36"/>
        <v>8</v>
      </c>
      <c r="F779">
        <f>VLOOKUP(D779,Produkt!$B$1:$C$5,2,FALSE)*Bestellungen!E779</f>
        <v>3840</v>
      </c>
      <c r="G779" s="2">
        <v>44883</v>
      </c>
      <c r="H779" s="2">
        <f t="shared" si="37"/>
        <v>44890</v>
      </c>
      <c r="I779" s="2">
        <f t="shared" si="38"/>
        <v>44898</v>
      </c>
      <c r="J779" t="str">
        <f>VLOOKUP(M779,Umfragenteilnahme!$A$2:$B$3,2,)</f>
        <v>Ja</v>
      </c>
      <c r="M779">
        <v>1</v>
      </c>
      <c r="N779">
        <v>30</v>
      </c>
      <c r="O779">
        <v>2</v>
      </c>
      <c r="P779">
        <v>36</v>
      </c>
      <c r="Q779">
        <v>8</v>
      </c>
      <c r="R779">
        <v>7</v>
      </c>
      <c r="S779">
        <v>15</v>
      </c>
    </row>
    <row r="780" spans="1:19" x14ac:dyDescent="0.35">
      <c r="A780">
        <v>8427</v>
      </c>
      <c r="B780">
        <v>57</v>
      </c>
      <c r="C780" t="str">
        <f>VLOOKUP(B780,Kunde!A:C,3,FALSE)</f>
        <v>Geschäftskunde</v>
      </c>
      <c r="D780" t="str">
        <f>VLOOKUP(O780,Produkt!$A$1:$E$5,2,FALSE)</f>
        <v>C</v>
      </c>
      <c r="E780">
        <f t="shared" si="36"/>
        <v>80</v>
      </c>
      <c r="F780">
        <f>VLOOKUP(D780,Produkt!$B$1:$C$5,2,FALSE)*Bestellungen!E780</f>
        <v>120000</v>
      </c>
      <c r="G780" s="2">
        <v>44893</v>
      </c>
      <c r="H780" s="2">
        <f t="shared" si="37"/>
        <v>44899</v>
      </c>
      <c r="I780" s="2">
        <f t="shared" si="38"/>
        <v>44938</v>
      </c>
      <c r="J780" t="str">
        <f>VLOOKUP(M780,Umfragenteilnahme!$A$2:$B$3,2,)</f>
        <v>Nein</v>
      </c>
      <c r="M780">
        <v>2</v>
      </c>
      <c r="N780">
        <v>57</v>
      </c>
      <c r="O780">
        <v>3</v>
      </c>
      <c r="P780">
        <v>80</v>
      </c>
      <c r="Q780">
        <v>9</v>
      </c>
      <c r="R780">
        <v>6</v>
      </c>
      <c r="S780">
        <v>45</v>
      </c>
    </row>
    <row r="781" spans="1:19" x14ac:dyDescent="0.35">
      <c r="A781">
        <v>8428</v>
      </c>
      <c r="B781">
        <v>313</v>
      </c>
      <c r="C781" t="str">
        <f>VLOOKUP(B781,Kunde!A:C,3,FALSE)</f>
        <v>Geschäftskunde</v>
      </c>
      <c r="D781" t="str">
        <f>VLOOKUP(O781,Produkt!$A$1:$E$5,2,FALSE)</f>
        <v>B</v>
      </c>
      <c r="E781">
        <f t="shared" si="36"/>
        <v>73</v>
      </c>
      <c r="F781">
        <f>VLOOKUP(D781,Produkt!$B$1:$C$5,2,FALSE)*Bestellungen!E781</f>
        <v>35040</v>
      </c>
      <c r="G781" s="2">
        <v>45006</v>
      </c>
      <c r="H781" s="2">
        <f t="shared" si="37"/>
        <v>45010</v>
      </c>
      <c r="I781" s="2">
        <f t="shared" si="38"/>
        <v>45056</v>
      </c>
      <c r="J781" t="str">
        <f>VLOOKUP(M781,Umfragenteilnahme!$A$2:$B$3,2,)</f>
        <v>Nein</v>
      </c>
      <c r="M781">
        <v>2</v>
      </c>
      <c r="N781">
        <v>313</v>
      </c>
      <c r="O781">
        <v>2</v>
      </c>
      <c r="P781">
        <v>73</v>
      </c>
      <c r="Q781">
        <v>7</v>
      </c>
      <c r="R781">
        <v>4</v>
      </c>
      <c r="S781">
        <v>50</v>
      </c>
    </row>
    <row r="782" spans="1:19" x14ac:dyDescent="0.35">
      <c r="A782">
        <v>8429</v>
      </c>
      <c r="B782">
        <v>43</v>
      </c>
      <c r="C782" t="str">
        <f>VLOOKUP(B782,Kunde!A:C,3,FALSE)</f>
        <v>Geschäftskunde</v>
      </c>
      <c r="D782" t="str">
        <f>VLOOKUP(O782,Produkt!$A$1:$E$5,2,FALSE)</f>
        <v>B</v>
      </c>
      <c r="E782">
        <f t="shared" si="36"/>
        <v>90</v>
      </c>
      <c r="F782">
        <f>VLOOKUP(D782,Produkt!$B$1:$C$5,2,FALSE)*Bestellungen!E782</f>
        <v>43200</v>
      </c>
      <c r="G782" s="2">
        <v>44977</v>
      </c>
      <c r="H782" s="2">
        <f t="shared" si="37"/>
        <v>44979</v>
      </c>
      <c r="I782" s="2">
        <f t="shared" si="38"/>
        <v>45021</v>
      </c>
      <c r="J782" t="str">
        <f>VLOOKUP(M782,Umfragenteilnahme!$A$2:$B$3,2,)</f>
        <v>Nein</v>
      </c>
      <c r="M782">
        <v>2</v>
      </c>
      <c r="N782">
        <v>43</v>
      </c>
      <c r="O782">
        <v>2</v>
      </c>
      <c r="P782">
        <v>90</v>
      </c>
      <c r="Q782">
        <v>4</v>
      </c>
      <c r="R782">
        <v>2</v>
      </c>
      <c r="S782">
        <v>44</v>
      </c>
    </row>
    <row r="783" spans="1:19" x14ac:dyDescent="0.35">
      <c r="A783">
        <v>8430</v>
      </c>
      <c r="B783">
        <v>786</v>
      </c>
      <c r="C783" t="str">
        <f>VLOOKUP(B783,Kunde!A:C,3,FALSE)</f>
        <v>Privatkunde</v>
      </c>
      <c r="D783" t="str">
        <f>VLOOKUP(O783,Produkt!$A$1:$E$5,2,FALSE)</f>
        <v>C</v>
      </c>
      <c r="E783">
        <f t="shared" si="36"/>
        <v>6</v>
      </c>
      <c r="F783">
        <f>VLOOKUP(D783,Produkt!$B$1:$C$5,2,FALSE)*Bestellungen!E783</f>
        <v>9000</v>
      </c>
      <c r="G783" s="2">
        <v>44909</v>
      </c>
      <c r="H783" s="2">
        <f t="shared" si="37"/>
        <v>44911</v>
      </c>
      <c r="I783" s="2">
        <f t="shared" si="38"/>
        <v>44955</v>
      </c>
      <c r="J783" t="str">
        <f>VLOOKUP(M783,Umfragenteilnahme!$A$2:$B$3,2,)</f>
        <v>Nein</v>
      </c>
      <c r="M783">
        <v>2</v>
      </c>
      <c r="N783">
        <v>786</v>
      </c>
      <c r="O783">
        <v>3</v>
      </c>
      <c r="P783">
        <v>107</v>
      </c>
      <c r="Q783">
        <v>6</v>
      </c>
      <c r="R783">
        <v>2</v>
      </c>
      <c r="S783">
        <v>46</v>
      </c>
    </row>
    <row r="784" spans="1:19" x14ac:dyDescent="0.35">
      <c r="A784">
        <v>8431</v>
      </c>
      <c r="B784">
        <v>449</v>
      </c>
      <c r="C784" t="str">
        <f>VLOOKUP(B784,Kunde!A:C,3,FALSE)</f>
        <v>Geschäftskunde</v>
      </c>
      <c r="D784" t="str">
        <f>VLOOKUP(O784,Produkt!$A$1:$E$5,2,FALSE)</f>
        <v>D</v>
      </c>
      <c r="E784">
        <f t="shared" si="36"/>
        <v>52</v>
      </c>
      <c r="F784">
        <f>VLOOKUP(D784,Produkt!$B$1:$C$5,2,FALSE)*Bestellungen!E784</f>
        <v>41600</v>
      </c>
      <c r="G784" s="2">
        <v>44981</v>
      </c>
      <c r="H784" s="2">
        <f t="shared" si="37"/>
        <v>44983</v>
      </c>
      <c r="I784" s="2">
        <f t="shared" si="38"/>
        <v>45029</v>
      </c>
      <c r="J784" t="str">
        <f>VLOOKUP(M784,Umfragenteilnahme!$A$2:$B$3,2,)</f>
        <v>Nein</v>
      </c>
      <c r="M784">
        <v>2</v>
      </c>
      <c r="N784">
        <v>449</v>
      </c>
      <c r="O784">
        <v>4</v>
      </c>
      <c r="P784">
        <v>52</v>
      </c>
      <c r="Q784">
        <v>10</v>
      </c>
      <c r="R784">
        <v>2</v>
      </c>
      <c r="S784">
        <v>48</v>
      </c>
    </row>
    <row r="785" spans="1:19" x14ac:dyDescent="0.35">
      <c r="A785">
        <v>8432</v>
      </c>
      <c r="B785">
        <v>627</v>
      </c>
      <c r="C785" t="str">
        <f>VLOOKUP(B785,Kunde!A:C,3,FALSE)</f>
        <v>Geschäftskunde</v>
      </c>
      <c r="D785" t="str">
        <f>VLOOKUP(O785,Produkt!$A$1:$E$5,2,FALSE)</f>
        <v>B</v>
      </c>
      <c r="E785">
        <f t="shared" si="36"/>
        <v>29</v>
      </c>
      <c r="F785">
        <f>VLOOKUP(D785,Produkt!$B$1:$C$5,2,FALSE)*Bestellungen!E785</f>
        <v>13920</v>
      </c>
      <c r="G785" s="2">
        <v>44993</v>
      </c>
      <c r="H785" s="2">
        <f t="shared" si="37"/>
        <v>45000</v>
      </c>
      <c r="I785" s="2">
        <f t="shared" si="38"/>
        <v>45026</v>
      </c>
      <c r="J785" t="str">
        <f>VLOOKUP(M785,Umfragenteilnahme!$A$2:$B$3,2,)</f>
        <v>Ja</v>
      </c>
      <c r="M785">
        <v>1</v>
      </c>
      <c r="N785">
        <v>627</v>
      </c>
      <c r="O785">
        <v>2</v>
      </c>
      <c r="P785">
        <v>29</v>
      </c>
      <c r="Q785">
        <v>1</v>
      </c>
      <c r="R785">
        <v>7</v>
      </c>
      <c r="S785">
        <v>33</v>
      </c>
    </row>
    <row r="786" spans="1:19" x14ac:dyDescent="0.35">
      <c r="A786">
        <v>8433</v>
      </c>
      <c r="B786">
        <v>680</v>
      </c>
      <c r="C786" t="str">
        <f>VLOOKUP(B786,Kunde!A:C,3,FALSE)</f>
        <v>Geschäftskunde</v>
      </c>
      <c r="D786" t="str">
        <f>VLOOKUP(O786,Produkt!$A$1:$E$5,2,FALSE)</f>
        <v>C</v>
      </c>
      <c r="E786">
        <f t="shared" si="36"/>
        <v>102</v>
      </c>
      <c r="F786">
        <f>VLOOKUP(D786,Produkt!$B$1:$C$5,2,FALSE)*Bestellungen!E786</f>
        <v>153000</v>
      </c>
      <c r="G786" s="2">
        <v>44881</v>
      </c>
      <c r="H786" s="2">
        <f t="shared" si="37"/>
        <v>44885</v>
      </c>
      <c r="I786" s="2">
        <f t="shared" si="38"/>
        <v>44939</v>
      </c>
      <c r="J786" t="str">
        <f>VLOOKUP(M786,Umfragenteilnahme!$A$2:$B$3,2,)</f>
        <v>Nein</v>
      </c>
      <c r="M786">
        <v>2</v>
      </c>
      <c r="N786">
        <v>680</v>
      </c>
      <c r="O786">
        <v>3</v>
      </c>
      <c r="P786">
        <v>102</v>
      </c>
      <c r="Q786">
        <v>4</v>
      </c>
      <c r="R786">
        <v>4</v>
      </c>
      <c r="S786">
        <v>58</v>
      </c>
    </row>
    <row r="787" spans="1:19" x14ac:dyDescent="0.35">
      <c r="A787">
        <v>8434</v>
      </c>
      <c r="B787">
        <v>102</v>
      </c>
      <c r="C787" t="str">
        <f>VLOOKUP(B787,Kunde!A:C,3,FALSE)</f>
        <v>Geschäftskunde</v>
      </c>
      <c r="D787" t="str">
        <f>VLOOKUP(O787,Produkt!$A$1:$E$5,2,FALSE)</f>
        <v>B</v>
      </c>
      <c r="E787">
        <f t="shared" si="36"/>
        <v>139</v>
      </c>
      <c r="F787">
        <f>VLOOKUP(D787,Produkt!$B$1:$C$5,2,FALSE)*Bestellungen!E787</f>
        <v>66720</v>
      </c>
      <c r="G787" s="2">
        <v>45009</v>
      </c>
      <c r="H787" s="2">
        <f t="shared" si="37"/>
        <v>45014</v>
      </c>
      <c r="I787" s="2">
        <f t="shared" si="38"/>
        <v>45057</v>
      </c>
      <c r="J787" t="str">
        <f>VLOOKUP(M787,Umfragenteilnahme!$A$2:$B$3,2,)</f>
        <v>Ja</v>
      </c>
      <c r="M787">
        <v>1</v>
      </c>
      <c r="N787">
        <v>102</v>
      </c>
      <c r="O787">
        <v>2</v>
      </c>
      <c r="P787">
        <v>139</v>
      </c>
      <c r="Q787">
        <v>7</v>
      </c>
      <c r="R787">
        <v>5</v>
      </c>
      <c r="S787">
        <v>48</v>
      </c>
    </row>
    <row r="788" spans="1:19" x14ac:dyDescent="0.35">
      <c r="A788">
        <v>8435</v>
      </c>
      <c r="B788">
        <v>212</v>
      </c>
      <c r="C788" t="str">
        <f>VLOOKUP(B788,Kunde!A:C,3,FALSE)</f>
        <v>Geschäftskunde</v>
      </c>
      <c r="D788" t="str">
        <f>VLOOKUP(O788,Produkt!$A$1:$E$5,2,FALSE)</f>
        <v>A</v>
      </c>
      <c r="E788">
        <f t="shared" si="36"/>
        <v>116</v>
      </c>
      <c r="F788">
        <f>VLOOKUP(D788,Produkt!$B$1:$C$5,2,FALSE)*Bestellungen!E788</f>
        <v>34800</v>
      </c>
      <c r="G788" s="2">
        <v>44757</v>
      </c>
      <c r="H788" s="2">
        <f t="shared" si="37"/>
        <v>44759</v>
      </c>
      <c r="I788" s="2">
        <f t="shared" si="38"/>
        <v>44767</v>
      </c>
      <c r="J788" t="str">
        <f>VLOOKUP(M788,Umfragenteilnahme!$A$2:$B$3,2,)</f>
        <v>Nein</v>
      </c>
      <c r="M788">
        <v>2</v>
      </c>
      <c r="N788">
        <v>212</v>
      </c>
      <c r="O788">
        <v>1</v>
      </c>
      <c r="P788">
        <v>116</v>
      </c>
      <c r="Q788">
        <v>10</v>
      </c>
      <c r="R788">
        <v>2</v>
      </c>
      <c r="S788">
        <v>10</v>
      </c>
    </row>
    <row r="789" spans="1:19" x14ac:dyDescent="0.35">
      <c r="A789">
        <v>8436</v>
      </c>
      <c r="B789">
        <v>80</v>
      </c>
      <c r="C789" t="str">
        <f>VLOOKUP(B789,Kunde!A:C,3,FALSE)</f>
        <v>Geschäftskunde</v>
      </c>
      <c r="D789" t="str">
        <f>VLOOKUP(O789,Produkt!$A$1:$E$5,2,FALSE)</f>
        <v>B</v>
      </c>
      <c r="E789">
        <f t="shared" si="36"/>
        <v>11</v>
      </c>
      <c r="F789">
        <f>VLOOKUP(D789,Produkt!$B$1:$C$5,2,FALSE)*Bestellungen!E789</f>
        <v>5280</v>
      </c>
      <c r="G789" s="2">
        <v>44812</v>
      </c>
      <c r="H789" s="2">
        <f t="shared" si="37"/>
        <v>44817</v>
      </c>
      <c r="I789" s="2">
        <f t="shared" si="38"/>
        <v>44871</v>
      </c>
      <c r="J789" t="str">
        <f>VLOOKUP(M789,Umfragenteilnahme!$A$2:$B$3,2,)</f>
        <v>Nein</v>
      </c>
      <c r="M789">
        <v>2</v>
      </c>
      <c r="N789">
        <v>80</v>
      </c>
      <c r="O789">
        <v>2</v>
      </c>
      <c r="P789">
        <v>11</v>
      </c>
      <c r="Q789">
        <v>5</v>
      </c>
      <c r="R789">
        <v>5</v>
      </c>
      <c r="S789">
        <v>59</v>
      </c>
    </row>
    <row r="790" spans="1:19" x14ac:dyDescent="0.35">
      <c r="A790">
        <v>8437</v>
      </c>
      <c r="B790">
        <v>686</v>
      </c>
      <c r="C790" t="str">
        <f>VLOOKUP(B790,Kunde!A:C,3,FALSE)</f>
        <v>Geschäftskunde</v>
      </c>
      <c r="D790" t="str">
        <f>VLOOKUP(O790,Produkt!$A$1:$E$5,2,FALSE)</f>
        <v>D</v>
      </c>
      <c r="E790">
        <f t="shared" si="36"/>
        <v>43</v>
      </c>
      <c r="F790">
        <f>VLOOKUP(D790,Produkt!$B$1:$C$5,2,FALSE)*Bestellungen!E790</f>
        <v>34400</v>
      </c>
      <c r="G790" s="2">
        <v>44766</v>
      </c>
      <c r="H790" s="2">
        <f t="shared" si="37"/>
        <v>44773</v>
      </c>
      <c r="I790" s="2">
        <f t="shared" si="38"/>
        <v>44797</v>
      </c>
      <c r="J790" t="str">
        <f>VLOOKUP(M790,Umfragenteilnahme!$A$2:$B$3,2,)</f>
        <v>Nein</v>
      </c>
      <c r="M790">
        <v>2</v>
      </c>
      <c r="N790">
        <v>686</v>
      </c>
      <c r="O790">
        <v>4</v>
      </c>
      <c r="P790">
        <v>43</v>
      </c>
      <c r="Q790">
        <v>9</v>
      </c>
      <c r="R790">
        <v>7</v>
      </c>
      <c r="S790">
        <v>31</v>
      </c>
    </row>
    <row r="791" spans="1:19" x14ac:dyDescent="0.35">
      <c r="A791">
        <v>8438</v>
      </c>
      <c r="B791">
        <v>127</v>
      </c>
      <c r="C791" t="str">
        <f>VLOOKUP(B791,Kunde!A:C,3,FALSE)</f>
        <v>Geschäftskunde</v>
      </c>
      <c r="D791" t="str">
        <f>VLOOKUP(O791,Produkt!$A$1:$E$5,2,FALSE)</f>
        <v>D</v>
      </c>
      <c r="E791">
        <f t="shared" si="36"/>
        <v>55</v>
      </c>
      <c r="F791">
        <f>VLOOKUP(D791,Produkt!$B$1:$C$5,2,FALSE)*Bestellungen!E791</f>
        <v>44000</v>
      </c>
      <c r="G791" s="2">
        <v>44831</v>
      </c>
      <c r="H791" s="2">
        <f t="shared" si="37"/>
        <v>44833</v>
      </c>
      <c r="I791" s="2">
        <f t="shared" si="38"/>
        <v>44837</v>
      </c>
      <c r="J791" t="str">
        <f>VLOOKUP(M791,Umfragenteilnahme!$A$2:$B$3,2,)</f>
        <v>Nein</v>
      </c>
      <c r="M791">
        <v>2</v>
      </c>
      <c r="N791">
        <v>127</v>
      </c>
      <c r="O791">
        <v>4</v>
      </c>
      <c r="P791">
        <v>55</v>
      </c>
      <c r="Q791">
        <v>6</v>
      </c>
      <c r="R791">
        <v>2</v>
      </c>
      <c r="S791">
        <v>6</v>
      </c>
    </row>
    <row r="792" spans="1:19" x14ac:dyDescent="0.35">
      <c r="A792">
        <v>8439</v>
      </c>
      <c r="B792">
        <v>548</v>
      </c>
      <c r="C792" t="str">
        <f>VLOOKUP(B792,Kunde!A:C,3,FALSE)</f>
        <v>Geschäftskunde</v>
      </c>
      <c r="D792" t="str">
        <f>VLOOKUP(O792,Produkt!$A$1:$E$5,2,FALSE)</f>
        <v>A</v>
      </c>
      <c r="E792">
        <f t="shared" si="36"/>
        <v>43</v>
      </c>
      <c r="F792">
        <f>VLOOKUP(D792,Produkt!$B$1:$C$5,2,FALSE)*Bestellungen!E792</f>
        <v>12900</v>
      </c>
      <c r="G792" s="2">
        <v>44751</v>
      </c>
      <c r="H792" s="2">
        <f t="shared" si="37"/>
        <v>44758</v>
      </c>
      <c r="I792" s="2">
        <f t="shared" si="38"/>
        <v>44804</v>
      </c>
      <c r="J792" t="str">
        <f>VLOOKUP(M792,Umfragenteilnahme!$A$2:$B$3,2,)</f>
        <v>Nein</v>
      </c>
      <c r="M792">
        <v>2</v>
      </c>
      <c r="N792">
        <v>548</v>
      </c>
      <c r="O792">
        <v>1</v>
      </c>
      <c r="P792">
        <v>43</v>
      </c>
      <c r="Q792">
        <v>10</v>
      </c>
      <c r="R792">
        <v>7</v>
      </c>
      <c r="S792">
        <v>53</v>
      </c>
    </row>
    <row r="793" spans="1:19" x14ac:dyDescent="0.35">
      <c r="A793">
        <v>8440</v>
      </c>
      <c r="B793">
        <v>572</v>
      </c>
      <c r="C793" t="str">
        <f>VLOOKUP(B793,Kunde!A:C,3,FALSE)</f>
        <v>Geschäftskunde</v>
      </c>
      <c r="D793" t="str">
        <f>VLOOKUP(O793,Produkt!$A$1:$E$5,2,FALSE)</f>
        <v>B</v>
      </c>
      <c r="E793">
        <f t="shared" si="36"/>
        <v>71</v>
      </c>
      <c r="F793">
        <f>VLOOKUP(D793,Produkt!$B$1:$C$5,2,FALSE)*Bestellungen!E793</f>
        <v>34080</v>
      </c>
      <c r="G793" s="2">
        <v>45049</v>
      </c>
      <c r="H793" s="2">
        <f t="shared" si="37"/>
        <v>45056</v>
      </c>
      <c r="I793" s="2">
        <f t="shared" si="38"/>
        <v>45094</v>
      </c>
      <c r="J793" t="str">
        <f>VLOOKUP(M793,Umfragenteilnahme!$A$2:$B$3,2,)</f>
        <v>Nein</v>
      </c>
      <c r="M793">
        <v>2</v>
      </c>
      <c r="N793">
        <v>572</v>
      </c>
      <c r="O793">
        <v>2</v>
      </c>
      <c r="P793">
        <v>71</v>
      </c>
      <c r="Q793">
        <v>2</v>
      </c>
      <c r="R793">
        <v>7</v>
      </c>
      <c r="S793">
        <v>45</v>
      </c>
    </row>
    <row r="794" spans="1:19" x14ac:dyDescent="0.35">
      <c r="A794">
        <v>8441</v>
      </c>
      <c r="B794">
        <v>615</v>
      </c>
      <c r="C794" t="str">
        <f>VLOOKUP(B794,Kunde!A:C,3,FALSE)</f>
        <v>Geschäftskunde</v>
      </c>
      <c r="D794" t="str">
        <f>VLOOKUP(O794,Produkt!$A$1:$E$5,2,FALSE)</f>
        <v>D</v>
      </c>
      <c r="E794">
        <f t="shared" si="36"/>
        <v>51</v>
      </c>
      <c r="F794">
        <f>VLOOKUP(D794,Produkt!$B$1:$C$5,2,FALSE)*Bestellungen!E794</f>
        <v>40800</v>
      </c>
      <c r="G794" s="2">
        <v>44740</v>
      </c>
      <c r="H794" s="2">
        <f t="shared" si="37"/>
        <v>44744</v>
      </c>
      <c r="I794" s="2">
        <f t="shared" si="38"/>
        <v>44744</v>
      </c>
      <c r="J794" t="str">
        <f>VLOOKUP(M794,Umfragenteilnahme!$A$2:$B$3,2,)</f>
        <v>Ja</v>
      </c>
      <c r="M794">
        <v>1</v>
      </c>
      <c r="N794">
        <v>615</v>
      </c>
      <c r="O794">
        <v>4</v>
      </c>
      <c r="P794">
        <v>51</v>
      </c>
      <c r="Q794">
        <v>2</v>
      </c>
      <c r="R794">
        <v>4</v>
      </c>
      <c r="S794">
        <v>4</v>
      </c>
    </row>
    <row r="795" spans="1:19" x14ac:dyDescent="0.35">
      <c r="A795">
        <v>8442</v>
      </c>
      <c r="B795">
        <v>772</v>
      </c>
      <c r="C795" t="str">
        <f>VLOOKUP(B795,Kunde!A:C,3,FALSE)</f>
        <v>Privatkunde</v>
      </c>
      <c r="D795" t="str">
        <f>VLOOKUP(O795,Produkt!$A$1:$E$5,2,FALSE)</f>
        <v>D</v>
      </c>
      <c r="E795">
        <f t="shared" si="36"/>
        <v>4</v>
      </c>
      <c r="F795">
        <f>VLOOKUP(D795,Produkt!$B$1:$C$5,2,FALSE)*Bestellungen!E795</f>
        <v>3200</v>
      </c>
      <c r="G795" s="2">
        <v>44801</v>
      </c>
      <c r="H795" s="2">
        <f t="shared" si="37"/>
        <v>44805</v>
      </c>
      <c r="I795" s="2">
        <f t="shared" si="38"/>
        <v>44821</v>
      </c>
      <c r="J795" t="str">
        <f>VLOOKUP(M795,Umfragenteilnahme!$A$2:$B$3,2,)</f>
        <v>Nein</v>
      </c>
      <c r="M795">
        <v>2</v>
      </c>
      <c r="N795">
        <v>772</v>
      </c>
      <c r="O795">
        <v>4</v>
      </c>
      <c r="P795">
        <v>86</v>
      </c>
      <c r="Q795">
        <v>4</v>
      </c>
      <c r="R795">
        <v>4</v>
      </c>
      <c r="S795">
        <v>20</v>
      </c>
    </row>
    <row r="796" spans="1:19" x14ac:dyDescent="0.35">
      <c r="A796">
        <v>8443</v>
      </c>
      <c r="B796">
        <v>29</v>
      </c>
      <c r="C796" t="str">
        <f>VLOOKUP(B796,Kunde!A:C,3,FALSE)</f>
        <v>Geschäftskunde</v>
      </c>
      <c r="D796" t="str">
        <f>VLOOKUP(O796,Produkt!$A$1:$E$5,2,FALSE)</f>
        <v>C</v>
      </c>
      <c r="E796">
        <f t="shared" si="36"/>
        <v>30</v>
      </c>
      <c r="F796">
        <f>VLOOKUP(D796,Produkt!$B$1:$C$5,2,FALSE)*Bestellungen!E796</f>
        <v>45000</v>
      </c>
      <c r="G796" s="2">
        <v>44858</v>
      </c>
      <c r="H796" s="2">
        <f t="shared" si="37"/>
        <v>44862</v>
      </c>
      <c r="I796" s="2">
        <f t="shared" si="38"/>
        <v>44884</v>
      </c>
      <c r="J796" t="str">
        <f>VLOOKUP(M796,Umfragenteilnahme!$A$2:$B$3,2,)</f>
        <v>Ja</v>
      </c>
      <c r="M796">
        <v>1</v>
      </c>
      <c r="N796">
        <v>29</v>
      </c>
      <c r="O796">
        <v>3</v>
      </c>
      <c r="P796">
        <v>30</v>
      </c>
      <c r="Q796">
        <v>2</v>
      </c>
      <c r="R796">
        <v>4</v>
      </c>
      <c r="S796">
        <v>26</v>
      </c>
    </row>
    <row r="797" spans="1:19" x14ac:dyDescent="0.35">
      <c r="A797">
        <v>8444</v>
      </c>
      <c r="B797">
        <v>40</v>
      </c>
      <c r="C797" t="str">
        <f>VLOOKUP(B797,Kunde!A:C,3,FALSE)</f>
        <v>Geschäftskunde</v>
      </c>
      <c r="D797" t="str">
        <f>VLOOKUP(O797,Produkt!$A$1:$E$5,2,FALSE)</f>
        <v>C</v>
      </c>
      <c r="E797">
        <f t="shared" si="36"/>
        <v>128</v>
      </c>
      <c r="F797">
        <f>VLOOKUP(D797,Produkt!$B$1:$C$5,2,FALSE)*Bestellungen!E797</f>
        <v>192000</v>
      </c>
      <c r="G797" s="2">
        <v>44761</v>
      </c>
      <c r="H797" s="2">
        <f t="shared" si="37"/>
        <v>44764</v>
      </c>
      <c r="I797" s="2">
        <f t="shared" si="38"/>
        <v>44765</v>
      </c>
      <c r="J797" t="str">
        <f>VLOOKUP(M797,Umfragenteilnahme!$A$2:$B$3,2,)</f>
        <v>Ja</v>
      </c>
      <c r="M797">
        <v>1</v>
      </c>
      <c r="N797">
        <v>40</v>
      </c>
      <c r="O797">
        <v>3</v>
      </c>
      <c r="P797">
        <v>128</v>
      </c>
      <c r="Q797">
        <v>5</v>
      </c>
      <c r="R797">
        <v>3</v>
      </c>
      <c r="S797">
        <v>4</v>
      </c>
    </row>
    <row r="798" spans="1:19" x14ac:dyDescent="0.35">
      <c r="A798">
        <v>8445</v>
      </c>
      <c r="B798">
        <v>720</v>
      </c>
      <c r="C798" t="str">
        <f>VLOOKUP(B798,Kunde!A:C,3,FALSE)</f>
        <v>Geschäftskunde</v>
      </c>
      <c r="D798" t="str">
        <f>VLOOKUP(O798,Produkt!$A$1:$E$5,2,FALSE)</f>
        <v>B</v>
      </c>
      <c r="E798">
        <f t="shared" si="36"/>
        <v>85</v>
      </c>
      <c r="F798">
        <f>VLOOKUP(D798,Produkt!$B$1:$C$5,2,FALSE)*Bestellungen!E798</f>
        <v>40800</v>
      </c>
      <c r="G798" s="2">
        <v>44731</v>
      </c>
      <c r="H798" s="2">
        <f t="shared" si="37"/>
        <v>44735</v>
      </c>
      <c r="I798" s="2">
        <f t="shared" si="38"/>
        <v>44783</v>
      </c>
      <c r="J798" t="str">
        <f>VLOOKUP(M798,Umfragenteilnahme!$A$2:$B$3,2,)</f>
        <v>Ja</v>
      </c>
      <c r="M798">
        <v>1</v>
      </c>
      <c r="N798">
        <v>720</v>
      </c>
      <c r="O798">
        <v>2</v>
      </c>
      <c r="P798">
        <v>85</v>
      </c>
      <c r="Q798">
        <v>6</v>
      </c>
      <c r="R798">
        <v>4</v>
      </c>
      <c r="S798">
        <v>52</v>
      </c>
    </row>
    <row r="799" spans="1:19" x14ac:dyDescent="0.35">
      <c r="A799">
        <v>8446</v>
      </c>
      <c r="B799">
        <v>763</v>
      </c>
      <c r="C799" t="str">
        <f>VLOOKUP(B799,Kunde!A:C,3,FALSE)</f>
        <v>Geschäftskunde</v>
      </c>
      <c r="D799" t="str">
        <f>VLOOKUP(O799,Produkt!$A$1:$E$5,2,FALSE)</f>
        <v>D</v>
      </c>
      <c r="E799">
        <f t="shared" si="36"/>
        <v>97</v>
      </c>
      <c r="F799">
        <f>VLOOKUP(D799,Produkt!$B$1:$C$5,2,FALSE)*Bestellungen!E799</f>
        <v>77600</v>
      </c>
      <c r="G799" s="2">
        <v>45074</v>
      </c>
      <c r="H799" s="2">
        <f t="shared" si="37"/>
        <v>45077</v>
      </c>
      <c r="I799" s="2">
        <f t="shared" si="38"/>
        <v>45134</v>
      </c>
      <c r="J799" t="str">
        <f>VLOOKUP(M799,Umfragenteilnahme!$A$2:$B$3,2,)</f>
        <v>Ja</v>
      </c>
      <c r="M799">
        <v>1</v>
      </c>
      <c r="N799">
        <v>763</v>
      </c>
      <c r="O799">
        <v>4</v>
      </c>
      <c r="P799">
        <v>97</v>
      </c>
      <c r="Q799">
        <v>4</v>
      </c>
      <c r="R799">
        <v>3</v>
      </c>
      <c r="S799">
        <v>60</v>
      </c>
    </row>
    <row r="800" spans="1:19" x14ac:dyDescent="0.35">
      <c r="A800">
        <v>8447</v>
      </c>
      <c r="B800">
        <v>397</v>
      </c>
      <c r="C800" t="str">
        <f>VLOOKUP(B800,Kunde!A:C,3,FALSE)</f>
        <v>Geschäftskunde</v>
      </c>
      <c r="D800" t="str">
        <f>VLOOKUP(O800,Produkt!$A$1:$E$5,2,FALSE)</f>
        <v>B</v>
      </c>
      <c r="E800">
        <f t="shared" si="36"/>
        <v>77</v>
      </c>
      <c r="F800">
        <f>VLOOKUP(D800,Produkt!$B$1:$C$5,2,FALSE)*Bestellungen!E800</f>
        <v>36960</v>
      </c>
      <c r="G800" s="2">
        <v>44964</v>
      </c>
      <c r="H800" s="2">
        <f t="shared" si="37"/>
        <v>44966</v>
      </c>
      <c r="I800" s="2">
        <f t="shared" si="38"/>
        <v>44985</v>
      </c>
      <c r="J800" t="str">
        <f>VLOOKUP(M800,Umfragenteilnahme!$A$2:$B$3,2,)</f>
        <v>Nein</v>
      </c>
      <c r="M800">
        <v>2</v>
      </c>
      <c r="N800">
        <v>397</v>
      </c>
      <c r="O800">
        <v>2</v>
      </c>
      <c r="P800">
        <v>77</v>
      </c>
      <c r="Q800">
        <v>7</v>
      </c>
      <c r="R800">
        <v>2</v>
      </c>
      <c r="S800">
        <v>21</v>
      </c>
    </row>
    <row r="801" spans="1:19" x14ac:dyDescent="0.35">
      <c r="A801">
        <v>8448</v>
      </c>
      <c r="B801">
        <v>769</v>
      </c>
      <c r="C801" t="str">
        <f>VLOOKUP(B801,Kunde!A:C,3,FALSE)</f>
        <v>Geschäftskunde</v>
      </c>
      <c r="D801" t="str">
        <f>VLOOKUP(O801,Produkt!$A$1:$E$5,2,FALSE)</f>
        <v>C</v>
      </c>
      <c r="E801">
        <f t="shared" si="36"/>
        <v>147</v>
      </c>
      <c r="F801">
        <f>VLOOKUP(D801,Produkt!$B$1:$C$5,2,FALSE)*Bestellungen!E801</f>
        <v>220500</v>
      </c>
      <c r="G801" s="2">
        <v>44823</v>
      </c>
      <c r="H801" s="2">
        <f t="shared" si="37"/>
        <v>44825</v>
      </c>
      <c r="I801" s="2">
        <f t="shared" si="38"/>
        <v>44843</v>
      </c>
      <c r="J801" t="str">
        <f>VLOOKUP(M801,Umfragenteilnahme!$A$2:$B$3,2,)</f>
        <v>Ja</v>
      </c>
      <c r="M801">
        <v>1</v>
      </c>
      <c r="N801">
        <v>769</v>
      </c>
      <c r="O801">
        <v>3</v>
      </c>
      <c r="P801">
        <v>147</v>
      </c>
      <c r="Q801">
        <v>1</v>
      </c>
      <c r="R801">
        <v>2</v>
      </c>
      <c r="S801">
        <v>20</v>
      </c>
    </row>
    <row r="802" spans="1:19" x14ac:dyDescent="0.35">
      <c r="A802">
        <v>8449</v>
      </c>
      <c r="B802">
        <v>318</v>
      </c>
      <c r="C802" t="str">
        <f>VLOOKUP(B802,Kunde!A:C,3,FALSE)</f>
        <v>Geschäftskunde</v>
      </c>
      <c r="D802" t="str">
        <f>VLOOKUP(O802,Produkt!$A$1:$E$5,2,FALSE)</f>
        <v>A</v>
      </c>
      <c r="E802">
        <f t="shared" si="36"/>
        <v>39</v>
      </c>
      <c r="F802">
        <f>VLOOKUP(D802,Produkt!$B$1:$C$5,2,FALSE)*Bestellungen!E802</f>
        <v>11700</v>
      </c>
      <c r="G802" s="2">
        <v>44795</v>
      </c>
      <c r="H802" s="2">
        <f t="shared" si="37"/>
        <v>44802</v>
      </c>
      <c r="I802" s="2">
        <f t="shared" si="38"/>
        <v>44841</v>
      </c>
      <c r="J802" t="str">
        <f>VLOOKUP(M802,Umfragenteilnahme!$A$2:$B$3,2,)</f>
        <v>Nein</v>
      </c>
      <c r="M802">
        <v>2</v>
      </c>
      <c r="N802">
        <v>318</v>
      </c>
      <c r="O802">
        <v>1</v>
      </c>
      <c r="P802">
        <v>39</v>
      </c>
      <c r="Q802">
        <v>7</v>
      </c>
      <c r="R802">
        <v>7</v>
      </c>
      <c r="S802">
        <v>46</v>
      </c>
    </row>
    <row r="803" spans="1:19" x14ac:dyDescent="0.35">
      <c r="A803">
        <v>8450</v>
      </c>
      <c r="B803">
        <v>625</v>
      </c>
      <c r="C803" t="str">
        <f>VLOOKUP(B803,Kunde!A:C,3,FALSE)</f>
        <v>Privatkunde</v>
      </c>
      <c r="D803" t="str">
        <f>VLOOKUP(O803,Produkt!$A$1:$E$5,2,FALSE)</f>
        <v>D</v>
      </c>
      <c r="E803">
        <f t="shared" si="36"/>
        <v>7</v>
      </c>
      <c r="F803">
        <f>VLOOKUP(D803,Produkt!$B$1:$C$5,2,FALSE)*Bestellungen!E803</f>
        <v>5600</v>
      </c>
      <c r="G803" s="2">
        <v>45011</v>
      </c>
      <c r="H803" s="2">
        <f t="shared" si="37"/>
        <v>45014</v>
      </c>
      <c r="I803" s="2">
        <f t="shared" si="38"/>
        <v>45060</v>
      </c>
      <c r="J803" t="str">
        <f>VLOOKUP(M803,Umfragenteilnahme!$A$2:$B$3,2,)</f>
        <v>Ja</v>
      </c>
      <c r="M803">
        <v>1</v>
      </c>
      <c r="N803">
        <v>625</v>
      </c>
      <c r="O803">
        <v>4</v>
      </c>
      <c r="P803">
        <v>30</v>
      </c>
      <c r="Q803">
        <v>7</v>
      </c>
      <c r="R803">
        <v>3</v>
      </c>
      <c r="S803">
        <v>49</v>
      </c>
    </row>
    <row r="804" spans="1:19" x14ac:dyDescent="0.35">
      <c r="A804">
        <v>8451</v>
      </c>
      <c r="B804">
        <v>244</v>
      </c>
      <c r="C804" t="str">
        <f>VLOOKUP(B804,Kunde!A:C,3,FALSE)</f>
        <v>Geschäftskunde</v>
      </c>
      <c r="D804" t="str">
        <f>VLOOKUP(O804,Produkt!$A$1:$E$5,2,FALSE)</f>
        <v>B</v>
      </c>
      <c r="E804">
        <f t="shared" si="36"/>
        <v>139</v>
      </c>
      <c r="F804">
        <f>VLOOKUP(D804,Produkt!$B$1:$C$5,2,FALSE)*Bestellungen!E804</f>
        <v>66720</v>
      </c>
      <c r="G804" s="2">
        <v>45058</v>
      </c>
      <c r="H804" s="2">
        <f t="shared" si="37"/>
        <v>45061</v>
      </c>
      <c r="I804" s="2">
        <f t="shared" si="38"/>
        <v>45065</v>
      </c>
      <c r="J804" t="str">
        <f>VLOOKUP(M804,Umfragenteilnahme!$A$2:$B$3,2,)</f>
        <v>Nein</v>
      </c>
      <c r="M804">
        <v>2</v>
      </c>
      <c r="N804">
        <v>244</v>
      </c>
      <c r="O804">
        <v>2</v>
      </c>
      <c r="P804">
        <v>139</v>
      </c>
      <c r="Q804">
        <v>9</v>
      </c>
      <c r="R804">
        <v>3</v>
      </c>
      <c r="S804">
        <v>7</v>
      </c>
    </row>
    <row r="805" spans="1:19" x14ac:dyDescent="0.35">
      <c r="A805">
        <v>8452</v>
      </c>
      <c r="B805">
        <v>373</v>
      </c>
      <c r="C805" t="str">
        <f>VLOOKUP(B805,Kunde!A:C,3,FALSE)</f>
        <v>Geschäftskunde</v>
      </c>
      <c r="D805" t="str">
        <f>VLOOKUP(O805,Produkt!$A$1:$E$5,2,FALSE)</f>
        <v>A</v>
      </c>
      <c r="E805">
        <f t="shared" si="36"/>
        <v>57</v>
      </c>
      <c r="F805">
        <f>VLOOKUP(D805,Produkt!$B$1:$C$5,2,FALSE)*Bestellungen!E805</f>
        <v>17100</v>
      </c>
      <c r="G805" s="2">
        <v>44738</v>
      </c>
      <c r="H805" s="2">
        <f t="shared" si="37"/>
        <v>44740</v>
      </c>
      <c r="I805" s="2">
        <f t="shared" si="38"/>
        <v>44795</v>
      </c>
      <c r="J805" t="str">
        <f>VLOOKUP(M805,Umfragenteilnahme!$A$2:$B$3,2,)</f>
        <v>Ja</v>
      </c>
      <c r="M805">
        <v>1</v>
      </c>
      <c r="N805">
        <v>373</v>
      </c>
      <c r="O805">
        <v>1</v>
      </c>
      <c r="P805">
        <v>57</v>
      </c>
      <c r="Q805">
        <v>7</v>
      </c>
      <c r="R805">
        <v>2</v>
      </c>
      <c r="S805">
        <v>57</v>
      </c>
    </row>
    <row r="806" spans="1:19" x14ac:dyDescent="0.35">
      <c r="A806">
        <v>8453</v>
      </c>
      <c r="B806">
        <v>226</v>
      </c>
      <c r="C806" t="str">
        <f>VLOOKUP(B806,Kunde!A:C,3,FALSE)</f>
        <v>Privatkunde</v>
      </c>
      <c r="D806" t="str">
        <f>VLOOKUP(O806,Produkt!$A$1:$E$5,2,FALSE)</f>
        <v>A</v>
      </c>
      <c r="E806">
        <f t="shared" si="36"/>
        <v>5</v>
      </c>
      <c r="F806">
        <f>VLOOKUP(D806,Produkt!$B$1:$C$5,2,FALSE)*Bestellungen!E806</f>
        <v>1500</v>
      </c>
      <c r="G806" s="2">
        <v>44899</v>
      </c>
      <c r="H806" s="2">
        <f t="shared" si="37"/>
        <v>44906</v>
      </c>
      <c r="I806" s="2">
        <f t="shared" si="38"/>
        <v>44922</v>
      </c>
      <c r="J806" t="str">
        <f>VLOOKUP(M806,Umfragenteilnahme!$A$2:$B$3,2,)</f>
        <v>Nein</v>
      </c>
      <c r="M806">
        <v>2</v>
      </c>
      <c r="N806">
        <v>226</v>
      </c>
      <c r="O806">
        <v>1</v>
      </c>
      <c r="P806">
        <v>48</v>
      </c>
      <c r="Q806">
        <v>5</v>
      </c>
      <c r="R806">
        <v>7</v>
      </c>
      <c r="S806">
        <v>23</v>
      </c>
    </row>
    <row r="807" spans="1:19" x14ac:dyDescent="0.35">
      <c r="A807">
        <v>8454</v>
      </c>
      <c r="B807">
        <v>320</v>
      </c>
      <c r="C807" t="str">
        <f>VLOOKUP(B807,Kunde!A:C,3,FALSE)</f>
        <v>Privatkunde</v>
      </c>
      <c r="D807" t="str">
        <f>VLOOKUP(O807,Produkt!$A$1:$E$5,2,FALSE)</f>
        <v>C</v>
      </c>
      <c r="E807">
        <f t="shared" si="36"/>
        <v>2</v>
      </c>
      <c r="F807">
        <f>VLOOKUP(D807,Produkt!$B$1:$C$5,2,FALSE)*Bestellungen!E807</f>
        <v>3000</v>
      </c>
      <c r="G807" s="2">
        <v>44764</v>
      </c>
      <c r="H807" s="2">
        <f t="shared" si="37"/>
        <v>44769</v>
      </c>
      <c r="I807" s="2">
        <f t="shared" si="38"/>
        <v>44772</v>
      </c>
      <c r="J807" t="str">
        <f>VLOOKUP(M807,Umfragenteilnahme!$A$2:$B$3,2,)</f>
        <v>Nein</v>
      </c>
      <c r="M807">
        <v>2</v>
      </c>
      <c r="N807">
        <v>320</v>
      </c>
      <c r="O807">
        <v>3</v>
      </c>
      <c r="P807">
        <v>24</v>
      </c>
      <c r="Q807">
        <v>2</v>
      </c>
      <c r="R807">
        <v>5</v>
      </c>
      <c r="S807">
        <v>8</v>
      </c>
    </row>
    <row r="808" spans="1:19" x14ac:dyDescent="0.35">
      <c r="A808">
        <v>8455</v>
      </c>
      <c r="B808">
        <v>312</v>
      </c>
      <c r="C808" t="str">
        <f>VLOOKUP(B808,Kunde!A:C,3,FALSE)</f>
        <v>Geschäftskunde</v>
      </c>
      <c r="D808" t="str">
        <f>VLOOKUP(O808,Produkt!$A$1:$E$5,2,FALSE)</f>
        <v>B</v>
      </c>
      <c r="E808">
        <f t="shared" si="36"/>
        <v>124</v>
      </c>
      <c r="F808">
        <f>VLOOKUP(D808,Produkt!$B$1:$C$5,2,FALSE)*Bestellungen!E808</f>
        <v>59520</v>
      </c>
      <c r="G808" s="2">
        <v>44873</v>
      </c>
      <c r="H808" s="2">
        <f t="shared" si="37"/>
        <v>44875</v>
      </c>
      <c r="I808" s="2">
        <f t="shared" si="38"/>
        <v>44894</v>
      </c>
      <c r="J808" t="str">
        <f>VLOOKUP(M808,Umfragenteilnahme!$A$2:$B$3,2,)</f>
        <v>Nein</v>
      </c>
      <c r="M808">
        <v>2</v>
      </c>
      <c r="N808">
        <v>312</v>
      </c>
      <c r="O808">
        <v>2</v>
      </c>
      <c r="P808">
        <v>124</v>
      </c>
      <c r="Q808">
        <v>8</v>
      </c>
      <c r="R808">
        <v>2</v>
      </c>
      <c r="S808">
        <v>21</v>
      </c>
    </row>
    <row r="809" spans="1:19" x14ac:dyDescent="0.35">
      <c r="A809">
        <v>8456</v>
      </c>
      <c r="B809">
        <v>263</v>
      </c>
      <c r="C809" t="str">
        <f>VLOOKUP(B809,Kunde!A:C,3,FALSE)</f>
        <v>Geschäftskunde</v>
      </c>
      <c r="D809" t="str">
        <f>VLOOKUP(O809,Produkt!$A$1:$E$5,2,FALSE)</f>
        <v>B</v>
      </c>
      <c r="E809">
        <f t="shared" si="36"/>
        <v>113</v>
      </c>
      <c r="F809">
        <f>VLOOKUP(D809,Produkt!$B$1:$C$5,2,FALSE)*Bestellungen!E809</f>
        <v>54240</v>
      </c>
      <c r="G809" s="2">
        <v>44867</v>
      </c>
      <c r="H809" s="2">
        <f t="shared" si="37"/>
        <v>44871</v>
      </c>
      <c r="I809" s="2">
        <f t="shared" si="38"/>
        <v>44882</v>
      </c>
      <c r="J809" t="str">
        <f>VLOOKUP(M809,Umfragenteilnahme!$A$2:$B$3,2,)</f>
        <v>Ja</v>
      </c>
      <c r="M809">
        <v>1</v>
      </c>
      <c r="N809">
        <v>263</v>
      </c>
      <c r="O809">
        <v>2</v>
      </c>
      <c r="P809">
        <v>113</v>
      </c>
      <c r="Q809">
        <v>3</v>
      </c>
      <c r="R809">
        <v>4</v>
      </c>
      <c r="S809">
        <v>15</v>
      </c>
    </row>
    <row r="810" spans="1:19" x14ac:dyDescent="0.35">
      <c r="A810">
        <v>8457</v>
      </c>
      <c r="B810">
        <v>338</v>
      </c>
      <c r="C810" t="str">
        <f>VLOOKUP(B810,Kunde!A:C,3,FALSE)</f>
        <v>Geschäftskunde</v>
      </c>
      <c r="D810" t="str">
        <f>VLOOKUP(O810,Produkt!$A$1:$E$5,2,FALSE)</f>
        <v>D</v>
      </c>
      <c r="E810">
        <f t="shared" si="36"/>
        <v>29</v>
      </c>
      <c r="F810">
        <f>VLOOKUP(D810,Produkt!$B$1:$C$5,2,FALSE)*Bestellungen!E810</f>
        <v>23200</v>
      </c>
      <c r="G810" s="2">
        <v>44969</v>
      </c>
      <c r="H810" s="2">
        <f t="shared" si="37"/>
        <v>44972</v>
      </c>
      <c r="I810" s="2">
        <f t="shared" si="38"/>
        <v>44991</v>
      </c>
      <c r="J810" t="str">
        <f>VLOOKUP(M810,Umfragenteilnahme!$A$2:$B$3,2,)</f>
        <v>Nein</v>
      </c>
      <c r="M810">
        <v>2</v>
      </c>
      <c r="N810">
        <v>338</v>
      </c>
      <c r="O810">
        <v>4</v>
      </c>
      <c r="P810">
        <v>29</v>
      </c>
      <c r="Q810">
        <v>3</v>
      </c>
      <c r="R810">
        <v>3</v>
      </c>
      <c r="S810">
        <v>22</v>
      </c>
    </row>
    <row r="811" spans="1:19" x14ac:dyDescent="0.35">
      <c r="A811">
        <v>8458</v>
      </c>
      <c r="B811">
        <v>390</v>
      </c>
      <c r="C811" t="str">
        <f>VLOOKUP(B811,Kunde!A:C,3,FALSE)</f>
        <v>Geschäftskunde</v>
      </c>
      <c r="D811" t="str">
        <f>VLOOKUP(O811,Produkt!$A$1:$E$5,2,FALSE)</f>
        <v>B</v>
      </c>
      <c r="E811">
        <f t="shared" si="36"/>
        <v>24</v>
      </c>
      <c r="F811">
        <f>VLOOKUP(D811,Produkt!$B$1:$C$5,2,FALSE)*Bestellungen!E811</f>
        <v>11520</v>
      </c>
      <c r="G811" s="2">
        <v>44799</v>
      </c>
      <c r="H811" s="2">
        <f t="shared" si="37"/>
        <v>44805</v>
      </c>
      <c r="I811" s="2">
        <f t="shared" si="38"/>
        <v>44822</v>
      </c>
      <c r="J811" t="str">
        <f>VLOOKUP(M811,Umfragenteilnahme!$A$2:$B$3,2,)</f>
        <v>Nein</v>
      </c>
      <c r="M811">
        <v>2</v>
      </c>
      <c r="N811">
        <v>390</v>
      </c>
      <c r="O811">
        <v>2</v>
      </c>
      <c r="P811">
        <v>24</v>
      </c>
      <c r="Q811">
        <v>4</v>
      </c>
      <c r="R811">
        <v>6</v>
      </c>
      <c r="S811">
        <v>23</v>
      </c>
    </row>
    <row r="812" spans="1:19" x14ac:dyDescent="0.35">
      <c r="A812">
        <v>8459</v>
      </c>
      <c r="B812">
        <v>569</v>
      </c>
      <c r="C812" t="str">
        <f>VLOOKUP(B812,Kunde!A:C,3,FALSE)</f>
        <v>Geschäftskunde</v>
      </c>
      <c r="D812" t="str">
        <f>VLOOKUP(O812,Produkt!$A$1:$E$5,2,FALSE)</f>
        <v>C</v>
      </c>
      <c r="E812">
        <f t="shared" si="36"/>
        <v>41</v>
      </c>
      <c r="F812">
        <f>VLOOKUP(D812,Produkt!$B$1:$C$5,2,FALSE)*Bestellungen!E812</f>
        <v>61500</v>
      </c>
      <c r="G812" s="2">
        <v>44897</v>
      </c>
      <c r="H812" s="2">
        <f t="shared" si="37"/>
        <v>44904</v>
      </c>
      <c r="I812" s="2">
        <f t="shared" si="38"/>
        <v>44940</v>
      </c>
      <c r="J812" t="str">
        <f>VLOOKUP(M812,Umfragenteilnahme!$A$2:$B$3,2,)</f>
        <v>Ja</v>
      </c>
      <c r="M812">
        <v>1</v>
      </c>
      <c r="N812">
        <v>569</v>
      </c>
      <c r="O812">
        <v>3</v>
      </c>
      <c r="P812">
        <v>41</v>
      </c>
      <c r="Q812">
        <v>3</v>
      </c>
      <c r="R812">
        <v>7</v>
      </c>
      <c r="S812">
        <v>43</v>
      </c>
    </row>
    <row r="813" spans="1:19" x14ac:dyDescent="0.35">
      <c r="A813">
        <v>8460</v>
      </c>
      <c r="B813">
        <v>744</v>
      </c>
      <c r="C813" t="str">
        <f>VLOOKUP(B813,Kunde!A:C,3,FALSE)</f>
        <v>Geschäftskunde</v>
      </c>
      <c r="D813" t="str">
        <f>VLOOKUP(O813,Produkt!$A$1:$E$5,2,FALSE)</f>
        <v>C</v>
      </c>
      <c r="E813">
        <f t="shared" si="36"/>
        <v>89</v>
      </c>
      <c r="F813">
        <f>VLOOKUP(D813,Produkt!$B$1:$C$5,2,FALSE)*Bestellungen!E813</f>
        <v>133500</v>
      </c>
      <c r="G813" s="2">
        <v>44925</v>
      </c>
      <c r="H813" s="2">
        <f t="shared" si="37"/>
        <v>44930</v>
      </c>
      <c r="I813" s="2">
        <f t="shared" si="38"/>
        <v>44937</v>
      </c>
      <c r="J813" t="str">
        <f>VLOOKUP(M813,Umfragenteilnahme!$A$2:$B$3,2,)</f>
        <v>Ja</v>
      </c>
      <c r="M813">
        <v>1</v>
      </c>
      <c r="N813">
        <v>744</v>
      </c>
      <c r="O813">
        <v>3</v>
      </c>
      <c r="P813">
        <v>89</v>
      </c>
      <c r="Q813">
        <v>6</v>
      </c>
      <c r="R813">
        <v>5</v>
      </c>
      <c r="S813">
        <v>12</v>
      </c>
    </row>
    <row r="814" spans="1:19" x14ac:dyDescent="0.35">
      <c r="A814">
        <v>8461</v>
      </c>
      <c r="B814">
        <v>473</v>
      </c>
      <c r="C814" t="str">
        <f>VLOOKUP(B814,Kunde!A:C,3,FALSE)</f>
        <v>Geschäftskunde</v>
      </c>
      <c r="D814" t="str">
        <f>VLOOKUP(O814,Produkt!$A$1:$E$5,2,FALSE)</f>
        <v>C</v>
      </c>
      <c r="E814">
        <f t="shared" si="36"/>
        <v>108</v>
      </c>
      <c r="F814">
        <f>VLOOKUP(D814,Produkt!$B$1:$C$5,2,FALSE)*Bestellungen!E814</f>
        <v>162000</v>
      </c>
      <c r="G814" s="2">
        <v>44912</v>
      </c>
      <c r="H814" s="2">
        <f t="shared" si="37"/>
        <v>44915</v>
      </c>
      <c r="I814" s="2">
        <f t="shared" si="38"/>
        <v>44968</v>
      </c>
      <c r="J814" t="str">
        <f>VLOOKUP(M814,Umfragenteilnahme!$A$2:$B$3,2,)</f>
        <v>Ja</v>
      </c>
      <c r="M814">
        <v>1</v>
      </c>
      <c r="N814">
        <v>473</v>
      </c>
      <c r="O814">
        <v>3</v>
      </c>
      <c r="P814">
        <v>108</v>
      </c>
      <c r="Q814">
        <v>4</v>
      </c>
      <c r="R814">
        <v>3</v>
      </c>
      <c r="S814">
        <v>56</v>
      </c>
    </row>
    <row r="815" spans="1:19" x14ac:dyDescent="0.35">
      <c r="A815">
        <v>8462</v>
      </c>
      <c r="B815">
        <v>671</v>
      </c>
      <c r="C815" t="str">
        <f>VLOOKUP(B815,Kunde!A:C,3,FALSE)</f>
        <v>Geschäftskunde</v>
      </c>
      <c r="D815" t="str">
        <f>VLOOKUP(O815,Produkt!$A$1:$E$5,2,FALSE)</f>
        <v>D</v>
      </c>
      <c r="E815">
        <f t="shared" si="36"/>
        <v>129</v>
      </c>
      <c r="F815">
        <f>VLOOKUP(D815,Produkt!$B$1:$C$5,2,FALSE)*Bestellungen!E815</f>
        <v>103200</v>
      </c>
      <c r="G815" s="2">
        <v>45008</v>
      </c>
      <c r="H815" s="2">
        <f t="shared" si="37"/>
        <v>45012</v>
      </c>
      <c r="I815" s="2">
        <f t="shared" si="38"/>
        <v>45032</v>
      </c>
      <c r="J815" t="str">
        <f>VLOOKUP(M815,Umfragenteilnahme!$A$2:$B$3,2,)</f>
        <v>Nein</v>
      </c>
      <c r="M815">
        <v>2</v>
      </c>
      <c r="N815">
        <v>671</v>
      </c>
      <c r="O815">
        <v>4</v>
      </c>
      <c r="P815">
        <v>129</v>
      </c>
      <c r="Q815">
        <v>5</v>
      </c>
      <c r="R815">
        <v>4</v>
      </c>
      <c r="S815">
        <v>24</v>
      </c>
    </row>
    <row r="816" spans="1:19" x14ac:dyDescent="0.35">
      <c r="A816">
        <v>8463</v>
      </c>
      <c r="B816">
        <v>47</v>
      </c>
      <c r="C816" t="str">
        <f>VLOOKUP(B816,Kunde!A:C,3,FALSE)</f>
        <v>Geschäftskunde</v>
      </c>
      <c r="D816" t="str">
        <f>VLOOKUP(O816,Produkt!$A$1:$E$5,2,FALSE)</f>
        <v>B</v>
      </c>
      <c r="E816">
        <f t="shared" si="36"/>
        <v>139</v>
      </c>
      <c r="F816">
        <f>VLOOKUP(D816,Produkt!$B$1:$C$5,2,FALSE)*Bestellungen!E816</f>
        <v>66720</v>
      </c>
      <c r="G816" s="2">
        <v>44734</v>
      </c>
      <c r="H816" s="2">
        <f t="shared" si="37"/>
        <v>44736</v>
      </c>
      <c r="I816" s="2">
        <f t="shared" si="38"/>
        <v>44782</v>
      </c>
      <c r="J816" t="str">
        <f>VLOOKUP(M816,Umfragenteilnahme!$A$2:$B$3,2,)</f>
        <v>Ja</v>
      </c>
      <c r="M816">
        <v>1</v>
      </c>
      <c r="N816">
        <v>47</v>
      </c>
      <c r="O816">
        <v>2</v>
      </c>
      <c r="P816">
        <v>139</v>
      </c>
      <c r="Q816">
        <v>3</v>
      </c>
      <c r="R816">
        <v>2</v>
      </c>
      <c r="S816">
        <v>48</v>
      </c>
    </row>
    <row r="817" spans="1:19" x14ac:dyDescent="0.35">
      <c r="A817">
        <v>8464</v>
      </c>
      <c r="B817">
        <v>777</v>
      </c>
      <c r="C817" t="str">
        <f>VLOOKUP(B817,Kunde!A:C,3,FALSE)</f>
        <v>Geschäftskunde</v>
      </c>
      <c r="D817" t="str">
        <f>VLOOKUP(O817,Produkt!$A$1:$E$5,2,FALSE)</f>
        <v>C</v>
      </c>
      <c r="E817">
        <f t="shared" si="36"/>
        <v>97</v>
      </c>
      <c r="F817">
        <f>VLOOKUP(D817,Produkt!$B$1:$C$5,2,FALSE)*Bestellungen!E817</f>
        <v>145500</v>
      </c>
      <c r="G817" s="2">
        <v>45020</v>
      </c>
      <c r="H817" s="2">
        <f t="shared" si="37"/>
        <v>45022</v>
      </c>
      <c r="I817" s="2">
        <f t="shared" si="38"/>
        <v>45038</v>
      </c>
      <c r="J817" t="str">
        <f>VLOOKUP(M817,Umfragenteilnahme!$A$2:$B$3,2,)</f>
        <v>Nein</v>
      </c>
      <c r="M817">
        <v>2</v>
      </c>
      <c r="N817">
        <v>777</v>
      </c>
      <c r="O817">
        <v>3</v>
      </c>
      <c r="P817">
        <v>97</v>
      </c>
      <c r="Q817">
        <v>5</v>
      </c>
      <c r="R817">
        <v>2</v>
      </c>
      <c r="S817">
        <v>18</v>
      </c>
    </row>
    <row r="818" spans="1:19" x14ac:dyDescent="0.35">
      <c r="A818">
        <v>8465</v>
      </c>
      <c r="B818">
        <v>651</v>
      </c>
      <c r="C818" t="str">
        <f>VLOOKUP(B818,Kunde!A:C,3,FALSE)</f>
        <v>Geschäftskunde</v>
      </c>
      <c r="D818" t="str">
        <f>VLOOKUP(O818,Produkt!$A$1:$E$5,2,FALSE)</f>
        <v>A</v>
      </c>
      <c r="E818">
        <f t="shared" si="36"/>
        <v>150</v>
      </c>
      <c r="F818">
        <f>VLOOKUP(D818,Produkt!$B$1:$C$5,2,FALSE)*Bestellungen!E818</f>
        <v>45000</v>
      </c>
      <c r="G818" s="2">
        <v>44956</v>
      </c>
      <c r="H818" s="2">
        <f t="shared" si="37"/>
        <v>44960</v>
      </c>
      <c r="I818" s="2">
        <f t="shared" si="38"/>
        <v>44993</v>
      </c>
      <c r="J818" t="str">
        <f>VLOOKUP(M818,Umfragenteilnahme!$A$2:$B$3,2,)</f>
        <v>Ja</v>
      </c>
      <c r="M818">
        <v>1</v>
      </c>
      <c r="N818">
        <v>651</v>
      </c>
      <c r="O818">
        <v>1</v>
      </c>
      <c r="P818">
        <v>150</v>
      </c>
      <c r="Q818">
        <v>4</v>
      </c>
      <c r="R818">
        <v>4</v>
      </c>
      <c r="S818">
        <v>37</v>
      </c>
    </row>
    <row r="819" spans="1:19" x14ac:dyDescent="0.35">
      <c r="A819">
        <v>8466</v>
      </c>
      <c r="B819">
        <v>632</v>
      </c>
      <c r="C819" t="str">
        <f>VLOOKUP(B819,Kunde!A:C,3,FALSE)</f>
        <v>Geschäftskunde</v>
      </c>
      <c r="D819" t="str">
        <f>VLOOKUP(O819,Produkt!$A$1:$E$5,2,FALSE)</f>
        <v>B</v>
      </c>
      <c r="E819">
        <f t="shared" si="36"/>
        <v>117</v>
      </c>
      <c r="F819">
        <f>VLOOKUP(D819,Produkt!$B$1:$C$5,2,FALSE)*Bestellungen!E819</f>
        <v>56160</v>
      </c>
      <c r="G819" s="2">
        <v>44947</v>
      </c>
      <c r="H819" s="2">
        <f t="shared" si="37"/>
        <v>44954</v>
      </c>
      <c r="I819" s="2">
        <f t="shared" si="38"/>
        <v>44951</v>
      </c>
      <c r="J819" t="str">
        <f>VLOOKUP(M819,Umfragenteilnahme!$A$2:$B$3,2,)</f>
        <v>Nein</v>
      </c>
      <c r="M819">
        <v>2</v>
      </c>
      <c r="N819">
        <v>632</v>
      </c>
      <c r="O819">
        <v>2</v>
      </c>
      <c r="P819">
        <v>117</v>
      </c>
      <c r="Q819">
        <v>6</v>
      </c>
      <c r="R819">
        <v>7</v>
      </c>
      <c r="S819">
        <v>4</v>
      </c>
    </row>
    <row r="820" spans="1:19" x14ac:dyDescent="0.35">
      <c r="A820">
        <v>8467</v>
      </c>
      <c r="B820">
        <v>294</v>
      </c>
      <c r="C820" t="str">
        <f>VLOOKUP(B820,Kunde!A:C,3,FALSE)</f>
        <v>Geschäftskunde</v>
      </c>
      <c r="D820" t="str">
        <f>VLOOKUP(O820,Produkt!$A$1:$E$5,2,FALSE)</f>
        <v>B</v>
      </c>
      <c r="E820">
        <f t="shared" si="36"/>
        <v>96</v>
      </c>
      <c r="F820">
        <f>VLOOKUP(D820,Produkt!$B$1:$C$5,2,FALSE)*Bestellungen!E820</f>
        <v>46080</v>
      </c>
      <c r="G820" s="2">
        <v>44857</v>
      </c>
      <c r="H820" s="2">
        <f t="shared" si="37"/>
        <v>44862</v>
      </c>
      <c r="I820" s="2">
        <f t="shared" si="38"/>
        <v>44910</v>
      </c>
      <c r="J820" t="str">
        <f>VLOOKUP(M820,Umfragenteilnahme!$A$2:$B$3,2,)</f>
        <v>Ja</v>
      </c>
      <c r="M820">
        <v>1</v>
      </c>
      <c r="N820">
        <v>294</v>
      </c>
      <c r="O820">
        <v>2</v>
      </c>
      <c r="P820">
        <v>96</v>
      </c>
      <c r="Q820">
        <v>4</v>
      </c>
      <c r="R820">
        <v>5</v>
      </c>
      <c r="S820">
        <v>53</v>
      </c>
    </row>
    <row r="821" spans="1:19" x14ac:dyDescent="0.35">
      <c r="A821">
        <v>8468</v>
      </c>
      <c r="B821">
        <v>536</v>
      </c>
      <c r="C821" t="str">
        <f>VLOOKUP(B821,Kunde!A:C,3,FALSE)</f>
        <v>Geschäftskunde</v>
      </c>
      <c r="D821" t="str">
        <f>VLOOKUP(O821,Produkt!$A$1:$E$5,2,FALSE)</f>
        <v>A</v>
      </c>
      <c r="E821">
        <f t="shared" si="36"/>
        <v>20</v>
      </c>
      <c r="F821">
        <f>VLOOKUP(D821,Produkt!$B$1:$C$5,2,FALSE)*Bestellungen!E821</f>
        <v>6000</v>
      </c>
      <c r="G821" s="2">
        <v>44986</v>
      </c>
      <c r="H821" s="2">
        <f t="shared" si="37"/>
        <v>44993</v>
      </c>
      <c r="I821" s="2">
        <f t="shared" si="38"/>
        <v>45033</v>
      </c>
      <c r="J821" t="str">
        <f>VLOOKUP(M821,Umfragenteilnahme!$A$2:$B$3,2,)</f>
        <v>Ja</v>
      </c>
      <c r="M821">
        <v>1</v>
      </c>
      <c r="N821">
        <v>536</v>
      </c>
      <c r="O821">
        <v>1</v>
      </c>
      <c r="P821">
        <v>20</v>
      </c>
      <c r="Q821">
        <v>5</v>
      </c>
      <c r="R821">
        <v>7</v>
      </c>
      <c r="S821">
        <v>47</v>
      </c>
    </row>
    <row r="822" spans="1:19" x14ac:dyDescent="0.35">
      <c r="A822">
        <v>8469</v>
      </c>
      <c r="B822">
        <v>518</v>
      </c>
      <c r="C822" t="str">
        <f>VLOOKUP(B822,Kunde!A:C,3,FALSE)</f>
        <v>Geschäftskunde</v>
      </c>
      <c r="D822" t="str">
        <f>VLOOKUP(O822,Produkt!$A$1:$E$5,2,FALSE)</f>
        <v>A</v>
      </c>
      <c r="E822">
        <f t="shared" si="36"/>
        <v>127</v>
      </c>
      <c r="F822">
        <f>VLOOKUP(D822,Produkt!$B$1:$C$5,2,FALSE)*Bestellungen!E822</f>
        <v>38100</v>
      </c>
      <c r="G822" s="2">
        <v>44772</v>
      </c>
      <c r="H822" s="2">
        <f t="shared" si="37"/>
        <v>44776</v>
      </c>
      <c r="I822" s="2">
        <f t="shared" si="38"/>
        <v>44799</v>
      </c>
      <c r="J822" t="str">
        <f>VLOOKUP(M822,Umfragenteilnahme!$A$2:$B$3,2,)</f>
        <v>Nein</v>
      </c>
      <c r="M822">
        <v>2</v>
      </c>
      <c r="N822">
        <v>518</v>
      </c>
      <c r="O822">
        <v>1</v>
      </c>
      <c r="P822">
        <v>127</v>
      </c>
      <c r="Q822">
        <v>9</v>
      </c>
      <c r="R822">
        <v>4</v>
      </c>
      <c r="S822">
        <v>27</v>
      </c>
    </row>
    <row r="823" spans="1:19" x14ac:dyDescent="0.35">
      <c r="A823">
        <v>8470</v>
      </c>
      <c r="B823">
        <v>569</v>
      </c>
      <c r="C823" t="str">
        <f>VLOOKUP(B823,Kunde!A:C,3,FALSE)</f>
        <v>Geschäftskunde</v>
      </c>
      <c r="D823" t="str">
        <f>VLOOKUP(O823,Produkt!$A$1:$E$5,2,FALSE)</f>
        <v>C</v>
      </c>
      <c r="E823">
        <f t="shared" si="36"/>
        <v>25</v>
      </c>
      <c r="F823">
        <f>VLOOKUP(D823,Produkt!$B$1:$C$5,2,FALSE)*Bestellungen!E823</f>
        <v>37500</v>
      </c>
      <c r="G823" s="2">
        <v>44739</v>
      </c>
      <c r="H823" s="2">
        <f t="shared" si="37"/>
        <v>44742</v>
      </c>
      <c r="I823" s="2">
        <f t="shared" si="38"/>
        <v>44765</v>
      </c>
      <c r="J823" t="str">
        <f>VLOOKUP(M823,Umfragenteilnahme!$A$2:$B$3,2,)</f>
        <v>Ja</v>
      </c>
      <c r="M823">
        <v>1</v>
      </c>
      <c r="N823">
        <v>569</v>
      </c>
      <c r="O823">
        <v>3</v>
      </c>
      <c r="P823">
        <v>25</v>
      </c>
      <c r="Q823">
        <v>8</v>
      </c>
      <c r="R823">
        <v>3</v>
      </c>
      <c r="S823">
        <v>26</v>
      </c>
    </row>
    <row r="824" spans="1:19" x14ac:dyDescent="0.35">
      <c r="A824">
        <v>8471</v>
      </c>
      <c r="B824">
        <v>31</v>
      </c>
      <c r="C824" t="str">
        <f>VLOOKUP(B824,Kunde!A:C,3,FALSE)</f>
        <v>Geschäftskunde</v>
      </c>
      <c r="D824" t="str">
        <f>VLOOKUP(O824,Produkt!$A$1:$E$5,2,FALSE)</f>
        <v>C</v>
      </c>
      <c r="E824">
        <f t="shared" si="36"/>
        <v>55</v>
      </c>
      <c r="F824">
        <f>VLOOKUP(D824,Produkt!$B$1:$C$5,2,FALSE)*Bestellungen!E824</f>
        <v>82500</v>
      </c>
      <c r="G824" s="2">
        <v>44781</v>
      </c>
      <c r="H824" s="2">
        <f t="shared" si="37"/>
        <v>44784</v>
      </c>
      <c r="I824" s="2">
        <f t="shared" si="38"/>
        <v>44839</v>
      </c>
      <c r="J824" t="str">
        <f>VLOOKUP(M824,Umfragenteilnahme!$A$2:$B$3,2,)</f>
        <v>Nein</v>
      </c>
      <c r="M824">
        <v>2</v>
      </c>
      <c r="N824">
        <v>31</v>
      </c>
      <c r="O824">
        <v>3</v>
      </c>
      <c r="P824">
        <v>55</v>
      </c>
      <c r="Q824">
        <v>10</v>
      </c>
      <c r="R824">
        <v>3</v>
      </c>
      <c r="S824">
        <v>58</v>
      </c>
    </row>
    <row r="825" spans="1:19" x14ac:dyDescent="0.35">
      <c r="A825">
        <v>8472</v>
      </c>
      <c r="B825">
        <v>755</v>
      </c>
      <c r="C825" t="str">
        <f>VLOOKUP(B825,Kunde!A:C,3,FALSE)</f>
        <v>Geschäftskunde</v>
      </c>
      <c r="D825" t="str">
        <f>VLOOKUP(O825,Produkt!$A$1:$E$5,2,FALSE)</f>
        <v>C</v>
      </c>
      <c r="E825">
        <f t="shared" si="36"/>
        <v>27</v>
      </c>
      <c r="F825">
        <f>VLOOKUP(D825,Produkt!$B$1:$C$5,2,FALSE)*Bestellungen!E825</f>
        <v>40500</v>
      </c>
      <c r="G825" s="2">
        <v>44715</v>
      </c>
      <c r="H825" s="2">
        <f t="shared" si="37"/>
        <v>44717</v>
      </c>
      <c r="I825" s="2">
        <f t="shared" si="38"/>
        <v>44719</v>
      </c>
      <c r="J825" t="str">
        <f>VLOOKUP(M825,Umfragenteilnahme!$A$2:$B$3,2,)</f>
        <v>Ja</v>
      </c>
      <c r="M825">
        <v>1</v>
      </c>
      <c r="N825">
        <v>755</v>
      </c>
      <c r="O825">
        <v>3</v>
      </c>
      <c r="P825">
        <v>27</v>
      </c>
      <c r="Q825">
        <v>8</v>
      </c>
      <c r="R825">
        <v>2</v>
      </c>
      <c r="S825">
        <v>4</v>
      </c>
    </row>
    <row r="826" spans="1:19" x14ac:dyDescent="0.35">
      <c r="A826">
        <v>8473</v>
      </c>
      <c r="B826">
        <v>361</v>
      </c>
      <c r="C826" t="str">
        <f>VLOOKUP(B826,Kunde!A:C,3,FALSE)</f>
        <v>Privatkunde</v>
      </c>
      <c r="D826" t="str">
        <f>VLOOKUP(O826,Produkt!$A$1:$E$5,2,FALSE)</f>
        <v>A</v>
      </c>
      <c r="E826">
        <f t="shared" si="36"/>
        <v>10</v>
      </c>
      <c r="F826">
        <f>VLOOKUP(D826,Produkt!$B$1:$C$5,2,FALSE)*Bestellungen!E826</f>
        <v>3000</v>
      </c>
      <c r="G826" s="2">
        <v>44947</v>
      </c>
      <c r="H826" s="2">
        <f t="shared" si="37"/>
        <v>44951</v>
      </c>
      <c r="I826" s="2">
        <f t="shared" si="38"/>
        <v>44982</v>
      </c>
      <c r="J826" t="str">
        <f>VLOOKUP(M826,Umfragenteilnahme!$A$2:$B$3,2,)</f>
        <v>Ja</v>
      </c>
      <c r="M826">
        <v>1</v>
      </c>
      <c r="N826">
        <v>361</v>
      </c>
      <c r="O826">
        <v>1</v>
      </c>
      <c r="P826">
        <v>52</v>
      </c>
      <c r="Q826">
        <v>10</v>
      </c>
      <c r="R826">
        <v>4</v>
      </c>
      <c r="S826">
        <v>35</v>
      </c>
    </row>
    <row r="827" spans="1:19" x14ac:dyDescent="0.35">
      <c r="A827">
        <v>8474</v>
      </c>
      <c r="B827">
        <v>540</v>
      </c>
      <c r="C827" t="str">
        <f>VLOOKUP(B827,Kunde!A:C,3,FALSE)</f>
        <v>Geschäftskunde</v>
      </c>
      <c r="D827" t="str">
        <f>VLOOKUP(O827,Produkt!$A$1:$E$5,2,FALSE)</f>
        <v>B</v>
      </c>
      <c r="E827">
        <f t="shared" si="36"/>
        <v>55</v>
      </c>
      <c r="F827">
        <f>VLOOKUP(D827,Produkt!$B$1:$C$5,2,FALSE)*Bestellungen!E827</f>
        <v>26400</v>
      </c>
      <c r="G827" s="2">
        <v>44780</v>
      </c>
      <c r="H827" s="2">
        <f t="shared" si="37"/>
        <v>44784</v>
      </c>
      <c r="I827" s="2">
        <f t="shared" si="38"/>
        <v>44817</v>
      </c>
      <c r="J827" t="str">
        <f>VLOOKUP(M827,Umfragenteilnahme!$A$2:$B$3,2,)</f>
        <v>Ja</v>
      </c>
      <c r="M827">
        <v>1</v>
      </c>
      <c r="N827">
        <v>540</v>
      </c>
      <c r="O827">
        <v>2</v>
      </c>
      <c r="P827">
        <v>55</v>
      </c>
      <c r="Q827">
        <v>1</v>
      </c>
      <c r="R827">
        <v>4</v>
      </c>
      <c r="S827">
        <v>37</v>
      </c>
    </row>
    <row r="828" spans="1:19" x14ac:dyDescent="0.35">
      <c r="A828">
        <v>8475</v>
      </c>
      <c r="B828">
        <v>84</v>
      </c>
      <c r="C828" t="str">
        <f>VLOOKUP(B828,Kunde!A:C,3,FALSE)</f>
        <v>Geschäftskunde</v>
      </c>
      <c r="D828" t="str">
        <f>VLOOKUP(O828,Produkt!$A$1:$E$5,2,FALSE)</f>
        <v>A</v>
      </c>
      <c r="E828">
        <f t="shared" si="36"/>
        <v>107</v>
      </c>
      <c r="F828">
        <f>VLOOKUP(D828,Produkt!$B$1:$C$5,2,FALSE)*Bestellungen!E828</f>
        <v>32100</v>
      </c>
      <c r="G828" s="2">
        <v>45054</v>
      </c>
      <c r="H828" s="2">
        <f t="shared" si="37"/>
        <v>45057</v>
      </c>
      <c r="I828" s="2">
        <f t="shared" si="38"/>
        <v>45114</v>
      </c>
      <c r="J828" t="str">
        <f>VLOOKUP(M828,Umfragenteilnahme!$A$2:$B$3,2,)</f>
        <v>Ja</v>
      </c>
      <c r="M828">
        <v>1</v>
      </c>
      <c r="N828">
        <v>84</v>
      </c>
      <c r="O828">
        <v>1</v>
      </c>
      <c r="P828">
        <v>107</v>
      </c>
      <c r="Q828">
        <v>2</v>
      </c>
      <c r="R828">
        <v>3</v>
      </c>
      <c r="S828">
        <v>60</v>
      </c>
    </row>
    <row r="829" spans="1:19" x14ac:dyDescent="0.35">
      <c r="A829">
        <v>8476</v>
      </c>
      <c r="B829">
        <v>275</v>
      </c>
      <c r="C829" t="str">
        <f>VLOOKUP(B829,Kunde!A:C,3,FALSE)</f>
        <v>Geschäftskunde</v>
      </c>
      <c r="D829" t="str">
        <f>VLOOKUP(O829,Produkt!$A$1:$E$5,2,FALSE)</f>
        <v>D</v>
      </c>
      <c r="E829">
        <f t="shared" si="36"/>
        <v>93</v>
      </c>
      <c r="F829">
        <f>VLOOKUP(D829,Produkt!$B$1:$C$5,2,FALSE)*Bestellungen!E829</f>
        <v>74400</v>
      </c>
      <c r="G829" s="2">
        <v>44756</v>
      </c>
      <c r="H829" s="2">
        <f t="shared" si="37"/>
        <v>44762</v>
      </c>
      <c r="I829" s="2">
        <f t="shared" si="38"/>
        <v>44799</v>
      </c>
      <c r="J829" t="str">
        <f>VLOOKUP(M829,Umfragenteilnahme!$A$2:$B$3,2,)</f>
        <v>Nein</v>
      </c>
      <c r="M829">
        <v>2</v>
      </c>
      <c r="N829">
        <v>275</v>
      </c>
      <c r="O829">
        <v>4</v>
      </c>
      <c r="P829">
        <v>93</v>
      </c>
      <c r="Q829">
        <v>5</v>
      </c>
      <c r="R829">
        <v>6</v>
      </c>
      <c r="S829">
        <v>43</v>
      </c>
    </row>
    <row r="830" spans="1:19" x14ac:dyDescent="0.35">
      <c r="A830">
        <v>8477</v>
      </c>
      <c r="B830">
        <v>54</v>
      </c>
      <c r="C830" t="str">
        <f>VLOOKUP(B830,Kunde!A:C,3,FALSE)</f>
        <v>Geschäftskunde</v>
      </c>
      <c r="D830" t="str">
        <f>VLOOKUP(O830,Produkt!$A$1:$E$5,2,FALSE)</f>
        <v>D</v>
      </c>
      <c r="E830">
        <f t="shared" si="36"/>
        <v>115</v>
      </c>
      <c r="F830">
        <f>VLOOKUP(D830,Produkt!$B$1:$C$5,2,FALSE)*Bestellungen!E830</f>
        <v>92000</v>
      </c>
      <c r="G830" s="2">
        <v>45035</v>
      </c>
      <c r="H830" s="2">
        <f t="shared" si="37"/>
        <v>45042</v>
      </c>
      <c r="I830" s="2">
        <f t="shared" si="38"/>
        <v>45092</v>
      </c>
      <c r="J830" t="str">
        <f>VLOOKUP(M830,Umfragenteilnahme!$A$2:$B$3,2,)</f>
        <v>Ja</v>
      </c>
      <c r="M830">
        <v>1</v>
      </c>
      <c r="N830">
        <v>54</v>
      </c>
      <c r="O830">
        <v>4</v>
      </c>
      <c r="P830">
        <v>115</v>
      </c>
      <c r="Q830">
        <v>7</v>
      </c>
      <c r="R830">
        <v>7</v>
      </c>
      <c r="S830">
        <v>57</v>
      </c>
    </row>
    <row r="831" spans="1:19" x14ac:dyDescent="0.35">
      <c r="A831">
        <v>8478</v>
      </c>
      <c r="B831">
        <v>88</v>
      </c>
      <c r="C831" t="str">
        <f>VLOOKUP(B831,Kunde!A:C,3,FALSE)</f>
        <v>Geschäftskunde</v>
      </c>
      <c r="D831" t="str">
        <f>VLOOKUP(O831,Produkt!$A$1:$E$5,2,FALSE)</f>
        <v>D</v>
      </c>
      <c r="E831">
        <f t="shared" si="36"/>
        <v>115</v>
      </c>
      <c r="F831">
        <f>VLOOKUP(D831,Produkt!$B$1:$C$5,2,FALSE)*Bestellungen!E831</f>
        <v>92000</v>
      </c>
      <c r="G831" s="2">
        <v>44909</v>
      </c>
      <c r="H831" s="2">
        <f t="shared" si="37"/>
        <v>44912</v>
      </c>
      <c r="I831" s="2">
        <f t="shared" si="38"/>
        <v>44943</v>
      </c>
      <c r="J831" t="str">
        <f>VLOOKUP(M831,Umfragenteilnahme!$A$2:$B$3,2,)</f>
        <v>Ja</v>
      </c>
      <c r="M831">
        <v>1</v>
      </c>
      <c r="N831">
        <v>88</v>
      </c>
      <c r="O831">
        <v>4</v>
      </c>
      <c r="P831">
        <v>115</v>
      </c>
      <c r="Q831">
        <v>2</v>
      </c>
      <c r="R831">
        <v>3</v>
      </c>
      <c r="S831">
        <v>34</v>
      </c>
    </row>
    <row r="832" spans="1:19" x14ac:dyDescent="0.35">
      <c r="A832">
        <v>8479</v>
      </c>
      <c r="B832">
        <v>130</v>
      </c>
      <c r="C832" t="str">
        <f>VLOOKUP(B832,Kunde!A:C,3,FALSE)</f>
        <v>Geschäftskunde</v>
      </c>
      <c r="D832" t="str">
        <f>VLOOKUP(O832,Produkt!$A$1:$E$5,2,FALSE)</f>
        <v>B</v>
      </c>
      <c r="E832">
        <f t="shared" si="36"/>
        <v>81</v>
      </c>
      <c r="F832">
        <f>VLOOKUP(D832,Produkt!$B$1:$C$5,2,FALSE)*Bestellungen!E832</f>
        <v>38880</v>
      </c>
      <c r="G832" s="2">
        <v>44882</v>
      </c>
      <c r="H832" s="2">
        <f t="shared" si="37"/>
        <v>44887</v>
      </c>
      <c r="I832" s="2">
        <f t="shared" si="38"/>
        <v>44901</v>
      </c>
      <c r="J832" t="str">
        <f>VLOOKUP(M832,Umfragenteilnahme!$A$2:$B$3,2,)</f>
        <v>Ja</v>
      </c>
      <c r="M832">
        <v>1</v>
      </c>
      <c r="N832">
        <v>130</v>
      </c>
      <c r="O832">
        <v>2</v>
      </c>
      <c r="P832">
        <v>81</v>
      </c>
      <c r="Q832">
        <v>10</v>
      </c>
      <c r="R832">
        <v>5</v>
      </c>
      <c r="S832">
        <v>19</v>
      </c>
    </row>
    <row r="833" spans="1:19" x14ac:dyDescent="0.35">
      <c r="A833">
        <v>8480</v>
      </c>
      <c r="B833">
        <v>716</v>
      </c>
      <c r="C833" t="str">
        <f>VLOOKUP(B833,Kunde!A:C,3,FALSE)</f>
        <v>Geschäftskunde</v>
      </c>
      <c r="D833" t="str">
        <f>VLOOKUP(O833,Produkt!$A$1:$E$5,2,FALSE)</f>
        <v>C</v>
      </c>
      <c r="E833">
        <f t="shared" si="36"/>
        <v>131</v>
      </c>
      <c r="F833">
        <f>VLOOKUP(D833,Produkt!$B$1:$C$5,2,FALSE)*Bestellungen!E833</f>
        <v>196500</v>
      </c>
      <c r="G833" s="2">
        <v>44888</v>
      </c>
      <c r="H833" s="2">
        <f t="shared" si="37"/>
        <v>44895</v>
      </c>
      <c r="I833" s="2">
        <f t="shared" si="38"/>
        <v>44904</v>
      </c>
      <c r="J833" t="str">
        <f>VLOOKUP(M833,Umfragenteilnahme!$A$2:$B$3,2,)</f>
        <v>Ja</v>
      </c>
      <c r="M833">
        <v>1</v>
      </c>
      <c r="N833">
        <v>716</v>
      </c>
      <c r="O833">
        <v>3</v>
      </c>
      <c r="P833">
        <v>131</v>
      </c>
      <c r="Q833">
        <v>2</v>
      </c>
      <c r="R833">
        <v>7</v>
      </c>
      <c r="S833">
        <v>16</v>
      </c>
    </row>
    <row r="834" spans="1:19" x14ac:dyDescent="0.35">
      <c r="A834">
        <v>8481</v>
      </c>
      <c r="B834">
        <v>727</v>
      </c>
      <c r="C834" t="str">
        <f>VLOOKUP(B834,Kunde!A:C,3,FALSE)</f>
        <v>Geschäftskunde</v>
      </c>
      <c r="D834" t="str">
        <f>VLOOKUP(O834,Produkt!$A$1:$E$5,2,FALSE)</f>
        <v>D</v>
      </c>
      <c r="E834">
        <f t="shared" si="36"/>
        <v>142</v>
      </c>
      <c r="F834">
        <f>VLOOKUP(D834,Produkt!$B$1:$C$5,2,FALSE)*Bestellungen!E834</f>
        <v>113600</v>
      </c>
      <c r="G834" s="2">
        <v>44875</v>
      </c>
      <c r="H834" s="2">
        <f t="shared" si="37"/>
        <v>44877</v>
      </c>
      <c r="I834" s="2">
        <f t="shared" si="38"/>
        <v>44889</v>
      </c>
      <c r="J834" t="str">
        <f>VLOOKUP(M834,Umfragenteilnahme!$A$2:$B$3,2,)</f>
        <v>Nein</v>
      </c>
      <c r="M834">
        <v>2</v>
      </c>
      <c r="N834">
        <v>727</v>
      </c>
      <c r="O834">
        <v>4</v>
      </c>
      <c r="P834">
        <v>142</v>
      </c>
      <c r="Q834">
        <v>8</v>
      </c>
      <c r="R834">
        <v>2</v>
      </c>
      <c r="S834">
        <v>14</v>
      </c>
    </row>
    <row r="835" spans="1:19" x14ac:dyDescent="0.35">
      <c r="A835">
        <v>8482</v>
      </c>
      <c r="B835">
        <v>541</v>
      </c>
      <c r="C835" t="str">
        <f>VLOOKUP(B835,Kunde!A:C,3,FALSE)</f>
        <v>Geschäftskunde</v>
      </c>
      <c r="D835" t="str">
        <f>VLOOKUP(O835,Produkt!$A$1:$E$5,2,FALSE)</f>
        <v>B</v>
      </c>
      <c r="E835">
        <f t="shared" ref="E835:E898" si="39">IF(C835="Geschäftskunde",P835,Q835)</f>
        <v>136</v>
      </c>
      <c r="F835">
        <f>VLOOKUP(D835,Produkt!$B$1:$C$5,2,FALSE)*Bestellungen!E835</f>
        <v>65280</v>
      </c>
      <c r="G835" s="2">
        <v>44752</v>
      </c>
      <c r="H835" s="2">
        <f t="shared" ref="H835:H898" si="40">G835+R835</f>
        <v>44757</v>
      </c>
      <c r="I835" s="2">
        <f t="shared" ref="I835:I898" si="41">G835+S835</f>
        <v>44790</v>
      </c>
      <c r="J835" t="str">
        <f>VLOOKUP(M835,Umfragenteilnahme!$A$2:$B$3,2,)</f>
        <v>Ja</v>
      </c>
      <c r="M835">
        <v>1</v>
      </c>
      <c r="N835">
        <v>541</v>
      </c>
      <c r="O835">
        <v>2</v>
      </c>
      <c r="P835">
        <v>136</v>
      </c>
      <c r="Q835">
        <v>7</v>
      </c>
      <c r="R835">
        <v>5</v>
      </c>
      <c r="S835">
        <v>38</v>
      </c>
    </row>
    <row r="836" spans="1:19" x14ac:dyDescent="0.35">
      <c r="A836">
        <v>8483</v>
      </c>
      <c r="B836">
        <v>172</v>
      </c>
      <c r="C836" t="str">
        <f>VLOOKUP(B836,Kunde!A:C,3,FALSE)</f>
        <v>Geschäftskunde</v>
      </c>
      <c r="D836" t="str">
        <f>VLOOKUP(O836,Produkt!$A$1:$E$5,2,FALSE)</f>
        <v>A</v>
      </c>
      <c r="E836">
        <f t="shared" si="39"/>
        <v>128</v>
      </c>
      <c r="F836">
        <f>VLOOKUP(D836,Produkt!$B$1:$C$5,2,FALSE)*Bestellungen!E836</f>
        <v>38400</v>
      </c>
      <c r="G836" s="2">
        <v>44715</v>
      </c>
      <c r="H836" s="2">
        <f t="shared" si="40"/>
        <v>44719</v>
      </c>
      <c r="I836" s="2">
        <f t="shared" si="41"/>
        <v>44744</v>
      </c>
      <c r="J836" t="str">
        <f>VLOOKUP(M836,Umfragenteilnahme!$A$2:$B$3,2,)</f>
        <v>Ja</v>
      </c>
      <c r="M836">
        <v>1</v>
      </c>
      <c r="N836">
        <v>172</v>
      </c>
      <c r="O836">
        <v>1</v>
      </c>
      <c r="P836">
        <v>128</v>
      </c>
      <c r="Q836">
        <v>7</v>
      </c>
      <c r="R836">
        <v>4</v>
      </c>
      <c r="S836">
        <v>29</v>
      </c>
    </row>
    <row r="837" spans="1:19" x14ac:dyDescent="0.35">
      <c r="A837">
        <v>8484</v>
      </c>
      <c r="B837">
        <v>595</v>
      </c>
      <c r="C837" t="str">
        <f>VLOOKUP(B837,Kunde!A:C,3,FALSE)</f>
        <v>Geschäftskunde</v>
      </c>
      <c r="D837" t="str">
        <f>VLOOKUP(O837,Produkt!$A$1:$E$5,2,FALSE)</f>
        <v>A</v>
      </c>
      <c r="E837">
        <f t="shared" si="39"/>
        <v>49</v>
      </c>
      <c r="F837">
        <f>VLOOKUP(D837,Produkt!$B$1:$C$5,2,FALSE)*Bestellungen!E837</f>
        <v>14700</v>
      </c>
      <c r="G837" s="2">
        <v>44801</v>
      </c>
      <c r="H837" s="2">
        <f t="shared" si="40"/>
        <v>44807</v>
      </c>
      <c r="I837" s="2">
        <f t="shared" si="41"/>
        <v>44813</v>
      </c>
      <c r="J837" t="str">
        <f>VLOOKUP(M837,Umfragenteilnahme!$A$2:$B$3,2,)</f>
        <v>Nein</v>
      </c>
      <c r="M837">
        <v>2</v>
      </c>
      <c r="N837">
        <v>595</v>
      </c>
      <c r="O837">
        <v>1</v>
      </c>
      <c r="P837">
        <v>49</v>
      </c>
      <c r="Q837">
        <v>4</v>
      </c>
      <c r="R837">
        <v>6</v>
      </c>
      <c r="S837">
        <v>12</v>
      </c>
    </row>
    <row r="838" spans="1:19" x14ac:dyDescent="0.35">
      <c r="A838">
        <v>8485</v>
      </c>
      <c r="B838">
        <v>185</v>
      </c>
      <c r="C838" t="str">
        <f>VLOOKUP(B838,Kunde!A:C,3,FALSE)</f>
        <v>Geschäftskunde</v>
      </c>
      <c r="D838" t="str">
        <f>VLOOKUP(O838,Produkt!$A$1:$E$5,2,FALSE)</f>
        <v>D</v>
      </c>
      <c r="E838">
        <f t="shared" si="39"/>
        <v>131</v>
      </c>
      <c r="F838">
        <f>VLOOKUP(D838,Produkt!$B$1:$C$5,2,FALSE)*Bestellungen!E838</f>
        <v>104800</v>
      </c>
      <c r="G838" s="2">
        <v>44841</v>
      </c>
      <c r="H838" s="2">
        <f t="shared" si="40"/>
        <v>44845</v>
      </c>
      <c r="I838" s="2">
        <f t="shared" si="41"/>
        <v>44867</v>
      </c>
      <c r="J838" t="str">
        <f>VLOOKUP(M838,Umfragenteilnahme!$A$2:$B$3,2,)</f>
        <v>Ja</v>
      </c>
      <c r="M838">
        <v>1</v>
      </c>
      <c r="N838">
        <v>185</v>
      </c>
      <c r="O838">
        <v>4</v>
      </c>
      <c r="P838">
        <v>131</v>
      </c>
      <c r="Q838">
        <v>1</v>
      </c>
      <c r="R838">
        <v>4</v>
      </c>
      <c r="S838">
        <v>26</v>
      </c>
    </row>
    <row r="839" spans="1:19" x14ac:dyDescent="0.35">
      <c r="A839">
        <v>8486</v>
      </c>
      <c r="B839">
        <v>169</v>
      </c>
      <c r="C839" t="str">
        <f>VLOOKUP(B839,Kunde!A:C,3,FALSE)</f>
        <v>Geschäftskunde</v>
      </c>
      <c r="D839" t="str">
        <f>VLOOKUP(O839,Produkt!$A$1:$E$5,2,FALSE)</f>
        <v>A</v>
      </c>
      <c r="E839">
        <f t="shared" si="39"/>
        <v>146</v>
      </c>
      <c r="F839">
        <f>VLOOKUP(D839,Produkt!$B$1:$C$5,2,FALSE)*Bestellungen!E839</f>
        <v>43800</v>
      </c>
      <c r="G839" s="2">
        <v>44748</v>
      </c>
      <c r="H839" s="2">
        <f t="shared" si="40"/>
        <v>44755</v>
      </c>
      <c r="I839" s="2">
        <f t="shared" si="41"/>
        <v>44764</v>
      </c>
      <c r="J839" t="str">
        <f>VLOOKUP(M839,Umfragenteilnahme!$A$2:$B$3,2,)</f>
        <v>Ja</v>
      </c>
      <c r="M839">
        <v>1</v>
      </c>
      <c r="N839">
        <v>169</v>
      </c>
      <c r="O839">
        <v>1</v>
      </c>
      <c r="P839">
        <v>146</v>
      </c>
      <c r="Q839">
        <v>4</v>
      </c>
      <c r="R839">
        <v>7</v>
      </c>
      <c r="S839">
        <v>16</v>
      </c>
    </row>
    <row r="840" spans="1:19" x14ac:dyDescent="0.35">
      <c r="A840">
        <v>8487</v>
      </c>
      <c r="B840">
        <v>530</v>
      </c>
      <c r="C840" t="str">
        <f>VLOOKUP(B840,Kunde!A:C,3,FALSE)</f>
        <v>Geschäftskunde</v>
      </c>
      <c r="D840" t="str">
        <f>VLOOKUP(O840,Produkt!$A$1:$E$5,2,FALSE)</f>
        <v>A</v>
      </c>
      <c r="E840">
        <f t="shared" si="39"/>
        <v>58</v>
      </c>
      <c r="F840">
        <f>VLOOKUP(D840,Produkt!$B$1:$C$5,2,FALSE)*Bestellungen!E840</f>
        <v>17400</v>
      </c>
      <c r="G840" s="2">
        <v>44847</v>
      </c>
      <c r="H840" s="2">
        <f t="shared" si="40"/>
        <v>44849</v>
      </c>
      <c r="I840" s="2">
        <f t="shared" si="41"/>
        <v>44893</v>
      </c>
      <c r="J840" t="str">
        <f>VLOOKUP(M840,Umfragenteilnahme!$A$2:$B$3,2,)</f>
        <v>Ja</v>
      </c>
      <c r="M840">
        <v>1</v>
      </c>
      <c r="N840">
        <v>530</v>
      </c>
      <c r="O840">
        <v>1</v>
      </c>
      <c r="P840">
        <v>58</v>
      </c>
      <c r="Q840">
        <v>5</v>
      </c>
      <c r="R840">
        <v>2</v>
      </c>
      <c r="S840">
        <v>46</v>
      </c>
    </row>
    <row r="841" spans="1:19" x14ac:dyDescent="0.35">
      <c r="A841">
        <v>8488</v>
      </c>
      <c r="B841">
        <v>504</v>
      </c>
      <c r="C841" t="str">
        <f>VLOOKUP(B841,Kunde!A:C,3,FALSE)</f>
        <v>Privatkunde</v>
      </c>
      <c r="D841" t="str">
        <f>VLOOKUP(O841,Produkt!$A$1:$E$5,2,FALSE)</f>
        <v>D</v>
      </c>
      <c r="E841">
        <f t="shared" si="39"/>
        <v>6</v>
      </c>
      <c r="F841">
        <f>VLOOKUP(D841,Produkt!$B$1:$C$5,2,FALSE)*Bestellungen!E841</f>
        <v>4800</v>
      </c>
      <c r="G841" s="2">
        <v>44914</v>
      </c>
      <c r="H841" s="2">
        <f t="shared" si="40"/>
        <v>44920</v>
      </c>
      <c r="I841" s="2">
        <f t="shared" si="41"/>
        <v>44962</v>
      </c>
      <c r="J841" t="str">
        <f>VLOOKUP(M841,Umfragenteilnahme!$A$2:$B$3,2,)</f>
        <v>Ja</v>
      </c>
      <c r="M841">
        <v>1</v>
      </c>
      <c r="N841">
        <v>504</v>
      </c>
      <c r="O841">
        <v>4</v>
      </c>
      <c r="P841">
        <v>130</v>
      </c>
      <c r="Q841">
        <v>6</v>
      </c>
      <c r="R841">
        <v>6</v>
      </c>
      <c r="S841">
        <v>48</v>
      </c>
    </row>
    <row r="842" spans="1:19" x14ac:dyDescent="0.35">
      <c r="A842">
        <v>8489</v>
      </c>
      <c r="B842">
        <v>30</v>
      </c>
      <c r="C842" t="str">
        <f>VLOOKUP(B842,Kunde!A:C,3,FALSE)</f>
        <v>Privatkunde</v>
      </c>
      <c r="D842" t="str">
        <f>VLOOKUP(O842,Produkt!$A$1:$E$5,2,FALSE)</f>
        <v>A</v>
      </c>
      <c r="E842">
        <f t="shared" si="39"/>
        <v>1</v>
      </c>
      <c r="F842">
        <f>VLOOKUP(D842,Produkt!$B$1:$C$5,2,FALSE)*Bestellungen!E842</f>
        <v>300</v>
      </c>
      <c r="G842" s="2">
        <v>45058</v>
      </c>
      <c r="H842" s="2">
        <f t="shared" si="40"/>
        <v>45062</v>
      </c>
      <c r="I842" s="2">
        <f t="shared" si="41"/>
        <v>45074</v>
      </c>
      <c r="J842" t="str">
        <f>VLOOKUP(M842,Umfragenteilnahme!$A$2:$B$3,2,)</f>
        <v>Ja</v>
      </c>
      <c r="M842">
        <v>1</v>
      </c>
      <c r="N842">
        <v>30</v>
      </c>
      <c r="O842">
        <v>1</v>
      </c>
      <c r="P842">
        <v>113</v>
      </c>
      <c r="Q842">
        <v>1</v>
      </c>
      <c r="R842">
        <v>4</v>
      </c>
      <c r="S842">
        <v>16</v>
      </c>
    </row>
    <row r="843" spans="1:19" x14ac:dyDescent="0.35">
      <c r="A843">
        <v>8490</v>
      </c>
      <c r="B843">
        <v>487</v>
      </c>
      <c r="C843" t="str">
        <f>VLOOKUP(B843,Kunde!A:C,3,FALSE)</f>
        <v>Geschäftskunde</v>
      </c>
      <c r="D843" t="str">
        <f>VLOOKUP(O843,Produkt!$A$1:$E$5,2,FALSE)</f>
        <v>A</v>
      </c>
      <c r="E843">
        <f t="shared" si="39"/>
        <v>100</v>
      </c>
      <c r="F843">
        <f>VLOOKUP(D843,Produkt!$B$1:$C$5,2,FALSE)*Bestellungen!E843</f>
        <v>30000</v>
      </c>
      <c r="G843" s="2">
        <v>45008</v>
      </c>
      <c r="H843" s="2">
        <f t="shared" si="40"/>
        <v>45015</v>
      </c>
      <c r="I843" s="2">
        <f t="shared" si="41"/>
        <v>45065</v>
      </c>
      <c r="J843" t="str">
        <f>VLOOKUP(M843,Umfragenteilnahme!$A$2:$B$3,2,)</f>
        <v>Nein</v>
      </c>
      <c r="M843">
        <v>2</v>
      </c>
      <c r="N843">
        <v>487</v>
      </c>
      <c r="O843">
        <v>1</v>
      </c>
      <c r="P843">
        <v>100</v>
      </c>
      <c r="Q843">
        <v>8</v>
      </c>
      <c r="R843">
        <v>7</v>
      </c>
      <c r="S843">
        <v>57</v>
      </c>
    </row>
    <row r="844" spans="1:19" x14ac:dyDescent="0.35">
      <c r="A844">
        <v>8491</v>
      </c>
      <c r="B844">
        <v>60</v>
      </c>
      <c r="C844" t="str">
        <f>VLOOKUP(B844,Kunde!A:C,3,FALSE)</f>
        <v>Geschäftskunde</v>
      </c>
      <c r="D844" t="str">
        <f>VLOOKUP(O844,Produkt!$A$1:$E$5,2,FALSE)</f>
        <v>A</v>
      </c>
      <c r="E844">
        <f t="shared" si="39"/>
        <v>23</v>
      </c>
      <c r="F844">
        <f>VLOOKUP(D844,Produkt!$B$1:$C$5,2,FALSE)*Bestellungen!E844</f>
        <v>6900</v>
      </c>
      <c r="G844" s="2">
        <v>44722</v>
      </c>
      <c r="H844" s="2">
        <f t="shared" si="40"/>
        <v>44726</v>
      </c>
      <c r="I844" s="2">
        <f t="shared" si="41"/>
        <v>44752</v>
      </c>
      <c r="J844" t="str">
        <f>VLOOKUP(M844,Umfragenteilnahme!$A$2:$B$3,2,)</f>
        <v>Ja</v>
      </c>
      <c r="M844">
        <v>1</v>
      </c>
      <c r="N844">
        <v>60</v>
      </c>
      <c r="O844">
        <v>1</v>
      </c>
      <c r="P844">
        <v>23</v>
      </c>
      <c r="Q844">
        <v>4</v>
      </c>
      <c r="R844">
        <v>4</v>
      </c>
      <c r="S844">
        <v>30</v>
      </c>
    </row>
    <row r="845" spans="1:19" x14ac:dyDescent="0.35">
      <c r="A845">
        <v>8492</v>
      </c>
      <c r="B845">
        <v>437</v>
      </c>
      <c r="C845" t="str">
        <f>VLOOKUP(B845,Kunde!A:C,3,FALSE)</f>
        <v>Geschäftskunde</v>
      </c>
      <c r="D845" t="str">
        <f>VLOOKUP(O845,Produkt!$A$1:$E$5,2,FALSE)</f>
        <v>C</v>
      </c>
      <c r="E845">
        <f t="shared" si="39"/>
        <v>101</v>
      </c>
      <c r="F845">
        <f>VLOOKUP(D845,Produkt!$B$1:$C$5,2,FALSE)*Bestellungen!E845</f>
        <v>151500</v>
      </c>
      <c r="G845" s="2">
        <v>45007</v>
      </c>
      <c r="H845" s="2">
        <f t="shared" si="40"/>
        <v>45012</v>
      </c>
      <c r="I845" s="2">
        <f t="shared" si="41"/>
        <v>45051</v>
      </c>
      <c r="J845" t="str">
        <f>VLOOKUP(M845,Umfragenteilnahme!$A$2:$B$3,2,)</f>
        <v>Nein</v>
      </c>
      <c r="M845">
        <v>2</v>
      </c>
      <c r="N845">
        <v>437</v>
      </c>
      <c r="O845">
        <v>3</v>
      </c>
      <c r="P845">
        <v>101</v>
      </c>
      <c r="Q845">
        <v>10</v>
      </c>
      <c r="R845">
        <v>5</v>
      </c>
      <c r="S845">
        <v>44</v>
      </c>
    </row>
    <row r="846" spans="1:19" x14ac:dyDescent="0.35">
      <c r="A846">
        <v>8493</v>
      </c>
      <c r="B846">
        <v>327</v>
      </c>
      <c r="C846" t="str">
        <f>VLOOKUP(B846,Kunde!A:C,3,FALSE)</f>
        <v>Geschäftskunde</v>
      </c>
      <c r="D846" t="str">
        <f>VLOOKUP(O846,Produkt!$A$1:$E$5,2,FALSE)</f>
        <v>D</v>
      </c>
      <c r="E846">
        <f t="shared" si="39"/>
        <v>132</v>
      </c>
      <c r="F846">
        <f>VLOOKUP(D846,Produkt!$B$1:$C$5,2,FALSE)*Bestellungen!E846</f>
        <v>105600</v>
      </c>
      <c r="G846" s="2">
        <v>45046</v>
      </c>
      <c r="H846" s="2">
        <f t="shared" si="40"/>
        <v>45052</v>
      </c>
      <c r="I846" s="2">
        <f t="shared" si="41"/>
        <v>45106</v>
      </c>
      <c r="J846" t="str">
        <f>VLOOKUP(M846,Umfragenteilnahme!$A$2:$B$3,2,)</f>
        <v>Ja</v>
      </c>
      <c r="M846">
        <v>1</v>
      </c>
      <c r="N846">
        <v>327</v>
      </c>
      <c r="O846">
        <v>4</v>
      </c>
      <c r="P846">
        <v>132</v>
      </c>
      <c r="Q846">
        <v>9</v>
      </c>
      <c r="R846">
        <v>6</v>
      </c>
      <c r="S846">
        <v>60</v>
      </c>
    </row>
    <row r="847" spans="1:19" x14ac:dyDescent="0.35">
      <c r="A847">
        <v>8494</v>
      </c>
      <c r="B847">
        <v>130</v>
      </c>
      <c r="C847" t="str">
        <f>VLOOKUP(B847,Kunde!A:C,3,FALSE)</f>
        <v>Geschäftskunde</v>
      </c>
      <c r="D847" t="str">
        <f>VLOOKUP(O847,Produkt!$A$1:$E$5,2,FALSE)</f>
        <v>B</v>
      </c>
      <c r="E847">
        <f t="shared" si="39"/>
        <v>69</v>
      </c>
      <c r="F847">
        <f>VLOOKUP(D847,Produkt!$B$1:$C$5,2,FALSE)*Bestellungen!E847</f>
        <v>33120</v>
      </c>
      <c r="G847" s="2">
        <v>45072</v>
      </c>
      <c r="H847" s="2">
        <f t="shared" si="40"/>
        <v>45077</v>
      </c>
      <c r="I847" s="2">
        <f t="shared" si="41"/>
        <v>45121</v>
      </c>
      <c r="J847" t="str">
        <f>VLOOKUP(M847,Umfragenteilnahme!$A$2:$B$3,2,)</f>
        <v>Ja</v>
      </c>
      <c r="M847">
        <v>1</v>
      </c>
      <c r="N847">
        <v>130</v>
      </c>
      <c r="O847">
        <v>2</v>
      </c>
      <c r="P847">
        <v>69</v>
      </c>
      <c r="Q847">
        <v>9</v>
      </c>
      <c r="R847">
        <v>5</v>
      </c>
      <c r="S847">
        <v>49</v>
      </c>
    </row>
    <row r="848" spans="1:19" x14ac:dyDescent="0.35">
      <c r="A848">
        <v>8495</v>
      </c>
      <c r="B848">
        <v>456</v>
      </c>
      <c r="C848" t="str">
        <f>VLOOKUP(B848,Kunde!A:C,3,FALSE)</f>
        <v>Privatkunde</v>
      </c>
      <c r="D848" t="str">
        <f>VLOOKUP(O848,Produkt!$A$1:$E$5,2,FALSE)</f>
        <v>A</v>
      </c>
      <c r="E848">
        <f t="shared" si="39"/>
        <v>6</v>
      </c>
      <c r="F848">
        <f>VLOOKUP(D848,Produkt!$B$1:$C$5,2,FALSE)*Bestellungen!E848</f>
        <v>1800</v>
      </c>
      <c r="G848" s="2">
        <v>44868</v>
      </c>
      <c r="H848" s="2">
        <f t="shared" si="40"/>
        <v>44875</v>
      </c>
      <c r="I848" s="2">
        <f t="shared" si="41"/>
        <v>44928</v>
      </c>
      <c r="J848" t="str">
        <f>VLOOKUP(M848,Umfragenteilnahme!$A$2:$B$3,2,)</f>
        <v>Nein</v>
      </c>
      <c r="M848">
        <v>2</v>
      </c>
      <c r="N848">
        <v>456</v>
      </c>
      <c r="O848">
        <v>1</v>
      </c>
      <c r="P848">
        <v>117</v>
      </c>
      <c r="Q848">
        <v>6</v>
      </c>
      <c r="R848">
        <v>7</v>
      </c>
      <c r="S848">
        <v>60</v>
      </c>
    </row>
    <row r="849" spans="1:19" x14ac:dyDescent="0.35">
      <c r="A849">
        <v>8496</v>
      </c>
      <c r="B849">
        <v>493</v>
      </c>
      <c r="C849" t="str">
        <f>VLOOKUP(B849,Kunde!A:C,3,FALSE)</f>
        <v>Geschäftskunde</v>
      </c>
      <c r="D849" t="str">
        <f>VLOOKUP(O849,Produkt!$A$1:$E$5,2,FALSE)</f>
        <v>D</v>
      </c>
      <c r="E849">
        <f t="shared" si="39"/>
        <v>75</v>
      </c>
      <c r="F849">
        <f>VLOOKUP(D849,Produkt!$B$1:$C$5,2,FALSE)*Bestellungen!E849</f>
        <v>60000</v>
      </c>
      <c r="G849" s="2">
        <v>45075</v>
      </c>
      <c r="H849" s="2">
        <f t="shared" si="40"/>
        <v>45080</v>
      </c>
      <c r="I849" s="2">
        <f t="shared" si="41"/>
        <v>45082</v>
      </c>
      <c r="J849" t="str">
        <f>VLOOKUP(M849,Umfragenteilnahme!$A$2:$B$3,2,)</f>
        <v>Ja</v>
      </c>
      <c r="M849">
        <v>1</v>
      </c>
      <c r="N849">
        <v>493</v>
      </c>
      <c r="O849">
        <v>4</v>
      </c>
      <c r="P849">
        <v>75</v>
      </c>
      <c r="Q849">
        <v>4</v>
      </c>
      <c r="R849">
        <v>5</v>
      </c>
      <c r="S849">
        <v>7</v>
      </c>
    </row>
    <row r="850" spans="1:19" x14ac:dyDescent="0.35">
      <c r="A850">
        <v>8497</v>
      </c>
      <c r="B850">
        <v>211</v>
      </c>
      <c r="C850" t="str">
        <f>VLOOKUP(B850,Kunde!A:C,3,FALSE)</f>
        <v>Geschäftskunde</v>
      </c>
      <c r="D850" t="str">
        <f>VLOOKUP(O850,Produkt!$A$1:$E$5,2,FALSE)</f>
        <v>C</v>
      </c>
      <c r="E850">
        <f t="shared" si="39"/>
        <v>11</v>
      </c>
      <c r="F850">
        <f>VLOOKUP(D850,Produkt!$B$1:$C$5,2,FALSE)*Bestellungen!E850</f>
        <v>16500</v>
      </c>
      <c r="G850" s="2">
        <v>44868</v>
      </c>
      <c r="H850" s="2">
        <f t="shared" si="40"/>
        <v>44874</v>
      </c>
      <c r="I850" s="2">
        <f t="shared" si="41"/>
        <v>44900</v>
      </c>
      <c r="J850" t="str">
        <f>VLOOKUP(M850,Umfragenteilnahme!$A$2:$B$3,2,)</f>
        <v>Ja</v>
      </c>
      <c r="M850">
        <v>1</v>
      </c>
      <c r="N850">
        <v>211</v>
      </c>
      <c r="O850">
        <v>3</v>
      </c>
      <c r="P850">
        <v>11</v>
      </c>
      <c r="Q850">
        <v>4</v>
      </c>
      <c r="R850">
        <v>6</v>
      </c>
      <c r="S850">
        <v>32</v>
      </c>
    </row>
    <row r="851" spans="1:19" x14ac:dyDescent="0.35">
      <c r="A851">
        <v>8498</v>
      </c>
      <c r="B851">
        <v>141</v>
      </c>
      <c r="C851" t="str">
        <f>VLOOKUP(B851,Kunde!A:C,3,FALSE)</f>
        <v>Geschäftskunde</v>
      </c>
      <c r="D851" t="str">
        <f>VLOOKUP(O851,Produkt!$A$1:$E$5,2,FALSE)</f>
        <v>C</v>
      </c>
      <c r="E851">
        <f t="shared" si="39"/>
        <v>57</v>
      </c>
      <c r="F851">
        <f>VLOOKUP(D851,Produkt!$B$1:$C$5,2,FALSE)*Bestellungen!E851</f>
        <v>85500</v>
      </c>
      <c r="G851" s="2">
        <v>45077</v>
      </c>
      <c r="H851" s="2">
        <f t="shared" si="40"/>
        <v>45079</v>
      </c>
      <c r="I851" s="2">
        <f t="shared" si="41"/>
        <v>45105</v>
      </c>
      <c r="J851" t="str">
        <f>VLOOKUP(M851,Umfragenteilnahme!$A$2:$B$3,2,)</f>
        <v>Nein</v>
      </c>
      <c r="M851">
        <v>2</v>
      </c>
      <c r="N851">
        <v>141</v>
      </c>
      <c r="O851">
        <v>3</v>
      </c>
      <c r="P851">
        <v>57</v>
      </c>
      <c r="Q851">
        <v>7</v>
      </c>
      <c r="R851">
        <v>2</v>
      </c>
      <c r="S851">
        <v>28</v>
      </c>
    </row>
    <row r="852" spans="1:19" x14ac:dyDescent="0.35">
      <c r="A852">
        <v>8499</v>
      </c>
      <c r="B852">
        <v>717</v>
      </c>
      <c r="C852" t="str">
        <f>VLOOKUP(B852,Kunde!A:C,3,FALSE)</f>
        <v>Geschäftskunde</v>
      </c>
      <c r="D852" t="str">
        <f>VLOOKUP(O852,Produkt!$A$1:$E$5,2,FALSE)</f>
        <v>D</v>
      </c>
      <c r="E852">
        <f t="shared" si="39"/>
        <v>13</v>
      </c>
      <c r="F852">
        <f>VLOOKUP(D852,Produkt!$B$1:$C$5,2,FALSE)*Bestellungen!E852</f>
        <v>10400</v>
      </c>
      <c r="G852" s="2">
        <v>44858</v>
      </c>
      <c r="H852" s="2">
        <f t="shared" si="40"/>
        <v>44861</v>
      </c>
      <c r="I852" s="2">
        <f t="shared" si="41"/>
        <v>44900</v>
      </c>
      <c r="J852" t="str">
        <f>VLOOKUP(M852,Umfragenteilnahme!$A$2:$B$3,2,)</f>
        <v>Ja</v>
      </c>
      <c r="M852">
        <v>1</v>
      </c>
      <c r="N852">
        <v>717</v>
      </c>
      <c r="O852">
        <v>4</v>
      </c>
      <c r="P852">
        <v>13</v>
      </c>
      <c r="Q852">
        <v>1</v>
      </c>
      <c r="R852">
        <v>3</v>
      </c>
      <c r="S852">
        <v>42</v>
      </c>
    </row>
    <row r="853" spans="1:19" x14ac:dyDescent="0.35">
      <c r="A853">
        <v>8500</v>
      </c>
      <c r="B853">
        <v>635</v>
      </c>
      <c r="C853" t="str">
        <f>VLOOKUP(B853,Kunde!A:C,3,FALSE)</f>
        <v>Geschäftskunde</v>
      </c>
      <c r="D853" t="str">
        <f>VLOOKUP(O853,Produkt!$A$1:$E$5,2,FALSE)</f>
        <v>A</v>
      </c>
      <c r="E853">
        <f t="shared" si="39"/>
        <v>24</v>
      </c>
      <c r="F853">
        <f>VLOOKUP(D853,Produkt!$B$1:$C$5,2,FALSE)*Bestellungen!E853</f>
        <v>7200</v>
      </c>
      <c r="G853" s="2">
        <v>44885</v>
      </c>
      <c r="H853" s="2">
        <f t="shared" si="40"/>
        <v>44890</v>
      </c>
      <c r="I853" s="2">
        <f t="shared" si="41"/>
        <v>44916</v>
      </c>
      <c r="J853" t="str">
        <f>VLOOKUP(M853,Umfragenteilnahme!$A$2:$B$3,2,)</f>
        <v>Nein</v>
      </c>
      <c r="M853">
        <v>2</v>
      </c>
      <c r="N853">
        <v>635</v>
      </c>
      <c r="O853">
        <v>1</v>
      </c>
      <c r="P853">
        <v>24</v>
      </c>
      <c r="Q853">
        <v>4</v>
      </c>
      <c r="R853">
        <v>5</v>
      </c>
      <c r="S853">
        <v>31</v>
      </c>
    </row>
    <row r="854" spans="1:19" x14ac:dyDescent="0.35">
      <c r="A854">
        <v>8501</v>
      </c>
      <c r="B854">
        <v>560</v>
      </c>
      <c r="C854" t="str">
        <f>VLOOKUP(B854,Kunde!A:C,3,FALSE)</f>
        <v>Privatkunde</v>
      </c>
      <c r="D854" t="str">
        <f>VLOOKUP(O854,Produkt!$A$1:$E$5,2,FALSE)</f>
        <v>A</v>
      </c>
      <c r="E854">
        <f t="shared" si="39"/>
        <v>9</v>
      </c>
      <c r="F854">
        <f>VLOOKUP(D854,Produkt!$B$1:$C$5,2,FALSE)*Bestellungen!E854</f>
        <v>2700</v>
      </c>
      <c r="G854" s="2">
        <v>45009</v>
      </c>
      <c r="H854" s="2">
        <f t="shared" si="40"/>
        <v>45011</v>
      </c>
      <c r="I854" s="2">
        <f t="shared" si="41"/>
        <v>45028</v>
      </c>
      <c r="J854" t="str">
        <f>VLOOKUP(M854,Umfragenteilnahme!$A$2:$B$3,2,)</f>
        <v>Nein</v>
      </c>
      <c r="M854">
        <v>2</v>
      </c>
      <c r="N854">
        <v>560</v>
      </c>
      <c r="O854">
        <v>1</v>
      </c>
      <c r="P854">
        <v>108</v>
      </c>
      <c r="Q854">
        <v>9</v>
      </c>
      <c r="R854">
        <v>2</v>
      </c>
      <c r="S854">
        <v>19</v>
      </c>
    </row>
    <row r="855" spans="1:19" x14ac:dyDescent="0.35">
      <c r="A855">
        <v>8502</v>
      </c>
      <c r="B855">
        <v>135</v>
      </c>
      <c r="C855" t="str">
        <f>VLOOKUP(B855,Kunde!A:C,3,FALSE)</f>
        <v>Geschäftskunde</v>
      </c>
      <c r="D855" t="str">
        <f>VLOOKUP(O855,Produkt!$A$1:$E$5,2,FALSE)</f>
        <v>D</v>
      </c>
      <c r="E855">
        <f t="shared" si="39"/>
        <v>126</v>
      </c>
      <c r="F855">
        <f>VLOOKUP(D855,Produkt!$B$1:$C$5,2,FALSE)*Bestellungen!E855</f>
        <v>100800</v>
      </c>
      <c r="G855" s="2">
        <v>44938</v>
      </c>
      <c r="H855" s="2">
        <f t="shared" si="40"/>
        <v>44944</v>
      </c>
      <c r="I855" s="2">
        <f t="shared" si="41"/>
        <v>44977</v>
      </c>
      <c r="J855" t="str">
        <f>VLOOKUP(M855,Umfragenteilnahme!$A$2:$B$3,2,)</f>
        <v>Ja</v>
      </c>
      <c r="M855">
        <v>1</v>
      </c>
      <c r="N855">
        <v>135</v>
      </c>
      <c r="O855">
        <v>4</v>
      </c>
      <c r="P855">
        <v>126</v>
      </c>
      <c r="Q855">
        <v>4</v>
      </c>
      <c r="R855">
        <v>6</v>
      </c>
      <c r="S855">
        <v>39</v>
      </c>
    </row>
    <row r="856" spans="1:19" x14ac:dyDescent="0.35">
      <c r="A856">
        <v>8503</v>
      </c>
      <c r="B856">
        <v>633</v>
      </c>
      <c r="C856" t="str">
        <f>VLOOKUP(B856,Kunde!A:C,3,FALSE)</f>
        <v>Privatkunde</v>
      </c>
      <c r="D856" t="str">
        <f>VLOOKUP(O856,Produkt!$A$1:$E$5,2,FALSE)</f>
        <v>B</v>
      </c>
      <c r="E856">
        <f t="shared" si="39"/>
        <v>7</v>
      </c>
      <c r="F856">
        <f>VLOOKUP(D856,Produkt!$B$1:$C$5,2,FALSE)*Bestellungen!E856</f>
        <v>3360</v>
      </c>
      <c r="G856" s="2">
        <v>44748</v>
      </c>
      <c r="H856" s="2">
        <f t="shared" si="40"/>
        <v>44753</v>
      </c>
      <c r="I856" s="2">
        <f t="shared" si="41"/>
        <v>44790</v>
      </c>
      <c r="J856" t="str">
        <f>VLOOKUP(M856,Umfragenteilnahme!$A$2:$B$3,2,)</f>
        <v>Ja</v>
      </c>
      <c r="M856">
        <v>1</v>
      </c>
      <c r="N856">
        <v>633</v>
      </c>
      <c r="O856">
        <v>2</v>
      </c>
      <c r="P856">
        <v>141</v>
      </c>
      <c r="Q856">
        <v>7</v>
      </c>
      <c r="R856">
        <v>5</v>
      </c>
      <c r="S856">
        <v>42</v>
      </c>
    </row>
    <row r="857" spans="1:19" x14ac:dyDescent="0.35">
      <c r="A857">
        <v>8504</v>
      </c>
      <c r="B857">
        <v>149</v>
      </c>
      <c r="C857" t="str">
        <f>VLOOKUP(B857,Kunde!A:C,3,FALSE)</f>
        <v>Geschäftskunde</v>
      </c>
      <c r="D857" t="str">
        <f>VLOOKUP(O857,Produkt!$A$1:$E$5,2,FALSE)</f>
        <v>C</v>
      </c>
      <c r="E857">
        <f t="shared" si="39"/>
        <v>79</v>
      </c>
      <c r="F857">
        <f>VLOOKUP(D857,Produkt!$B$1:$C$5,2,FALSE)*Bestellungen!E857</f>
        <v>118500</v>
      </c>
      <c r="G857" s="2">
        <v>44961</v>
      </c>
      <c r="H857" s="2">
        <f t="shared" si="40"/>
        <v>44965</v>
      </c>
      <c r="I857" s="2">
        <f t="shared" si="41"/>
        <v>44976</v>
      </c>
      <c r="J857" t="str">
        <f>VLOOKUP(M857,Umfragenteilnahme!$A$2:$B$3,2,)</f>
        <v>Nein</v>
      </c>
      <c r="M857">
        <v>2</v>
      </c>
      <c r="N857">
        <v>149</v>
      </c>
      <c r="O857">
        <v>3</v>
      </c>
      <c r="P857">
        <v>79</v>
      </c>
      <c r="Q857">
        <v>7</v>
      </c>
      <c r="R857">
        <v>4</v>
      </c>
      <c r="S857">
        <v>15</v>
      </c>
    </row>
    <row r="858" spans="1:19" x14ac:dyDescent="0.35">
      <c r="A858">
        <v>8505</v>
      </c>
      <c r="B858">
        <v>561</v>
      </c>
      <c r="C858" t="str">
        <f>VLOOKUP(B858,Kunde!A:C,3,FALSE)</f>
        <v>Privatkunde</v>
      </c>
      <c r="D858" t="str">
        <f>VLOOKUP(O858,Produkt!$A$1:$E$5,2,FALSE)</f>
        <v>C</v>
      </c>
      <c r="E858">
        <f t="shared" si="39"/>
        <v>10</v>
      </c>
      <c r="F858">
        <f>VLOOKUP(D858,Produkt!$B$1:$C$5,2,FALSE)*Bestellungen!E858</f>
        <v>15000</v>
      </c>
      <c r="G858" s="2">
        <v>45062</v>
      </c>
      <c r="H858" s="2">
        <f t="shared" si="40"/>
        <v>45065</v>
      </c>
      <c r="I858" s="2">
        <f t="shared" si="41"/>
        <v>45122</v>
      </c>
      <c r="J858" t="str">
        <f>VLOOKUP(M858,Umfragenteilnahme!$A$2:$B$3,2,)</f>
        <v>Nein</v>
      </c>
      <c r="M858">
        <v>2</v>
      </c>
      <c r="N858">
        <v>561</v>
      </c>
      <c r="O858">
        <v>3</v>
      </c>
      <c r="P858">
        <v>11</v>
      </c>
      <c r="Q858">
        <v>10</v>
      </c>
      <c r="R858">
        <v>3</v>
      </c>
      <c r="S858">
        <v>60</v>
      </c>
    </row>
    <row r="859" spans="1:19" x14ac:dyDescent="0.35">
      <c r="A859">
        <v>8506</v>
      </c>
      <c r="B859">
        <v>181</v>
      </c>
      <c r="C859" t="str">
        <f>VLOOKUP(B859,Kunde!A:C,3,FALSE)</f>
        <v>Geschäftskunde</v>
      </c>
      <c r="D859" t="str">
        <f>VLOOKUP(O859,Produkt!$A$1:$E$5,2,FALSE)</f>
        <v>B</v>
      </c>
      <c r="E859">
        <f t="shared" si="39"/>
        <v>76</v>
      </c>
      <c r="F859">
        <f>VLOOKUP(D859,Produkt!$B$1:$C$5,2,FALSE)*Bestellungen!E859</f>
        <v>36480</v>
      </c>
      <c r="G859" s="2">
        <v>45011</v>
      </c>
      <c r="H859" s="2">
        <f t="shared" si="40"/>
        <v>45013</v>
      </c>
      <c r="I859" s="2">
        <f t="shared" si="41"/>
        <v>45014</v>
      </c>
      <c r="J859" t="str">
        <f>VLOOKUP(M859,Umfragenteilnahme!$A$2:$B$3,2,)</f>
        <v>Nein</v>
      </c>
      <c r="M859">
        <v>2</v>
      </c>
      <c r="N859">
        <v>181</v>
      </c>
      <c r="O859">
        <v>2</v>
      </c>
      <c r="P859">
        <v>76</v>
      </c>
      <c r="Q859">
        <v>7</v>
      </c>
      <c r="R859">
        <v>2</v>
      </c>
      <c r="S859">
        <v>3</v>
      </c>
    </row>
    <row r="860" spans="1:19" x14ac:dyDescent="0.35">
      <c r="A860">
        <v>8507</v>
      </c>
      <c r="B860">
        <v>389</v>
      </c>
      <c r="C860" t="str">
        <f>VLOOKUP(B860,Kunde!A:C,3,FALSE)</f>
        <v>Geschäftskunde</v>
      </c>
      <c r="D860" t="str">
        <f>VLOOKUP(O860,Produkt!$A$1:$E$5,2,FALSE)</f>
        <v>D</v>
      </c>
      <c r="E860">
        <f t="shared" si="39"/>
        <v>68</v>
      </c>
      <c r="F860">
        <f>VLOOKUP(D860,Produkt!$B$1:$C$5,2,FALSE)*Bestellungen!E860</f>
        <v>54400</v>
      </c>
      <c r="G860" s="2">
        <v>44762</v>
      </c>
      <c r="H860" s="2">
        <f t="shared" si="40"/>
        <v>44765</v>
      </c>
      <c r="I860" s="2">
        <f t="shared" si="41"/>
        <v>44804</v>
      </c>
      <c r="J860" t="str">
        <f>VLOOKUP(M860,Umfragenteilnahme!$A$2:$B$3,2,)</f>
        <v>Ja</v>
      </c>
      <c r="M860">
        <v>1</v>
      </c>
      <c r="N860">
        <v>389</v>
      </c>
      <c r="O860">
        <v>4</v>
      </c>
      <c r="P860">
        <v>68</v>
      </c>
      <c r="Q860">
        <v>9</v>
      </c>
      <c r="R860">
        <v>3</v>
      </c>
      <c r="S860">
        <v>42</v>
      </c>
    </row>
    <row r="861" spans="1:19" x14ac:dyDescent="0.35">
      <c r="A861">
        <v>8508</v>
      </c>
      <c r="B861">
        <v>209</v>
      </c>
      <c r="C861" t="str">
        <f>VLOOKUP(B861,Kunde!A:C,3,FALSE)</f>
        <v>Geschäftskunde</v>
      </c>
      <c r="D861" t="str">
        <f>VLOOKUP(O861,Produkt!$A$1:$E$5,2,FALSE)</f>
        <v>D</v>
      </c>
      <c r="E861">
        <f t="shared" si="39"/>
        <v>66</v>
      </c>
      <c r="F861">
        <f>VLOOKUP(D861,Produkt!$B$1:$C$5,2,FALSE)*Bestellungen!E861</f>
        <v>52800</v>
      </c>
      <c r="G861" s="2">
        <v>44744</v>
      </c>
      <c r="H861" s="2">
        <f t="shared" si="40"/>
        <v>44750</v>
      </c>
      <c r="I861" s="2">
        <f t="shared" si="41"/>
        <v>44800</v>
      </c>
      <c r="J861" t="str">
        <f>VLOOKUP(M861,Umfragenteilnahme!$A$2:$B$3,2,)</f>
        <v>Nein</v>
      </c>
      <c r="M861">
        <v>2</v>
      </c>
      <c r="N861">
        <v>209</v>
      </c>
      <c r="O861">
        <v>4</v>
      </c>
      <c r="P861">
        <v>66</v>
      </c>
      <c r="Q861">
        <v>6</v>
      </c>
      <c r="R861">
        <v>6</v>
      </c>
      <c r="S861">
        <v>56</v>
      </c>
    </row>
    <row r="862" spans="1:19" x14ac:dyDescent="0.35">
      <c r="A862">
        <v>8509</v>
      </c>
      <c r="B862">
        <v>370</v>
      </c>
      <c r="C862" t="str">
        <f>VLOOKUP(B862,Kunde!A:C,3,FALSE)</f>
        <v>Geschäftskunde</v>
      </c>
      <c r="D862" t="str">
        <f>VLOOKUP(O862,Produkt!$A$1:$E$5,2,FALSE)</f>
        <v>A</v>
      </c>
      <c r="E862">
        <f t="shared" si="39"/>
        <v>93</v>
      </c>
      <c r="F862">
        <f>VLOOKUP(D862,Produkt!$B$1:$C$5,2,FALSE)*Bestellungen!E862</f>
        <v>27900</v>
      </c>
      <c r="G862" s="2">
        <v>44900</v>
      </c>
      <c r="H862" s="2">
        <f t="shared" si="40"/>
        <v>44904</v>
      </c>
      <c r="I862" s="2">
        <f t="shared" si="41"/>
        <v>44945</v>
      </c>
      <c r="J862" t="str">
        <f>VLOOKUP(M862,Umfragenteilnahme!$A$2:$B$3,2,)</f>
        <v>Nein</v>
      </c>
      <c r="M862">
        <v>2</v>
      </c>
      <c r="N862">
        <v>370</v>
      </c>
      <c r="O862">
        <v>1</v>
      </c>
      <c r="P862">
        <v>93</v>
      </c>
      <c r="Q862">
        <v>10</v>
      </c>
      <c r="R862">
        <v>4</v>
      </c>
      <c r="S862">
        <v>45</v>
      </c>
    </row>
    <row r="863" spans="1:19" x14ac:dyDescent="0.35">
      <c r="A863">
        <v>8510</v>
      </c>
      <c r="B863">
        <v>653</v>
      </c>
      <c r="C863" t="str">
        <f>VLOOKUP(B863,Kunde!A:C,3,FALSE)</f>
        <v>Geschäftskunde</v>
      </c>
      <c r="D863" t="str">
        <f>VLOOKUP(O863,Produkt!$A$1:$E$5,2,FALSE)</f>
        <v>A</v>
      </c>
      <c r="E863">
        <f t="shared" si="39"/>
        <v>146</v>
      </c>
      <c r="F863">
        <f>VLOOKUP(D863,Produkt!$B$1:$C$5,2,FALSE)*Bestellungen!E863</f>
        <v>43800</v>
      </c>
      <c r="G863" s="2">
        <v>44911</v>
      </c>
      <c r="H863" s="2">
        <f t="shared" si="40"/>
        <v>44918</v>
      </c>
      <c r="I863" s="2">
        <f t="shared" si="41"/>
        <v>44925</v>
      </c>
      <c r="J863" t="str">
        <f>VLOOKUP(M863,Umfragenteilnahme!$A$2:$B$3,2,)</f>
        <v>Nein</v>
      </c>
      <c r="M863">
        <v>2</v>
      </c>
      <c r="N863">
        <v>653</v>
      </c>
      <c r="O863">
        <v>1</v>
      </c>
      <c r="P863">
        <v>146</v>
      </c>
      <c r="Q863">
        <v>2</v>
      </c>
      <c r="R863">
        <v>7</v>
      </c>
      <c r="S863">
        <v>14</v>
      </c>
    </row>
    <row r="864" spans="1:19" x14ac:dyDescent="0.35">
      <c r="A864">
        <v>8511</v>
      </c>
      <c r="B864">
        <v>389</v>
      </c>
      <c r="C864" t="str">
        <f>VLOOKUP(B864,Kunde!A:C,3,FALSE)</f>
        <v>Geschäftskunde</v>
      </c>
      <c r="D864" t="str">
        <f>VLOOKUP(O864,Produkt!$A$1:$E$5,2,FALSE)</f>
        <v>C</v>
      </c>
      <c r="E864">
        <f t="shared" si="39"/>
        <v>62</v>
      </c>
      <c r="F864">
        <f>VLOOKUP(D864,Produkt!$B$1:$C$5,2,FALSE)*Bestellungen!E864</f>
        <v>93000</v>
      </c>
      <c r="G864" s="2">
        <v>45005</v>
      </c>
      <c r="H864" s="2">
        <f t="shared" si="40"/>
        <v>45010</v>
      </c>
      <c r="I864" s="2">
        <f t="shared" si="41"/>
        <v>45011</v>
      </c>
      <c r="J864" t="str">
        <f>VLOOKUP(M864,Umfragenteilnahme!$A$2:$B$3,2,)</f>
        <v>Nein</v>
      </c>
      <c r="M864">
        <v>2</v>
      </c>
      <c r="N864">
        <v>389</v>
      </c>
      <c r="O864">
        <v>3</v>
      </c>
      <c r="P864">
        <v>62</v>
      </c>
      <c r="Q864">
        <v>10</v>
      </c>
      <c r="R864">
        <v>5</v>
      </c>
      <c r="S864">
        <v>6</v>
      </c>
    </row>
    <row r="865" spans="1:19" x14ac:dyDescent="0.35">
      <c r="A865">
        <v>8512</v>
      </c>
      <c r="B865">
        <v>70</v>
      </c>
      <c r="C865" t="str">
        <f>VLOOKUP(B865,Kunde!A:C,3,FALSE)</f>
        <v>Geschäftskunde</v>
      </c>
      <c r="D865" t="str">
        <f>VLOOKUP(O865,Produkt!$A$1:$E$5,2,FALSE)</f>
        <v>A</v>
      </c>
      <c r="E865">
        <f t="shared" si="39"/>
        <v>126</v>
      </c>
      <c r="F865">
        <f>VLOOKUP(D865,Produkt!$B$1:$C$5,2,FALSE)*Bestellungen!E865</f>
        <v>37800</v>
      </c>
      <c r="G865" s="2">
        <v>44811</v>
      </c>
      <c r="H865" s="2">
        <f t="shared" si="40"/>
        <v>44817</v>
      </c>
      <c r="I865" s="2">
        <f t="shared" si="41"/>
        <v>44857</v>
      </c>
      <c r="J865" t="str">
        <f>VLOOKUP(M865,Umfragenteilnahme!$A$2:$B$3,2,)</f>
        <v>Nein</v>
      </c>
      <c r="M865">
        <v>2</v>
      </c>
      <c r="N865">
        <v>70</v>
      </c>
      <c r="O865">
        <v>1</v>
      </c>
      <c r="P865">
        <v>126</v>
      </c>
      <c r="Q865">
        <v>6</v>
      </c>
      <c r="R865">
        <v>6</v>
      </c>
      <c r="S865">
        <v>46</v>
      </c>
    </row>
    <row r="866" spans="1:19" x14ac:dyDescent="0.35">
      <c r="A866">
        <v>8513</v>
      </c>
      <c r="B866">
        <v>144</v>
      </c>
      <c r="C866" t="str">
        <f>VLOOKUP(B866,Kunde!A:C,3,FALSE)</f>
        <v>Geschäftskunde</v>
      </c>
      <c r="D866" t="str">
        <f>VLOOKUP(O866,Produkt!$A$1:$E$5,2,FALSE)</f>
        <v>B</v>
      </c>
      <c r="E866">
        <f t="shared" si="39"/>
        <v>103</v>
      </c>
      <c r="F866">
        <f>VLOOKUP(D866,Produkt!$B$1:$C$5,2,FALSE)*Bestellungen!E866</f>
        <v>49440</v>
      </c>
      <c r="G866" s="2">
        <v>44716</v>
      </c>
      <c r="H866" s="2">
        <f t="shared" si="40"/>
        <v>44719</v>
      </c>
      <c r="I866" s="2">
        <f t="shared" si="41"/>
        <v>44762</v>
      </c>
      <c r="J866" t="str">
        <f>VLOOKUP(M866,Umfragenteilnahme!$A$2:$B$3,2,)</f>
        <v>Ja</v>
      </c>
      <c r="M866">
        <v>1</v>
      </c>
      <c r="N866">
        <v>144</v>
      </c>
      <c r="O866">
        <v>2</v>
      </c>
      <c r="P866">
        <v>103</v>
      </c>
      <c r="Q866">
        <v>4</v>
      </c>
      <c r="R866">
        <v>3</v>
      </c>
      <c r="S866">
        <v>46</v>
      </c>
    </row>
    <row r="867" spans="1:19" x14ac:dyDescent="0.35">
      <c r="A867">
        <v>8514</v>
      </c>
      <c r="B867">
        <v>747</v>
      </c>
      <c r="C867" t="str">
        <f>VLOOKUP(B867,Kunde!A:C,3,FALSE)</f>
        <v>Geschäftskunde</v>
      </c>
      <c r="D867" t="str">
        <f>VLOOKUP(O867,Produkt!$A$1:$E$5,2,FALSE)</f>
        <v>C</v>
      </c>
      <c r="E867">
        <f t="shared" si="39"/>
        <v>91</v>
      </c>
      <c r="F867">
        <f>VLOOKUP(D867,Produkt!$B$1:$C$5,2,FALSE)*Bestellungen!E867</f>
        <v>136500</v>
      </c>
      <c r="G867" s="2">
        <v>45075</v>
      </c>
      <c r="H867" s="2">
        <f t="shared" si="40"/>
        <v>45080</v>
      </c>
      <c r="I867" s="2">
        <f t="shared" si="41"/>
        <v>45086</v>
      </c>
      <c r="J867" t="str">
        <f>VLOOKUP(M867,Umfragenteilnahme!$A$2:$B$3,2,)</f>
        <v>Ja</v>
      </c>
      <c r="M867">
        <v>1</v>
      </c>
      <c r="N867">
        <v>747</v>
      </c>
      <c r="O867">
        <v>3</v>
      </c>
      <c r="P867">
        <v>91</v>
      </c>
      <c r="Q867">
        <v>10</v>
      </c>
      <c r="R867">
        <v>5</v>
      </c>
      <c r="S867">
        <v>11</v>
      </c>
    </row>
    <row r="868" spans="1:19" x14ac:dyDescent="0.35">
      <c r="A868">
        <v>8515</v>
      </c>
      <c r="B868">
        <v>701</v>
      </c>
      <c r="C868" t="str">
        <f>VLOOKUP(B868,Kunde!A:C,3,FALSE)</f>
        <v>Geschäftskunde</v>
      </c>
      <c r="D868" t="str">
        <f>VLOOKUP(O868,Produkt!$A$1:$E$5,2,FALSE)</f>
        <v>D</v>
      </c>
      <c r="E868">
        <f t="shared" si="39"/>
        <v>140</v>
      </c>
      <c r="F868">
        <f>VLOOKUP(D868,Produkt!$B$1:$C$5,2,FALSE)*Bestellungen!E868</f>
        <v>112000</v>
      </c>
      <c r="G868" s="2">
        <v>44728</v>
      </c>
      <c r="H868" s="2">
        <f t="shared" si="40"/>
        <v>44732</v>
      </c>
      <c r="I868" s="2">
        <f t="shared" si="41"/>
        <v>44757</v>
      </c>
      <c r="J868" t="str">
        <f>VLOOKUP(M868,Umfragenteilnahme!$A$2:$B$3,2,)</f>
        <v>Nein</v>
      </c>
      <c r="M868">
        <v>2</v>
      </c>
      <c r="N868">
        <v>701</v>
      </c>
      <c r="O868">
        <v>4</v>
      </c>
      <c r="P868">
        <v>140</v>
      </c>
      <c r="Q868">
        <v>8</v>
      </c>
      <c r="R868">
        <v>4</v>
      </c>
      <c r="S868">
        <v>29</v>
      </c>
    </row>
    <row r="869" spans="1:19" x14ac:dyDescent="0.35">
      <c r="A869">
        <v>8516</v>
      </c>
      <c r="B869">
        <v>39</v>
      </c>
      <c r="C869" t="str">
        <f>VLOOKUP(B869,Kunde!A:C,3,FALSE)</f>
        <v>Geschäftskunde</v>
      </c>
      <c r="D869" t="str">
        <f>VLOOKUP(O869,Produkt!$A$1:$E$5,2,FALSE)</f>
        <v>D</v>
      </c>
      <c r="E869">
        <f t="shared" si="39"/>
        <v>115</v>
      </c>
      <c r="F869">
        <f>VLOOKUP(D869,Produkt!$B$1:$C$5,2,FALSE)*Bestellungen!E869</f>
        <v>92000</v>
      </c>
      <c r="G869" s="2">
        <v>44816</v>
      </c>
      <c r="H869" s="2">
        <f t="shared" si="40"/>
        <v>44823</v>
      </c>
      <c r="I869" s="2">
        <f t="shared" si="41"/>
        <v>44844</v>
      </c>
      <c r="J869" t="str">
        <f>VLOOKUP(M869,Umfragenteilnahme!$A$2:$B$3,2,)</f>
        <v>Ja</v>
      </c>
      <c r="M869">
        <v>1</v>
      </c>
      <c r="N869">
        <v>39</v>
      </c>
      <c r="O869">
        <v>4</v>
      </c>
      <c r="P869">
        <v>115</v>
      </c>
      <c r="Q869">
        <v>6</v>
      </c>
      <c r="R869">
        <v>7</v>
      </c>
      <c r="S869">
        <v>28</v>
      </c>
    </row>
    <row r="870" spans="1:19" x14ac:dyDescent="0.35">
      <c r="A870">
        <v>8517</v>
      </c>
      <c r="B870">
        <v>686</v>
      </c>
      <c r="C870" t="str">
        <f>VLOOKUP(B870,Kunde!A:C,3,FALSE)</f>
        <v>Geschäftskunde</v>
      </c>
      <c r="D870" t="str">
        <f>VLOOKUP(O870,Produkt!$A$1:$E$5,2,FALSE)</f>
        <v>A</v>
      </c>
      <c r="E870">
        <f t="shared" si="39"/>
        <v>82</v>
      </c>
      <c r="F870">
        <f>VLOOKUP(D870,Produkt!$B$1:$C$5,2,FALSE)*Bestellungen!E870</f>
        <v>24600</v>
      </c>
      <c r="G870" s="2">
        <v>44737</v>
      </c>
      <c r="H870" s="2">
        <f t="shared" si="40"/>
        <v>44743</v>
      </c>
      <c r="I870" s="2">
        <f t="shared" si="41"/>
        <v>44747</v>
      </c>
      <c r="J870" t="str">
        <f>VLOOKUP(M870,Umfragenteilnahme!$A$2:$B$3,2,)</f>
        <v>Ja</v>
      </c>
      <c r="M870">
        <v>1</v>
      </c>
      <c r="N870">
        <v>686</v>
      </c>
      <c r="O870">
        <v>1</v>
      </c>
      <c r="P870">
        <v>82</v>
      </c>
      <c r="Q870">
        <v>10</v>
      </c>
      <c r="R870">
        <v>6</v>
      </c>
      <c r="S870">
        <v>10</v>
      </c>
    </row>
    <row r="871" spans="1:19" x14ac:dyDescent="0.35">
      <c r="A871">
        <v>8518</v>
      </c>
      <c r="B871">
        <v>527</v>
      </c>
      <c r="C871" t="str">
        <f>VLOOKUP(B871,Kunde!A:C,3,FALSE)</f>
        <v>Geschäftskunde</v>
      </c>
      <c r="D871" t="str">
        <f>VLOOKUP(O871,Produkt!$A$1:$E$5,2,FALSE)</f>
        <v>B</v>
      </c>
      <c r="E871">
        <f t="shared" si="39"/>
        <v>92</v>
      </c>
      <c r="F871">
        <f>VLOOKUP(D871,Produkt!$B$1:$C$5,2,FALSE)*Bestellungen!E871</f>
        <v>44160</v>
      </c>
      <c r="G871" s="2">
        <v>44851</v>
      </c>
      <c r="H871" s="2">
        <f t="shared" si="40"/>
        <v>44857</v>
      </c>
      <c r="I871" s="2">
        <f t="shared" si="41"/>
        <v>44890</v>
      </c>
      <c r="J871" t="str">
        <f>VLOOKUP(M871,Umfragenteilnahme!$A$2:$B$3,2,)</f>
        <v>Ja</v>
      </c>
      <c r="M871">
        <v>1</v>
      </c>
      <c r="N871">
        <v>527</v>
      </c>
      <c r="O871">
        <v>2</v>
      </c>
      <c r="P871">
        <v>92</v>
      </c>
      <c r="Q871">
        <v>2</v>
      </c>
      <c r="R871">
        <v>6</v>
      </c>
      <c r="S871">
        <v>39</v>
      </c>
    </row>
    <row r="872" spans="1:19" x14ac:dyDescent="0.35">
      <c r="A872">
        <v>8519</v>
      </c>
      <c r="B872">
        <v>68</v>
      </c>
      <c r="C872" t="str">
        <f>VLOOKUP(B872,Kunde!A:C,3,FALSE)</f>
        <v>Geschäftskunde</v>
      </c>
      <c r="D872" t="str">
        <f>VLOOKUP(O872,Produkt!$A$1:$E$5,2,FALSE)</f>
        <v>D</v>
      </c>
      <c r="E872">
        <f t="shared" si="39"/>
        <v>85</v>
      </c>
      <c r="F872">
        <f>VLOOKUP(D872,Produkt!$B$1:$C$5,2,FALSE)*Bestellungen!E872</f>
        <v>68000</v>
      </c>
      <c r="G872" s="2">
        <v>45040</v>
      </c>
      <c r="H872" s="2">
        <f t="shared" si="40"/>
        <v>45047</v>
      </c>
      <c r="I872" s="2">
        <f t="shared" si="41"/>
        <v>45084</v>
      </c>
      <c r="J872" t="str">
        <f>VLOOKUP(M872,Umfragenteilnahme!$A$2:$B$3,2,)</f>
        <v>Ja</v>
      </c>
      <c r="M872">
        <v>1</v>
      </c>
      <c r="N872">
        <v>68</v>
      </c>
      <c r="O872">
        <v>4</v>
      </c>
      <c r="P872">
        <v>85</v>
      </c>
      <c r="Q872">
        <v>5</v>
      </c>
      <c r="R872">
        <v>7</v>
      </c>
      <c r="S872">
        <v>44</v>
      </c>
    </row>
    <row r="873" spans="1:19" x14ac:dyDescent="0.35">
      <c r="A873">
        <v>8520</v>
      </c>
      <c r="B873">
        <v>344</v>
      </c>
      <c r="C873" t="str">
        <f>VLOOKUP(B873,Kunde!A:C,3,FALSE)</f>
        <v>Geschäftskunde</v>
      </c>
      <c r="D873" t="str">
        <f>VLOOKUP(O873,Produkt!$A$1:$E$5,2,FALSE)</f>
        <v>B</v>
      </c>
      <c r="E873">
        <f t="shared" si="39"/>
        <v>80</v>
      </c>
      <c r="F873">
        <f>VLOOKUP(D873,Produkt!$B$1:$C$5,2,FALSE)*Bestellungen!E873</f>
        <v>38400</v>
      </c>
      <c r="G873" s="2">
        <v>44712</v>
      </c>
      <c r="H873" s="2">
        <f t="shared" si="40"/>
        <v>44718</v>
      </c>
      <c r="I873" s="2">
        <f t="shared" si="41"/>
        <v>44727</v>
      </c>
      <c r="J873" t="str">
        <f>VLOOKUP(M873,Umfragenteilnahme!$A$2:$B$3,2,)</f>
        <v>Ja</v>
      </c>
      <c r="M873">
        <v>1</v>
      </c>
      <c r="N873">
        <v>344</v>
      </c>
      <c r="O873">
        <v>2</v>
      </c>
      <c r="P873">
        <v>80</v>
      </c>
      <c r="Q873">
        <v>3</v>
      </c>
      <c r="R873">
        <v>6</v>
      </c>
      <c r="S873">
        <v>15</v>
      </c>
    </row>
    <row r="874" spans="1:19" x14ac:dyDescent="0.35">
      <c r="A874">
        <v>8521</v>
      </c>
      <c r="B874">
        <v>596</v>
      </c>
      <c r="C874" t="str">
        <f>VLOOKUP(B874,Kunde!A:C,3,FALSE)</f>
        <v>Geschäftskunde</v>
      </c>
      <c r="D874" t="str">
        <f>VLOOKUP(O874,Produkt!$A$1:$E$5,2,FALSE)</f>
        <v>D</v>
      </c>
      <c r="E874">
        <f t="shared" si="39"/>
        <v>99</v>
      </c>
      <c r="F874">
        <f>VLOOKUP(D874,Produkt!$B$1:$C$5,2,FALSE)*Bestellungen!E874</f>
        <v>79200</v>
      </c>
      <c r="G874" s="2">
        <v>45047</v>
      </c>
      <c r="H874" s="2">
        <f t="shared" si="40"/>
        <v>45053</v>
      </c>
      <c r="I874" s="2">
        <f t="shared" si="41"/>
        <v>45055</v>
      </c>
      <c r="J874" t="str">
        <f>VLOOKUP(M874,Umfragenteilnahme!$A$2:$B$3,2,)</f>
        <v>Nein</v>
      </c>
      <c r="M874">
        <v>2</v>
      </c>
      <c r="N874">
        <v>596</v>
      </c>
      <c r="O874">
        <v>4</v>
      </c>
      <c r="P874">
        <v>99</v>
      </c>
      <c r="Q874">
        <v>7</v>
      </c>
      <c r="R874">
        <v>6</v>
      </c>
      <c r="S874">
        <v>8</v>
      </c>
    </row>
    <row r="875" spans="1:19" x14ac:dyDescent="0.35">
      <c r="A875">
        <v>8522</v>
      </c>
      <c r="B875">
        <v>577</v>
      </c>
      <c r="C875" t="str">
        <f>VLOOKUP(B875,Kunde!A:C,3,FALSE)</f>
        <v>Geschäftskunde</v>
      </c>
      <c r="D875" t="str">
        <f>VLOOKUP(O875,Produkt!$A$1:$E$5,2,FALSE)</f>
        <v>D</v>
      </c>
      <c r="E875">
        <f t="shared" si="39"/>
        <v>93</v>
      </c>
      <c r="F875">
        <f>VLOOKUP(D875,Produkt!$B$1:$C$5,2,FALSE)*Bestellungen!E875</f>
        <v>74400</v>
      </c>
      <c r="G875" s="2">
        <v>44796</v>
      </c>
      <c r="H875" s="2">
        <f t="shared" si="40"/>
        <v>44803</v>
      </c>
      <c r="I875" s="2">
        <f t="shared" si="41"/>
        <v>44840</v>
      </c>
      <c r="J875" t="str">
        <f>VLOOKUP(M875,Umfragenteilnahme!$A$2:$B$3,2,)</f>
        <v>Nein</v>
      </c>
      <c r="M875">
        <v>2</v>
      </c>
      <c r="N875">
        <v>577</v>
      </c>
      <c r="O875">
        <v>4</v>
      </c>
      <c r="P875">
        <v>93</v>
      </c>
      <c r="Q875">
        <v>4</v>
      </c>
      <c r="R875">
        <v>7</v>
      </c>
      <c r="S875">
        <v>44</v>
      </c>
    </row>
    <row r="876" spans="1:19" x14ac:dyDescent="0.35">
      <c r="A876">
        <v>8523</v>
      </c>
      <c r="B876">
        <v>637</v>
      </c>
      <c r="C876" t="str">
        <f>VLOOKUP(B876,Kunde!A:C,3,FALSE)</f>
        <v>Geschäftskunde</v>
      </c>
      <c r="D876" t="str">
        <f>VLOOKUP(O876,Produkt!$A$1:$E$5,2,FALSE)</f>
        <v>D</v>
      </c>
      <c r="E876">
        <f t="shared" si="39"/>
        <v>64</v>
      </c>
      <c r="F876">
        <f>VLOOKUP(D876,Produkt!$B$1:$C$5,2,FALSE)*Bestellungen!E876</f>
        <v>51200</v>
      </c>
      <c r="G876" s="2">
        <v>44898</v>
      </c>
      <c r="H876" s="2">
        <f t="shared" si="40"/>
        <v>44905</v>
      </c>
      <c r="I876" s="2">
        <f t="shared" si="41"/>
        <v>44921</v>
      </c>
      <c r="J876" t="str">
        <f>VLOOKUP(M876,Umfragenteilnahme!$A$2:$B$3,2,)</f>
        <v>Ja</v>
      </c>
      <c r="M876">
        <v>1</v>
      </c>
      <c r="N876">
        <v>637</v>
      </c>
      <c r="O876">
        <v>4</v>
      </c>
      <c r="P876">
        <v>64</v>
      </c>
      <c r="Q876">
        <v>5</v>
      </c>
      <c r="R876">
        <v>7</v>
      </c>
      <c r="S876">
        <v>23</v>
      </c>
    </row>
    <row r="877" spans="1:19" x14ac:dyDescent="0.35">
      <c r="A877">
        <v>8524</v>
      </c>
      <c r="B877">
        <v>729</v>
      </c>
      <c r="C877" t="str">
        <f>VLOOKUP(B877,Kunde!A:C,3,FALSE)</f>
        <v>Geschäftskunde</v>
      </c>
      <c r="D877" t="str">
        <f>VLOOKUP(O877,Produkt!$A$1:$E$5,2,FALSE)</f>
        <v>C</v>
      </c>
      <c r="E877">
        <f t="shared" si="39"/>
        <v>74</v>
      </c>
      <c r="F877">
        <f>VLOOKUP(D877,Produkt!$B$1:$C$5,2,FALSE)*Bestellungen!E877</f>
        <v>111000</v>
      </c>
      <c r="G877" s="2">
        <v>44873</v>
      </c>
      <c r="H877" s="2">
        <f t="shared" si="40"/>
        <v>44877</v>
      </c>
      <c r="I877" s="2">
        <f t="shared" si="41"/>
        <v>44899</v>
      </c>
      <c r="J877" t="str">
        <f>VLOOKUP(M877,Umfragenteilnahme!$A$2:$B$3,2,)</f>
        <v>Nein</v>
      </c>
      <c r="M877">
        <v>2</v>
      </c>
      <c r="N877">
        <v>729</v>
      </c>
      <c r="O877">
        <v>3</v>
      </c>
      <c r="P877">
        <v>74</v>
      </c>
      <c r="Q877">
        <v>7</v>
      </c>
      <c r="R877">
        <v>4</v>
      </c>
      <c r="S877">
        <v>26</v>
      </c>
    </row>
    <row r="878" spans="1:19" x14ac:dyDescent="0.35">
      <c r="A878">
        <v>8525</v>
      </c>
      <c r="B878">
        <v>561</v>
      </c>
      <c r="C878" t="str">
        <f>VLOOKUP(B878,Kunde!A:C,3,FALSE)</f>
        <v>Privatkunde</v>
      </c>
      <c r="D878" t="str">
        <f>VLOOKUP(O878,Produkt!$A$1:$E$5,2,FALSE)</f>
        <v>A</v>
      </c>
      <c r="E878">
        <f t="shared" si="39"/>
        <v>4</v>
      </c>
      <c r="F878">
        <f>VLOOKUP(D878,Produkt!$B$1:$C$5,2,FALSE)*Bestellungen!E878</f>
        <v>1200</v>
      </c>
      <c r="G878" s="2">
        <v>44942</v>
      </c>
      <c r="H878" s="2">
        <f t="shared" si="40"/>
        <v>44946</v>
      </c>
      <c r="I878" s="2">
        <f t="shared" si="41"/>
        <v>44968</v>
      </c>
      <c r="J878" t="str">
        <f>VLOOKUP(M878,Umfragenteilnahme!$A$2:$B$3,2,)</f>
        <v>Nein</v>
      </c>
      <c r="M878">
        <v>2</v>
      </c>
      <c r="N878">
        <v>561</v>
      </c>
      <c r="O878">
        <v>1</v>
      </c>
      <c r="P878">
        <v>44</v>
      </c>
      <c r="Q878">
        <v>4</v>
      </c>
      <c r="R878">
        <v>4</v>
      </c>
      <c r="S878">
        <v>26</v>
      </c>
    </row>
    <row r="879" spans="1:19" x14ac:dyDescent="0.35">
      <c r="A879">
        <v>8526</v>
      </c>
      <c r="B879">
        <v>57</v>
      </c>
      <c r="C879" t="str">
        <f>VLOOKUP(B879,Kunde!A:C,3,FALSE)</f>
        <v>Geschäftskunde</v>
      </c>
      <c r="D879" t="str">
        <f>VLOOKUP(O879,Produkt!$A$1:$E$5,2,FALSE)</f>
        <v>A</v>
      </c>
      <c r="E879">
        <f t="shared" si="39"/>
        <v>101</v>
      </c>
      <c r="F879">
        <f>VLOOKUP(D879,Produkt!$B$1:$C$5,2,FALSE)*Bestellungen!E879</f>
        <v>30300</v>
      </c>
      <c r="G879" s="2">
        <v>44756</v>
      </c>
      <c r="H879" s="2">
        <f t="shared" si="40"/>
        <v>44761</v>
      </c>
      <c r="I879" s="2">
        <f t="shared" si="41"/>
        <v>44810</v>
      </c>
      <c r="J879" t="str">
        <f>VLOOKUP(M879,Umfragenteilnahme!$A$2:$B$3,2,)</f>
        <v>Ja</v>
      </c>
      <c r="M879">
        <v>1</v>
      </c>
      <c r="N879">
        <v>57</v>
      </c>
      <c r="O879">
        <v>1</v>
      </c>
      <c r="P879">
        <v>101</v>
      </c>
      <c r="Q879">
        <v>6</v>
      </c>
      <c r="R879">
        <v>5</v>
      </c>
      <c r="S879">
        <v>54</v>
      </c>
    </row>
    <row r="880" spans="1:19" x14ac:dyDescent="0.35">
      <c r="A880">
        <v>8527</v>
      </c>
      <c r="B880">
        <v>506</v>
      </c>
      <c r="C880" t="str">
        <f>VLOOKUP(B880,Kunde!A:C,3,FALSE)</f>
        <v>Geschäftskunde</v>
      </c>
      <c r="D880" t="str">
        <f>VLOOKUP(O880,Produkt!$A$1:$E$5,2,FALSE)</f>
        <v>D</v>
      </c>
      <c r="E880">
        <f t="shared" si="39"/>
        <v>16</v>
      </c>
      <c r="F880">
        <f>VLOOKUP(D880,Produkt!$B$1:$C$5,2,FALSE)*Bestellungen!E880</f>
        <v>12800</v>
      </c>
      <c r="G880" s="2">
        <v>44948</v>
      </c>
      <c r="H880" s="2">
        <f t="shared" si="40"/>
        <v>44953</v>
      </c>
      <c r="I880" s="2">
        <f t="shared" si="41"/>
        <v>44959</v>
      </c>
      <c r="J880" t="str">
        <f>VLOOKUP(M880,Umfragenteilnahme!$A$2:$B$3,2,)</f>
        <v>Nein</v>
      </c>
      <c r="M880">
        <v>2</v>
      </c>
      <c r="N880">
        <v>506</v>
      </c>
      <c r="O880">
        <v>4</v>
      </c>
      <c r="P880">
        <v>16</v>
      </c>
      <c r="Q880">
        <v>1</v>
      </c>
      <c r="R880">
        <v>5</v>
      </c>
      <c r="S880">
        <v>11</v>
      </c>
    </row>
    <row r="881" spans="1:19" x14ac:dyDescent="0.35">
      <c r="A881">
        <v>8528</v>
      </c>
      <c r="B881">
        <v>119</v>
      </c>
      <c r="C881" t="str">
        <f>VLOOKUP(B881,Kunde!A:C,3,FALSE)</f>
        <v>Geschäftskunde</v>
      </c>
      <c r="D881" t="str">
        <f>VLOOKUP(O881,Produkt!$A$1:$E$5,2,FALSE)</f>
        <v>B</v>
      </c>
      <c r="E881">
        <f t="shared" si="39"/>
        <v>124</v>
      </c>
      <c r="F881">
        <f>VLOOKUP(D881,Produkt!$B$1:$C$5,2,FALSE)*Bestellungen!E881</f>
        <v>59520</v>
      </c>
      <c r="G881" s="2">
        <v>44888</v>
      </c>
      <c r="H881" s="2">
        <f t="shared" si="40"/>
        <v>44894</v>
      </c>
      <c r="I881" s="2">
        <f t="shared" si="41"/>
        <v>44900</v>
      </c>
      <c r="J881" t="str">
        <f>VLOOKUP(M881,Umfragenteilnahme!$A$2:$B$3,2,)</f>
        <v>Ja</v>
      </c>
      <c r="M881">
        <v>1</v>
      </c>
      <c r="N881">
        <v>119</v>
      </c>
      <c r="O881">
        <v>2</v>
      </c>
      <c r="P881">
        <v>124</v>
      </c>
      <c r="Q881">
        <v>6</v>
      </c>
      <c r="R881">
        <v>6</v>
      </c>
      <c r="S881">
        <v>12</v>
      </c>
    </row>
    <row r="882" spans="1:19" x14ac:dyDescent="0.35">
      <c r="A882">
        <v>8529</v>
      </c>
      <c r="B882">
        <v>733</v>
      </c>
      <c r="C882" t="str">
        <f>VLOOKUP(B882,Kunde!A:C,3,FALSE)</f>
        <v>Geschäftskunde</v>
      </c>
      <c r="D882" t="str">
        <f>VLOOKUP(O882,Produkt!$A$1:$E$5,2,FALSE)</f>
        <v>C</v>
      </c>
      <c r="E882">
        <f t="shared" si="39"/>
        <v>19</v>
      </c>
      <c r="F882">
        <f>VLOOKUP(D882,Produkt!$B$1:$C$5,2,FALSE)*Bestellungen!E882</f>
        <v>28500</v>
      </c>
      <c r="G882" s="2">
        <v>44925</v>
      </c>
      <c r="H882" s="2">
        <f t="shared" si="40"/>
        <v>44930</v>
      </c>
      <c r="I882" s="2">
        <f t="shared" si="41"/>
        <v>44959</v>
      </c>
      <c r="J882" t="str">
        <f>VLOOKUP(M882,Umfragenteilnahme!$A$2:$B$3,2,)</f>
        <v>Nein</v>
      </c>
      <c r="M882">
        <v>2</v>
      </c>
      <c r="N882">
        <v>733</v>
      </c>
      <c r="O882">
        <v>3</v>
      </c>
      <c r="P882">
        <v>19</v>
      </c>
      <c r="Q882">
        <v>8</v>
      </c>
      <c r="R882">
        <v>5</v>
      </c>
      <c r="S882">
        <v>34</v>
      </c>
    </row>
    <row r="883" spans="1:19" x14ac:dyDescent="0.35">
      <c r="A883">
        <v>8530</v>
      </c>
      <c r="B883">
        <v>493</v>
      </c>
      <c r="C883" t="str">
        <f>VLOOKUP(B883,Kunde!A:C,3,FALSE)</f>
        <v>Geschäftskunde</v>
      </c>
      <c r="D883" t="str">
        <f>VLOOKUP(O883,Produkt!$A$1:$E$5,2,FALSE)</f>
        <v>D</v>
      </c>
      <c r="E883">
        <f t="shared" si="39"/>
        <v>38</v>
      </c>
      <c r="F883">
        <f>VLOOKUP(D883,Produkt!$B$1:$C$5,2,FALSE)*Bestellungen!E883</f>
        <v>30400</v>
      </c>
      <c r="G883" s="2">
        <v>44740</v>
      </c>
      <c r="H883" s="2">
        <f t="shared" si="40"/>
        <v>44744</v>
      </c>
      <c r="I883" s="2">
        <f t="shared" si="41"/>
        <v>44754</v>
      </c>
      <c r="J883" t="str">
        <f>VLOOKUP(M883,Umfragenteilnahme!$A$2:$B$3,2,)</f>
        <v>Ja</v>
      </c>
      <c r="M883">
        <v>1</v>
      </c>
      <c r="N883">
        <v>493</v>
      </c>
      <c r="O883">
        <v>4</v>
      </c>
      <c r="P883">
        <v>38</v>
      </c>
      <c r="Q883">
        <v>10</v>
      </c>
      <c r="R883">
        <v>4</v>
      </c>
      <c r="S883">
        <v>14</v>
      </c>
    </row>
    <row r="884" spans="1:19" x14ac:dyDescent="0.35">
      <c r="A884">
        <v>8531</v>
      </c>
      <c r="B884">
        <v>759</v>
      </c>
      <c r="C884" t="str">
        <f>VLOOKUP(B884,Kunde!A:C,3,FALSE)</f>
        <v>Geschäftskunde</v>
      </c>
      <c r="D884" t="str">
        <f>VLOOKUP(O884,Produkt!$A$1:$E$5,2,FALSE)</f>
        <v>D</v>
      </c>
      <c r="E884">
        <f t="shared" si="39"/>
        <v>147</v>
      </c>
      <c r="F884">
        <f>VLOOKUP(D884,Produkt!$B$1:$C$5,2,FALSE)*Bestellungen!E884</f>
        <v>117600</v>
      </c>
      <c r="G884" s="2">
        <v>45066</v>
      </c>
      <c r="H884" s="2">
        <f t="shared" si="40"/>
        <v>45072</v>
      </c>
      <c r="I884" s="2">
        <f t="shared" si="41"/>
        <v>45107</v>
      </c>
      <c r="J884" t="str">
        <f>VLOOKUP(M884,Umfragenteilnahme!$A$2:$B$3,2,)</f>
        <v>Nein</v>
      </c>
      <c r="M884">
        <v>2</v>
      </c>
      <c r="N884">
        <v>759</v>
      </c>
      <c r="O884">
        <v>4</v>
      </c>
      <c r="P884">
        <v>147</v>
      </c>
      <c r="Q884">
        <v>6</v>
      </c>
      <c r="R884">
        <v>6</v>
      </c>
      <c r="S884">
        <v>41</v>
      </c>
    </row>
    <row r="885" spans="1:19" x14ac:dyDescent="0.35">
      <c r="A885">
        <v>8532</v>
      </c>
      <c r="B885">
        <v>208</v>
      </c>
      <c r="C885" t="str">
        <f>VLOOKUP(B885,Kunde!A:C,3,FALSE)</f>
        <v>Geschäftskunde</v>
      </c>
      <c r="D885" t="str">
        <f>VLOOKUP(O885,Produkt!$A$1:$E$5,2,FALSE)</f>
        <v>C</v>
      </c>
      <c r="E885">
        <f t="shared" si="39"/>
        <v>94</v>
      </c>
      <c r="F885">
        <f>VLOOKUP(D885,Produkt!$B$1:$C$5,2,FALSE)*Bestellungen!E885</f>
        <v>141000</v>
      </c>
      <c r="G885" s="2">
        <v>45072</v>
      </c>
      <c r="H885" s="2">
        <f t="shared" si="40"/>
        <v>45076</v>
      </c>
      <c r="I885" s="2">
        <f t="shared" si="41"/>
        <v>45085</v>
      </c>
      <c r="J885" t="str">
        <f>VLOOKUP(M885,Umfragenteilnahme!$A$2:$B$3,2,)</f>
        <v>Nein</v>
      </c>
      <c r="M885">
        <v>2</v>
      </c>
      <c r="N885">
        <v>208</v>
      </c>
      <c r="O885">
        <v>3</v>
      </c>
      <c r="P885">
        <v>94</v>
      </c>
      <c r="Q885">
        <v>4</v>
      </c>
      <c r="R885">
        <v>4</v>
      </c>
      <c r="S885">
        <v>13</v>
      </c>
    </row>
    <row r="886" spans="1:19" x14ac:dyDescent="0.35">
      <c r="A886">
        <v>8533</v>
      </c>
      <c r="B886">
        <v>577</v>
      </c>
      <c r="C886" t="str">
        <f>VLOOKUP(B886,Kunde!A:C,3,FALSE)</f>
        <v>Geschäftskunde</v>
      </c>
      <c r="D886" t="str">
        <f>VLOOKUP(O886,Produkt!$A$1:$E$5,2,FALSE)</f>
        <v>B</v>
      </c>
      <c r="E886">
        <f t="shared" si="39"/>
        <v>134</v>
      </c>
      <c r="F886">
        <f>VLOOKUP(D886,Produkt!$B$1:$C$5,2,FALSE)*Bestellungen!E886</f>
        <v>64320</v>
      </c>
      <c r="G886" s="2">
        <v>44813</v>
      </c>
      <c r="H886" s="2">
        <f t="shared" si="40"/>
        <v>44815</v>
      </c>
      <c r="I886" s="2">
        <f t="shared" si="41"/>
        <v>44822</v>
      </c>
      <c r="J886" t="str">
        <f>VLOOKUP(M886,Umfragenteilnahme!$A$2:$B$3,2,)</f>
        <v>Ja</v>
      </c>
      <c r="M886">
        <v>1</v>
      </c>
      <c r="N886">
        <v>577</v>
      </c>
      <c r="O886">
        <v>2</v>
      </c>
      <c r="P886">
        <v>134</v>
      </c>
      <c r="Q886">
        <v>8</v>
      </c>
      <c r="R886">
        <v>2</v>
      </c>
      <c r="S886">
        <v>9</v>
      </c>
    </row>
    <row r="887" spans="1:19" x14ac:dyDescent="0.35">
      <c r="A887">
        <v>8534</v>
      </c>
      <c r="B887">
        <v>528</v>
      </c>
      <c r="C887" t="str">
        <f>VLOOKUP(B887,Kunde!A:C,3,FALSE)</f>
        <v>Geschäftskunde</v>
      </c>
      <c r="D887" t="str">
        <f>VLOOKUP(O887,Produkt!$A$1:$E$5,2,FALSE)</f>
        <v>C</v>
      </c>
      <c r="E887">
        <f t="shared" si="39"/>
        <v>90</v>
      </c>
      <c r="F887">
        <f>VLOOKUP(D887,Produkt!$B$1:$C$5,2,FALSE)*Bestellungen!E887</f>
        <v>135000</v>
      </c>
      <c r="G887" s="2">
        <v>44737</v>
      </c>
      <c r="H887" s="2">
        <f t="shared" si="40"/>
        <v>44739</v>
      </c>
      <c r="I887" s="2">
        <f t="shared" si="41"/>
        <v>44796</v>
      </c>
      <c r="J887" t="str">
        <f>VLOOKUP(M887,Umfragenteilnahme!$A$2:$B$3,2,)</f>
        <v>Ja</v>
      </c>
      <c r="M887">
        <v>1</v>
      </c>
      <c r="N887">
        <v>528</v>
      </c>
      <c r="O887">
        <v>3</v>
      </c>
      <c r="P887">
        <v>90</v>
      </c>
      <c r="Q887">
        <v>6</v>
      </c>
      <c r="R887">
        <v>2</v>
      </c>
      <c r="S887">
        <v>59</v>
      </c>
    </row>
    <row r="888" spans="1:19" x14ac:dyDescent="0.35">
      <c r="A888">
        <v>8535</v>
      </c>
      <c r="B888">
        <v>738</v>
      </c>
      <c r="C888" t="str">
        <f>VLOOKUP(B888,Kunde!A:C,3,FALSE)</f>
        <v>Geschäftskunde</v>
      </c>
      <c r="D888" t="str">
        <f>VLOOKUP(O888,Produkt!$A$1:$E$5,2,FALSE)</f>
        <v>C</v>
      </c>
      <c r="E888">
        <f t="shared" si="39"/>
        <v>136</v>
      </c>
      <c r="F888">
        <f>VLOOKUP(D888,Produkt!$B$1:$C$5,2,FALSE)*Bestellungen!E888</f>
        <v>204000</v>
      </c>
      <c r="G888" s="2">
        <v>44816</v>
      </c>
      <c r="H888" s="2">
        <f t="shared" si="40"/>
        <v>44823</v>
      </c>
      <c r="I888" s="2">
        <f t="shared" si="41"/>
        <v>44862</v>
      </c>
      <c r="J888" t="str">
        <f>VLOOKUP(M888,Umfragenteilnahme!$A$2:$B$3,2,)</f>
        <v>Ja</v>
      </c>
      <c r="M888">
        <v>1</v>
      </c>
      <c r="N888">
        <v>738</v>
      </c>
      <c r="O888">
        <v>3</v>
      </c>
      <c r="P888">
        <v>136</v>
      </c>
      <c r="Q888">
        <v>4</v>
      </c>
      <c r="R888">
        <v>7</v>
      </c>
      <c r="S888">
        <v>46</v>
      </c>
    </row>
    <row r="889" spans="1:19" x14ac:dyDescent="0.35">
      <c r="A889">
        <v>8536</v>
      </c>
      <c r="B889">
        <v>694</v>
      </c>
      <c r="C889" t="str">
        <f>VLOOKUP(B889,Kunde!A:C,3,FALSE)</f>
        <v>Geschäftskunde</v>
      </c>
      <c r="D889" t="str">
        <f>VLOOKUP(O889,Produkt!$A$1:$E$5,2,FALSE)</f>
        <v>A</v>
      </c>
      <c r="E889">
        <f t="shared" si="39"/>
        <v>117</v>
      </c>
      <c r="F889">
        <f>VLOOKUP(D889,Produkt!$B$1:$C$5,2,FALSE)*Bestellungen!E889</f>
        <v>35100</v>
      </c>
      <c r="G889" s="2">
        <v>45039</v>
      </c>
      <c r="H889" s="2">
        <f t="shared" si="40"/>
        <v>45044</v>
      </c>
      <c r="I889" s="2">
        <f t="shared" si="41"/>
        <v>45077</v>
      </c>
      <c r="J889" t="str">
        <f>VLOOKUP(M889,Umfragenteilnahme!$A$2:$B$3,2,)</f>
        <v>Nein</v>
      </c>
      <c r="M889">
        <v>2</v>
      </c>
      <c r="N889">
        <v>694</v>
      </c>
      <c r="O889">
        <v>1</v>
      </c>
      <c r="P889">
        <v>117</v>
      </c>
      <c r="Q889">
        <v>8</v>
      </c>
      <c r="R889">
        <v>5</v>
      </c>
      <c r="S889">
        <v>38</v>
      </c>
    </row>
    <row r="890" spans="1:19" x14ac:dyDescent="0.35">
      <c r="A890">
        <v>8537</v>
      </c>
      <c r="B890">
        <v>261</v>
      </c>
      <c r="C890" t="str">
        <f>VLOOKUP(B890,Kunde!A:C,3,FALSE)</f>
        <v>Privatkunde</v>
      </c>
      <c r="D890" t="str">
        <f>VLOOKUP(O890,Produkt!$A$1:$E$5,2,FALSE)</f>
        <v>D</v>
      </c>
      <c r="E890">
        <f t="shared" si="39"/>
        <v>4</v>
      </c>
      <c r="F890">
        <f>VLOOKUP(D890,Produkt!$B$1:$C$5,2,FALSE)*Bestellungen!E890</f>
        <v>3200</v>
      </c>
      <c r="G890" s="2">
        <v>44772</v>
      </c>
      <c r="H890" s="2">
        <f t="shared" si="40"/>
        <v>44778</v>
      </c>
      <c r="I890" s="2">
        <f t="shared" si="41"/>
        <v>44832</v>
      </c>
      <c r="J890" t="str">
        <f>VLOOKUP(M890,Umfragenteilnahme!$A$2:$B$3,2,)</f>
        <v>Ja</v>
      </c>
      <c r="M890">
        <v>1</v>
      </c>
      <c r="N890">
        <v>261</v>
      </c>
      <c r="O890">
        <v>4</v>
      </c>
      <c r="P890">
        <v>28</v>
      </c>
      <c r="Q890">
        <v>4</v>
      </c>
      <c r="R890">
        <v>6</v>
      </c>
      <c r="S890">
        <v>60</v>
      </c>
    </row>
    <row r="891" spans="1:19" x14ac:dyDescent="0.35">
      <c r="A891">
        <v>8538</v>
      </c>
      <c r="B891">
        <v>480</v>
      </c>
      <c r="C891" t="str">
        <f>VLOOKUP(B891,Kunde!A:C,3,FALSE)</f>
        <v>Geschäftskunde</v>
      </c>
      <c r="D891" t="str">
        <f>VLOOKUP(O891,Produkt!$A$1:$E$5,2,FALSE)</f>
        <v>D</v>
      </c>
      <c r="E891">
        <f t="shared" si="39"/>
        <v>82</v>
      </c>
      <c r="F891">
        <f>VLOOKUP(D891,Produkt!$B$1:$C$5,2,FALSE)*Bestellungen!E891</f>
        <v>65600</v>
      </c>
      <c r="G891" s="2">
        <v>44905</v>
      </c>
      <c r="H891" s="2">
        <f t="shared" si="40"/>
        <v>44912</v>
      </c>
      <c r="I891" s="2">
        <f t="shared" si="41"/>
        <v>44958</v>
      </c>
      <c r="J891" t="str">
        <f>VLOOKUP(M891,Umfragenteilnahme!$A$2:$B$3,2,)</f>
        <v>Nein</v>
      </c>
      <c r="M891">
        <v>2</v>
      </c>
      <c r="N891">
        <v>480</v>
      </c>
      <c r="O891">
        <v>4</v>
      </c>
      <c r="P891">
        <v>82</v>
      </c>
      <c r="Q891">
        <v>8</v>
      </c>
      <c r="R891">
        <v>7</v>
      </c>
      <c r="S891">
        <v>53</v>
      </c>
    </row>
    <row r="892" spans="1:19" x14ac:dyDescent="0.35">
      <c r="A892">
        <v>8539</v>
      </c>
      <c r="B892">
        <v>234</v>
      </c>
      <c r="C892" t="str">
        <f>VLOOKUP(B892,Kunde!A:C,3,FALSE)</f>
        <v>Geschäftskunde</v>
      </c>
      <c r="D892" t="str">
        <f>VLOOKUP(O892,Produkt!$A$1:$E$5,2,FALSE)</f>
        <v>B</v>
      </c>
      <c r="E892">
        <f t="shared" si="39"/>
        <v>99</v>
      </c>
      <c r="F892">
        <f>VLOOKUP(D892,Produkt!$B$1:$C$5,2,FALSE)*Bestellungen!E892</f>
        <v>47520</v>
      </c>
      <c r="G892" s="2">
        <v>44735</v>
      </c>
      <c r="H892" s="2">
        <f t="shared" si="40"/>
        <v>44740</v>
      </c>
      <c r="I892" s="2">
        <f t="shared" si="41"/>
        <v>44772</v>
      </c>
      <c r="J892" t="str">
        <f>VLOOKUP(M892,Umfragenteilnahme!$A$2:$B$3,2,)</f>
        <v>Ja</v>
      </c>
      <c r="M892">
        <v>1</v>
      </c>
      <c r="N892">
        <v>234</v>
      </c>
      <c r="O892">
        <v>2</v>
      </c>
      <c r="P892">
        <v>99</v>
      </c>
      <c r="Q892">
        <v>4</v>
      </c>
      <c r="R892">
        <v>5</v>
      </c>
      <c r="S892">
        <v>37</v>
      </c>
    </row>
    <row r="893" spans="1:19" x14ac:dyDescent="0.35">
      <c r="A893">
        <v>8540</v>
      </c>
      <c r="B893">
        <v>454</v>
      </c>
      <c r="C893" t="str">
        <f>VLOOKUP(B893,Kunde!A:C,3,FALSE)</f>
        <v>Geschäftskunde</v>
      </c>
      <c r="D893" t="str">
        <f>VLOOKUP(O893,Produkt!$A$1:$E$5,2,FALSE)</f>
        <v>A</v>
      </c>
      <c r="E893">
        <f t="shared" si="39"/>
        <v>56</v>
      </c>
      <c r="F893">
        <f>VLOOKUP(D893,Produkt!$B$1:$C$5,2,FALSE)*Bestellungen!E893</f>
        <v>16800</v>
      </c>
      <c r="G893" s="2">
        <v>45022</v>
      </c>
      <c r="H893" s="2">
        <f t="shared" si="40"/>
        <v>45027</v>
      </c>
      <c r="I893" s="2">
        <f t="shared" si="41"/>
        <v>45038</v>
      </c>
      <c r="J893" t="str">
        <f>VLOOKUP(M893,Umfragenteilnahme!$A$2:$B$3,2,)</f>
        <v>Nein</v>
      </c>
      <c r="M893">
        <v>2</v>
      </c>
      <c r="N893">
        <v>454</v>
      </c>
      <c r="O893">
        <v>1</v>
      </c>
      <c r="P893">
        <v>56</v>
      </c>
      <c r="Q893">
        <v>10</v>
      </c>
      <c r="R893">
        <v>5</v>
      </c>
      <c r="S893">
        <v>16</v>
      </c>
    </row>
    <row r="894" spans="1:19" x14ac:dyDescent="0.35">
      <c r="A894">
        <v>8541</v>
      </c>
      <c r="B894">
        <v>375</v>
      </c>
      <c r="C894" t="str">
        <f>VLOOKUP(B894,Kunde!A:C,3,FALSE)</f>
        <v>Privatkunde</v>
      </c>
      <c r="D894" t="str">
        <f>VLOOKUP(O894,Produkt!$A$1:$E$5,2,FALSE)</f>
        <v>D</v>
      </c>
      <c r="E894">
        <f t="shared" si="39"/>
        <v>4</v>
      </c>
      <c r="F894">
        <f>VLOOKUP(D894,Produkt!$B$1:$C$5,2,FALSE)*Bestellungen!E894</f>
        <v>3200</v>
      </c>
      <c r="G894" s="2">
        <v>44738</v>
      </c>
      <c r="H894" s="2">
        <f t="shared" si="40"/>
        <v>44740</v>
      </c>
      <c r="I894" s="2">
        <f t="shared" si="41"/>
        <v>44761</v>
      </c>
      <c r="J894" t="str">
        <f>VLOOKUP(M894,Umfragenteilnahme!$A$2:$B$3,2,)</f>
        <v>Nein</v>
      </c>
      <c r="M894">
        <v>2</v>
      </c>
      <c r="N894">
        <v>375</v>
      </c>
      <c r="O894">
        <v>4</v>
      </c>
      <c r="P894">
        <v>130</v>
      </c>
      <c r="Q894">
        <v>4</v>
      </c>
      <c r="R894">
        <v>2</v>
      </c>
      <c r="S894">
        <v>23</v>
      </c>
    </row>
    <row r="895" spans="1:19" x14ac:dyDescent="0.35">
      <c r="A895">
        <v>8542</v>
      </c>
      <c r="B895">
        <v>10</v>
      </c>
      <c r="C895" t="str">
        <f>VLOOKUP(B895,Kunde!A:C,3,FALSE)</f>
        <v>Geschäftskunde</v>
      </c>
      <c r="D895" t="str">
        <f>VLOOKUP(O895,Produkt!$A$1:$E$5,2,FALSE)</f>
        <v>C</v>
      </c>
      <c r="E895">
        <f t="shared" si="39"/>
        <v>134</v>
      </c>
      <c r="F895">
        <f>VLOOKUP(D895,Produkt!$B$1:$C$5,2,FALSE)*Bestellungen!E895</f>
        <v>201000</v>
      </c>
      <c r="G895" s="2">
        <v>44928</v>
      </c>
      <c r="H895" s="2">
        <f t="shared" si="40"/>
        <v>44934</v>
      </c>
      <c r="I895" s="2">
        <f t="shared" si="41"/>
        <v>44946</v>
      </c>
      <c r="J895" t="str">
        <f>VLOOKUP(M895,Umfragenteilnahme!$A$2:$B$3,2,)</f>
        <v>Ja</v>
      </c>
      <c r="M895">
        <v>1</v>
      </c>
      <c r="N895">
        <v>10</v>
      </c>
      <c r="O895">
        <v>3</v>
      </c>
      <c r="P895">
        <v>134</v>
      </c>
      <c r="Q895">
        <v>6</v>
      </c>
      <c r="R895">
        <v>6</v>
      </c>
      <c r="S895">
        <v>18</v>
      </c>
    </row>
    <row r="896" spans="1:19" x14ac:dyDescent="0.35">
      <c r="A896">
        <v>8543</v>
      </c>
      <c r="B896">
        <v>404</v>
      </c>
      <c r="C896" t="str">
        <f>VLOOKUP(B896,Kunde!A:C,3,FALSE)</f>
        <v>Privatkunde</v>
      </c>
      <c r="D896" t="str">
        <f>VLOOKUP(O896,Produkt!$A$1:$E$5,2,FALSE)</f>
        <v>D</v>
      </c>
      <c r="E896">
        <f t="shared" si="39"/>
        <v>10</v>
      </c>
      <c r="F896">
        <f>VLOOKUP(D896,Produkt!$B$1:$C$5,2,FALSE)*Bestellungen!E896</f>
        <v>8000</v>
      </c>
      <c r="G896" s="2">
        <v>44723</v>
      </c>
      <c r="H896" s="2">
        <f t="shared" si="40"/>
        <v>44725</v>
      </c>
      <c r="I896" s="2">
        <f t="shared" si="41"/>
        <v>44729</v>
      </c>
      <c r="J896" t="str">
        <f>VLOOKUP(M896,Umfragenteilnahme!$A$2:$B$3,2,)</f>
        <v>Nein</v>
      </c>
      <c r="M896">
        <v>2</v>
      </c>
      <c r="N896">
        <v>404</v>
      </c>
      <c r="O896">
        <v>4</v>
      </c>
      <c r="P896">
        <v>49</v>
      </c>
      <c r="Q896">
        <v>10</v>
      </c>
      <c r="R896">
        <v>2</v>
      </c>
      <c r="S896">
        <v>6</v>
      </c>
    </row>
    <row r="897" spans="1:19" x14ac:dyDescent="0.35">
      <c r="A897">
        <v>8544</v>
      </c>
      <c r="B897">
        <v>52</v>
      </c>
      <c r="C897" t="str">
        <f>VLOOKUP(B897,Kunde!A:C,3,FALSE)</f>
        <v>Privatkunde</v>
      </c>
      <c r="D897" t="str">
        <f>VLOOKUP(O897,Produkt!$A$1:$E$5,2,FALSE)</f>
        <v>D</v>
      </c>
      <c r="E897">
        <f t="shared" si="39"/>
        <v>2</v>
      </c>
      <c r="F897">
        <f>VLOOKUP(D897,Produkt!$B$1:$C$5,2,FALSE)*Bestellungen!E897</f>
        <v>1600</v>
      </c>
      <c r="G897" s="2">
        <v>44906</v>
      </c>
      <c r="H897" s="2">
        <f t="shared" si="40"/>
        <v>44908</v>
      </c>
      <c r="I897" s="2">
        <f t="shared" si="41"/>
        <v>44951</v>
      </c>
      <c r="J897" t="str">
        <f>VLOOKUP(M897,Umfragenteilnahme!$A$2:$B$3,2,)</f>
        <v>Nein</v>
      </c>
      <c r="M897">
        <v>2</v>
      </c>
      <c r="N897">
        <v>52</v>
      </c>
      <c r="O897">
        <v>4</v>
      </c>
      <c r="P897">
        <v>66</v>
      </c>
      <c r="Q897">
        <v>2</v>
      </c>
      <c r="R897">
        <v>2</v>
      </c>
      <c r="S897">
        <v>45</v>
      </c>
    </row>
    <row r="898" spans="1:19" x14ac:dyDescent="0.35">
      <c r="A898">
        <v>8545</v>
      </c>
      <c r="B898">
        <v>134</v>
      </c>
      <c r="C898" t="str">
        <f>VLOOKUP(B898,Kunde!A:C,3,FALSE)</f>
        <v>Geschäftskunde</v>
      </c>
      <c r="D898" t="str">
        <f>VLOOKUP(O898,Produkt!$A$1:$E$5,2,FALSE)</f>
        <v>A</v>
      </c>
      <c r="E898">
        <f t="shared" si="39"/>
        <v>37</v>
      </c>
      <c r="F898">
        <f>VLOOKUP(D898,Produkt!$B$1:$C$5,2,FALSE)*Bestellungen!E898</f>
        <v>11100</v>
      </c>
      <c r="G898" s="2">
        <v>44910</v>
      </c>
      <c r="H898" s="2">
        <f t="shared" si="40"/>
        <v>44913</v>
      </c>
      <c r="I898" s="2">
        <f t="shared" si="41"/>
        <v>44948</v>
      </c>
      <c r="J898" t="str">
        <f>VLOOKUP(M898,Umfragenteilnahme!$A$2:$B$3,2,)</f>
        <v>Nein</v>
      </c>
      <c r="M898">
        <v>2</v>
      </c>
      <c r="N898">
        <v>134</v>
      </c>
      <c r="O898">
        <v>1</v>
      </c>
      <c r="P898">
        <v>37</v>
      </c>
      <c r="Q898">
        <v>8</v>
      </c>
      <c r="R898">
        <v>3</v>
      </c>
      <c r="S898">
        <v>38</v>
      </c>
    </row>
    <row r="899" spans="1:19" x14ac:dyDescent="0.35">
      <c r="A899">
        <v>8546</v>
      </c>
      <c r="B899">
        <v>238</v>
      </c>
      <c r="C899" t="str">
        <f>VLOOKUP(B899,Kunde!A:C,3,FALSE)</f>
        <v>Geschäftskunde</v>
      </c>
      <c r="D899" t="str">
        <f>VLOOKUP(O899,Produkt!$A$1:$E$5,2,FALSE)</f>
        <v>D</v>
      </c>
      <c r="E899">
        <f t="shared" ref="E899:E962" si="42">IF(C899="Geschäftskunde",P899,Q899)</f>
        <v>68</v>
      </c>
      <c r="F899">
        <f>VLOOKUP(D899,Produkt!$B$1:$C$5,2,FALSE)*Bestellungen!E899</f>
        <v>54400</v>
      </c>
      <c r="G899" s="2">
        <v>44725</v>
      </c>
      <c r="H899" s="2">
        <f t="shared" ref="H899:H962" si="43">G899+R899</f>
        <v>44731</v>
      </c>
      <c r="I899" s="2">
        <f t="shared" ref="I899:I962" si="44">G899+S899</f>
        <v>44764</v>
      </c>
      <c r="J899" t="str">
        <f>VLOOKUP(M899,Umfragenteilnahme!$A$2:$B$3,2,)</f>
        <v>Ja</v>
      </c>
      <c r="M899">
        <v>1</v>
      </c>
      <c r="N899">
        <v>238</v>
      </c>
      <c r="O899">
        <v>4</v>
      </c>
      <c r="P899">
        <v>68</v>
      </c>
      <c r="Q899">
        <v>1</v>
      </c>
      <c r="R899">
        <v>6</v>
      </c>
      <c r="S899">
        <v>39</v>
      </c>
    </row>
    <row r="900" spans="1:19" x14ac:dyDescent="0.35">
      <c r="A900">
        <v>8547</v>
      </c>
      <c r="B900">
        <v>309</v>
      </c>
      <c r="C900" t="str">
        <f>VLOOKUP(B900,Kunde!A:C,3,FALSE)</f>
        <v>Geschäftskunde</v>
      </c>
      <c r="D900" t="str">
        <f>VLOOKUP(O900,Produkt!$A$1:$E$5,2,FALSE)</f>
        <v>A</v>
      </c>
      <c r="E900">
        <f t="shared" si="42"/>
        <v>16</v>
      </c>
      <c r="F900">
        <f>VLOOKUP(D900,Produkt!$B$1:$C$5,2,FALSE)*Bestellungen!E900</f>
        <v>4800</v>
      </c>
      <c r="G900" s="2">
        <v>44841</v>
      </c>
      <c r="H900" s="2">
        <f t="shared" si="43"/>
        <v>44844</v>
      </c>
      <c r="I900" s="2">
        <f t="shared" si="44"/>
        <v>44857</v>
      </c>
      <c r="J900" t="str">
        <f>VLOOKUP(M900,Umfragenteilnahme!$A$2:$B$3,2,)</f>
        <v>Nein</v>
      </c>
      <c r="M900">
        <v>2</v>
      </c>
      <c r="N900">
        <v>309</v>
      </c>
      <c r="O900">
        <v>1</v>
      </c>
      <c r="P900">
        <v>16</v>
      </c>
      <c r="Q900">
        <v>5</v>
      </c>
      <c r="R900">
        <v>3</v>
      </c>
      <c r="S900">
        <v>16</v>
      </c>
    </row>
    <row r="901" spans="1:19" x14ac:dyDescent="0.35">
      <c r="A901">
        <v>8548</v>
      </c>
      <c r="B901">
        <v>424</v>
      </c>
      <c r="C901" t="str">
        <f>VLOOKUP(B901,Kunde!A:C,3,FALSE)</f>
        <v>Privatkunde</v>
      </c>
      <c r="D901" t="str">
        <f>VLOOKUP(O901,Produkt!$A$1:$E$5,2,FALSE)</f>
        <v>C</v>
      </c>
      <c r="E901">
        <f t="shared" si="42"/>
        <v>5</v>
      </c>
      <c r="F901">
        <f>VLOOKUP(D901,Produkt!$B$1:$C$5,2,FALSE)*Bestellungen!E901</f>
        <v>7500</v>
      </c>
      <c r="G901" s="2">
        <v>44892</v>
      </c>
      <c r="H901" s="2">
        <f t="shared" si="43"/>
        <v>44894</v>
      </c>
      <c r="I901" s="2">
        <f t="shared" si="44"/>
        <v>44946</v>
      </c>
      <c r="J901" t="str">
        <f>VLOOKUP(M901,Umfragenteilnahme!$A$2:$B$3,2,)</f>
        <v>Nein</v>
      </c>
      <c r="M901">
        <v>2</v>
      </c>
      <c r="N901">
        <v>424</v>
      </c>
      <c r="O901">
        <v>3</v>
      </c>
      <c r="P901">
        <v>44</v>
      </c>
      <c r="Q901">
        <v>5</v>
      </c>
      <c r="R901">
        <v>2</v>
      </c>
      <c r="S901">
        <v>54</v>
      </c>
    </row>
    <row r="902" spans="1:19" x14ac:dyDescent="0.35">
      <c r="A902">
        <v>8549</v>
      </c>
      <c r="B902">
        <v>219</v>
      </c>
      <c r="C902" t="str">
        <f>VLOOKUP(B902,Kunde!A:C,3,FALSE)</f>
        <v>Geschäftskunde</v>
      </c>
      <c r="D902" t="str">
        <f>VLOOKUP(O902,Produkt!$A$1:$E$5,2,FALSE)</f>
        <v>C</v>
      </c>
      <c r="E902">
        <f t="shared" si="42"/>
        <v>32</v>
      </c>
      <c r="F902">
        <f>VLOOKUP(D902,Produkt!$B$1:$C$5,2,FALSE)*Bestellungen!E902</f>
        <v>48000</v>
      </c>
      <c r="G902" s="2">
        <v>44746</v>
      </c>
      <c r="H902" s="2">
        <f t="shared" si="43"/>
        <v>44752</v>
      </c>
      <c r="I902" s="2">
        <f t="shared" si="44"/>
        <v>44800</v>
      </c>
      <c r="J902" t="str">
        <f>VLOOKUP(M902,Umfragenteilnahme!$A$2:$B$3,2,)</f>
        <v>Ja</v>
      </c>
      <c r="M902">
        <v>1</v>
      </c>
      <c r="N902">
        <v>219</v>
      </c>
      <c r="O902">
        <v>3</v>
      </c>
      <c r="P902">
        <v>32</v>
      </c>
      <c r="Q902">
        <v>1</v>
      </c>
      <c r="R902">
        <v>6</v>
      </c>
      <c r="S902">
        <v>54</v>
      </c>
    </row>
    <row r="903" spans="1:19" x14ac:dyDescent="0.35">
      <c r="A903">
        <v>8550</v>
      </c>
      <c r="B903">
        <v>100</v>
      </c>
      <c r="C903" t="str">
        <f>VLOOKUP(B903,Kunde!A:C,3,FALSE)</f>
        <v>Privatkunde</v>
      </c>
      <c r="D903" t="str">
        <f>VLOOKUP(O903,Produkt!$A$1:$E$5,2,FALSE)</f>
        <v>B</v>
      </c>
      <c r="E903">
        <f t="shared" si="42"/>
        <v>6</v>
      </c>
      <c r="F903">
        <f>VLOOKUP(D903,Produkt!$B$1:$C$5,2,FALSE)*Bestellungen!E903</f>
        <v>2880</v>
      </c>
      <c r="G903" s="2">
        <v>44743</v>
      </c>
      <c r="H903" s="2">
        <f t="shared" si="43"/>
        <v>44747</v>
      </c>
      <c r="I903" s="2">
        <f t="shared" si="44"/>
        <v>44800</v>
      </c>
      <c r="J903" t="str">
        <f>VLOOKUP(M903,Umfragenteilnahme!$A$2:$B$3,2,)</f>
        <v>Ja</v>
      </c>
      <c r="M903">
        <v>1</v>
      </c>
      <c r="N903">
        <v>100</v>
      </c>
      <c r="O903">
        <v>2</v>
      </c>
      <c r="P903">
        <v>132</v>
      </c>
      <c r="Q903">
        <v>6</v>
      </c>
      <c r="R903">
        <v>4</v>
      </c>
      <c r="S903">
        <v>57</v>
      </c>
    </row>
    <row r="904" spans="1:19" x14ac:dyDescent="0.35">
      <c r="A904">
        <v>8551</v>
      </c>
      <c r="B904">
        <v>685</v>
      </c>
      <c r="C904" t="str">
        <f>VLOOKUP(B904,Kunde!A:C,3,FALSE)</f>
        <v>Privatkunde</v>
      </c>
      <c r="D904" t="str">
        <f>VLOOKUP(O904,Produkt!$A$1:$E$5,2,FALSE)</f>
        <v>D</v>
      </c>
      <c r="E904">
        <f t="shared" si="42"/>
        <v>4</v>
      </c>
      <c r="F904">
        <f>VLOOKUP(D904,Produkt!$B$1:$C$5,2,FALSE)*Bestellungen!E904</f>
        <v>3200</v>
      </c>
      <c r="G904" s="2">
        <v>44988</v>
      </c>
      <c r="H904" s="2">
        <f t="shared" si="43"/>
        <v>44994</v>
      </c>
      <c r="I904" s="2">
        <f t="shared" si="44"/>
        <v>45007</v>
      </c>
      <c r="J904" t="str">
        <f>VLOOKUP(M904,Umfragenteilnahme!$A$2:$B$3,2,)</f>
        <v>Nein</v>
      </c>
      <c r="M904">
        <v>2</v>
      </c>
      <c r="N904">
        <v>685</v>
      </c>
      <c r="O904">
        <v>4</v>
      </c>
      <c r="P904">
        <v>63</v>
      </c>
      <c r="Q904">
        <v>4</v>
      </c>
      <c r="R904">
        <v>6</v>
      </c>
      <c r="S904">
        <v>19</v>
      </c>
    </row>
    <row r="905" spans="1:19" x14ac:dyDescent="0.35">
      <c r="A905">
        <v>8552</v>
      </c>
      <c r="B905">
        <v>428</v>
      </c>
      <c r="C905" t="str">
        <f>VLOOKUP(B905,Kunde!A:C,3,FALSE)</f>
        <v>Geschäftskunde</v>
      </c>
      <c r="D905" t="str">
        <f>VLOOKUP(O905,Produkt!$A$1:$E$5,2,FALSE)</f>
        <v>B</v>
      </c>
      <c r="E905">
        <f t="shared" si="42"/>
        <v>138</v>
      </c>
      <c r="F905">
        <f>VLOOKUP(D905,Produkt!$B$1:$C$5,2,FALSE)*Bestellungen!E905</f>
        <v>66240</v>
      </c>
      <c r="G905" s="2">
        <v>44888</v>
      </c>
      <c r="H905" s="2">
        <f t="shared" si="43"/>
        <v>44892</v>
      </c>
      <c r="I905" s="2">
        <f t="shared" si="44"/>
        <v>44893</v>
      </c>
      <c r="J905" t="str">
        <f>VLOOKUP(M905,Umfragenteilnahme!$A$2:$B$3,2,)</f>
        <v>Ja</v>
      </c>
      <c r="M905">
        <v>1</v>
      </c>
      <c r="N905">
        <v>428</v>
      </c>
      <c r="O905">
        <v>2</v>
      </c>
      <c r="P905">
        <v>138</v>
      </c>
      <c r="Q905">
        <v>8</v>
      </c>
      <c r="R905">
        <v>4</v>
      </c>
      <c r="S905">
        <v>5</v>
      </c>
    </row>
    <row r="906" spans="1:19" x14ac:dyDescent="0.35">
      <c r="A906">
        <v>8553</v>
      </c>
      <c r="B906">
        <v>787</v>
      </c>
      <c r="C906" t="str">
        <f>VLOOKUP(B906,Kunde!A:C,3,FALSE)</f>
        <v>Geschäftskunde</v>
      </c>
      <c r="D906" t="str">
        <f>VLOOKUP(O906,Produkt!$A$1:$E$5,2,FALSE)</f>
        <v>A</v>
      </c>
      <c r="E906">
        <f t="shared" si="42"/>
        <v>89</v>
      </c>
      <c r="F906">
        <f>VLOOKUP(D906,Produkt!$B$1:$C$5,2,FALSE)*Bestellungen!E906</f>
        <v>26700</v>
      </c>
      <c r="G906" s="2">
        <v>44731</v>
      </c>
      <c r="H906" s="2">
        <f t="shared" si="43"/>
        <v>44738</v>
      </c>
      <c r="I906" s="2">
        <f t="shared" si="44"/>
        <v>44783</v>
      </c>
      <c r="J906" t="str">
        <f>VLOOKUP(M906,Umfragenteilnahme!$A$2:$B$3,2,)</f>
        <v>Nein</v>
      </c>
      <c r="M906">
        <v>2</v>
      </c>
      <c r="N906">
        <v>787</v>
      </c>
      <c r="O906">
        <v>1</v>
      </c>
      <c r="P906">
        <v>89</v>
      </c>
      <c r="Q906">
        <v>3</v>
      </c>
      <c r="R906">
        <v>7</v>
      </c>
      <c r="S906">
        <v>52</v>
      </c>
    </row>
    <row r="907" spans="1:19" x14ac:dyDescent="0.35">
      <c r="A907">
        <v>8554</v>
      </c>
      <c r="B907">
        <v>426</v>
      </c>
      <c r="C907" t="str">
        <f>VLOOKUP(B907,Kunde!A:C,3,FALSE)</f>
        <v>Geschäftskunde</v>
      </c>
      <c r="D907" t="str">
        <f>VLOOKUP(O907,Produkt!$A$1:$E$5,2,FALSE)</f>
        <v>C</v>
      </c>
      <c r="E907">
        <f t="shared" si="42"/>
        <v>109</v>
      </c>
      <c r="F907">
        <f>VLOOKUP(D907,Produkt!$B$1:$C$5,2,FALSE)*Bestellungen!E907</f>
        <v>163500</v>
      </c>
      <c r="G907" s="2">
        <v>44838</v>
      </c>
      <c r="H907" s="2">
        <f t="shared" si="43"/>
        <v>44844</v>
      </c>
      <c r="I907" s="2">
        <f t="shared" si="44"/>
        <v>44874</v>
      </c>
      <c r="J907" t="str">
        <f>VLOOKUP(M907,Umfragenteilnahme!$A$2:$B$3,2,)</f>
        <v>Ja</v>
      </c>
      <c r="M907">
        <v>1</v>
      </c>
      <c r="N907">
        <v>426</v>
      </c>
      <c r="O907">
        <v>3</v>
      </c>
      <c r="P907">
        <v>109</v>
      </c>
      <c r="Q907">
        <v>9</v>
      </c>
      <c r="R907">
        <v>6</v>
      </c>
      <c r="S907">
        <v>36</v>
      </c>
    </row>
    <row r="908" spans="1:19" x14ac:dyDescent="0.35">
      <c r="A908">
        <v>8555</v>
      </c>
      <c r="B908">
        <v>397</v>
      </c>
      <c r="C908" t="str">
        <f>VLOOKUP(B908,Kunde!A:C,3,FALSE)</f>
        <v>Geschäftskunde</v>
      </c>
      <c r="D908" t="str">
        <f>VLOOKUP(O908,Produkt!$A$1:$E$5,2,FALSE)</f>
        <v>B</v>
      </c>
      <c r="E908">
        <f t="shared" si="42"/>
        <v>144</v>
      </c>
      <c r="F908">
        <f>VLOOKUP(D908,Produkt!$B$1:$C$5,2,FALSE)*Bestellungen!E908</f>
        <v>69120</v>
      </c>
      <c r="G908" s="2">
        <v>44784</v>
      </c>
      <c r="H908" s="2">
        <f t="shared" si="43"/>
        <v>44786</v>
      </c>
      <c r="I908" s="2">
        <f t="shared" si="44"/>
        <v>44822</v>
      </c>
      <c r="J908" t="str">
        <f>VLOOKUP(M908,Umfragenteilnahme!$A$2:$B$3,2,)</f>
        <v>Ja</v>
      </c>
      <c r="M908">
        <v>1</v>
      </c>
      <c r="N908">
        <v>397</v>
      </c>
      <c r="O908">
        <v>2</v>
      </c>
      <c r="P908">
        <v>144</v>
      </c>
      <c r="Q908">
        <v>3</v>
      </c>
      <c r="R908">
        <v>2</v>
      </c>
      <c r="S908">
        <v>38</v>
      </c>
    </row>
    <row r="909" spans="1:19" x14ac:dyDescent="0.35">
      <c r="A909">
        <v>8556</v>
      </c>
      <c r="B909">
        <v>109</v>
      </c>
      <c r="C909" t="str">
        <f>VLOOKUP(B909,Kunde!A:C,3,FALSE)</f>
        <v>Privatkunde</v>
      </c>
      <c r="D909" t="str">
        <f>VLOOKUP(O909,Produkt!$A$1:$E$5,2,FALSE)</f>
        <v>A</v>
      </c>
      <c r="E909">
        <f t="shared" si="42"/>
        <v>10</v>
      </c>
      <c r="F909">
        <f>VLOOKUP(D909,Produkt!$B$1:$C$5,2,FALSE)*Bestellungen!E909</f>
        <v>3000</v>
      </c>
      <c r="G909" s="2">
        <v>44757</v>
      </c>
      <c r="H909" s="2">
        <f t="shared" si="43"/>
        <v>44759</v>
      </c>
      <c r="I909" s="2">
        <f t="shared" si="44"/>
        <v>44789</v>
      </c>
      <c r="J909" t="str">
        <f>VLOOKUP(M909,Umfragenteilnahme!$A$2:$B$3,2,)</f>
        <v>Ja</v>
      </c>
      <c r="M909">
        <v>1</v>
      </c>
      <c r="N909">
        <v>109</v>
      </c>
      <c r="O909">
        <v>1</v>
      </c>
      <c r="P909">
        <v>112</v>
      </c>
      <c r="Q909">
        <v>10</v>
      </c>
      <c r="R909">
        <v>2</v>
      </c>
      <c r="S909">
        <v>32</v>
      </c>
    </row>
    <row r="910" spans="1:19" x14ac:dyDescent="0.35">
      <c r="A910">
        <v>8557</v>
      </c>
      <c r="B910">
        <v>245</v>
      </c>
      <c r="C910" t="str">
        <f>VLOOKUP(B910,Kunde!A:C,3,FALSE)</f>
        <v>Geschäftskunde</v>
      </c>
      <c r="D910" t="str">
        <f>VLOOKUP(O910,Produkt!$A$1:$E$5,2,FALSE)</f>
        <v>B</v>
      </c>
      <c r="E910">
        <f t="shared" si="42"/>
        <v>17</v>
      </c>
      <c r="F910">
        <f>VLOOKUP(D910,Produkt!$B$1:$C$5,2,FALSE)*Bestellungen!E910</f>
        <v>8160</v>
      </c>
      <c r="G910" s="2">
        <v>44818</v>
      </c>
      <c r="H910" s="2">
        <f t="shared" si="43"/>
        <v>44824</v>
      </c>
      <c r="I910" s="2">
        <f t="shared" si="44"/>
        <v>44834</v>
      </c>
      <c r="J910" t="str">
        <f>VLOOKUP(M910,Umfragenteilnahme!$A$2:$B$3,2,)</f>
        <v>Nein</v>
      </c>
      <c r="M910">
        <v>2</v>
      </c>
      <c r="N910">
        <v>245</v>
      </c>
      <c r="O910">
        <v>2</v>
      </c>
      <c r="P910">
        <v>17</v>
      </c>
      <c r="Q910">
        <v>8</v>
      </c>
      <c r="R910">
        <v>6</v>
      </c>
      <c r="S910">
        <v>16</v>
      </c>
    </row>
    <row r="911" spans="1:19" x14ac:dyDescent="0.35">
      <c r="A911">
        <v>8558</v>
      </c>
      <c r="B911">
        <v>445</v>
      </c>
      <c r="C911" t="str">
        <f>VLOOKUP(B911,Kunde!A:C,3,FALSE)</f>
        <v>Geschäftskunde</v>
      </c>
      <c r="D911" t="str">
        <f>VLOOKUP(O911,Produkt!$A$1:$E$5,2,FALSE)</f>
        <v>B</v>
      </c>
      <c r="E911">
        <f t="shared" si="42"/>
        <v>133</v>
      </c>
      <c r="F911">
        <f>VLOOKUP(D911,Produkt!$B$1:$C$5,2,FALSE)*Bestellungen!E911</f>
        <v>63840</v>
      </c>
      <c r="G911" s="2">
        <v>44956</v>
      </c>
      <c r="H911" s="2">
        <f t="shared" si="43"/>
        <v>44959</v>
      </c>
      <c r="I911" s="2">
        <f t="shared" si="44"/>
        <v>44963</v>
      </c>
      <c r="J911" t="str">
        <f>VLOOKUP(M911,Umfragenteilnahme!$A$2:$B$3,2,)</f>
        <v>Ja</v>
      </c>
      <c r="M911">
        <v>1</v>
      </c>
      <c r="N911">
        <v>445</v>
      </c>
      <c r="O911">
        <v>2</v>
      </c>
      <c r="P911">
        <v>133</v>
      </c>
      <c r="Q911">
        <v>3</v>
      </c>
      <c r="R911">
        <v>3</v>
      </c>
      <c r="S911">
        <v>7</v>
      </c>
    </row>
    <row r="912" spans="1:19" x14ac:dyDescent="0.35">
      <c r="A912">
        <v>8559</v>
      </c>
      <c r="B912">
        <v>591</v>
      </c>
      <c r="C912" t="str">
        <f>VLOOKUP(B912,Kunde!A:C,3,FALSE)</f>
        <v>Geschäftskunde</v>
      </c>
      <c r="D912" t="str">
        <f>VLOOKUP(O912,Produkt!$A$1:$E$5,2,FALSE)</f>
        <v>B</v>
      </c>
      <c r="E912">
        <f t="shared" si="42"/>
        <v>34</v>
      </c>
      <c r="F912">
        <f>VLOOKUP(D912,Produkt!$B$1:$C$5,2,FALSE)*Bestellungen!E912</f>
        <v>16320</v>
      </c>
      <c r="G912" s="2">
        <v>44927</v>
      </c>
      <c r="H912" s="2">
        <f t="shared" si="43"/>
        <v>44933</v>
      </c>
      <c r="I912" s="2">
        <f t="shared" si="44"/>
        <v>44935</v>
      </c>
      <c r="J912" t="str">
        <f>VLOOKUP(M912,Umfragenteilnahme!$A$2:$B$3,2,)</f>
        <v>Ja</v>
      </c>
      <c r="M912">
        <v>1</v>
      </c>
      <c r="N912">
        <v>591</v>
      </c>
      <c r="O912">
        <v>2</v>
      </c>
      <c r="P912">
        <v>34</v>
      </c>
      <c r="Q912">
        <v>3</v>
      </c>
      <c r="R912">
        <v>6</v>
      </c>
      <c r="S912">
        <v>8</v>
      </c>
    </row>
    <row r="913" spans="1:19" x14ac:dyDescent="0.35">
      <c r="A913">
        <v>8560</v>
      </c>
      <c r="B913">
        <v>9</v>
      </c>
      <c r="C913" t="str">
        <f>VLOOKUP(B913,Kunde!A:C,3,FALSE)</f>
        <v>Geschäftskunde</v>
      </c>
      <c r="D913" t="str">
        <f>VLOOKUP(O913,Produkt!$A$1:$E$5,2,FALSE)</f>
        <v>C</v>
      </c>
      <c r="E913">
        <f t="shared" si="42"/>
        <v>122</v>
      </c>
      <c r="F913">
        <f>VLOOKUP(D913,Produkt!$B$1:$C$5,2,FALSE)*Bestellungen!E913</f>
        <v>183000</v>
      </c>
      <c r="G913" s="2">
        <v>44834</v>
      </c>
      <c r="H913" s="2">
        <f t="shared" si="43"/>
        <v>44837</v>
      </c>
      <c r="I913" s="2">
        <f t="shared" si="44"/>
        <v>44848</v>
      </c>
      <c r="J913" t="str">
        <f>VLOOKUP(M913,Umfragenteilnahme!$A$2:$B$3,2,)</f>
        <v>Ja</v>
      </c>
      <c r="M913">
        <v>1</v>
      </c>
      <c r="N913">
        <v>9</v>
      </c>
      <c r="O913">
        <v>3</v>
      </c>
      <c r="P913">
        <v>122</v>
      </c>
      <c r="Q913">
        <v>9</v>
      </c>
      <c r="R913">
        <v>3</v>
      </c>
      <c r="S913">
        <v>14</v>
      </c>
    </row>
    <row r="914" spans="1:19" x14ac:dyDescent="0.35">
      <c r="A914">
        <v>8561</v>
      </c>
      <c r="B914">
        <v>630</v>
      </c>
      <c r="C914" t="str">
        <f>VLOOKUP(B914,Kunde!A:C,3,FALSE)</f>
        <v>Geschäftskunde</v>
      </c>
      <c r="D914" t="str">
        <f>VLOOKUP(O914,Produkt!$A$1:$E$5,2,FALSE)</f>
        <v>D</v>
      </c>
      <c r="E914">
        <f t="shared" si="42"/>
        <v>95</v>
      </c>
      <c r="F914">
        <f>VLOOKUP(D914,Produkt!$B$1:$C$5,2,FALSE)*Bestellungen!E914</f>
        <v>76000</v>
      </c>
      <c r="G914" s="2">
        <v>44833</v>
      </c>
      <c r="H914" s="2">
        <f t="shared" si="43"/>
        <v>44838</v>
      </c>
      <c r="I914" s="2">
        <f t="shared" si="44"/>
        <v>44850</v>
      </c>
      <c r="J914" t="str">
        <f>VLOOKUP(M914,Umfragenteilnahme!$A$2:$B$3,2,)</f>
        <v>Ja</v>
      </c>
      <c r="M914">
        <v>1</v>
      </c>
      <c r="N914">
        <v>630</v>
      </c>
      <c r="O914">
        <v>4</v>
      </c>
      <c r="P914">
        <v>95</v>
      </c>
      <c r="Q914">
        <v>2</v>
      </c>
      <c r="R914">
        <v>5</v>
      </c>
      <c r="S914">
        <v>17</v>
      </c>
    </row>
    <row r="915" spans="1:19" x14ac:dyDescent="0.35">
      <c r="A915">
        <v>8562</v>
      </c>
      <c r="B915">
        <v>32</v>
      </c>
      <c r="C915" t="str">
        <f>VLOOKUP(B915,Kunde!A:C,3,FALSE)</f>
        <v>Geschäftskunde</v>
      </c>
      <c r="D915" t="str">
        <f>VLOOKUP(O915,Produkt!$A$1:$E$5,2,FALSE)</f>
        <v>B</v>
      </c>
      <c r="E915">
        <f t="shared" si="42"/>
        <v>131</v>
      </c>
      <c r="F915">
        <f>VLOOKUP(D915,Produkt!$B$1:$C$5,2,FALSE)*Bestellungen!E915</f>
        <v>62880</v>
      </c>
      <c r="G915" s="2">
        <v>44885</v>
      </c>
      <c r="H915" s="2">
        <f t="shared" si="43"/>
        <v>44891</v>
      </c>
      <c r="I915" s="2">
        <f t="shared" si="44"/>
        <v>44890</v>
      </c>
      <c r="J915" t="str">
        <f>VLOOKUP(M915,Umfragenteilnahme!$A$2:$B$3,2,)</f>
        <v>Nein</v>
      </c>
      <c r="M915">
        <v>2</v>
      </c>
      <c r="N915">
        <v>32</v>
      </c>
      <c r="O915">
        <v>2</v>
      </c>
      <c r="P915">
        <v>131</v>
      </c>
      <c r="Q915">
        <v>10</v>
      </c>
      <c r="R915">
        <v>6</v>
      </c>
      <c r="S915">
        <v>5</v>
      </c>
    </row>
    <row r="916" spans="1:19" x14ac:dyDescent="0.35">
      <c r="A916">
        <v>8563</v>
      </c>
      <c r="B916">
        <v>641</v>
      </c>
      <c r="C916" t="str">
        <f>VLOOKUP(B916,Kunde!A:C,3,FALSE)</f>
        <v>Geschäftskunde</v>
      </c>
      <c r="D916" t="str">
        <f>VLOOKUP(O916,Produkt!$A$1:$E$5,2,FALSE)</f>
        <v>A</v>
      </c>
      <c r="E916">
        <f t="shared" si="42"/>
        <v>132</v>
      </c>
      <c r="F916">
        <f>VLOOKUP(D916,Produkt!$B$1:$C$5,2,FALSE)*Bestellungen!E916</f>
        <v>39600</v>
      </c>
      <c r="G916" s="2">
        <v>45077</v>
      </c>
      <c r="H916" s="2">
        <f t="shared" si="43"/>
        <v>45082</v>
      </c>
      <c r="I916" s="2">
        <f t="shared" si="44"/>
        <v>45131</v>
      </c>
      <c r="J916" t="str">
        <f>VLOOKUP(M916,Umfragenteilnahme!$A$2:$B$3,2,)</f>
        <v>Nein</v>
      </c>
      <c r="M916">
        <v>2</v>
      </c>
      <c r="N916">
        <v>641</v>
      </c>
      <c r="O916">
        <v>1</v>
      </c>
      <c r="P916">
        <v>132</v>
      </c>
      <c r="Q916">
        <v>3</v>
      </c>
      <c r="R916">
        <v>5</v>
      </c>
      <c r="S916">
        <v>54</v>
      </c>
    </row>
    <row r="917" spans="1:19" x14ac:dyDescent="0.35">
      <c r="A917">
        <v>8564</v>
      </c>
      <c r="B917">
        <v>215</v>
      </c>
      <c r="C917" t="str">
        <f>VLOOKUP(B917,Kunde!A:C,3,FALSE)</f>
        <v>Geschäftskunde</v>
      </c>
      <c r="D917" t="str">
        <f>VLOOKUP(O917,Produkt!$A$1:$E$5,2,FALSE)</f>
        <v>B</v>
      </c>
      <c r="E917">
        <f t="shared" si="42"/>
        <v>15</v>
      </c>
      <c r="F917">
        <f>VLOOKUP(D917,Produkt!$B$1:$C$5,2,FALSE)*Bestellungen!E917</f>
        <v>7200</v>
      </c>
      <c r="G917" s="2">
        <v>44948</v>
      </c>
      <c r="H917" s="2">
        <f t="shared" si="43"/>
        <v>44950</v>
      </c>
      <c r="I917" s="2">
        <f t="shared" si="44"/>
        <v>44985</v>
      </c>
      <c r="J917" t="str">
        <f>VLOOKUP(M917,Umfragenteilnahme!$A$2:$B$3,2,)</f>
        <v>Ja</v>
      </c>
      <c r="M917">
        <v>1</v>
      </c>
      <c r="N917">
        <v>215</v>
      </c>
      <c r="O917">
        <v>2</v>
      </c>
      <c r="P917">
        <v>15</v>
      </c>
      <c r="Q917">
        <v>5</v>
      </c>
      <c r="R917">
        <v>2</v>
      </c>
      <c r="S917">
        <v>37</v>
      </c>
    </row>
    <row r="918" spans="1:19" x14ac:dyDescent="0.35">
      <c r="A918">
        <v>8565</v>
      </c>
      <c r="B918">
        <v>525</v>
      </c>
      <c r="C918" t="str">
        <f>VLOOKUP(B918,Kunde!A:C,3,FALSE)</f>
        <v>Geschäftskunde</v>
      </c>
      <c r="D918" t="str">
        <f>VLOOKUP(O918,Produkt!$A$1:$E$5,2,FALSE)</f>
        <v>B</v>
      </c>
      <c r="E918">
        <f t="shared" si="42"/>
        <v>103</v>
      </c>
      <c r="F918">
        <f>VLOOKUP(D918,Produkt!$B$1:$C$5,2,FALSE)*Bestellungen!E918</f>
        <v>49440</v>
      </c>
      <c r="G918" s="2">
        <v>44986</v>
      </c>
      <c r="H918" s="2">
        <f t="shared" si="43"/>
        <v>44988</v>
      </c>
      <c r="I918" s="2">
        <f t="shared" si="44"/>
        <v>45026</v>
      </c>
      <c r="J918" t="str">
        <f>VLOOKUP(M918,Umfragenteilnahme!$A$2:$B$3,2,)</f>
        <v>Nein</v>
      </c>
      <c r="M918">
        <v>2</v>
      </c>
      <c r="N918">
        <v>525</v>
      </c>
      <c r="O918">
        <v>2</v>
      </c>
      <c r="P918">
        <v>103</v>
      </c>
      <c r="Q918">
        <v>9</v>
      </c>
      <c r="R918">
        <v>2</v>
      </c>
      <c r="S918">
        <v>40</v>
      </c>
    </row>
    <row r="919" spans="1:19" x14ac:dyDescent="0.35">
      <c r="A919">
        <v>8566</v>
      </c>
      <c r="B919">
        <v>54</v>
      </c>
      <c r="C919" t="str">
        <f>VLOOKUP(B919,Kunde!A:C,3,FALSE)</f>
        <v>Geschäftskunde</v>
      </c>
      <c r="D919" t="str">
        <f>VLOOKUP(O919,Produkt!$A$1:$E$5,2,FALSE)</f>
        <v>A</v>
      </c>
      <c r="E919">
        <f t="shared" si="42"/>
        <v>132</v>
      </c>
      <c r="F919">
        <f>VLOOKUP(D919,Produkt!$B$1:$C$5,2,FALSE)*Bestellungen!E919</f>
        <v>39600</v>
      </c>
      <c r="G919" s="2">
        <v>45014</v>
      </c>
      <c r="H919" s="2">
        <f t="shared" si="43"/>
        <v>45017</v>
      </c>
      <c r="I919" s="2">
        <f t="shared" si="44"/>
        <v>45038</v>
      </c>
      <c r="J919" t="str">
        <f>VLOOKUP(M919,Umfragenteilnahme!$A$2:$B$3,2,)</f>
        <v>Nein</v>
      </c>
      <c r="M919">
        <v>2</v>
      </c>
      <c r="N919">
        <v>54</v>
      </c>
      <c r="O919">
        <v>1</v>
      </c>
      <c r="P919">
        <v>132</v>
      </c>
      <c r="Q919">
        <v>7</v>
      </c>
      <c r="R919">
        <v>3</v>
      </c>
      <c r="S919">
        <v>24</v>
      </c>
    </row>
    <row r="920" spans="1:19" x14ac:dyDescent="0.35">
      <c r="A920">
        <v>8567</v>
      </c>
      <c r="B920">
        <v>649</v>
      </c>
      <c r="C920" t="str">
        <f>VLOOKUP(B920,Kunde!A:C,3,FALSE)</f>
        <v>Geschäftskunde</v>
      </c>
      <c r="D920" t="str">
        <f>VLOOKUP(O920,Produkt!$A$1:$E$5,2,FALSE)</f>
        <v>C</v>
      </c>
      <c r="E920">
        <f t="shared" si="42"/>
        <v>15</v>
      </c>
      <c r="F920">
        <f>VLOOKUP(D920,Produkt!$B$1:$C$5,2,FALSE)*Bestellungen!E920</f>
        <v>22500</v>
      </c>
      <c r="G920" s="2">
        <v>44998</v>
      </c>
      <c r="H920" s="2">
        <f t="shared" si="43"/>
        <v>45004</v>
      </c>
      <c r="I920" s="2">
        <f t="shared" si="44"/>
        <v>45048</v>
      </c>
      <c r="J920" t="str">
        <f>VLOOKUP(M920,Umfragenteilnahme!$A$2:$B$3,2,)</f>
        <v>Nein</v>
      </c>
      <c r="M920">
        <v>2</v>
      </c>
      <c r="N920">
        <v>649</v>
      </c>
      <c r="O920">
        <v>3</v>
      </c>
      <c r="P920">
        <v>15</v>
      </c>
      <c r="Q920">
        <v>3</v>
      </c>
      <c r="R920">
        <v>6</v>
      </c>
      <c r="S920">
        <v>50</v>
      </c>
    </row>
    <row r="921" spans="1:19" x14ac:dyDescent="0.35">
      <c r="A921">
        <v>8568</v>
      </c>
      <c r="B921">
        <v>102</v>
      </c>
      <c r="C921" t="str">
        <f>VLOOKUP(B921,Kunde!A:C,3,FALSE)</f>
        <v>Geschäftskunde</v>
      </c>
      <c r="D921" t="str">
        <f>VLOOKUP(O921,Produkt!$A$1:$E$5,2,FALSE)</f>
        <v>D</v>
      </c>
      <c r="E921">
        <f t="shared" si="42"/>
        <v>19</v>
      </c>
      <c r="F921">
        <f>VLOOKUP(D921,Produkt!$B$1:$C$5,2,FALSE)*Bestellungen!E921</f>
        <v>15200</v>
      </c>
      <c r="G921" s="2">
        <v>44869</v>
      </c>
      <c r="H921" s="2">
        <f t="shared" si="43"/>
        <v>44875</v>
      </c>
      <c r="I921" s="2">
        <f t="shared" si="44"/>
        <v>44878</v>
      </c>
      <c r="J921" t="str">
        <f>VLOOKUP(M921,Umfragenteilnahme!$A$2:$B$3,2,)</f>
        <v>Ja</v>
      </c>
      <c r="M921">
        <v>1</v>
      </c>
      <c r="N921">
        <v>102</v>
      </c>
      <c r="O921">
        <v>4</v>
      </c>
      <c r="P921">
        <v>19</v>
      </c>
      <c r="Q921">
        <v>8</v>
      </c>
      <c r="R921">
        <v>6</v>
      </c>
      <c r="S921">
        <v>9</v>
      </c>
    </row>
    <row r="922" spans="1:19" x14ac:dyDescent="0.35">
      <c r="A922">
        <v>8569</v>
      </c>
      <c r="B922">
        <v>662</v>
      </c>
      <c r="C922" t="str">
        <f>VLOOKUP(B922,Kunde!A:C,3,FALSE)</f>
        <v>Geschäftskunde</v>
      </c>
      <c r="D922" t="str">
        <f>VLOOKUP(O922,Produkt!$A$1:$E$5,2,FALSE)</f>
        <v>A</v>
      </c>
      <c r="E922">
        <f t="shared" si="42"/>
        <v>25</v>
      </c>
      <c r="F922">
        <f>VLOOKUP(D922,Produkt!$B$1:$C$5,2,FALSE)*Bestellungen!E922</f>
        <v>7500</v>
      </c>
      <c r="G922" s="2">
        <v>44987</v>
      </c>
      <c r="H922" s="2">
        <f t="shared" si="43"/>
        <v>44994</v>
      </c>
      <c r="I922" s="2">
        <f t="shared" si="44"/>
        <v>45034</v>
      </c>
      <c r="J922" t="str">
        <f>VLOOKUP(M922,Umfragenteilnahme!$A$2:$B$3,2,)</f>
        <v>Ja</v>
      </c>
      <c r="M922">
        <v>1</v>
      </c>
      <c r="N922">
        <v>662</v>
      </c>
      <c r="O922">
        <v>1</v>
      </c>
      <c r="P922">
        <v>25</v>
      </c>
      <c r="Q922">
        <v>2</v>
      </c>
      <c r="R922">
        <v>7</v>
      </c>
      <c r="S922">
        <v>47</v>
      </c>
    </row>
    <row r="923" spans="1:19" x14ac:dyDescent="0.35">
      <c r="A923">
        <v>8570</v>
      </c>
      <c r="B923">
        <v>212</v>
      </c>
      <c r="C923" t="str">
        <f>VLOOKUP(B923,Kunde!A:C,3,FALSE)</f>
        <v>Geschäftskunde</v>
      </c>
      <c r="D923" t="str">
        <f>VLOOKUP(O923,Produkt!$A$1:$E$5,2,FALSE)</f>
        <v>D</v>
      </c>
      <c r="E923">
        <f t="shared" si="42"/>
        <v>99</v>
      </c>
      <c r="F923">
        <f>VLOOKUP(D923,Produkt!$B$1:$C$5,2,FALSE)*Bestellungen!E923</f>
        <v>79200</v>
      </c>
      <c r="G923" s="2">
        <v>44858</v>
      </c>
      <c r="H923" s="2">
        <f t="shared" si="43"/>
        <v>44863</v>
      </c>
      <c r="I923" s="2">
        <f t="shared" si="44"/>
        <v>44880</v>
      </c>
      <c r="J923" t="str">
        <f>VLOOKUP(M923,Umfragenteilnahme!$A$2:$B$3,2,)</f>
        <v>Nein</v>
      </c>
      <c r="M923">
        <v>2</v>
      </c>
      <c r="N923">
        <v>212</v>
      </c>
      <c r="O923">
        <v>4</v>
      </c>
      <c r="P923">
        <v>99</v>
      </c>
      <c r="Q923">
        <v>5</v>
      </c>
      <c r="R923">
        <v>5</v>
      </c>
      <c r="S923">
        <v>22</v>
      </c>
    </row>
    <row r="924" spans="1:19" x14ac:dyDescent="0.35">
      <c r="A924">
        <v>8571</v>
      </c>
      <c r="B924">
        <v>356</v>
      </c>
      <c r="C924" t="str">
        <f>VLOOKUP(B924,Kunde!A:C,3,FALSE)</f>
        <v>Geschäftskunde</v>
      </c>
      <c r="D924" t="str">
        <f>VLOOKUP(O924,Produkt!$A$1:$E$5,2,FALSE)</f>
        <v>B</v>
      </c>
      <c r="E924">
        <f t="shared" si="42"/>
        <v>26</v>
      </c>
      <c r="F924">
        <f>VLOOKUP(D924,Produkt!$B$1:$C$5,2,FALSE)*Bestellungen!E924</f>
        <v>12480</v>
      </c>
      <c r="G924" s="2">
        <v>44821</v>
      </c>
      <c r="H924" s="2">
        <f t="shared" si="43"/>
        <v>44827</v>
      </c>
      <c r="I924" s="2">
        <f t="shared" si="44"/>
        <v>44872</v>
      </c>
      <c r="J924" t="str">
        <f>VLOOKUP(M924,Umfragenteilnahme!$A$2:$B$3,2,)</f>
        <v>Ja</v>
      </c>
      <c r="M924">
        <v>1</v>
      </c>
      <c r="N924">
        <v>356</v>
      </c>
      <c r="O924">
        <v>2</v>
      </c>
      <c r="P924">
        <v>26</v>
      </c>
      <c r="Q924">
        <v>4</v>
      </c>
      <c r="R924">
        <v>6</v>
      </c>
      <c r="S924">
        <v>51</v>
      </c>
    </row>
    <row r="925" spans="1:19" x14ac:dyDescent="0.35">
      <c r="A925">
        <v>8572</v>
      </c>
      <c r="B925">
        <v>787</v>
      </c>
      <c r="C925" t="str">
        <f>VLOOKUP(B925,Kunde!A:C,3,FALSE)</f>
        <v>Geschäftskunde</v>
      </c>
      <c r="D925" t="str">
        <f>VLOOKUP(O925,Produkt!$A$1:$E$5,2,FALSE)</f>
        <v>C</v>
      </c>
      <c r="E925">
        <f t="shared" si="42"/>
        <v>50</v>
      </c>
      <c r="F925">
        <f>VLOOKUP(D925,Produkt!$B$1:$C$5,2,FALSE)*Bestellungen!E925</f>
        <v>75000</v>
      </c>
      <c r="G925" s="2">
        <v>44730</v>
      </c>
      <c r="H925" s="2">
        <f t="shared" si="43"/>
        <v>44733</v>
      </c>
      <c r="I925" s="2">
        <f t="shared" si="44"/>
        <v>44786</v>
      </c>
      <c r="J925" t="str">
        <f>VLOOKUP(M925,Umfragenteilnahme!$A$2:$B$3,2,)</f>
        <v>Ja</v>
      </c>
      <c r="M925">
        <v>1</v>
      </c>
      <c r="N925">
        <v>787</v>
      </c>
      <c r="O925">
        <v>3</v>
      </c>
      <c r="P925">
        <v>50</v>
      </c>
      <c r="Q925">
        <v>1</v>
      </c>
      <c r="R925">
        <v>3</v>
      </c>
      <c r="S925">
        <v>56</v>
      </c>
    </row>
    <row r="926" spans="1:19" x14ac:dyDescent="0.35">
      <c r="A926">
        <v>8573</v>
      </c>
      <c r="B926">
        <v>34</v>
      </c>
      <c r="C926" t="str">
        <f>VLOOKUP(B926,Kunde!A:C,3,FALSE)</f>
        <v>Privatkunde</v>
      </c>
      <c r="D926" t="str">
        <f>VLOOKUP(O926,Produkt!$A$1:$E$5,2,FALSE)</f>
        <v>C</v>
      </c>
      <c r="E926">
        <f t="shared" si="42"/>
        <v>4</v>
      </c>
      <c r="F926">
        <f>VLOOKUP(D926,Produkt!$B$1:$C$5,2,FALSE)*Bestellungen!E926</f>
        <v>6000</v>
      </c>
      <c r="G926" s="2">
        <v>44983</v>
      </c>
      <c r="H926" s="2">
        <f t="shared" si="43"/>
        <v>44986</v>
      </c>
      <c r="I926" s="2">
        <f t="shared" si="44"/>
        <v>45040</v>
      </c>
      <c r="J926" t="str">
        <f>VLOOKUP(M926,Umfragenteilnahme!$A$2:$B$3,2,)</f>
        <v>Nein</v>
      </c>
      <c r="M926">
        <v>2</v>
      </c>
      <c r="N926">
        <v>34</v>
      </c>
      <c r="O926">
        <v>3</v>
      </c>
      <c r="P926">
        <v>25</v>
      </c>
      <c r="Q926">
        <v>4</v>
      </c>
      <c r="R926">
        <v>3</v>
      </c>
      <c r="S926">
        <v>57</v>
      </c>
    </row>
    <row r="927" spans="1:19" x14ac:dyDescent="0.35">
      <c r="A927">
        <v>8574</v>
      </c>
      <c r="B927">
        <v>76</v>
      </c>
      <c r="C927" t="str">
        <f>VLOOKUP(B927,Kunde!A:C,3,FALSE)</f>
        <v>Geschäftskunde</v>
      </c>
      <c r="D927" t="str">
        <f>VLOOKUP(O927,Produkt!$A$1:$E$5,2,FALSE)</f>
        <v>D</v>
      </c>
      <c r="E927">
        <f t="shared" si="42"/>
        <v>79</v>
      </c>
      <c r="F927">
        <f>VLOOKUP(D927,Produkt!$B$1:$C$5,2,FALSE)*Bestellungen!E927</f>
        <v>63200</v>
      </c>
      <c r="G927" s="2">
        <v>44894</v>
      </c>
      <c r="H927" s="2">
        <f t="shared" si="43"/>
        <v>44896</v>
      </c>
      <c r="I927" s="2">
        <f t="shared" si="44"/>
        <v>44915</v>
      </c>
      <c r="J927" t="str">
        <f>VLOOKUP(M927,Umfragenteilnahme!$A$2:$B$3,2,)</f>
        <v>Ja</v>
      </c>
      <c r="M927">
        <v>1</v>
      </c>
      <c r="N927">
        <v>76</v>
      </c>
      <c r="O927">
        <v>4</v>
      </c>
      <c r="P927">
        <v>79</v>
      </c>
      <c r="Q927">
        <v>10</v>
      </c>
      <c r="R927">
        <v>2</v>
      </c>
      <c r="S927">
        <v>21</v>
      </c>
    </row>
    <row r="928" spans="1:19" x14ac:dyDescent="0.35">
      <c r="A928">
        <v>8575</v>
      </c>
      <c r="B928">
        <v>558</v>
      </c>
      <c r="C928" t="str">
        <f>VLOOKUP(B928,Kunde!A:C,3,FALSE)</f>
        <v>Geschäftskunde</v>
      </c>
      <c r="D928" t="str">
        <f>VLOOKUP(O928,Produkt!$A$1:$E$5,2,FALSE)</f>
        <v>B</v>
      </c>
      <c r="E928">
        <f t="shared" si="42"/>
        <v>41</v>
      </c>
      <c r="F928">
        <f>VLOOKUP(D928,Produkt!$B$1:$C$5,2,FALSE)*Bestellungen!E928</f>
        <v>19680</v>
      </c>
      <c r="G928" s="2">
        <v>45026</v>
      </c>
      <c r="H928" s="2">
        <f t="shared" si="43"/>
        <v>45028</v>
      </c>
      <c r="I928" s="2">
        <f t="shared" si="44"/>
        <v>45037</v>
      </c>
      <c r="J928" t="str">
        <f>VLOOKUP(M928,Umfragenteilnahme!$A$2:$B$3,2,)</f>
        <v>Ja</v>
      </c>
      <c r="M928">
        <v>1</v>
      </c>
      <c r="N928">
        <v>558</v>
      </c>
      <c r="O928">
        <v>2</v>
      </c>
      <c r="P928">
        <v>41</v>
      </c>
      <c r="Q928">
        <v>2</v>
      </c>
      <c r="R928">
        <v>2</v>
      </c>
      <c r="S928">
        <v>11</v>
      </c>
    </row>
    <row r="929" spans="1:19" x14ac:dyDescent="0.35">
      <c r="A929">
        <v>8576</v>
      </c>
      <c r="B929">
        <v>249</v>
      </c>
      <c r="C929" t="str">
        <f>VLOOKUP(B929,Kunde!A:C,3,FALSE)</f>
        <v>Geschäftskunde</v>
      </c>
      <c r="D929" t="str">
        <f>VLOOKUP(O929,Produkt!$A$1:$E$5,2,FALSE)</f>
        <v>A</v>
      </c>
      <c r="E929">
        <f t="shared" si="42"/>
        <v>13</v>
      </c>
      <c r="F929">
        <f>VLOOKUP(D929,Produkt!$B$1:$C$5,2,FALSE)*Bestellungen!E929</f>
        <v>3900</v>
      </c>
      <c r="G929" s="2">
        <v>44868</v>
      </c>
      <c r="H929" s="2">
        <f t="shared" si="43"/>
        <v>44873</v>
      </c>
      <c r="I929" s="2">
        <f t="shared" si="44"/>
        <v>44922</v>
      </c>
      <c r="J929" t="str">
        <f>VLOOKUP(M929,Umfragenteilnahme!$A$2:$B$3,2,)</f>
        <v>Nein</v>
      </c>
      <c r="M929">
        <v>2</v>
      </c>
      <c r="N929">
        <v>249</v>
      </c>
      <c r="O929">
        <v>1</v>
      </c>
      <c r="P929">
        <v>13</v>
      </c>
      <c r="Q929">
        <v>8</v>
      </c>
      <c r="R929">
        <v>5</v>
      </c>
      <c r="S929">
        <v>54</v>
      </c>
    </row>
    <row r="930" spans="1:19" x14ac:dyDescent="0.35">
      <c r="A930">
        <v>8577</v>
      </c>
      <c r="B930">
        <v>288</v>
      </c>
      <c r="C930" t="str">
        <f>VLOOKUP(B930,Kunde!A:C,3,FALSE)</f>
        <v>Privatkunde</v>
      </c>
      <c r="D930" t="str">
        <f>VLOOKUP(O930,Produkt!$A$1:$E$5,2,FALSE)</f>
        <v>D</v>
      </c>
      <c r="E930">
        <f t="shared" si="42"/>
        <v>2</v>
      </c>
      <c r="F930">
        <f>VLOOKUP(D930,Produkt!$B$1:$C$5,2,FALSE)*Bestellungen!E930</f>
        <v>1600</v>
      </c>
      <c r="G930" s="2">
        <v>44969</v>
      </c>
      <c r="H930" s="2">
        <f t="shared" si="43"/>
        <v>44975</v>
      </c>
      <c r="I930" s="2">
        <f t="shared" si="44"/>
        <v>44981</v>
      </c>
      <c r="J930" t="str">
        <f>VLOOKUP(M930,Umfragenteilnahme!$A$2:$B$3,2,)</f>
        <v>Ja</v>
      </c>
      <c r="M930">
        <v>1</v>
      </c>
      <c r="N930">
        <v>288</v>
      </c>
      <c r="O930">
        <v>4</v>
      </c>
      <c r="P930">
        <v>88</v>
      </c>
      <c r="Q930">
        <v>2</v>
      </c>
      <c r="R930">
        <v>6</v>
      </c>
      <c r="S930">
        <v>12</v>
      </c>
    </row>
    <row r="931" spans="1:19" x14ac:dyDescent="0.35">
      <c r="A931">
        <v>8578</v>
      </c>
      <c r="B931">
        <v>51</v>
      </c>
      <c r="C931" t="str">
        <f>VLOOKUP(B931,Kunde!A:C,3,FALSE)</f>
        <v>Geschäftskunde</v>
      </c>
      <c r="D931" t="str">
        <f>VLOOKUP(O931,Produkt!$A$1:$E$5,2,FALSE)</f>
        <v>D</v>
      </c>
      <c r="E931">
        <f t="shared" si="42"/>
        <v>14</v>
      </c>
      <c r="F931">
        <f>VLOOKUP(D931,Produkt!$B$1:$C$5,2,FALSE)*Bestellungen!E931</f>
        <v>11200</v>
      </c>
      <c r="G931" s="2">
        <v>44868</v>
      </c>
      <c r="H931" s="2">
        <f t="shared" si="43"/>
        <v>44874</v>
      </c>
      <c r="I931" s="2">
        <f t="shared" si="44"/>
        <v>44895</v>
      </c>
      <c r="J931" t="str">
        <f>VLOOKUP(M931,Umfragenteilnahme!$A$2:$B$3,2,)</f>
        <v>Ja</v>
      </c>
      <c r="M931">
        <v>1</v>
      </c>
      <c r="N931">
        <v>51</v>
      </c>
      <c r="O931">
        <v>4</v>
      </c>
      <c r="P931">
        <v>14</v>
      </c>
      <c r="Q931">
        <v>4</v>
      </c>
      <c r="R931">
        <v>6</v>
      </c>
      <c r="S931">
        <v>27</v>
      </c>
    </row>
    <row r="932" spans="1:19" x14ac:dyDescent="0.35">
      <c r="A932">
        <v>8579</v>
      </c>
      <c r="B932">
        <v>255</v>
      </c>
      <c r="C932" t="str">
        <f>VLOOKUP(B932,Kunde!A:C,3,FALSE)</f>
        <v>Geschäftskunde</v>
      </c>
      <c r="D932" t="str">
        <f>VLOOKUP(O932,Produkt!$A$1:$E$5,2,FALSE)</f>
        <v>D</v>
      </c>
      <c r="E932">
        <f t="shared" si="42"/>
        <v>19</v>
      </c>
      <c r="F932">
        <f>VLOOKUP(D932,Produkt!$B$1:$C$5,2,FALSE)*Bestellungen!E932</f>
        <v>15200</v>
      </c>
      <c r="G932" s="2">
        <v>45062</v>
      </c>
      <c r="H932" s="2">
        <f t="shared" si="43"/>
        <v>45068</v>
      </c>
      <c r="I932" s="2">
        <f t="shared" si="44"/>
        <v>45099</v>
      </c>
      <c r="J932" t="str">
        <f>VLOOKUP(M932,Umfragenteilnahme!$A$2:$B$3,2,)</f>
        <v>Ja</v>
      </c>
      <c r="M932">
        <v>1</v>
      </c>
      <c r="N932">
        <v>255</v>
      </c>
      <c r="O932">
        <v>4</v>
      </c>
      <c r="P932">
        <v>19</v>
      </c>
      <c r="Q932">
        <v>10</v>
      </c>
      <c r="R932">
        <v>6</v>
      </c>
      <c r="S932">
        <v>37</v>
      </c>
    </row>
    <row r="933" spans="1:19" x14ac:dyDescent="0.35">
      <c r="A933">
        <v>8580</v>
      </c>
      <c r="B933">
        <v>275</v>
      </c>
      <c r="C933" t="str">
        <f>VLOOKUP(B933,Kunde!A:C,3,FALSE)</f>
        <v>Geschäftskunde</v>
      </c>
      <c r="D933" t="str">
        <f>VLOOKUP(O933,Produkt!$A$1:$E$5,2,FALSE)</f>
        <v>D</v>
      </c>
      <c r="E933">
        <f t="shared" si="42"/>
        <v>92</v>
      </c>
      <c r="F933">
        <f>VLOOKUP(D933,Produkt!$B$1:$C$5,2,FALSE)*Bestellungen!E933</f>
        <v>73600</v>
      </c>
      <c r="G933" s="2">
        <v>45047</v>
      </c>
      <c r="H933" s="2">
        <f t="shared" si="43"/>
        <v>45051</v>
      </c>
      <c r="I933" s="2">
        <f t="shared" si="44"/>
        <v>45075</v>
      </c>
      <c r="J933" t="str">
        <f>VLOOKUP(M933,Umfragenteilnahme!$A$2:$B$3,2,)</f>
        <v>Nein</v>
      </c>
      <c r="M933">
        <v>2</v>
      </c>
      <c r="N933">
        <v>275</v>
      </c>
      <c r="O933">
        <v>4</v>
      </c>
      <c r="P933">
        <v>92</v>
      </c>
      <c r="Q933">
        <v>6</v>
      </c>
      <c r="R933">
        <v>4</v>
      </c>
      <c r="S933">
        <v>28</v>
      </c>
    </row>
    <row r="934" spans="1:19" x14ac:dyDescent="0.35">
      <c r="A934">
        <v>8581</v>
      </c>
      <c r="B934">
        <v>338</v>
      </c>
      <c r="C934" t="str">
        <f>VLOOKUP(B934,Kunde!A:C,3,FALSE)</f>
        <v>Geschäftskunde</v>
      </c>
      <c r="D934" t="str">
        <f>VLOOKUP(O934,Produkt!$A$1:$E$5,2,FALSE)</f>
        <v>A</v>
      </c>
      <c r="E934">
        <f t="shared" si="42"/>
        <v>116</v>
      </c>
      <c r="F934">
        <f>VLOOKUP(D934,Produkt!$B$1:$C$5,2,FALSE)*Bestellungen!E934</f>
        <v>34800</v>
      </c>
      <c r="G934" s="2">
        <v>44731</v>
      </c>
      <c r="H934" s="2">
        <f t="shared" si="43"/>
        <v>44738</v>
      </c>
      <c r="I934" s="2">
        <f t="shared" si="44"/>
        <v>44779</v>
      </c>
      <c r="J934" t="str">
        <f>VLOOKUP(M934,Umfragenteilnahme!$A$2:$B$3,2,)</f>
        <v>Ja</v>
      </c>
      <c r="M934">
        <v>1</v>
      </c>
      <c r="N934">
        <v>338</v>
      </c>
      <c r="O934">
        <v>1</v>
      </c>
      <c r="P934">
        <v>116</v>
      </c>
      <c r="Q934">
        <v>9</v>
      </c>
      <c r="R934">
        <v>7</v>
      </c>
      <c r="S934">
        <v>48</v>
      </c>
    </row>
    <row r="935" spans="1:19" x14ac:dyDescent="0.35">
      <c r="A935">
        <v>8582</v>
      </c>
      <c r="B935">
        <v>301</v>
      </c>
      <c r="C935" t="str">
        <f>VLOOKUP(B935,Kunde!A:C,3,FALSE)</f>
        <v>Geschäftskunde</v>
      </c>
      <c r="D935" t="str">
        <f>VLOOKUP(O935,Produkt!$A$1:$E$5,2,FALSE)</f>
        <v>C</v>
      </c>
      <c r="E935">
        <f t="shared" si="42"/>
        <v>24</v>
      </c>
      <c r="F935">
        <f>VLOOKUP(D935,Produkt!$B$1:$C$5,2,FALSE)*Bestellungen!E935</f>
        <v>36000</v>
      </c>
      <c r="G935" s="2">
        <v>44804</v>
      </c>
      <c r="H935" s="2">
        <f t="shared" si="43"/>
        <v>44811</v>
      </c>
      <c r="I935" s="2">
        <f t="shared" si="44"/>
        <v>44833</v>
      </c>
      <c r="J935" t="str">
        <f>VLOOKUP(M935,Umfragenteilnahme!$A$2:$B$3,2,)</f>
        <v>Ja</v>
      </c>
      <c r="M935">
        <v>1</v>
      </c>
      <c r="N935">
        <v>301</v>
      </c>
      <c r="O935">
        <v>3</v>
      </c>
      <c r="P935">
        <v>24</v>
      </c>
      <c r="Q935">
        <v>9</v>
      </c>
      <c r="R935">
        <v>7</v>
      </c>
      <c r="S935">
        <v>29</v>
      </c>
    </row>
    <row r="936" spans="1:19" x14ac:dyDescent="0.35">
      <c r="A936">
        <v>8583</v>
      </c>
      <c r="B936">
        <v>573</v>
      </c>
      <c r="C936" t="str">
        <f>VLOOKUP(B936,Kunde!A:C,3,FALSE)</f>
        <v>Geschäftskunde</v>
      </c>
      <c r="D936" t="str">
        <f>VLOOKUP(O936,Produkt!$A$1:$E$5,2,FALSE)</f>
        <v>B</v>
      </c>
      <c r="E936">
        <f t="shared" si="42"/>
        <v>25</v>
      </c>
      <c r="F936">
        <f>VLOOKUP(D936,Produkt!$B$1:$C$5,2,FALSE)*Bestellungen!E936</f>
        <v>12000</v>
      </c>
      <c r="G936" s="2">
        <v>45040</v>
      </c>
      <c r="H936" s="2">
        <f t="shared" si="43"/>
        <v>45045</v>
      </c>
      <c r="I936" s="2">
        <f t="shared" si="44"/>
        <v>45099</v>
      </c>
      <c r="J936" t="str">
        <f>VLOOKUP(M936,Umfragenteilnahme!$A$2:$B$3,2,)</f>
        <v>Ja</v>
      </c>
      <c r="M936">
        <v>1</v>
      </c>
      <c r="N936">
        <v>573</v>
      </c>
      <c r="O936">
        <v>2</v>
      </c>
      <c r="P936">
        <v>25</v>
      </c>
      <c r="Q936">
        <v>1</v>
      </c>
      <c r="R936">
        <v>5</v>
      </c>
      <c r="S936">
        <v>59</v>
      </c>
    </row>
    <row r="937" spans="1:19" x14ac:dyDescent="0.35">
      <c r="A937">
        <v>8584</v>
      </c>
      <c r="B937">
        <v>428</v>
      </c>
      <c r="C937" t="str">
        <f>VLOOKUP(B937,Kunde!A:C,3,FALSE)</f>
        <v>Geschäftskunde</v>
      </c>
      <c r="D937" t="str">
        <f>VLOOKUP(O937,Produkt!$A$1:$E$5,2,FALSE)</f>
        <v>A</v>
      </c>
      <c r="E937">
        <f t="shared" si="42"/>
        <v>47</v>
      </c>
      <c r="F937">
        <f>VLOOKUP(D937,Produkt!$B$1:$C$5,2,FALSE)*Bestellungen!E937</f>
        <v>14100</v>
      </c>
      <c r="G937" s="2">
        <v>44957</v>
      </c>
      <c r="H937" s="2">
        <f t="shared" si="43"/>
        <v>44964</v>
      </c>
      <c r="I937" s="2">
        <f t="shared" si="44"/>
        <v>45008</v>
      </c>
      <c r="J937" t="str">
        <f>VLOOKUP(M937,Umfragenteilnahme!$A$2:$B$3,2,)</f>
        <v>Ja</v>
      </c>
      <c r="M937">
        <v>1</v>
      </c>
      <c r="N937">
        <v>428</v>
      </c>
      <c r="O937">
        <v>1</v>
      </c>
      <c r="P937">
        <v>47</v>
      </c>
      <c r="Q937">
        <v>9</v>
      </c>
      <c r="R937">
        <v>7</v>
      </c>
      <c r="S937">
        <v>51</v>
      </c>
    </row>
    <row r="938" spans="1:19" x14ac:dyDescent="0.35">
      <c r="A938">
        <v>8585</v>
      </c>
      <c r="B938">
        <v>744</v>
      </c>
      <c r="C938" t="str">
        <f>VLOOKUP(B938,Kunde!A:C,3,FALSE)</f>
        <v>Geschäftskunde</v>
      </c>
      <c r="D938" t="str">
        <f>VLOOKUP(O938,Produkt!$A$1:$E$5,2,FALSE)</f>
        <v>A</v>
      </c>
      <c r="E938">
        <f t="shared" si="42"/>
        <v>124</v>
      </c>
      <c r="F938">
        <f>VLOOKUP(D938,Produkt!$B$1:$C$5,2,FALSE)*Bestellungen!E938</f>
        <v>37200</v>
      </c>
      <c r="G938" s="2">
        <v>44960</v>
      </c>
      <c r="H938" s="2">
        <f t="shared" si="43"/>
        <v>44966</v>
      </c>
      <c r="I938" s="2">
        <f t="shared" si="44"/>
        <v>45005</v>
      </c>
      <c r="J938" t="str">
        <f>VLOOKUP(M938,Umfragenteilnahme!$A$2:$B$3,2,)</f>
        <v>Ja</v>
      </c>
      <c r="M938">
        <v>1</v>
      </c>
      <c r="N938">
        <v>744</v>
      </c>
      <c r="O938">
        <v>1</v>
      </c>
      <c r="P938">
        <v>124</v>
      </c>
      <c r="Q938">
        <v>10</v>
      </c>
      <c r="R938">
        <v>6</v>
      </c>
      <c r="S938">
        <v>45</v>
      </c>
    </row>
    <row r="939" spans="1:19" x14ac:dyDescent="0.35">
      <c r="A939">
        <v>8586</v>
      </c>
      <c r="B939">
        <v>458</v>
      </c>
      <c r="C939" t="str">
        <f>VLOOKUP(B939,Kunde!A:C,3,FALSE)</f>
        <v>Privatkunde</v>
      </c>
      <c r="D939" t="str">
        <f>VLOOKUP(O939,Produkt!$A$1:$E$5,2,FALSE)</f>
        <v>A</v>
      </c>
      <c r="E939">
        <f t="shared" si="42"/>
        <v>6</v>
      </c>
      <c r="F939">
        <f>VLOOKUP(D939,Produkt!$B$1:$C$5,2,FALSE)*Bestellungen!E939</f>
        <v>1800</v>
      </c>
      <c r="G939" s="2">
        <v>44943</v>
      </c>
      <c r="H939" s="2">
        <f t="shared" si="43"/>
        <v>44950</v>
      </c>
      <c r="I939" s="2">
        <f t="shared" si="44"/>
        <v>44992</v>
      </c>
      <c r="J939" t="str">
        <f>VLOOKUP(M939,Umfragenteilnahme!$A$2:$B$3,2,)</f>
        <v>Ja</v>
      </c>
      <c r="M939">
        <v>1</v>
      </c>
      <c r="N939">
        <v>458</v>
      </c>
      <c r="O939">
        <v>1</v>
      </c>
      <c r="P939">
        <v>114</v>
      </c>
      <c r="Q939">
        <v>6</v>
      </c>
      <c r="R939">
        <v>7</v>
      </c>
      <c r="S939">
        <v>49</v>
      </c>
    </row>
    <row r="940" spans="1:19" x14ac:dyDescent="0.35">
      <c r="A940">
        <v>8587</v>
      </c>
      <c r="B940">
        <v>738</v>
      </c>
      <c r="C940" t="str">
        <f>VLOOKUP(B940,Kunde!A:C,3,FALSE)</f>
        <v>Geschäftskunde</v>
      </c>
      <c r="D940" t="str">
        <f>VLOOKUP(O940,Produkt!$A$1:$E$5,2,FALSE)</f>
        <v>D</v>
      </c>
      <c r="E940">
        <f t="shared" si="42"/>
        <v>61</v>
      </c>
      <c r="F940">
        <f>VLOOKUP(D940,Produkt!$B$1:$C$5,2,FALSE)*Bestellungen!E940</f>
        <v>48800</v>
      </c>
      <c r="G940" s="2">
        <v>44791</v>
      </c>
      <c r="H940" s="2">
        <f t="shared" si="43"/>
        <v>44796</v>
      </c>
      <c r="I940" s="2">
        <f t="shared" si="44"/>
        <v>44823</v>
      </c>
      <c r="J940" t="str">
        <f>VLOOKUP(M940,Umfragenteilnahme!$A$2:$B$3,2,)</f>
        <v>Ja</v>
      </c>
      <c r="M940">
        <v>1</v>
      </c>
      <c r="N940">
        <v>738</v>
      </c>
      <c r="O940">
        <v>4</v>
      </c>
      <c r="P940">
        <v>61</v>
      </c>
      <c r="Q940">
        <v>9</v>
      </c>
      <c r="R940">
        <v>5</v>
      </c>
      <c r="S940">
        <v>32</v>
      </c>
    </row>
    <row r="941" spans="1:19" x14ac:dyDescent="0.35">
      <c r="A941">
        <v>8588</v>
      </c>
      <c r="B941">
        <v>229</v>
      </c>
      <c r="C941" t="str">
        <f>VLOOKUP(B941,Kunde!A:C,3,FALSE)</f>
        <v>Geschäftskunde</v>
      </c>
      <c r="D941" t="str">
        <f>VLOOKUP(O941,Produkt!$A$1:$E$5,2,FALSE)</f>
        <v>A</v>
      </c>
      <c r="E941">
        <f t="shared" si="42"/>
        <v>106</v>
      </c>
      <c r="F941">
        <f>VLOOKUP(D941,Produkt!$B$1:$C$5,2,FALSE)*Bestellungen!E941</f>
        <v>31800</v>
      </c>
      <c r="G941" s="2">
        <v>44920</v>
      </c>
      <c r="H941" s="2">
        <f t="shared" si="43"/>
        <v>44926</v>
      </c>
      <c r="I941" s="2">
        <f t="shared" si="44"/>
        <v>44971</v>
      </c>
      <c r="J941" t="str">
        <f>VLOOKUP(M941,Umfragenteilnahme!$A$2:$B$3,2,)</f>
        <v>Ja</v>
      </c>
      <c r="M941">
        <v>1</v>
      </c>
      <c r="N941">
        <v>229</v>
      </c>
      <c r="O941">
        <v>1</v>
      </c>
      <c r="P941">
        <v>106</v>
      </c>
      <c r="Q941">
        <v>1</v>
      </c>
      <c r="R941">
        <v>6</v>
      </c>
      <c r="S941">
        <v>51</v>
      </c>
    </row>
    <row r="942" spans="1:19" x14ac:dyDescent="0.35">
      <c r="A942">
        <v>8589</v>
      </c>
      <c r="B942">
        <v>194</v>
      </c>
      <c r="C942" t="str">
        <f>VLOOKUP(B942,Kunde!A:C,3,FALSE)</f>
        <v>Privatkunde</v>
      </c>
      <c r="D942" t="str">
        <f>VLOOKUP(O942,Produkt!$A$1:$E$5,2,FALSE)</f>
        <v>D</v>
      </c>
      <c r="E942">
        <f t="shared" si="42"/>
        <v>2</v>
      </c>
      <c r="F942">
        <f>VLOOKUP(D942,Produkt!$B$1:$C$5,2,FALSE)*Bestellungen!E942</f>
        <v>1600</v>
      </c>
      <c r="G942" s="2">
        <v>45043</v>
      </c>
      <c r="H942" s="2">
        <f t="shared" si="43"/>
        <v>45045</v>
      </c>
      <c r="I942" s="2">
        <f t="shared" si="44"/>
        <v>45061</v>
      </c>
      <c r="J942" t="str">
        <f>VLOOKUP(M942,Umfragenteilnahme!$A$2:$B$3,2,)</f>
        <v>Nein</v>
      </c>
      <c r="M942">
        <v>2</v>
      </c>
      <c r="N942">
        <v>194</v>
      </c>
      <c r="O942">
        <v>4</v>
      </c>
      <c r="P942">
        <v>128</v>
      </c>
      <c r="Q942">
        <v>2</v>
      </c>
      <c r="R942">
        <v>2</v>
      </c>
      <c r="S942">
        <v>18</v>
      </c>
    </row>
    <row r="943" spans="1:19" x14ac:dyDescent="0.35">
      <c r="A943">
        <v>8590</v>
      </c>
      <c r="B943">
        <v>750</v>
      </c>
      <c r="C943" t="str">
        <f>VLOOKUP(B943,Kunde!A:C,3,FALSE)</f>
        <v>Geschäftskunde</v>
      </c>
      <c r="D943" t="str">
        <f>VLOOKUP(O943,Produkt!$A$1:$E$5,2,FALSE)</f>
        <v>B</v>
      </c>
      <c r="E943">
        <f t="shared" si="42"/>
        <v>145</v>
      </c>
      <c r="F943">
        <f>VLOOKUP(D943,Produkt!$B$1:$C$5,2,FALSE)*Bestellungen!E943</f>
        <v>69600</v>
      </c>
      <c r="G943" s="2">
        <v>44775</v>
      </c>
      <c r="H943" s="2">
        <f t="shared" si="43"/>
        <v>44782</v>
      </c>
      <c r="I943" s="2">
        <f t="shared" si="44"/>
        <v>44806</v>
      </c>
      <c r="J943" t="str">
        <f>VLOOKUP(M943,Umfragenteilnahme!$A$2:$B$3,2,)</f>
        <v>Ja</v>
      </c>
      <c r="M943">
        <v>1</v>
      </c>
      <c r="N943">
        <v>750</v>
      </c>
      <c r="O943">
        <v>2</v>
      </c>
      <c r="P943">
        <v>145</v>
      </c>
      <c r="Q943">
        <v>1</v>
      </c>
      <c r="R943">
        <v>7</v>
      </c>
      <c r="S943">
        <v>31</v>
      </c>
    </row>
    <row r="944" spans="1:19" x14ac:dyDescent="0.35">
      <c r="A944">
        <v>8591</v>
      </c>
      <c r="B944">
        <v>634</v>
      </c>
      <c r="C944" t="str">
        <f>VLOOKUP(B944,Kunde!A:C,3,FALSE)</f>
        <v>Geschäftskunde</v>
      </c>
      <c r="D944" t="str">
        <f>VLOOKUP(O944,Produkt!$A$1:$E$5,2,FALSE)</f>
        <v>C</v>
      </c>
      <c r="E944">
        <f t="shared" si="42"/>
        <v>111</v>
      </c>
      <c r="F944">
        <f>VLOOKUP(D944,Produkt!$B$1:$C$5,2,FALSE)*Bestellungen!E944</f>
        <v>166500</v>
      </c>
      <c r="G944" s="2">
        <v>44772</v>
      </c>
      <c r="H944" s="2">
        <f t="shared" si="43"/>
        <v>44775</v>
      </c>
      <c r="I944" s="2">
        <f t="shared" si="44"/>
        <v>44830</v>
      </c>
      <c r="J944" t="str">
        <f>VLOOKUP(M944,Umfragenteilnahme!$A$2:$B$3,2,)</f>
        <v>Ja</v>
      </c>
      <c r="M944">
        <v>1</v>
      </c>
      <c r="N944">
        <v>634</v>
      </c>
      <c r="O944">
        <v>3</v>
      </c>
      <c r="P944">
        <v>111</v>
      </c>
      <c r="Q944">
        <v>8</v>
      </c>
      <c r="R944">
        <v>3</v>
      </c>
      <c r="S944">
        <v>58</v>
      </c>
    </row>
    <row r="945" spans="1:19" x14ac:dyDescent="0.35">
      <c r="A945">
        <v>8592</v>
      </c>
      <c r="B945">
        <v>239</v>
      </c>
      <c r="C945" t="str">
        <f>VLOOKUP(B945,Kunde!A:C,3,FALSE)</f>
        <v>Geschäftskunde</v>
      </c>
      <c r="D945" t="str">
        <f>VLOOKUP(O945,Produkt!$A$1:$E$5,2,FALSE)</f>
        <v>C</v>
      </c>
      <c r="E945">
        <f t="shared" si="42"/>
        <v>15</v>
      </c>
      <c r="F945">
        <f>VLOOKUP(D945,Produkt!$B$1:$C$5,2,FALSE)*Bestellungen!E945</f>
        <v>22500</v>
      </c>
      <c r="G945" s="2">
        <v>44782</v>
      </c>
      <c r="H945" s="2">
        <f t="shared" si="43"/>
        <v>44785</v>
      </c>
      <c r="I945" s="2">
        <f t="shared" si="44"/>
        <v>44825</v>
      </c>
      <c r="J945" t="str">
        <f>VLOOKUP(M945,Umfragenteilnahme!$A$2:$B$3,2,)</f>
        <v>Nein</v>
      </c>
      <c r="M945">
        <v>2</v>
      </c>
      <c r="N945">
        <v>239</v>
      </c>
      <c r="O945">
        <v>3</v>
      </c>
      <c r="P945">
        <v>15</v>
      </c>
      <c r="Q945">
        <v>8</v>
      </c>
      <c r="R945">
        <v>3</v>
      </c>
      <c r="S945">
        <v>43</v>
      </c>
    </row>
    <row r="946" spans="1:19" x14ac:dyDescent="0.35">
      <c r="A946">
        <v>8593</v>
      </c>
      <c r="B946">
        <v>60</v>
      </c>
      <c r="C946" t="str">
        <f>VLOOKUP(B946,Kunde!A:C,3,FALSE)</f>
        <v>Geschäftskunde</v>
      </c>
      <c r="D946" t="str">
        <f>VLOOKUP(O946,Produkt!$A$1:$E$5,2,FALSE)</f>
        <v>A</v>
      </c>
      <c r="E946">
        <f t="shared" si="42"/>
        <v>81</v>
      </c>
      <c r="F946">
        <f>VLOOKUP(D946,Produkt!$B$1:$C$5,2,FALSE)*Bestellungen!E946</f>
        <v>24300</v>
      </c>
      <c r="G946" s="2">
        <v>44903</v>
      </c>
      <c r="H946" s="2">
        <f t="shared" si="43"/>
        <v>44906</v>
      </c>
      <c r="I946" s="2">
        <f t="shared" si="44"/>
        <v>44963</v>
      </c>
      <c r="J946" t="str">
        <f>VLOOKUP(M946,Umfragenteilnahme!$A$2:$B$3,2,)</f>
        <v>Ja</v>
      </c>
      <c r="M946">
        <v>1</v>
      </c>
      <c r="N946">
        <v>60</v>
      </c>
      <c r="O946">
        <v>1</v>
      </c>
      <c r="P946">
        <v>81</v>
      </c>
      <c r="Q946">
        <v>9</v>
      </c>
      <c r="R946">
        <v>3</v>
      </c>
      <c r="S946">
        <v>60</v>
      </c>
    </row>
    <row r="947" spans="1:19" x14ac:dyDescent="0.35">
      <c r="A947">
        <v>8594</v>
      </c>
      <c r="B947">
        <v>120</v>
      </c>
      <c r="C947" t="str">
        <f>VLOOKUP(B947,Kunde!A:C,3,FALSE)</f>
        <v>Geschäftskunde</v>
      </c>
      <c r="D947" t="str">
        <f>VLOOKUP(O947,Produkt!$A$1:$E$5,2,FALSE)</f>
        <v>C</v>
      </c>
      <c r="E947">
        <f t="shared" si="42"/>
        <v>122</v>
      </c>
      <c r="F947">
        <f>VLOOKUP(D947,Produkt!$B$1:$C$5,2,FALSE)*Bestellungen!E947</f>
        <v>183000</v>
      </c>
      <c r="G947" s="2">
        <v>44921</v>
      </c>
      <c r="H947" s="2">
        <f t="shared" si="43"/>
        <v>44928</v>
      </c>
      <c r="I947" s="2">
        <f t="shared" si="44"/>
        <v>44976</v>
      </c>
      <c r="J947" t="str">
        <f>VLOOKUP(M947,Umfragenteilnahme!$A$2:$B$3,2,)</f>
        <v>Nein</v>
      </c>
      <c r="M947">
        <v>2</v>
      </c>
      <c r="N947">
        <v>120</v>
      </c>
      <c r="O947">
        <v>3</v>
      </c>
      <c r="P947">
        <v>122</v>
      </c>
      <c r="Q947">
        <v>4</v>
      </c>
      <c r="R947">
        <v>7</v>
      </c>
      <c r="S947">
        <v>55</v>
      </c>
    </row>
    <row r="948" spans="1:19" x14ac:dyDescent="0.35">
      <c r="A948">
        <v>8595</v>
      </c>
      <c r="B948">
        <v>634</v>
      </c>
      <c r="C948" t="str">
        <f>VLOOKUP(B948,Kunde!A:C,3,FALSE)</f>
        <v>Geschäftskunde</v>
      </c>
      <c r="D948" t="str">
        <f>VLOOKUP(O948,Produkt!$A$1:$E$5,2,FALSE)</f>
        <v>D</v>
      </c>
      <c r="E948">
        <f t="shared" si="42"/>
        <v>76</v>
      </c>
      <c r="F948">
        <f>VLOOKUP(D948,Produkt!$B$1:$C$5,2,FALSE)*Bestellungen!E948</f>
        <v>60800</v>
      </c>
      <c r="G948" s="2">
        <v>44964</v>
      </c>
      <c r="H948" s="2">
        <f t="shared" si="43"/>
        <v>44970</v>
      </c>
      <c r="I948" s="2">
        <f t="shared" si="44"/>
        <v>44992</v>
      </c>
      <c r="J948" t="str">
        <f>VLOOKUP(M948,Umfragenteilnahme!$A$2:$B$3,2,)</f>
        <v>Ja</v>
      </c>
      <c r="M948">
        <v>1</v>
      </c>
      <c r="N948">
        <v>634</v>
      </c>
      <c r="O948">
        <v>4</v>
      </c>
      <c r="P948">
        <v>76</v>
      </c>
      <c r="Q948">
        <v>4</v>
      </c>
      <c r="R948">
        <v>6</v>
      </c>
      <c r="S948">
        <v>28</v>
      </c>
    </row>
    <row r="949" spans="1:19" x14ac:dyDescent="0.35">
      <c r="A949">
        <v>8596</v>
      </c>
      <c r="B949">
        <v>480</v>
      </c>
      <c r="C949" t="str">
        <f>VLOOKUP(B949,Kunde!A:C,3,FALSE)</f>
        <v>Geschäftskunde</v>
      </c>
      <c r="D949" t="str">
        <f>VLOOKUP(O949,Produkt!$A$1:$E$5,2,FALSE)</f>
        <v>B</v>
      </c>
      <c r="E949">
        <f t="shared" si="42"/>
        <v>140</v>
      </c>
      <c r="F949">
        <f>VLOOKUP(D949,Produkt!$B$1:$C$5,2,FALSE)*Bestellungen!E949</f>
        <v>67200</v>
      </c>
      <c r="G949" s="2">
        <v>45067</v>
      </c>
      <c r="H949" s="2">
        <f t="shared" si="43"/>
        <v>45074</v>
      </c>
      <c r="I949" s="2">
        <f t="shared" si="44"/>
        <v>45127</v>
      </c>
      <c r="J949" t="str">
        <f>VLOOKUP(M949,Umfragenteilnahme!$A$2:$B$3,2,)</f>
        <v>Ja</v>
      </c>
      <c r="M949">
        <v>1</v>
      </c>
      <c r="N949">
        <v>480</v>
      </c>
      <c r="O949">
        <v>2</v>
      </c>
      <c r="P949">
        <v>140</v>
      </c>
      <c r="Q949">
        <v>7</v>
      </c>
      <c r="R949">
        <v>7</v>
      </c>
      <c r="S949">
        <v>60</v>
      </c>
    </row>
    <row r="950" spans="1:19" x14ac:dyDescent="0.35">
      <c r="A950">
        <v>8597</v>
      </c>
      <c r="B950">
        <v>151</v>
      </c>
      <c r="C950" t="str">
        <f>VLOOKUP(B950,Kunde!A:C,3,FALSE)</f>
        <v>Geschäftskunde</v>
      </c>
      <c r="D950" t="str">
        <f>VLOOKUP(O950,Produkt!$A$1:$E$5,2,FALSE)</f>
        <v>D</v>
      </c>
      <c r="E950">
        <f t="shared" si="42"/>
        <v>126</v>
      </c>
      <c r="F950">
        <f>VLOOKUP(D950,Produkt!$B$1:$C$5,2,FALSE)*Bestellungen!E950</f>
        <v>100800</v>
      </c>
      <c r="G950" s="2">
        <v>44984</v>
      </c>
      <c r="H950" s="2">
        <f t="shared" si="43"/>
        <v>44990</v>
      </c>
      <c r="I950" s="2">
        <f t="shared" si="44"/>
        <v>45035</v>
      </c>
      <c r="J950" t="str">
        <f>VLOOKUP(M950,Umfragenteilnahme!$A$2:$B$3,2,)</f>
        <v>Nein</v>
      </c>
      <c r="M950">
        <v>2</v>
      </c>
      <c r="N950">
        <v>151</v>
      </c>
      <c r="O950">
        <v>4</v>
      </c>
      <c r="P950">
        <v>126</v>
      </c>
      <c r="Q950">
        <v>7</v>
      </c>
      <c r="R950">
        <v>6</v>
      </c>
      <c r="S950">
        <v>51</v>
      </c>
    </row>
    <row r="951" spans="1:19" x14ac:dyDescent="0.35">
      <c r="A951">
        <v>8598</v>
      </c>
      <c r="B951">
        <v>121</v>
      </c>
      <c r="C951" t="str">
        <f>VLOOKUP(B951,Kunde!A:C,3,FALSE)</f>
        <v>Geschäftskunde</v>
      </c>
      <c r="D951" t="str">
        <f>VLOOKUP(O951,Produkt!$A$1:$E$5,2,FALSE)</f>
        <v>A</v>
      </c>
      <c r="E951">
        <f t="shared" si="42"/>
        <v>101</v>
      </c>
      <c r="F951">
        <f>VLOOKUP(D951,Produkt!$B$1:$C$5,2,FALSE)*Bestellungen!E951</f>
        <v>30300</v>
      </c>
      <c r="G951" s="2">
        <v>44761</v>
      </c>
      <c r="H951" s="2">
        <f t="shared" si="43"/>
        <v>44763</v>
      </c>
      <c r="I951" s="2">
        <f t="shared" si="44"/>
        <v>44794</v>
      </c>
      <c r="J951" t="str">
        <f>VLOOKUP(M951,Umfragenteilnahme!$A$2:$B$3,2,)</f>
        <v>Ja</v>
      </c>
      <c r="M951">
        <v>1</v>
      </c>
      <c r="N951">
        <v>121</v>
      </c>
      <c r="O951">
        <v>1</v>
      </c>
      <c r="P951">
        <v>101</v>
      </c>
      <c r="Q951">
        <v>2</v>
      </c>
      <c r="R951">
        <v>2</v>
      </c>
      <c r="S951">
        <v>33</v>
      </c>
    </row>
    <row r="952" spans="1:19" x14ac:dyDescent="0.35">
      <c r="A952">
        <v>8599</v>
      </c>
      <c r="B952">
        <v>551</v>
      </c>
      <c r="C952" t="str">
        <f>VLOOKUP(B952,Kunde!A:C,3,FALSE)</f>
        <v>Geschäftskunde</v>
      </c>
      <c r="D952" t="str">
        <f>VLOOKUP(O952,Produkt!$A$1:$E$5,2,FALSE)</f>
        <v>D</v>
      </c>
      <c r="E952">
        <f t="shared" si="42"/>
        <v>64</v>
      </c>
      <c r="F952">
        <f>VLOOKUP(D952,Produkt!$B$1:$C$5,2,FALSE)*Bestellungen!E952</f>
        <v>51200</v>
      </c>
      <c r="G952" s="2">
        <v>44921</v>
      </c>
      <c r="H952" s="2">
        <f t="shared" si="43"/>
        <v>44926</v>
      </c>
      <c r="I952" s="2">
        <f t="shared" si="44"/>
        <v>44924</v>
      </c>
      <c r="J952" t="str">
        <f>VLOOKUP(M952,Umfragenteilnahme!$A$2:$B$3,2,)</f>
        <v>Nein</v>
      </c>
      <c r="M952">
        <v>2</v>
      </c>
      <c r="N952">
        <v>551</v>
      </c>
      <c r="O952">
        <v>4</v>
      </c>
      <c r="P952">
        <v>64</v>
      </c>
      <c r="Q952">
        <v>2</v>
      </c>
      <c r="R952">
        <v>5</v>
      </c>
      <c r="S952">
        <v>3</v>
      </c>
    </row>
    <row r="953" spans="1:19" x14ac:dyDescent="0.35">
      <c r="A953">
        <v>8600</v>
      </c>
      <c r="B953">
        <v>704</v>
      </c>
      <c r="C953" t="str">
        <f>VLOOKUP(B953,Kunde!A:C,3,FALSE)</f>
        <v>Geschäftskunde</v>
      </c>
      <c r="D953" t="str">
        <f>VLOOKUP(O953,Produkt!$A$1:$E$5,2,FALSE)</f>
        <v>C</v>
      </c>
      <c r="E953">
        <f t="shared" si="42"/>
        <v>94</v>
      </c>
      <c r="F953">
        <f>VLOOKUP(D953,Produkt!$B$1:$C$5,2,FALSE)*Bestellungen!E953</f>
        <v>141000</v>
      </c>
      <c r="G953" s="2">
        <v>44858</v>
      </c>
      <c r="H953" s="2">
        <f t="shared" si="43"/>
        <v>44860</v>
      </c>
      <c r="I953" s="2">
        <f t="shared" si="44"/>
        <v>44903</v>
      </c>
      <c r="J953" t="str">
        <f>VLOOKUP(M953,Umfragenteilnahme!$A$2:$B$3,2,)</f>
        <v>Nein</v>
      </c>
      <c r="M953">
        <v>2</v>
      </c>
      <c r="N953">
        <v>704</v>
      </c>
      <c r="O953">
        <v>3</v>
      </c>
      <c r="P953">
        <v>94</v>
      </c>
      <c r="Q953">
        <v>2</v>
      </c>
      <c r="R953">
        <v>2</v>
      </c>
      <c r="S953">
        <v>45</v>
      </c>
    </row>
    <row r="954" spans="1:19" x14ac:dyDescent="0.35">
      <c r="A954">
        <v>8601</v>
      </c>
      <c r="B954">
        <v>254</v>
      </c>
      <c r="C954" t="str">
        <f>VLOOKUP(B954,Kunde!A:C,3,FALSE)</f>
        <v>Geschäftskunde</v>
      </c>
      <c r="D954" t="str">
        <f>VLOOKUP(O954,Produkt!$A$1:$E$5,2,FALSE)</f>
        <v>B</v>
      </c>
      <c r="E954">
        <f t="shared" si="42"/>
        <v>33</v>
      </c>
      <c r="F954">
        <f>VLOOKUP(D954,Produkt!$B$1:$C$5,2,FALSE)*Bestellungen!E954</f>
        <v>15840</v>
      </c>
      <c r="G954" s="2">
        <v>44836</v>
      </c>
      <c r="H954" s="2">
        <f t="shared" si="43"/>
        <v>44842</v>
      </c>
      <c r="I954" s="2">
        <f t="shared" si="44"/>
        <v>44855</v>
      </c>
      <c r="J954" t="str">
        <f>VLOOKUP(M954,Umfragenteilnahme!$A$2:$B$3,2,)</f>
        <v>Ja</v>
      </c>
      <c r="M954">
        <v>1</v>
      </c>
      <c r="N954">
        <v>254</v>
      </c>
      <c r="O954">
        <v>2</v>
      </c>
      <c r="P954">
        <v>33</v>
      </c>
      <c r="Q954">
        <v>1</v>
      </c>
      <c r="R954">
        <v>6</v>
      </c>
      <c r="S954">
        <v>19</v>
      </c>
    </row>
    <row r="955" spans="1:19" x14ac:dyDescent="0.35">
      <c r="A955">
        <v>8602</v>
      </c>
      <c r="B955">
        <v>633</v>
      </c>
      <c r="C955" t="str">
        <f>VLOOKUP(B955,Kunde!A:C,3,FALSE)</f>
        <v>Privatkunde</v>
      </c>
      <c r="D955" t="str">
        <f>VLOOKUP(O955,Produkt!$A$1:$E$5,2,FALSE)</f>
        <v>B</v>
      </c>
      <c r="E955">
        <f t="shared" si="42"/>
        <v>7</v>
      </c>
      <c r="F955">
        <f>VLOOKUP(D955,Produkt!$B$1:$C$5,2,FALSE)*Bestellungen!E955</f>
        <v>3360</v>
      </c>
      <c r="G955" s="2">
        <v>44926</v>
      </c>
      <c r="H955" s="2">
        <f t="shared" si="43"/>
        <v>44928</v>
      </c>
      <c r="I955" s="2">
        <f t="shared" si="44"/>
        <v>44951</v>
      </c>
      <c r="J955" t="str">
        <f>VLOOKUP(M955,Umfragenteilnahme!$A$2:$B$3,2,)</f>
        <v>Nein</v>
      </c>
      <c r="M955">
        <v>2</v>
      </c>
      <c r="N955">
        <v>633</v>
      </c>
      <c r="O955">
        <v>2</v>
      </c>
      <c r="P955">
        <v>114</v>
      </c>
      <c r="Q955">
        <v>7</v>
      </c>
      <c r="R955">
        <v>2</v>
      </c>
      <c r="S955">
        <v>25</v>
      </c>
    </row>
    <row r="956" spans="1:19" x14ac:dyDescent="0.35">
      <c r="A956">
        <v>8603</v>
      </c>
      <c r="B956">
        <v>371</v>
      </c>
      <c r="C956" t="str">
        <f>VLOOKUP(B956,Kunde!A:C,3,FALSE)</f>
        <v>Privatkunde</v>
      </c>
      <c r="D956" t="str">
        <f>VLOOKUP(O956,Produkt!$A$1:$E$5,2,FALSE)</f>
        <v>A</v>
      </c>
      <c r="E956">
        <f t="shared" si="42"/>
        <v>5</v>
      </c>
      <c r="F956">
        <f>VLOOKUP(D956,Produkt!$B$1:$C$5,2,FALSE)*Bestellungen!E956</f>
        <v>1500</v>
      </c>
      <c r="G956" s="2">
        <v>44968</v>
      </c>
      <c r="H956" s="2">
        <f t="shared" si="43"/>
        <v>44973</v>
      </c>
      <c r="I956" s="2">
        <f t="shared" si="44"/>
        <v>44983</v>
      </c>
      <c r="J956" t="str">
        <f>VLOOKUP(M956,Umfragenteilnahme!$A$2:$B$3,2,)</f>
        <v>Nein</v>
      </c>
      <c r="M956">
        <v>2</v>
      </c>
      <c r="N956">
        <v>371</v>
      </c>
      <c r="O956">
        <v>1</v>
      </c>
      <c r="P956">
        <v>58</v>
      </c>
      <c r="Q956">
        <v>5</v>
      </c>
      <c r="R956">
        <v>5</v>
      </c>
      <c r="S956">
        <v>15</v>
      </c>
    </row>
    <row r="957" spans="1:19" x14ac:dyDescent="0.35">
      <c r="A957">
        <v>8604</v>
      </c>
      <c r="B957">
        <v>681</v>
      </c>
      <c r="C957" t="str">
        <f>VLOOKUP(B957,Kunde!A:C,3,FALSE)</f>
        <v>Geschäftskunde</v>
      </c>
      <c r="D957" t="str">
        <f>VLOOKUP(O957,Produkt!$A$1:$E$5,2,FALSE)</f>
        <v>D</v>
      </c>
      <c r="E957">
        <f t="shared" si="42"/>
        <v>24</v>
      </c>
      <c r="F957">
        <f>VLOOKUP(D957,Produkt!$B$1:$C$5,2,FALSE)*Bestellungen!E957</f>
        <v>19200</v>
      </c>
      <c r="G957" s="2">
        <v>44778</v>
      </c>
      <c r="H957" s="2">
        <f t="shared" si="43"/>
        <v>44784</v>
      </c>
      <c r="I957" s="2">
        <f t="shared" si="44"/>
        <v>44791</v>
      </c>
      <c r="J957" t="str">
        <f>VLOOKUP(M957,Umfragenteilnahme!$A$2:$B$3,2,)</f>
        <v>Nein</v>
      </c>
      <c r="M957">
        <v>2</v>
      </c>
      <c r="N957">
        <v>681</v>
      </c>
      <c r="O957">
        <v>4</v>
      </c>
      <c r="P957">
        <v>24</v>
      </c>
      <c r="Q957">
        <v>9</v>
      </c>
      <c r="R957">
        <v>6</v>
      </c>
      <c r="S957">
        <v>13</v>
      </c>
    </row>
    <row r="958" spans="1:19" x14ac:dyDescent="0.35">
      <c r="A958">
        <v>8605</v>
      </c>
      <c r="B958">
        <v>777</v>
      </c>
      <c r="C958" t="str">
        <f>VLOOKUP(B958,Kunde!A:C,3,FALSE)</f>
        <v>Geschäftskunde</v>
      </c>
      <c r="D958" t="str">
        <f>VLOOKUP(O958,Produkt!$A$1:$E$5,2,FALSE)</f>
        <v>D</v>
      </c>
      <c r="E958">
        <f t="shared" si="42"/>
        <v>133</v>
      </c>
      <c r="F958">
        <f>VLOOKUP(D958,Produkt!$B$1:$C$5,2,FALSE)*Bestellungen!E958</f>
        <v>106400</v>
      </c>
      <c r="G958" s="2">
        <v>44829</v>
      </c>
      <c r="H958" s="2">
        <f t="shared" si="43"/>
        <v>44836</v>
      </c>
      <c r="I958" s="2">
        <f t="shared" si="44"/>
        <v>44864</v>
      </c>
      <c r="J958" t="str">
        <f>VLOOKUP(M958,Umfragenteilnahme!$A$2:$B$3,2,)</f>
        <v>Nein</v>
      </c>
      <c r="M958">
        <v>2</v>
      </c>
      <c r="N958">
        <v>777</v>
      </c>
      <c r="O958">
        <v>4</v>
      </c>
      <c r="P958">
        <v>133</v>
      </c>
      <c r="Q958">
        <v>9</v>
      </c>
      <c r="R958">
        <v>7</v>
      </c>
      <c r="S958">
        <v>35</v>
      </c>
    </row>
    <row r="959" spans="1:19" x14ac:dyDescent="0.35">
      <c r="A959">
        <v>8606</v>
      </c>
      <c r="B959">
        <v>619</v>
      </c>
      <c r="C959" t="str">
        <f>VLOOKUP(B959,Kunde!A:C,3,FALSE)</f>
        <v>Geschäftskunde</v>
      </c>
      <c r="D959" t="str">
        <f>VLOOKUP(O959,Produkt!$A$1:$E$5,2,FALSE)</f>
        <v>D</v>
      </c>
      <c r="E959">
        <f t="shared" si="42"/>
        <v>103</v>
      </c>
      <c r="F959">
        <f>VLOOKUP(D959,Produkt!$B$1:$C$5,2,FALSE)*Bestellungen!E959</f>
        <v>82400</v>
      </c>
      <c r="G959" s="2">
        <v>44844</v>
      </c>
      <c r="H959" s="2">
        <f t="shared" si="43"/>
        <v>44851</v>
      </c>
      <c r="I959" s="2">
        <f t="shared" si="44"/>
        <v>44903</v>
      </c>
      <c r="J959" t="str">
        <f>VLOOKUP(M959,Umfragenteilnahme!$A$2:$B$3,2,)</f>
        <v>Nein</v>
      </c>
      <c r="M959">
        <v>2</v>
      </c>
      <c r="N959">
        <v>619</v>
      </c>
      <c r="O959">
        <v>4</v>
      </c>
      <c r="P959">
        <v>103</v>
      </c>
      <c r="Q959">
        <v>4</v>
      </c>
      <c r="R959">
        <v>7</v>
      </c>
      <c r="S959">
        <v>59</v>
      </c>
    </row>
    <row r="960" spans="1:19" x14ac:dyDescent="0.35">
      <c r="A960">
        <v>8607</v>
      </c>
      <c r="B960">
        <v>361</v>
      </c>
      <c r="C960" t="str">
        <f>VLOOKUP(B960,Kunde!A:C,3,FALSE)</f>
        <v>Privatkunde</v>
      </c>
      <c r="D960" t="str">
        <f>VLOOKUP(O960,Produkt!$A$1:$E$5,2,FALSE)</f>
        <v>B</v>
      </c>
      <c r="E960">
        <f t="shared" si="42"/>
        <v>8</v>
      </c>
      <c r="F960">
        <f>VLOOKUP(D960,Produkt!$B$1:$C$5,2,FALSE)*Bestellungen!E960</f>
        <v>3840</v>
      </c>
      <c r="G960" s="2">
        <v>45015</v>
      </c>
      <c r="H960" s="2">
        <f t="shared" si="43"/>
        <v>45020</v>
      </c>
      <c r="I960" s="2">
        <f t="shared" si="44"/>
        <v>45055</v>
      </c>
      <c r="J960" t="str">
        <f>VLOOKUP(M960,Umfragenteilnahme!$A$2:$B$3,2,)</f>
        <v>Nein</v>
      </c>
      <c r="M960">
        <v>2</v>
      </c>
      <c r="N960">
        <v>361</v>
      </c>
      <c r="O960">
        <v>2</v>
      </c>
      <c r="P960">
        <v>76</v>
      </c>
      <c r="Q960">
        <v>8</v>
      </c>
      <c r="R960">
        <v>5</v>
      </c>
      <c r="S960">
        <v>40</v>
      </c>
    </row>
    <row r="961" spans="1:19" x14ac:dyDescent="0.35">
      <c r="A961">
        <v>8608</v>
      </c>
      <c r="B961">
        <v>640</v>
      </c>
      <c r="C961" t="str">
        <f>VLOOKUP(B961,Kunde!A:C,3,FALSE)</f>
        <v>Geschäftskunde</v>
      </c>
      <c r="D961" t="str">
        <f>VLOOKUP(O961,Produkt!$A$1:$E$5,2,FALSE)</f>
        <v>D</v>
      </c>
      <c r="E961">
        <f t="shared" si="42"/>
        <v>100</v>
      </c>
      <c r="F961">
        <f>VLOOKUP(D961,Produkt!$B$1:$C$5,2,FALSE)*Bestellungen!E961</f>
        <v>80000</v>
      </c>
      <c r="G961" s="2">
        <v>44948</v>
      </c>
      <c r="H961" s="2">
        <f t="shared" si="43"/>
        <v>44952</v>
      </c>
      <c r="I961" s="2">
        <f t="shared" si="44"/>
        <v>44999</v>
      </c>
      <c r="J961" t="str">
        <f>VLOOKUP(M961,Umfragenteilnahme!$A$2:$B$3,2,)</f>
        <v>Ja</v>
      </c>
      <c r="M961">
        <v>1</v>
      </c>
      <c r="N961">
        <v>640</v>
      </c>
      <c r="O961">
        <v>4</v>
      </c>
      <c r="P961">
        <v>100</v>
      </c>
      <c r="Q961">
        <v>8</v>
      </c>
      <c r="R961">
        <v>4</v>
      </c>
      <c r="S961">
        <v>51</v>
      </c>
    </row>
    <row r="962" spans="1:19" x14ac:dyDescent="0.35">
      <c r="A962">
        <v>8609</v>
      </c>
      <c r="B962">
        <v>392</v>
      </c>
      <c r="C962" t="str">
        <f>VLOOKUP(B962,Kunde!A:C,3,FALSE)</f>
        <v>Geschäftskunde</v>
      </c>
      <c r="D962" t="str">
        <f>VLOOKUP(O962,Produkt!$A$1:$E$5,2,FALSE)</f>
        <v>D</v>
      </c>
      <c r="E962">
        <f t="shared" si="42"/>
        <v>96</v>
      </c>
      <c r="F962">
        <f>VLOOKUP(D962,Produkt!$B$1:$C$5,2,FALSE)*Bestellungen!E962</f>
        <v>76800</v>
      </c>
      <c r="G962" s="2">
        <v>44772</v>
      </c>
      <c r="H962" s="2">
        <f t="shared" si="43"/>
        <v>44777</v>
      </c>
      <c r="I962" s="2">
        <f t="shared" si="44"/>
        <v>44817</v>
      </c>
      <c r="J962" t="str">
        <f>VLOOKUP(M962,Umfragenteilnahme!$A$2:$B$3,2,)</f>
        <v>Ja</v>
      </c>
      <c r="M962">
        <v>1</v>
      </c>
      <c r="N962">
        <v>392</v>
      </c>
      <c r="O962">
        <v>4</v>
      </c>
      <c r="P962">
        <v>96</v>
      </c>
      <c r="Q962">
        <v>7</v>
      </c>
      <c r="R962">
        <v>5</v>
      </c>
      <c r="S962">
        <v>45</v>
      </c>
    </row>
    <row r="963" spans="1:19" x14ac:dyDescent="0.35">
      <c r="A963">
        <v>8610</v>
      </c>
      <c r="B963">
        <v>318</v>
      </c>
      <c r="C963" t="str">
        <f>VLOOKUP(B963,Kunde!A:C,3,FALSE)</f>
        <v>Geschäftskunde</v>
      </c>
      <c r="D963" t="str">
        <f>VLOOKUP(O963,Produkt!$A$1:$E$5,2,FALSE)</f>
        <v>A</v>
      </c>
      <c r="E963">
        <f t="shared" ref="E963:E1026" si="45">IF(C963="Geschäftskunde",P963,Q963)</f>
        <v>28</v>
      </c>
      <c r="F963">
        <f>VLOOKUP(D963,Produkt!$B$1:$C$5,2,FALSE)*Bestellungen!E963</f>
        <v>8400</v>
      </c>
      <c r="G963" s="2">
        <v>44793</v>
      </c>
      <c r="H963" s="2">
        <f t="shared" ref="H963:H1026" si="46">G963+R963</f>
        <v>44799</v>
      </c>
      <c r="I963" s="2">
        <f t="shared" ref="I963:I1026" si="47">G963+S963</f>
        <v>44813</v>
      </c>
      <c r="J963" t="str">
        <f>VLOOKUP(M963,Umfragenteilnahme!$A$2:$B$3,2,)</f>
        <v>Nein</v>
      </c>
      <c r="M963">
        <v>2</v>
      </c>
      <c r="N963">
        <v>318</v>
      </c>
      <c r="O963">
        <v>1</v>
      </c>
      <c r="P963">
        <v>28</v>
      </c>
      <c r="Q963">
        <v>4</v>
      </c>
      <c r="R963">
        <v>6</v>
      </c>
      <c r="S963">
        <v>20</v>
      </c>
    </row>
    <row r="964" spans="1:19" x14ac:dyDescent="0.35">
      <c r="A964">
        <v>8611</v>
      </c>
      <c r="B964">
        <v>19</v>
      </c>
      <c r="C964" t="str">
        <f>VLOOKUP(B964,Kunde!A:C,3,FALSE)</f>
        <v>Geschäftskunde</v>
      </c>
      <c r="D964" t="str">
        <f>VLOOKUP(O964,Produkt!$A$1:$E$5,2,FALSE)</f>
        <v>A</v>
      </c>
      <c r="E964">
        <f t="shared" si="45"/>
        <v>91</v>
      </c>
      <c r="F964">
        <f>VLOOKUP(D964,Produkt!$B$1:$C$5,2,FALSE)*Bestellungen!E964</f>
        <v>27300</v>
      </c>
      <c r="G964" s="2">
        <v>45004</v>
      </c>
      <c r="H964" s="2">
        <f t="shared" si="46"/>
        <v>45009</v>
      </c>
      <c r="I964" s="2">
        <f t="shared" si="47"/>
        <v>45064</v>
      </c>
      <c r="J964" t="str">
        <f>VLOOKUP(M964,Umfragenteilnahme!$A$2:$B$3,2,)</f>
        <v>Ja</v>
      </c>
      <c r="M964">
        <v>1</v>
      </c>
      <c r="N964">
        <v>19</v>
      </c>
      <c r="O964">
        <v>1</v>
      </c>
      <c r="P964">
        <v>91</v>
      </c>
      <c r="Q964">
        <v>1</v>
      </c>
      <c r="R964">
        <v>5</v>
      </c>
      <c r="S964">
        <v>60</v>
      </c>
    </row>
    <row r="965" spans="1:19" x14ac:dyDescent="0.35">
      <c r="A965">
        <v>8612</v>
      </c>
      <c r="B965">
        <v>168</v>
      </c>
      <c r="C965" t="str">
        <f>VLOOKUP(B965,Kunde!A:C,3,FALSE)</f>
        <v>Geschäftskunde</v>
      </c>
      <c r="D965" t="str">
        <f>VLOOKUP(O965,Produkt!$A$1:$E$5,2,FALSE)</f>
        <v>A</v>
      </c>
      <c r="E965">
        <f t="shared" si="45"/>
        <v>99</v>
      </c>
      <c r="F965">
        <f>VLOOKUP(D965,Produkt!$B$1:$C$5,2,FALSE)*Bestellungen!E965</f>
        <v>29700</v>
      </c>
      <c r="G965" s="2">
        <v>44833</v>
      </c>
      <c r="H965" s="2">
        <f t="shared" si="46"/>
        <v>44839</v>
      </c>
      <c r="I965" s="2">
        <f t="shared" si="47"/>
        <v>44860</v>
      </c>
      <c r="J965" t="str">
        <f>VLOOKUP(M965,Umfragenteilnahme!$A$2:$B$3,2,)</f>
        <v>Nein</v>
      </c>
      <c r="M965">
        <v>2</v>
      </c>
      <c r="N965">
        <v>168</v>
      </c>
      <c r="O965">
        <v>1</v>
      </c>
      <c r="P965">
        <v>99</v>
      </c>
      <c r="Q965">
        <v>10</v>
      </c>
      <c r="R965">
        <v>6</v>
      </c>
      <c r="S965">
        <v>27</v>
      </c>
    </row>
    <row r="966" spans="1:19" x14ac:dyDescent="0.35">
      <c r="A966">
        <v>8613</v>
      </c>
      <c r="B966">
        <v>585</v>
      </c>
      <c r="C966" t="str">
        <f>VLOOKUP(B966,Kunde!A:C,3,FALSE)</f>
        <v>Geschäftskunde</v>
      </c>
      <c r="D966" t="str">
        <f>VLOOKUP(O966,Produkt!$A$1:$E$5,2,FALSE)</f>
        <v>B</v>
      </c>
      <c r="E966">
        <f t="shared" si="45"/>
        <v>79</v>
      </c>
      <c r="F966">
        <f>VLOOKUP(D966,Produkt!$B$1:$C$5,2,FALSE)*Bestellungen!E966</f>
        <v>37920</v>
      </c>
      <c r="G966" s="2">
        <v>44985</v>
      </c>
      <c r="H966" s="2">
        <f t="shared" si="46"/>
        <v>44992</v>
      </c>
      <c r="I966" s="2">
        <f t="shared" si="47"/>
        <v>45010</v>
      </c>
      <c r="J966" t="str">
        <f>VLOOKUP(M966,Umfragenteilnahme!$A$2:$B$3,2,)</f>
        <v>Nein</v>
      </c>
      <c r="M966">
        <v>2</v>
      </c>
      <c r="N966">
        <v>585</v>
      </c>
      <c r="O966">
        <v>2</v>
      </c>
      <c r="P966">
        <v>79</v>
      </c>
      <c r="Q966">
        <v>1</v>
      </c>
      <c r="R966">
        <v>7</v>
      </c>
      <c r="S966">
        <v>25</v>
      </c>
    </row>
    <row r="967" spans="1:19" x14ac:dyDescent="0.35">
      <c r="A967">
        <v>8614</v>
      </c>
      <c r="B967">
        <v>726</v>
      </c>
      <c r="C967" t="str">
        <f>VLOOKUP(B967,Kunde!A:C,3,FALSE)</f>
        <v>Geschäftskunde</v>
      </c>
      <c r="D967" t="str">
        <f>VLOOKUP(O967,Produkt!$A$1:$E$5,2,FALSE)</f>
        <v>C</v>
      </c>
      <c r="E967">
        <f t="shared" si="45"/>
        <v>134</v>
      </c>
      <c r="F967">
        <f>VLOOKUP(D967,Produkt!$B$1:$C$5,2,FALSE)*Bestellungen!E967</f>
        <v>201000</v>
      </c>
      <c r="G967" s="2">
        <v>45048</v>
      </c>
      <c r="H967" s="2">
        <f t="shared" si="46"/>
        <v>45052</v>
      </c>
      <c r="I967" s="2">
        <f t="shared" si="47"/>
        <v>45085</v>
      </c>
      <c r="J967" t="str">
        <f>VLOOKUP(M967,Umfragenteilnahme!$A$2:$B$3,2,)</f>
        <v>Nein</v>
      </c>
      <c r="M967">
        <v>2</v>
      </c>
      <c r="N967">
        <v>726</v>
      </c>
      <c r="O967">
        <v>3</v>
      </c>
      <c r="P967">
        <v>134</v>
      </c>
      <c r="Q967">
        <v>2</v>
      </c>
      <c r="R967">
        <v>4</v>
      </c>
      <c r="S967">
        <v>37</v>
      </c>
    </row>
    <row r="968" spans="1:19" x14ac:dyDescent="0.35">
      <c r="A968">
        <v>8615</v>
      </c>
      <c r="B968">
        <v>16</v>
      </c>
      <c r="C968" t="str">
        <f>VLOOKUP(B968,Kunde!A:C,3,FALSE)</f>
        <v>Geschäftskunde</v>
      </c>
      <c r="D968" t="str">
        <f>VLOOKUP(O968,Produkt!$A$1:$E$5,2,FALSE)</f>
        <v>D</v>
      </c>
      <c r="E968">
        <f t="shared" si="45"/>
        <v>65</v>
      </c>
      <c r="F968">
        <f>VLOOKUP(D968,Produkt!$B$1:$C$5,2,FALSE)*Bestellungen!E968</f>
        <v>52000</v>
      </c>
      <c r="G968" s="2">
        <v>44973</v>
      </c>
      <c r="H968" s="2">
        <f t="shared" si="46"/>
        <v>44978</v>
      </c>
      <c r="I968" s="2">
        <f t="shared" si="47"/>
        <v>45017</v>
      </c>
      <c r="J968" t="str">
        <f>VLOOKUP(M968,Umfragenteilnahme!$A$2:$B$3,2,)</f>
        <v>Nein</v>
      </c>
      <c r="M968">
        <v>2</v>
      </c>
      <c r="N968">
        <v>16</v>
      </c>
      <c r="O968">
        <v>4</v>
      </c>
      <c r="P968">
        <v>65</v>
      </c>
      <c r="Q968">
        <v>8</v>
      </c>
      <c r="R968">
        <v>5</v>
      </c>
      <c r="S968">
        <v>44</v>
      </c>
    </row>
    <row r="969" spans="1:19" x14ac:dyDescent="0.35">
      <c r="A969">
        <v>8616</v>
      </c>
      <c r="B969">
        <v>105</v>
      </c>
      <c r="C969" t="str">
        <f>VLOOKUP(B969,Kunde!A:C,3,FALSE)</f>
        <v>Geschäftskunde</v>
      </c>
      <c r="D969" t="str">
        <f>VLOOKUP(O969,Produkt!$A$1:$E$5,2,FALSE)</f>
        <v>C</v>
      </c>
      <c r="E969">
        <f t="shared" si="45"/>
        <v>20</v>
      </c>
      <c r="F969">
        <f>VLOOKUP(D969,Produkt!$B$1:$C$5,2,FALSE)*Bestellungen!E969</f>
        <v>30000</v>
      </c>
      <c r="G969" s="2">
        <v>44905</v>
      </c>
      <c r="H969" s="2">
        <f t="shared" si="46"/>
        <v>44910</v>
      </c>
      <c r="I969" s="2">
        <f t="shared" si="47"/>
        <v>44923</v>
      </c>
      <c r="J969" t="str">
        <f>VLOOKUP(M969,Umfragenteilnahme!$A$2:$B$3,2,)</f>
        <v>Nein</v>
      </c>
      <c r="M969">
        <v>2</v>
      </c>
      <c r="N969">
        <v>105</v>
      </c>
      <c r="O969">
        <v>3</v>
      </c>
      <c r="P969">
        <v>20</v>
      </c>
      <c r="Q969">
        <v>5</v>
      </c>
      <c r="R969">
        <v>5</v>
      </c>
      <c r="S969">
        <v>18</v>
      </c>
    </row>
    <row r="970" spans="1:19" x14ac:dyDescent="0.35">
      <c r="A970">
        <v>8617</v>
      </c>
      <c r="B970">
        <v>34</v>
      </c>
      <c r="C970" t="str">
        <f>VLOOKUP(B970,Kunde!A:C,3,FALSE)</f>
        <v>Privatkunde</v>
      </c>
      <c r="D970" t="str">
        <f>VLOOKUP(O970,Produkt!$A$1:$E$5,2,FALSE)</f>
        <v>A</v>
      </c>
      <c r="E970">
        <f t="shared" si="45"/>
        <v>10</v>
      </c>
      <c r="F970">
        <f>VLOOKUP(D970,Produkt!$B$1:$C$5,2,FALSE)*Bestellungen!E970</f>
        <v>3000</v>
      </c>
      <c r="G970" s="2">
        <v>45060</v>
      </c>
      <c r="H970" s="2">
        <f t="shared" si="46"/>
        <v>45066</v>
      </c>
      <c r="I970" s="2">
        <f t="shared" si="47"/>
        <v>45073</v>
      </c>
      <c r="J970" t="str">
        <f>VLOOKUP(M970,Umfragenteilnahme!$A$2:$B$3,2,)</f>
        <v>Nein</v>
      </c>
      <c r="M970">
        <v>2</v>
      </c>
      <c r="N970">
        <v>34</v>
      </c>
      <c r="O970">
        <v>1</v>
      </c>
      <c r="P970">
        <v>21</v>
      </c>
      <c r="Q970">
        <v>10</v>
      </c>
      <c r="R970">
        <v>6</v>
      </c>
      <c r="S970">
        <v>13</v>
      </c>
    </row>
    <row r="971" spans="1:19" x14ac:dyDescent="0.35">
      <c r="A971">
        <v>8618</v>
      </c>
      <c r="B971">
        <v>207</v>
      </c>
      <c r="C971" t="str">
        <f>VLOOKUP(B971,Kunde!A:C,3,FALSE)</f>
        <v>Geschäftskunde</v>
      </c>
      <c r="D971" t="str">
        <f>VLOOKUP(O971,Produkt!$A$1:$E$5,2,FALSE)</f>
        <v>D</v>
      </c>
      <c r="E971">
        <f t="shared" si="45"/>
        <v>78</v>
      </c>
      <c r="F971">
        <f>VLOOKUP(D971,Produkt!$B$1:$C$5,2,FALSE)*Bestellungen!E971</f>
        <v>62400</v>
      </c>
      <c r="G971" s="2">
        <v>45043</v>
      </c>
      <c r="H971" s="2">
        <f t="shared" si="46"/>
        <v>45047</v>
      </c>
      <c r="I971" s="2">
        <f t="shared" si="47"/>
        <v>45096</v>
      </c>
      <c r="J971" t="str">
        <f>VLOOKUP(M971,Umfragenteilnahme!$A$2:$B$3,2,)</f>
        <v>Nein</v>
      </c>
      <c r="M971">
        <v>2</v>
      </c>
      <c r="N971">
        <v>207</v>
      </c>
      <c r="O971">
        <v>4</v>
      </c>
      <c r="P971">
        <v>78</v>
      </c>
      <c r="Q971">
        <v>5</v>
      </c>
      <c r="R971">
        <v>4</v>
      </c>
      <c r="S971">
        <v>53</v>
      </c>
    </row>
    <row r="972" spans="1:19" x14ac:dyDescent="0.35">
      <c r="A972">
        <v>8619</v>
      </c>
      <c r="B972">
        <v>641</v>
      </c>
      <c r="C972" t="str">
        <f>VLOOKUP(B972,Kunde!A:C,3,FALSE)</f>
        <v>Geschäftskunde</v>
      </c>
      <c r="D972" t="str">
        <f>VLOOKUP(O972,Produkt!$A$1:$E$5,2,FALSE)</f>
        <v>C</v>
      </c>
      <c r="E972">
        <f t="shared" si="45"/>
        <v>45</v>
      </c>
      <c r="F972">
        <f>VLOOKUP(D972,Produkt!$B$1:$C$5,2,FALSE)*Bestellungen!E972</f>
        <v>67500</v>
      </c>
      <c r="G972" s="2">
        <v>44937</v>
      </c>
      <c r="H972" s="2">
        <f t="shared" si="46"/>
        <v>44944</v>
      </c>
      <c r="I972" s="2">
        <f t="shared" si="47"/>
        <v>44985</v>
      </c>
      <c r="J972" t="str">
        <f>VLOOKUP(M972,Umfragenteilnahme!$A$2:$B$3,2,)</f>
        <v>Nein</v>
      </c>
      <c r="M972">
        <v>2</v>
      </c>
      <c r="N972">
        <v>641</v>
      </c>
      <c r="O972">
        <v>3</v>
      </c>
      <c r="P972">
        <v>45</v>
      </c>
      <c r="Q972">
        <v>1</v>
      </c>
      <c r="R972">
        <v>7</v>
      </c>
      <c r="S972">
        <v>48</v>
      </c>
    </row>
    <row r="973" spans="1:19" x14ac:dyDescent="0.35">
      <c r="A973">
        <v>8620</v>
      </c>
      <c r="B973">
        <v>69</v>
      </c>
      <c r="C973" t="str">
        <f>VLOOKUP(B973,Kunde!A:C,3,FALSE)</f>
        <v>Geschäftskunde</v>
      </c>
      <c r="D973" t="str">
        <f>VLOOKUP(O973,Produkt!$A$1:$E$5,2,FALSE)</f>
        <v>A</v>
      </c>
      <c r="E973">
        <f t="shared" si="45"/>
        <v>103</v>
      </c>
      <c r="F973">
        <f>VLOOKUP(D973,Produkt!$B$1:$C$5,2,FALSE)*Bestellungen!E973</f>
        <v>30900</v>
      </c>
      <c r="G973" s="2">
        <v>44743</v>
      </c>
      <c r="H973" s="2">
        <f t="shared" si="46"/>
        <v>44749</v>
      </c>
      <c r="I973" s="2">
        <f t="shared" si="47"/>
        <v>44751</v>
      </c>
      <c r="J973" t="str">
        <f>VLOOKUP(M973,Umfragenteilnahme!$A$2:$B$3,2,)</f>
        <v>Ja</v>
      </c>
      <c r="M973">
        <v>1</v>
      </c>
      <c r="N973">
        <v>69</v>
      </c>
      <c r="O973">
        <v>1</v>
      </c>
      <c r="P973">
        <v>103</v>
      </c>
      <c r="Q973">
        <v>9</v>
      </c>
      <c r="R973">
        <v>6</v>
      </c>
      <c r="S973">
        <v>8</v>
      </c>
    </row>
    <row r="974" spans="1:19" x14ac:dyDescent="0.35">
      <c r="A974">
        <v>8621</v>
      </c>
      <c r="B974">
        <v>262</v>
      </c>
      <c r="C974" t="str">
        <f>VLOOKUP(B974,Kunde!A:C,3,FALSE)</f>
        <v>Geschäftskunde</v>
      </c>
      <c r="D974" t="str">
        <f>VLOOKUP(O974,Produkt!$A$1:$E$5,2,FALSE)</f>
        <v>D</v>
      </c>
      <c r="E974">
        <f t="shared" si="45"/>
        <v>136</v>
      </c>
      <c r="F974">
        <f>VLOOKUP(D974,Produkt!$B$1:$C$5,2,FALSE)*Bestellungen!E974</f>
        <v>108800</v>
      </c>
      <c r="G974" s="2">
        <v>44817</v>
      </c>
      <c r="H974" s="2">
        <f t="shared" si="46"/>
        <v>44820</v>
      </c>
      <c r="I974" s="2">
        <f t="shared" si="47"/>
        <v>44870</v>
      </c>
      <c r="J974" t="str">
        <f>VLOOKUP(M974,Umfragenteilnahme!$A$2:$B$3,2,)</f>
        <v>Ja</v>
      </c>
      <c r="M974">
        <v>1</v>
      </c>
      <c r="N974">
        <v>262</v>
      </c>
      <c r="O974">
        <v>4</v>
      </c>
      <c r="P974">
        <v>136</v>
      </c>
      <c r="Q974">
        <v>6</v>
      </c>
      <c r="R974">
        <v>3</v>
      </c>
      <c r="S974">
        <v>53</v>
      </c>
    </row>
    <row r="975" spans="1:19" x14ac:dyDescent="0.35">
      <c r="A975">
        <v>8622</v>
      </c>
      <c r="B975">
        <v>286</v>
      </c>
      <c r="C975" t="str">
        <f>VLOOKUP(B975,Kunde!A:C,3,FALSE)</f>
        <v>Geschäftskunde</v>
      </c>
      <c r="D975" t="str">
        <f>VLOOKUP(O975,Produkt!$A$1:$E$5,2,FALSE)</f>
        <v>C</v>
      </c>
      <c r="E975">
        <f t="shared" si="45"/>
        <v>50</v>
      </c>
      <c r="F975">
        <f>VLOOKUP(D975,Produkt!$B$1:$C$5,2,FALSE)*Bestellungen!E975</f>
        <v>75000</v>
      </c>
      <c r="G975" s="2">
        <v>44854</v>
      </c>
      <c r="H975" s="2">
        <f t="shared" si="46"/>
        <v>44857</v>
      </c>
      <c r="I975" s="2">
        <f t="shared" si="47"/>
        <v>44859</v>
      </c>
      <c r="J975" t="str">
        <f>VLOOKUP(M975,Umfragenteilnahme!$A$2:$B$3,2,)</f>
        <v>Nein</v>
      </c>
      <c r="M975">
        <v>2</v>
      </c>
      <c r="N975">
        <v>286</v>
      </c>
      <c r="O975">
        <v>3</v>
      </c>
      <c r="P975">
        <v>50</v>
      </c>
      <c r="Q975">
        <v>9</v>
      </c>
      <c r="R975">
        <v>3</v>
      </c>
      <c r="S975">
        <v>5</v>
      </c>
    </row>
    <row r="976" spans="1:19" x14ac:dyDescent="0.35">
      <c r="A976">
        <v>8623</v>
      </c>
      <c r="B976">
        <v>719</v>
      </c>
      <c r="C976" t="str">
        <f>VLOOKUP(B976,Kunde!A:C,3,FALSE)</f>
        <v>Geschäftskunde</v>
      </c>
      <c r="D976" t="str">
        <f>VLOOKUP(O976,Produkt!$A$1:$E$5,2,FALSE)</f>
        <v>C</v>
      </c>
      <c r="E976">
        <f t="shared" si="45"/>
        <v>40</v>
      </c>
      <c r="F976">
        <f>VLOOKUP(D976,Produkt!$B$1:$C$5,2,FALSE)*Bestellungen!E976</f>
        <v>60000</v>
      </c>
      <c r="G976" s="2">
        <v>45008</v>
      </c>
      <c r="H976" s="2">
        <f t="shared" si="46"/>
        <v>45012</v>
      </c>
      <c r="I976" s="2">
        <f t="shared" si="47"/>
        <v>45030</v>
      </c>
      <c r="J976" t="str">
        <f>VLOOKUP(M976,Umfragenteilnahme!$A$2:$B$3,2,)</f>
        <v>Ja</v>
      </c>
      <c r="M976">
        <v>1</v>
      </c>
      <c r="N976">
        <v>719</v>
      </c>
      <c r="O976">
        <v>3</v>
      </c>
      <c r="P976">
        <v>40</v>
      </c>
      <c r="Q976">
        <v>8</v>
      </c>
      <c r="R976">
        <v>4</v>
      </c>
      <c r="S976">
        <v>22</v>
      </c>
    </row>
    <row r="977" spans="1:19" x14ac:dyDescent="0.35">
      <c r="A977">
        <v>8624</v>
      </c>
      <c r="B977">
        <v>684</v>
      </c>
      <c r="C977" t="str">
        <f>VLOOKUP(B977,Kunde!A:C,3,FALSE)</f>
        <v>Geschäftskunde</v>
      </c>
      <c r="D977" t="str">
        <f>VLOOKUP(O977,Produkt!$A$1:$E$5,2,FALSE)</f>
        <v>B</v>
      </c>
      <c r="E977">
        <f t="shared" si="45"/>
        <v>76</v>
      </c>
      <c r="F977">
        <f>VLOOKUP(D977,Produkt!$B$1:$C$5,2,FALSE)*Bestellungen!E977</f>
        <v>36480</v>
      </c>
      <c r="G977" s="2">
        <v>44843</v>
      </c>
      <c r="H977" s="2">
        <f t="shared" si="46"/>
        <v>44848</v>
      </c>
      <c r="I977" s="2">
        <f t="shared" si="47"/>
        <v>44862</v>
      </c>
      <c r="J977" t="str">
        <f>VLOOKUP(M977,Umfragenteilnahme!$A$2:$B$3,2,)</f>
        <v>Nein</v>
      </c>
      <c r="M977">
        <v>2</v>
      </c>
      <c r="N977">
        <v>684</v>
      </c>
      <c r="O977">
        <v>2</v>
      </c>
      <c r="P977">
        <v>76</v>
      </c>
      <c r="Q977">
        <v>4</v>
      </c>
      <c r="R977">
        <v>5</v>
      </c>
      <c r="S977">
        <v>19</v>
      </c>
    </row>
    <row r="978" spans="1:19" x14ac:dyDescent="0.35">
      <c r="A978">
        <v>8625</v>
      </c>
      <c r="B978">
        <v>422</v>
      </c>
      <c r="C978" t="str">
        <f>VLOOKUP(B978,Kunde!A:C,3,FALSE)</f>
        <v>Geschäftskunde</v>
      </c>
      <c r="D978" t="str">
        <f>VLOOKUP(O978,Produkt!$A$1:$E$5,2,FALSE)</f>
        <v>D</v>
      </c>
      <c r="E978">
        <f t="shared" si="45"/>
        <v>91</v>
      </c>
      <c r="F978">
        <f>VLOOKUP(D978,Produkt!$B$1:$C$5,2,FALSE)*Bestellungen!E978</f>
        <v>72800</v>
      </c>
      <c r="G978" s="2">
        <v>44927</v>
      </c>
      <c r="H978" s="2">
        <f t="shared" si="46"/>
        <v>44931</v>
      </c>
      <c r="I978" s="2">
        <f t="shared" si="47"/>
        <v>44938</v>
      </c>
      <c r="J978" t="str">
        <f>VLOOKUP(M978,Umfragenteilnahme!$A$2:$B$3,2,)</f>
        <v>Nein</v>
      </c>
      <c r="M978">
        <v>2</v>
      </c>
      <c r="N978">
        <v>422</v>
      </c>
      <c r="O978">
        <v>4</v>
      </c>
      <c r="P978">
        <v>91</v>
      </c>
      <c r="Q978">
        <v>10</v>
      </c>
      <c r="R978">
        <v>4</v>
      </c>
      <c r="S978">
        <v>11</v>
      </c>
    </row>
    <row r="979" spans="1:19" x14ac:dyDescent="0.35">
      <c r="A979">
        <v>8626</v>
      </c>
      <c r="B979">
        <v>634</v>
      </c>
      <c r="C979" t="str">
        <f>VLOOKUP(B979,Kunde!A:C,3,FALSE)</f>
        <v>Geschäftskunde</v>
      </c>
      <c r="D979" t="str">
        <f>VLOOKUP(O979,Produkt!$A$1:$E$5,2,FALSE)</f>
        <v>A</v>
      </c>
      <c r="E979">
        <f t="shared" si="45"/>
        <v>130</v>
      </c>
      <c r="F979">
        <f>VLOOKUP(D979,Produkt!$B$1:$C$5,2,FALSE)*Bestellungen!E979</f>
        <v>39000</v>
      </c>
      <c r="G979" s="2">
        <v>44809</v>
      </c>
      <c r="H979" s="2">
        <f t="shared" si="46"/>
        <v>44816</v>
      </c>
      <c r="I979" s="2">
        <f t="shared" si="47"/>
        <v>44816</v>
      </c>
      <c r="J979" t="str">
        <f>VLOOKUP(M979,Umfragenteilnahme!$A$2:$B$3,2,)</f>
        <v>Nein</v>
      </c>
      <c r="M979">
        <v>2</v>
      </c>
      <c r="N979">
        <v>634</v>
      </c>
      <c r="O979">
        <v>1</v>
      </c>
      <c r="P979">
        <v>130</v>
      </c>
      <c r="Q979">
        <v>2</v>
      </c>
      <c r="R979">
        <v>7</v>
      </c>
      <c r="S979">
        <v>7</v>
      </c>
    </row>
    <row r="980" spans="1:19" x14ac:dyDescent="0.35">
      <c r="A980">
        <v>8627</v>
      </c>
      <c r="B980">
        <v>69</v>
      </c>
      <c r="C980" t="str">
        <f>VLOOKUP(B980,Kunde!A:C,3,FALSE)</f>
        <v>Geschäftskunde</v>
      </c>
      <c r="D980" t="str">
        <f>VLOOKUP(O980,Produkt!$A$1:$E$5,2,FALSE)</f>
        <v>B</v>
      </c>
      <c r="E980">
        <f t="shared" si="45"/>
        <v>67</v>
      </c>
      <c r="F980">
        <f>VLOOKUP(D980,Produkt!$B$1:$C$5,2,FALSE)*Bestellungen!E980</f>
        <v>32160</v>
      </c>
      <c r="G980" s="2">
        <v>45061</v>
      </c>
      <c r="H980" s="2">
        <f t="shared" si="46"/>
        <v>45064</v>
      </c>
      <c r="I980" s="2">
        <f t="shared" si="47"/>
        <v>45105</v>
      </c>
      <c r="J980" t="str">
        <f>VLOOKUP(M980,Umfragenteilnahme!$A$2:$B$3,2,)</f>
        <v>Ja</v>
      </c>
      <c r="M980">
        <v>1</v>
      </c>
      <c r="N980">
        <v>69</v>
      </c>
      <c r="O980">
        <v>2</v>
      </c>
      <c r="P980">
        <v>67</v>
      </c>
      <c r="Q980">
        <v>7</v>
      </c>
      <c r="R980">
        <v>3</v>
      </c>
      <c r="S980">
        <v>44</v>
      </c>
    </row>
    <row r="981" spans="1:19" x14ac:dyDescent="0.35">
      <c r="A981">
        <v>8628</v>
      </c>
      <c r="B981">
        <v>472</v>
      </c>
      <c r="C981" t="str">
        <f>VLOOKUP(B981,Kunde!A:C,3,FALSE)</f>
        <v>Privatkunde</v>
      </c>
      <c r="D981" t="str">
        <f>VLOOKUP(O981,Produkt!$A$1:$E$5,2,FALSE)</f>
        <v>A</v>
      </c>
      <c r="E981">
        <f t="shared" si="45"/>
        <v>6</v>
      </c>
      <c r="F981">
        <f>VLOOKUP(D981,Produkt!$B$1:$C$5,2,FALSE)*Bestellungen!E981</f>
        <v>1800</v>
      </c>
      <c r="G981" s="2">
        <v>44744</v>
      </c>
      <c r="H981" s="2">
        <f t="shared" si="46"/>
        <v>44748</v>
      </c>
      <c r="I981" s="2">
        <f t="shared" si="47"/>
        <v>44749</v>
      </c>
      <c r="J981" t="str">
        <f>VLOOKUP(M981,Umfragenteilnahme!$A$2:$B$3,2,)</f>
        <v>Ja</v>
      </c>
      <c r="M981">
        <v>1</v>
      </c>
      <c r="N981">
        <v>472</v>
      </c>
      <c r="O981">
        <v>1</v>
      </c>
      <c r="P981">
        <v>137</v>
      </c>
      <c r="Q981">
        <v>6</v>
      </c>
      <c r="R981">
        <v>4</v>
      </c>
      <c r="S981">
        <v>5</v>
      </c>
    </row>
    <row r="982" spans="1:19" x14ac:dyDescent="0.35">
      <c r="A982">
        <v>8629</v>
      </c>
      <c r="B982">
        <v>372</v>
      </c>
      <c r="C982" t="str">
        <f>VLOOKUP(B982,Kunde!A:C,3,FALSE)</f>
        <v>Geschäftskunde</v>
      </c>
      <c r="D982" t="str">
        <f>VLOOKUP(O982,Produkt!$A$1:$E$5,2,FALSE)</f>
        <v>D</v>
      </c>
      <c r="E982">
        <f t="shared" si="45"/>
        <v>97</v>
      </c>
      <c r="F982">
        <f>VLOOKUP(D982,Produkt!$B$1:$C$5,2,FALSE)*Bestellungen!E982</f>
        <v>77600</v>
      </c>
      <c r="G982" s="2">
        <v>44899</v>
      </c>
      <c r="H982" s="2">
        <f t="shared" si="46"/>
        <v>44903</v>
      </c>
      <c r="I982" s="2">
        <f t="shared" si="47"/>
        <v>44950</v>
      </c>
      <c r="J982" t="str">
        <f>VLOOKUP(M982,Umfragenteilnahme!$A$2:$B$3,2,)</f>
        <v>Nein</v>
      </c>
      <c r="M982">
        <v>2</v>
      </c>
      <c r="N982">
        <v>372</v>
      </c>
      <c r="O982">
        <v>4</v>
      </c>
      <c r="P982">
        <v>97</v>
      </c>
      <c r="Q982">
        <v>8</v>
      </c>
      <c r="R982">
        <v>4</v>
      </c>
      <c r="S982">
        <v>51</v>
      </c>
    </row>
    <row r="983" spans="1:19" x14ac:dyDescent="0.35">
      <c r="A983">
        <v>8630</v>
      </c>
      <c r="B983">
        <v>714</v>
      </c>
      <c r="C983" t="str">
        <f>VLOOKUP(B983,Kunde!A:C,3,FALSE)</f>
        <v>Geschäftskunde</v>
      </c>
      <c r="D983" t="str">
        <f>VLOOKUP(O983,Produkt!$A$1:$E$5,2,FALSE)</f>
        <v>D</v>
      </c>
      <c r="E983">
        <f t="shared" si="45"/>
        <v>14</v>
      </c>
      <c r="F983">
        <f>VLOOKUP(D983,Produkt!$B$1:$C$5,2,FALSE)*Bestellungen!E983</f>
        <v>11200</v>
      </c>
      <c r="G983" s="2">
        <v>44955</v>
      </c>
      <c r="H983" s="2">
        <f t="shared" si="46"/>
        <v>44962</v>
      </c>
      <c r="I983" s="2">
        <f t="shared" si="47"/>
        <v>44997</v>
      </c>
      <c r="J983" t="str">
        <f>VLOOKUP(M983,Umfragenteilnahme!$A$2:$B$3,2,)</f>
        <v>Nein</v>
      </c>
      <c r="M983">
        <v>2</v>
      </c>
      <c r="N983">
        <v>714</v>
      </c>
      <c r="O983">
        <v>4</v>
      </c>
      <c r="P983">
        <v>14</v>
      </c>
      <c r="Q983">
        <v>7</v>
      </c>
      <c r="R983">
        <v>7</v>
      </c>
      <c r="S983">
        <v>42</v>
      </c>
    </row>
    <row r="984" spans="1:19" x14ac:dyDescent="0.35">
      <c r="A984">
        <v>8631</v>
      </c>
      <c r="B984">
        <v>444</v>
      </c>
      <c r="C984" t="str">
        <f>VLOOKUP(B984,Kunde!A:C,3,FALSE)</f>
        <v>Geschäftskunde</v>
      </c>
      <c r="D984" t="str">
        <f>VLOOKUP(O984,Produkt!$A$1:$E$5,2,FALSE)</f>
        <v>A</v>
      </c>
      <c r="E984">
        <f t="shared" si="45"/>
        <v>100</v>
      </c>
      <c r="F984">
        <f>VLOOKUP(D984,Produkt!$B$1:$C$5,2,FALSE)*Bestellungen!E984</f>
        <v>30000</v>
      </c>
      <c r="G984" s="2">
        <v>44975</v>
      </c>
      <c r="H984" s="2">
        <f t="shared" si="46"/>
        <v>44980</v>
      </c>
      <c r="I984" s="2">
        <f t="shared" si="47"/>
        <v>45031</v>
      </c>
      <c r="J984" t="str">
        <f>VLOOKUP(M984,Umfragenteilnahme!$A$2:$B$3,2,)</f>
        <v>Ja</v>
      </c>
      <c r="M984">
        <v>1</v>
      </c>
      <c r="N984">
        <v>444</v>
      </c>
      <c r="O984">
        <v>1</v>
      </c>
      <c r="P984">
        <v>100</v>
      </c>
      <c r="Q984">
        <v>2</v>
      </c>
      <c r="R984">
        <v>5</v>
      </c>
      <c r="S984">
        <v>56</v>
      </c>
    </row>
    <row r="985" spans="1:19" x14ac:dyDescent="0.35">
      <c r="A985">
        <v>8632</v>
      </c>
      <c r="B985">
        <v>508</v>
      </c>
      <c r="C985" t="str">
        <f>VLOOKUP(B985,Kunde!A:C,3,FALSE)</f>
        <v>Geschäftskunde</v>
      </c>
      <c r="D985" t="str">
        <f>VLOOKUP(O985,Produkt!$A$1:$E$5,2,FALSE)</f>
        <v>D</v>
      </c>
      <c r="E985">
        <f t="shared" si="45"/>
        <v>10</v>
      </c>
      <c r="F985">
        <f>VLOOKUP(D985,Produkt!$B$1:$C$5,2,FALSE)*Bestellungen!E985</f>
        <v>8000</v>
      </c>
      <c r="G985" s="2">
        <v>44805</v>
      </c>
      <c r="H985" s="2">
        <f t="shared" si="46"/>
        <v>44807</v>
      </c>
      <c r="I985" s="2">
        <f t="shared" si="47"/>
        <v>44834</v>
      </c>
      <c r="J985" t="str">
        <f>VLOOKUP(M985,Umfragenteilnahme!$A$2:$B$3,2,)</f>
        <v>Nein</v>
      </c>
      <c r="M985">
        <v>2</v>
      </c>
      <c r="N985">
        <v>508</v>
      </c>
      <c r="O985">
        <v>4</v>
      </c>
      <c r="P985">
        <v>10</v>
      </c>
      <c r="Q985">
        <v>4</v>
      </c>
      <c r="R985">
        <v>2</v>
      </c>
      <c r="S985">
        <v>29</v>
      </c>
    </row>
    <row r="986" spans="1:19" x14ac:dyDescent="0.35">
      <c r="A986">
        <v>8633</v>
      </c>
      <c r="B986">
        <v>167</v>
      </c>
      <c r="C986" t="str">
        <f>VLOOKUP(B986,Kunde!A:C,3,FALSE)</f>
        <v>Geschäftskunde</v>
      </c>
      <c r="D986" t="str">
        <f>VLOOKUP(O986,Produkt!$A$1:$E$5,2,FALSE)</f>
        <v>D</v>
      </c>
      <c r="E986">
        <f t="shared" si="45"/>
        <v>94</v>
      </c>
      <c r="F986">
        <f>VLOOKUP(D986,Produkt!$B$1:$C$5,2,FALSE)*Bestellungen!E986</f>
        <v>75200</v>
      </c>
      <c r="G986" s="2">
        <v>44726</v>
      </c>
      <c r="H986" s="2">
        <f t="shared" si="46"/>
        <v>44733</v>
      </c>
      <c r="I986" s="2">
        <f t="shared" si="47"/>
        <v>44746</v>
      </c>
      <c r="J986" t="str">
        <f>VLOOKUP(M986,Umfragenteilnahme!$A$2:$B$3,2,)</f>
        <v>Nein</v>
      </c>
      <c r="M986">
        <v>2</v>
      </c>
      <c r="N986">
        <v>167</v>
      </c>
      <c r="O986">
        <v>4</v>
      </c>
      <c r="P986">
        <v>94</v>
      </c>
      <c r="Q986">
        <v>7</v>
      </c>
      <c r="R986">
        <v>7</v>
      </c>
      <c r="S986">
        <v>20</v>
      </c>
    </row>
    <row r="987" spans="1:19" x14ac:dyDescent="0.35">
      <c r="A987">
        <v>8634</v>
      </c>
      <c r="B987">
        <v>654</v>
      </c>
      <c r="C987" t="str">
        <f>VLOOKUP(B987,Kunde!A:C,3,FALSE)</f>
        <v>Geschäftskunde</v>
      </c>
      <c r="D987" t="str">
        <f>VLOOKUP(O987,Produkt!$A$1:$E$5,2,FALSE)</f>
        <v>D</v>
      </c>
      <c r="E987">
        <f t="shared" si="45"/>
        <v>72</v>
      </c>
      <c r="F987">
        <f>VLOOKUP(D987,Produkt!$B$1:$C$5,2,FALSE)*Bestellungen!E987</f>
        <v>57600</v>
      </c>
      <c r="G987" s="2">
        <v>44716</v>
      </c>
      <c r="H987" s="2">
        <f t="shared" si="46"/>
        <v>44719</v>
      </c>
      <c r="I987" s="2">
        <f t="shared" si="47"/>
        <v>44728</v>
      </c>
      <c r="J987" t="str">
        <f>VLOOKUP(M987,Umfragenteilnahme!$A$2:$B$3,2,)</f>
        <v>Ja</v>
      </c>
      <c r="M987">
        <v>1</v>
      </c>
      <c r="N987">
        <v>654</v>
      </c>
      <c r="O987">
        <v>4</v>
      </c>
      <c r="P987">
        <v>72</v>
      </c>
      <c r="Q987">
        <v>3</v>
      </c>
      <c r="R987">
        <v>3</v>
      </c>
      <c r="S987">
        <v>12</v>
      </c>
    </row>
    <row r="988" spans="1:19" x14ac:dyDescent="0.35">
      <c r="A988">
        <v>8635</v>
      </c>
      <c r="B988">
        <v>505</v>
      </c>
      <c r="C988" t="str">
        <f>VLOOKUP(B988,Kunde!A:C,3,FALSE)</f>
        <v>Geschäftskunde</v>
      </c>
      <c r="D988" t="str">
        <f>VLOOKUP(O988,Produkt!$A$1:$E$5,2,FALSE)</f>
        <v>A</v>
      </c>
      <c r="E988">
        <f t="shared" si="45"/>
        <v>29</v>
      </c>
      <c r="F988">
        <f>VLOOKUP(D988,Produkt!$B$1:$C$5,2,FALSE)*Bestellungen!E988</f>
        <v>8700</v>
      </c>
      <c r="G988" s="2">
        <v>44917</v>
      </c>
      <c r="H988" s="2">
        <f t="shared" si="46"/>
        <v>44921</v>
      </c>
      <c r="I988" s="2">
        <f t="shared" si="47"/>
        <v>44937</v>
      </c>
      <c r="J988" t="str">
        <f>VLOOKUP(M988,Umfragenteilnahme!$A$2:$B$3,2,)</f>
        <v>Ja</v>
      </c>
      <c r="M988">
        <v>1</v>
      </c>
      <c r="N988">
        <v>505</v>
      </c>
      <c r="O988">
        <v>1</v>
      </c>
      <c r="P988">
        <v>29</v>
      </c>
      <c r="Q988">
        <v>10</v>
      </c>
      <c r="R988">
        <v>4</v>
      </c>
      <c r="S988">
        <v>20</v>
      </c>
    </row>
    <row r="989" spans="1:19" x14ac:dyDescent="0.35">
      <c r="A989">
        <v>8636</v>
      </c>
      <c r="B989">
        <v>655</v>
      </c>
      <c r="C989" t="str">
        <f>VLOOKUP(B989,Kunde!A:C,3,FALSE)</f>
        <v>Geschäftskunde</v>
      </c>
      <c r="D989" t="str">
        <f>VLOOKUP(O989,Produkt!$A$1:$E$5,2,FALSE)</f>
        <v>C</v>
      </c>
      <c r="E989">
        <f t="shared" si="45"/>
        <v>140</v>
      </c>
      <c r="F989">
        <f>VLOOKUP(D989,Produkt!$B$1:$C$5,2,FALSE)*Bestellungen!E989</f>
        <v>210000</v>
      </c>
      <c r="G989" s="2">
        <v>44868</v>
      </c>
      <c r="H989" s="2">
        <f t="shared" si="46"/>
        <v>44870</v>
      </c>
      <c r="I989" s="2">
        <f t="shared" si="47"/>
        <v>44926</v>
      </c>
      <c r="J989" t="str">
        <f>VLOOKUP(M989,Umfragenteilnahme!$A$2:$B$3,2,)</f>
        <v>Nein</v>
      </c>
      <c r="M989">
        <v>2</v>
      </c>
      <c r="N989">
        <v>655</v>
      </c>
      <c r="O989">
        <v>3</v>
      </c>
      <c r="P989">
        <v>140</v>
      </c>
      <c r="Q989">
        <v>9</v>
      </c>
      <c r="R989">
        <v>2</v>
      </c>
      <c r="S989">
        <v>58</v>
      </c>
    </row>
    <row r="990" spans="1:19" x14ac:dyDescent="0.35">
      <c r="A990">
        <v>8637</v>
      </c>
      <c r="B990">
        <v>45</v>
      </c>
      <c r="C990" t="str">
        <f>VLOOKUP(B990,Kunde!A:C,3,FALSE)</f>
        <v>Privatkunde</v>
      </c>
      <c r="D990" t="str">
        <f>VLOOKUP(O990,Produkt!$A$1:$E$5,2,FALSE)</f>
        <v>A</v>
      </c>
      <c r="E990">
        <f t="shared" si="45"/>
        <v>10</v>
      </c>
      <c r="F990">
        <f>VLOOKUP(D990,Produkt!$B$1:$C$5,2,FALSE)*Bestellungen!E990</f>
        <v>3000</v>
      </c>
      <c r="G990" s="2">
        <v>44909</v>
      </c>
      <c r="H990" s="2">
        <f t="shared" si="46"/>
        <v>44916</v>
      </c>
      <c r="I990" s="2">
        <f t="shared" si="47"/>
        <v>44956</v>
      </c>
      <c r="J990" t="str">
        <f>VLOOKUP(M990,Umfragenteilnahme!$A$2:$B$3,2,)</f>
        <v>Nein</v>
      </c>
      <c r="M990">
        <v>2</v>
      </c>
      <c r="N990">
        <v>45</v>
      </c>
      <c r="O990">
        <v>1</v>
      </c>
      <c r="P990">
        <v>29</v>
      </c>
      <c r="Q990">
        <v>10</v>
      </c>
      <c r="R990">
        <v>7</v>
      </c>
      <c r="S990">
        <v>47</v>
      </c>
    </row>
    <row r="991" spans="1:19" x14ac:dyDescent="0.35">
      <c r="A991">
        <v>8638</v>
      </c>
      <c r="B991">
        <v>339</v>
      </c>
      <c r="C991" t="str">
        <f>VLOOKUP(B991,Kunde!A:C,3,FALSE)</f>
        <v>Geschäftskunde</v>
      </c>
      <c r="D991" t="str">
        <f>VLOOKUP(O991,Produkt!$A$1:$E$5,2,FALSE)</f>
        <v>A</v>
      </c>
      <c r="E991">
        <f t="shared" si="45"/>
        <v>131</v>
      </c>
      <c r="F991">
        <f>VLOOKUP(D991,Produkt!$B$1:$C$5,2,FALSE)*Bestellungen!E991</f>
        <v>39300</v>
      </c>
      <c r="G991" s="2">
        <v>44882</v>
      </c>
      <c r="H991" s="2">
        <f t="shared" si="46"/>
        <v>44889</v>
      </c>
      <c r="I991" s="2">
        <f t="shared" si="47"/>
        <v>44895</v>
      </c>
      <c r="J991" t="str">
        <f>VLOOKUP(M991,Umfragenteilnahme!$A$2:$B$3,2,)</f>
        <v>Ja</v>
      </c>
      <c r="M991">
        <v>1</v>
      </c>
      <c r="N991">
        <v>339</v>
      </c>
      <c r="O991">
        <v>1</v>
      </c>
      <c r="P991">
        <v>131</v>
      </c>
      <c r="Q991">
        <v>10</v>
      </c>
      <c r="R991">
        <v>7</v>
      </c>
      <c r="S991">
        <v>13</v>
      </c>
    </row>
    <row r="992" spans="1:19" x14ac:dyDescent="0.35">
      <c r="A992">
        <v>8639</v>
      </c>
      <c r="B992">
        <v>71</v>
      </c>
      <c r="C992" t="str">
        <f>VLOOKUP(B992,Kunde!A:C,3,FALSE)</f>
        <v>Geschäftskunde</v>
      </c>
      <c r="D992" t="str">
        <f>VLOOKUP(O992,Produkt!$A$1:$E$5,2,FALSE)</f>
        <v>B</v>
      </c>
      <c r="E992">
        <f t="shared" si="45"/>
        <v>51</v>
      </c>
      <c r="F992">
        <f>VLOOKUP(D992,Produkt!$B$1:$C$5,2,FALSE)*Bestellungen!E992</f>
        <v>24480</v>
      </c>
      <c r="G992" s="2">
        <v>45027</v>
      </c>
      <c r="H992" s="2">
        <f t="shared" si="46"/>
        <v>45031</v>
      </c>
      <c r="I992" s="2">
        <f t="shared" si="47"/>
        <v>45050</v>
      </c>
      <c r="J992" t="str">
        <f>VLOOKUP(M992,Umfragenteilnahme!$A$2:$B$3,2,)</f>
        <v>Ja</v>
      </c>
      <c r="M992">
        <v>1</v>
      </c>
      <c r="N992">
        <v>71</v>
      </c>
      <c r="O992">
        <v>2</v>
      </c>
      <c r="P992">
        <v>51</v>
      </c>
      <c r="Q992">
        <v>10</v>
      </c>
      <c r="R992">
        <v>4</v>
      </c>
      <c r="S992">
        <v>23</v>
      </c>
    </row>
    <row r="993" spans="1:19" x14ac:dyDescent="0.35">
      <c r="A993">
        <v>8640</v>
      </c>
      <c r="B993">
        <v>224</v>
      </c>
      <c r="C993" t="str">
        <f>VLOOKUP(B993,Kunde!A:C,3,FALSE)</f>
        <v>Geschäftskunde</v>
      </c>
      <c r="D993" t="str">
        <f>VLOOKUP(O993,Produkt!$A$1:$E$5,2,FALSE)</f>
        <v>C</v>
      </c>
      <c r="E993">
        <f t="shared" si="45"/>
        <v>115</v>
      </c>
      <c r="F993">
        <f>VLOOKUP(D993,Produkt!$B$1:$C$5,2,FALSE)*Bestellungen!E993</f>
        <v>172500</v>
      </c>
      <c r="G993" s="2">
        <v>44900</v>
      </c>
      <c r="H993" s="2">
        <f t="shared" si="46"/>
        <v>44903</v>
      </c>
      <c r="I993" s="2">
        <f t="shared" si="47"/>
        <v>44940</v>
      </c>
      <c r="J993" t="str">
        <f>VLOOKUP(M993,Umfragenteilnahme!$A$2:$B$3,2,)</f>
        <v>Nein</v>
      </c>
      <c r="M993">
        <v>2</v>
      </c>
      <c r="N993">
        <v>224</v>
      </c>
      <c r="O993">
        <v>3</v>
      </c>
      <c r="P993">
        <v>115</v>
      </c>
      <c r="Q993">
        <v>6</v>
      </c>
      <c r="R993">
        <v>3</v>
      </c>
      <c r="S993">
        <v>40</v>
      </c>
    </row>
    <row r="994" spans="1:19" x14ac:dyDescent="0.35">
      <c r="A994">
        <v>8641</v>
      </c>
      <c r="B994">
        <v>623</v>
      </c>
      <c r="C994" t="str">
        <f>VLOOKUP(B994,Kunde!A:C,3,FALSE)</f>
        <v>Privatkunde</v>
      </c>
      <c r="D994" t="str">
        <f>VLOOKUP(O994,Produkt!$A$1:$E$5,2,FALSE)</f>
        <v>D</v>
      </c>
      <c r="E994">
        <f t="shared" si="45"/>
        <v>9</v>
      </c>
      <c r="F994">
        <f>VLOOKUP(D994,Produkt!$B$1:$C$5,2,FALSE)*Bestellungen!E994</f>
        <v>7200</v>
      </c>
      <c r="G994" s="2">
        <v>44722</v>
      </c>
      <c r="H994" s="2">
        <f t="shared" si="46"/>
        <v>44724</v>
      </c>
      <c r="I994" s="2">
        <f t="shared" si="47"/>
        <v>44778</v>
      </c>
      <c r="J994" t="str">
        <f>VLOOKUP(M994,Umfragenteilnahme!$A$2:$B$3,2,)</f>
        <v>Nein</v>
      </c>
      <c r="M994">
        <v>2</v>
      </c>
      <c r="N994">
        <v>623</v>
      </c>
      <c r="O994">
        <v>4</v>
      </c>
      <c r="P994">
        <v>81</v>
      </c>
      <c r="Q994">
        <v>9</v>
      </c>
      <c r="R994">
        <v>2</v>
      </c>
      <c r="S994">
        <v>56</v>
      </c>
    </row>
    <row r="995" spans="1:19" x14ac:dyDescent="0.35">
      <c r="A995">
        <v>8642</v>
      </c>
      <c r="B995">
        <v>704</v>
      </c>
      <c r="C995" t="str">
        <f>VLOOKUP(B995,Kunde!A:C,3,FALSE)</f>
        <v>Geschäftskunde</v>
      </c>
      <c r="D995" t="str">
        <f>VLOOKUP(O995,Produkt!$A$1:$E$5,2,FALSE)</f>
        <v>D</v>
      </c>
      <c r="E995">
        <f t="shared" si="45"/>
        <v>42</v>
      </c>
      <c r="F995">
        <f>VLOOKUP(D995,Produkt!$B$1:$C$5,2,FALSE)*Bestellungen!E995</f>
        <v>33600</v>
      </c>
      <c r="G995" s="2">
        <v>44722</v>
      </c>
      <c r="H995" s="2">
        <f t="shared" si="46"/>
        <v>44727</v>
      </c>
      <c r="I995" s="2">
        <f t="shared" si="47"/>
        <v>44751</v>
      </c>
      <c r="J995" t="str">
        <f>VLOOKUP(M995,Umfragenteilnahme!$A$2:$B$3,2,)</f>
        <v>Nein</v>
      </c>
      <c r="M995">
        <v>2</v>
      </c>
      <c r="N995">
        <v>704</v>
      </c>
      <c r="O995">
        <v>4</v>
      </c>
      <c r="P995">
        <v>42</v>
      </c>
      <c r="Q995">
        <v>6</v>
      </c>
      <c r="R995">
        <v>5</v>
      </c>
      <c r="S995">
        <v>29</v>
      </c>
    </row>
    <row r="996" spans="1:19" x14ac:dyDescent="0.35">
      <c r="A996">
        <v>8643</v>
      </c>
      <c r="B996">
        <v>785</v>
      </c>
      <c r="C996" t="str">
        <f>VLOOKUP(B996,Kunde!A:C,3,FALSE)</f>
        <v>Geschäftskunde</v>
      </c>
      <c r="D996" t="str">
        <f>VLOOKUP(O996,Produkt!$A$1:$E$5,2,FALSE)</f>
        <v>A</v>
      </c>
      <c r="E996">
        <f t="shared" si="45"/>
        <v>97</v>
      </c>
      <c r="F996">
        <f>VLOOKUP(D996,Produkt!$B$1:$C$5,2,FALSE)*Bestellungen!E996</f>
        <v>29100</v>
      </c>
      <c r="G996" s="2">
        <v>44786</v>
      </c>
      <c r="H996" s="2">
        <f t="shared" si="46"/>
        <v>44789</v>
      </c>
      <c r="I996" s="2">
        <f t="shared" si="47"/>
        <v>44803</v>
      </c>
      <c r="J996" t="str">
        <f>VLOOKUP(M996,Umfragenteilnahme!$A$2:$B$3,2,)</f>
        <v>Ja</v>
      </c>
      <c r="M996">
        <v>1</v>
      </c>
      <c r="N996">
        <v>785</v>
      </c>
      <c r="O996">
        <v>1</v>
      </c>
      <c r="P996">
        <v>97</v>
      </c>
      <c r="Q996">
        <v>5</v>
      </c>
      <c r="R996">
        <v>3</v>
      </c>
      <c r="S996">
        <v>17</v>
      </c>
    </row>
    <row r="997" spans="1:19" x14ac:dyDescent="0.35">
      <c r="A997">
        <v>8644</v>
      </c>
      <c r="B997">
        <v>558</v>
      </c>
      <c r="C997" t="str">
        <f>VLOOKUP(B997,Kunde!A:C,3,FALSE)</f>
        <v>Geschäftskunde</v>
      </c>
      <c r="D997" t="str">
        <f>VLOOKUP(O997,Produkt!$A$1:$E$5,2,FALSE)</f>
        <v>B</v>
      </c>
      <c r="E997">
        <f t="shared" si="45"/>
        <v>114</v>
      </c>
      <c r="F997">
        <f>VLOOKUP(D997,Produkt!$B$1:$C$5,2,FALSE)*Bestellungen!E997</f>
        <v>54720</v>
      </c>
      <c r="G997" s="2">
        <v>44819</v>
      </c>
      <c r="H997" s="2">
        <f t="shared" si="46"/>
        <v>44821</v>
      </c>
      <c r="I997" s="2">
        <f t="shared" si="47"/>
        <v>44846</v>
      </c>
      <c r="J997" t="str">
        <f>VLOOKUP(M997,Umfragenteilnahme!$A$2:$B$3,2,)</f>
        <v>Ja</v>
      </c>
      <c r="M997">
        <v>1</v>
      </c>
      <c r="N997">
        <v>558</v>
      </c>
      <c r="O997">
        <v>2</v>
      </c>
      <c r="P997">
        <v>114</v>
      </c>
      <c r="Q997">
        <v>5</v>
      </c>
      <c r="R997">
        <v>2</v>
      </c>
      <c r="S997">
        <v>27</v>
      </c>
    </row>
    <row r="998" spans="1:19" x14ac:dyDescent="0.35">
      <c r="A998">
        <v>8645</v>
      </c>
      <c r="B998">
        <v>219</v>
      </c>
      <c r="C998" t="str">
        <f>VLOOKUP(B998,Kunde!A:C,3,FALSE)</f>
        <v>Geschäftskunde</v>
      </c>
      <c r="D998" t="str">
        <f>VLOOKUP(O998,Produkt!$A$1:$E$5,2,FALSE)</f>
        <v>C</v>
      </c>
      <c r="E998">
        <f t="shared" si="45"/>
        <v>18</v>
      </c>
      <c r="F998">
        <f>VLOOKUP(D998,Produkt!$B$1:$C$5,2,FALSE)*Bestellungen!E998</f>
        <v>27000</v>
      </c>
      <c r="G998" s="2">
        <v>44759</v>
      </c>
      <c r="H998" s="2">
        <f t="shared" si="46"/>
        <v>44761</v>
      </c>
      <c r="I998" s="2">
        <f t="shared" si="47"/>
        <v>44781</v>
      </c>
      <c r="J998" t="str">
        <f>VLOOKUP(M998,Umfragenteilnahme!$A$2:$B$3,2,)</f>
        <v>Ja</v>
      </c>
      <c r="M998">
        <v>1</v>
      </c>
      <c r="N998">
        <v>219</v>
      </c>
      <c r="O998">
        <v>3</v>
      </c>
      <c r="P998">
        <v>18</v>
      </c>
      <c r="Q998">
        <v>1</v>
      </c>
      <c r="R998">
        <v>2</v>
      </c>
      <c r="S998">
        <v>22</v>
      </c>
    </row>
    <row r="999" spans="1:19" x14ac:dyDescent="0.35">
      <c r="A999">
        <v>8646</v>
      </c>
      <c r="B999">
        <v>733</v>
      </c>
      <c r="C999" t="str">
        <f>VLOOKUP(B999,Kunde!A:C,3,FALSE)</f>
        <v>Geschäftskunde</v>
      </c>
      <c r="D999" t="str">
        <f>VLOOKUP(O999,Produkt!$A$1:$E$5,2,FALSE)</f>
        <v>B</v>
      </c>
      <c r="E999">
        <f t="shared" si="45"/>
        <v>135</v>
      </c>
      <c r="F999">
        <f>VLOOKUP(D999,Produkt!$B$1:$C$5,2,FALSE)*Bestellungen!E999</f>
        <v>64800</v>
      </c>
      <c r="G999" s="2">
        <v>45002</v>
      </c>
      <c r="H999" s="2">
        <f t="shared" si="46"/>
        <v>45009</v>
      </c>
      <c r="I999" s="2">
        <f t="shared" si="47"/>
        <v>45015</v>
      </c>
      <c r="J999" t="str">
        <f>VLOOKUP(M999,Umfragenteilnahme!$A$2:$B$3,2,)</f>
        <v>Nein</v>
      </c>
      <c r="M999">
        <v>2</v>
      </c>
      <c r="N999">
        <v>733</v>
      </c>
      <c r="O999">
        <v>2</v>
      </c>
      <c r="P999">
        <v>135</v>
      </c>
      <c r="Q999">
        <v>5</v>
      </c>
      <c r="R999">
        <v>7</v>
      </c>
      <c r="S999">
        <v>13</v>
      </c>
    </row>
    <row r="1000" spans="1:19" x14ac:dyDescent="0.35">
      <c r="A1000">
        <v>8647</v>
      </c>
      <c r="B1000">
        <v>692</v>
      </c>
      <c r="C1000" t="str">
        <f>VLOOKUP(B1000,Kunde!A:C,3,FALSE)</f>
        <v>Geschäftskunde</v>
      </c>
      <c r="D1000" t="str">
        <f>VLOOKUP(O1000,Produkt!$A$1:$E$5,2,FALSE)</f>
        <v>D</v>
      </c>
      <c r="E1000">
        <f t="shared" si="45"/>
        <v>60</v>
      </c>
      <c r="F1000">
        <f>VLOOKUP(D1000,Produkt!$B$1:$C$5,2,FALSE)*Bestellungen!E1000</f>
        <v>48000</v>
      </c>
      <c r="G1000" s="2">
        <v>44954</v>
      </c>
      <c r="H1000" s="2">
        <f t="shared" si="46"/>
        <v>44961</v>
      </c>
      <c r="I1000" s="2">
        <f t="shared" si="47"/>
        <v>45009</v>
      </c>
      <c r="J1000" t="str">
        <f>VLOOKUP(M1000,Umfragenteilnahme!$A$2:$B$3,2,)</f>
        <v>Nein</v>
      </c>
      <c r="M1000">
        <v>2</v>
      </c>
      <c r="N1000">
        <v>692</v>
      </c>
      <c r="O1000">
        <v>4</v>
      </c>
      <c r="P1000">
        <v>60</v>
      </c>
      <c r="Q1000">
        <v>7</v>
      </c>
      <c r="R1000">
        <v>7</v>
      </c>
      <c r="S1000">
        <v>55</v>
      </c>
    </row>
    <row r="1001" spans="1:19" x14ac:dyDescent="0.35">
      <c r="A1001">
        <v>8648</v>
      </c>
      <c r="B1001">
        <v>655</v>
      </c>
      <c r="C1001" t="str">
        <f>VLOOKUP(B1001,Kunde!A:C,3,FALSE)</f>
        <v>Geschäftskunde</v>
      </c>
      <c r="D1001" t="str">
        <f>VLOOKUP(O1001,Produkt!$A$1:$E$5,2,FALSE)</f>
        <v>A</v>
      </c>
      <c r="E1001">
        <f t="shared" si="45"/>
        <v>114</v>
      </c>
      <c r="F1001">
        <f>VLOOKUP(D1001,Produkt!$B$1:$C$5,2,FALSE)*Bestellungen!E1001</f>
        <v>34200</v>
      </c>
      <c r="G1001" s="2">
        <v>44851</v>
      </c>
      <c r="H1001" s="2">
        <f t="shared" si="46"/>
        <v>44857</v>
      </c>
      <c r="I1001" s="2">
        <f t="shared" si="47"/>
        <v>44884</v>
      </c>
      <c r="J1001" t="str">
        <f>VLOOKUP(M1001,Umfragenteilnahme!$A$2:$B$3,2,)</f>
        <v>Nein</v>
      </c>
      <c r="M1001">
        <v>2</v>
      </c>
      <c r="N1001">
        <v>655</v>
      </c>
      <c r="O1001">
        <v>1</v>
      </c>
      <c r="P1001">
        <v>114</v>
      </c>
      <c r="Q1001">
        <v>2</v>
      </c>
      <c r="R1001">
        <v>6</v>
      </c>
      <c r="S1001">
        <v>33</v>
      </c>
    </row>
    <row r="1002" spans="1:19" x14ac:dyDescent="0.35">
      <c r="A1002">
        <v>8649</v>
      </c>
      <c r="B1002">
        <v>151</v>
      </c>
      <c r="C1002" t="str">
        <f>VLOOKUP(B1002,Kunde!A:C,3,FALSE)</f>
        <v>Geschäftskunde</v>
      </c>
      <c r="D1002" t="str">
        <f>VLOOKUP(O1002,Produkt!$A$1:$E$5,2,FALSE)</f>
        <v>B</v>
      </c>
      <c r="E1002">
        <f t="shared" si="45"/>
        <v>43</v>
      </c>
      <c r="F1002">
        <f>VLOOKUP(D1002,Produkt!$B$1:$C$5,2,FALSE)*Bestellungen!E1002</f>
        <v>20640</v>
      </c>
      <c r="G1002" s="2">
        <v>44955</v>
      </c>
      <c r="H1002" s="2">
        <f t="shared" si="46"/>
        <v>44957</v>
      </c>
      <c r="I1002" s="2">
        <f t="shared" si="47"/>
        <v>44962</v>
      </c>
      <c r="J1002" t="str">
        <f>VLOOKUP(M1002,Umfragenteilnahme!$A$2:$B$3,2,)</f>
        <v>Ja</v>
      </c>
      <c r="M1002">
        <v>1</v>
      </c>
      <c r="N1002">
        <v>151</v>
      </c>
      <c r="O1002">
        <v>2</v>
      </c>
      <c r="P1002">
        <v>43</v>
      </c>
      <c r="Q1002">
        <v>9</v>
      </c>
      <c r="R1002">
        <v>2</v>
      </c>
      <c r="S1002">
        <v>7</v>
      </c>
    </row>
    <row r="1003" spans="1:19" x14ac:dyDescent="0.35">
      <c r="A1003">
        <v>8650</v>
      </c>
      <c r="B1003">
        <v>619</v>
      </c>
      <c r="C1003" t="str">
        <f>VLOOKUP(B1003,Kunde!A:C,3,FALSE)</f>
        <v>Geschäftskunde</v>
      </c>
      <c r="D1003" t="str">
        <f>VLOOKUP(O1003,Produkt!$A$1:$E$5,2,FALSE)</f>
        <v>A</v>
      </c>
      <c r="E1003">
        <f t="shared" si="45"/>
        <v>96</v>
      </c>
      <c r="F1003">
        <f>VLOOKUP(D1003,Produkt!$B$1:$C$5,2,FALSE)*Bestellungen!E1003</f>
        <v>28800</v>
      </c>
      <c r="G1003" s="2">
        <v>45037</v>
      </c>
      <c r="H1003" s="2">
        <f t="shared" si="46"/>
        <v>45039</v>
      </c>
      <c r="I1003" s="2">
        <f t="shared" si="47"/>
        <v>45047</v>
      </c>
      <c r="J1003" t="str">
        <f>VLOOKUP(M1003,Umfragenteilnahme!$A$2:$B$3,2,)</f>
        <v>Ja</v>
      </c>
      <c r="M1003">
        <v>1</v>
      </c>
      <c r="N1003">
        <v>619</v>
      </c>
      <c r="O1003">
        <v>1</v>
      </c>
      <c r="P1003">
        <v>96</v>
      </c>
      <c r="Q1003">
        <v>6</v>
      </c>
      <c r="R1003">
        <v>2</v>
      </c>
      <c r="S1003">
        <v>10</v>
      </c>
    </row>
    <row r="1004" spans="1:19" x14ac:dyDescent="0.35">
      <c r="A1004">
        <v>8651</v>
      </c>
      <c r="B1004">
        <v>534</v>
      </c>
      <c r="C1004" t="str">
        <f>VLOOKUP(B1004,Kunde!A:C,3,FALSE)</f>
        <v>Geschäftskunde</v>
      </c>
      <c r="D1004" t="str">
        <f>VLOOKUP(O1004,Produkt!$A$1:$E$5,2,FALSE)</f>
        <v>A</v>
      </c>
      <c r="E1004">
        <f t="shared" si="45"/>
        <v>131</v>
      </c>
      <c r="F1004">
        <f>VLOOKUP(D1004,Produkt!$B$1:$C$5,2,FALSE)*Bestellungen!E1004</f>
        <v>39300</v>
      </c>
      <c r="G1004" s="2">
        <v>44824</v>
      </c>
      <c r="H1004" s="2">
        <f t="shared" si="46"/>
        <v>44829</v>
      </c>
      <c r="I1004" s="2">
        <f t="shared" si="47"/>
        <v>44863</v>
      </c>
      <c r="J1004" t="str">
        <f>VLOOKUP(M1004,Umfragenteilnahme!$A$2:$B$3,2,)</f>
        <v>Nein</v>
      </c>
      <c r="M1004">
        <v>2</v>
      </c>
      <c r="N1004">
        <v>534</v>
      </c>
      <c r="O1004">
        <v>1</v>
      </c>
      <c r="P1004">
        <v>131</v>
      </c>
      <c r="Q1004">
        <v>9</v>
      </c>
      <c r="R1004">
        <v>5</v>
      </c>
      <c r="S1004">
        <v>39</v>
      </c>
    </row>
    <row r="1005" spans="1:19" x14ac:dyDescent="0.35">
      <c r="A1005">
        <v>8652</v>
      </c>
      <c r="B1005">
        <v>594</v>
      </c>
      <c r="C1005" t="str">
        <f>VLOOKUP(B1005,Kunde!A:C,3,FALSE)</f>
        <v>Geschäftskunde</v>
      </c>
      <c r="D1005" t="str">
        <f>VLOOKUP(O1005,Produkt!$A$1:$E$5,2,FALSE)</f>
        <v>C</v>
      </c>
      <c r="E1005">
        <f t="shared" si="45"/>
        <v>105</v>
      </c>
      <c r="F1005">
        <f>VLOOKUP(D1005,Produkt!$B$1:$C$5,2,FALSE)*Bestellungen!E1005</f>
        <v>157500</v>
      </c>
      <c r="G1005" s="2">
        <v>45024</v>
      </c>
      <c r="H1005" s="2">
        <f t="shared" si="46"/>
        <v>45027</v>
      </c>
      <c r="I1005" s="2">
        <f t="shared" si="47"/>
        <v>45035</v>
      </c>
      <c r="J1005" t="str">
        <f>VLOOKUP(M1005,Umfragenteilnahme!$A$2:$B$3,2,)</f>
        <v>Ja</v>
      </c>
      <c r="M1005">
        <v>1</v>
      </c>
      <c r="N1005">
        <v>594</v>
      </c>
      <c r="O1005">
        <v>3</v>
      </c>
      <c r="P1005">
        <v>105</v>
      </c>
      <c r="Q1005">
        <v>5</v>
      </c>
      <c r="R1005">
        <v>3</v>
      </c>
      <c r="S1005">
        <v>11</v>
      </c>
    </row>
    <row r="1006" spans="1:19" x14ac:dyDescent="0.35">
      <c r="A1006">
        <v>8653</v>
      </c>
      <c r="B1006">
        <v>255</v>
      </c>
      <c r="C1006" t="str">
        <f>VLOOKUP(B1006,Kunde!A:C,3,FALSE)</f>
        <v>Geschäftskunde</v>
      </c>
      <c r="D1006" t="str">
        <f>VLOOKUP(O1006,Produkt!$A$1:$E$5,2,FALSE)</f>
        <v>D</v>
      </c>
      <c r="E1006">
        <f t="shared" si="45"/>
        <v>110</v>
      </c>
      <c r="F1006">
        <f>VLOOKUP(D1006,Produkt!$B$1:$C$5,2,FALSE)*Bestellungen!E1006</f>
        <v>88000</v>
      </c>
      <c r="G1006" s="2">
        <v>44803</v>
      </c>
      <c r="H1006" s="2">
        <f t="shared" si="46"/>
        <v>44808</v>
      </c>
      <c r="I1006" s="2">
        <f t="shared" si="47"/>
        <v>44817</v>
      </c>
      <c r="J1006" t="str">
        <f>VLOOKUP(M1006,Umfragenteilnahme!$A$2:$B$3,2,)</f>
        <v>Nein</v>
      </c>
      <c r="M1006">
        <v>2</v>
      </c>
      <c r="N1006">
        <v>255</v>
      </c>
      <c r="O1006">
        <v>4</v>
      </c>
      <c r="P1006">
        <v>110</v>
      </c>
      <c r="Q1006">
        <v>7</v>
      </c>
      <c r="R1006">
        <v>5</v>
      </c>
      <c r="S1006">
        <v>14</v>
      </c>
    </row>
    <row r="1007" spans="1:19" x14ac:dyDescent="0.35">
      <c r="A1007">
        <v>8654</v>
      </c>
      <c r="B1007">
        <v>619</v>
      </c>
      <c r="C1007" t="str">
        <f>VLOOKUP(B1007,Kunde!A:C,3,FALSE)</f>
        <v>Geschäftskunde</v>
      </c>
      <c r="D1007" t="str">
        <f>VLOOKUP(O1007,Produkt!$A$1:$E$5,2,FALSE)</f>
        <v>C</v>
      </c>
      <c r="E1007">
        <f t="shared" si="45"/>
        <v>59</v>
      </c>
      <c r="F1007">
        <f>VLOOKUP(D1007,Produkt!$B$1:$C$5,2,FALSE)*Bestellungen!E1007</f>
        <v>88500</v>
      </c>
      <c r="G1007" s="2">
        <v>44932</v>
      </c>
      <c r="H1007" s="2">
        <f t="shared" si="46"/>
        <v>44934</v>
      </c>
      <c r="I1007" s="2">
        <f t="shared" si="47"/>
        <v>44938</v>
      </c>
      <c r="J1007" t="str">
        <f>VLOOKUP(M1007,Umfragenteilnahme!$A$2:$B$3,2,)</f>
        <v>Ja</v>
      </c>
      <c r="M1007">
        <v>1</v>
      </c>
      <c r="N1007">
        <v>619</v>
      </c>
      <c r="O1007">
        <v>3</v>
      </c>
      <c r="P1007">
        <v>59</v>
      </c>
      <c r="Q1007">
        <v>9</v>
      </c>
      <c r="R1007">
        <v>2</v>
      </c>
      <c r="S1007">
        <v>6</v>
      </c>
    </row>
    <row r="1008" spans="1:19" x14ac:dyDescent="0.35">
      <c r="A1008">
        <v>8655</v>
      </c>
      <c r="B1008">
        <v>47</v>
      </c>
      <c r="C1008" t="str">
        <f>VLOOKUP(B1008,Kunde!A:C,3,FALSE)</f>
        <v>Geschäftskunde</v>
      </c>
      <c r="D1008" t="str">
        <f>VLOOKUP(O1008,Produkt!$A$1:$E$5,2,FALSE)</f>
        <v>D</v>
      </c>
      <c r="E1008">
        <f t="shared" si="45"/>
        <v>17</v>
      </c>
      <c r="F1008">
        <f>VLOOKUP(D1008,Produkt!$B$1:$C$5,2,FALSE)*Bestellungen!E1008</f>
        <v>13600</v>
      </c>
      <c r="G1008" s="2">
        <v>44734</v>
      </c>
      <c r="H1008" s="2">
        <f t="shared" si="46"/>
        <v>44740</v>
      </c>
      <c r="I1008" s="2">
        <f t="shared" si="47"/>
        <v>44784</v>
      </c>
      <c r="J1008" t="str">
        <f>VLOOKUP(M1008,Umfragenteilnahme!$A$2:$B$3,2,)</f>
        <v>Ja</v>
      </c>
      <c r="M1008">
        <v>1</v>
      </c>
      <c r="N1008">
        <v>47</v>
      </c>
      <c r="O1008">
        <v>4</v>
      </c>
      <c r="P1008">
        <v>17</v>
      </c>
      <c r="Q1008">
        <v>8</v>
      </c>
      <c r="R1008">
        <v>6</v>
      </c>
      <c r="S1008">
        <v>50</v>
      </c>
    </row>
    <row r="1009" spans="1:19" x14ac:dyDescent="0.35">
      <c r="A1009">
        <v>8656</v>
      </c>
      <c r="B1009">
        <v>669</v>
      </c>
      <c r="C1009" t="str">
        <f>VLOOKUP(B1009,Kunde!A:C,3,FALSE)</f>
        <v>Geschäftskunde</v>
      </c>
      <c r="D1009" t="str">
        <f>VLOOKUP(O1009,Produkt!$A$1:$E$5,2,FALSE)</f>
        <v>C</v>
      </c>
      <c r="E1009">
        <f t="shared" si="45"/>
        <v>109</v>
      </c>
      <c r="F1009">
        <f>VLOOKUP(D1009,Produkt!$B$1:$C$5,2,FALSE)*Bestellungen!E1009</f>
        <v>163500</v>
      </c>
      <c r="G1009" s="2">
        <v>44828</v>
      </c>
      <c r="H1009" s="2">
        <f t="shared" si="46"/>
        <v>44834</v>
      </c>
      <c r="I1009" s="2">
        <f t="shared" si="47"/>
        <v>44845</v>
      </c>
      <c r="J1009" t="str">
        <f>VLOOKUP(M1009,Umfragenteilnahme!$A$2:$B$3,2,)</f>
        <v>Nein</v>
      </c>
      <c r="M1009">
        <v>2</v>
      </c>
      <c r="N1009">
        <v>669</v>
      </c>
      <c r="O1009">
        <v>3</v>
      </c>
      <c r="P1009">
        <v>109</v>
      </c>
      <c r="Q1009">
        <v>6</v>
      </c>
      <c r="R1009">
        <v>6</v>
      </c>
      <c r="S1009">
        <v>17</v>
      </c>
    </row>
    <row r="1010" spans="1:19" x14ac:dyDescent="0.35">
      <c r="A1010">
        <v>8657</v>
      </c>
      <c r="B1010">
        <v>325</v>
      </c>
      <c r="C1010" t="str">
        <f>VLOOKUP(B1010,Kunde!A:C,3,FALSE)</f>
        <v>Geschäftskunde</v>
      </c>
      <c r="D1010" t="str">
        <f>VLOOKUP(O1010,Produkt!$A$1:$E$5,2,FALSE)</f>
        <v>D</v>
      </c>
      <c r="E1010">
        <f t="shared" si="45"/>
        <v>85</v>
      </c>
      <c r="F1010">
        <f>VLOOKUP(D1010,Produkt!$B$1:$C$5,2,FALSE)*Bestellungen!E1010</f>
        <v>68000</v>
      </c>
      <c r="G1010" s="2">
        <v>44889</v>
      </c>
      <c r="H1010" s="2">
        <f t="shared" si="46"/>
        <v>44896</v>
      </c>
      <c r="I1010" s="2">
        <f t="shared" si="47"/>
        <v>44914</v>
      </c>
      <c r="J1010" t="str">
        <f>VLOOKUP(M1010,Umfragenteilnahme!$A$2:$B$3,2,)</f>
        <v>Ja</v>
      </c>
      <c r="M1010">
        <v>1</v>
      </c>
      <c r="N1010">
        <v>325</v>
      </c>
      <c r="O1010">
        <v>4</v>
      </c>
      <c r="P1010">
        <v>85</v>
      </c>
      <c r="Q1010">
        <v>3</v>
      </c>
      <c r="R1010">
        <v>7</v>
      </c>
      <c r="S1010">
        <v>25</v>
      </c>
    </row>
    <row r="1011" spans="1:19" x14ac:dyDescent="0.35">
      <c r="A1011">
        <v>8658</v>
      </c>
      <c r="B1011">
        <v>767</v>
      </c>
      <c r="C1011" t="str">
        <f>VLOOKUP(B1011,Kunde!A:C,3,FALSE)</f>
        <v>Geschäftskunde</v>
      </c>
      <c r="D1011" t="str">
        <f>VLOOKUP(O1011,Produkt!$A$1:$E$5,2,FALSE)</f>
        <v>D</v>
      </c>
      <c r="E1011">
        <f t="shared" si="45"/>
        <v>19</v>
      </c>
      <c r="F1011">
        <f>VLOOKUP(D1011,Produkt!$B$1:$C$5,2,FALSE)*Bestellungen!E1011</f>
        <v>15200</v>
      </c>
      <c r="G1011" s="2">
        <v>44879</v>
      </c>
      <c r="H1011" s="2">
        <f t="shared" si="46"/>
        <v>44881</v>
      </c>
      <c r="I1011" s="2">
        <f t="shared" si="47"/>
        <v>44923</v>
      </c>
      <c r="J1011" t="str">
        <f>VLOOKUP(M1011,Umfragenteilnahme!$A$2:$B$3,2,)</f>
        <v>Ja</v>
      </c>
      <c r="M1011">
        <v>1</v>
      </c>
      <c r="N1011">
        <v>767</v>
      </c>
      <c r="O1011">
        <v>4</v>
      </c>
      <c r="P1011">
        <v>19</v>
      </c>
      <c r="Q1011">
        <v>10</v>
      </c>
      <c r="R1011">
        <v>2</v>
      </c>
      <c r="S1011">
        <v>44</v>
      </c>
    </row>
    <row r="1012" spans="1:19" x14ac:dyDescent="0.35">
      <c r="A1012">
        <v>8659</v>
      </c>
      <c r="B1012">
        <v>121</v>
      </c>
      <c r="C1012" t="str">
        <f>VLOOKUP(B1012,Kunde!A:C,3,FALSE)</f>
        <v>Geschäftskunde</v>
      </c>
      <c r="D1012" t="str">
        <f>VLOOKUP(O1012,Produkt!$A$1:$E$5,2,FALSE)</f>
        <v>D</v>
      </c>
      <c r="E1012">
        <f t="shared" si="45"/>
        <v>46</v>
      </c>
      <c r="F1012">
        <f>VLOOKUP(D1012,Produkt!$B$1:$C$5,2,FALSE)*Bestellungen!E1012</f>
        <v>36800</v>
      </c>
      <c r="G1012" s="2">
        <v>45015</v>
      </c>
      <c r="H1012" s="2">
        <f t="shared" si="46"/>
        <v>45019</v>
      </c>
      <c r="I1012" s="2">
        <f t="shared" si="47"/>
        <v>45018</v>
      </c>
      <c r="J1012" t="str">
        <f>VLOOKUP(M1012,Umfragenteilnahme!$A$2:$B$3,2,)</f>
        <v>Nein</v>
      </c>
      <c r="M1012">
        <v>2</v>
      </c>
      <c r="N1012">
        <v>121</v>
      </c>
      <c r="O1012">
        <v>4</v>
      </c>
      <c r="P1012">
        <v>46</v>
      </c>
      <c r="Q1012">
        <v>7</v>
      </c>
      <c r="R1012">
        <v>4</v>
      </c>
      <c r="S1012">
        <v>3</v>
      </c>
    </row>
    <row r="1013" spans="1:19" x14ac:dyDescent="0.35">
      <c r="A1013">
        <v>8660</v>
      </c>
      <c r="B1013">
        <v>369</v>
      </c>
      <c r="C1013" t="str">
        <f>VLOOKUP(B1013,Kunde!A:C,3,FALSE)</f>
        <v>Geschäftskunde</v>
      </c>
      <c r="D1013" t="str">
        <f>VLOOKUP(O1013,Produkt!$A$1:$E$5,2,FALSE)</f>
        <v>C</v>
      </c>
      <c r="E1013">
        <f t="shared" si="45"/>
        <v>69</v>
      </c>
      <c r="F1013">
        <f>VLOOKUP(D1013,Produkt!$B$1:$C$5,2,FALSE)*Bestellungen!E1013</f>
        <v>103500</v>
      </c>
      <c r="G1013" s="2">
        <v>45001</v>
      </c>
      <c r="H1013" s="2">
        <f t="shared" si="46"/>
        <v>45003</v>
      </c>
      <c r="I1013" s="2">
        <f t="shared" si="47"/>
        <v>45044</v>
      </c>
      <c r="J1013" t="str">
        <f>VLOOKUP(M1013,Umfragenteilnahme!$A$2:$B$3,2,)</f>
        <v>Ja</v>
      </c>
      <c r="M1013">
        <v>1</v>
      </c>
      <c r="N1013">
        <v>369</v>
      </c>
      <c r="O1013">
        <v>3</v>
      </c>
      <c r="P1013">
        <v>69</v>
      </c>
      <c r="Q1013">
        <v>4</v>
      </c>
      <c r="R1013">
        <v>2</v>
      </c>
      <c r="S1013">
        <v>43</v>
      </c>
    </row>
    <row r="1014" spans="1:19" x14ac:dyDescent="0.35">
      <c r="A1014">
        <v>8661</v>
      </c>
      <c r="B1014">
        <v>761</v>
      </c>
      <c r="C1014" t="str">
        <f>VLOOKUP(B1014,Kunde!A:C,3,FALSE)</f>
        <v>Geschäftskunde</v>
      </c>
      <c r="D1014" t="str">
        <f>VLOOKUP(O1014,Produkt!$A$1:$E$5,2,FALSE)</f>
        <v>C</v>
      </c>
      <c r="E1014">
        <f t="shared" si="45"/>
        <v>43</v>
      </c>
      <c r="F1014">
        <f>VLOOKUP(D1014,Produkt!$B$1:$C$5,2,FALSE)*Bestellungen!E1014</f>
        <v>64500</v>
      </c>
      <c r="G1014" s="2">
        <v>44975</v>
      </c>
      <c r="H1014" s="2">
        <f t="shared" si="46"/>
        <v>44979</v>
      </c>
      <c r="I1014" s="2">
        <f t="shared" si="47"/>
        <v>45004</v>
      </c>
      <c r="J1014" t="str">
        <f>VLOOKUP(M1014,Umfragenteilnahme!$A$2:$B$3,2,)</f>
        <v>Ja</v>
      </c>
      <c r="M1014">
        <v>1</v>
      </c>
      <c r="N1014">
        <v>761</v>
      </c>
      <c r="O1014">
        <v>3</v>
      </c>
      <c r="P1014">
        <v>43</v>
      </c>
      <c r="Q1014">
        <v>9</v>
      </c>
      <c r="R1014">
        <v>4</v>
      </c>
      <c r="S1014">
        <v>29</v>
      </c>
    </row>
    <row r="1015" spans="1:19" x14ac:dyDescent="0.35">
      <c r="A1015">
        <v>8662</v>
      </c>
      <c r="B1015">
        <v>142</v>
      </c>
      <c r="C1015" t="str">
        <f>VLOOKUP(B1015,Kunde!A:C,3,FALSE)</f>
        <v>Geschäftskunde</v>
      </c>
      <c r="D1015" t="str">
        <f>VLOOKUP(O1015,Produkt!$A$1:$E$5,2,FALSE)</f>
        <v>A</v>
      </c>
      <c r="E1015">
        <f t="shared" si="45"/>
        <v>35</v>
      </c>
      <c r="F1015">
        <f>VLOOKUP(D1015,Produkt!$B$1:$C$5,2,FALSE)*Bestellungen!E1015</f>
        <v>10500</v>
      </c>
      <c r="G1015" s="2">
        <v>44839</v>
      </c>
      <c r="H1015" s="2">
        <f t="shared" si="46"/>
        <v>44843</v>
      </c>
      <c r="I1015" s="2">
        <f t="shared" si="47"/>
        <v>44877</v>
      </c>
      <c r="J1015" t="str">
        <f>VLOOKUP(M1015,Umfragenteilnahme!$A$2:$B$3,2,)</f>
        <v>Nein</v>
      </c>
      <c r="M1015">
        <v>2</v>
      </c>
      <c r="N1015">
        <v>142</v>
      </c>
      <c r="O1015">
        <v>1</v>
      </c>
      <c r="P1015">
        <v>35</v>
      </c>
      <c r="Q1015">
        <v>6</v>
      </c>
      <c r="R1015">
        <v>4</v>
      </c>
      <c r="S1015">
        <v>38</v>
      </c>
    </row>
    <row r="1016" spans="1:19" x14ac:dyDescent="0.35">
      <c r="A1016">
        <v>8663</v>
      </c>
      <c r="B1016">
        <v>708</v>
      </c>
      <c r="C1016" t="str">
        <f>VLOOKUP(B1016,Kunde!A:C,3,FALSE)</f>
        <v>Geschäftskunde</v>
      </c>
      <c r="D1016" t="str">
        <f>VLOOKUP(O1016,Produkt!$A$1:$E$5,2,FALSE)</f>
        <v>D</v>
      </c>
      <c r="E1016">
        <f t="shared" si="45"/>
        <v>75</v>
      </c>
      <c r="F1016">
        <f>VLOOKUP(D1016,Produkt!$B$1:$C$5,2,FALSE)*Bestellungen!E1016</f>
        <v>60000</v>
      </c>
      <c r="G1016" s="2">
        <v>44845</v>
      </c>
      <c r="H1016" s="2">
        <f t="shared" si="46"/>
        <v>44849</v>
      </c>
      <c r="I1016" s="2">
        <f t="shared" si="47"/>
        <v>44852</v>
      </c>
      <c r="J1016" t="str">
        <f>VLOOKUP(M1016,Umfragenteilnahme!$A$2:$B$3,2,)</f>
        <v>Ja</v>
      </c>
      <c r="M1016">
        <v>1</v>
      </c>
      <c r="N1016">
        <v>708</v>
      </c>
      <c r="O1016">
        <v>4</v>
      </c>
      <c r="P1016">
        <v>75</v>
      </c>
      <c r="Q1016">
        <v>8</v>
      </c>
      <c r="R1016">
        <v>4</v>
      </c>
      <c r="S1016">
        <v>7</v>
      </c>
    </row>
    <row r="1017" spans="1:19" x14ac:dyDescent="0.35">
      <c r="A1017">
        <v>8664</v>
      </c>
      <c r="B1017">
        <v>249</v>
      </c>
      <c r="C1017" t="str">
        <f>VLOOKUP(B1017,Kunde!A:C,3,FALSE)</f>
        <v>Geschäftskunde</v>
      </c>
      <c r="D1017" t="str">
        <f>VLOOKUP(O1017,Produkt!$A$1:$E$5,2,FALSE)</f>
        <v>C</v>
      </c>
      <c r="E1017">
        <f t="shared" si="45"/>
        <v>97</v>
      </c>
      <c r="F1017">
        <f>VLOOKUP(D1017,Produkt!$B$1:$C$5,2,FALSE)*Bestellungen!E1017</f>
        <v>145500</v>
      </c>
      <c r="G1017" s="2">
        <v>44904</v>
      </c>
      <c r="H1017" s="2">
        <f t="shared" si="46"/>
        <v>44906</v>
      </c>
      <c r="I1017" s="2">
        <f t="shared" si="47"/>
        <v>44939</v>
      </c>
      <c r="J1017" t="str">
        <f>VLOOKUP(M1017,Umfragenteilnahme!$A$2:$B$3,2,)</f>
        <v>Nein</v>
      </c>
      <c r="M1017">
        <v>2</v>
      </c>
      <c r="N1017">
        <v>249</v>
      </c>
      <c r="O1017">
        <v>3</v>
      </c>
      <c r="P1017">
        <v>97</v>
      </c>
      <c r="Q1017">
        <v>8</v>
      </c>
      <c r="R1017">
        <v>2</v>
      </c>
      <c r="S1017">
        <v>35</v>
      </c>
    </row>
    <row r="1018" spans="1:19" x14ac:dyDescent="0.35">
      <c r="A1018">
        <v>8665</v>
      </c>
      <c r="B1018">
        <v>651</v>
      </c>
      <c r="C1018" t="str">
        <f>VLOOKUP(B1018,Kunde!A:C,3,FALSE)</f>
        <v>Geschäftskunde</v>
      </c>
      <c r="D1018" t="str">
        <f>VLOOKUP(O1018,Produkt!$A$1:$E$5,2,FALSE)</f>
        <v>B</v>
      </c>
      <c r="E1018">
        <f t="shared" si="45"/>
        <v>87</v>
      </c>
      <c r="F1018">
        <f>VLOOKUP(D1018,Produkt!$B$1:$C$5,2,FALSE)*Bestellungen!E1018</f>
        <v>41760</v>
      </c>
      <c r="G1018" s="2">
        <v>44730</v>
      </c>
      <c r="H1018" s="2">
        <f t="shared" si="46"/>
        <v>44733</v>
      </c>
      <c r="I1018" s="2">
        <f t="shared" si="47"/>
        <v>44765</v>
      </c>
      <c r="J1018" t="str">
        <f>VLOOKUP(M1018,Umfragenteilnahme!$A$2:$B$3,2,)</f>
        <v>Ja</v>
      </c>
      <c r="M1018">
        <v>1</v>
      </c>
      <c r="N1018">
        <v>651</v>
      </c>
      <c r="O1018">
        <v>2</v>
      </c>
      <c r="P1018">
        <v>87</v>
      </c>
      <c r="Q1018">
        <v>4</v>
      </c>
      <c r="R1018">
        <v>3</v>
      </c>
      <c r="S1018">
        <v>35</v>
      </c>
    </row>
    <row r="1019" spans="1:19" x14ac:dyDescent="0.35">
      <c r="A1019">
        <v>8666</v>
      </c>
      <c r="B1019">
        <v>1</v>
      </c>
      <c r="C1019" t="str">
        <f>VLOOKUP(B1019,Kunde!A:C,3,FALSE)</f>
        <v>Geschäftskunde</v>
      </c>
      <c r="D1019" t="str">
        <f>VLOOKUP(O1019,Produkt!$A$1:$E$5,2,FALSE)</f>
        <v>B</v>
      </c>
      <c r="E1019">
        <f t="shared" si="45"/>
        <v>29</v>
      </c>
      <c r="F1019">
        <f>VLOOKUP(D1019,Produkt!$B$1:$C$5,2,FALSE)*Bestellungen!E1019</f>
        <v>13920</v>
      </c>
      <c r="G1019" s="2">
        <v>45071</v>
      </c>
      <c r="H1019" s="2">
        <f t="shared" si="46"/>
        <v>45076</v>
      </c>
      <c r="I1019" s="2">
        <f t="shared" si="47"/>
        <v>45123</v>
      </c>
      <c r="J1019" t="str">
        <f>VLOOKUP(M1019,Umfragenteilnahme!$A$2:$B$3,2,)</f>
        <v>Nein</v>
      </c>
      <c r="M1019">
        <v>2</v>
      </c>
      <c r="N1019">
        <v>1</v>
      </c>
      <c r="O1019">
        <v>2</v>
      </c>
      <c r="P1019">
        <v>29</v>
      </c>
      <c r="Q1019">
        <v>1</v>
      </c>
      <c r="R1019">
        <v>5</v>
      </c>
      <c r="S1019">
        <v>52</v>
      </c>
    </row>
    <row r="1020" spans="1:19" x14ac:dyDescent="0.35">
      <c r="A1020">
        <v>8667</v>
      </c>
      <c r="B1020">
        <v>343</v>
      </c>
      <c r="C1020" t="str">
        <f>VLOOKUP(B1020,Kunde!A:C,3,FALSE)</f>
        <v>Geschäftskunde</v>
      </c>
      <c r="D1020" t="str">
        <f>VLOOKUP(O1020,Produkt!$A$1:$E$5,2,FALSE)</f>
        <v>C</v>
      </c>
      <c r="E1020">
        <f t="shared" si="45"/>
        <v>84</v>
      </c>
      <c r="F1020">
        <f>VLOOKUP(D1020,Produkt!$B$1:$C$5,2,FALSE)*Bestellungen!E1020</f>
        <v>126000</v>
      </c>
      <c r="G1020" s="2">
        <v>44891</v>
      </c>
      <c r="H1020" s="2">
        <f t="shared" si="46"/>
        <v>44894</v>
      </c>
      <c r="I1020" s="2">
        <f t="shared" si="47"/>
        <v>44902</v>
      </c>
      <c r="J1020" t="str">
        <f>VLOOKUP(M1020,Umfragenteilnahme!$A$2:$B$3,2,)</f>
        <v>Ja</v>
      </c>
      <c r="M1020">
        <v>1</v>
      </c>
      <c r="N1020">
        <v>343</v>
      </c>
      <c r="O1020">
        <v>3</v>
      </c>
      <c r="P1020">
        <v>84</v>
      </c>
      <c r="Q1020">
        <v>5</v>
      </c>
      <c r="R1020">
        <v>3</v>
      </c>
      <c r="S1020">
        <v>11</v>
      </c>
    </row>
    <row r="1021" spans="1:19" x14ac:dyDescent="0.35">
      <c r="A1021">
        <v>8668</v>
      </c>
      <c r="B1021">
        <v>531</v>
      </c>
      <c r="C1021" t="str">
        <f>VLOOKUP(B1021,Kunde!A:C,3,FALSE)</f>
        <v>Geschäftskunde</v>
      </c>
      <c r="D1021" t="str">
        <f>VLOOKUP(O1021,Produkt!$A$1:$E$5,2,FALSE)</f>
        <v>A</v>
      </c>
      <c r="E1021">
        <f t="shared" si="45"/>
        <v>25</v>
      </c>
      <c r="F1021">
        <f>VLOOKUP(D1021,Produkt!$B$1:$C$5,2,FALSE)*Bestellungen!E1021</f>
        <v>7500</v>
      </c>
      <c r="G1021" s="2">
        <v>44957</v>
      </c>
      <c r="H1021" s="2">
        <f t="shared" si="46"/>
        <v>44963</v>
      </c>
      <c r="I1021" s="2">
        <f t="shared" si="47"/>
        <v>45013</v>
      </c>
      <c r="J1021" t="str">
        <f>VLOOKUP(M1021,Umfragenteilnahme!$A$2:$B$3,2,)</f>
        <v>Ja</v>
      </c>
      <c r="M1021">
        <v>1</v>
      </c>
      <c r="N1021">
        <v>531</v>
      </c>
      <c r="O1021">
        <v>1</v>
      </c>
      <c r="P1021">
        <v>25</v>
      </c>
      <c r="Q1021">
        <v>7</v>
      </c>
      <c r="R1021">
        <v>6</v>
      </c>
      <c r="S1021">
        <v>56</v>
      </c>
    </row>
    <row r="1022" spans="1:19" x14ac:dyDescent="0.35">
      <c r="A1022">
        <v>8669</v>
      </c>
      <c r="B1022">
        <v>11</v>
      </c>
      <c r="C1022" t="str">
        <f>VLOOKUP(B1022,Kunde!A:C,3,FALSE)</f>
        <v>Geschäftskunde</v>
      </c>
      <c r="D1022" t="str">
        <f>VLOOKUP(O1022,Produkt!$A$1:$E$5,2,FALSE)</f>
        <v>B</v>
      </c>
      <c r="E1022">
        <f t="shared" si="45"/>
        <v>119</v>
      </c>
      <c r="F1022">
        <f>VLOOKUP(D1022,Produkt!$B$1:$C$5,2,FALSE)*Bestellungen!E1022</f>
        <v>57120</v>
      </c>
      <c r="G1022" s="2">
        <v>44980</v>
      </c>
      <c r="H1022" s="2">
        <f t="shared" si="46"/>
        <v>44982</v>
      </c>
      <c r="I1022" s="2">
        <f t="shared" si="47"/>
        <v>45016</v>
      </c>
      <c r="J1022" t="str">
        <f>VLOOKUP(M1022,Umfragenteilnahme!$A$2:$B$3,2,)</f>
        <v>Ja</v>
      </c>
      <c r="M1022">
        <v>1</v>
      </c>
      <c r="N1022">
        <v>11</v>
      </c>
      <c r="O1022">
        <v>2</v>
      </c>
      <c r="P1022">
        <v>119</v>
      </c>
      <c r="Q1022">
        <v>6</v>
      </c>
      <c r="R1022">
        <v>2</v>
      </c>
      <c r="S1022">
        <v>36</v>
      </c>
    </row>
    <row r="1023" spans="1:19" x14ac:dyDescent="0.35">
      <c r="A1023">
        <v>8670</v>
      </c>
      <c r="B1023">
        <v>647</v>
      </c>
      <c r="C1023" t="str">
        <f>VLOOKUP(B1023,Kunde!A:C,3,FALSE)</f>
        <v>Privatkunde</v>
      </c>
      <c r="D1023" t="str">
        <f>VLOOKUP(O1023,Produkt!$A$1:$E$5,2,FALSE)</f>
        <v>B</v>
      </c>
      <c r="E1023">
        <f t="shared" si="45"/>
        <v>3</v>
      </c>
      <c r="F1023">
        <f>VLOOKUP(D1023,Produkt!$B$1:$C$5,2,FALSE)*Bestellungen!E1023</f>
        <v>1440</v>
      </c>
      <c r="G1023" s="2">
        <v>44849</v>
      </c>
      <c r="H1023" s="2">
        <f t="shared" si="46"/>
        <v>44852</v>
      </c>
      <c r="I1023" s="2">
        <f t="shared" si="47"/>
        <v>44894</v>
      </c>
      <c r="J1023" t="str">
        <f>VLOOKUP(M1023,Umfragenteilnahme!$A$2:$B$3,2,)</f>
        <v>Nein</v>
      </c>
      <c r="M1023">
        <v>2</v>
      </c>
      <c r="N1023">
        <v>647</v>
      </c>
      <c r="O1023">
        <v>2</v>
      </c>
      <c r="P1023">
        <v>62</v>
      </c>
      <c r="Q1023">
        <v>3</v>
      </c>
      <c r="R1023">
        <v>3</v>
      </c>
      <c r="S1023">
        <v>45</v>
      </c>
    </row>
    <row r="1024" spans="1:19" x14ac:dyDescent="0.35">
      <c r="A1024">
        <v>8671</v>
      </c>
      <c r="B1024">
        <v>215</v>
      </c>
      <c r="C1024" t="str">
        <f>VLOOKUP(B1024,Kunde!A:C,3,FALSE)</f>
        <v>Geschäftskunde</v>
      </c>
      <c r="D1024" t="str">
        <f>VLOOKUP(O1024,Produkt!$A$1:$E$5,2,FALSE)</f>
        <v>B</v>
      </c>
      <c r="E1024">
        <f t="shared" si="45"/>
        <v>139</v>
      </c>
      <c r="F1024">
        <f>VLOOKUP(D1024,Produkt!$B$1:$C$5,2,FALSE)*Bestellungen!E1024</f>
        <v>66720</v>
      </c>
      <c r="G1024" s="2">
        <v>45018</v>
      </c>
      <c r="H1024" s="2">
        <f t="shared" si="46"/>
        <v>45020</v>
      </c>
      <c r="I1024" s="2">
        <f t="shared" si="47"/>
        <v>45025</v>
      </c>
      <c r="J1024" t="str">
        <f>VLOOKUP(M1024,Umfragenteilnahme!$A$2:$B$3,2,)</f>
        <v>Ja</v>
      </c>
      <c r="M1024">
        <v>1</v>
      </c>
      <c r="N1024">
        <v>215</v>
      </c>
      <c r="O1024">
        <v>2</v>
      </c>
      <c r="P1024">
        <v>139</v>
      </c>
      <c r="Q1024">
        <v>9</v>
      </c>
      <c r="R1024">
        <v>2</v>
      </c>
      <c r="S1024">
        <v>7</v>
      </c>
    </row>
    <row r="1025" spans="1:19" x14ac:dyDescent="0.35">
      <c r="A1025">
        <v>8672</v>
      </c>
      <c r="B1025">
        <v>173</v>
      </c>
      <c r="C1025" t="str">
        <f>VLOOKUP(B1025,Kunde!A:C,3,FALSE)</f>
        <v>Geschäftskunde</v>
      </c>
      <c r="D1025" t="str">
        <f>VLOOKUP(O1025,Produkt!$A$1:$E$5,2,FALSE)</f>
        <v>A</v>
      </c>
      <c r="E1025">
        <f t="shared" si="45"/>
        <v>119</v>
      </c>
      <c r="F1025">
        <f>VLOOKUP(D1025,Produkt!$B$1:$C$5,2,FALSE)*Bestellungen!E1025</f>
        <v>35700</v>
      </c>
      <c r="G1025" s="2">
        <v>44765</v>
      </c>
      <c r="H1025" s="2">
        <f t="shared" si="46"/>
        <v>44771</v>
      </c>
      <c r="I1025" s="2">
        <f t="shared" si="47"/>
        <v>44788</v>
      </c>
      <c r="J1025" t="str">
        <f>VLOOKUP(M1025,Umfragenteilnahme!$A$2:$B$3,2,)</f>
        <v>Ja</v>
      </c>
      <c r="M1025">
        <v>1</v>
      </c>
      <c r="N1025">
        <v>173</v>
      </c>
      <c r="O1025">
        <v>1</v>
      </c>
      <c r="P1025">
        <v>119</v>
      </c>
      <c r="Q1025">
        <v>8</v>
      </c>
      <c r="R1025">
        <v>6</v>
      </c>
      <c r="S1025">
        <v>23</v>
      </c>
    </row>
    <row r="1026" spans="1:19" x14ac:dyDescent="0.35">
      <c r="A1026">
        <v>8673</v>
      </c>
      <c r="B1026">
        <v>153</v>
      </c>
      <c r="C1026" t="str">
        <f>VLOOKUP(B1026,Kunde!A:C,3,FALSE)</f>
        <v>Geschäftskunde</v>
      </c>
      <c r="D1026" t="str">
        <f>VLOOKUP(O1026,Produkt!$A$1:$E$5,2,FALSE)</f>
        <v>D</v>
      </c>
      <c r="E1026">
        <f t="shared" si="45"/>
        <v>115</v>
      </c>
      <c r="F1026">
        <f>VLOOKUP(D1026,Produkt!$B$1:$C$5,2,FALSE)*Bestellungen!E1026</f>
        <v>92000</v>
      </c>
      <c r="G1026" s="2">
        <v>45020</v>
      </c>
      <c r="H1026" s="2">
        <f t="shared" si="46"/>
        <v>45025</v>
      </c>
      <c r="I1026" s="2">
        <f t="shared" si="47"/>
        <v>45033</v>
      </c>
      <c r="J1026" t="str">
        <f>VLOOKUP(M1026,Umfragenteilnahme!$A$2:$B$3,2,)</f>
        <v>Ja</v>
      </c>
      <c r="M1026">
        <v>1</v>
      </c>
      <c r="N1026">
        <v>153</v>
      </c>
      <c r="O1026">
        <v>4</v>
      </c>
      <c r="P1026">
        <v>115</v>
      </c>
      <c r="Q1026">
        <v>2</v>
      </c>
      <c r="R1026">
        <v>5</v>
      </c>
      <c r="S1026">
        <v>13</v>
      </c>
    </row>
    <row r="1027" spans="1:19" x14ac:dyDescent="0.35">
      <c r="A1027">
        <v>8674</v>
      </c>
      <c r="B1027">
        <v>416</v>
      </c>
      <c r="C1027" t="str">
        <f>VLOOKUP(B1027,Kunde!A:C,3,FALSE)</f>
        <v>Geschäftskunde</v>
      </c>
      <c r="D1027" t="str">
        <f>VLOOKUP(O1027,Produkt!$A$1:$E$5,2,FALSE)</f>
        <v>B</v>
      </c>
      <c r="E1027">
        <f t="shared" ref="E1027:E1090" si="48">IF(C1027="Geschäftskunde",P1027,Q1027)</f>
        <v>68</v>
      </c>
      <c r="F1027">
        <f>VLOOKUP(D1027,Produkt!$B$1:$C$5,2,FALSE)*Bestellungen!E1027</f>
        <v>32640</v>
      </c>
      <c r="G1027" s="2">
        <v>44737</v>
      </c>
      <c r="H1027" s="2">
        <f t="shared" ref="H1027:H1090" si="49">G1027+R1027</f>
        <v>44740</v>
      </c>
      <c r="I1027" s="2">
        <f t="shared" ref="I1027:I1090" si="50">G1027+S1027</f>
        <v>44742</v>
      </c>
      <c r="J1027" t="str">
        <f>VLOOKUP(M1027,Umfragenteilnahme!$A$2:$B$3,2,)</f>
        <v>Ja</v>
      </c>
      <c r="M1027">
        <v>1</v>
      </c>
      <c r="N1027">
        <v>416</v>
      </c>
      <c r="O1027">
        <v>2</v>
      </c>
      <c r="P1027">
        <v>68</v>
      </c>
      <c r="Q1027">
        <v>7</v>
      </c>
      <c r="R1027">
        <v>3</v>
      </c>
      <c r="S1027">
        <v>5</v>
      </c>
    </row>
    <row r="1028" spans="1:19" x14ac:dyDescent="0.35">
      <c r="A1028">
        <v>8675</v>
      </c>
      <c r="B1028">
        <v>381</v>
      </c>
      <c r="C1028" t="str">
        <f>VLOOKUP(B1028,Kunde!A:C,3,FALSE)</f>
        <v>Geschäftskunde</v>
      </c>
      <c r="D1028" t="str">
        <f>VLOOKUP(O1028,Produkt!$A$1:$E$5,2,FALSE)</f>
        <v>D</v>
      </c>
      <c r="E1028">
        <f t="shared" si="48"/>
        <v>82</v>
      </c>
      <c r="F1028">
        <f>VLOOKUP(D1028,Produkt!$B$1:$C$5,2,FALSE)*Bestellungen!E1028</f>
        <v>65600</v>
      </c>
      <c r="G1028" s="2">
        <v>44836</v>
      </c>
      <c r="H1028" s="2">
        <f t="shared" si="49"/>
        <v>44841</v>
      </c>
      <c r="I1028" s="2">
        <f t="shared" si="50"/>
        <v>44869</v>
      </c>
      <c r="J1028" t="str">
        <f>VLOOKUP(M1028,Umfragenteilnahme!$A$2:$B$3,2,)</f>
        <v>Nein</v>
      </c>
      <c r="M1028">
        <v>2</v>
      </c>
      <c r="N1028">
        <v>381</v>
      </c>
      <c r="O1028">
        <v>4</v>
      </c>
      <c r="P1028">
        <v>82</v>
      </c>
      <c r="Q1028">
        <v>4</v>
      </c>
      <c r="R1028">
        <v>5</v>
      </c>
      <c r="S1028">
        <v>33</v>
      </c>
    </row>
    <row r="1029" spans="1:19" x14ac:dyDescent="0.35">
      <c r="A1029">
        <v>8676</v>
      </c>
      <c r="B1029">
        <v>242</v>
      </c>
      <c r="C1029" t="str">
        <f>VLOOKUP(B1029,Kunde!A:C,3,FALSE)</f>
        <v>Geschäftskunde</v>
      </c>
      <c r="D1029" t="str">
        <f>VLOOKUP(O1029,Produkt!$A$1:$E$5,2,FALSE)</f>
        <v>C</v>
      </c>
      <c r="E1029">
        <f t="shared" si="48"/>
        <v>41</v>
      </c>
      <c r="F1029">
        <f>VLOOKUP(D1029,Produkt!$B$1:$C$5,2,FALSE)*Bestellungen!E1029</f>
        <v>61500</v>
      </c>
      <c r="G1029" s="2">
        <v>44939</v>
      </c>
      <c r="H1029" s="2">
        <f t="shared" si="49"/>
        <v>44941</v>
      </c>
      <c r="I1029" s="2">
        <f t="shared" si="50"/>
        <v>44966</v>
      </c>
      <c r="J1029" t="str">
        <f>VLOOKUP(M1029,Umfragenteilnahme!$A$2:$B$3,2,)</f>
        <v>Nein</v>
      </c>
      <c r="M1029">
        <v>2</v>
      </c>
      <c r="N1029">
        <v>242</v>
      </c>
      <c r="O1029">
        <v>3</v>
      </c>
      <c r="P1029">
        <v>41</v>
      </c>
      <c r="Q1029">
        <v>9</v>
      </c>
      <c r="R1029">
        <v>2</v>
      </c>
      <c r="S1029">
        <v>27</v>
      </c>
    </row>
    <row r="1030" spans="1:19" x14ac:dyDescent="0.35">
      <c r="A1030">
        <v>8677</v>
      </c>
      <c r="B1030">
        <v>771</v>
      </c>
      <c r="C1030" t="str">
        <f>VLOOKUP(B1030,Kunde!A:C,3,FALSE)</f>
        <v>Geschäftskunde</v>
      </c>
      <c r="D1030" t="str">
        <f>VLOOKUP(O1030,Produkt!$A$1:$E$5,2,FALSE)</f>
        <v>B</v>
      </c>
      <c r="E1030">
        <f t="shared" si="48"/>
        <v>16</v>
      </c>
      <c r="F1030">
        <f>VLOOKUP(D1030,Produkt!$B$1:$C$5,2,FALSE)*Bestellungen!E1030</f>
        <v>7680</v>
      </c>
      <c r="G1030" s="2">
        <v>45063</v>
      </c>
      <c r="H1030" s="2">
        <f t="shared" si="49"/>
        <v>45068</v>
      </c>
      <c r="I1030" s="2">
        <f t="shared" si="50"/>
        <v>45103</v>
      </c>
      <c r="J1030" t="str">
        <f>VLOOKUP(M1030,Umfragenteilnahme!$A$2:$B$3,2,)</f>
        <v>Ja</v>
      </c>
      <c r="M1030">
        <v>1</v>
      </c>
      <c r="N1030">
        <v>771</v>
      </c>
      <c r="O1030">
        <v>2</v>
      </c>
      <c r="P1030">
        <v>16</v>
      </c>
      <c r="Q1030">
        <v>7</v>
      </c>
      <c r="R1030">
        <v>5</v>
      </c>
      <c r="S1030">
        <v>40</v>
      </c>
    </row>
    <row r="1031" spans="1:19" x14ac:dyDescent="0.35">
      <c r="A1031">
        <v>8678</v>
      </c>
      <c r="B1031">
        <v>78</v>
      </c>
      <c r="C1031" t="str">
        <f>VLOOKUP(B1031,Kunde!A:C,3,FALSE)</f>
        <v>Privatkunde</v>
      </c>
      <c r="D1031" t="str">
        <f>VLOOKUP(O1031,Produkt!$A$1:$E$5,2,FALSE)</f>
        <v>C</v>
      </c>
      <c r="E1031">
        <f t="shared" si="48"/>
        <v>9</v>
      </c>
      <c r="F1031">
        <f>VLOOKUP(D1031,Produkt!$B$1:$C$5,2,FALSE)*Bestellungen!E1031</f>
        <v>13500</v>
      </c>
      <c r="G1031" s="2">
        <v>44873</v>
      </c>
      <c r="H1031" s="2">
        <f t="shared" si="49"/>
        <v>44877</v>
      </c>
      <c r="I1031" s="2">
        <f t="shared" si="50"/>
        <v>44900</v>
      </c>
      <c r="J1031" t="str">
        <f>VLOOKUP(M1031,Umfragenteilnahme!$A$2:$B$3,2,)</f>
        <v>Ja</v>
      </c>
      <c r="M1031">
        <v>1</v>
      </c>
      <c r="N1031">
        <v>78</v>
      </c>
      <c r="O1031">
        <v>3</v>
      </c>
      <c r="P1031">
        <v>117</v>
      </c>
      <c r="Q1031">
        <v>9</v>
      </c>
      <c r="R1031">
        <v>4</v>
      </c>
      <c r="S1031">
        <v>27</v>
      </c>
    </row>
    <row r="1032" spans="1:19" x14ac:dyDescent="0.35">
      <c r="A1032">
        <v>8679</v>
      </c>
      <c r="B1032">
        <v>418</v>
      </c>
      <c r="C1032" t="str">
        <f>VLOOKUP(B1032,Kunde!A:C,3,FALSE)</f>
        <v>Privatkunde</v>
      </c>
      <c r="D1032" t="str">
        <f>VLOOKUP(O1032,Produkt!$A$1:$E$5,2,FALSE)</f>
        <v>D</v>
      </c>
      <c r="E1032">
        <f t="shared" si="48"/>
        <v>4</v>
      </c>
      <c r="F1032">
        <f>VLOOKUP(D1032,Produkt!$B$1:$C$5,2,FALSE)*Bestellungen!E1032</f>
        <v>3200</v>
      </c>
      <c r="G1032" s="2">
        <v>44841</v>
      </c>
      <c r="H1032" s="2">
        <f t="shared" si="49"/>
        <v>44845</v>
      </c>
      <c r="I1032" s="2">
        <f t="shared" si="50"/>
        <v>44861</v>
      </c>
      <c r="J1032" t="str">
        <f>VLOOKUP(M1032,Umfragenteilnahme!$A$2:$B$3,2,)</f>
        <v>Nein</v>
      </c>
      <c r="M1032">
        <v>2</v>
      </c>
      <c r="N1032">
        <v>418</v>
      </c>
      <c r="O1032">
        <v>4</v>
      </c>
      <c r="P1032">
        <v>32</v>
      </c>
      <c r="Q1032">
        <v>4</v>
      </c>
      <c r="R1032">
        <v>4</v>
      </c>
      <c r="S1032">
        <v>20</v>
      </c>
    </row>
    <row r="1033" spans="1:19" x14ac:dyDescent="0.35">
      <c r="A1033">
        <v>8680</v>
      </c>
      <c r="B1033">
        <v>352</v>
      </c>
      <c r="C1033" t="str">
        <f>VLOOKUP(B1033,Kunde!A:C,3,FALSE)</f>
        <v>Geschäftskunde</v>
      </c>
      <c r="D1033" t="str">
        <f>VLOOKUP(O1033,Produkt!$A$1:$E$5,2,FALSE)</f>
        <v>A</v>
      </c>
      <c r="E1033">
        <f t="shared" si="48"/>
        <v>39</v>
      </c>
      <c r="F1033">
        <f>VLOOKUP(D1033,Produkt!$B$1:$C$5,2,FALSE)*Bestellungen!E1033</f>
        <v>11700</v>
      </c>
      <c r="G1033" s="2">
        <v>44887</v>
      </c>
      <c r="H1033" s="2">
        <f t="shared" si="49"/>
        <v>44892</v>
      </c>
      <c r="I1033" s="2">
        <f t="shared" si="50"/>
        <v>44929</v>
      </c>
      <c r="J1033" t="str">
        <f>VLOOKUP(M1033,Umfragenteilnahme!$A$2:$B$3,2,)</f>
        <v>Nein</v>
      </c>
      <c r="M1033">
        <v>2</v>
      </c>
      <c r="N1033">
        <v>352</v>
      </c>
      <c r="O1033">
        <v>1</v>
      </c>
      <c r="P1033">
        <v>39</v>
      </c>
      <c r="Q1033">
        <v>9</v>
      </c>
      <c r="R1033">
        <v>5</v>
      </c>
      <c r="S1033">
        <v>42</v>
      </c>
    </row>
    <row r="1034" spans="1:19" x14ac:dyDescent="0.35">
      <c r="A1034">
        <v>8681</v>
      </c>
      <c r="B1034">
        <v>549</v>
      </c>
      <c r="C1034" t="str">
        <f>VLOOKUP(B1034,Kunde!A:C,3,FALSE)</f>
        <v>Privatkunde</v>
      </c>
      <c r="D1034" t="str">
        <f>VLOOKUP(O1034,Produkt!$A$1:$E$5,2,FALSE)</f>
        <v>A</v>
      </c>
      <c r="E1034">
        <f t="shared" si="48"/>
        <v>2</v>
      </c>
      <c r="F1034">
        <f>VLOOKUP(D1034,Produkt!$B$1:$C$5,2,FALSE)*Bestellungen!E1034</f>
        <v>600</v>
      </c>
      <c r="G1034" s="2">
        <v>44816</v>
      </c>
      <c r="H1034" s="2">
        <f t="shared" si="49"/>
        <v>44820</v>
      </c>
      <c r="I1034" s="2">
        <f t="shared" si="50"/>
        <v>44858</v>
      </c>
      <c r="J1034" t="str">
        <f>VLOOKUP(M1034,Umfragenteilnahme!$A$2:$B$3,2,)</f>
        <v>Nein</v>
      </c>
      <c r="M1034">
        <v>2</v>
      </c>
      <c r="N1034">
        <v>549</v>
      </c>
      <c r="O1034">
        <v>1</v>
      </c>
      <c r="P1034">
        <v>62</v>
      </c>
      <c r="Q1034">
        <v>2</v>
      </c>
      <c r="R1034">
        <v>4</v>
      </c>
      <c r="S1034">
        <v>42</v>
      </c>
    </row>
    <row r="1035" spans="1:19" x14ac:dyDescent="0.35">
      <c r="A1035">
        <v>8682</v>
      </c>
      <c r="B1035">
        <v>641</v>
      </c>
      <c r="C1035" t="str">
        <f>VLOOKUP(B1035,Kunde!A:C,3,FALSE)</f>
        <v>Geschäftskunde</v>
      </c>
      <c r="D1035" t="str">
        <f>VLOOKUP(O1035,Produkt!$A$1:$E$5,2,FALSE)</f>
        <v>C</v>
      </c>
      <c r="E1035">
        <f t="shared" si="48"/>
        <v>112</v>
      </c>
      <c r="F1035">
        <f>VLOOKUP(D1035,Produkt!$B$1:$C$5,2,FALSE)*Bestellungen!E1035</f>
        <v>168000</v>
      </c>
      <c r="G1035" s="2">
        <v>44825</v>
      </c>
      <c r="H1035" s="2">
        <f t="shared" si="49"/>
        <v>44832</v>
      </c>
      <c r="I1035" s="2">
        <f t="shared" si="50"/>
        <v>44879</v>
      </c>
      <c r="J1035" t="str">
        <f>VLOOKUP(M1035,Umfragenteilnahme!$A$2:$B$3,2,)</f>
        <v>Nein</v>
      </c>
      <c r="M1035">
        <v>2</v>
      </c>
      <c r="N1035">
        <v>641</v>
      </c>
      <c r="O1035">
        <v>3</v>
      </c>
      <c r="P1035">
        <v>112</v>
      </c>
      <c r="Q1035">
        <v>5</v>
      </c>
      <c r="R1035">
        <v>7</v>
      </c>
      <c r="S1035">
        <v>54</v>
      </c>
    </row>
    <row r="1036" spans="1:19" x14ac:dyDescent="0.35">
      <c r="A1036">
        <v>8683</v>
      </c>
      <c r="B1036">
        <v>772</v>
      </c>
      <c r="C1036" t="str">
        <f>VLOOKUP(B1036,Kunde!A:C,3,FALSE)</f>
        <v>Privatkunde</v>
      </c>
      <c r="D1036" t="str">
        <f>VLOOKUP(O1036,Produkt!$A$1:$E$5,2,FALSE)</f>
        <v>C</v>
      </c>
      <c r="E1036">
        <f t="shared" si="48"/>
        <v>9</v>
      </c>
      <c r="F1036">
        <f>VLOOKUP(D1036,Produkt!$B$1:$C$5,2,FALSE)*Bestellungen!E1036</f>
        <v>13500</v>
      </c>
      <c r="G1036" s="2">
        <v>44712</v>
      </c>
      <c r="H1036" s="2">
        <f t="shared" si="49"/>
        <v>44715</v>
      </c>
      <c r="I1036" s="2">
        <f t="shared" si="50"/>
        <v>44754</v>
      </c>
      <c r="J1036" t="str">
        <f>VLOOKUP(M1036,Umfragenteilnahme!$A$2:$B$3,2,)</f>
        <v>Ja</v>
      </c>
      <c r="M1036">
        <v>1</v>
      </c>
      <c r="N1036">
        <v>772</v>
      </c>
      <c r="O1036">
        <v>3</v>
      </c>
      <c r="P1036">
        <v>41</v>
      </c>
      <c r="Q1036">
        <v>9</v>
      </c>
      <c r="R1036">
        <v>3</v>
      </c>
      <c r="S1036">
        <v>42</v>
      </c>
    </row>
    <row r="1037" spans="1:19" x14ac:dyDescent="0.35">
      <c r="A1037">
        <v>8684</v>
      </c>
      <c r="B1037">
        <v>88</v>
      </c>
      <c r="C1037" t="str">
        <f>VLOOKUP(B1037,Kunde!A:C,3,FALSE)</f>
        <v>Geschäftskunde</v>
      </c>
      <c r="D1037" t="str">
        <f>VLOOKUP(O1037,Produkt!$A$1:$E$5,2,FALSE)</f>
        <v>B</v>
      </c>
      <c r="E1037">
        <f t="shared" si="48"/>
        <v>132</v>
      </c>
      <c r="F1037">
        <f>VLOOKUP(D1037,Produkt!$B$1:$C$5,2,FALSE)*Bestellungen!E1037</f>
        <v>63360</v>
      </c>
      <c r="G1037" s="2">
        <v>44999</v>
      </c>
      <c r="H1037" s="2">
        <f t="shared" si="49"/>
        <v>45003</v>
      </c>
      <c r="I1037" s="2">
        <f t="shared" si="50"/>
        <v>45039</v>
      </c>
      <c r="J1037" t="str">
        <f>VLOOKUP(M1037,Umfragenteilnahme!$A$2:$B$3,2,)</f>
        <v>Nein</v>
      </c>
      <c r="M1037">
        <v>2</v>
      </c>
      <c r="N1037">
        <v>88</v>
      </c>
      <c r="O1037">
        <v>2</v>
      </c>
      <c r="P1037">
        <v>132</v>
      </c>
      <c r="Q1037">
        <v>8</v>
      </c>
      <c r="R1037">
        <v>4</v>
      </c>
      <c r="S1037">
        <v>40</v>
      </c>
    </row>
    <row r="1038" spans="1:19" x14ac:dyDescent="0.35">
      <c r="A1038">
        <v>8685</v>
      </c>
      <c r="B1038">
        <v>775</v>
      </c>
      <c r="C1038" t="str">
        <f>VLOOKUP(B1038,Kunde!A:C,3,FALSE)</f>
        <v>Geschäftskunde</v>
      </c>
      <c r="D1038" t="str">
        <f>VLOOKUP(O1038,Produkt!$A$1:$E$5,2,FALSE)</f>
        <v>D</v>
      </c>
      <c r="E1038">
        <f t="shared" si="48"/>
        <v>12</v>
      </c>
      <c r="F1038">
        <f>VLOOKUP(D1038,Produkt!$B$1:$C$5,2,FALSE)*Bestellungen!E1038</f>
        <v>9600</v>
      </c>
      <c r="G1038" s="2">
        <v>44892</v>
      </c>
      <c r="H1038" s="2">
        <f t="shared" si="49"/>
        <v>44899</v>
      </c>
      <c r="I1038" s="2">
        <f t="shared" si="50"/>
        <v>44936</v>
      </c>
      <c r="J1038" t="str">
        <f>VLOOKUP(M1038,Umfragenteilnahme!$A$2:$B$3,2,)</f>
        <v>Nein</v>
      </c>
      <c r="M1038">
        <v>2</v>
      </c>
      <c r="N1038">
        <v>775</v>
      </c>
      <c r="O1038">
        <v>4</v>
      </c>
      <c r="P1038">
        <v>12</v>
      </c>
      <c r="Q1038">
        <v>2</v>
      </c>
      <c r="R1038">
        <v>7</v>
      </c>
      <c r="S1038">
        <v>44</v>
      </c>
    </row>
    <row r="1039" spans="1:19" x14ac:dyDescent="0.35">
      <c r="A1039">
        <v>8686</v>
      </c>
      <c r="B1039">
        <v>286</v>
      </c>
      <c r="C1039" t="str">
        <f>VLOOKUP(B1039,Kunde!A:C,3,FALSE)</f>
        <v>Geschäftskunde</v>
      </c>
      <c r="D1039" t="str">
        <f>VLOOKUP(O1039,Produkt!$A$1:$E$5,2,FALSE)</f>
        <v>C</v>
      </c>
      <c r="E1039">
        <f t="shared" si="48"/>
        <v>75</v>
      </c>
      <c r="F1039">
        <f>VLOOKUP(D1039,Produkt!$B$1:$C$5,2,FALSE)*Bestellungen!E1039</f>
        <v>112500</v>
      </c>
      <c r="G1039" s="2">
        <v>44910</v>
      </c>
      <c r="H1039" s="2">
        <f t="shared" si="49"/>
        <v>44915</v>
      </c>
      <c r="I1039" s="2">
        <f t="shared" si="50"/>
        <v>44953</v>
      </c>
      <c r="J1039" t="str">
        <f>VLOOKUP(M1039,Umfragenteilnahme!$A$2:$B$3,2,)</f>
        <v>Ja</v>
      </c>
      <c r="M1039">
        <v>1</v>
      </c>
      <c r="N1039">
        <v>286</v>
      </c>
      <c r="O1039">
        <v>3</v>
      </c>
      <c r="P1039">
        <v>75</v>
      </c>
      <c r="Q1039">
        <v>6</v>
      </c>
      <c r="R1039">
        <v>5</v>
      </c>
      <c r="S1039">
        <v>43</v>
      </c>
    </row>
    <row r="1040" spans="1:19" x14ac:dyDescent="0.35">
      <c r="A1040">
        <v>8687</v>
      </c>
      <c r="B1040">
        <v>204</v>
      </c>
      <c r="C1040" t="str">
        <f>VLOOKUP(B1040,Kunde!A:C,3,FALSE)</f>
        <v>Geschäftskunde</v>
      </c>
      <c r="D1040" t="str">
        <f>VLOOKUP(O1040,Produkt!$A$1:$E$5,2,FALSE)</f>
        <v>A</v>
      </c>
      <c r="E1040">
        <f t="shared" si="48"/>
        <v>19</v>
      </c>
      <c r="F1040">
        <f>VLOOKUP(D1040,Produkt!$B$1:$C$5,2,FALSE)*Bestellungen!E1040</f>
        <v>5700</v>
      </c>
      <c r="G1040" s="2">
        <v>44817</v>
      </c>
      <c r="H1040" s="2">
        <f t="shared" si="49"/>
        <v>44819</v>
      </c>
      <c r="I1040" s="2">
        <f t="shared" si="50"/>
        <v>44826</v>
      </c>
      <c r="J1040" t="str">
        <f>VLOOKUP(M1040,Umfragenteilnahme!$A$2:$B$3,2,)</f>
        <v>Nein</v>
      </c>
      <c r="M1040">
        <v>2</v>
      </c>
      <c r="N1040">
        <v>204</v>
      </c>
      <c r="O1040">
        <v>1</v>
      </c>
      <c r="P1040">
        <v>19</v>
      </c>
      <c r="Q1040">
        <v>4</v>
      </c>
      <c r="R1040">
        <v>2</v>
      </c>
      <c r="S1040">
        <v>9</v>
      </c>
    </row>
    <row r="1041" spans="1:19" x14ac:dyDescent="0.35">
      <c r="A1041">
        <v>8688</v>
      </c>
      <c r="B1041">
        <v>482</v>
      </c>
      <c r="C1041" t="str">
        <f>VLOOKUP(B1041,Kunde!A:C,3,FALSE)</f>
        <v>Geschäftskunde</v>
      </c>
      <c r="D1041" t="str">
        <f>VLOOKUP(O1041,Produkt!$A$1:$E$5,2,FALSE)</f>
        <v>B</v>
      </c>
      <c r="E1041">
        <f t="shared" si="48"/>
        <v>142</v>
      </c>
      <c r="F1041">
        <f>VLOOKUP(D1041,Produkt!$B$1:$C$5,2,FALSE)*Bestellungen!E1041</f>
        <v>68160</v>
      </c>
      <c r="G1041" s="2">
        <v>45021</v>
      </c>
      <c r="H1041" s="2">
        <f t="shared" si="49"/>
        <v>45023</v>
      </c>
      <c r="I1041" s="2">
        <f t="shared" si="50"/>
        <v>45055</v>
      </c>
      <c r="J1041" t="str">
        <f>VLOOKUP(M1041,Umfragenteilnahme!$A$2:$B$3,2,)</f>
        <v>Ja</v>
      </c>
      <c r="M1041">
        <v>1</v>
      </c>
      <c r="N1041">
        <v>482</v>
      </c>
      <c r="O1041">
        <v>2</v>
      </c>
      <c r="P1041">
        <v>142</v>
      </c>
      <c r="Q1041">
        <v>4</v>
      </c>
      <c r="R1041">
        <v>2</v>
      </c>
      <c r="S1041">
        <v>34</v>
      </c>
    </row>
    <row r="1042" spans="1:19" x14ac:dyDescent="0.35">
      <c r="A1042">
        <v>8689</v>
      </c>
      <c r="B1042">
        <v>444</v>
      </c>
      <c r="C1042" t="str">
        <f>VLOOKUP(B1042,Kunde!A:C,3,FALSE)</f>
        <v>Geschäftskunde</v>
      </c>
      <c r="D1042" t="str">
        <f>VLOOKUP(O1042,Produkt!$A$1:$E$5,2,FALSE)</f>
        <v>A</v>
      </c>
      <c r="E1042">
        <f t="shared" si="48"/>
        <v>60</v>
      </c>
      <c r="F1042">
        <f>VLOOKUP(D1042,Produkt!$B$1:$C$5,2,FALSE)*Bestellungen!E1042</f>
        <v>18000</v>
      </c>
      <c r="G1042" s="2">
        <v>44820</v>
      </c>
      <c r="H1042" s="2">
        <f t="shared" si="49"/>
        <v>44824</v>
      </c>
      <c r="I1042" s="2">
        <f t="shared" si="50"/>
        <v>44825</v>
      </c>
      <c r="J1042" t="str">
        <f>VLOOKUP(M1042,Umfragenteilnahme!$A$2:$B$3,2,)</f>
        <v>Nein</v>
      </c>
      <c r="M1042">
        <v>2</v>
      </c>
      <c r="N1042">
        <v>444</v>
      </c>
      <c r="O1042">
        <v>1</v>
      </c>
      <c r="P1042">
        <v>60</v>
      </c>
      <c r="Q1042">
        <v>3</v>
      </c>
      <c r="R1042">
        <v>4</v>
      </c>
      <c r="S1042">
        <v>5</v>
      </c>
    </row>
    <row r="1043" spans="1:19" x14ac:dyDescent="0.35">
      <c r="A1043">
        <v>8690</v>
      </c>
      <c r="B1043">
        <v>520</v>
      </c>
      <c r="C1043" t="str">
        <f>VLOOKUP(B1043,Kunde!A:C,3,FALSE)</f>
        <v>Geschäftskunde</v>
      </c>
      <c r="D1043" t="str">
        <f>VLOOKUP(O1043,Produkt!$A$1:$E$5,2,FALSE)</f>
        <v>B</v>
      </c>
      <c r="E1043">
        <f t="shared" si="48"/>
        <v>127</v>
      </c>
      <c r="F1043">
        <f>VLOOKUP(D1043,Produkt!$B$1:$C$5,2,FALSE)*Bestellungen!E1043</f>
        <v>60960</v>
      </c>
      <c r="G1043" s="2">
        <v>44742</v>
      </c>
      <c r="H1043" s="2">
        <f t="shared" si="49"/>
        <v>44749</v>
      </c>
      <c r="I1043" s="2">
        <f t="shared" si="50"/>
        <v>44755</v>
      </c>
      <c r="J1043" t="str">
        <f>VLOOKUP(M1043,Umfragenteilnahme!$A$2:$B$3,2,)</f>
        <v>Nein</v>
      </c>
      <c r="M1043">
        <v>2</v>
      </c>
      <c r="N1043">
        <v>520</v>
      </c>
      <c r="O1043">
        <v>2</v>
      </c>
      <c r="P1043">
        <v>127</v>
      </c>
      <c r="Q1043">
        <v>4</v>
      </c>
      <c r="R1043">
        <v>7</v>
      </c>
      <c r="S1043">
        <v>13</v>
      </c>
    </row>
    <row r="1044" spans="1:19" x14ac:dyDescent="0.35">
      <c r="A1044">
        <v>8691</v>
      </c>
      <c r="B1044">
        <v>507</v>
      </c>
      <c r="C1044" t="str">
        <f>VLOOKUP(B1044,Kunde!A:C,3,FALSE)</f>
        <v>Geschäftskunde</v>
      </c>
      <c r="D1044" t="str">
        <f>VLOOKUP(O1044,Produkt!$A$1:$E$5,2,FALSE)</f>
        <v>B</v>
      </c>
      <c r="E1044">
        <f t="shared" si="48"/>
        <v>127</v>
      </c>
      <c r="F1044">
        <f>VLOOKUP(D1044,Produkt!$B$1:$C$5,2,FALSE)*Bestellungen!E1044</f>
        <v>60960</v>
      </c>
      <c r="G1044" s="2">
        <v>44800</v>
      </c>
      <c r="H1044" s="2">
        <f t="shared" si="49"/>
        <v>44806</v>
      </c>
      <c r="I1044" s="2">
        <f t="shared" si="50"/>
        <v>44829</v>
      </c>
      <c r="J1044" t="str">
        <f>VLOOKUP(M1044,Umfragenteilnahme!$A$2:$B$3,2,)</f>
        <v>Nein</v>
      </c>
      <c r="M1044">
        <v>2</v>
      </c>
      <c r="N1044">
        <v>507</v>
      </c>
      <c r="O1044">
        <v>2</v>
      </c>
      <c r="P1044">
        <v>127</v>
      </c>
      <c r="Q1044">
        <v>7</v>
      </c>
      <c r="R1044">
        <v>6</v>
      </c>
      <c r="S1044">
        <v>29</v>
      </c>
    </row>
    <row r="1045" spans="1:19" x14ac:dyDescent="0.35">
      <c r="A1045">
        <v>8692</v>
      </c>
      <c r="B1045">
        <v>764</v>
      </c>
      <c r="C1045" t="str">
        <f>VLOOKUP(B1045,Kunde!A:C,3,FALSE)</f>
        <v>Privatkunde</v>
      </c>
      <c r="D1045" t="str">
        <f>VLOOKUP(O1045,Produkt!$A$1:$E$5,2,FALSE)</f>
        <v>C</v>
      </c>
      <c r="E1045">
        <f t="shared" si="48"/>
        <v>8</v>
      </c>
      <c r="F1045">
        <f>VLOOKUP(D1045,Produkt!$B$1:$C$5,2,FALSE)*Bestellungen!E1045</f>
        <v>12000</v>
      </c>
      <c r="G1045" s="2">
        <v>44920</v>
      </c>
      <c r="H1045" s="2">
        <f t="shared" si="49"/>
        <v>44924</v>
      </c>
      <c r="I1045" s="2">
        <f t="shared" si="50"/>
        <v>44978</v>
      </c>
      <c r="J1045" t="str">
        <f>VLOOKUP(M1045,Umfragenteilnahme!$A$2:$B$3,2,)</f>
        <v>Ja</v>
      </c>
      <c r="M1045">
        <v>1</v>
      </c>
      <c r="N1045">
        <v>764</v>
      </c>
      <c r="O1045">
        <v>3</v>
      </c>
      <c r="P1045">
        <v>57</v>
      </c>
      <c r="Q1045">
        <v>8</v>
      </c>
      <c r="R1045">
        <v>4</v>
      </c>
      <c r="S1045">
        <v>58</v>
      </c>
    </row>
    <row r="1046" spans="1:19" x14ac:dyDescent="0.35">
      <c r="A1046">
        <v>8693</v>
      </c>
      <c r="B1046">
        <v>602</v>
      </c>
      <c r="C1046" t="str">
        <f>VLOOKUP(B1046,Kunde!A:C,3,FALSE)</f>
        <v>Geschäftskunde</v>
      </c>
      <c r="D1046" t="str">
        <f>VLOOKUP(O1046,Produkt!$A$1:$E$5,2,FALSE)</f>
        <v>D</v>
      </c>
      <c r="E1046">
        <f t="shared" si="48"/>
        <v>22</v>
      </c>
      <c r="F1046">
        <f>VLOOKUP(D1046,Produkt!$B$1:$C$5,2,FALSE)*Bestellungen!E1046</f>
        <v>17600</v>
      </c>
      <c r="G1046" s="2">
        <v>44740</v>
      </c>
      <c r="H1046" s="2">
        <f t="shared" si="49"/>
        <v>44744</v>
      </c>
      <c r="I1046" s="2">
        <f t="shared" si="50"/>
        <v>44749</v>
      </c>
      <c r="J1046" t="str">
        <f>VLOOKUP(M1046,Umfragenteilnahme!$A$2:$B$3,2,)</f>
        <v>Nein</v>
      </c>
      <c r="M1046">
        <v>2</v>
      </c>
      <c r="N1046">
        <v>602</v>
      </c>
      <c r="O1046">
        <v>4</v>
      </c>
      <c r="P1046">
        <v>22</v>
      </c>
      <c r="Q1046">
        <v>3</v>
      </c>
      <c r="R1046">
        <v>4</v>
      </c>
      <c r="S1046">
        <v>9</v>
      </c>
    </row>
    <row r="1047" spans="1:19" x14ac:dyDescent="0.35">
      <c r="A1047">
        <v>8694</v>
      </c>
      <c r="B1047">
        <v>680</v>
      </c>
      <c r="C1047" t="str">
        <f>VLOOKUP(B1047,Kunde!A:C,3,FALSE)</f>
        <v>Geschäftskunde</v>
      </c>
      <c r="D1047" t="str">
        <f>VLOOKUP(O1047,Produkt!$A$1:$E$5,2,FALSE)</f>
        <v>B</v>
      </c>
      <c r="E1047">
        <f t="shared" si="48"/>
        <v>24</v>
      </c>
      <c r="F1047">
        <f>VLOOKUP(D1047,Produkt!$B$1:$C$5,2,FALSE)*Bestellungen!E1047</f>
        <v>11520</v>
      </c>
      <c r="G1047" s="2">
        <v>44871</v>
      </c>
      <c r="H1047" s="2">
        <f t="shared" si="49"/>
        <v>44878</v>
      </c>
      <c r="I1047" s="2">
        <f t="shared" si="50"/>
        <v>44888</v>
      </c>
      <c r="J1047" t="str">
        <f>VLOOKUP(M1047,Umfragenteilnahme!$A$2:$B$3,2,)</f>
        <v>Ja</v>
      </c>
      <c r="M1047">
        <v>1</v>
      </c>
      <c r="N1047">
        <v>680</v>
      </c>
      <c r="O1047">
        <v>2</v>
      </c>
      <c r="P1047">
        <v>24</v>
      </c>
      <c r="Q1047">
        <v>5</v>
      </c>
      <c r="R1047">
        <v>7</v>
      </c>
      <c r="S1047">
        <v>17</v>
      </c>
    </row>
    <row r="1048" spans="1:19" x14ac:dyDescent="0.35">
      <c r="A1048">
        <v>8695</v>
      </c>
      <c r="B1048">
        <v>621</v>
      </c>
      <c r="C1048" t="str">
        <f>VLOOKUP(B1048,Kunde!A:C,3,FALSE)</f>
        <v>Privatkunde</v>
      </c>
      <c r="D1048" t="str">
        <f>VLOOKUP(O1048,Produkt!$A$1:$E$5,2,FALSE)</f>
        <v>D</v>
      </c>
      <c r="E1048">
        <f t="shared" si="48"/>
        <v>7</v>
      </c>
      <c r="F1048">
        <f>VLOOKUP(D1048,Produkt!$B$1:$C$5,2,FALSE)*Bestellungen!E1048</f>
        <v>5600</v>
      </c>
      <c r="G1048" s="2">
        <v>44787</v>
      </c>
      <c r="H1048" s="2">
        <f t="shared" si="49"/>
        <v>44789</v>
      </c>
      <c r="I1048" s="2">
        <f t="shared" si="50"/>
        <v>44810</v>
      </c>
      <c r="J1048" t="str">
        <f>VLOOKUP(M1048,Umfragenteilnahme!$A$2:$B$3,2,)</f>
        <v>Ja</v>
      </c>
      <c r="M1048">
        <v>1</v>
      </c>
      <c r="N1048">
        <v>621</v>
      </c>
      <c r="O1048">
        <v>4</v>
      </c>
      <c r="P1048">
        <v>103</v>
      </c>
      <c r="Q1048">
        <v>7</v>
      </c>
      <c r="R1048">
        <v>2</v>
      </c>
      <c r="S1048">
        <v>23</v>
      </c>
    </row>
    <row r="1049" spans="1:19" x14ac:dyDescent="0.35">
      <c r="A1049">
        <v>8696</v>
      </c>
      <c r="B1049">
        <v>189</v>
      </c>
      <c r="C1049" t="str">
        <f>VLOOKUP(B1049,Kunde!A:C,3,FALSE)</f>
        <v>Geschäftskunde</v>
      </c>
      <c r="D1049" t="str">
        <f>VLOOKUP(O1049,Produkt!$A$1:$E$5,2,FALSE)</f>
        <v>A</v>
      </c>
      <c r="E1049">
        <f t="shared" si="48"/>
        <v>131</v>
      </c>
      <c r="F1049">
        <f>VLOOKUP(D1049,Produkt!$B$1:$C$5,2,FALSE)*Bestellungen!E1049</f>
        <v>39300</v>
      </c>
      <c r="G1049" s="2">
        <v>45001</v>
      </c>
      <c r="H1049" s="2">
        <f t="shared" si="49"/>
        <v>45006</v>
      </c>
      <c r="I1049" s="2">
        <f t="shared" si="50"/>
        <v>45061</v>
      </c>
      <c r="J1049" t="str">
        <f>VLOOKUP(M1049,Umfragenteilnahme!$A$2:$B$3,2,)</f>
        <v>Ja</v>
      </c>
      <c r="M1049">
        <v>1</v>
      </c>
      <c r="N1049">
        <v>189</v>
      </c>
      <c r="O1049">
        <v>1</v>
      </c>
      <c r="P1049">
        <v>131</v>
      </c>
      <c r="Q1049">
        <v>8</v>
      </c>
      <c r="R1049">
        <v>5</v>
      </c>
      <c r="S1049">
        <v>60</v>
      </c>
    </row>
    <row r="1050" spans="1:19" x14ac:dyDescent="0.35">
      <c r="A1050">
        <v>8697</v>
      </c>
      <c r="B1050">
        <v>559</v>
      </c>
      <c r="C1050" t="str">
        <f>VLOOKUP(B1050,Kunde!A:C,3,FALSE)</f>
        <v>Geschäftskunde</v>
      </c>
      <c r="D1050" t="str">
        <f>VLOOKUP(O1050,Produkt!$A$1:$E$5,2,FALSE)</f>
        <v>C</v>
      </c>
      <c r="E1050">
        <f t="shared" si="48"/>
        <v>15</v>
      </c>
      <c r="F1050">
        <f>VLOOKUP(D1050,Produkt!$B$1:$C$5,2,FALSE)*Bestellungen!E1050</f>
        <v>22500</v>
      </c>
      <c r="G1050" s="2">
        <v>45053</v>
      </c>
      <c r="H1050" s="2">
        <f t="shared" si="49"/>
        <v>45055</v>
      </c>
      <c r="I1050" s="2">
        <f t="shared" si="50"/>
        <v>45110</v>
      </c>
      <c r="J1050" t="str">
        <f>VLOOKUP(M1050,Umfragenteilnahme!$A$2:$B$3,2,)</f>
        <v>Ja</v>
      </c>
      <c r="M1050">
        <v>1</v>
      </c>
      <c r="N1050">
        <v>559</v>
      </c>
      <c r="O1050">
        <v>3</v>
      </c>
      <c r="P1050">
        <v>15</v>
      </c>
      <c r="Q1050">
        <v>1</v>
      </c>
      <c r="R1050">
        <v>2</v>
      </c>
      <c r="S1050">
        <v>57</v>
      </c>
    </row>
    <row r="1051" spans="1:19" x14ac:dyDescent="0.35">
      <c r="A1051">
        <v>8698</v>
      </c>
      <c r="B1051">
        <v>465</v>
      </c>
      <c r="C1051" t="str">
        <f>VLOOKUP(B1051,Kunde!A:C,3,FALSE)</f>
        <v>Geschäftskunde</v>
      </c>
      <c r="D1051" t="str">
        <f>VLOOKUP(O1051,Produkt!$A$1:$E$5,2,FALSE)</f>
        <v>B</v>
      </c>
      <c r="E1051">
        <f t="shared" si="48"/>
        <v>108</v>
      </c>
      <c r="F1051">
        <f>VLOOKUP(D1051,Produkt!$B$1:$C$5,2,FALSE)*Bestellungen!E1051</f>
        <v>51840</v>
      </c>
      <c r="G1051" s="2">
        <v>44904</v>
      </c>
      <c r="H1051" s="2">
        <f t="shared" si="49"/>
        <v>44908</v>
      </c>
      <c r="I1051" s="2">
        <f t="shared" si="50"/>
        <v>44919</v>
      </c>
      <c r="J1051" t="str">
        <f>VLOOKUP(M1051,Umfragenteilnahme!$A$2:$B$3,2,)</f>
        <v>Ja</v>
      </c>
      <c r="M1051">
        <v>1</v>
      </c>
      <c r="N1051">
        <v>465</v>
      </c>
      <c r="O1051">
        <v>2</v>
      </c>
      <c r="P1051">
        <v>108</v>
      </c>
      <c r="Q1051">
        <v>9</v>
      </c>
      <c r="R1051">
        <v>4</v>
      </c>
      <c r="S1051">
        <v>15</v>
      </c>
    </row>
    <row r="1052" spans="1:19" x14ac:dyDescent="0.35">
      <c r="A1052">
        <v>8699</v>
      </c>
      <c r="B1052">
        <v>19</v>
      </c>
      <c r="C1052" t="str">
        <f>VLOOKUP(B1052,Kunde!A:C,3,FALSE)</f>
        <v>Geschäftskunde</v>
      </c>
      <c r="D1052" t="str">
        <f>VLOOKUP(O1052,Produkt!$A$1:$E$5,2,FALSE)</f>
        <v>B</v>
      </c>
      <c r="E1052">
        <f t="shared" si="48"/>
        <v>131</v>
      </c>
      <c r="F1052">
        <f>VLOOKUP(D1052,Produkt!$B$1:$C$5,2,FALSE)*Bestellungen!E1052</f>
        <v>62880</v>
      </c>
      <c r="G1052" s="2">
        <v>44761</v>
      </c>
      <c r="H1052" s="2">
        <f t="shared" si="49"/>
        <v>44763</v>
      </c>
      <c r="I1052" s="2">
        <f t="shared" si="50"/>
        <v>44779</v>
      </c>
      <c r="J1052" t="str">
        <f>VLOOKUP(M1052,Umfragenteilnahme!$A$2:$B$3,2,)</f>
        <v>Nein</v>
      </c>
      <c r="M1052">
        <v>2</v>
      </c>
      <c r="N1052">
        <v>19</v>
      </c>
      <c r="O1052">
        <v>2</v>
      </c>
      <c r="P1052">
        <v>131</v>
      </c>
      <c r="Q1052">
        <v>5</v>
      </c>
      <c r="R1052">
        <v>2</v>
      </c>
      <c r="S1052">
        <v>18</v>
      </c>
    </row>
    <row r="1053" spans="1:19" x14ac:dyDescent="0.35">
      <c r="A1053">
        <v>8700</v>
      </c>
      <c r="B1053">
        <v>348</v>
      </c>
      <c r="C1053" t="str">
        <f>VLOOKUP(B1053,Kunde!A:C,3,FALSE)</f>
        <v>Geschäftskunde</v>
      </c>
      <c r="D1053" t="str">
        <f>VLOOKUP(O1053,Produkt!$A$1:$E$5,2,FALSE)</f>
        <v>C</v>
      </c>
      <c r="E1053">
        <f t="shared" si="48"/>
        <v>65</v>
      </c>
      <c r="F1053">
        <f>VLOOKUP(D1053,Produkt!$B$1:$C$5,2,FALSE)*Bestellungen!E1053</f>
        <v>97500</v>
      </c>
      <c r="G1053" s="2">
        <v>44842</v>
      </c>
      <c r="H1053" s="2">
        <f t="shared" si="49"/>
        <v>44849</v>
      </c>
      <c r="I1053" s="2">
        <f t="shared" si="50"/>
        <v>44846</v>
      </c>
      <c r="J1053" t="str">
        <f>VLOOKUP(M1053,Umfragenteilnahme!$A$2:$B$3,2,)</f>
        <v>Nein</v>
      </c>
      <c r="M1053">
        <v>2</v>
      </c>
      <c r="N1053">
        <v>348</v>
      </c>
      <c r="O1053">
        <v>3</v>
      </c>
      <c r="P1053">
        <v>65</v>
      </c>
      <c r="Q1053">
        <v>1</v>
      </c>
      <c r="R1053">
        <v>7</v>
      </c>
      <c r="S1053">
        <v>4</v>
      </c>
    </row>
    <row r="1054" spans="1:19" x14ac:dyDescent="0.35">
      <c r="A1054">
        <v>8701</v>
      </c>
      <c r="B1054">
        <v>657</v>
      </c>
      <c r="C1054" t="str">
        <f>VLOOKUP(B1054,Kunde!A:C,3,FALSE)</f>
        <v>Geschäftskunde</v>
      </c>
      <c r="D1054" t="str">
        <f>VLOOKUP(O1054,Produkt!$A$1:$E$5,2,FALSE)</f>
        <v>D</v>
      </c>
      <c r="E1054">
        <f t="shared" si="48"/>
        <v>129</v>
      </c>
      <c r="F1054">
        <f>VLOOKUP(D1054,Produkt!$B$1:$C$5,2,FALSE)*Bestellungen!E1054</f>
        <v>103200</v>
      </c>
      <c r="G1054" s="2">
        <v>44962</v>
      </c>
      <c r="H1054" s="2">
        <f t="shared" si="49"/>
        <v>44967</v>
      </c>
      <c r="I1054" s="2">
        <f t="shared" si="50"/>
        <v>44991</v>
      </c>
      <c r="J1054" t="str">
        <f>VLOOKUP(M1054,Umfragenteilnahme!$A$2:$B$3,2,)</f>
        <v>Ja</v>
      </c>
      <c r="M1054">
        <v>1</v>
      </c>
      <c r="N1054">
        <v>657</v>
      </c>
      <c r="O1054">
        <v>4</v>
      </c>
      <c r="P1054">
        <v>129</v>
      </c>
      <c r="Q1054">
        <v>1</v>
      </c>
      <c r="R1054">
        <v>5</v>
      </c>
      <c r="S1054">
        <v>29</v>
      </c>
    </row>
    <row r="1055" spans="1:19" x14ac:dyDescent="0.35">
      <c r="A1055">
        <v>8702</v>
      </c>
      <c r="B1055">
        <v>681</v>
      </c>
      <c r="C1055" t="str">
        <f>VLOOKUP(B1055,Kunde!A:C,3,FALSE)</f>
        <v>Geschäftskunde</v>
      </c>
      <c r="D1055" t="str">
        <f>VLOOKUP(O1055,Produkt!$A$1:$E$5,2,FALSE)</f>
        <v>D</v>
      </c>
      <c r="E1055">
        <f t="shared" si="48"/>
        <v>143</v>
      </c>
      <c r="F1055">
        <f>VLOOKUP(D1055,Produkt!$B$1:$C$5,2,FALSE)*Bestellungen!E1055</f>
        <v>114400</v>
      </c>
      <c r="G1055" s="2">
        <v>45075</v>
      </c>
      <c r="H1055" s="2">
        <f t="shared" si="49"/>
        <v>45082</v>
      </c>
      <c r="I1055" s="2">
        <f t="shared" si="50"/>
        <v>45123</v>
      </c>
      <c r="J1055" t="str">
        <f>VLOOKUP(M1055,Umfragenteilnahme!$A$2:$B$3,2,)</f>
        <v>Ja</v>
      </c>
      <c r="M1055">
        <v>1</v>
      </c>
      <c r="N1055">
        <v>681</v>
      </c>
      <c r="O1055">
        <v>4</v>
      </c>
      <c r="P1055">
        <v>143</v>
      </c>
      <c r="Q1055">
        <v>6</v>
      </c>
      <c r="R1055">
        <v>7</v>
      </c>
      <c r="S1055">
        <v>48</v>
      </c>
    </row>
    <row r="1056" spans="1:19" x14ac:dyDescent="0.35">
      <c r="A1056">
        <v>8703</v>
      </c>
      <c r="B1056">
        <v>552</v>
      </c>
      <c r="C1056" t="str">
        <f>VLOOKUP(B1056,Kunde!A:C,3,FALSE)</f>
        <v>Geschäftskunde</v>
      </c>
      <c r="D1056" t="str">
        <f>VLOOKUP(O1056,Produkt!$A$1:$E$5,2,FALSE)</f>
        <v>B</v>
      </c>
      <c r="E1056">
        <f t="shared" si="48"/>
        <v>104</v>
      </c>
      <c r="F1056">
        <f>VLOOKUP(D1056,Produkt!$B$1:$C$5,2,FALSE)*Bestellungen!E1056</f>
        <v>49920</v>
      </c>
      <c r="G1056" s="2">
        <v>44941</v>
      </c>
      <c r="H1056" s="2">
        <f t="shared" si="49"/>
        <v>44946</v>
      </c>
      <c r="I1056" s="2">
        <f t="shared" si="50"/>
        <v>44997</v>
      </c>
      <c r="J1056" t="str">
        <f>VLOOKUP(M1056,Umfragenteilnahme!$A$2:$B$3,2,)</f>
        <v>Ja</v>
      </c>
      <c r="M1056">
        <v>1</v>
      </c>
      <c r="N1056">
        <v>552</v>
      </c>
      <c r="O1056">
        <v>2</v>
      </c>
      <c r="P1056">
        <v>104</v>
      </c>
      <c r="Q1056">
        <v>7</v>
      </c>
      <c r="R1056">
        <v>5</v>
      </c>
      <c r="S1056">
        <v>56</v>
      </c>
    </row>
    <row r="1057" spans="1:19" x14ac:dyDescent="0.35">
      <c r="A1057">
        <v>8704</v>
      </c>
      <c r="B1057">
        <v>462</v>
      </c>
      <c r="C1057" t="str">
        <f>VLOOKUP(B1057,Kunde!A:C,3,FALSE)</f>
        <v>Geschäftskunde</v>
      </c>
      <c r="D1057" t="str">
        <f>VLOOKUP(O1057,Produkt!$A$1:$E$5,2,FALSE)</f>
        <v>C</v>
      </c>
      <c r="E1057">
        <f t="shared" si="48"/>
        <v>135</v>
      </c>
      <c r="F1057">
        <f>VLOOKUP(D1057,Produkt!$B$1:$C$5,2,FALSE)*Bestellungen!E1057</f>
        <v>202500</v>
      </c>
      <c r="G1057" s="2">
        <v>44902</v>
      </c>
      <c r="H1057" s="2">
        <f t="shared" si="49"/>
        <v>44905</v>
      </c>
      <c r="I1057" s="2">
        <f t="shared" si="50"/>
        <v>44931</v>
      </c>
      <c r="J1057" t="str">
        <f>VLOOKUP(M1057,Umfragenteilnahme!$A$2:$B$3,2,)</f>
        <v>Nein</v>
      </c>
      <c r="M1057">
        <v>2</v>
      </c>
      <c r="N1057">
        <v>462</v>
      </c>
      <c r="O1057">
        <v>3</v>
      </c>
      <c r="P1057">
        <v>135</v>
      </c>
      <c r="Q1057">
        <v>8</v>
      </c>
      <c r="R1057">
        <v>3</v>
      </c>
      <c r="S1057">
        <v>29</v>
      </c>
    </row>
    <row r="1058" spans="1:19" x14ac:dyDescent="0.35">
      <c r="A1058">
        <v>8705</v>
      </c>
      <c r="B1058">
        <v>99</v>
      </c>
      <c r="C1058" t="str">
        <f>VLOOKUP(B1058,Kunde!A:C,3,FALSE)</f>
        <v>Privatkunde</v>
      </c>
      <c r="D1058" t="str">
        <f>VLOOKUP(O1058,Produkt!$A$1:$E$5,2,FALSE)</f>
        <v>C</v>
      </c>
      <c r="E1058">
        <f t="shared" si="48"/>
        <v>7</v>
      </c>
      <c r="F1058">
        <f>VLOOKUP(D1058,Produkt!$B$1:$C$5,2,FALSE)*Bestellungen!E1058</f>
        <v>10500</v>
      </c>
      <c r="G1058" s="2">
        <v>44734</v>
      </c>
      <c r="H1058" s="2">
        <f t="shared" si="49"/>
        <v>44737</v>
      </c>
      <c r="I1058" s="2">
        <f t="shared" si="50"/>
        <v>44745</v>
      </c>
      <c r="J1058" t="str">
        <f>VLOOKUP(M1058,Umfragenteilnahme!$A$2:$B$3,2,)</f>
        <v>Ja</v>
      </c>
      <c r="M1058">
        <v>1</v>
      </c>
      <c r="N1058">
        <v>99</v>
      </c>
      <c r="O1058">
        <v>3</v>
      </c>
      <c r="P1058">
        <v>83</v>
      </c>
      <c r="Q1058">
        <v>7</v>
      </c>
      <c r="R1058">
        <v>3</v>
      </c>
      <c r="S1058">
        <v>11</v>
      </c>
    </row>
    <row r="1059" spans="1:19" x14ac:dyDescent="0.35">
      <c r="A1059">
        <v>8706</v>
      </c>
      <c r="B1059">
        <v>643</v>
      </c>
      <c r="C1059" t="str">
        <f>VLOOKUP(B1059,Kunde!A:C,3,FALSE)</f>
        <v>Privatkunde</v>
      </c>
      <c r="D1059" t="str">
        <f>VLOOKUP(O1059,Produkt!$A$1:$E$5,2,FALSE)</f>
        <v>A</v>
      </c>
      <c r="E1059">
        <f t="shared" si="48"/>
        <v>8</v>
      </c>
      <c r="F1059">
        <f>VLOOKUP(D1059,Produkt!$B$1:$C$5,2,FALSE)*Bestellungen!E1059</f>
        <v>2400</v>
      </c>
      <c r="G1059" s="2">
        <v>45036</v>
      </c>
      <c r="H1059" s="2">
        <f t="shared" si="49"/>
        <v>45041</v>
      </c>
      <c r="I1059" s="2">
        <f t="shared" si="50"/>
        <v>45040</v>
      </c>
      <c r="J1059" t="str">
        <f>VLOOKUP(M1059,Umfragenteilnahme!$A$2:$B$3,2,)</f>
        <v>Nein</v>
      </c>
      <c r="M1059">
        <v>2</v>
      </c>
      <c r="N1059">
        <v>643</v>
      </c>
      <c r="O1059">
        <v>1</v>
      </c>
      <c r="P1059">
        <v>64</v>
      </c>
      <c r="Q1059">
        <v>8</v>
      </c>
      <c r="R1059">
        <v>5</v>
      </c>
      <c r="S1059">
        <v>4</v>
      </c>
    </row>
    <row r="1060" spans="1:19" x14ac:dyDescent="0.35">
      <c r="A1060">
        <v>8707</v>
      </c>
      <c r="B1060">
        <v>316</v>
      </c>
      <c r="C1060" t="str">
        <f>VLOOKUP(B1060,Kunde!A:C,3,FALSE)</f>
        <v>Geschäftskunde</v>
      </c>
      <c r="D1060" t="str">
        <f>VLOOKUP(O1060,Produkt!$A$1:$E$5,2,FALSE)</f>
        <v>D</v>
      </c>
      <c r="E1060">
        <f t="shared" si="48"/>
        <v>10</v>
      </c>
      <c r="F1060">
        <f>VLOOKUP(D1060,Produkt!$B$1:$C$5,2,FALSE)*Bestellungen!E1060</f>
        <v>8000</v>
      </c>
      <c r="G1060" s="2">
        <v>45055</v>
      </c>
      <c r="H1060" s="2">
        <f t="shared" si="49"/>
        <v>45058</v>
      </c>
      <c r="I1060" s="2">
        <f t="shared" si="50"/>
        <v>45114</v>
      </c>
      <c r="J1060" t="str">
        <f>VLOOKUP(M1060,Umfragenteilnahme!$A$2:$B$3,2,)</f>
        <v>Ja</v>
      </c>
      <c r="M1060">
        <v>1</v>
      </c>
      <c r="N1060">
        <v>316</v>
      </c>
      <c r="O1060">
        <v>4</v>
      </c>
      <c r="P1060">
        <v>10</v>
      </c>
      <c r="Q1060">
        <v>1</v>
      </c>
      <c r="R1060">
        <v>3</v>
      </c>
      <c r="S1060">
        <v>59</v>
      </c>
    </row>
    <row r="1061" spans="1:19" x14ac:dyDescent="0.35">
      <c r="A1061">
        <v>8708</v>
      </c>
      <c r="B1061">
        <v>511</v>
      </c>
      <c r="C1061" t="str">
        <f>VLOOKUP(B1061,Kunde!A:C,3,FALSE)</f>
        <v>Geschäftskunde</v>
      </c>
      <c r="D1061" t="str">
        <f>VLOOKUP(O1061,Produkt!$A$1:$E$5,2,FALSE)</f>
        <v>B</v>
      </c>
      <c r="E1061">
        <f t="shared" si="48"/>
        <v>89</v>
      </c>
      <c r="F1061">
        <f>VLOOKUP(D1061,Produkt!$B$1:$C$5,2,FALSE)*Bestellungen!E1061</f>
        <v>42720</v>
      </c>
      <c r="G1061" s="2">
        <v>44853</v>
      </c>
      <c r="H1061" s="2">
        <f t="shared" si="49"/>
        <v>44859</v>
      </c>
      <c r="I1061" s="2">
        <f t="shared" si="50"/>
        <v>44883</v>
      </c>
      <c r="J1061" t="str">
        <f>VLOOKUP(M1061,Umfragenteilnahme!$A$2:$B$3,2,)</f>
        <v>Ja</v>
      </c>
      <c r="M1061">
        <v>1</v>
      </c>
      <c r="N1061">
        <v>511</v>
      </c>
      <c r="O1061">
        <v>2</v>
      </c>
      <c r="P1061">
        <v>89</v>
      </c>
      <c r="Q1061">
        <v>3</v>
      </c>
      <c r="R1061">
        <v>6</v>
      </c>
      <c r="S1061">
        <v>30</v>
      </c>
    </row>
    <row r="1062" spans="1:19" x14ac:dyDescent="0.35">
      <c r="A1062">
        <v>8709</v>
      </c>
      <c r="B1062">
        <v>573</v>
      </c>
      <c r="C1062" t="str">
        <f>VLOOKUP(B1062,Kunde!A:C,3,FALSE)</f>
        <v>Geschäftskunde</v>
      </c>
      <c r="D1062" t="str">
        <f>VLOOKUP(O1062,Produkt!$A$1:$E$5,2,FALSE)</f>
        <v>B</v>
      </c>
      <c r="E1062">
        <f t="shared" si="48"/>
        <v>132</v>
      </c>
      <c r="F1062">
        <f>VLOOKUP(D1062,Produkt!$B$1:$C$5,2,FALSE)*Bestellungen!E1062</f>
        <v>63360</v>
      </c>
      <c r="G1062" s="2">
        <v>44987</v>
      </c>
      <c r="H1062" s="2">
        <f t="shared" si="49"/>
        <v>44994</v>
      </c>
      <c r="I1062" s="2">
        <f t="shared" si="50"/>
        <v>44992</v>
      </c>
      <c r="J1062" t="str">
        <f>VLOOKUP(M1062,Umfragenteilnahme!$A$2:$B$3,2,)</f>
        <v>Nein</v>
      </c>
      <c r="M1062">
        <v>2</v>
      </c>
      <c r="N1062">
        <v>573</v>
      </c>
      <c r="O1062">
        <v>2</v>
      </c>
      <c r="P1062">
        <v>132</v>
      </c>
      <c r="Q1062">
        <v>7</v>
      </c>
      <c r="R1062">
        <v>7</v>
      </c>
      <c r="S1062">
        <v>5</v>
      </c>
    </row>
    <row r="1063" spans="1:19" x14ac:dyDescent="0.35">
      <c r="A1063">
        <v>8710</v>
      </c>
      <c r="B1063">
        <v>112</v>
      </c>
      <c r="C1063" t="str">
        <f>VLOOKUP(B1063,Kunde!A:C,3,FALSE)</f>
        <v>Geschäftskunde</v>
      </c>
      <c r="D1063" t="str">
        <f>VLOOKUP(O1063,Produkt!$A$1:$E$5,2,FALSE)</f>
        <v>B</v>
      </c>
      <c r="E1063">
        <f t="shared" si="48"/>
        <v>116</v>
      </c>
      <c r="F1063">
        <f>VLOOKUP(D1063,Produkt!$B$1:$C$5,2,FALSE)*Bestellungen!E1063</f>
        <v>55680</v>
      </c>
      <c r="G1063" s="2">
        <v>44964</v>
      </c>
      <c r="H1063" s="2">
        <f t="shared" si="49"/>
        <v>44967</v>
      </c>
      <c r="I1063" s="2">
        <f t="shared" si="50"/>
        <v>44995</v>
      </c>
      <c r="J1063" t="str">
        <f>VLOOKUP(M1063,Umfragenteilnahme!$A$2:$B$3,2,)</f>
        <v>Nein</v>
      </c>
      <c r="M1063">
        <v>2</v>
      </c>
      <c r="N1063">
        <v>112</v>
      </c>
      <c r="O1063">
        <v>2</v>
      </c>
      <c r="P1063">
        <v>116</v>
      </c>
      <c r="Q1063">
        <v>8</v>
      </c>
      <c r="R1063">
        <v>3</v>
      </c>
      <c r="S1063">
        <v>31</v>
      </c>
    </row>
    <row r="1064" spans="1:19" x14ac:dyDescent="0.35">
      <c r="A1064">
        <v>8711</v>
      </c>
      <c r="B1064">
        <v>570</v>
      </c>
      <c r="C1064" t="str">
        <f>VLOOKUP(B1064,Kunde!A:C,3,FALSE)</f>
        <v>Geschäftskunde</v>
      </c>
      <c r="D1064" t="str">
        <f>VLOOKUP(O1064,Produkt!$A$1:$E$5,2,FALSE)</f>
        <v>B</v>
      </c>
      <c r="E1064">
        <f t="shared" si="48"/>
        <v>33</v>
      </c>
      <c r="F1064">
        <f>VLOOKUP(D1064,Produkt!$B$1:$C$5,2,FALSE)*Bestellungen!E1064</f>
        <v>15840</v>
      </c>
      <c r="G1064" s="2">
        <v>44978</v>
      </c>
      <c r="H1064" s="2">
        <f t="shared" si="49"/>
        <v>44980</v>
      </c>
      <c r="I1064" s="2">
        <f t="shared" si="50"/>
        <v>45020</v>
      </c>
      <c r="J1064" t="str">
        <f>VLOOKUP(M1064,Umfragenteilnahme!$A$2:$B$3,2,)</f>
        <v>Ja</v>
      </c>
      <c r="M1064">
        <v>1</v>
      </c>
      <c r="N1064">
        <v>570</v>
      </c>
      <c r="O1064">
        <v>2</v>
      </c>
      <c r="P1064">
        <v>33</v>
      </c>
      <c r="Q1064">
        <v>9</v>
      </c>
      <c r="R1064">
        <v>2</v>
      </c>
      <c r="S1064">
        <v>42</v>
      </c>
    </row>
    <row r="1065" spans="1:19" x14ac:dyDescent="0.35">
      <c r="A1065">
        <v>8712</v>
      </c>
      <c r="B1065">
        <v>496</v>
      </c>
      <c r="C1065" t="str">
        <f>VLOOKUP(B1065,Kunde!A:C,3,FALSE)</f>
        <v>Geschäftskunde</v>
      </c>
      <c r="D1065" t="str">
        <f>VLOOKUP(O1065,Produkt!$A$1:$E$5,2,FALSE)</f>
        <v>B</v>
      </c>
      <c r="E1065">
        <f t="shared" si="48"/>
        <v>77</v>
      </c>
      <c r="F1065">
        <f>VLOOKUP(D1065,Produkt!$B$1:$C$5,2,FALSE)*Bestellungen!E1065</f>
        <v>36960</v>
      </c>
      <c r="G1065" s="2">
        <v>45035</v>
      </c>
      <c r="H1065" s="2">
        <f t="shared" si="49"/>
        <v>45041</v>
      </c>
      <c r="I1065" s="2">
        <f t="shared" si="50"/>
        <v>45071</v>
      </c>
      <c r="J1065" t="str">
        <f>VLOOKUP(M1065,Umfragenteilnahme!$A$2:$B$3,2,)</f>
        <v>Ja</v>
      </c>
      <c r="M1065">
        <v>1</v>
      </c>
      <c r="N1065">
        <v>496</v>
      </c>
      <c r="O1065">
        <v>2</v>
      </c>
      <c r="P1065">
        <v>77</v>
      </c>
      <c r="Q1065">
        <v>8</v>
      </c>
      <c r="R1065">
        <v>6</v>
      </c>
      <c r="S1065">
        <v>36</v>
      </c>
    </row>
    <row r="1066" spans="1:19" x14ac:dyDescent="0.35">
      <c r="A1066">
        <v>8713</v>
      </c>
      <c r="B1066">
        <v>607</v>
      </c>
      <c r="C1066" t="str">
        <f>VLOOKUP(B1066,Kunde!A:C,3,FALSE)</f>
        <v>Geschäftskunde</v>
      </c>
      <c r="D1066" t="str">
        <f>VLOOKUP(O1066,Produkt!$A$1:$E$5,2,FALSE)</f>
        <v>C</v>
      </c>
      <c r="E1066">
        <f t="shared" si="48"/>
        <v>122</v>
      </c>
      <c r="F1066">
        <f>VLOOKUP(D1066,Produkt!$B$1:$C$5,2,FALSE)*Bestellungen!E1066</f>
        <v>183000</v>
      </c>
      <c r="G1066" s="2">
        <v>44909</v>
      </c>
      <c r="H1066" s="2">
        <f t="shared" si="49"/>
        <v>44911</v>
      </c>
      <c r="I1066" s="2">
        <f t="shared" si="50"/>
        <v>44945</v>
      </c>
      <c r="J1066" t="str">
        <f>VLOOKUP(M1066,Umfragenteilnahme!$A$2:$B$3,2,)</f>
        <v>Ja</v>
      </c>
      <c r="M1066">
        <v>1</v>
      </c>
      <c r="N1066">
        <v>607</v>
      </c>
      <c r="O1066">
        <v>3</v>
      </c>
      <c r="P1066">
        <v>122</v>
      </c>
      <c r="Q1066">
        <v>10</v>
      </c>
      <c r="R1066">
        <v>2</v>
      </c>
      <c r="S1066">
        <v>36</v>
      </c>
    </row>
    <row r="1067" spans="1:19" x14ac:dyDescent="0.35">
      <c r="A1067">
        <v>8714</v>
      </c>
      <c r="B1067">
        <v>136</v>
      </c>
      <c r="C1067" t="str">
        <f>VLOOKUP(B1067,Kunde!A:C,3,FALSE)</f>
        <v>Privatkunde</v>
      </c>
      <c r="D1067" t="str">
        <f>VLOOKUP(O1067,Produkt!$A$1:$E$5,2,FALSE)</f>
        <v>B</v>
      </c>
      <c r="E1067">
        <f t="shared" si="48"/>
        <v>7</v>
      </c>
      <c r="F1067">
        <f>VLOOKUP(D1067,Produkt!$B$1:$C$5,2,FALSE)*Bestellungen!E1067</f>
        <v>3360</v>
      </c>
      <c r="G1067" s="2">
        <v>44724</v>
      </c>
      <c r="H1067" s="2">
        <f t="shared" si="49"/>
        <v>44731</v>
      </c>
      <c r="I1067" s="2">
        <f t="shared" si="50"/>
        <v>44759</v>
      </c>
      <c r="J1067" t="str">
        <f>VLOOKUP(M1067,Umfragenteilnahme!$A$2:$B$3,2,)</f>
        <v>Ja</v>
      </c>
      <c r="M1067">
        <v>1</v>
      </c>
      <c r="N1067">
        <v>136</v>
      </c>
      <c r="O1067">
        <v>2</v>
      </c>
      <c r="P1067">
        <v>143</v>
      </c>
      <c r="Q1067">
        <v>7</v>
      </c>
      <c r="R1067">
        <v>7</v>
      </c>
      <c r="S1067">
        <v>35</v>
      </c>
    </row>
    <row r="1068" spans="1:19" x14ac:dyDescent="0.35">
      <c r="A1068">
        <v>8715</v>
      </c>
      <c r="B1068">
        <v>715</v>
      </c>
      <c r="C1068" t="str">
        <f>VLOOKUP(B1068,Kunde!A:C,3,FALSE)</f>
        <v>Geschäftskunde</v>
      </c>
      <c r="D1068" t="str">
        <f>VLOOKUP(O1068,Produkt!$A$1:$E$5,2,FALSE)</f>
        <v>A</v>
      </c>
      <c r="E1068">
        <f t="shared" si="48"/>
        <v>105</v>
      </c>
      <c r="F1068">
        <f>VLOOKUP(D1068,Produkt!$B$1:$C$5,2,FALSE)*Bestellungen!E1068</f>
        <v>31500</v>
      </c>
      <c r="G1068" s="2">
        <v>44865</v>
      </c>
      <c r="H1068" s="2">
        <f t="shared" si="49"/>
        <v>44872</v>
      </c>
      <c r="I1068" s="2">
        <f t="shared" si="50"/>
        <v>44904</v>
      </c>
      <c r="J1068" t="str">
        <f>VLOOKUP(M1068,Umfragenteilnahme!$A$2:$B$3,2,)</f>
        <v>Ja</v>
      </c>
      <c r="M1068">
        <v>1</v>
      </c>
      <c r="N1068">
        <v>715</v>
      </c>
      <c r="O1068">
        <v>1</v>
      </c>
      <c r="P1068">
        <v>105</v>
      </c>
      <c r="Q1068">
        <v>7</v>
      </c>
      <c r="R1068">
        <v>7</v>
      </c>
      <c r="S1068">
        <v>39</v>
      </c>
    </row>
    <row r="1069" spans="1:19" x14ac:dyDescent="0.35">
      <c r="A1069">
        <v>8716</v>
      </c>
      <c r="B1069">
        <v>36</v>
      </c>
      <c r="C1069" t="str">
        <f>VLOOKUP(B1069,Kunde!A:C,3,FALSE)</f>
        <v>Privatkunde</v>
      </c>
      <c r="D1069" t="str">
        <f>VLOOKUP(O1069,Produkt!$A$1:$E$5,2,FALSE)</f>
        <v>A</v>
      </c>
      <c r="E1069">
        <f t="shared" si="48"/>
        <v>1</v>
      </c>
      <c r="F1069">
        <f>VLOOKUP(D1069,Produkt!$B$1:$C$5,2,FALSE)*Bestellungen!E1069</f>
        <v>300</v>
      </c>
      <c r="G1069" s="2">
        <v>44739</v>
      </c>
      <c r="H1069" s="2">
        <f t="shared" si="49"/>
        <v>44745</v>
      </c>
      <c r="I1069" s="2">
        <f t="shared" si="50"/>
        <v>44745</v>
      </c>
      <c r="J1069" t="str">
        <f>VLOOKUP(M1069,Umfragenteilnahme!$A$2:$B$3,2,)</f>
        <v>Nein</v>
      </c>
      <c r="M1069">
        <v>2</v>
      </c>
      <c r="N1069">
        <v>36</v>
      </c>
      <c r="O1069">
        <v>1</v>
      </c>
      <c r="P1069">
        <v>113</v>
      </c>
      <c r="Q1069">
        <v>1</v>
      </c>
      <c r="R1069">
        <v>6</v>
      </c>
      <c r="S1069">
        <v>6</v>
      </c>
    </row>
    <row r="1070" spans="1:19" x14ac:dyDescent="0.35">
      <c r="A1070">
        <v>8717</v>
      </c>
      <c r="B1070">
        <v>578</v>
      </c>
      <c r="C1070" t="str">
        <f>VLOOKUP(B1070,Kunde!A:C,3,FALSE)</f>
        <v>Geschäftskunde</v>
      </c>
      <c r="D1070" t="str">
        <f>VLOOKUP(O1070,Produkt!$A$1:$E$5,2,FALSE)</f>
        <v>A</v>
      </c>
      <c r="E1070">
        <f t="shared" si="48"/>
        <v>113</v>
      </c>
      <c r="F1070">
        <f>VLOOKUP(D1070,Produkt!$B$1:$C$5,2,FALSE)*Bestellungen!E1070</f>
        <v>33900</v>
      </c>
      <c r="G1070" s="2">
        <v>44873</v>
      </c>
      <c r="H1070" s="2">
        <f t="shared" si="49"/>
        <v>44878</v>
      </c>
      <c r="I1070" s="2">
        <f t="shared" si="50"/>
        <v>44903</v>
      </c>
      <c r="J1070" t="str">
        <f>VLOOKUP(M1070,Umfragenteilnahme!$A$2:$B$3,2,)</f>
        <v>Ja</v>
      </c>
      <c r="M1070">
        <v>1</v>
      </c>
      <c r="N1070">
        <v>578</v>
      </c>
      <c r="O1070">
        <v>1</v>
      </c>
      <c r="P1070">
        <v>113</v>
      </c>
      <c r="Q1070">
        <v>10</v>
      </c>
      <c r="R1070">
        <v>5</v>
      </c>
      <c r="S1070">
        <v>30</v>
      </c>
    </row>
    <row r="1071" spans="1:19" x14ac:dyDescent="0.35">
      <c r="A1071">
        <v>8718</v>
      </c>
      <c r="B1071">
        <v>378</v>
      </c>
      <c r="C1071" t="str">
        <f>VLOOKUP(B1071,Kunde!A:C,3,FALSE)</f>
        <v>Geschäftskunde</v>
      </c>
      <c r="D1071" t="str">
        <f>VLOOKUP(O1071,Produkt!$A$1:$E$5,2,FALSE)</f>
        <v>C</v>
      </c>
      <c r="E1071">
        <f t="shared" si="48"/>
        <v>33</v>
      </c>
      <c r="F1071">
        <f>VLOOKUP(D1071,Produkt!$B$1:$C$5,2,FALSE)*Bestellungen!E1071</f>
        <v>49500</v>
      </c>
      <c r="G1071" s="2">
        <v>44778</v>
      </c>
      <c r="H1071" s="2">
        <f t="shared" si="49"/>
        <v>44782</v>
      </c>
      <c r="I1071" s="2">
        <f t="shared" si="50"/>
        <v>44806</v>
      </c>
      <c r="J1071" t="str">
        <f>VLOOKUP(M1071,Umfragenteilnahme!$A$2:$B$3,2,)</f>
        <v>Nein</v>
      </c>
      <c r="M1071">
        <v>2</v>
      </c>
      <c r="N1071">
        <v>378</v>
      </c>
      <c r="O1071">
        <v>3</v>
      </c>
      <c r="P1071">
        <v>33</v>
      </c>
      <c r="Q1071">
        <v>5</v>
      </c>
      <c r="R1071">
        <v>4</v>
      </c>
      <c r="S1071">
        <v>28</v>
      </c>
    </row>
    <row r="1072" spans="1:19" x14ac:dyDescent="0.35">
      <c r="A1072">
        <v>8719</v>
      </c>
      <c r="B1072">
        <v>204</v>
      </c>
      <c r="C1072" t="str">
        <f>VLOOKUP(B1072,Kunde!A:C,3,FALSE)</f>
        <v>Geschäftskunde</v>
      </c>
      <c r="D1072" t="str">
        <f>VLOOKUP(O1072,Produkt!$A$1:$E$5,2,FALSE)</f>
        <v>A</v>
      </c>
      <c r="E1072">
        <f t="shared" si="48"/>
        <v>113</v>
      </c>
      <c r="F1072">
        <f>VLOOKUP(D1072,Produkt!$B$1:$C$5,2,FALSE)*Bestellungen!E1072</f>
        <v>33900</v>
      </c>
      <c r="G1072" s="2">
        <v>44880</v>
      </c>
      <c r="H1072" s="2">
        <f t="shared" si="49"/>
        <v>44883</v>
      </c>
      <c r="I1072" s="2">
        <f t="shared" si="50"/>
        <v>44906</v>
      </c>
      <c r="J1072" t="str">
        <f>VLOOKUP(M1072,Umfragenteilnahme!$A$2:$B$3,2,)</f>
        <v>Ja</v>
      </c>
      <c r="M1072">
        <v>1</v>
      </c>
      <c r="N1072">
        <v>204</v>
      </c>
      <c r="O1072">
        <v>1</v>
      </c>
      <c r="P1072">
        <v>113</v>
      </c>
      <c r="Q1072">
        <v>3</v>
      </c>
      <c r="R1072">
        <v>3</v>
      </c>
      <c r="S1072">
        <v>26</v>
      </c>
    </row>
    <row r="1073" spans="1:19" x14ac:dyDescent="0.35">
      <c r="A1073">
        <v>8720</v>
      </c>
      <c r="B1073">
        <v>225</v>
      </c>
      <c r="C1073" t="str">
        <f>VLOOKUP(B1073,Kunde!A:C,3,FALSE)</f>
        <v>Geschäftskunde</v>
      </c>
      <c r="D1073" t="str">
        <f>VLOOKUP(O1073,Produkt!$A$1:$E$5,2,FALSE)</f>
        <v>C</v>
      </c>
      <c r="E1073">
        <f t="shared" si="48"/>
        <v>25</v>
      </c>
      <c r="F1073">
        <f>VLOOKUP(D1073,Produkt!$B$1:$C$5,2,FALSE)*Bestellungen!E1073</f>
        <v>37500</v>
      </c>
      <c r="G1073" s="2">
        <v>44881</v>
      </c>
      <c r="H1073" s="2">
        <f t="shared" si="49"/>
        <v>44884</v>
      </c>
      <c r="I1073" s="2">
        <f t="shared" si="50"/>
        <v>44892</v>
      </c>
      <c r="J1073" t="str">
        <f>VLOOKUP(M1073,Umfragenteilnahme!$A$2:$B$3,2,)</f>
        <v>Nein</v>
      </c>
      <c r="M1073">
        <v>2</v>
      </c>
      <c r="N1073">
        <v>225</v>
      </c>
      <c r="O1073">
        <v>3</v>
      </c>
      <c r="P1073">
        <v>25</v>
      </c>
      <c r="Q1073">
        <v>8</v>
      </c>
      <c r="R1073">
        <v>3</v>
      </c>
      <c r="S1073">
        <v>11</v>
      </c>
    </row>
    <row r="1074" spans="1:19" x14ac:dyDescent="0.35">
      <c r="A1074">
        <v>8721</v>
      </c>
      <c r="B1074">
        <v>167</v>
      </c>
      <c r="C1074" t="str">
        <f>VLOOKUP(B1074,Kunde!A:C,3,FALSE)</f>
        <v>Geschäftskunde</v>
      </c>
      <c r="D1074" t="str">
        <f>VLOOKUP(O1074,Produkt!$A$1:$E$5,2,FALSE)</f>
        <v>D</v>
      </c>
      <c r="E1074">
        <f t="shared" si="48"/>
        <v>121</v>
      </c>
      <c r="F1074">
        <f>VLOOKUP(D1074,Produkt!$B$1:$C$5,2,FALSE)*Bestellungen!E1074</f>
        <v>96800</v>
      </c>
      <c r="G1074" s="2">
        <v>44872</v>
      </c>
      <c r="H1074" s="2">
        <f t="shared" si="49"/>
        <v>44878</v>
      </c>
      <c r="I1074" s="2">
        <f t="shared" si="50"/>
        <v>44892</v>
      </c>
      <c r="J1074" t="str">
        <f>VLOOKUP(M1074,Umfragenteilnahme!$A$2:$B$3,2,)</f>
        <v>Nein</v>
      </c>
      <c r="M1074">
        <v>2</v>
      </c>
      <c r="N1074">
        <v>167</v>
      </c>
      <c r="O1074">
        <v>4</v>
      </c>
      <c r="P1074">
        <v>121</v>
      </c>
      <c r="Q1074">
        <v>6</v>
      </c>
      <c r="R1074">
        <v>6</v>
      </c>
      <c r="S1074">
        <v>20</v>
      </c>
    </row>
    <row r="1075" spans="1:19" x14ac:dyDescent="0.35">
      <c r="A1075">
        <v>8722</v>
      </c>
      <c r="B1075">
        <v>287</v>
      </c>
      <c r="C1075" t="str">
        <f>VLOOKUP(B1075,Kunde!A:C,3,FALSE)</f>
        <v>Privatkunde</v>
      </c>
      <c r="D1075" t="str">
        <f>VLOOKUP(O1075,Produkt!$A$1:$E$5,2,FALSE)</f>
        <v>B</v>
      </c>
      <c r="E1075">
        <f t="shared" si="48"/>
        <v>1</v>
      </c>
      <c r="F1075">
        <f>VLOOKUP(D1075,Produkt!$B$1:$C$5,2,FALSE)*Bestellungen!E1075</f>
        <v>480</v>
      </c>
      <c r="G1075" s="2">
        <v>45051</v>
      </c>
      <c r="H1075" s="2">
        <f t="shared" si="49"/>
        <v>45055</v>
      </c>
      <c r="I1075" s="2">
        <f t="shared" si="50"/>
        <v>45061</v>
      </c>
      <c r="J1075" t="str">
        <f>VLOOKUP(M1075,Umfragenteilnahme!$A$2:$B$3,2,)</f>
        <v>Nein</v>
      </c>
      <c r="M1075">
        <v>2</v>
      </c>
      <c r="N1075">
        <v>287</v>
      </c>
      <c r="O1075">
        <v>2</v>
      </c>
      <c r="P1075">
        <v>86</v>
      </c>
      <c r="Q1075">
        <v>1</v>
      </c>
      <c r="R1075">
        <v>4</v>
      </c>
      <c r="S1075">
        <v>10</v>
      </c>
    </row>
    <row r="1076" spans="1:19" x14ac:dyDescent="0.35">
      <c r="A1076">
        <v>8723</v>
      </c>
      <c r="B1076">
        <v>246</v>
      </c>
      <c r="C1076" t="str">
        <f>VLOOKUP(B1076,Kunde!A:C,3,FALSE)</f>
        <v>Geschäftskunde</v>
      </c>
      <c r="D1076" t="str">
        <f>VLOOKUP(O1076,Produkt!$A$1:$E$5,2,FALSE)</f>
        <v>B</v>
      </c>
      <c r="E1076">
        <f t="shared" si="48"/>
        <v>37</v>
      </c>
      <c r="F1076">
        <f>VLOOKUP(D1076,Produkt!$B$1:$C$5,2,FALSE)*Bestellungen!E1076</f>
        <v>17760</v>
      </c>
      <c r="G1076" s="2">
        <v>44839</v>
      </c>
      <c r="H1076" s="2">
        <f t="shared" si="49"/>
        <v>44846</v>
      </c>
      <c r="I1076" s="2">
        <f t="shared" si="50"/>
        <v>44888</v>
      </c>
      <c r="J1076" t="str">
        <f>VLOOKUP(M1076,Umfragenteilnahme!$A$2:$B$3,2,)</f>
        <v>Nein</v>
      </c>
      <c r="M1076">
        <v>2</v>
      </c>
      <c r="N1076">
        <v>246</v>
      </c>
      <c r="O1076">
        <v>2</v>
      </c>
      <c r="P1076">
        <v>37</v>
      </c>
      <c r="Q1076">
        <v>9</v>
      </c>
      <c r="R1076">
        <v>7</v>
      </c>
      <c r="S1076">
        <v>49</v>
      </c>
    </row>
    <row r="1077" spans="1:19" x14ac:dyDescent="0.35">
      <c r="A1077">
        <v>8724</v>
      </c>
      <c r="B1077">
        <v>413</v>
      </c>
      <c r="C1077" t="str">
        <f>VLOOKUP(B1077,Kunde!A:C,3,FALSE)</f>
        <v>Geschäftskunde</v>
      </c>
      <c r="D1077" t="str">
        <f>VLOOKUP(O1077,Produkt!$A$1:$E$5,2,FALSE)</f>
        <v>D</v>
      </c>
      <c r="E1077">
        <f t="shared" si="48"/>
        <v>126</v>
      </c>
      <c r="F1077">
        <f>VLOOKUP(D1077,Produkt!$B$1:$C$5,2,FALSE)*Bestellungen!E1077</f>
        <v>100800</v>
      </c>
      <c r="G1077" s="2">
        <v>44779</v>
      </c>
      <c r="H1077" s="2">
        <f t="shared" si="49"/>
        <v>44783</v>
      </c>
      <c r="I1077" s="2">
        <f t="shared" si="50"/>
        <v>44828</v>
      </c>
      <c r="J1077" t="str">
        <f>VLOOKUP(M1077,Umfragenteilnahme!$A$2:$B$3,2,)</f>
        <v>Nein</v>
      </c>
      <c r="M1077">
        <v>2</v>
      </c>
      <c r="N1077">
        <v>413</v>
      </c>
      <c r="O1077">
        <v>4</v>
      </c>
      <c r="P1077">
        <v>126</v>
      </c>
      <c r="Q1077">
        <v>1</v>
      </c>
      <c r="R1077">
        <v>4</v>
      </c>
      <c r="S1077">
        <v>49</v>
      </c>
    </row>
    <row r="1078" spans="1:19" x14ac:dyDescent="0.35">
      <c r="A1078">
        <v>8725</v>
      </c>
      <c r="B1078">
        <v>483</v>
      </c>
      <c r="C1078" t="str">
        <f>VLOOKUP(B1078,Kunde!A:C,3,FALSE)</f>
        <v>Geschäftskunde</v>
      </c>
      <c r="D1078" t="str">
        <f>VLOOKUP(O1078,Produkt!$A$1:$E$5,2,FALSE)</f>
        <v>C</v>
      </c>
      <c r="E1078">
        <f t="shared" si="48"/>
        <v>92</v>
      </c>
      <c r="F1078">
        <f>VLOOKUP(D1078,Produkt!$B$1:$C$5,2,FALSE)*Bestellungen!E1078</f>
        <v>138000</v>
      </c>
      <c r="G1078" s="2">
        <v>44749</v>
      </c>
      <c r="H1078" s="2">
        <f t="shared" si="49"/>
        <v>44753</v>
      </c>
      <c r="I1078" s="2">
        <f t="shared" si="50"/>
        <v>44786</v>
      </c>
      <c r="J1078" t="str">
        <f>VLOOKUP(M1078,Umfragenteilnahme!$A$2:$B$3,2,)</f>
        <v>Ja</v>
      </c>
      <c r="M1078">
        <v>1</v>
      </c>
      <c r="N1078">
        <v>483</v>
      </c>
      <c r="O1078">
        <v>3</v>
      </c>
      <c r="P1078">
        <v>92</v>
      </c>
      <c r="Q1078">
        <v>4</v>
      </c>
      <c r="R1078">
        <v>4</v>
      </c>
      <c r="S1078">
        <v>37</v>
      </c>
    </row>
    <row r="1079" spans="1:19" x14ac:dyDescent="0.35">
      <c r="A1079">
        <v>8726</v>
      </c>
      <c r="B1079">
        <v>519</v>
      </c>
      <c r="C1079" t="str">
        <f>VLOOKUP(B1079,Kunde!A:C,3,FALSE)</f>
        <v>Geschäftskunde</v>
      </c>
      <c r="D1079" t="str">
        <f>VLOOKUP(O1079,Produkt!$A$1:$E$5,2,FALSE)</f>
        <v>B</v>
      </c>
      <c r="E1079">
        <f t="shared" si="48"/>
        <v>91</v>
      </c>
      <c r="F1079">
        <f>VLOOKUP(D1079,Produkt!$B$1:$C$5,2,FALSE)*Bestellungen!E1079</f>
        <v>43680</v>
      </c>
      <c r="G1079" s="2">
        <v>44794</v>
      </c>
      <c r="H1079" s="2">
        <f t="shared" si="49"/>
        <v>44800</v>
      </c>
      <c r="I1079" s="2">
        <f t="shared" si="50"/>
        <v>44802</v>
      </c>
      <c r="J1079" t="str">
        <f>VLOOKUP(M1079,Umfragenteilnahme!$A$2:$B$3,2,)</f>
        <v>Nein</v>
      </c>
      <c r="M1079">
        <v>2</v>
      </c>
      <c r="N1079">
        <v>519</v>
      </c>
      <c r="O1079">
        <v>2</v>
      </c>
      <c r="P1079">
        <v>91</v>
      </c>
      <c r="Q1079">
        <v>1</v>
      </c>
      <c r="R1079">
        <v>6</v>
      </c>
      <c r="S1079">
        <v>8</v>
      </c>
    </row>
    <row r="1080" spans="1:19" x14ac:dyDescent="0.35">
      <c r="A1080">
        <v>8727</v>
      </c>
      <c r="B1080">
        <v>644</v>
      </c>
      <c r="C1080" t="str">
        <f>VLOOKUP(B1080,Kunde!A:C,3,FALSE)</f>
        <v>Geschäftskunde</v>
      </c>
      <c r="D1080" t="str">
        <f>VLOOKUP(O1080,Produkt!$A$1:$E$5,2,FALSE)</f>
        <v>A</v>
      </c>
      <c r="E1080">
        <f t="shared" si="48"/>
        <v>54</v>
      </c>
      <c r="F1080">
        <f>VLOOKUP(D1080,Produkt!$B$1:$C$5,2,FALSE)*Bestellungen!E1080</f>
        <v>16200</v>
      </c>
      <c r="G1080" s="2">
        <v>44798</v>
      </c>
      <c r="H1080" s="2">
        <f t="shared" si="49"/>
        <v>44803</v>
      </c>
      <c r="I1080" s="2">
        <f t="shared" si="50"/>
        <v>44833</v>
      </c>
      <c r="J1080" t="str">
        <f>VLOOKUP(M1080,Umfragenteilnahme!$A$2:$B$3,2,)</f>
        <v>Ja</v>
      </c>
      <c r="M1080">
        <v>1</v>
      </c>
      <c r="N1080">
        <v>644</v>
      </c>
      <c r="O1080">
        <v>1</v>
      </c>
      <c r="P1080">
        <v>54</v>
      </c>
      <c r="Q1080">
        <v>6</v>
      </c>
      <c r="R1080">
        <v>5</v>
      </c>
      <c r="S1080">
        <v>35</v>
      </c>
    </row>
    <row r="1081" spans="1:19" x14ac:dyDescent="0.35">
      <c r="A1081">
        <v>8728</v>
      </c>
      <c r="B1081">
        <v>511</v>
      </c>
      <c r="C1081" t="str">
        <f>VLOOKUP(B1081,Kunde!A:C,3,FALSE)</f>
        <v>Geschäftskunde</v>
      </c>
      <c r="D1081" t="str">
        <f>VLOOKUP(O1081,Produkt!$A$1:$E$5,2,FALSE)</f>
        <v>A</v>
      </c>
      <c r="E1081">
        <f t="shared" si="48"/>
        <v>36</v>
      </c>
      <c r="F1081">
        <f>VLOOKUP(D1081,Produkt!$B$1:$C$5,2,FALSE)*Bestellungen!E1081</f>
        <v>10800</v>
      </c>
      <c r="G1081" s="2">
        <v>44842</v>
      </c>
      <c r="H1081" s="2">
        <f t="shared" si="49"/>
        <v>44847</v>
      </c>
      <c r="I1081" s="2">
        <f t="shared" si="50"/>
        <v>44870</v>
      </c>
      <c r="J1081" t="str">
        <f>VLOOKUP(M1081,Umfragenteilnahme!$A$2:$B$3,2,)</f>
        <v>Nein</v>
      </c>
      <c r="M1081">
        <v>2</v>
      </c>
      <c r="N1081">
        <v>511</v>
      </c>
      <c r="O1081">
        <v>1</v>
      </c>
      <c r="P1081">
        <v>36</v>
      </c>
      <c r="Q1081">
        <v>6</v>
      </c>
      <c r="R1081">
        <v>5</v>
      </c>
      <c r="S1081">
        <v>28</v>
      </c>
    </row>
    <row r="1082" spans="1:19" x14ac:dyDescent="0.35">
      <c r="A1082">
        <v>8729</v>
      </c>
      <c r="B1082">
        <v>289</v>
      </c>
      <c r="C1082" t="str">
        <f>VLOOKUP(B1082,Kunde!A:C,3,FALSE)</f>
        <v>Geschäftskunde</v>
      </c>
      <c r="D1082" t="str">
        <f>VLOOKUP(O1082,Produkt!$A$1:$E$5,2,FALSE)</f>
        <v>D</v>
      </c>
      <c r="E1082">
        <f t="shared" si="48"/>
        <v>14</v>
      </c>
      <c r="F1082">
        <f>VLOOKUP(D1082,Produkt!$B$1:$C$5,2,FALSE)*Bestellungen!E1082</f>
        <v>11200</v>
      </c>
      <c r="G1082" s="2">
        <v>44748</v>
      </c>
      <c r="H1082" s="2">
        <f t="shared" si="49"/>
        <v>44750</v>
      </c>
      <c r="I1082" s="2">
        <f t="shared" si="50"/>
        <v>44768</v>
      </c>
      <c r="J1082" t="str">
        <f>VLOOKUP(M1082,Umfragenteilnahme!$A$2:$B$3,2,)</f>
        <v>Ja</v>
      </c>
      <c r="M1082">
        <v>1</v>
      </c>
      <c r="N1082">
        <v>289</v>
      </c>
      <c r="O1082">
        <v>4</v>
      </c>
      <c r="P1082">
        <v>14</v>
      </c>
      <c r="Q1082">
        <v>10</v>
      </c>
      <c r="R1082">
        <v>2</v>
      </c>
      <c r="S1082">
        <v>20</v>
      </c>
    </row>
    <row r="1083" spans="1:19" x14ac:dyDescent="0.35">
      <c r="A1083">
        <v>8730</v>
      </c>
      <c r="B1083">
        <v>38</v>
      </c>
      <c r="C1083" t="str">
        <f>VLOOKUP(B1083,Kunde!A:C,3,FALSE)</f>
        <v>Geschäftskunde</v>
      </c>
      <c r="D1083" t="str">
        <f>VLOOKUP(O1083,Produkt!$A$1:$E$5,2,FALSE)</f>
        <v>C</v>
      </c>
      <c r="E1083">
        <f t="shared" si="48"/>
        <v>48</v>
      </c>
      <c r="F1083">
        <f>VLOOKUP(D1083,Produkt!$B$1:$C$5,2,FALSE)*Bestellungen!E1083</f>
        <v>72000</v>
      </c>
      <c r="G1083" s="2">
        <v>44741</v>
      </c>
      <c r="H1083" s="2">
        <f t="shared" si="49"/>
        <v>44748</v>
      </c>
      <c r="I1083" s="2">
        <f t="shared" si="50"/>
        <v>44771</v>
      </c>
      <c r="J1083" t="str">
        <f>VLOOKUP(M1083,Umfragenteilnahme!$A$2:$B$3,2,)</f>
        <v>Nein</v>
      </c>
      <c r="M1083">
        <v>2</v>
      </c>
      <c r="N1083">
        <v>38</v>
      </c>
      <c r="O1083">
        <v>3</v>
      </c>
      <c r="P1083">
        <v>48</v>
      </c>
      <c r="Q1083">
        <v>1</v>
      </c>
      <c r="R1083">
        <v>7</v>
      </c>
      <c r="S1083">
        <v>30</v>
      </c>
    </row>
    <row r="1084" spans="1:19" x14ac:dyDescent="0.35">
      <c r="A1084">
        <v>8731</v>
      </c>
      <c r="B1084">
        <v>259</v>
      </c>
      <c r="C1084" t="str">
        <f>VLOOKUP(B1084,Kunde!A:C,3,FALSE)</f>
        <v>Geschäftskunde</v>
      </c>
      <c r="D1084" t="str">
        <f>VLOOKUP(O1084,Produkt!$A$1:$E$5,2,FALSE)</f>
        <v>D</v>
      </c>
      <c r="E1084">
        <f t="shared" si="48"/>
        <v>14</v>
      </c>
      <c r="F1084">
        <f>VLOOKUP(D1084,Produkt!$B$1:$C$5,2,FALSE)*Bestellungen!E1084</f>
        <v>11200</v>
      </c>
      <c r="G1084" s="2">
        <v>44795</v>
      </c>
      <c r="H1084" s="2">
        <f t="shared" si="49"/>
        <v>44801</v>
      </c>
      <c r="I1084" s="2">
        <f t="shared" si="50"/>
        <v>44842</v>
      </c>
      <c r="J1084" t="str">
        <f>VLOOKUP(M1084,Umfragenteilnahme!$A$2:$B$3,2,)</f>
        <v>Ja</v>
      </c>
      <c r="M1084">
        <v>1</v>
      </c>
      <c r="N1084">
        <v>259</v>
      </c>
      <c r="O1084">
        <v>4</v>
      </c>
      <c r="P1084">
        <v>14</v>
      </c>
      <c r="Q1084">
        <v>6</v>
      </c>
      <c r="R1084">
        <v>6</v>
      </c>
      <c r="S1084">
        <v>47</v>
      </c>
    </row>
    <row r="1085" spans="1:19" x14ac:dyDescent="0.35">
      <c r="A1085">
        <v>8732</v>
      </c>
      <c r="B1085">
        <v>428</v>
      </c>
      <c r="C1085" t="str">
        <f>VLOOKUP(B1085,Kunde!A:C,3,FALSE)</f>
        <v>Geschäftskunde</v>
      </c>
      <c r="D1085" t="str">
        <f>VLOOKUP(O1085,Produkt!$A$1:$E$5,2,FALSE)</f>
        <v>A</v>
      </c>
      <c r="E1085">
        <f t="shared" si="48"/>
        <v>99</v>
      </c>
      <c r="F1085">
        <f>VLOOKUP(D1085,Produkt!$B$1:$C$5,2,FALSE)*Bestellungen!E1085</f>
        <v>29700</v>
      </c>
      <c r="G1085" s="2">
        <v>44932</v>
      </c>
      <c r="H1085" s="2">
        <f t="shared" si="49"/>
        <v>44938</v>
      </c>
      <c r="I1085" s="2">
        <f t="shared" si="50"/>
        <v>44990</v>
      </c>
      <c r="J1085" t="str">
        <f>VLOOKUP(M1085,Umfragenteilnahme!$A$2:$B$3,2,)</f>
        <v>Nein</v>
      </c>
      <c r="M1085">
        <v>2</v>
      </c>
      <c r="N1085">
        <v>428</v>
      </c>
      <c r="O1085">
        <v>1</v>
      </c>
      <c r="P1085">
        <v>99</v>
      </c>
      <c r="Q1085">
        <v>1</v>
      </c>
      <c r="R1085">
        <v>6</v>
      </c>
      <c r="S1085">
        <v>58</v>
      </c>
    </row>
    <row r="1086" spans="1:19" x14ac:dyDescent="0.35">
      <c r="A1086">
        <v>8733</v>
      </c>
      <c r="B1086">
        <v>792</v>
      </c>
      <c r="C1086" t="str">
        <f>VLOOKUP(B1086,Kunde!A:C,3,FALSE)</f>
        <v>Geschäftskunde</v>
      </c>
      <c r="D1086" t="str">
        <f>VLOOKUP(O1086,Produkt!$A$1:$E$5,2,FALSE)</f>
        <v>D</v>
      </c>
      <c r="E1086">
        <f t="shared" si="48"/>
        <v>60</v>
      </c>
      <c r="F1086">
        <f>VLOOKUP(D1086,Produkt!$B$1:$C$5,2,FALSE)*Bestellungen!E1086</f>
        <v>48000</v>
      </c>
      <c r="G1086" s="2">
        <v>44813</v>
      </c>
      <c r="H1086" s="2">
        <f t="shared" si="49"/>
        <v>44820</v>
      </c>
      <c r="I1086" s="2">
        <f t="shared" si="50"/>
        <v>44869</v>
      </c>
      <c r="J1086" t="str">
        <f>VLOOKUP(M1086,Umfragenteilnahme!$A$2:$B$3,2,)</f>
        <v>Nein</v>
      </c>
      <c r="M1086">
        <v>2</v>
      </c>
      <c r="N1086">
        <v>792</v>
      </c>
      <c r="O1086">
        <v>4</v>
      </c>
      <c r="P1086">
        <v>60</v>
      </c>
      <c r="Q1086">
        <v>5</v>
      </c>
      <c r="R1086">
        <v>7</v>
      </c>
      <c r="S1086">
        <v>56</v>
      </c>
    </row>
    <row r="1087" spans="1:19" x14ac:dyDescent="0.35">
      <c r="A1087">
        <v>8734</v>
      </c>
      <c r="B1087">
        <v>571</v>
      </c>
      <c r="C1087" t="str">
        <f>VLOOKUP(B1087,Kunde!A:C,3,FALSE)</f>
        <v>Geschäftskunde</v>
      </c>
      <c r="D1087" t="str">
        <f>VLOOKUP(O1087,Produkt!$A$1:$E$5,2,FALSE)</f>
        <v>C</v>
      </c>
      <c r="E1087">
        <f t="shared" si="48"/>
        <v>28</v>
      </c>
      <c r="F1087">
        <f>VLOOKUP(D1087,Produkt!$B$1:$C$5,2,FALSE)*Bestellungen!E1087</f>
        <v>42000</v>
      </c>
      <c r="G1087" s="2">
        <v>44752</v>
      </c>
      <c r="H1087" s="2">
        <f t="shared" si="49"/>
        <v>44757</v>
      </c>
      <c r="I1087" s="2">
        <f t="shared" si="50"/>
        <v>44774</v>
      </c>
      <c r="J1087" t="str">
        <f>VLOOKUP(M1087,Umfragenteilnahme!$A$2:$B$3,2,)</f>
        <v>Nein</v>
      </c>
      <c r="M1087">
        <v>2</v>
      </c>
      <c r="N1087">
        <v>571</v>
      </c>
      <c r="O1087">
        <v>3</v>
      </c>
      <c r="P1087">
        <v>28</v>
      </c>
      <c r="Q1087">
        <v>10</v>
      </c>
      <c r="R1087">
        <v>5</v>
      </c>
      <c r="S1087">
        <v>22</v>
      </c>
    </row>
    <row r="1088" spans="1:19" x14ac:dyDescent="0.35">
      <c r="A1088">
        <v>8735</v>
      </c>
      <c r="B1088">
        <v>47</v>
      </c>
      <c r="C1088" t="str">
        <f>VLOOKUP(B1088,Kunde!A:C,3,FALSE)</f>
        <v>Geschäftskunde</v>
      </c>
      <c r="D1088" t="str">
        <f>VLOOKUP(O1088,Produkt!$A$1:$E$5,2,FALSE)</f>
        <v>D</v>
      </c>
      <c r="E1088">
        <f t="shared" si="48"/>
        <v>13</v>
      </c>
      <c r="F1088">
        <f>VLOOKUP(D1088,Produkt!$B$1:$C$5,2,FALSE)*Bestellungen!E1088</f>
        <v>10400</v>
      </c>
      <c r="G1088" s="2">
        <v>44880</v>
      </c>
      <c r="H1088" s="2">
        <f t="shared" si="49"/>
        <v>44887</v>
      </c>
      <c r="I1088" s="2">
        <f t="shared" si="50"/>
        <v>44892</v>
      </c>
      <c r="J1088" t="str">
        <f>VLOOKUP(M1088,Umfragenteilnahme!$A$2:$B$3,2,)</f>
        <v>Ja</v>
      </c>
      <c r="M1088">
        <v>1</v>
      </c>
      <c r="N1088">
        <v>47</v>
      </c>
      <c r="O1088">
        <v>4</v>
      </c>
      <c r="P1088">
        <v>13</v>
      </c>
      <c r="Q1088">
        <v>8</v>
      </c>
      <c r="R1088">
        <v>7</v>
      </c>
      <c r="S1088">
        <v>12</v>
      </c>
    </row>
    <row r="1089" spans="1:19" x14ac:dyDescent="0.35">
      <c r="A1089">
        <v>8736</v>
      </c>
      <c r="B1089">
        <v>603</v>
      </c>
      <c r="C1089" t="str">
        <f>VLOOKUP(B1089,Kunde!A:C,3,FALSE)</f>
        <v>Geschäftskunde</v>
      </c>
      <c r="D1089" t="str">
        <f>VLOOKUP(O1089,Produkt!$A$1:$E$5,2,FALSE)</f>
        <v>D</v>
      </c>
      <c r="E1089">
        <f t="shared" si="48"/>
        <v>64</v>
      </c>
      <c r="F1089">
        <f>VLOOKUP(D1089,Produkt!$B$1:$C$5,2,FALSE)*Bestellungen!E1089</f>
        <v>51200</v>
      </c>
      <c r="G1089" s="2">
        <v>44879</v>
      </c>
      <c r="H1089" s="2">
        <f t="shared" si="49"/>
        <v>44882</v>
      </c>
      <c r="I1089" s="2">
        <f t="shared" si="50"/>
        <v>44935</v>
      </c>
      <c r="J1089" t="str">
        <f>VLOOKUP(M1089,Umfragenteilnahme!$A$2:$B$3,2,)</f>
        <v>Nein</v>
      </c>
      <c r="M1089">
        <v>2</v>
      </c>
      <c r="N1089">
        <v>603</v>
      </c>
      <c r="O1089">
        <v>4</v>
      </c>
      <c r="P1089">
        <v>64</v>
      </c>
      <c r="Q1089">
        <v>7</v>
      </c>
      <c r="R1089">
        <v>3</v>
      </c>
      <c r="S1089">
        <v>56</v>
      </c>
    </row>
    <row r="1090" spans="1:19" x14ac:dyDescent="0.35">
      <c r="A1090">
        <v>8737</v>
      </c>
      <c r="B1090">
        <v>78</v>
      </c>
      <c r="C1090" t="str">
        <f>VLOOKUP(B1090,Kunde!A:C,3,FALSE)</f>
        <v>Privatkunde</v>
      </c>
      <c r="D1090" t="str">
        <f>VLOOKUP(O1090,Produkt!$A$1:$E$5,2,FALSE)</f>
        <v>A</v>
      </c>
      <c r="E1090">
        <f t="shared" si="48"/>
        <v>7</v>
      </c>
      <c r="F1090">
        <f>VLOOKUP(D1090,Produkt!$B$1:$C$5,2,FALSE)*Bestellungen!E1090</f>
        <v>2100</v>
      </c>
      <c r="G1090" s="2">
        <v>44948</v>
      </c>
      <c r="H1090" s="2">
        <f t="shared" si="49"/>
        <v>44950</v>
      </c>
      <c r="I1090" s="2">
        <f t="shared" si="50"/>
        <v>44983</v>
      </c>
      <c r="J1090" t="str">
        <f>VLOOKUP(M1090,Umfragenteilnahme!$A$2:$B$3,2,)</f>
        <v>Nein</v>
      </c>
      <c r="M1090">
        <v>2</v>
      </c>
      <c r="N1090">
        <v>78</v>
      </c>
      <c r="O1090">
        <v>1</v>
      </c>
      <c r="P1090">
        <v>44</v>
      </c>
      <c r="Q1090">
        <v>7</v>
      </c>
      <c r="R1090">
        <v>2</v>
      </c>
      <c r="S1090">
        <v>35</v>
      </c>
    </row>
    <row r="1091" spans="1:19" x14ac:dyDescent="0.35">
      <c r="A1091">
        <v>8738</v>
      </c>
      <c r="B1091">
        <v>735</v>
      </c>
      <c r="C1091" t="str">
        <f>VLOOKUP(B1091,Kunde!A:C,3,FALSE)</f>
        <v>Geschäftskunde</v>
      </c>
      <c r="D1091" t="str">
        <f>VLOOKUP(O1091,Produkt!$A$1:$E$5,2,FALSE)</f>
        <v>D</v>
      </c>
      <c r="E1091">
        <f t="shared" ref="E1091:E1154" si="51">IF(C1091="Geschäftskunde",P1091,Q1091)</f>
        <v>28</v>
      </c>
      <c r="F1091">
        <f>VLOOKUP(D1091,Produkt!$B$1:$C$5,2,FALSE)*Bestellungen!E1091</f>
        <v>22400</v>
      </c>
      <c r="G1091" s="2">
        <v>45059</v>
      </c>
      <c r="H1091" s="2">
        <f t="shared" ref="H1091:H1154" si="52">G1091+R1091</f>
        <v>45063</v>
      </c>
      <c r="I1091" s="2">
        <f t="shared" ref="I1091:I1154" si="53">G1091+S1091</f>
        <v>45083</v>
      </c>
      <c r="J1091" t="str">
        <f>VLOOKUP(M1091,Umfragenteilnahme!$A$2:$B$3,2,)</f>
        <v>Ja</v>
      </c>
      <c r="M1091">
        <v>1</v>
      </c>
      <c r="N1091">
        <v>735</v>
      </c>
      <c r="O1091">
        <v>4</v>
      </c>
      <c r="P1091">
        <v>28</v>
      </c>
      <c r="Q1091">
        <v>2</v>
      </c>
      <c r="R1091">
        <v>4</v>
      </c>
      <c r="S1091">
        <v>24</v>
      </c>
    </row>
    <row r="1092" spans="1:19" x14ac:dyDescent="0.35">
      <c r="A1092">
        <v>8739</v>
      </c>
      <c r="B1092">
        <v>621</v>
      </c>
      <c r="C1092" t="str">
        <f>VLOOKUP(B1092,Kunde!A:C,3,FALSE)</f>
        <v>Privatkunde</v>
      </c>
      <c r="D1092" t="str">
        <f>VLOOKUP(O1092,Produkt!$A$1:$E$5,2,FALSE)</f>
        <v>B</v>
      </c>
      <c r="E1092">
        <f t="shared" si="51"/>
        <v>7</v>
      </c>
      <c r="F1092">
        <f>VLOOKUP(D1092,Produkt!$B$1:$C$5,2,FALSE)*Bestellungen!E1092</f>
        <v>3360</v>
      </c>
      <c r="G1092" s="2">
        <v>44807</v>
      </c>
      <c r="H1092" s="2">
        <f t="shared" si="52"/>
        <v>44811</v>
      </c>
      <c r="I1092" s="2">
        <f t="shared" si="53"/>
        <v>44844</v>
      </c>
      <c r="J1092" t="str">
        <f>VLOOKUP(M1092,Umfragenteilnahme!$A$2:$B$3,2,)</f>
        <v>Nein</v>
      </c>
      <c r="M1092">
        <v>2</v>
      </c>
      <c r="N1092">
        <v>621</v>
      </c>
      <c r="O1092">
        <v>2</v>
      </c>
      <c r="P1092">
        <v>22</v>
      </c>
      <c r="Q1092">
        <v>7</v>
      </c>
      <c r="R1092">
        <v>4</v>
      </c>
      <c r="S1092">
        <v>37</v>
      </c>
    </row>
    <row r="1093" spans="1:19" x14ac:dyDescent="0.35">
      <c r="A1093">
        <v>8740</v>
      </c>
      <c r="B1093">
        <v>94</v>
      </c>
      <c r="C1093" t="str">
        <f>VLOOKUP(B1093,Kunde!A:C,3,FALSE)</f>
        <v>Geschäftskunde</v>
      </c>
      <c r="D1093" t="str">
        <f>VLOOKUP(O1093,Produkt!$A$1:$E$5,2,FALSE)</f>
        <v>B</v>
      </c>
      <c r="E1093">
        <f t="shared" si="51"/>
        <v>96</v>
      </c>
      <c r="F1093">
        <f>VLOOKUP(D1093,Produkt!$B$1:$C$5,2,FALSE)*Bestellungen!E1093</f>
        <v>46080</v>
      </c>
      <c r="G1093" s="2">
        <v>44962</v>
      </c>
      <c r="H1093" s="2">
        <f t="shared" si="52"/>
        <v>44965</v>
      </c>
      <c r="I1093" s="2">
        <f t="shared" si="53"/>
        <v>44999</v>
      </c>
      <c r="J1093" t="str">
        <f>VLOOKUP(M1093,Umfragenteilnahme!$A$2:$B$3,2,)</f>
        <v>Ja</v>
      </c>
      <c r="M1093">
        <v>1</v>
      </c>
      <c r="N1093">
        <v>94</v>
      </c>
      <c r="O1093">
        <v>2</v>
      </c>
      <c r="P1093">
        <v>96</v>
      </c>
      <c r="Q1093">
        <v>2</v>
      </c>
      <c r="R1093">
        <v>3</v>
      </c>
      <c r="S1093">
        <v>37</v>
      </c>
    </row>
    <row r="1094" spans="1:19" x14ac:dyDescent="0.35">
      <c r="A1094">
        <v>8741</v>
      </c>
      <c r="B1094">
        <v>577</v>
      </c>
      <c r="C1094" t="str">
        <f>VLOOKUP(B1094,Kunde!A:C,3,FALSE)</f>
        <v>Geschäftskunde</v>
      </c>
      <c r="D1094" t="str">
        <f>VLOOKUP(O1094,Produkt!$A$1:$E$5,2,FALSE)</f>
        <v>B</v>
      </c>
      <c r="E1094">
        <f t="shared" si="51"/>
        <v>135</v>
      </c>
      <c r="F1094">
        <f>VLOOKUP(D1094,Produkt!$B$1:$C$5,2,FALSE)*Bestellungen!E1094</f>
        <v>64800</v>
      </c>
      <c r="G1094" s="2">
        <v>45018</v>
      </c>
      <c r="H1094" s="2">
        <f t="shared" si="52"/>
        <v>45020</v>
      </c>
      <c r="I1094" s="2">
        <f t="shared" si="53"/>
        <v>45027</v>
      </c>
      <c r="J1094" t="str">
        <f>VLOOKUP(M1094,Umfragenteilnahme!$A$2:$B$3,2,)</f>
        <v>Nein</v>
      </c>
      <c r="M1094">
        <v>2</v>
      </c>
      <c r="N1094">
        <v>577</v>
      </c>
      <c r="O1094">
        <v>2</v>
      </c>
      <c r="P1094">
        <v>135</v>
      </c>
      <c r="Q1094">
        <v>2</v>
      </c>
      <c r="R1094">
        <v>2</v>
      </c>
      <c r="S1094">
        <v>9</v>
      </c>
    </row>
    <row r="1095" spans="1:19" x14ac:dyDescent="0.35">
      <c r="A1095">
        <v>8742</v>
      </c>
      <c r="B1095">
        <v>642</v>
      </c>
      <c r="C1095" t="str">
        <f>VLOOKUP(B1095,Kunde!A:C,3,FALSE)</f>
        <v>Geschäftskunde</v>
      </c>
      <c r="D1095" t="str">
        <f>VLOOKUP(O1095,Produkt!$A$1:$E$5,2,FALSE)</f>
        <v>C</v>
      </c>
      <c r="E1095">
        <f t="shared" si="51"/>
        <v>114</v>
      </c>
      <c r="F1095">
        <f>VLOOKUP(D1095,Produkt!$B$1:$C$5,2,FALSE)*Bestellungen!E1095</f>
        <v>171000</v>
      </c>
      <c r="G1095" s="2">
        <v>45019</v>
      </c>
      <c r="H1095" s="2">
        <f t="shared" si="52"/>
        <v>45025</v>
      </c>
      <c r="I1095" s="2">
        <f t="shared" si="53"/>
        <v>45050</v>
      </c>
      <c r="J1095" t="str">
        <f>VLOOKUP(M1095,Umfragenteilnahme!$A$2:$B$3,2,)</f>
        <v>Ja</v>
      </c>
      <c r="M1095">
        <v>1</v>
      </c>
      <c r="N1095">
        <v>642</v>
      </c>
      <c r="O1095">
        <v>3</v>
      </c>
      <c r="P1095">
        <v>114</v>
      </c>
      <c r="Q1095">
        <v>4</v>
      </c>
      <c r="R1095">
        <v>6</v>
      </c>
      <c r="S1095">
        <v>31</v>
      </c>
    </row>
    <row r="1096" spans="1:19" x14ac:dyDescent="0.35">
      <c r="A1096">
        <v>8743</v>
      </c>
      <c r="B1096">
        <v>350</v>
      </c>
      <c r="C1096" t="str">
        <f>VLOOKUP(B1096,Kunde!A:C,3,FALSE)</f>
        <v>Geschäftskunde</v>
      </c>
      <c r="D1096" t="str">
        <f>VLOOKUP(O1096,Produkt!$A$1:$E$5,2,FALSE)</f>
        <v>D</v>
      </c>
      <c r="E1096">
        <f t="shared" si="51"/>
        <v>22</v>
      </c>
      <c r="F1096">
        <f>VLOOKUP(D1096,Produkt!$B$1:$C$5,2,FALSE)*Bestellungen!E1096</f>
        <v>17600</v>
      </c>
      <c r="G1096" s="2">
        <v>44998</v>
      </c>
      <c r="H1096" s="2">
        <f t="shared" si="52"/>
        <v>45003</v>
      </c>
      <c r="I1096" s="2">
        <f t="shared" si="53"/>
        <v>45021</v>
      </c>
      <c r="J1096" t="str">
        <f>VLOOKUP(M1096,Umfragenteilnahme!$A$2:$B$3,2,)</f>
        <v>Ja</v>
      </c>
      <c r="M1096">
        <v>1</v>
      </c>
      <c r="N1096">
        <v>350</v>
      </c>
      <c r="O1096">
        <v>4</v>
      </c>
      <c r="P1096">
        <v>22</v>
      </c>
      <c r="Q1096">
        <v>2</v>
      </c>
      <c r="R1096">
        <v>5</v>
      </c>
      <c r="S1096">
        <v>23</v>
      </c>
    </row>
    <row r="1097" spans="1:19" x14ac:dyDescent="0.35">
      <c r="A1097">
        <v>8744</v>
      </c>
      <c r="B1097">
        <v>777</v>
      </c>
      <c r="C1097" t="str">
        <f>VLOOKUP(B1097,Kunde!A:C,3,FALSE)</f>
        <v>Geschäftskunde</v>
      </c>
      <c r="D1097" t="str">
        <f>VLOOKUP(O1097,Produkt!$A$1:$E$5,2,FALSE)</f>
        <v>C</v>
      </c>
      <c r="E1097">
        <f t="shared" si="51"/>
        <v>103</v>
      </c>
      <c r="F1097">
        <f>VLOOKUP(D1097,Produkt!$B$1:$C$5,2,FALSE)*Bestellungen!E1097</f>
        <v>154500</v>
      </c>
      <c r="G1097" s="2">
        <v>44787</v>
      </c>
      <c r="H1097" s="2">
        <f t="shared" si="52"/>
        <v>44793</v>
      </c>
      <c r="I1097" s="2">
        <f t="shared" si="53"/>
        <v>44819</v>
      </c>
      <c r="J1097" t="str">
        <f>VLOOKUP(M1097,Umfragenteilnahme!$A$2:$B$3,2,)</f>
        <v>Nein</v>
      </c>
      <c r="M1097">
        <v>2</v>
      </c>
      <c r="N1097">
        <v>777</v>
      </c>
      <c r="O1097">
        <v>3</v>
      </c>
      <c r="P1097">
        <v>103</v>
      </c>
      <c r="Q1097">
        <v>8</v>
      </c>
      <c r="R1097">
        <v>6</v>
      </c>
      <c r="S1097">
        <v>32</v>
      </c>
    </row>
    <row r="1098" spans="1:19" x14ac:dyDescent="0.35">
      <c r="A1098">
        <v>8745</v>
      </c>
      <c r="B1098">
        <v>784</v>
      </c>
      <c r="C1098" t="str">
        <f>VLOOKUP(B1098,Kunde!A:C,3,FALSE)</f>
        <v>Privatkunde</v>
      </c>
      <c r="D1098" t="str">
        <f>VLOOKUP(O1098,Produkt!$A$1:$E$5,2,FALSE)</f>
        <v>A</v>
      </c>
      <c r="E1098">
        <f t="shared" si="51"/>
        <v>10</v>
      </c>
      <c r="F1098">
        <f>VLOOKUP(D1098,Produkt!$B$1:$C$5,2,FALSE)*Bestellungen!E1098</f>
        <v>3000</v>
      </c>
      <c r="G1098" s="2">
        <v>44915</v>
      </c>
      <c r="H1098" s="2">
        <f t="shared" si="52"/>
        <v>44920</v>
      </c>
      <c r="I1098" s="2">
        <f t="shared" si="53"/>
        <v>44927</v>
      </c>
      <c r="J1098" t="str">
        <f>VLOOKUP(M1098,Umfragenteilnahme!$A$2:$B$3,2,)</f>
        <v>Ja</v>
      </c>
      <c r="M1098">
        <v>1</v>
      </c>
      <c r="N1098">
        <v>784</v>
      </c>
      <c r="O1098">
        <v>1</v>
      </c>
      <c r="P1098">
        <v>101</v>
      </c>
      <c r="Q1098">
        <v>10</v>
      </c>
      <c r="R1098">
        <v>5</v>
      </c>
      <c r="S1098">
        <v>12</v>
      </c>
    </row>
    <row r="1099" spans="1:19" x14ac:dyDescent="0.35">
      <c r="A1099">
        <v>8746</v>
      </c>
      <c r="B1099">
        <v>128</v>
      </c>
      <c r="C1099" t="str">
        <f>VLOOKUP(B1099,Kunde!A:C,3,FALSE)</f>
        <v>Privatkunde</v>
      </c>
      <c r="D1099" t="str">
        <f>VLOOKUP(O1099,Produkt!$A$1:$E$5,2,FALSE)</f>
        <v>B</v>
      </c>
      <c r="E1099">
        <f t="shared" si="51"/>
        <v>2</v>
      </c>
      <c r="F1099">
        <f>VLOOKUP(D1099,Produkt!$B$1:$C$5,2,FALSE)*Bestellungen!E1099</f>
        <v>960</v>
      </c>
      <c r="G1099" s="2">
        <v>44953</v>
      </c>
      <c r="H1099" s="2">
        <f t="shared" si="52"/>
        <v>44958</v>
      </c>
      <c r="I1099" s="2">
        <f t="shared" si="53"/>
        <v>45001</v>
      </c>
      <c r="J1099" t="str">
        <f>VLOOKUP(M1099,Umfragenteilnahme!$A$2:$B$3,2,)</f>
        <v>Nein</v>
      </c>
      <c r="M1099">
        <v>2</v>
      </c>
      <c r="N1099">
        <v>128</v>
      </c>
      <c r="O1099">
        <v>2</v>
      </c>
      <c r="P1099">
        <v>103</v>
      </c>
      <c r="Q1099">
        <v>2</v>
      </c>
      <c r="R1099">
        <v>5</v>
      </c>
      <c r="S1099">
        <v>48</v>
      </c>
    </row>
    <row r="1100" spans="1:19" x14ac:dyDescent="0.35">
      <c r="A1100">
        <v>8747</v>
      </c>
      <c r="B1100">
        <v>196</v>
      </c>
      <c r="C1100" t="str">
        <f>VLOOKUP(B1100,Kunde!A:C,3,FALSE)</f>
        <v>Geschäftskunde</v>
      </c>
      <c r="D1100" t="str">
        <f>VLOOKUP(O1100,Produkt!$A$1:$E$5,2,FALSE)</f>
        <v>D</v>
      </c>
      <c r="E1100">
        <f t="shared" si="51"/>
        <v>142</v>
      </c>
      <c r="F1100">
        <f>VLOOKUP(D1100,Produkt!$B$1:$C$5,2,FALSE)*Bestellungen!E1100</f>
        <v>113600</v>
      </c>
      <c r="G1100" s="2">
        <v>44724</v>
      </c>
      <c r="H1100" s="2">
        <f t="shared" si="52"/>
        <v>44731</v>
      </c>
      <c r="I1100" s="2">
        <f t="shared" si="53"/>
        <v>44740</v>
      </c>
      <c r="J1100" t="str">
        <f>VLOOKUP(M1100,Umfragenteilnahme!$A$2:$B$3,2,)</f>
        <v>Nein</v>
      </c>
      <c r="M1100">
        <v>2</v>
      </c>
      <c r="N1100">
        <v>196</v>
      </c>
      <c r="O1100">
        <v>4</v>
      </c>
      <c r="P1100">
        <v>142</v>
      </c>
      <c r="Q1100">
        <v>10</v>
      </c>
      <c r="R1100">
        <v>7</v>
      </c>
      <c r="S1100">
        <v>16</v>
      </c>
    </row>
    <row r="1101" spans="1:19" x14ac:dyDescent="0.35">
      <c r="A1101">
        <v>8748</v>
      </c>
      <c r="B1101">
        <v>30</v>
      </c>
      <c r="C1101" t="str">
        <f>VLOOKUP(B1101,Kunde!A:C,3,FALSE)</f>
        <v>Privatkunde</v>
      </c>
      <c r="D1101" t="str">
        <f>VLOOKUP(O1101,Produkt!$A$1:$E$5,2,FALSE)</f>
        <v>A</v>
      </c>
      <c r="E1101">
        <f t="shared" si="51"/>
        <v>2</v>
      </c>
      <c r="F1101">
        <f>VLOOKUP(D1101,Produkt!$B$1:$C$5,2,FALSE)*Bestellungen!E1101</f>
        <v>600</v>
      </c>
      <c r="G1101" s="2">
        <v>44743</v>
      </c>
      <c r="H1101" s="2">
        <f t="shared" si="52"/>
        <v>44750</v>
      </c>
      <c r="I1101" s="2">
        <f t="shared" si="53"/>
        <v>44780</v>
      </c>
      <c r="J1101" t="str">
        <f>VLOOKUP(M1101,Umfragenteilnahme!$A$2:$B$3,2,)</f>
        <v>Nein</v>
      </c>
      <c r="M1101">
        <v>2</v>
      </c>
      <c r="N1101">
        <v>30</v>
      </c>
      <c r="O1101">
        <v>1</v>
      </c>
      <c r="P1101">
        <v>33</v>
      </c>
      <c r="Q1101">
        <v>2</v>
      </c>
      <c r="R1101">
        <v>7</v>
      </c>
      <c r="S1101">
        <v>37</v>
      </c>
    </row>
    <row r="1102" spans="1:19" x14ac:dyDescent="0.35">
      <c r="A1102">
        <v>8749</v>
      </c>
      <c r="B1102">
        <v>591</v>
      </c>
      <c r="C1102" t="str">
        <f>VLOOKUP(B1102,Kunde!A:C,3,FALSE)</f>
        <v>Geschäftskunde</v>
      </c>
      <c r="D1102" t="str">
        <f>VLOOKUP(O1102,Produkt!$A$1:$E$5,2,FALSE)</f>
        <v>C</v>
      </c>
      <c r="E1102">
        <f t="shared" si="51"/>
        <v>53</v>
      </c>
      <c r="F1102">
        <f>VLOOKUP(D1102,Produkt!$B$1:$C$5,2,FALSE)*Bestellungen!E1102</f>
        <v>79500</v>
      </c>
      <c r="G1102" s="2">
        <v>44739</v>
      </c>
      <c r="H1102" s="2">
        <f t="shared" si="52"/>
        <v>44744</v>
      </c>
      <c r="I1102" s="2">
        <f t="shared" si="53"/>
        <v>44769</v>
      </c>
      <c r="J1102" t="str">
        <f>VLOOKUP(M1102,Umfragenteilnahme!$A$2:$B$3,2,)</f>
        <v>Ja</v>
      </c>
      <c r="M1102">
        <v>1</v>
      </c>
      <c r="N1102">
        <v>591</v>
      </c>
      <c r="O1102">
        <v>3</v>
      </c>
      <c r="P1102">
        <v>53</v>
      </c>
      <c r="Q1102">
        <v>9</v>
      </c>
      <c r="R1102">
        <v>5</v>
      </c>
      <c r="S1102">
        <v>30</v>
      </c>
    </row>
    <row r="1103" spans="1:19" x14ac:dyDescent="0.35">
      <c r="A1103">
        <v>8750</v>
      </c>
      <c r="B1103">
        <v>546</v>
      </c>
      <c r="C1103" t="str">
        <f>VLOOKUP(B1103,Kunde!A:C,3,FALSE)</f>
        <v>Privatkunde</v>
      </c>
      <c r="D1103" t="str">
        <f>VLOOKUP(O1103,Produkt!$A$1:$E$5,2,FALSE)</f>
        <v>C</v>
      </c>
      <c r="E1103">
        <f t="shared" si="51"/>
        <v>7</v>
      </c>
      <c r="F1103">
        <f>VLOOKUP(D1103,Produkt!$B$1:$C$5,2,FALSE)*Bestellungen!E1103</f>
        <v>10500</v>
      </c>
      <c r="G1103" s="2">
        <v>44931</v>
      </c>
      <c r="H1103" s="2">
        <f t="shared" si="52"/>
        <v>44936</v>
      </c>
      <c r="I1103" s="2">
        <f t="shared" si="53"/>
        <v>44970</v>
      </c>
      <c r="J1103" t="str">
        <f>VLOOKUP(M1103,Umfragenteilnahme!$A$2:$B$3,2,)</f>
        <v>Nein</v>
      </c>
      <c r="M1103">
        <v>2</v>
      </c>
      <c r="N1103">
        <v>546</v>
      </c>
      <c r="O1103">
        <v>3</v>
      </c>
      <c r="P1103">
        <v>19</v>
      </c>
      <c r="Q1103">
        <v>7</v>
      </c>
      <c r="R1103">
        <v>5</v>
      </c>
      <c r="S1103">
        <v>39</v>
      </c>
    </row>
    <row r="1104" spans="1:19" x14ac:dyDescent="0.35">
      <c r="A1104">
        <v>8751</v>
      </c>
      <c r="B1104">
        <v>368</v>
      </c>
      <c r="C1104" t="str">
        <f>VLOOKUP(B1104,Kunde!A:C,3,FALSE)</f>
        <v>Geschäftskunde</v>
      </c>
      <c r="D1104" t="str">
        <f>VLOOKUP(O1104,Produkt!$A$1:$E$5,2,FALSE)</f>
        <v>A</v>
      </c>
      <c r="E1104">
        <f t="shared" si="51"/>
        <v>118</v>
      </c>
      <c r="F1104">
        <f>VLOOKUP(D1104,Produkt!$B$1:$C$5,2,FALSE)*Bestellungen!E1104</f>
        <v>35400</v>
      </c>
      <c r="G1104" s="2">
        <v>44795</v>
      </c>
      <c r="H1104" s="2">
        <f t="shared" si="52"/>
        <v>44800</v>
      </c>
      <c r="I1104" s="2">
        <f t="shared" si="53"/>
        <v>44827</v>
      </c>
      <c r="J1104" t="str">
        <f>VLOOKUP(M1104,Umfragenteilnahme!$A$2:$B$3,2,)</f>
        <v>Ja</v>
      </c>
      <c r="M1104">
        <v>1</v>
      </c>
      <c r="N1104">
        <v>368</v>
      </c>
      <c r="O1104">
        <v>1</v>
      </c>
      <c r="P1104">
        <v>118</v>
      </c>
      <c r="Q1104">
        <v>8</v>
      </c>
      <c r="R1104">
        <v>5</v>
      </c>
      <c r="S1104">
        <v>32</v>
      </c>
    </row>
    <row r="1105" spans="1:19" x14ac:dyDescent="0.35">
      <c r="A1105">
        <v>8752</v>
      </c>
      <c r="B1105">
        <v>417</v>
      </c>
      <c r="C1105" t="str">
        <f>VLOOKUP(B1105,Kunde!A:C,3,FALSE)</f>
        <v>Geschäftskunde</v>
      </c>
      <c r="D1105" t="str">
        <f>VLOOKUP(O1105,Produkt!$A$1:$E$5,2,FALSE)</f>
        <v>D</v>
      </c>
      <c r="E1105">
        <f t="shared" si="51"/>
        <v>111</v>
      </c>
      <c r="F1105">
        <f>VLOOKUP(D1105,Produkt!$B$1:$C$5,2,FALSE)*Bestellungen!E1105</f>
        <v>88800</v>
      </c>
      <c r="G1105" s="2">
        <v>44912</v>
      </c>
      <c r="H1105" s="2">
        <f t="shared" si="52"/>
        <v>44917</v>
      </c>
      <c r="I1105" s="2">
        <f t="shared" si="53"/>
        <v>44940</v>
      </c>
      <c r="J1105" t="str">
        <f>VLOOKUP(M1105,Umfragenteilnahme!$A$2:$B$3,2,)</f>
        <v>Ja</v>
      </c>
      <c r="M1105">
        <v>1</v>
      </c>
      <c r="N1105">
        <v>417</v>
      </c>
      <c r="O1105">
        <v>4</v>
      </c>
      <c r="P1105">
        <v>111</v>
      </c>
      <c r="Q1105">
        <v>3</v>
      </c>
      <c r="R1105">
        <v>5</v>
      </c>
      <c r="S1105">
        <v>28</v>
      </c>
    </row>
    <row r="1106" spans="1:19" x14ac:dyDescent="0.35">
      <c r="A1106">
        <v>8753</v>
      </c>
      <c r="B1106">
        <v>776</v>
      </c>
      <c r="C1106" t="str">
        <f>VLOOKUP(B1106,Kunde!A:C,3,FALSE)</f>
        <v>Privatkunde</v>
      </c>
      <c r="D1106" t="str">
        <f>VLOOKUP(O1106,Produkt!$A$1:$E$5,2,FALSE)</f>
        <v>D</v>
      </c>
      <c r="E1106">
        <f t="shared" si="51"/>
        <v>3</v>
      </c>
      <c r="F1106">
        <f>VLOOKUP(D1106,Produkt!$B$1:$C$5,2,FALSE)*Bestellungen!E1106</f>
        <v>2400</v>
      </c>
      <c r="G1106" s="2">
        <v>45033</v>
      </c>
      <c r="H1106" s="2">
        <f t="shared" si="52"/>
        <v>45040</v>
      </c>
      <c r="I1106" s="2">
        <f t="shared" si="53"/>
        <v>45083</v>
      </c>
      <c r="J1106" t="str">
        <f>VLOOKUP(M1106,Umfragenteilnahme!$A$2:$B$3,2,)</f>
        <v>Nein</v>
      </c>
      <c r="M1106">
        <v>2</v>
      </c>
      <c r="N1106">
        <v>776</v>
      </c>
      <c r="O1106">
        <v>4</v>
      </c>
      <c r="P1106">
        <v>52</v>
      </c>
      <c r="Q1106">
        <v>3</v>
      </c>
      <c r="R1106">
        <v>7</v>
      </c>
      <c r="S1106">
        <v>50</v>
      </c>
    </row>
    <row r="1107" spans="1:19" x14ac:dyDescent="0.35">
      <c r="A1107">
        <v>8754</v>
      </c>
      <c r="B1107">
        <v>351</v>
      </c>
      <c r="C1107" t="str">
        <f>VLOOKUP(B1107,Kunde!A:C,3,FALSE)</f>
        <v>Geschäftskunde</v>
      </c>
      <c r="D1107" t="str">
        <f>VLOOKUP(O1107,Produkt!$A$1:$E$5,2,FALSE)</f>
        <v>C</v>
      </c>
      <c r="E1107">
        <f t="shared" si="51"/>
        <v>40</v>
      </c>
      <c r="F1107">
        <f>VLOOKUP(D1107,Produkt!$B$1:$C$5,2,FALSE)*Bestellungen!E1107</f>
        <v>60000</v>
      </c>
      <c r="G1107" s="2">
        <v>44983</v>
      </c>
      <c r="H1107" s="2">
        <f t="shared" si="52"/>
        <v>44990</v>
      </c>
      <c r="I1107" s="2">
        <f t="shared" si="53"/>
        <v>45019</v>
      </c>
      <c r="J1107" t="str">
        <f>VLOOKUP(M1107,Umfragenteilnahme!$A$2:$B$3,2,)</f>
        <v>Ja</v>
      </c>
      <c r="M1107">
        <v>1</v>
      </c>
      <c r="N1107">
        <v>351</v>
      </c>
      <c r="O1107">
        <v>3</v>
      </c>
      <c r="P1107">
        <v>40</v>
      </c>
      <c r="Q1107">
        <v>10</v>
      </c>
      <c r="R1107">
        <v>7</v>
      </c>
      <c r="S1107">
        <v>36</v>
      </c>
    </row>
    <row r="1108" spans="1:19" x14ac:dyDescent="0.35">
      <c r="A1108">
        <v>8755</v>
      </c>
      <c r="B1108">
        <v>511</v>
      </c>
      <c r="C1108" t="str">
        <f>VLOOKUP(B1108,Kunde!A:C,3,FALSE)</f>
        <v>Geschäftskunde</v>
      </c>
      <c r="D1108" t="str">
        <f>VLOOKUP(O1108,Produkt!$A$1:$E$5,2,FALSE)</f>
        <v>C</v>
      </c>
      <c r="E1108">
        <f t="shared" si="51"/>
        <v>70</v>
      </c>
      <c r="F1108">
        <f>VLOOKUP(D1108,Produkt!$B$1:$C$5,2,FALSE)*Bestellungen!E1108</f>
        <v>105000</v>
      </c>
      <c r="G1108" s="2">
        <v>44733</v>
      </c>
      <c r="H1108" s="2">
        <f t="shared" si="52"/>
        <v>44736</v>
      </c>
      <c r="I1108" s="2">
        <f t="shared" si="53"/>
        <v>44791</v>
      </c>
      <c r="J1108" t="str">
        <f>VLOOKUP(M1108,Umfragenteilnahme!$A$2:$B$3,2,)</f>
        <v>Ja</v>
      </c>
      <c r="M1108">
        <v>1</v>
      </c>
      <c r="N1108">
        <v>511</v>
      </c>
      <c r="O1108">
        <v>3</v>
      </c>
      <c r="P1108">
        <v>70</v>
      </c>
      <c r="Q1108">
        <v>8</v>
      </c>
      <c r="R1108">
        <v>3</v>
      </c>
      <c r="S1108">
        <v>58</v>
      </c>
    </row>
    <row r="1109" spans="1:19" x14ac:dyDescent="0.35">
      <c r="A1109">
        <v>8756</v>
      </c>
      <c r="B1109">
        <v>164</v>
      </c>
      <c r="C1109" t="str">
        <f>VLOOKUP(B1109,Kunde!A:C,3,FALSE)</f>
        <v>Geschäftskunde</v>
      </c>
      <c r="D1109" t="str">
        <f>VLOOKUP(O1109,Produkt!$A$1:$E$5,2,FALSE)</f>
        <v>B</v>
      </c>
      <c r="E1109">
        <f t="shared" si="51"/>
        <v>112</v>
      </c>
      <c r="F1109">
        <f>VLOOKUP(D1109,Produkt!$B$1:$C$5,2,FALSE)*Bestellungen!E1109</f>
        <v>53760</v>
      </c>
      <c r="G1109" s="2">
        <v>44752</v>
      </c>
      <c r="H1109" s="2">
        <f t="shared" si="52"/>
        <v>44754</v>
      </c>
      <c r="I1109" s="2">
        <f t="shared" si="53"/>
        <v>44812</v>
      </c>
      <c r="J1109" t="str">
        <f>VLOOKUP(M1109,Umfragenteilnahme!$A$2:$B$3,2,)</f>
        <v>Ja</v>
      </c>
      <c r="M1109">
        <v>1</v>
      </c>
      <c r="N1109">
        <v>164</v>
      </c>
      <c r="O1109">
        <v>2</v>
      </c>
      <c r="P1109">
        <v>112</v>
      </c>
      <c r="Q1109">
        <v>4</v>
      </c>
      <c r="R1109">
        <v>2</v>
      </c>
      <c r="S1109">
        <v>60</v>
      </c>
    </row>
    <row r="1110" spans="1:19" x14ac:dyDescent="0.35">
      <c r="A1110">
        <v>8757</v>
      </c>
      <c r="B1110">
        <v>675</v>
      </c>
      <c r="C1110" t="str">
        <f>VLOOKUP(B1110,Kunde!A:C,3,FALSE)</f>
        <v>Geschäftskunde</v>
      </c>
      <c r="D1110" t="str">
        <f>VLOOKUP(O1110,Produkt!$A$1:$E$5,2,FALSE)</f>
        <v>C</v>
      </c>
      <c r="E1110">
        <f t="shared" si="51"/>
        <v>115</v>
      </c>
      <c r="F1110">
        <f>VLOOKUP(D1110,Produkt!$B$1:$C$5,2,FALSE)*Bestellungen!E1110</f>
        <v>172500</v>
      </c>
      <c r="G1110" s="2">
        <v>44870</v>
      </c>
      <c r="H1110" s="2">
        <f t="shared" si="52"/>
        <v>44876</v>
      </c>
      <c r="I1110" s="2">
        <f t="shared" si="53"/>
        <v>44873</v>
      </c>
      <c r="J1110" t="str">
        <f>VLOOKUP(M1110,Umfragenteilnahme!$A$2:$B$3,2,)</f>
        <v>Ja</v>
      </c>
      <c r="M1110">
        <v>1</v>
      </c>
      <c r="N1110">
        <v>675</v>
      </c>
      <c r="O1110">
        <v>3</v>
      </c>
      <c r="P1110">
        <v>115</v>
      </c>
      <c r="Q1110">
        <v>3</v>
      </c>
      <c r="R1110">
        <v>6</v>
      </c>
      <c r="S1110">
        <v>3</v>
      </c>
    </row>
    <row r="1111" spans="1:19" x14ac:dyDescent="0.35">
      <c r="A1111">
        <v>8758</v>
      </c>
      <c r="B1111">
        <v>690</v>
      </c>
      <c r="C1111" t="str">
        <f>VLOOKUP(B1111,Kunde!A:C,3,FALSE)</f>
        <v>Geschäftskunde</v>
      </c>
      <c r="D1111" t="str">
        <f>VLOOKUP(O1111,Produkt!$A$1:$E$5,2,FALSE)</f>
        <v>C</v>
      </c>
      <c r="E1111">
        <f t="shared" si="51"/>
        <v>135</v>
      </c>
      <c r="F1111">
        <f>VLOOKUP(D1111,Produkt!$B$1:$C$5,2,FALSE)*Bestellungen!E1111</f>
        <v>202500</v>
      </c>
      <c r="G1111" s="2">
        <v>44832</v>
      </c>
      <c r="H1111" s="2">
        <f t="shared" si="52"/>
        <v>44837</v>
      </c>
      <c r="I1111" s="2">
        <f t="shared" si="53"/>
        <v>44875</v>
      </c>
      <c r="J1111" t="str">
        <f>VLOOKUP(M1111,Umfragenteilnahme!$A$2:$B$3,2,)</f>
        <v>Nein</v>
      </c>
      <c r="M1111">
        <v>2</v>
      </c>
      <c r="N1111">
        <v>690</v>
      </c>
      <c r="O1111">
        <v>3</v>
      </c>
      <c r="P1111">
        <v>135</v>
      </c>
      <c r="Q1111">
        <v>4</v>
      </c>
      <c r="R1111">
        <v>5</v>
      </c>
      <c r="S1111">
        <v>43</v>
      </c>
    </row>
    <row r="1112" spans="1:19" x14ac:dyDescent="0.35">
      <c r="A1112">
        <v>8759</v>
      </c>
      <c r="B1112">
        <v>217</v>
      </c>
      <c r="C1112" t="str">
        <f>VLOOKUP(B1112,Kunde!A:C,3,FALSE)</f>
        <v>Privatkunde</v>
      </c>
      <c r="D1112" t="str">
        <f>VLOOKUP(O1112,Produkt!$A$1:$E$5,2,FALSE)</f>
        <v>A</v>
      </c>
      <c r="E1112">
        <f t="shared" si="51"/>
        <v>6</v>
      </c>
      <c r="F1112">
        <f>VLOOKUP(D1112,Produkt!$B$1:$C$5,2,FALSE)*Bestellungen!E1112</f>
        <v>1800</v>
      </c>
      <c r="G1112" s="2">
        <v>44812</v>
      </c>
      <c r="H1112" s="2">
        <f t="shared" si="52"/>
        <v>44818</v>
      </c>
      <c r="I1112" s="2">
        <f t="shared" si="53"/>
        <v>44823</v>
      </c>
      <c r="J1112" t="str">
        <f>VLOOKUP(M1112,Umfragenteilnahme!$A$2:$B$3,2,)</f>
        <v>Nein</v>
      </c>
      <c r="M1112">
        <v>2</v>
      </c>
      <c r="N1112">
        <v>217</v>
      </c>
      <c r="O1112">
        <v>1</v>
      </c>
      <c r="P1112">
        <v>35</v>
      </c>
      <c r="Q1112">
        <v>6</v>
      </c>
      <c r="R1112">
        <v>6</v>
      </c>
      <c r="S1112">
        <v>11</v>
      </c>
    </row>
    <row r="1113" spans="1:19" x14ac:dyDescent="0.35">
      <c r="A1113">
        <v>8760</v>
      </c>
      <c r="B1113">
        <v>749</v>
      </c>
      <c r="C1113" t="str">
        <f>VLOOKUP(B1113,Kunde!A:C,3,FALSE)</f>
        <v>Geschäftskunde</v>
      </c>
      <c r="D1113" t="str">
        <f>VLOOKUP(O1113,Produkt!$A$1:$E$5,2,FALSE)</f>
        <v>D</v>
      </c>
      <c r="E1113">
        <f t="shared" si="51"/>
        <v>140</v>
      </c>
      <c r="F1113">
        <f>VLOOKUP(D1113,Produkt!$B$1:$C$5,2,FALSE)*Bestellungen!E1113</f>
        <v>112000</v>
      </c>
      <c r="G1113" s="2">
        <v>44848</v>
      </c>
      <c r="H1113" s="2">
        <f t="shared" si="52"/>
        <v>44850</v>
      </c>
      <c r="I1113" s="2">
        <f t="shared" si="53"/>
        <v>44897</v>
      </c>
      <c r="J1113" t="str">
        <f>VLOOKUP(M1113,Umfragenteilnahme!$A$2:$B$3,2,)</f>
        <v>Ja</v>
      </c>
      <c r="M1113">
        <v>1</v>
      </c>
      <c r="N1113">
        <v>749</v>
      </c>
      <c r="O1113">
        <v>4</v>
      </c>
      <c r="P1113">
        <v>140</v>
      </c>
      <c r="Q1113">
        <v>7</v>
      </c>
      <c r="R1113">
        <v>2</v>
      </c>
      <c r="S1113">
        <v>49</v>
      </c>
    </row>
    <row r="1114" spans="1:19" x14ac:dyDescent="0.35">
      <c r="A1114">
        <v>8761</v>
      </c>
      <c r="B1114">
        <v>275</v>
      </c>
      <c r="C1114" t="str">
        <f>VLOOKUP(B1114,Kunde!A:C,3,FALSE)</f>
        <v>Geschäftskunde</v>
      </c>
      <c r="D1114" t="str">
        <f>VLOOKUP(O1114,Produkt!$A$1:$E$5,2,FALSE)</f>
        <v>B</v>
      </c>
      <c r="E1114">
        <f t="shared" si="51"/>
        <v>115</v>
      </c>
      <c r="F1114">
        <f>VLOOKUP(D1114,Produkt!$B$1:$C$5,2,FALSE)*Bestellungen!E1114</f>
        <v>55200</v>
      </c>
      <c r="G1114" s="2">
        <v>44765</v>
      </c>
      <c r="H1114" s="2">
        <f t="shared" si="52"/>
        <v>44768</v>
      </c>
      <c r="I1114" s="2">
        <f t="shared" si="53"/>
        <v>44796</v>
      </c>
      <c r="J1114" t="str">
        <f>VLOOKUP(M1114,Umfragenteilnahme!$A$2:$B$3,2,)</f>
        <v>Nein</v>
      </c>
      <c r="M1114">
        <v>2</v>
      </c>
      <c r="N1114">
        <v>275</v>
      </c>
      <c r="O1114">
        <v>2</v>
      </c>
      <c r="P1114">
        <v>115</v>
      </c>
      <c r="Q1114">
        <v>9</v>
      </c>
      <c r="R1114">
        <v>3</v>
      </c>
      <c r="S1114">
        <v>31</v>
      </c>
    </row>
    <row r="1115" spans="1:19" x14ac:dyDescent="0.35">
      <c r="A1115">
        <v>8762</v>
      </c>
      <c r="B1115">
        <v>516</v>
      </c>
      <c r="C1115" t="str">
        <f>VLOOKUP(B1115,Kunde!A:C,3,FALSE)</f>
        <v>Geschäftskunde</v>
      </c>
      <c r="D1115" t="str">
        <f>VLOOKUP(O1115,Produkt!$A$1:$E$5,2,FALSE)</f>
        <v>A</v>
      </c>
      <c r="E1115">
        <f t="shared" si="51"/>
        <v>73</v>
      </c>
      <c r="F1115">
        <f>VLOOKUP(D1115,Produkt!$B$1:$C$5,2,FALSE)*Bestellungen!E1115</f>
        <v>21900</v>
      </c>
      <c r="G1115" s="2">
        <v>44997</v>
      </c>
      <c r="H1115" s="2">
        <f t="shared" si="52"/>
        <v>45002</v>
      </c>
      <c r="I1115" s="2">
        <f t="shared" si="53"/>
        <v>45056</v>
      </c>
      <c r="J1115" t="str">
        <f>VLOOKUP(M1115,Umfragenteilnahme!$A$2:$B$3,2,)</f>
        <v>Nein</v>
      </c>
      <c r="M1115">
        <v>2</v>
      </c>
      <c r="N1115">
        <v>516</v>
      </c>
      <c r="O1115">
        <v>1</v>
      </c>
      <c r="P1115">
        <v>73</v>
      </c>
      <c r="Q1115">
        <v>4</v>
      </c>
      <c r="R1115">
        <v>5</v>
      </c>
      <c r="S1115">
        <v>59</v>
      </c>
    </row>
    <row r="1116" spans="1:19" x14ac:dyDescent="0.35">
      <c r="A1116">
        <v>8763</v>
      </c>
      <c r="B1116">
        <v>756</v>
      </c>
      <c r="C1116" t="str">
        <f>VLOOKUP(B1116,Kunde!A:C,3,FALSE)</f>
        <v>Geschäftskunde</v>
      </c>
      <c r="D1116" t="str">
        <f>VLOOKUP(O1116,Produkt!$A$1:$E$5,2,FALSE)</f>
        <v>C</v>
      </c>
      <c r="E1116">
        <f t="shared" si="51"/>
        <v>77</v>
      </c>
      <c r="F1116">
        <f>VLOOKUP(D1116,Produkt!$B$1:$C$5,2,FALSE)*Bestellungen!E1116</f>
        <v>115500</v>
      </c>
      <c r="G1116" s="2">
        <v>44749</v>
      </c>
      <c r="H1116" s="2">
        <f t="shared" si="52"/>
        <v>44751</v>
      </c>
      <c r="I1116" s="2">
        <f t="shared" si="53"/>
        <v>44785</v>
      </c>
      <c r="J1116" t="str">
        <f>VLOOKUP(M1116,Umfragenteilnahme!$A$2:$B$3,2,)</f>
        <v>Nein</v>
      </c>
      <c r="M1116">
        <v>2</v>
      </c>
      <c r="N1116">
        <v>756</v>
      </c>
      <c r="O1116">
        <v>3</v>
      </c>
      <c r="P1116">
        <v>77</v>
      </c>
      <c r="Q1116">
        <v>7</v>
      </c>
      <c r="R1116">
        <v>2</v>
      </c>
      <c r="S1116">
        <v>36</v>
      </c>
    </row>
    <row r="1117" spans="1:19" x14ac:dyDescent="0.35">
      <c r="A1117">
        <v>8764</v>
      </c>
      <c r="B1117">
        <v>308</v>
      </c>
      <c r="C1117" t="str">
        <f>VLOOKUP(B1117,Kunde!A:C,3,FALSE)</f>
        <v>Geschäftskunde</v>
      </c>
      <c r="D1117" t="str">
        <f>VLOOKUP(O1117,Produkt!$A$1:$E$5,2,FALSE)</f>
        <v>A</v>
      </c>
      <c r="E1117">
        <f t="shared" si="51"/>
        <v>105</v>
      </c>
      <c r="F1117">
        <f>VLOOKUP(D1117,Produkt!$B$1:$C$5,2,FALSE)*Bestellungen!E1117</f>
        <v>31500</v>
      </c>
      <c r="G1117" s="2">
        <v>44877</v>
      </c>
      <c r="H1117" s="2">
        <f t="shared" si="52"/>
        <v>44879</v>
      </c>
      <c r="I1117" s="2">
        <f t="shared" si="53"/>
        <v>44886</v>
      </c>
      <c r="J1117" t="str">
        <f>VLOOKUP(M1117,Umfragenteilnahme!$A$2:$B$3,2,)</f>
        <v>Ja</v>
      </c>
      <c r="M1117">
        <v>1</v>
      </c>
      <c r="N1117">
        <v>308</v>
      </c>
      <c r="O1117">
        <v>1</v>
      </c>
      <c r="P1117">
        <v>105</v>
      </c>
      <c r="Q1117">
        <v>9</v>
      </c>
      <c r="R1117">
        <v>2</v>
      </c>
      <c r="S1117">
        <v>9</v>
      </c>
    </row>
    <row r="1118" spans="1:19" x14ac:dyDescent="0.35">
      <c r="A1118">
        <v>8765</v>
      </c>
      <c r="B1118">
        <v>765</v>
      </c>
      <c r="C1118" t="str">
        <f>VLOOKUP(B1118,Kunde!A:C,3,FALSE)</f>
        <v>Geschäftskunde</v>
      </c>
      <c r="D1118" t="str">
        <f>VLOOKUP(O1118,Produkt!$A$1:$E$5,2,FALSE)</f>
        <v>D</v>
      </c>
      <c r="E1118">
        <f t="shared" si="51"/>
        <v>91</v>
      </c>
      <c r="F1118">
        <f>VLOOKUP(D1118,Produkt!$B$1:$C$5,2,FALSE)*Bestellungen!E1118</f>
        <v>72800</v>
      </c>
      <c r="G1118" s="2">
        <v>44887</v>
      </c>
      <c r="H1118" s="2">
        <f t="shared" si="52"/>
        <v>44893</v>
      </c>
      <c r="I1118" s="2">
        <f t="shared" si="53"/>
        <v>44890</v>
      </c>
      <c r="J1118" t="str">
        <f>VLOOKUP(M1118,Umfragenteilnahme!$A$2:$B$3,2,)</f>
        <v>Ja</v>
      </c>
      <c r="M1118">
        <v>1</v>
      </c>
      <c r="N1118">
        <v>765</v>
      </c>
      <c r="O1118">
        <v>4</v>
      </c>
      <c r="P1118">
        <v>91</v>
      </c>
      <c r="Q1118">
        <v>8</v>
      </c>
      <c r="R1118">
        <v>6</v>
      </c>
      <c r="S1118">
        <v>3</v>
      </c>
    </row>
    <row r="1119" spans="1:19" x14ac:dyDescent="0.35">
      <c r="A1119">
        <v>8766</v>
      </c>
      <c r="B1119">
        <v>11</v>
      </c>
      <c r="C1119" t="str">
        <f>VLOOKUP(B1119,Kunde!A:C,3,FALSE)</f>
        <v>Geschäftskunde</v>
      </c>
      <c r="D1119" t="str">
        <f>VLOOKUP(O1119,Produkt!$A$1:$E$5,2,FALSE)</f>
        <v>A</v>
      </c>
      <c r="E1119">
        <f t="shared" si="51"/>
        <v>136</v>
      </c>
      <c r="F1119">
        <f>VLOOKUP(D1119,Produkt!$B$1:$C$5,2,FALSE)*Bestellungen!E1119</f>
        <v>40800</v>
      </c>
      <c r="G1119" s="2">
        <v>44974</v>
      </c>
      <c r="H1119" s="2">
        <f t="shared" si="52"/>
        <v>44976</v>
      </c>
      <c r="I1119" s="2">
        <f t="shared" si="53"/>
        <v>44996</v>
      </c>
      <c r="J1119" t="str">
        <f>VLOOKUP(M1119,Umfragenteilnahme!$A$2:$B$3,2,)</f>
        <v>Ja</v>
      </c>
      <c r="M1119">
        <v>1</v>
      </c>
      <c r="N1119">
        <v>11</v>
      </c>
      <c r="O1119">
        <v>1</v>
      </c>
      <c r="P1119">
        <v>136</v>
      </c>
      <c r="Q1119">
        <v>3</v>
      </c>
      <c r="R1119">
        <v>2</v>
      </c>
      <c r="S1119">
        <v>22</v>
      </c>
    </row>
    <row r="1120" spans="1:19" x14ac:dyDescent="0.35">
      <c r="A1120">
        <v>8767</v>
      </c>
      <c r="B1120">
        <v>589</v>
      </c>
      <c r="C1120" t="str">
        <f>VLOOKUP(B1120,Kunde!A:C,3,FALSE)</f>
        <v>Geschäftskunde</v>
      </c>
      <c r="D1120" t="str">
        <f>VLOOKUP(O1120,Produkt!$A$1:$E$5,2,FALSE)</f>
        <v>A</v>
      </c>
      <c r="E1120">
        <f t="shared" si="51"/>
        <v>140</v>
      </c>
      <c r="F1120">
        <f>VLOOKUP(D1120,Produkt!$B$1:$C$5,2,FALSE)*Bestellungen!E1120</f>
        <v>42000</v>
      </c>
      <c r="G1120" s="2">
        <v>44978</v>
      </c>
      <c r="H1120" s="2">
        <f t="shared" si="52"/>
        <v>44980</v>
      </c>
      <c r="I1120" s="2">
        <f t="shared" si="53"/>
        <v>45035</v>
      </c>
      <c r="J1120" t="str">
        <f>VLOOKUP(M1120,Umfragenteilnahme!$A$2:$B$3,2,)</f>
        <v>Ja</v>
      </c>
      <c r="M1120">
        <v>1</v>
      </c>
      <c r="N1120">
        <v>589</v>
      </c>
      <c r="O1120">
        <v>1</v>
      </c>
      <c r="P1120">
        <v>140</v>
      </c>
      <c r="Q1120">
        <v>2</v>
      </c>
      <c r="R1120">
        <v>2</v>
      </c>
      <c r="S1120">
        <v>57</v>
      </c>
    </row>
    <row r="1121" spans="1:19" x14ac:dyDescent="0.35">
      <c r="A1121">
        <v>8768</v>
      </c>
      <c r="B1121">
        <v>121</v>
      </c>
      <c r="C1121" t="str">
        <f>VLOOKUP(B1121,Kunde!A:C,3,FALSE)</f>
        <v>Geschäftskunde</v>
      </c>
      <c r="D1121" t="str">
        <f>VLOOKUP(O1121,Produkt!$A$1:$E$5,2,FALSE)</f>
        <v>C</v>
      </c>
      <c r="E1121">
        <f t="shared" si="51"/>
        <v>137</v>
      </c>
      <c r="F1121">
        <f>VLOOKUP(D1121,Produkt!$B$1:$C$5,2,FALSE)*Bestellungen!E1121</f>
        <v>205500</v>
      </c>
      <c r="G1121" s="2">
        <v>44831</v>
      </c>
      <c r="H1121" s="2">
        <f t="shared" si="52"/>
        <v>44836</v>
      </c>
      <c r="I1121" s="2">
        <f t="shared" si="53"/>
        <v>44839</v>
      </c>
      <c r="J1121" t="str">
        <f>VLOOKUP(M1121,Umfragenteilnahme!$A$2:$B$3,2,)</f>
        <v>Nein</v>
      </c>
      <c r="M1121">
        <v>2</v>
      </c>
      <c r="N1121">
        <v>121</v>
      </c>
      <c r="O1121">
        <v>3</v>
      </c>
      <c r="P1121">
        <v>137</v>
      </c>
      <c r="Q1121">
        <v>7</v>
      </c>
      <c r="R1121">
        <v>5</v>
      </c>
      <c r="S1121">
        <v>8</v>
      </c>
    </row>
    <row r="1122" spans="1:19" x14ac:dyDescent="0.35">
      <c r="A1122">
        <v>8769</v>
      </c>
      <c r="B1122">
        <v>770</v>
      </c>
      <c r="C1122" t="str">
        <f>VLOOKUP(B1122,Kunde!A:C,3,FALSE)</f>
        <v>Geschäftskunde</v>
      </c>
      <c r="D1122" t="str">
        <f>VLOOKUP(O1122,Produkt!$A$1:$E$5,2,FALSE)</f>
        <v>D</v>
      </c>
      <c r="E1122">
        <f t="shared" si="51"/>
        <v>43</v>
      </c>
      <c r="F1122">
        <f>VLOOKUP(D1122,Produkt!$B$1:$C$5,2,FALSE)*Bestellungen!E1122</f>
        <v>34400</v>
      </c>
      <c r="G1122" s="2">
        <v>44948</v>
      </c>
      <c r="H1122" s="2">
        <f t="shared" si="52"/>
        <v>44953</v>
      </c>
      <c r="I1122" s="2">
        <f t="shared" si="53"/>
        <v>44962</v>
      </c>
      <c r="J1122" t="str">
        <f>VLOOKUP(M1122,Umfragenteilnahme!$A$2:$B$3,2,)</f>
        <v>Ja</v>
      </c>
      <c r="M1122">
        <v>1</v>
      </c>
      <c r="N1122">
        <v>770</v>
      </c>
      <c r="O1122">
        <v>4</v>
      </c>
      <c r="P1122">
        <v>43</v>
      </c>
      <c r="Q1122">
        <v>7</v>
      </c>
      <c r="R1122">
        <v>5</v>
      </c>
      <c r="S1122">
        <v>14</v>
      </c>
    </row>
    <row r="1123" spans="1:19" x14ac:dyDescent="0.35">
      <c r="A1123">
        <v>8770</v>
      </c>
      <c r="B1123">
        <v>576</v>
      </c>
      <c r="C1123" t="str">
        <f>VLOOKUP(B1123,Kunde!A:C,3,FALSE)</f>
        <v>Geschäftskunde</v>
      </c>
      <c r="D1123" t="str">
        <f>VLOOKUP(O1123,Produkt!$A$1:$E$5,2,FALSE)</f>
        <v>A</v>
      </c>
      <c r="E1123">
        <f t="shared" si="51"/>
        <v>96</v>
      </c>
      <c r="F1123">
        <f>VLOOKUP(D1123,Produkt!$B$1:$C$5,2,FALSE)*Bestellungen!E1123</f>
        <v>28800</v>
      </c>
      <c r="G1123" s="2">
        <v>45045</v>
      </c>
      <c r="H1123" s="2">
        <f t="shared" si="52"/>
        <v>45049</v>
      </c>
      <c r="I1123" s="2">
        <f t="shared" si="53"/>
        <v>45061</v>
      </c>
      <c r="J1123" t="str">
        <f>VLOOKUP(M1123,Umfragenteilnahme!$A$2:$B$3,2,)</f>
        <v>Nein</v>
      </c>
      <c r="M1123">
        <v>2</v>
      </c>
      <c r="N1123">
        <v>576</v>
      </c>
      <c r="O1123">
        <v>1</v>
      </c>
      <c r="P1123">
        <v>96</v>
      </c>
      <c r="Q1123">
        <v>4</v>
      </c>
      <c r="R1123">
        <v>4</v>
      </c>
      <c r="S1123">
        <v>16</v>
      </c>
    </row>
    <row r="1124" spans="1:19" x14ac:dyDescent="0.35">
      <c r="A1124">
        <v>8771</v>
      </c>
      <c r="B1124">
        <v>649</v>
      </c>
      <c r="C1124" t="str">
        <f>VLOOKUP(B1124,Kunde!A:C,3,FALSE)</f>
        <v>Geschäftskunde</v>
      </c>
      <c r="D1124" t="str">
        <f>VLOOKUP(O1124,Produkt!$A$1:$E$5,2,FALSE)</f>
        <v>A</v>
      </c>
      <c r="E1124">
        <f t="shared" si="51"/>
        <v>136</v>
      </c>
      <c r="F1124">
        <f>VLOOKUP(D1124,Produkt!$B$1:$C$5,2,FALSE)*Bestellungen!E1124</f>
        <v>40800</v>
      </c>
      <c r="G1124" s="2">
        <v>45043</v>
      </c>
      <c r="H1124" s="2">
        <f t="shared" si="52"/>
        <v>45049</v>
      </c>
      <c r="I1124" s="2">
        <f t="shared" si="53"/>
        <v>45091</v>
      </c>
      <c r="J1124" t="str">
        <f>VLOOKUP(M1124,Umfragenteilnahme!$A$2:$B$3,2,)</f>
        <v>Ja</v>
      </c>
      <c r="M1124">
        <v>1</v>
      </c>
      <c r="N1124">
        <v>649</v>
      </c>
      <c r="O1124">
        <v>1</v>
      </c>
      <c r="P1124">
        <v>136</v>
      </c>
      <c r="Q1124">
        <v>2</v>
      </c>
      <c r="R1124">
        <v>6</v>
      </c>
      <c r="S1124">
        <v>48</v>
      </c>
    </row>
    <row r="1125" spans="1:19" x14ac:dyDescent="0.35">
      <c r="A1125">
        <v>8772</v>
      </c>
      <c r="B1125">
        <v>486</v>
      </c>
      <c r="C1125" t="str">
        <f>VLOOKUP(B1125,Kunde!A:C,3,FALSE)</f>
        <v>Geschäftskunde</v>
      </c>
      <c r="D1125" t="str">
        <f>VLOOKUP(O1125,Produkt!$A$1:$E$5,2,FALSE)</f>
        <v>C</v>
      </c>
      <c r="E1125">
        <f t="shared" si="51"/>
        <v>64</v>
      </c>
      <c r="F1125">
        <f>VLOOKUP(D1125,Produkt!$B$1:$C$5,2,FALSE)*Bestellungen!E1125</f>
        <v>96000</v>
      </c>
      <c r="G1125" s="2">
        <v>44745</v>
      </c>
      <c r="H1125" s="2">
        <f t="shared" si="52"/>
        <v>44749</v>
      </c>
      <c r="I1125" s="2">
        <f t="shared" si="53"/>
        <v>44783</v>
      </c>
      <c r="J1125" t="str">
        <f>VLOOKUP(M1125,Umfragenteilnahme!$A$2:$B$3,2,)</f>
        <v>Nein</v>
      </c>
      <c r="M1125">
        <v>2</v>
      </c>
      <c r="N1125">
        <v>486</v>
      </c>
      <c r="O1125">
        <v>3</v>
      </c>
      <c r="P1125">
        <v>64</v>
      </c>
      <c r="Q1125">
        <v>9</v>
      </c>
      <c r="R1125">
        <v>4</v>
      </c>
      <c r="S1125">
        <v>38</v>
      </c>
    </row>
    <row r="1126" spans="1:19" x14ac:dyDescent="0.35">
      <c r="A1126">
        <v>8773</v>
      </c>
      <c r="B1126">
        <v>408</v>
      </c>
      <c r="C1126" t="str">
        <f>VLOOKUP(B1126,Kunde!A:C,3,FALSE)</f>
        <v>Geschäftskunde</v>
      </c>
      <c r="D1126" t="str">
        <f>VLOOKUP(O1126,Produkt!$A$1:$E$5,2,FALSE)</f>
        <v>D</v>
      </c>
      <c r="E1126">
        <f t="shared" si="51"/>
        <v>27</v>
      </c>
      <c r="F1126">
        <f>VLOOKUP(D1126,Produkt!$B$1:$C$5,2,FALSE)*Bestellungen!E1126</f>
        <v>21600</v>
      </c>
      <c r="G1126" s="2">
        <v>44917</v>
      </c>
      <c r="H1126" s="2">
        <f t="shared" si="52"/>
        <v>44922</v>
      </c>
      <c r="I1126" s="2">
        <f t="shared" si="53"/>
        <v>44967</v>
      </c>
      <c r="J1126" t="str">
        <f>VLOOKUP(M1126,Umfragenteilnahme!$A$2:$B$3,2,)</f>
        <v>Ja</v>
      </c>
      <c r="M1126">
        <v>1</v>
      </c>
      <c r="N1126">
        <v>408</v>
      </c>
      <c r="O1126">
        <v>4</v>
      </c>
      <c r="P1126">
        <v>27</v>
      </c>
      <c r="Q1126">
        <v>2</v>
      </c>
      <c r="R1126">
        <v>5</v>
      </c>
      <c r="S1126">
        <v>50</v>
      </c>
    </row>
    <row r="1127" spans="1:19" x14ac:dyDescent="0.35">
      <c r="A1127">
        <v>8774</v>
      </c>
      <c r="B1127">
        <v>168</v>
      </c>
      <c r="C1127" t="str">
        <f>VLOOKUP(B1127,Kunde!A:C,3,FALSE)</f>
        <v>Geschäftskunde</v>
      </c>
      <c r="D1127" t="str">
        <f>VLOOKUP(O1127,Produkt!$A$1:$E$5,2,FALSE)</f>
        <v>B</v>
      </c>
      <c r="E1127">
        <f t="shared" si="51"/>
        <v>123</v>
      </c>
      <c r="F1127">
        <f>VLOOKUP(D1127,Produkt!$B$1:$C$5,2,FALSE)*Bestellungen!E1127</f>
        <v>59040</v>
      </c>
      <c r="G1127" s="2">
        <v>44766</v>
      </c>
      <c r="H1127" s="2">
        <f t="shared" si="52"/>
        <v>44770</v>
      </c>
      <c r="I1127" s="2">
        <f t="shared" si="53"/>
        <v>44795</v>
      </c>
      <c r="J1127" t="str">
        <f>VLOOKUP(M1127,Umfragenteilnahme!$A$2:$B$3,2,)</f>
        <v>Ja</v>
      </c>
      <c r="M1127">
        <v>1</v>
      </c>
      <c r="N1127">
        <v>168</v>
      </c>
      <c r="O1127">
        <v>2</v>
      </c>
      <c r="P1127">
        <v>123</v>
      </c>
      <c r="Q1127">
        <v>7</v>
      </c>
      <c r="R1127">
        <v>4</v>
      </c>
      <c r="S1127">
        <v>29</v>
      </c>
    </row>
    <row r="1128" spans="1:19" x14ac:dyDescent="0.35">
      <c r="A1128">
        <v>8775</v>
      </c>
      <c r="B1128">
        <v>415</v>
      </c>
      <c r="C1128" t="str">
        <f>VLOOKUP(B1128,Kunde!A:C,3,FALSE)</f>
        <v>Geschäftskunde</v>
      </c>
      <c r="D1128" t="str">
        <f>VLOOKUP(O1128,Produkt!$A$1:$E$5,2,FALSE)</f>
        <v>B</v>
      </c>
      <c r="E1128">
        <f t="shared" si="51"/>
        <v>55</v>
      </c>
      <c r="F1128">
        <f>VLOOKUP(D1128,Produkt!$B$1:$C$5,2,FALSE)*Bestellungen!E1128</f>
        <v>26400</v>
      </c>
      <c r="G1128" s="2">
        <v>44884</v>
      </c>
      <c r="H1128" s="2">
        <f t="shared" si="52"/>
        <v>44889</v>
      </c>
      <c r="I1128" s="2">
        <f t="shared" si="53"/>
        <v>44909</v>
      </c>
      <c r="J1128" t="str">
        <f>VLOOKUP(M1128,Umfragenteilnahme!$A$2:$B$3,2,)</f>
        <v>Nein</v>
      </c>
      <c r="M1128">
        <v>2</v>
      </c>
      <c r="N1128">
        <v>415</v>
      </c>
      <c r="O1128">
        <v>2</v>
      </c>
      <c r="P1128">
        <v>55</v>
      </c>
      <c r="Q1128">
        <v>4</v>
      </c>
      <c r="R1128">
        <v>5</v>
      </c>
      <c r="S1128">
        <v>25</v>
      </c>
    </row>
    <row r="1129" spans="1:19" x14ac:dyDescent="0.35">
      <c r="A1129">
        <v>8776</v>
      </c>
      <c r="B1129">
        <v>597</v>
      </c>
      <c r="C1129" t="str">
        <f>VLOOKUP(B1129,Kunde!A:C,3,FALSE)</f>
        <v>Geschäftskunde</v>
      </c>
      <c r="D1129" t="str">
        <f>VLOOKUP(O1129,Produkt!$A$1:$E$5,2,FALSE)</f>
        <v>C</v>
      </c>
      <c r="E1129">
        <f t="shared" si="51"/>
        <v>42</v>
      </c>
      <c r="F1129">
        <f>VLOOKUP(D1129,Produkt!$B$1:$C$5,2,FALSE)*Bestellungen!E1129</f>
        <v>63000</v>
      </c>
      <c r="G1129" s="2">
        <v>45044</v>
      </c>
      <c r="H1129" s="2">
        <f t="shared" si="52"/>
        <v>45046</v>
      </c>
      <c r="I1129" s="2">
        <f t="shared" si="53"/>
        <v>45069</v>
      </c>
      <c r="J1129" t="str">
        <f>VLOOKUP(M1129,Umfragenteilnahme!$A$2:$B$3,2,)</f>
        <v>Ja</v>
      </c>
      <c r="M1129">
        <v>1</v>
      </c>
      <c r="N1129">
        <v>597</v>
      </c>
      <c r="O1129">
        <v>3</v>
      </c>
      <c r="P1129">
        <v>42</v>
      </c>
      <c r="Q1129">
        <v>6</v>
      </c>
      <c r="R1129">
        <v>2</v>
      </c>
      <c r="S1129">
        <v>25</v>
      </c>
    </row>
    <row r="1130" spans="1:19" x14ac:dyDescent="0.35">
      <c r="A1130">
        <v>8777</v>
      </c>
      <c r="B1130">
        <v>39</v>
      </c>
      <c r="C1130" t="str">
        <f>VLOOKUP(B1130,Kunde!A:C,3,FALSE)</f>
        <v>Geschäftskunde</v>
      </c>
      <c r="D1130" t="str">
        <f>VLOOKUP(O1130,Produkt!$A$1:$E$5,2,FALSE)</f>
        <v>D</v>
      </c>
      <c r="E1130">
        <f t="shared" si="51"/>
        <v>99</v>
      </c>
      <c r="F1130">
        <f>VLOOKUP(D1130,Produkt!$B$1:$C$5,2,FALSE)*Bestellungen!E1130</f>
        <v>79200</v>
      </c>
      <c r="G1130" s="2">
        <v>44844</v>
      </c>
      <c r="H1130" s="2">
        <f t="shared" si="52"/>
        <v>44849</v>
      </c>
      <c r="I1130" s="2">
        <f t="shared" si="53"/>
        <v>44853</v>
      </c>
      <c r="J1130" t="str">
        <f>VLOOKUP(M1130,Umfragenteilnahme!$A$2:$B$3,2,)</f>
        <v>Nein</v>
      </c>
      <c r="M1130">
        <v>2</v>
      </c>
      <c r="N1130">
        <v>39</v>
      </c>
      <c r="O1130">
        <v>4</v>
      </c>
      <c r="P1130">
        <v>99</v>
      </c>
      <c r="Q1130">
        <v>4</v>
      </c>
      <c r="R1130">
        <v>5</v>
      </c>
      <c r="S1130">
        <v>9</v>
      </c>
    </row>
    <row r="1131" spans="1:19" x14ac:dyDescent="0.35">
      <c r="A1131">
        <v>8778</v>
      </c>
      <c r="B1131">
        <v>412</v>
      </c>
      <c r="C1131" t="str">
        <f>VLOOKUP(B1131,Kunde!A:C,3,FALSE)</f>
        <v>Geschäftskunde</v>
      </c>
      <c r="D1131" t="str">
        <f>VLOOKUP(O1131,Produkt!$A$1:$E$5,2,FALSE)</f>
        <v>A</v>
      </c>
      <c r="E1131">
        <f t="shared" si="51"/>
        <v>75</v>
      </c>
      <c r="F1131">
        <f>VLOOKUP(D1131,Produkt!$B$1:$C$5,2,FALSE)*Bestellungen!E1131</f>
        <v>22500</v>
      </c>
      <c r="G1131" s="2">
        <v>45065</v>
      </c>
      <c r="H1131" s="2">
        <f t="shared" si="52"/>
        <v>45067</v>
      </c>
      <c r="I1131" s="2">
        <f t="shared" si="53"/>
        <v>45085</v>
      </c>
      <c r="J1131" t="str">
        <f>VLOOKUP(M1131,Umfragenteilnahme!$A$2:$B$3,2,)</f>
        <v>Nein</v>
      </c>
      <c r="M1131">
        <v>2</v>
      </c>
      <c r="N1131">
        <v>412</v>
      </c>
      <c r="O1131">
        <v>1</v>
      </c>
      <c r="P1131">
        <v>75</v>
      </c>
      <c r="Q1131">
        <v>6</v>
      </c>
      <c r="R1131">
        <v>2</v>
      </c>
      <c r="S1131">
        <v>20</v>
      </c>
    </row>
    <row r="1132" spans="1:19" x14ac:dyDescent="0.35">
      <c r="A1132">
        <v>8779</v>
      </c>
      <c r="B1132">
        <v>416</v>
      </c>
      <c r="C1132" t="str">
        <f>VLOOKUP(B1132,Kunde!A:C,3,FALSE)</f>
        <v>Geschäftskunde</v>
      </c>
      <c r="D1132" t="str">
        <f>VLOOKUP(O1132,Produkt!$A$1:$E$5,2,FALSE)</f>
        <v>B</v>
      </c>
      <c r="E1132">
        <f t="shared" si="51"/>
        <v>106</v>
      </c>
      <c r="F1132">
        <f>VLOOKUP(D1132,Produkt!$B$1:$C$5,2,FALSE)*Bestellungen!E1132</f>
        <v>50880</v>
      </c>
      <c r="G1132" s="2">
        <v>44773</v>
      </c>
      <c r="H1132" s="2">
        <f t="shared" si="52"/>
        <v>44778</v>
      </c>
      <c r="I1132" s="2">
        <f t="shared" si="53"/>
        <v>44819</v>
      </c>
      <c r="J1132" t="str">
        <f>VLOOKUP(M1132,Umfragenteilnahme!$A$2:$B$3,2,)</f>
        <v>Nein</v>
      </c>
      <c r="M1132">
        <v>2</v>
      </c>
      <c r="N1132">
        <v>416</v>
      </c>
      <c r="O1132">
        <v>2</v>
      </c>
      <c r="P1132">
        <v>106</v>
      </c>
      <c r="Q1132">
        <v>6</v>
      </c>
      <c r="R1132">
        <v>5</v>
      </c>
      <c r="S1132">
        <v>46</v>
      </c>
    </row>
    <row r="1133" spans="1:19" x14ac:dyDescent="0.35">
      <c r="A1133">
        <v>8780</v>
      </c>
      <c r="B1133">
        <v>397</v>
      </c>
      <c r="C1133" t="str">
        <f>VLOOKUP(B1133,Kunde!A:C,3,FALSE)</f>
        <v>Geschäftskunde</v>
      </c>
      <c r="D1133" t="str">
        <f>VLOOKUP(O1133,Produkt!$A$1:$E$5,2,FALSE)</f>
        <v>A</v>
      </c>
      <c r="E1133">
        <f t="shared" si="51"/>
        <v>83</v>
      </c>
      <c r="F1133">
        <f>VLOOKUP(D1133,Produkt!$B$1:$C$5,2,FALSE)*Bestellungen!E1133</f>
        <v>24900</v>
      </c>
      <c r="G1133" s="2">
        <v>44952</v>
      </c>
      <c r="H1133" s="2">
        <f t="shared" si="52"/>
        <v>44955</v>
      </c>
      <c r="I1133" s="2">
        <f t="shared" si="53"/>
        <v>45006</v>
      </c>
      <c r="J1133" t="str">
        <f>VLOOKUP(M1133,Umfragenteilnahme!$A$2:$B$3,2,)</f>
        <v>Ja</v>
      </c>
      <c r="M1133">
        <v>1</v>
      </c>
      <c r="N1133">
        <v>397</v>
      </c>
      <c r="O1133">
        <v>1</v>
      </c>
      <c r="P1133">
        <v>83</v>
      </c>
      <c r="Q1133">
        <v>9</v>
      </c>
      <c r="R1133">
        <v>3</v>
      </c>
      <c r="S1133">
        <v>54</v>
      </c>
    </row>
    <row r="1134" spans="1:19" x14ac:dyDescent="0.35">
      <c r="A1134">
        <v>8781</v>
      </c>
      <c r="B1134">
        <v>447</v>
      </c>
      <c r="C1134" t="str">
        <f>VLOOKUP(B1134,Kunde!A:C,3,FALSE)</f>
        <v>Geschäftskunde</v>
      </c>
      <c r="D1134" t="str">
        <f>VLOOKUP(O1134,Produkt!$A$1:$E$5,2,FALSE)</f>
        <v>D</v>
      </c>
      <c r="E1134">
        <f t="shared" si="51"/>
        <v>111</v>
      </c>
      <c r="F1134">
        <f>VLOOKUP(D1134,Produkt!$B$1:$C$5,2,FALSE)*Bestellungen!E1134</f>
        <v>88800</v>
      </c>
      <c r="G1134" s="2">
        <v>45057</v>
      </c>
      <c r="H1134" s="2">
        <f t="shared" si="52"/>
        <v>45064</v>
      </c>
      <c r="I1134" s="2">
        <f t="shared" si="53"/>
        <v>45098</v>
      </c>
      <c r="J1134" t="str">
        <f>VLOOKUP(M1134,Umfragenteilnahme!$A$2:$B$3,2,)</f>
        <v>Nein</v>
      </c>
      <c r="M1134">
        <v>2</v>
      </c>
      <c r="N1134">
        <v>447</v>
      </c>
      <c r="O1134">
        <v>4</v>
      </c>
      <c r="P1134">
        <v>111</v>
      </c>
      <c r="Q1134">
        <v>4</v>
      </c>
      <c r="R1134">
        <v>7</v>
      </c>
      <c r="S1134">
        <v>41</v>
      </c>
    </row>
    <row r="1135" spans="1:19" x14ac:dyDescent="0.35">
      <c r="A1135">
        <v>8782</v>
      </c>
      <c r="B1135">
        <v>63</v>
      </c>
      <c r="C1135" t="str">
        <f>VLOOKUP(B1135,Kunde!A:C,3,FALSE)</f>
        <v>Geschäftskunde</v>
      </c>
      <c r="D1135" t="str">
        <f>VLOOKUP(O1135,Produkt!$A$1:$E$5,2,FALSE)</f>
        <v>A</v>
      </c>
      <c r="E1135">
        <f t="shared" si="51"/>
        <v>107</v>
      </c>
      <c r="F1135">
        <f>VLOOKUP(D1135,Produkt!$B$1:$C$5,2,FALSE)*Bestellungen!E1135</f>
        <v>32100</v>
      </c>
      <c r="G1135" s="2">
        <v>44973</v>
      </c>
      <c r="H1135" s="2">
        <f t="shared" si="52"/>
        <v>44979</v>
      </c>
      <c r="I1135" s="2">
        <f t="shared" si="53"/>
        <v>44983</v>
      </c>
      <c r="J1135" t="str">
        <f>VLOOKUP(M1135,Umfragenteilnahme!$A$2:$B$3,2,)</f>
        <v>Ja</v>
      </c>
      <c r="M1135">
        <v>1</v>
      </c>
      <c r="N1135">
        <v>63</v>
      </c>
      <c r="O1135">
        <v>1</v>
      </c>
      <c r="P1135">
        <v>107</v>
      </c>
      <c r="Q1135">
        <v>5</v>
      </c>
      <c r="R1135">
        <v>6</v>
      </c>
      <c r="S1135">
        <v>10</v>
      </c>
    </row>
    <row r="1136" spans="1:19" x14ac:dyDescent="0.35">
      <c r="A1136">
        <v>8783</v>
      </c>
      <c r="B1136">
        <v>81</v>
      </c>
      <c r="C1136" t="str">
        <f>VLOOKUP(B1136,Kunde!A:C,3,FALSE)</f>
        <v>Privatkunde</v>
      </c>
      <c r="D1136" t="str">
        <f>VLOOKUP(O1136,Produkt!$A$1:$E$5,2,FALSE)</f>
        <v>A</v>
      </c>
      <c r="E1136">
        <f t="shared" si="51"/>
        <v>5</v>
      </c>
      <c r="F1136">
        <f>VLOOKUP(D1136,Produkt!$B$1:$C$5,2,FALSE)*Bestellungen!E1136</f>
        <v>1500</v>
      </c>
      <c r="G1136" s="2">
        <v>44864</v>
      </c>
      <c r="H1136" s="2">
        <f t="shared" si="52"/>
        <v>44866</v>
      </c>
      <c r="I1136" s="2">
        <f t="shared" si="53"/>
        <v>44881</v>
      </c>
      <c r="J1136" t="str">
        <f>VLOOKUP(M1136,Umfragenteilnahme!$A$2:$B$3,2,)</f>
        <v>Ja</v>
      </c>
      <c r="M1136">
        <v>1</v>
      </c>
      <c r="N1136">
        <v>81</v>
      </c>
      <c r="O1136">
        <v>1</v>
      </c>
      <c r="P1136">
        <v>10</v>
      </c>
      <c r="Q1136">
        <v>5</v>
      </c>
      <c r="R1136">
        <v>2</v>
      </c>
      <c r="S1136">
        <v>17</v>
      </c>
    </row>
    <row r="1137" spans="1:19" x14ac:dyDescent="0.35">
      <c r="A1137">
        <v>8784</v>
      </c>
      <c r="B1137">
        <v>177</v>
      </c>
      <c r="C1137" t="str">
        <f>VLOOKUP(B1137,Kunde!A:C,3,FALSE)</f>
        <v>Geschäftskunde</v>
      </c>
      <c r="D1137" t="str">
        <f>VLOOKUP(O1137,Produkt!$A$1:$E$5,2,FALSE)</f>
        <v>D</v>
      </c>
      <c r="E1137">
        <f t="shared" si="51"/>
        <v>120</v>
      </c>
      <c r="F1137">
        <f>VLOOKUP(D1137,Produkt!$B$1:$C$5,2,FALSE)*Bestellungen!E1137</f>
        <v>96000</v>
      </c>
      <c r="G1137" s="2">
        <v>44734</v>
      </c>
      <c r="H1137" s="2">
        <f t="shared" si="52"/>
        <v>44739</v>
      </c>
      <c r="I1137" s="2">
        <f t="shared" si="53"/>
        <v>44770</v>
      </c>
      <c r="J1137" t="str">
        <f>VLOOKUP(M1137,Umfragenteilnahme!$A$2:$B$3,2,)</f>
        <v>Ja</v>
      </c>
      <c r="M1137">
        <v>1</v>
      </c>
      <c r="N1137">
        <v>177</v>
      </c>
      <c r="O1137">
        <v>4</v>
      </c>
      <c r="P1137">
        <v>120</v>
      </c>
      <c r="Q1137">
        <v>10</v>
      </c>
      <c r="R1137">
        <v>5</v>
      </c>
      <c r="S1137">
        <v>36</v>
      </c>
    </row>
    <row r="1138" spans="1:19" x14ac:dyDescent="0.35">
      <c r="A1138">
        <v>8785</v>
      </c>
      <c r="B1138">
        <v>741</v>
      </c>
      <c r="C1138" t="str">
        <f>VLOOKUP(B1138,Kunde!A:C,3,FALSE)</f>
        <v>Geschäftskunde</v>
      </c>
      <c r="D1138" t="str">
        <f>VLOOKUP(O1138,Produkt!$A$1:$E$5,2,FALSE)</f>
        <v>C</v>
      </c>
      <c r="E1138">
        <f t="shared" si="51"/>
        <v>10</v>
      </c>
      <c r="F1138">
        <f>VLOOKUP(D1138,Produkt!$B$1:$C$5,2,FALSE)*Bestellungen!E1138</f>
        <v>15000</v>
      </c>
      <c r="G1138" s="2">
        <v>44861</v>
      </c>
      <c r="H1138" s="2">
        <f t="shared" si="52"/>
        <v>44866</v>
      </c>
      <c r="I1138" s="2">
        <f t="shared" si="53"/>
        <v>44870</v>
      </c>
      <c r="J1138" t="str">
        <f>VLOOKUP(M1138,Umfragenteilnahme!$A$2:$B$3,2,)</f>
        <v>Ja</v>
      </c>
      <c r="M1138">
        <v>1</v>
      </c>
      <c r="N1138">
        <v>741</v>
      </c>
      <c r="O1138">
        <v>3</v>
      </c>
      <c r="P1138">
        <v>10</v>
      </c>
      <c r="Q1138">
        <v>3</v>
      </c>
      <c r="R1138">
        <v>5</v>
      </c>
      <c r="S1138">
        <v>9</v>
      </c>
    </row>
    <row r="1139" spans="1:19" x14ac:dyDescent="0.35">
      <c r="A1139">
        <v>8786</v>
      </c>
      <c r="B1139">
        <v>532</v>
      </c>
      <c r="C1139" t="str">
        <f>VLOOKUP(B1139,Kunde!A:C,3,FALSE)</f>
        <v>Geschäftskunde</v>
      </c>
      <c r="D1139" t="str">
        <f>VLOOKUP(O1139,Produkt!$A$1:$E$5,2,FALSE)</f>
        <v>A</v>
      </c>
      <c r="E1139">
        <f t="shared" si="51"/>
        <v>124</v>
      </c>
      <c r="F1139">
        <f>VLOOKUP(D1139,Produkt!$B$1:$C$5,2,FALSE)*Bestellungen!E1139</f>
        <v>37200</v>
      </c>
      <c r="G1139" s="2">
        <v>45007</v>
      </c>
      <c r="H1139" s="2">
        <f t="shared" si="52"/>
        <v>45012</v>
      </c>
      <c r="I1139" s="2">
        <f t="shared" si="53"/>
        <v>45019</v>
      </c>
      <c r="J1139" t="str">
        <f>VLOOKUP(M1139,Umfragenteilnahme!$A$2:$B$3,2,)</f>
        <v>Ja</v>
      </c>
      <c r="M1139">
        <v>1</v>
      </c>
      <c r="N1139">
        <v>532</v>
      </c>
      <c r="O1139">
        <v>1</v>
      </c>
      <c r="P1139">
        <v>124</v>
      </c>
      <c r="Q1139">
        <v>4</v>
      </c>
      <c r="R1139">
        <v>5</v>
      </c>
      <c r="S1139">
        <v>12</v>
      </c>
    </row>
    <row r="1140" spans="1:19" x14ac:dyDescent="0.35">
      <c r="A1140">
        <v>8787</v>
      </c>
      <c r="B1140">
        <v>569</v>
      </c>
      <c r="C1140" t="str">
        <f>VLOOKUP(B1140,Kunde!A:C,3,FALSE)</f>
        <v>Geschäftskunde</v>
      </c>
      <c r="D1140" t="str">
        <f>VLOOKUP(O1140,Produkt!$A$1:$E$5,2,FALSE)</f>
        <v>C</v>
      </c>
      <c r="E1140">
        <f t="shared" si="51"/>
        <v>10</v>
      </c>
      <c r="F1140">
        <f>VLOOKUP(D1140,Produkt!$B$1:$C$5,2,FALSE)*Bestellungen!E1140</f>
        <v>15000</v>
      </c>
      <c r="G1140" s="2">
        <v>44991</v>
      </c>
      <c r="H1140" s="2">
        <f t="shared" si="52"/>
        <v>44997</v>
      </c>
      <c r="I1140" s="2">
        <f t="shared" si="53"/>
        <v>45049</v>
      </c>
      <c r="J1140" t="str">
        <f>VLOOKUP(M1140,Umfragenteilnahme!$A$2:$B$3,2,)</f>
        <v>Ja</v>
      </c>
      <c r="M1140">
        <v>1</v>
      </c>
      <c r="N1140">
        <v>569</v>
      </c>
      <c r="O1140">
        <v>3</v>
      </c>
      <c r="P1140">
        <v>10</v>
      </c>
      <c r="Q1140">
        <v>8</v>
      </c>
      <c r="R1140">
        <v>6</v>
      </c>
      <c r="S1140">
        <v>58</v>
      </c>
    </row>
    <row r="1141" spans="1:19" x14ac:dyDescent="0.35">
      <c r="A1141">
        <v>8788</v>
      </c>
      <c r="B1141">
        <v>753</v>
      </c>
      <c r="C1141" t="str">
        <f>VLOOKUP(B1141,Kunde!A:C,3,FALSE)</f>
        <v>Geschäftskunde</v>
      </c>
      <c r="D1141" t="str">
        <f>VLOOKUP(O1141,Produkt!$A$1:$E$5,2,FALSE)</f>
        <v>C</v>
      </c>
      <c r="E1141">
        <f t="shared" si="51"/>
        <v>38</v>
      </c>
      <c r="F1141">
        <f>VLOOKUP(D1141,Produkt!$B$1:$C$5,2,FALSE)*Bestellungen!E1141</f>
        <v>57000</v>
      </c>
      <c r="G1141" s="2">
        <v>44778</v>
      </c>
      <c r="H1141" s="2">
        <f t="shared" si="52"/>
        <v>44782</v>
      </c>
      <c r="I1141" s="2">
        <f t="shared" si="53"/>
        <v>44818</v>
      </c>
      <c r="J1141" t="str">
        <f>VLOOKUP(M1141,Umfragenteilnahme!$A$2:$B$3,2,)</f>
        <v>Ja</v>
      </c>
      <c r="M1141">
        <v>1</v>
      </c>
      <c r="N1141">
        <v>753</v>
      </c>
      <c r="O1141">
        <v>3</v>
      </c>
      <c r="P1141">
        <v>38</v>
      </c>
      <c r="Q1141">
        <v>9</v>
      </c>
      <c r="R1141">
        <v>4</v>
      </c>
      <c r="S1141">
        <v>40</v>
      </c>
    </row>
    <row r="1142" spans="1:19" x14ac:dyDescent="0.35">
      <c r="A1142">
        <v>8789</v>
      </c>
      <c r="B1142">
        <v>191</v>
      </c>
      <c r="C1142" t="str">
        <f>VLOOKUP(B1142,Kunde!A:C,3,FALSE)</f>
        <v>Geschäftskunde</v>
      </c>
      <c r="D1142" t="str">
        <f>VLOOKUP(O1142,Produkt!$A$1:$E$5,2,FALSE)</f>
        <v>D</v>
      </c>
      <c r="E1142">
        <f t="shared" si="51"/>
        <v>18</v>
      </c>
      <c r="F1142">
        <f>VLOOKUP(D1142,Produkt!$B$1:$C$5,2,FALSE)*Bestellungen!E1142</f>
        <v>14400</v>
      </c>
      <c r="G1142" s="2">
        <v>45043</v>
      </c>
      <c r="H1142" s="2">
        <f t="shared" si="52"/>
        <v>45045</v>
      </c>
      <c r="I1142" s="2">
        <f t="shared" si="53"/>
        <v>45065</v>
      </c>
      <c r="J1142" t="str">
        <f>VLOOKUP(M1142,Umfragenteilnahme!$A$2:$B$3,2,)</f>
        <v>Nein</v>
      </c>
      <c r="M1142">
        <v>2</v>
      </c>
      <c r="N1142">
        <v>191</v>
      </c>
      <c r="O1142">
        <v>4</v>
      </c>
      <c r="P1142">
        <v>18</v>
      </c>
      <c r="Q1142">
        <v>3</v>
      </c>
      <c r="R1142">
        <v>2</v>
      </c>
      <c r="S1142">
        <v>22</v>
      </c>
    </row>
    <row r="1143" spans="1:19" x14ac:dyDescent="0.35">
      <c r="A1143">
        <v>8790</v>
      </c>
      <c r="B1143">
        <v>41</v>
      </c>
      <c r="C1143" t="str">
        <f>VLOOKUP(B1143,Kunde!A:C,3,FALSE)</f>
        <v>Geschäftskunde</v>
      </c>
      <c r="D1143" t="str">
        <f>VLOOKUP(O1143,Produkt!$A$1:$E$5,2,FALSE)</f>
        <v>B</v>
      </c>
      <c r="E1143">
        <f t="shared" si="51"/>
        <v>16</v>
      </c>
      <c r="F1143">
        <f>VLOOKUP(D1143,Produkt!$B$1:$C$5,2,FALSE)*Bestellungen!E1143</f>
        <v>7680</v>
      </c>
      <c r="G1143" s="2">
        <v>44865</v>
      </c>
      <c r="H1143" s="2">
        <f t="shared" si="52"/>
        <v>44868</v>
      </c>
      <c r="I1143" s="2">
        <f t="shared" si="53"/>
        <v>44905</v>
      </c>
      <c r="J1143" t="str">
        <f>VLOOKUP(M1143,Umfragenteilnahme!$A$2:$B$3,2,)</f>
        <v>Nein</v>
      </c>
      <c r="M1143">
        <v>2</v>
      </c>
      <c r="N1143">
        <v>41</v>
      </c>
      <c r="O1143">
        <v>2</v>
      </c>
      <c r="P1143">
        <v>16</v>
      </c>
      <c r="Q1143">
        <v>5</v>
      </c>
      <c r="R1143">
        <v>3</v>
      </c>
      <c r="S1143">
        <v>40</v>
      </c>
    </row>
    <row r="1144" spans="1:19" x14ac:dyDescent="0.35">
      <c r="A1144">
        <v>8791</v>
      </c>
      <c r="B1144">
        <v>799</v>
      </c>
      <c r="C1144" t="str">
        <f>VLOOKUP(B1144,Kunde!A:C,3,FALSE)</f>
        <v>Geschäftskunde</v>
      </c>
      <c r="D1144" t="str">
        <f>VLOOKUP(O1144,Produkt!$A$1:$E$5,2,FALSE)</f>
        <v>D</v>
      </c>
      <c r="E1144">
        <f t="shared" si="51"/>
        <v>55</v>
      </c>
      <c r="F1144">
        <f>VLOOKUP(D1144,Produkt!$B$1:$C$5,2,FALSE)*Bestellungen!E1144</f>
        <v>44000</v>
      </c>
      <c r="G1144" s="2">
        <v>44962</v>
      </c>
      <c r="H1144" s="2">
        <f t="shared" si="52"/>
        <v>44969</v>
      </c>
      <c r="I1144" s="2">
        <f t="shared" si="53"/>
        <v>45009</v>
      </c>
      <c r="J1144" t="str">
        <f>VLOOKUP(M1144,Umfragenteilnahme!$A$2:$B$3,2,)</f>
        <v>Nein</v>
      </c>
      <c r="M1144">
        <v>2</v>
      </c>
      <c r="N1144">
        <v>799</v>
      </c>
      <c r="O1144">
        <v>4</v>
      </c>
      <c r="P1144">
        <v>55</v>
      </c>
      <c r="Q1144">
        <v>9</v>
      </c>
      <c r="R1144">
        <v>7</v>
      </c>
      <c r="S1144">
        <v>47</v>
      </c>
    </row>
    <row r="1145" spans="1:19" x14ac:dyDescent="0.35">
      <c r="A1145">
        <v>8792</v>
      </c>
      <c r="B1145">
        <v>325</v>
      </c>
      <c r="C1145" t="str">
        <f>VLOOKUP(B1145,Kunde!A:C,3,FALSE)</f>
        <v>Geschäftskunde</v>
      </c>
      <c r="D1145" t="str">
        <f>VLOOKUP(O1145,Produkt!$A$1:$E$5,2,FALSE)</f>
        <v>A</v>
      </c>
      <c r="E1145">
        <f t="shared" si="51"/>
        <v>60</v>
      </c>
      <c r="F1145">
        <f>VLOOKUP(D1145,Produkt!$B$1:$C$5,2,FALSE)*Bestellungen!E1145</f>
        <v>18000</v>
      </c>
      <c r="G1145" s="2">
        <v>44770</v>
      </c>
      <c r="H1145" s="2">
        <f t="shared" si="52"/>
        <v>44774</v>
      </c>
      <c r="I1145" s="2">
        <f t="shared" si="53"/>
        <v>44795</v>
      </c>
      <c r="J1145" t="str">
        <f>VLOOKUP(M1145,Umfragenteilnahme!$A$2:$B$3,2,)</f>
        <v>Nein</v>
      </c>
      <c r="M1145">
        <v>2</v>
      </c>
      <c r="N1145">
        <v>325</v>
      </c>
      <c r="O1145">
        <v>1</v>
      </c>
      <c r="P1145">
        <v>60</v>
      </c>
      <c r="Q1145">
        <v>10</v>
      </c>
      <c r="R1145">
        <v>4</v>
      </c>
      <c r="S1145">
        <v>25</v>
      </c>
    </row>
    <row r="1146" spans="1:19" x14ac:dyDescent="0.35">
      <c r="A1146">
        <v>8793</v>
      </c>
      <c r="B1146">
        <v>166</v>
      </c>
      <c r="C1146" t="str">
        <f>VLOOKUP(B1146,Kunde!A:C,3,FALSE)</f>
        <v>Geschäftskunde</v>
      </c>
      <c r="D1146" t="str">
        <f>VLOOKUP(O1146,Produkt!$A$1:$E$5,2,FALSE)</f>
        <v>A</v>
      </c>
      <c r="E1146">
        <f t="shared" si="51"/>
        <v>75</v>
      </c>
      <c r="F1146">
        <f>VLOOKUP(D1146,Produkt!$B$1:$C$5,2,FALSE)*Bestellungen!E1146</f>
        <v>22500</v>
      </c>
      <c r="G1146" s="2">
        <v>44995</v>
      </c>
      <c r="H1146" s="2">
        <f t="shared" si="52"/>
        <v>45000</v>
      </c>
      <c r="I1146" s="2">
        <f t="shared" si="53"/>
        <v>45010</v>
      </c>
      <c r="J1146" t="str">
        <f>VLOOKUP(M1146,Umfragenteilnahme!$A$2:$B$3,2,)</f>
        <v>Nein</v>
      </c>
      <c r="M1146">
        <v>2</v>
      </c>
      <c r="N1146">
        <v>166</v>
      </c>
      <c r="O1146">
        <v>1</v>
      </c>
      <c r="P1146">
        <v>75</v>
      </c>
      <c r="Q1146">
        <v>8</v>
      </c>
      <c r="R1146">
        <v>5</v>
      </c>
      <c r="S1146">
        <v>15</v>
      </c>
    </row>
    <row r="1147" spans="1:19" x14ac:dyDescent="0.35">
      <c r="A1147">
        <v>8794</v>
      </c>
      <c r="B1147">
        <v>441</v>
      </c>
      <c r="C1147" t="str">
        <f>VLOOKUP(B1147,Kunde!A:C,3,FALSE)</f>
        <v>Geschäftskunde</v>
      </c>
      <c r="D1147" t="str">
        <f>VLOOKUP(O1147,Produkt!$A$1:$E$5,2,FALSE)</f>
        <v>C</v>
      </c>
      <c r="E1147">
        <f t="shared" si="51"/>
        <v>68</v>
      </c>
      <c r="F1147">
        <f>VLOOKUP(D1147,Produkt!$B$1:$C$5,2,FALSE)*Bestellungen!E1147</f>
        <v>102000</v>
      </c>
      <c r="G1147" s="2">
        <v>44827</v>
      </c>
      <c r="H1147" s="2">
        <f t="shared" si="52"/>
        <v>44832</v>
      </c>
      <c r="I1147" s="2">
        <f t="shared" si="53"/>
        <v>44841</v>
      </c>
      <c r="J1147" t="str">
        <f>VLOOKUP(M1147,Umfragenteilnahme!$A$2:$B$3,2,)</f>
        <v>Nein</v>
      </c>
      <c r="M1147">
        <v>2</v>
      </c>
      <c r="N1147">
        <v>441</v>
      </c>
      <c r="O1147">
        <v>3</v>
      </c>
      <c r="P1147">
        <v>68</v>
      </c>
      <c r="Q1147">
        <v>4</v>
      </c>
      <c r="R1147">
        <v>5</v>
      </c>
      <c r="S1147">
        <v>14</v>
      </c>
    </row>
    <row r="1148" spans="1:19" x14ac:dyDescent="0.35">
      <c r="A1148">
        <v>8795</v>
      </c>
      <c r="B1148">
        <v>555</v>
      </c>
      <c r="C1148" t="str">
        <f>VLOOKUP(B1148,Kunde!A:C,3,FALSE)</f>
        <v>Geschäftskunde</v>
      </c>
      <c r="D1148" t="str">
        <f>VLOOKUP(O1148,Produkt!$A$1:$E$5,2,FALSE)</f>
        <v>D</v>
      </c>
      <c r="E1148">
        <f t="shared" si="51"/>
        <v>113</v>
      </c>
      <c r="F1148">
        <f>VLOOKUP(D1148,Produkt!$B$1:$C$5,2,FALSE)*Bestellungen!E1148</f>
        <v>90400</v>
      </c>
      <c r="G1148" s="2">
        <v>45032</v>
      </c>
      <c r="H1148" s="2">
        <f t="shared" si="52"/>
        <v>45034</v>
      </c>
      <c r="I1148" s="2">
        <f t="shared" si="53"/>
        <v>45055</v>
      </c>
      <c r="J1148" t="str">
        <f>VLOOKUP(M1148,Umfragenteilnahme!$A$2:$B$3,2,)</f>
        <v>Nein</v>
      </c>
      <c r="M1148">
        <v>2</v>
      </c>
      <c r="N1148">
        <v>555</v>
      </c>
      <c r="O1148">
        <v>4</v>
      </c>
      <c r="P1148">
        <v>113</v>
      </c>
      <c r="Q1148">
        <v>10</v>
      </c>
      <c r="R1148">
        <v>2</v>
      </c>
      <c r="S1148">
        <v>23</v>
      </c>
    </row>
    <row r="1149" spans="1:19" x14ac:dyDescent="0.35">
      <c r="A1149">
        <v>8796</v>
      </c>
      <c r="B1149">
        <v>399</v>
      </c>
      <c r="C1149" t="str">
        <f>VLOOKUP(B1149,Kunde!A:C,3,FALSE)</f>
        <v>Geschäftskunde</v>
      </c>
      <c r="D1149" t="str">
        <f>VLOOKUP(O1149,Produkt!$A$1:$E$5,2,FALSE)</f>
        <v>B</v>
      </c>
      <c r="E1149">
        <f t="shared" si="51"/>
        <v>82</v>
      </c>
      <c r="F1149">
        <f>VLOOKUP(D1149,Produkt!$B$1:$C$5,2,FALSE)*Bestellungen!E1149</f>
        <v>39360</v>
      </c>
      <c r="G1149" s="2">
        <v>44861</v>
      </c>
      <c r="H1149" s="2">
        <f t="shared" si="52"/>
        <v>44865</v>
      </c>
      <c r="I1149" s="2">
        <f t="shared" si="53"/>
        <v>44921</v>
      </c>
      <c r="J1149" t="str">
        <f>VLOOKUP(M1149,Umfragenteilnahme!$A$2:$B$3,2,)</f>
        <v>Ja</v>
      </c>
      <c r="M1149">
        <v>1</v>
      </c>
      <c r="N1149">
        <v>399</v>
      </c>
      <c r="O1149">
        <v>2</v>
      </c>
      <c r="P1149">
        <v>82</v>
      </c>
      <c r="Q1149">
        <v>6</v>
      </c>
      <c r="R1149">
        <v>4</v>
      </c>
      <c r="S1149">
        <v>60</v>
      </c>
    </row>
    <row r="1150" spans="1:19" x14ac:dyDescent="0.35">
      <c r="A1150">
        <v>8797</v>
      </c>
      <c r="B1150">
        <v>612</v>
      </c>
      <c r="C1150" t="str">
        <f>VLOOKUP(B1150,Kunde!A:C,3,FALSE)</f>
        <v>Geschäftskunde</v>
      </c>
      <c r="D1150" t="str">
        <f>VLOOKUP(O1150,Produkt!$A$1:$E$5,2,FALSE)</f>
        <v>A</v>
      </c>
      <c r="E1150">
        <f t="shared" si="51"/>
        <v>24</v>
      </c>
      <c r="F1150">
        <f>VLOOKUP(D1150,Produkt!$B$1:$C$5,2,FALSE)*Bestellungen!E1150</f>
        <v>7200</v>
      </c>
      <c r="G1150" s="2">
        <v>44999</v>
      </c>
      <c r="H1150" s="2">
        <f t="shared" si="52"/>
        <v>45004</v>
      </c>
      <c r="I1150" s="2">
        <f t="shared" si="53"/>
        <v>45059</v>
      </c>
      <c r="J1150" t="str">
        <f>VLOOKUP(M1150,Umfragenteilnahme!$A$2:$B$3,2,)</f>
        <v>Ja</v>
      </c>
      <c r="M1150">
        <v>1</v>
      </c>
      <c r="N1150">
        <v>612</v>
      </c>
      <c r="O1150">
        <v>1</v>
      </c>
      <c r="P1150">
        <v>24</v>
      </c>
      <c r="Q1150">
        <v>6</v>
      </c>
      <c r="R1150">
        <v>5</v>
      </c>
      <c r="S1150">
        <v>60</v>
      </c>
    </row>
    <row r="1151" spans="1:19" x14ac:dyDescent="0.35">
      <c r="A1151">
        <v>8798</v>
      </c>
      <c r="B1151">
        <v>395</v>
      </c>
      <c r="C1151" t="str">
        <f>VLOOKUP(B1151,Kunde!A:C,3,FALSE)</f>
        <v>Geschäftskunde</v>
      </c>
      <c r="D1151" t="str">
        <f>VLOOKUP(O1151,Produkt!$A$1:$E$5,2,FALSE)</f>
        <v>D</v>
      </c>
      <c r="E1151">
        <f t="shared" si="51"/>
        <v>115</v>
      </c>
      <c r="F1151">
        <f>VLOOKUP(D1151,Produkt!$B$1:$C$5,2,FALSE)*Bestellungen!E1151</f>
        <v>92000</v>
      </c>
      <c r="G1151" s="2">
        <v>44920</v>
      </c>
      <c r="H1151" s="2">
        <f t="shared" si="52"/>
        <v>44926</v>
      </c>
      <c r="I1151" s="2">
        <f t="shared" si="53"/>
        <v>44938</v>
      </c>
      <c r="J1151" t="str">
        <f>VLOOKUP(M1151,Umfragenteilnahme!$A$2:$B$3,2,)</f>
        <v>Ja</v>
      </c>
      <c r="M1151">
        <v>1</v>
      </c>
      <c r="N1151">
        <v>395</v>
      </c>
      <c r="O1151">
        <v>4</v>
      </c>
      <c r="P1151">
        <v>115</v>
      </c>
      <c r="Q1151">
        <v>4</v>
      </c>
      <c r="R1151">
        <v>6</v>
      </c>
      <c r="S1151">
        <v>18</v>
      </c>
    </row>
    <row r="1152" spans="1:19" x14ac:dyDescent="0.35">
      <c r="A1152">
        <v>8799</v>
      </c>
      <c r="B1152">
        <v>546</v>
      </c>
      <c r="C1152" t="str">
        <f>VLOOKUP(B1152,Kunde!A:C,3,FALSE)</f>
        <v>Privatkunde</v>
      </c>
      <c r="D1152" t="str">
        <f>VLOOKUP(O1152,Produkt!$A$1:$E$5,2,FALSE)</f>
        <v>D</v>
      </c>
      <c r="E1152">
        <f t="shared" si="51"/>
        <v>4</v>
      </c>
      <c r="F1152">
        <f>VLOOKUP(D1152,Produkt!$B$1:$C$5,2,FALSE)*Bestellungen!E1152</f>
        <v>3200</v>
      </c>
      <c r="G1152" s="2">
        <v>44715</v>
      </c>
      <c r="H1152" s="2">
        <f t="shared" si="52"/>
        <v>44721</v>
      </c>
      <c r="I1152" s="2">
        <f t="shared" si="53"/>
        <v>44764</v>
      </c>
      <c r="J1152" t="str">
        <f>VLOOKUP(M1152,Umfragenteilnahme!$A$2:$B$3,2,)</f>
        <v>Ja</v>
      </c>
      <c r="M1152">
        <v>1</v>
      </c>
      <c r="N1152">
        <v>546</v>
      </c>
      <c r="O1152">
        <v>4</v>
      </c>
      <c r="P1152">
        <v>51</v>
      </c>
      <c r="Q1152">
        <v>4</v>
      </c>
      <c r="R1152">
        <v>6</v>
      </c>
      <c r="S1152">
        <v>49</v>
      </c>
    </row>
    <row r="1153" spans="1:19" x14ac:dyDescent="0.35">
      <c r="A1153">
        <v>8800</v>
      </c>
      <c r="B1153">
        <v>282</v>
      </c>
      <c r="C1153" t="str">
        <f>VLOOKUP(B1153,Kunde!A:C,3,FALSE)</f>
        <v>Geschäftskunde</v>
      </c>
      <c r="D1153" t="str">
        <f>VLOOKUP(O1153,Produkt!$A$1:$E$5,2,FALSE)</f>
        <v>D</v>
      </c>
      <c r="E1153">
        <f t="shared" si="51"/>
        <v>42</v>
      </c>
      <c r="F1153">
        <f>VLOOKUP(D1153,Produkt!$B$1:$C$5,2,FALSE)*Bestellungen!E1153</f>
        <v>33600</v>
      </c>
      <c r="G1153" s="2">
        <v>44985</v>
      </c>
      <c r="H1153" s="2">
        <f t="shared" si="52"/>
        <v>44992</v>
      </c>
      <c r="I1153" s="2">
        <f t="shared" si="53"/>
        <v>45010</v>
      </c>
      <c r="J1153" t="str">
        <f>VLOOKUP(M1153,Umfragenteilnahme!$A$2:$B$3,2,)</f>
        <v>Nein</v>
      </c>
      <c r="M1153">
        <v>2</v>
      </c>
      <c r="N1153">
        <v>282</v>
      </c>
      <c r="O1153">
        <v>4</v>
      </c>
      <c r="P1153">
        <v>42</v>
      </c>
      <c r="Q1153">
        <v>9</v>
      </c>
      <c r="R1153">
        <v>7</v>
      </c>
      <c r="S1153">
        <v>25</v>
      </c>
    </row>
    <row r="1154" spans="1:19" x14ac:dyDescent="0.35">
      <c r="A1154">
        <v>8801</v>
      </c>
      <c r="B1154">
        <v>588</v>
      </c>
      <c r="C1154" t="str">
        <f>VLOOKUP(B1154,Kunde!A:C,3,FALSE)</f>
        <v>Privatkunde</v>
      </c>
      <c r="D1154" t="str">
        <f>VLOOKUP(O1154,Produkt!$A$1:$E$5,2,FALSE)</f>
        <v>B</v>
      </c>
      <c r="E1154">
        <f t="shared" si="51"/>
        <v>3</v>
      </c>
      <c r="F1154">
        <f>VLOOKUP(D1154,Produkt!$B$1:$C$5,2,FALSE)*Bestellungen!E1154</f>
        <v>1440</v>
      </c>
      <c r="G1154" s="2">
        <v>44914</v>
      </c>
      <c r="H1154" s="2">
        <f t="shared" si="52"/>
        <v>44916</v>
      </c>
      <c r="I1154" s="2">
        <f t="shared" si="53"/>
        <v>44973</v>
      </c>
      <c r="J1154" t="str">
        <f>VLOOKUP(M1154,Umfragenteilnahme!$A$2:$B$3,2,)</f>
        <v>Nein</v>
      </c>
      <c r="M1154">
        <v>2</v>
      </c>
      <c r="N1154">
        <v>588</v>
      </c>
      <c r="O1154">
        <v>2</v>
      </c>
      <c r="P1154">
        <v>12</v>
      </c>
      <c r="Q1154">
        <v>3</v>
      </c>
      <c r="R1154">
        <v>2</v>
      </c>
      <c r="S1154">
        <v>59</v>
      </c>
    </row>
    <row r="1155" spans="1:19" x14ac:dyDescent="0.35">
      <c r="A1155">
        <v>8802</v>
      </c>
      <c r="B1155">
        <v>544</v>
      </c>
      <c r="C1155" t="str">
        <f>VLOOKUP(B1155,Kunde!A:C,3,FALSE)</f>
        <v>Geschäftskunde</v>
      </c>
      <c r="D1155" t="str">
        <f>VLOOKUP(O1155,Produkt!$A$1:$E$5,2,FALSE)</f>
        <v>C</v>
      </c>
      <c r="E1155">
        <f t="shared" ref="E1155:E1218" si="54">IF(C1155="Geschäftskunde",P1155,Q1155)</f>
        <v>89</v>
      </c>
      <c r="F1155">
        <f>VLOOKUP(D1155,Produkt!$B$1:$C$5,2,FALSE)*Bestellungen!E1155</f>
        <v>133500</v>
      </c>
      <c r="G1155" s="2">
        <v>44811</v>
      </c>
      <c r="H1155" s="2">
        <f t="shared" ref="H1155:H1218" si="55">G1155+R1155</f>
        <v>44814</v>
      </c>
      <c r="I1155" s="2">
        <f t="shared" ref="I1155:I1218" si="56">G1155+S1155</f>
        <v>44852</v>
      </c>
      <c r="J1155" t="str">
        <f>VLOOKUP(M1155,Umfragenteilnahme!$A$2:$B$3,2,)</f>
        <v>Ja</v>
      </c>
      <c r="M1155">
        <v>1</v>
      </c>
      <c r="N1155">
        <v>544</v>
      </c>
      <c r="O1155">
        <v>3</v>
      </c>
      <c r="P1155">
        <v>89</v>
      </c>
      <c r="Q1155">
        <v>1</v>
      </c>
      <c r="R1155">
        <v>3</v>
      </c>
      <c r="S1155">
        <v>41</v>
      </c>
    </row>
    <row r="1156" spans="1:19" x14ac:dyDescent="0.35">
      <c r="A1156">
        <v>8803</v>
      </c>
      <c r="B1156">
        <v>196</v>
      </c>
      <c r="C1156" t="str">
        <f>VLOOKUP(B1156,Kunde!A:C,3,FALSE)</f>
        <v>Geschäftskunde</v>
      </c>
      <c r="D1156" t="str">
        <f>VLOOKUP(O1156,Produkt!$A$1:$E$5,2,FALSE)</f>
        <v>B</v>
      </c>
      <c r="E1156">
        <f t="shared" si="54"/>
        <v>45</v>
      </c>
      <c r="F1156">
        <f>VLOOKUP(D1156,Produkt!$B$1:$C$5,2,FALSE)*Bestellungen!E1156</f>
        <v>21600</v>
      </c>
      <c r="G1156" s="2">
        <v>44925</v>
      </c>
      <c r="H1156" s="2">
        <f t="shared" si="55"/>
        <v>44927</v>
      </c>
      <c r="I1156" s="2">
        <f t="shared" si="56"/>
        <v>44932</v>
      </c>
      <c r="J1156" t="str">
        <f>VLOOKUP(M1156,Umfragenteilnahme!$A$2:$B$3,2,)</f>
        <v>Nein</v>
      </c>
      <c r="M1156">
        <v>2</v>
      </c>
      <c r="N1156">
        <v>196</v>
      </c>
      <c r="O1156">
        <v>2</v>
      </c>
      <c r="P1156">
        <v>45</v>
      </c>
      <c r="Q1156">
        <v>6</v>
      </c>
      <c r="R1156">
        <v>2</v>
      </c>
      <c r="S1156">
        <v>7</v>
      </c>
    </row>
    <row r="1157" spans="1:19" x14ac:dyDescent="0.35">
      <c r="A1157">
        <v>8804</v>
      </c>
      <c r="B1157">
        <v>206</v>
      </c>
      <c r="C1157" t="str">
        <f>VLOOKUP(B1157,Kunde!A:C,3,FALSE)</f>
        <v>Geschäftskunde</v>
      </c>
      <c r="D1157" t="str">
        <f>VLOOKUP(O1157,Produkt!$A$1:$E$5,2,FALSE)</f>
        <v>C</v>
      </c>
      <c r="E1157">
        <f t="shared" si="54"/>
        <v>122</v>
      </c>
      <c r="F1157">
        <f>VLOOKUP(D1157,Produkt!$B$1:$C$5,2,FALSE)*Bestellungen!E1157</f>
        <v>183000</v>
      </c>
      <c r="G1157" s="2">
        <v>44853</v>
      </c>
      <c r="H1157" s="2">
        <f t="shared" si="55"/>
        <v>44857</v>
      </c>
      <c r="I1157" s="2">
        <f t="shared" si="56"/>
        <v>44891</v>
      </c>
      <c r="J1157" t="str">
        <f>VLOOKUP(M1157,Umfragenteilnahme!$A$2:$B$3,2,)</f>
        <v>Nein</v>
      </c>
      <c r="M1157">
        <v>2</v>
      </c>
      <c r="N1157">
        <v>206</v>
      </c>
      <c r="O1157">
        <v>3</v>
      </c>
      <c r="P1157">
        <v>122</v>
      </c>
      <c r="Q1157">
        <v>1</v>
      </c>
      <c r="R1157">
        <v>4</v>
      </c>
      <c r="S1157">
        <v>38</v>
      </c>
    </row>
    <row r="1158" spans="1:19" x14ac:dyDescent="0.35">
      <c r="A1158">
        <v>8805</v>
      </c>
      <c r="B1158">
        <v>661</v>
      </c>
      <c r="C1158" t="str">
        <f>VLOOKUP(B1158,Kunde!A:C,3,FALSE)</f>
        <v>Geschäftskunde</v>
      </c>
      <c r="D1158" t="str">
        <f>VLOOKUP(O1158,Produkt!$A$1:$E$5,2,FALSE)</f>
        <v>C</v>
      </c>
      <c r="E1158">
        <f t="shared" si="54"/>
        <v>28</v>
      </c>
      <c r="F1158">
        <f>VLOOKUP(D1158,Produkt!$B$1:$C$5,2,FALSE)*Bestellungen!E1158</f>
        <v>42000</v>
      </c>
      <c r="G1158" s="2">
        <v>44892</v>
      </c>
      <c r="H1158" s="2">
        <f t="shared" si="55"/>
        <v>44897</v>
      </c>
      <c r="I1158" s="2">
        <f t="shared" si="56"/>
        <v>44899</v>
      </c>
      <c r="J1158" t="str">
        <f>VLOOKUP(M1158,Umfragenteilnahme!$A$2:$B$3,2,)</f>
        <v>Nein</v>
      </c>
      <c r="M1158">
        <v>2</v>
      </c>
      <c r="N1158">
        <v>661</v>
      </c>
      <c r="O1158">
        <v>3</v>
      </c>
      <c r="P1158">
        <v>28</v>
      </c>
      <c r="Q1158">
        <v>10</v>
      </c>
      <c r="R1158">
        <v>5</v>
      </c>
      <c r="S1158">
        <v>7</v>
      </c>
    </row>
    <row r="1159" spans="1:19" x14ac:dyDescent="0.35">
      <c r="A1159">
        <v>8806</v>
      </c>
      <c r="B1159">
        <v>348</v>
      </c>
      <c r="C1159" t="str">
        <f>VLOOKUP(B1159,Kunde!A:C,3,FALSE)</f>
        <v>Geschäftskunde</v>
      </c>
      <c r="D1159" t="str">
        <f>VLOOKUP(O1159,Produkt!$A$1:$E$5,2,FALSE)</f>
        <v>B</v>
      </c>
      <c r="E1159">
        <f t="shared" si="54"/>
        <v>22</v>
      </c>
      <c r="F1159">
        <f>VLOOKUP(D1159,Produkt!$B$1:$C$5,2,FALSE)*Bestellungen!E1159</f>
        <v>10560</v>
      </c>
      <c r="G1159" s="2">
        <v>44716</v>
      </c>
      <c r="H1159" s="2">
        <f t="shared" si="55"/>
        <v>44722</v>
      </c>
      <c r="I1159" s="2">
        <f t="shared" si="56"/>
        <v>44737</v>
      </c>
      <c r="J1159" t="str">
        <f>VLOOKUP(M1159,Umfragenteilnahme!$A$2:$B$3,2,)</f>
        <v>Ja</v>
      </c>
      <c r="M1159">
        <v>1</v>
      </c>
      <c r="N1159">
        <v>348</v>
      </c>
      <c r="O1159">
        <v>2</v>
      </c>
      <c r="P1159">
        <v>22</v>
      </c>
      <c r="Q1159">
        <v>7</v>
      </c>
      <c r="R1159">
        <v>6</v>
      </c>
      <c r="S1159">
        <v>21</v>
      </c>
    </row>
    <row r="1160" spans="1:19" x14ac:dyDescent="0.35">
      <c r="A1160">
        <v>8807</v>
      </c>
      <c r="B1160">
        <v>243</v>
      </c>
      <c r="C1160" t="str">
        <f>VLOOKUP(B1160,Kunde!A:C,3,FALSE)</f>
        <v>Privatkunde</v>
      </c>
      <c r="D1160" t="str">
        <f>VLOOKUP(O1160,Produkt!$A$1:$E$5,2,FALSE)</f>
        <v>B</v>
      </c>
      <c r="E1160">
        <f t="shared" si="54"/>
        <v>6</v>
      </c>
      <c r="F1160">
        <f>VLOOKUP(D1160,Produkt!$B$1:$C$5,2,FALSE)*Bestellungen!E1160</f>
        <v>2880</v>
      </c>
      <c r="G1160" s="2">
        <v>44900</v>
      </c>
      <c r="H1160" s="2">
        <f t="shared" si="55"/>
        <v>44904</v>
      </c>
      <c r="I1160" s="2">
        <f t="shared" si="56"/>
        <v>44957</v>
      </c>
      <c r="J1160" t="str">
        <f>VLOOKUP(M1160,Umfragenteilnahme!$A$2:$B$3,2,)</f>
        <v>Ja</v>
      </c>
      <c r="M1160">
        <v>1</v>
      </c>
      <c r="N1160">
        <v>243</v>
      </c>
      <c r="O1160">
        <v>2</v>
      </c>
      <c r="P1160">
        <v>12</v>
      </c>
      <c r="Q1160">
        <v>6</v>
      </c>
      <c r="R1160">
        <v>4</v>
      </c>
      <c r="S1160">
        <v>57</v>
      </c>
    </row>
    <row r="1161" spans="1:19" x14ac:dyDescent="0.35">
      <c r="A1161">
        <v>8808</v>
      </c>
      <c r="B1161">
        <v>134</v>
      </c>
      <c r="C1161" t="str">
        <f>VLOOKUP(B1161,Kunde!A:C,3,FALSE)</f>
        <v>Geschäftskunde</v>
      </c>
      <c r="D1161" t="str">
        <f>VLOOKUP(O1161,Produkt!$A$1:$E$5,2,FALSE)</f>
        <v>D</v>
      </c>
      <c r="E1161">
        <f t="shared" si="54"/>
        <v>64</v>
      </c>
      <c r="F1161">
        <f>VLOOKUP(D1161,Produkt!$B$1:$C$5,2,FALSE)*Bestellungen!E1161</f>
        <v>51200</v>
      </c>
      <c r="G1161" s="2">
        <v>45033</v>
      </c>
      <c r="H1161" s="2">
        <f t="shared" si="55"/>
        <v>45036</v>
      </c>
      <c r="I1161" s="2">
        <f t="shared" si="56"/>
        <v>45075</v>
      </c>
      <c r="J1161" t="str">
        <f>VLOOKUP(M1161,Umfragenteilnahme!$A$2:$B$3,2,)</f>
        <v>Ja</v>
      </c>
      <c r="M1161">
        <v>1</v>
      </c>
      <c r="N1161">
        <v>134</v>
      </c>
      <c r="O1161">
        <v>4</v>
      </c>
      <c r="P1161">
        <v>64</v>
      </c>
      <c r="Q1161">
        <v>5</v>
      </c>
      <c r="R1161">
        <v>3</v>
      </c>
      <c r="S1161">
        <v>42</v>
      </c>
    </row>
    <row r="1162" spans="1:19" x14ac:dyDescent="0.35">
      <c r="A1162">
        <v>8809</v>
      </c>
      <c r="B1162">
        <v>71</v>
      </c>
      <c r="C1162" t="str">
        <f>VLOOKUP(B1162,Kunde!A:C,3,FALSE)</f>
        <v>Geschäftskunde</v>
      </c>
      <c r="D1162" t="str">
        <f>VLOOKUP(O1162,Produkt!$A$1:$E$5,2,FALSE)</f>
        <v>A</v>
      </c>
      <c r="E1162">
        <f t="shared" si="54"/>
        <v>122</v>
      </c>
      <c r="F1162">
        <f>VLOOKUP(D1162,Produkt!$B$1:$C$5,2,FALSE)*Bestellungen!E1162</f>
        <v>36600</v>
      </c>
      <c r="G1162" s="2">
        <v>45032</v>
      </c>
      <c r="H1162" s="2">
        <f t="shared" si="55"/>
        <v>45034</v>
      </c>
      <c r="I1162" s="2">
        <f t="shared" si="56"/>
        <v>45064</v>
      </c>
      <c r="J1162" t="str">
        <f>VLOOKUP(M1162,Umfragenteilnahme!$A$2:$B$3,2,)</f>
        <v>Ja</v>
      </c>
      <c r="M1162">
        <v>1</v>
      </c>
      <c r="N1162">
        <v>71</v>
      </c>
      <c r="O1162">
        <v>1</v>
      </c>
      <c r="P1162">
        <v>122</v>
      </c>
      <c r="Q1162">
        <v>4</v>
      </c>
      <c r="R1162">
        <v>2</v>
      </c>
      <c r="S1162">
        <v>32</v>
      </c>
    </row>
    <row r="1163" spans="1:19" x14ac:dyDescent="0.35">
      <c r="A1163">
        <v>8810</v>
      </c>
      <c r="B1163">
        <v>272</v>
      </c>
      <c r="C1163" t="str">
        <f>VLOOKUP(B1163,Kunde!A:C,3,FALSE)</f>
        <v>Geschäftskunde</v>
      </c>
      <c r="D1163" t="str">
        <f>VLOOKUP(O1163,Produkt!$A$1:$E$5,2,FALSE)</f>
        <v>B</v>
      </c>
      <c r="E1163">
        <f t="shared" si="54"/>
        <v>28</v>
      </c>
      <c r="F1163">
        <f>VLOOKUP(D1163,Produkt!$B$1:$C$5,2,FALSE)*Bestellungen!E1163</f>
        <v>13440</v>
      </c>
      <c r="G1163" s="2">
        <v>44852</v>
      </c>
      <c r="H1163" s="2">
        <f t="shared" si="55"/>
        <v>44854</v>
      </c>
      <c r="I1163" s="2">
        <f t="shared" si="56"/>
        <v>44903</v>
      </c>
      <c r="J1163" t="str">
        <f>VLOOKUP(M1163,Umfragenteilnahme!$A$2:$B$3,2,)</f>
        <v>Ja</v>
      </c>
      <c r="M1163">
        <v>1</v>
      </c>
      <c r="N1163">
        <v>272</v>
      </c>
      <c r="O1163">
        <v>2</v>
      </c>
      <c r="P1163">
        <v>28</v>
      </c>
      <c r="Q1163">
        <v>9</v>
      </c>
      <c r="R1163">
        <v>2</v>
      </c>
      <c r="S1163">
        <v>51</v>
      </c>
    </row>
    <row r="1164" spans="1:19" x14ac:dyDescent="0.35">
      <c r="A1164">
        <v>8811</v>
      </c>
      <c r="B1164">
        <v>740</v>
      </c>
      <c r="C1164" t="str">
        <f>VLOOKUP(B1164,Kunde!A:C,3,FALSE)</f>
        <v>Privatkunde</v>
      </c>
      <c r="D1164" t="str">
        <f>VLOOKUP(O1164,Produkt!$A$1:$E$5,2,FALSE)</f>
        <v>D</v>
      </c>
      <c r="E1164">
        <f t="shared" si="54"/>
        <v>6</v>
      </c>
      <c r="F1164">
        <f>VLOOKUP(D1164,Produkt!$B$1:$C$5,2,FALSE)*Bestellungen!E1164</f>
        <v>4800</v>
      </c>
      <c r="G1164" s="2">
        <v>44812</v>
      </c>
      <c r="H1164" s="2">
        <f t="shared" si="55"/>
        <v>44817</v>
      </c>
      <c r="I1164" s="2">
        <f t="shared" si="56"/>
        <v>44831</v>
      </c>
      <c r="J1164" t="str">
        <f>VLOOKUP(M1164,Umfragenteilnahme!$A$2:$B$3,2,)</f>
        <v>Ja</v>
      </c>
      <c r="M1164">
        <v>1</v>
      </c>
      <c r="N1164">
        <v>740</v>
      </c>
      <c r="O1164">
        <v>4</v>
      </c>
      <c r="P1164">
        <v>80</v>
      </c>
      <c r="Q1164">
        <v>6</v>
      </c>
      <c r="R1164">
        <v>5</v>
      </c>
      <c r="S1164">
        <v>19</v>
      </c>
    </row>
    <row r="1165" spans="1:19" x14ac:dyDescent="0.35">
      <c r="A1165">
        <v>8812</v>
      </c>
      <c r="B1165">
        <v>215</v>
      </c>
      <c r="C1165" t="str">
        <f>VLOOKUP(B1165,Kunde!A:C,3,FALSE)</f>
        <v>Geschäftskunde</v>
      </c>
      <c r="D1165" t="str">
        <f>VLOOKUP(O1165,Produkt!$A$1:$E$5,2,FALSE)</f>
        <v>A</v>
      </c>
      <c r="E1165">
        <f t="shared" si="54"/>
        <v>103</v>
      </c>
      <c r="F1165">
        <f>VLOOKUP(D1165,Produkt!$B$1:$C$5,2,FALSE)*Bestellungen!E1165</f>
        <v>30900</v>
      </c>
      <c r="G1165" s="2">
        <v>44980</v>
      </c>
      <c r="H1165" s="2">
        <f t="shared" si="55"/>
        <v>44982</v>
      </c>
      <c r="I1165" s="2">
        <f t="shared" si="56"/>
        <v>45004</v>
      </c>
      <c r="J1165" t="str">
        <f>VLOOKUP(M1165,Umfragenteilnahme!$A$2:$B$3,2,)</f>
        <v>Nein</v>
      </c>
      <c r="M1165">
        <v>2</v>
      </c>
      <c r="N1165">
        <v>215</v>
      </c>
      <c r="O1165">
        <v>1</v>
      </c>
      <c r="P1165">
        <v>103</v>
      </c>
      <c r="Q1165">
        <v>4</v>
      </c>
      <c r="R1165">
        <v>2</v>
      </c>
      <c r="S1165">
        <v>24</v>
      </c>
    </row>
    <row r="1166" spans="1:19" x14ac:dyDescent="0.35">
      <c r="A1166">
        <v>8813</v>
      </c>
      <c r="B1166">
        <v>111</v>
      </c>
      <c r="C1166" t="str">
        <f>VLOOKUP(B1166,Kunde!A:C,3,FALSE)</f>
        <v>Geschäftskunde</v>
      </c>
      <c r="D1166" t="str">
        <f>VLOOKUP(O1166,Produkt!$A$1:$E$5,2,FALSE)</f>
        <v>B</v>
      </c>
      <c r="E1166">
        <f t="shared" si="54"/>
        <v>23</v>
      </c>
      <c r="F1166">
        <f>VLOOKUP(D1166,Produkt!$B$1:$C$5,2,FALSE)*Bestellungen!E1166</f>
        <v>11040</v>
      </c>
      <c r="G1166" s="2">
        <v>44776</v>
      </c>
      <c r="H1166" s="2">
        <f t="shared" si="55"/>
        <v>44778</v>
      </c>
      <c r="I1166" s="2">
        <f t="shared" si="56"/>
        <v>44815</v>
      </c>
      <c r="J1166" t="str">
        <f>VLOOKUP(M1166,Umfragenteilnahme!$A$2:$B$3,2,)</f>
        <v>Ja</v>
      </c>
      <c r="M1166">
        <v>1</v>
      </c>
      <c r="N1166">
        <v>111</v>
      </c>
      <c r="O1166">
        <v>2</v>
      </c>
      <c r="P1166">
        <v>23</v>
      </c>
      <c r="Q1166">
        <v>5</v>
      </c>
      <c r="R1166">
        <v>2</v>
      </c>
      <c r="S1166">
        <v>39</v>
      </c>
    </row>
    <row r="1167" spans="1:19" x14ac:dyDescent="0.35">
      <c r="A1167">
        <v>8814</v>
      </c>
      <c r="B1167">
        <v>574</v>
      </c>
      <c r="C1167" t="str">
        <f>VLOOKUP(B1167,Kunde!A:C,3,FALSE)</f>
        <v>Geschäftskunde</v>
      </c>
      <c r="D1167" t="str">
        <f>VLOOKUP(O1167,Produkt!$A$1:$E$5,2,FALSE)</f>
        <v>C</v>
      </c>
      <c r="E1167">
        <f t="shared" si="54"/>
        <v>130</v>
      </c>
      <c r="F1167">
        <f>VLOOKUP(D1167,Produkt!$B$1:$C$5,2,FALSE)*Bestellungen!E1167</f>
        <v>195000</v>
      </c>
      <c r="G1167" s="2">
        <v>44739</v>
      </c>
      <c r="H1167" s="2">
        <f t="shared" si="55"/>
        <v>44742</v>
      </c>
      <c r="I1167" s="2">
        <f t="shared" si="56"/>
        <v>44782</v>
      </c>
      <c r="J1167" t="str">
        <f>VLOOKUP(M1167,Umfragenteilnahme!$A$2:$B$3,2,)</f>
        <v>Nein</v>
      </c>
      <c r="M1167">
        <v>2</v>
      </c>
      <c r="N1167">
        <v>574</v>
      </c>
      <c r="O1167">
        <v>3</v>
      </c>
      <c r="P1167">
        <v>130</v>
      </c>
      <c r="Q1167">
        <v>2</v>
      </c>
      <c r="R1167">
        <v>3</v>
      </c>
      <c r="S1167">
        <v>43</v>
      </c>
    </row>
    <row r="1168" spans="1:19" x14ac:dyDescent="0.35">
      <c r="A1168">
        <v>8815</v>
      </c>
      <c r="B1168">
        <v>687</v>
      </c>
      <c r="C1168" t="str">
        <f>VLOOKUP(B1168,Kunde!A:C,3,FALSE)</f>
        <v>Geschäftskunde</v>
      </c>
      <c r="D1168" t="str">
        <f>VLOOKUP(O1168,Produkt!$A$1:$E$5,2,FALSE)</f>
        <v>D</v>
      </c>
      <c r="E1168">
        <f t="shared" si="54"/>
        <v>23</v>
      </c>
      <c r="F1168">
        <f>VLOOKUP(D1168,Produkt!$B$1:$C$5,2,FALSE)*Bestellungen!E1168</f>
        <v>18400</v>
      </c>
      <c r="G1168" s="2">
        <v>44985</v>
      </c>
      <c r="H1168" s="2">
        <f t="shared" si="55"/>
        <v>44990</v>
      </c>
      <c r="I1168" s="2">
        <f t="shared" si="56"/>
        <v>45023</v>
      </c>
      <c r="J1168" t="str">
        <f>VLOOKUP(M1168,Umfragenteilnahme!$A$2:$B$3,2,)</f>
        <v>Nein</v>
      </c>
      <c r="M1168">
        <v>2</v>
      </c>
      <c r="N1168">
        <v>687</v>
      </c>
      <c r="O1168">
        <v>4</v>
      </c>
      <c r="P1168">
        <v>23</v>
      </c>
      <c r="Q1168">
        <v>4</v>
      </c>
      <c r="R1168">
        <v>5</v>
      </c>
      <c r="S1168">
        <v>38</v>
      </c>
    </row>
    <row r="1169" spans="1:19" x14ac:dyDescent="0.35">
      <c r="A1169">
        <v>8816</v>
      </c>
      <c r="B1169">
        <v>403</v>
      </c>
      <c r="C1169" t="str">
        <f>VLOOKUP(B1169,Kunde!A:C,3,FALSE)</f>
        <v>Geschäftskunde</v>
      </c>
      <c r="D1169" t="str">
        <f>VLOOKUP(O1169,Produkt!$A$1:$E$5,2,FALSE)</f>
        <v>B</v>
      </c>
      <c r="E1169">
        <f t="shared" si="54"/>
        <v>135</v>
      </c>
      <c r="F1169">
        <f>VLOOKUP(D1169,Produkt!$B$1:$C$5,2,FALSE)*Bestellungen!E1169</f>
        <v>64800</v>
      </c>
      <c r="G1169" s="2">
        <v>44881</v>
      </c>
      <c r="H1169" s="2">
        <f t="shared" si="55"/>
        <v>44884</v>
      </c>
      <c r="I1169" s="2">
        <f t="shared" si="56"/>
        <v>44915</v>
      </c>
      <c r="J1169" t="str">
        <f>VLOOKUP(M1169,Umfragenteilnahme!$A$2:$B$3,2,)</f>
        <v>Nein</v>
      </c>
      <c r="M1169">
        <v>2</v>
      </c>
      <c r="N1169">
        <v>403</v>
      </c>
      <c r="O1169">
        <v>2</v>
      </c>
      <c r="P1169">
        <v>135</v>
      </c>
      <c r="Q1169">
        <v>9</v>
      </c>
      <c r="R1169">
        <v>3</v>
      </c>
      <c r="S1169">
        <v>34</v>
      </c>
    </row>
    <row r="1170" spans="1:19" x14ac:dyDescent="0.35">
      <c r="A1170">
        <v>8817</v>
      </c>
      <c r="B1170">
        <v>587</v>
      </c>
      <c r="C1170" t="str">
        <f>VLOOKUP(B1170,Kunde!A:C,3,FALSE)</f>
        <v>Geschäftskunde</v>
      </c>
      <c r="D1170" t="str">
        <f>VLOOKUP(O1170,Produkt!$A$1:$E$5,2,FALSE)</f>
        <v>C</v>
      </c>
      <c r="E1170">
        <f t="shared" si="54"/>
        <v>127</v>
      </c>
      <c r="F1170">
        <f>VLOOKUP(D1170,Produkt!$B$1:$C$5,2,FALSE)*Bestellungen!E1170</f>
        <v>190500</v>
      </c>
      <c r="G1170" s="2">
        <v>44798</v>
      </c>
      <c r="H1170" s="2">
        <f t="shared" si="55"/>
        <v>44805</v>
      </c>
      <c r="I1170" s="2">
        <f t="shared" si="56"/>
        <v>44847</v>
      </c>
      <c r="J1170" t="str">
        <f>VLOOKUP(M1170,Umfragenteilnahme!$A$2:$B$3,2,)</f>
        <v>Nein</v>
      </c>
      <c r="M1170">
        <v>2</v>
      </c>
      <c r="N1170">
        <v>587</v>
      </c>
      <c r="O1170">
        <v>3</v>
      </c>
      <c r="P1170">
        <v>127</v>
      </c>
      <c r="Q1170">
        <v>8</v>
      </c>
      <c r="R1170">
        <v>7</v>
      </c>
      <c r="S1170">
        <v>49</v>
      </c>
    </row>
    <row r="1171" spans="1:19" x14ac:dyDescent="0.35">
      <c r="A1171">
        <v>8818</v>
      </c>
      <c r="B1171">
        <v>16</v>
      </c>
      <c r="C1171" t="str">
        <f>VLOOKUP(B1171,Kunde!A:C,3,FALSE)</f>
        <v>Geschäftskunde</v>
      </c>
      <c r="D1171" t="str">
        <f>VLOOKUP(O1171,Produkt!$A$1:$E$5,2,FALSE)</f>
        <v>D</v>
      </c>
      <c r="E1171">
        <f t="shared" si="54"/>
        <v>29</v>
      </c>
      <c r="F1171">
        <f>VLOOKUP(D1171,Produkt!$B$1:$C$5,2,FALSE)*Bestellungen!E1171</f>
        <v>23200</v>
      </c>
      <c r="G1171" s="2">
        <v>44730</v>
      </c>
      <c r="H1171" s="2">
        <f t="shared" si="55"/>
        <v>44732</v>
      </c>
      <c r="I1171" s="2">
        <f t="shared" si="56"/>
        <v>44747</v>
      </c>
      <c r="J1171" t="str">
        <f>VLOOKUP(M1171,Umfragenteilnahme!$A$2:$B$3,2,)</f>
        <v>Ja</v>
      </c>
      <c r="M1171">
        <v>1</v>
      </c>
      <c r="N1171">
        <v>16</v>
      </c>
      <c r="O1171">
        <v>4</v>
      </c>
      <c r="P1171">
        <v>29</v>
      </c>
      <c r="Q1171">
        <v>6</v>
      </c>
      <c r="R1171">
        <v>2</v>
      </c>
      <c r="S1171">
        <v>17</v>
      </c>
    </row>
    <row r="1172" spans="1:19" x14ac:dyDescent="0.35">
      <c r="A1172">
        <v>8819</v>
      </c>
      <c r="B1172">
        <v>496</v>
      </c>
      <c r="C1172" t="str">
        <f>VLOOKUP(B1172,Kunde!A:C,3,FALSE)</f>
        <v>Geschäftskunde</v>
      </c>
      <c r="D1172" t="str">
        <f>VLOOKUP(O1172,Produkt!$A$1:$E$5,2,FALSE)</f>
        <v>B</v>
      </c>
      <c r="E1172">
        <f t="shared" si="54"/>
        <v>43</v>
      </c>
      <c r="F1172">
        <f>VLOOKUP(D1172,Produkt!$B$1:$C$5,2,FALSE)*Bestellungen!E1172</f>
        <v>20640</v>
      </c>
      <c r="G1172" s="2">
        <v>44774</v>
      </c>
      <c r="H1172" s="2">
        <f t="shared" si="55"/>
        <v>44777</v>
      </c>
      <c r="I1172" s="2">
        <f t="shared" si="56"/>
        <v>44814</v>
      </c>
      <c r="J1172" t="str">
        <f>VLOOKUP(M1172,Umfragenteilnahme!$A$2:$B$3,2,)</f>
        <v>Ja</v>
      </c>
      <c r="M1172">
        <v>1</v>
      </c>
      <c r="N1172">
        <v>496</v>
      </c>
      <c r="O1172">
        <v>2</v>
      </c>
      <c r="P1172">
        <v>43</v>
      </c>
      <c r="Q1172">
        <v>4</v>
      </c>
      <c r="R1172">
        <v>3</v>
      </c>
      <c r="S1172">
        <v>40</v>
      </c>
    </row>
    <row r="1173" spans="1:19" x14ac:dyDescent="0.35">
      <c r="A1173">
        <v>8820</v>
      </c>
      <c r="B1173">
        <v>312</v>
      </c>
      <c r="C1173" t="str">
        <f>VLOOKUP(B1173,Kunde!A:C,3,FALSE)</f>
        <v>Geschäftskunde</v>
      </c>
      <c r="D1173" t="str">
        <f>VLOOKUP(O1173,Produkt!$A$1:$E$5,2,FALSE)</f>
        <v>B</v>
      </c>
      <c r="E1173">
        <f t="shared" si="54"/>
        <v>138</v>
      </c>
      <c r="F1173">
        <f>VLOOKUP(D1173,Produkt!$B$1:$C$5,2,FALSE)*Bestellungen!E1173</f>
        <v>66240</v>
      </c>
      <c r="G1173" s="2">
        <v>44957</v>
      </c>
      <c r="H1173" s="2">
        <f t="shared" si="55"/>
        <v>44964</v>
      </c>
      <c r="I1173" s="2">
        <f t="shared" si="56"/>
        <v>44975</v>
      </c>
      <c r="J1173" t="str">
        <f>VLOOKUP(M1173,Umfragenteilnahme!$A$2:$B$3,2,)</f>
        <v>Ja</v>
      </c>
      <c r="M1173">
        <v>1</v>
      </c>
      <c r="N1173">
        <v>312</v>
      </c>
      <c r="O1173">
        <v>2</v>
      </c>
      <c r="P1173">
        <v>138</v>
      </c>
      <c r="Q1173">
        <v>8</v>
      </c>
      <c r="R1173">
        <v>7</v>
      </c>
      <c r="S1173">
        <v>18</v>
      </c>
    </row>
    <row r="1174" spans="1:19" x14ac:dyDescent="0.35">
      <c r="A1174">
        <v>8821</v>
      </c>
      <c r="B1174">
        <v>240</v>
      </c>
      <c r="C1174" t="str">
        <f>VLOOKUP(B1174,Kunde!A:C,3,FALSE)</f>
        <v>Geschäftskunde</v>
      </c>
      <c r="D1174" t="str">
        <f>VLOOKUP(O1174,Produkt!$A$1:$E$5,2,FALSE)</f>
        <v>D</v>
      </c>
      <c r="E1174">
        <f t="shared" si="54"/>
        <v>48</v>
      </c>
      <c r="F1174">
        <f>VLOOKUP(D1174,Produkt!$B$1:$C$5,2,FALSE)*Bestellungen!E1174</f>
        <v>38400</v>
      </c>
      <c r="G1174" s="2">
        <v>45047</v>
      </c>
      <c r="H1174" s="2">
        <f t="shared" si="55"/>
        <v>45049</v>
      </c>
      <c r="I1174" s="2">
        <f t="shared" si="56"/>
        <v>45069</v>
      </c>
      <c r="J1174" t="str">
        <f>VLOOKUP(M1174,Umfragenteilnahme!$A$2:$B$3,2,)</f>
        <v>Nein</v>
      </c>
      <c r="M1174">
        <v>2</v>
      </c>
      <c r="N1174">
        <v>240</v>
      </c>
      <c r="O1174">
        <v>4</v>
      </c>
      <c r="P1174">
        <v>48</v>
      </c>
      <c r="Q1174">
        <v>8</v>
      </c>
      <c r="R1174">
        <v>2</v>
      </c>
      <c r="S1174">
        <v>22</v>
      </c>
    </row>
    <row r="1175" spans="1:19" x14ac:dyDescent="0.35">
      <c r="A1175">
        <v>8822</v>
      </c>
      <c r="B1175">
        <v>378</v>
      </c>
      <c r="C1175" t="str">
        <f>VLOOKUP(B1175,Kunde!A:C,3,FALSE)</f>
        <v>Geschäftskunde</v>
      </c>
      <c r="D1175" t="str">
        <f>VLOOKUP(O1175,Produkt!$A$1:$E$5,2,FALSE)</f>
        <v>A</v>
      </c>
      <c r="E1175">
        <f t="shared" si="54"/>
        <v>19</v>
      </c>
      <c r="F1175">
        <f>VLOOKUP(D1175,Produkt!$B$1:$C$5,2,FALSE)*Bestellungen!E1175</f>
        <v>5700</v>
      </c>
      <c r="G1175" s="2">
        <v>44849</v>
      </c>
      <c r="H1175" s="2">
        <f t="shared" si="55"/>
        <v>44851</v>
      </c>
      <c r="I1175" s="2">
        <f t="shared" si="56"/>
        <v>44882</v>
      </c>
      <c r="J1175" t="str">
        <f>VLOOKUP(M1175,Umfragenteilnahme!$A$2:$B$3,2,)</f>
        <v>Nein</v>
      </c>
      <c r="M1175">
        <v>2</v>
      </c>
      <c r="N1175">
        <v>378</v>
      </c>
      <c r="O1175">
        <v>1</v>
      </c>
      <c r="P1175">
        <v>19</v>
      </c>
      <c r="Q1175">
        <v>6</v>
      </c>
      <c r="R1175">
        <v>2</v>
      </c>
      <c r="S1175">
        <v>33</v>
      </c>
    </row>
    <row r="1176" spans="1:19" x14ac:dyDescent="0.35">
      <c r="A1176">
        <v>8823</v>
      </c>
      <c r="B1176">
        <v>739</v>
      </c>
      <c r="C1176" t="str">
        <f>VLOOKUP(B1176,Kunde!A:C,3,FALSE)</f>
        <v>Geschäftskunde</v>
      </c>
      <c r="D1176" t="str">
        <f>VLOOKUP(O1176,Produkt!$A$1:$E$5,2,FALSE)</f>
        <v>B</v>
      </c>
      <c r="E1176">
        <f t="shared" si="54"/>
        <v>97</v>
      </c>
      <c r="F1176">
        <f>VLOOKUP(D1176,Produkt!$B$1:$C$5,2,FALSE)*Bestellungen!E1176</f>
        <v>46560</v>
      </c>
      <c r="G1176" s="2">
        <v>44933</v>
      </c>
      <c r="H1176" s="2">
        <f t="shared" si="55"/>
        <v>44936</v>
      </c>
      <c r="I1176" s="2">
        <f t="shared" si="56"/>
        <v>44963</v>
      </c>
      <c r="J1176" t="str">
        <f>VLOOKUP(M1176,Umfragenteilnahme!$A$2:$B$3,2,)</f>
        <v>Ja</v>
      </c>
      <c r="M1176">
        <v>1</v>
      </c>
      <c r="N1176">
        <v>739</v>
      </c>
      <c r="O1176">
        <v>2</v>
      </c>
      <c r="P1176">
        <v>97</v>
      </c>
      <c r="Q1176">
        <v>7</v>
      </c>
      <c r="R1176">
        <v>3</v>
      </c>
      <c r="S1176">
        <v>30</v>
      </c>
    </row>
    <row r="1177" spans="1:19" x14ac:dyDescent="0.35">
      <c r="A1177">
        <v>8824</v>
      </c>
      <c r="B1177">
        <v>740</v>
      </c>
      <c r="C1177" t="str">
        <f>VLOOKUP(B1177,Kunde!A:C,3,FALSE)</f>
        <v>Privatkunde</v>
      </c>
      <c r="D1177" t="str">
        <f>VLOOKUP(O1177,Produkt!$A$1:$E$5,2,FALSE)</f>
        <v>D</v>
      </c>
      <c r="E1177">
        <f t="shared" si="54"/>
        <v>10</v>
      </c>
      <c r="F1177">
        <f>VLOOKUP(D1177,Produkt!$B$1:$C$5,2,FALSE)*Bestellungen!E1177</f>
        <v>8000</v>
      </c>
      <c r="G1177" s="2">
        <v>44931</v>
      </c>
      <c r="H1177" s="2">
        <f t="shared" si="55"/>
        <v>44938</v>
      </c>
      <c r="I1177" s="2">
        <f t="shared" si="56"/>
        <v>44956</v>
      </c>
      <c r="J1177" t="str">
        <f>VLOOKUP(M1177,Umfragenteilnahme!$A$2:$B$3,2,)</f>
        <v>Ja</v>
      </c>
      <c r="M1177">
        <v>1</v>
      </c>
      <c r="N1177">
        <v>740</v>
      </c>
      <c r="O1177">
        <v>4</v>
      </c>
      <c r="P1177">
        <v>28</v>
      </c>
      <c r="Q1177">
        <v>10</v>
      </c>
      <c r="R1177">
        <v>7</v>
      </c>
      <c r="S1177">
        <v>25</v>
      </c>
    </row>
    <row r="1178" spans="1:19" x14ac:dyDescent="0.35">
      <c r="A1178">
        <v>8825</v>
      </c>
      <c r="B1178">
        <v>164</v>
      </c>
      <c r="C1178" t="str">
        <f>VLOOKUP(B1178,Kunde!A:C,3,FALSE)</f>
        <v>Geschäftskunde</v>
      </c>
      <c r="D1178" t="str">
        <f>VLOOKUP(O1178,Produkt!$A$1:$E$5,2,FALSE)</f>
        <v>B</v>
      </c>
      <c r="E1178">
        <f t="shared" si="54"/>
        <v>68</v>
      </c>
      <c r="F1178">
        <f>VLOOKUP(D1178,Produkt!$B$1:$C$5,2,FALSE)*Bestellungen!E1178</f>
        <v>32640</v>
      </c>
      <c r="G1178" s="2">
        <v>45050</v>
      </c>
      <c r="H1178" s="2">
        <f t="shared" si="55"/>
        <v>45052</v>
      </c>
      <c r="I1178" s="2">
        <f t="shared" si="56"/>
        <v>45055</v>
      </c>
      <c r="J1178" t="str">
        <f>VLOOKUP(M1178,Umfragenteilnahme!$A$2:$B$3,2,)</f>
        <v>Ja</v>
      </c>
      <c r="M1178">
        <v>1</v>
      </c>
      <c r="N1178">
        <v>164</v>
      </c>
      <c r="O1178">
        <v>2</v>
      </c>
      <c r="P1178">
        <v>68</v>
      </c>
      <c r="Q1178">
        <v>9</v>
      </c>
      <c r="R1178">
        <v>2</v>
      </c>
      <c r="S1178">
        <v>5</v>
      </c>
    </row>
    <row r="1179" spans="1:19" x14ac:dyDescent="0.35">
      <c r="A1179">
        <v>8826</v>
      </c>
      <c r="B1179">
        <v>458</v>
      </c>
      <c r="C1179" t="str">
        <f>VLOOKUP(B1179,Kunde!A:C,3,FALSE)</f>
        <v>Privatkunde</v>
      </c>
      <c r="D1179" t="str">
        <f>VLOOKUP(O1179,Produkt!$A$1:$E$5,2,FALSE)</f>
        <v>A</v>
      </c>
      <c r="E1179">
        <f t="shared" si="54"/>
        <v>6</v>
      </c>
      <c r="F1179">
        <f>VLOOKUP(D1179,Produkt!$B$1:$C$5,2,FALSE)*Bestellungen!E1179</f>
        <v>1800</v>
      </c>
      <c r="G1179" s="2">
        <v>44817</v>
      </c>
      <c r="H1179" s="2">
        <f t="shared" si="55"/>
        <v>44823</v>
      </c>
      <c r="I1179" s="2">
        <f t="shared" si="56"/>
        <v>44833</v>
      </c>
      <c r="J1179" t="str">
        <f>VLOOKUP(M1179,Umfragenteilnahme!$A$2:$B$3,2,)</f>
        <v>Ja</v>
      </c>
      <c r="M1179">
        <v>1</v>
      </c>
      <c r="N1179">
        <v>458</v>
      </c>
      <c r="O1179">
        <v>1</v>
      </c>
      <c r="P1179">
        <v>39</v>
      </c>
      <c r="Q1179">
        <v>6</v>
      </c>
      <c r="R1179">
        <v>6</v>
      </c>
      <c r="S1179">
        <v>16</v>
      </c>
    </row>
    <row r="1180" spans="1:19" x14ac:dyDescent="0.35">
      <c r="A1180">
        <v>8827</v>
      </c>
      <c r="B1180">
        <v>651</v>
      </c>
      <c r="C1180" t="str">
        <f>VLOOKUP(B1180,Kunde!A:C,3,FALSE)</f>
        <v>Geschäftskunde</v>
      </c>
      <c r="D1180" t="str">
        <f>VLOOKUP(O1180,Produkt!$A$1:$E$5,2,FALSE)</f>
        <v>C</v>
      </c>
      <c r="E1180">
        <f t="shared" si="54"/>
        <v>11</v>
      </c>
      <c r="F1180">
        <f>VLOOKUP(D1180,Produkt!$B$1:$C$5,2,FALSE)*Bestellungen!E1180</f>
        <v>16500</v>
      </c>
      <c r="G1180" s="2">
        <v>45026</v>
      </c>
      <c r="H1180" s="2">
        <f t="shared" si="55"/>
        <v>45033</v>
      </c>
      <c r="I1180" s="2">
        <f t="shared" si="56"/>
        <v>45068</v>
      </c>
      <c r="J1180" t="str">
        <f>VLOOKUP(M1180,Umfragenteilnahme!$A$2:$B$3,2,)</f>
        <v>Ja</v>
      </c>
      <c r="M1180">
        <v>1</v>
      </c>
      <c r="N1180">
        <v>651</v>
      </c>
      <c r="O1180">
        <v>3</v>
      </c>
      <c r="P1180">
        <v>11</v>
      </c>
      <c r="Q1180">
        <v>5</v>
      </c>
      <c r="R1180">
        <v>7</v>
      </c>
      <c r="S1180">
        <v>42</v>
      </c>
    </row>
    <row r="1181" spans="1:19" x14ac:dyDescent="0.35">
      <c r="A1181">
        <v>8828</v>
      </c>
      <c r="B1181">
        <v>517</v>
      </c>
      <c r="C1181" t="str">
        <f>VLOOKUP(B1181,Kunde!A:C,3,FALSE)</f>
        <v>Geschäftskunde</v>
      </c>
      <c r="D1181" t="str">
        <f>VLOOKUP(O1181,Produkt!$A$1:$E$5,2,FALSE)</f>
        <v>D</v>
      </c>
      <c r="E1181">
        <f t="shared" si="54"/>
        <v>146</v>
      </c>
      <c r="F1181">
        <f>VLOOKUP(D1181,Produkt!$B$1:$C$5,2,FALSE)*Bestellungen!E1181</f>
        <v>116800</v>
      </c>
      <c r="G1181" s="2">
        <v>45064</v>
      </c>
      <c r="H1181" s="2">
        <f t="shared" si="55"/>
        <v>45068</v>
      </c>
      <c r="I1181" s="2">
        <f t="shared" si="56"/>
        <v>45121</v>
      </c>
      <c r="J1181" t="str">
        <f>VLOOKUP(M1181,Umfragenteilnahme!$A$2:$B$3,2,)</f>
        <v>Ja</v>
      </c>
      <c r="M1181">
        <v>1</v>
      </c>
      <c r="N1181">
        <v>517</v>
      </c>
      <c r="O1181">
        <v>4</v>
      </c>
      <c r="P1181">
        <v>146</v>
      </c>
      <c r="Q1181">
        <v>7</v>
      </c>
      <c r="R1181">
        <v>4</v>
      </c>
      <c r="S1181">
        <v>57</v>
      </c>
    </row>
    <row r="1182" spans="1:19" x14ac:dyDescent="0.35">
      <c r="A1182">
        <v>8829</v>
      </c>
      <c r="B1182">
        <v>155</v>
      </c>
      <c r="C1182" t="str">
        <f>VLOOKUP(B1182,Kunde!A:C,3,FALSE)</f>
        <v>Geschäftskunde</v>
      </c>
      <c r="D1182" t="str">
        <f>VLOOKUP(O1182,Produkt!$A$1:$E$5,2,FALSE)</f>
        <v>B</v>
      </c>
      <c r="E1182">
        <f t="shared" si="54"/>
        <v>63</v>
      </c>
      <c r="F1182">
        <f>VLOOKUP(D1182,Produkt!$B$1:$C$5,2,FALSE)*Bestellungen!E1182</f>
        <v>30240</v>
      </c>
      <c r="G1182" s="2">
        <v>45051</v>
      </c>
      <c r="H1182" s="2">
        <f t="shared" si="55"/>
        <v>45054</v>
      </c>
      <c r="I1182" s="2">
        <f t="shared" si="56"/>
        <v>45059</v>
      </c>
      <c r="J1182" t="str">
        <f>VLOOKUP(M1182,Umfragenteilnahme!$A$2:$B$3,2,)</f>
        <v>Ja</v>
      </c>
      <c r="M1182">
        <v>1</v>
      </c>
      <c r="N1182">
        <v>155</v>
      </c>
      <c r="O1182">
        <v>2</v>
      </c>
      <c r="P1182">
        <v>63</v>
      </c>
      <c r="Q1182">
        <v>9</v>
      </c>
      <c r="R1182">
        <v>3</v>
      </c>
      <c r="S1182">
        <v>8</v>
      </c>
    </row>
    <row r="1183" spans="1:19" x14ac:dyDescent="0.35">
      <c r="A1183">
        <v>8830</v>
      </c>
      <c r="B1183">
        <v>120</v>
      </c>
      <c r="C1183" t="str">
        <f>VLOOKUP(B1183,Kunde!A:C,3,FALSE)</f>
        <v>Geschäftskunde</v>
      </c>
      <c r="D1183" t="str">
        <f>VLOOKUP(O1183,Produkt!$A$1:$E$5,2,FALSE)</f>
        <v>C</v>
      </c>
      <c r="E1183">
        <f t="shared" si="54"/>
        <v>93</v>
      </c>
      <c r="F1183">
        <f>VLOOKUP(D1183,Produkt!$B$1:$C$5,2,FALSE)*Bestellungen!E1183</f>
        <v>139500</v>
      </c>
      <c r="G1183" s="2">
        <v>45026</v>
      </c>
      <c r="H1183" s="2">
        <f t="shared" si="55"/>
        <v>45031</v>
      </c>
      <c r="I1183" s="2">
        <f t="shared" si="56"/>
        <v>45059</v>
      </c>
      <c r="J1183" t="str">
        <f>VLOOKUP(M1183,Umfragenteilnahme!$A$2:$B$3,2,)</f>
        <v>Ja</v>
      </c>
      <c r="M1183">
        <v>1</v>
      </c>
      <c r="N1183">
        <v>120</v>
      </c>
      <c r="O1183">
        <v>3</v>
      </c>
      <c r="P1183">
        <v>93</v>
      </c>
      <c r="Q1183">
        <v>7</v>
      </c>
      <c r="R1183">
        <v>5</v>
      </c>
      <c r="S1183">
        <v>33</v>
      </c>
    </row>
    <row r="1184" spans="1:19" x14ac:dyDescent="0.35">
      <c r="A1184">
        <v>8831</v>
      </c>
      <c r="B1184">
        <v>616</v>
      </c>
      <c r="C1184" t="str">
        <f>VLOOKUP(B1184,Kunde!A:C,3,FALSE)</f>
        <v>Privatkunde</v>
      </c>
      <c r="D1184" t="str">
        <f>VLOOKUP(O1184,Produkt!$A$1:$E$5,2,FALSE)</f>
        <v>C</v>
      </c>
      <c r="E1184">
        <f t="shared" si="54"/>
        <v>9</v>
      </c>
      <c r="F1184">
        <f>VLOOKUP(D1184,Produkt!$B$1:$C$5,2,FALSE)*Bestellungen!E1184</f>
        <v>13500</v>
      </c>
      <c r="G1184" s="2">
        <v>44812</v>
      </c>
      <c r="H1184" s="2">
        <f t="shared" si="55"/>
        <v>44816</v>
      </c>
      <c r="I1184" s="2">
        <f t="shared" si="56"/>
        <v>44831</v>
      </c>
      <c r="J1184" t="str">
        <f>VLOOKUP(M1184,Umfragenteilnahme!$A$2:$B$3,2,)</f>
        <v>Nein</v>
      </c>
      <c r="M1184">
        <v>2</v>
      </c>
      <c r="N1184">
        <v>616</v>
      </c>
      <c r="O1184">
        <v>3</v>
      </c>
      <c r="P1184">
        <v>115</v>
      </c>
      <c r="Q1184">
        <v>9</v>
      </c>
      <c r="R1184">
        <v>4</v>
      </c>
      <c r="S1184">
        <v>19</v>
      </c>
    </row>
    <row r="1185" spans="1:19" x14ac:dyDescent="0.35">
      <c r="A1185">
        <v>8832</v>
      </c>
      <c r="B1185">
        <v>758</v>
      </c>
      <c r="C1185" t="str">
        <f>VLOOKUP(B1185,Kunde!A:C,3,FALSE)</f>
        <v>Geschäftskunde</v>
      </c>
      <c r="D1185" t="str">
        <f>VLOOKUP(O1185,Produkt!$A$1:$E$5,2,FALSE)</f>
        <v>B</v>
      </c>
      <c r="E1185">
        <f t="shared" si="54"/>
        <v>36</v>
      </c>
      <c r="F1185">
        <f>VLOOKUP(D1185,Produkt!$B$1:$C$5,2,FALSE)*Bestellungen!E1185</f>
        <v>17280</v>
      </c>
      <c r="G1185" s="2">
        <v>44733</v>
      </c>
      <c r="H1185" s="2">
        <f t="shared" si="55"/>
        <v>44737</v>
      </c>
      <c r="I1185" s="2">
        <f t="shared" si="56"/>
        <v>44752</v>
      </c>
      <c r="J1185" t="str">
        <f>VLOOKUP(M1185,Umfragenteilnahme!$A$2:$B$3,2,)</f>
        <v>Nein</v>
      </c>
      <c r="M1185">
        <v>2</v>
      </c>
      <c r="N1185">
        <v>758</v>
      </c>
      <c r="O1185">
        <v>2</v>
      </c>
      <c r="P1185">
        <v>36</v>
      </c>
      <c r="Q1185">
        <v>7</v>
      </c>
      <c r="R1185">
        <v>4</v>
      </c>
      <c r="S1185">
        <v>19</v>
      </c>
    </row>
    <row r="1186" spans="1:19" x14ac:dyDescent="0.35">
      <c r="A1186">
        <v>8833</v>
      </c>
      <c r="B1186">
        <v>157</v>
      </c>
      <c r="C1186" t="str">
        <f>VLOOKUP(B1186,Kunde!A:C,3,FALSE)</f>
        <v>Geschäftskunde</v>
      </c>
      <c r="D1186" t="str">
        <f>VLOOKUP(O1186,Produkt!$A$1:$E$5,2,FALSE)</f>
        <v>B</v>
      </c>
      <c r="E1186">
        <f t="shared" si="54"/>
        <v>118</v>
      </c>
      <c r="F1186">
        <f>VLOOKUP(D1186,Produkt!$B$1:$C$5,2,FALSE)*Bestellungen!E1186</f>
        <v>56640</v>
      </c>
      <c r="G1186" s="2">
        <v>45073</v>
      </c>
      <c r="H1186" s="2">
        <f t="shared" si="55"/>
        <v>45075</v>
      </c>
      <c r="I1186" s="2">
        <f t="shared" si="56"/>
        <v>45105</v>
      </c>
      <c r="J1186" t="str">
        <f>VLOOKUP(M1186,Umfragenteilnahme!$A$2:$B$3,2,)</f>
        <v>Ja</v>
      </c>
      <c r="M1186">
        <v>1</v>
      </c>
      <c r="N1186">
        <v>157</v>
      </c>
      <c r="O1186">
        <v>2</v>
      </c>
      <c r="P1186">
        <v>118</v>
      </c>
      <c r="Q1186">
        <v>10</v>
      </c>
      <c r="R1186">
        <v>2</v>
      </c>
      <c r="S1186">
        <v>32</v>
      </c>
    </row>
    <row r="1187" spans="1:19" x14ac:dyDescent="0.35">
      <c r="A1187">
        <v>8834</v>
      </c>
      <c r="B1187">
        <v>498</v>
      </c>
      <c r="C1187" t="str">
        <f>VLOOKUP(B1187,Kunde!A:C,3,FALSE)</f>
        <v>Geschäftskunde</v>
      </c>
      <c r="D1187" t="str">
        <f>VLOOKUP(O1187,Produkt!$A$1:$E$5,2,FALSE)</f>
        <v>B</v>
      </c>
      <c r="E1187">
        <f t="shared" si="54"/>
        <v>138</v>
      </c>
      <c r="F1187">
        <f>VLOOKUP(D1187,Produkt!$B$1:$C$5,2,FALSE)*Bestellungen!E1187</f>
        <v>66240</v>
      </c>
      <c r="G1187" s="2">
        <v>45007</v>
      </c>
      <c r="H1187" s="2">
        <f t="shared" si="55"/>
        <v>45009</v>
      </c>
      <c r="I1187" s="2">
        <f t="shared" si="56"/>
        <v>45046</v>
      </c>
      <c r="J1187" t="str">
        <f>VLOOKUP(M1187,Umfragenteilnahme!$A$2:$B$3,2,)</f>
        <v>Ja</v>
      </c>
      <c r="M1187">
        <v>1</v>
      </c>
      <c r="N1187">
        <v>498</v>
      </c>
      <c r="O1187">
        <v>2</v>
      </c>
      <c r="P1187">
        <v>138</v>
      </c>
      <c r="Q1187">
        <v>10</v>
      </c>
      <c r="R1187">
        <v>2</v>
      </c>
      <c r="S1187">
        <v>39</v>
      </c>
    </row>
    <row r="1188" spans="1:19" x14ac:dyDescent="0.35">
      <c r="A1188">
        <v>8835</v>
      </c>
      <c r="B1188">
        <v>661</v>
      </c>
      <c r="C1188" t="str">
        <f>VLOOKUP(B1188,Kunde!A:C,3,FALSE)</f>
        <v>Geschäftskunde</v>
      </c>
      <c r="D1188" t="str">
        <f>VLOOKUP(O1188,Produkt!$A$1:$E$5,2,FALSE)</f>
        <v>D</v>
      </c>
      <c r="E1188">
        <f t="shared" si="54"/>
        <v>125</v>
      </c>
      <c r="F1188">
        <f>VLOOKUP(D1188,Produkt!$B$1:$C$5,2,FALSE)*Bestellungen!E1188</f>
        <v>100000</v>
      </c>
      <c r="G1188" s="2">
        <v>44877</v>
      </c>
      <c r="H1188" s="2">
        <f t="shared" si="55"/>
        <v>44880</v>
      </c>
      <c r="I1188" s="2">
        <f t="shared" si="56"/>
        <v>44937</v>
      </c>
      <c r="J1188" t="str">
        <f>VLOOKUP(M1188,Umfragenteilnahme!$A$2:$B$3,2,)</f>
        <v>Nein</v>
      </c>
      <c r="M1188">
        <v>2</v>
      </c>
      <c r="N1188">
        <v>661</v>
      </c>
      <c r="O1188">
        <v>4</v>
      </c>
      <c r="P1188">
        <v>125</v>
      </c>
      <c r="Q1188">
        <v>3</v>
      </c>
      <c r="R1188">
        <v>3</v>
      </c>
      <c r="S1188">
        <v>60</v>
      </c>
    </row>
    <row r="1189" spans="1:19" x14ac:dyDescent="0.35">
      <c r="A1189">
        <v>8836</v>
      </c>
      <c r="B1189">
        <v>182</v>
      </c>
      <c r="C1189" t="str">
        <f>VLOOKUP(B1189,Kunde!A:C,3,FALSE)</f>
        <v>Geschäftskunde</v>
      </c>
      <c r="D1189" t="str">
        <f>VLOOKUP(O1189,Produkt!$A$1:$E$5,2,FALSE)</f>
        <v>B</v>
      </c>
      <c r="E1189">
        <f t="shared" si="54"/>
        <v>46</v>
      </c>
      <c r="F1189">
        <f>VLOOKUP(D1189,Produkt!$B$1:$C$5,2,FALSE)*Bestellungen!E1189</f>
        <v>22080</v>
      </c>
      <c r="G1189" s="2">
        <v>44721</v>
      </c>
      <c r="H1189" s="2">
        <f t="shared" si="55"/>
        <v>44727</v>
      </c>
      <c r="I1189" s="2">
        <f t="shared" si="56"/>
        <v>44733</v>
      </c>
      <c r="J1189" t="str">
        <f>VLOOKUP(M1189,Umfragenteilnahme!$A$2:$B$3,2,)</f>
        <v>Nein</v>
      </c>
      <c r="M1189">
        <v>2</v>
      </c>
      <c r="N1189">
        <v>182</v>
      </c>
      <c r="O1189">
        <v>2</v>
      </c>
      <c r="P1189">
        <v>46</v>
      </c>
      <c r="Q1189">
        <v>8</v>
      </c>
      <c r="R1189">
        <v>6</v>
      </c>
      <c r="S1189">
        <v>12</v>
      </c>
    </row>
    <row r="1190" spans="1:19" x14ac:dyDescent="0.35">
      <c r="A1190">
        <v>8837</v>
      </c>
      <c r="B1190">
        <v>737</v>
      </c>
      <c r="C1190" t="str">
        <f>VLOOKUP(B1190,Kunde!A:C,3,FALSE)</f>
        <v>Privatkunde</v>
      </c>
      <c r="D1190" t="str">
        <f>VLOOKUP(O1190,Produkt!$A$1:$E$5,2,FALSE)</f>
        <v>C</v>
      </c>
      <c r="E1190">
        <f t="shared" si="54"/>
        <v>6</v>
      </c>
      <c r="F1190">
        <f>VLOOKUP(D1190,Produkt!$B$1:$C$5,2,FALSE)*Bestellungen!E1190</f>
        <v>9000</v>
      </c>
      <c r="G1190" s="2">
        <v>44977</v>
      </c>
      <c r="H1190" s="2">
        <f t="shared" si="55"/>
        <v>44981</v>
      </c>
      <c r="I1190" s="2">
        <f t="shared" si="56"/>
        <v>44994</v>
      </c>
      <c r="J1190" t="str">
        <f>VLOOKUP(M1190,Umfragenteilnahme!$A$2:$B$3,2,)</f>
        <v>Nein</v>
      </c>
      <c r="M1190">
        <v>2</v>
      </c>
      <c r="N1190">
        <v>737</v>
      </c>
      <c r="O1190">
        <v>3</v>
      </c>
      <c r="P1190">
        <v>117</v>
      </c>
      <c r="Q1190">
        <v>6</v>
      </c>
      <c r="R1190">
        <v>4</v>
      </c>
      <c r="S1190">
        <v>17</v>
      </c>
    </row>
    <row r="1191" spans="1:19" x14ac:dyDescent="0.35">
      <c r="A1191">
        <v>8838</v>
      </c>
      <c r="B1191">
        <v>687</v>
      </c>
      <c r="C1191" t="str">
        <f>VLOOKUP(B1191,Kunde!A:C,3,FALSE)</f>
        <v>Geschäftskunde</v>
      </c>
      <c r="D1191" t="str">
        <f>VLOOKUP(O1191,Produkt!$A$1:$E$5,2,FALSE)</f>
        <v>D</v>
      </c>
      <c r="E1191">
        <f t="shared" si="54"/>
        <v>10</v>
      </c>
      <c r="F1191">
        <f>VLOOKUP(D1191,Produkt!$B$1:$C$5,2,FALSE)*Bestellungen!E1191</f>
        <v>8000</v>
      </c>
      <c r="G1191" s="2">
        <v>45012</v>
      </c>
      <c r="H1191" s="2">
        <f t="shared" si="55"/>
        <v>45016</v>
      </c>
      <c r="I1191" s="2">
        <f t="shared" si="56"/>
        <v>45062</v>
      </c>
      <c r="J1191" t="str">
        <f>VLOOKUP(M1191,Umfragenteilnahme!$A$2:$B$3,2,)</f>
        <v>Ja</v>
      </c>
      <c r="M1191">
        <v>1</v>
      </c>
      <c r="N1191">
        <v>687</v>
      </c>
      <c r="O1191">
        <v>4</v>
      </c>
      <c r="P1191">
        <v>10</v>
      </c>
      <c r="Q1191">
        <v>2</v>
      </c>
      <c r="R1191">
        <v>4</v>
      </c>
      <c r="S1191">
        <v>50</v>
      </c>
    </row>
    <row r="1192" spans="1:19" x14ac:dyDescent="0.35">
      <c r="A1192">
        <v>8839</v>
      </c>
      <c r="B1192">
        <v>428</v>
      </c>
      <c r="C1192" t="str">
        <f>VLOOKUP(B1192,Kunde!A:C,3,FALSE)</f>
        <v>Geschäftskunde</v>
      </c>
      <c r="D1192" t="str">
        <f>VLOOKUP(O1192,Produkt!$A$1:$E$5,2,FALSE)</f>
        <v>B</v>
      </c>
      <c r="E1192">
        <f t="shared" si="54"/>
        <v>102</v>
      </c>
      <c r="F1192">
        <f>VLOOKUP(D1192,Produkt!$B$1:$C$5,2,FALSE)*Bestellungen!E1192</f>
        <v>48960</v>
      </c>
      <c r="G1192" s="2">
        <v>44873</v>
      </c>
      <c r="H1192" s="2">
        <f t="shared" si="55"/>
        <v>44876</v>
      </c>
      <c r="I1192" s="2">
        <f t="shared" si="56"/>
        <v>44933</v>
      </c>
      <c r="J1192" t="str">
        <f>VLOOKUP(M1192,Umfragenteilnahme!$A$2:$B$3,2,)</f>
        <v>Ja</v>
      </c>
      <c r="M1192">
        <v>1</v>
      </c>
      <c r="N1192">
        <v>428</v>
      </c>
      <c r="O1192">
        <v>2</v>
      </c>
      <c r="P1192">
        <v>102</v>
      </c>
      <c r="Q1192">
        <v>7</v>
      </c>
      <c r="R1192">
        <v>3</v>
      </c>
      <c r="S1192">
        <v>60</v>
      </c>
    </row>
    <row r="1193" spans="1:19" x14ac:dyDescent="0.35">
      <c r="A1193">
        <v>8840</v>
      </c>
      <c r="B1193">
        <v>621</v>
      </c>
      <c r="C1193" t="str">
        <f>VLOOKUP(B1193,Kunde!A:C,3,FALSE)</f>
        <v>Privatkunde</v>
      </c>
      <c r="D1193" t="str">
        <f>VLOOKUP(O1193,Produkt!$A$1:$E$5,2,FALSE)</f>
        <v>B</v>
      </c>
      <c r="E1193">
        <f t="shared" si="54"/>
        <v>8</v>
      </c>
      <c r="F1193">
        <f>VLOOKUP(D1193,Produkt!$B$1:$C$5,2,FALSE)*Bestellungen!E1193</f>
        <v>3840</v>
      </c>
      <c r="G1193" s="2">
        <v>44911</v>
      </c>
      <c r="H1193" s="2">
        <f t="shared" si="55"/>
        <v>44916</v>
      </c>
      <c r="I1193" s="2">
        <f t="shared" si="56"/>
        <v>44946</v>
      </c>
      <c r="J1193" t="str">
        <f>VLOOKUP(M1193,Umfragenteilnahme!$A$2:$B$3,2,)</f>
        <v>Nein</v>
      </c>
      <c r="M1193">
        <v>2</v>
      </c>
      <c r="N1193">
        <v>621</v>
      </c>
      <c r="O1193">
        <v>2</v>
      </c>
      <c r="P1193">
        <v>30</v>
      </c>
      <c r="Q1193">
        <v>8</v>
      </c>
      <c r="R1193">
        <v>5</v>
      </c>
      <c r="S1193">
        <v>35</v>
      </c>
    </row>
    <row r="1194" spans="1:19" x14ac:dyDescent="0.35">
      <c r="A1194">
        <v>8841</v>
      </c>
      <c r="B1194">
        <v>571</v>
      </c>
      <c r="C1194" t="str">
        <f>VLOOKUP(B1194,Kunde!A:C,3,FALSE)</f>
        <v>Geschäftskunde</v>
      </c>
      <c r="D1194" t="str">
        <f>VLOOKUP(O1194,Produkt!$A$1:$E$5,2,FALSE)</f>
        <v>A</v>
      </c>
      <c r="E1194">
        <f t="shared" si="54"/>
        <v>37</v>
      </c>
      <c r="F1194">
        <f>VLOOKUP(D1194,Produkt!$B$1:$C$5,2,FALSE)*Bestellungen!E1194</f>
        <v>11100</v>
      </c>
      <c r="G1194" s="2">
        <v>44914</v>
      </c>
      <c r="H1194" s="2">
        <f t="shared" si="55"/>
        <v>44920</v>
      </c>
      <c r="I1194" s="2">
        <f t="shared" si="56"/>
        <v>44929</v>
      </c>
      <c r="J1194" t="str">
        <f>VLOOKUP(M1194,Umfragenteilnahme!$A$2:$B$3,2,)</f>
        <v>Ja</v>
      </c>
      <c r="M1194">
        <v>1</v>
      </c>
      <c r="N1194">
        <v>571</v>
      </c>
      <c r="O1194">
        <v>1</v>
      </c>
      <c r="P1194">
        <v>37</v>
      </c>
      <c r="Q1194">
        <v>6</v>
      </c>
      <c r="R1194">
        <v>6</v>
      </c>
      <c r="S1194">
        <v>15</v>
      </c>
    </row>
    <row r="1195" spans="1:19" x14ac:dyDescent="0.35">
      <c r="A1195">
        <v>8842</v>
      </c>
      <c r="B1195">
        <v>639</v>
      </c>
      <c r="C1195" t="str">
        <f>VLOOKUP(B1195,Kunde!A:C,3,FALSE)</f>
        <v>Geschäftskunde</v>
      </c>
      <c r="D1195" t="str">
        <f>VLOOKUP(O1195,Produkt!$A$1:$E$5,2,FALSE)</f>
        <v>A</v>
      </c>
      <c r="E1195">
        <f t="shared" si="54"/>
        <v>34</v>
      </c>
      <c r="F1195">
        <f>VLOOKUP(D1195,Produkt!$B$1:$C$5,2,FALSE)*Bestellungen!E1195</f>
        <v>10200</v>
      </c>
      <c r="G1195" s="2">
        <v>44949</v>
      </c>
      <c r="H1195" s="2">
        <f t="shared" si="55"/>
        <v>44955</v>
      </c>
      <c r="I1195" s="2">
        <f t="shared" si="56"/>
        <v>44983</v>
      </c>
      <c r="J1195" t="str">
        <f>VLOOKUP(M1195,Umfragenteilnahme!$A$2:$B$3,2,)</f>
        <v>Nein</v>
      </c>
      <c r="M1195">
        <v>2</v>
      </c>
      <c r="N1195">
        <v>639</v>
      </c>
      <c r="O1195">
        <v>1</v>
      </c>
      <c r="P1195">
        <v>34</v>
      </c>
      <c r="Q1195">
        <v>6</v>
      </c>
      <c r="R1195">
        <v>6</v>
      </c>
      <c r="S1195">
        <v>34</v>
      </c>
    </row>
    <row r="1196" spans="1:19" x14ac:dyDescent="0.35">
      <c r="A1196">
        <v>8843</v>
      </c>
      <c r="B1196">
        <v>636</v>
      </c>
      <c r="C1196" t="str">
        <f>VLOOKUP(B1196,Kunde!A:C,3,FALSE)</f>
        <v>Geschäftskunde</v>
      </c>
      <c r="D1196" t="str">
        <f>VLOOKUP(O1196,Produkt!$A$1:$E$5,2,FALSE)</f>
        <v>D</v>
      </c>
      <c r="E1196">
        <f t="shared" si="54"/>
        <v>74</v>
      </c>
      <c r="F1196">
        <f>VLOOKUP(D1196,Produkt!$B$1:$C$5,2,FALSE)*Bestellungen!E1196</f>
        <v>59200</v>
      </c>
      <c r="G1196" s="2">
        <v>44905</v>
      </c>
      <c r="H1196" s="2">
        <f t="shared" si="55"/>
        <v>44910</v>
      </c>
      <c r="I1196" s="2">
        <f t="shared" si="56"/>
        <v>44938</v>
      </c>
      <c r="J1196" t="str">
        <f>VLOOKUP(M1196,Umfragenteilnahme!$A$2:$B$3,2,)</f>
        <v>Ja</v>
      </c>
      <c r="M1196">
        <v>1</v>
      </c>
      <c r="N1196">
        <v>636</v>
      </c>
      <c r="O1196">
        <v>4</v>
      </c>
      <c r="P1196">
        <v>74</v>
      </c>
      <c r="Q1196">
        <v>5</v>
      </c>
      <c r="R1196">
        <v>5</v>
      </c>
      <c r="S1196">
        <v>33</v>
      </c>
    </row>
    <row r="1197" spans="1:19" x14ac:dyDescent="0.35">
      <c r="A1197">
        <v>8844</v>
      </c>
      <c r="B1197">
        <v>526</v>
      </c>
      <c r="C1197" t="str">
        <f>VLOOKUP(B1197,Kunde!A:C,3,FALSE)</f>
        <v>Geschäftskunde</v>
      </c>
      <c r="D1197" t="str">
        <f>VLOOKUP(O1197,Produkt!$A$1:$E$5,2,FALSE)</f>
        <v>D</v>
      </c>
      <c r="E1197">
        <f t="shared" si="54"/>
        <v>97</v>
      </c>
      <c r="F1197">
        <f>VLOOKUP(D1197,Produkt!$B$1:$C$5,2,FALSE)*Bestellungen!E1197</f>
        <v>77600</v>
      </c>
      <c r="G1197" s="2">
        <v>44911</v>
      </c>
      <c r="H1197" s="2">
        <f t="shared" si="55"/>
        <v>44916</v>
      </c>
      <c r="I1197" s="2">
        <f t="shared" si="56"/>
        <v>44924</v>
      </c>
      <c r="J1197" t="str">
        <f>VLOOKUP(M1197,Umfragenteilnahme!$A$2:$B$3,2,)</f>
        <v>Ja</v>
      </c>
      <c r="M1197">
        <v>1</v>
      </c>
      <c r="N1197">
        <v>526</v>
      </c>
      <c r="O1197">
        <v>4</v>
      </c>
      <c r="P1197">
        <v>97</v>
      </c>
      <c r="Q1197">
        <v>6</v>
      </c>
      <c r="R1197">
        <v>5</v>
      </c>
      <c r="S1197">
        <v>13</v>
      </c>
    </row>
    <row r="1198" spans="1:19" x14ac:dyDescent="0.35">
      <c r="A1198">
        <v>8845</v>
      </c>
      <c r="B1198">
        <v>515</v>
      </c>
      <c r="C1198" t="str">
        <f>VLOOKUP(B1198,Kunde!A:C,3,FALSE)</f>
        <v>Privatkunde</v>
      </c>
      <c r="D1198" t="str">
        <f>VLOOKUP(O1198,Produkt!$A$1:$E$5,2,FALSE)</f>
        <v>B</v>
      </c>
      <c r="E1198">
        <f t="shared" si="54"/>
        <v>5</v>
      </c>
      <c r="F1198">
        <f>VLOOKUP(D1198,Produkt!$B$1:$C$5,2,FALSE)*Bestellungen!E1198</f>
        <v>2400</v>
      </c>
      <c r="G1198" s="2">
        <v>44782</v>
      </c>
      <c r="H1198" s="2">
        <f t="shared" si="55"/>
        <v>44787</v>
      </c>
      <c r="I1198" s="2">
        <f t="shared" si="56"/>
        <v>44830</v>
      </c>
      <c r="J1198" t="str">
        <f>VLOOKUP(M1198,Umfragenteilnahme!$A$2:$B$3,2,)</f>
        <v>Nein</v>
      </c>
      <c r="M1198">
        <v>2</v>
      </c>
      <c r="N1198">
        <v>515</v>
      </c>
      <c r="O1198">
        <v>2</v>
      </c>
      <c r="P1198">
        <v>27</v>
      </c>
      <c r="Q1198">
        <v>5</v>
      </c>
      <c r="R1198">
        <v>5</v>
      </c>
      <c r="S1198">
        <v>48</v>
      </c>
    </row>
    <row r="1199" spans="1:19" x14ac:dyDescent="0.35">
      <c r="A1199">
        <v>8846</v>
      </c>
      <c r="B1199">
        <v>754</v>
      </c>
      <c r="C1199" t="str">
        <f>VLOOKUP(B1199,Kunde!A:C,3,FALSE)</f>
        <v>Geschäftskunde</v>
      </c>
      <c r="D1199" t="str">
        <f>VLOOKUP(O1199,Produkt!$A$1:$E$5,2,FALSE)</f>
        <v>A</v>
      </c>
      <c r="E1199">
        <f t="shared" si="54"/>
        <v>58</v>
      </c>
      <c r="F1199">
        <f>VLOOKUP(D1199,Produkt!$B$1:$C$5,2,FALSE)*Bestellungen!E1199</f>
        <v>17400</v>
      </c>
      <c r="G1199" s="2">
        <v>45011</v>
      </c>
      <c r="H1199" s="2">
        <f t="shared" si="55"/>
        <v>45014</v>
      </c>
      <c r="I1199" s="2">
        <f t="shared" si="56"/>
        <v>45062</v>
      </c>
      <c r="J1199" t="str">
        <f>VLOOKUP(M1199,Umfragenteilnahme!$A$2:$B$3,2,)</f>
        <v>Nein</v>
      </c>
      <c r="M1199">
        <v>2</v>
      </c>
      <c r="N1199">
        <v>754</v>
      </c>
      <c r="O1199">
        <v>1</v>
      </c>
      <c r="P1199">
        <v>58</v>
      </c>
      <c r="Q1199">
        <v>10</v>
      </c>
      <c r="R1199">
        <v>3</v>
      </c>
      <c r="S1199">
        <v>51</v>
      </c>
    </row>
    <row r="1200" spans="1:19" x14ac:dyDescent="0.35">
      <c r="A1200">
        <v>8847</v>
      </c>
      <c r="B1200">
        <v>491</v>
      </c>
      <c r="C1200" t="str">
        <f>VLOOKUP(B1200,Kunde!A:C,3,FALSE)</f>
        <v>Privatkunde</v>
      </c>
      <c r="D1200" t="str">
        <f>VLOOKUP(O1200,Produkt!$A$1:$E$5,2,FALSE)</f>
        <v>A</v>
      </c>
      <c r="E1200">
        <f t="shared" si="54"/>
        <v>10</v>
      </c>
      <c r="F1200">
        <f>VLOOKUP(D1200,Produkt!$B$1:$C$5,2,FALSE)*Bestellungen!E1200</f>
        <v>3000</v>
      </c>
      <c r="G1200" s="2">
        <v>45002</v>
      </c>
      <c r="H1200" s="2">
        <f t="shared" si="55"/>
        <v>45004</v>
      </c>
      <c r="I1200" s="2">
        <f t="shared" si="56"/>
        <v>45033</v>
      </c>
      <c r="J1200" t="str">
        <f>VLOOKUP(M1200,Umfragenteilnahme!$A$2:$B$3,2,)</f>
        <v>Nein</v>
      </c>
      <c r="M1200">
        <v>2</v>
      </c>
      <c r="N1200">
        <v>491</v>
      </c>
      <c r="O1200">
        <v>1</v>
      </c>
      <c r="P1200">
        <v>34</v>
      </c>
      <c r="Q1200">
        <v>10</v>
      </c>
      <c r="R1200">
        <v>2</v>
      </c>
      <c r="S1200">
        <v>31</v>
      </c>
    </row>
    <row r="1201" spans="1:19" x14ac:dyDescent="0.35">
      <c r="A1201">
        <v>8848</v>
      </c>
      <c r="B1201">
        <v>646</v>
      </c>
      <c r="C1201" t="str">
        <f>VLOOKUP(B1201,Kunde!A:C,3,FALSE)</f>
        <v>Geschäftskunde</v>
      </c>
      <c r="D1201" t="str">
        <f>VLOOKUP(O1201,Produkt!$A$1:$E$5,2,FALSE)</f>
        <v>B</v>
      </c>
      <c r="E1201">
        <f t="shared" si="54"/>
        <v>110</v>
      </c>
      <c r="F1201">
        <f>VLOOKUP(D1201,Produkt!$B$1:$C$5,2,FALSE)*Bestellungen!E1201</f>
        <v>52800</v>
      </c>
      <c r="G1201" s="2">
        <v>44968</v>
      </c>
      <c r="H1201" s="2">
        <f t="shared" si="55"/>
        <v>44973</v>
      </c>
      <c r="I1201" s="2">
        <f t="shared" si="56"/>
        <v>45016</v>
      </c>
      <c r="J1201" t="str">
        <f>VLOOKUP(M1201,Umfragenteilnahme!$A$2:$B$3,2,)</f>
        <v>Ja</v>
      </c>
      <c r="M1201">
        <v>1</v>
      </c>
      <c r="N1201">
        <v>646</v>
      </c>
      <c r="O1201">
        <v>2</v>
      </c>
      <c r="P1201">
        <v>110</v>
      </c>
      <c r="Q1201">
        <v>10</v>
      </c>
      <c r="R1201">
        <v>5</v>
      </c>
      <c r="S1201">
        <v>48</v>
      </c>
    </row>
    <row r="1202" spans="1:19" x14ac:dyDescent="0.35">
      <c r="A1202">
        <v>8849</v>
      </c>
      <c r="B1202">
        <v>792</v>
      </c>
      <c r="C1202" t="str">
        <f>VLOOKUP(B1202,Kunde!A:C,3,FALSE)</f>
        <v>Geschäftskunde</v>
      </c>
      <c r="D1202" t="str">
        <f>VLOOKUP(O1202,Produkt!$A$1:$E$5,2,FALSE)</f>
        <v>C</v>
      </c>
      <c r="E1202">
        <f t="shared" si="54"/>
        <v>116</v>
      </c>
      <c r="F1202">
        <f>VLOOKUP(D1202,Produkt!$B$1:$C$5,2,FALSE)*Bestellungen!E1202</f>
        <v>174000</v>
      </c>
      <c r="G1202" s="2">
        <v>44870</v>
      </c>
      <c r="H1202" s="2">
        <f t="shared" si="55"/>
        <v>44874</v>
      </c>
      <c r="I1202" s="2">
        <f t="shared" si="56"/>
        <v>44913</v>
      </c>
      <c r="J1202" t="str">
        <f>VLOOKUP(M1202,Umfragenteilnahme!$A$2:$B$3,2,)</f>
        <v>Nein</v>
      </c>
      <c r="M1202">
        <v>2</v>
      </c>
      <c r="N1202">
        <v>792</v>
      </c>
      <c r="O1202">
        <v>3</v>
      </c>
      <c r="P1202">
        <v>116</v>
      </c>
      <c r="Q1202">
        <v>3</v>
      </c>
      <c r="R1202">
        <v>4</v>
      </c>
      <c r="S1202">
        <v>43</v>
      </c>
    </row>
    <row r="1203" spans="1:19" x14ac:dyDescent="0.35">
      <c r="A1203">
        <v>8850</v>
      </c>
      <c r="B1203">
        <v>43</v>
      </c>
      <c r="C1203" t="str">
        <f>VLOOKUP(B1203,Kunde!A:C,3,FALSE)</f>
        <v>Geschäftskunde</v>
      </c>
      <c r="D1203" t="str">
        <f>VLOOKUP(O1203,Produkt!$A$1:$E$5,2,FALSE)</f>
        <v>C</v>
      </c>
      <c r="E1203">
        <f t="shared" si="54"/>
        <v>119</v>
      </c>
      <c r="F1203">
        <f>VLOOKUP(D1203,Produkt!$B$1:$C$5,2,FALSE)*Bestellungen!E1203</f>
        <v>178500</v>
      </c>
      <c r="G1203" s="2">
        <v>44952</v>
      </c>
      <c r="H1203" s="2">
        <f t="shared" si="55"/>
        <v>44958</v>
      </c>
      <c r="I1203" s="2">
        <f t="shared" si="56"/>
        <v>45011</v>
      </c>
      <c r="J1203" t="str">
        <f>VLOOKUP(M1203,Umfragenteilnahme!$A$2:$B$3,2,)</f>
        <v>Nein</v>
      </c>
      <c r="M1203">
        <v>2</v>
      </c>
      <c r="N1203">
        <v>43</v>
      </c>
      <c r="O1203">
        <v>3</v>
      </c>
      <c r="P1203">
        <v>119</v>
      </c>
      <c r="Q1203">
        <v>8</v>
      </c>
      <c r="R1203">
        <v>6</v>
      </c>
      <c r="S1203">
        <v>59</v>
      </c>
    </row>
    <row r="1204" spans="1:19" x14ac:dyDescent="0.35">
      <c r="A1204">
        <v>8851</v>
      </c>
      <c r="B1204">
        <v>500</v>
      </c>
      <c r="C1204" t="str">
        <f>VLOOKUP(B1204,Kunde!A:C,3,FALSE)</f>
        <v>Geschäftskunde</v>
      </c>
      <c r="D1204" t="str">
        <f>VLOOKUP(O1204,Produkt!$A$1:$E$5,2,FALSE)</f>
        <v>A</v>
      </c>
      <c r="E1204">
        <f t="shared" si="54"/>
        <v>98</v>
      </c>
      <c r="F1204">
        <f>VLOOKUP(D1204,Produkt!$B$1:$C$5,2,FALSE)*Bestellungen!E1204</f>
        <v>29400</v>
      </c>
      <c r="G1204" s="2">
        <v>44879</v>
      </c>
      <c r="H1204" s="2">
        <f t="shared" si="55"/>
        <v>44884</v>
      </c>
      <c r="I1204" s="2">
        <f t="shared" si="56"/>
        <v>44895</v>
      </c>
      <c r="J1204" t="str">
        <f>VLOOKUP(M1204,Umfragenteilnahme!$A$2:$B$3,2,)</f>
        <v>Ja</v>
      </c>
      <c r="M1204">
        <v>1</v>
      </c>
      <c r="N1204">
        <v>500</v>
      </c>
      <c r="O1204">
        <v>1</v>
      </c>
      <c r="P1204">
        <v>98</v>
      </c>
      <c r="Q1204">
        <v>4</v>
      </c>
      <c r="R1204">
        <v>5</v>
      </c>
      <c r="S1204">
        <v>16</v>
      </c>
    </row>
    <row r="1205" spans="1:19" x14ac:dyDescent="0.35">
      <c r="A1205">
        <v>8852</v>
      </c>
      <c r="B1205">
        <v>304</v>
      </c>
      <c r="C1205" t="str">
        <f>VLOOKUP(B1205,Kunde!A:C,3,FALSE)</f>
        <v>Geschäftskunde</v>
      </c>
      <c r="D1205" t="str">
        <f>VLOOKUP(O1205,Produkt!$A$1:$E$5,2,FALSE)</f>
        <v>D</v>
      </c>
      <c r="E1205">
        <f t="shared" si="54"/>
        <v>31</v>
      </c>
      <c r="F1205">
        <f>VLOOKUP(D1205,Produkt!$B$1:$C$5,2,FALSE)*Bestellungen!E1205</f>
        <v>24800</v>
      </c>
      <c r="G1205" s="2">
        <v>44918</v>
      </c>
      <c r="H1205" s="2">
        <f t="shared" si="55"/>
        <v>44923</v>
      </c>
      <c r="I1205" s="2">
        <f t="shared" si="56"/>
        <v>44975</v>
      </c>
      <c r="J1205" t="str">
        <f>VLOOKUP(M1205,Umfragenteilnahme!$A$2:$B$3,2,)</f>
        <v>Ja</v>
      </c>
      <c r="M1205">
        <v>1</v>
      </c>
      <c r="N1205">
        <v>304</v>
      </c>
      <c r="O1205">
        <v>4</v>
      </c>
      <c r="P1205">
        <v>31</v>
      </c>
      <c r="Q1205">
        <v>6</v>
      </c>
      <c r="R1205">
        <v>5</v>
      </c>
      <c r="S1205">
        <v>57</v>
      </c>
    </row>
    <row r="1206" spans="1:19" x14ac:dyDescent="0.35">
      <c r="A1206">
        <v>8853</v>
      </c>
      <c r="B1206">
        <v>195</v>
      </c>
      <c r="C1206" t="str">
        <f>VLOOKUP(B1206,Kunde!A:C,3,FALSE)</f>
        <v>Geschäftskunde</v>
      </c>
      <c r="D1206" t="str">
        <f>VLOOKUP(O1206,Produkt!$A$1:$E$5,2,FALSE)</f>
        <v>D</v>
      </c>
      <c r="E1206">
        <f t="shared" si="54"/>
        <v>129</v>
      </c>
      <c r="F1206">
        <f>VLOOKUP(D1206,Produkt!$B$1:$C$5,2,FALSE)*Bestellungen!E1206</f>
        <v>103200</v>
      </c>
      <c r="G1206" s="2">
        <v>44848</v>
      </c>
      <c r="H1206" s="2">
        <f t="shared" si="55"/>
        <v>44854</v>
      </c>
      <c r="I1206" s="2">
        <f t="shared" si="56"/>
        <v>44856</v>
      </c>
      <c r="J1206" t="str">
        <f>VLOOKUP(M1206,Umfragenteilnahme!$A$2:$B$3,2,)</f>
        <v>Ja</v>
      </c>
      <c r="M1206">
        <v>1</v>
      </c>
      <c r="N1206">
        <v>195</v>
      </c>
      <c r="O1206">
        <v>4</v>
      </c>
      <c r="P1206">
        <v>129</v>
      </c>
      <c r="Q1206">
        <v>3</v>
      </c>
      <c r="R1206">
        <v>6</v>
      </c>
      <c r="S1206">
        <v>8</v>
      </c>
    </row>
    <row r="1207" spans="1:19" x14ac:dyDescent="0.35">
      <c r="A1207">
        <v>8854</v>
      </c>
      <c r="B1207">
        <v>224</v>
      </c>
      <c r="C1207" t="str">
        <f>VLOOKUP(B1207,Kunde!A:C,3,FALSE)</f>
        <v>Geschäftskunde</v>
      </c>
      <c r="D1207" t="str">
        <f>VLOOKUP(O1207,Produkt!$A$1:$E$5,2,FALSE)</f>
        <v>A</v>
      </c>
      <c r="E1207">
        <f t="shared" si="54"/>
        <v>112</v>
      </c>
      <c r="F1207">
        <f>VLOOKUP(D1207,Produkt!$B$1:$C$5,2,FALSE)*Bestellungen!E1207</f>
        <v>33600</v>
      </c>
      <c r="G1207" s="2">
        <v>44776</v>
      </c>
      <c r="H1207" s="2">
        <f t="shared" si="55"/>
        <v>44781</v>
      </c>
      <c r="I1207" s="2">
        <f t="shared" si="56"/>
        <v>44832</v>
      </c>
      <c r="J1207" t="str">
        <f>VLOOKUP(M1207,Umfragenteilnahme!$A$2:$B$3,2,)</f>
        <v>Nein</v>
      </c>
      <c r="M1207">
        <v>2</v>
      </c>
      <c r="N1207">
        <v>224</v>
      </c>
      <c r="O1207">
        <v>1</v>
      </c>
      <c r="P1207">
        <v>112</v>
      </c>
      <c r="Q1207">
        <v>9</v>
      </c>
      <c r="R1207">
        <v>5</v>
      </c>
      <c r="S1207">
        <v>56</v>
      </c>
    </row>
    <row r="1208" spans="1:19" x14ac:dyDescent="0.35">
      <c r="A1208">
        <v>8855</v>
      </c>
      <c r="B1208">
        <v>776</v>
      </c>
      <c r="C1208" t="str">
        <f>VLOOKUP(B1208,Kunde!A:C,3,FALSE)</f>
        <v>Privatkunde</v>
      </c>
      <c r="D1208" t="str">
        <f>VLOOKUP(O1208,Produkt!$A$1:$E$5,2,FALSE)</f>
        <v>B</v>
      </c>
      <c r="E1208">
        <f t="shared" si="54"/>
        <v>6</v>
      </c>
      <c r="F1208">
        <f>VLOOKUP(D1208,Produkt!$B$1:$C$5,2,FALSE)*Bestellungen!E1208</f>
        <v>2880</v>
      </c>
      <c r="G1208" s="2">
        <v>44944</v>
      </c>
      <c r="H1208" s="2">
        <f t="shared" si="55"/>
        <v>44946</v>
      </c>
      <c r="I1208" s="2">
        <f t="shared" si="56"/>
        <v>44968</v>
      </c>
      <c r="J1208" t="str">
        <f>VLOOKUP(M1208,Umfragenteilnahme!$A$2:$B$3,2,)</f>
        <v>Nein</v>
      </c>
      <c r="M1208">
        <v>2</v>
      </c>
      <c r="N1208">
        <v>776</v>
      </c>
      <c r="O1208">
        <v>2</v>
      </c>
      <c r="P1208">
        <v>81</v>
      </c>
      <c r="Q1208">
        <v>6</v>
      </c>
      <c r="R1208">
        <v>2</v>
      </c>
      <c r="S1208">
        <v>24</v>
      </c>
    </row>
    <row r="1209" spans="1:19" x14ac:dyDescent="0.35">
      <c r="A1209">
        <v>8856</v>
      </c>
      <c r="B1209">
        <v>268</v>
      </c>
      <c r="C1209" t="str">
        <f>VLOOKUP(B1209,Kunde!A:C,3,FALSE)</f>
        <v>Geschäftskunde</v>
      </c>
      <c r="D1209" t="str">
        <f>VLOOKUP(O1209,Produkt!$A$1:$E$5,2,FALSE)</f>
        <v>A</v>
      </c>
      <c r="E1209">
        <f t="shared" si="54"/>
        <v>52</v>
      </c>
      <c r="F1209">
        <f>VLOOKUP(D1209,Produkt!$B$1:$C$5,2,FALSE)*Bestellungen!E1209</f>
        <v>15600</v>
      </c>
      <c r="G1209" s="2">
        <v>44904</v>
      </c>
      <c r="H1209" s="2">
        <f t="shared" si="55"/>
        <v>44906</v>
      </c>
      <c r="I1209" s="2">
        <f t="shared" si="56"/>
        <v>44938</v>
      </c>
      <c r="J1209" t="str">
        <f>VLOOKUP(M1209,Umfragenteilnahme!$A$2:$B$3,2,)</f>
        <v>Nein</v>
      </c>
      <c r="M1209">
        <v>2</v>
      </c>
      <c r="N1209">
        <v>268</v>
      </c>
      <c r="O1209">
        <v>1</v>
      </c>
      <c r="P1209">
        <v>52</v>
      </c>
      <c r="Q1209">
        <v>3</v>
      </c>
      <c r="R1209">
        <v>2</v>
      </c>
      <c r="S1209">
        <v>34</v>
      </c>
    </row>
    <row r="1210" spans="1:19" x14ac:dyDescent="0.35">
      <c r="A1210">
        <v>8857</v>
      </c>
      <c r="B1210">
        <v>440</v>
      </c>
      <c r="C1210" t="str">
        <f>VLOOKUP(B1210,Kunde!A:C,3,FALSE)</f>
        <v>Privatkunde</v>
      </c>
      <c r="D1210" t="str">
        <f>VLOOKUP(O1210,Produkt!$A$1:$E$5,2,FALSE)</f>
        <v>D</v>
      </c>
      <c r="E1210">
        <f t="shared" si="54"/>
        <v>4</v>
      </c>
      <c r="F1210">
        <f>VLOOKUP(D1210,Produkt!$B$1:$C$5,2,FALSE)*Bestellungen!E1210</f>
        <v>3200</v>
      </c>
      <c r="G1210" s="2">
        <v>45038</v>
      </c>
      <c r="H1210" s="2">
        <f t="shared" si="55"/>
        <v>45041</v>
      </c>
      <c r="I1210" s="2">
        <f t="shared" si="56"/>
        <v>45081</v>
      </c>
      <c r="J1210" t="str">
        <f>VLOOKUP(M1210,Umfragenteilnahme!$A$2:$B$3,2,)</f>
        <v>Ja</v>
      </c>
      <c r="M1210">
        <v>1</v>
      </c>
      <c r="N1210">
        <v>440</v>
      </c>
      <c r="O1210">
        <v>4</v>
      </c>
      <c r="P1210">
        <v>50</v>
      </c>
      <c r="Q1210">
        <v>4</v>
      </c>
      <c r="R1210">
        <v>3</v>
      </c>
      <c r="S1210">
        <v>43</v>
      </c>
    </row>
    <row r="1211" spans="1:19" x14ac:dyDescent="0.35">
      <c r="A1211">
        <v>8858</v>
      </c>
      <c r="B1211">
        <v>733</v>
      </c>
      <c r="C1211" t="str">
        <f>VLOOKUP(B1211,Kunde!A:C,3,FALSE)</f>
        <v>Geschäftskunde</v>
      </c>
      <c r="D1211" t="str">
        <f>VLOOKUP(O1211,Produkt!$A$1:$E$5,2,FALSE)</f>
        <v>B</v>
      </c>
      <c r="E1211">
        <f t="shared" si="54"/>
        <v>105</v>
      </c>
      <c r="F1211">
        <f>VLOOKUP(D1211,Produkt!$B$1:$C$5,2,FALSE)*Bestellungen!E1211</f>
        <v>50400</v>
      </c>
      <c r="G1211" s="2">
        <v>44886</v>
      </c>
      <c r="H1211" s="2">
        <f t="shared" si="55"/>
        <v>44893</v>
      </c>
      <c r="I1211" s="2">
        <f t="shared" si="56"/>
        <v>44906</v>
      </c>
      <c r="J1211" t="str">
        <f>VLOOKUP(M1211,Umfragenteilnahme!$A$2:$B$3,2,)</f>
        <v>Nein</v>
      </c>
      <c r="M1211">
        <v>2</v>
      </c>
      <c r="N1211">
        <v>733</v>
      </c>
      <c r="O1211">
        <v>2</v>
      </c>
      <c r="P1211">
        <v>105</v>
      </c>
      <c r="Q1211">
        <v>3</v>
      </c>
      <c r="R1211">
        <v>7</v>
      </c>
      <c r="S1211">
        <v>20</v>
      </c>
    </row>
    <row r="1212" spans="1:19" x14ac:dyDescent="0.35">
      <c r="A1212">
        <v>8859</v>
      </c>
      <c r="B1212">
        <v>706</v>
      </c>
      <c r="C1212" t="str">
        <f>VLOOKUP(B1212,Kunde!A:C,3,FALSE)</f>
        <v>Geschäftskunde</v>
      </c>
      <c r="D1212" t="str">
        <f>VLOOKUP(O1212,Produkt!$A$1:$E$5,2,FALSE)</f>
        <v>D</v>
      </c>
      <c r="E1212">
        <f t="shared" si="54"/>
        <v>146</v>
      </c>
      <c r="F1212">
        <f>VLOOKUP(D1212,Produkt!$B$1:$C$5,2,FALSE)*Bestellungen!E1212</f>
        <v>116800</v>
      </c>
      <c r="G1212" s="2">
        <v>44719</v>
      </c>
      <c r="H1212" s="2">
        <f t="shared" si="55"/>
        <v>44725</v>
      </c>
      <c r="I1212" s="2">
        <f t="shared" si="56"/>
        <v>44768</v>
      </c>
      <c r="J1212" t="str">
        <f>VLOOKUP(M1212,Umfragenteilnahme!$A$2:$B$3,2,)</f>
        <v>Ja</v>
      </c>
      <c r="M1212">
        <v>1</v>
      </c>
      <c r="N1212">
        <v>706</v>
      </c>
      <c r="O1212">
        <v>4</v>
      </c>
      <c r="P1212">
        <v>146</v>
      </c>
      <c r="Q1212">
        <v>2</v>
      </c>
      <c r="R1212">
        <v>6</v>
      </c>
      <c r="S1212">
        <v>49</v>
      </c>
    </row>
    <row r="1213" spans="1:19" x14ac:dyDescent="0.35">
      <c r="A1213">
        <v>8860</v>
      </c>
      <c r="B1213">
        <v>282</v>
      </c>
      <c r="C1213" t="str">
        <f>VLOOKUP(B1213,Kunde!A:C,3,FALSE)</f>
        <v>Geschäftskunde</v>
      </c>
      <c r="D1213" t="str">
        <f>VLOOKUP(O1213,Produkt!$A$1:$E$5,2,FALSE)</f>
        <v>D</v>
      </c>
      <c r="E1213">
        <f t="shared" si="54"/>
        <v>132</v>
      </c>
      <c r="F1213">
        <f>VLOOKUP(D1213,Produkt!$B$1:$C$5,2,FALSE)*Bestellungen!E1213</f>
        <v>105600</v>
      </c>
      <c r="G1213" s="2">
        <v>44922</v>
      </c>
      <c r="H1213" s="2">
        <f t="shared" si="55"/>
        <v>44927</v>
      </c>
      <c r="I1213" s="2">
        <f t="shared" si="56"/>
        <v>44948</v>
      </c>
      <c r="J1213" t="str">
        <f>VLOOKUP(M1213,Umfragenteilnahme!$A$2:$B$3,2,)</f>
        <v>Ja</v>
      </c>
      <c r="M1213">
        <v>1</v>
      </c>
      <c r="N1213">
        <v>282</v>
      </c>
      <c r="O1213">
        <v>4</v>
      </c>
      <c r="P1213">
        <v>132</v>
      </c>
      <c r="Q1213">
        <v>9</v>
      </c>
      <c r="R1213">
        <v>5</v>
      </c>
      <c r="S1213">
        <v>26</v>
      </c>
    </row>
    <row r="1214" spans="1:19" x14ac:dyDescent="0.35">
      <c r="A1214">
        <v>8861</v>
      </c>
      <c r="B1214">
        <v>375</v>
      </c>
      <c r="C1214" t="str">
        <f>VLOOKUP(B1214,Kunde!A:C,3,FALSE)</f>
        <v>Privatkunde</v>
      </c>
      <c r="D1214" t="str">
        <f>VLOOKUP(O1214,Produkt!$A$1:$E$5,2,FALSE)</f>
        <v>C</v>
      </c>
      <c r="E1214">
        <f t="shared" si="54"/>
        <v>8</v>
      </c>
      <c r="F1214">
        <f>VLOOKUP(D1214,Produkt!$B$1:$C$5,2,FALSE)*Bestellungen!E1214</f>
        <v>12000</v>
      </c>
      <c r="G1214" s="2">
        <v>44795</v>
      </c>
      <c r="H1214" s="2">
        <f t="shared" si="55"/>
        <v>44801</v>
      </c>
      <c r="I1214" s="2">
        <f t="shared" si="56"/>
        <v>44819</v>
      </c>
      <c r="J1214" t="str">
        <f>VLOOKUP(M1214,Umfragenteilnahme!$A$2:$B$3,2,)</f>
        <v>Nein</v>
      </c>
      <c r="M1214">
        <v>2</v>
      </c>
      <c r="N1214">
        <v>375</v>
      </c>
      <c r="O1214">
        <v>3</v>
      </c>
      <c r="P1214">
        <v>74</v>
      </c>
      <c r="Q1214">
        <v>8</v>
      </c>
      <c r="R1214">
        <v>6</v>
      </c>
      <c r="S1214">
        <v>24</v>
      </c>
    </row>
    <row r="1215" spans="1:19" x14ac:dyDescent="0.35">
      <c r="A1215">
        <v>8862</v>
      </c>
      <c r="B1215">
        <v>269</v>
      </c>
      <c r="C1215" t="str">
        <f>VLOOKUP(B1215,Kunde!A:C,3,FALSE)</f>
        <v>Geschäftskunde</v>
      </c>
      <c r="D1215" t="str">
        <f>VLOOKUP(O1215,Produkt!$A$1:$E$5,2,FALSE)</f>
        <v>B</v>
      </c>
      <c r="E1215">
        <f t="shared" si="54"/>
        <v>31</v>
      </c>
      <c r="F1215">
        <f>VLOOKUP(D1215,Produkt!$B$1:$C$5,2,FALSE)*Bestellungen!E1215</f>
        <v>14880</v>
      </c>
      <c r="G1215" s="2">
        <v>45025</v>
      </c>
      <c r="H1215" s="2">
        <f t="shared" si="55"/>
        <v>45027</v>
      </c>
      <c r="I1215" s="2">
        <f t="shared" si="56"/>
        <v>45084</v>
      </c>
      <c r="J1215" t="str">
        <f>VLOOKUP(M1215,Umfragenteilnahme!$A$2:$B$3,2,)</f>
        <v>Nein</v>
      </c>
      <c r="M1215">
        <v>2</v>
      </c>
      <c r="N1215">
        <v>269</v>
      </c>
      <c r="O1215">
        <v>2</v>
      </c>
      <c r="P1215">
        <v>31</v>
      </c>
      <c r="Q1215">
        <v>5</v>
      </c>
      <c r="R1215">
        <v>2</v>
      </c>
      <c r="S1215">
        <v>59</v>
      </c>
    </row>
    <row r="1216" spans="1:19" x14ac:dyDescent="0.35">
      <c r="A1216">
        <v>8863</v>
      </c>
      <c r="B1216">
        <v>198</v>
      </c>
      <c r="C1216" t="str">
        <f>VLOOKUP(B1216,Kunde!A:C,3,FALSE)</f>
        <v>Geschäftskunde</v>
      </c>
      <c r="D1216" t="str">
        <f>VLOOKUP(O1216,Produkt!$A$1:$E$5,2,FALSE)</f>
        <v>B</v>
      </c>
      <c r="E1216">
        <f t="shared" si="54"/>
        <v>22</v>
      </c>
      <c r="F1216">
        <f>VLOOKUP(D1216,Produkt!$B$1:$C$5,2,FALSE)*Bestellungen!E1216</f>
        <v>10560</v>
      </c>
      <c r="G1216" s="2">
        <v>44794</v>
      </c>
      <c r="H1216" s="2">
        <f t="shared" si="55"/>
        <v>44796</v>
      </c>
      <c r="I1216" s="2">
        <f t="shared" si="56"/>
        <v>44844</v>
      </c>
      <c r="J1216" t="str">
        <f>VLOOKUP(M1216,Umfragenteilnahme!$A$2:$B$3,2,)</f>
        <v>Nein</v>
      </c>
      <c r="M1216">
        <v>2</v>
      </c>
      <c r="N1216">
        <v>198</v>
      </c>
      <c r="O1216">
        <v>2</v>
      </c>
      <c r="P1216">
        <v>22</v>
      </c>
      <c r="Q1216">
        <v>7</v>
      </c>
      <c r="R1216">
        <v>2</v>
      </c>
      <c r="S1216">
        <v>50</v>
      </c>
    </row>
    <row r="1217" spans="1:19" x14ac:dyDescent="0.35">
      <c r="A1217">
        <v>8864</v>
      </c>
      <c r="B1217">
        <v>733</v>
      </c>
      <c r="C1217" t="str">
        <f>VLOOKUP(B1217,Kunde!A:C,3,FALSE)</f>
        <v>Geschäftskunde</v>
      </c>
      <c r="D1217" t="str">
        <f>VLOOKUP(O1217,Produkt!$A$1:$E$5,2,FALSE)</f>
        <v>C</v>
      </c>
      <c r="E1217">
        <f t="shared" si="54"/>
        <v>140</v>
      </c>
      <c r="F1217">
        <f>VLOOKUP(D1217,Produkt!$B$1:$C$5,2,FALSE)*Bestellungen!E1217</f>
        <v>210000</v>
      </c>
      <c r="G1217" s="2">
        <v>44810</v>
      </c>
      <c r="H1217" s="2">
        <f t="shared" si="55"/>
        <v>44814</v>
      </c>
      <c r="I1217" s="2">
        <f t="shared" si="56"/>
        <v>44862</v>
      </c>
      <c r="J1217" t="str">
        <f>VLOOKUP(M1217,Umfragenteilnahme!$A$2:$B$3,2,)</f>
        <v>Ja</v>
      </c>
      <c r="M1217">
        <v>1</v>
      </c>
      <c r="N1217">
        <v>733</v>
      </c>
      <c r="O1217">
        <v>3</v>
      </c>
      <c r="P1217">
        <v>140</v>
      </c>
      <c r="Q1217">
        <v>4</v>
      </c>
      <c r="R1217">
        <v>4</v>
      </c>
      <c r="S1217">
        <v>52</v>
      </c>
    </row>
    <row r="1218" spans="1:19" x14ac:dyDescent="0.35">
      <c r="A1218">
        <v>8865</v>
      </c>
      <c r="B1218">
        <v>551</v>
      </c>
      <c r="C1218" t="str">
        <f>VLOOKUP(B1218,Kunde!A:C,3,FALSE)</f>
        <v>Geschäftskunde</v>
      </c>
      <c r="D1218" t="str">
        <f>VLOOKUP(O1218,Produkt!$A$1:$E$5,2,FALSE)</f>
        <v>C</v>
      </c>
      <c r="E1218">
        <f t="shared" si="54"/>
        <v>120</v>
      </c>
      <c r="F1218">
        <f>VLOOKUP(D1218,Produkt!$B$1:$C$5,2,FALSE)*Bestellungen!E1218</f>
        <v>180000</v>
      </c>
      <c r="G1218" s="2">
        <v>44885</v>
      </c>
      <c r="H1218" s="2">
        <f t="shared" si="55"/>
        <v>44888</v>
      </c>
      <c r="I1218" s="2">
        <f t="shared" si="56"/>
        <v>44942</v>
      </c>
      <c r="J1218" t="str">
        <f>VLOOKUP(M1218,Umfragenteilnahme!$A$2:$B$3,2,)</f>
        <v>Ja</v>
      </c>
      <c r="M1218">
        <v>1</v>
      </c>
      <c r="N1218">
        <v>551</v>
      </c>
      <c r="O1218">
        <v>3</v>
      </c>
      <c r="P1218">
        <v>120</v>
      </c>
      <c r="Q1218">
        <v>9</v>
      </c>
      <c r="R1218">
        <v>3</v>
      </c>
      <c r="S1218">
        <v>57</v>
      </c>
    </row>
    <row r="1219" spans="1:19" x14ac:dyDescent="0.35">
      <c r="A1219">
        <v>8866</v>
      </c>
      <c r="B1219">
        <v>117</v>
      </c>
      <c r="C1219" t="str">
        <f>VLOOKUP(B1219,Kunde!A:C,3,FALSE)</f>
        <v>Geschäftskunde</v>
      </c>
      <c r="D1219" t="str">
        <f>VLOOKUP(O1219,Produkt!$A$1:$E$5,2,FALSE)</f>
        <v>C</v>
      </c>
      <c r="E1219">
        <f t="shared" ref="E1219:E1282" si="57">IF(C1219="Geschäftskunde",P1219,Q1219)</f>
        <v>16</v>
      </c>
      <c r="F1219">
        <f>VLOOKUP(D1219,Produkt!$B$1:$C$5,2,FALSE)*Bestellungen!E1219</f>
        <v>24000</v>
      </c>
      <c r="G1219" s="2">
        <v>44798</v>
      </c>
      <c r="H1219" s="2">
        <f t="shared" ref="H1219:H1282" si="58">G1219+R1219</f>
        <v>44805</v>
      </c>
      <c r="I1219" s="2">
        <f t="shared" ref="I1219:I1282" si="59">G1219+S1219</f>
        <v>44840</v>
      </c>
      <c r="J1219" t="str">
        <f>VLOOKUP(M1219,Umfragenteilnahme!$A$2:$B$3,2,)</f>
        <v>Ja</v>
      </c>
      <c r="M1219">
        <v>1</v>
      </c>
      <c r="N1219">
        <v>117</v>
      </c>
      <c r="O1219">
        <v>3</v>
      </c>
      <c r="P1219">
        <v>16</v>
      </c>
      <c r="Q1219">
        <v>3</v>
      </c>
      <c r="R1219">
        <v>7</v>
      </c>
      <c r="S1219">
        <v>42</v>
      </c>
    </row>
    <row r="1220" spans="1:19" x14ac:dyDescent="0.35">
      <c r="A1220">
        <v>8867</v>
      </c>
      <c r="B1220">
        <v>680</v>
      </c>
      <c r="C1220" t="str">
        <f>VLOOKUP(B1220,Kunde!A:C,3,FALSE)</f>
        <v>Geschäftskunde</v>
      </c>
      <c r="D1220" t="str">
        <f>VLOOKUP(O1220,Produkt!$A$1:$E$5,2,FALSE)</f>
        <v>C</v>
      </c>
      <c r="E1220">
        <f t="shared" si="57"/>
        <v>79</v>
      </c>
      <c r="F1220">
        <f>VLOOKUP(D1220,Produkt!$B$1:$C$5,2,FALSE)*Bestellungen!E1220</f>
        <v>118500</v>
      </c>
      <c r="G1220" s="2">
        <v>45061</v>
      </c>
      <c r="H1220" s="2">
        <f t="shared" si="58"/>
        <v>45064</v>
      </c>
      <c r="I1220" s="2">
        <f t="shared" si="59"/>
        <v>45107</v>
      </c>
      <c r="J1220" t="str">
        <f>VLOOKUP(M1220,Umfragenteilnahme!$A$2:$B$3,2,)</f>
        <v>Nein</v>
      </c>
      <c r="M1220">
        <v>2</v>
      </c>
      <c r="N1220">
        <v>680</v>
      </c>
      <c r="O1220">
        <v>3</v>
      </c>
      <c r="P1220">
        <v>79</v>
      </c>
      <c r="Q1220">
        <v>10</v>
      </c>
      <c r="R1220">
        <v>3</v>
      </c>
      <c r="S1220">
        <v>46</v>
      </c>
    </row>
    <row r="1221" spans="1:19" x14ac:dyDescent="0.35">
      <c r="A1221">
        <v>8868</v>
      </c>
      <c r="B1221">
        <v>188</v>
      </c>
      <c r="C1221" t="str">
        <f>VLOOKUP(B1221,Kunde!A:C,3,FALSE)</f>
        <v>Geschäftskunde</v>
      </c>
      <c r="D1221" t="str">
        <f>VLOOKUP(O1221,Produkt!$A$1:$E$5,2,FALSE)</f>
        <v>B</v>
      </c>
      <c r="E1221">
        <f t="shared" si="57"/>
        <v>130</v>
      </c>
      <c r="F1221">
        <f>VLOOKUP(D1221,Produkt!$B$1:$C$5,2,FALSE)*Bestellungen!E1221</f>
        <v>62400</v>
      </c>
      <c r="G1221" s="2">
        <v>44766</v>
      </c>
      <c r="H1221" s="2">
        <f t="shared" si="58"/>
        <v>44773</v>
      </c>
      <c r="I1221" s="2">
        <f t="shared" si="59"/>
        <v>44821</v>
      </c>
      <c r="J1221" t="str">
        <f>VLOOKUP(M1221,Umfragenteilnahme!$A$2:$B$3,2,)</f>
        <v>Ja</v>
      </c>
      <c r="M1221">
        <v>1</v>
      </c>
      <c r="N1221">
        <v>188</v>
      </c>
      <c r="O1221">
        <v>2</v>
      </c>
      <c r="P1221">
        <v>130</v>
      </c>
      <c r="Q1221">
        <v>3</v>
      </c>
      <c r="R1221">
        <v>7</v>
      </c>
      <c r="S1221">
        <v>55</v>
      </c>
    </row>
    <row r="1222" spans="1:19" x14ac:dyDescent="0.35">
      <c r="A1222">
        <v>8869</v>
      </c>
      <c r="B1222">
        <v>724</v>
      </c>
      <c r="C1222" t="str">
        <f>VLOOKUP(B1222,Kunde!A:C,3,FALSE)</f>
        <v>Geschäftskunde</v>
      </c>
      <c r="D1222" t="str">
        <f>VLOOKUP(O1222,Produkt!$A$1:$E$5,2,FALSE)</f>
        <v>B</v>
      </c>
      <c r="E1222">
        <f t="shared" si="57"/>
        <v>140</v>
      </c>
      <c r="F1222">
        <f>VLOOKUP(D1222,Produkt!$B$1:$C$5,2,FALSE)*Bestellungen!E1222</f>
        <v>67200</v>
      </c>
      <c r="G1222" s="2">
        <v>44904</v>
      </c>
      <c r="H1222" s="2">
        <f t="shared" si="58"/>
        <v>44906</v>
      </c>
      <c r="I1222" s="2">
        <f t="shared" si="59"/>
        <v>44932</v>
      </c>
      <c r="J1222" t="str">
        <f>VLOOKUP(M1222,Umfragenteilnahme!$A$2:$B$3,2,)</f>
        <v>Nein</v>
      </c>
      <c r="M1222">
        <v>2</v>
      </c>
      <c r="N1222">
        <v>724</v>
      </c>
      <c r="O1222">
        <v>2</v>
      </c>
      <c r="P1222">
        <v>140</v>
      </c>
      <c r="Q1222">
        <v>2</v>
      </c>
      <c r="R1222">
        <v>2</v>
      </c>
      <c r="S1222">
        <v>28</v>
      </c>
    </row>
    <row r="1223" spans="1:19" x14ac:dyDescent="0.35">
      <c r="A1223">
        <v>8870</v>
      </c>
      <c r="B1223">
        <v>689</v>
      </c>
      <c r="C1223" t="str">
        <f>VLOOKUP(B1223,Kunde!A:C,3,FALSE)</f>
        <v>Geschäftskunde</v>
      </c>
      <c r="D1223" t="str">
        <f>VLOOKUP(O1223,Produkt!$A$1:$E$5,2,FALSE)</f>
        <v>C</v>
      </c>
      <c r="E1223">
        <f t="shared" si="57"/>
        <v>83</v>
      </c>
      <c r="F1223">
        <f>VLOOKUP(D1223,Produkt!$B$1:$C$5,2,FALSE)*Bestellungen!E1223</f>
        <v>124500</v>
      </c>
      <c r="G1223" s="2">
        <v>45060</v>
      </c>
      <c r="H1223" s="2">
        <f t="shared" si="58"/>
        <v>45067</v>
      </c>
      <c r="I1223" s="2">
        <f t="shared" si="59"/>
        <v>45106</v>
      </c>
      <c r="J1223" t="str">
        <f>VLOOKUP(M1223,Umfragenteilnahme!$A$2:$B$3,2,)</f>
        <v>Ja</v>
      </c>
      <c r="M1223">
        <v>1</v>
      </c>
      <c r="N1223">
        <v>689</v>
      </c>
      <c r="O1223">
        <v>3</v>
      </c>
      <c r="P1223">
        <v>83</v>
      </c>
      <c r="Q1223">
        <v>4</v>
      </c>
      <c r="R1223">
        <v>7</v>
      </c>
      <c r="S1223">
        <v>46</v>
      </c>
    </row>
    <row r="1224" spans="1:19" x14ac:dyDescent="0.35">
      <c r="A1224">
        <v>8871</v>
      </c>
      <c r="B1224">
        <v>408</v>
      </c>
      <c r="C1224" t="str">
        <f>VLOOKUP(B1224,Kunde!A:C,3,FALSE)</f>
        <v>Geschäftskunde</v>
      </c>
      <c r="D1224" t="str">
        <f>VLOOKUP(O1224,Produkt!$A$1:$E$5,2,FALSE)</f>
        <v>A</v>
      </c>
      <c r="E1224">
        <f t="shared" si="57"/>
        <v>94</v>
      </c>
      <c r="F1224">
        <f>VLOOKUP(D1224,Produkt!$B$1:$C$5,2,FALSE)*Bestellungen!E1224</f>
        <v>28200</v>
      </c>
      <c r="G1224" s="2">
        <v>45010</v>
      </c>
      <c r="H1224" s="2">
        <f t="shared" si="58"/>
        <v>45014</v>
      </c>
      <c r="I1224" s="2">
        <f t="shared" si="59"/>
        <v>45032</v>
      </c>
      <c r="J1224" t="str">
        <f>VLOOKUP(M1224,Umfragenteilnahme!$A$2:$B$3,2,)</f>
        <v>Ja</v>
      </c>
      <c r="M1224">
        <v>1</v>
      </c>
      <c r="N1224">
        <v>408</v>
      </c>
      <c r="O1224">
        <v>1</v>
      </c>
      <c r="P1224">
        <v>94</v>
      </c>
      <c r="Q1224">
        <v>9</v>
      </c>
      <c r="R1224">
        <v>4</v>
      </c>
      <c r="S1224">
        <v>22</v>
      </c>
    </row>
    <row r="1225" spans="1:19" x14ac:dyDescent="0.35">
      <c r="A1225">
        <v>8872</v>
      </c>
      <c r="B1225">
        <v>109</v>
      </c>
      <c r="C1225" t="str">
        <f>VLOOKUP(B1225,Kunde!A:C,3,FALSE)</f>
        <v>Privatkunde</v>
      </c>
      <c r="D1225" t="str">
        <f>VLOOKUP(O1225,Produkt!$A$1:$E$5,2,FALSE)</f>
        <v>C</v>
      </c>
      <c r="E1225">
        <f t="shared" si="57"/>
        <v>6</v>
      </c>
      <c r="F1225">
        <f>VLOOKUP(D1225,Produkt!$B$1:$C$5,2,FALSE)*Bestellungen!E1225</f>
        <v>9000</v>
      </c>
      <c r="G1225" s="2">
        <v>44896</v>
      </c>
      <c r="H1225" s="2">
        <f t="shared" si="58"/>
        <v>44902</v>
      </c>
      <c r="I1225" s="2">
        <f t="shared" si="59"/>
        <v>44930</v>
      </c>
      <c r="J1225" t="str">
        <f>VLOOKUP(M1225,Umfragenteilnahme!$A$2:$B$3,2,)</f>
        <v>Ja</v>
      </c>
      <c r="M1225">
        <v>1</v>
      </c>
      <c r="N1225">
        <v>109</v>
      </c>
      <c r="O1225">
        <v>3</v>
      </c>
      <c r="P1225">
        <v>123</v>
      </c>
      <c r="Q1225">
        <v>6</v>
      </c>
      <c r="R1225">
        <v>6</v>
      </c>
      <c r="S1225">
        <v>34</v>
      </c>
    </row>
    <row r="1226" spans="1:19" x14ac:dyDescent="0.35">
      <c r="A1226">
        <v>8873</v>
      </c>
      <c r="B1226">
        <v>549</v>
      </c>
      <c r="C1226" t="str">
        <f>VLOOKUP(B1226,Kunde!A:C,3,FALSE)</f>
        <v>Privatkunde</v>
      </c>
      <c r="D1226" t="str">
        <f>VLOOKUP(O1226,Produkt!$A$1:$E$5,2,FALSE)</f>
        <v>B</v>
      </c>
      <c r="E1226">
        <f t="shared" si="57"/>
        <v>4</v>
      </c>
      <c r="F1226">
        <f>VLOOKUP(D1226,Produkt!$B$1:$C$5,2,FALSE)*Bestellungen!E1226</f>
        <v>1920</v>
      </c>
      <c r="G1226" s="2">
        <v>45032</v>
      </c>
      <c r="H1226" s="2">
        <f t="shared" si="58"/>
        <v>45038</v>
      </c>
      <c r="I1226" s="2">
        <f t="shared" si="59"/>
        <v>45038</v>
      </c>
      <c r="J1226" t="str">
        <f>VLOOKUP(M1226,Umfragenteilnahme!$A$2:$B$3,2,)</f>
        <v>Nein</v>
      </c>
      <c r="M1226">
        <v>2</v>
      </c>
      <c r="N1226">
        <v>549</v>
      </c>
      <c r="O1226">
        <v>2</v>
      </c>
      <c r="P1226">
        <v>88</v>
      </c>
      <c r="Q1226">
        <v>4</v>
      </c>
      <c r="R1226">
        <v>6</v>
      </c>
      <c r="S1226">
        <v>6</v>
      </c>
    </row>
    <row r="1227" spans="1:19" x14ac:dyDescent="0.35">
      <c r="A1227">
        <v>8874</v>
      </c>
      <c r="B1227">
        <v>214</v>
      </c>
      <c r="C1227" t="str">
        <f>VLOOKUP(B1227,Kunde!A:C,3,FALSE)</f>
        <v>Geschäftskunde</v>
      </c>
      <c r="D1227" t="str">
        <f>VLOOKUP(O1227,Produkt!$A$1:$E$5,2,FALSE)</f>
        <v>A</v>
      </c>
      <c r="E1227">
        <f t="shared" si="57"/>
        <v>148</v>
      </c>
      <c r="F1227">
        <f>VLOOKUP(D1227,Produkt!$B$1:$C$5,2,FALSE)*Bestellungen!E1227</f>
        <v>44400</v>
      </c>
      <c r="G1227" s="2">
        <v>44970</v>
      </c>
      <c r="H1227" s="2">
        <f t="shared" si="58"/>
        <v>44973</v>
      </c>
      <c r="I1227" s="2">
        <f t="shared" si="59"/>
        <v>45018</v>
      </c>
      <c r="J1227" t="str">
        <f>VLOOKUP(M1227,Umfragenteilnahme!$A$2:$B$3,2,)</f>
        <v>Nein</v>
      </c>
      <c r="M1227">
        <v>2</v>
      </c>
      <c r="N1227">
        <v>214</v>
      </c>
      <c r="O1227">
        <v>1</v>
      </c>
      <c r="P1227">
        <v>148</v>
      </c>
      <c r="Q1227">
        <v>8</v>
      </c>
      <c r="R1227">
        <v>3</v>
      </c>
      <c r="S1227">
        <v>48</v>
      </c>
    </row>
    <row r="1228" spans="1:19" x14ac:dyDescent="0.35">
      <c r="A1228">
        <v>8875</v>
      </c>
      <c r="B1228">
        <v>138</v>
      </c>
      <c r="C1228" t="str">
        <f>VLOOKUP(B1228,Kunde!A:C,3,FALSE)</f>
        <v>Geschäftskunde</v>
      </c>
      <c r="D1228" t="str">
        <f>VLOOKUP(O1228,Produkt!$A$1:$E$5,2,FALSE)</f>
        <v>C</v>
      </c>
      <c r="E1228">
        <f t="shared" si="57"/>
        <v>97</v>
      </c>
      <c r="F1228">
        <f>VLOOKUP(D1228,Produkt!$B$1:$C$5,2,FALSE)*Bestellungen!E1228</f>
        <v>145500</v>
      </c>
      <c r="G1228" s="2">
        <v>44908</v>
      </c>
      <c r="H1228" s="2">
        <f t="shared" si="58"/>
        <v>44910</v>
      </c>
      <c r="I1228" s="2">
        <f t="shared" si="59"/>
        <v>44913</v>
      </c>
      <c r="J1228" t="str">
        <f>VLOOKUP(M1228,Umfragenteilnahme!$A$2:$B$3,2,)</f>
        <v>Nein</v>
      </c>
      <c r="M1228">
        <v>2</v>
      </c>
      <c r="N1228">
        <v>138</v>
      </c>
      <c r="O1228">
        <v>3</v>
      </c>
      <c r="P1228">
        <v>97</v>
      </c>
      <c r="Q1228">
        <v>3</v>
      </c>
      <c r="R1228">
        <v>2</v>
      </c>
      <c r="S1228">
        <v>5</v>
      </c>
    </row>
    <row r="1229" spans="1:19" x14ac:dyDescent="0.35">
      <c r="A1229">
        <v>8876</v>
      </c>
      <c r="B1229">
        <v>554</v>
      </c>
      <c r="C1229" t="str">
        <f>VLOOKUP(B1229,Kunde!A:C,3,FALSE)</f>
        <v>Geschäftskunde</v>
      </c>
      <c r="D1229" t="str">
        <f>VLOOKUP(O1229,Produkt!$A$1:$E$5,2,FALSE)</f>
        <v>A</v>
      </c>
      <c r="E1229">
        <f t="shared" si="57"/>
        <v>16</v>
      </c>
      <c r="F1229">
        <f>VLOOKUP(D1229,Produkt!$B$1:$C$5,2,FALSE)*Bestellungen!E1229</f>
        <v>4800</v>
      </c>
      <c r="G1229" s="2">
        <v>44948</v>
      </c>
      <c r="H1229" s="2">
        <f t="shared" si="58"/>
        <v>44951</v>
      </c>
      <c r="I1229" s="2">
        <f t="shared" si="59"/>
        <v>45007</v>
      </c>
      <c r="J1229" t="str">
        <f>VLOOKUP(M1229,Umfragenteilnahme!$A$2:$B$3,2,)</f>
        <v>Ja</v>
      </c>
      <c r="M1229">
        <v>1</v>
      </c>
      <c r="N1229">
        <v>554</v>
      </c>
      <c r="O1229">
        <v>1</v>
      </c>
      <c r="P1229">
        <v>16</v>
      </c>
      <c r="Q1229">
        <v>10</v>
      </c>
      <c r="R1229">
        <v>3</v>
      </c>
      <c r="S1229">
        <v>59</v>
      </c>
    </row>
    <row r="1230" spans="1:19" x14ac:dyDescent="0.35">
      <c r="A1230">
        <v>8877</v>
      </c>
      <c r="B1230">
        <v>145</v>
      </c>
      <c r="C1230" t="str">
        <f>VLOOKUP(B1230,Kunde!A:C,3,FALSE)</f>
        <v>Geschäftskunde</v>
      </c>
      <c r="D1230" t="str">
        <f>VLOOKUP(O1230,Produkt!$A$1:$E$5,2,FALSE)</f>
        <v>D</v>
      </c>
      <c r="E1230">
        <f t="shared" si="57"/>
        <v>129</v>
      </c>
      <c r="F1230">
        <f>VLOOKUP(D1230,Produkt!$B$1:$C$5,2,FALSE)*Bestellungen!E1230</f>
        <v>103200</v>
      </c>
      <c r="G1230" s="2">
        <v>44856</v>
      </c>
      <c r="H1230" s="2">
        <f t="shared" si="58"/>
        <v>44861</v>
      </c>
      <c r="I1230" s="2">
        <f t="shared" si="59"/>
        <v>44868</v>
      </c>
      <c r="J1230" t="str">
        <f>VLOOKUP(M1230,Umfragenteilnahme!$A$2:$B$3,2,)</f>
        <v>Nein</v>
      </c>
      <c r="M1230">
        <v>2</v>
      </c>
      <c r="N1230">
        <v>145</v>
      </c>
      <c r="O1230">
        <v>4</v>
      </c>
      <c r="P1230">
        <v>129</v>
      </c>
      <c r="Q1230">
        <v>4</v>
      </c>
      <c r="R1230">
        <v>5</v>
      </c>
      <c r="S1230">
        <v>12</v>
      </c>
    </row>
    <row r="1231" spans="1:19" x14ac:dyDescent="0.35">
      <c r="A1231">
        <v>8878</v>
      </c>
      <c r="B1231">
        <v>265</v>
      </c>
      <c r="C1231" t="str">
        <f>VLOOKUP(B1231,Kunde!A:C,3,FALSE)</f>
        <v>Geschäftskunde</v>
      </c>
      <c r="D1231" t="str">
        <f>VLOOKUP(O1231,Produkt!$A$1:$E$5,2,FALSE)</f>
        <v>D</v>
      </c>
      <c r="E1231">
        <f t="shared" si="57"/>
        <v>65</v>
      </c>
      <c r="F1231">
        <f>VLOOKUP(D1231,Produkt!$B$1:$C$5,2,FALSE)*Bestellungen!E1231</f>
        <v>52000</v>
      </c>
      <c r="G1231" s="2">
        <v>44929</v>
      </c>
      <c r="H1231" s="2">
        <f t="shared" si="58"/>
        <v>44932</v>
      </c>
      <c r="I1231" s="2">
        <f t="shared" si="59"/>
        <v>44988</v>
      </c>
      <c r="J1231" t="str">
        <f>VLOOKUP(M1231,Umfragenteilnahme!$A$2:$B$3,2,)</f>
        <v>Nein</v>
      </c>
      <c r="M1231">
        <v>2</v>
      </c>
      <c r="N1231">
        <v>265</v>
      </c>
      <c r="O1231">
        <v>4</v>
      </c>
      <c r="P1231">
        <v>65</v>
      </c>
      <c r="Q1231">
        <v>8</v>
      </c>
      <c r="R1231">
        <v>3</v>
      </c>
      <c r="S1231">
        <v>59</v>
      </c>
    </row>
    <row r="1232" spans="1:19" x14ac:dyDescent="0.35">
      <c r="A1232">
        <v>8879</v>
      </c>
      <c r="B1232">
        <v>613</v>
      </c>
      <c r="C1232" t="str">
        <f>VLOOKUP(B1232,Kunde!A:C,3,FALSE)</f>
        <v>Geschäftskunde</v>
      </c>
      <c r="D1232" t="str">
        <f>VLOOKUP(O1232,Produkt!$A$1:$E$5,2,FALSE)</f>
        <v>D</v>
      </c>
      <c r="E1232">
        <f t="shared" si="57"/>
        <v>59</v>
      </c>
      <c r="F1232">
        <f>VLOOKUP(D1232,Produkt!$B$1:$C$5,2,FALSE)*Bestellungen!E1232</f>
        <v>47200</v>
      </c>
      <c r="G1232" s="2">
        <v>44730</v>
      </c>
      <c r="H1232" s="2">
        <f t="shared" si="58"/>
        <v>44734</v>
      </c>
      <c r="I1232" s="2">
        <f t="shared" si="59"/>
        <v>44790</v>
      </c>
      <c r="J1232" t="str">
        <f>VLOOKUP(M1232,Umfragenteilnahme!$A$2:$B$3,2,)</f>
        <v>Nein</v>
      </c>
      <c r="M1232">
        <v>2</v>
      </c>
      <c r="N1232">
        <v>613</v>
      </c>
      <c r="O1232">
        <v>4</v>
      </c>
      <c r="P1232">
        <v>59</v>
      </c>
      <c r="Q1232">
        <v>10</v>
      </c>
      <c r="R1232">
        <v>4</v>
      </c>
      <c r="S1232">
        <v>60</v>
      </c>
    </row>
    <row r="1233" spans="1:19" x14ac:dyDescent="0.35">
      <c r="A1233">
        <v>8880</v>
      </c>
      <c r="B1233">
        <v>79</v>
      </c>
      <c r="C1233" t="str">
        <f>VLOOKUP(B1233,Kunde!A:C,3,FALSE)</f>
        <v>Geschäftskunde</v>
      </c>
      <c r="D1233" t="str">
        <f>VLOOKUP(O1233,Produkt!$A$1:$E$5,2,FALSE)</f>
        <v>A</v>
      </c>
      <c r="E1233">
        <f t="shared" si="57"/>
        <v>135</v>
      </c>
      <c r="F1233">
        <f>VLOOKUP(D1233,Produkt!$B$1:$C$5,2,FALSE)*Bestellungen!E1233</f>
        <v>40500</v>
      </c>
      <c r="G1233" s="2">
        <v>44956</v>
      </c>
      <c r="H1233" s="2">
        <f t="shared" si="58"/>
        <v>44960</v>
      </c>
      <c r="I1233" s="2">
        <f t="shared" si="59"/>
        <v>45002</v>
      </c>
      <c r="J1233" t="str">
        <f>VLOOKUP(M1233,Umfragenteilnahme!$A$2:$B$3,2,)</f>
        <v>Ja</v>
      </c>
      <c r="M1233">
        <v>1</v>
      </c>
      <c r="N1233">
        <v>79</v>
      </c>
      <c r="O1233">
        <v>1</v>
      </c>
      <c r="P1233">
        <v>135</v>
      </c>
      <c r="Q1233">
        <v>8</v>
      </c>
      <c r="R1233">
        <v>4</v>
      </c>
      <c r="S1233">
        <v>46</v>
      </c>
    </row>
    <row r="1234" spans="1:19" x14ac:dyDescent="0.35">
      <c r="A1234">
        <v>8881</v>
      </c>
      <c r="B1234">
        <v>783</v>
      </c>
      <c r="C1234" t="str">
        <f>VLOOKUP(B1234,Kunde!A:C,3,FALSE)</f>
        <v>Geschäftskunde</v>
      </c>
      <c r="D1234" t="str">
        <f>VLOOKUP(O1234,Produkt!$A$1:$E$5,2,FALSE)</f>
        <v>B</v>
      </c>
      <c r="E1234">
        <f t="shared" si="57"/>
        <v>48</v>
      </c>
      <c r="F1234">
        <f>VLOOKUP(D1234,Produkt!$B$1:$C$5,2,FALSE)*Bestellungen!E1234</f>
        <v>23040</v>
      </c>
      <c r="G1234" s="2">
        <v>44863</v>
      </c>
      <c r="H1234" s="2">
        <f t="shared" si="58"/>
        <v>44869</v>
      </c>
      <c r="I1234" s="2">
        <f t="shared" si="59"/>
        <v>44895</v>
      </c>
      <c r="J1234" t="str">
        <f>VLOOKUP(M1234,Umfragenteilnahme!$A$2:$B$3,2,)</f>
        <v>Ja</v>
      </c>
      <c r="M1234">
        <v>1</v>
      </c>
      <c r="N1234">
        <v>783</v>
      </c>
      <c r="O1234">
        <v>2</v>
      </c>
      <c r="P1234">
        <v>48</v>
      </c>
      <c r="Q1234">
        <v>5</v>
      </c>
      <c r="R1234">
        <v>6</v>
      </c>
      <c r="S1234">
        <v>32</v>
      </c>
    </row>
    <row r="1235" spans="1:19" x14ac:dyDescent="0.35">
      <c r="A1235">
        <v>8882</v>
      </c>
      <c r="B1235">
        <v>506</v>
      </c>
      <c r="C1235" t="str">
        <f>VLOOKUP(B1235,Kunde!A:C,3,FALSE)</f>
        <v>Geschäftskunde</v>
      </c>
      <c r="D1235" t="str">
        <f>VLOOKUP(O1235,Produkt!$A$1:$E$5,2,FALSE)</f>
        <v>B</v>
      </c>
      <c r="E1235">
        <f t="shared" si="57"/>
        <v>18</v>
      </c>
      <c r="F1235">
        <f>VLOOKUP(D1235,Produkt!$B$1:$C$5,2,FALSE)*Bestellungen!E1235</f>
        <v>8640</v>
      </c>
      <c r="G1235" s="2">
        <v>44986</v>
      </c>
      <c r="H1235" s="2">
        <f t="shared" si="58"/>
        <v>44992</v>
      </c>
      <c r="I1235" s="2">
        <f t="shared" si="59"/>
        <v>45030</v>
      </c>
      <c r="J1235" t="str">
        <f>VLOOKUP(M1235,Umfragenteilnahme!$A$2:$B$3,2,)</f>
        <v>Ja</v>
      </c>
      <c r="M1235">
        <v>1</v>
      </c>
      <c r="N1235">
        <v>506</v>
      </c>
      <c r="O1235">
        <v>2</v>
      </c>
      <c r="P1235">
        <v>18</v>
      </c>
      <c r="Q1235">
        <v>7</v>
      </c>
      <c r="R1235">
        <v>6</v>
      </c>
      <c r="S1235">
        <v>44</v>
      </c>
    </row>
    <row r="1236" spans="1:19" x14ac:dyDescent="0.35">
      <c r="A1236">
        <v>8883</v>
      </c>
      <c r="B1236">
        <v>783</v>
      </c>
      <c r="C1236" t="str">
        <f>VLOOKUP(B1236,Kunde!A:C,3,FALSE)</f>
        <v>Geschäftskunde</v>
      </c>
      <c r="D1236" t="str">
        <f>VLOOKUP(O1236,Produkt!$A$1:$E$5,2,FALSE)</f>
        <v>A</v>
      </c>
      <c r="E1236">
        <f t="shared" si="57"/>
        <v>64</v>
      </c>
      <c r="F1236">
        <f>VLOOKUP(D1236,Produkt!$B$1:$C$5,2,FALSE)*Bestellungen!E1236</f>
        <v>19200</v>
      </c>
      <c r="G1236" s="2">
        <v>44838</v>
      </c>
      <c r="H1236" s="2">
        <f t="shared" si="58"/>
        <v>44841</v>
      </c>
      <c r="I1236" s="2">
        <f t="shared" si="59"/>
        <v>44850</v>
      </c>
      <c r="J1236" t="str">
        <f>VLOOKUP(M1236,Umfragenteilnahme!$A$2:$B$3,2,)</f>
        <v>Nein</v>
      </c>
      <c r="M1236">
        <v>2</v>
      </c>
      <c r="N1236">
        <v>783</v>
      </c>
      <c r="O1236">
        <v>1</v>
      </c>
      <c r="P1236">
        <v>64</v>
      </c>
      <c r="Q1236">
        <v>2</v>
      </c>
      <c r="R1236">
        <v>3</v>
      </c>
      <c r="S1236">
        <v>12</v>
      </c>
    </row>
    <row r="1237" spans="1:19" x14ac:dyDescent="0.35">
      <c r="A1237">
        <v>8884</v>
      </c>
      <c r="B1237">
        <v>617</v>
      </c>
      <c r="C1237" t="str">
        <f>VLOOKUP(B1237,Kunde!A:C,3,FALSE)</f>
        <v>Geschäftskunde</v>
      </c>
      <c r="D1237" t="str">
        <f>VLOOKUP(O1237,Produkt!$A$1:$E$5,2,FALSE)</f>
        <v>A</v>
      </c>
      <c r="E1237">
        <f t="shared" si="57"/>
        <v>132</v>
      </c>
      <c r="F1237">
        <f>VLOOKUP(D1237,Produkt!$B$1:$C$5,2,FALSE)*Bestellungen!E1237</f>
        <v>39600</v>
      </c>
      <c r="G1237" s="2">
        <v>44815</v>
      </c>
      <c r="H1237" s="2">
        <f t="shared" si="58"/>
        <v>44818</v>
      </c>
      <c r="I1237" s="2">
        <f t="shared" si="59"/>
        <v>44857</v>
      </c>
      <c r="J1237" t="str">
        <f>VLOOKUP(M1237,Umfragenteilnahme!$A$2:$B$3,2,)</f>
        <v>Ja</v>
      </c>
      <c r="M1237">
        <v>1</v>
      </c>
      <c r="N1237">
        <v>617</v>
      </c>
      <c r="O1237">
        <v>1</v>
      </c>
      <c r="P1237">
        <v>132</v>
      </c>
      <c r="Q1237">
        <v>2</v>
      </c>
      <c r="R1237">
        <v>3</v>
      </c>
      <c r="S1237">
        <v>42</v>
      </c>
    </row>
    <row r="1238" spans="1:19" x14ac:dyDescent="0.35">
      <c r="A1238">
        <v>8885</v>
      </c>
      <c r="B1238">
        <v>703</v>
      </c>
      <c r="C1238" t="str">
        <f>VLOOKUP(B1238,Kunde!A:C,3,FALSE)</f>
        <v>Geschäftskunde</v>
      </c>
      <c r="D1238" t="str">
        <f>VLOOKUP(O1238,Produkt!$A$1:$E$5,2,FALSE)</f>
        <v>B</v>
      </c>
      <c r="E1238">
        <f t="shared" si="57"/>
        <v>100</v>
      </c>
      <c r="F1238">
        <f>VLOOKUP(D1238,Produkt!$B$1:$C$5,2,FALSE)*Bestellungen!E1238</f>
        <v>48000</v>
      </c>
      <c r="G1238" s="2">
        <v>44772</v>
      </c>
      <c r="H1238" s="2">
        <f t="shared" si="58"/>
        <v>44775</v>
      </c>
      <c r="I1238" s="2">
        <f t="shared" si="59"/>
        <v>44802</v>
      </c>
      <c r="J1238" t="str">
        <f>VLOOKUP(M1238,Umfragenteilnahme!$A$2:$B$3,2,)</f>
        <v>Nein</v>
      </c>
      <c r="M1238">
        <v>2</v>
      </c>
      <c r="N1238">
        <v>703</v>
      </c>
      <c r="O1238">
        <v>2</v>
      </c>
      <c r="P1238">
        <v>100</v>
      </c>
      <c r="Q1238">
        <v>1</v>
      </c>
      <c r="R1238">
        <v>3</v>
      </c>
      <c r="S1238">
        <v>30</v>
      </c>
    </row>
    <row r="1239" spans="1:19" x14ac:dyDescent="0.35">
      <c r="A1239">
        <v>8886</v>
      </c>
      <c r="B1239">
        <v>365</v>
      </c>
      <c r="C1239" t="str">
        <f>VLOOKUP(B1239,Kunde!A:C,3,FALSE)</f>
        <v>Geschäftskunde</v>
      </c>
      <c r="D1239" t="str">
        <f>VLOOKUP(O1239,Produkt!$A$1:$E$5,2,FALSE)</f>
        <v>B</v>
      </c>
      <c r="E1239">
        <f t="shared" si="57"/>
        <v>109</v>
      </c>
      <c r="F1239">
        <f>VLOOKUP(D1239,Produkt!$B$1:$C$5,2,FALSE)*Bestellungen!E1239</f>
        <v>52320</v>
      </c>
      <c r="G1239" s="2">
        <v>44891</v>
      </c>
      <c r="H1239" s="2">
        <f t="shared" si="58"/>
        <v>44895</v>
      </c>
      <c r="I1239" s="2">
        <f t="shared" si="59"/>
        <v>44924</v>
      </c>
      <c r="J1239" t="str">
        <f>VLOOKUP(M1239,Umfragenteilnahme!$A$2:$B$3,2,)</f>
        <v>Nein</v>
      </c>
      <c r="M1239">
        <v>2</v>
      </c>
      <c r="N1239">
        <v>365</v>
      </c>
      <c r="O1239">
        <v>2</v>
      </c>
      <c r="P1239">
        <v>109</v>
      </c>
      <c r="Q1239">
        <v>3</v>
      </c>
      <c r="R1239">
        <v>4</v>
      </c>
      <c r="S1239">
        <v>33</v>
      </c>
    </row>
    <row r="1240" spans="1:19" x14ac:dyDescent="0.35">
      <c r="A1240">
        <v>8887</v>
      </c>
      <c r="B1240">
        <v>369</v>
      </c>
      <c r="C1240" t="str">
        <f>VLOOKUP(B1240,Kunde!A:C,3,FALSE)</f>
        <v>Geschäftskunde</v>
      </c>
      <c r="D1240" t="str">
        <f>VLOOKUP(O1240,Produkt!$A$1:$E$5,2,FALSE)</f>
        <v>D</v>
      </c>
      <c r="E1240">
        <f t="shared" si="57"/>
        <v>78</v>
      </c>
      <c r="F1240">
        <f>VLOOKUP(D1240,Produkt!$B$1:$C$5,2,FALSE)*Bestellungen!E1240</f>
        <v>62400</v>
      </c>
      <c r="G1240" s="2">
        <v>44749</v>
      </c>
      <c r="H1240" s="2">
        <f t="shared" si="58"/>
        <v>44756</v>
      </c>
      <c r="I1240" s="2">
        <f t="shared" si="59"/>
        <v>44794</v>
      </c>
      <c r="J1240" t="str">
        <f>VLOOKUP(M1240,Umfragenteilnahme!$A$2:$B$3,2,)</f>
        <v>Ja</v>
      </c>
      <c r="M1240">
        <v>1</v>
      </c>
      <c r="N1240">
        <v>369</v>
      </c>
      <c r="O1240">
        <v>4</v>
      </c>
      <c r="P1240">
        <v>78</v>
      </c>
      <c r="Q1240">
        <v>5</v>
      </c>
      <c r="R1240">
        <v>7</v>
      </c>
      <c r="S1240">
        <v>45</v>
      </c>
    </row>
    <row r="1241" spans="1:19" x14ac:dyDescent="0.35">
      <c r="A1241">
        <v>8888</v>
      </c>
      <c r="B1241">
        <v>706</v>
      </c>
      <c r="C1241" t="str">
        <f>VLOOKUP(B1241,Kunde!A:C,3,FALSE)</f>
        <v>Geschäftskunde</v>
      </c>
      <c r="D1241" t="str">
        <f>VLOOKUP(O1241,Produkt!$A$1:$E$5,2,FALSE)</f>
        <v>C</v>
      </c>
      <c r="E1241">
        <f t="shared" si="57"/>
        <v>78</v>
      </c>
      <c r="F1241">
        <f>VLOOKUP(D1241,Produkt!$B$1:$C$5,2,FALSE)*Bestellungen!E1241</f>
        <v>117000</v>
      </c>
      <c r="G1241" s="2">
        <v>45007</v>
      </c>
      <c r="H1241" s="2">
        <f t="shared" si="58"/>
        <v>45012</v>
      </c>
      <c r="I1241" s="2">
        <f t="shared" si="59"/>
        <v>45038</v>
      </c>
      <c r="J1241" t="str">
        <f>VLOOKUP(M1241,Umfragenteilnahme!$A$2:$B$3,2,)</f>
        <v>Nein</v>
      </c>
      <c r="M1241">
        <v>2</v>
      </c>
      <c r="N1241">
        <v>706</v>
      </c>
      <c r="O1241">
        <v>3</v>
      </c>
      <c r="P1241">
        <v>78</v>
      </c>
      <c r="Q1241">
        <v>6</v>
      </c>
      <c r="R1241">
        <v>5</v>
      </c>
      <c r="S1241">
        <v>31</v>
      </c>
    </row>
    <row r="1242" spans="1:19" x14ac:dyDescent="0.35">
      <c r="A1242">
        <v>8889</v>
      </c>
      <c r="B1242">
        <v>647</v>
      </c>
      <c r="C1242" t="str">
        <f>VLOOKUP(B1242,Kunde!A:C,3,FALSE)</f>
        <v>Privatkunde</v>
      </c>
      <c r="D1242" t="str">
        <f>VLOOKUP(O1242,Produkt!$A$1:$E$5,2,FALSE)</f>
        <v>D</v>
      </c>
      <c r="E1242">
        <f t="shared" si="57"/>
        <v>4</v>
      </c>
      <c r="F1242">
        <f>VLOOKUP(D1242,Produkt!$B$1:$C$5,2,FALSE)*Bestellungen!E1242</f>
        <v>3200</v>
      </c>
      <c r="G1242" s="2">
        <v>44968</v>
      </c>
      <c r="H1242" s="2">
        <f t="shared" si="58"/>
        <v>44970</v>
      </c>
      <c r="I1242" s="2">
        <f t="shared" si="59"/>
        <v>45020</v>
      </c>
      <c r="J1242" t="str">
        <f>VLOOKUP(M1242,Umfragenteilnahme!$A$2:$B$3,2,)</f>
        <v>Nein</v>
      </c>
      <c r="M1242">
        <v>2</v>
      </c>
      <c r="N1242">
        <v>647</v>
      </c>
      <c r="O1242">
        <v>4</v>
      </c>
      <c r="P1242">
        <v>93</v>
      </c>
      <c r="Q1242">
        <v>4</v>
      </c>
      <c r="R1242">
        <v>2</v>
      </c>
      <c r="S1242">
        <v>52</v>
      </c>
    </row>
    <row r="1243" spans="1:19" x14ac:dyDescent="0.35">
      <c r="A1243">
        <v>8890</v>
      </c>
      <c r="B1243">
        <v>40</v>
      </c>
      <c r="C1243" t="str">
        <f>VLOOKUP(B1243,Kunde!A:C,3,FALSE)</f>
        <v>Geschäftskunde</v>
      </c>
      <c r="D1243" t="str">
        <f>VLOOKUP(O1243,Produkt!$A$1:$E$5,2,FALSE)</f>
        <v>A</v>
      </c>
      <c r="E1243">
        <f t="shared" si="57"/>
        <v>11</v>
      </c>
      <c r="F1243">
        <f>VLOOKUP(D1243,Produkt!$B$1:$C$5,2,FALSE)*Bestellungen!E1243</f>
        <v>3300</v>
      </c>
      <c r="G1243" s="2">
        <v>44932</v>
      </c>
      <c r="H1243" s="2">
        <f t="shared" si="58"/>
        <v>44937</v>
      </c>
      <c r="I1243" s="2">
        <f t="shared" si="59"/>
        <v>44940</v>
      </c>
      <c r="J1243" t="str">
        <f>VLOOKUP(M1243,Umfragenteilnahme!$A$2:$B$3,2,)</f>
        <v>Nein</v>
      </c>
      <c r="M1243">
        <v>2</v>
      </c>
      <c r="N1243">
        <v>40</v>
      </c>
      <c r="O1243">
        <v>1</v>
      </c>
      <c r="P1243">
        <v>11</v>
      </c>
      <c r="Q1243">
        <v>5</v>
      </c>
      <c r="R1243">
        <v>5</v>
      </c>
      <c r="S1243">
        <v>8</v>
      </c>
    </row>
    <row r="1244" spans="1:19" x14ac:dyDescent="0.35">
      <c r="A1244">
        <v>8891</v>
      </c>
      <c r="B1244">
        <v>764</v>
      </c>
      <c r="C1244" t="str">
        <f>VLOOKUP(B1244,Kunde!A:C,3,FALSE)</f>
        <v>Privatkunde</v>
      </c>
      <c r="D1244" t="str">
        <f>VLOOKUP(O1244,Produkt!$A$1:$E$5,2,FALSE)</f>
        <v>C</v>
      </c>
      <c r="E1244">
        <f t="shared" si="57"/>
        <v>2</v>
      </c>
      <c r="F1244">
        <f>VLOOKUP(D1244,Produkt!$B$1:$C$5,2,FALSE)*Bestellungen!E1244</f>
        <v>3000</v>
      </c>
      <c r="G1244" s="2">
        <v>44809</v>
      </c>
      <c r="H1244" s="2">
        <f t="shared" si="58"/>
        <v>44812</v>
      </c>
      <c r="I1244" s="2">
        <f t="shared" si="59"/>
        <v>44850</v>
      </c>
      <c r="J1244" t="str">
        <f>VLOOKUP(M1244,Umfragenteilnahme!$A$2:$B$3,2,)</f>
        <v>Ja</v>
      </c>
      <c r="M1244">
        <v>1</v>
      </c>
      <c r="N1244">
        <v>764</v>
      </c>
      <c r="O1244">
        <v>3</v>
      </c>
      <c r="P1244">
        <v>116</v>
      </c>
      <c r="Q1244">
        <v>2</v>
      </c>
      <c r="R1244">
        <v>3</v>
      </c>
      <c r="S1244">
        <v>41</v>
      </c>
    </row>
    <row r="1245" spans="1:19" x14ac:dyDescent="0.35">
      <c r="A1245">
        <v>8892</v>
      </c>
      <c r="B1245">
        <v>35</v>
      </c>
      <c r="C1245" t="str">
        <f>VLOOKUP(B1245,Kunde!A:C,3,FALSE)</f>
        <v>Privatkunde</v>
      </c>
      <c r="D1245" t="str">
        <f>VLOOKUP(O1245,Produkt!$A$1:$E$5,2,FALSE)</f>
        <v>B</v>
      </c>
      <c r="E1245">
        <f t="shared" si="57"/>
        <v>6</v>
      </c>
      <c r="F1245">
        <f>VLOOKUP(D1245,Produkt!$B$1:$C$5,2,FALSE)*Bestellungen!E1245</f>
        <v>2880</v>
      </c>
      <c r="G1245" s="2">
        <v>44774</v>
      </c>
      <c r="H1245" s="2">
        <f t="shared" si="58"/>
        <v>44780</v>
      </c>
      <c r="I1245" s="2">
        <f t="shared" si="59"/>
        <v>44810</v>
      </c>
      <c r="J1245" t="str">
        <f>VLOOKUP(M1245,Umfragenteilnahme!$A$2:$B$3,2,)</f>
        <v>Ja</v>
      </c>
      <c r="M1245">
        <v>1</v>
      </c>
      <c r="N1245">
        <v>35</v>
      </c>
      <c r="O1245">
        <v>2</v>
      </c>
      <c r="P1245">
        <v>21</v>
      </c>
      <c r="Q1245">
        <v>6</v>
      </c>
      <c r="R1245">
        <v>6</v>
      </c>
      <c r="S1245">
        <v>36</v>
      </c>
    </row>
    <row r="1246" spans="1:19" x14ac:dyDescent="0.35">
      <c r="A1246">
        <v>8893</v>
      </c>
      <c r="B1246">
        <v>618</v>
      </c>
      <c r="C1246" t="str">
        <f>VLOOKUP(B1246,Kunde!A:C,3,FALSE)</f>
        <v>Geschäftskunde</v>
      </c>
      <c r="D1246" t="str">
        <f>VLOOKUP(O1246,Produkt!$A$1:$E$5,2,FALSE)</f>
        <v>D</v>
      </c>
      <c r="E1246">
        <f t="shared" si="57"/>
        <v>44</v>
      </c>
      <c r="F1246">
        <f>VLOOKUP(D1246,Produkt!$B$1:$C$5,2,FALSE)*Bestellungen!E1246</f>
        <v>35200</v>
      </c>
      <c r="G1246" s="2">
        <v>44952</v>
      </c>
      <c r="H1246" s="2">
        <f t="shared" si="58"/>
        <v>44956</v>
      </c>
      <c r="I1246" s="2">
        <f t="shared" si="59"/>
        <v>45007</v>
      </c>
      <c r="J1246" t="str">
        <f>VLOOKUP(M1246,Umfragenteilnahme!$A$2:$B$3,2,)</f>
        <v>Nein</v>
      </c>
      <c r="M1246">
        <v>2</v>
      </c>
      <c r="N1246">
        <v>618</v>
      </c>
      <c r="O1246">
        <v>4</v>
      </c>
      <c r="P1246">
        <v>44</v>
      </c>
      <c r="Q1246">
        <v>6</v>
      </c>
      <c r="R1246">
        <v>4</v>
      </c>
      <c r="S1246">
        <v>55</v>
      </c>
    </row>
    <row r="1247" spans="1:19" x14ac:dyDescent="0.35">
      <c r="A1247">
        <v>8894</v>
      </c>
      <c r="B1247">
        <v>610</v>
      </c>
      <c r="C1247" t="str">
        <f>VLOOKUP(B1247,Kunde!A:C,3,FALSE)</f>
        <v>Geschäftskunde</v>
      </c>
      <c r="D1247" t="str">
        <f>VLOOKUP(O1247,Produkt!$A$1:$E$5,2,FALSE)</f>
        <v>B</v>
      </c>
      <c r="E1247">
        <f t="shared" si="57"/>
        <v>52</v>
      </c>
      <c r="F1247">
        <f>VLOOKUP(D1247,Produkt!$B$1:$C$5,2,FALSE)*Bestellungen!E1247</f>
        <v>24960</v>
      </c>
      <c r="G1247" s="2">
        <v>44889</v>
      </c>
      <c r="H1247" s="2">
        <f t="shared" si="58"/>
        <v>44892</v>
      </c>
      <c r="I1247" s="2">
        <f t="shared" si="59"/>
        <v>44895</v>
      </c>
      <c r="J1247" t="str">
        <f>VLOOKUP(M1247,Umfragenteilnahme!$A$2:$B$3,2,)</f>
        <v>Ja</v>
      </c>
      <c r="M1247">
        <v>1</v>
      </c>
      <c r="N1247">
        <v>610</v>
      </c>
      <c r="O1247">
        <v>2</v>
      </c>
      <c r="P1247">
        <v>52</v>
      </c>
      <c r="Q1247">
        <v>9</v>
      </c>
      <c r="R1247">
        <v>3</v>
      </c>
      <c r="S1247">
        <v>6</v>
      </c>
    </row>
    <row r="1248" spans="1:19" x14ac:dyDescent="0.35">
      <c r="A1248">
        <v>8895</v>
      </c>
      <c r="B1248">
        <v>412</v>
      </c>
      <c r="C1248" t="str">
        <f>VLOOKUP(B1248,Kunde!A:C,3,FALSE)</f>
        <v>Geschäftskunde</v>
      </c>
      <c r="D1248" t="str">
        <f>VLOOKUP(O1248,Produkt!$A$1:$E$5,2,FALSE)</f>
        <v>B</v>
      </c>
      <c r="E1248">
        <f t="shared" si="57"/>
        <v>112</v>
      </c>
      <c r="F1248">
        <f>VLOOKUP(D1248,Produkt!$B$1:$C$5,2,FALSE)*Bestellungen!E1248</f>
        <v>53760</v>
      </c>
      <c r="G1248" s="2">
        <v>44990</v>
      </c>
      <c r="H1248" s="2">
        <f t="shared" si="58"/>
        <v>44996</v>
      </c>
      <c r="I1248" s="2">
        <f t="shared" si="59"/>
        <v>45046</v>
      </c>
      <c r="J1248" t="str">
        <f>VLOOKUP(M1248,Umfragenteilnahme!$A$2:$B$3,2,)</f>
        <v>Ja</v>
      </c>
      <c r="M1248">
        <v>1</v>
      </c>
      <c r="N1248">
        <v>412</v>
      </c>
      <c r="O1248">
        <v>2</v>
      </c>
      <c r="P1248">
        <v>112</v>
      </c>
      <c r="Q1248">
        <v>4</v>
      </c>
      <c r="R1248">
        <v>6</v>
      </c>
      <c r="S1248">
        <v>56</v>
      </c>
    </row>
    <row r="1249" spans="1:19" x14ac:dyDescent="0.35">
      <c r="A1249">
        <v>8896</v>
      </c>
      <c r="B1249">
        <v>38</v>
      </c>
      <c r="C1249" t="str">
        <f>VLOOKUP(B1249,Kunde!A:C,3,FALSE)</f>
        <v>Geschäftskunde</v>
      </c>
      <c r="D1249" t="str">
        <f>VLOOKUP(O1249,Produkt!$A$1:$E$5,2,FALSE)</f>
        <v>B</v>
      </c>
      <c r="E1249">
        <f t="shared" si="57"/>
        <v>76</v>
      </c>
      <c r="F1249">
        <f>VLOOKUP(D1249,Produkt!$B$1:$C$5,2,FALSE)*Bestellungen!E1249</f>
        <v>36480</v>
      </c>
      <c r="G1249" s="2">
        <v>45004</v>
      </c>
      <c r="H1249" s="2">
        <f t="shared" si="58"/>
        <v>45010</v>
      </c>
      <c r="I1249" s="2">
        <f t="shared" si="59"/>
        <v>45009</v>
      </c>
      <c r="J1249" t="str">
        <f>VLOOKUP(M1249,Umfragenteilnahme!$A$2:$B$3,2,)</f>
        <v>Nein</v>
      </c>
      <c r="M1249">
        <v>2</v>
      </c>
      <c r="N1249">
        <v>38</v>
      </c>
      <c r="O1249">
        <v>2</v>
      </c>
      <c r="P1249">
        <v>76</v>
      </c>
      <c r="Q1249">
        <v>10</v>
      </c>
      <c r="R1249">
        <v>6</v>
      </c>
      <c r="S1249">
        <v>5</v>
      </c>
    </row>
    <row r="1250" spans="1:19" x14ac:dyDescent="0.35">
      <c r="A1250">
        <v>8897</v>
      </c>
      <c r="B1250">
        <v>381</v>
      </c>
      <c r="C1250" t="str">
        <f>VLOOKUP(B1250,Kunde!A:C,3,FALSE)</f>
        <v>Geschäftskunde</v>
      </c>
      <c r="D1250" t="str">
        <f>VLOOKUP(O1250,Produkt!$A$1:$E$5,2,FALSE)</f>
        <v>A</v>
      </c>
      <c r="E1250">
        <f t="shared" si="57"/>
        <v>19</v>
      </c>
      <c r="F1250">
        <f>VLOOKUP(D1250,Produkt!$B$1:$C$5,2,FALSE)*Bestellungen!E1250</f>
        <v>5700</v>
      </c>
      <c r="G1250" s="2">
        <v>45031</v>
      </c>
      <c r="H1250" s="2">
        <f t="shared" si="58"/>
        <v>45036</v>
      </c>
      <c r="I1250" s="2">
        <f t="shared" si="59"/>
        <v>45043</v>
      </c>
      <c r="J1250" t="str">
        <f>VLOOKUP(M1250,Umfragenteilnahme!$A$2:$B$3,2,)</f>
        <v>Ja</v>
      </c>
      <c r="M1250">
        <v>1</v>
      </c>
      <c r="N1250">
        <v>381</v>
      </c>
      <c r="O1250">
        <v>1</v>
      </c>
      <c r="P1250">
        <v>19</v>
      </c>
      <c r="Q1250">
        <v>3</v>
      </c>
      <c r="R1250">
        <v>5</v>
      </c>
      <c r="S1250">
        <v>12</v>
      </c>
    </row>
    <row r="1251" spans="1:19" x14ac:dyDescent="0.35">
      <c r="A1251">
        <v>8898</v>
      </c>
      <c r="B1251">
        <v>585</v>
      </c>
      <c r="C1251" t="str">
        <f>VLOOKUP(B1251,Kunde!A:C,3,FALSE)</f>
        <v>Geschäftskunde</v>
      </c>
      <c r="D1251" t="str">
        <f>VLOOKUP(O1251,Produkt!$A$1:$E$5,2,FALSE)</f>
        <v>C</v>
      </c>
      <c r="E1251">
        <f t="shared" si="57"/>
        <v>126</v>
      </c>
      <c r="F1251">
        <f>VLOOKUP(D1251,Produkt!$B$1:$C$5,2,FALSE)*Bestellungen!E1251</f>
        <v>189000</v>
      </c>
      <c r="G1251" s="2">
        <v>44988</v>
      </c>
      <c r="H1251" s="2">
        <f t="shared" si="58"/>
        <v>44994</v>
      </c>
      <c r="I1251" s="2">
        <f t="shared" si="59"/>
        <v>45018</v>
      </c>
      <c r="J1251" t="str">
        <f>VLOOKUP(M1251,Umfragenteilnahme!$A$2:$B$3,2,)</f>
        <v>Nein</v>
      </c>
      <c r="M1251">
        <v>2</v>
      </c>
      <c r="N1251">
        <v>585</v>
      </c>
      <c r="O1251">
        <v>3</v>
      </c>
      <c r="P1251">
        <v>126</v>
      </c>
      <c r="Q1251">
        <v>1</v>
      </c>
      <c r="R1251">
        <v>6</v>
      </c>
      <c r="S1251">
        <v>30</v>
      </c>
    </row>
    <row r="1252" spans="1:19" x14ac:dyDescent="0.35">
      <c r="A1252">
        <v>8899</v>
      </c>
      <c r="B1252">
        <v>45</v>
      </c>
      <c r="C1252" t="str">
        <f>VLOOKUP(B1252,Kunde!A:C,3,FALSE)</f>
        <v>Privatkunde</v>
      </c>
      <c r="D1252" t="str">
        <f>VLOOKUP(O1252,Produkt!$A$1:$E$5,2,FALSE)</f>
        <v>B</v>
      </c>
      <c r="E1252">
        <f t="shared" si="57"/>
        <v>9</v>
      </c>
      <c r="F1252">
        <f>VLOOKUP(D1252,Produkt!$B$1:$C$5,2,FALSE)*Bestellungen!E1252</f>
        <v>4320</v>
      </c>
      <c r="G1252" s="2">
        <v>44833</v>
      </c>
      <c r="H1252" s="2">
        <f t="shared" si="58"/>
        <v>44835</v>
      </c>
      <c r="I1252" s="2">
        <f t="shared" si="59"/>
        <v>44884</v>
      </c>
      <c r="J1252" t="str">
        <f>VLOOKUP(M1252,Umfragenteilnahme!$A$2:$B$3,2,)</f>
        <v>Nein</v>
      </c>
      <c r="M1252">
        <v>2</v>
      </c>
      <c r="N1252">
        <v>45</v>
      </c>
      <c r="O1252">
        <v>2</v>
      </c>
      <c r="P1252">
        <v>60</v>
      </c>
      <c r="Q1252">
        <v>9</v>
      </c>
      <c r="R1252">
        <v>2</v>
      </c>
      <c r="S1252">
        <v>51</v>
      </c>
    </row>
    <row r="1253" spans="1:19" x14ac:dyDescent="0.35">
      <c r="A1253">
        <v>8900</v>
      </c>
      <c r="B1253">
        <v>19</v>
      </c>
      <c r="C1253" t="str">
        <f>VLOOKUP(B1253,Kunde!A:C,3,FALSE)</f>
        <v>Geschäftskunde</v>
      </c>
      <c r="D1253" t="str">
        <f>VLOOKUP(O1253,Produkt!$A$1:$E$5,2,FALSE)</f>
        <v>D</v>
      </c>
      <c r="E1253">
        <f t="shared" si="57"/>
        <v>62</v>
      </c>
      <c r="F1253">
        <f>VLOOKUP(D1253,Produkt!$B$1:$C$5,2,FALSE)*Bestellungen!E1253</f>
        <v>49600</v>
      </c>
      <c r="G1253" s="2">
        <v>44976</v>
      </c>
      <c r="H1253" s="2">
        <f t="shared" si="58"/>
        <v>44981</v>
      </c>
      <c r="I1253" s="2">
        <f t="shared" si="59"/>
        <v>45006</v>
      </c>
      <c r="J1253" t="str">
        <f>VLOOKUP(M1253,Umfragenteilnahme!$A$2:$B$3,2,)</f>
        <v>Ja</v>
      </c>
      <c r="M1253">
        <v>1</v>
      </c>
      <c r="N1253">
        <v>19</v>
      </c>
      <c r="O1253">
        <v>4</v>
      </c>
      <c r="P1253">
        <v>62</v>
      </c>
      <c r="Q1253">
        <v>7</v>
      </c>
      <c r="R1253">
        <v>5</v>
      </c>
      <c r="S1253">
        <v>30</v>
      </c>
    </row>
    <row r="1254" spans="1:19" x14ac:dyDescent="0.35">
      <c r="A1254">
        <v>8901</v>
      </c>
      <c r="B1254">
        <v>462</v>
      </c>
      <c r="C1254" t="str">
        <f>VLOOKUP(B1254,Kunde!A:C,3,FALSE)</f>
        <v>Geschäftskunde</v>
      </c>
      <c r="D1254" t="str">
        <f>VLOOKUP(O1254,Produkt!$A$1:$E$5,2,FALSE)</f>
        <v>C</v>
      </c>
      <c r="E1254">
        <f t="shared" si="57"/>
        <v>65</v>
      </c>
      <c r="F1254">
        <f>VLOOKUP(D1254,Produkt!$B$1:$C$5,2,FALSE)*Bestellungen!E1254</f>
        <v>97500</v>
      </c>
      <c r="G1254" s="2">
        <v>45017</v>
      </c>
      <c r="H1254" s="2">
        <f t="shared" si="58"/>
        <v>45023</v>
      </c>
      <c r="I1254" s="2">
        <f t="shared" si="59"/>
        <v>45026</v>
      </c>
      <c r="J1254" t="str">
        <f>VLOOKUP(M1254,Umfragenteilnahme!$A$2:$B$3,2,)</f>
        <v>Nein</v>
      </c>
      <c r="M1254">
        <v>2</v>
      </c>
      <c r="N1254">
        <v>462</v>
      </c>
      <c r="O1254">
        <v>3</v>
      </c>
      <c r="P1254">
        <v>65</v>
      </c>
      <c r="Q1254">
        <v>9</v>
      </c>
      <c r="R1254">
        <v>6</v>
      </c>
      <c r="S1254">
        <v>9</v>
      </c>
    </row>
    <row r="1255" spans="1:19" x14ac:dyDescent="0.35">
      <c r="A1255">
        <v>8902</v>
      </c>
      <c r="B1255">
        <v>298</v>
      </c>
      <c r="C1255" t="str">
        <f>VLOOKUP(B1255,Kunde!A:C,3,FALSE)</f>
        <v>Geschäftskunde</v>
      </c>
      <c r="D1255" t="str">
        <f>VLOOKUP(O1255,Produkt!$A$1:$E$5,2,FALSE)</f>
        <v>B</v>
      </c>
      <c r="E1255">
        <f t="shared" si="57"/>
        <v>62</v>
      </c>
      <c r="F1255">
        <f>VLOOKUP(D1255,Produkt!$B$1:$C$5,2,FALSE)*Bestellungen!E1255</f>
        <v>29760</v>
      </c>
      <c r="G1255" s="2">
        <v>44823</v>
      </c>
      <c r="H1255" s="2">
        <f t="shared" si="58"/>
        <v>44825</v>
      </c>
      <c r="I1255" s="2">
        <f t="shared" si="59"/>
        <v>44876</v>
      </c>
      <c r="J1255" t="str">
        <f>VLOOKUP(M1255,Umfragenteilnahme!$A$2:$B$3,2,)</f>
        <v>Ja</v>
      </c>
      <c r="M1255">
        <v>1</v>
      </c>
      <c r="N1255">
        <v>298</v>
      </c>
      <c r="O1255">
        <v>2</v>
      </c>
      <c r="P1255">
        <v>62</v>
      </c>
      <c r="Q1255">
        <v>10</v>
      </c>
      <c r="R1255">
        <v>2</v>
      </c>
      <c r="S1255">
        <v>53</v>
      </c>
    </row>
    <row r="1256" spans="1:19" x14ac:dyDescent="0.35">
      <c r="A1256">
        <v>8903</v>
      </c>
      <c r="B1256">
        <v>116</v>
      </c>
      <c r="C1256" t="str">
        <f>VLOOKUP(B1256,Kunde!A:C,3,FALSE)</f>
        <v>Geschäftskunde</v>
      </c>
      <c r="D1256" t="str">
        <f>VLOOKUP(O1256,Produkt!$A$1:$E$5,2,FALSE)</f>
        <v>C</v>
      </c>
      <c r="E1256">
        <f t="shared" si="57"/>
        <v>64</v>
      </c>
      <c r="F1256">
        <f>VLOOKUP(D1256,Produkt!$B$1:$C$5,2,FALSE)*Bestellungen!E1256</f>
        <v>96000</v>
      </c>
      <c r="G1256" s="2">
        <v>44937</v>
      </c>
      <c r="H1256" s="2">
        <f t="shared" si="58"/>
        <v>44943</v>
      </c>
      <c r="I1256" s="2">
        <f t="shared" si="59"/>
        <v>44987</v>
      </c>
      <c r="J1256" t="str">
        <f>VLOOKUP(M1256,Umfragenteilnahme!$A$2:$B$3,2,)</f>
        <v>Ja</v>
      </c>
      <c r="M1256">
        <v>1</v>
      </c>
      <c r="N1256">
        <v>116</v>
      </c>
      <c r="O1256">
        <v>3</v>
      </c>
      <c r="P1256">
        <v>64</v>
      </c>
      <c r="Q1256">
        <v>6</v>
      </c>
      <c r="R1256">
        <v>6</v>
      </c>
      <c r="S1256">
        <v>50</v>
      </c>
    </row>
    <row r="1257" spans="1:19" x14ac:dyDescent="0.35">
      <c r="A1257">
        <v>8904</v>
      </c>
      <c r="B1257">
        <v>322</v>
      </c>
      <c r="C1257" t="str">
        <f>VLOOKUP(B1257,Kunde!A:C,3,FALSE)</f>
        <v>Geschäftskunde</v>
      </c>
      <c r="D1257" t="str">
        <f>VLOOKUP(O1257,Produkt!$A$1:$E$5,2,FALSE)</f>
        <v>B</v>
      </c>
      <c r="E1257">
        <f t="shared" si="57"/>
        <v>105</v>
      </c>
      <c r="F1257">
        <f>VLOOKUP(D1257,Produkt!$B$1:$C$5,2,FALSE)*Bestellungen!E1257</f>
        <v>50400</v>
      </c>
      <c r="G1257" s="2">
        <v>44878</v>
      </c>
      <c r="H1257" s="2">
        <f t="shared" si="58"/>
        <v>44883</v>
      </c>
      <c r="I1257" s="2">
        <f t="shared" si="59"/>
        <v>44908</v>
      </c>
      <c r="J1257" t="str">
        <f>VLOOKUP(M1257,Umfragenteilnahme!$A$2:$B$3,2,)</f>
        <v>Ja</v>
      </c>
      <c r="M1257">
        <v>1</v>
      </c>
      <c r="N1257">
        <v>322</v>
      </c>
      <c r="O1257">
        <v>2</v>
      </c>
      <c r="P1257">
        <v>105</v>
      </c>
      <c r="Q1257">
        <v>2</v>
      </c>
      <c r="R1257">
        <v>5</v>
      </c>
      <c r="S1257">
        <v>30</v>
      </c>
    </row>
    <row r="1258" spans="1:19" x14ac:dyDescent="0.35">
      <c r="A1258">
        <v>8905</v>
      </c>
      <c r="B1258">
        <v>100</v>
      </c>
      <c r="C1258" t="str">
        <f>VLOOKUP(B1258,Kunde!A:C,3,FALSE)</f>
        <v>Privatkunde</v>
      </c>
      <c r="D1258" t="str">
        <f>VLOOKUP(O1258,Produkt!$A$1:$E$5,2,FALSE)</f>
        <v>C</v>
      </c>
      <c r="E1258">
        <f t="shared" si="57"/>
        <v>1</v>
      </c>
      <c r="F1258">
        <f>VLOOKUP(D1258,Produkt!$B$1:$C$5,2,FALSE)*Bestellungen!E1258</f>
        <v>1500</v>
      </c>
      <c r="G1258" s="2">
        <v>45036</v>
      </c>
      <c r="H1258" s="2">
        <f t="shared" si="58"/>
        <v>45038</v>
      </c>
      <c r="I1258" s="2">
        <f t="shared" si="59"/>
        <v>45045</v>
      </c>
      <c r="J1258" t="str">
        <f>VLOOKUP(M1258,Umfragenteilnahme!$A$2:$B$3,2,)</f>
        <v>Ja</v>
      </c>
      <c r="M1258">
        <v>1</v>
      </c>
      <c r="N1258">
        <v>100</v>
      </c>
      <c r="O1258">
        <v>3</v>
      </c>
      <c r="P1258">
        <v>24</v>
      </c>
      <c r="Q1258">
        <v>1</v>
      </c>
      <c r="R1258">
        <v>2</v>
      </c>
      <c r="S1258">
        <v>9</v>
      </c>
    </row>
    <row r="1259" spans="1:19" x14ac:dyDescent="0.35">
      <c r="A1259">
        <v>8906</v>
      </c>
      <c r="B1259">
        <v>425</v>
      </c>
      <c r="C1259" t="str">
        <f>VLOOKUP(B1259,Kunde!A:C,3,FALSE)</f>
        <v>Geschäftskunde</v>
      </c>
      <c r="D1259" t="str">
        <f>VLOOKUP(O1259,Produkt!$A$1:$E$5,2,FALSE)</f>
        <v>A</v>
      </c>
      <c r="E1259">
        <f t="shared" si="57"/>
        <v>113</v>
      </c>
      <c r="F1259">
        <f>VLOOKUP(D1259,Produkt!$B$1:$C$5,2,FALSE)*Bestellungen!E1259</f>
        <v>33900</v>
      </c>
      <c r="G1259" s="2">
        <v>44942</v>
      </c>
      <c r="H1259" s="2">
        <f t="shared" si="58"/>
        <v>44945</v>
      </c>
      <c r="I1259" s="2">
        <f t="shared" si="59"/>
        <v>44981</v>
      </c>
      <c r="J1259" t="str">
        <f>VLOOKUP(M1259,Umfragenteilnahme!$A$2:$B$3,2,)</f>
        <v>Ja</v>
      </c>
      <c r="M1259">
        <v>1</v>
      </c>
      <c r="N1259">
        <v>425</v>
      </c>
      <c r="O1259">
        <v>1</v>
      </c>
      <c r="P1259">
        <v>113</v>
      </c>
      <c r="Q1259">
        <v>6</v>
      </c>
      <c r="R1259">
        <v>3</v>
      </c>
      <c r="S1259">
        <v>39</v>
      </c>
    </row>
    <row r="1260" spans="1:19" x14ac:dyDescent="0.35">
      <c r="A1260">
        <v>8907</v>
      </c>
      <c r="B1260">
        <v>420</v>
      </c>
      <c r="C1260" t="str">
        <f>VLOOKUP(B1260,Kunde!A:C,3,FALSE)</f>
        <v>Geschäftskunde</v>
      </c>
      <c r="D1260" t="str">
        <f>VLOOKUP(O1260,Produkt!$A$1:$E$5,2,FALSE)</f>
        <v>D</v>
      </c>
      <c r="E1260">
        <f t="shared" si="57"/>
        <v>25</v>
      </c>
      <c r="F1260">
        <f>VLOOKUP(D1260,Produkt!$B$1:$C$5,2,FALSE)*Bestellungen!E1260</f>
        <v>20000</v>
      </c>
      <c r="G1260" s="2">
        <v>44905</v>
      </c>
      <c r="H1260" s="2">
        <f t="shared" si="58"/>
        <v>44908</v>
      </c>
      <c r="I1260" s="2">
        <f t="shared" si="59"/>
        <v>44944</v>
      </c>
      <c r="J1260" t="str">
        <f>VLOOKUP(M1260,Umfragenteilnahme!$A$2:$B$3,2,)</f>
        <v>Ja</v>
      </c>
      <c r="M1260">
        <v>1</v>
      </c>
      <c r="N1260">
        <v>420</v>
      </c>
      <c r="O1260">
        <v>4</v>
      </c>
      <c r="P1260">
        <v>25</v>
      </c>
      <c r="Q1260">
        <v>6</v>
      </c>
      <c r="R1260">
        <v>3</v>
      </c>
      <c r="S1260">
        <v>39</v>
      </c>
    </row>
    <row r="1261" spans="1:19" x14ac:dyDescent="0.35">
      <c r="A1261">
        <v>8908</v>
      </c>
      <c r="B1261">
        <v>43</v>
      </c>
      <c r="C1261" t="str">
        <f>VLOOKUP(B1261,Kunde!A:C,3,FALSE)</f>
        <v>Geschäftskunde</v>
      </c>
      <c r="D1261" t="str">
        <f>VLOOKUP(O1261,Produkt!$A$1:$E$5,2,FALSE)</f>
        <v>B</v>
      </c>
      <c r="E1261">
        <f t="shared" si="57"/>
        <v>11</v>
      </c>
      <c r="F1261">
        <f>VLOOKUP(D1261,Produkt!$B$1:$C$5,2,FALSE)*Bestellungen!E1261</f>
        <v>5280</v>
      </c>
      <c r="G1261" s="2">
        <v>44813</v>
      </c>
      <c r="H1261" s="2">
        <f t="shared" si="58"/>
        <v>44820</v>
      </c>
      <c r="I1261" s="2">
        <f t="shared" si="59"/>
        <v>44817</v>
      </c>
      <c r="J1261" t="str">
        <f>VLOOKUP(M1261,Umfragenteilnahme!$A$2:$B$3,2,)</f>
        <v>Ja</v>
      </c>
      <c r="M1261">
        <v>1</v>
      </c>
      <c r="N1261">
        <v>43</v>
      </c>
      <c r="O1261">
        <v>2</v>
      </c>
      <c r="P1261">
        <v>11</v>
      </c>
      <c r="Q1261">
        <v>6</v>
      </c>
      <c r="R1261">
        <v>7</v>
      </c>
      <c r="S1261">
        <v>4</v>
      </c>
    </row>
    <row r="1262" spans="1:19" x14ac:dyDescent="0.35">
      <c r="A1262">
        <v>8909</v>
      </c>
      <c r="B1262">
        <v>613</v>
      </c>
      <c r="C1262" t="str">
        <f>VLOOKUP(B1262,Kunde!A:C,3,FALSE)</f>
        <v>Geschäftskunde</v>
      </c>
      <c r="D1262" t="str">
        <f>VLOOKUP(O1262,Produkt!$A$1:$E$5,2,FALSE)</f>
        <v>A</v>
      </c>
      <c r="E1262">
        <f t="shared" si="57"/>
        <v>125</v>
      </c>
      <c r="F1262">
        <f>VLOOKUP(D1262,Produkt!$B$1:$C$5,2,FALSE)*Bestellungen!E1262</f>
        <v>37500</v>
      </c>
      <c r="G1262" s="2">
        <v>44916</v>
      </c>
      <c r="H1262" s="2">
        <f t="shared" si="58"/>
        <v>44919</v>
      </c>
      <c r="I1262" s="2">
        <f t="shared" si="59"/>
        <v>44921</v>
      </c>
      <c r="J1262" t="str">
        <f>VLOOKUP(M1262,Umfragenteilnahme!$A$2:$B$3,2,)</f>
        <v>Ja</v>
      </c>
      <c r="M1262">
        <v>1</v>
      </c>
      <c r="N1262">
        <v>613</v>
      </c>
      <c r="O1262">
        <v>1</v>
      </c>
      <c r="P1262">
        <v>125</v>
      </c>
      <c r="Q1262">
        <v>10</v>
      </c>
      <c r="R1262">
        <v>3</v>
      </c>
      <c r="S1262">
        <v>5</v>
      </c>
    </row>
    <row r="1263" spans="1:19" x14ac:dyDescent="0.35">
      <c r="A1263">
        <v>8910</v>
      </c>
      <c r="B1263">
        <v>93</v>
      </c>
      <c r="C1263" t="str">
        <f>VLOOKUP(B1263,Kunde!A:C,3,FALSE)</f>
        <v>Geschäftskunde</v>
      </c>
      <c r="D1263" t="str">
        <f>VLOOKUP(O1263,Produkt!$A$1:$E$5,2,FALSE)</f>
        <v>A</v>
      </c>
      <c r="E1263">
        <f t="shared" si="57"/>
        <v>68</v>
      </c>
      <c r="F1263">
        <f>VLOOKUP(D1263,Produkt!$B$1:$C$5,2,FALSE)*Bestellungen!E1263</f>
        <v>20400</v>
      </c>
      <c r="G1263" s="2">
        <v>45051</v>
      </c>
      <c r="H1263" s="2">
        <f t="shared" si="58"/>
        <v>45054</v>
      </c>
      <c r="I1263" s="2">
        <f t="shared" si="59"/>
        <v>45067</v>
      </c>
      <c r="J1263" t="str">
        <f>VLOOKUP(M1263,Umfragenteilnahme!$A$2:$B$3,2,)</f>
        <v>Nein</v>
      </c>
      <c r="M1263">
        <v>2</v>
      </c>
      <c r="N1263">
        <v>93</v>
      </c>
      <c r="O1263">
        <v>1</v>
      </c>
      <c r="P1263">
        <v>68</v>
      </c>
      <c r="Q1263">
        <v>1</v>
      </c>
      <c r="R1263">
        <v>3</v>
      </c>
      <c r="S1263">
        <v>16</v>
      </c>
    </row>
    <row r="1264" spans="1:19" x14ac:dyDescent="0.35">
      <c r="A1264">
        <v>8911</v>
      </c>
      <c r="B1264">
        <v>405</v>
      </c>
      <c r="C1264" t="str">
        <f>VLOOKUP(B1264,Kunde!A:C,3,FALSE)</f>
        <v>Geschäftskunde</v>
      </c>
      <c r="D1264" t="str">
        <f>VLOOKUP(O1264,Produkt!$A$1:$E$5,2,FALSE)</f>
        <v>B</v>
      </c>
      <c r="E1264">
        <f t="shared" si="57"/>
        <v>144</v>
      </c>
      <c r="F1264">
        <f>VLOOKUP(D1264,Produkt!$B$1:$C$5,2,FALSE)*Bestellungen!E1264</f>
        <v>69120</v>
      </c>
      <c r="G1264" s="2">
        <v>45012</v>
      </c>
      <c r="H1264" s="2">
        <f t="shared" si="58"/>
        <v>45017</v>
      </c>
      <c r="I1264" s="2">
        <f t="shared" si="59"/>
        <v>45023</v>
      </c>
      <c r="J1264" t="str">
        <f>VLOOKUP(M1264,Umfragenteilnahme!$A$2:$B$3,2,)</f>
        <v>Nein</v>
      </c>
      <c r="M1264">
        <v>2</v>
      </c>
      <c r="N1264">
        <v>405</v>
      </c>
      <c r="O1264">
        <v>2</v>
      </c>
      <c r="P1264">
        <v>144</v>
      </c>
      <c r="Q1264">
        <v>3</v>
      </c>
      <c r="R1264">
        <v>5</v>
      </c>
      <c r="S1264">
        <v>11</v>
      </c>
    </row>
    <row r="1265" spans="1:19" x14ac:dyDescent="0.35">
      <c r="A1265">
        <v>8912</v>
      </c>
      <c r="B1265">
        <v>359</v>
      </c>
      <c r="C1265" t="str">
        <f>VLOOKUP(B1265,Kunde!A:C,3,FALSE)</f>
        <v>Privatkunde</v>
      </c>
      <c r="D1265" t="str">
        <f>VLOOKUP(O1265,Produkt!$A$1:$E$5,2,FALSE)</f>
        <v>A</v>
      </c>
      <c r="E1265">
        <f t="shared" si="57"/>
        <v>8</v>
      </c>
      <c r="F1265">
        <f>VLOOKUP(D1265,Produkt!$B$1:$C$5,2,FALSE)*Bestellungen!E1265</f>
        <v>2400</v>
      </c>
      <c r="G1265" s="2">
        <v>44725</v>
      </c>
      <c r="H1265" s="2">
        <f t="shared" si="58"/>
        <v>44728</v>
      </c>
      <c r="I1265" s="2">
        <f t="shared" si="59"/>
        <v>44735</v>
      </c>
      <c r="J1265" t="str">
        <f>VLOOKUP(M1265,Umfragenteilnahme!$A$2:$B$3,2,)</f>
        <v>Nein</v>
      </c>
      <c r="M1265">
        <v>2</v>
      </c>
      <c r="N1265">
        <v>359</v>
      </c>
      <c r="O1265">
        <v>1</v>
      </c>
      <c r="P1265">
        <v>42</v>
      </c>
      <c r="Q1265">
        <v>8</v>
      </c>
      <c r="R1265">
        <v>3</v>
      </c>
      <c r="S1265">
        <v>10</v>
      </c>
    </row>
    <row r="1266" spans="1:19" x14ac:dyDescent="0.35">
      <c r="A1266">
        <v>8913</v>
      </c>
      <c r="B1266">
        <v>77</v>
      </c>
      <c r="C1266" t="str">
        <f>VLOOKUP(B1266,Kunde!A:C,3,FALSE)</f>
        <v>Geschäftskunde</v>
      </c>
      <c r="D1266" t="str">
        <f>VLOOKUP(O1266,Produkt!$A$1:$E$5,2,FALSE)</f>
        <v>A</v>
      </c>
      <c r="E1266">
        <f t="shared" si="57"/>
        <v>124</v>
      </c>
      <c r="F1266">
        <f>VLOOKUP(D1266,Produkt!$B$1:$C$5,2,FALSE)*Bestellungen!E1266</f>
        <v>37200</v>
      </c>
      <c r="G1266" s="2">
        <v>45001</v>
      </c>
      <c r="H1266" s="2">
        <f t="shared" si="58"/>
        <v>45006</v>
      </c>
      <c r="I1266" s="2">
        <f t="shared" si="59"/>
        <v>45053</v>
      </c>
      <c r="J1266" t="str">
        <f>VLOOKUP(M1266,Umfragenteilnahme!$A$2:$B$3,2,)</f>
        <v>Nein</v>
      </c>
      <c r="M1266">
        <v>2</v>
      </c>
      <c r="N1266">
        <v>77</v>
      </c>
      <c r="O1266">
        <v>1</v>
      </c>
      <c r="P1266">
        <v>124</v>
      </c>
      <c r="Q1266">
        <v>10</v>
      </c>
      <c r="R1266">
        <v>5</v>
      </c>
      <c r="S1266">
        <v>52</v>
      </c>
    </row>
    <row r="1267" spans="1:19" x14ac:dyDescent="0.35">
      <c r="A1267">
        <v>8914</v>
      </c>
      <c r="B1267">
        <v>386</v>
      </c>
      <c r="C1267" t="str">
        <f>VLOOKUP(B1267,Kunde!A:C,3,FALSE)</f>
        <v>Privatkunde</v>
      </c>
      <c r="D1267" t="str">
        <f>VLOOKUP(O1267,Produkt!$A$1:$E$5,2,FALSE)</f>
        <v>B</v>
      </c>
      <c r="E1267">
        <f t="shared" si="57"/>
        <v>7</v>
      </c>
      <c r="F1267">
        <f>VLOOKUP(D1267,Produkt!$B$1:$C$5,2,FALSE)*Bestellungen!E1267</f>
        <v>3360</v>
      </c>
      <c r="G1267" s="2">
        <v>44903</v>
      </c>
      <c r="H1267" s="2">
        <f t="shared" si="58"/>
        <v>44907</v>
      </c>
      <c r="I1267" s="2">
        <f t="shared" si="59"/>
        <v>44910</v>
      </c>
      <c r="J1267" t="str">
        <f>VLOOKUP(M1267,Umfragenteilnahme!$A$2:$B$3,2,)</f>
        <v>Ja</v>
      </c>
      <c r="M1267">
        <v>1</v>
      </c>
      <c r="N1267">
        <v>386</v>
      </c>
      <c r="O1267">
        <v>2</v>
      </c>
      <c r="P1267">
        <v>149</v>
      </c>
      <c r="Q1267">
        <v>7</v>
      </c>
      <c r="R1267">
        <v>4</v>
      </c>
      <c r="S1267">
        <v>7</v>
      </c>
    </row>
    <row r="1268" spans="1:19" x14ac:dyDescent="0.35">
      <c r="A1268">
        <v>8915</v>
      </c>
      <c r="B1268">
        <v>653</v>
      </c>
      <c r="C1268" t="str">
        <f>VLOOKUP(B1268,Kunde!A:C,3,FALSE)</f>
        <v>Geschäftskunde</v>
      </c>
      <c r="D1268" t="str">
        <f>VLOOKUP(O1268,Produkt!$A$1:$E$5,2,FALSE)</f>
        <v>C</v>
      </c>
      <c r="E1268">
        <f t="shared" si="57"/>
        <v>148</v>
      </c>
      <c r="F1268">
        <f>VLOOKUP(D1268,Produkt!$B$1:$C$5,2,FALSE)*Bestellungen!E1268</f>
        <v>222000</v>
      </c>
      <c r="G1268" s="2">
        <v>44760</v>
      </c>
      <c r="H1268" s="2">
        <f t="shared" si="58"/>
        <v>44763</v>
      </c>
      <c r="I1268" s="2">
        <f t="shared" si="59"/>
        <v>44820</v>
      </c>
      <c r="J1268" t="str">
        <f>VLOOKUP(M1268,Umfragenteilnahme!$A$2:$B$3,2,)</f>
        <v>Ja</v>
      </c>
      <c r="M1268">
        <v>1</v>
      </c>
      <c r="N1268">
        <v>653</v>
      </c>
      <c r="O1268">
        <v>3</v>
      </c>
      <c r="P1268">
        <v>148</v>
      </c>
      <c r="Q1268">
        <v>9</v>
      </c>
      <c r="R1268">
        <v>3</v>
      </c>
      <c r="S1268">
        <v>60</v>
      </c>
    </row>
    <row r="1269" spans="1:19" x14ac:dyDescent="0.35">
      <c r="A1269">
        <v>8916</v>
      </c>
      <c r="B1269">
        <v>773</v>
      </c>
      <c r="C1269" t="str">
        <f>VLOOKUP(B1269,Kunde!A:C,3,FALSE)</f>
        <v>Geschäftskunde</v>
      </c>
      <c r="D1269" t="str">
        <f>VLOOKUP(O1269,Produkt!$A$1:$E$5,2,FALSE)</f>
        <v>A</v>
      </c>
      <c r="E1269">
        <f t="shared" si="57"/>
        <v>115</v>
      </c>
      <c r="F1269">
        <f>VLOOKUP(D1269,Produkt!$B$1:$C$5,2,FALSE)*Bestellungen!E1269</f>
        <v>34500</v>
      </c>
      <c r="G1269" s="2">
        <v>44924</v>
      </c>
      <c r="H1269" s="2">
        <f t="shared" si="58"/>
        <v>44927</v>
      </c>
      <c r="I1269" s="2">
        <f t="shared" si="59"/>
        <v>44930</v>
      </c>
      <c r="J1269" t="str">
        <f>VLOOKUP(M1269,Umfragenteilnahme!$A$2:$B$3,2,)</f>
        <v>Nein</v>
      </c>
      <c r="M1269">
        <v>2</v>
      </c>
      <c r="N1269">
        <v>773</v>
      </c>
      <c r="O1269">
        <v>1</v>
      </c>
      <c r="P1269">
        <v>115</v>
      </c>
      <c r="Q1269">
        <v>10</v>
      </c>
      <c r="R1269">
        <v>3</v>
      </c>
      <c r="S1269">
        <v>6</v>
      </c>
    </row>
    <row r="1270" spans="1:19" x14ac:dyDescent="0.35">
      <c r="A1270">
        <v>8917</v>
      </c>
      <c r="B1270">
        <v>335</v>
      </c>
      <c r="C1270" t="str">
        <f>VLOOKUP(B1270,Kunde!A:C,3,FALSE)</f>
        <v>Geschäftskunde</v>
      </c>
      <c r="D1270" t="str">
        <f>VLOOKUP(O1270,Produkt!$A$1:$E$5,2,FALSE)</f>
        <v>C</v>
      </c>
      <c r="E1270">
        <f t="shared" si="57"/>
        <v>87</v>
      </c>
      <c r="F1270">
        <f>VLOOKUP(D1270,Produkt!$B$1:$C$5,2,FALSE)*Bestellungen!E1270</f>
        <v>130500</v>
      </c>
      <c r="G1270" s="2">
        <v>44947</v>
      </c>
      <c r="H1270" s="2">
        <f t="shared" si="58"/>
        <v>44950</v>
      </c>
      <c r="I1270" s="2">
        <f t="shared" si="59"/>
        <v>44969</v>
      </c>
      <c r="J1270" t="str">
        <f>VLOOKUP(M1270,Umfragenteilnahme!$A$2:$B$3,2,)</f>
        <v>Nein</v>
      </c>
      <c r="M1270">
        <v>2</v>
      </c>
      <c r="N1270">
        <v>335</v>
      </c>
      <c r="O1270">
        <v>3</v>
      </c>
      <c r="P1270">
        <v>87</v>
      </c>
      <c r="Q1270">
        <v>4</v>
      </c>
      <c r="R1270">
        <v>3</v>
      </c>
      <c r="S1270">
        <v>22</v>
      </c>
    </row>
    <row r="1271" spans="1:19" x14ac:dyDescent="0.35">
      <c r="A1271">
        <v>8918</v>
      </c>
      <c r="B1271">
        <v>496</v>
      </c>
      <c r="C1271" t="str">
        <f>VLOOKUP(B1271,Kunde!A:C,3,FALSE)</f>
        <v>Geschäftskunde</v>
      </c>
      <c r="D1271" t="str">
        <f>VLOOKUP(O1271,Produkt!$A$1:$E$5,2,FALSE)</f>
        <v>B</v>
      </c>
      <c r="E1271">
        <f t="shared" si="57"/>
        <v>147</v>
      </c>
      <c r="F1271">
        <f>VLOOKUP(D1271,Produkt!$B$1:$C$5,2,FALSE)*Bestellungen!E1271</f>
        <v>70560</v>
      </c>
      <c r="G1271" s="2">
        <v>44981</v>
      </c>
      <c r="H1271" s="2">
        <f t="shared" si="58"/>
        <v>44988</v>
      </c>
      <c r="I1271" s="2">
        <f t="shared" si="59"/>
        <v>45034</v>
      </c>
      <c r="J1271" t="str">
        <f>VLOOKUP(M1271,Umfragenteilnahme!$A$2:$B$3,2,)</f>
        <v>Ja</v>
      </c>
      <c r="M1271">
        <v>1</v>
      </c>
      <c r="N1271">
        <v>496</v>
      </c>
      <c r="O1271">
        <v>2</v>
      </c>
      <c r="P1271">
        <v>147</v>
      </c>
      <c r="Q1271">
        <v>6</v>
      </c>
      <c r="R1271">
        <v>7</v>
      </c>
      <c r="S1271">
        <v>53</v>
      </c>
    </row>
    <row r="1272" spans="1:19" x14ac:dyDescent="0.35">
      <c r="A1272">
        <v>8919</v>
      </c>
      <c r="B1272">
        <v>436</v>
      </c>
      <c r="C1272" t="str">
        <f>VLOOKUP(B1272,Kunde!A:C,3,FALSE)</f>
        <v>Privatkunde</v>
      </c>
      <c r="D1272" t="str">
        <f>VLOOKUP(O1272,Produkt!$A$1:$E$5,2,FALSE)</f>
        <v>B</v>
      </c>
      <c r="E1272">
        <f t="shared" si="57"/>
        <v>8</v>
      </c>
      <c r="F1272">
        <f>VLOOKUP(D1272,Produkt!$B$1:$C$5,2,FALSE)*Bestellungen!E1272</f>
        <v>3840</v>
      </c>
      <c r="G1272" s="2">
        <v>44878</v>
      </c>
      <c r="H1272" s="2">
        <f t="shared" si="58"/>
        <v>44882</v>
      </c>
      <c r="I1272" s="2">
        <f t="shared" si="59"/>
        <v>44936</v>
      </c>
      <c r="J1272" t="str">
        <f>VLOOKUP(M1272,Umfragenteilnahme!$A$2:$B$3,2,)</f>
        <v>Ja</v>
      </c>
      <c r="M1272">
        <v>1</v>
      </c>
      <c r="N1272">
        <v>436</v>
      </c>
      <c r="O1272">
        <v>2</v>
      </c>
      <c r="P1272">
        <v>62</v>
      </c>
      <c r="Q1272">
        <v>8</v>
      </c>
      <c r="R1272">
        <v>4</v>
      </c>
      <c r="S1272">
        <v>58</v>
      </c>
    </row>
    <row r="1273" spans="1:19" x14ac:dyDescent="0.35">
      <c r="A1273">
        <v>8920</v>
      </c>
      <c r="B1273">
        <v>521</v>
      </c>
      <c r="C1273" t="str">
        <f>VLOOKUP(B1273,Kunde!A:C,3,FALSE)</f>
        <v>Geschäftskunde</v>
      </c>
      <c r="D1273" t="str">
        <f>VLOOKUP(O1273,Produkt!$A$1:$E$5,2,FALSE)</f>
        <v>B</v>
      </c>
      <c r="E1273">
        <f t="shared" si="57"/>
        <v>134</v>
      </c>
      <c r="F1273">
        <f>VLOOKUP(D1273,Produkt!$B$1:$C$5,2,FALSE)*Bestellungen!E1273</f>
        <v>64320</v>
      </c>
      <c r="G1273" s="2">
        <v>45057</v>
      </c>
      <c r="H1273" s="2">
        <f t="shared" si="58"/>
        <v>45059</v>
      </c>
      <c r="I1273" s="2">
        <f t="shared" si="59"/>
        <v>45083</v>
      </c>
      <c r="J1273" t="str">
        <f>VLOOKUP(M1273,Umfragenteilnahme!$A$2:$B$3,2,)</f>
        <v>Ja</v>
      </c>
      <c r="M1273">
        <v>1</v>
      </c>
      <c r="N1273">
        <v>521</v>
      </c>
      <c r="O1273">
        <v>2</v>
      </c>
      <c r="P1273">
        <v>134</v>
      </c>
      <c r="Q1273">
        <v>2</v>
      </c>
      <c r="R1273">
        <v>2</v>
      </c>
      <c r="S1273">
        <v>26</v>
      </c>
    </row>
    <row r="1274" spans="1:19" x14ac:dyDescent="0.35">
      <c r="A1274">
        <v>8921</v>
      </c>
      <c r="B1274">
        <v>757</v>
      </c>
      <c r="C1274" t="str">
        <f>VLOOKUP(B1274,Kunde!A:C,3,FALSE)</f>
        <v>Geschäftskunde</v>
      </c>
      <c r="D1274" t="str">
        <f>VLOOKUP(O1274,Produkt!$A$1:$E$5,2,FALSE)</f>
        <v>C</v>
      </c>
      <c r="E1274">
        <f t="shared" si="57"/>
        <v>95</v>
      </c>
      <c r="F1274">
        <f>VLOOKUP(D1274,Produkt!$B$1:$C$5,2,FALSE)*Bestellungen!E1274</f>
        <v>142500</v>
      </c>
      <c r="G1274" s="2">
        <v>44831</v>
      </c>
      <c r="H1274" s="2">
        <f t="shared" si="58"/>
        <v>44837</v>
      </c>
      <c r="I1274" s="2">
        <f t="shared" si="59"/>
        <v>44869</v>
      </c>
      <c r="J1274" t="str">
        <f>VLOOKUP(M1274,Umfragenteilnahme!$A$2:$B$3,2,)</f>
        <v>Ja</v>
      </c>
      <c r="M1274">
        <v>1</v>
      </c>
      <c r="N1274">
        <v>757</v>
      </c>
      <c r="O1274">
        <v>3</v>
      </c>
      <c r="P1274">
        <v>95</v>
      </c>
      <c r="Q1274">
        <v>2</v>
      </c>
      <c r="R1274">
        <v>6</v>
      </c>
      <c r="S1274">
        <v>38</v>
      </c>
    </row>
    <row r="1275" spans="1:19" x14ac:dyDescent="0.35">
      <c r="A1275">
        <v>8922</v>
      </c>
      <c r="B1275">
        <v>725</v>
      </c>
      <c r="C1275" t="str">
        <f>VLOOKUP(B1275,Kunde!A:C,3,FALSE)</f>
        <v>Geschäftskunde</v>
      </c>
      <c r="D1275" t="str">
        <f>VLOOKUP(O1275,Produkt!$A$1:$E$5,2,FALSE)</f>
        <v>B</v>
      </c>
      <c r="E1275">
        <f t="shared" si="57"/>
        <v>60</v>
      </c>
      <c r="F1275">
        <f>VLOOKUP(D1275,Produkt!$B$1:$C$5,2,FALSE)*Bestellungen!E1275</f>
        <v>28800</v>
      </c>
      <c r="G1275" s="2">
        <v>44824</v>
      </c>
      <c r="H1275" s="2">
        <f t="shared" si="58"/>
        <v>44831</v>
      </c>
      <c r="I1275" s="2">
        <f t="shared" si="59"/>
        <v>44865</v>
      </c>
      <c r="J1275" t="str">
        <f>VLOOKUP(M1275,Umfragenteilnahme!$A$2:$B$3,2,)</f>
        <v>Nein</v>
      </c>
      <c r="M1275">
        <v>2</v>
      </c>
      <c r="N1275">
        <v>725</v>
      </c>
      <c r="O1275">
        <v>2</v>
      </c>
      <c r="P1275">
        <v>60</v>
      </c>
      <c r="Q1275">
        <v>9</v>
      </c>
      <c r="R1275">
        <v>7</v>
      </c>
      <c r="S1275">
        <v>41</v>
      </c>
    </row>
    <row r="1276" spans="1:19" x14ac:dyDescent="0.35">
      <c r="A1276">
        <v>8923</v>
      </c>
      <c r="B1276">
        <v>17</v>
      </c>
      <c r="C1276" t="str">
        <f>VLOOKUP(B1276,Kunde!A:C,3,FALSE)</f>
        <v>Geschäftskunde</v>
      </c>
      <c r="D1276" t="str">
        <f>VLOOKUP(O1276,Produkt!$A$1:$E$5,2,FALSE)</f>
        <v>C</v>
      </c>
      <c r="E1276">
        <f t="shared" si="57"/>
        <v>74</v>
      </c>
      <c r="F1276">
        <f>VLOOKUP(D1276,Produkt!$B$1:$C$5,2,FALSE)*Bestellungen!E1276</f>
        <v>111000</v>
      </c>
      <c r="G1276" s="2">
        <v>44723</v>
      </c>
      <c r="H1276" s="2">
        <f t="shared" si="58"/>
        <v>44725</v>
      </c>
      <c r="I1276" s="2">
        <f t="shared" si="59"/>
        <v>44781</v>
      </c>
      <c r="J1276" t="str">
        <f>VLOOKUP(M1276,Umfragenteilnahme!$A$2:$B$3,2,)</f>
        <v>Nein</v>
      </c>
      <c r="M1276">
        <v>2</v>
      </c>
      <c r="N1276">
        <v>17</v>
      </c>
      <c r="O1276">
        <v>3</v>
      </c>
      <c r="P1276">
        <v>74</v>
      </c>
      <c r="Q1276">
        <v>9</v>
      </c>
      <c r="R1276">
        <v>2</v>
      </c>
      <c r="S1276">
        <v>58</v>
      </c>
    </row>
    <row r="1277" spans="1:19" x14ac:dyDescent="0.35">
      <c r="A1277">
        <v>8924</v>
      </c>
      <c r="B1277">
        <v>427</v>
      </c>
      <c r="C1277" t="str">
        <f>VLOOKUP(B1277,Kunde!A:C,3,FALSE)</f>
        <v>Geschäftskunde</v>
      </c>
      <c r="D1277" t="str">
        <f>VLOOKUP(O1277,Produkt!$A$1:$E$5,2,FALSE)</f>
        <v>A</v>
      </c>
      <c r="E1277">
        <f t="shared" si="57"/>
        <v>71</v>
      </c>
      <c r="F1277">
        <f>VLOOKUP(D1277,Produkt!$B$1:$C$5,2,FALSE)*Bestellungen!E1277</f>
        <v>21300</v>
      </c>
      <c r="G1277" s="2">
        <v>44907</v>
      </c>
      <c r="H1277" s="2">
        <f t="shared" si="58"/>
        <v>44911</v>
      </c>
      <c r="I1277" s="2">
        <f t="shared" si="59"/>
        <v>44920</v>
      </c>
      <c r="J1277" t="str">
        <f>VLOOKUP(M1277,Umfragenteilnahme!$A$2:$B$3,2,)</f>
        <v>Ja</v>
      </c>
      <c r="M1277">
        <v>1</v>
      </c>
      <c r="N1277">
        <v>427</v>
      </c>
      <c r="O1277">
        <v>1</v>
      </c>
      <c r="P1277">
        <v>71</v>
      </c>
      <c r="Q1277">
        <v>3</v>
      </c>
      <c r="R1277">
        <v>4</v>
      </c>
      <c r="S1277">
        <v>13</v>
      </c>
    </row>
    <row r="1278" spans="1:19" x14ac:dyDescent="0.35">
      <c r="A1278">
        <v>8925</v>
      </c>
      <c r="B1278">
        <v>718</v>
      </c>
      <c r="C1278" t="str">
        <f>VLOOKUP(B1278,Kunde!A:C,3,FALSE)</f>
        <v>Geschäftskunde</v>
      </c>
      <c r="D1278" t="str">
        <f>VLOOKUP(O1278,Produkt!$A$1:$E$5,2,FALSE)</f>
        <v>C</v>
      </c>
      <c r="E1278">
        <f t="shared" si="57"/>
        <v>114</v>
      </c>
      <c r="F1278">
        <f>VLOOKUP(D1278,Produkt!$B$1:$C$5,2,FALSE)*Bestellungen!E1278</f>
        <v>171000</v>
      </c>
      <c r="G1278" s="2">
        <v>44843</v>
      </c>
      <c r="H1278" s="2">
        <f t="shared" si="58"/>
        <v>44845</v>
      </c>
      <c r="I1278" s="2">
        <f t="shared" si="59"/>
        <v>44881</v>
      </c>
      <c r="J1278" t="str">
        <f>VLOOKUP(M1278,Umfragenteilnahme!$A$2:$B$3,2,)</f>
        <v>Nein</v>
      </c>
      <c r="M1278">
        <v>2</v>
      </c>
      <c r="N1278">
        <v>718</v>
      </c>
      <c r="O1278">
        <v>3</v>
      </c>
      <c r="P1278">
        <v>114</v>
      </c>
      <c r="Q1278">
        <v>2</v>
      </c>
      <c r="R1278">
        <v>2</v>
      </c>
      <c r="S1278">
        <v>38</v>
      </c>
    </row>
    <row r="1279" spans="1:19" x14ac:dyDescent="0.35">
      <c r="A1279">
        <v>8926</v>
      </c>
      <c r="B1279">
        <v>368</v>
      </c>
      <c r="C1279" t="str">
        <f>VLOOKUP(B1279,Kunde!A:C,3,FALSE)</f>
        <v>Geschäftskunde</v>
      </c>
      <c r="D1279" t="str">
        <f>VLOOKUP(O1279,Produkt!$A$1:$E$5,2,FALSE)</f>
        <v>A</v>
      </c>
      <c r="E1279">
        <f t="shared" si="57"/>
        <v>12</v>
      </c>
      <c r="F1279">
        <f>VLOOKUP(D1279,Produkt!$B$1:$C$5,2,FALSE)*Bestellungen!E1279</f>
        <v>3600</v>
      </c>
      <c r="G1279" s="2">
        <v>44969</v>
      </c>
      <c r="H1279" s="2">
        <f t="shared" si="58"/>
        <v>44973</v>
      </c>
      <c r="I1279" s="2">
        <f t="shared" si="59"/>
        <v>45005</v>
      </c>
      <c r="J1279" t="str">
        <f>VLOOKUP(M1279,Umfragenteilnahme!$A$2:$B$3,2,)</f>
        <v>Ja</v>
      </c>
      <c r="M1279">
        <v>1</v>
      </c>
      <c r="N1279">
        <v>368</v>
      </c>
      <c r="O1279">
        <v>1</v>
      </c>
      <c r="P1279">
        <v>12</v>
      </c>
      <c r="Q1279">
        <v>5</v>
      </c>
      <c r="R1279">
        <v>4</v>
      </c>
      <c r="S1279">
        <v>36</v>
      </c>
    </row>
    <row r="1280" spans="1:19" x14ac:dyDescent="0.35">
      <c r="A1280">
        <v>8927</v>
      </c>
      <c r="B1280">
        <v>380</v>
      </c>
      <c r="C1280" t="str">
        <f>VLOOKUP(B1280,Kunde!A:C,3,FALSE)</f>
        <v>Geschäftskunde</v>
      </c>
      <c r="D1280" t="str">
        <f>VLOOKUP(O1280,Produkt!$A$1:$E$5,2,FALSE)</f>
        <v>B</v>
      </c>
      <c r="E1280">
        <f t="shared" si="57"/>
        <v>38</v>
      </c>
      <c r="F1280">
        <f>VLOOKUP(D1280,Produkt!$B$1:$C$5,2,FALSE)*Bestellungen!E1280</f>
        <v>18240</v>
      </c>
      <c r="G1280" s="2">
        <v>44739</v>
      </c>
      <c r="H1280" s="2">
        <f t="shared" si="58"/>
        <v>44746</v>
      </c>
      <c r="I1280" s="2">
        <f t="shared" si="59"/>
        <v>44745</v>
      </c>
      <c r="J1280" t="str">
        <f>VLOOKUP(M1280,Umfragenteilnahme!$A$2:$B$3,2,)</f>
        <v>Nein</v>
      </c>
      <c r="M1280">
        <v>2</v>
      </c>
      <c r="N1280">
        <v>380</v>
      </c>
      <c r="O1280">
        <v>2</v>
      </c>
      <c r="P1280">
        <v>38</v>
      </c>
      <c r="Q1280">
        <v>5</v>
      </c>
      <c r="R1280">
        <v>7</v>
      </c>
      <c r="S1280">
        <v>6</v>
      </c>
    </row>
    <row r="1281" spans="1:19" x14ac:dyDescent="0.35">
      <c r="A1281">
        <v>8928</v>
      </c>
      <c r="B1281">
        <v>758</v>
      </c>
      <c r="C1281" t="str">
        <f>VLOOKUP(B1281,Kunde!A:C,3,FALSE)</f>
        <v>Geschäftskunde</v>
      </c>
      <c r="D1281" t="str">
        <f>VLOOKUP(O1281,Produkt!$A$1:$E$5,2,FALSE)</f>
        <v>A</v>
      </c>
      <c r="E1281">
        <f t="shared" si="57"/>
        <v>120</v>
      </c>
      <c r="F1281">
        <f>VLOOKUP(D1281,Produkt!$B$1:$C$5,2,FALSE)*Bestellungen!E1281</f>
        <v>36000</v>
      </c>
      <c r="G1281" s="2">
        <v>44824</v>
      </c>
      <c r="H1281" s="2">
        <f t="shared" si="58"/>
        <v>44830</v>
      </c>
      <c r="I1281" s="2">
        <f t="shared" si="59"/>
        <v>44870</v>
      </c>
      <c r="J1281" t="str">
        <f>VLOOKUP(M1281,Umfragenteilnahme!$A$2:$B$3,2,)</f>
        <v>Nein</v>
      </c>
      <c r="M1281">
        <v>2</v>
      </c>
      <c r="N1281">
        <v>758</v>
      </c>
      <c r="O1281">
        <v>1</v>
      </c>
      <c r="P1281">
        <v>120</v>
      </c>
      <c r="Q1281">
        <v>4</v>
      </c>
      <c r="R1281">
        <v>6</v>
      </c>
      <c r="S1281">
        <v>46</v>
      </c>
    </row>
    <row r="1282" spans="1:19" x14ac:dyDescent="0.35">
      <c r="A1282">
        <v>8929</v>
      </c>
      <c r="B1282">
        <v>124</v>
      </c>
      <c r="C1282" t="str">
        <f>VLOOKUP(B1282,Kunde!A:C,3,FALSE)</f>
        <v>Privatkunde</v>
      </c>
      <c r="D1282" t="str">
        <f>VLOOKUP(O1282,Produkt!$A$1:$E$5,2,FALSE)</f>
        <v>C</v>
      </c>
      <c r="E1282">
        <f t="shared" si="57"/>
        <v>8</v>
      </c>
      <c r="F1282">
        <f>VLOOKUP(D1282,Produkt!$B$1:$C$5,2,FALSE)*Bestellungen!E1282</f>
        <v>12000</v>
      </c>
      <c r="G1282" s="2">
        <v>45065</v>
      </c>
      <c r="H1282" s="2">
        <f t="shared" si="58"/>
        <v>45072</v>
      </c>
      <c r="I1282" s="2">
        <f t="shared" si="59"/>
        <v>45076</v>
      </c>
      <c r="J1282" t="str">
        <f>VLOOKUP(M1282,Umfragenteilnahme!$A$2:$B$3,2,)</f>
        <v>Nein</v>
      </c>
      <c r="M1282">
        <v>2</v>
      </c>
      <c r="N1282">
        <v>124</v>
      </c>
      <c r="O1282">
        <v>3</v>
      </c>
      <c r="P1282">
        <v>75</v>
      </c>
      <c r="Q1282">
        <v>8</v>
      </c>
      <c r="R1282">
        <v>7</v>
      </c>
      <c r="S1282">
        <v>11</v>
      </c>
    </row>
    <row r="1283" spans="1:19" x14ac:dyDescent="0.35">
      <c r="A1283">
        <v>8930</v>
      </c>
      <c r="B1283">
        <v>288</v>
      </c>
      <c r="C1283" t="str">
        <f>VLOOKUP(B1283,Kunde!A:C,3,FALSE)</f>
        <v>Privatkunde</v>
      </c>
      <c r="D1283" t="str">
        <f>VLOOKUP(O1283,Produkt!$A$1:$E$5,2,FALSE)</f>
        <v>C</v>
      </c>
      <c r="E1283">
        <f t="shared" ref="E1283:E1346" si="60">IF(C1283="Geschäftskunde",P1283,Q1283)</f>
        <v>7</v>
      </c>
      <c r="F1283">
        <f>VLOOKUP(D1283,Produkt!$B$1:$C$5,2,FALSE)*Bestellungen!E1283</f>
        <v>10500</v>
      </c>
      <c r="G1283" s="2">
        <v>44858</v>
      </c>
      <c r="H1283" s="2">
        <f t="shared" ref="H1283:H1346" si="61">G1283+R1283</f>
        <v>44863</v>
      </c>
      <c r="I1283" s="2">
        <f t="shared" ref="I1283:I1346" si="62">G1283+S1283</f>
        <v>44904</v>
      </c>
      <c r="J1283" t="str">
        <f>VLOOKUP(M1283,Umfragenteilnahme!$A$2:$B$3,2,)</f>
        <v>Ja</v>
      </c>
      <c r="M1283">
        <v>1</v>
      </c>
      <c r="N1283">
        <v>288</v>
      </c>
      <c r="O1283">
        <v>3</v>
      </c>
      <c r="P1283">
        <v>61</v>
      </c>
      <c r="Q1283">
        <v>7</v>
      </c>
      <c r="R1283">
        <v>5</v>
      </c>
      <c r="S1283">
        <v>46</v>
      </c>
    </row>
    <row r="1284" spans="1:19" x14ac:dyDescent="0.35">
      <c r="A1284">
        <v>8931</v>
      </c>
      <c r="B1284">
        <v>477</v>
      </c>
      <c r="C1284" t="str">
        <f>VLOOKUP(B1284,Kunde!A:C,3,FALSE)</f>
        <v>Geschäftskunde</v>
      </c>
      <c r="D1284" t="str">
        <f>VLOOKUP(O1284,Produkt!$A$1:$E$5,2,FALSE)</f>
        <v>A</v>
      </c>
      <c r="E1284">
        <f t="shared" si="60"/>
        <v>45</v>
      </c>
      <c r="F1284">
        <f>VLOOKUP(D1284,Produkt!$B$1:$C$5,2,FALSE)*Bestellungen!E1284</f>
        <v>13500</v>
      </c>
      <c r="G1284" s="2">
        <v>44724</v>
      </c>
      <c r="H1284" s="2">
        <f t="shared" si="61"/>
        <v>44730</v>
      </c>
      <c r="I1284" s="2">
        <f t="shared" si="62"/>
        <v>44769</v>
      </c>
      <c r="J1284" t="str">
        <f>VLOOKUP(M1284,Umfragenteilnahme!$A$2:$B$3,2,)</f>
        <v>Ja</v>
      </c>
      <c r="M1284">
        <v>1</v>
      </c>
      <c r="N1284">
        <v>477</v>
      </c>
      <c r="O1284">
        <v>1</v>
      </c>
      <c r="P1284">
        <v>45</v>
      </c>
      <c r="Q1284">
        <v>1</v>
      </c>
      <c r="R1284">
        <v>6</v>
      </c>
      <c r="S1284">
        <v>45</v>
      </c>
    </row>
    <row r="1285" spans="1:19" x14ac:dyDescent="0.35">
      <c r="A1285">
        <v>8932</v>
      </c>
      <c r="B1285">
        <v>192</v>
      </c>
      <c r="C1285" t="str">
        <f>VLOOKUP(B1285,Kunde!A:C,3,FALSE)</f>
        <v>Privatkunde</v>
      </c>
      <c r="D1285" t="str">
        <f>VLOOKUP(O1285,Produkt!$A$1:$E$5,2,FALSE)</f>
        <v>C</v>
      </c>
      <c r="E1285">
        <f t="shared" si="60"/>
        <v>4</v>
      </c>
      <c r="F1285">
        <f>VLOOKUP(D1285,Produkt!$B$1:$C$5,2,FALSE)*Bestellungen!E1285</f>
        <v>6000</v>
      </c>
      <c r="G1285" s="2">
        <v>45025</v>
      </c>
      <c r="H1285" s="2">
        <f t="shared" si="61"/>
        <v>45031</v>
      </c>
      <c r="I1285" s="2">
        <f t="shared" si="62"/>
        <v>45057</v>
      </c>
      <c r="J1285" t="str">
        <f>VLOOKUP(M1285,Umfragenteilnahme!$A$2:$B$3,2,)</f>
        <v>Nein</v>
      </c>
      <c r="M1285">
        <v>2</v>
      </c>
      <c r="N1285">
        <v>192</v>
      </c>
      <c r="O1285">
        <v>3</v>
      </c>
      <c r="P1285">
        <v>146</v>
      </c>
      <c r="Q1285">
        <v>4</v>
      </c>
      <c r="R1285">
        <v>6</v>
      </c>
      <c r="S1285">
        <v>32</v>
      </c>
    </row>
    <row r="1286" spans="1:19" x14ac:dyDescent="0.35">
      <c r="A1286">
        <v>8933</v>
      </c>
      <c r="B1286">
        <v>79</v>
      </c>
      <c r="C1286" t="str">
        <f>VLOOKUP(B1286,Kunde!A:C,3,FALSE)</f>
        <v>Geschäftskunde</v>
      </c>
      <c r="D1286" t="str">
        <f>VLOOKUP(O1286,Produkt!$A$1:$E$5,2,FALSE)</f>
        <v>A</v>
      </c>
      <c r="E1286">
        <f t="shared" si="60"/>
        <v>19</v>
      </c>
      <c r="F1286">
        <f>VLOOKUP(D1286,Produkt!$B$1:$C$5,2,FALSE)*Bestellungen!E1286</f>
        <v>5700</v>
      </c>
      <c r="G1286" s="2">
        <v>45040</v>
      </c>
      <c r="H1286" s="2">
        <f t="shared" si="61"/>
        <v>45042</v>
      </c>
      <c r="I1286" s="2">
        <f t="shared" si="62"/>
        <v>45066</v>
      </c>
      <c r="J1286" t="str">
        <f>VLOOKUP(M1286,Umfragenteilnahme!$A$2:$B$3,2,)</f>
        <v>Nein</v>
      </c>
      <c r="M1286">
        <v>2</v>
      </c>
      <c r="N1286">
        <v>79</v>
      </c>
      <c r="O1286">
        <v>1</v>
      </c>
      <c r="P1286">
        <v>19</v>
      </c>
      <c r="Q1286">
        <v>3</v>
      </c>
      <c r="R1286">
        <v>2</v>
      </c>
      <c r="S1286">
        <v>26</v>
      </c>
    </row>
    <row r="1287" spans="1:19" x14ac:dyDescent="0.35">
      <c r="A1287">
        <v>8934</v>
      </c>
      <c r="B1287">
        <v>31</v>
      </c>
      <c r="C1287" t="str">
        <f>VLOOKUP(B1287,Kunde!A:C,3,FALSE)</f>
        <v>Geschäftskunde</v>
      </c>
      <c r="D1287" t="str">
        <f>VLOOKUP(O1287,Produkt!$A$1:$E$5,2,FALSE)</f>
        <v>B</v>
      </c>
      <c r="E1287">
        <f t="shared" si="60"/>
        <v>59</v>
      </c>
      <c r="F1287">
        <f>VLOOKUP(D1287,Produkt!$B$1:$C$5,2,FALSE)*Bestellungen!E1287</f>
        <v>28320</v>
      </c>
      <c r="G1287" s="2">
        <v>45066</v>
      </c>
      <c r="H1287" s="2">
        <f t="shared" si="61"/>
        <v>45073</v>
      </c>
      <c r="I1287" s="2">
        <f t="shared" si="62"/>
        <v>45085</v>
      </c>
      <c r="J1287" t="str">
        <f>VLOOKUP(M1287,Umfragenteilnahme!$A$2:$B$3,2,)</f>
        <v>Ja</v>
      </c>
      <c r="M1287">
        <v>1</v>
      </c>
      <c r="N1287">
        <v>31</v>
      </c>
      <c r="O1287">
        <v>2</v>
      </c>
      <c r="P1287">
        <v>59</v>
      </c>
      <c r="Q1287">
        <v>3</v>
      </c>
      <c r="R1287">
        <v>7</v>
      </c>
      <c r="S1287">
        <v>19</v>
      </c>
    </row>
    <row r="1288" spans="1:19" x14ac:dyDescent="0.35">
      <c r="A1288">
        <v>8935</v>
      </c>
      <c r="B1288">
        <v>520</v>
      </c>
      <c r="C1288" t="str">
        <f>VLOOKUP(B1288,Kunde!A:C,3,FALSE)</f>
        <v>Geschäftskunde</v>
      </c>
      <c r="D1288" t="str">
        <f>VLOOKUP(O1288,Produkt!$A$1:$E$5,2,FALSE)</f>
        <v>B</v>
      </c>
      <c r="E1288">
        <f t="shared" si="60"/>
        <v>105</v>
      </c>
      <c r="F1288">
        <f>VLOOKUP(D1288,Produkt!$B$1:$C$5,2,FALSE)*Bestellungen!E1288</f>
        <v>50400</v>
      </c>
      <c r="G1288" s="2">
        <v>45030</v>
      </c>
      <c r="H1288" s="2">
        <f t="shared" si="61"/>
        <v>45032</v>
      </c>
      <c r="I1288" s="2">
        <f t="shared" si="62"/>
        <v>45053</v>
      </c>
      <c r="J1288" t="str">
        <f>VLOOKUP(M1288,Umfragenteilnahme!$A$2:$B$3,2,)</f>
        <v>Nein</v>
      </c>
      <c r="M1288">
        <v>2</v>
      </c>
      <c r="N1288">
        <v>520</v>
      </c>
      <c r="O1288">
        <v>2</v>
      </c>
      <c r="P1288">
        <v>105</v>
      </c>
      <c r="Q1288">
        <v>2</v>
      </c>
      <c r="R1288">
        <v>2</v>
      </c>
      <c r="S1288">
        <v>23</v>
      </c>
    </row>
    <row r="1289" spans="1:19" x14ac:dyDescent="0.35">
      <c r="A1289">
        <v>8936</v>
      </c>
      <c r="B1289">
        <v>138</v>
      </c>
      <c r="C1289" t="str">
        <f>VLOOKUP(B1289,Kunde!A:C,3,FALSE)</f>
        <v>Geschäftskunde</v>
      </c>
      <c r="D1289" t="str">
        <f>VLOOKUP(O1289,Produkt!$A$1:$E$5,2,FALSE)</f>
        <v>B</v>
      </c>
      <c r="E1289">
        <f t="shared" si="60"/>
        <v>149</v>
      </c>
      <c r="F1289">
        <f>VLOOKUP(D1289,Produkt!$B$1:$C$5,2,FALSE)*Bestellungen!E1289</f>
        <v>71520</v>
      </c>
      <c r="G1289" s="2">
        <v>44747</v>
      </c>
      <c r="H1289" s="2">
        <f t="shared" si="61"/>
        <v>44749</v>
      </c>
      <c r="I1289" s="2">
        <f t="shared" si="62"/>
        <v>44795</v>
      </c>
      <c r="J1289" t="str">
        <f>VLOOKUP(M1289,Umfragenteilnahme!$A$2:$B$3,2,)</f>
        <v>Nein</v>
      </c>
      <c r="M1289">
        <v>2</v>
      </c>
      <c r="N1289">
        <v>138</v>
      </c>
      <c r="O1289">
        <v>2</v>
      </c>
      <c r="P1289">
        <v>149</v>
      </c>
      <c r="Q1289">
        <v>4</v>
      </c>
      <c r="R1289">
        <v>2</v>
      </c>
      <c r="S1289">
        <v>48</v>
      </c>
    </row>
    <row r="1290" spans="1:19" x14ac:dyDescent="0.35">
      <c r="A1290">
        <v>8937</v>
      </c>
      <c r="B1290">
        <v>382</v>
      </c>
      <c r="C1290" t="str">
        <f>VLOOKUP(B1290,Kunde!A:C,3,FALSE)</f>
        <v>Geschäftskunde</v>
      </c>
      <c r="D1290" t="str">
        <f>VLOOKUP(O1290,Produkt!$A$1:$E$5,2,FALSE)</f>
        <v>A</v>
      </c>
      <c r="E1290">
        <f t="shared" si="60"/>
        <v>91</v>
      </c>
      <c r="F1290">
        <f>VLOOKUP(D1290,Produkt!$B$1:$C$5,2,FALSE)*Bestellungen!E1290</f>
        <v>27300</v>
      </c>
      <c r="G1290" s="2">
        <v>44831</v>
      </c>
      <c r="H1290" s="2">
        <f t="shared" si="61"/>
        <v>44837</v>
      </c>
      <c r="I1290" s="2">
        <f t="shared" si="62"/>
        <v>44874</v>
      </c>
      <c r="J1290" t="str">
        <f>VLOOKUP(M1290,Umfragenteilnahme!$A$2:$B$3,2,)</f>
        <v>Ja</v>
      </c>
      <c r="M1290">
        <v>1</v>
      </c>
      <c r="N1290">
        <v>382</v>
      </c>
      <c r="O1290">
        <v>1</v>
      </c>
      <c r="P1290">
        <v>91</v>
      </c>
      <c r="Q1290">
        <v>6</v>
      </c>
      <c r="R1290">
        <v>6</v>
      </c>
      <c r="S1290">
        <v>43</v>
      </c>
    </row>
    <row r="1291" spans="1:19" x14ac:dyDescent="0.35">
      <c r="A1291">
        <v>8938</v>
      </c>
      <c r="B1291">
        <v>627</v>
      </c>
      <c r="C1291" t="str">
        <f>VLOOKUP(B1291,Kunde!A:C,3,FALSE)</f>
        <v>Geschäftskunde</v>
      </c>
      <c r="D1291" t="str">
        <f>VLOOKUP(O1291,Produkt!$A$1:$E$5,2,FALSE)</f>
        <v>D</v>
      </c>
      <c r="E1291">
        <f t="shared" si="60"/>
        <v>17</v>
      </c>
      <c r="F1291">
        <f>VLOOKUP(D1291,Produkt!$B$1:$C$5,2,FALSE)*Bestellungen!E1291</f>
        <v>13600</v>
      </c>
      <c r="G1291" s="2">
        <v>45069</v>
      </c>
      <c r="H1291" s="2">
        <f t="shared" si="61"/>
        <v>45076</v>
      </c>
      <c r="I1291" s="2">
        <f t="shared" si="62"/>
        <v>45088</v>
      </c>
      <c r="J1291" t="str">
        <f>VLOOKUP(M1291,Umfragenteilnahme!$A$2:$B$3,2,)</f>
        <v>Nein</v>
      </c>
      <c r="M1291">
        <v>2</v>
      </c>
      <c r="N1291">
        <v>627</v>
      </c>
      <c r="O1291">
        <v>4</v>
      </c>
      <c r="P1291">
        <v>17</v>
      </c>
      <c r="Q1291">
        <v>3</v>
      </c>
      <c r="R1291">
        <v>7</v>
      </c>
      <c r="S1291">
        <v>19</v>
      </c>
    </row>
    <row r="1292" spans="1:19" x14ac:dyDescent="0.35">
      <c r="A1292">
        <v>8939</v>
      </c>
      <c r="B1292">
        <v>377</v>
      </c>
      <c r="C1292" t="str">
        <f>VLOOKUP(B1292,Kunde!A:C,3,FALSE)</f>
        <v>Geschäftskunde</v>
      </c>
      <c r="D1292" t="str">
        <f>VLOOKUP(O1292,Produkt!$A$1:$E$5,2,FALSE)</f>
        <v>D</v>
      </c>
      <c r="E1292">
        <f t="shared" si="60"/>
        <v>84</v>
      </c>
      <c r="F1292">
        <f>VLOOKUP(D1292,Produkt!$B$1:$C$5,2,FALSE)*Bestellungen!E1292</f>
        <v>67200</v>
      </c>
      <c r="G1292" s="2">
        <v>44886</v>
      </c>
      <c r="H1292" s="2">
        <f t="shared" si="61"/>
        <v>44888</v>
      </c>
      <c r="I1292" s="2">
        <f t="shared" si="62"/>
        <v>44894</v>
      </c>
      <c r="J1292" t="str">
        <f>VLOOKUP(M1292,Umfragenteilnahme!$A$2:$B$3,2,)</f>
        <v>Nein</v>
      </c>
      <c r="M1292">
        <v>2</v>
      </c>
      <c r="N1292">
        <v>377</v>
      </c>
      <c r="O1292">
        <v>4</v>
      </c>
      <c r="P1292">
        <v>84</v>
      </c>
      <c r="Q1292">
        <v>4</v>
      </c>
      <c r="R1292">
        <v>2</v>
      </c>
      <c r="S1292">
        <v>8</v>
      </c>
    </row>
    <row r="1293" spans="1:19" x14ac:dyDescent="0.35">
      <c r="A1293">
        <v>8940</v>
      </c>
      <c r="B1293">
        <v>508</v>
      </c>
      <c r="C1293" t="str">
        <f>VLOOKUP(B1293,Kunde!A:C,3,FALSE)</f>
        <v>Geschäftskunde</v>
      </c>
      <c r="D1293" t="str">
        <f>VLOOKUP(O1293,Produkt!$A$1:$E$5,2,FALSE)</f>
        <v>C</v>
      </c>
      <c r="E1293">
        <f t="shared" si="60"/>
        <v>144</v>
      </c>
      <c r="F1293">
        <f>VLOOKUP(D1293,Produkt!$B$1:$C$5,2,FALSE)*Bestellungen!E1293</f>
        <v>216000</v>
      </c>
      <c r="G1293" s="2">
        <v>45049</v>
      </c>
      <c r="H1293" s="2">
        <f t="shared" si="61"/>
        <v>45052</v>
      </c>
      <c r="I1293" s="2">
        <f t="shared" si="62"/>
        <v>45102</v>
      </c>
      <c r="J1293" t="str">
        <f>VLOOKUP(M1293,Umfragenteilnahme!$A$2:$B$3,2,)</f>
        <v>Ja</v>
      </c>
      <c r="M1293">
        <v>1</v>
      </c>
      <c r="N1293">
        <v>508</v>
      </c>
      <c r="O1293">
        <v>3</v>
      </c>
      <c r="P1293">
        <v>144</v>
      </c>
      <c r="Q1293">
        <v>2</v>
      </c>
      <c r="R1293">
        <v>3</v>
      </c>
      <c r="S1293">
        <v>53</v>
      </c>
    </row>
    <row r="1294" spans="1:19" x14ac:dyDescent="0.35">
      <c r="A1294">
        <v>8941</v>
      </c>
      <c r="B1294">
        <v>62</v>
      </c>
      <c r="C1294" t="str">
        <f>VLOOKUP(B1294,Kunde!A:C,3,FALSE)</f>
        <v>Geschäftskunde</v>
      </c>
      <c r="D1294" t="str">
        <f>VLOOKUP(O1294,Produkt!$A$1:$E$5,2,FALSE)</f>
        <v>B</v>
      </c>
      <c r="E1294">
        <f t="shared" si="60"/>
        <v>18</v>
      </c>
      <c r="F1294">
        <f>VLOOKUP(D1294,Produkt!$B$1:$C$5,2,FALSE)*Bestellungen!E1294</f>
        <v>8640</v>
      </c>
      <c r="G1294" s="2">
        <v>44881</v>
      </c>
      <c r="H1294" s="2">
        <f t="shared" si="61"/>
        <v>44888</v>
      </c>
      <c r="I1294" s="2">
        <f t="shared" si="62"/>
        <v>44920</v>
      </c>
      <c r="J1294" t="str">
        <f>VLOOKUP(M1294,Umfragenteilnahme!$A$2:$B$3,2,)</f>
        <v>Ja</v>
      </c>
      <c r="M1294">
        <v>1</v>
      </c>
      <c r="N1294">
        <v>62</v>
      </c>
      <c r="O1294">
        <v>2</v>
      </c>
      <c r="P1294">
        <v>18</v>
      </c>
      <c r="Q1294">
        <v>2</v>
      </c>
      <c r="R1294">
        <v>7</v>
      </c>
      <c r="S1294">
        <v>39</v>
      </c>
    </row>
    <row r="1295" spans="1:19" x14ac:dyDescent="0.35">
      <c r="A1295">
        <v>8942</v>
      </c>
      <c r="B1295">
        <v>364</v>
      </c>
      <c r="C1295" t="str">
        <f>VLOOKUP(B1295,Kunde!A:C,3,FALSE)</f>
        <v>Privatkunde</v>
      </c>
      <c r="D1295" t="str">
        <f>VLOOKUP(O1295,Produkt!$A$1:$E$5,2,FALSE)</f>
        <v>A</v>
      </c>
      <c r="E1295">
        <f t="shared" si="60"/>
        <v>8</v>
      </c>
      <c r="F1295">
        <f>VLOOKUP(D1295,Produkt!$B$1:$C$5,2,FALSE)*Bestellungen!E1295</f>
        <v>2400</v>
      </c>
      <c r="G1295" s="2">
        <v>44785</v>
      </c>
      <c r="H1295" s="2">
        <f t="shared" si="61"/>
        <v>44792</v>
      </c>
      <c r="I1295" s="2">
        <f t="shared" si="62"/>
        <v>44797</v>
      </c>
      <c r="J1295" t="str">
        <f>VLOOKUP(M1295,Umfragenteilnahme!$A$2:$B$3,2,)</f>
        <v>Nein</v>
      </c>
      <c r="M1295">
        <v>2</v>
      </c>
      <c r="N1295">
        <v>364</v>
      </c>
      <c r="O1295">
        <v>1</v>
      </c>
      <c r="P1295">
        <v>44</v>
      </c>
      <c r="Q1295">
        <v>8</v>
      </c>
      <c r="R1295">
        <v>7</v>
      </c>
      <c r="S1295">
        <v>12</v>
      </c>
    </row>
    <row r="1296" spans="1:19" x14ac:dyDescent="0.35">
      <c r="A1296">
        <v>8943</v>
      </c>
      <c r="B1296">
        <v>606</v>
      </c>
      <c r="C1296" t="str">
        <f>VLOOKUP(B1296,Kunde!A:C,3,FALSE)</f>
        <v>Geschäftskunde</v>
      </c>
      <c r="D1296" t="str">
        <f>VLOOKUP(O1296,Produkt!$A$1:$E$5,2,FALSE)</f>
        <v>A</v>
      </c>
      <c r="E1296">
        <f t="shared" si="60"/>
        <v>51</v>
      </c>
      <c r="F1296">
        <f>VLOOKUP(D1296,Produkt!$B$1:$C$5,2,FALSE)*Bestellungen!E1296</f>
        <v>15300</v>
      </c>
      <c r="G1296" s="2">
        <v>44718</v>
      </c>
      <c r="H1296" s="2">
        <f t="shared" si="61"/>
        <v>44720</v>
      </c>
      <c r="I1296" s="2">
        <f t="shared" si="62"/>
        <v>44770</v>
      </c>
      <c r="J1296" t="str">
        <f>VLOOKUP(M1296,Umfragenteilnahme!$A$2:$B$3,2,)</f>
        <v>Nein</v>
      </c>
      <c r="M1296">
        <v>2</v>
      </c>
      <c r="N1296">
        <v>606</v>
      </c>
      <c r="O1296">
        <v>1</v>
      </c>
      <c r="P1296">
        <v>51</v>
      </c>
      <c r="Q1296">
        <v>6</v>
      </c>
      <c r="R1296">
        <v>2</v>
      </c>
      <c r="S1296">
        <v>52</v>
      </c>
    </row>
    <row r="1297" spans="1:19" x14ac:dyDescent="0.35">
      <c r="A1297">
        <v>8944</v>
      </c>
      <c r="B1297">
        <v>260</v>
      </c>
      <c r="C1297" t="str">
        <f>VLOOKUP(B1297,Kunde!A:C,3,FALSE)</f>
        <v>Geschäftskunde</v>
      </c>
      <c r="D1297" t="str">
        <f>VLOOKUP(O1297,Produkt!$A$1:$E$5,2,FALSE)</f>
        <v>A</v>
      </c>
      <c r="E1297">
        <f t="shared" si="60"/>
        <v>80</v>
      </c>
      <c r="F1297">
        <f>VLOOKUP(D1297,Produkt!$B$1:$C$5,2,FALSE)*Bestellungen!E1297</f>
        <v>24000</v>
      </c>
      <c r="G1297" s="2">
        <v>44923</v>
      </c>
      <c r="H1297" s="2">
        <f t="shared" si="61"/>
        <v>44926</v>
      </c>
      <c r="I1297" s="2">
        <f t="shared" si="62"/>
        <v>44952</v>
      </c>
      <c r="J1297" t="str">
        <f>VLOOKUP(M1297,Umfragenteilnahme!$A$2:$B$3,2,)</f>
        <v>Nein</v>
      </c>
      <c r="M1297">
        <v>2</v>
      </c>
      <c r="N1297">
        <v>260</v>
      </c>
      <c r="O1297">
        <v>1</v>
      </c>
      <c r="P1297">
        <v>80</v>
      </c>
      <c r="Q1297">
        <v>6</v>
      </c>
      <c r="R1297">
        <v>3</v>
      </c>
      <c r="S1297">
        <v>29</v>
      </c>
    </row>
    <row r="1298" spans="1:19" x14ac:dyDescent="0.35">
      <c r="A1298">
        <v>8945</v>
      </c>
      <c r="B1298">
        <v>259</v>
      </c>
      <c r="C1298" t="str">
        <f>VLOOKUP(B1298,Kunde!A:C,3,FALSE)</f>
        <v>Geschäftskunde</v>
      </c>
      <c r="D1298" t="str">
        <f>VLOOKUP(O1298,Produkt!$A$1:$E$5,2,FALSE)</f>
        <v>B</v>
      </c>
      <c r="E1298">
        <f t="shared" si="60"/>
        <v>15</v>
      </c>
      <c r="F1298">
        <f>VLOOKUP(D1298,Produkt!$B$1:$C$5,2,FALSE)*Bestellungen!E1298</f>
        <v>7200</v>
      </c>
      <c r="G1298" s="2">
        <v>44935</v>
      </c>
      <c r="H1298" s="2">
        <f t="shared" si="61"/>
        <v>44940</v>
      </c>
      <c r="I1298" s="2">
        <f t="shared" si="62"/>
        <v>44969</v>
      </c>
      <c r="J1298" t="str">
        <f>VLOOKUP(M1298,Umfragenteilnahme!$A$2:$B$3,2,)</f>
        <v>Ja</v>
      </c>
      <c r="M1298">
        <v>1</v>
      </c>
      <c r="N1298">
        <v>259</v>
      </c>
      <c r="O1298">
        <v>2</v>
      </c>
      <c r="P1298">
        <v>15</v>
      </c>
      <c r="Q1298">
        <v>5</v>
      </c>
      <c r="R1298">
        <v>5</v>
      </c>
      <c r="S1298">
        <v>34</v>
      </c>
    </row>
    <row r="1299" spans="1:19" x14ac:dyDescent="0.35">
      <c r="A1299">
        <v>8946</v>
      </c>
      <c r="B1299">
        <v>215</v>
      </c>
      <c r="C1299" t="str">
        <f>VLOOKUP(B1299,Kunde!A:C,3,FALSE)</f>
        <v>Geschäftskunde</v>
      </c>
      <c r="D1299" t="str">
        <f>VLOOKUP(O1299,Produkt!$A$1:$E$5,2,FALSE)</f>
        <v>D</v>
      </c>
      <c r="E1299">
        <f t="shared" si="60"/>
        <v>111</v>
      </c>
      <c r="F1299">
        <f>VLOOKUP(D1299,Produkt!$B$1:$C$5,2,FALSE)*Bestellungen!E1299</f>
        <v>88800</v>
      </c>
      <c r="G1299" s="2">
        <v>44909</v>
      </c>
      <c r="H1299" s="2">
        <f t="shared" si="61"/>
        <v>44916</v>
      </c>
      <c r="I1299" s="2">
        <f t="shared" si="62"/>
        <v>44968</v>
      </c>
      <c r="J1299" t="str">
        <f>VLOOKUP(M1299,Umfragenteilnahme!$A$2:$B$3,2,)</f>
        <v>Ja</v>
      </c>
      <c r="M1299">
        <v>1</v>
      </c>
      <c r="N1299">
        <v>215</v>
      </c>
      <c r="O1299">
        <v>4</v>
      </c>
      <c r="P1299">
        <v>111</v>
      </c>
      <c r="Q1299">
        <v>10</v>
      </c>
      <c r="R1299">
        <v>7</v>
      </c>
      <c r="S1299">
        <v>59</v>
      </c>
    </row>
    <row r="1300" spans="1:19" x14ac:dyDescent="0.35">
      <c r="A1300">
        <v>8947</v>
      </c>
      <c r="B1300">
        <v>786</v>
      </c>
      <c r="C1300" t="str">
        <f>VLOOKUP(B1300,Kunde!A:C,3,FALSE)</f>
        <v>Privatkunde</v>
      </c>
      <c r="D1300" t="str">
        <f>VLOOKUP(O1300,Produkt!$A$1:$E$5,2,FALSE)</f>
        <v>D</v>
      </c>
      <c r="E1300">
        <f t="shared" si="60"/>
        <v>6</v>
      </c>
      <c r="F1300">
        <f>VLOOKUP(D1300,Produkt!$B$1:$C$5,2,FALSE)*Bestellungen!E1300</f>
        <v>4800</v>
      </c>
      <c r="G1300" s="2">
        <v>44782</v>
      </c>
      <c r="H1300" s="2">
        <f t="shared" si="61"/>
        <v>44789</v>
      </c>
      <c r="I1300" s="2">
        <f t="shared" si="62"/>
        <v>44808</v>
      </c>
      <c r="J1300" t="str">
        <f>VLOOKUP(M1300,Umfragenteilnahme!$A$2:$B$3,2,)</f>
        <v>Ja</v>
      </c>
      <c r="M1300">
        <v>1</v>
      </c>
      <c r="N1300">
        <v>786</v>
      </c>
      <c r="O1300">
        <v>4</v>
      </c>
      <c r="P1300">
        <v>120</v>
      </c>
      <c r="Q1300">
        <v>6</v>
      </c>
      <c r="R1300">
        <v>7</v>
      </c>
      <c r="S1300">
        <v>26</v>
      </c>
    </row>
    <row r="1301" spans="1:19" x14ac:dyDescent="0.35">
      <c r="A1301">
        <v>8948</v>
      </c>
      <c r="B1301">
        <v>728</v>
      </c>
      <c r="C1301" t="str">
        <f>VLOOKUP(B1301,Kunde!A:C,3,FALSE)</f>
        <v>Geschäftskunde</v>
      </c>
      <c r="D1301" t="str">
        <f>VLOOKUP(O1301,Produkt!$A$1:$E$5,2,FALSE)</f>
        <v>D</v>
      </c>
      <c r="E1301">
        <f t="shared" si="60"/>
        <v>32</v>
      </c>
      <c r="F1301">
        <f>VLOOKUP(D1301,Produkt!$B$1:$C$5,2,FALSE)*Bestellungen!E1301</f>
        <v>25600</v>
      </c>
      <c r="G1301" s="2">
        <v>44796</v>
      </c>
      <c r="H1301" s="2">
        <f t="shared" si="61"/>
        <v>44799</v>
      </c>
      <c r="I1301" s="2">
        <f t="shared" si="62"/>
        <v>44855</v>
      </c>
      <c r="J1301" t="str">
        <f>VLOOKUP(M1301,Umfragenteilnahme!$A$2:$B$3,2,)</f>
        <v>Nein</v>
      </c>
      <c r="M1301">
        <v>2</v>
      </c>
      <c r="N1301">
        <v>728</v>
      </c>
      <c r="O1301">
        <v>4</v>
      </c>
      <c r="P1301">
        <v>32</v>
      </c>
      <c r="Q1301">
        <v>3</v>
      </c>
      <c r="R1301">
        <v>3</v>
      </c>
      <c r="S1301">
        <v>59</v>
      </c>
    </row>
    <row r="1302" spans="1:19" x14ac:dyDescent="0.35">
      <c r="A1302">
        <v>8949</v>
      </c>
      <c r="B1302">
        <v>119</v>
      </c>
      <c r="C1302" t="str">
        <f>VLOOKUP(B1302,Kunde!A:C,3,FALSE)</f>
        <v>Geschäftskunde</v>
      </c>
      <c r="D1302" t="str">
        <f>VLOOKUP(O1302,Produkt!$A$1:$E$5,2,FALSE)</f>
        <v>A</v>
      </c>
      <c r="E1302">
        <f t="shared" si="60"/>
        <v>10</v>
      </c>
      <c r="F1302">
        <f>VLOOKUP(D1302,Produkt!$B$1:$C$5,2,FALSE)*Bestellungen!E1302</f>
        <v>3000</v>
      </c>
      <c r="G1302" s="2">
        <v>44741</v>
      </c>
      <c r="H1302" s="2">
        <f t="shared" si="61"/>
        <v>44745</v>
      </c>
      <c r="I1302" s="2">
        <f t="shared" si="62"/>
        <v>44798</v>
      </c>
      <c r="J1302" t="str">
        <f>VLOOKUP(M1302,Umfragenteilnahme!$A$2:$B$3,2,)</f>
        <v>Nein</v>
      </c>
      <c r="M1302">
        <v>2</v>
      </c>
      <c r="N1302">
        <v>119</v>
      </c>
      <c r="O1302">
        <v>1</v>
      </c>
      <c r="P1302">
        <v>10</v>
      </c>
      <c r="Q1302">
        <v>8</v>
      </c>
      <c r="R1302">
        <v>4</v>
      </c>
      <c r="S1302">
        <v>57</v>
      </c>
    </row>
    <row r="1303" spans="1:19" x14ac:dyDescent="0.35">
      <c r="A1303">
        <v>8950</v>
      </c>
      <c r="B1303">
        <v>384</v>
      </c>
      <c r="C1303" t="str">
        <f>VLOOKUP(B1303,Kunde!A:C,3,FALSE)</f>
        <v>Geschäftskunde</v>
      </c>
      <c r="D1303" t="str">
        <f>VLOOKUP(O1303,Produkt!$A$1:$E$5,2,FALSE)</f>
        <v>A</v>
      </c>
      <c r="E1303">
        <f t="shared" si="60"/>
        <v>25</v>
      </c>
      <c r="F1303">
        <f>VLOOKUP(D1303,Produkt!$B$1:$C$5,2,FALSE)*Bestellungen!E1303</f>
        <v>7500</v>
      </c>
      <c r="G1303" s="2">
        <v>44948</v>
      </c>
      <c r="H1303" s="2">
        <f t="shared" si="61"/>
        <v>44953</v>
      </c>
      <c r="I1303" s="2">
        <f t="shared" si="62"/>
        <v>44971</v>
      </c>
      <c r="J1303" t="str">
        <f>VLOOKUP(M1303,Umfragenteilnahme!$A$2:$B$3,2,)</f>
        <v>Ja</v>
      </c>
      <c r="M1303">
        <v>1</v>
      </c>
      <c r="N1303">
        <v>384</v>
      </c>
      <c r="O1303">
        <v>1</v>
      </c>
      <c r="P1303">
        <v>25</v>
      </c>
      <c r="Q1303">
        <v>5</v>
      </c>
      <c r="R1303">
        <v>5</v>
      </c>
      <c r="S1303">
        <v>23</v>
      </c>
    </row>
    <row r="1304" spans="1:19" x14ac:dyDescent="0.35">
      <c r="A1304">
        <v>8951</v>
      </c>
      <c r="B1304">
        <v>398</v>
      </c>
      <c r="C1304" t="str">
        <f>VLOOKUP(B1304,Kunde!A:C,3,FALSE)</f>
        <v>Privatkunde</v>
      </c>
      <c r="D1304" t="str">
        <f>VLOOKUP(O1304,Produkt!$A$1:$E$5,2,FALSE)</f>
        <v>A</v>
      </c>
      <c r="E1304">
        <f t="shared" si="60"/>
        <v>4</v>
      </c>
      <c r="F1304">
        <f>VLOOKUP(D1304,Produkt!$B$1:$C$5,2,FALSE)*Bestellungen!E1304</f>
        <v>1200</v>
      </c>
      <c r="G1304" s="2">
        <v>44889</v>
      </c>
      <c r="H1304" s="2">
        <f t="shared" si="61"/>
        <v>44896</v>
      </c>
      <c r="I1304" s="2">
        <f t="shared" si="62"/>
        <v>44897</v>
      </c>
      <c r="J1304" t="str">
        <f>VLOOKUP(M1304,Umfragenteilnahme!$A$2:$B$3,2,)</f>
        <v>Nein</v>
      </c>
      <c r="M1304">
        <v>2</v>
      </c>
      <c r="N1304">
        <v>398</v>
      </c>
      <c r="O1304">
        <v>1</v>
      </c>
      <c r="P1304">
        <v>20</v>
      </c>
      <c r="Q1304">
        <v>4</v>
      </c>
      <c r="R1304">
        <v>7</v>
      </c>
      <c r="S1304">
        <v>8</v>
      </c>
    </row>
    <row r="1305" spans="1:19" x14ac:dyDescent="0.35">
      <c r="A1305">
        <v>8952</v>
      </c>
      <c r="B1305">
        <v>517</v>
      </c>
      <c r="C1305" t="str">
        <f>VLOOKUP(B1305,Kunde!A:C,3,FALSE)</f>
        <v>Geschäftskunde</v>
      </c>
      <c r="D1305" t="str">
        <f>VLOOKUP(O1305,Produkt!$A$1:$E$5,2,FALSE)</f>
        <v>D</v>
      </c>
      <c r="E1305">
        <f t="shared" si="60"/>
        <v>75</v>
      </c>
      <c r="F1305">
        <f>VLOOKUP(D1305,Produkt!$B$1:$C$5,2,FALSE)*Bestellungen!E1305</f>
        <v>60000</v>
      </c>
      <c r="G1305" s="2">
        <v>44919</v>
      </c>
      <c r="H1305" s="2">
        <f t="shared" si="61"/>
        <v>44926</v>
      </c>
      <c r="I1305" s="2">
        <f t="shared" si="62"/>
        <v>44976</v>
      </c>
      <c r="J1305" t="str">
        <f>VLOOKUP(M1305,Umfragenteilnahme!$A$2:$B$3,2,)</f>
        <v>Ja</v>
      </c>
      <c r="M1305">
        <v>1</v>
      </c>
      <c r="N1305">
        <v>517</v>
      </c>
      <c r="O1305">
        <v>4</v>
      </c>
      <c r="P1305">
        <v>75</v>
      </c>
      <c r="Q1305">
        <v>10</v>
      </c>
      <c r="R1305">
        <v>7</v>
      </c>
      <c r="S1305">
        <v>57</v>
      </c>
    </row>
    <row r="1306" spans="1:19" x14ac:dyDescent="0.35">
      <c r="A1306">
        <v>8953</v>
      </c>
      <c r="B1306">
        <v>460</v>
      </c>
      <c r="C1306" t="str">
        <f>VLOOKUP(B1306,Kunde!A:C,3,FALSE)</f>
        <v>Geschäftskunde</v>
      </c>
      <c r="D1306" t="str">
        <f>VLOOKUP(O1306,Produkt!$A$1:$E$5,2,FALSE)</f>
        <v>C</v>
      </c>
      <c r="E1306">
        <f t="shared" si="60"/>
        <v>134</v>
      </c>
      <c r="F1306">
        <f>VLOOKUP(D1306,Produkt!$B$1:$C$5,2,FALSE)*Bestellungen!E1306</f>
        <v>201000</v>
      </c>
      <c r="G1306" s="2">
        <v>44726</v>
      </c>
      <c r="H1306" s="2">
        <f t="shared" si="61"/>
        <v>44732</v>
      </c>
      <c r="I1306" s="2">
        <f t="shared" si="62"/>
        <v>44734</v>
      </c>
      <c r="J1306" t="str">
        <f>VLOOKUP(M1306,Umfragenteilnahme!$A$2:$B$3,2,)</f>
        <v>Nein</v>
      </c>
      <c r="M1306">
        <v>2</v>
      </c>
      <c r="N1306">
        <v>460</v>
      </c>
      <c r="O1306">
        <v>3</v>
      </c>
      <c r="P1306">
        <v>134</v>
      </c>
      <c r="Q1306">
        <v>7</v>
      </c>
      <c r="R1306">
        <v>6</v>
      </c>
      <c r="S1306">
        <v>8</v>
      </c>
    </row>
    <row r="1307" spans="1:19" x14ac:dyDescent="0.35">
      <c r="A1307">
        <v>8954</v>
      </c>
      <c r="B1307">
        <v>451</v>
      </c>
      <c r="C1307" t="str">
        <f>VLOOKUP(B1307,Kunde!A:C,3,FALSE)</f>
        <v>Geschäftskunde</v>
      </c>
      <c r="D1307" t="str">
        <f>VLOOKUP(O1307,Produkt!$A$1:$E$5,2,FALSE)</f>
        <v>C</v>
      </c>
      <c r="E1307">
        <f t="shared" si="60"/>
        <v>95</v>
      </c>
      <c r="F1307">
        <f>VLOOKUP(D1307,Produkt!$B$1:$C$5,2,FALSE)*Bestellungen!E1307</f>
        <v>142500</v>
      </c>
      <c r="G1307" s="2">
        <v>44837</v>
      </c>
      <c r="H1307" s="2">
        <f t="shared" si="61"/>
        <v>44842</v>
      </c>
      <c r="I1307" s="2">
        <f t="shared" si="62"/>
        <v>44881</v>
      </c>
      <c r="J1307" t="str">
        <f>VLOOKUP(M1307,Umfragenteilnahme!$A$2:$B$3,2,)</f>
        <v>Ja</v>
      </c>
      <c r="M1307">
        <v>1</v>
      </c>
      <c r="N1307">
        <v>451</v>
      </c>
      <c r="O1307">
        <v>3</v>
      </c>
      <c r="P1307">
        <v>95</v>
      </c>
      <c r="Q1307">
        <v>7</v>
      </c>
      <c r="R1307">
        <v>5</v>
      </c>
      <c r="S1307">
        <v>44</v>
      </c>
    </row>
    <row r="1308" spans="1:19" x14ac:dyDescent="0.35">
      <c r="A1308">
        <v>8955</v>
      </c>
      <c r="B1308">
        <v>316</v>
      </c>
      <c r="C1308" t="str">
        <f>VLOOKUP(B1308,Kunde!A:C,3,FALSE)</f>
        <v>Geschäftskunde</v>
      </c>
      <c r="D1308" t="str">
        <f>VLOOKUP(O1308,Produkt!$A$1:$E$5,2,FALSE)</f>
        <v>A</v>
      </c>
      <c r="E1308">
        <f t="shared" si="60"/>
        <v>64</v>
      </c>
      <c r="F1308">
        <f>VLOOKUP(D1308,Produkt!$B$1:$C$5,2,FALSE)*Bestellungen!E1308</f>
        <v>19200</v>
      </c>
      <c r="G1308" s="2">
        <v>44859</v>
      </c>
      <c r="H1308" s="2">
        <f t="shared" si="61"/>
        <v>44861</v>
      </c>
      <c r="I1308" s="2">
        <f t="shared" si="62"/>
        <v>44882</v>
      </c>
      <c r="J1308" t="str">
        <f>VLOOKUP(M1308,Umfragenteilnahme!$A$2:$B$3,2,)</f>
        <v>Ja</v>
      </c>
      <c r="M1308">
        <v>1</v>
      </c>
      <c r="N1308">
        <v>316</v>
      </c>
      <c r="O1308">
        <v>1</v>
      </c>
      <c r="P1308">
        <v>64</v>
      </c>
      <c r="Q1308">
        <v>5</v>
      </c>
      <c r="R1308">
        <v>2</v>
      </c>
      <c r="S1308">
        <v>23</v>
      </c>
    </row>
    <row r="1309" spans="1:19" x14ac:dyDescent="0.35">
      <c r="A1309">
        <v>8956</v>
      </c>
      <c r="B1309">
        <v>65</v>
      </c>
      <c r="C1309" t="str">
        <f>VLOOKUP(B1309,Kunde!A:C,3,FALSE)</f>
        <v>Geschäftskunde</v>
      </c>
      <c r="D1309" t="str">
        <f>VLOOKUP(O1309,Produkt!$A$1:$E$5,2,FALSE)</f>
        <v>C</v>
      </c>
      <c r="E1309">
        <f t="shared" si="60"/>
        <v>48</v>
      </c>
      <c r="F1309">
        <f>VLOOKUP(D1309,Produkt!$B$1:$C$5,2,FALSE)*Bestellungen!E1309</f>
        <v>72000</v>
      </c>
      <c r="G1309" s="2">
        <v>44927</v>
      </c>
      <c r="H1309" s="2">
        <f t="shared" si="61"/>
        <v>44930</v>
      </c>
      <c r="I1309" s="2">
        <f t="shared" si="62"/>
        <v>44960</v>
      </c>
      <c r="J1309" t="str">
        <f>VLOOKUP(M1309,Umfragenteilnahme!$A$2:$B$3,2,)</f>
        <v>Ja</v>
      </c>
      <c r="M1309">
        <v>1</v>
      </c>
      <c r="N1309">
        <v>65</v>
      </c>
      <c r="O1309">
        <v>3</v>
      </c>
      <c r="P1309">
        <v>48</v>
      </c>
      <c r="Q1309">
        <v>8</v>
      </c>
      <c r="R1309">
        <v>3</v>
      </c>
      <c r="S1309">
        <v>33</v>
      </c>
    </row>
    <row r="1310" spans="1:19" x14ac:dyDescent="0.35">
      <c r="A1310">
        <v>8957</v>
      </c>
      <c r="B1310">
        <v>213</v>
      </c>
      <c r="C1310" t="str">
        <f>VLOOKUP(B1310,Kunde!A:C,3,FALSE)</f>
        <v>Geschäftskunde</v>
      </c>
      <c r="D1310" t="str">
        <f>VLOOKUP(O1310,Produkt!$A$1:$E$5,2,FALSE)</f>
        <v>A</v>
      </c>
      <c r="E1310">
        <f t="shared" si="60"/>
        <v>86</v>
      </c>
      <c r="F1310">
        <f>VLOOKUP(D1310,Produkt!$B$1:$C$5,2,FALSE)*Bestellungen!E1310</f>
        <v>25800</v>
      </c>
      <c r="G1310" s="2">
        <v>44829</v>
      </c>
      <c r="H1310" s="2">
        <f t="shared" si="61"/>
        <v>44832</v>
      </c>
      <c r="I1310" s="2">
        <f t="shared" si="62"/>
        <v>44842</v>
      </c>
      <c r="J1310" t="str">
        <f>VLOOKUP(M1310,Umfragenteilnahme!$A$2:$B$3,2,)</f>
        <v>Nein</v>
      </c>
      <c r="M1310">
        <v>2</v>
      </c>
      <c r="N1310">
        <v>213</v>
      </c>
      <c r="O1310">
        <v>1</v>
      </c>
      <c r="P1310">
        <v>86</v>
      </c>
      <c r="Q1310">
        <v>6</v>
      </c>
      <c r="R1310">
        <v>3</v>
      </c>
      <c r="S1310">
        <v>13</v>
      </c>
    </row>
    <row r="1311" spans="1:19" x14ac:dyDescent="0.35">
      <c r="A1311">
        <v>8958</v>
      </c>
      <c r="B1311">
        <v>587</v>
      </c>
      <c r="C1311" t="str">
        <f>VLOOKUP(B1311,Kunde!A:C,3,FALSE)</f>
        <v>Geschäftskunde</v>
      </c>
      <c r="D1311" t="str">
        <f>VLOOKUP(O1311,Produkt!$A$1:$E$5,2,FALSE)</f>
        <v>C</v>
      </c>
      <c r="E1311">
        <f t="shared" si="60"/>
        <v>116</v>
      </c>
      <c r="F1311">
        <f>VLOOKUP(D1311,Produkt!$B$1:$C$5,2,FALSE)*Bestellungen!E1311</f>
        <v>174000</v>
      </c>
      <c r="G1311" s="2">
        <v>44931</v>
      </c>
      <c r="H1311" s="2">
        <f t="shared" si="61"/>
        <v>44938</v>
      </c>
      <c r="I1311" s="2">
        <f t="shared" si="62"/>
        <v>44950</v>
      </c>
      <c r="J1311" t="str">
        <f>VLOOKUP(M1311,Umfragenteilnahme!$A$2:$B$3,2,)</f>
        <v>Ja</v>
      </c>
      <c r="M1311">
        <v>1</v>
      </c>
      <c r="N1311">
        <v>587</v>
      </c>
      <c r="O1311">
        <v>3</v>
      </c>
      <c r="P1311">
        <v>116</v>
      </c>
      <c r="Q1311">
        <v>8</v>
      </c>
      <c r="R1311">
        <v>7</v>
      </c>
      <c r="S1311">
        <v>19</v>
      </c>
    </row>
    <row r="1312" spans="1:19" x14ac:dyDescent="0.35">
      <c r="A1312">
        <v>8959</v>
      </c>
      <c r="B1312">
        <v>253</v>
      </c>
      <c r="C1312" t="str">
        <f>VLOOKUP(B1312,Kunde!A:C,3,FALSE)</f>
        <v>Geschäftskunde</v>
      </c>
      <c r="D1312" t="str">
        <f>VLOOKUP(O1312,Produkt!$A$1:$E$5,2,FALSE)</f>
        <v>C</v>
      </c>
      <c r="E1312">
        <f t="shared" si="60"/>
        <v>79</v>
      </c>
      <c r="F1312">
        <f>VLOOKUP(D1312,Produkt!$B$1:$C$5,2,FALSE)*Bestellungen!E1312</f>
        <v>118500</v>
      </c>
      <c r="G1312" s="2">
        <v>44823</v>
      </c>
      <c r="H1312" s="2">
        <f t="shared" si="61"/>
        <v>44830</v>
      </c>
      <c r="I1312" s="2">
        <f t="shared" si="62"/>
        <v>44831</v>
      </c>
      <c r="J1312" t="str">
        <f>VLOOKUP(M1312,Umfragenteilnahme!$A$2:$B$3,2,)</f>
        <v>Nein</v>
      </c>
      <c r="M1312">
        <v>2</v>
      </c>
      <c r="N1312">
        <v>253</v>
      </c>
      <c r="O1312">
        <v>3</v>
      </c>
      <c r="P1312">
        <v>79</v>
      </c>
      <c r="Q1312">
        <v>5</v>
      </c>
      <c r="R1312">
        <v>7</v>
      </c>
      <c r="S1312">
        <v>8</v>
      </c>
    </row>
    <row r="1313" spans="1:19" x14ac:dyDescent="0.35">
      <c r="A1313">
        <v>8960</v>
      </c>
      <c r="B1313">
        <v>774</v>
      </c>
      <c r="C1313" t="str">
        <f>VLOOKUP(B1313,Kunde!A:C,3,FALSE)</f>
        <v>Geschäftskunde</v>
      </c>
      <c r="D1313" t="str">
        <f>VLOOKUP(O1313,Produkt!$A$1:$E$5,2,FALSE)</f>
        <v>C</v>
      </c>
      <c r="E1313">
        <f t="shared" si="60"/>
        <v>68</v>
      </c>
      <c r="F1313">
        <f>VLOOKUP(D1313,Produkt!$B$1:$C$5,2,FALSE)*Bestellungen!E1313</f>
        <v>102000</v>
      </c>
      <c r="G1313" s="2">
        <v>44932</v>
      </c>
      <c r="H1313" s="2">
        <f t="shared" si="61"/>
        <v>44939</v>
      </c>
      <c r="I1313" s="2">
        <f t="shared" si="62"/>
        <v>44983</v>
      </c>
      <c r="J1313" t="str">
        <f>VLOOKUP(M1313,Umfragenteilnahme!$A$2:$B$3,2,)</f>
        <v>Ja</v>
      </c>
      <c r="M1313">
        <v>1</v>
      </c>
      <c r="N1313">
        <v>774</v>
      </c>
      <c r="O1313">
        <v>3</v>
      </c>
      <c r="P1313">
        <v>68</v>
      </c>
      <c r="Q1313">
        <v>4</v>
      </c>
      <c r="R1313">
        <v>7</v>
      </c>
      <c r="S1313">
        <v>51</v>
      </c>
    </row>
    <row r="1314" spans="1:19" x14ac:dyDescent="0.35">
      <c r="A1314">
        <v>8961</v>
      </c>
      <c r="B1314">
        <v>541</v>
      </c>
      <c r="C1314" t="str">
        <f>VLOOKUP(B1314,Kunde!A:C,3,FALSE)</f>
        <v>Geschäftskunde</v>
      </c>
      <c r="D1314" t="str">
        <f>VLOOKUP(O1314,Produkt!$A$1:$E$5,2,FALSE)</f>
        <v>D</v>
      </c>
      <c r="E1314">
        <f t="shared" si="60"/>
        <v>32</v>
      </c>
      <c r="F1314">
        <f>VLOOKUP(D1314,Produkt!$B$1:$C$5,2,FALSE)*Bestellungen!E1314</f>
        <v>25600</v>
      </c>
      <c r="G1314" s="2">
        <v>44817</v>
      </c>
      <c r="H1314" s="2">
        <f t="shared" si="61"/>
        <v>44821</v>
      </c>
      <c r="I1314" s="2">
        <f t="shared" si="62"/>
        <v>44835</v>
      </c>
      <c r="J1314" t="str">
        <f>VLOOKUP(M1314,Umfragenteilnahme!$A$2:$B$3,2,)</f>
        <v>Nein</v>
      </c>
      <c r="M1314">
        <v>2</v>
      </c>
      <c r="N1314">
        <v>541</v>
      </c>
      <c r="O1314">
        <v>4</v>
      </c>
      <c r="P1314">
        <v>32</v>
      </c>
      <c r="Q1314">
        <v>9</v>
      </c>
      <c r="R1314">
        <v>4</v>
      </c>
      <c r="S1314">
        <v>18</v>
      </c>
    </row>
    <row r="1315" spans="1:19" x14ac:dyDescent="0.35">
      <c r="A1315">
        <v>8962</v>
      </c>
      <c r="B1315">
        <v>639</v>
      </c>
      <c r="C1315" t="str">
        <f>VLOOKUP(B1315,Kunde!A:C,3,FALSE)</f>
        <v>Geschäftskunde</v>
      </c>
      <c r="D1315" t="str">
        <f>VLOOKUP(O1315,Produkt!$A$1:$E$5,2,FALSE)</f>
        <v>A</v>
      </c>
      <c r="E1315">
        <f t="shared" si="60"/>
        <v>11</v>
      </c>
      <c r="F1315">
        <f>VLOOKUP(D1315,Produkt!$B$1:$C$5,2,FALSE)*Bestellungen!E1315</f>
        <v>3300</v>
      </c>
      <c r="G1315" s="2">
        <v>44714</v>
      </c>
      <c r="H1315" s="2">
        <f t="shared" si="61"/>
        <v>44720</v>
      </c>
      <c r="I1315" s="2">
        <f t="shared" si="62"/>
        <v>44773</v>
      </c>
      <c r="J1315" t="str">
        <f>VLOOKUP(M1315,Umfragenteilnahme!$A$2:$B$3,2,)</f>
        <v>Nein</v>
      </c>
      <c r="M1315">
        <v>2</v>
      </c>
      <c r="N1315">
        <v>639</v>
      </c>
      <c r="O1315">
        <v>1</v>
      </c>
      <c r="P1315">
        <v>11</v>
      </c>
      <c r="Q1315">
        <v>1</v>
      </c>
      <c r="R1315">
        <v>6</v>
      </c>
      <c r="S1315">
        <v>59</v>
      </c>
    </row>
    <row r="1316" spans="1:19" x14ac:dyDescent="0.35">
      <c r="A1316">
        <v>8963</v>
      </c>
      <c r="B1316">
        <v>233</v>
      </c>
      <c r="C1316" t="str">
        <f>VLOOKUP(B1316,Kunde!A:C,3,FALSE)</f>
        <v>Geschäftskunde</v>
      </c>
      <c r="D1316" t="str">
        <f>VLOOKUP(O1316,Produkt!$A$1:$E$5,2,FALSE)</f>
        <v>D</v>
      </c>
      <c r="E1316">
        <f t="shared" si="60"/>
        <v>46</v>
      </c>
      <c r="F1316">
        <f>VLOOKUP(D1316,Produkt!$B$1:$C$5,2,FALSE)*Bestellungen!E1316</f>
        <v>36800</v>
      </c>
      <c r="G1316" s="2">
        <v>44744</v>
      </c>
      <c r="H1316" s="2">
        <f t="shared" si="61"/>
        <v>44751</v>
      </c>
      <c r="I1316" s="2">
        <f t="shared" si="62"/>
        <v>44802</v>
      </c>
      <c r="J1316" t="str">
        <f>VLOOKUP(M1316,Umfragenteilnahme!$A$2:$B$3,2,)</f>
        <v>Ja</v>
      </c>
      <c r="M1316">
        <v>1</v>
      </c>
      <c r="N1316">
        <v>233</v>
      </c>
      <c r="O1316">
        <v>4</v>
      </c>
      <c r="P1316">
        <v>46</v>
      </c>
      <c r="Q1316">
        <v>2</v>
      </c>
      <c r="R1316">
        <v>7</v>
      </c>
      <c r="S1316">
        <v>58</v>
      </c>
    </row>
    <row r="1317" spans="1:19" x14ac:dyDescent="0.35">
      <c r="A1317">
        <v>8964</v>
      </c>
      <c r="B1317">
        <v>733</v>
      </c>
      <c r="C1317" t="str">
        <f>VLOOKUP(B1317,Kunde!A:C,3,FALSE)</f>
        <v>Geschäftskunde</v>
      </c>
      <c r="D1317" t="str">
        <f>VLOOKUP(O1317,Produkt!$A$1:$E$5,2,FALSE)</f>
        <v>D</v>
      </c>
      <c r="E1317">
        <f t="shared" si="60"/>
        <v>24</v>
      </c>
      <c r="F1317">
        <f>VLOOKUP(D1317,Produkt!$B$1:$C$5,2,FALSE)*Bestellungen!E1317</f>
        <v>19200</v>
      </c>
      <c r="G1317" s="2">
        <v>44733</v>
      </c>
      <c r="H1317" s="2">
        <f t="shared" si="61"/>
        <v>44738</v>
      </c>
      <c r="I1317" s="2">
        <f t="shared" si="62"/>
        <v>44780</v>
      </c>
      <c r="J1317" t="str">
        <f>VLOOKUP(M1317,Umfragenteilnahme!$A$2:$B$3,2,)</f>
        <v>Nein</v>
      </c>
      <c r="M1317">
        <v>2</v>
      </c>
      <c r="N1317">
        <v>733</v>
      </c>
      <c r="O1317">
        <v>4</v>
      </c>
      <c r="P1317">
        <v>24</v>
      </c>
      <c r="Q1317">
        <v>4</v>
      </c>
      <c r="R1317">
        <v>5</v>
      </c>
      <c r="S1317">
        <v>47</v>
      </c>
    </row>
    <row r="1318" spans="1:19" x14ac:dyDescent="0.35">
      <c r="A1318">
        <v>8965</v>
      </c>
      <c r="B1318">
        <v>760</v>
      </c>
      <c r="C1318" t="str">
        <f>VLOOKUP(B1318,Kunde!A:C,3,FALSE)</f>
        <v>Geschäftskunde</v>
      </c>
      <c r="D1318" t="str">
        <f>VLOOKUP(O1318,Produkt!$A$1:$E$5,2,FALSE)</f>
        <v>D</v>
      </c>
      <c r="E1318">
        <f t="shared" si="60"/>
        <v>72</v>
      </c>
      <c r="F1318">
        <f>VLOOKUP(D1318,Produkt!$B$1:$C$5,2,FALSE)*Bestellungen!E1318</f>
        <v>57600</v>
      </c>
      <c r="G1318" s="2">
        <v>44886</v>
      </c>
      <c r="H1318" s="2">
        <f t="shared" si="61"/>
        <v>44891</v>
      </c>
      <c r="I1318" s="2">
        <f t="shared" si="62"/>
        <v>44937</v>
      </c>
      <c r="J1318" t="str">
        <f>VLOOKUP(M1318,Umfragenteilnahme!$A$2:$B$3,2,)</f>
        <v>Nein</v>
      </c>
      <c r="M1318">
        <v>2</v>
      </c>
      <c r="N1318">
        <v>760</v>
      </c>
      <c r="O1318">
        <v>4</v>
      </c>
      <c r="P1318">
        <v>72</v>
      </c>
      <c r="Q1318">
        <v>6</v>
      </c>
      <c r="R1318">
        <v>5</v>
      </c>
      <c r="S1318">
        <v>51</v>
      </c>
    </row>
    <row r="1319" spans="1:19" x14ac:dyDescent="0.35">
      <c r="A1319">
        <v>8966</v>
      </c>
      <c r="B1319">
        <v>669</v>
      </c>
      <c r="C1319" t="str">
        <f>VLOOKUP(B1319,Kunde!A:C,3,FALSE)</f>
        <v>Geschäftskunde</v>
      </c>
      <c r="D1319" t="str">
        <f>VLOOKUP(O1319,Produkt!$A$1:$E$5,2,FALSE)</f>
        <v>C</v>
      </c>
      <c r="E1319">
        <f t="shared" si="60"/>
        <v>135</v>
      </c>
      <c r="F1319">
        <f>VLOOKUP(D1319,Produkt!$B$1:$C$5,2,FALSE)*Bestellungen!E1319</f>
        <v>202500</v>
      </c>
      <c r="G1319" s="2">
        <v>44882</v>
      </c>
      <c r="H1319" s="2">
        <f t="shared" si="61"/>
        <v>44889</v>
      </c>
      <c r="I1319" s="2">
        <f t="shared" si="62"/>
        <v>44933</v>
      </c>
      <c r="J1319" t="str">
        <f>VLOOKUP(M1319,Umfragenteilnahme!$A$2:$B$3,2,)</f>
        <v>Nein</v>
      </c>
      <c r="M1319">
        <v>2</v>
      </c>
      <c r="N1319">
        <v>669</v>
      </c>
      <c r="O1319">
        <v>3</v>
      </c>
      <c r="P1319">
        <v>135</v>
      </c>
      <c r="Q1319">
        <v>1</v>
      </c>
      <c r="R1319">
        <v>7</v>
      </c>
      <c r="S1319">
        <v>51</v>
      </c>
    </row>
    <row r="1320" spans="1:19" x14ac:dyDescent="0.35">
      <c r="A1320">
        <v>8967</v>
      </c>
      <c r="B1320">
        <v>631</v>
      </c>
      <c r="C1320" t="str">
        <f>VLOOKUP(B1320,Kunde!A:C,3,FALSE)</f>
        <v>Privatkunde</v>
      </c>
      <c r="D1320" t="str">
        <f>VLOOKUP(O1320,Produkt!$A$1:$E$5,2,FALSE)</f>
        <v>D</v>
      </c>
      <c r="E1320">
        <f t="shared" si="60"/>
        <v>5</v>
      </c>
      <c r="F1320">
        <f>VLOOKUP(D1320,Produkt!$B$1:$C$5,2,FALSE)*Bestellungen!E1320</f>
        <v>4000</v>
      </c>
      <c r="G1320" s="2">
        <v>45005</v>
      </c>
      <c r="H1320" s="2">
        <f t="shared" si="61"/>
        <v>45008</v>
      </c>
      <c r="I1320" s="2">
        <f t="shared" si="62"/>
        <v>45023</v>
      </c>
      <c r="J1320" t="str">
        <f>VLOOKUP(M1320,Umfragenteilnahme!$A$2:$B$3,2,)</f>
        <v>Ja</v>
      </c>
      <c r="M1320">
        <v>1</v>
      </c>
      <c r="N1320">
        <v>631</v>
      </c>
      <c r="O1320">
        <v>4</v>
      </c>
      <c r="P1320">
        <v>55</v>
      </c>
      <c r="Q1320">
        <v>5</v>
      </c>
      <c r="R1320">
        <v>3</v>
      </c>
      <c r="S1320">
        <v>18</v>
      </c>
    </row>
    <row r="1321" spans="1:19" x14ac:dyDescent="0.35">
      <c r="A1321">
        <v>8968</v>
      </c>
      <c r="B1321">
        <v>567</v>
      </c>
      <c r="C1321" t="str">
        <f>VLOOKUP(B1321,Kunde!A:C,3,FALSE)</f>
        <v>Geschäftskunde</v>
      </c>
      <c r="D1321" t="str">
        <f>VLOOKUP(O1321,Produkt!$A$1:$E$5,2,FALSE)</f>
        <v>D</v>
      </c>
      <c r="E1321">
        <f t="shared" si="60"/>
        <v>74</v>
      </c>
      <c r="F1321">
        <f>VLOOKUP(D1321,Produkt!$B$1:$C$5,2,FALSE)*Bestellungen!E1321</f>
        <v>59200</v>
      </c>
      <c r="G1321" s="2">
        <v>45010</v>
      </c>
      <c r="H1321" s="2">
        <f t="shared" si="61"/>
        <v>45013</v>
      </c>
      <c r="I1321" s="2">
        <f t="shared" si="62"/>
        <v>45037</v>
      </c>
      <c r="J1321" t="str">
        <f>VLOOKUP(M1321,Umfragenteilnahme!$A$2:$B$3,2,)</f>
        <v>Nein</v>
      </c>
      <c r="M1321">
        <v>2</v>
      </c>
      <c r="N1321">
        <v>567</v>
      </c>
      <c r="O1321">
        <v>4</v>
      </c>
      <c r="P1321">
        <v>74</v>
      </c>
      <c r="Q1321">
        <v>1</v>
      </c>
      <c r="R1321">
        <v>3</v>
      </c>
      <c r="S1321">
        <v>27</v>
      </c>
    </row>
    <row r="1322" spans="1:19" x14ac:dyDescent="0.35">
      <c r="A1322">
        <v>8969</v>
      </c>
      <c r="B1322">
        <v>459</v>
      </c>
      <c r="C1322" t="str">
        <f>VLOOKUP(B1322,Kunde!A:C,3,FALSE)</f>
        <v>Geschäftskunde</v>
      </c>
      <c r="D1322" t="str">
        <f>VLOOKUP(O1322,Produkt!$A$1:$E$5,2,FALSE)</f>
        <v>B</v>
      </c>
      <c r="E1322">
        <f t="shared" si="60"/>
        <v>124</v>
      </c>
      <c r="F1322">
        <f>VLOOKUP(D1322,Produkt!$B$1:$C$5,2,FALSE)*Bestellungen!E1322</f>
        <v>59520</v>
      </c>
      <c r="G1322" s="2">
        <v>44791</v>
      </c>
      <c r="H1322" s="2">
        <f t="shared" si="61"/>
        <v>44794</v>
      </c>
      <c r="I1322" s="2">
        <f t="shared" si="62"/>
        <v>44804</v>
      </c>
      <c r="J1322" t="str">
        <f>VLOOKUP(M1322,Umfragenteilnahme!$A$2:$B$3,2,)</f>
        <v>Ja</v>
      </c>
      <c r="M1322">
        <v>1</v>
      </c>
      <c r="N1322">
        <v>459</v>
      </c>
      <c r="O1322">
        <v>2</v>
      </c>
      <c r="P1322">
        <v>124</v>
      </c>
      <c r="Q1322">
        <v>5</v>
      </c>
      <c r="R1322">
        <v>3</v>
      </c>
      <c r="S1322">
        <v>13</v>
      </c>
    </row>
    <row r="1323" spans="1:19" x14ac:dyDescent="0.35">
      <c r="A1323">
        <v>8970</v>
      </c>
      <c r="B1323">
        <v>750</v>
      </c>
      <c r="C1323" t="str">
        <f>VLOOKUP(B1323,Kunde!A:C,3,FALSE)</f>
        <v>Geschäftskunde</v>
      </c>
      <c r="D1323" t="str">
        <f>VLOOKUP(O1323,Produkt!$A$1:$E$5,2,FALSE)</f>
        <v>C</v>
      </c>
      <c r="E1323">
        <f t="shared" si="60"/>
        <v>133</v>
      </c>
      <c r="F1323">
        <f>VLOOKUP(D1323,Produkt!$B$1:$C$5,2,FALSE)*Bestellungen!E1323</f>
        <v>199500</v>
      </c>
      <c r="G1323" s="2">
        <v>44770</v>
      </c>
      <c r="H1323" s="2">
        <f t="shared" si="61"/>
        <v>44775</v>
      </c>
      <c r="I1323" s="2">
        <f t="shared" si="62"/>
        <v>44820</v>
      </c>
      <c r="J1323" t="str">
        <f>VLOOKUP(M1323,Umfragenteilnahme!$A$2:$B$3,2,)</f>
        <v>Ja</v>
      </c>
      <c r="M1323">
        <v>1</v>
      </c>
      <c r="N1323">
        <v>750</v>
      </c>
      <c r="O1323">
        <v>3</v>
      </c>
      <c r="P1323">
        <v>133</v>
      </c>
      <c r="Q1323">
        <v>10</v>
      </c>
      <c r="R1323">
        <v>5</v>
      </c>
      <c r="S1323">
        <v>50</v>
      </c>
    </row>
    <row r="1324" spans="1:19" x14ac:dyDescent="0.35">
      <c r="A1324">
        <v>8971</v>
      </c>
      <c r="B1324">
        <v>768</v>
      </c>
      <c r="C1324" t="str">
        <f>VLOOKUP(B1324,Kunde!A:C,3,FALSE)</f>
        <v>Privatkunde</v>
      </c>
      <c r="D1324" t="str">
        <f>VLOOKUP(O1324,Produkt!$A$1:$E$5,2,FALSE)</f>
        <v>D</v>
      </c>
      <c r="E1324">
        <f t="shared" si="60"/>
        <v>8</v>
      </c>
      <c r="F1324">
        <f>VLOOKUP(D1324,Produkt!$B$1:$C$5,2,FALSE)*Bestellungen!E1324</f>
        <v>6400</v>
      </c>
      <c r="G1324" s="2">
        <v>44795</v>
      </c>
      <c r="H1324" s="2">
        <f t="shared" si="61"/>
        <v>44801</v>
      </c>
      <c r="I1324" s="2">
        <f t="shared" si="62"/>
        <v>44814</v>
      </c>
      <c r="J1324" t="str">
        <f>VLOOKUP(M1324,Umfragenteilnahme!$A$2:$B$3,2,)</f>
        <v>Ja</v>
      </c>
      <c r="M1324">
        <v>1</v>
      </c>
      <c r="N1324">
        <v>768</v>
      </c>
      <c r="O1324">
        <v>4</v>
      </c>
      <c r="P1324">
        <v>129</v>
      </c>
      <c r="Q1324">
        <v>8</v>
      </c>
      <c r="R1324">
        <v>6</v>
      </c>
      <c r="S1324">
        <v>19</v>
      </c>
    </row>
    <row r="1325" spans="1:19" x14ac:dyDescent="0.35">
      <c r="A1325">
        <v>8972</v>
      </c>
      <c r="B1325">
        <v>173</v>
      </c>
      <c r="C1325" t="str">
        <f>VLOOKUP(B1325,Kunde!A:C,3,FALSE)</f>
        <v>Geschäftskunde</v>
      </c>
      <c r="D1325" t="str">
        <f>VLOOKUP(O1325,Produkt!$A$1:$E$5,2,FALSE)</f>
        <v>D</v>
      </c>
      <c r="E1325">
        <f t="shared" si="60"/>
        <v>17</v>
      </c>
      <c r="F1325">
        <f>VLOOKUP(D1325,Produkt!$B$1:$C$5,2,FALSE)*Bestellungen!E1325</f>
        <v>13600</v>
      </c>
      <c r="G1325" s="2">
        <v>44795</v>
      </c>
      <c r="H1325" s="2">
        <f t="shared" si="61"/>
        <v>44802</v>
      </c>
      <c r="I1325" s="2">
        <f t="shared" si="62"/>
        <v>44844</v>
      </c>
      <c r="J1325" t="str">
        <f>VLOOKUP(M1325,Umfragenteilnahme!$A$2:$B$3,2,)</f>
        <v>Nein</v>
      </c>
      <c r="M1325">
        <v>2</v>
      </c>
      <c r="N1325">
        <v>173</v>
      </c>
      <c r="O1325">
        <v>4</v>
      </c>
      <c r="P1325">
        <v>17</v>
      </c>
      <c r="Q1325">
        <v>1</v>
      </c>
      <c r="R1325">
        <v>7</v>
      </c>
      <c r="S1325">
        <v>49</v>
      </c>
    </row>
    <row r="1326" spans="1:19" x14ac:dyDescent="0.35">
      <c r="A1326">
        <v>8973</v>
      </c>
      <c r="B1326">
        <v>35</v>
      </c>
      <c r="C1326" t="str">
        <f>VLOOKUP(B1326,Kunde!A:C,3,FALSE)</f>
        <v>Privatkunde</v>
      </c>
      <c r="D1326" t="str">
        <f>VLOOKUP(O1326,Produkt!$A$1:$E$5,2,FALSE)</f>
        <v>B</v>
      </c>
      <c r="E1326">
        <f t="shared" si="60"/>
        <v>5</v>
      </c>
      <c r="F1326">
        <f>VLOOKUP(D1326,Produkt!$B$1:$C$5,2,FALSE)*Bestellungen!E1326</f>
        <v>2400</v>
      </c>
      <c r="G1326" s="2">
        <v>44743</v>
      </c>
      <c r="H1326" s="2">
        <f t="shared" si="61"/>
        <v>44746</v>
      </c>
      <c r="I1326" s="2">
        <f t="shared" si="62"/>
        <v>44750</v>
      </c>
      <c r="J1326" t="str">
        <f>VLOOKUP(M1326,Umfragenteilnahme!$A$2:$B$3,2,)</f>
        <v>Nein</v>
      </c>
      <c r="M1326">
        <v>2</v>
      </c>
      <c r="N1326">
        <v>35</v>
      </c>
      <c r="O1326">
        <v>2</v>
      </c>
      <c r="P1326">
        <v>29</v>
      </c>
      <c r="Q1326">
        <v>5</v>
      </c>
      <c r="R1326">
        <v>3</v>
      </c>
      <c r="S1326">
        <v>7</v>
      </c>
    </row>
    <row r="1327" spans="1:19" x14ac:dyDescent="0.35">
      <c r="A1327">
        <v>8974</v>
      </c>
      <c r="B1327">
        <v>481</v>
      </c>
      <c r="C1327" t="str">
        <f>VLOOKUP(B1327,Kunde!A:C,3,FALSE)</f>
        <v>Geschäftskunde</v>
      </c>
      <c r="D1327" t="str">
        <f>VLOOKUP(O1327,Produkt!$A$1:$E$5,2,FALSE)</f>
        <v>A</v>
      </c>
      <c r="E1327">
        <f t="shared" si="60"/>
        <v>83</v>
      </c>
      <c r="F1327">
        <f>VLOOKUP(D1327,Produkt!$B$1:$C$5,2,FALSE)*Bestellungen!E1327</f>
        <v>24900</v>
      </c>
      <c r="G1327" s="2">
        <v>45006</v>
      </c>
      <c r="H1327" s="2">
        <f t="shared" si="61"/>
        <v>45009</v>
      </c>
      <c r="I1327" s="2">
        <f t="shared" si="62"/>
        <v>45027</v>
      </c>
      <c r="J1327" t="str">
        <f>VLOOKUP(M1327,Umfragenteilnahme!$A$2:$B$3,2,)</f>
        <v>Nein</v>
      </c>
      <c r="M1327">
        <v>2</v>
      </c>
      <c r="N1327">
        <v>481</v>
      </c>
      <c r="O1327">
        <v>1</v>
      </c>
      <c r="P1327">
        <v>83</v>
      </c>
      <c r="Q1327">
        <v>9</v>
      </c>
      <c r="R1327">
        <v>3</v>
      </c>
      <c r="S1327">
        <v>21</v>
      </c>
    </row>
    <row r="1328" spans="1:19" x14ac:dyDescent="0.35">
      <c r="A1328">
        <v>8975</v>
      </c>
      <c r="B1328">
        <v>616</v>
      </c>
      <c r="C1328" t="str">
        <f>VLOOKUP(B1328,Kunde!A:C,3,FALSE)</f>
        <v>Privatkunde</v>
      </c>
      <c r="D1328" t="str">
        <f>VLOOKUP(O1328,Produkt!$A$1:$E$5,2,FALSE)</f>
        <v>D</v>
      </c>
      <c r="E1328">
        <f t="shared" si="60"/>
        <v>4</v>
      </c>
      <c r="F1328">
        <f>VLOOKUP(D1328,Produkt!$B$1:$C$5,2,FALSE)*Bestellungen!E1328</f>
        <v>3200</v>
      </c>
      <c r="G1328" s="2">
        <v>44732</v>
      </c>
      <c r="H1328" s="2">
        <f t="shared" si="61"/>
        <v>44739</v>
      </c>
      <c r="I1328" s="2">
        <f t="shared" si="62"/>
        <v>44760</v>
      </c>
      <c r="J1328" t="str">
        <f>VLOOKUP(M1328,Umfragenteilnahme!$A$2:$B$3,2,)</f>
        <v>Nein</v>
      </c>
      <c r="M1328">
        <v>2</v>
      </c>
      <c r="N1328">
        <v>616</v>
      </c>
      <c r="O1328">
        <v>4</v>
      </c>
      <c r="P1328">
        <v>136</v>
      </c>
      <c r="Q1328">
        <v>4</v>
      </c>
      <c r="R1328">
        <v>7</v>
      </c>
      <c r="S1328">
        <v>28</v>
      </c>
    </row>
    <row r="1329" spans="1:19" x14ac:dyDescent="0.35">
      <c r="A1329">
        <v>8976</v>
      </c>
      <c r="B1329">
        <v>448</v>
      </c>
      <c r="C1329" t="str">
        <f>VLOOKUP(B1329,Kunde!A:C,3,FALSE)</f>
        <v>Geschäftskunde</v>
      </c>
      <c r="D1329" t="str">
        <f>VLOOKUP(O1329,Produkt!$A$1:$E$5,2,FALSE)</f>
        <v>D</v>
      </c>
      <c r="E1329">
        <f t="shared" si="60"/>
        <v>127</v>
      </c>
      <c r="F1329">
        <f>VLOOKUP(D1329,Produkt!$B$1:$C$5,2,FALSE)*Bestellungen!E1329</f>
        <v>101600</v>
      </c>
      <c r="G1329" s="2">
        <v>44797</v>
      </c>
      <c r="H1329" s="2">
        <f t="shared" si="61"/>
        <v>44804</v>
      </c>
      <c r="I1329" s="2">
        <f t="shared" si="62"/>
        <v>44804</v>
      </c>
      <c r="J1329" t="str">
        <f>VLOOKUP(M1329,Umfragenteilnahme!$A$2:$B$3,2,)</f>
        <v>Ja</v>
      </c>
      <c r="M1329">
        <v>1</v>
      </c>
      <c r="N1329">
        <v>448</v>
      </c>
      <c r="O1329">
        <v>4</v>
      </c>
      <c r="P1329">
        <v>127</v>
      </c>
      <c r="Q1329">
        <v>10</v>
      </c>
      <c r="R1329">
        <v>7</v>
      </c>
      <c r="S1329">
        <v>7</v>
      </c>
    </row>
    <row r="1330" spans="1:19" x14ac:dyDescent="0.35">
      <c r="A1330">
        <v>8977</v>
      </c>
      <c r="B1330">
        <v>247</v>
      </c>
      <c r="C1330" t="str">
        <f>VLOOKUP(B1330,Kunde!A:C,3,FALSE)</f>
        <v>Geschäftskunde</v>
      </c>
      <c r="D1330" t="str">
        <f>VLOOKUP(O1330,Produkt!$A$1:$E$5,2,FALSE)</f>
        <v>D</v>
      </c>
      <c r="E1330">
        <f t="shared" si="60"/>
        <v>135</v>
      </c>
      <c r="F1330">
        <f>VLOOKUP(D1330,Produkt!$B$1:$C$5,2,FALSE)*Bestellungen!E1330</f>
        <v>108000</v>
      </c>
      <c r="G1330" s="2">
        <v>45012</v>
      </c>
      <c r="H1330" s="2">
        <f t="shared" si="61"/>
        <v>45015</v>
      </c>
      <c r="I1330" s="2">
        <f t="shared" si="62"/>
        <v>45054</v>
      </c>
      <c r="J1330" t="str">
        <f>VLOOKUP(M1330,Umfragenteilnahme!$A$2:$B$3,2,)</f>
        <v>Nein</v>
      </c>
      <c r="M1330">
        <v>2</v>
      </c>
      <c r="N1330">
        <v>247</v>
      </c>
      <c r="O1330">
        <v>4</v>
      </c>
      <c r="P1330">
        <v>135</v>
      </c>
      <c r="Q1330">
        <v>1</v>
      </c>
      <c r="R1330">
        <v>3</v>
      </c>
      <c r="S1330">
        <v>42</v>
      </c>
    </row>
    <row r="1331" spans="1:19" x14ac:dyDescent="0.35">
      <c r="A1331">
        <v>8978</v>
      </c>
      <c r="B1331">
        <v>755</v>
      </c>
      <c r="C1331" t="str">
        <f>VLOOKUP(B1331,Kunde!A:C,3,FALSE)</f>
        <v>Geschäftskunde</v>
      </c>
      <c r="D1331" t="str">
        <f>VLOOKUP(O1331,Produkt!$A$1:$E$5,2,FALSE)</f>
        <v>D</v>
      </c>
      <c r="E1331">
        <f t="shared" si="60"/>
        <v>14</v>
      </c>
      <c r="F1331">
        <f>VLOOKUP(D1331,Produkt!$B$1:$C$5,2,FALSE)*Bestellungen!E1331</f>
        <v>11200</v>
      </c>
      <c r="G1331" s="2">
        <v>45006</v>
      </c>
      <c r="H1331" s="2">
        <f t="shared" si="61"/>
        <v>45010</v>
      </c>
      <c r="I1331" s="2">
        <f t="shared" si="62"/>
        <v>45024</v>
      </c>
      <c r="J1331" t="str">
        <f>VLOOKUP(M1331,Umfragenteilnahme!$A$2:$B$3,2,)</f>
        <v>Nein</v>
      </c>
      <c r="M1331">
        <v>2</v>
      </c>
      <c r="N1331">
        <v>755</v>
      </c>
      <c r="O1331">
        <v>4</v>
      </c>
      <c r="P1331">
        <v>14</v>
      </c>
      <c r="Q1331">
        <v>3</v>
      </c>
      <c r="R1331">
        <v>4</v>
      </c>
      <c r="S1331">
        <v>18</v>
      </c>
    </row>
    <row r="1332" spans="1:19" x14ac:dyDescent="0.35">
      <c r="A1332">
        <v>8979</v>
      </c>
      <c r="B1332">
        <v>290</v>
      </c>
      <c r="C1332" t="str">
        <f>VLOOKUP(B1332,Kunde!A:C,3,FALSE)</f>
        <v>Geschäftskunde</v>
      </c>
      <c r="D1332" t="str">
        <f>VLOOKUP(O1332,Produkt!$A$1:$E$5,2,FALSE)</f>
        <v>D</v>
      </c>
      <c r="E1332">
        <f t="shared" si="60"/>
        <v>120</v>
      </c>
      <c r="F1332">
        <f>VLOOKUP(D1332,Produkt!$B$1:$C$5,2,FALSE)*Bestellungen!E1332</f>
        <v>96000</v>
      </c>
      <c r="G1332" s="2">
        <v>44725</v>
      </c>
      <c r="H1332" s="2">
        <f t="shared" si="61"/>
        <v>44732</v>
      </c>
      <c r="I1332" s="2">
        <f t="shared" si="62"/>
        <v>44784</v>
      </c>
      <c r="J1332" t="str">
        <f>VLOOKUP(M1332,Umfragenteilnahme!$A$2:$B$3,2,)</f>
        <v>Nein</v>
      </c>
      <c r="M1332">
        <v>2</v>
      </c>
      <c r="N1332">
        <v>290</v>
      </c>
      <c r="O1332">
        <v>4</v>
      </c>
      <c r="P1332">
        <v>120</v>
      </c>
      <c r="Q1332">
        <v>5</v>
      </c>
      <c r="R1332">
        <v>7</v>
      </c>
      <c r="S1332">
        <v>59</v>
      </c>
    </row>
    <row r="1333" spans="1:19" x14ac:dyDescent="0.35">
      <c r="A1333">
        <v>8980</v>
      </c>
      <c r="B1333">
        <v>78</v>
      </c>
      <c r="C1333" t="str">
        <f>VLOOKUP(B1333,Kunde!A:C,3,FALSE)</f>
        <v>Privatkunde</v>
      </c>
      <c r="D1333" t="str">
        <f>VLOOKUP(O1333,Produkt!$A$1:$E$5,2,FALSE)</f>
        <v>B</v>
      </c>
      <c r="E1333">
        <f t="shared" si="60"/>
        <v>3</v>
      </c>
      <c r="F1333">
        <f>VLOOKUP(D1333,Produkt!$B$1:$C$5,2,FALSE)*Bestellungen!E1333</f>
        <v>1440</v>
      </c>
      <c r="G1333" s="2">
        <v>44968</v>
      </c>
      <c r="H1333" s="2">
        <f t="shared" si="61"/>
        <v>44975</v>
      </c>
      <c r="I1333" s="2">
        <f t="shared" si="62"/>
        <v>44995</v>
      </c>
      <c r="J1333" t="str">
        <f>VLOOKUP(M1333,Umfragenteilnahme!$A$2:$B$3,2,)</f>
        <v>Nein</v>
      </c>
      <c r="M1333">
        <v>2</v>
      </c>
      <c r="N1333">
        <v>78</v>
      </c>
      <c r="O1333">
        <v>2</v>
      </c>
      <c r="P1333">
        <v>121</v>
      </c>
      <c r="Q1333">
        <v>3</v>
      </c>
      <c r="R1333">
        <v>7</v>
      </c>
      <c r="S1333">
        <v>27</v>
      </c>
    </row>
    <row r="1334" spans="1:19" x14ac:dyDescent="0.35">
      <c r="A1334">
        <v>8981</v>
      </c>
      <c r="B1334">
        <v>474</v>
      </c>
      <c r="C1334" t="str">
        <f>VLOOKUP(B1334,Kunde!A:C,3,FALSE)</f>
        <v>Geschäftskunde</v>
      </c>
      <c r="D1334" t="str">
        <f>VLOOKUP(O1334,Produkt!$A$1:$E$5,2,FALSE)</f>
        <v>C</v>
      </c>
      <c r="E1334">
        <f t="shared" si="60"/>
        <v>92</v>
      </c>
      <c r="F1334">
        <f>VLOOKUP(D1334,Produkt!$B$1:$C$5,2,FALSE)*Bestellungen!E1334</f>
        <v>138000</v>
      </c>
      <c r="G1334" s="2">
        <v>44824</v>
      </c>
      <c r="H1334" s="2">
        <f t="shared" si="61"/>
        <v>44828</v>
      </c>
      <c r="I1334" s="2">
        <f t="shared" si="62"/>
        <v>44829</v>
      </c>
      <c r="J1334" t="str">
        <f>VLOOKUP(M1334,Umfragenteilnahme!$A$2:$B$3,2,)</f>
        <v>Nein</v>
      </c>
      <c r="M1334">
        <v>2</v>
      </c>
      <c r="N1334">
        <v>474</v>
      </c>
      <c r="O1334">
        <v>3</v>
      </c>
      <c r="P1334">
        <v>92</v>
      </c>
      <c r="Q1334">
        <v>2</v>
      </c>
      <c r="R1334">
        <v>4</v>
      </c>
      <c r="S1334">
        <v>5</v>
      </c>
    </row>
    <row r="1335" spans="1:19" x14ac:dyDescent="0.35">
      <c r="A1335">
        <v>8982</v>
      </c>
      <c r="B1335">
        <v>511</v>
      </c>
      <c r="C1335" t="str">
        <f>VLOOKUP(B1335,Kunde!A:C,3,FALSE)</f>
        <v>Geschäftskunde</v>
      </c>
      <c r="D1335" t="str">
        <f>VLOOKUP(O1335,Produkt!$A$1:$E$5,2,FALSE)</f>
        <v>B</v>
      </c>
      <c r="E1335">
        <f t="shared" si="60"/>
        <v>128</v>
      </c>
      <c r="F1335">
        <f>VLOOKUP(D1335,Produkt!$B$1:$C$5,2,FALSE)*Bestellungen!E1335</f>
        <v>61440</v>
      </c>
      <c r="G1335" s="2">
        <v>44750</v>
      </c>
      <c r="H1335" s="2">
        <f t="shared" si="61"/>
        <v>44752</v>
      </c>
      <c r="I1335" s="2">
        <f t="shared" si="62"/>
        <v>44796</v>
      </c>
      <c r="J1335" t="str">
        <f>VLOOKUP(M1335,Umfragenteilnahme!$A$2:$B$3,2,)</f>
        <v>Ja</v>
      </c>
      <c r="M1335">
        <v>1</v>
      </c>
      <c r="N1335">
        <v>511</v>
      </c>
      <c r="O1335">
        <v>2</v>
      </c>
      <c r="P1335">
        <v>128</v>
      </c>
      <c r="Q1335">
        <v>10</v>
      </c>
      <c r="R1335">
        <v>2</v>
      </c>
      <c r="S1335">
        <v>46</v>
      </c>
    </row>
    <row r="1336" spans="1:19" x14ac:dyDescent="0.35">
      <c r="A1336">
        <v>8983</v>
      </c>
      <c r="B1336">
        <v>676</v>
      </c>
      <c r="C1336" t="str">
        <f>VLOOKUP(B1336,Kunde!A:C,3,FALSE)</f>
        <v>Privatkunde</v>
      </c>
      <c r="D1336" t="str">
        <f>VLOOKUP(O1336,Produkt!$A$1:$E$5,2,FALSE)</f>
        <v>D</v>
      </c>
      <c r="E1336">
        <f t="shared" si="60"/>
        <v>4</v>
      </c>
      <c r="F1336">
        <f>VLOOKUP(D1336,Produkt!$B$1:$C$5,2,FALSE)*Bestellungen!E1336</f>
        <v>3200</v>
      </c>
      <c r="G1336" s="2">
        <v>44718</v>
      </c>
      <c r="H1336" s="2">
        <f t="shared" si="61"/>
        <v>44724</v>
      </c>
      <c r="I1336" s="2">
        <f t="shared" si="62"/>
        <v>44743</v>
      </c>
      <c r="J1336" t="str">
        <f>VLOOKUP(M1336,Umfragenteilnahme!$A$2:$B$3,2,)</f>
        <v>Nein</v>
      </c>
      <c r="M1336">
        <v>2</v>
      </c>
      <c r="N1336">
        <v>676</v>
      </c>
      <c r="O1336">
        <v>4</v>
      </c>
      <c r="P1336">
        <v>35</v>
      </c>
      <c r="Q1336">
        <v>4</v>
      </c>
      <c r="R1336">
        <v>6</v>
      </c>
      <c r="S1336">
        <v>25</v>
      </c>
    </row>
    <row r="1337" spans="1:19" x14ac:dyDescent="0.35">
      <c r="A1337">
        <v>8984</v>
      </c>
      <c r="B1337">
        <v>553</v>
      </c>
      <c r="C1337" t="str">
        <f>VLOOKUP(B1337,Kunde!A:C,3,FALSE)</f>
        <v>Geschäftskunde</v>
      </c>
      <c r="D1337" t="str">
        <f>VLOOKUP(O1337,Produkt!$A$1:$E$5,2,FALSE)</f>
        <v>A</v>
      </c>
      <c r="E1337">
        <f t="shared" si="60"/>
        <v>24</v>
      </c>
      <c r="F1337">
        <f>VLOOKUP(D1337,Produkt!$B$1:$C$5,2,FALSE)*Bestellungen!E1337</f>
        <v>7200</v>
      </c>
      <c r="G1337" s="2">
        <v>44896</v>
      </c>
      <c r="H1337" s="2">
        <f t="shared" si="61"/>
        <v>44899</v>
      </c>
      <c r="I1337" s="2">
        <f t="shared" si="62"/>
        <v>44952</v>
      </c>
      <c r="J1337" t="str">
        <f>VLOOKUP(M1337,Umfragenteilnahme!$A$2:$B$3,2,)</f>
        <v>Nein</v>
      </c>
      <c r="M1337">
        <v>2</v>
      </c>
      <c r="N1337">
        <v>553</v>
      </c>
      <c r="O1337">
        <v>1</v>
      </c>
      <c r="P1337">
        <v>24</v>
      </c>
      <c r="Q1337">
        <v>9</v>
      </c>
      <c r="R1337">
        <v>3</v>
      </c>
      <c r="S1337">
        <v>56</v>
      </c>
    </row>
    <row r="1338" spans="1:19" x14ac:dyDescent="0.35">
      <c r="A1338">
        <v>8985</v>
      </c>
      <c r="B1338">
        <v>689</v>
      </c>
      <c r="C1338" t="str">
        <f>VLOOKUP(B1338,Kunde!A:C,3,FALSE)</f>
        <v>Geschäftskunde</v>
      </c>
      <c r="D1338" t="str">
        <f>VLOOKUP(O1338,Produkt!$A$1:$E$5,2,FALSE)</f>
        <v>C</v>
      </c>
      <c r="E1338">
        <f t="shared" si="60"/>
        <v>114</v>
      </c>
      <c r="F1338">
        <f>VLOOKUP(D1338,Produkt!$B$1:$C$5,2,FALSE)*Bestellungen!E1338</f>
        <v>171000</v>
      </c>
      <c r="G1338" s="2">
        <v>44883</v>
      </c>
      <c r="H1338" s="2">
        <f t="shared" si="61"/>
        <v>44890</v>
      </c>
      <c r="I1338" s="2">
        <f t="shared" si="62"/>
        <v>44942</v>
      </c>
      <c r="J1338" t="str">
        <f>VLOOKUP(M1338,Umfragenteilnahme!$A$2:$B$3,2,)</f>
        <v>Ja</v>
      </c>
      <c r="M1338">
        <v>1</v>
      </c>
      <c r="N1338">
        <v>689</v>
      </c>
      <c r="O1338">
        <v>3</v>
      </c>
      <c r="P1338">
        <v>114</v>
      </c>
      <c r="Q1338">
        <v>8</v>
      </c>
      <c r="R1338">
        <v>7</v>
      </c>
      <c r="S1338">
        <v>59</v>
      </c>
    </row>
    <row r="1339" spans="1:19" x14ac:dyDescent="0.35">
      <c r="A1339">
        <v>8986</v>
      </c>
      <c r="B1339">
        <v>114</v>
      </c>
      <c r="C1339" t="str">
        <f>VLOOKUP(B1339,Kunde!A:C,3,FALSE)</f>
        <v>Geschäftskunde</v>
      </c>
      <c r="D1339" t="str">
        <f>VLOOKUP(O1339,Produkt!$A$1:$E$5,2,FALSE)</f>
        <v>D</v>
      </c>
      <c r="E1339">
        <f t="shared" si="60"/>
        <v>90</v>
      </c>
      <c r="F1339">
        <f>VLOOKUP(D1339,Produkt!$B$1:$C$5,2,FALSE)*Bestellungen!E1339</f>
        <v>72000</v>
      </c>
      <c r="G1339" s="2">
        <v>44730</v>
      </c>
      <c r="H1339" s="2">
        <f t="shared" si="61"/>
        <v>44735</v>
      </c>
      <c r="I1339" s="2">
        <f t="shared" si="62"/>
        <v>44781</v>
      </c>
      <c r="J1339" t="str">
        <f>VLOOKUP(M1339,Umfragenteilnahme!$A$2:$B$3,2,)</f>
        <v>Ja</v>
      </c>
      <c r="M1339">
        <v>1</v>
      </c>
      <c r="N1339">
        <v>114</v>
      </c>
      <c r="O1339">
        <v>4</v>
      </c>
      <c r="P1339">
        <v>90</v>
      </c>
      <c r="Q1339">
        <v>3</v>
      </c>
      <c r="R1339">
        <v>5</v>
      </c>
      <c r="S1339">
        <v>51</v>
      </c>
    </row>
    <row r="1340" spans="1:19" x14ac:dyDescent="0.35">
      <c r="A1340">
        <v>8987</v>
      </c>
      <c r="B1340">
        <v>231</v>
      </c>
      <c r="C1340" t="str">
        <f>VLOOKUP(B1340,Kunde!A:C,3,FALSE)</f>
        <v>Geschäftskunde</v>
      </c>
      <c r="D1340" t="str">
        <f>VLOOKUP(O1340,Produkt!$A$1:$E$5,2,FALSE)</f>
        <v>A</v>
      </c>
      <c r="E1340">
        <f t="shared" si="60"/>
        <v>23</v>
      </c>
      <c r="F1340">
        <f>VLOOKUP(D1340,Produkt!$B$1:$C$5,2,FALSE)*Bestellungen!E1340</f>
        <v>6900</v>
      </c>
      <c r="G1340" s="2">
        <v>44882</v>
      </c>
      <c r="H1340" s="2">
        <f t="shared" si="61"/>
        <v>44888</v>
      </c>
      <c r="I1340" s="2">
        <f t="shared" si="62"/>
        <v>44908</v>
      </c>
      <c r="J1340" t="str">
        <f>VLOOKUP(M1340,Umfragenteilnahme!$A$2:$B$3,2,)</f>
        <v>Nein</v>
      </c>
      <c r="M1340">
        <v>2</v>
      </c>
      <c r="N1340">
        <v>231</v>
      </c>
      <c r="O1340">
        <v>1</v>
      </c>
      <c r="P1340">
        <v>23</v>
      </c>
      <c r="Q1340">
        <v>2</v>
      </c>
      <c r="R1340">
        <v>6</v>
      </c>
      <c r="S1340">
        <v>26</v>
      </c>
    </row>
    <row r="1341" spans="1:19" x14ac:dyDescent="0.35">
      <c r="A1341">
        <v>8988</v>
      </c>
      <c r="B1341">
        <v>393</v>
      </c>
      <c r="C1341" t="str">
        <f>VLOOKUP(B1341,Kunde!A:C,3,FALSE)</f>
        <v>Geschäftskunde</v>
      </c>
      <c r="D1341" t="str">
        <f>VLOOKUP(O1341,Produkt!$A$1:$E$5,2,FALSE)</f>
        <v>A</v>
      </c>
      <c r="E1341">
        <f t="shared" si="60"/>
        <v>41</v>
      </c>
      <c r="F1341">
        <f>VLOOKUP(D1341,Produkt!$B$1:$C$5,2,FALSE)*Bestellungen!E1341</f>
        <v>12300</v>
      </c>
      <c r="G1341" s="2">
        <v>44867</v>
      </c>
      <c r="H1341" s="2">
        <f t="shared" si="61"/>
        <v>44874</v>
      </c>
      <c r="I1341" s="2">
        <f t="shared" si="62"/>
        <v>44886</v>
      </c>
      <c r="J1341" t="str">
        <f>VLOOKUP(M1341,Umfragenteilnahme!$A$2:$B$3,2,)</f>
        <v>Ja</v>
      </c>
      <c r="M1341">
        <v>1</v>
      </c>
      <c r="N1341">
        <v>393</v>
      </c>
      <c r="O1341">
        <v>1</v>
      </c>
      <c r="P1341">
        <v>41</v>
      </c>
      <c r="Q1341">
        <v>9</v>
      </c>
      <c r="R1341">
        <v>7</v>
      </c>
      <c r="S1341">
        <v>19</v>
      </c>
    </row>
    <row r="1342" spans="1:19" x14ac:dyDescent="0.35">
      <c r="A1342">
        <v>8989</v>
      </c>
      <c r="B1342">
        <v>576</v>
      </c>
      <c r="C1342" t="str">
        <f>VLOOKUP(B1342,Kunde!A:C,3,FALSE)</f>
        <v>Geschäftskunde</v>
      </c>
      <c r="D1342" t="str">
        <f>VLOOKUP(O1342,Produkt!$A$1:$E$5,2,FALSE)</f>
        <v>D</v>
      </c>
      <c r="E1342">
        <f t="shared" si="60"/>
        <v>112</v>
      </c>
      <c r="F1342">
        <f>VLOOKUP(D1342,Produkt!$B$1:$C$5,2,FALSE)*Bestellungen!E1342</f>
        <v>89600</v>
      </c>
      <c r="G1342" s="2">
        <v>44888</v>
      </c>
      <c r="H1342" s="2">
        <f t="shared" si="61"/>
        <v>44893</v>
      </c>
      <c r="I1342" s="2">
        <f t="shared" si="62"/>
        <v>44938</v>
      </c>
      <c r="J1342" t="str">
        <f>VLOOKUP(M1342,Umfragenteilnahme!$A$2:$B$3,2,)</f>
        <v>Ja</v>
      </c>
      <c r="M1342">
        <v>1</v>
      </c>
      <c r="N1342">
        <v>576</v>
      </c>
      <c r="O1342">
        <v>4</v>
      </c>
      <c r="P1342">
        <v>112</v>
      </c>
      <c r="Q1342">
        <v>6</v>
      </c>
      <c r="R1342">
        <v>5</v>
      </c>
      <c r="S1342">
        <v>50</v>
      </c>
    </row>
    <row r="1343" spans="1:19" x14ac:dyDescent="0.35">
      <c r="A1343">
        <v>8990</v>
      </c>
      <c r="B1343">
        <v>195</v>
      </c>
      <c r="C1343" t="str">
        <f>VLOOKUP(B1343,Kunde!A:C,3,FALSE)</f>
        <v>Geschäftskunde</v>
      </c>
      <c r="D1343" t="str">
        <f>VLOOKUP(O1343,Produkt!$A$1:$E$5,2,FALSE)</f>
        <v>D</v>
      </c>
      <c r="E1343">
        <f t="shared" si="60"/>
        <v>32</v>
      </c>
      <c r="F1343">
        <f>VLOOKUP(D1343,Produkt!$B$1:$C$5,2,FALSE)*Bestellungen!E1343</f>
        <v>25600</v>
      </c>
      <c r="G1343" s="2">
        <v>44972</v>
      </c>
      <c r="H1343" s="2">
        <f t="shared" si="61"/>
        <v>44979</v>
      </c>
      <c r="I1343" s="2">
        <f t="shared" si="62"/>
        <v>45022</v>
      </c>
      <c r="J1343" t="str">
        <f>VLOOKUP(M1343,Umfragenteilnahme!$A$2:$B$3,2,)</f>
        <v>Nein</v>
      </c>
      <c r="M1343">
        <v>2</v>
      </c>
      <c r="N1343">
        <v>195</v>
      </c>
      <c r="O1343">
        <v>4</v>
      </c>
      <c r="P1343">
        <v>32</v>
      </c>
      <c r="Q1343">
        <v>3</v>
      </c>
      <c r="R1343">
        <v>7</v>
      </c>
      <c r="S1343">
        <v>50</v>
      </c>
    </row>
    <row r="1344" spans="1:19" x14ac:dyDescent="0.35">
      <c r="A1344">
        <v>8991</v>
      </c>
      <c r="B1344">
        <v>186</v>
      </c>
      <c r="C1344" t="str">
        <f>VLOOKUP(B1344,Kunde!A:C,3,FALSE)</f>
        <v>Privatkunde</v>
      </c>
      <c r="D1344" t="str">
        <f>VLOOKUP(O1344,Produkt!$A$1:$E$5,2,FALSE)</f>
        <v>A</v>
      </c>
      <c r="E1344">
        <f t="shared" si="60"/>
        <v>4</v>
      </c>
      <c r="F1344">
        <f>VLOOKUP(D1344,Produkt!$B$1:$C$5,2,FALSE)*Bestellungen!E1344</f>
        <v>1200</v>
      </c>
      <c r="G1344" s="2">
        <v>44745</v>
      </c>
      <c r="H1344" s="2">
        <f t="shared" si="61"/>
        <v>44752</v>
      </c>
      <c r="I1344" s="2">
        <f t="shared" si="62"/>
        <v>44768</v>
      </c>
      <c r="J1344" t="str">
        <f>VLOOKUP(M1344,Umfragenteilnahme!$A$2:$B$3,2,)</f>
        <v>Nein</v>
      </c>
      <c r="M1344">
        <v>2</v>
      </c>
      <c r="N1344">
        <v>186</v>
      </c>
      <c r="O1344">
        <v>1</v>
      </c>
      <c r="P1344">
        <v>95</v>
      </c>
      <c r="Q1344">
        <v>4</v>
      </c>
      <c r="R1344">
        <v>7</v>
      </c>
      <c r="S1344">
        <v>23</v>
      </c>
    </row>
    <row r="1345" spans="1:19" x14ac:dyDescent="0.35">
      <c r="A1345">
        <v>8992</v>
      </c>
      <c r="B1345">
        <v>720</v>
      </c>
      <c r="C1345" t="str">
        <f>VLOOKUP(B1345,Kunde!A:C,3,FALSE)</f>
        <v>Geschäftskunde</v>
      </c>
      <c r="D1345" t="str">
        <f>VLOOKUP(O1345,Produkt!$A$1:$E$5,2,FALSE)</f>
        <v>A</v>
      </c>
      <c r="E1345">
        <f t="shared" si="60"/>
        <v>104</v>
      </c>
      <c r="F1345">
        <f>VLOOKUP(D1345,Produkt!$B$1:$C$5,2,FALSE)*Bestellungen!E1345</f>
        <v>31200</v>
      </c>
      <c r="G1345" s="2">
        <v>45004</v>
      </c>
      <c r="H1345" s="2">
        <f t="shared" si="61"/>
        <v>45009</v>
      </c>
      <c r="I1345" s="2">
        <f t="shared" si="62"/>
        <v>45054</v>
      </c>
      <c r="J1345" t="str">
        <f>VLOOKUP(M1345,Umfragenteilnahme!$A$2:$B$3,2,)</f>
        <v>Nein</v>
      </c>
      <c r="M1345">
        <v>2</v>
      </c>
      <c r="N1345">
        <v>720</v>
      </c>
      <c r="O1345">
        <v>1</v>
      </c>
      <c r="P1345">
        <v>104</v>
      </c>
      <c r="Q1345">
        <v>9</v>
      </c>
      <c r="R1345">
        <v>5</v>
      </c>
      <c r="S1345">
        <v>50</v>
      </c>
    </row>
    <row r="1346" spans="1:19" x14ac:dyDescent="0.35">
      <c r="A1346">
        <v>8993</v>
      </c>
      <c r="B1346">
        <v>289</v>
      </c>
      <c r="C1346" t="str">
        <f>VLOOKUP(B1346,Kunde!A:C,3,FALSE)</f>
        <v>Geschäftskunde</v>
      </c>
      <c r="D1346" t="str">
        <f>VLOOKUP(O1346,Produkt!$A$1:$E$5,2,FALSE)</f>
        <v>B</v>
      </c>
      <c r="E1346">
        <f t="shared" si="60"/>
        <v>78</v>
      </c>
      <c r="F1346">
        <f>VLOOKUP(D1346,Produkt!$B$1:$C$5,2,FALSE)*Bestellungen!E1346</f>
        <v>37440</v>
      </c>
      <c r="G1346" s="2">
        <v>44778</v>
      </c>
      <c r="H1346" s="2">
        <f t="shared" si="61"/>
        <v>44781</v>
      </c>
      <c r="I1346" s="2">
        <f t="shared" si="62"/>
        <v>44827</v>
      </c>
      <c r="J1346" t="str">
        <f>VLOOKUP(M1346,Umfragenteilnahme!$A$2:$B$3,2,)</f>
        <v>Ja</v>
      </c>
      <c r="M1346">
        <v>1</v>
      </c>
      <c r="N1346">
        <v>289</v>
      </c>
      <c r="O1346">
        <v>2</v>
      </c>
      <c r="P1346">
        <v>78</v>
      </c>
      <c r="Q1346">
        <v>9</v>
      </c>
      <c r="R1346">
        <v>3</v>
      </c>
      <c r="S1346">
        <v>49</v>
      </c>
    </row>
    <row r="1347" spans="1:19" x14ac:dyDescent="0.35">
      <c r="A1347">
        <v>8994</v>
      </c>
      <c r="B1347">
        <v>401</v>
      </c>
      <c r="C1347" t="str">
        <f>VLOOKUP(B1347,Kunde!A:C,3,FALSE)</f>
        <v>Geschäftskunde</v>
      </c>
      <c r="D1347" t="str">
        <f>VLOOKUP(O1347,Produkt!$A$1:$E$5,2,FALSE)</f>
        <v>D</v>
      </c>
      <c r="E1347">
        <f t="shared" ref="E1347:E1410" si="63">IF(C1347="Geschäftskunde",P1347,Q1347)</f>
        <v>112</v>
      </c>
      <c r="F1347">
        <f>VLOOKUP(D1347,Produkt!$B$1:$C$5,2,FALSE)*Bestellungen!E1347</f>
        <v>89600</v>
      </c>
      <c r="G1347" s="2">
        <v>44862</v>
      </c>
      <c r="H1347" s="2">
        <f t="shared" ref="H1347:H1410" si="64">G1347+R1347</f>
        <v>44869</v>
      </c>
      <c r="I1347" s="2">
        <f t="shared" ref="I1347:I1410" si="65">G1347+S1347</f>
        <v>44916</v>
      </c>
      <c r="J1347" t="str">
        <f>VLOOKUP(M1347,Umfragenteilnahme!$A$2:$B$3,2,)</f>
        <v>Ja</v>
      </c>
      <c r="M1347">
        <v>1</v>
      </c>
      <c r="N1347">
        <v>401</v>
      </c>
      <c r="O1347">
        <v>4</v>
      </c>
      <c r="P1347">
        <v>112</v>
      </c>
      <c r="Q1347">
        <v>9</v>
      </c>
      <c r="R1347">
        <v>7</v>
      </c>
      <c r="S1347">
        <v>54</v>
      </c>
    </row>
    <row r="1348" spans="1:19" x14ac:dyDescent="0.35">
      <c r="A1348">
        <v>8995</v>
      </c>
      <c r="B1348">
        <v>464</v>
      </c>
      <c r="C1348" t="str">
        <f>VLOOKUP(B1348,Kunde!A:C,3,FALSE)</f>
        <v>Geschäftskunde</v>
      </c>
      <c r="D1348" t="str">
        <f>VLOOKUP(O1348,Produkt!$A$1:$E$5,2,FALSE)</f>
        <v>A</v>
      </c>
      <c r="E1348">
        <f t="shared" si="63"/>
        <v>78</v>
      </c>
      <c r="F1348">
        <f>VLOOKUP(D1348,Produkt!$B$1:$C$5,2,FALSE)*Bestellungen!E1348</f>
        <v>23400</v>
      </c>
      <c r="G1348" s="2">
        <v>45018</v>
      </c>
      <c r="H1348" s="2">
        <f t="shared" si="64"/>
        <v>45021</v>
      </c>
      <c r="I1348" s="2">
        <f t="shared" si="65"/>
        <v>45067</v>
      </c>
      <c r="J1348" t="str">
        <f>VLOOKUP(M1348,Umfragenteilnahme!$A$2:$B$3,2,)</f>
        <v>Nein</v>
      </c>
      <c r="M1348">
        <v>2</v>
      </c>
      <c r="N1348">
        <v>464</v>
      </c>
      <c r="O1348">
        <v>1</v>
      </c>
      <c r="P1348">
        <v>78</v>
      </c>
      <c r="Q1348">
        <v>6</v>
      </c>
      <c r="R1348">
        <v>3</v>
      </c>
      <c r="S1348">
        <v>49</v>
      </c>
    </row>
    <row r="1349" spans="1:19" x14ac:dyDescent="0.35">
      <c r="A1349">
        <v>8996</v>
      </c>
      <c r="B1349">
        <v>172</v>
      </c>
      <c r="C1349" t="str">
        <f>VLOOKUP(B1349,Kunde!A:C,3,FALSE)</f>
        <v>Geschäftskunde</v>
      </c>
      <c r="D1349" t="str">
        <f>VLOOKUP(O1349,Produkt!$A$1:$E$5,2,FALSE)</f>
        <v>C</v>
      </c>
      <c r="E1349">
        <f t="shared" si="63"/>
        <v>133</v>
      </c>
      <c r="F1349">
        <f>VLOOKUP(D1349,Produkt!$B$1:$C$5,2,FALSE)*Bestellungen!E1349</f>
        <v>199500</v>
      </c>
      <c r="G1349" s="2">
        <v>44925</v>
      </c>
      <c r="H1349" s="2">
        <f t="shared" si="64"/>
        <v>44931</v>
      </c>
      <c r="I1349" s="2">
        <f t="shared" si="65"/>
        <v>44941</v>
      </c>
      <c r="J1349" t="str">
        <f>VLOOKUP(M1349,Umfragenteilnahme!$A$2:$B$3,2,)</f>
        <v>Ja</v>
      </c>
      <c r="M1349">
        <v>1</v>
      </c>
      <c r="N1349">
        <v>172</v>
      </c>
      <c r="O1349">
        <v>3</v>
      </c>
      <c r="P1349">
        <v>133</v>
      </c>
      <c r="Q1349">
        <v>5</v>
      </c>
      <c r="R1349">
        <v>6</v>
      </c>
      <c r="S1349">
        <v>16</v>
      </c>
    </row>
    <row r="1350" spans="1:19" x14ac:dyDescent="0.35">
      <c r="A1350">
        <v>8997</v>
      </c>
      <c r="B1350">
        <v>299</v>
      </c>
      <c r="C1350" t="str">
        <f>VLOOKUP(B1350,Kunde!A:C,3,FALSE)</f>
        <v>Geschäftskunde</v>
      </c>
      <c r="D1350" t="str">
        <f>VLOOKUP(O1350,Produkt!$A$1:$E$5,2,FALSE)</f>
        <v>A</v>
      </c>
      <c r="E1350">
        <f t="shared" si="63"/>
        <v>37</v>
      </c>
      <c r="F1350">
        <f>VLOOKUP(D1350,Produkt!$B$1:$C$5,2,FALSE)*Bestellungen!E1350</f>
        <v>11100</v>
      </c>
      <c r="G1350" s="2">
        <v>44728</v>
      </c>
      <c r="H1350" s="2">
        <f t="shared" si="64"/>
        <v>44730</v>
      </c>
      <c r="I1350" s="2">
        <f t="shared" si="65"/>
        <v>44787</v>
      </c>
      <c r="J1350" t="str">
        <f>VLOOKUP(M1350,Umfragenteilnahme!$A$2:$B$3,2,)</f>
        <v>Ja</v>
      </c>
      <c r="M1350">
        <v>1</v>
      </c>
      <c r="N1350">
        <v>299</v>
      </c>
      <c r="O1350">
        <v>1</v>
      </c>
      <c r="P1350">
        <v>37</v>
      </c>
      <c r="Q1350">
        <v>6</v>
      </c>
      <c r="R1350">
        <v>2</v>
      </c>
      <c r="S1350">
        <v>59</v>
      </c>
    </row>
    <row r="1351" spans="1:19" x14ac:dyDescent="0.35">
      <c r="A1351">
        <v>8998</v>
      </c>
      <c r="B1351">
        <v>250</v>
      </c>
      <c r="C1351" t="str">
        <f>VLOOKUP(B1351,Kunde!A:C,3,FALSE)</f>
        <v>Geschäftskunde</v>
      </c>
      <c r="D1351" t="str">
        <f>VLOOKUP(O1351,Produkt!$A$1:$E$5,2,FALSE)</f>
        <v>B</v>
      </c>
      <c r="E1351">
        <f t="shared" si="63"/>
        <v>40</v>
      </c>
      <c r="F1351">
        <f>VLOOKUP(D1351,Produkt!$B$1:$C$5,2,FALSE)*Bestellungen!E1351</f>
        <v>19200</v>
      </c>
      <c r="G1351" s="2">
        <v>44740</v>
      </c>
      <c r="H1351" s="2">
        <f t="shared" si="64"/>
        <v>44747</v>
      </c>
      <c r="I1351" s="2">
        <f t="shared" si="65"/>
        <v>44793</v>
      </c>
      <c r="J1351" t="str">
        <f>VLOOKUP(M1351,Umfragenteilnahme!$A$2:$B$3,2,)</f>
        <v>Nein</v>
      </c>
      <c r="M1351">
        <v>2</v>
      </c>
      <c r="N1351">
        <v>250</v>
      </c>
      <c r="O1351">
        <v>2</v>
      </c>
      <c r="P1351">
        <v>40</v>
      </c>
      <c r="Q1351">
        <v>2</v>
      </c>
      <c r="R1351">
        <v>7</v>
      </c>
      <c r="S1351">
        <v>53</v>
      </c>
    </row>
    <row r="1352" spans="1:19" x14ac:dyDescent="0.35">
      <c r="A1352">
        <v>8999</v>
      </c>
      <c r="B1352">
        <v>570</v>
      </c>
      <c r="C1352" t="str">
        <f>VLOOKUP(B1352,Kunde!A:C,3,FALSE)</f>
        <v>Geschäftskunde</v>
      </c>
      <c r="D1352" t="str">
        <f>VLOOKUP(O1352,Produkt!$A$1:$E$5,2,FALSE)</f>
        <v>D</v>
      </c>
      <c r="E1352">
        <f t="shared" si="63"/>
        <v>66</v>
      </c>
      <c r="F1352">
        <f>VLOOKUP(D1352,Produkt!$B$1:$C$5,2,FALSE)*Bestellungen!E1352</f>
        <v>52800</v>
      </c>
      <c r="G1352" s="2">
        <v>44977</v>
      </c>
      <c r="H1352" s="2">
        <f t="shared" si="64"/>
        <v>44980</v>
      </c>
      <c r="I1352" s="2">
        <f t="shared" si="65"/>
        <v>45028</v>
      </c>
      <c r="J1352" t="str">
        <f>VLOOKUP(M1352,Umfragenteilnahme!$A$2:$B$3,2,)</f>
        <v>Ja</v>
      </c>
      <c r="M1352">
        <v>1</v>
      </c>
      <c r="N1352">
        <v>570</v>
      </c>
      <c r="O1352">
        <v>4</v>
      </c>
      <c r="P1352">
        <v>66</v>
      </c>
      <c r="Q1352">
        <v>2</v>
      </c>
      <c r="R1352">
        <v>3</v>
      </c>
      <c r="S1352">
        <v>51</v>
      </c>
    </row>
    <row r="1353" spans="1:19" x14ac:dyDescent="0.35">
      <c r="A1353">
        <v>9000</v>
      </c>
      <c r="B1353">
        <v>135</v>
      </c>
      <c r="C1353" t="str">
        <f>VLOOKUP(B1353,Kunde!A:C,3,FALSE)</f>
        <v>Geschäftskunde</v>
      </c>
      <c r="D1353" t="str">
        <f>VLOOKUP(O1353,Produkt!$A$1:$E$5,2,FALSE)</f>
        <v>B</v>
      </c>
      <c r="E1353">
        <f t="shared" si="63"/>
        <v>20</v>
      </c>
      <c r="F1353">
        <f>VLOOKUP(D1353,Produkt!$B$1:$C$5,2,FALSE)*Bestellungen!E1353</f>
        <v>9600</v>
      </c>
      <c r="G1353" s="2">
        <v>44721</v>
      </c>
      <c r="H1353" s="2">
        <f t="shared" si="64"/>
        <v>44723</v>
      </c>
      <c r="I1353" s="2">
        <f t="shared" si="65"/>
        <v>44756</v>
      </c>
      <c r="J1353" t="str">
        <f>VLOOKUP(M1353,Umfragenteilnahme!$A$2:$B$3,2,)</f>
        <v>Ja</v>
      </c>
      <c r="M1353">
        <v>1</v>
      </c>
      <c r="N1353">
        <v>135</v>
      </c>
      <c r="O1353">
        <v>2</v>
      </c>
      <c r="P1353">
        <v>20</v>
      </c>
      <c r="Q1353">
        <v>3</v>
      </c>
      <c r="R1353">
        <v>2</v>
      </c>
      <c r="S1353">
        <v>35</v>
      </c>
    </row>
    <row r="1354" spans="1:19" x14ac:dyDescent="0.35">
      <c r="A1354">
        <v>9001</v>
      </c>
      <c r="B1354">
        <v>399</v>
      </c>
      <c r="C1354" t="str">
        <f>VLOOKUP(B1354,Kunde!A:C,3,FALSE)</f>
        <v>Geschäftskunde</v>
      </c>
      <c r="D1354" t="str">
        <f>VLOOKUP(O1354,Produkt!$A$1:$E$5,2,FALSE)</f>
        <v>A</v>
      </c>
      <c r="E1354">
        <f t="shared" si="63"/>
        <v>114</v>
      </c>
      <c r="F1354">
        <f>VLOOKUP(D1354,Produkt!$B$1:$C$5,2,FALSE)*Bestellungen!E1354</f>
        <v>34200</v>
      </c>
      <c r="G1354" s="2">
        <v>44880</v>
      </c>
      <c r="H1354" s="2">
        <f t="shared" si="64"/>
        <v>44882</v>
      </c>
      <c r="I1354" s="2">
        <f t="shared" si="65"/>
        <v>44893</v>
      </c>
      <c r="J1354" t="str">
        <f>VLOOKUP(M1354,Umfragenteilnahme!$A$2:$B$3,2,)</f>
        <v>Nein</v>
      </c>
      <c r="M1354">
        <v>2</v>
      </c>
      <c r="N1354">
        <v>399</v>
      </c>
      <c r="O1354">
        <v>1</v>
      </c>
      <c r="P1354">
        <v>114</v>
      </c>
      <c r="Q1354">
        <v>3</v>
      </c>
      <c r="R1354">
        <v>2</v>
      </c>
      <c r="S1354">
        <v>13</v>
      </c>
    </row>
    <row r="1355" spans="1:19" x14ac:dyDescent="0.35">
      <c r="A1355">
        <v>9002</v>
      </c>
      <c r="B1355">
        <v>91</v>
      </c>
      <c r="C1355" t="str">
        <f>VLOOKUP(B1355,Kunde!A:C,3,FALSE)</f>
        <v>Privatkunde</v>
      </c>
      <c r="D1355" t="str">
        <f>VLOOKUP(O1355,Produkt!$A$1:$E$5,2,FALSE)</f>
        <v>D</v>
      </c>
      <c r="E1355">
        <f t="shared" si="63"/>
        <v>5</v>
      </c>
      <c r="F1355">
        <f>VLOOKUP(D1355,Produkt!$B$1:$C$5,2,FALSE)*Bestellungen!E1355</f>
        <v>4000</v>
      </c>
      <c r="G1355" s="2">
        <v>45055</v>
      </c>
      <c r="H1355" s="2">
        <f t="shared" si="64"/>
        <v>45060</v>
      </c>
      <c r="I1355" s="2">
        <f t="shared" si="65"/>
        <v>45059</v>
      </c>
      <c r="J1355" t="str">
        <f>VLOOKUP(M1355,Umfragenteilnahme!$A$2:$B$3,2,)</f>
        <v>Ja</v>
      </c>
      <c r="M1355">
        <v>1</v>
      </c>
      <c r="N1355">
        <v>91</v>
      </c>
      <c r="O1355">
        <v>4</v>
      </c>
      <c r="P1355">
        <v>72</v>
      </c>
      <c r="Q1355">
        <v>5</v>
      </c>
      <c r="R1355">
        <v>5</v>
      </c>
      <c r="S1355">
        <v>4</v>
      </c>
    </row>
    <row r="1356" spans="1:19" x14ac:dyDescent="0.35">
      <c r="A1356">
        <v>9003</v>
      </c>
      <c r="B1356">
        <v>517</v>
      </c>
      <c r="C1356" t="str">
        <f>VLOOKUP(B1356,Kunde!A:C,3,FALSE)</f>
        <v>Geschäftskunde</v>
      </c>
      <c r="D1356" t="str">
        <f>VLOOKUP(O1356,Produkt!$A$1:$E$5,2,FALSE)</f>
        <v>A</v>
      </c>
      <c r="E1356">
        <f t="shared" si="63"/>
        <v>13</v>
      </c>
      <c r="F1356">
        <f>VLOOKUP(D1356,Produkt!$B$1:$C$5,2,FALSE)*Bestellungen!E1356</f>
        <v>3900</v>
      </c>
      <c r="G1356" s="2">
        <v>44861</v>
      </c>
      <c r="H1356" s="2">
        <f t="shared" si="64"/>
        <v>44865</v>
      </c>
      <c r="I1356" s="2">
        <f t="shared" si="65"/>
        <v>44875</v>
      </c>
      <c r="J1356" t="str">
        <f>VLOOKUP(M1356,Umfragenteilnahme!$A$2:$B$3,2,)</f>
        <v>Nein</v>
      </c>
      <c r="M1356">
        <v>2</v>
      </c>
      <c r="N1356">
        <v>517</v>
      </c>
      <c r="O1356">
        <v>1</v>
      </c>
      <c r="P1356">
        <v>13</v>
      </c>
      <c r="Q1356">
        <v>2</v>
      </c>
      <c r="R1356">
        <v>4</v>
      </c>
      <c r="S1356">
        <v>14</v>
      </c>
    </row>
    <row r="1357" spans="1:19" x14ac:dyDescent="0.35">
      <c r="A1357">
        <v>9004</v>
      </c>
      <c r="B1357">
        <v>462</v>
      </c>
      <c r="C1357" t="str">
        <f>VLOOKUP(B1357,Kunde!A:C,3,FALSE)</f>
        <v>Geschäftskunde</v>
      </c>
      <c r="D1357" t="str">
        <f>VLOOKUP(O1357,Produkt!$A$1:$E$5,2,FALSE)</f>
        <v>C</v>
      </c>
      <c r="E1357">
        <f t="shared" si="63"/>
        <v>37</v>
      </c>
      <c r="F1357">
        <f>VLOOKUP(D1357,Produkt!$B$1:$C$5,2,FALSE)*Bestellungen!E1357</f>
        <v>55500</v>
      </c>
      <c r="G1357" s="2">
        <v>44848</v>
      </c>
      <c r="H1357" s="2">
        <f t="shared" si="64"/>
        <v>44852</v>
      </c>
      <c r="I1357" s="2">
        <f t="shared" si="65"/>
        <v>44902</v>
      </c>
      <c r="J1357" t="str">
        <f>VLOOKUP(M1357,Umfragenteilnahme!$A$2:$B$3,2,)</f>
        <v>Nein</v>
      </c>
      <c r="M1357">
        <v>2</v>
      </c>
      <c r="N1357">
        <v>462</v>
      </c>
      <c r="O1357">
        <v>3</v>
      </c>
      <c r="P1357">
        <v>37</v>
      </c>
      <c r="Q1357">
        <v>7</v>
      </c>
      <c r="R1357">
        <v>4</v>
      </c>
      <c r="S1357">
        <v>54</v>
      </c>
    </row>
    <row r="1358" spans="1:19" x14ac:dyDescent="0.35">
      <c r="A1358">
        <v>9005</v>
      </c>
      <c r="B1358">
        <v>547</v>
      </c>
      <c r="C1358" t="str">
        <f>VLOOKUP(B1358,Kunde!A:C,3,FALSE)</f>
        <v>Geschäftskunde</v>
      </c>
      <c r="D1358" t="str">
        <f>VLOOKUP(O1358,Produkt!$A$1:$E$5,2,FALSE)</f>
        <v>D</v>
      </c>
      <c r="E1358">
        <f t="shared" si="63"/>
        <v>39</v>
      </c>
      <c r="F1358">
        <f>VLOOKUP(D1358,Produkt!$B$1:$C$5,2,FALSE)*Bestellungen!E1358</f>
        <v>31200</v>
      </c>
      <c r="G1358" s="2">
        <v>44966</v>
      </c>
      <c r="H1358" s="2">
        <f t="shared" si="64"/>
        <v>44968</v>
      </c>
      <c r="I1358" s="2">
        <f t="shared" si="65"/>
        <v>45025</v>
      </c>
      <c r="J1358" t="str">
        <f>VLOOKUP(M1358,Umfragenteilnahme!$A$2:$B$3,2,)</f>
        <v>Ja</v>
      </c>
      <c r="M1358">
        <v>1</v>
      </c>
      <c r="N1358">
        <v>547</v>
      </c>
      <c r="O1358">
        <v>4</v>
      </c>
      <c r="P1358">
        <v>39</v>
      </c>
      <c r="Q1358">
        <v>10</v>
      </c>
      <c r="R1358">
        <v>2</v>
      </c>
      <c r="S1358">
        <v>59</v>
      </c>
    </row>
    <row r="1359" spans="1:19" x14ac:dyDescent="0.35">
      <c r="A1359">
        <v>9006</v>
      </c>
      <c r="B1359">
        <v>446</v>
      </c>
      <c r="C1359" t="str">
        <f>VLOOKUP(B1359,Kunde!A:C,3,FALSE)</f>
        <v>Geschäftskunde</v>
      </c>
      <c r="D1359" t="str">
        <f>VLOOKUP(O1359,Produkt!$A$1:$E$5,2,FALSE)</f>
        <v>B</v>
      </c>
      <c r="E1359">
        <f t="shared" si="63"/>
        <v>66</v>
      </c>
      <c r="F1359">
        <f>VLOOKUP(D1359,Produkt!$B$1:$C$5,2,FALSE)*Bestellungen!E1359</f>
        <v>31680</v>
      </c>
      <c r="G1359" s="2">
        <v>44877</v>
      </c>
      <c r="H1359" s="2">
        <f t="shared" si="64"/>
        <v>44880</v>
      </c>
      <c r="I1359" s="2">
        <f t="shared" si="65"/>
        <v>44922</v>
      </c>
      <c r="J1359" t="str">
        <f>VLOOKUP(M1359,Umfragenteilnahme!$A$2:$B$3,2,)</f>
        <v>Nein</v>
      </c>
      <c r="M1359">
        <v>2</v>
      </c>
      <c r="N1359">
        <v>446</v>
      </c>
      <c r="O1359">
        <v>2</v>
      </c>
      <c r="P1359">
        <v>66</v>
      </c>
      <c r="Q1359">
        <v>6</v>
      </c>
      <c r="R1359">
        <v>3</v>
      </c>
      <c r="S1359">
        <v>45</v>
      </c>
    </row>
    <row r="1360" spans="1:19" x14ac:dyDescent="0.35">
      <c r="A1360">
        <v>9007</v>
      </c>
      <c r="B1360">
        <v>580</v>
      </c>
      <c r="C1360" t="str">
        <f>VLOOKUP(B1360,Kunde!A:C,3,FALSE)</f>
        <v>Geschäftskunde</v>
      </c>
      <c r="D1360" t="str">
        <f>VLOOKUP(O1360,Produkt!$A$1:$E$5,2,FALSE)</f>
        <v>C</v>
      </c>
      <c r="E1360">
        <f t="shared" si="63"/>
        <v>143</v>
      </c>
      <c r="F1360">
        <f>VLOOKUP(D1360,Produkt!$B$1:$C$5,2,FALSE)*Bestellungen!E1360</f>
        <v>214500</v>
      </c>
      <c r="G1360" s="2">
        <v>44998</v>
      </c>
      <c r="H1360" s="2">
        <f t="shared" si="64"/>
        <v>45003</v>
      </c>
      <c r="I1360" s="2">
        <f t="shared" si="65"/>
        <v>45025</v>
      </c>
      <c r="J1360" t="str">
        <f>VLOOKUP(M1360,Umfragenteilnahme!$A$2:$B$3,2,)</f>
        <v>Ja</v>
      </c>
      <c r="M1360">
        <v>1</v>
      </c>
      <c r="N1360">
        <v>580</v>
      </c>
      <c r="O1360">
        <v>3</v>
      </c>
      <c r="P1360">
        <v>143</v>
      </c>
      <c r="Q1360">
        <v>9</v>
      </c>
      <c r="R1360">
        <v>5</v>
      </c>
      <c r="S1360">
        <v>27</v>
      </c>
    </row>
    <row r="1361" spans="1:19" x14ac:dyDescent="0.35">
      <c r="A1361">
        <v>9008</v>
      </c>
      <c r="B1361">
        <v>55</v>
      </c>
      <c r="C1361" t="str">
        <f>VLOOKUP(B1361,Kunde!A:C,3,FALSE)</f>
        <v>Geschäftskunde</v>
      </c>
      <c r="D1361" t="str">
        <f>VLOOKUP(O1361,Produkt!$A$1:$E$5,2,FALSE)</f>
        <v>C</v>
      </c>
      <c r="E1361">
        <f t="shared" si="63"/>
        <v>52</v>
      </c>
      <c r="F1361">
        <f>VLOOKUP(D1361,Produkt!$B$1:$C$5,2,FALSE)*Bestellungen!E1361</f>
        <v>78000</v>
      </c>
      <c r="G1361" s="2">
        <v>44966</v>
      </c>
      <c r="H1361" s="2">
        <f t="shared" si="64"/>
        <v>44973</v>
      </c>
      <c r="I1361" s="2">
        <f t="shared" si="65"/>
        <v>44992</v>
      </c>
      <c r="J1361" t="str">
        <f>VLOOKUP(M1361,Umfragenteilnahme!$A$2:$B$3,2,)</f>
        <v>Ja</v>
      </c>
      <c r="M1361">
        <v>1</v>
      </c>
      <c r="N1361">
        <v>55</v>
      </c>
      <c r="O1361">
        <v>3</v>
      </c>
      <c r="P1361">
        <v>52</v>
      </c>
      <c r="Q1361">
        <v>3</v>
      </c>
      <c r="R1361">
        <v>7</v>
      </c>
      <c r="S1361">
        <v>26</v>
      </c>
    </row>
    <row r="1362" spans="1:19" x14ac:dyDescent="0.35">
      <c r="A1362">
        <v>9009</v>
      </c>
      <c r="B1362">
        <v>716</v>
      </c>
      <c r="C1362" t="str">
        <f>VLOOKUP(B1362,Kunde!A:C,3,FALSE)</f>
        <v>Geschäftskunde</v>
      </c>
      <c r="D1362" t="str">
        <f>VLOOKUP(O1362,Produkt!$A$1:$E$5,2,FALSE)</f>
        <v>D</v>
      </c>
      <c r="E1362">
        <f t="shared" si="63"/>
        <v>35</v>
      </c>
      <c r="F1362">
        <f>VLOOKUP(D1362,Produkt!$B$1:$C$5,2,FALSE)*Bestellungen!E1362</f>
        <v>28000</v>
      </c>
      <c r="G1362" s="2">
        <v>44751</v>
      </c>
      <c r="H1362" s="2">
        <f t="shared" si="64"/>
        <v>44753</v>
      </c>
      <c r="I1362" s="2">
        <f t="shared" si="65"/>
        <v>44790</v>
      </c>
      <c r="J1362" t="str">
        <f>VLOOKUP(M1362,Umfragenteilnahme!$A$2:$B$3,2,)</f>
        <v>Ja</v>
      </c>
      <c r="M1362">
        <v>1</v>
      </c>
      <c r="N1362">
        <v>716</v>
      </c>
      <c r="O1362">
        <v>4</v>
      </c>
      <c r="P1362">
        <v>35</v>
      </c>
      <c r="Q1362">
        <v>1</v>
      </c>
      <c r="R1362">
        <v>2</v>
      </c>
      <c r="S1362">
        <v>39</v>
      </c>
    </row>
    <row r="1363" spans="1:19" x14ac:dyDescent="0.35">
      <c r="A1363">
        <v>9010</v>
      </c>
      <c r="B1363">
        <v>794</v>
      </c>
      <c r="C1363" t="str">
        <f>VLOOKUP(B1363,Kunde!A:C,3,FALSE)</f>
        <v>Geschäftskunde</v>
      </c>
      <c r="D1363" t="str">
        <f>VLOOKUP(O1363,Produkt!$A$1:$E$5,2,FALSE)</f>
        <v>A</v>
      </c>
      <c r="E1363">
        <f t="shared" si="63"/>
        <v>81</v>
      </c>
      <c r="F1363">
        <f>VLOOKUP(D1363,Produkt!$B$1:$C$5,2,FALSE)*Bestellungen!E1363</f>
        <v>24300</v>
      </c>
      <c r="G1363" s="2">
        <v>44876</v>
      </c>
      <c r="H1363" s="2">
        <f t="shared" si="64"/>
        <v>44879</v>
      </c>
      <c r="I1363" s="2">
        <f t="shared" si="65"/>
        <v>44884</v>
      </c>
      <c r="J1363" t="str">
        <f>VLOOKUP(M1363,Umfragenteilnahme!$A$2:$B$3,2,)</f>
        <v>Ja</v>
      </c>
      <c r="M1363">
        <v>1</v>
      </c>
      <c r="N1363">
        <v>794</v>
      </c>
      <c r="O1363">
        <v>1</v>
      </c>
      <c r="P1363">
        <v>81</v>
      </c>
      <c r="Q1363">
        <v>10</v>
      </c>
      <c r="R1363">
        <v>3</v>
      </c>
      <c r="S1363">
        <v>8</v>
      </c>
    </row>
    <row r="1364" spans="1:19" x14ac:dyDescent="0.35">
      <c r="A1364">
        <v>9011</v>
      </c>
      <c r="B1364">
        <v>211</v>
      </c>
      <c r="C1364" t="str">
        <f>VLOOKUP(B1364,Kunde!A:C,3,FALSE)</f>
        <v>Geschäftskunde</v>
      </c>
      <c r="D1364" t="str">
        <f>VLOOKUP(O1364,Produkt!$A$1:$E$5,2,FALSE)</f>
        <v>C</v>
      </c>
      <c r="E1364">
        <f t="shared" si="63"/>
        <v>26</v>
      </c>
      <c r="F1364">
        <f>VLOOKUP(D1364,Produkt!$B$1:$C$5,2,FALSE)*Bestellungen!E1364</f>
        <v>39000</v>
      </c>
      <c r="G1364" s="2">
        <v>44904</v>
      </c>
      <c r="H1364" s="2">
        <f t="shared" si="64"/>
        <v>44908</v>
      </c>
      <c r="I1364" s="2">
        <f t="shared" si="65"/>
        <v>44926</v>
      </c>
      <c r="J1364" t="str">
        <f>VLOOKUP(M1364,Umfragenteilnahme!$A$2:$B$3,2,)</f>
        <v>Ja</v>
      </c>
      <c r="M1364">
        <v>1</v>
      </c>
      <c r="N1364">
        <v>211</v>
      </c>
      <c r="O1364">
        <v>3</v>
      </c>
      <c r="P1364">
        <v>26</v>
      </c>
      <c r="Q1364">
        <v>9</v>
      </c>
      <c r="R1364">
        <v>4</v>
      </c>
      <c r="S1364">
        <v>22</v>
      </c>
    </row>
    <row r="1365" spans="1:19" x14ac:dyDescent="0.35">
      <c r="A1365">
        <v>9012</v>
      </c>
      <c r="B1365">
        <v>567</v>
      </c>
      <c r="C1365" t="str">
        <f>VLOOKUP(B1365,Kunde!A:C,3,FALSE)</f>
        <v>Geschäftskunde</v>
      </c>
      <c r="D1365" t="str">
        <f>VLOOKUP(O1365,Produkt!$A$1:$E$5,2,FALSE)</f>
        <v>A</v>
      </c>
      <c r="E1365">
        <f t="shared" si="63"/>
        <v>37</v>
      </c>
      <c r="F1365">
        <f>VLOOKUP(D1365,Produkt!$B$1:$C$5,2,FALSE)*Bestellungen!E1365</f>
        <v>11100</v>
      </c>
      <c r="G1365" s="2">
        <v>45049</v>
      </c>
      <c r="H1365" s="2">
        <f t="shared" si="64"/>
        <v>45051</v>
      </c>
      <c r="I1365" s="2">
        <f t="shared" si="65"/>
        <v>45075</v>
      </c>
      <c r="J1365" t="str">
        <f>VLOOKUP(M1365,Umfragenteilnahme!$A$2:$B$3,2,)</f>
        <v>Ja</v>
      </c>
      <c r="M1365">
        <v>1</v>
      </c>
      <c r="N1365">
        <v>567</v>
      </c>
      <c r="O1365">
        <v>1</v>
      </c>
      <c r="P1365">
        <v>37</v>
      </c>
      <c r="Q1365">
        <v>6</v>
      </c>
      <c r="R1365">
        <v>2</v>
      </c>
      <c r="S1365">
        <v>26</v>
      </c>
    </row>
    <row r="1366" spans="1:19" x14ac:dyDescent="0.35">
      <c r="A1366">
        <v>9013</v>
      </c>
      <c r="B1366">
        <v>577</v>
      </c>
      <c r="C1366" t="str">
        <f>VLOOKUP(B1366,Kunde!A:C,3,FALSE)</f>
        <v>Geschäftskunde</v>
      </c>
      <c r="D1366" t="str">
        <f>VLOOKUP(O1366,Produkt!$A$1:$E$5,2,FALSE)</f>
        <v>A</v>
      </c>
      <c r="E1366">
        <f t="shared" si="63"/>
        <v>11</v>
      </c>
      <c r="F1366">
        <f>VLOOKUP(D1366,Produkt!$B$1:$C$5,2,FALSE)*Bestellungen!E1366</f>
        <v>3300</v>
      </c>
      <c r="G1366" s="2">
        <v>45065</v>
      </c>
      <c r="H1366" s="2">
        <f t="shared" si="64"/>
        <v>45069</v>
      </c>
      <c r="I1366" s="2">
        <f t="shared" si="65"/>
        <v>45108</v>
      </c>
      <c r="J1366" t="str">
        <f>VLOOKUP(M1366,Umfragenteilnahme!$A$2:$B$3,2,)</f>
        <v>Nein</v>
      </c>
      <c r="M1366">
        <v>2</v>
      </c>
      <c r="N1366">
        <v>577</v>
      </c>
      <c r="O1366">
        <v>1</v>
      </c>
      <c r="P1366">
        <v>11</v>
      </c>
      <c r="Q1366">
        <v>7</v>
      </c>
      <c r="R1366">
        <v>4</v>
      </c>
      <c r="S1366">
        <v>43</v>
      </c>
    </row>
    <row r="1367" spans="1:19" x14ac:dyDescent="0.35">
      <c r="A1367">
        <v>9014</v>
      </c>
      <c r="B1367">
        <v>555</v>
      </c>
      <c r="C1367" t="str">
        <f>VLOOKUP(B1367,Kunde!A:C,3,FALSE)</f>
        <v>Geschäftskunde</v>
      </c>
      <c r="D1367" t="str">
        <f>VLOOKUP(O1367,Produkt!$A$1:$E$5,2,FALSE)</f>
        <v>B</v>
      </c>
      <c r="E1367">
        <f t="shared" si="63"/>
        <v>146</v>
      </c>
      <c r="F1367">
        <f>VLOOKUP(D1367,Produkt!$B$1:$C$5,2,FALSE)*Bestellungen!E1367</f>
        <v>70080</v>
      </c>
      <c r="G1367" s="2">
        <v>45013</v>
      </c>
      <c r="H1367" s="2">
        <f t="shared" si="64"/>
        <v>45020</v>
      </c>
      <c r="I1367" s="2">
        <f t="shared" si="65"/>
        <v>45046</v>
      </c>
      <c r="J1367" t="str">
        <f>VLOOKUP(M1367,Umfragenteilnahme!$A$2:$B$3,2,)</f>
        <v>Nein</v>
      </c>
      <c r="M1367">
        <v>2</v>
      </c>
      <c r="N1367">
        <v>555</v>
      </c>
      <c r="O1367">
        <v>2</v>
      </c>
      <c r="P1367">
        <v>146</v>
      </c>
      <c r="Q1367">
        <v>7</v>
      </c>
      <c r="R1367">
        <v>7</v>
      </c>
      <c r="S1367">
        <v>33</v>
      </c>
    </row>
    <row r="1368" spans="1:19" x14ac:dyDescent="0.35">
      <c r="A1368">
        <v>9015</v>
      </c>
      <c r="B1368">
        <v>645</v>
      </c>
      <c r="C1368" t="str">
        <f>VLOOKUP(B1368,Kunde!A:C,3,FALSE)</f>
        <v>Geschäftskunde</v>
      </c>
      <c r="D1368" t="str">
        <f>VLOOKUP(O1368,Produkt!$A$1:$E$5,2,FALSE)</f>
        <v>C</v>
      </c>
      <c r="E1368">
        <f t="shared" si="63"/>
        <v>100</v>
      </c>
      <c r="F1368">
        <f>VLOOKUP(D1368,Produkt!$B$1:$C$5,2,FALSE)*Bestellungen!E1368</f>
        <v>150000</v>
      </c>
      <c r="G1368" s="2">
        <v>45008</v>
      </c>
      <c r="H1368" s="2">
        <f t="shared" si="64"/>
        <v>45012</v>
      </c>
      <c r="I1368" s="2">
        <f t="shared" si="65"/>
        <v>45035</v>
      </c>
      <c r="J1368" t="str">
        <f>VLOOKUP(M1368,Umfragenteilnahme!$A$2:$B$3,2,)</f>
        <v>Nein</v>
      </c>
      <c r="M1368">
        <v>2</v>
      </c>
      <c r="N1368">
        <v>645</v>
      </c>
      <c r="O1368">
        <v>3</v>
      </c>
      <c r="P1368">
        <v>100</v>
      </c>
      <c r="Q1368">
        <v>10</v>
      </c>
      <c r="R1368">
        <v>4</v>
      </c>
      <c r="S1368">
        <v>27</v>
      </c>
    </row>
    <row r="1369" spans="1:19" x14ac:dyDescent="0.35">
      <c r="A1369">
        <v>9016</v>
      </c>
      <c r="B1369">
        <v>605</v>
      </c>
      <c r="C1369" t="str">
        <f>VLOOKUP(B1369,Kunde!A:C,3,FALSE)</f>
        <v>Geschäftskunde</v>
      </c>
      <c r="D1369" t="str">
        <f>VLOOKUP(O1369,Produkt!$A$1:$E$5,2,FALSE)</f>
        <v>C</v>
      </c>
      <c r="E1369">
        <f t="shared" si="63"/>
        <v>29</v>
      </c>
      <c r="F1369">
        <f>VLOOKUP(D1369,Produkt!$B$1:$C$5,2,FALSE)*Bestellungen!E1369</f>
        <v>43500</v>
      </c>
      <c r="G1369" s="2">
        <v>44881</v>
      </c>
      <c r="H1369" s="2">
        <f t="shared" si="64"/>
        <v>44884</v>
      </c>
      <c r="I1369" s="2">
        <f t="shared" si="65"/>
        <v>44888</v>
      </c>
      <c r="J1369" t="str">
        <f>VLOOKUP(M1369,Umfragenteilnahme!$A$2:$B$3,2,)</f>
        <v>Ja</v>
      </c>
      <c r="M1369">
        <v>1</v>
      </c>
      <c r="N1369">
        <v>605</v>
      </c>
      <c r="O1369">
        <v>3</v>
      </c>
      <c r="P1369">
        <v>29</v>
      </c>
      <c r="Q1369">
        <v>3</v>
      </c>
      <c r="R1369">
        <v>3</v>
      </c>
      <c r="S1369">
        <v>7</v>
      </c>
    </row>
    <row r="1370" spans="1:19" x14ac:dyDescent="0.35">
      <c r="A1370">
        <v>9017</v>
      </c>
      <c r="B1370">
        <v>680</v>
      </c>
      <c r="C1370" t="str">
        <f>VLOOKUP(B1370,Kunde!A:C,3,FALSE)</f>
        <v>Geschäftskunde</v>
      </c>
      <c r="D1370" t="str">
        <f>VLOOKUP(O1370,Produkt!$A$1:$E$5,2,FALSE)</f>
        <v>D</v>
      </c>
      <c r="E1370">
        <f t="shared" si="63"/>
        <v>78</v>
      </c>
      <c r="F1370">
        <f>VLOOKUP(D1370,Produkt!$B$1:$C$5,2,FALSE)*Bestellungen!E1370</f>
        <v>62400</v>
      </c>
      <c r="G1370" s="2">
        <v>45041</v>
      </c>
      <c r="H1370" s="2">
        <f t="shared" si="64"/>
        <v>45045</v>
      </c>
      <c r="I1370" s="2">
        <f t="shared" si="65"/>
        <v>45078</v>
      </c>
      <c r="J1370" t="str">
        <f>VLOOKUP(M1370,Umfragenteilnahme!$A$2:$B$3,2,)</f>
        <v>Ja</v>
      </c>
      <c r="M1370">
        <v>1</v>
      </c>
      <c r="N1370">
        <v>680</v>
      </c>
      <c r="O1370">
        <v>4</v>
      </c>
      <c r="P1370">
        <v>78</v>
      </c>
      <c r="Q1370">
        <v>9</v>
      </c>
      <c r="R1370">
        <v>4</v>
      </c>
      <c r="S1370">
        <v>37</v>
      </c>
    </row>
    <row r="1371" spans="1:19" x14ac:dyDescent="0.35">
      <c r="A1371">
        <v>9018</v>
      </c>
      <c r="B1371">
        <v>20</v>
      </c>
      <c r="C1371" t="str">
        <f>VLOOKUP(B1371,Kunde!A:C,3,FALSE)</f>
        <v>Geschäftskunde</v>
      </c>
      <c r="D1371" t="str">
        <f>VLOOKUP(O1371,Produkt!$A$1:$E$5,2,FALSE)</f>
        <v>B</v>
      </c>
      <c r="E1371">
        <f t="shared" si="63"/>
        <v>102</v>
      </c>
      <c r="F1371">
        <f>VLOOKUP(D1371,Produkt!$B$1:$C$5,2,FALSE)*Bestellungen!E1371</f>
        <v>48960</v>
      </c>
      <c r="G1371" s="2">
        <v>44776</v>
      </c>
      <c r="H1371" s="2">
        <f t="shared" si="64"/>
        <v>44778</v>
      </c>
      <c r="I1371" s="2">
        <f t="shared" si="65"/>
        <v>44799</v>
      </c>
      <c r="J1371" t="str">
        <f>VLOOKUP(M1371,Umfragenteilnahme!$A$2:$B$3,2,)</f>
        <v>Ja</v>
      </c>
      <c r="M1371">
        <v>1</v>
      </c>
      <c r="N1371">
        <v>20</v>
      </c>
      <c r="O1371">
        <v>2</v>
      </c>
      <c r="P1371">
        <v>102</v>
      </c>
      <c r="Q1371">
        <v>7</v>
      </c>
      <c r="R1371">
        <v>2</v>
      </c>
      <c r="S1371">
        <v>23</v>
      </c>
    </row>
    <row r="1372" spans="1:19" x14ac:dyDescent="0.35">
      <c r="A1372">
        <v>9019</v>
      </c>
      <c r="B1372">
        <v>123</v>
      </c>
      <c r="C1372" t="str">
        <f>VLOOKUP(B1372,Kunde!A:C,3,FALSE)</f>
        <v>Geschäftskunde</v>
      </c>
      <c r="D1372" t="str">
        <f>VLOOKUP(O1372,Produkt!$A$1:$E$5,2,FALSE)</f>
        <v>D</v>
      </c>
      <c r="E1372">
        <f t="shared" si="63"/>
        <v>15</v>
      </c>
      <c r="F1372">
        <f>VLOOKUP(D1372,Produkt!$B$1:$C$5,2,FALSE)*Bestellungen!E1372</f>
        <v>12000</v>
      </c>
      <c r="G1372" s="2">
        <v>44881</v>
      </c>
      <c r="H1372" s="2">
        <f t="shared" si="64"/>
        <v>44884</v>
      </c>
      <c r="I1372" s="2">
        <f t="shared" si="65"/>
        <v>44938</v>
      </c>
      <c r="J1372" t="str">
        <f>VLOOKUP(M1372,Umfragenteilnahme!$A$2:$B$3,2,)</f>
        <v>Nein</v>
      </c>
      <c r="M1372">
        <v>2</v>
      </c>
      <c r="N1372">
        <v>123</v>
      </c>
      <c r="O1372">
        <v>4</v>
      </c>
      <c r="P1372">
        <v>15</v>
      </c>
      <c r="Q1372">
        <v>4</v>
      </c>
      <c r="R1372">
        <v>3</v>
      </c>
      <c r="S1372">
        <v>57</v>
      </c>
    </row>
    <row r="1373" spans="1:19" x14ac:dyDescent="0.35">
      <c r="A1373">
        <v>9020</v>
      </c>
      <c r="B1373">
        <v>28</v>
      </c>
      <c r="C1373" t="str">
        <f>VLOOKUP(B1373,Kunde!A:C,3,FALSE)</f>
        <v>Geschäftskunde</v>
      </c>
      <c r="D1373" t="str">
        <f>VLOOKUP(O1373,Produkt!$A$1:$E$5,2,FALSE)</f>
        <v>C</v>
      </c>
      <c r="E1373">
        <f t="shared" si="63"/>
        <v>47</v>
      </c>
      <c r="F1373">
        <f>VLOOKUP(D1373,Produkt!$B$1:$C$5,2,FALSE)*Bestellungen!E1373</f>
        <v>70500</v>
      </c>
      <c r="G1373" s="2">
        <v>45075</v>
      </c>
      <c r="H1373" s="2">
        <f t="shared" si="64"/>
        <v>45082</v>
      </c>
      <c r="I1373" s="2">
        <f t="shared" si="65"/>
        <v>45099</v>
      </c>
      <c r="J1373" t="str">
        <f>VLOOKUP(M1373,Umfragenteilnahme!$A$2:$B$3,2,)</f>
        <v>Ja</v>
      </c>
      <c r="M1373">
        <v>1</v>
      </c>
      <c r="N1373">
        <v>28</v>
      </c>
      <c r="O1373">
        <v>3</v>
      </c>
      <c r="P1373">
        <v>47</v>
      </c>
      <c r="Q1373">
        <v>7</v>
      </c>
      <c r="R1373">
        <v>7</v>
      </c>
      <c r="S1373">
        <v>24</v>
      </c>
    </row>
    <row r="1374" spans="1:19" x14ac:dyDescent="0.35">
      <c r="A1374">
        <v>9021</v>
      </c>
      <c r="B1374">
        <v>577</v>
      </c>
      <c r="C1374" t="str">
        <f>VLOOKUP(B1374,Kunde!A:C,3,FALSE)</f>
        <v>Geschäftskunde</v>
      </c>
      <c r="D1374" t="str">
        <f>VLOOKUP(O1374,Produkt!$A$1:$E$5,2,FALSE)</f>
        <v>D</v>
      </c>
      <c r="E1374">
        <f t="shared" si="63"/>
        <v>133</v>
      </c>
      <c r="F1374">
        <f>VLOOKUP(D1374,Produkt!$B$1:$C$5,2,FALSE)*Bestellungen!E1374</f>
        <v>106400</v>
      </c>
      <c r="G1374" s="2">
        <v>45077</v>
      </c>
      <c r="H1374" s="2">
        <f t="shared" si="64"/>
        <v>45079</v>
      </c>
      <c r="I1374" s="2">
        <f t="shared" si="65"/>
        <v>45091</v>
      </c>
      <c r="J1374" t="str">
        <f>VLOOKUP(M1374,Umfragenteilnahme!$A$2:$B$3,2,)</f>
        <v>Ja</v>
      </c>
      <c r="M1374">
        <v>1</v>
      </c>
      <c r="N1374">
        <v>577</v>
      </c>
      <c r="O1374">
        <v>4</v>
      </c>
      <c r="P1374">
        <v>133</v>
      </c>
      <c r="Q1374">
        <v>5</v>
      </c>
      <c r="R1374">
        <v>2</v>
      </c>
      <c r="S1374">
        <v>14</v>
      </c>
    </row>
    <row r="1375" spans="1:19" x14ac:dyDescent="0.35">
      <c r="A1375">
        <v>9022</v>
      </c>
      <c r="B1375">
        <v>751</v>
      </c>
      <c r="C1375" t="str">
        <f>VLOOKUP(B1375,Kunde!A:C,3,FALSE)</f>
        <v>Geschäftskunde</v>
      </c>
      <c r="D1375" t="str">
        <f>VLOOKUP(O1375,Produkt!$A$1:$E$5,2,FALSE)</f>
        <v>B</v>
      </c>
      <c r="E1375">
        <f t="shared" si="63"/>
        <v>38</v>
      </c>
      <c r="F1375">
        <f>VLOOKUP(D1375,Produkt!$B$1:$C$5,2,FALSE)*Bestellungen!E1375</f>
        <v>18240</v>
      </c>
      <c r="G1375" s="2">
        <v>45009</v>
      </c>
      <c r="H1375" s="2">
        <f t="shared" si="64"/>
        <v>45015</v>
      </c>
      <c r="I1375" s="2">
        <f t="shared" si="65"/>
        <v>45017</v>
      </c>
      <c r="J1375" t="str">
        <f>VLOOKUP(M1375,Umfragenteilnahme!$A$2:$B$3,2,)</f>
        <v>Nein</v>
      </c>
      <c r="M1375">
        <v>2</v>
      </c>
      <c r="N1375">
        <v>751</v>
      </c>
      <c r="O1375">
        <v>2</v>
      </c>
      <c r="P1375">
        <v>38</v>
      </c>
      <c r="Q1375">
        <v>3</v>
      </c>
      <c r="R1375">
        <v>6</v>
      </c>
      <c r="S1375">
        <v>8</v>
      </c>
    </row>
    <row r="1376" spans="1:19" x14ac:dyDescent="0.35">
      <c r="A1376">
        <v>9023</v>
      </c>
      <c r="B1376">
        <v>714</v>
      </c>
      <c r="C1376" t="str">
        <f>VLOOKUP(B1376,Kunde!A:C,3,FALSE)</f>
        <v>Geschäftskunde</v>
      </c>
      <c r="D1376" t="str">
        <f>VLOOKUP(O1376,Produkt!$A$1:$E$5,2,FALSE)</f>
        <v>D</v>
      </c>
      <c r="E1376">
        <f t="shared" si="63"/>
        <v>34</v>
      </c>
      <c r="F1376">
        <f>VLOOKUP(D1376,Produkt!$B$1:$C$5,2,FALSE)*Bestellungen!E1376</f>
        <v>27200</v>
      </c>
      <c r="G1376" s="2">
        <v>45003</v>
      </c>
      <c r="H1376" s="2">
        <f t="shared" si="64"/>
        <v>45007</v>
      </c>
      <c r="I1376" s="2">
        <f t="shared" si="65"/>
        <v>45020</v>
      </c>
      <c r="J1376" t="str">
        <f>VLOOKUP(M1376,Umfragenteilnahme!$A$2:$B$3,2,)</f>
        <v>Ja</v>
      </c>
      <c r="M1376">
        <v>1</v>
      </c>
      <c r="N1376">
        <v>714</v>
      </c>
      <c r="O1376">
        <v>4</v>
      </c>
      <c r="P1376">
        <v>34</v>
      </c>
      <c r="Q1376">
        <v>6</v>
      </c>
      <c r="R1376">
        <v>4</v>
      </c>
      <c r="S1376">
        <v>17</v>
      </c>
    </row>
    <row r="1377" spans="1:19" x14ac:dyDescent="0.35">
      <c r="A1377">
        <v>9024</v>
      </c>
      <c r="B1377">
        <v>25</v>
      </c>
      <c r="C1377" t="str">
        <f>VLOOKUP(B1377,Kunde!A:C,3,FALSE)</f>
        <v>Geschäftskunde</v>
      </c>
      <c r="D1377" t="str">
        <f>VLOOKUP(O1377,Produkt!$A$1:$E$5,2,FALSE)</f>
        <v>C</v>
      </c>
      <c r="E1377">
        <f t="shared" si="63"/>
        <v>56</v>
      </c>
      <c r="F1377">
        <f>VLOOKUP(D1377,Produkt!$B$1:$C$5,2,FALSE)*Bestellungen!E1377</f>
        <v>84000</v>
      </c>
      <c r="G1377" s="2">
        <v>44735</v>
      </c>
      <c r="H1377" s="2">
        <f t="shared" si="64"/>
        <v>44741</v>
      </c>
      <c r="I1377" s="2">
        <f t="shared" si="65"/>
        <v>44784</v>
      </c>
      <c r="J1377" t="str">
        <f>VLOOKUP(M1377,Umfragenteilnahme!$A$2:$B$3,2,)</f>
        <v>Ja</v>
      </c>
      <c r="M1377">
        <v>1</v>
      </c>
      <c r="N1377">
        <v>25</v>
      </c>
      <c r="O1377">
        <v>3</v>
      </c>
      <c r="P1377">
        <v>56</v>
      </c>
      <c r="Q1377">
        <v>8</v>
      </c>
      <c r="R1377">
        <v>6</v>
      </c>
      <c r="S1377">
        <v>49</v>
      </c>
    </row>
    <row r="1378" spans="1:19" x14ac:dyDescent="0.35">
      <c r="A1378">
        <v>9025</v>
      </c>
      <c r="B1378">
        <v>778</v>
      </c>
      <c r="C1378" t="str">
        <f>VLOOKUP(B1378,Kunde!A:C,3,FALSE)</f>
        <v>Geschäftskunde</v>
      </c>
      <c r="D1378" t="str">
        <f>VLOOKUP(O1378,Produkt!$A$1:$E$5,2,FALSE)</f>
        <v>C</v>
      </c>
      <c r="E1378">
        <f t="shared" si="63"/>
        <v>44</v>
      </c>
      <c r="F1378">
        <f>VLOOKUP(D1378,Produkt!$B$1:$C$5,2,FALSE)*Bestellungen!E1378</f>
        <v>66000</v>
      </c>
      <c r="G1378" s="2">
        <v>44772</v>
      </c>
      <c r="H1378" s="2">
        <f t="shared" si="64"/>
        <v>44776</v>
      </c>
      <c r="I1378" s="2">
        <f t="shared" si="65"/>
        <v>44823</v>
      </c>
      <c r="J1378" t="str">
        <f>VLOOKUP(M1378,Umfragenteilnahme!$A$2:$B$3,2,)</f>
        <v>Nein</v>
      </c>
      <c r="M1378">
        <v>2</v>
      </c>
      <c r="N1378">
        <v>778</v>
      </c>
      <c r="O1378">
        <v>3</v>
      </c>
      <c r="P1378">
        <v>44</v>
      </c>
      <c r="Q1378">
        <v>2</v>
      </c>
      <c r="R1378">
        <v>4</v>
      </c>
      <c r="S1378">
        <v>51</v>
      </c>
    </row>
    <row r="1379" spans="1:19" x14ac:dyDescent="0.35">
      <c r="A1379">
        <v>9026</v>
      </c>
      <c r="B1379">
        <v>579</v>
      </c>
      <c r="C1379" t="str">
        <f>VLOOKUP(B1379,Kunde!A:C,3,FALSE)</f>
        <v>Geschäftskunde</v>
      </c>
      <c r="D1379" t="str">
        <f>VLOOKUP(O1379,Produkt!$A$1:$E$5,2,FALSE)</f>
        <v>B</v>
      </c>
      <c r="E1379">
        <f t="shared" si="63"/>
        <v>21</v>
      </c>
      <c r="F1379">
        <f>VLOOKUP(D1379,Produkt!$B$1:$C$5,2,FALSE)*Bestellungen!E1379</f>
        <v>10080</v>
      </c>
      <c r="G1379" s="2">
        <v>44871</v>
      </c>
      <c r="H1379" s="2">
        <f t="shared" si="64"/>
        <v>44873</v>
      </c>
      <c r="I1379" s="2">
        <f t="shared" si="65"/>
        <v>44912</v>
      </c>
      <c r="J1379" t="str">
        <f>VLOOKUP(M1379,Umfragenteilnahme!$A$2:$B$3,2,)</f>
        <v>Ja</v>
      </c>
      <c r="M1379">
        <v>1</v>
      </c>
      <c r="N1379">
        <v>579</v>
      </c>
      <c r="O1379">
        <v>2</v>
      </c>
      <c r="P1379">
        <v>21</v>
      </c>
      <c r="Q1379">
        <v>8</v>
      </c>
      <c r="R1379">
        <v>2</v>
      </c>
      <c r="S1379">
        <v>41</v>
      </c>
    </row>
    <row r="1380" spans="1:19" x14ac:dyDescent="0.35">
      <c r="A1380">
        <v>9027</v>
      </c>
      <c r="B1380">
        <v>20</v>
      </c>
      <c r="C1380" t="str">
        <f>VLOOKUP(B1380,Kunde!A:C,3,FALSE)</f>
        <v>Geschäftskunde</v>
      </c>
      <c r="D1380" t="str">
        <f>VLOOKUP(O1380,Produkt!$A$1:$E$5,2,FALSE)</f>
        <v>C</v>
      </c>
      <c r="E1380">
        <f t="shared" si="63"/>
        <v>132</v>
      </c>
      <c r="F1380">
        <f>VLOOKUP(D1380,Produkt!$B$1:$C$5,2,FALSE)*Bestellungen!E1380</f>
        <v>198000</v>
      </c>
      <c r="G1380" s="2">
        <v>44808</v>
      </c>
      <c r="H1380" s="2">
        <f t="shared" si="64"/>
        <v>44814</v>
      </c>
      <c r="I1380" s="2">
        <f t="shared" si="65"/>
        <v>44815</v>
      </c>
      <c r="J1380" t="str">
        <f>VLOOKUP(M1380,Umfragenteilnahme!$A$2:$B$3,2,)</f>
        <v>Ja</v>
      </c>
      <c r="M1380">
        <v>1</v>
      </c>
      <c r="N1380">
        <v>20</v>
      </c>
      <c r="O1380">
        <v>3</v>
      </c>
      <c r="P1380">
        <v>132</v>
      </c>
      <c r="Q1380">
        <v>9</v>
      </c>
      <c r="R1380">
        <v>6</v>
      </c>
      <c r="S1380">
        <v>7</v>
      </c>
    </row>
    <row r="1381" spans="1:19" x14ac:dyDescent="0.35">
      <c r="A1381">
        <v>9028</v>
      </c>
      <c r="B1381">
        <v>715</v>
      </c>
      <c r="C1381" t="str">
        <f>VLOOKUP(B1381,Kunde!A:C,3,FALSE)</f>
        <v>Geschäftskunde</v>
      </c>
      <c r="D1381" t="str">
        <f>VLOOKUP(O1381,Produkt!$A$1:$E$5,2,FALSE)</f>
        <v>C</v>
      </c>
      <c r="E1381">
        <f t="shared" si="63"/>
        <v>145</v>
      </c>
      <c r="F1381">
        <f>VLOOKUP(D1381,Produkt!$B$1:$C$5,2,FALSE)*Bestellungen!E1381</f>
        <v>217500</v>
      </c>
      <c r="G1381" s="2">
        <v>44803</v>
      </c>
      <c r="H1381" s="2">
        <f t="shared" si="64"/>
        <v>44806</v>
      </c>
      <c r="I1381" s="2">
        <f t="shared" si="65"/>
        <v>44811</v>
      </c>
      <c r="J1381" t="str">
        <f>VLOOKUP(M1381,Umfragenteilnahme!$A$2:$B$3,2,)</f>
        <v>Nein</v>
      </c>
      <c r="M1381">
        <v>2</v>
      </c>
      <c r="N1381">
        <v>715</v>
      </c>
      <c r="O1381">
        <v>3</v>
      </c>
      <c r="P1381">
        <v>145</v>
      </c>
      <c r="Q1381">
        <v>5</v>
      </c>
      <c r="R1381">
        <v>3</v>
      </c>
      <c r="S1381">
        <v>8</v>
      </c>
    </row>
    <row r="1382" spans="1:19" x14ac:dyDescent="0.35">
      <c r="A1382">
        <v>9029</v>
      </c>
      <c r="B1382">
        <v>652</v>
      </c>
      <c r="C1382" t="str">
        <f>VLOOKUP(B1382,Kunde!A:C,3,FALSE)</f>
        <v>Geschäftskunde</v>
      </c>
      <c r="D1382" t="str">
        <f>VLOOKUP(O1382,Produkt!$A$1:$E$5,2,FALSE)</f>
        <v>A</v>
      </c>
      <c r="E1382">
        <f t="shared" si="63"/>
        <v>132</v>
      </c>
      <c r="F1382">
        <f>VLOOKUP(D1382,Produkt!$B$1:$C$5,2,FALSE)*Bestellungen!E1382</f>
        <v>39600</v>
      </c>
      <c r="G1382" s="2">
        <v>45058</v>
      </c>
      <c r="H1382" s="2">
        <f t="shared" si="64"/>
        <v>45060</v>
      </c>
      <c r="I1382" s="2">
        <f t="shared" si="65"/>
        <v>45085</v>
      </c>
      <c r="J1382" t="str">
        <f>VLOOKUP(M1382,Umfragenteilnahme!$A$2:$B$3,2,)</f>
        <v>Ja</v>
      </c>
      <c r="M1382">
        <v>1</v>
      </c>
      <c r="N1382">
        <v>652</v>
      </c>
      <c r="O1382">
        <v>1</v>
      </c>
      <c r="P1382">
        <v>132</v>
      </c>
      <c r="Q1382">
        <v>9</v>
      </c>
      <c r="R1382">
        <v>2</v>
      </c>
      <c r="S1382">
        <v>27</v>
      </c>
    </row>
    <row r="1383" spans="1:19" x14ac:dyDescent="0.35">
      <c r="A1383">
        <v>9030</v>
      </c>
      <c r="B1383">
        <v>516</v>
      </c>
      <c r="C1383" t="str">
        <f>VLOOKUP(B1383,Kunde!A:C,3,FALSE)</f>
        <v>Geschäftskunde</v>
      </c>
      <c r="D1383" t="str">
        <f>VLOOKUP(O1383,Produkt!$A$1:$E$5,2,FALSE)</f>
        <v>C</v>
      </c>
      <c r="E1383">
        <f t="shared" si="63"/>
        <v>15</v>
      </c>
      <c r="F1383">
        <f>VLOOKUP(D1383,Produkt!$B$1:$C$5,2,FALSE)*Bestellungen!E1383</f>
        <v>22500</v>
      </c>
      <c r="G1383" s="2">
        <v>44914</v>
      </c>
      <c r="H1383" s="2">
        <f t="shared" si="64"/>
        <v>44920</v>
      </c>
      <c r="I1383" s="2">
        <f t="shared" si="65"/>
        <v>44964</v>
      </c>
      <c r="J1383" t="str">
        <f>VLOOKUP(M1383,Umfragenteilnahme!$A$2:$B$3,2,)</f>
        <v>Ja</v>
      </c>
      <c r="M1383">
        <v>1</v>
      </c>
      <c r="N1383">
        <v>516</v>
      </c>
      <c r="O1383">
        <v>3</v>
      </c>
      <c r="P1383">
        <v>15</v>
      </c>
      <c r="Q1383">
        <v>6</v>
      </c>
      <c r="R1383">
        <v>6</v>
      </c>
      <c r="S1383">
        <v>50</v>
      </c>
    </row>
    <row r="1384" spans="1:19" x14ac:dyDescent="0.35">
      <c r="A1384">
        <v>9031</v>
      </c>
      <c r="B1384">
        <v>39</v>
      </c>
      <c r="C1384" t="str">
        <f>VLOOKUP(B1384,Kunde!A:C,3,FALSE)</f>
        <v>Geschäftskunde</v>
      </c>
      <c r="D1384" t="str">
        <f>VLOOKUP(O1384,Produkt!$A$1:$E$5,2,FALSE)</f>
        <v>C</v>
      </c>
      <c r="E1384">
        <f t="shared" si="63"/>
        <v>53</v>
      </c>
      <c r="F1384">
        <f>VLOOKUP(D1384,Produkt!$B$1:$C$5,2,FALSE)*Bestellungen!E1384</f>
        <v>79500</v>
      </c>
      <c r="G1384" s="2">
        <v>44938</v>
      </c>
      <c r="H1384" s="2">
        <f t="shared" si="64"/>
        <v>44944</v>
      </c>
      <c r="I1384" s="2">
        <f t="shared" si="65"/>
        <v>44966</v>
      </c>
      <c r="J1384" t="str">
        <f>VLOOKUP(M1384,Umfragenteilnahme!$A$2:$B$3,2,)</f>
        <v>Ja</v>
      </c>
      <c r="M1384">
        <v>1</v>
      </c>
      <c r="N1384">
        <v>39</v>
      </c>
      <c r="O1384">
        <v>3</v>
      </c>
      <c r="P1384">
        <v>53</v>
      </c>
      <c r="Q1384">
        <v>9</v>
      </c>
      <c r="R1384">
        <v>6</v>
      </c>
      <c r="S1384">
        <v>28</v>
      </c>
    </row>
    <row r="1385" spans="1:19" x14ac:dyDescent="0.35">
      <c r="A1385">
        <v>9032</v>
      </c>
      <c r="B1385">
        <v>782</v>
      </c>
      <c r="C1385" t="str">
        <f>VLOOKUP(B1385,Kunde!A:C,3,FALSE)</f>
        <v>Geschäftskunde</v>
      </c>
      <c r="D1385" t="str">
        <f>VLOOKUP(O1385,Produkt!$A$1:$E$5,2,FALSE)</f>
        <v>A</v>
      </c>
      <c r="E1385">
        <f t="shared" si="63"/>
        <v>30</v>
      </c>
      <c r="F1385">
        <f>VLOOKUP(D1385,Produkt!$B$1:$C$5,2,FALSE)*Bestellungen!E1385</f>
        <v>9000</v>
      </c>
      <c r="G1385" s="2">
        <v>44756</v>
      </c>
      <c r="H1385" s="2">
        <f t="shared" si="64"/>
        <v>44761</v>
      </c>
      <c r="I1385" s="2">
        <f t="shared" si="65"/>
        <v>44776</v>
      </c>
      <c r="J1385" t="str">
        <f>VLOOKUP(M1385,Umfragenteilnahme!$A$2:$B$3,2,)</f>
        <v>Ja</v>
      </c>
      <c r="M1385">
        <v>1</v>
      </c>
      <c r="N1385">
        <v>782</v>
      </c>
      <c r="O1385">
        <v>1</v>
      </c>
      <c r="P1385">
        <v>30</v>
      </c>
      <c r="Q1385">
        <v>9</v>
      </c>
      <c r="R1385">
        <v>5</v>
      </c>
      <c r="S1385">
        <v>20</v>
      </c>
    </row>
    <row r="1386" spans="1:19" x14ac:dyDescent="0.35">
      <c r="A1386">
        <v>9033</v>
      </c>
      <c r="B1386">
        <v>307</v>
      </c>
      <c r="C1386" t="str">
        <f>VLOOKUP(B1386,Kunde!A:C,3,FALSE)</f>
        <v>Geschäftskunde</v>
      </c>
      <c r="D1386" t="str">
        <f>VLOOKUP(O1386,Produkt!$A$1:$E$5,2,FALSE)</f>
        <v>A</v>
      </c>
      <c r="E1386">
        <f t="shared" si="63"/>
        <v>99</v>
      </c>
      <c r="F1386">
        <f>VLOOKUP(D1386,Produkt!$B$1:$C$5,2,FALSE)*Bestellungen!E1386</f>
        <v>29700</v>
      </c>
      <c r="G1386" s="2">
        <v>44905</v>
      </c>
      <c r="H1386" s="2">
        <f t="shared" si="64"/>
        <v>44910</v>
      </c>
      <c r="I1386" s="2">
        <f t="shared" si="65"/>
        <v>44962</v>
      </c>
      <c r="J1386" t="str">
        <f>VLOOKUP(M1386,Umfragenteilnahme!$A$2:$B$3,2,)</f>
        <v>Nein</v>
      </c>
      <c r="M1386">
        <v>2</v>
      </c>
      <c r="N1386">
        <v>307</v>
      </c>
      <c r="O1386">
        <v>1</v>
      </c>
      <c r="P1386">
        <v>99</v>
      </c>
      <c r="Q1386">
        <v>9</v>
      </c>
      <c r="R1386">
        <v>5</v>
      </c>
      <c r="S1386">
        <v>57</v>
      </c>
    </row>
    <row r="1387" spans="1:19" x14ac:dyDescent="0.35">
      <c r="A1387">
        <v>9034</v>
      </c>
      <c r="B1387">
        <v>436</v>
      </c>
      <c r="C1387" t="str">
        <f>VLOOKUP(B1387,Kunde!A:C,3,FALSE)</f>
        <v>Privatkunde</v>
      </c>
      <c r="D1387" t="str">
        <f>VLOOKUP(O1387,Produkt!$A$1:$E$5,2,FALSE)</f>
        <v>A</v>
      </c>
      <c r="E1387">
        <f t="shared" si="63"/>
        <v>9</v>
      </c>
      <c r="F1387">
        <f>VLOOKUP(D1387,Produkt!$B$1:$C$5,2,FALSE)*Bestellungen!E1387</f>
        <v>2700</v>
      </c>
      <c r="G1387" s="2">
        <v>44875</v>
      </c>
      <c r="H1387" s="2">
        <f t="shared" si="64"/>
        <v>44881</v>
      </c>
      <c r="I1387" s="2">
        <f t="shared" si="65"/>
        <v>44925</v>
      </c>
      <c r="J1387" t="str">
        <f>VLOOKUP(M1387,Umfragenteilnahme!$A$2:$B$3,2,)</f>
        <v>Ja</v>
      </c>
      <c r="M1387">
        <v>1</v>
      </c>
      <c r="N1387">
        <v>436</v>
      </c>
      <c r="O1387">
        <v>1</v>
      </c>
      <c r="P1387">
        <v>49</v>
      </c>
      <c r="Q1387">
        <v>9</v>
      </c>
      <c r="R1387">
        <v>6</v>
      </c>
      <c r="S1387">
        <v>50</v>
      </c>
    </row>
    <row r="1388" spans="1:19" x14ac:dyDescent="0.35">
      <c r="A1388">
        <v>9035</v>
      </c>
      <c r="B1388">
        <v>60</v>
      </c>
      <c r="C1388" t="str">
        <f>VLOOKUP(B1388,Kunde!A:C,3,FALSE)</f>
        <v>Geschäftskunde</v>
      </c>
      <c r="D1388" t="str">
        <f>VLOOKUP(O1388,Produkt!$A$1:$E$5,2,FALSE)</f>
        <v>D</v>
      </c>
      <c r="E1388">
        <f t="shared" si="63"/>
        <v>69</v>
      </c>
      <c r="F1388">
        <f>VLOOKUP(D1388,Produkt!$B$1:$C$5,2,FALSE)*Bestellungen!E1388</f>
        <v>55200</v>
      </c>
      <c r="G1388" s="2">
        <v>44909</v>
      </c>
      <c r="H1388" s="2">
        <f t="shared" si="64"/>
        <v>44912</v>
      </c>
      <c r="I1388" s="2">
        <f t="shared" si="65"/>
        <v>44924</v>
      </c>
      <c r="J1388" t="str">
        <f>VLOOKUP(M1388,Umfragenteilnahme!$A$2:$B$3,2,)</f>
        <v>Nein</v>
      </c>
      <c r="M1388">
        <v>2</v>
      </c>
      <c r="N1388">
        <v>60</v>
      </c>
      <c r="O1388">
        <v>4</v>
      </c>
      <c r="P1388">
        <v>69</v>
      </c>
      <c r="Q1388">
        <v>10</v>
      </c>
      <c r="R1388">
        <v>3</v>
      </c>
      <c r="S1388">
        <v>15</v>
      </c>
    </row>
    <row r="1389" spans="1:19" x14ac:dyDescent="0.35">
      <c r="A1389">
        <v>9036</v>
      </c>
      <c r="B1389">
        <v>382</v>
      </c>
      <c r="C1389" t="str">
        <f>VLOOKUP(B1389,Kunde!A:C,3,FALSE)</f>
        <v>Geschäftskunde</v>
      </c>
      <c r="D1389" t="str">
        <f>VLOOKUP(O1389,Produkt!$A$1:$E$5,2,FALSE)</f>
        <v>A</v>
      </c>
      <c r="E1389">
        <f t="shared" si="63"/>
        <v>89</v>
      </c>
      <c r="F1389">
        <f>VLOOKUP(D1389,Produkt!$B$1:$C$5,2,FALSE)*Bestellungen!E1389</f>
        <v>26700</v>
      </c>
      <c r="G1389" s="2">
        <v>45070</v>
      </c>
      <c r="H1389" s="2">
        <f t="shared" si="64"/>
        <v>45074</v>
      </c>
      <c r="I1389" s="2">
        <f t="shared" si="65"/>
        <v>45115</v>
      </c>
      <c r="J1389" t="str">
        <f>VLOOKUP(M1389,Umfragenteilnahme!$A$2:$B$3,2,)</f>
        <v>Ja</v>
      </c>
      <c r="M1389">
        <v>1</v>
      </c>
      <c r="N1389">
        <v>382</v>
      </c>
      <c r="O1389">
        <v>1</v>
      </c>
      <c r="P1389">
        <v>89</v>
      </c>
      <c r="Q1389">
        <v>9</v>
      </c>
      <c r="R1389">
        <v>4</v>
      </c>
      <c r="S1389">
        <v>45</v>
      </c>
    </row>
    <row r="1390" spans="1:19" x14ac:dyDescent="0.35">
      <c r="A1390">
        <v>9037</v>
      </c>
      <c r="B1390">
        <v>149</v>
      </c>
      <c r="C1390" t="str">
        <f>VLOOKUP(B1390,Kunde!A:C,3,FALSE)</f>
        <v>Geschäftskunde</v>
      </c>
      <c r="D1390" t="str">
        <f>VLOOKUP(O1390,Produkt!$A$1:$E$5,2,FALSE)</f>
        <v>A</v>
      </c>
      <c r="E1390">
        <f t="shared" si="63"/>
        <v>140</v>
      </c>
      <c r="F1390">
        <f>VLOOKUP(D1390,Produkt!$B$1:$C$5,2,FALSE)*Bestellungen!E1390</f>
        <v>42000</v>
      </c>
      <c r="G1390" s="2">
        <v>44940</v>
      </c>
      <c r="H1390" s="2">
        <f t="shared" si="64"/>
        <v>44943</v>
      </c>
      <c r="I1390" s="2">
        <f t="shared" si="65"/>
        <v>44984</v>
      </c>
      <c r="J1390" t="str">
        <f>VLOOKUP(M1390,Umfragenteilnahme!$A$2:$B$3,2,)</f>
        <v>Ja</v>
      </c>
      <c r="M1390">
        <v>1</v>
      </c>
      <c r="N1390">
        <v>149</v>
      </c>
      <c r="O1390">
        <v>1</v>
      </c>
      <c r="P1390">
        <v>140</v>
      </c>
      <c r="Q1390">
        <v>10</v>
      </c>
      <c r="R1390">
        <v>3</v>
      </c>
      <c r="S1390">
        <v>44</v>
      </c>
    </row>
    <row r="1391" spans="1:19" x14ac:dyDescent="0.35">
      <c r="A1391">
        <v>9038</v>
      </c>
      <c r="B1391">
        <v>448</v>
      </c>
      <c r="C1391" t="str">
        <f>VLOOKUP(B1391,Kunde!A:C,3,FALSE)</f>
        <v>Geschäftskunde</v>
      </c>
      <c r="D1391" t="str">
        <f>VLOOKUP(O1391,Produkt!$A$1:$E$5,2,FALSE)</f>
        <v>D</v>
      </c>
      <c r="E1391">
        <f t="shared" si="63"/>
        <v>53</v>
      </c>
      <c r="F1391">
        <f>VLOOKUP(D1391,Produkt!$B$1:$C$5,2,FALSE)*Bestellungen!E1391</f>
        <v>42400</v>
      </c>
      <c r="G1391" s="2">
        <v>45064</v>
      </c>
      <c r="H1391" s="2">
        <f t="shared" si="64"/>
        <v>45066</v>
      </c>
      <c r="I1391" s="2">
        <f t="shared" si="65"/>
        <v>45099</v>
      </c>
      <c r="J1391" t="str">
        <f>VLOOKUP(M1391,Umfragenteilnahme!$A$2:$B$3,2,)</f>
        <v>Nein</v>
      </c>
      <c r="M1391">
        <v>2</v>
      </c>
      <c r="N1391">
        <v>448</v>
      </c>
      <c r="O1391">
        <v>4</v>
      </c>
      <c r="P1391">
        <v>53</v>
      </c>
      <c r="Q1391">
        <v>3</v>
      </c>
      <c r="R1391">
        <v>2</v>
      </c>
      <c r="S1391">
        <v>35</v>
      </c>
    </row>
    <row r="1392" spans="1:19" x14ac:dyDescent="0.35">
      <c r="A1392">
        <v>9039</v>
      </c>
      <c r="B1392">
        <v>627</v>
      </c>
      <c r="C1392" t="str">
        <f>VLOOKUP(B1392,Kunde!A:C,3,FALSE)</f>
        <v>Geschäftskunde</v>
      </c>
      <c r="D1392" t="str">
        <f>VLOOKUP(O1392,Produkt!$A$1:$E$5,2,FALSE)</f>
        <v>C</v>
      </c>
      <c r="E1392">
        <f t="shared" si="63"/>
        <v>117</v>
      </c>
      <c r="F1392">
        <f>VLOOKUP(D1392,Produkt!$B$1:$C$5,2,FALSE)*Bestellungen!E1392</f>
        <v>175500</v>
      </c>
      <c r="G1392" s="2">
        <v>44932</v>
      </c>
      <c r="H1392" s="2">
        <f t="shared" si="64"/>
        <v>44938</v>
      </c>
      <c r="I1392" s="2">
        <f t="shared" si="65"/>
        <v>44938</v>
      </c>
      <c r="J1392" t="str">
        <f>VLOOKUP(M1392,Umfragenteilnahme!$A$2:$B$3,2,)</f>
        <v>Nein</v>
      </c>
      <c r="M1392">
        <v>2</v>
      </c>
      <c r="N1392">
        <v>627</v>
      </c>
      <c r="O1392">
        <v>3</v>
      </c>
      <c r="P1392">
        <v>117</v>
      </c>
      <c r="Q1392">
        <v>6</v>
      </c>
      <c r="R1392">
        <v>6</v>
      </c>
      <c r="S1392">
        <v>6</v>
      </c>
    </row>
    <row r="1393" spans="1:19" x14ac:dyDescent="0.35">
      <c r="A1393">
        <v>9040</v>
      </c>
      <c r="B1393">
        <v>688</v>
      </c>
      <c r="C1393" t="str">
        <f>VLOOKUP(B1393,Kunde!A:C,3,FALSE)</f>
        <v>Geschäftskunde</v>
      </c>
      <c r="D1393" t="str">
        <f>VLOOKUP(O1393,Produkt!$A$1:$E$5,2,FALSE)</f>
        <v>A</v>
      </c>
      <c r="E1393">
        <f t="shared" si="63"/>
        <v>123</v>
      </c>
      <c r="F1393">
        <f>VLOOKUP(D1393,Produkt!$B$1:$C$5,2,FALSE)*Bestellungen!E1393</f>
        <v>36900</v>
      </c>
      <c r="G1393" s="2">
        <v>44766</v>
      </c>
      <c r="H1393" s="2">
        <f t="shared" si="64"/>
        <v>44772</v>
      </c>
      <c r="I1393" s="2">
        <f t="shared" si="65"/>
        <v>44815</v>
      </c>
      <c r="J1393" t="str">
        <f>VLOOKUP(M1393,Umfragenteilnahme!$A$2:$B$3,2,)</f>
        <v>Nein</v>
      </c>
      <c r="M1393">
        <v>2</v>
      </c>
      <c r="N1393">
        <v>688</v>
      </c>
      <c r="O1393">
        <v>1</v>
      </c>
      <c r="P1393">
        <v>123</v>
      </c>
      <c r="Q1393">
        <v>3</v>
      </c>
      <c r="R1393">
        <v>6</v>
      </c>
      <c r="S1393">
        <v>49</v>
      </c>
    </row>
    <row r="1394" spans="1:19" x14ac:dyDescent="0.35">
      <c r="A1394">
        <v>9041</v>
      </c>
      <c r="B1394">
        <v>494</v>
      </c>
      <c r="C1394" t="str">
        <f>VLOOKUP(B1394,Kunde!A:C,3,FALSE)</f>
        <v>Geschäftskunde</v>
      </c>
      <c r="D1394" t="str">
        <f>VLOOKUP(O1394,Produkt!$A$1:$E$5,2,FALSE)</f>
        <v>A</v>
      </c>
      <c r="E1394">
        <f t="shared" si="63"/>
        <v>134</v>
      </c>
      <c r="F1394">
        <f>VLOOKUP(D1394,Produkt!$B$1:$C$5,2,FALSE)*Bestellungen!E1394</f>
        <v>40200</v>
      </c>
      <c r="G1394" s="2">
        <v>45018</v>
      </c>
      <c r="H1394" s="2">
        <f t="shared" si="64"/>
        <v>45024</v>
      </c>
      <c r="I1394" s="2">
        <f t="shared" si="65"/>
        <v>45050</v>
      </c>
      <c r="J1394" t="str">
        <f>VLOOKUP(M1394,Umfragenteilnahme!$A$2:$B$3,2,)</f>
        <v>Nein</v>
      </c>
      <c r="M1394">
        <v>2</v>
      </c>
      <c r="N1394">
        <v>494</v>
      </c>
      <c r="O1394">
        <v>1</v>
      </c>
      <c r="P1394">
        <v>134</v>
      </c>
      <c r="Q1394">
        <v>8</v>
      </c>
      <c r="R1394">
        <v>6</v>
      </c>
      <c r="S1394">
        <v>32</v>
      </c>
    </row>
    <row r="1395" spans="1:19" x14ac:dyDescent="0.35">
      <c r="A1395">
        <v>9042</v>
      </c>
      <c r="B1395">
        <v>550</v>
      </c>
      <c r="C1395" t="str">
        <f>VLOOKUP(B1395,Kunde!A:C,3,FALSE)</f>
        <v>Geschäftskunde</v>
      </c>
      <c r="D1395" t="str">
        <f>VLOOKUP(O1395,Produkt!$A$1:$E$5,2,FALSE)</f>
        <v>D</v>
      </c>
      <c r="E1395">
        <f t="shared" si="63"/>
        <v>116</v>
      </c>
      <c r="F1395">
        <f>VLOOKUP(D1395,Produkt!$B$1:$C$5,2,FALSE)*Bestellungen!E1395</f>
        <v>92800</v>
      </c>
      <c r="G1395" s="2">
        <v>44912</v>
      </c>
      <c r="H1395" s="2">
        <f t="shared" si="64"/>
        <v>44917</v>
      </c>
      <c r="I1395" s="2">
        <f t="shared" si="65"/>
        <v>44926</v>
      </c>
      <c r="J1395" t="str">
        <f>VLOOKUP(M1395,Umfragenteilnahme!$A$2:$B$3,2,)</f>
        <v>Nein</v>
      </c>
      <c r="M1395">
        <v>2</v>
      </c>
      <c r="N1395">
        <v>550</v>
      </c>
      <c r="O1395">
        <v>4</v>
      </c>
      <c r="P1395">
        <v>116</v>
      </c>
      <c r="Q1395">
        <v>1</v>
      </c>
      <c r="R1395">
        <v>5</v>
      </c>
      <c r="S1395">
        <v>14</v>
      </c>
    </row>
    <row r="1396" spans="1:19" x14ac:dyDescent="0.35">
      <c r="A1396">
        <v>9043</v>
      </c>
      <c r="B1396">
        <v>133</v>
      </c>
      <c r="C1396" t="str">
        <f>VLOOKUP(B1396,Kunde!A:C,3,FALSE)</f>
        <v>Geschäftskunde</v>
      </c>
      <c r="D1396" t="str">
        <f>VLOOKUP(O1396,Produkt!$A$1:$E$5,2,FALSE)</f>
        <v>B</v>
      </c>
      <c r="E1396">
        <f t="shared" si="63"/>
        <v>37</v>
      </c>
      <c r="F1396">
        <f>VLOOKUP(D1396,Produkt!$B$1:$C$5,2,FALSE)*Bestellungen!E1396</f>
        <v>17760</v>
      </c>
      <c r="G1396" s="2">
        <v>44881</v>
      </c>
      <c r="H1396" s="2">
        <f t="shared" si="64"/>
        <v>44886</v>
      </c>
      <c r="I1396" s="2">
        <f t="shared" si="65"/>
        <v>44892</v>
      </c>
      <c r="J1396" t="str">
        <f>VLOOKUP(M1396,Umfragenteilnahme!$A$2:$B$3,2,)</f>
        <v>Nein</v>
      </c>
      <c r="M1396">
        <v>2</v>
      </c>
      <c r="N1396">
        <v>133</v>
      </c>
      <c r="O1396">
        <v>2</v>
      </c>
      <c r="P1396">
        <v>37</v>
      </c>
      <c r="Q1396">
        <v>9</v>
      </c>
      <c r="R1396">
        <v>5</v>
      </c>
      <c r="S1396">
        <v>11</v>
      </c>
    </row>
    <row r="1397" spans="1:19" x14ac:dyDescent="0.35">
      <c r="A1397">
        <v>9044</v>
      </c>
      <c r="B1397">
        <v>635</v>
      </c>
      <c r="C1397" t="str">
        <f>VLOOKUP(B1397,Kunde!A:C,3,FALSE)</f>
        <v>Geschäftskunde</v>
      </c>
      <c r="D1397" t="str">
        <f>VLOOKUP(O1397,Produkt!$A$1:$E$5,2,FALSE)</f>
        <v>B</v>
      </c>
      <c r="E1397">
        <f t="shared" si="63"/>
        <v>96</v>
      </c>
      <c r="F1397">
        <f>VLOOKUP(D1397,Produkt!$B$1:$C$5,2,FALSE)*Bestellungen!E1397</f>
        <v>46080</v>
      </c>
      <c r="G1397" s="2">
        <v>44963</v>
      </c>
      <c r="H1397" s="2">
        <f t="shared" si="64"/>
        <v>44970</v>
      </c>
      <c r="I1397" s="2">
        <f t="shared" si="65"/>
        <v>45005</v>
      </c>
      <c r="J1397" t="str">
        <f>VLOOKUP(M1397,Umfragenteilnahme!$A$2:$B$3,2,)</f>
        <v>Ja</v>
      </c>
      <c r="M1397">
        <v>1</v>
      </c>
      <c r="N1397">
        <v>635</v>
      </c>
      <c r="O1397">
        <v>2</v>
      </c>
      <c r="P1397">
        <v>96</v>
      </c>
      <c r="Q1397">
        <v>7</v>
      </c>
      <c r="R1397">
        <v>7</v>
      </c>
      <c r="S1397">
        <v>42</v>
      </c>
    </row>
    <row r="1398" spans="1:19" x14ac:dyDescent="0.35">
      <c r="A1398">
        <v>9045</v>
      </c>
      <c r="B1398">
        <v>592</v>
      </c>
      <c r="C1398" t="str">
        <f>VLOOKUP(B1398,Kunde!A:C,3,FALSE)</f>
        <v>Geschäftskunde</v>
      </c>
      <c r="D1398" t="str">
        <f>VLOOKUP(O1398,Produkt!$A$1:$E$5,2,FALSE)</f>
        <v>C</v>
      </c>
      <c r="E1398">
        <f t="shared" si="63"/>
        <v>110</v>
      </c>
      <c r="F1398">
        <f>VLOOKUP(D1398,Produkt!$B$1:$C$5,2,FALSE)*Bestellungen!E1398</f>
        <v>165000</v>
      </c>
      <c r="G1398" s="2">
        <v>45062</v>
      </c>
      <c r="H1398" s="2">
        <f t="shared" si="64"/>
        <v>45068</v>
      </c>
      <c r="I1398" s="2">
        <f t="shared" si="65"/>
        <v>45089</v>
      </c>
      <c r="J1398" t="str">
        <f>VLOOKUP(M1398,Umfragenteilnahme!$A$2:$B$3,2,)</f>
        <v>Ja</v>
      </c>
      <c r="M1398">
        <v>1</v>
      </c>
      <c r="N1398">
        <v>592</v>
      </c>
      <c r="O1398">
        <v>3</v>
      </c>
      <c r="P1398">
        <v>110</v>
      </c>
      <c r="Q1398">
        <v>5</v>
      </c>
      <c r="R1398">
        <v>6</v>
      </c>
      <c r="S1398">
        <v>27</v>
      </c>
    </row>
    <row r="1399" spans="1:19" x14ac:dyDescent="0.35">
      <c r="A1399">
        <v>9046</v>
      </c>
      <c r="B1399">
        <v>287</v>
      </c>
      <c r="C1399" t="str">
        <f>VLOOKUP(B1399,Kunde!A:C,3,FALSE)</f>
        <v>Privatkunde</v>
      </c>
      <c r="D1399" t="str">
        <f>VLOOKUP(O1399,Produkt!$A$1:$E$5,2,FALSE)</f>
        <v>B</v>
      </c>
      <c r="E1399">
        <f t="shared" si="63"/>
        <v>10</v>
      </c>
      <c r="F1399">
        <f>VLOOKUP(D1399,Produkt!$B$1:$C$5,2,FALSE)*Bestellungen!E1399</f>
        <v>4800</v>
      </c>
      <c r="G1399" s="2">
        <v>45041</v>
      </c>
      <c r="H1399" s="2">
        <f t="shared" si="64"/>
        <v>45048</v>
      </c>
      <c r="I1399" s="2">
        <f t="shared" si="65"/>
        <v>45091</v>
      </c>
      <c r="J1399" t="str">
        <f>VLOOKUP(M1399,Umfragenteilnahme!$A$2:$B$3,2,)</f>
        <v>Ja</v>
      </c>
      <c r="M1399">
        <v>1</v>
      </c>
      <c r="N1399">
        <v>287</v>
      </c>
      <c r="O1399">
        <v>2</v>
      </c>
      <c r="P1399">
        <v>132</v>
      </c>
      <c r="Q1399">
        <v>10</v>
      </c>
      <c r="R1399">
        <v>7</v>
      </c>
      <c r="S1399">
        <v>50</v>
      </c>
    </row>
    <row r="1400" spans="1:19" x14ac:dyDescent="0.35">
      <c r="A1400">
        <v>9047</v>
      </c>
      <c r="B1400">
        <v>555</v>
      </c>
      <c r="C1400" t="str">
        <f>VLOOKUP(B1400,Kunde!A:C,3,FALSE)</f>
        <v>Geschäftskunde</v>
      </c>
      <c r="D1400" t="str">
        <f>VLOOKUP(O1400,Produkt!$A$1:$E$5,2,FALSE)</f>
        <v>C</v>
      </c>
      <c r="E1400">
        <f t="shared" si="63"/>
        <v>89</v>
      </c>
      <c r="F1400">
        <f>VLOOKUP(D1400,Produkt!$B$1:$C$5,2,FALSE)*Bestellungen!E1400</f>
        <v>133500</v>
      </c>
      <c r="G1400" s="2">
        <v>44968</v>
      </c>
      <c r="H1400" s="2">
        <f t="shared" si="64"/>
        <v>44974</v>
      </c>
      <c r="I1400" s="2">
        <f t="shared" si="65"/>
        <v>44996</v>
      </c>
      <c r="J1400" t="str">
        <f>VLOOKUP(M1400,Umfragenteilnahme!$A$2:$B$3,2,)</f>
        <v>Ja</v>
      </c>
      <c r="M1400">
        <v>1</v>
      </c>
      <c r="N1400">
        <v>555</v>
      </c>
      <c r="O1400">
        <v>3</v>
      </c>
      <c r="P1400">
        <v>89</v>
      </c>
      <c r="Q1400">
        <v>3</v>
      </c>
      <c r="R1400">
        <v>6</v>
      </c>
      <c r="S1400">
        <v>28</v>
      </c>
    </row>
    <row r="1401" spans="1:19" x14ac:dyDescent="0.35">
      <c r="A1401">
        <v>9048</v>
      </c>
      <c r="B1401">
        <v>338</v>
      </c>
      <c r="C1401" t="str">
        <f>VLOOKUP(B1401,Kunde!A:C,3,FALSE)</f>
        <v>Geschäftskunde</v>
      </c>
      <c r="D1401" t="str">
        <f>VLOOKUP(O1401,Produkt!$A$1:$E$5,2,FALSE)</f>
        <v>D</v>
      </c>
      <c r="E1401">
        <f t="shared" si="63"/>
        <v>54</v>
      </c>
      <c r="F1401">
        <f>VLOOKUP(D1401,Produkt!$B$1:$C$5,2,FALSE)*Bestellungen!E1401</f>
        <v>43200</v>
      </c>
      <c r="G1401" s="2">
        <v>44810</v>
      </c>
      <c r="H1401" s="2">
        <f t="shared" si="64"/>
        <v>44817</v>
      </c>
      <c r="I1401" s="2">
        <f t="shared" si="65"/>
        <v>44823</v>
      </c>
      <c r="J1401" t="str">
        <f>VLOOKUP(M1401,Umfragenteilnahme!$A$2:$B$3,2,)</f>
        <v>Ja</v>
      </c>
      <c r="M1401">
        <v>1</v>
      </c>
      <c r="N1401">
        <v>338</v>
      </c>
      <c r="O1401">
        <v>4</v>
      </c>
      <c r="P1401">
        <v>54</v>
      </c>
      <c r="Q1401">
        <v>3</v>
      </c>
      <c r="R1401">
        <v>7</v>
      </c>
      <c r="S1401">
        <v>13</v>
      </c>
    </row>
    <row r="1402" spans="1:19" x14ac:dyDescent="0.35">
      <c r="A1402">
        <v>9049</v>
      </c>
      <c r="B1402">
        <v>59</v>
      </c>
      <c r="C1402" t="str">
        <f>VLOOKUP(B1402,Kunde!A:C,3,FALSE)</f>
        <v>Geschäftskunde</v>
      </c>
      <c r="D1402" t="str">
        <f>VLOOKUP(O1402,Produkt!$A$1:$E$5,2,FALSE)</f>
        <v>D</v>
      </c>
      <c r="E1402">
        <f t="shared" si="63"/>
        <v>108</v>
      </c>
      <c r="F1402">
        <f>VLOOKUP(D1402,Produkt!$B$1:$C$5,2,FALSE)*Bestellungen!E1402</f>
        <v>86400</v>
      </c>
      <c r="G1402" s="2">
        <v>44753</v>
      </c>
      <c r="H1402" s="2">
        <f t="shared" si="64"/>
        <v>44757</v>
      </c>
      <c r="I1402" s="2">
        <f t="shared" si="65"/>
        <v>44769</v>
      </c>
      <c r="J1402" t="str">
        <f>VLOOKUP(M1402,Umfragenteilnahme!$A$2:$B$3,2,)</f>
        <v>Nein</v>
      </c>
      <c r="M1402">
        <v>2</v>
      </c>
      <c r="N1402">
        <v>59</v>
      </c>
      <c r="O1402">
        <v>4</v>
      </c>
      <c r="P1402">
        <v>108</v>
      </c>
      <c r="Q1402">
        <v>3</v>
      </c>
      <c r="R1402">
        <v>4</v>
      </c>
      <c r="S1402">
        <v>16</v>
      </c>
    </row>
    <row r="1403" spans="1:19" x14ac:dyDescent="0.35">
      <c r="A1403">
        <v>9050</v>
      </c>
      <c r="B1403">
        <v>504</v>
      </c>
      <c r="C1403" t="str">
        <f>VLOOKUP(B1403,Kunde!A:C,3,FALSE)</f>
        <v>Privatkunde</v>
      </c>
      <c r="D1403" t="str">
        <f>VLOOKUP(O1403,Produkt!$A$1:$E$5,2,FALSE)</f>
        <v>A</v>
      </c>
      <c r="E1403">
        <f t="shared" si="63"/>
        <v>7</v>
      </c>
      <c r="F1403">
        <f>VLOOKUP(D1403,Produkt!$B$1:$C$5,2,FALSE)*Bestellungen!E1403</f>
        <v>2100</v>
      </c>
      <c r="G1403" s="2">
        <v>44893</v>
      </c>
      <c r="H1403" s="2">
        <f t="shared" si="64"/>
        <v>44899</v>
      </c>
      <c r="I1403" s="2">
        <f t="shared" si="65"/>
        <v>44950</v>
      </c>
      <c r="J1403" t="str">
        <f>VLOOKUP(M1403,Umfragenteilnahme!$A$2:$B$3,2,)</f>
        <v>Ja</v>
      </c>
      <c r="M1403">
        <v>1</v>
      </c>
      <c r="N1403">
        <v>504</v>
      </c>
      <c r="O1403">
        <v>1</v>
      </c>
      <c r="P1403">
        <v>21</v>
      </c>
      <c r="Q1403">
        <v>7</v>
      </c>
      <c r="R1403">
        <v>6</v>
      </c>
      <c r="S1403">
        <v>57</v>
      </c>
    </row>
    <row r="1404" spans="1:19" x14ac:dyDescent="0.35">
      <c r="A1404">
        <v>9051</v>
      </c>
      <c r="B1404">
        <v>238</v>
      </c>
      <c r="C1404" t="str">
        <f>VLOOKUP(B1404,Kunde!A:C,3,FALSE)</f>
        <v>Geschäftskunde</v>
      </c>
      <c r="D1404" t="str">
        <f>VLOOKUP(O1404,Produkt!$A$1:$E$5,2,FALSE)</f>
        <v>B</v>
      </c>
      <c r="E1404">
        <f t="shared" si="63"/>
        <v>143</v>
      </c>
      <c r="F1404">
        <f>VLOOKUP(D1404,Produkt!$B$1:$C$5,2,FALSE)*Bestellungen!E1404</f>
        <v>68640</v>
      </c>
      <c r="G1404" s="2">
        <v>44752</v>
      </c>
      <c r="H1404" s="2">
        <f t="shared" si="64"/>
        <v>44757</v>
      </c>
      <c r="I1404" s="2">
        <f t="shared" si="65"/>
        <v>44790</v>
      </c>
      <c r="J1404" t="str">
        <f>VLOOKUP(M1404,Umfragenteilnahme!$A$2:$B$3,2,)</f>
        <v>Ja</v>
      </c>
      <c r="M1404">
        <v>1</v>
      </c>
      <c r="N1404">
        <v>238</v>
      </c>
      <c r="O1404">
        <v>2</v>
      </c>
      <c r="P1404">
        <v>143</v>
      </c>
      <c r="Q1404">
        <v>7</v>
      </c>
      <c r="R1404">
        <v>5</v>
      </c>
      <c r="S1404">
        <v>38</v>
      </c>
    </row>
    <row r="1405" spans="1:19" x14ac:dyDescent="0.35">
      <c r="A1405">
        <v>9052</v>
      </c>
      <c r="B1405">
        <v>768</v>
      </c>
      <c r="C1405" t="str">
        <f>VLOOKUP(B1405,Kunde!A:C,3,FALSE)</f>
        <v>Privatkunde</v>
      </c>
      <c r="D1405" t="str">
        <f>VLOOKUP(O1405,Produkt!$A$1:$E$5,2,FALSE)</f>
        <v>D</v>
      </c>
      <c r="E1405">
        <f t="shared" si="63"/>
        <v>3</v>
      </c>
      <c r="F1405">
        <f>VLOOKUP(D1405,Produkt!$B$1:$C$5,2,FALSE)*Bestellungen!E1405</f>
        <v>2400</v>
      </c>
      <c r="G1405" s="2">
        <v>45038</v>
      </c>
      <c r="H1405" s="2">
        <f t="shared" si="64"/>
        <v>45041</v>
      </c>
      <c r="I1405" s="2">
        <f t="shared" si="65"/>
        <v>45044</v>
      </c>
      <c r="J1405" t="str">
        <f>VLOOKUP(M1405,Umfragenteilnahme!$A$2:$B$3,2,)</f>
        <v>Nein</v>
      </c>
      <c r="M1405">
        <v>2</v>
      </c>
      <c r="N1405">
        <v>768</v>
      </c>
      <c r="O1405">
        <v>4</v>
      </c>
      <c r="P1405">
        <v>138</v>
      </c>
      <c r="Q1405">
        <v>3</v>
      </c>
      <c r="R1405">
        <v>3</v>
      </c>
      <c r="S1405">
        <v>6</v>
      </c>
    </row>
    <row r="1406" spans="1:19" x14ac:dyDescent="0.35">
      <c r="A1406">
        <v>9053</v>
      </c>
      <c r="B1406">
        <v>351</v>
      </c>
      <c r="C1406" t="str">
        <f>VLOOKUP(B1406,Kunde!A:C,3,FALSE)</f>
        <v>Geschäftskunde</v>
      </c>
      <c r="D1406" t="str">
        <f>VLOOKUP(O1406,Produkt!$A$1:$E$5,2,FALSE)</f>
        <v>D</v>
      </c>
      <c r="E1406">
        <f t="shared" si="63"/>
        <v>23</v>
      </c>
      <c r="F1406">
        <f>VLOOKUP(D1406,Produkt!$B$1:$C$5,2,FALSE)*Bestellungen!E1406</f>
        <v>18400</v>
      </c>
      <c r="G1406" s="2">
        <v>44749</v>
      </c>
      <c r="H1406" s="2">
        <f t="shared" si="64"/>
        <v>44754</v>
      </c>
      <c r="I1406" s="2">
        <f t="shared" si="65"/>
        <v>44774</v>
      </c>
      <c r="J1406" t="str">
        <f>VLOOKUP(M1406,Umfragenteilnahme!$A$2:$B$3,2,)</f>
        <v>Ja</v>
      </c>
      <c r="M1406">
        <v>1</v>
      </c>
      <c r="N1406">
        <v>351</v>
      </c>
      <c r="O1406">
        <v>4</v>
      </c>
      <c r="P1406">
        <v>23</v>
      </c>
      <c r="Q1406">
        <v>4</v>
      </c>
      <c r="R1406">
        <v>5</v>
      </c>
      <c r="S1406">
        <v>25</v>
      </c>
    </row>
    <row r="1407" spans="1:19" x14ac:dyDescent="0.35">
      <c r="A1407">
        <v>9054</v>
      </c>
      <c r="B1407">
        <v>191</v>
      </c>
      <c r="C1407" t="str">
        <f>VLOOKUP(B1407,Kunde!A:C,3,FALSE)</f>
        <v>Geschäftskunde</v>
      </c>
      <c r="D1407" t="str">
        <f>VLOOKUP(O1407,Produkt!$A$1:$E$5,2,FALSE)</f>
        <v>D</v>
      </c>
      <c r="E1407">
        <f t="shared" si="63"/>
        <v>77</v>
      </c>
      <c r="F1407">
        <f>VLOOKUP(D1407,Produkt!$B$1:$C$5,2,FALSE)*Bestellungen!E1407</f>
        <v>61600</v>
      </c>
      <c r="G1407" s="2">
        <v>44763</v>
      </c>
      <c r="H1407" s="2">
        <f t="shared" si="64"/>
        <v>44770</v>
      </c>
      <c r="I1407" s="2">
        <f t="shared" si="65"/>
        <v>44807</v>
      </c>
      <c r="J1407" t="str">
        <f>VLOOKUP(M1407,Umfragenteilnahme!$A$2:$B$3,2,)</f>
        <v>Ja</v>
      </c>
      <c r="M1407">
        <v>1</v>
      </c>
      <c r="N1407">
        <v>191</v>
      </c>
      <c r="O1407">
        <v>4</v>
      </c>
      <c r="P1407">
        <v>77</v>
      </c>
      <c r="Q1407">
        <v>3</v>
      </c>
      <c r="R1407">
        <v>7</v>
      </c>
      <c r="S1407">
        <v>44</v>
      </c>
    </row>
    <row r="1408" spans="1:19" x14ac:dyDescent="0.35">
      <c r="A1408">
        <v>9055</v>
      </c>
      <c r="B1408">
        <v>523</v>
      </c>
      <c r="C1408" t="str">
        <f>VLOOKUP(B1408,Kunde!A:C,3,FALSE)</f>
        <v>Geschäftskunde</v>
      </c>
      <c r="D1408" t="str">
        <f>VLOOKUP(O1408,Produkt!$A$1:$E$5,2,FALSE)</f>
        <v>D</v>
      </c>
      <c r="E1408">
        <f t="shared" si="63"/>
        <v>125</v>
      </c>
      <c r="F1408">
        <f>VLOOKUP(D1408,Produkt!$B$1:$C$5,2,FALSE)*Bestellungen!E1408</f>
        <v>100000</v>
      </c>
      <c r="G1408" s="2">
        <v>45034</v>
      </c>
      <c r="H1408" s="2">
        <f t="shared" si="64"/>
        <v>45039</v>
      </c>
      <c r="I1408" s="2">
        <f t="shared" si="65"/>
        <v>45042</v>
      </c>
      <c r="J1408" t="str">
        <f>VLOOKUP(M1408,Umfragenteilnahme!$A$2:$B$3,2,)</f>
        <v>Ja</v>
      </c>
      <c r="M1408">
        <v>1</v>
      </c>
      <c r="N1408">
        <v>523</v>
      </c>
      <c r="O1408">
        <v>4</v>
      </c>
      <c r="P1408">
        <v>125</v>
      </c>
      <c r="Q1408">
        <v>1</v>
      </c>
      <c r="R1408">
        <v>5</v>
      </c>
      <c r="S1408">
        <v>8</v>
      </c>
    </row>
    <row r="1409" spans="1:19" x14ac:dyDescent="0.35">
      <c r="A1409">
        <v>9056</v>
      </c>
      <c r="B1409">
        <v>759</v>
      </c>
      <c r="C1409" t="str">
        <f>VLOOKUP(B1409,Kunde!A:C,3,FALSE)</f>
        <v>Geschäftskunde</v>
      </c>
      <c r="D1409" t="str">
        <f>VLOOKUP(O1409,Produkt!$A$1:$E$5,2,FALSE)</f>
        <v>B</v>
      </c>
      <c r="E1409">
        <f t="shared" si="63"/>
        <v>22</v>
      </c>
      <c r="F1409">
        <f>VLOOKUP(D1409,Produkt!$B$1:$C$5,2,FALSE)*Bestellungen!E1409</f>
        <v>10560</v>
      </c>
      <c r="G1409" s="2">
        <v>44735</v>
      </c>
      <c r="H1409" s="2">
        <f t="shared" si="64"/>
        <v>44737</v>
      </c>
      <c r="I1409" s="2">
        <f t="shared" si="65"/>
        <v>44739</v>
      </c>
      <c r="J1409" t="str">
        <f>VLOOKUP(M1409,Umfragenteilnahme!$A$2:$B$3,2,)</f>
        <v>Ja</v>
      </c>
      <c r="M1409">
        <v>1</v>
      </c>
      <c r="N1409">
        <v>759</v>
      </c>
      <c r="O1409">
        <v>2</v>
      </c>
      <c r="P1409">
        <v>22</v>
      </c>
      <c r="Q1409">
        <v>6</v>
      </c>
      <c r="R1409">
        <v>2</v>
      </c>
      <c r="S1409">
        <v>4</v>
      </c>
    </row>
    <row r="1410" spans="1:19" x14ac:dyDescent="0.35">
      <c r="A1410">
        <v>9057</v>
      </c>
      <c r="B1410">
        <v>205</v>
      </c>
      <c r="C1410" t="str">
        <f>VLOOKUP(B1410,Kunde!A:C,3,FALSE)</f>
        <v>Privatkunde</v>
      </c>
      <c r="D1410" t="str">
        <f>VLOOKUP(O1410,Produkt!$A$1:$E$5,2,FALSE)</f>
        <v>B</v>
      </c>
      <c r="E1410">
        <f t="shared" si="63"/>
        <v>6</v>
      </c>
      <c r="F1410">
        <f>VLOOKUP(D1410,Produkt!$B$1:$C$5,2,FALSE)*Bestellungen!E1410</f>
        <v>2880</v>
      </c>
      <c r="G1410" s="2">
        <v>44944</v>
      </c>
      <c r="H1410" s="2">
        <f t="shared" si="64"/>
        <v>44949</v>
      </c>
      <c r="I1410" s="2">
        <f t="shared" si="65"/>
        <v>44977</v>
      </c>
      <c r="J1410" t="str">
        <f>VLOOKUP(M1410,Umfragenteilnahme!$A$2:$B$3,2,)</f>
        <v>Nein</v>
      </c>
      <c r="M1410">
        <v>2</v>
      </c>
      <c r="N1410">
        <v>205</v>
      </c>
      <c r="O1410">
        <v>2</v>
      </c>
      <c r="P1410">
        <v>74</v>
      </c>
      <c r="Q1410">
        <v>6</v>
      </c>
      <c r="R1410">
        <v>5</v>
      </c>
      <c r="S1410">
        <v>33</v>
      </c>
    </row>
    <row r="1411" spans="1:19" x14ac:dyDescent="0.35">
      <c r="A1411">
        <v>9058</v>
      </c>
      <c r="B1411">
        <v>189</v>
      </c>
      <c r="C1411" t="str">
        <f>VLOOKUP(B1411,Kunde!A:C,3,FALSE)</f>
        <v>Geschäftskunde</v>
      </c>
      <c r="D1411" t="str">
        <f>VLOOKUP(O1411,Produkt!$A$1:$E$5,2,FALSE)</f>
        <v>A</v>
      </c>
      <c r="E1411">
        <f t="shared" ref="E1411:E1474" si="66">IF(C1411="Geschäftskunde",P1411,Q1411)</f>
        <v>52</v>
      </c>
      <c r="F1411">
        <f>VLOOKUP(D1411,Produkt!$B$1:$C$5,2,FALSE)*Bestellungen!E1411</f>
        <v>15600</v>
      </c>
      <c r="G1411" s="2">
        <v>44772</v>
      </c>
      <c r="H1411" s="2">
        <f t="shared" ref="H1411:H1474" si="67">G1411+R1411</f>
        <v>44777</v>
      </c>
      <c r="I1411" s="2">
        <f t="shared" ref="I1411:I1474" si="68">G1411+S1411</f>
        <v>44782</v>
      </c>
      <c r="J1411" t="str">
        <f>VLOOKUP(M1411,Umfragenteilnahme!$A$2:$B$3,2,)</f>
        <v>Nein</v>
      </c>
      <c r="M1411">
        <v>2</v>
      </c>
      <c r="N1411">
        <v>189</v>
      </c>
      <c r="O1411">
        <v>1</v>
      </c>
      <c r="P1411">
        <v>52</v>
      </c>
      <c r="Q1411">
        <v>9</v>
      </c>
      <c r="R1411">
        <v>5</v>
      </c>
      <c r="S1411">
        <v>10</v>
      </c>
    </row>
    <row r="1412" spans="1:19" x14ac:dyDescent="0.35">
      <c r="A1412">
        <v>9059</v>
      </c>
      <c r="B1412">
        <v>71</v>
      </c>
      <c r="C1412" t="str">
        <f>VLOOKUP(B1412,Kunde!A:C,3,FALSE)</f>
        <v>Geschäftskunde</v>
      </c>
      <c r="D1412" t="str">
        <f>VLOOKUP(O1412,Produkt!$A$1:$E$5,2,FALSE)</f>
        <v>C</v>
      </c>
      <c r="E1412">
        <f t="shared" si="66"/>
        <v>122</v>
      </c>
      <c r="F1412">
        <f>VLOOKUP(D1412,Produkt!$B$1:$C$5,2,FALSE)*Bestellungen!E1412</f>
        <v>183000</v>
      </c>
      <c r="G1412" s="2">
        <v>44782</v>
      </c>
      <c r="H1412" s="2">
        <f t="shared" si="67"/>
        <v>44784</v>
      </c>
      <c r="I1412" s="2">
        <f t="shared" si="68"/>
        <v>44823</v>
      </c>
      <c r="J1412" t="str">
        <f>VLOOKUP(M1412,Umfragenteilnahme!$A$2:$B$3,2,)</f>
        <v>Nein</v>
      </c>
      <c r="M1412">
        <v>2</v>
      </c>
      <c r="N1412">
        <v>71</v>
      </c>
      <c r="O1412">
        <v>3</v>
      </c>
      <c r="P1412">
        <v>122</v>
      </c>
      <c r="Q1412">
        <v>10</v>
      </c>
      <c r="R1412">
        <v>2</v>
      </c>
      <c r="S1412">
        <v>41</v>
      </c>
    </row>
    <row r="1413" spans="1:19" x14ac:dyDescent="0.35">
      <c r="A1413">
        <v>9060</v>
      </c>
      <c r="B1413">
        <v>119</v>
      </c>
      <c r="C1413" t="str">
        <f>VLOOKUP(B1413,Kunde!A:C,3,FALSE)</f>
        <v>Geschäftskunde</v>
      </c>
      <c r="D1413" t="str">
        <f>VLOOKUP(O1413,Produkt!$A$1:$E$5,2,FALSE)</f>
        <v>C</v>
      </c>
      <c r="E1413">
        <f t="shared" si="66"/>
        <v>40</v>
      </c>
      <c r="F1413">
        <f>VLOOKUP(D1413,Produkt!$B$1:$C$5,2,FALSE)*Bestellungen!E1413</f>
        <v>60000</v>
      </c>
      <c r="G1413" s="2">
        <v>44867</v>
      </c>
      <c r="H1413" s="2">
        <f t="shared" si="67"/>
        <v>44872</v>
      </c>
      <c r="I1413" s="2">
        <f t="shared" si="68"/>
        <v>44918</v>
      </c>
      <c r="J1413" t="str">
        <f>VLOOKUP(M1413,Umfragenteilnahme!$A$2:$B$3,2,)</f>
        <v>Ja</v>
      </c>
      <c r="M1413">
        <v>1</v>
      </c>
      <c r="N1413">
        <v>119</v>
      </c>
      <c r="O1413">
        <v>3</v>
      </c>
      <c r="P1413">
        <v>40</v>
      </c>
      <c r="Q1413">
        <v>7</v>
      </c>
      <c r="R1413">
        <v>5</v>
      </c>
      <c r="S1413">
        <v>51</v>
      </c>
    </row>
    <row r="1414" spans="1:19" x14ac:dyDescent="0.35">
      <c r="A1414">
        <v>9061</v>
      </c>
      <c r="B1414">
        <v>418</v>
      </c>
      <c r="C1414" t="str">
        <f>VLOOKUP(B1414,Kunde!A:C,3,FALSE)</f>
        <v>Privatkunde</v>
      </c>
      <c r="D1414" t="str">
        <f>VLOOKUP(O1414,Produkt!$A$1:$E$5,2,FALSE)</f>
        <v>B</v>
      </c>
      <c r="E1414">
        <f t="shared" si="66"/>
        <v>4</v>
      </c>
      <c r="F1414">
        <f>VLOOKUP(D1414,Produkt!$B$1:$C$5,2,FALSE)*Bestellungen!E1414</f>
        <v>1920</v>
      </c>
      <c r="G1414" s="2">
        <v>44884</v>
      </c>
      <c r="H1414" s="2">
        <f t="shared" si="67"/>
        <v>44887</v>
      </c>
      <c r="I1414" s="2">
        <f t="shared" si="68"/>
        <v>44913</v>
      </c>
      <c r="J1414" t="str">
        <f>VLOOKUP(M1414,Umfragenteilnahme!$A$2:$B$3,2,)</f>
        <v>Nein</v>
      </c>
      <c r="M1414">
        <v>2</v>
      </c>
      <c r="N1414">
        <v>418</v>
      </c>
      <c r="O1414">
        <v>2</v>
      </c>
      <c r="P1414">
        <v>27</v>
      </c>
      <c r="Q1414">
        <v>4</v>
      </c>
      <c r="R1414">
        <v>3</v>
      </c>
      <c r="S1414">
        <v>29</v>
      </c>
    </row>
    <row r="1415" spans="1:19" x14ac:dyDescent="0.35">
      <c r="A1415">
        <v>9062</v>
      </c>
      <c r="B1415">
        <v>262</v>
      </c>
      <c r="C1415" t="str">
        <f>VLOOKUP(B1415,Kunde!A:C,3,FALSE)</f>
        <v>Geschäftskunde</v>
      </c>
      <c r="D1415" t="str">
        <f>VLOOKUP(O1415,Produkt!$A$1:$E$5,2,FALSE)</f>
        <v>A</v>
      </c>
      <c r="E1415">
        <f t="shared" si="66"/>
        <v>72</v>
      </c>
      <c r="F1415">
        <f>VLOOKUP(D1415,Produkt!$B$1:$C$5,2,FALSE)*Bestellungen!E1415</f>
        <v>21600</v>
      </c>
      <c r="G1415" s="2">
        <v>45043</v>
      </c>
      <c r="H1415" s="2">
        <f t="shared" si="67"/>
        <v>45049</v>
      </c>
      <c r="I1415" s="2">
        <f t="shared" si="68"/>
        <v>45054</v>
      </c>
      <c r="J1415" t="str">
        <f>VLOOKUP(M1415,Umfragenteilnahme!$A$2:$B$3,2,)</f>
        <v>Nein</v>
      </c>
      <c r="M1415">
        <v>2</v>
      </c>
      <c r="N1415">
        <v>262</v>
      </c>
      <c r="O1415">
        <v>1</v>
      </c>
      <c r="P1415">
        <v>72</v>
      </c>
      <c r="Q1415">
        <v>2</v>
      </c>
      <c r="R1415">
        <v>6</v>
      </c>
      <c r="S1415">
        <v>11</v>
      </c>
    </row>
    <row r="1416" spans="1:19" x14ac:dyDescent="0.35">
      <c r="A1416">
        <v>9063</v>
      </c>
      <c r="B1416">
        <v>327</v>
      </c>
      <c r="C1416" t="str">
        <f>VLOOKUP(B1416,Kunde!A:C,3,FALSE)</f>
        <v>Geschäftskunde</v>
      </c>
      <c r="D1416" t="str">
        <f>VLOOKUP(O1416,Produkt!$A$1:$E$5,2,FALSE)</f>
        <v>C</v>
      </c>
      <c r="E1416">
        <f t="shared" si="66"/>
        <v>119</v>
      </c>
      <c r="F1416">
        <f>VLOOKUP(D1416,Produkt!$B$1:$C$5,2,FALSE)*Bestellungen!E1416</f>
        <v>178500</v>
      </c>
      <c r="G1416" s="2">
        <v>44951</v>
      </c>
      <c r="H1416" s="2">
        <f t="shared" si="67"/>
        <v>44956</v>
      </c>
      <c r="I1416" s="2">
        <f t="shared" si="68"/>
        <v>45010</v>
      </c>
      <c r="J1416" t="str">
        <f>VLOOKUP(M1416,Umfragenteilnahme!$A$2:$B$3,2,)</f>
        <v>Ja</v>
      </c>
      <c r="M1416">
        <v>1</v>
      </c>
      <c r="N1416">
        <v>327</v>
      </c>
      <c r="O1416">
        <v>3</v>
      </c>
      <c r="P1416">
        <v>119</v>
      </c>
      <c r="Q1416">
        <v>1</v>
      </c>
      <c r="R1416">
        <v>5</v>
      </c>
      <c r="S1416">
        <v>59</v>
      </c>
    </row>
    <row r="1417" spans="1:19" x14ac:dyDescent="0.35">
      <c r="A1417">
        <v>9064</v>
      </c>
      <c r="B1417">
        <v>608</v>
      </c>
      <c r="C1417" t="str">
        <f>VLOOKUP(B1417,Kunde!A:C,3,FALSE)</f>
        <v>Privatkunde</v>
      </c>
      <c r="D1417" t="str">
        <f>VLOOKUP(O1417,Produkt!$A$1:$E$5,2,FALSE)</f>
        <v>C</v>
      </c>
      <c r="E1417">
        <f t="shared" si="66"/>
        <v>7</v>
      </c>
      <c r="F1417">
        <f>VLOOKUP(D1417,Produkt!$B$1:$C$5,2,FALSE)*Bestellungen!E1417</f>
        <v>10500</v>
      </c>
      <c r="G1417" s="2">
        <v>44873</v>
      </c>
      <c r="H1417" s="2">
        <f t="shared" si="67"/>
        <v>44875</v>
      </c>
      <c r="I1417" s="2">
        <f t="shared" si="68"/>
        <v>44914</v>
      </c>
      <c r="J1417" t="str">
        <f>VLOOKUP(M1417,Umfragenteilnahme!$A$2:$B$3,2,)</f>
        <v>Ja</v>
      </c>
      <c r="M1417">
        <v>1</v>
      </c>
      <c r="N1417">
        <v>608</v>
      </c>
      <c r="O1417">
        <v>3</v>
      </c>
      <c r="P1417">
        <v>49</v>
      </c>
      <c r="Q1417">
        <v>7</v>
      </c>
      <c r="R1417">
        <v>2</v>
      </c>
      <c r="S1417">
        <v>41</v>
      </c>
    </row>
    <row r="1418" spans="1:19" x14ac:dyDescent="0.35">
      <c r="A1418">
        <v>9065</v>
      </c>
      <c r="B1418">
        <v>542</v>
      </c>
      <c r="C1418" t="str">
        <f>VLOOKUP(B1418,Kunde!A:C,3,FALSE)</f>
        <v>Geschäftskunde</v>
      </c>
      <c r="D1418" t="str">
        <f>VLOOKUP(O1418,Produkt!$A$1:$E$5,2,FALSE)</f>
        <v>C</v>
      </c>
      <c r="E1418">
        <f t="shared" si="66"/>
        <v>67</v>
      </c>
      <c r="F1418">
        <f>VLOOKUP(D1418,Produkt!$B$1:$C$5,2,FALSE)*Bestellungen!E1418</f>
        <v>100500</v>
      </c>
      <c r="G1418" s="2">
        <v>44825</v>
      </c>
      <c r="H1418" s="2">
        <f t="shared" si="67"/>
        <v>44830</v>
      </c>
      <c r="I1418" s="2">
        <f t="shared" si="68"/>
        <v>44867</v>
      </c>
      <c r="J1418" t="str">
        <f>VLOOKUP(M1418,Umfragenteilnahme!$A$2:$B$3,2,)</f>
        <v>Nein</v>
      </c>
      <c r="M1418">
        <v>2</v>
      </c>
      <c r="N1418">
        <v>542</v>
      </c>
      <c r="O1418">
        <v>3</v>
      </c>
      <c r="P1418">
        <v>67</v>
      </c>
      <c r="Q1418">
        <v>6</v>
      </c>
      <c r="R1418">
        <v>5</v>
      </c>
      <c r="S1418">
        <v>42</v>
      </c>
    </row>
    <row r="1419" spans="1:19" x14ac:dyDescent="0.35">
      <c r="A1419">
        <v>9066</v>
      </c>
      <c r="B1419">
        <v>712</v>
      </c>
      <c r="C1419" t="str">
        <f>VLOOKUP(B1419,Kunde!A:C,3,FALSE)</f>
        <v>Privatkunde</v>
      </c>
      <c r="D1419" t="str">
        <f>VLOOKUP(O1419,Produkt!$A$1:$E$5,2,FALSE)</f>
        <v>A</v>
      </c>
      <c r="E1419">
        <f t="shared" si="66"/>
        <v>10</v>
      </c>
      <c r="F1419">
        <f>VLOOKUP(D1419,Produkt!$B$1:$C$5,2,FALSE)*Bestellungen!E1419</f>
        <v>3000</v>
      </c>
      <c r="G1419" s="2">
        <v>45068</v>
      </c>
      <c r="H1419" s="2">
        <f t="shared" si="67"/>
        <v>45070</v>
      </c>
      <c r="I1419" s="2">
        <f t="shared" si="68"/>
        <v>45087</v>
      </c>
      <c r="J1419" t="str">
        <f>VLOOKUP(M1419,Umfragenteilnahme!$A$2:$B$3,2,)</f>
        <v>Nein</v>
      </c>
      <c r="M1419">
        <v>2</v>
      </c>
      <c r="N1419">
        <v>712</v>
      </c>
      <c r="O1419">
        <v>1</v>
      </c>
      <c r="P1419">
        <v>64</v>
      </c>
      <c r="Q1419">
        <v>10</v>
      </c>
      <c r="R1419">
        <v>2</v>
      </c>
      <c r="S1419">
        <v>19</v>
      </c>
    </row>
    <row r="1420" spans="1:19" x14ac:dyDescent="0.35">
      <c r="A1420">
        <v>9067</v>
      </c>
      <c r="B1420">
        <v>496</v>
      </c>
      <c r="C1420" t="str">
        <f>VLOOKUP(B1420,Kunde!A:C,3,FALSE)</f>
        <v>Geschäftskunde</v>
      </c>
      <c r="D1420" t="str">
        <f>VLOOKUP(O1420,Produkt!$A$1:$E$5,2,FALSE)</f>
        <v>C</v>
      </c>
      <c r="E1420">
        <f t="shared" si="66"/>
        <v>38</v>
      </c>
      <c r="F1420">
        <f>VLOOKUP(D1420,Produkt!$B$1:$C$5,2,FALSE)*Bestellungen!E1420</f>
        <v>57000</v>
      </c>
      <c r="G1420" s="2">
        <v>44840</v>
      </c>
      <c r="H1420" s="2">
        <f t="shared" si="67"/>
        <v>44842</v>
      </c>
      <c r="I1420" s="2">
        <f t="shared" si="68"/>
        <v>44874</v>
      </c>
      <c r="J1420" t="str">
        <f>VLOOKUP(M1420,Umfragenteilnahme!$A$2:$B$3,2,)</f>
        <v>Ja</v>
      </c>
      <c r="M1420">
        <v>1</v>
      </c>
      <c r="N1420">
        <v>496</v>
      </c>
      <c r="O1420">
        <v>3</v>
      </c>
      <c r="P1420">
        <v>38</v>
      </c>
      <c r="Q1420">
        <v>2</v>
      </c>
      <c r="R1420">
        <v>2</v>
      </c>
      <c r="S1420">
        <v>34</v>
      </c>
    </row>
    <row r="1421" spans="1:19" x14ac:dyDescent="0.35">
      <c r="A1421">
        <v>9068</v>
      </c>
      <c r="B1421">
        <v>235</v>
      </c>
      <c r="C1421" t="str">
        <f>VLOOKUP(B1421,Kunde!A:C,3,FALSE)</f>
        <v>Geschäftskunde</v>
      </c>
      <c r="D1421" t="str">
        <f>VLOOKUP(O1421,Produkt!$A$1:$E$5,2,FALSE)</f>
        <v>A</v>
      </c>
      <c r="E1421">
        <f t="shared" si="66"/>
        <v>23</v>
      </c>
      <c r="F1421">
        <f>VLOOKUP(D1421,Produkt!$B$1:$C$5,2,FALSE)*Bestellungen!E1421</f>
        <v>6900</v>
      </c>
      <c r="G1421" s="2">
        <v>44795</v>
      </c>
      <c r="H1421" s="2">
        <f t="shared" si="67"/>
        <v>44800</v>
      </c>
      <c r="I1421" s="2">
        <f t="shared" si="68"/>
        <v>44811</v>
      </c>
      <c r="J1421" t="str">
        <f>VLOOKUP(M1421,Umfragenteilnahme!$A$2:$B$3,2,)</f>
        <v>Ja</v>
      </c>
      <c r="M1421">
        <v>1</v>
      </c>
      <c r="N1421">
        <v>235</v>
      </c>
      <c r="O1421">
        <v>1</v>
      </c>
      <c r="P1421">
        <v>23</v>
      </c>
      <c r="Q1421">
        <v>6</v>
      </c>
      <c r="R1421">
        <v>5</v>
      </c>
      <c r="S1421">
        <v>16</v>
      </c>
    </row>
    <row r="1422" spans="1:19" x14ac:dyDescent="0.35">
      <c r="A1422">
        <v>9069</v>
      </c>
      <c r="B1422">
        <v>114</v>
      </c>
      <c r="C1422" t="str">
        <f>VLOOKUP(B1422,Kunde!A:C,3,FALSE)</f>
        <v>Geschäftskunde</v>
      </c>
      <c r="D1422" t="str">
        <f>VLOOKUP(O1422,Produkt!$A$1:$E$5,2,FALSE)</f>
        <v>D</v>
      </c>
      <c r="E1422">
        <f t="shared" si="66"/>
        <v>82</v>
      </c>
      <c r="F1422">
        <f>VLOOKUP(D1422,Produkt!$B$1:$C$5,2,FALSE)*Bestellungen!E1422</f>
        <v>65600</v>
      </c>
      <c r="G1422" s="2">
        <v>44915</v>
      </c>
      <c r="H1422" s="2">
        <f t="shared" si="67"/>
        <v>44921</v>
      </c>
      <c r="I1422" s="2">
        <f t="shared" si="68"/>
        <v>44944</v>
      </c>
      <c r="J1422" t="str">
        <f>VLOOKUP(M1422,Umfragenteilnahme!$A$2:$B$3,2,)</f>
        <v>Ja</v>
      </c>
      <c r="M1422">
        <v>1</v>
      </c>
      <c r="N1422">
        <v>114</v>
      </c>
      <c r="O1422">
        <v>4</v>
      </c>
      <c r="P1422">
        <v>82</v>
      </c>
      <c r="Q1422">
        <v>2</v>
      </c>
      <c r="R1422">
        <v>6</v>
      </c>
      <c r="S1422">
        <v>29</v>
      </c>
    </row>
    <row r="1423" spans="1:19" x14ac:dyDescent="0.35">
      <c r="A1423">
        <v>9070</v>
      </c>
      <c r="B1423">
        <v>528</v>
      </c>
      <c r="C1423" t="str">
        <f>VLOOKUP(B1423,Kunde!A:C,3,FALSE)</f>
        <v>Geschäftskunde</v>
      </c>
      <c r="D1423" t="str">
        <f>VLOOKUP(O1423,Produkt!$A$1:$E$5,2,FALSE)</f>
        <v>B</v>
      </c>
      <c r="E1423">
        <f t="shared" si="66"/>
        <v>84</v>
      </c>
      <c r="F1423">
        <f>VLOOKUP(D1423,Produkt!$B$1:$C$5,2,FALSE)*Bestellungen!E1423</f>
        <v>40320</v>
      </c>
      <c r="G1423" s="2">
        <v>45047</v>
      </c>
      <c r="H1423" s="2">
        <f t="shared" si="67"/>
        <v>45049</v>
      </c>
      <c r="I1423" s="2">
        <f t="shared" si="68"/>
        <v>45069</v>
      </c>
      <c r="J1423" t="str">
        <f>VLOOKUP(M1423,Umfragenteilnahme!$A$2:$B$3,2,)</f>
        <v>Ja</v>
      </c>
      <c r="M1423">
        <v>1</v>
      </c>
      <c r="N1423">
        <v>528</v>
      </c>
      <c r="O1423">
        <v>2</v>
      </c>
      <c r="P1423">
        <v>84</v>
      </c>
      <c r="Q1423">
        <v>3</v>
      </c>
      <c r="R1423">
        <v>2</v>
      </c>
      <c r="S1423">
        <v>22</v>
      </c>
    </row>
    <row r="1424" spans="1:19" x14ac:dyDescent="0.35">
      <c r="A1424">
        <v>9071</v>
      </c>
      <c r="B1424">
        <v>462</v>
      </c>
      <c r="C1424" t="str">
        <f>VLOOKUP(B1424,Kunde!A:C,3,FALSE)</f>
        <v>Geschäftskunde</v>
      </c>
      <c r="D1424" t="str">
        <f>VLOOKUP(O1424,Produkt!$A$1:$E$5,2,FALSE)</f>
        <v>C</v>
      </c>
      <c r="E1424">
        <f t="shared" si="66"/>
        <v>56</v>
      </c>
      <c r="F1424">
        <f>VLOOKUP(D1424,Produkt!$B$1:$C$5,2,FALSE)*Bestellungen!E1424</f>
        <v>84000</v>
      </c>
      <c r="G1424" s="2">
        <v>44740</v>
      </c>
      <c r="H1424" s="2">
        <f t="shared" si="67"/>
        <v>44744</v>
      </c>
      <c r="I1424" s="2">
        <f t="shared" si="68"/>
        <v>44784</v>
      </c>
      <c r="J1424" t="str">
        <f>VLOOKUP(M1424,Umfragenteilnahme!$A$2:$B$3,2,)</f>
        <v>Nein</v>
      </c>
      <c r="M1424">
        <v>2</v>
      </c>
      <c r="N1424">
        <v>462</v>
      </c>
      <c r="O1424">
        <v>3</v>
      </c>
      <c r="P1424">
        <v>56</v>
      </c>
      <c r="Q1424">
        <v>8</v>
      </c>
      <c r="R1424">
        <v>4</v>
      </c>
      <c r="S1424">
        <v>44</v>
      </c>
    </row>
    <row r="1425" spans="1:19" x14ac:dyDescent="0.35">
      <c r="A1425">
        <v>9072</v>
      </c>
      <c r="B1425">
        <v>664</v>
      </c>
      <c r="C1425" t="str">
        <f>VLOOKUP(B1425,Kunde!A:C,3,FALSE)</f>
        <v>Geschäftskunde</v>
      </c>
      <c r="D1425" t="str">
        <f>VLOOKUP(O1425,Produkt!$A$1:$E$5,2,FALSE)</f>
        <v>C</v>
      </c>
      <c r="E1425">
        <f t="shared" si="66"/>
        <v>77</v>
      </c>
      <c r="F1425">
        <f>VLOOKUP(D1425,Produkt!$B$1:$C$5,2,FALSE)*Bestellungen!E1425</f>
        <v>115500</v>
      </c>
      <c r="G1425" s="2">
        <v>44792</v>
      </c>
      <c r="H1425" s="2">
        <f t="shared" si="67"/>
        <v>44794</v>
      </c>
      <c r="I1425" s="2">
        <f t="shared" si="68"/>
        <v>44796</v>
      </c>
      <c r="J1425" t="str">
        <f>VLOOKUP(M1425,Umfragenteilnahme!$A$2:$B$3,2,)</f>
        <v>Ja</v>
      </c>
      <c r="M1425">
        <v>1</v>
      </c>
      <c r="N1425">
        <v>664</v>
      </c>
      <c r="O1425">
        <v>3</v>
      </c>
      <c r="P1425">
        <v>77</v>
      </c>
      <c r="Q1425">
        <v>2</v>
      </c>
      <c r="R1425">
        <v>2</v>
      </c>
      <c r="S1425">
        <v>4</v>
      </c>
    </row>
    <row r="1426" spans="1:19" x14ac:dyDescent="0.35">
      <c r="A1426">
        <v>9073</v>
      </c>
      <c r="B1426">
        <v>550</v>
      </c>
      <c r="C1426" t="str">
        <f>VLOOKUP(B1426,Kunde!A:C,3,FALSE)</f>
        <v>Geschäftskunde</v>
      </c>
      <c r="D1426" t="str">
        <f>VLOOKUP(O1426,Produkt!$A$1:$E$5,2,FALSE)</f>
        <v>D</v>
      </c>
      <c r="E1426">
        <f t="shared" si="66"/>
        <v>60</v>
      </c>
      <c r="F1426">
        <f>VLOOKUP(D1426,Produkt!$B$1:$C$5,2,FALSE)*Bestellungen!E1426</f>
        <v>48000</v>
      </c>
      <c r="G1426" s="2">
        <v>44993</v>
      </c>
      <c r="H1426" s="2">
        <f t="shared" si="67"/>
        <v>45000</v>
      </c>
      <c r="I1426" s="2">
        <f t="shared" si="68"/>
        <v>44998</v>
      </c>
      <c r="J1426" t="str">
        <f>VLOOKUP(M1426,Umfragenteilnahme!$A$2:$B$3,2,)</f>
        <v>Nein</v>
      </c>
      <c r="M1426">
        <v>2</v>
      </c>
      <c r="N1426">
        <v>550</v>
      </c>
      <c r="O1426">
        <v>4</v>
      </c>
      <c r="P1426">
        <v>60</v>
      </c>
      <c r="Q1426">
        <v>5</v>
      </c>
      <c r="R1426">
        <v>7</v>
      </c>
      <c r="S1426">
        <v>5</v>
      </c>
    </row>
    <row r="1427" spans="1:19" x14ac:dyDescent="0.35">
      <c r="A1427">
        <v>9074</v>
      </c>
      <c r="B1427">
        <v>642</v>
      </c>
      <c r="C1427" t="str">
        <f>VLOOKUP(B1427,Kunde!A:C,3,FALSE)</f>
        <v>Geschäftskunde</v>
      </c>
      <c r="D1427" t="str">
        <f>VLOOKUP(O1427,Produkt!$A$1:$E$5,2,FALSE)</f>
        <v>D</v>
      </c>
      <c r="E1427">
        <f t="shared" si="66"/>
        <v>72</v>
      </c>
      <c r="F1427">
        <f>VLOOKUP(D1427,Produkt!$B$1:$C$5,2,FALSE)*Bestellungen!E1427</f>
        <v>57600</v>
      </c>
      <c r="G1427" s="2">
        <v>45019</v>
      </c>
      <c r="H1427" s="2">
        <f t="shared" si="67"/>
        <v>45026</v>
      </c>
      <c r="I1427" s="2">
        <f t="shared" si="68"/>
        <v>45036</v>
      </c>
      <c r="J1427" t="str">
        <f>VLOOKUP(M1427,Umfragenteilnahme!$A$2:$B$3,2,)</f>
        <v>Nein</v>
      </c>
      <c r="M1427">
        <v>2</v>
      </c>
      <c r="N1427">
        <v>642</v>
      </c>
      <c r="O1427">
        <v>4</v>
      </c>
      <c r="P1427">
        <v>72</v>
      </c>
      <c r="Q1427">
        <v>1</v>
      </c>
      <c r="R1427">
        <v>7</v>
      </c>
      <c r="S1427">
        <v>17</v>
      </c>
    </row>
    <row r="1428" spans="1:19" x14ac:dyDescent="0.35">
      <c r="A1428">
        <v>9075</v>
      </c>
      <c r="B1428">
        <v>298</v>
      </c>
      <c r="C1428" t="str">
        <f>VLOOKUP(B1428,Kunde!A:C,3,FALSE)</f>
        <v>Geschäftskunde</v>
      </c>
      <c r="D1428" t="str">
        <f>VLOOKUP(O1428,Produkt!$A$1:$E$5,2,FALSE)</f>
        <v>D</v>
      </c>
      <c r="E1428">
        <f t="shared" si="66"/>
        <v>44</v>
      </c>
      <c r="F1428">
        <f>VLOOKUP(D1428,Produkt!$B$1:$C$5,2,FALSE)*Bestellungen!E1428</f>
        <v>35200</v>
      </c>
      <c r="G1428" s="2">
        <v>45017</v>
      </c>
      <c r="H1428" s="2">
        <f t="shared" si="67"/>
        <v>45023</v>
      </c>
      <c r="I1428" s="2">
        <f t="shared" si="68"/>
        <v>45068</v>
      </c>
      <c r="J1428" t="str">
        <f>VLOOKUP(M1428,Umfragenteilnahme!$A$2:$B$3,2,)</f>
        <v>Nein</v>
      </c>
      <c r="M1428">
        <v>2</v>
      </c>
      <c r="N1428">
        <v>298</v>
      </c>
      <c r="O1428">
        <v>4</v>
      </c>
      <c r="P1428">
        <v>44</v>
      </c>
      <c r="Q1428">
        <v>6</v>
      </c>
      <c r="R1428">
        <v>6</v>
      </c>
      <c r="S1428">
        <v>51</v>
      </c>
    </row>
    <row r="1429" spans="1:19" x14ac:dyDescent="0.35">
      <c r="A1429">
        <v>9076</v>
      </c>
      <c r="B1429">
        <v>414</v>
      </c>
      <c r="C1429" t="str">
        <f>VLOOKUP(B1429,Kunde!A:C,3,FALSE)</f>
        <v>Geschäftskunde</v>
      </c>
      <c r="D1429" t="str">
        <f>VLOOKUP(O1429,Produkt!$A$1:$E$5,2,FALSE)</f>
        <v>B</v>
      </c>
      <c r="E1429">
        <f t="shared" si="66"/>
        <v>10</v>
      </c>
      <c r="F1429">
        <f>VLOOKUP(D1429,Produkt!$B$1:$C$5,2,FALSE)*Bestellungen!E1429</f>
        <v>4800</v>
      </c>
      <c r="G1429" s="2">
        <v>44734</v>
      </c>
      <c r="H1429" s="2">
        <f t="shared" si="67"/>
        <v>44737</v>
      </c>
      <c r="I1429" s="2">
        <f t="shared" si="68"/>
        <v>44780</v>
      </c>
      <c r="J1429" t="str">
        <f>VLOOKUP(M1429,Umfragenteilnahme!$A$2:$B$3,2,)</f>
        <v>Nein</v>
      </c>
      <c r="M1429">
        <v>2</v>
      </c>
      <c r="N1429">
        <v>414</v>
      </c>
      <c r="O1429">
        <v>2</v>
      </c>
      <c r="P1429">
        <v>10</v>
      </c>
      <c r="Q1429">
        <v>1</v>
      </c>
      <c r="R1429">
        <v>3</v>
      </c>
      <c r="S1429">
        <v>46</v>
      </c>
    </row>
    <row r="1430" spans="1:19" x14ac:dyDescent="0.35">
      <c r="A1430">
        <v>9077</v>
      </c>
      <c r="B1430">
        <v>603</v>
      </c>
      <c r="C1430" t="str">
        <f>VLOOKUP(B1430,Kunde!A:C,3,FALSE)</f>
        <v>Geschäftskunde</v>
      </c>
      <c r="D1430" t="str">
        <f>VLOOKUP(O1430,Produkt!$A$1:$E$5,2,FALSE)</f>
        <v>C</v>
      </c>
      <c r="E1430">
        <f t="shared" si="66"/>
        <v>68</v>
      </c>
      <c r="F1430">
        <f>VLOOKUP(D1430,Produkt!$B$1:$C$5,2,FALSE)*Bestellungen!E1430</f>
        <v>102000</v>
      </c>
      <c r="G1430" s="2">
        <v>44873</v>
      </c>
      <c r="H1430" s="2">
        <f t="shared" si="67"/>
        <v>44879</v>
      </c>
      <c r="I1430" s="2">
        <f t="shared" si="68"/>
        <v>44890</v>
      </c>
      <c r="J1430" t="str">
        <f>VLOOKUP(M1430,Umfragenteilnahme!$A$2:$B$3,2,)</f>
        <v>Nein</v>
      </c>
      <c r="M1430">
        <v>2</v>
      </c>
      <c r="N1430">
        <v>603</v>
      </c>
      <c r="O1430">
        <v>3</v>
      </c>
      <c r="P1430">
        <v>68</v>
      </c>
      <c r="Q1430">
        <v>5</v>
      </c>
      <c r="R1430">
        <v>6</v>
      </c>
      <c r="S1430">
        <v>17</v>
      </c>
    </row>
    <row r="1431" spans="1:19" x14ac:dyDescent="0.35">
      <c r="A1431">
        <v>9078</v>
      </c>
      <c r="B1431">
        <v>524</v>
      </c>
      <c r="C1431" t="str">
        <f>VLOOKUP(B1431,Kunde!A:C,3,FALSE)</f>
        <v>Privatkunde</v>
      </c>
      <c r="D1431" t="str">
        <f>VLOOKUP(O1431,Produkt!$A$1:$E$5,2,FALSE)</f>
        <v>A</v>
      </c>
      <c r="E1431">
        <f t="shared" si="66"/>
        <v>10</v>
      </c>
      <c r="F1431">
        <f>VLOOKUP(D1431,Produkt!$B$1:$C$5,2,FALSE)*Bestellungen!E1431</f>
        <v>3000</v>
      </c>
      <c r="G1431" s="2">
        <v>45027</v>
      </c>
      <c r="H1431" s="2">
        <f t="shared" si="67"/>
        <v>45033</v>
      </c>
      <c r="I1431" s="2">
        <f t="shared" si="68"/>
        <v>45065</v>
      </c>
      <c r="J1431" t="str">
        <f>VLOOKUP(M1431,Umfragenteilnahme!$A$2:$B$3,2,)</f>
        <v>Ja</v>
      </c>
      <c r="M1431">
        <v>1</v>
      </c>
      <c r="N1431">
        <v>524</v>
      </c>
      <c r="O1431">
        <v>1</v>
      </c>
      <c r="P1431">
        <v>94</v>
      </c>
      <c r="Q1431">
        <v>10</v>
      </c>
      <c r="R1431">
        <v>6</v>
      </c>
      <c r="S1431">
        <v>38</v>
      </c>
    </row>
    <row r="1432" spans="1:19" x14ac:dyDescent="0.35">
      <c r="A1432">
        <v>9079</v>
      </c>
      <c r="B1432">
        <v>535</v>
      </c>
      <c r="C1432" t="str">
        <f>VLOOKUP(B1432,Kunde!A:C,3,FALSE)</f>
        <v>Geschäftskunde</v>
      </c>
      <c r="D1432" t="str">
        <f>VLOOKUP(O1432,Produkt!$A$1:$E$5,2,FALSE)</f>
        <v>B</v>
      </c>
      <c r="E1432">
        <f t="shared" si="66"/>
        <v>112</v>
      </c>
      <c r="F1432">
        <f>VLOOKUP(D1432,Produkt!$B$1:$C$5,2,FALSE)*Bestellungen!E1432</f>
        <v>53760</v>
      </c>
      <c r="G1432" s="2">
        <v>44717</v>
      </c>
      <c r="H1432" s="2">
        <f t="shared" si="67"/>
        <v>44719</v>
      </c>
      <c r="I1432" s="2">
        <f t="shared" si="68"/>
        <v>44736</v>
      </c>
      <c r="J1432" t="str">
        <f>VLOOKUP(M1432,Umfragenteilnahme!$A$2:$B$3,2,)</f>
        <v>Ja</v>
      </c>
      <c r="M1432">
        <v>1</v>
      </c>
      <c r="N1432">
        <v>535</v>
      </c>
      <c r="O1432">
        <v>2</v>
      </c>
      <c r="P1432">
        <v>112</v>
      </c>
      <c r="Q1432">
        <v>9</v>
      </c>
      <c r="R1432">
        <v>2</v>
      </c>
      <c r="S1432">
        <v>19</v>
      </c>
    </row>
    <row r="1433" spans="1:19" x14ac:dyDescent="0.35">
      <c r="A1433">
        <v>9080</v>
      </c>
      <c r="B1433">
        <v>432</v>
      </c>
      <c r="C1433" t="str">
        <f>VLOOKUP(B1433,Kunde!A:C,3,FALSE)</f>
        <v>Geschäftskunde</v>
      </c>
      <c r="D1433" t="str">
        <f>VLOOKUP(O1433,Produkt!$A$1:$E$5,2,FALSE)</f>
        <v>A</v>
      </c>
      <c r="E1433">
        <f t="shared" si="66"/>
        <v>71</v>
      </c>
      <c r="F1433">
        <f>VLOOKUP(D1433,Produkt!$B$1:$C$5,2,FALSE)*Bestellungen!E1433</f>
        <v>21300</v>
      </c>
      <c r="G1433" s="2">
        <v>44993</v>
      </c>
      <c r="H1433" s="2">
        <f t="shared" si="67"/>
        <v>44999</v>
      </c>
      <c r="I1433" s="2">
        <f t="shared" si="68"/>
        <v>45016</v>
      </c>
      <c r="J1433" t="str">
        <f>VLOOKUP(M1433,Umfragenteilnahme!$A$2:$B$3,2,)</f>
        <v>Ja</v>
      </c>
      <c r="M1433">
        <v>1</v>
      </c>
      <c r="N1433">
        <v>432</v>
      </c>
      <c r="O1433">
        <v>1</v>
      </c>
      <c r="P1433">
        <v>71</v>
      </c>
      <c r="Q1433">
        <v>4</v>
      </c>
      <c r="R1433">
        <v>6</v>
      </c>
      <c r="S1433">
        <v>23</v>
      </c>
    </row>
    <row r="1434" spans="1:19" x14ac:dyDescent="0.35">
      <c r="A1434">
        <v>9081</v>
      </c>
      <c r="B1434">
        <v>250</v>
      </c>
      <c r="C1434" t="str">
        <f>VLOOKUP(B1434,Kunde!A:C,3,FALSE)</f>
        <v>Geschäftskunde</v>
      </c>
      <c r="D1434" t="str">
        <f>VLOOKUP(O1434,Produkt!$A$1:$E$5,2,FALSE)</f>
        <v>A</v>
      </c>
      <c r="E1434">
        <f t="shared" si="66"/>
        <v>49</v>
      </c>
      <c r="F1434">
        <f>VLOOKUP(D1434,Produkt!$B$1:$C$5,2,FALSE)*Bestellungen!E1434</f>
        <v>14700</v>
      </c>
      <c r="G1434" s="2">
        <v>45032</v>
      </c>
      <c r="H1434" s="2">
        <f t="shared" si="67"/>
        <v>45035</v>
      </c>
      <c r="I1434" s="2">
        <f t="shared" si="68"/>
        <v>45067</v>
      </c>
      <c r="J1434" t="str">
        <f>VLOOKUP(M1434,Umfragenteilnahme!$A$2:$B$3,2,)</f>
        <v>Nein</v>
      </c>
      <c r="M1434">
        <v>2</v>
      </c>
      <c r="N1434">
        <v>250</v>
      </c>
      <c r="O1434">
        <v>1</v>
      </c>
      <c r="P1434">
        <v>49</v>
      </c>
      <c r="Q1434">
        <v>1</v>
      </c>
      <c r="R1434">
        <v>3</v>
      </c>
      <c r="S1434">
        <v>35</v>
      </c>
    </row>
    <row r="1435" spans="1:19" x14ac:dyDescent="0.35">
      <c r="A1435">
        <v>9082</v>
      </c>
      <c r="B1435">
        <v>450</v>
      </c>
      <c r="C1435" t="str">
        <f>VLOOKUP(B1435,Kunde!A:C,3,FALSE)</f>
        <v>Geschäftskunde</v>
      </c>
      <c r="D1435" t="str">
        <f>VLOOKUP(O1435,Produkt!$A$1:$E$5,2,FALSE)</f>
        <v>B</v>
      </c>
      <c r="E1435">
        <f t="shared" si="66"/>
        <v>107</v>
      </c>
      <c r="F1435">
        <f>VLOOKUP(D1435,Produkt!$B$1:$C$5,2,FALSE)*Bestellungen!E1435</f>
        <v>51360</v>
      </c>
      <c r="G1435" s="2">
        <v>44758</v>
      </c>
      <c r="H1435" s="2">
        <f t="shared" si="67"/>
        <v>44762</v>
      </c>
      <c r="I1435" s="2">
        <f t="shared" si="68"/>
        <v>44769</v>
      </c>
      <c r="J1435" t="str">
        <f>VLOOKUP(M1435,Umfragenteilnahme!$A$2:$B$3,2,)</f>
        <v>Nein</v>
      </c>
      <c r="M1435">
        <v>2</v>
      </c>
      <c r="N1435">
        <v>450</v>
      </c>
      <c r="O1435">
        <v>2</v>
      </c>
      <c r="P1435">
        <v>107</v>
      </c>
      <c r="Q1435">
        <v>10</v>
      </c>
      <c r="R1435">
        <v>4</v>
      </c>
      <c r="S1435">
        <v>11</v>
      </c>
    </row>
    <row r="1436" spans="1:19" x14ac:dyDescent="0.35">
      <c r="A1436">
        <v>9083</v>
      </c>
      <c r="B1436">
        <v>213</v>
      </c>
      <c r="C1436" t="str">
        <f>VLOOKUP(B1436,Kunde!A:C,3,FALSE)</f>
        <v>Geschäftskunde</v>
      </c>
      <c r="D1436" t="str">
        <f>VLOOKUP(O1436,Produkt!$A$1:$E$5,2,FALSE)</f>
        <v>B</v>
      </c>
      <c r="E1436">
        <f t="shared" si="66"/>
        <v>32</v>
      </c>
      <c r="F1436">
        <f>VLOOKUP(D1436,Produkt!$B$1:$C$5,2,FALSE)*Bestellungen!E1436</f>
        <v>15360</v>
      </c>
      <c r="G1436" s="2">
        <v>44816</v>
      </c>
      <c r="H1436" s="2">
        <f t="shared" si="67"/>
        <v>44823</v>
      </c>
      <c r="I1436" s="2">
        <f t="shared" si="68"/>
        <v>44826</v>
      </c>
      <c r="J1436" t="str">
        <f>VLOOKUP(M1436,Umfragenteilnahme!$A$2:$B$3,2,)</f>
        <v>Nein</v>
      </c>
      <c r="M1436">
        <v>2</v>
      </c>
      <c r="N1436">
        <v>213</v>
      </c>
      <c r="O1436">
        <v>2</v>
      </c>
      <c r="P1436">
        <v>32</v>
      </c>
      <c r="Q1436">
        <v>9</v>
      </c>
      <c r="R1436">
        <v>7</v>
      </c>
      <c r="S1436">
        <v>10</v>
      </c>
    </row>
    <row r="1437" spans="1:19" x14ac:dyDescent="0.35">
      <c r="A1437">
        <v>9084</v>
      </c>
      <c r="B1437">
        <v>72</v>
      </c>
      <c r="C1437" t="str">
        <f>VLOOKUP(B1437,Kunde!A:C,3,FALSE)</f>
        <v>Geschäftskunde</v>
      </c>
      <c r="D1437" t="str">
        <f>VLOOKUP(O1437,Produkt!$A$1:$E$5,2,FALSE)</f>
        <v>A</v>
      </c>
      <c r="E1437">
        <f t="shared" si="66"/>
        <v>131</v>
      </c>
      <c r="F1437">
        <f>VLOOKUP(D1437,Produkt!$B$1:$C$5,2,FALSE)*Bestellungen!E1437</f>
        <v>39300</v>
      </c>
      <c r="G1437" s="2">
        <v>44729</v>
      </c>
      <c r="H1437" s="2">
        <f t="shared" si="67"/>
        <v>44733</v>
      </c>
      <c r="I1437" s="2">
        <f t="shared" si="68"/>
        <v>44749</v>
      </c>
      <c r="J1437" t="str">
        <f>VLOOKUP(M1437,Umfragenteilnahme!$A$2:$B$3,2,)</f>
        <v>Ja</v>
      </c>
      <c r="M1437">
        <v>1</v>
      </c>
      <c r="N1437">
        <v>72</v>
      </c>
      <c r="O1437">
        <v>1</v>
      </c>
      <c r="P1437">
        <v>131</v>
      </c>
      <c r="Q1437">
        <v>4</v>
      </c>
      <c r="R1437">
        <v>4</v>
      </c>
      <c r="S1437">
        <v>20</v>
      </c>
    </row>
    <row r="1438" spans="1:19" x14ac:dyDescent="0.35">
      <c r="A1438">
        <v>9085</v>
      </c>
      <c r="B1438">
        <v>135</v>
      </c>
      <c r="C1438" t="str">
        <f>VLOOKUP(B1438,Kunde!A:C,3,FALSE)</f>
        <v>Geschäftskunde</v>
      </c>
      <c r="D1438" t="str">
        <f>VLOOKUP(O1438,Produkt!$A$1:$E$5,2,FALSE)</f>
        <v>D</v>
      </c>
      <c r="E1438">
        <f t="shared" si="66"/>
        <v>85</v>
      </c>
      <c r="F1438">
        <f>VLOOKUP(D1438,Produkt!$B$1:$C$5,2,FALSE)*Bestellungen!E1438</f>
        <v>68000</v>
      </c>
      <c r="G1438" s="2">
        <v>44886</v>
      </c>
      <c r="H1438" s="2">
        <f t="shared" si="67"/>
        <v>44891</v>
      </c>
      <c r="I1438" s="2">
        <f t="shared" si="68"/>
        <v>44925</v>
      </c>
      <c r="J1438" t="str">
        <f>VLOOKUP(M1438,Umfragenteilnahme!$A$2:$B$3,2,)</f>
        <v>Ja</v>
      </c>
      <c r="M1438">
        <v>1</v>
      </c>
      <c r="N1438">
        <v>135</v>
      </c>
      <c r="O1438">
        <v>4</v>
      </c>
      <c r="P1438">
        <v>85</v>
      </c>
      <c r="Q1438">
        <v>6</v>
      </c>
      <c r="R1438">
        <v>5</v>
      </c>
      <c r="S1438">
        <v>39</v>
      </c>
    </row>
    <row r="1439" spans="1:19" x14ac:dyDescent="0.35">
      <c r="A1439">
        <v>9086</v>
      </c>
      <c r="B1439">
        <v>777</v>
      </c>
      <c r="C1439" t="str">
        <f>VLOOKUP(B1439,Kunde!A:C,3,FALSE)</f>
        <v>Geschäftskunde</v>
      </c>
      <c r="D1439" t="str">
        <f>VLOOKUP(O1439,Produkt!$A$1:$E$5,2,FALSE)</f>
        <v>C</v>
      </c>
      <c r="E1439">
        <f t="shared" si="66"/>
        <v>17</v>
      </c>
      <c r="F1439">
        <f>VLOOKUP(D1439,Produkt!$B$1:$C$5,2,FALSE)*Bestellungen!E1439</f>
        <v>25500</v>
      </c>
      <c r="G1439" s="2">
        <v>45009</v>
      </c>
      <c r="H1439" s="2">
        <f t="shared" si="67"/>
        <v>45013</v>
      </c>
      <c r="I1439" s="2">
        <f t="shared" si="68"/>
        <v>45054</v>
      </c>
      <c r="J1439" t="str">
        <f>VLOOKUP(M1439,Umfragenteilnahme!$A$2:$B$3,2,)</f>
        <v>Nein</v>
      </c>
      <c r="M1439">
        <v>2</v>
      </c>
      <c r="N1439">
        <v>777</v>
      </c>
      <c r="O1439">
        <v>3</v>
      </c>
      <c r="P1439">
        <v>17</v>
      </c>
      <c r="Q1439">
        <v>6</v>
      </c>
      <c r="R1439">
        <v>4</v>
      </c>
      <c r="S1439">
        <v>45</v>
      </c>
    </row>
    <row r="1440" spans="1:19" x14ac:dyDescent="0.35">
      <c r="A1440">
        <v>9087</v>
      </c>
      <c r="B1440">
        <v>34</v>
      </c>
      <c r="C1440" t="str">
        <f>VLOOKUP(B1440,Kunde!A:C,3,FALSE)</f>
        <v>Privatkunde</v>
      </c>
      <c r="D1440" t="str">
        <f>VLOOKUP(O1440,Produkt!$A$1:$E$5,2,FALSE)</f>
        <v>D</v>
      </c>
      <c r="E1440">
        <f t="shared" si="66"/>
        <v>1</v>
      </c>
      <c r="F1440">
        <f>VLOOKUP(D1440,Produkt!$B$1:$C$5,2,FALSE)*Bestellungen!E1440</f>
        <v>800</v>
      </c>
      <c r="G1440" s="2">
        <v>44782</v>
      </c>
      <c r="H1440" s="2">
        <f t="shared" si="67"/>
        <v>44789</v>
      </c>
      <c r="I1440" s="2">
        <f t="shared" si="68"/>
        <v>44801</v>
      </c>
      <c r="J1440" t="str">
        <f>VLOOKUP(M1440,Umfragenteilnahme!$A$2:$B$3,2,)</f>
        <v>Nein</v>
      </c>
      <c r="M1440">
        <v>2</v>
      </c>
      <c r="N1440">
        <v>34</v>
      </c>
      <c r="O1440">
        <v>4</v>
      </c>
      <c r="P1440">
        <v>62</v>
      </c>
      <c r="Q1440">
        <v>1</v>
      </c>
      <c r="R1440">
        <v>7</v>
      </c>
      <c r="S1440">
        <v>19</v>
      </c>
    </row>
    <row r="1441" spans="1:19" x14ac:dyDescent="0.35">
      <c r="A1441">
        <v>9088</v>
      </c>
      <c r="B1441">
        <v>794</v>
      </c>
      <c r="C1441" t="str">
        <f>VLOOKUP(B1441,Kunde!A:C,3,FALSE)</f>
        <v>Geschäftskunde</v>
      </c>
      <c r="D1441" t="str">
        <f>VLOOKUP(O1441,Produkt!$A$1:$E$5,2,FALSE)</f>
        <v>B</v>
      </c>
      <c r="E1441">
        <f t="shared" si="66"/>
        <v>126</v>
      </c>
      <c r="F1441">
        <f>VLOOKUP(D1441,Produkt!$B$1:$C$5,2,FALSE)*Bestellungen!E1441</f>
        <v>60480</v>
      </c>
      <c r="G1441" s="2">
        <v>44767</v>
      </c>
      <c r="H1441" s="2">
        <f t="shared" si="67"/>
        <v>44772</v>
      </c>
      <c r="I1441" s="2">
        <f t="shared" si="68"/>
        <v>44798</v>
      </c>
      <c r="J1441" t="str">
        <f>VLOOKUP(M1441,Umfragenteilnahme!$A$2:$B$3,2,)</f>
        <v>Nein</v>
      </c>
      <c r="M1441">
        <v>2</v>
      </c>
      <c r="N1441">
        <v>794</v>
      </c>
      <c r="O1441">
        <v>2</v>
      </c>
      <c r="P1441">
        <v>126</v>
      </c>
      <c r="Q1441">
        <v>9</v>
      </c>
      <c r="R1441">
        <v>5</v>
      </c>
      <c r="S1441">
        <v>31</v>
      </c>
    </row>
    <row r="1442" spans="1:19" x14ac:dyDescent="0.35">
      <c r="A1442">
        <v>9089</v>
      </c>
      <c r="B1442">
        <v>139</v>
      </c>
      <c r="C1442" t="str">
        <f>VLOOKUP(B1442,Kunde!A:C,3,FALSE)</f>
        <v>Geschäftskunde</v>
      </c>
      <c r="D1442" t="str">
        <f>VLOOKUP(O1442,Produkt!$A$1:$E$5,2,FALSE)</f>
        <v>B</v>
      </c>
      <c r="E1442">
        <f t="shared" si="66"/>
        <v>62</v>
      </c>
      <c r="F1442">
        <f>VLOOKUP(D1442,Produkt!$B$1:$C$5,2,FALSE)*Bestellungen!E1442</f>
        <v>29760</v>
      </c>
      <c r="G1442" s="2">
        <v>44758</v>
      </c>
      <c r="H1442" s="2">
        <f t="shared" si="67"/>
        <v>44760</v>
      </c>
      <c r="I1442" s="2">
        <f t="shared" si="68"/>
        <v>44774</v>
      </c>
      <c r="J1442" t="str">
        <f>VLOOKUP(M1442,Umfragenteilnahme!$A$2:$B$3,2,)</f>
        <v>Ja</v>
      </c>
      <c r="M1442">
        <v>1</v>
      </c>
      <c r="N1442">
        <v>139</v>
      </c>
      <c r="O1442">
        <v>2</v>
      </c>
      <c r="P1442">
        <v>62</v>
      </c>
      <c r="Q1442">
        <v>7</v>
      </c>
      <c r="R1442">
        <v>2</v>
      </c>
      <c r="S1442">
        <v>16</v>
      </c>
    </row>
    <row r="1443" spans="1:19" x14ac:dyDescent="0.35">
      <c r="A1443">
        <v>9090</v>
      </c>
      <c r="B1443">
        <v>65</v>
      </c>
      <c r="C1443" t="str">
        <f>VLOOKUP(B1443,Kunde!A:C,3,FALSE)</f>
        <v>Geschäftskunde</v>
      </c>
      <c r="D1443" t="str">
        <f>VLOOKUP(O1443,Produkt!$A$1:$E$5,2,FALSE)</f>
        <v>D</v>
      </c>
      <c r="E1443">
        <f t="shared" si="66"/>
        <v>123</v>
      </c>
      <c r="F1443">
        <f>VLOOKUP(D1443,Produkt!$B$1:$C$5,2,FALSE)*Bestellungen!E1443</f>
        <v>98400</v>
      </c>
      <c r="G1443" s="2">
        <v>44779</v>
      </c>
      <c r="H1443" s="2">
        <f t="shared" si="67"/>
        <v>44783</v>
      </c>
      <c r="I1443" s="2">
        <f t="shared" si="68"/>
        <v>44835</v>
      </c>
      <c r="J1443" t="str">
        <f>VLOOKUP(M1443,Umfragenteilnahme!$A$2:$B$3,2,)</f>
        <v>Ja</v>
      </c>
      <c r="M1443">
        <v>1</v>
      </c>
      <c r="N1443">
        <v>65</v>
      </c>
      <c r="O1443">
        <v>4</v>
      </c>
      <c r="P1443">
        <v>123</v>
      </c>
      <c r="Q1443">
        <v>10</v>
      </c>
      <c r="R1443">
        <v>4</v>
      </c>
      <c r="S1443">
        <v>56</v>
      </c>
    </row>
    <row r="1444" spans="1:19" x14ac:dyDescent="0.35">
      <c r="A1444">
        <v>9091</v>
      </c>
      <c r="B1444">
        <v>422</v>
      </c>
      <c r="C1444" t="str">
        <f>VLOOKUP(B1444,Kunde!A:C,3,FALSE)</f>
        <v>Geschäftskunde</v>
      </c>
      <c r="D1444" t="str">
        <f>VLOOKUP(O1444,Produkt!$A$1:$E$5,2,FALSE)</f>
        <v>D</v>
      </c>
      <c r="E1444">
        <f t="shared" si="66"/>
        <v>19</v>
      </c>
      <c r="F1444">
        <f>VLOOKUP(D1444,Produkt!$B$1:$C$5,2,FALSE)*Bestellungen!E1444</f>
        <v>15200</v>
      </c>
      <c r="G1444" s="2">
        <v>44886</v>
      </c>
      <c r="H1444" s="2">
        <f t="shared" si="67"/>
        <v>44890</v>
      </c>
      <c r="I1444" s="2">
        <f t="shared" si="68"/>
        <v>44926</v>
      </c>
      <c r="J1444" t="str">
        <f>VLOOKUP(M1444,Umfragenteilnahme!$A$2:$B$3,2,)</f>
        <v>Ja</v>
      </c>
      <c r="M1444">
        <v>1</v>
      </c>
      <c r="N1444">
        <v>422</v>
      </c>
      <c r="O1444">
        <v>4</v>
      </c>
      <c r="P1444">
        <v>19</v>
      </c>
      <c r="Q1444">
        <v>10</v>
      </c>
      <c r="R1444">
        <v>4</v>
      </c>
      <c r="S1444">
        <v>40</v>
      </c>
    </row>
    <row r="1445" spans="1:19" x14ac:dyDescent="0.35">
      <c r="A1445">
        <v>9092</v>
      </c>
      <c r="B1445">
        <v>661</v>
      </c>
      <c r="C1445" t="str">
        <f>VLOOKUP(B1445,Kunde!A:C,3,FALSE)</f>
        <v>Geschäftskunde</v>
      </c>
      <c r="D1445" t="str">
        <f>VLOOKUP(O1445,Produkt!$A$1:$E$5,2,FALSE)</f>
        <v>C</v>
      </c>
      <c r="E1445">
        <f t="shared" si="66"/>
        <v>29</v>
      </c>
      <c r="F1445">
        <f>VLOOKUP(D1445,Produkt!$B$1:$C$5,2,FALSE)*Bestellungen!E1445</f>
        <v>43500</v>
      </c>
      <c r="G1445" s="2">
        <v>44904</v>
      </c>
      <c r="H1445" s="2">
        <f t="shared" si="67"/>
        <v>44911</v>
      </c>
      <c r="I1445" s="2">
        <f t="shared" si="68"/>
        <v>44963</v>
      </c>
      <c r="J1445" t="str">
        <f>VLOOKUP(M1445,Umfragenteilnahme!$A$2:$B$3,2,)</f>
        <v>Nein</v>
      </c>
      <c r="M1445">
        <v>2</v>
      </c>
      <c r="N1445">
        <v>661</v>
      </c>
      <c r="O1445">
        <v>3</v>
      </c>
      <c r="P1445">
        <v>29</v>
      </c>
      <c r="Q1445">
        <v>3</v>
      </c>
      <c r="R1445">
        <v>7</v>
      </c>
      <c r="S1445">
        <v>59</v>
      </c>
    </row>
    <row r="1446" spans="1:19" x14ac:dyDescent="0.35">
      <c r="A1446">
        <v>9093</v>
      </c>
      <c r="B1446">
        <v>392</v>
      </c>
      <c r="C1446" t="str">
        <f>VLOOKUP(B1446,Kunde!A:C,3,FALSE)</f>
        <v>Geschäftskunde</v>
      </c>
      <c r="D1446" t="str">
        <f>VLOOKUP(O1446,Produkt!$A$1:$E$5,2,FALSE)</f>
        <v>B</v>
      </c>
      <c r="E1446">
        <f t="shared" si="66"/>
        <v>61</v>
      </c>
      <c r="F1446">
        <f>VLOOKUP(D1446,Produkt!$B$1:$C$5,2,FALSE)*Bestellungen!E1446</f>
        <v>29280</v>
      </c>
      <c r="G1446" s="2">
        <v>44732</v>
      </c>
      <c r="H1446" s="2">
        <f t="shared" si="67"/>
        <v>44734</v>
      </c>
      <c r="I1446" s="2">
        <f t="shared" si="68"/>
        <v>44778</v>
      </c>
      <c r="J1446" t="str">
        <f>VLOOKUP(M1446,Umfragenteilnahme!$A$2:$B$3,2,)</f>
        <v>Ja</v>
      </c>
      <c r="M1446">
        <v>1</v>
      </c>
      <c r="N1446">
        <v>392</v>
      </c>
      <c r="O1446">
        <v>2</v>
      </c>
      <c r="P1446">
        <v>61</v>
      </c>
      <c r="Q1446">
        <v>10</v>
      </c>
      <c r="R1446">
        <v>2</v>
      </c>
      <c r="S1446">
        <v>46</v>
      </c>
    </row>
    <row r="1447" spans="1:19" x14ac:dyDescent="0.35">
      <c r="A1447">
        <v>9094</v>
      </c>
      <c r="B1447">
        <v>16</v>
      </c>
      <c r="C1447" t="str">
        <f>VLOOKUP(B1447,Kunde!A:C,3,FALSE)</f>
        <v>Geschäftskunde</v>
      </c>
      <c r="D1447" t="str">
        <f>VLOOKUP(O1447,Produkt!$A$1:$E$5,2,FALSE)</f>
        <v>C</v>
      </c>
      <c r="E1447">
        <f t="shared" si="66"/>
        <v>63</v>
      </c>
      <c r="F1447">
        <f>VLOOKUP(D1447,Produkt!$B$1:$C$5,2,FALSE)*Bestellungen!E1447</f>
        <v>94500</v>
      </c>
      <c r="G1447" s="2">
        <v>44965</v>
      </c>
      <c r="H1447" s="2">
        <f t="shared" si="67"/>
        <v>44969</v>
      </c>
      <c r="I1447" s="2">
        <f t="shared" si="68"/>
        <v>44991</v>
      </c>
      <c r="J1447" t="str">
        <f>VLOOKUP(M1447,Umfragenteilnahme!$A$2:$B$3,2,)</f>
        <v>Nein</v>
      </c>
      <c r="M1447">
        <v>2</v>
      </c>
      <c r="N1447">
        <v>16</v>
      </c>
      <c r="O1447">
        <v>3</v>
      </c>
      <c r="P1447">
        <v>63</v>
      </c>
      <c r="Q1447">
        <v>4</v>
      </c>
      <c r="R1447">
        <v>4</v>
      </c>
      <c r="S1447">
        <v>26</v>
      </c>
    </row>
    <row r="1448" spans="1:19" x14ac:dyDescent="0.35">
      <c r="A1448">
        <v>9095</v>
      </c>
      <c r="B1448">
        <v>419</v>
      </c>
      <c r="C1448" t="str">
        <f>VLOOKUP(B1448,Kunde!A:C,3,FALSE)</f>
        <v>Geschäftskunde</v>
      </c>
      <c r="D1448" t="str">
        <f>VLOOKUP(O1448,Produkt!$A$1:$E$5,2,FALSE)</f>
        <v>D</v>
      </c>
      <c r="E1448">
        <f t="shared" si="66"/>
        <v>140</v>
      </c>
      <c r="F1448">
        <f>VLOOKUP(D1448,Produkt!$B$1:$C$5,2,FALSE)*Bestellungen!E1448</f>
        <v>112000</v>
      </c>
      <c r="G1448" s="2">
        <v>45066</v>
      </c>
      <c r="H1448" s="2">
        <f t="shared" si="67"/>
        <v>45072</v>
      </c>
      <c r="I1448" s="2">
        <f t="shared" si="68"/>
        <v>45072</v>
      </c>
      <c r="J1448" t="str">
        <f>VLOOKUP(M1448,Umfragenteilnahme!$A$2:$B$3,2,)</f>
        <v>Nein</v>
      </c>
      <c r="M1448">
        <v>2</v>
      </c>
      <c r="N1448">
        <v>419</v>
      </c>
      <c r="O1448">
        <v>4</v>
      </c>
      <c r="P1448">
        <v>140</v>
      </c>
      <c r="Q1448">
        <v>7</v>
      </c>
      <c r="R1448">
        <v>6</v>
      </c>
      <c r="S1448">
        <v>6</v>
      </c>
    </row>
    <row r="1449" spans="1:19" x14ac:dyDescent="0.35">
      <c r="A1449">
        <v>9096</v>
      </c>
      <c r="B1449">
        <v>556</v>
      </c>
      <c r="C1449" t="str">
        <f>VLOOKUP(B1449,Kunde!A:C,3,FALSE)</f>
        <v>Geschäftskunde</v>
      </c>
      <c r="D1449" t="str">
        <f>VLOOKUP(O1449,Produkt!$A$1:$E$5,2,FALSE)</f>
        <v>A</v>
      </c>
      <c r="E1449">
        <f t="shared" si="66"/>
        <v>37</v>
      </c>
      <c r="F1449">
        <f>VLOOKUP(D1449,Produkt!$B$1:$C$5,2,FALSE)*Bestellungen!E1449</f>
        <v>11100</v>
      </c>
      <c r="G1449" s="2">
        <v>45076</v>
      </c>
      <c r="H1449" s="2">
        <f t="shared" si="67"/>
        <v>45083</v>
      </c>
      <c r="I1449" s="2">
        <f t="shared" si="68"/>
        <v>45112</v>
      </c>
      <c r="J1449" t="str">
        <f>VLOOKUP(M1449,Umfragenteilnahme!$A$2:$B$3,2,)</f>
        <v>Ja</v>
      </c>
      <c r="M1449">
        <v>1</v>
      </c>
      <c r="N1449">
        <v>556</v>
      </c>
      <c r="O1449">
        <v>1</v>
      </c>
      <c r="P1449">
        <v>37</v>
      </c>
      <c r="Q1449">
        <v>5</v>
      </c>
      <c r="R1449">
        <v>7</v>
      </c>
      <c r="S1449">
        <v>36</v>
      </c>
    </row>
    <row r="1450" spans="1:19" x14ac:dyDescent="0.35">
      <c r="A1450">
        <v>9097</v>
      </c>
      <c r="B1450">
        <v>294</v>
      </c>
      <c r="C1450" t="str">
        <f>VLOOKUP(B1450,Kunde!A:C,3,FALSE)</f>
        <v>Geschäftskunde</v>
      </c>
      <c r="D1450" t="str">
        <f>VLOOKUP(O1450,Produkt!$A$1:$E$5,2,FALSE)</f>
        <v>B</v>
      </c>
      <c r="E1450">
        <f t="shared" si="66"/>
        <v>96</v>
      </c>
      <c r="F1450">
        <f>VLOOKUP(D1450,Produkt!$B$1:$C$5,2,FALSE)*Bestellungen!E1450</f>
        <v>46080</v>
      </c>
      <c r="G1450" s="2">
        <v>44951</v>
      </c>
      <c r="H1450" s="2">
        <f t="shared" si="67"/>
        <v>44958</v>
      </c>
      <c r="I1450" s="2">
        <f t="shared" si="68"/>
        <v>44971</v>
      </c>
      <c r="J1450" t="str">
        <f>VLOOKUP(M1450,Umfragenteilnahme!$A$2:$B$3,2,)</f>
        <v>Nein</v>
      </c>
      <c r="M1450">
        <v>2</v>
      </c>
      <c r="N1450">
        <v>294</v>
      </c>
      <c r="O1450">
        <v>2</v>
      </c>
      <c r="P1450">
        <v>96</v>
      </c>
      <c r="Q1450">
        <v>1</v>
      </c>
      <c r="R1450">
        <v>7</v>
      </c>
      <c r="S1450">
        <v>20</v>
      </c>
    </row>
    <row r="1451" spans="1:19" x14ac:dyDescent="0.35">
      <c r="A1451">
        <v>9098</v>
      </c>
      <c r="B1451">
        <v>315</v>
      </c>
      <c r="C1451" t="str">
        <f>VLOOKUP(B1451,Kunde!A:C,3,FALSE)</f>
        <v>Geschäftskunde</v>
      </c>
      <c r="D1451" t="str">
        <f>VLOOKUP(O1451,Produkt!$A$1:$E$5,2,FALSE)</f>
        <v>A</v>
      </c>
      <c r="E1451">
        <f t="shared" si="66"/>
        <v>16</v>
      </c>
      <c r="F1451">
        <f>VLOOKUP(D1451,Produkt!$B$1:$C$5,2,FALSE)*Bestellungen!E1451</f>
        <v>4800</v>
      </c>
      <c r="G1451" s="2">
        <v>44774</v>
      </c>
      <c r="H1451" s="2">
        <f t="shared" si="67"/>
        <v>44778</v>
      </c>
      <c r="I1451" s="2">
        <f t="shared" si="68"/>
        <v>44807</v>
      </c>
      <c r="J1451" t="str">
        <f>VLOOKUP(M1451,Umfragenteilnahme!$A$2:$B$3,2,)</f>
        <v>Nein</v>
      </c>
      <c r="M1451">
        <v>2</v>
      </c>
      <c r="N1451">
        <v>315</v>
      </c>
      <c r="O1451">
        <v>1</v>
      </c>
      <c r="P1451">
        <v>16</v>
      </c>
      <c r="Q1451">
        <v>6</v>
      </c>
      <c r="R1451">
        <v>4</v>
      </c>
      <c r="S1451">
        <v>33</v>
      </c>
    </row>
    <row r="1452" spans="1:19" x14ac:dyDescent="0.35">
      <c r="A1452">
        <v>9099</v>
      </c>
      <c r="B1452">
        <v>783</v>
      </c>
      <c r="C1452" t="str">
        <f>VLOOKUP(B1452,Kunde!A:C,3,FALSE)</f>
        <v>Geschäftskunde</v>
      </c>
      <c r="D1452" t="str">
        <f>VLOOKUP(O1452,Produkt!$A$1:$E$5,2,FALSE)</f>
        <v>D</v>
      </c>
      <c r="E1452">
        <f t="shared" si="66"/>
        <v>99</v>
      </c>
      <c r="F1452">
        <f>VLOOKUP(D1452,Produkt!$B$1:$C$5,2,FALSE)*Bestellungen!E1452</f>
        <v>79200</v>
      </c>
      <c r="G1452" s="2">
        <v>44718</v>
      </c>
      <c r="H1452" s="2">
        <f t="shared" si="67"/>
        <v>44725</v>
      </c>
      <c r="I1452" s="2">
        <f t="shared" si="68"/>
        <v>44727</v>
      </c>
      <c r="J1452" t="str">
        <f>VLOOKUP(M1452,Umfragenteilnahme!$A$2:$B$3,2,)</f>
        <v>Ja</v>
      </c>
      <c r="M1452">
        <v>1</v>
      </c>
      <c r="N1452">
        <v>783</v>
      </c>
      <c r="O1452">
        <v>4</v>
      </c>
      <c r="P1452">
        <v>99</v>
      </c>
      <c r="Q1452">
        <v>9</v>
      </c>
      <c r="R1452">
        <v>7</v>
      </c>
      <c r="S1452">
        <v>9</v>
      </c>
    </row>
    <row r="1453" spans="1:19" x14ac:dyDescent="0.35">
      <c r="A1453">
        <v>9100</v>
      </c>
      <c r="B1453">
        <v>432</v>
      </c>
      <c r="C1453" t="str">
        <f>VLOOKUP(B1453,Kunde!A:C,3,FALSE)</f>
        <v>Geschäftskunde</v>
      </c>
      <c r="D1453" t="str">
        <f>VLOOKUP(O1453,Produkt!$A$1:$E$5,2,FALSE)</f>
        <v>B</v>
      </c>
      <c r="E1453">
        <f t="shared" si="66"/>
        <v>43</v>
      </c>
      <c r="F1453">
        <f>VLOOKUP(D1453,Produkt!$B$1:$C$5,2,FALSE)*Bestellungen!E1453</f>
        <v>20640</v>
      </c>
      <c r="G1453" s="2">
        <v>44903</v>
      </c>
      <c r="H1453" s="2">
        <f t="shared" si="67"/>
        <v>44908</v>
      </c>
      <c r="I1453" s="2">
        <f t="shared" si="68"/>
        <v>44913</v>
      </c>
      <c r="J1453" t="str">
        <f>VLOOKUP(M1453,Umfragenteilnahme!$A$2:$B$3,2,)</f>
        <v>Ja</v>
      </c>
      <c r="M1453">
        <v>1</v>
      </c>
      <c r="N1453">
        <v>432</v>
      </c>
      <c r="O1453">
        <v>2</v>
      </c>
      <c r="P1453">
        <v>43</v>
      </c>
      <c r="Q1453">
        <v>7</v>
      </c>
      <c r="R1453">
        <v>5</v>
      </c>
      <c r="S1453">
        <v>10</v>
      </c>
    </row>
    <row r="1454" spans="1:19" x14ac:dyDescent="0.35">
      <c r="A1454">
        <v>9101</v>
      </c>
      <c r="B1454">
        <v>703</v>
      </c>
      <c r="C1454" t="str">
        <f>VLOOKUP(B1454,Kunde!A:C,3,FALSE)</f>
        <v>Geschäftskunde</v>
      </c>
      <c r="D1454" t="str">
        <f>VLOOKUP(O1454,Produkt!$A$1:$E$5,2,FALSE)</f>
        <v>B</v>
      </c>
      <c r="E1454">
        <f t="shared" si="66"/>
        <v>134</v>
      </c>
      <c r="F1454">
        <f>VLOOKUP(D1454,Produkt!$B$1:$C$5,2,FALSE)*Bestellungen!E1454</f>
        <v>64320</v>
      </c>
      <c r="G1454" s="2">
        <v>44823</v>
      </c>
      <c r="H1454" s="2">
        <f t="shared" si="67"/>
        <v>44829</v>
      </c>
      <c r="I1454" s="2">
        <f t="shared" si="68"/>
        <v>44864</v>
      </c>
      <c r="J1454" t="str">
        <f>VLOOKUP(M1454,Umfragenteilnahme!$A$2:$B$3,2,)</f>
        <v>Ja</v>
      </c>
      <c r="M1454">
        <v>1</v>
      </c>
      <c r="N1454">
        <v>703</v>
      </c>
      <c r="O1454">
        <v>2</v>
      </c>
      <c r="P1454">
        <v>134</v>
      </c>
      <c r="Q1454">
        <v>4</v>
      </c>
      <c r="R1454">
        <v>6</v>
      </c>
      <c r="S1454">
        <v>41</v>
      </c>
    </row>
    <row r="1455" spans="1:19" x14ac:dyDescent="0.35">
      <c r="A1455">
        <v>9102</v>
      </c>
      <c r="B1455">
        <v>760</v>
      </c>
      <c r="C1455" t="str">
        <f>VLOOKUP(B1455,Kunde!A:C,3,FALSE)</f>
        <v>Geschäftskunde</v>
      </c>
      <c r="D1455" t="str">
        <f>VLOOKUP(O1455,Produkt!$A$1:$E$5,2,FALSE)</f>
        <v>A</v>
      </c>
      <c r="E1455">
        <f t="shared" si="66"/>
        <v>96</v>
      </c>
      <c r="F1455">
        <f>VLOOKUP(D1455,Produkt!$B$1:$C$5,2,FALSE)*Bestellungen!E1455</f>
        <v>28800</v>
      </c>
      <c r="G1455" s="2">
        <v>44795</v>
      </c>
      <c r="H1455" s="2">
        <f t="shared" si="67"/>
        <v>44797</v>
      </c>
      <c r="I1455" s="2">
        <f t="shared" si="68"/>
        <v>44811</v>
      </c>
      <c r="J1455" t="str">
        <f>VLOOKUP(M1455,Umfragenteilnahme!$A$2:$B$3,2,)</f>
        <v>Ja</v>
      </c>
      <c r="M1455">
        <v>1</v>
      </c>
      <c r="N1455">
        <v>760</v>
      </c>
      <c r="O1455">
        <v>1</v>
      </c>
      <c r="P1455">
        <v>96</v>
      </c>
      <c r="Q1455">
        <v>5</v>
      </c>
      <c r="R1455">
        <v>2</v>
      </c>
      <c r="S1455">
        <v>16</v>
      </c>
    </row>
    <row r="1456" spans="1:19" x14ac:dyDescent="0.35">
      <c r="A1456">
        <v>9103</v>
      </c>
      <c r="B1456">
        <v>690</v>
      </c>
      <c r="C1456" t="str">
        <f>VLOOKUP(B1456,Kunde!A:C,3,FALSE)</f>
        <v>Geschäftskunde</v>
      </c>
      <c r="D1456" t="str">
        <f>VLOOKUP(O1456,Produkt!$A$1:$E$5,2,FALSE)</f>
        <v>A</v>
      </c>
      <c r="E1456">
        <f t="shared" si="66"/>
        <v>142</v>
      </c>
      <c r="F1456">
        <f>VLOOKUP(D1456,Produkt!$B$1:$C$5,2,FALSE)*Bestellungen!E1456</f>
        <v>42600</v>
      </c>
      <c r="G1456" s="2">
        <v>44955</v>
      </c>
      <c r="H1456" s="2">
        <f t="shared" si="67"/>
        <v>44960</v>
      </c>
      <c r="I1456" s="2">
        <f t="shared" si="68"/>
        <v>44971</v>
      </c>
      <c r="J1456" t="str">
        <f>VLOOKUP(M1456,Umfragenteilnahme!$A$2:$B$3,2,)</f>
        <v>Nein</v>
      </c>
      <c r="M1456">
        <v>2</v>
      </c>
      <c r="N1456">
        <v>690</v>
      </c>
      <c r="O1456">
        <v>1</v>
      </c>
      <c r="P1456">
        <v>142</v>
      </c>
      <c r="Q1456">
        <v>10</v>
      </c>
      <c r="R1456">
        <v>5</v>
      </c>
      <c r="S1456">
        <v>16</v>
      </c>
    </row>
    <row r="1457" spans="1:19" x14ac:dyDescent="0.35">
      <c r="A1457">
        <v>9104</v>
      </c>
      <c r="B1457">
        <v>34</v>
      </c>
      <c r="C1457" t="str">
        <f>VLOOKUP(B1457,Kunde!A:C,3,FALSE)</f>
        <v>Privatkunde</v>
      </c>
      <c r="D1457" t="str">
        <f>VLOOKUP(O1457,Produkt!$A$1:$E$5,2,FALSE)</f>
        <v>D</v>
      </c>
      <c r="E1457">
        <f t="shared" si="66"/>
        <v>4</v>
      </c>
      <c r="F1457">
        <f>VLOOKUP(D1457,Produkt!$B$1:$C$5,2,FALSE)*Bestellungen!E1457</f>
        <v>3200</v>
      </c>
      <c r="G1457" s="2">
        <v>44835</v>
      </c>
      <c r="H1457" s="2">
        <f t="shared" si="67"/>
        <v>44840</v>
      </c>
      <c r="I1457" s="2">
        <f t="shared" si="68"/>
        <v>44856</v>
      </c>
      <c r="J1457" t="str">
        <f>VLOOKUP(M1457,Umfragenteilnahme!$A$2:$B$3,2,)</f>
        <v>Nein</v>
      </c>
      <c r="M1457">
        <v>2</v>
      </c>
      <c r="N1457">
        <v>34</v>
      </c>
      <c r="O1457">
        <v>4</v>
      </c>
      <c r="P1457">
        <v>10</v>
      </c>
      <c r="Q1457">
        <v>4</v>
      </c>
      <c r="R1457">
        <v>5</v>
      </c>
      <c r="S1457">
        <v>21</v>
      </c>
    </row>
    <row r="1458" spans="1:19" x14ac:dyDescent="0.35">
      <c r="A1458">
        <v>9105</v>
      </c>
      <c r="B1458">
        <v>461</v>
      </c>
      <c r="C1458" t="str">
        <f>VLOOKUP(B1458,Kunde!A:C,3,FALSE)</f>
        <v>Privatkunde</v>
      </c>
      <c r="D1458" t="str">
        <f>VLOOKUP(O1458,Produkt!$A$1:$E$5,2,FALSE)</f>
        <v>D</v>
      </c>
      <c r="E1458">
        <f t="shared" si="66"/>
        <v>9</v>
      </c>
      <c r="F1458">
        <f>VLOOKUP(D1458,Produkt!$B$1:$C$5,2,FALSE)*Bestellungen!E1458</f>
        <v>7200</v>
      </c>
      <c r="G1458" s="2">
        <v>44937</v>
      </c>
      <c r="H1458" s="2">
        <f t="shared" si="67"/>
        <v>44941</v>
      </c>
      <c r="I1458" s="2">
        <f t="shared" si="68"/>
        <v>44976</v>
      </c>
      <c r="J1458" t="str">
        <f>VLOOKUP(M1458,Umfragenteilnahme!$A$2:$B$3,2,)</f>
        <v>Ja</v>
      </c>
      <c r="M1458">
        <v>1</v>
      </c>
      <c r="N1458">
        <v>461</v>
      </c>
      <c r="O1458">
        <v>4</v>
      </c>
      <c r="P1458">
        <v>10</v>
      </c>
      <c r="Q1458">
        <v>9</v>
      </c>
      <c r="R1458">
        <v>4</v>
      </c>
      <c r="S1458">
        <v>39</v>
      </c>
    </row>
    <row r="1459" spans="1:19" x14ac:dyDescent="0.35">
      <c r="A1459">
        <v>9106</v>
      </c>
      <c r="B1459">
        <v>764</v>
      </c>
      <c r="C1459" t="str">
        <f>VLOOKUP(B1459,Kunde!A:C,3,FALSE)</f>
        <v>Privatkunde</v>
      </c>
      <c r="D1459" t="str">
        <f>VLOOKUP(O1459,Produkt!$A$1:$E$5,2,FALSE)</f>
        <v>C</v>
      </c>
      <c r="E1459">
        <f t="shared" si="66"/>
        <v>9</v>
      </c>
      <c r="F1459">
        <f>VLOOKUP(D1459,Produkt!$B$1:$C$5,2,FALSE)*Bestellungen!E1459</f>
        <v>13500</v>
      </c>
      <c r="G1459" s="2">
        <v>45034</v>
      </c>
      <c r="H1459" s="2">
        <f t="shared" si="67"/>
        <v>45040</v>
      </c>
      <c r="I1459" s="2">
        <f t="shared" si="68"/>
        <v>45063</v>
      </c>
      <c r="J1459" t="str">
        <f>VLOOKUP(M1459,Umfragenteilnahme!$A$2:$B$3,2,)</f>
        <v>Ja</v>
      </c>
      <c r="M1459">
        <v>1</v>
      </c>
      <c r="N1459">
        <v>764</v>
      </c>
      <c r="O1459">
        <v>3</v>
      </c>
      <c r="P1459">
        <v>66</v>
      </c>
      <c r="Q1459">
        <v>9</v>
      </c>
      <c r="R1459">
        <v>6</v>
      </c>
      <c r="S1459">
        <v>29</v>
      </c>
    </row>
    <row r="1460" spans="1:19" x14ac:dyDescent="0.35">
      <c r="A1460">
        <v>9107</v>
      </c>
      <c r="B1460">
        <v>236</v>
      </c>
      <c r="C1460" t="str">
        <f>VLOOKUP(B1460,Kunde!A:C,3,FALSE)</f>
        <v>Geschäftskunde</v>
      </c>
      <c r="D1460" t="str">
        <f>VLOOKUP(O1460,Produkt!$A$1:$E$5,2,FALSE)</f>
        <v>C</v>
      </c>
      <c r="E1460">
        <f t="shared" si="66"/>
        <v>71</v>
      </c>
      <c r="F1460">
        <f>VLOOKUP(D1460,Produkt!$B$1:$C$5,2,FALSE)*Bestellungen!E1460</f>
        <v>106500</v>
      </c>
      <c r="G1460" s="2">
        <v>44801</v>
      </c>
      <c r="H1460" s="2">
        <f t="shared" si="67"/>
        <v>44806</v>
      </c>
      <c r="I1460" s="2">
        <f t="shared" si="68"/>
        <v>44841</v>
      </c>
      <c r="J1460" t="str">
        <f>VLOOKUP(M1460,Umfragenteilnahme!$A$2:$B$3,2,)</f>
        <v>Ja</v>
      </c>
      <c r="M1460">
        <v>1</v>
      </c>
      <c r="N1460">
        <v>236</v>
      </c>
      <c r="O1460">
        <v>3</v>
      </c>
      <c r="P1460">
        <v>71</v>
      </c>
      <c r="Q1460">
        <v>3</v>
      </c>
      <c r="R1460">
        <v>5</v>
      </c>
      <c r="S1460">
        <v>40</v>
      </c>
    </row>
    <row r="1461" spans="1:19" x14ac:dyDescent="0.35">
      <c r="A1461">
        <v>9108</v>
      </c>
      <c r="B1461">
        <v>16</v>
      </c>
      <c r="C1461" t="str">
        <f>VLOOKUP(B1461,Kunde!A:C,3,FALSE)</f>
        <v>Geschäftskunde</v>
      </c>
      <c r="D1461" t="str">
        <f>VLOOKUP(O1461,Produkt!$A$1:$E$5,2,FALSE)</f>
        <v>D</v>
      </c>
      <c r="E1461">
        <f t="shared" si="66"/>
        <v>26</v>
      </c>
      <c r="F1461">
        <f>VLOOKUP(D1461,Produkt!$B$1:$C$5,2,FALSE)*Bestellungen!E1461</f>
        <v>20800</v>
      </c>
      <c r="G1461" s="2">
        <v>44735</v>
      </c>
      <c r="H1461" s="2">
        <f t="shared" si="67"/>
        <v>44741</v>
      </c>
      <c r="I1461" s="2">
        <f t="shared" si="68"/>
        <v>44781</v>
      </c>
      <c r="J1461" t="str">
        <f>VLOOKUP(M1461,Umfragenteilnahme!$A$2:$B$3,2,)</f>
        <v>Nein</v>
      </c>
      <c r="M1461">
        <v>2</v>
      </c>
      <c r="N1461">
        <v>16</v>
      </c>
      <c r="O1461">
        <v>4</v>
      </c>
      <c r="P1461">
        <v>26</v>
      </c>
      <c r="Q1461">
        <v>7</v>
      </c>
      <c r="R1461">
        <v>6</v>
      </c>
      <c r="S1461">
        <v>46</v>
      </c>
    </row>
    <row r="1462" spans="1:19" x14ac:dyDescent="0.35">
      <c r="A1462">
        <v>9109</v>
      </c>
      <c r="B1462">
        <v>608</v>
      </c>
      <c r="C1462" t="str">
        <f>VLOOKUP(B1462,Kunde!A:C,3,FALSE)</f>
        <v>Privatkunde</v>
      </c>
      <c r="D1462" t="str">
        <f>VLOOKUP(O1462,Produkt!$A$1:$E$5,2,FALSE)</f>
        <v>C</v>
      </c>
      <c r="E1462">
        <f t="shared" si="66"/>
        <v>3</v>
      </c>
      <c r="F1462">
        <f>VLOOKUP(D1462,Produkt!$B$1:$C$5,2,FALSE)*Bestellungen!E1462</f>
        <v>4500</v>
      </c>
      <c r="G1462" s="2">
        <v>44773</v>
      </c>
      <c r="H1462" s="2">
        <f t="shared" si="67"/>
        <v>44780</v>
      </c>
      <c r="I1462" s="2">
        <f t="shared" si="68"/>
        <v>44802</v>
      </c>
      <c r="J1462" t="str">
        <f>VLOOKUP(M1462,Umfragenteilnahme!$A$2:$B$3,2,)</f>
        <v>Nein</v>
      </c>
      <c r="M1462">
        <v>2</v>
      </c>
      <c r="N1462">
        <v>608</v>
      </c>
      <c r="O1462">
        <v>3</v>
      </c>
      <c r="P1462">
        <v>11</v>
      </c>
      <c r="Q1462">
        <v>3</v>
      </c>
      <c r="R1462">
        <v>7</v>
      </c>
      <c r="S1462">
        <v>29</v>
      </c>
    </row>
    <row r="1463" spans="1:19" x14ac:dyDescent="0.35">
      <c r="A1463">
        <v>9110</v>
      </c>
      <c r="B1463">
        <v>500</v>
      </c>
      <c r="C1463" t="str">
        <f>VLOOKUP(B1463,Kunde!A:C,3,FALSE)</f>
        <v>Geschäftskunde</v>
      </c>
      <c r="D1463" t="str">
        <f>VLOOKUP(O1463,Produkt!$A$1:$E$5,2,FALSE)</f>
        <v>A</v>
      </c>
      <c r="E1463">
        <f t="shared" si="66"/>
        <v>12</v>
      </c>
      <c r="F1463">
        <f>VLOOKUP(D1463,Produkt!$B$1:$C$5,2,FALSE)*Bestellungen!E1463</f>
        <v>3600</v>
      </c>
      <c r="G1463" s="2">
        <v>44898</v>
      </c>
      <c r="H1463" s="2">
        <f t="shared" si="67"/>
        <v>44902</v>
      </c>
      <c r="I1463" s="2">
        <f t="shared" si="68"/>
        <v>44902</v>
      </c>
      <c r="J1463" t="str">
        <f>VLOOKUP(M1463,Umfragenteilnahme!$A$2:$B$3,2,)</f>
        <v>Ja</v>
      </c>
      <c r="M1463">
        <v>1</v>
      </c>
      <c r="N1463">
        <v>500</v>
      </c>
      <c r="O1463">
        <v>1</v>
      </c>
      <c r="P1463">
        <v>12</v>
      </c>
      <c r="Q1463">
        <v>9</v>
      </c>
      <c r="R1463">
        <v>4</v>
      </c>
      <c r="S1463">
        <v>4</v>
      </c>
    </row>
    <row r="1464" spans="1:19" x14ac:dyDescent="0.35">
      <c r="A1464">
        <v>9111</v>
      </c>
      <c r="B1464">
        <v>590</v>
      </c>
      <c r="C1464" t="str">
        <f>VLOOKUP(B1464,Kunde!A:C,3,FALSE)</f>
        <v>Geschäftskunde</v>
      </c>
      <c r="D1464" t="str">
        <f>VLOOKUP(O1464,Produkt!$A$1:$E$5,2,FALSE)</f>
        <v>A</v>
      </c>
      <c r="E1464">
        <f t="shared" si="66"/>
        <v>72</v>
      </c>
      <c r="F1464">
        <f>VLOOKUP(D1464,Produkt!$B$1:$C$5,2,FALSE)*Bestellungen!E1464</f>
        <v>21600</v>
      </c>
      <c r="G1464" s="2">
        <v>45065</v>
      </c>
      <c r="H1464" s="2">
        <f t="shared" si="67"/>
        <v>45072</v>
      </c>
      <c r="I1464" s="2">
        <f t="shared" si="68"/>
        <v>45111</v>
      </c>
      <c r="J1464" t="str">
        <f>VLOOKUP(M1464,Umfragenteilnahme!$A$2:$B$3,2,)</f>
        <v>Nein</v>
      </c>
      <c r="M1464">
        <v>2</v>
      </c>
      <c r="N1464">
        <v>590</v>
      </c>
      <c r="O1464">
        <v>1</v>
      </c>
      <c r="P1464">
        <v>72</v>
      </c>
      <c r="Q1464">
        <v>5</v>
      </c>
      <c r="R1464">
        <v>7</v>
      </c>
      <c r="S1464">
        <v>46</v>
      </c>
    </row>
    <row r="1465" spans="1:19" x14ac:dyDescent="0.35">
      <c r="A1465">
        <v>9112</v>
      </c>
      <c r="B1465">
        <v>673</v>
      </c>
      <c r="C1465" t="str">
        <f>VLOOKUP(B1465,Kunde!A:C,3,FALSE)</f>
        <v>Geschäftskunde</v>
      </c>
      <c r="D1465" t="str">
        <f>VLOOKUP(O1465,Produkt!$A$1:$E$5,2,FALSE)</f>
        <v>D</v>
      </c>
      <c r="E1465">
        <f t="shared" si="66"/>
        <v>80</v>
      </c>
      <c r="F1465">
        <f>VLOOKUP(D1465,Produkt!$B$1:$C$5,2,FALSE)*Bestellungen!E1465</f>
        <v>64000</v>
      </c>
      <c r="G1465" s="2">
        <v>44843</v>
      </c>
      <c r="H1465" s="2">
        <f t="shared" si="67"/>
        <v>44848</v>
      </c>
      <c r="I1465" s="2">
        <f t="shared" si="68"/>
        <v>44884</v>
      </c>
      <c r="J1465" t="str">
        <f>VLOOKUP(M1465,Umfragenteilnahme!$A$2:$B$3,2,)</f>
        <v>Ja</v>
      </c>
      <c r="M1465">
        <v>1</v>
      </c>
      <c r="N1465">
        <v>673</v>
      </c>
      <c r="O1465">
        <v>4</v>
      </c>
      <c r="P1465">
        <v>80</v>
      </c>
      <c r="Q1465">
        <v>6</v>
      </c>
      <c r="R1465">
        <v>5</v>
      </c>
      <c r="S1465">
        <v>41</v>
      </c>
    </row>
    <row r="1466" spans="1:19" x14ac:dyDescent="0.35">
      <c r="A1466">
        <v>9113</v>
      </c>
      <c r="B1466">
        <v>300</v>
      </c>
      <c r="C1466" t="str">
        <f>VLOOKUP(B1466,Kunde!A:C,3,FALSE)</f>
        <v>Geschäftskunde</v>
      </c>
      <c r="D1466" t="str">
        <f>VLOOKUP(O1466,Produkt!$A$1:$E$5,2,FALSE)</f>
        <v>C</v>
      </c>
      <c r="E1466">
        <f t="shared" si="66"/>
        <v>61</v>
      </c>
      <c r="F1466">
        <f>VLOOKUP(D1466,Produkt!$B$1:$C$5,2,FALSE)*Bestellungen!E1466</f>
        <v>91500</v>
      </c>
      <c r="G1466" s="2">
        <v>45044</v>
      </c>
      <c r="H1466" s="2">
        <f t="shared" si="67"/>
        <v>45050</v>
      </c>
      <c r="I1466" s="2">
        <f t="shared" si="68"/>
        <v>45063</v>
      </c>
      <c r="J1466" t="str">
        <f>VLOOKUP(M1466,Umfragenteilnahme!$A$2:$B$3,2,)</f>
        <v>Nein</v>
      </c>
      <c r="M1466">
        <v>2</v>
      </c>
      <c r="N1466">
        <v>300</v>
      </c>
      <c r="O1466">
        <v>3</v>
      </c>
      <c r="P1466">
        <v>61</v>
      </c>
      <c r="Q1466">
        <v>6</v>
      </c>
      <c r="R1466">
        <v>6</v>
      </c>
      <c r="S1466">
        <v>19</v>
      </c>
    </row>
    <row r="1467" spans="1:19" x14ac:dyDescent="0.35">
      <c r="A1467">
        <v>9114</v>
      </c>
      <c r="B1467">
        <v>394</v>
      </c>
      <c r="C1467" t="str">
        <f>VLOOKUP(B1467,Kunde!A:C,3,FALSE)</f>
        <v>Geschäftskunde</v>
      </c>
      <c r="D1467" t="str">
        <f>VLOOKUP(O1467,Produkt!$A$1:$E$5,2,FALSE)</f>
        <v>A</v>
      </c>
      <c r="E1467">
        <f t="shared" si="66"/>
        <v>129</v>
      </c>
      <c r="F1467">
        <f>VLOOKUP(D1467,Produkt!$B$1:$C$5,2,FALSE)*Bestellungen!E1467</f>
        <v>38700</v>
      </c>
      <c r="G1467" s="2">
        <v>44991</v>
      </c>
      <c r="H1467" s="2">
        <f t="shared" si="67"/>
        <v>44998</v>
      </c>
      <c r="I1467" s="2">
        <f t="shared" si="68"/>
        <v>45049</v>
      </c>
      <c r="J1467" t="str">
        <f>VLOOKUP(M1467,Umfragenteilnahme!$A$2:$B$3,2,)</f>
        <v>Nein</v>
      </c>
      <c r="M1467">
        <v>2</v>
      </c>
      <c r="N1467">
        <v>394</v>
      </c>
      <c r="O1467">
        <v>1</v>
      </c>
      <c r="P1467">
        <v>129</v>
      </c>
      <c r="Q1467">
        <v>5</v>
      </c>
      <c r="R1467">
        <v>7</v>
      </c>
      <c r="S1467">
        <v>58</v>
      </c>
    </row>
    <row r="1468" spans="1:19" x14ac:dyDescent="0.35">
      <c r="A1468">
        <v>9115</v>
      </c>
      <c r="B1468">
        <v>345</v>
      </c>
      <c r="C1468" t="str">
        <f>VLOOKUP(B1468,Kunde!A:C,3,FALSE)</f>
        <v>Geschäftskunde</v>
      </c>
      <c r="D1468" t="str">
        <f>VLOOKUP(O1468,Produkt!$A$1:$E$5,2,FALSE)</f>
        <v>B</v>
      </c>
      <c r="E1468">
        <f t="shared" si="66"/>
        <v>27</v>
      </c>
      <c r="F1468">
        <f>VLOOKUP(D1468,Produkt!$B$1:$C$5,2,FALSE)*Bestellungen!E1468</f>
        <v>12960</v>
      </c>
      <c r="G1468" s="2">
        <v>44825</v>
      </c>
      <c r="H1468" s="2">
        <f t="shared" si="67"/>
        <v>44829</v>
      </c>
      <c r="I1468" s="2">
        <f t="shared" si="68"/>
        <v>44838</v>
      </c>
      <c r="J1468" t="str">
        <f>VLOOKUP(M1468,Umfragenteilnahme!$A$2:$B$3,2,)</f>
        <v>Nein</v>
      </c>
      <c r="M1468">
        <v>2</v>
      </c>
      <c r="N1468">
        <v>345</v>
      </c>
      <c r="O1468">
        <v>2</v>
      </c>
      <c r="P1468">
        <v>27</v>
      </c>
      <c r="Q1468">
        <v>1</v>
      </c>
      <c r="R1468">
        <v>4</v>
      </c>
      <c r="S1468">
        <v>13</v>
      </c>
    </row>
    <row r="1469" spans="1:19" x14ac:dyDescent="0.35">
      <c r="A1469">
        <v>9116</v>
      </c>
      <c r="B1469">
        <v>62</v>
      </c>
      <c r="C1469" t="str">
        <f>VLOOKUP(B1469,Kunde!A:C,3,FALSE)</f>
        <v>Geschäftskunde</v>
      </c>
      <c r="D1469" t="str">
        <f>VLOOKUP(O1469,Produkt!$A$1:$E$5,2,FALSE)</f>
        <v>D</v>
      </c>
      <c r="E1469">
        <f t="shared" si="66"/>
        <v>113</v>
      </c>
      <c r="F1469">
        <f>VLOOKUP(D1469,Produkt!$B$1:$C$5,2,FALSE)*Bestellungen!E1469</f>
        <v>90400</v>
      </c>
      <c r="G1469" s="2">
        <v>44966</v>
      </c>
      <c r="H1469" s="2">
        <f t="shared" si="67"/>
        <v>44970</v>
      </c>
      <c r="I1469" s="2">
        <f t="shared" si="68"/>
        <v>44982</v>
      </c>
      <c r="J1469" t="str">
        <f>VLOOKUP(M1469,Umfragenteilnahme!$A$2:$B$3,2,)</f>
        <v>Nein</v>
      </c>
      <c r="M1469">
        <v>2</v>
      </c>
      <c r="N1469">
        <v>62</v>
      </c>
      <c r="O1469">
        <v>4</v>
      </c>
      <c r="P1469">
        <v>113</v>
      </c>
      <c r="Q1469">
        <v>6</v>
      </c>
      <c r="R1469">
        <v>4</v>
      </c>
      <c r="S1469">
        <v>16</v>
      </c>
    </row>
    <row r="1470" spans="1:19" x14ac:dyDescent="0.35">
      <c r="A1470">
        <v>9117</v>
      </c>
      <c r="B1470">
        <v>709</v>
      </c>
      <c r="C1470" t="str">
        <f>VLOOKUP(B1470,Kunde!A:C,3,FALSE)</f>
        <v>Geschäftskunde</v>
      </c>
      <c r="D1470" t="str">
        <f>VLOOKUP(O1470,Produkt!$A$1:$E$5,2,FALSE)</f>
        <v>C</v>
      </c>
      <c r="E1470">
        <f t="shared" si="66"/>
        <v>40</v>
      </c>
      <c r="F1470">
        <f>VLOOKUP(D1470,Produkt!$B$1:$C$5,2,FALSE)*Bestellungen!E1470</f>
        <v>60000</v>
      </c>
      <c r="G1470" s="2">
        <v>44736</v>
      </c>
      <c r="H1470" s="2">
        <f t="shared" si="67"/>
        <v>44743</v>
      </c>
      <c r="I1470" s="2">
        <f t="shared" si="68"/>
        <v>44782</v>
      </c>
      <c r="J1470" t="str">
        <f>VLOOKUP(M1470,Umfragenteilnahme!$A$2:$B$3,2,)</f>
        <v>Ja</v>
      </c>
      <c r="M1470">
        <v>1</v>
      </c>
      <c r="N1470">
        <v>709</v>
      </c>
      <c r="O1470">
        <v>3</v>
      </c>
      <c r="P1470">
        <v>40</v>
      </c>
      <c r="Q1470">
        <v>5</v>
      </c>
      <c r="R1470">
        <v>7</v>
      </c>
      <c r="S1470">
        <v>46</v>
      </c>
    </row>
    <row r="1471" spans="1:19" x14ac:dyDescent="0.35">
      <c r="A1471">
        <v>9118</v>
      </c>
      <c r="B1471">
        <v>90</v>
      </c>
      <c r="C1471" t="str">
        <f>VLOOKUP(B1471,Kunde!A:C,3,FALSE)</f>
        <v>Geschäftskunde</v>
      </c>
      <c r="D1471" t="str">
        <f>VLOOKUP(O1471,Produkt!$A$1:$E$5,2,FALSE)</f>
        <v>B</v>
      </c>
      <c r="E1471">
        <f t="shared" si="66"/>
        <v>136</v>
      </c>
      <c r="F1471">
        <f>VLOOKUP(D1471,Produkt!$B$1:$C$5,2,FALSE)*Bestellungen!E1471</f>
        <v>65280</v>
      </c>
      <c r="G1471" s="2">
        <v>44990</v>
      </c>
      <c r="H1471" s="2">
        <f t="shared" si="67"/>
        <v>44994</v>
      </c>
      <c r="I1471" s="2">
        <f t="shared" si="68"/>
        <v>45011</v>
      </c>
      <c r="J1471" t="str">
        <f>VLOOKUP(M1471,Umfragenteilnahme!$A$2:$B$3,2,)</f>
        <v>Ja</v>
      </c>
      <c r="M1471">
        <v>1</v>
      </c>
      <c r="N1471">
        <v>90</v>
      </c>
      <c r="O1471">
        <v>2</v>
      </c>
      <c r="P1471">
        <v>136</v>
      </c>
      <c r="Q1471">
        <v>5</v>
      </c>
      <c r="R1471">
        <v>4</v>
      </c>
      <c r="S1471">
        <v>21</v>
      </c>
    </row>
    <row r="1472" spans="1:19" x14ac:dyDescent="0.35">
      <c r="A1472">
        <v>9119</v>
      </c>
      <c r="B1472">
        <v>419</v>
      </c>
      <c r="C1472" t="str">
        <f>VLOOKUP(B1472,Kunde!A:C,3,FALSE)</f>
        <v>Geschäftskunde</v>
      </c>
      <c r="D1472" t="str">
        <f>VLOOKUP(O1472,Produkt!$A$1:$E$5,2,FALSE)</f>
        <v>C</v>
      </c>
      <c r="E1472">
        <f t="shared" si="66"/>
        <v>111</v>
      </c>
      <c r="F1472">
        <f>VLOOKUP(D1472,Produkt!$B$1:$C$5,2,FALSE)*Bestellungen!E1472</f>
        <v>166500</v>
      </c>
      <c r="G1472" s="2">
        <v>45000</v>
      </c>
      <c r="H1472" s="2">
        <f t="shared" si="67"/>
        <v>45005</v>
      </c>
      <c r="I1472" s="2">
        <f t="shared" si="68"/>
        <v>45050</v>
      </c>
      <c r="J1472" t="str">
        <f>VLOOKUP(M1472,Umfragenteilnahme!$A$2:$B$3,2,)</f>
        <v>Nein</v>
      </c>
      <c r="M1472">
        <v>2</v>
      </c>
      <c r="N1472">
        <v>419</v>
      </c>
      <c r="O1472">
        <v>3</v>
      </c>
      <c r="P1472">
        <v>111</v>
      </c>
      <c r="Q1472">
        <v>5</v>
      </c>
      <c r="R1472">
        <v>5</v>
      </c>
      <c r="S1472">
        <v>50</v>
      </c>
    </row>
    <row r="1473" spans="1:19" x14ac:dyDescent="0.35">
      <c r="A1473">
        <v>9120</v>
      </c>
      <c r="B1473">
        <v>430</v>
      </c>
      <c r="C1473" t="str">
        <f>VLOOKUP(B1473,Kunde!A:C,3,FALSE)</f>
        <v>Privatkunde</v>
      </c>
      <c r="D1473" t="str">
        <f>VLOOKUP(O1473,Produkt!$A$1:$E$5,2,FALSE)</f>
        <v>B</v>
      </c>
      <c r="E1473">
        <f t="shared" si="66"/>
        <v>4</v>
      </c>
      <c r="F1473">
        <f>VLOOKUP(D1473,Produkt!$B$1:$C$5,2,FALSE)*Bestellungen!E1473</f>
        <v>1920</v>
      </c>
      <c r="G1473" s="2">
        <v>45034</v>
      </c>
      <c r="H1473" s="2">
        <f t="shared" si="67"/>
        <v>45040</v>
      </c>
      <c r="I1473" s="2">
        <f t="shared" si="68"/>
        <v>45092</v>
      </c>
      <c r="J1473" t="str">
        <f>VLOOKUP(M1473,Umfragenteilnahme!$A$2:$B$3,2,)</f>
        <v>Nein</v>
      </c>
      <c r="M1473">
        <v>2</v>
      </c>
      <c r="N1473">
        <v>430</v>
      </c>
      <c r="O1473">
        <v>2</v>
      </c>
      <c r="P1473">
        <v>92</v>
      </c>
      <c r="Q1473">
        <v>4</v>
      </c>
      <c r="R1473">
        <v>6</v>
      </c>
      <c r="S1473">
        <v>58</v>
      </c>
    </row>
    <row r="1474" spans="1:19" x14ac:dyDescent="0.35">
      <c r="A1474">
        <v>9121</v>
      </c>
      <c r="B1474">
        <v>342</v>
      </c>
      <c r="C1474" t="str">
        <f>VLOOKUP(B1474,Kunde!A:C,3,FALSE)</f>
        <v>Geschäftskunde</v>
      </c>
      <c r="D1474" t="str">
        <f>VLOOKUP(O1474,Produkt!$A$1:$E$5,2,FALSE)</f>
        <v>A</v>
      </c>
      <c r="E1474">
        <f t="shared" si="66"/>
        <v>76</v>
      </c>
      <c r="F1474">
        <f>VLOOKUP(D1474,Produkt!$B$1:$C$5,2,FALSE)*Bestellungen!E1474</f>
        <v>22800</v>
      </c>
      <c r="G1474" s="2">
        <v>45069</v>
      </c>
      <c r="H1474" s="2">
        <f t="shared" si="67"/>
        <v>45075</v>
      </c>
      <c r="I1474" s="2">
        <f t="shared" si="68"/>
        <v>45090</v>
      </c>
      <c r="J1474" t="str">
        <f>VLOOKUP(M1474,Umfragenteilnahme!$A$2:$B$3,2,)</f>
        <v>Ja</v>
      </c>
      <c r="M1474">
        <v>1</v>
      </c>
      <c r="N1474">
        <v>342</v>
      </c>
      <c r="O1474">
        <v>1</v>
      </c>
      <c r="P1474">
        <v>76</v>
      </c>
      <c r="Q1474">
        <v>9</v>
      </c>
      <c r="R1474">
        <v>6</v>
      </c>
      <c r="S1474">
        <v>21</v>
      </c>
    </row>
    <row r="1475" spans="1:19" x14ac:dyDescent="0.35">
      <c r="A1475">
        <v>9122</v>
      </c>
      <c r="B1475">
        <v>762</v>
      </c>
      <c r="C1475" t="str">
        <f>VLOOKUP(B1475,Kunde!A:C,3,FALSE)</f>
        <v>Geschäftskunde</v>
      </c>
      <c r="D1475" t="str">
        <f>VLOOKUP(O1475,Produkt!$A$1:$E$5,2,FALSE)</f>
        <v>B</v>
      </c>
      <c r="E1475">
        <f t="shared" ref="E1475:E1500" si="69">IF(C1475="Geschäftskunde",P1475,Q1475)</f>
        <v>37</v>
      </c>
      <c r="F1475">
        <f>VLOOKUP(D1475,Produkt!$B$1:$C$5,2,FALSE)*Bestellungen!E1475</f>
        <v>17760</v>
      </c>
      <c r="G1475" s="2">
        <v>44943</v>
      </c>
      <c r="H1475" s="2">
        <f t="shared" ref="H1475:H1500" si="70">G1475+R1475</f>
        <v>44946</v>
      </c>
      <c r="I1475" s="2">
        <f t="shared" ref="I1475:I1500" si="71">G1475+S1475</f>
        <v>44950</v>
      </c>
      <c r="J1475" t="str">
        <f>VLOOKUP(M1475,Umfragenteilnahme!$A$2:$B$3,2,)</f>
        <v>Ja</v>
      </c>
      <c r="M1475">
        <v>1</v>
      </c>
      <c r="N1475">
        <v>762</v>
      </c>
      <c r="O1475">
        <v>2</v>
      </c>
      <c r="P1475">
        <v>37</v>
      </c>
      <c r="Q1475">
        <v>9</v>
      </c>
      <c r="R1475">
        <v>3</v>
      </c>
      <c r="S1475">
        <v>7</v>
      </c>
    </row>
    <row r="1476" spans="1:19" x14ac:dyDescent="0.35">
      <c r="A1476">
        <v>9123</v>
      </c>
      <c r="B1476">
        <v>314</v>
      </c>
      <c r="C1476" t="str">
        <f>VLOOKUP(B1476,Kunde!A:C,3,FALSE)</f>
        <v>Geschäftskunde</v>
      </c>
      <c r="D1476" t="str">
        <f>VLOOKUP(O1476,Produkt!$A$1:$E$5,2,FALSE)</f>
        <v>B</v>
      </c>
      <c r="E1476">
        <f t="shared" si="69"/>
        <v>131</v>
      </c>
      <c r="F1476">
        <f>VLOOKUP(D1476,Produkt!$B$1:$C$5,2,FALSE)*Bestellungen!E1476</f>
        <v>62880</v>
      </c>
      <c r="G1476" s="2">
        <v>45034</v>
      </c>
      <c r="H1476" s="2">
        <f t="shared" si="70"/>
        <v>45038</v>
      </c>
      <c r="I1476" s="2">
        <f t="shared" si="71"/>
        <v>45051</v>
      </c>
      <c r="J1476" t="str">
        <f>VLOOKUP(M1476,Umfragenteilnahme!$A$2:$B$3,2,)</f>
        <v>Ja</v>
      </c>
      <c r="M1476">
        <v>1</v>
      </c>
      <c r="N1476">
        <v>314</v>
      </c>
      <c r="O1476">
        <v>2</v>
      </c>
      <c r="P1476">
        <v>131</v>
      </c>
      <c r="Q1476">
        <v>2</v>
      </c>
      <c r="R1476">
        <v>4</v>
      </c>
      <c r="S1476">
        <v>17</v>
      </c>
    </row>
    <row r="1477" spans="1:19" x14ac:dyDescent="0.35">
      <c r="A1477">
        <v>9124</v>
      </c>
      <c r="B1477">
        <v>730</v>
      </c>
      <c r="C1477" t="str">
        <f>VLOOKUP(B1477,Kunde!A:C,3,FALSE)</f>
        <v>Geschäftskunde</v>
      </c>
      <c r="D1477" t="str">
        <f>VLOOKUP(O1477,Produkt!$A$1:$E$5,2,FALSE)</f>
        <v>B</v>
      </c>
      <c r="E1477">
        <f t="shared" si="69"/>
        <v>96</v>
      </c>
      <c r="F1477">
        <f>VLOOKUP(D1477,Produkt!$B$1:$C$5,2,FALSE)*Bestellungen!E1477</f>
        <v>46080</v>
      </c>
      <c r="G1477" s="2">
        <v>44928</v>
      </c>
      <c r="H1477" s="2">
        <f t="shared" si="70"/>
        <v>44930</v>
      </c>
      <c r="I1477" s="2">
        <f t="shared" si="71"/>
        <v>44942</v>
      </c>
      <c r="J1477" t="str">
        <f>VLOOKUP(M1477,Umfragenteilnahme!$A$2:$B$3,2,)</f>
        <v>Nein</v>
      </c>
      <c r="M1477">
        <v>2</v>
      </c>
      <c r="N1477">
        <v>730</v>
      </c>
      <c r="O1477">
        <v>2</v>
      </c>
      <c r="P1477">
        <v>96</v>
      </c>
      <c r="Q1477">
        <v>2</v>
      </c>
      <c r="R1477">
        <v>2</v>
      </c>
      <c r="S1477">
        <v>14</v>
      </c>
    </row>
    <row r="1478" spans="1:19" x14ac:dyDescent="0.35">
      <c r="A1478">
        <v>9125</v>
      </c>
      <c r="B1478">
        <v>456</v>
      </c>
      <c r="C1478" t="str">
        <f>VLOOKUP(B1478,Kunde!A:C,3,FALSE)</f>
        <v>Privatkunde</v>
      </c>
      <c r="D1478" t="str">
        <f>VLOOKUP(O1478,Produkt!$A$1:$E$5,2,FALSE)</f>
        <v>A</v>
      </c>
      <c r="E1478">
        <f t="shared" si="69"/>
        <v>9</v>
      </c>
      <c r="F1478">
        <f>VLOOKUP(D1478,Produkt!$B$1:$C$5,2,FALSE)*Bestellungen!E1478</f>
        <v>2700</v>
      </c>
      <c r="G1478" s="2">
        <v>44787</v>
      </c>
      <c r="H1478" s="2">
        <f t="shared" si="70"/>
        <v>44791</v>
      </c>
      <c r="I1478" s="2">
        <f t="shared" si="71"/>
        <v>44816</v>
      </c>
      <c r="J1478" t="str">
        <f>VLOOKUP(M1478,Umfragenteilnahme!$A$2:$B$3,2,)</f>
        <v>Nein</v>
      </c>
      <c r="M1478">
        <v>2</v>
      </c>
      <c r="N1478">
        <v>456</v>
      </c>
      <c r="O1478">
        <v>1</v>
      </c>
      <c r="P1478">
        <v>35</v>
      </c>
      <c r="Q1478">
        <v>9</v>
      </c>
      <c r="R1478">
        <v>4</v>
      </c>
      <c r="S1478">
        <v>29</v>
      </c>
    </row>
    <row r="1479" spans="1:19" x14ac:dyDescent="0.35">
      <c r="A1479">
        <v>9126</v>
      </c>
      <c r="B1479">
        <v>652</v>
      </c>
      <c r="C1479" t="str">
        <f>VLOOKUP(B1479,Kunde!A:C,3,FALSE)</f>
        <v>Geschäftskunde</v>
      </c>
      <c r="D1479" t="str">
        <f>VLOOKUP(O1479,Produkt!$A$1:$E$5,2,FALSE)</f>
        <v>D</v>
      </c>
      <c r="E1479">
        <f t="shared" si="69"/>
        <v>71</v>
      </c>
      <c r="F1479">
        <f>VLOOKUP(D1479,Produkt!$B$1:$C$5,2,FALSE)*Bestellungen!E1479</f>
        <v>56800</v>
      </c>
      <c r="G1479" s="2">
        <v>44845</v>
      </c>
      <c r="H1479" s="2">
        <f t="shared" si="70"/>
        <v>44849</v>
      </c>
      <c r="I1479" s="2">
        <f t="shared" si="71"/>
        <v>44862</v>
      </c>
      <c r="J1479" t="str">
        <f>VLOOKUP(M1479,Umfragenteilnahme!$A$2:$B$3,2,)</f>
        <v>Ja</v>
      </c>
      <c r="M1479">
        <v>1</v>
      </c>
      <c r="N1479">
        <v>652</v>
      </c>
      <c r="O1479">
        <v>4</v>
      </c>
      <c r="P1479">
        <v>71</v>
      </c>
      <c r="Q1479">
        <v>5</v>
      </c>
      <c r="R1479">
        <v>4</v>
      </c>
      <c r="S1479">
        <v>17</v>
      </c>
    </row>
    <row r="1480" spans="1:19" x14ac:dyDescent="0.35">
      <c r="A1480">
        <v>9127</v>
      </c>
      <c r="B1480">
        <v>569</v>
      </c>
      <c r="C1480" t="str">
        <f>VLOOKUP(B1480,Kunde!A:C,3,FALSE)</f>
        <v>Geschäftskunde</v>
      </c>
      <c r="D1480" t="str">
        <f>VLOOKUP(O1480,Produkt!$A$1:$E$5,2,FALSE)</f>
        <v>C</v>
      </c>
      <c r="E1480">
        <f t="shared" si="69"/>
        <v>32</v>
      </c>
      <c r="F1480">
        <f>VLOOKUP(D1480,Produkt!$B$1:$C$5,2,FALSE)*Bestellungen!E1480</f>
        <v>48000</v>
      </c>
      <c r="G1480" s="2">
        <v>44810</v>
      </c>
      <c r="H1480" s="2">
        <f t="shared" si="70"/>
        <v>44812</v>
      </c>
      <c r="I1480" s="2">
        <f t="shared" si="71"/>
        <v>44818</v>
      </c>
      <c r="J1480" t="str">
        <f>VLOOKUP(M1480,Umfragenteilnahme!$A$2:$B$3,2,)</f>
        <v>Ja</v>
      </c>
      <c r="M1480">
        <v>1</v>
      </c>
      <c r="N1480">
        <v>569</v>
      </c>
      <c r="O1480">
        <v>3</v>
      </c>
      <c r="P1480">
        <v>32</v>
      </c>
      <c r="Q1480">
        <v>9</v>
      </c>
      <c r="R1480">
        <v>2</v>
      </c>
      <c r="S1480">
        <v>8</v>
      </c>
    </row>
    <row r="1481" spans="1:19" x14ac:dyDescent="0.35">
      <c r="A1481">
        <v>9128</v>
      </c>
      <c r="B1481">
        <v>226</v>
      </c>
      <c r="C1481" t="str">
        <f>VLOOKUP(B1481,Kunde!A:C,3,FALSE)</f>
        <v>Privatkunde</v>
      </c>
      <c r="D1481" t="str">
        <f>VLOOKUP(O1481,Produkt!$A$1:$E$5,2,FALSE)</f>
        <v>D</v>
      </c>
      <c r="E1481">
        <f t="shared" si="69"/>
        <v>9</v>
      </c>
      <c r="F1481">
        <f>VLOOKUP(D1481,Produkt!$B$1:$C$5,2,FALSE)*Bestellungen!E1481</f>
        <v>7200</v>
      </c>
      <c r="G1481" s="2">
        <v>44798</v>
      </c>
      <c r="H1481" s="2">
        <f t="shared" si="70"/>
        <v>44805</v>
      </c>
      <c r="I1481" s="2">
        <f t="shared" si="71"/>
        <v>44807</v>
      </c>
      <c r="J1481" t="str">
        <f>VLOOKUP(M1481,Umfragenteilnahme!$A$2:$B$3,2,)</f>
        <v>Nein</v>
      </c>
      <c r="M1481">
        <v>2</v>
      </c>
      <c r="N1481">
        <v>226</v>
      </c>
      <c r="O1481">
        <v>4</v>
      </c>
      <c r="P1481">
        <v>46</v>
      </c>
      <c r="Q1481">
        <v>9</v>
      </c>
      <c r="R1481">
        <v>7</v>
      </c>
      <c r="S1481">
        <v>9</v>
      </c>
    </row>
    <row r="1482" spans="1:19" x14ac:dyDescent="0.35">
      <c r="A1482">
        <v>9129</v>
      </c>
      <c r="B1482">
        <v>640</v>
      </c>
      <c r="C1482" t="str">
        <f>VLOOKUP(B1482,Kunde!A:C,3,FALSE)</f>
        <v>Geschäftskunde</v>
      </c>
      <c r="D1482" t="str">
        <f>VLOOKUP(O1482,Produkt!$A$1:$E$5,2,FALSE)</f>
        <v>C</v>
      </c>
      <c r="E1482">
        <f t="shared" si="69"/>
        <v>131</v>
      </c>
      <c r="F1482">
        <f>VLOOKUP(D1482,Produkt!$B$1:$C$5,2,FALSE)*Bestellungen!E1482</f>
        <v>196500</v>
      </c>
      <c r="G1482" s="2">
        <v>44879</v>
      </c>
      <c r="H1482" s="2">
        <f t="shared" si="70"/>
        <v>44884</v>
      </c>
      <c r="I1482" s="2">
        <f t="shared" si="71"/>
        <v>44928</v>
      </c>
      <c r="J1482" t="str">
        <f>VLOOKUP(M1482,Umfragenteilnahme!$A$2:$B$3,2,)</f>
        <v>Nein</v>
      </c>
      <c r="M1482">
        <v>2</v>
      </c>
      <c r="N1482">
        <v>640</v>
      </c>
      <c r="O1482">
        <v>3</v>
      </c>
      <c r="P1482">
        <v>131</v>
      </c>
      <c r="Q1482">
        <v>9</v>
      </c>
      <c r="R1482">
        <v>5</v>
      </c>
      <c r="S1482">
        <v>49</v>
      </c>
    </row>
    <row r="1483" spans="1:19" x14ac:dyDescent="0.35">
      <c r="A1483">
        <v>9130</v>
      </c>
      <c r="B1483">
        <v>251</v>
      </c>
      <c r="C1483" t="str">
        <f>VLOOKUP(B1483,Kunde!A:C,3,FALSE)</f>
        <v>Privatkunde</v>
      </c>
      <c r="D1483" t="str">
        <f>VLOOKUP(O1483,Produkt!$A$1:$E$5,2,FALSE)</f>
        <v>D</v>
      </c>
      <c r="E1483">
        <f t="shared" si="69"/>
        <v>2</v>
      </c>
      <c r="F1483">
        <f>VLOOKUP(D1483,Produkt!$B$1:$C$5,2,FALSE)*Bestellungen!E1483</f>
        <v>1600</v>
      </c>
      <c r="G1483" s="2">
        <v>44996</v>
      </c>
      <c r="H1483" s="2">
        <f t="shared" si="70"/>
        <v>44999</v>
      </c>
      <c r="I1483" s="2">
        <f t="shared" si="71"/>
        <v>45007</v>
      </c>
      <c r="J1483" t="str">
        <f>VLOOKUP(M1483,Umfragenteilnahme!$A$2:$B$3,2,)</f>
        <v>Nein</v>
      </c>
      <c r="M1483">
        <v>2</v>
      </c>
      <c r="N1483">
        <v>251</v>
      </c>
      <c r="O1483">
        <v>4</v>
      </c>
      <c r="P1483">
        <v>34</v>
      </c>
      <c r="Q1483">
        <v>2</v>
      </c>
      <c r="R1483">
        <v>3</v>
      </c>
      <c r="S1483">
        <v>11</v>
      </c>
    </row>
    <row r="1484" spans="1:19" x14ac:dyDescent="0.35">
      <c r="A1484">
        <v>9131</v>
      </c>
      <c r="B1484">
        <v>745</v>
      </c>
      <c r="C1484" t="str">
        <f>VLOOKUP(B1484,Kunde!A:C,3,FALSE)</f>
        <v>Geschäftskunde</v>
      </c>
      <c r="D1484" t="str">
        <f>VLOOKUP(O1484,Produkt!$A$1:$E$5,2,FALSE)</f>
        <v>C</v>
      </c>
      <c r="E1484">
        <f t="shared" si="69"/>
        <v>106</v>
      </c>
      <c r="F1484">
        <f>VLOOKUP(D1484,Produkt!$B$1:$C$5,2,FALSE)*Bestellungen!E1484</f>
        <v>159000</v>
      </c>
      <c r="G1484" s="2">
        <v>44833</v>
      </c>
      <c r="H1484" s="2">
        <f t="shared" si="70"/>
        <v>44838</v>
      </c>
      <c r="I1484" s="2">
        <f t="shared" si="71"/>
        <v>44878</v>
      </c>
      <c r="J1484" t="str">
        <f>VLOOKUP(M1484,Umfragenteilnahme!$A$2:$B$3,2,)</f>
        <v>Ja</v>
      </c>
      <c r="M1484">
        <v>1</v>
      </c>
      <c r="N1484">
        <v>745</v>
      </c>
      <c r="O1484">
        <v>3</v>
      </c>
      <c r="P1484">
        <v>106</v>
      </c>
      <c r="Q1484">
        <v>1</v>
      </c>
      <c r="R1484">
        <v>5</v>
      </c>
      <c r="S1484">
        <v>45</v>
      </c>
    </row>
    <row r="1485" spans="1:19" x14ac:dyDescent="0.35">
      <c r="A1485">
        <v>9132</v>
      </c>
      <c r="B1485">
        <v>7</v>
      </c>
      <c r="C1485" t="str">
        <f>VLOOKUP(B1485,Kunde!A:C,3,FALSE)</f>
        <v>Geschäftskunde</v>
      </c>
      <c r="D1485" t="str">
        <f>VLOOKUP(O1485,Produkt!$A$1:$E$5,2,FALSE)</f>
        <v>C</v>
      </c>
      <c r="E1485">
        <f t="shared" si="69"/>
        <v>16</v>
      </c>
      <c r="F1485">
        <f>VLOOKUP(D1485,Produkt!$B$1:$C$5,2,FALSE)*Bestellungen!E1485</f>
        <v>24000</v>
      </c>
      <c r="G1485" s="2">
        <v>44766</v>
      </c>
      <c r="H1485" s="2">
        <f t="shared" si="70"/>
        <v>44769</v>
      </c>
      <c r="I1485" s="2">
        <f t="shared" si="71"/>
        <v>44791</v>
      </c>
      <c r="J1485" t="str">
        <f>VLOOKUP(M1485,Umfragenteilnahme!$A$2:$B$3,2,)</f>
        <v>Nein</v>
      </c>
      <c r="M1485">
        <v>2</v>
      </c>
      <c r="N1485">
        <v>7</v>
      </c>
      <c r="O1485">
        <v>3</v>
      </c>
      <c r="P1485">
        <v>16</v>
      </c>
      <c r="Q1485">
        <v>1</v>
      </c>
      <c r="R1485">
        <v>3</v>
      </c>
      <c r="S1485">
        <v>25</v>
      </c>
    </row>
    <row r="1486" spans="1:19" x14ac:dyDescent="0.35">
      <c r="A1486">
        <v>9133</v>
      </c>
      <c r="B1486">
        <v>175</v>
      </c>
      <c r="C1486" t="str">
        <f>VLOOKUP(B1486,Kunde!A:C,3,FALSE)</f>
        <v>Geschäftskunde</v>
      </c>
      <c r="D1486" t="str">
        <f>VLOOKUP(O1486,Produkt!$A$1:$E$5,2,FALSE)</f>
        <v>C</v>
      </c>
      <c r="E1486">
        <f t="shared" si="69"/>
        <v>49</v>
      </c>
      <c r="F1486">
        <f>VLOOKUP(D1486,Produkt!$B$1:$C$5,2,FALSE)*Bestellungen!E1486</f>
        <v>73500</v>
      </c>
      <c r="G1486" s="2">
        <v>44714</v>
      </c>
      <c r="H1486" s="2">
        <f t="shared" si="70"/>
        <v>44718</v>
      </c>
      <c r="I1486" s="2">
        <f t="shared" si="71"/>
        <v>44771</v>
      </c>
      <c r="J1486" t="str">
        <f>VLOOKUP(M1486,Umfragenteilnahme!$A$2:$B$3,2,)</f>
        <v>Ja</v>
      </c>
      <c r="M1486">
        <v>1</v>
      </c>
      <c r="N1486">
        <v>175</v>
      </c>
      <c r="O1486">
        <v>3</v>
      </c>
      <c r="P1486">
        <v>49</v>
      </c>
      <c r="Q1486">
        <v>6</v>
      </c>
      <c r="R1486">
        <v>4</v>
      </c>
      <c r="S1486">
        <v>57</v>
      </c>
    </row>
    <row r="1487" spans="1:19" x14ac:dyDescent="0.35">
      <c r="A1487">
        <v>9134</v>
      </c>
      <c r="B1487">
        <v>713</v>
      </c>
      <c r="C1487" t="str">
        <f>VLOOKUP(B1487,Kunde!A:C,3,FALSE)</f>
        <v>Geschäftskunde</v>
      </c>
      <c r="D1487" t="str">
        <f>VLOOKUP(O1487,Produkt!$A$1:$E$5,2,FALSE)</f>
        <v>D</v>
      </c>
      <c r="E1487">
        <f t="shared" si="69"/>
        <v>112</v>
      </c>
      <c r="F1487">
        <f>VLOOKUP(D1487,Produkt!$B$1:$C$5,2,FALSE)*Bestellungen!E1487</f>
        <v>89600</v>
      </c>
      <c r="G1487" s="2">
        <v>44729</v>
      </c>
      <c r="H1487" s="2">
        <f t="shared" si="70"/>
        <v>44733</v>
      </c>
      <c r="I1487" s="2">
        <f t="shared" si="71"/>
        <v>44767</v>
      </c>
      <c r="J1487" t="str">
        <f>VLOOKUP(M1487,Umfragenteilnahme!$A$2:$B$3,2,)</f>
        <v>Ja</v>
      </c>
      <c r="M1487">
        <v>1</v>
      </c>
      <c r="N1487">
        <v>713</v>
      </c>
      <c r="O1487">
        <v>4</v>
      </c>
      <c r="P1487">
        <v>112</v>
      </c>
      <c r="Q1487">
        <v>3</v>
      </c>
      <c r="R1487">
        <v>4</v>
      </c>
      <c r="S1487">
        <v>38</v>
      </c>
    </row>
    <row r="1488" spans="1:19" x14ac:dyDescent="0.35">
      <c r="A1488">
        <v>9135</v>
      </c>
      <c r="B1488">
        <v>153</v>
      </c>
      <c r="C1488" t="str">
        <f>VLOOKUP(B1488,Kunde!A:C,3,FALSE)</f>
        <v>Geschäftskunde</v>
      </c>
      <c r="D1488" t="str">
        <f>VLOOKUP(O1488,Produkt!$A$1:$E$5,2,FALSE)</f>
        <v>B</v>
      </c>
      <c r="E1488">
        <f t="shared" si="69"/>
        <v>44</v>
      </c>
      <c r="F1488">
        <f>VLOOKUP(D1488,Produkt!$B$1:$C$5,2,FALSE)*Bestellungen!E1488</f>
        <v>21120</v>
      </c>
      <c r="G1488" s="2">
        <v>44914</v>
      </c>
      <c r="H1488" s="2">
        <f t="shared" si="70"/>
        <v>44916</v>
      </c>
      <c r="I1488" s="2">
        <f t="shared" si="71"/>
        <v>44964</v>
      </c>
      <c r="J1488" t="str">
        <f>VLOOKUP(M1488,Umfragenteilnahme!$A$2:$B$3,2,)</f>
        <v>Ja</v>
      </c>
      <c r="M1488">
        <v>1</v>
      </c>
      <c r="N1488">
        <v>153</v>
      </c>
      <c r="O1488">
        <v>2</v>
      </c>
      <c r="P1488">
        <v>44</v>
      </c>
      <c r="Q1488">
        <v>6</v>
      </c>
      <c r="R1488">
        <v>2</v>
      </c>
      <c r="S1488">
        <v>50</v>
      </c>
    </row>
    <row r="1489" spans="1:19" x14ac:dyDescent="0.35">
      <c r="A1489">
        <v>9136</v>
      </c>
      <c r="B1489">
        <v>256</v>
      </c>
      <c r="C1489" t="str">
        <f>VLOOKUP(B1489,Kunde!A:C,3,FALSE)</f>
        <v>Geschäftskunde</v>
      </c>
      <c r="D1489" t="str">
        <f>VLOOKUP(O1489,Produkt!$A$1:$E$5,2,FALSE)</f>
        <v>B</v>
      </c>
      <c r="E1489">
        <f t="shared" si="69"/>
        <v>119</v>
      </c>
      <c r="F1489">
        <f>VLOOKUP(D1489,Produkt!$B$1:$C$5,2,FALSE)*Bestellungen!E1489</f>
        <v>57120</v>
      </c>
      <c r="G1489" s="2">
        <v>45029</v>
      </c>
      <c r="H1489" s="2">
        <f t="shared" si="70"/>
        <v>45031</v>
      </c>
      <c r="I1489" s="2">
        <f t="shared" si="71"/>
        <v>45077</v>
      </c>
      <c r="J1489" t="str">
        <f>VLOOKUP(M1489,Umfragenteilnahme!$A$2:$B$3,2,)</f>
        <v>Ja</v>
      </c>
      <c r="M1489">
        <v>1</v>
      </c>
      <c r="N1489">
        <v>256</v>
      </c>
      <c r="O1489">
        <v>2</v>
      </c>
      <c r="P1489">
        <v>119</v>
      </c>
      <c r="Q1489">
        <v>8</v>
      </c>
      <c r="R1489">
        <v>2</v>
      </c>
      <c r="S1489">
        <v>48</v>
      </c>
    </row>
    <row r="1490" spans="1:19" x14ac:dyDescent="0.35">
      <c r="A1490">
        <v>9137</v>
      </c>
      <c r="B1490">
        <v>640</v>
      </c>
      <c r="C1490" t="str">
        <f>VLOOKUP(B1490,Kunde!A:C,3,FALSE)</f>
        <v>Geschäftskunde</v>
      </c>
      <c r="D1490" t="str">
        <f>VLOOKUP(O1490,Produkt!$A$1:$E$5,2,FALSE)</f>
        <v>C</v>
      </c>
      <c r="E1490">
        <f t="shared" si="69"/>
        <v>58</v>
      </c>
      <c r="F1490">
        <f>VLOOKUP(D1490,Produkt!$B$1:$C$5,2,FALSE)*Bestellungen!E1490</f>
        <v>87000</v>
      </c>
      <c r="G1490" s="2">
        <v>44826</v>
      </c>
      <c r="H1490" s="2">
        <f t="shared" si="70"/>
        <v>44830</v>
      </c>
      <c r="I1490" s="2">
        <f t="shared" si="71"/>
        <v>44881</v>
      </c>
      <c r="J1490" t="str">
        <f>VLOOKUP(M1490,Umfragenteilnahme!$A$2:$B$3,2,)</f>
        <v>Nein</v>
      </c>
      <c r="M1490">
        <v>2</v>
      </c>
      <c r="N1490">
        <v>640</v>
      </c>
      <c r="O1490">
        <v>3</v>
      </c>
      <c r="P1490">
        <v>58</v>
      </c>
      <c r="Q1490">
        <v>4</v>
      </c>
      <c r="R1490">
        <v>4</v>
      </c>
      <c r="S1490">
        <v>55</v>
      </c>
    </row>
    <row r="1491" spans="1:19" x14ac:dyDescent="0.35">
      <c r="A1491">
        <v>9138</v>
      </c>
      <c r="B1491">
        <v>99</v>
      </c>
      <c r="C1491" t="str">
        <f>VLOOKUP(B1491,Kunde!A:C,3,FALSE)</f>
        <v>Privatkunde</v>
      </c>
      <c r="D1491" t="str">
        <f>VLOOKUP(O1491,Produkt!$A$1:$E$5,2,FALSE)</f>
        <v>C</v>
      </c>
      <c r="E1491">
        <f t="shared" si="69"/>
        <v>3</v>
      </c>
      <c r="F1491">
        <f>VLOOKUP(D1491,Produkt!$B$1:$C$5,2,FALSE)*Bestellungen!E1491</f>
        <v>4500</v>
      </c>
      <c r="G1491" s="2">
        <v>45061</v>
      </c>
      <c r="H1491" s="2">
        <f t="shared" si="70"/>
        <v>45065</v>
      </c>
      <c r="I1491" s="2">
        <f t="shared" si="71"/>
        <v>45067</v>
      </c>
      <c r="J1491" t="str">
        <f>VLOOKUP(M1491,Umfragenteilnahme!$A$2:$B$3,2,)</f>
        <v>Nein</v>
      </c>
      <c r="M1491">
        <v>2</v>
      </c>
      <c r="N1491">
        <v>99</v>
      </c>
      <c r="O1491">
        <v>3</v>
      </c>
      <c r="P1491">
        <v>119</v>
      </c>
      <c r="Q1491">
        <v>3</v>
      </c>
      <c r="R1491">
        <v>4</v>
      </c>
      <c r="S1491">
        <v>6</v>
      </c>
    </row>
    <row r="1492" spans="1:19" x14ac:dyDescent="0.35">
      <c r="A1492">
        <v>9139</v>
      </c>
      <c r="B1492">
        <v>517</v>
      </c>
      <c r="C1492" t="str">
        <f>VLOOKUP(B1492,Kunde!A:C,3,FALSE)</f>
        <v>Geschäftskunde</v>
      </c>
      <c r="D1492" t="str">
        <f>VLOOKUP(O1492,Produkt!$A$1:$E$5,2,FALSE)</f>
        <v>C</v>
      </c>
      <c r="E1492">
        <f t="shared" si="69"/>
        <v>18</v>
      </c>
      <c r="F1492">
        <f>VLOOKUP(D1492,Produkt!$B$1:$C$5,2,FALSE)*Bestellungen!E1492</f>
        <v>27000</v>
      </c>
      <c r="G1492" s="2">
        <v>44836</v>
      </c>
      <c r="H1492" s="2">
        <f t="shared" si="70"/>
        <v>44840</v>
      </c>
      <c r="I1492" s="2">
        <f t="shared" si="71"/>
        <v>44862</v>
      </c>
      <c r="J1492" t="str">
        <f>VLOOKUP(M1492,Umfragenteilnahme!$A$2:$B$3,2,)</f>
        <v>Nein</v>
      </c>
      <c r="M1492">
        <v>2</v>
      </c>
      <c r="N1492">
        <v>517</v>
      </c>
      <c r="O1492">
        <v>3</v>
      </c>
      <c r="P1492">
        <v>18</v>
      </c>
      <c r="Q1492">
        <v>10</v>
      </c>
      <c r="R1492">
        <v>4</v>
      </c>
      <c r="S1492">
        <v>26</v>
      </c>
    </row>
    <row r="1493" spans="1:19" x14ac:dyDescent="0.35">
      <c r="A1493">
        <v>9140</v>
      </c>
      <c r="B1493">
        <v>378</v>
      </c>
      <c r="C1493" t="str">
        <f>VLOOKUP(B1493,Kunde!A:C,3,FALSE)</f>
        <v>Geschäftskunde</v>
      </c>
      <c r="D1493" t="str">
        <f>VLOOKUP(O1493,Produkt!$A$1:$E$5,2,FALSE)</f>
        <v>A</v>
      </c>
      <c r="E1493">
        <f t="shared" si="69"/>
        <v>53</v>
      </c>
      <c r="F1493">
        <f>VLOOKUP(D1493,Produkt!$B$1:$C$5,2,FALSE)*Bestellungen!E1493</f>
        <v>15900</v>
      </c>
      <c r="G1493" s="2">
        <v>44960</v>
      </c>
      <c r="H1493" s="2">
        <f t="shared" si="70"/>
        <v>44962</v>
      </c>
      <c r="I1493" s="2">
        <f t="shared" si="71"/>
        <v>44967</v>
      </c>
      <c r="J1493" t="str">
        <f>VLOOKUP(M1493,Umfragenteilnahme!$A$2:$B$3,2,)</f>
        <v>Nein</v>
      </c>
      <c r="M1493">
        <v>2</v>
      </c>
      <c r="N1493">
        <v>378</v>
      </c>
      <c r="O1493">
        <v>1</v>
      </c>
      <c r="P1493">
        <v>53</v>
      </c>
      <c r="Q1493">
        <v>6</v>
      </c>
      <c r="R1493">
        <v>2</v>
      </c>
      <c r="S1493">
        <v>7</v>
      </c>
    </row>
    <row r="1494" spans="1:19" x14ac:dyDescent="0.35">
      <c r="A1494">
        <v>9141</v>
      </c>
      <c r="B1494">
        <v>182</v>
      </c>
      <c r="C1494" t="str">
        <f>VLOOKUP(B1494,Kunde!A:C,3,FALSE)</f>
        <v>Geschäftskunde</v>
      </c>
      <c r="D1494" t="str">
        <f>VLOOKUP(O1494,Produkt!$A$1:$E$5,2,FALSE)</f>
        <v>B</v>
      </c>
      <c r="E1494">
        <f t="shared" si="69"/>
        <v>19</v>
      </c>
      <c r="F1494">
        <f>VLOOKUP(D1494,Produkt!$B$1:$C$5,2,FALSE)*Bestellungen!E1494</f>
        <v>9120</v>
      </c>
      <c r="G1494" s="2">
        <v>44766</v>
      </c>
      <c r="H1494" s="2">
        <f t="shared" si="70"/>
        <v>44771</v>
      </c>
      <c r="I1494" s="2">
        <f t="shared" si="71"/>
        <v>44797</v>
      </c>
      <c r="J1494" t="str">
        <f>VLOOKUP(M1494,Umfragenteilnahme!$A$2:$B$3,2,)</f>
        <v>Ja</v>
      </c>
      <c r="M1494">
        <v>1</v>
      </c>
      <c r="N1494">
        <v>182</v>
      </c>
      <c r="O1494">
        <v>2</v>
      </c>
      <c r="P1494">
        <v>19</v>
      </c>
      <c r="Q1494">
        <v>4</v>
      </c>
      <c r="R1494">
        <v>5</v>
      </c>
      <c r="S1494">
        <v>31</v>
      </c>
    </row>
    <row r="1495" spans="1:19" x14ac:dyDescent="0.35">
      <c r="A1495">
        <v>9142</v>
      </c>
      <c r="B1495">
        <v>220</v>
      </c>
      <c r="C1495" t="str">
        <f>VLOOKUP(B1495,Kunde!A:C,3,FALSE)</f>
        <v>Geschäftskunde</v>
      </c>
      <c r="D1495" t="str">
        <f>VLOOKUP(O1495,Produkt!$A$1:$E$5,2,FALSE)</f>
        <v>A</v>
      </c>
      <c r="E1495">
        <f t="shared" si="69"/>
        <v>132</v>
      </c>
      <c r="F1495">
        <f>VLOOKUP(D1495,Produkt!$B$1:$C$5,2,FALSE)*Bestellungen!E1495</f>
        <v>39600</v>
      </c>
      <c r="G1495" s="2">
        <v>44986</v>
      </c>
      <c r="H1495" s="2">
        <f t="shared" si="70"/>
        <v>44990</v>
      </c>
      <c r="I1495" s="2">
        <f t="shared" si="71"/>
        <v>45041</v>
      </c>
      <c r="J1495" t="str">
        <f>VLOOKUP(M1495,Umfragenteilnahme!$A$2:$B$3,2,)</f>
        <v>Nein</v>
      </c>
      <c r="M1495">
        <v>2</v>
      </c>
      <c r="N1495">
        <v>220</v>
      </c>
      <c r="O1495">
        <v>1</v>
      </c>
      <c r="P1495">
        <v>132</v>
      </c>
      <c r="Q1495">
        <v>2</v>
      </c>
      <c r="R1495">
        <v>4</v>
      </c>
      <c r="S1495">
        <v>55</v>
      </c>
    </row>
    <row r="1496" spans="1:19" x14ac:dyDescent="0.35">
      <c r="A1496">
        <v>9143</v>
      </c>
      <c r="B1496">
        <v>372</v>
      </c>
      <c r="C1496" t="str">
        <f>VLOOKUP(B1496,Kunde!A:C,3,FALSE)</f>
        <v>Geschäftskunde</v>
      </c>
      <c r="D1496" t="str">
        <f>VLOOKUP(O1496,Produkt!$A$1:$E$5,2,FALSE)</f>
        <v>A</v>
      </c>
      <c r="E1496">
        <f t="shared" si="69"/>
        <v>11</v>
      </c>
      <c r="F1496">
        <f>VLOOKUP(D1496,Produkt!$B$1:$C$5,2,FALSE)*Bestellungen!E1496</f>
        <v>3300</v>
      </c>
      <c r="G1496" s="2">
        <v>44794</v>
      </c>
      <c r="H1496" s="2">
        <f t="shared" si="70"/>
        <v>44799</v>
      </c>
      <c r="I1496" s="2">
        <f t="shared" si="71"/>
        <v>44849</v>
      </c>
      <c r="J1496" t="str">
        <f>VLOOKUP(M1496,Umfragenteilnahme!$A$2:$B$3,2,)</f>
        <v>Ja</v>
      </c>
      <c r="M1496">
        <v>1</v>
      </c>
      <c r="N1496">
        <v>372</v>
      </c>
      <c r="O1496">
        <v>1</v>
      </c>
      <c r="P1496">
        <v>11</v>
      </c>
      <c r="Q1496">
        <v>4</v>
      </c>
      <c r="R1496">
        <v>5</v>
      </c>
      <c r="S1496">
        <v>55</v>
      </c>
    </row>
    <row r="1497" spans="1:19" x14ac:dyDescent="0.35">
      <c r="A1497">
        <v>9144</v>
      </c>
      <c r="B1497">
        <v>565</v>
      </c>
      <c r="C1497" t="str">
        <f>VLOOKUP(B1497,Kunde!A:C,3,FALSE)</f>
        <v>Geschäftskunde</v>
      </c>
      <c r="D1497" t="str">
        <f>VLOOKUP(O1497,Produkt!$A$1:$E$5,2,FALSE)</f>
        <v>C</v>
      </c>
      <c r="E1497">
        <f t="shared" si="69"/>
        <v>50</v>
      </c>
      <c r="F1497">
        <f>VLOOKUP(D1497,Produkt!$B$1:$C$5,2,FALSE)*Bestellungen!E1497</f>
        <v>75000</v>
      </c>
      <c r="G1497" s="2">
        <v>44959</v>
      </c>
      <c r="H1497" s="2">
        <f t="shared" si="70"/>
        <v>44961</v>
      </c>
      <c r="I1497" s="2">
        <f t="shared" si="71"/>
        <v>44966</v>
      </c>
      <c r="J1497" t="str">
        <f>VLOOKUP(M1497,Umfragenteilnahme!$A$2:$B$3,2,)</f>
        <v>Nein</v>
      </c>
      <c r="M1497">
        <v>2</v>
      </c>
      <c r="N1497">
        <v>565</v>
      </c>
      <c r="O1497">
        <v>3</v>
      </c>
      <c r="P1497">
        <v>50</v>
      </c>
      <c r="Q1497">
        <v>7</v>
      </c>
      <c r="R1497">
        <v>2</v>
      </c>
      <c r="S1497">
        <v>7</v>
      </c>
    </row>
    <row r="1498" spans="1:19" x14ac:dyDescent="0.35">
      <c r="A1498">
        <v>9145</v>
      </c>
      <c r="B1498">
        <v>712</v>
      </c>
      <c r="C1498" t="str">
        <f>VLOOKUP(B1498,Kunde!A:C,3,FALSE)</f>
        <v>Privatkunde</v>
      </c>
      <c r="D1498" t="str">
        <f>VLOOKUP(O1498,Produkt!$A$1:$E$5,2,FALSE)</f>
        <v>B</v>
      </c>
      <c r="E1498">
        <f t="shared" si="69"/>
        <v>7</v>
      </c>
      <c r="F1498">
        <f>VLOOKUP(D1498,Produkt!$B$1:$C$5,2,FALSE)*Bestellungen!E1498</f>
        <v>3360</v>
      </c>
      <c r="G1498" s="2">
        <v>44875</v>
      </c>
      <c r="H1498" s="2">
        <f t="shared" si="70"/>
        <v>44881</v>
      </c>
      <c r="I1498" s="2">
        <f t="shared" si="71"/>
        <v>44906</v>
      </c>
      <c r="J1498" t="str">
        <f>VLOOKUP(M1498,Umfragenteilnahme!$A$2:$B$3,2,)</f>
        <v>Ja</v>
      </c>
      <c r="M1498">
        <v>1</v>
      </c>
      <c r="N1498">
        <v>712</v>
      </c>
      <c r="O1498">
        <v>2</v>
      </c>
      <c r="P1498">
        <v>58</v>
      </c>
      <c r="Q1498">
        <v>7</v>
      </c>
      <c r="R1498">
        <v>6</v>
      </c>
      <c r="S1498">
        <v>31</v>
      </c>
    </row>
    <row r="1499" spans="1:19" x14ac:dyDescent="0.35">
      <c r="A1499">
        <v>9146</v>
      </c>
      <c r="B1499">
        <v>755</v>
      </c>
      <c r="C1499" t="str">
        <f>VLOOKUP(B1499,Kunde!A:C,3,FALSE)</f>
        <v>Geschäftskunde</v>
      </c>
      <c r="D1499" t="str">
        <f>VLOOKUP(O1499,Produkt!$A$1:$E$5,2,FALSE)</f>
        <v>C</v>
      </c>
      <c r="E1499">
        <f t="shared" si="69"/>
        <v>30</v>
      </c>
      <c r="F1499">
        <f>VLOOKUP(D1499,Produkt!$B$1:$C$5,2,FALSE)*Bestellungen!E1499</f>
        <v>45000</v>
      </c>
      <c r="G1499" s="2">
        <v>45038</v>
      </c>
      <c r="H1499" s="2">
        <f t="shared" si="70"/>
        <v>45043</v>
      </c>
      <c r="I1499" s="2">
        <f t="shared" si="71"/>
        <v>45046</v>
      </c>
      <c r="J1499" t="str">
        <f>VLOOKUP(M1499,Umfragenteilnahme!$A$2:$B$3,2,)</f>
        <v>Nein</v>
      </c>
      <c r="M1499">
        <v>2</v>
      </c>
      <c r="N1499">
        <v>755</v>
      </c>
      <c r="O1499">
        <v>3</v>
      </c>
      <c r="P1499">
        <v>30</v>
      </c>
      <c r="Q1499">
        <v>5</v>
      </c>
      <c r="R1499">
        <v>5</v>
      </c>
      <c r="S1499">
        <v>8</v>
      </c>
    </row>
    <row r="1500" spans="1:19" x14ac:dyDescent="0.35">
      <c r="A1500">
        <v>9147</v>
      </c>
      <c r="B1500">
        <v>520</v>
      </c>
      <c r="C1500" t="str">
        <f>VLOOKUP(B1500,Kunde!A:C,3,FALSE)</f>
        <v>Geschäftskunde</v>
      </c>
      <c r="D1500" t="str">
        <f>VLOOKUP(O1500,Produkt!$A$1:$E$5,2,FALSE)</f>
        <v>D</v>
      </c>
      <c r="E1500">
        <f t="shared" si="69"/>
        <v>127</v>
      </c>
      <c r="F1500">
        <f>VLOOKUP(D1500,Produkt!$B$1:$C$5,2,FALSE)*Bestellungen!E1500</f>
        <v>101600</v>
      </c>
      <c r="G1500" s="2">
        <v>44869</v>
      </c>
      <c r="H1500" s="2">
        <f t="shared" si="70"/>
        <v>44874</v>
      </c>
      <c r="I1500" s="2">
        <f t="shared" si="71"/>
        <v>44914</v>
      </c>
      <c r="J1500" t="str">
        <f>VLOOKUP(M1500,Umfragenteilnahme!$A$2:$B$3,2,)</f>
        <v>Ja</v>
      </c>
      <c r="M1500">
        <v>1</v>
      </c>
      <c r="N1500">
        <v>520</v>
      </c>
      <c r="O1500">
        <v>4</v>
      </c>
      <c r="P1500">
        <v>127</v>
      </c>
      <c r="Q1500">
        <v>8</v>
      </c>
      <c r="R1500">
        <v>5</v>
      </c>
      <c r="S1500">
        <v>45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B789F-6BD3-4B78-AB7D-BAE8AA6617F7}">
  <sheetPr codeName="Tabelle5"/>
  <dimension ref="A1:B3"/>
  <sheetViews>
    <sheetView workbookViewId="0">
      <selection activeCell="A7" sqref="A7"/>
    </sheetView>
  </sheetViews>
  <sheetFormatPr baseColWidth="10" defaultRowHeight="14.5" x14ac:dyDescent="0.35"/>
  <sheetData>
    <row r="1" spans="1:2" x14ac:dyDescent="0.35">
      <c r="A1" t="s">
        <v>48</v>
      </c>
    </row>
    <row r="2" spans="1:2" x14ac:dyDescent="0.35">
      <c r="A2">
        <v>1</v>
      </c>
      <c r="B2" t="s">
        <v>29</v>
      </c>
    </row>
    <row r="3" spans="1:2" x14ac:dyDescent="0.35">
      <c r="A3">
        <v>2</v>
      </c>
      <c r="B3" t="s">
        <v>49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DADBD-3D88-4FEF-9D17-B28A89C78D9D}">
  <sheetPr codeName="Tabelle2" filterMode="1"/>
  <dimension ref="A1:G1500"/>
  <sheetViews>
    <sheetView workbookViewId="0">
      <selection sqref="A1:G1048576"/>
    </sheetView>
  </sheetViews>
  <sheetFormatPr baseColWidth="10" defaultRowHeight="14.5" x14ac:dyDescent="0.35"/>
  <cols>
    <col min="1" max="1" width="12.26953125" bestFit="1" customWidth="1"/>
    <col min="4" max="4" width="14.36328125" bestFit="1" customWidth="1"/>
    <col min="5" max="5" width="12.26953125" bestFit="1" customWidth="1"/>
    <col min="6" max="6" width="12.90625" bestFit="1" customWidth="1"/>
    <col min="7" max="7" width="21.6328125" bestFit="1" customWidth="1"/>
  </cols>
  <sheetData>
    <row r="1" spans="1:7" x14ac:dyDescent="0.35">
      <c r="A1" t="s">
        <v>17</v>
      </c>
      <c r="B1" t="s">
        <v>0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</row>
    <row r="2" spans="1:7" x14ac:dyDescent="0.35">
      <c r="A2">
        <f>IF(Bestellungen!J2="Ja",Bestellungen!A2)</f>
        <v>7649</v>
      </c>
      <c r="B2">
        <f>IF(Bestellungen!J2="Ja",Bestellungen!B2)</f>
        <v>360</v>
      </c>
      <c r="C2">
        <v>4</v>
      </c>
      <c r="D2">
        <v>5</v>
      </c>
      <c r="E2">
        <v>5</v>
      </c>
      <c r="F2">
        <v>4</v>
      </c>
      <c r="G2">
        <f>SUM(C2:F2)/COUNT(C2:F2)</f>
        <v>4.5</v>
      </c>
    </row>
    <row r="3" spans="1:7" x14ac:dyDescent="0.35">
      <c r="A3">
        <f>IF(Bestellungen!J3="Ja",Bestellungen!A3)</f>
        <v>7650</v>
      </c>
      <c r="B3">
        <f>IF(Bestellungen!J3="Ja",Bestellungen!B3)</f>
        <v>521</v>
      </c>
      <c r="C3">
        <v>3</v>
      </c>
      <c r="D3">
        <v>4</v>
      </c>
      <c r="E3">
        <v>5</v>
      </c>
      <c r="F3">
        <v>5</v>
      </c>
      <c r="G3">
        <f t="shared" ref="G3:G66" si="0">SUM(C3:F3)/COUNT(C3:F3)</f>
        <v>4.25</v>
      </c>
    </row>
    <row r="4" spans="1:7" hidden="1" x14ac:dyDescent="0.35">
      <c r="A4" t="b">
        <f>IF(Bestellungen!J4="Ja",Bestellungen!A4)</f>
        <v>0</v>
      </c>
      <c r="B4" t="b">
        <f>IF(Bestellungen!J4="Ja",Bestellungen!B4)</f>
        <v>0</v>
      </c>
      <c r="C4" t="s">
        <v>51</v>
      </c>
      <c r="D4" t="s">
        <v>51</v>
      </c>
      <c r="E4" t="s">
        <v>51</v>
      </c>
      <c r="F4" t="s">
        <v>51</v>
      </c>
      <c r="G4" t="e">
        <f t="shared" si="0"/>
        <v>#DIV/0!</v>
      </c>
    </row>
    <row r="5" spans="1:7" x14ac:dyDescent="0.35">
      <c r="A5">
        <f>IF(Bestellungen!J5="Ja",Bestellungen!A5)</f>
        <v>7652</v>
      </c>
      <c r="B5">
        <f>IF(Bestellungen!J5="Ja",Bestellungen!B5)</f>
        <v>582</v>
      </c>
      <c r="C5">
        <v>3</v>
      </c>
      <c r="D5">
        <v>5</v>
      </c>
      <c r="E5">
        <v>4</v>
      </c>
      <c r="F5">
        <v>5</v>
      </c>
      <c r="G5">
        <f t="shared" si="0"/>
        <v>4.25</v>
      </c>
    </row>
    <row r="6" spans="1:7" hidden="1" x14ac:dyDescent="0.35">
      <c r="A6" t="b">
        <f>IF(Bestellungen!J6="Ja",Bestellungen!A6)</f>
        <v>0</v>
      </c>
      <c r="B6" t="b">
        <f>IF(Bestellungen!J6="Ja",Bestellungen!B6)</f>
        <v>0</v>
      </c>
      <c r="C6" t="s">
        <v>51</v>
      </c>
      <c r="D6" t="s">
        <v>51</v>
      </c>
      <c r="E6" t="s">
        <v>51</v>
      </c>
      <c r="F6" t="s">
        <v>51</v>
      </c>
      <c r="G6" t="e">
        <f t="shared" si="0"/>
        <v>#DIV/0!</v>
      </c>
    </row>
    <row r="7" spans="1:7" x14ac:dyDescent="0.35">
      <c r="A7">
        <f>IF(Bestellungen!J7="Ja",Bestellungen!A7)</f>
        <v>7654</v>
      </c>
      <c r="B7">
        <f>IF(Bestellungen!J7="Ja",Bestellungen!B7)</f>
        <v>132</v>
      </c>
      <c r="C7">
        <v>4</v>
      </c>
      <c r="D7">
        <v>4</v>
      </c>
      <c r="E7">
        <v>5</v>
      </c>
      <c r="F7">
        <v>4</v>
      </c>
      <c r="G7">
        <f t="shared" si="0"/>
        <v>4.25</v>
      </c>
    </row>
    <row r="8" spans="1:7" hidden="1" x14ac:dyDescent="0.35">
      <c r="A8" t="b">
        <f>IF(Bestellungen!J8="Ja",Bestellungen!A8)</f>
        <v>0</v>
      </c>
      <c r="B8" t="b">
        <f>IF(Bestellungen!J8="Ja",Bestellungen!B8)</f>
        <v>0</v>
      </c>
      <c r="C8" t="s">
        <v>51</v>
      </c>
      <c r="D8" t="s">
        <v>51</v>
      </c>
      <c r="E8" t="s">
        <v>51</v>
      </c>
      <c r="F8" t="s">
        <v>51</v>
      </c>
      <c r="G8" t="e">
        <f t="shared" si="0"/>
        <v>#DIV/0!</v>
      </c>
    </row>
    <row r="9" spans="1:7" hidden="1" x14ac:dyDescent="0.35">
      <c r="A9" t="b">
        <f>IF(Bestellungen!J9="Ja",Bestellungen!A9)</f>
        <v>0</v>
      </c>
      <c r="B9" t="b">
        <f>IF(Bestellungen!J9="Ja",Bestellungen!B9)</f>
        <v>0</v>
      </c>
      <c r="C9" t="s">
        <v>51</v>
      </c>
      <c r="D9" t="s">
        <v>51</v>
      </c>
      <c r="E9" t="s">
        <v>51</v>
      </c>
      <c r="F9" t="s">
        <v>51</v>
      </c>
      <c r="G9" t="e">
        <f t="shared" si="0"/>
        <v>#DIV/0!</v>
      </c>
    </row>
    <row r="10" spans="1:7" x14ac:dyDescent="0.35">
      <c r="A10">
        <f>IF(Bestellungen!J10="Ja",Bestellungen!A10)</f>
        <v>7657</v>
      </c>
      <c r="B10">
        <f>IF(Bestellungen!J10="Ja",Bestellungen!B10)</f>
        <v>23</v>
      </c>
      <c r="C10">
        <v>3</v>
      </c>
      <c r="D10">
        <v>5</v>
      </c>
      <c r="E10">
        <v>3</v>
      </c>
      <c r="F10">
        <v>5</v>
      </c>
      <c r="G10">
        <f t="shared" si="0"/>
        <v>4</v>
      </c>
    </row>
    <row r="11" spans="1:7" x14ac:dyDescent="0.35">
      <c r="A11">
        <f>IF(Bestellungen!J11="Ja",Bestellungen!A11)</f>
        <v>7658</v>
      </c>
      <c r="B11">
        <f>IF(Bestellungen!J11="Ja",Bestellungen!B11)</f>
        <v>726</v>
      </c>
      <c r="C11">
        <v>5</v>
      </c>
      <c r="D11">
        <v>4</v>
      </c>
      <c r="E11">
        <v>4</v>
      </c>
      <c r="F11">
        <v>3</v>
      </c>
      <c r="G11">
        <f t="shared" si="0"/>
        <v>4</v>
      </c>
    </row>
    <row r="12" spans="1:7" x14ac:dyDescent="0.35">
      <c r="A12">
        <f>IF(Bestellungen!J12="Ja",Bestellungen!A12)</f>
        <v>7659</v>
      </c>
      <c r="B12">
        <f>IF(Bestellungen!J12="Ja",Bestellungen!B12)</f>
        <v>299</v>
      </c>
      <c r="C12">
        <v>4</v>
      </c>
      <c r="D12">
        <v>3</v>
      </c>
      <c r="E12">
        <v>5</v>
      </c>
      <c r="F12">
        <v>4</v>
      </c>
      <c r="G12">
        <f t="shared" si="0"/>
        <v>4</v>
      </c>
    </row>
    <row r="13" spans="1:7" hidden="1" x14ac:dyDescent="0.35">
      <c r="A13" t="b">
        <f>IF(Bestellungen!J13="Ja",Bestellungen!A13)</f>
        <v>0</v>
      </c>
      <c r="B13" t="b">
        <f>IF(Bestellungen!J13="Ja",Bestellungen!B13)</f>
        <v>0</v>
      </c>
      <c r="C13" t="s">
        <v>51</v>
      </c>
      <c r="D13" t="s">
        <v>51</v>
      </c>
      <c r="E13" t="s">
        <v>51</v>
      </c>
      <c r="F13" t="s">
        <v>51</v>
      </c>
      <c r="G13" t="e">
        <f t="shared" si="0"/>
        <v>#DIV/0!</v>
      </c>
    </row>
    <row r="14" spans="1:7" hidden="1" x14ac:dyDescent="0.35">
      <c r="A14" t="b">
        <f>IF(Bestellungen!J14="Ja",Bestellungen!A14)</f>
        <v>0</v>
      </c>
      <c r="B14" t="b">
        <f>IF(Bestellungen!J14="Ja",Bestellungen!B14)</f>
        <v>0</v>
      </c>
      <c r="C14" t="s">
        <v>51</v>
      </c>
      <c r="D14" t="s">
        <v>51</v>
      </c>
      <c r="E14" t="s">
        <v>51</v>
      </c>
      <c r="F14" t="s">
        <v>51</v>
      </c>
      <c r="G14" t="e">
        <f t="shared" si="0"/>
        <v>#DIV/0!</v>
      </c>
    </row>
    <row r="15" spans="1:7" x14ac:dyDescent="0.35">
      <c r="A15">
        <f>IF(Bestellungen!J15="Ja",Bestellungen!A15)</f>
        <v>7662</v>
      </c>
      <c r="B15">
        <f>IF(Bestellungen!J15="Ja",Bestellungen!B15)</f>
        <v>530</v>
      </c>
      <c r="C15">
        <v>4</v>
      </c>
      <c r="D15">
        <v>4</v>
      </c>
      <c r="E15">
        <v>4</v>
      </c>
      <c r="F15">
        <v>5</v>
      </c>
      <c r="G15">
        <f t="shared" si="0"/>
        <v>4.25</v>
      </c>
    </row>
    <row r="16" spans="1:7" hidden="1" x14ac:dyDescent="0.35">
      <c r="A16" t="b">
        <f>IF(Bestellungen!J16="Ja",Bestellungen!A16)</f>
        <v>0</v>
      </c>
      <c r="B16" t="b">
        <f>IF(Bestellungen!J16="Ja",Bestellungen!B16)</f>
        <v>0</v>
      </c>
      <c r="C16" t="s">
        <v>51</v>
      </c>
      <c r="D16" t="s">
        <v>51</v>
      </c>
      <c r="E16" t="s">
        <v>51</v>
      </c>
      <c r="F16" t="s">
        <v>51</v>
      </c>
      <c r="G16" t="e">
        <f t="shared" si="0"/>
        <v>#DIV/0!</v>
      </c>
    </row>
    <row r="17" spans="1:7" hidden="1" x14ac:dyDescent="0.35">
      <c r="A17" t="b">
        <f>IF(Bestellungen!J17="Ja",Bestellungen!A17)</f>
        <v>0</v>
      </c>
      <c r="B17" t="b">
        <f>IF(Bestellungen!J17="Ja",Bestellungen!B17)</f>
        <v>0</v>
      </c>
      <c r="C17" t="s">
        <v>51</v>
      </c>
      <c r="D17" t="s">
        <v>51</v>
      </c>
      <c r="E17" t="s">
        <v>51</v>
      </c>
      <c r="F17" t="s">
        <v>51</v>
      </c>
      <c r="G17" t="e">
        <f t="shared" si="0"/>
        <v>#DIV/0!</v>
      </c>
    </row>
    <row r="18" spans="1:7" hidden="1" x14ac:dyDescent="0.35">
      <c r="A18" t="b">
        <f>IF(Bestellungen!J18="Ja",Bestellungen!A18)</f>
        <v>0</v>
      </c>
      <c r="B18" t="b">
        <f>IF(Bestellungen!J18="Ja",Bestellungen!B18)</f>
        <v>0</v>
      </c>
      <c r="C18" t="s">
        <v>51</v>
      </c>
      <c r="D18" t="s">
        <v>51</v>
      </c>
      <c r="E18" t="s">
        <v>51</v>
      </c>
      <c r="F18" t="s">
        <v>51</v>
      </c>
      <c r="G18" t="e">
        <f t="shared" si="0"/>
        <v>#DIV/0!</v>
      </c>
    </row>
    <row r="19" spans="1:7" hidden="1" x14ac:dyDescent="0.35">
      <c r="A19" t="b">
        <f>IF(Bestellungen!J19="Ja",Bestellungen!A19)</f>
        <v>0</v>
      </c>
      <c r="B19" t="b">
        <f>IF(Bestellungen!J19="Ja",Bestellungen!B19)</f>
        <v>0</v>
      </c>
      <c r="C19" t="s">
        <v>51</v>
      </c>
      <c r="D19" t="s">
        <v>51</v>
      </c>
      <c r="E19" t="s">
        <v>51</v>
      </c>
      <c r="F19" t="s">
        <v>51</v>
      </c>
      <c r="G19" t="e">
        <f t="shared" si="0"/>
        <v>#DIV/0!</v>
      </c>
    </row>
    <row r="20" spans="1:7" hidden="1" x14ac:dyDescent="0.35">
      <c r="A20" t="b">
        <f>IF(Bestellungen!J20="Ja",Bestellungen!A20)</f>
        <v>0</v>
      </c>
      <c r="B20" t="b">
        <f>IF(Bestellungen!J20="Ja",Bestellungen!B20)</f>
        <v>0</v>
      </c>
      <c r="C20" t="s">
        <v>51</v>
      </c>
      <c r="D20" t="s">
        <v>51</v>
      </c>
      <c r="E20" t="s">
        <v>51</v>
      </c>
      <c r="F20" t="s">
        <v>51</v>
      </c>
      <c r="G20" t="e">
        <f t="shared" si="0"/>
        <v>#DIV/0!</v>
      </c>
    </row>
    <row r="21" spans="1:7" x14ac:dyDescent="0.35">
      <c r="A21">
        <f>IF(Bestellungen!J21="Ja",Bestellungen!A21)</f>
        <v>7668</v>
      </c>
      <c r="B21">
        <f>IF(Bestellungen!J21="Ja",Bestellungen!B21)</f>
        <v>358</v>
      </c>
      <c r="C21">
        <v>3</v>
      </c>
      <c r="D21">
        <v>3</v>
      </c>
      <c r="E21">
        <v>5</v>
      </c>
      <c r="F21">
        <v>4</v>
      </c>
      <c r="G21">
        <f t="shared" si="0"/>
        <v>3.75</v>
      </c>
    </row>
    <row r="22" spans="1:7" hidden="1" x14ac:dyDescent="0.35">
      <c r="A22" t="b">
        <f>IF(Bestellungen!J22="Ja",Bestellungen!A22)</f>
        <v>0</v>
      </c>
      <c r="B22" t="b">
        <f>IF(Bestellungen!J22="Ja",Bestellungen!B22)</f>
        <v>0</v>
      </c>
      <c r="C22" t="s">
        <v>51</v>
      </c>
      <c r="D22" t="s">
        <v>51</v>
      </c>
      <c r="E22" t="s">
        <v>51</v>
      </c>
      <c r="F22" t="s">
        <v>51</v>
      </c>
      <c r="G22" t="e">
        <f t="shared" si="0"/>
        <v>#DIV/0!</v>
      </c>
    </row>
    <row r="23" spans="1:7" x14ac:dyDescent="0.35">
      <c r="A23">
        <f>IF(Bestellungen!J23="Ja",Bestellungen!A23)</f>
        <v>7670</v>
      </c>
      <c r="B23">
        <f>IF(Bestellungen!J23="Ja",Bestellungen!B23)</f>
        <v>554</v>
      </c>
      <c r="C23">
        <v>5</v>
      </c>
      <c r="D23">
        <v>4</v>
      </c>
      <c r="E23">
        <v>5</v>
      </c>
      <c r="F23">
        <v>4</v>
      </c>
      <c r="G23">
        <f t="shared" si="0"/>
        <v>4.5</v>
      </c>
    </row>
    <row r="24" spans="1:7" x14ac:dyDescent="0.35">
      <c r="A24">
        <f>IF(Bestellungen!J24="Ja",Bestellungen!A24)</f>
        <v>7671</v>
      </c>
      <c r="B24">
        <f>IF(Bestellungen!J24="Ja",Bestellungen!B24)</f>
        <v>143</v>
      </c>
      <c r="C24">
        <v>3</v>
      </c>
      <c r="D24">
        <v>3</v>
      </c>
      <c r="E24">
        <v>3</v>
      </c>
      <c r="F24">
        <v>3</v>
      </c>
      <c r="G24">
        <f t="shared" si="0"/>
        <v>3</v>
      </c>
    </row>
    <row r="25" spans="1:7" hidden="1" x14ac:dyDescent="0.35">
      <c r="A25" t="b">
        <f>IF(Bestellungen!J25="Ja",Bestellungen!A25)</f>
        <v>0</v>
      </c>
      <c r="B25" t="b">
        <f>IF(Bestellungen!J25="Ja",Bestellungen!B25)</f>
        <v>0</v>
      </c>
      <c r="C25" t="s">
        <v>51</v>
      </c>
      <c r="D25" t="s">
        <v>51</v>
      </c>
      <c r="E25" t="s">
        <v>51</v>
      </c>
      <c r="F25" t="s">
        <v>51</v>
      </c>
      <c r="G25" t="e">
        <f t="shared" si="0"/>
        <v>#DIV/0!</v>
      </c>
    </row>
    <row r="26" spans="1:7" x14ac:dyDescent="0.35">
      <c r="A26">
        <f>IF(Bestellungen!J26="Ja",Bestellungen!A26)</f>
        <v>7673</v>
      </c>
      <c r="B26">
        <f>IF(Bestellungen!J26="Ja",Bestellungen!B26)</f>
        <v>357</v>
      </c>
      <c r="C26">
        <v>4</v>
      </c>
      <c r="D26">
        <v>5</v>
      </c>
      <c r="E26">
        <v>4</v>
      </c>
      <c r="F26">
        <v>3</v>
      </c>
      <c r="G26">
        <f t="shared" si="0"/>
        <v>4</v>
      </c>
    </row>
    <row r="27" spans="1:7" x14ac:dyDescent="0.35">
      <c r="A27">
        <f>IF(Bestellungen!J27="Ja",Bestellungen!A27)</f>
        <v>7674</v>
      </c>
      <c r="B27">
        <f>IF(Bestellungen!J27="Ja",Bestellungen!B27)</f>
        <v>119</v>
      </c>
      <c r="C27">
        <v>5</v>
      </c>
      <c r="D27">
        <v>4</v>
      </c>
      <c r="E27">
        <v>4</v>
      </c>
      <c r="F27">
        <v>4</v>
      </c>
      <c r="G27">
        <f t="shared" si="0"/>
        <v>4.25</v>
      </c>
    </row>
    <row r="28" spans="1:7" hidden="1" x14ac:dyDescent="0.35">
      <c r="A28" t="b">
        <f>IF(Bestellungen!J28="Ja",Bestellungen!A28)</f>
        <v>0</v>
      </c>
      <c r="B28" t="b">
        <f>IF(Bestellungen!J28="Ja",Bestellungen!B28)</f>
        <v>0</v>
      </c>
      <c r="C28" t="s">
        <v>51</v>
      </c>
      <c r="D28" t="s">
        <v>51</v>
      </c>
      <c r="E28" t="s">
        <v>51</v>
      </c>
      <c r="F28" t="s">
        <v>51</v>
      </c>
      <c r="G28" t="e">
        <f t="shared" si="0"/>
        <v>#DIV/0!</v>
      </c>
    </row>
    <row r="29" spans="1:7" hidden="1" x14ac:dyDescent="0.35">
      <c r="A29" t="b">
        <f>IF(Bestellungen!J29="Ja",Bestellungen!A29)</f>
        <v>0</v>
      </c>
      <c r="B29" t="b">
        <f>IF(Bestellungen!J29="Ja",Bestellungen!B29)</f>
        <v>0</v>
      </c>
      <c r="C29" t="s">
        <v>51</v>
      </c>
      <c r="D29" t="s">
        <v>51</v>
      </c>
      <c r="E29" t="s">
        <v>51</v>
      </c>
      <c r="F29" t="s">
        <v>51</v>
      </c>
      <c r="G29" t="e">
        <f t="shared" si="0"/>
        <v>#DIV/0!</v>
      </c>
    </row>
    <row r="30" spans="1:7" hidden="1" x14ac:dyDescent="0.35">
      <c r="A30" t="b">
        <f>IF(Bestellungen!J30="Ja",Bestellungen!A30)</f>
        <v>0</v>
      </c>
      <c r="B30" t="b">
        <f>IF(Bestellungen!J30="Ja",Bestellungen!B30)</f>
        <v>0</v>
      </c>
      <c r="C30" t="s">
        <v>51</v>
      </c>
      <c r="D30" t="s">
        <v>51</v>
      </c>
      <c r="E30" t="s">
        <v>51</v>
      </c>
      <c r="F30" t="s">
        <v>51</v>
      </c>
      <c r="G30" t="e">
        <f t="shared" si="0"/>
        <v>#DIV/0!</v>
      </c>
    </row>
    <row r="31" spans="1:7" hidden="1" x14ac:dyDescent="0.35">
      <c r="A31" t="b">
        <f>IF(Bestellungen!J31="Ja",Bestellungen!A31)</f>
        <v>0</v>
      </c>
      <c r="B31" t="b">
        <f>IF(Bestellungen!J31="Ja",Bestellungen!B31)</f>
        <v>0</v>
      </c>
      <c r="C31" t="s">
        <v>51</v>
      </c>
      <c r="D31" t="s">
        <v>51</v>
      </c>
      <c r="E31" t="s">
        <v>51</v>
      </c>
      <c r="F31" t="s">
        <v>51</v>
      </c>
      <c r="G31" t="e">
        <f t="shared" si="0"/>
        <v>#DIV/0!</v>
      </c>
    </row>
    <row r="32" spans="1:7" hidden="1" x14ac:dyDescent="0.35">
      <c r="A32" t="b">
        <f>IF(Bestellungen!J32="Ja",Bestellungen!A32)</f>
        <v>0</v>
      </c>
      <c r="B32" t="b">
        <f>IF(Bestellungen!J32="Ja",Bestellungen!B32)</f>
        <v>0</v>
      </c>
      <c r="C32" t="s">
        <v>51</v>
      </c>
      <c r="D32" t="s">
        <v>51</v>
      </c>
      <c r="E32" t="s">
        <v>51</v>
      </c>
      <c r="F32" t="s">
        <v>51</v>
      </c>
      <c r="G32" t="e">
        <f t="shared" si="0"/>
        <v>#DIV/0!</v>
      </c>
    </row>
    <row r="33" spans="1:7" hidden="1" x14ac:dyDescent="0.35">
      <c r="A33" t="b">
        <f>IF(Bestellungen!J33="Ja",Bestellungen!A33)</f>
        <v>0</v>
      </c>
      <c r="B33" t="b">
        <f>IF(Bestellungen!J33="Ja",Bestellungen!B33)</f>
        <v>0</v>
      </c>
      <c r="C33" t="s">
        <v>51</v>
      </c>
      <c r="D33" t="s">
        <v>51</v>
      </c>
      <c r="E33" t="s">
        <v>51</v>
      </c>
      <c r="F33" t="s">
        <v>51</v>
      </c>
      <c r="G33" t="e">
        <f t="shared" si="0"/>
        <v>#DIV/0!</v>
      </c>
    </row>
    <row r="34" spans="1:7" x14ac:dyDescent="0.35">
      <c r="A34">
        <f>IF(Bestellungen!J34="Ja",Bestellungen!A34)</f>
        <v>7681</v>
      </c>
      <c r="B34">
        <f>IF(Bestellungen!J34="Ja",Bestellungen!B34)</f>
        <v>131</v>
      </c>
      <c r="C34">
        <v>5</v>
      </c>
      <c r="D34">
        <v>5</v>
      </c>
      <c r="E34">
        <v>5</v>
      </c>
      <c r="F34">
        <v>3</v>
      </c>
      <c r="G34">
        <f t="shared" si="0"/>
        <v>4.5</v>
      </c>
    </row>
    <row r="35" spans="1:7" x14ac:dyDescent="0.35">
      <c r="A35">
        <f>IF(Bestellungen!J35="Ja",Bestellungen!A35)</f>
        <v>7682</v>
      </c>
      <c r="B35">
        <f>IF(Bestellungen!J35="Ja",Bestellungen!B35)</f>
        <v>190</v>
      </c>
      <c r="C35">
        <v>5</v>
      </c>
      <c r="D35">
        <v>5</v>
      </c>
      <c r="E35">
        <v>5</v>
      </c>
      <c r="F35">
        <v>4</v>
      </c>
      <c r="G35">
        <f t="shared" si="0"/>
        <v>4.75</v>
      </c>
    </row>
    <row r="36" spans="1:7" x14ac:dyDescent="0.35">
      <c r="A36">
        <f>IF(Bestellungen!J36="Ja",Bestellungen!A36)</f>
        <v>7683</v>
      </c>
      <c r="B36">
        <f>IF(Bestellungen!J36="Ja",Bestellungen!B36)</f>
        <v>472</v>
      </c>
      <c r="C36">
        <v>4</v>
      </c>
      <c r="D36">
        <v>3</v>
      </c>
      <c r="E36">
        <v>5</v>
      </c>
      <c r="F36">
        <v>5</v>
      </c>
      <c r="G36">
        <f t="shared" si="0"/>
        <v>4.25</v>
      </c>
    </row>
    <row r="37" spans="1:7" x14ac:dyDescent="0.35">
      <c r="A37">
        <f>IF(Bestellungen!J37="Ja",Bestellungen!A37)</f>
        <v>7684</v>
      </c>
      <c r="B37">
        <f>IF(Bestellungen!J37="Ja",Bestellungen!B37)</f>
        <v>600</v>
      </c>
      <c r="C37">
        <v>5</v>
      </c>
      <c r="D37">
        <v>4</v>
      </c>
      <c r="E37">
        <v>4</v>
      </c>
      <c r="F37">
        <v>5</v>
      </c>
      <c r="G37">
        <f t="shared" si="0"/>
        <v>4.5</v>
      </c>
    </row>
    <row r="38" spans="1:7" x14ac:dyDescent="0.35">
      <c r="A38">
        <f>IF(Bestellungen!J38="Ja",Bestellungen!A38)</f>
        <v>7685</v>
      </c>
      <c r="B38">
        <f>IF(Bestellungen!J38="Ja",Bestellungen!B38)</f>
        <v>689</v>
      </c>
      <c r="C38">
        <v>5</v>
      </c>
      <c r="D38">
        <v>3</v>
      </c>
      <c r="E38">
        <v>3</v>
      </c>
      <c r="F38">
        <v>3</v>
      </c>
      <c r="G38">
        <f t="shared" si="0"/>
        <v>3.5</v>
      </c>
    </row>
    <row r="39" spans="1:7" x14ac:dyDescent="0.35">
      <c r="A39">
        <f>IF(Bestellungen!J39="Ja",Bestellungen!A39)</f>
        <v>7686</v>
      </c>
      <c r="B39">
        <f>IF(Bestellungen!J39="Ja",Bestellungen!B39)</f>
        <v>410</v>
      </c>
      <c r="C39">
        <v>3</v>
      </c>
      <c r="D39">
        <v>3</v>
      </c>
      <c r="E39">
        <v>5</v>
      </c>
      <c r="F39">
        <v>3</v>
      </c>
      <c r="G39">
        <f t="shared" si="0"/>
        <v>3.5</v>
      </c>
    </row>
    <row r="40" spans="1:7" x14ac:dyDescent="0.35">
      <c r="A40">
        <f>IF(Bestellungen!J40="Ja",Bestellungen!A40)</f>
        <v>7687</v>
      </c>
      <c r="B40">
        <f>IF(Bestellungen!J40="Ja",Bestellungen!B40)</f>
        <v>151</v>
      </c>
      <c r="C40">
        <v>5</v>
      </c>
      <c r="D40">
        <v>4</v>
      </c>
      <c r="E40">
        <v>4</v>
      </c>
      <c r="F40">
        <v>5</v>
      </c>
      <c r="G40">
        <f t="shared" si="0"/>
        <v>4.5</v>
      </c>
    </row>
    <row r="41" spans="1:7" x14ac:dyDescent="0.35">
      <c r="A41">
        <f>IF(Bestellungen!J41="Ja",Bestellungen!A41)</f>
        <v>7688</v>
      </c>
      <c r="B41">
        <f>IF(Bestellungen!J41="Ja",Bestellungen!B41)</f>
        <v>320</v>
      </c>
      <c r="C41">
        <v>3</v>
      </c>
      <c r="D41">
        <v>3</v>
      </c>
      <c r="E41">
        <v>5</v>
      </c>
      <c r="F41">
        <v>4</v>
      </c>
      <c r="G41">
        <f t="shared" si="0"/>
        <v>3.75</v>
      </c>
    </row>
    <row r="42" spans="1:7" x14ac:dyDescent="0.35">
      <c r="A42">
        <f>IF(Bestellungen!J42="Ja",Bestellungen!A42)</f>
        <v>7689</v>
      </c>
      <c r="B42">
        <f>IF(Bestellungen!J42="Ja",Bestellungen!B42)</f>
        <v>342</v>
      </c>
      <c r="C42">
        <v>3</v>
      </c>
      <c r="D42">
        <v>5</v>
      </c>
      <c r="E42">
        <v>3</v>
      </c>
      <c r="F42">
        <v>4</v>
      </c>
      <c r="G42">
        <f t="shared" si="0"/>
        <v>3.75</v>
      </c>
    </row>
    <row r="43" spans="1:7" hidden="1" x14ac:dyDescent="0.35">
      <c r="A43" t="b">
        <f>IF(Bestellungen!J43="Ja",Bestellungen!A43)</f>
        <v>0</v>
      </c>
      <c r="B43" t="b">
        <f>IF(Bestellungen!J43="Ja",Bestellungen!B43)</f>
        <v>0</v>
      </c>
      <c r="C43" t="s">
        <v>51</v>
      </c>
      <c r="D43" t="s">
        <v>51</v>
      </c>
      <c r="E43" t="s">
        <v>51</v>
      </c>
      <c r="F43" t="s">
        <v>51</v>
      </c>
      <c r="G43" t="e">
        <f t="shared" si="0"/>
        <v>#DIV/0!</v>
      </c>
    </row>
    <row r="44" spans="1:7" hidden="1" x14ac:dyDescent="0.35">
      <c r="A44" t="b">
        <f>IF(Bestellungen!J44="Ja",Bestellungen!A44)</f>
        <v>0</v>
      </c>
      <c r="B44" t="b">
        <f>IF(Bestellungen!J44="Ja",Bestellungen!B44)</f>
        <v>0</v>
      </c>
      <c r="C44" t="s">
        <v>51</v>
      </c>
      <c r="D44" t="s">
        <v>51</v>
      </c>
      <c r="E44" t="s">
        <v>51</v>
      </c>
      <c r="F44" t="s">
        <v>51</v>
      </c>
      <c r="G44" t="e">
        <f t="shared" si="0"/>
        <v>#DIV/0!</v>
      </c>
    </row>
    <row r="45" spans="1:7" x14ac:dyDescent="0.35">
      <c r="A45">
        <f>IF(Bestellungen!J45="Ja",Bestellungen!A45)</f>
        <v>7692</v>
      </c>
      <c r="B45">
        <f>IF(Bestellungen!J45="Ja",Bestellungen!B45)</f>
        <v>517</v>
      </c>
      <c r="C45">
        <v>3</v>
      </c>
      <c r="D45">
        <v>3</v>
      </c>
      <c r="E45">
        <v>5</v>
      </c>
      <c r="F45">
        <v>3</v>
      </c>
      <c r="G45">
        <f t="shared" si="0"/>
        <v>3.5</v>
      </c>
    </row>
    <row r="46" spans="1:7" hidden="1" x14ac:dyDescent="0.35">
      <c r="A46" t="b">
        <f>IF(Bestellungen!J46="Ja",Bestellungen!A46)</f>
        <v>0</v>
      </c>
      <c r="B46" t="b">
        <f>IF(Bestellungen!J46="Ja",Bestellungen!B46)</f>
        <v>0</v>
      </c>
      <c r="C46" t="s">
        <v>51</v>
      </c>
      <c r="D46" t="s">
        <v>51</v>
      </c>
      <c r="E46" t="s">
        <v>51</v>
      </c>
      <c r="F46" t="s">
        <v>51</v>
      </c>
      <c r="G46" t="e">
        <f t="shared" si="0"/>
        <v>#DIV/0!</v>
      </c>
    </row>
    <row r="47" spans="1:7" x14ac:dyDescent="0.35">
      <c r="A47">
        <f>IF(Bestellungen!J47="Ja",Bestellungen!A47)</f>
        <v>7694</v>
      </c>
      <c r="B47">
        <f>IF(Bestellungen!J47="Ja",Bestellungen!B47)</f>
        <v>671</v>
      </c>
      <c r="C47">
        <v>4</v>
      </c>
      <c r="D47">
        <v>3</v>
      </c>
      <c r="E47">
        <v>3</v>
      </c>
      <c r="F47">
        <v>3</v>
      </c>
      <c r="G47">
        <f t="shared" si="0"/>
        <v>3.25</v>
      </c>
    </row>
    <row r="48" spans="1:7" x14ac:dyDescent="0.35">
      <c r="A48">
        <f>IF(Bestellungen!J48="Ja",Bestellungen!A48)</f>
        <v>7695</v>
      </c>
      <c r="B48">
        <f>IF(Bestellungen!J48="Ja",Bestellungen!B48)</f>
        <v>60</v>
      </c>
      <c r="C48">
        <v>3</v>
      </c>
      <c r="D48">
        <v>3</v>
      </c>
      <c r="E48">
        <v>5</v>
      </c>
      <c r="F48">
        <v>5</v>
      </c>
      <c r="G48">
        <f t="shared" si="0"/>
        <v>4</v>
      </c>
    </row>
    <row r="49" spans="1:7" hidden="1" x14ac:dyDescent="0.35">
      <c r="A49" t="b">
        <f>IF(Bestellungen!J49="Ja",Bestellungen!A49)</f>
        <v>0</v>
      </c>
      <c r="B49" t="b">
        <f>IF(Bestellungen!J49="Ja",Bestellungen!B49)</f>
        <v>0</v>
      </c>
      <c r="C49" t="s">
        <v>51</v>
      </c>
      <c r="D49" t="s">
        <v>51</v>
      </c>
      <c r="E49" t="s">
        <v>51</v>
      </c>
      <c r="F49" t="s">
        <v>51</v>
      </c>
      <c r="G49" t="e">
        <f t="shared" si="0"/>
        <v>#DIV/0!</v>
      </c>
    </row>
    <row r="50" spans="1:7" hidden="1" x14ac:dyDescent="0.35">
      <c r="A50" t="b">
        <f>IF(Bestellungen!J50="Ja",Bestellungen!A50)</f>
        <v>0</v>
      </c>
      <c r="B50" t="b">
        <f>IF(Bestellungen!J50="Ja",Bestellungen!B50)</f>
        <v>0</v>
      </c>
      <c r="C50" t="s">
        <v>51</v>
      </c>
      <c r="D50" t="s">
        <v>51</v>
      </c>
      <c r="E50" t="s">
        <v>51</v>
      </c>
      <c r="F50" t="s">
        <v>51</v>
      </c>
      <c r="G50" t="e">
        <f t="shared" si="0"/>
        <v>#DIV/0!</v>
      </c>
    </row>
    <row r="51" spans="1:7" x14ac:dyDescent="0.35">
      <c r="A51">
        <f>IF(Bestellungen!J51="Ja",Bestellungen!A51)</f>
        <v>7698</v>
      </c>
      <c r="B51">
        <f>IF(Bestellungen!J51="Ja",Bestellungen!B51)</f>
        <v>751</v>
      </c>
      <c r="C51">
        <v>4</v>
      </c>
      <c r="D51">
        <v>3</v>
      </c>
      <c r="E51">
        <v>3</v>
      </c>
      <c r="F51">
        <v>4</v>
      </c>
      <c r="G51">
        <f t="shared" si="0"/>
        <v>3.5</v>
      </c>
    </row>
    <row r="52" spans="1:7" hidden="1" x14ac:dyDescent="0.35">
      <c r="A52" t="b">
        <f>IF(Bestellungen!J52="Ja",Bestellungen!A52)</f>
        <v>0</v>
      </c>
      <c r="B52" t="b">
        <f>IF(Bestellungen!J52="Ja",Bestellungen!B52)</f>
        <v>0</v>
      </c>
      <c r="C52" t="s">
        <v>51</v>
      </c>
      <c r="D52" t="s">
        <v>51</v>
      </c>
      <c r="E52" t="s">
        <v>51</v>
      </c>
      <c r="F52" t="s">
        <v>51</v>
      </c>
      <c r="G52" t="e">
        <f t="shared" si="0"/>
        <v>#DIV/0!</v>
      </c>
    </row>
    <row r="53" spans="1:7" x14ac:dyDescent="0.35">
      <c r="A53">
        <f>IF(Bestellungen!J53="Ja",Bestellungen!A53)</f>
        <v>7700</v>
      </c>
      <c r="B53">
        <f>IF(Bestellungen!J53="Ja",Bestellungen!B53)</f>
        <v>498</v>
      </c>
      <c r="C53">
        <v>3</v>
      </c>
      <c r="D53">
        <v>5</v>
      </c>
      <c r="E53">
        <v>5</v>
      </c>
      <c r="F53">
        <v>3</v>
      </c>
      <c r="G53">
        <f t="shared" si="0"/>
        <v>4</v>
      </c>
    </row>
    <row r="54" spans="1:7" hidden="1" x14ac:dyDescent="0.35">
      <c r="A54" t="b">
        <f>IF(Bestellungen!J54="Ja",Bestellungen!A54)</f>
        <v>0</v>
      </c>
      <c r="B54" t="b">
        <f>IF(Bestellungen!J54="Ja",Bestellungen!B54)</f>
        <v>0</v>
      </c>
      <c r="C54" t="s">
        <v>51</v>
      </c>
      <c r="D54" t="s">
        <v>51</v>
      </c>
      <c r="E54" t="s">
        <v>51</v>
      </c>
      <c r="F54" t="s">
        <v>51</v>
      </c>
      <c r="G54" t="e">
        <f t="shared" si="0"/>
        <v>#DIV/0!</v>
      </c>
    </row>
    <row r="55" spans="1:7" hidden="1" x14ac:dyDescent="0.35">
      <c r="A55" t="b">
        <f>IF(Bestellungen!J55="Ja",Bestellungen!A55)</f>
        <v>0</v>
      </c>
      <c r="B55" t="b">
        <f>IF(Bestellungen!J55="Ja",Bestellungen!B55)</f>
        <v>0</v>
      </c>
      <c r="C55" t="s">
        <v>51</v>
      </c>
      <c r="D55" t="s">
        <v>51</v>
      </c>
      <c r="E55" t="s">
        <v>51</v>
      </c>
      <c r="F55" t="s">
        <v>51</v>
      </c>
      <c r="G55" t="e">
        <f t="shared" si="0"/>
        <v>#DIV/0!</v>
      </c>
    </row>
    <row r="56" spans="1:7" x14ac:dyDescent="0.35">
      <c r="A56">
        <f>IF(Bestellungen!J56="Ja",Bestellungen!A56)</f>
        <v>7703</v>
      </c>
      <c r="B56">
        <f>IF(Bestellungen!J56="Ja",Bestellungen!B56)</f>
        <v>153</v>
      </c>
      <c r="C56">
        <v>3</v>
      </c>
      <c r="D56">
        <v>4</v>
      </c>
      <c r="E56">
        <v>4</v>
      </c>
      <c r="F56">
        <v>5</v>
      </c>
      <c r="G56">
        <f t="shared" si="0"/>
        <v>4</v>
      </c>
    </row>
    <row r="57" spans="1:7" x14ac:dyDescent="0.35">
      <c r="A57">
        <f>IF(Bestellungen!J57="Ja",Bestellungen!A57)</f>
        <v>7704</v>
      </c>
      <c r="B57">
        <f>IF(Bestellungen!J57="Ja",Bestellungen!B57)</f>
        <v>657</v>
      </c>
      <c r="C57">
        <v>5</v>
      </c>
      <c r="D57">
        <v>5</v>
      </c>
      <c r="E57">
        <v>3</v>
      </c>
      <c r="F57">
        <v>4</v>
      </c>
      <c r="G57">
        <f t="shared" si="0"/>
        <v>4.25</v>
      </c>
    </row>
    <row r="58" spans="1:7" hidden="1" x14ac:dyDescent="0.35">
      <c r="A58" t="b">
        <f>IF(Bestellungen!J58="Ja",Bestellungen!A58)</f>
        <v>0</v>
      </c>
      <c r="B58" t="b">
        <f>IF(Bestellungen!J58="Ja",Bestellungen!B58)</f>
        <v>0</v>
      </c>
      <c r="C58" t="s">
        <v>51</v>
      </c>
      <c r="D58" t="s">
        <v>51</v>
      </c>
      <c r="E58" t="s">
        <v>51</v>
      </c>
      <c r="F58" t="s">
        <v>51</v>
      </c>
      <c r="G58" t="e">
        <f t="shared" si="0"/>
        <v>#DIV/0!</v>
      </c>
    </row>
    <row r="59" spans="1:7" x14ac:dyDescent="0.35">
      <c r="A59">
        <f>IF(Bestellungen!J59="Ja",Bestellungen!A59)</f>
        <v>7706</v>
      </c>
      <c r="B59">
        <f>IF(Bestellungen!J59="Ja",Bestellungen!B59)</f>
        <v>539</v>
      </c>
      <c r="C59">
        <v>5</v>
      </c>
      <c r="D59">
        <v>3</v>
      </c>
      <c r="E59">
        <v>5</v>
      </c>
      <c r="F59">
        <v>4</v>
      </c>
      <c r="G59">
        <f t="shared" si="0"/>
        <v>4.25</v>
      </c>
    </row>
    <row r="60" spans="1:7" hidden="1" x14ac:dyDescent="0.35">
      <c r="A60" t="b">
        <f>IF(Bestellungen!J60="Ja",Bestellungen!A60)</f>
        <v>0</v>
      </c>
      <c r="B60" t="b">
        <f>IF(Bestellungen!J60="Ja",Bestellungen!B60)</f>
        <v>0</v>
      </c>
      <c r="C60" t="s">
        <v>51</v>
      </c>
      <c r="D60" t="s">
        <v>51</v>
      </c>
      <c r="E60" t="s">
        <v>51</v>
      </c>
      <c r="F60" t="s">
        <v>51</v>
      </c>
      <c r="G60" t="e">
        <f t="shared" si="0"/>
        <v>#DIV/0!</v>
      </c>
    </row>
    <row r="61" spans="1:7" x14ac:dyDescent="0.35">
      <c r="A61">
        <f>IF(Bestellungen!J61="Ja",Bestellungen!A61)</f>
        <v>7708</v>
      </c>
      <c r="B61">
        <f>IF(Bestellungen!J61="Ja",Bestellungen!B61)</f>
        <v>673</v>
      </c>
      <c r="C61">
        <v>3</v>
      </c>
      <c r="D61">
        <v>4</v>
      </c>
      <c r="E61">
        <v>3</v>
      </c>
      <c r="F61">
        <v>5</v>
      </c>
      <c r="G61">
        <f t="shared" si="0"/>
        <v>3.75</v>
      </c>
    </row>
    <row r="62" spans="1:7" hidden="1" x14ac:dyDescent="0.35">
      <c r="A62" t="b">
        <f>IF(Bestellungen!J62="Ja",Bestellungen!A62)</f>
        <v>0</v>
      </c>
      <c r="B62" t="b">
        <f>IF(Bestellungen!J62="Ja",Bestellungen!B62)</f>
        <v>0</v>
      </c>
      <c r="C62" t="s">
        <v>51</v>
      </c>
      <c r="D62" t="s">
        <v>51</v>
      </c>
      <c r="E62" t="s">
        <v>51</v>
      </c>
      <c r="F62" t="s">
        <v>51</v>
      </c>
      <c r="G62" t="e">
        <f t="shared" si="0"/>
        <v>#DIV/0!</v>
      </c>
    </row>
    <row r="63" spans="1:7" hidden="1" x14ac:dyDescent="0.35">
      <c r="A63" t="b">
        <f>IF(Bestellungen!J63="Ja",Bestellungen!A63)</f>
        <v>0</v>
      </c>
      <c r="B63" t="b">
        <f>IF(Bestellungen!J63="Ja",Bestellungen!B63)</f>
        <v>0</v>
      </c>
      <c r="C63" t="s">
        <v>51</v>
      </c>
      <c r="D63" t="s">
        <v>51</v>
      </c>
      <c r="E63" t="s">
        <v>51</v>
      </c>
      <c r="F63" t="s">
        <v>51</v>
      </c>
      <c r="G63" t="e">
        <f t="shared" si="0"/>
        <v>#DIV/0!</v>
      </c>
    </row>
    <row r="64" spans="1:7" x14ac:dyDescent="0.35">
      <c r="A64">
        <f>IF(Bestellungen!J64="Ja",Bestellungen!A64)</f>
        <v>7711</v>
      </c>
      <c r="B64">
        <f>IF(Bestellungen!J64="Ja",Bestellungen!B64)</f>
        <v>237</v>
      </c>
      <c r="C64">
        <v>3</v>
      </c>
      <c r="D64">
        <v>4</v>
      </c>
      <c r="E64">
        <v>3</v>
      </c>
      <c r="F64">
        <v>4</v>
      </c>
      <c r="G64">
        <f t="shared" si="0"/>
        <v>3.5</v>
      </c>
    </row>
    <row r="65" spans="1:7" x14ac:dyDescent="0.35">
      <c r="A65">
        <f>IF(Bestellungen!J65="Ja",Bestellungen!A65)</f>
        <v>7712</v>
      </c>
      <c r="B65">
        <f>IF(Bestellungen!J65="Ja",Bestellungen!B65)</f>
        <v>299</v>
      </c>
      <c r="C65">
        <v>5</v>
      </c>
      <c r="D65">
        <v>4</v>
      </c>
      <c r="E65">
        <v>3</v>
      </c>
      <c r="F65">
        <v>4</v>
      </c>
      <c r="G65">
        <f t="shared" si="0"/>
        <v>4</v>
      </c>
    </row>
    <row r="66" spans="1:7" x14ac:dyDescent="0.35">
      <c r="A66">
        <f>IF(Bestellungen!J66="Ja",Bestellungen!A66)</f>
        <v>7713</v>
      </c>
      <c r="B66">
        <f>IF(Bestellungen!J66="Ja",Bestellungen!B66)</f>
        <v>573</v>
      </c>
      <c r="C66">
        <v>5</v>
      </c>
      <c r="D66">
        <v>3</v>
      </c>
      <c r="E66">
        <v>5</v>
      </c>
      <c r="F66">
        <v>3</v>
      </c>
      <c r="G66">
        <f t="shared" si="0"/>
        <v>4</v>
      </c>
    </row>
    <row r="67" spans="1:7" hidden="1" x14ac:dyDescent="0.35">
      <c r="A67" t="b">
        <f>IF(Bestellungen!J67="Ja",Bestellungen!A67)</f>
        <v>0</v>
      </c>
      <c r="B67" t="b">
        <f>IF(Bestellungen!J67="Ja",Bestellungen!B67)</f>
        <v>0</v>
      </c>
      <c r="C67" t="s">
        <v>51</v>
      </c>
      <c r="D67" t="s">
        <v>51</v>
      </c>
      <c r="E67" t="s">
        <v>51</v>
      </c>
      <c r="F67" t="s">
        <v>51</v>
      </c>
      <c r="G67" t="e">
        <f t="shared" ref="G67:G130" si="1">SUM(C67:F67)/COUNT(C67:F67)</f>
        <v>#DIV/0!</v>
      </c>
    </row>
    <row r="68" spans="1:7" x14ac:dyDescent="0.35">
      <c r="A68">
        <f>IF(Bestellungen!J68="Ja",Bestellungen!A68)</f>
        <v>7715</v>
      </c>
      <c r="B68">
        <f>IF(Bestellungen!J68="Ja",Bestellungen!B68)</f>
        <v>267</v>
      </c>
      <c r="C68">
        <v>5</v>
      </c>
      <c r="D68">
        <v>4</v>
      </c>
      <c r="E68">
        <v>3</v>
      </c>
      <c r="F68">
        <v>4</v>
      </c>
      <c r="G68">
        <f t="shared" si="1"/>
        <v>4</v>
      </c>
    </row>
    <row r="69" spans="1:7" x14ac:dyDescent="0.35">
      <c r="A69">
        <f>IF(Bestellungen!J69="Ja",Bestellungen!A69)</f>
        <v>7716</v>
      </c>
      <c r="B69">
        <f>IF(Bestellungen!J69="Ja",Bestellungen!B69)</f>
        <v>691</v>
      </c>
      <c r="C69">
        <v>3</v>
      </c>
      <c r="D69">
        <v>5</v>
      </c>
      <c r="E69">
        <v>4</v>
      </c>
      <c r="F69">
        <v>3</v>
      </c>
      <c r="G69">
        <f t="shared" si="1"/>
        <v>3.75</v>
      </c>
    </row>
    <row r="70" spans="1:7" x14ac:dyDescent="0.35">
      <c r="A70">
        <f>IF(Bestellungen!J70="Ja",Bestellungen!A70)</f>
        <v>7717</v>
      </c>
      <c r="B70">
        <f>IF(Bestellungen!J70="Ja",Bestellungen!B70)</f>
        <v>145</v>
      </c>
      <c r="C70">
        <v>3</v>
      </c>
      <c r="D70">
        <v>5</v>
      </c>
      <c r="E70">
        <v>3</v>
      </c>
      <c r="F70">
        <v>4</v>
      </c>
      <c r="G70">
        <f t="shared" si="1"/>
        <v>3.75</v>
      </c>
    </row>
    <row r="71" spans="1:7" hidden="1" x14ac:dyDescent="0.35">
      <c r="A71" t="b">
        <f>IF(Bestellungen!J71="Ja",Bestellungen!A71)</f>
        <v>0</v>
      </c>
      <c r="B71" t="b">
        <f>IF(Bestellungen!J71="Ja",Bestellungen!B71)</f>
        <v>0</v>
      </c>
      <c r="C71" t="s">
        <v>51</v>
      </c>
      <c r="D71" t="s">
        <v>51</v>
      </c>
      <c r="E71" t="s">
        <v>51</v>
      </c>
      <c r="F71" t="s">
        <v>51</v>
      </c>
      <c r="G71" t="e">
        <f t="shared" si="1"/>
        <v>#DIV/0!</v>
      </c>
    </row>
    <row r="72" spans="1:7" hidden="1" x14ac:dyDescent="0.35">
      <c r="A72" t="b">
        <f>IF(Bestellungen!J72="Ja",Bestellungen!A72)</f>
        <v>0</v>
      </c>
      <c r="B72" t="b">
        <f>IF(Bestellungen!J72="Ja",Bestellungen!B72)</f>
        <v>0</v>
      </c>
      <c r="C72" t="s">
        <v>51</v>
      </c>
      <c r="D72" t="s">
        <v>51</v>
      </c>
      <c r="E72" t="s">
        <v>51</v>
      </c>
      <c r="F72" t="s">
        <v>51</v>
      </c>
      <c r="G72" t="e">
        <f t="shared" si="1"/>
        <v>#DIV/0!</v>
      </c>
    </row>
    <row r="73" spans="1:7" x14ac:dyDescent="0.35">
      <c r="A73">
        <f>IF(Bestellungen!J73="Ja",Bestellungen!A73)</f>
        <v>7720</v>
      </c>
      <c r="B73">
        <f>IF(Bestellungen!J73="Ja",Bestellungen!B73)</f>
        <v>56</v>
      </c>
      <c r="C73">
        <v>3</v>
      </c>
      <c r="D73">
        <v>5</v>
      </c>
      <c r="E73">
        <v>5</v>
      </c>
      <c r="F73">
        <v>3</v>
      </c>
      <c r="G73">
        <f t="shared" si="1"/>
        <v>4</v>
      </c>
    </row>
    <row r="74" spans="1:7" hidden="1" x14ac:dyDescent="0.35">
      <c r="A74" t="b">
        <f>IF(Bestellungen!J74="Ja",Bestellungen!A74)</f>
        <v>0</v>
      </c>
      <c r="B74" t="b">
        <f>IF(Bestellungen!J74="Ja",Bestellungen!B74)</f>
        <v>0</v>
      </c>
      <c r="C74" t="s">
        <v>51</v>
      </c>
      <c r="D74" t="s">
        <v>51</v>
      </c>
      <c r="E74" t="s">
        <v>51</v>
      </c>
      <c r="F74" t="s">
        <v>51</v>
      </c>
      <c r="G74" t="e">
        <f t="shared" si="1"/>
        <v>#DIV/0!</v>
      </c>
    </row>
    <row r="75" spans="1:7" x14ac:dyDescent="0.35">
      <c r="A75">
        <f>IF(Bestellungen!J75="Ja",Bestellungen!A75)</f>
        <v>7722</v>
      </c>
      <c r="B75">
        <f>IF(Bestellungen!J75="Ja",Bestellungen!B75)</f>
        <v>410</v>
      </c>
      <c r="C75">
        <v>4</v>
      </c>
      <c r="D75">
        <v>4</v>
      </c>
      <c r="E75">
        <v>5</v>
      </c>
      <c r="F75">
        <v>5</v>
      </c>
      <c r="G75">
        <f t="shared" si="1"/>
        <v>4.5</v>
      </c>
    </row>
    <row r="76" spans="1:7" x14ac:dyDescent="0.35">
      <c r="A76">
        <f>IF(Bestellungen!J76="Ja",Bestellungen!A76)</f>
        <v>7723</v>
      </c>
      <c r="B76">
        <f>IF(Bestellungen!J76="Ja",Bestellungen!B76)</f>
        <v>99</v>
      </c>
      <c r="C76">
        <v>5</v>
      </c>
      <c r="D76">
        <v>5</v>
      </c>
      <c r="E76">
        <v>3</v>
      </c>
      <c r="F76">
        <v>3</v>
      </c>
      <c r="G76">
        <f t="shared" si="1"/>
        <v>4</v>
      </c>
    </row>
    <row r="77" spans="1:7" x14ac:dyDescent="0.35">
      <c r="A77">
        <f>IF(Bestellungen!J77="Ja",Bestellungen!A77)</f>
        <v>7724</v>
      </c>
      <c r="B77">
        <f>IF(Bestellungen!J77="Ja",Bestellungen!B77)</f>
        <v>235</v>
      </c>
      <c r="C77">
        <v>5</v>
      </c>
      <c r="D77">
        <v>4</v>
      </c>
      <c r="E77">
        <v>4</v>
      </c>
      <c r="F77">
        <v>3</v>
      </c>
      <c r="G77">
        <f t="shared" si="1"/>
        <v>4</v>
      </c>
    </row>
    <row r="78" spans="1:7" x14ac:dyDescent="0.35">
      <c r="A78">
        <f>IF(Bestellungen!J78="Ja",Bestellungen!A78)</f>
        <v>7725</v>
      </c>
      <c r="B78">
        <f>IF(Bestellungen!J78="Ja",Bestellungen!B78)</f>
        <v>33</v>
      </c>
      <c r="C78">
        <v>5</v>
      </c>
      <c r="D78">
        <v>5</v>
      </c>
      <c r="E78">
        <v>3</v>
      </c>
      <c r="F78">
        <v>3</v>
      </c>
      <c r="G78">
        <f t="shared" si="1"/>
        <v>4</v>
      </c>
    </row>
    <row r="79" spans="1:7" hidden="1" x14ac:dyDescent="0.35">
      <c r="A79" t="b">
        <f>IF(Bestellungen!J79="Ja",Bestellungen!A79)</f>
        <v>0</v>
      </c>
      <c r="B79" t="b">
        <f>IF(Bestellungen!J79="Ja",Bestellungen!B79)</f>
        <v>0</v>
      </c>
      <c r="C79" t="s">
        <v>51</v>
      </c>
      <c r="D79" t="s">
        <v>51</v>
      </c>
      <c r="E79" t="s">
        <v>51</v>
      </c>
      <c r="F79" t="s">
        <v>51</v>
      </c>
      <c r="G79" t="e">
        <f t="shared" si="1"/>
        <v>#DIV/0!</v>
      </c>
    </row>
    <row r="80" spans="1:7" hidden="1" x14ac:dyDescent="0.35">
      <c r="A80" t="b">
        <f>IF(Bestellungen!J80="Ja",Bestellungen!A80)</f>
        <v>0</v>
      </c>
      <c r="B80" t="b">
        <f>IF(Bestellungen!J80="Ja",Bestellungen!B80)</f>
        <v>0</v>
      </c>
      <c r="C80" t="s">
        <v>51</v>
      </c>
      <c r="D80" t="s">
        <v>51</v>
      </c>
      <c r="E80" t="s">
        <v>51</v>
      </c>
      <c r="F80" t="s">
        <v>51</v>
      </c>
      <c r="G80" t="e">
        <f t="shared" si="1"/>
        <v>#DIV/0!</v>
      </c>
    </row>
    <row r="81" spans="1:7" hidden="1" x14ac:dyDescent="0.35">
      <c r="A81" t="b">
        <f>IF(Bestellungen!J81="Ja",Bestellungen!A81)</f>
        <v>0</v>
      </c>
      <c r="B81" t="b">
        <f>IF(Bestellungen!J81="Ja",Bestellungen!B81)</f>
        <v>0</v>
      </c>
      <c r="C81" t="s">
        <v>51</v>
      </c>
      <c r="D81" t="s">
        <v>51</v>
      </c>
      <c r="E81" t="s">
        <v>51</v>
      </c>
      <c r="F81" t="s">
        <v>51</v>
      </c>
      <c r="G81" t="e">
        <f t="shared" si="1"/>
        <v>#DIV/0!</v>
      </c>
    </row>
    <row r="82" spans="1:7" hidden="1" x14ac:dyDescent="0.35">
      <c r="A82" t="b">
        <f>IF(Bestellungen!J82="Ja",Bestellungen!A82)</f>
        <v>0</v>
      </c>
      <c r="B82" t="b">
        <f>IF(Bestellungen!J82="Ja",Bestellungen!B82)</f>
        <v>0</v>
      </c>
      <c r="C82" t="s">
        <v>51</v>
      </c>
      <c r="D82" t="s">
        <v>51</v>
      </c>
      <c r="E82" t="s">
        <v>51</v>
      </c>
      <c r="F82" t="s">
        <v>51</v>
      </c>
      <c r="G82" t="e">
        <f t="shared" si="1"/>
        <v>#DIV/0!</v>
      </c>
    </row>
    <row r="83" spans="1:7" x14ac:dyDescent="0.35">
      <c r="A83">
        <f>IF(Bestellungen!J83="Ja",Bestellungen!A83)</f>
        <v>7730</v>
      </c>
      <c r="B83">
        <f>IF(Bestellungen!J83="Ja",Bestellungen!B83)</f>
        <v>274</v>
      </c>
      <c r="C83">
        <v>3</v>
      </c>
      <c r="D83">
        <v>3</v>
      </c>
      <c r="E83">
        <v>3</v>
      </c>
      <c r="F83">
        <v>5</v>
      </c>
      <c r="G83">
        <f t="shared" si="1"/>
        <v>3.5</v>
      </c>
    </row>
    <row r="84" spans="1:7" hidden="1" x14ac:dyDescent="0.35">
      <c r="A84" t="b">
        <f>IF(Bestellungen!J84="Ja",Bestellungen!A84)</f>
        <v>0</v>
      </c>
      <c r="B84" t="b">
        <f>IF(Bestellungen!J84="Ja",Bestellungen!B84)</f>
        <v>0</v>
      </c>
      <c r="C84" t="s">
        <v>51</v>
      </c>
      <c r="D84" t="s">
        <v>51</v>
      </c>
      <c r="E84" t="s">
        <v>51</v>
      </c>
      <c r="F84" t="s">
        <v>51</v>
      </c>
      <c r="G84" t="e">
        <f t="shared" si="1"/>
        <v>#DIV/0!</v>
      </c>
    </row>
    <row r="85" spans="1:7" hidden="1" x14ac:dyDescent="0.35">
      <c r="A85" t="b">
        <f>IF(Bestellungen!J85="Ja",Bestellungen!A85)</f>
        <v>0</v>
      </c>
      <c r="B85" t="b">
        <f>IF(Bestellungen!J85="Ja",Bestellungen!B85)</f>
        <v>0</v>
      </c>
      <c r="C85" t="s">
        <v>51</v>
      </c>
      <c r="D85" t="s">
        <v>51</v>
      </c>
      <c r="E85" t="s">
        <v>51</v>
      </c>
      <c r="F85" t="s">
        <v>51</v>
      </c>
      <c r="G85" t="e">
        <f t="shared" si="1"/>
        <v>#DIV/0!</v>
      </c>
    </row>
    <row r="86" spans="1:7" hidden="1" x14ac:dyDescent="0.35">
      <c r="A86" t="b">
        <f>IF(Bestellungen!J86="Ja",Bestellungen!A86)</f>
        <v>0</v>
      </c>
      <c r="B86" t="b">
        <f>IF(Bestellungen!J86="Ja",Bestellungen!B86)</f>
        <v>0</v>
      </c>
      <c r="C86" t="s">
        <v>51</v>
      </c>
      <c r="D86" t="s">
        <v>51</v>
      </c>
      <c r="E86" t="s">
        <v>51</v>
      </c>
      <c r="F86" t="s">
        <v>51</v>
      </c>
      <c r="G86" t="e">
        <f t="shared" si="1"/>
        <v>#DIV/0!</v>
      </c>
    </row>
    <row r="87" spans="1:7" x14ac:dyDescent="0.35">
      <c r="A87">
        <f>IF(Bestellungen!J87="Ja",Bestellungen!A87)</f>
        <v>7734</v>
      </c>
      <c r="B87">
        <f>IF(Bestellungen!J87="Ja",Bestellungen!B87)</f>
        <v>659</v>
      </c>
      <c r="C87">
        <v>5</v>
      </c>
      <c r="D87">
        <v>3</v>
      </c>
      <c r="E87">
        <v>5</v>
      </c>
      <c r="F87">
        <v>4</v>
      </c>
      <c r="G87">
        <f t="shared" si="1"/>
        <v>4.25</v>
      </c>
    </row>
    <row r="88" spans="1:7" x14ac:dyDescent="0.35">
      <c r="A88">
        <f>IF(Bestellungen!J88="Ja",Bestellungen!A88)</f>
        <v>7735</v>
      </c>
      <c r="B88">
        <f>IF(Bestellungen!J88="Ja",Bestellungen!B88)</f>
        <v>531</v>
      </c>
      <c r="C88">
        <v>3</v>
      </c>
      <c r="D88">
        <v>3</v>
      </c>
      <c r="E88">
        <v>3</v>
      </c>
      <c r="F88">
        <v>3</v>
      </c>
      <c r="G88">
        <f t="shared" si="1"/>
        <v>3</v>
      </c>
    </row>
    <row r="89" spans="1:7" x14ac:dyDescent="0.35">
      <c r="A89">
        <f>IF(Bestellungen!J89="Ja",Bestellungen!A89)</f>
        <v>7736</v>
      </c>
      <c r="B89">
        <f>IF(Bestellungen!J89="Ja",Bestellungen!B89)</f>
        <v>450</v>
      </c>
      <c r="C89">
        <v>4</v>
      </c>
      <c r="D89">
        <v>3</v>
      </c>
      <c r="E89">
        <v>4</v>
      </c>
      <c r="F89">
        <v>5</v>
      </c>
      <c r="G89">
        <f t="shared" si="1"/>
        <v>4</v>
      </c>
    </row>
    <row r="90" spans="1:7" x14ac:dyDescent="0.35">
      <c r="A90">
        <f>IF(Bestellungen!J90="Ja",Bestellungen!A90)</f>
        <v>7737</v>
      </c>
      <c r="B90">
        <f>IF(Bestellungen!J90="Ja",Bestellungen!B90)</f>
        <v>218</v>
      </c>
      <c r="C90">
        <v>4</v>
      </c>
      <c r="D90">
        <v>5</v>
      </c>
      <c r="E90">
        <v>4</v>
      </c>
      <c r="F90">
        <v>3</v>
      </c>
      <c r="G90">
        <f t="shared" si="1"/>
        <v>4</v>
      </c>
    </row>
    <row r="91" spans="1:7" hidden="1" x14ac:dyDescent="0.35">
      <c r="A91" t="b">
        <f>IF(Bestellungen!J91="Ja",Bestellungen!A91)</f>
        <v>0</v>
      </c>
      <c r="B91" t="b">
        <f>IF(Bestellungen!J91="Ja",Bestellungen!B91)</f>
        <v>0</v>
      </c>
      <c r="C91" t="s">
        <v>51</v>
      </c>
      <c r="D91" t="s">
        <v>51</v>
      </c>
      <c r="E91" t="s">
        <v>51</v>
      </c>
      <c r="F91" t="s">
        <v>51</v>
      </c>
      <c r="G91" t="e">
        <f t="shared" si="1"/>
        <v>#DIV/0!</v>
      </c>
    </row>
    <row r="92" spans="1:7" x14ac:dyDescent="0.35">
      <c r="A92">
        <f>IF(Bestellungen!J92="Ja",Bestellungen!A92)</f>
        <v>7739</v>
      </c>
      <c r="B92">
        <f>IF(Bestellungen!J92="Ja",Bestellungen!B92)</f>
        <v>98</v>
      </c>
      <c r="C92">
        <v>3</v>
      </c>
      <c r="D92">
        <v>5</v>
      </c>
      <c r="E92">
        <v>4</v>
      </c>
      <c r="F92">
        <v>4</v>
      </c>
      <c r="G92">
        <f t="shared" si="1"/>
        <v>4</v>
      </c>
    </row>
    <row r="93" spans="1:7" hidden="1" x14ac:dyDescent="0.35">
      <c r="A93" t="b">
        <f>IF(Bestellungen!J93="Ja",Bestellungen!A93)</f>
        <v>0</v>
      </c>
      <c r="B93" t="b">
        <f>IF(Bestellungen!J93="Ja",Bestellungen!B93)</f>
        <v>0</v>
      </c>
      <c r="C93" t="s">
        <v>51</v>
      </c>
      <c r="D93" t="s">
        <v>51</v>
      </c>
      <c r="E93" t="s">
        <v>51</v>
      </c>
      <c r="F93" t="s">
        <v>51</v>
      </c>
      <c r="G93" t="e">
        <f t="shared" si="1"/>
        <v>#DIV/0!</v>
      </c>
    </row>
    <row r="94" spans="1:7" hidden="1" x14ac:dyDescent="0.35">
      <c r="A94" t="b">
        <f>IF(Bestellungen!J94="Ja",Bestellungen!A94)</f>
        <v>0</v>
      </c>
      <c r="B94" t="b">
        <f>IF(Bestellungen!J94="Ja",Bestellungen!B94)</f>
        <v>0</v>
      </c>
      <c r="C94" t="s">
        <v>51</v>
      </c>
      <c r="D94" t="s">
        <v>51</v>
      </c>
      <c r="E94" t="s">
        <v>51</v>
      </c>
      <c r="F94" t="s">
        <v>51</v>
      </c>
      <c r="G94" t="e">
        <f t="shared" si="1"/>
        <v>#DIV/0!</v>
      </c>
    </row>
    <row r="95" spans="1:7" x14ac:dyDescent="0.35">
      <c r="A95">
        <f>IF(Bestellungen!J95="Ja",Bestellungen!A95)</f>
        <v>7742</v>
      </c>
      <c r="B95">
        <f>IF(Bestellungen!J95="Ja",Bestellungen!B95)</f>
        <v>424</v>
      </c>
      <c r="C95">
        <v>5</v>
      </c>
      <c r="D95">
        <v>3</v>
      </c>
      <c r="E95">
        <v>3</v>
      </c>
      <c r="F95">
        <v>5</v>
      </c>
      <c r="G95">
        <f t="shared" si="1"/>
        <v>4</v>
      </c>
    </row>
    <row r="96" spans="1:7" hidden="1" x14ac:dyDescent="0.35">
      <c r="A96" t="b">
        <f>IF(Bestellungen!J96="Ja",Bestellungen!A96)</f>
        <v>0</v>
      </c>
      <c r="B96" t="b">
        <f>IF(Bestellungen!J96="Ja",Bestellungen!B96)</f>
        <v>0</v>
      </c>
      <c r="C96" t="s">
        <v>51</v>
      </c>
      <c r="D96" t="s">
        <v>51</v>
      </c>
      <c r="E96" t="s">
        <v>51</v>
      </c>
      <c r="F96" t="s">
        <v>51</v>
      </c>
      <c r="G96" t="e">
        <f t="shared" si="1"/>
        <v>#DIV/0!</v>
      </c>
    </row>
    <row r="97" spans="1:7" x14ac:dyDescent="0.35">
      <c r="A97">
        <f>IF(Bestellungen!J97="Ja",Bestellungen!A97)</f>
        <v>7744</v>
      </c>
      <c r="B97">
        <f>IF(Bestellungen!J97="Ja",Bestellungen!B97)</f>
        <v>250</v>
      </c>
      <c r="C97">
        <v>4</v>
      </c>
      <c r="D97">
        <v>3</v>
      </c>
      <c r="E97">
        <v>3</v>
      </c>
      <c r="F97">
        <v>3</v>
      </c>
      <c r="G97">
        <f t="shared" si="1"/>
        <v>3.25</v>
      </c>
    </row>
    <row r="98" spans="1:7" hidden="1" x14ac:dyDescent="0.35">
      <c r="A98" t="b">
        <f>IF(Bestellungen!J98="Ja",Bestellungen!A98)</f>
        <v>0</v>
      </c>
      <c r="B98" t="b">
        <f>IF(Bestellungen!J98="Ja",Bestellungen!B98)</f>
        <v>0</v>
      </c>
      <c r="C98" t="s">
        <v>51</v>
      </c>
      <c r="D98" t="s">
        <v>51</v>
      </c>
      <c r="E98" t="s">
        <v>51</v>
      </c>
      <c r="F98" t="s">
        <v>51</v>
      </c>
      <c r="G98" t="e">
        <f t="shared" si="1"/>
        <v>#DIV/0!</v>
      </c>
    </row>
    <row r="99" spans="1:7" hidden="1" x14ac:dyDescent="0.35">
      <c r="A99" t="b">
        <f>IF(Bestellungen!J99="Ja",Bestellungen!A99)</f>
        <v>0</v>
      </c>
      <c r="B99" t="b">
        <f>IF(Bestellungen!J99="Ja",Bestellungen!B99)</f>
        <v>0</v>
      </c>
      <c r="C99" t="s">
        <v>51</v>
      </c>
      <c r="D99" t="s">
        <v>51</v>
      </c>
      <c r="E99" t="s">
        <v>51</v>
      </c>
      <c r="F99" t="s">
        <v>51</v>
      </c>
      <c r="G99" t="e">
        <f t="shared" si="1"/>
        <v>#DIV/0!</v>
      </c>
    </row>
    <row r="100" spans="1:7" x14ac:dyDescent="0.35">
      <c r="A100">
        <f>IF(Bestellungen!J100="Ja",Bestellungen!A100)</f>
        <v>7747</v>
      </c>
      <c r="B100">
        <f>IF(Bestellungen!J100="Ja",Bestellungen!B100)</f>
        <v>648</v>
      </c>
      <c r="C100">
        <v>5</v>
      </c>
      <c r="D100">
        <v>3</v>
      </c>
      <c r="E100">
        <v>5</v>
      </c>
      <c r="F100">
        <v>4</v>
      </c>
      <c r="G100">
        <f t="shared" si="1"/>
        <v>4.25</v>
      </c>
    </row>
    <row r="101" spans="1:7" x14ac:dyDescent="0.35">
      <c r="A101">
        <f>IF(Bestellungen!J101="Ja",Bestellungen!A101)</f>
        <v>7748</v>
      </c>
      <c r="B101">
        <f>IF(Bestellungen!J101="Ja",Bestellungen!B101)</f>
        <v>58</v>
      </c>
      <c r="C101">
        <v>3</v>
      </c>
      <c r="D101">
        <v>3</v>
      </c>
      <c r="E101">
        <v>4</v>
      </c>
      <c r="F101">
        <v>5</v>
      </c>
      <c r="G101">
        <f t="shared" si="1"/>
        <v>3.75</v>
      </c>
    </row>
    <row r="102" spans="1:7" hidden="1" x14ac:dyDescent="0.35">
      <c r="A102" t="b">
        <f>IF(Bestellungen!J102="Ja",Bestellungen!A102)</f>
        <v>0</v>
      </c>
      <c r="B102" t="b">
        <f>IF(Bestellungen!J102="Ja",Bestellungen!B102)</f>
        <v>0</v>
      </c>
      <c r="C102" t="s">
        <v>51</v>
      </c>
      <c r="D102" t="s">
        <v>51</v>
      </c>
      <c r="E102" t="s">
        <v>51</v>
      </c>
      <c r="F102" t="s">
        <v>51</v>
      </c>
      <c r="G102" t="e">
        <f t="shared" si="1"/>
        <v>#DIV/0!</v>
      </c>
    </row>
    <row r="103" spans="1:7" x14ac:dyDescent="0.35">
      <c r="A103">
        <f>IF(Bestellungen!J103="Ja",Bestellungen!A103)</f>
        <v>7750</v>
      </c>
      <c r="B103">
        <f>IF(Bestellungen!J103="Ja",Bestellungen!B103)</f>
        <v>745</v>
      </c>
      <c r="C103">
        <v>4</v>
      </c>
      <c r="D103">
        <v>3</v>
      </c>
      <c r="E103">
        <v>3</v>
      </c>
      <c r="F103">
        <v>3</v>
      </c>
      <c r="G103">
        <f t="shared" si="1"/>
        <v>3.25</v>
      </c>
    </row>
    <row r="104" spans="1:7" hidden="1" x14ac:dyDescent="0.35">
      <c r="A104" t="b">
        <f>IF(Bestellungen!J104="Ja",Bestellungen!A104)</f>
        <v>0</v>
      </c>
      <c r="B104" t="b">
        <f>IF(Bestellungen!J104="Ja",Bestellungen!B104)</f>
        <v>0</v>
      </c>
      <c r="C104" t="s">
        <v>51</v>
      </c>
      <c r="D104" t="s">
        <v>51</v>
      </c>
      <c r="E104" t="s">
        <v>51</v>
      </c>
      <c r="F104" t="s">
        <v>51</v>
      </c>
      <c r="G104" t="e">
        <f t="shared" si="1"/>
        <v>#DIV/0!</v>
      </c>
    </row>
    <row r="105" spans="1:7" x14ac:dyDescent="0.35">
      <c r="A105">
        <f>IF(Bestellungen!J105="Ja",Bestellungen!A105)</f>
        <v>7752</v>
      </c>
      <c r="B105">
        <f>IF(Bestellungen!J105="Ja",Bestellungen!B105)</f>
        <v>146</v>
      </c>
      <c r="C105">
        <v>3</v>
      </c>
      <c r="D105">
        <v>4</v>
      </c>
      <c r="E105">
        <v>3</v>
      </c>
      <c r="F105">
        <v>5</v>
      </c>
      <c r="G105">
        <f t="shared" si="1"/>
        <v>3.75</v>
      </c>
    </row>
    <row r="106" spans="1:7" hidden="1" x14ac:dyDescent="0.35">
      <c r="A106" t="b">
        <f>IF(Bestellungen!J106="Ja",Bestellungen!A106)</f>
        <v>0</v>
      </c>
      <c r="B106" t="b">
        <f>IF(Bestellungen!J106="Ja",Bestellungen!B106)</f>
        <v>0</v>
      </c>
      <c r="C106" t="s">
        <v>51</v>
      </c>
      <c r="D106" t="s">
        <v>51</v>
      </c>
      <c r="E106" t="s">
        <v>51</v>
      </c>
      <c r="F106" t="s">
        <v>51</v>
      </c>
      <c r="G106" t="e">
        <f t="shared" si="1"/>
        <v>#DIV/0!</v>
      </c>
    </row>
    <row r="107" spans="1:7" hidden="1" x14ac:dyDescent="0.35">
      <c r="A107" t="b">
        <f>IF(Bestellungen!J107="Ja",Bestellungen!A107)</f>
        <v>0</v>
      </c>
      <c r="B107" t="b">
        <f>IF(Bestellungen!J107="Ja",Bestellungen!B107)</f>
        <v>0</v>
      </c>
      <c r="C107" t="s">
        <v>51</v>
      </c>
      <c r="D107" t="s">
        <v>51</v>
      </c>
      <c r="E107" t="s">
        <v>51</v>
      </c>
      <c r="F107" t="s">
        <v>51</v>
      </c>
      <c r="G107" t="e">
        <f t="shared" si="1"/>
        <v>#DIV/0!</v>
      </c>
    </row>
    <row r="108" spans="1:7" hidden="1" x14ac:dyDescent="0.35">
      <c r="A108" t="b">
        <f>IF(Bestellungen!J108="Ja",Bestellungen!A108)</f>
        <v>0</v>
      </c>
      <c r="B108" t="b">
        <f>IF(Bestellungen!J108="Ja",Bestellungen!B108)</f>
        <v>0</v>
      </c>
      <c r="C108" t="s">
        <v>51</v>
      </c>
      <c r="D108" t="s">
        <v>51</v>
      </c>
      <c r="E108" t="s">
        <v>51</v>
      </c>
      <c r="F108" t="s">
        <v>51</v>
      </c>
      <c r="G108" t="e">
        <f t="shared" si="1"/>
        <v>#DIV/0!</v>
      </c>
    </row>
    <row r="109" spans="1:7" hidden="1" x14ac:dyDescent="0.35">
      <c r="A109" t="b">
        <f>IF(Bestellungen!J109="Ja",Bestellungen!A109)</f>
        <v>0</v>
      </c>
      <c r="B109" t="b">
        <f>IF(Bestellungen!J109="Ja",Bestellungen!B109)</f>
        <v>0</v>
      </c>
      <c r="C109" t="s">
        <v>51</v>
      </c>
      <c r="D109" t="s">
        <v>51</v>
      </c>
      <c r="E109" t="s">
        <v>51</v>
      </c>
      <c r="F109" t="s">
        <v>51</v>
      </c>
      <c r="G109" t="e">
        <f t="shared" si="1"/>
        <v>#DIV/0!</v>
      </c>
    </row>
    <row r="110" spans="1:7" x14ac:dyDescent="0.35">
      <c r="A110">
        <f>IF(Bestellungen!J110="Ja",Bestellungen!A110)</f>
        <v>7757</v>
      </c>
      <c r="B110">
        <f>IF(Bestellungen!J110="Ja",Bestellungen!B110)</f>
        <v>407</v>
      </c>
      <c r="C110">
        <v>5</v>
      </c>
      <c r="D110">
        <v>5</v>
      </c>
      <c r="E110">
        <v>4</v>
      </c>
      <c r="F110">
        <v>5</v>
      </c>
      <c r="G110">
        <f t="shared" si="1"/>
        <v>4.75</v>
      </c>
    </row>
    <row r="111" spans="1:7" hidden="1" x14ac:dyDescent="0.35">
      <c r="A111" t="b">
        <f>IF(Bestellungen!J111="Ja",Bestellungen!A111)</f>
        <v>0</v>
      </c>
      <c r="B111" t="b">
        <f>IF(Bestellungen!J111="Ja",Bestellungen!B111)</f>
        <v>0</v>
      </c>
      <c r="C111" t="s">
        <v>51</v>
      </c>
      <c r="D111" t="s">
        <v>51</v>
      </c>
      <c r="E111" t="s">
        <v>51</v>
      </c>
      <c r="F111" t="s">
        <v>51</v>
      </c>
      <c r="G111" t="e">
        <f t="shared" si="1"/>
        <v>#DIV/0!</v>
      </c>
    </row>
    <row r="112" spans="1:7" x14ac:dyDescent="0.35">
      <c r="A112">
        <f>IF(Bestellungen!J112="Ja",Bestellungen!A112)</f>
        <v>7759</v>
      </c>
      <c r="B112">
        <f>IF(Bestellungen!J112="Ja",Bestellungen!B112)</f>
        <v>159</v>
      </c>
      <c r="C112">
        <v>5</v>
      </c>
      <c r="D112">
        <v>3</v>
      </c>
      <c r="E112">
        <v>5</v>
      </c>
      <c r="F112">
        <v>5</v>
      </c>
      <c r="G112">
        <f t="shared" si="1"/>
        <v>4.5</v>
      </c>
    </row>
    <row r="113" spans="1:7" hidden="1" x14ac:dyDescent="0.35">
      <c r="A113" t="b">
        <f>IF(Bestellungen!J113="Ja",Bestellungen!A113)</f>
        <v>0</v>
      </c>
      <c r="B113" t="b">
        <f>IF(Bestellungen!J113="Ja",Bestellungen!B113)</f>
        <v>0</v>
      </c>
      <c r="C113" t="s">
        <v>51</v>
      </c>
      <c r="D113" t="s">
        <v>51</v>
      </c>
      <c r="E113" t="s">
        <v>51</v>
      </c>
      <c r="F113" t="s">
        <v>51</v>
      </c>
      <c r="G113" t="e">
        <f t="shared" si="1"/>
        <v>#DIV/0!</v>
      </c>
    </row>
    <row r="114" spans="1:7" x14ac:dyDescent="0.35">
      <c r="A114">
        <f>IF(Bestellungen!J114="Ja",Bestellungen!A114)</f>
        <v>7761</v>
      </c>
      <c r="B114">
        <f>IF(Bestellungen!J114="Ja",Bestellungen!B114)</f>
        <v>563</v>
      </c>
      <c r="C114">
        <v>5</v>
      </c>
      <c r="D114">
        <v>3</v>
      </c>
      <c r="E114">
        <v>4</v>
      </c>
      <c r="F114">
        <v>4</v>
      </c>
      <c r="G114">
        <f t="shared" si="1"/>
        <v>4</v>
      </c>
    </row>
    <row r="115" spans="1:7" hidden="1" x14ac:dyDescent="0.35">
      <c r="A115" t="b">
        <f>IF(Bestellungen!J115="Ja",Bestellungen!A115)</f>
        <v>0</v>
      </c>
      <c r="B115" t="b">
        <f>IF(Bestellungen!J115="Ja",Bestellungen!B115)</f>
        <v>0</v>
      </c>
      <c r="C115" t="s">
        <v>51</v>
      </c>
      <c r="D115" t="s">
        <v>51</v>
      </c>
      <c r="E115" t="s">
        <v>51</v>
      </c>
      <c r="F115" t="s">
        <v>51</v>
      </c>
      <c r="G115" t="e">
        <f t="shared" si="1"/>
        <v>#DIV/0!</v>
      </c>
    </row>
    <row r="116" spans="1:7" x14ac:dyDescent="0.35">
      <c r="A116">
        <f>IF(Bestellungen!J116="Ja",Bestellungen!A116)</f>
        <v>7763</v>
      </c>
      <c r="B116">
        <f>IF(Bestellungen!J116="Ja",Bestellungen!B116)</f>
        <v>760</v>
      </c>
      <c r="C116">
        <v>3</v>
      </c>
      <c r="D116">
        <v>3</v>
      </c>
      <c r="E116">
        <v>3</v>
      </c>
      <c r="F116">
        <v>4</v>
      </c>
      <c r="G116">
        <f t="shared" si="1"/>
        <v>3.25</v>
      </c>
    </row>
    <row r="117" spans="1:7" x14ac:dyDescent="0.35">
      <c r="A117">
        <f>IF(Bestellungen!J117="Ja",Bestellungen!A117)</f>
        <v>7764</v>
      </c>
      <c r="B117">
        <f>IF(Bestellungen!J117="Ja",Bestellungen!B117)</f>
        <v>344</v>
      </c>
      <c r="C117">
        <v>3</v>
      </c>
      <c r="D117">
        <v>4</v>
      </c>
      <c r="E117">
        <v>3</v>
      </c>
      <c r="F117">
        <v>4</v>
      </c>
      <c r="G117">
        <f t="shared" si="1"/>
        <v>3.5</v>
      </c>
    </row>
    <row r="118" spans="1:7" hidden="1" x14ac:dyDescent="0.35">
      <c r="A118" t="b">
        <f>IF(Bestellungen!J118="Ja",Bestellungen!A118)</f>
        <v>0</v>
      </c>
      <c r="B118" t="b">
        <f>IF(Bestellungen!J118="Ja",Bestellungen!B118)</f>
        <v>0</v>
      </c>
      <c r="C118" t="s">
        <v>51</v>
      </c>
      <c r="D118" t="s">
        <v>51</v>
      </c>
      <c r="E118" t="s">
        <v>51</v>
      </c>
      <c r="F118" t="s">
        <v>51</v>
      </c>
      <c r="G118" t="e">
        <f t="shared" si="1"/>
        <v>#DIV/0!</v>
      </c>
    </row>
    <row r="119" spans="1:7" hidden="1" x14ac:dyDescent="0.35">
      <c r="A119" t="b">
        <f>IF(Bestellungen!J119="Ja",Bestellungen!A119)</f>
        <v>0</v>
      </c>
      <c r="B119" t="b">
        <f>IF(Bestellungen!J119="Ja",Bestellungen!B119)</f>
        <v>0</v>
      </c>
      <c r="C119" t="s">
        <v>51</v>
      </c>
      <c r="D119" t="s">
        <v>51</v>
      </c>
      <c r="E119" t="s">
        <v>51</v>
      </c>
      <c r="F119" t="s">
        <v>51</v>
      </c>
      <c r="G119" t="e">
        <f t="shared" si="1"/>
        <v>#DIV/0!</v>
      </c>
    </row>
    <row r="120" spans="1:7" x14ac:dyDescent="0.35">
      <c r="A120">
        <f>IF(Bestellungen!J120="Ja",Bestellungen!A120)</f>
        <v>7767</v>
      </c>
      <c r="B120">
        <f>IF(Bestellungen!J120="Ja",Bestellungen!B120)</f>
        <v>344</v>
      </c>
      <c r="C120">
        <v>5</v>
      </c>
      <c r="D120">
        <v>4</v>
      </c>
      <c r="E120">
        <v>3</v>
      </c>
      <c r="F120">
        <v>4</v>
      </c>
      <c r="G120">
        <f t="shared" si="1"/>
        <v>4</v>
      </c>
    </row>
    <row r="121" spans="1:7" hidden="1" x14ac:dyDescent="0.35">
      <c r="A121" t="b">
        <f>IF(Bestellungen!J121="Ja",Bestellungen!A121)</f>
        <v>0</v>
      </c>
      <c r="B121" t="b">
        <f>IF(Bestellungen!J121="Ja",Bestellungen!B121)</f>
        <v>0</v>
      </c>
      <c r="C121" t="s">
        <v>51</v>
      </c>
      <c r="D121" t="s">
        <v>51</v>
      </c>
      <c r="E121" t="s">
        <v>51</v>
      </c>
      <c r="F121" t="s">
        <v>51</v>
      </c>
      <c r="G121" t="e">
        <f t="shared" si="1"/>
        <v>#DIV/0!</v>
      </c>
    </row>
    <row r="122" spans="1:7" x14ac:dyDescent="0.35">
      <c r="A122">
        <f>IF(Bestellungen!J122="Ja",Bestellungen!A122)</f>
        <v>7769</v>
      </c>
      <c r="B122">
        <f>IF(Bestellungen!J122="Ja",Bestellungen!B122)</f>
        <v>455</v>
      </c>
      <c r="C122">
        <v>5</v>
      </c>
      <c r="D122">
        <v>5</v>
      </c>
      <c r="E122">
        <v>5</v>
      </c>
      <c r="F122">
        <v>3</v>
      </c>
      <c r="G122">
        <f t="shared" si="1"/>
        <v>4.5</v>
      </c>
    </row>
    <row r="123" spans="1:7" x14ac:dyDescent="0.35">
      <c r="A123">
        <f>IF(Bestellungen!J123="Ja",Bestellungen!A123)</f>
        <v>7770</v>
      </c>
      <c r="B123">
        <f>IF(Bestellungen!J123="Ja",Bestellungen!B123)</f>
        <v>78</v>
      </c>
      <c r="C123">
        <v>5</v>
      </c>
      <c r="D123">
        <v>3</v>
      </c>
      <c r="E123">
        <v>4</v>
      </c>
      <c r="F123">
        <v>5</v>
      </c>
      <c r="G123">
        <f t="shared" si="1"/>
        <v>4.25</v>
      </c>
    </row>
    <row r="124" spans="1:7" hidden="1" x14ac:dyDescent="0.35">
      <c r="A124" t="b">
        <f>IF(Bestellungen!J124="Ja",Bestellungen!A124)</f>
        <v>0</v>
      </c>
      <c r="B124" t="b">
        <f>IF(Bestellungen!J124="Ja",Bestellungen!B124)</f>
        <v>0</v>
      </c>
      <c r="C124" t="s">
        <v>51</v>
      </c>
      <c r="D124" t="s">
        <v>51</v>
      </c>
      <c r="E124" t="s">
        <v>51</v>
      </c>
      <c r="F124" t="s">
        <v>51</v>
      </c>
      <c r="G124" t="e">
        <f t="shared" si="1"/>
        <v>#DIV/0!</v>
      </c>
    </row>
    <row r="125" spans="1:7" x14ac:dyDescent="0.35">
      <c r="A125">
        <f>IF(Bestellungen!J125="Ja",Bestellungen!A125)</f>
        <v>7772</v>
      </c>
      <c r="B125">
        <f>IF(Bestellungen!J125="Ja",Bestellungen!B125)</f>
        <v>752</v>
      </c>
      <c r="C125">
        <v>3</v>
      </c>
      <c r="D125">
        <v>3</v>
      </c>
      <c r="E125">
        <v>5</v>
      </c>
      <c r="F125">
        <v>4</v>
      </c>
      <c r="G125">
        <f t="shared" si="1"/>
        <v>3.75</v>
      </c>
    </row>
    <row r="126" spans="1:7" x14ac:dyDescent="0.35">
      <c r="A126">
        <f>IF(Bestellungen!J126="Ja",Bestellungen!A126)</f>
        <v>7773</v>
      </c>
      <c r="B126">
        <f>IF(Bestellungen!J126="Ja",Bestellungen!B126)</f>
        <v>625</v>
      </c>
      <c r="C126">
        <v>3</v>
      </c>
      <c r="D126">
        <v>3</v>
      </c>
      <c r="E126">
        <v>3</v>
      </c>
      <c r="F126">
        <v>4</v>
      </c>
      <c r="G126">
        <f t="shared" si="1"/>
        <v>3.25</v>
      </c>
    </row>
    <row r="127" spans="1:7" x14ac:dyDescent="0.35">
      <c r="A127">
        <f>IF(Bestellungen!J127="Ja",Bestellungen!A127)</f>
        <v>7774</v>
      </c>
      <c r="B127">
        <f>IF(Bestellungen!J127="Ja",Bestellungen!B127)</f>
        <v>282</v>
      </c>
      <c r="C127">
        <v>5</v>
      </c>
      <c r="D127">
        <v>3</v>
      </c>
      <c r="E127">
        <v>4</v>
      </c>
      <c r="F127">
        <v>5</v>
      </c>
      <c r="G127">
        <f t="shared" si="1"/>
        <v>4.25</v>
      </c>
    </row>
    <row r="128" spans="1:7" x14ac:dyDescent="0.35">
      <c r="A128">
        <f>IF(Bestellungen!J128="Ja",Bestellungen!A128)</f>
        <v>7775</v>
      </c>
      <c r="B128">
        <f>IF(Bestellungen!J128="Ja",Bestellungen!B128)</f>
        <v>195</v>
      </c>
      <c r="C128">
        <v>4</v>
      </c>
      <c r="D128">
        <v>4</v>
      </c>
      <c r="E128">
        <v>4</v>
      </c>
      <c r="F128">
        <v>3</v>
      </c>
      <c r="G128">
        <f t="shared" si="1"/>
        <v>3.75</v>
      </c>
    </row>
    <row r="129" spans="1:7" hidden="1" x14ac:dyDescent="0.35">
      <c r="A129" t="b">
        <f>IF(Bestellungen!J129="Ja",Bestellungen!A129)</f>
        <v>0</v>
      </c>
      <c r="B129" t="b">
        <f>IF(Bestellungen!J129="Ja",Bestellungen!B129)</f>
        <v>0</v>
      </c>
      <c r="C129" t="s">
        <v>51</v>
      </c>
      <c r="D129" t="s">
        <v>51</v>
      </c>
      <c r="E129" t="s">
        <v>51</v>
      </c>
      <c r="F129" t="s">
        <v>51</v>
      </c>
      <c r="G129" t="e">
        <f t="shared" si="1"/>
        <v>#DIV/0!</v>
      </c>
    </row>
    <row r="130" spans="1:7" hidden="1" x14ac:dyDescent="0.35">
      <c r="A130" t="b">
        <f>IF(Bestellungen!J130="Ja",Bestellungen!A130)</f>
        <v>0</v>
      </c>
      <c r="B130" t="b">
        <f>IF(Bestellungen!J130="Ja",Bestellungen!B130)</f>
        <v>0</v>
      </c>
      <c r="C130" t="s">
        <v>51</v>
      </c>
      <c r="D130" t="s">
        <v>51</v>
      </c>
      <c r="E130" t="s">
        <v>51</v>
      </c>
      <c r="F130" t="s">
        <v>51</v>
      </c>
      <c r="G130" t="e">
        <f t="shared" si="1"/>
        <v>#DIV/0!</v>
      </c>
    </row>
    <row r="131" spans="1:7" x14ac:dyDescent="0.35">
      <c r="A131">
        <f>IF(Bestellungen!J131="Ja",Bestellungen!A131)</f>
        <v>7778</v>
      </c>
      <c r="B131">
        <f>IF(Bestellungen!J131="Ja",Bestellungen!B131)</f>
        <v>162</v>
      </c>
      <c r="C131">
        <v>3</v>
      </c>
      <c r="D131">
        <v>4</v>
      </c>
      <c r="E131">
        <v>5</v>
      </c>
      <c r="F131">
        <v>3</v>
      </c>
      <c r="G131">
        <f t="shared" ref="G131:G194" si="2">SUM(C131:F131)/COUNT(C131:F131)</f>
        <v>3.75</v>
      </c>
    </row>
    <row r="132" spans="1:7" hidden="1" x14ac:dyDescent="0.35">
      <c r="A132" t="b">
        <f>IF(Bestellungen!J132="Ja",Bestellungen!A132)</f>
        <v>0</v>
      </c>
      <c r="B132" t="b">
        <f>IF(Bestellungen!J132="Ja",Bestellungen!B132)</f>
        <v>0</v>
      </c>
      <c r="C132" t="s">
        <v>51</v>
      </c>
      <c r="D132" t="s">
        <v>51</v>
      </c>
      <c r="E132" t="s">
        <v>51</v>
      </c>
      <c r="F132" t="s">
        <v>51</v>
      </c>
      <c r="G132" t="e">
        <f t="shared" si="2"/>
        <v>#DIV/0!</v>
      </c>
    </row>
    <row r="133" spans="1:7" hidden="1" x14ac:dyDescent="0.35">
      <c r="A133" t="b">
        <f>IF(Bestellungen!J133="Ja",Bestellungen!A133)</f>
        <v>0</v>
      </c>
      <c r="B133" t="b">
        <f>IF(Bestellungen!J133="Ja",Bestellungen!B133)</f>
        <v>0</v>
      </c>
      <c r="C133" t="s">
        <v>51</v>
      </c>
      <c r="D133" t="s">
        <v>51</v>
      </c>
      <c r="E133" t="s">
        <v>51</v>
      </c>
      <c r="F133" t="s">
        <v>51</v>
      </c>
      <c r="G133" t="e">
        <f t="shared" si="2"/>
        <v>#DIV/0!</v>
      </c>
    </row>
    <row r="134" spans="1:7" hidden="1" x14ac:dyDescent="0.35">
      <c r="A134" t="b">
        <f>IF(Bestellungen!J134="Ja",Bestellungen!A134)</f>
        <v>0</v>
      </c>
      <c r="B134" t="b">
        <f>IF(Bestellungen!J134="Ja",Bestellungen!B134)</f>
        <v>0</v>
      </c>
      <c r="C134" t="s">
        <v>51</v>
      </c>
      <c r="D134" t="s">
        <v>51</v>
      </c>
      <c r="E134" t="s">
        <v>51</v>
      </c>
      <c r="F134" t="s">
        <v>51</v>
      </c>
      <c r="G134" t="e">
        <f t="shared" si="2"/>
        <v>#DIV/0!</v>
      </c>
    </row>
    <row r="135" spans="1:7" hidden="1" x14ac:dyDescent="0.35">
      <c r="A135" t="b">
        <f>IF(Bestellungen!J135="Ja",Bestellungen!A135)</f>
        <v>0</v>
      </c>
      <c r="B135" t="b">
        <f>IF(Bestellungen!J135="Ja",Bestellungen!B135)</f>
        <v>0</v>
      </c>
      <c r="C135" t="s">
        <v>51</v>
      </c>
      <c r="D135" t="s">
        <v>51</v>
      </c>
      <c r="E135" t="s">
        <v>51</v>
      </c>
      <c r="F135" t="s">
        <v>51</v>
      </c>
      <c r="G135" t="e">
        <f t="shared" si="2"/>
        <v>#DIV/0!</v>
      </c>
    </row>
    <row r="136" spans="1:7" x14ac:dyDescent="0.35">
      <c r="A136">
        <f>IF(Bestellungen!J136="Ja",Bestellungen!A136)</f>
        <v>7783</v>
      </c>
      <c r="B136">
        <f>IF(Bestellungen!J136="Ja",Bestellungen!B136)</f>
        <v>433</v>
      </c>
      <c r="C136">
        <v>4</v>
      </c>
      <c r="D136">
        <v>5</v>
      </c>
      <c r="E136">
        <v>3</v>
      </c>
      <c r="F136">
        <v>4</v>
      </c>
      <c r="G136">
        <f t="shared" si="2"/>
        <v>4</v>
      </c>
    </row>
    <row r="137" spans="1:7" hidden="1" x14ac:dyDescent="0.35">
      <c r="A137" t="b">
        <f>IF(Bestellungen!J137="Ja",Bestellungen!A137)</f>
        <v>0</v>
      </c>
      <c r="B137" t="b">
        <f>IF(Bestellungen!J137="Ja",Bestellungen!B137)</f>
        <v>0</v>
      </c>
      <c r="C137" t="s">
        <v>51</v>
      </c>
      <c r="D137" t="s">
        <v>51</v>
      </c>
      <c r="E137" t="s">
        <v>51</v>
      </c>
      <c r="F137" t="s">
        <v>51</v>
      </c>
      <c r="G137" t="e">
        <f t="shared" si="2"/>
        <v>#DIV/0!</v>
      </c>
    </row>
    <row r="138" spans="1:7" x14ac:dyDescent="0.35">
      <c r="A138">
        <f>IF(Bestellungen!J138="Ja",Bestellungen!A138)</f>
        <v>7785</v>
      </c>
      <c r="B138">
        <f>IF(Bestellungen!J138="Ja",Bestellungen!B138)</f>
        <v>609</v>
      </c>
      <c r="C138">
        <v>4</v>
      </c>
      <c r="D138">
        <v>3</v>
      </c>
      <c r="E138">
        <v>3</v>
      </c>
      <c r="F138">
        <v>4</v>
      </c>
      <c r="G138">
        <f t="shared" si="2"/>
        <v>3.5</v>
      </c>
    </row>
    <row r="139" spans="1:7" x14ac:dyDescent="0.35">
      <c r="A139">
        <f>IF(Bestellungen!J139="Ja",Bestellungen!A139)</f>
        <v>7786</v>
      </c>
      <c r="B139">
        <f>IF(Bestellungen!J139="Ja",Bestellungen!B139)</f>
        <v>98</v>
      </c>
      <c r="C139">
        <v>5</v>
      </c>
      <c r="D139">
        <v>3</v>
      </c>
      <c r="E139">
        <v>3</v>
      </c>
      <c r="F139">
        <v>4</v>
      </c>
      <c r="G139">
        <f t="shared" si="2"/>
        <v>3.75</v>
      </c>
    </row>
    <row r="140" spans="1:7" x14ac:dyDescent="0.35">
      <c r="A140">
        <f>IF(Bestellungen!J140="Ja",Bestellungen!A140)</f>
        <v>7787</v>
      </c>
      <c r="B140">
        <f>IF(Bestellungen!J140="Ja",Bestellungen!B140)</f>
        <v>254</v>
      </c>
      <c r="C140">
        <v>5</v>
      </c>
      <c r="D140">
        <v>4</v>
      </c>
      <c r="E140">
        <v>4</v>
      </c>
      <c r="F140">
        <v>3</v>
      </c>
      <c r="G140">
        <f t="shared" si="2"/>
        <v>4</v>
      </c>
    </row>
    <row r="141" spans="1:7" x14ac:dyDescent="0.35">
      <c r="A141">
        <f>IF(Bestellungen!J141="Ja",Bestellungen!A141)</f>
        <v>7788</v>
      </c>
      <c r="B141">
        <f>IF(Bestellungen!J141="Ja",Bestellungen!B141)</f>
        <v>294</v>
      </c>
      <c r="C141">
        <v>4</v>
      </c>
      <c r="D141">
        <v>4</v>
      </c>
      <c r="E141">
        <v>4</v>
      </c>
      <c r="F141">
        <v>4</v>
      </c>
      <c r="G141">
        <f t="shared" si="2"/>
        <v>4</v>
      </c>
    </row>
    <row r="142" spans="1:7" x14ac:dyDescent="0.35">
      <c r="A142">
        <f>IF(Bestellungen!J142="Ja",Bestellungen!A142)</f>
        <v>7789</v>
      </c>
      <c r="B142">
        <f>IF(Bestellungen!J142="Ja",Bestellungen!B142)</f>
        <v>503</v>
      </c>
      <c r="C142">
        <v>3</v>
      </c>
      <c r="D142">
        <v>3</v>
      </c>
      <c r="E142">
        <v>5</v>
      </c>
      <c r="F142">
        <v>5</v>
      </c>
      <c r="G142">
        <f t="shared" si="2"/>
        <v>4</v>
      </c>
    </row>
    <row r="143" spans="1:7" hidden="1" x14ac:dyDescent="0.35">
      <c r="A143" t="b">
        <f>IF(Bestellungen!J143="Ja",Bestellungen!A143)</f>
        <v>0</v>
      </c>
      <c r="B143" t="b">
        <f>IF(Bestellungen!J143="Ja",Bestellungen!B143)</f>
        <v>0</v>
      </c>
      <c r="C143" t="s">
        <v>51</v>
      </c>
      <c r="D143" t="s">
        <v>51</v>
      </c>
      <c r="E143" t="s">
        <v>51</v>
      </c>
      <c r="F143" t="s">
        <v>51</v>
      </c>
      <c r="G143" t="e">
        <f t="shared" si="2"/>
        <v>#DIV/0!</v>
      </c>
    </row>
    <row r="144" spans="1:7" hidden="1" x14ac:dyDescent="0.35">
      <c r="A144" t="b">
        <f>IF(Bestellungen!J144="Ja",Bestellungen!A144)</f>
        <v>0</v>
      </c>
      <c r="B144" t="b">
        <f>IF(Bestellungen!J144="Ja",Bestellungen!B144)</f>
        <v>0</v>
      </c>
      <c r="C144" t="s">
        <v>51</v>
      </c>
      <c r="D144" t="s">
        <v>51</v>
      </c>
      <c r="E144" t="s">
        <v>51</v>
      </c>
      <c r="F144" t="s">
        <v>51</v>
      </c>
      <c r="G144" t="e">
        <f t="shared" si="2"/>
        <v>#DIV/0!</v>
      </c>
    </row>
    <row r="145" spans="1:7" hidden="1" x14ac:dyDescent="0.35">
      <c r="A145" t="b">
        <f>IF(Bestellungen!J145="Ja",Bestellungen!A145)</f>
        <v>0</v>
      </c>
      <c r="B145" t="b">
        <f>IF(Bestellungen!J145="Ja",Bestellungen!B145)</f>
        <v>0</v>
      </c>
      <c r="C145" t="s">
        <v>51</v>
      </c>
      <c r="D145" t="s">
        <v>51</v>
      </c>
      <c r="E145" t="s">
        <v>51</v>
      </c>
      <c r="F145" t="s">
        <v>51</v>
      </c>
      <c r="G145" t="e">
        <f t="shared" si="2"/>
        <v>#DIV/0!</v>
      </c>
    </row>
    <row r="146" spans="1:7" hidden="1" x14ac:dyDescent="0.35">
      <c r="A146" t="b">
        <f>IF(Bestellungen!J146="Ja",Bestellungen!A146)</f>
        <v>0</v>
      </c>
      <c r="B146" t="b">
        <f>IF(Bestellungen!J146="Ja",Bestellungen!B146)</f>
        <v>0</v>
      </c>
      <c r="C146" t="s">
        <v>51</v>
      </c>
      <c r="D146" t="s">
        <v>51</v>
      </c>
      <c r="E146" t="s">
        <v>51</v>
      </c>
      <c r="F146" t="s">
        <v>51</v>
      </c>
      <c r="G146" t="e">
        <f t="shared" si="2"/>
        <v>#DIV/0!</v>
      </c>
    </row>
    <row r="147" spans="1:7" hidden="1" x14ac:dyDescent="0.35">
      <c r="A147" t="b">
        <f>IF(Bestellungen!J147="Ja",Bestellungen!A147)</f>
        <v>0</v>
      </c>
      <c r="B147" t="b">
        <f>IF(Bestellungen!J147="Ja",Bestellungen!B147)</f>
        <v>0</v>
      </c>
      <c r="C147" t="s">
        <v>51</v>
      </c>
      <c r="D147" t="s">
        <v>51</v>
      </c>
      <c r="E147" t="s">
        <v>51</v>
      </c>
      <c r="F147" t="s">
        <v>51</v>
      </c>
      <c r="G147" t="e">
        <f t="shared" si="2"/>
        <v>#DIV/0!</v>
      </c>
    </row>
    <row r="148" spans="1:7" hidden="1" x14ac:dyDescent="0.35">
      <c r="A148" t="b">
        <f>IF(Bestellungen!J148="Ja",Bestellungen!A148)</f>
        <v>0</v>
      </c>
      <c r="B148" t="b">
        <f>IF(Bestellungen!J148="Ja",Bestellungen!B148)</f>
        <v>0</v>
      </c>
      <c r="C148" t="s">
        <v>51</v>
      </c>
      <c r="D148" t="s">
        <v>51</v>
      </c>
      <c r="E148" t="s">
        <v>51</v>
      </c>
      <c r="F148" t="s">
        <v>51</v>
      </c>
      <c r="G148" t="e">
        <f t="shared" si="2"/>
        <v>#DIV/0!</v>
      </c>
    </row>
    <row r="149" spans="1:7" hidden="1" x14ac:dyDescent="0.35">
      <c r="A149" t="b">
        <f>IF(Bestellungen!J149="Ja",Bestellungen!A149)</f>
        <v>0</v>
      </c>
      <c r="B149" t="b">
        <f>IF(Bestellungen!J149="Ja",Bestellungen!B149)</f>
        <v>0</v>
      </c>
      <c r="C149" t="s">
        <v>51</v>
      </c>
      <c r="D149" t="s">
        <v>51</v>
      </c>
      <c r="E149" t="s">
        <v>51</v>
      </c>
      <c r="F149" t="s">
        <v>51</v>
      </c>
      <c r="G149" t="e">
        <f t="shared" si="2"/>
        <v>#DIV/0!</v>
      </c>
    </row>
    <row r="150" spans="1:7" hidden="1" x14ac:dyDescent="0.35">
      <c r="A150" t="b">
        <f>IF(Bestellungen!J150="Ja",Bestellungen!A150)</f>
        <v>0</v>
      </c>
      <c r="B150" t="b">
        <f>IF(Bestellungen!J150="Ja",Bestellungen!B150)</f>
        <v>0</v>
      </c>
      <c r="C150" t="s">
        <v>51</v>
      </c>
      <c r="D150" t="s">
        <v>51</v>
      </c>
      <c r="E150" t="s">
        <v>51</v>
      </c>
      <c r="F150" t="s">
        <v>51</v>
      </c>
      <c r="G150" t="e">
        <f t="shared" si="2"/>
        <v>#DIV/0!</v>
      </c>
    </row>
    <row r="151" spans="1:7" hidden="1" x14ac:dyDescent="0.35">
      <c r="A151" t="b">
        <f>IF(Bestellungen!J151="Ja",Bestellungen!A151)</f>
        <v>0</v>
      </c>
      <c r="B151" t="b">
        <f>IF(Bestellungen!J151="Ja",Bestellungen!B151)</f>
        <v>0</v>
      </c>
      <c r="C151" t="s">
        <v>51</v>
      </c>
      <c r="D151" t="s">
        <v>51</v>
      </c>
      <c r="E151" t="s">
        <v>51</v>
      </c>
      <c r="F151" t="s">
        <v>51</v>
      </c>
      <c r="G151" t="e">
        <f t="shared" si="2"/>
        <v>#DIV/0!</v>
      </c>
    </row>
    <row r="152" spans="1:7" hidden="1" x14ac:dyDescent="0.35">
      <c r="A152" t="b">
        <f>IF(Bestellungen!J152="Ja",Bestellungen!A152)</f>
        <v>0</v>
      </c>
      <c r="B152" t="b">
        <f>IF(Bestellungen!J152="Ja",Bestellungen!B152)</f>
        <v>0</v>
      </c>
      <c r="C152" t="s">
        <v>51</v>
      </c>
      <c r="D152" t="s">
        <v>51</v>
      </c>
      <c r="E152" t="s">
        <v>51</v>
      </c>
      <c r="F152" t="s">
        <v>51</v>
      </c>
      <c r="G152" t="e">
        <f t="shared" si="2"/>
        <v>#DIV/0!</v>
      </c>
    </row>
    <row r="153" spans="1:7" x14ac:dyDescent="0.35">
      <c r="A153">
        <f>IF(Bestellungen!J153="Ja",Bestellungen!A153)</f>
        <v>7800</v>
      </c>
      <c r="B153">
        <f>IF(Bestellungen!J153="Ja",Bestellungen!B153)</f>
        <v>139</v>
      </c>
      <c r="C153">
        <v>4</v>
      </c>
      <c r="D153">
        <v>4</v>
      </c>
      <c r="E153">
        <v>4</v>
      </c>
      <c r="F153">
        <v>5</v>
      </c>
      <c r="G153">
        <f t="shared" si="2"/>
        <v>4.25</v>
      </c>
    </row>
    <row r="154" spans="1:7" hidden="1" x14ac:dyDescent="0.35">
      <c r="A154" t="b">
        <f>IF(Bestellungen!J154="Ja",Bestellungen!A154)</f>
        <v>0</v>
      </c>
      <c r="B154" t="b">
        <f>IF(Bestellungen!J154="Ja",Bestellungen!B154)</f>
        <v>0</v>
      </c>
      <c r="C154" t="s">
        <v>51</v>
      </c>
      <c r="D154" t="s">
        <v>51</v>
      </c>
      <c r="E154" t="s">
        <v>51</v>
      </c>
      <c r="F154" t="s">
        <v>51</v>
      </c>
      <c r="G154" t="e">
        <f t="shared" si="2"/>
        <v>#DIV/0!</v>
      </c>
    </row>
    <row r="155" spans="1:7" hidden="1" x14ac:dyDescent="0.35">
      <c r="A155" t="b">
        <f>IF(Bestellungen!J155="Ja",Bestellungen!A155)</f>
        <v>0</v>
      </c>
      <c r="B155" t="b">
        <f>IF(Bestellungen!J155="Ja",Bestellungen!B155)</f>
        <v>0</v>
      </c>
      <c r="C155" t="s">
        <v>51</v>
      </c>
      <c r="D155" t="s">
        <v>51</v>
      </c>
      <c r="E155" t="s">
        <v>51</v>
      </c>
      <c r="F155" t="s">
        <v>51</v>
      </c>
      <c r="G155" t="e">
        <f t="shared" si="2"/>
        <v>#DIV/0!</v>
      </c>
    </row>
    <row r="156" spans="1:7" hidden="1" x14ac:dyDescent="0.35">
      <c r="A156" t="b">
        <f>IF(Bestellungen!J156="Ja",Bestellungen!A156)</f>
        <v>0</v>
      </c>
      <c r="B156" t="b">
        <f>IF(Bestellungen!J156="Ja",Bestellungen!B156)</f>
        <v>0</v>
      </c>
      <c r="C156" t="s">
        <v>51</v>
      </c>
      <c r="D156" t="s">
        <v>51</v>
      </c>
      <c r="E156" t="s">
        <v>51</v>
      </c>
      <c r="F156" t="s">
        <v>51</v>
      </c>
      <c r="G156" t="e">
        <f t="shared" si="2"/>
        <v>#DIV/0!</v>
      </c>
    </row>
    <row r="157" spans="1:7" hidden="1" x14ac:dyDescent="0.35">
      <c r="A157" t="b">
        <f>IF(Bestellungen!J157="Ja",Bestellungen!A157)</f>
        <v>0</v>
      </c>
      <c r="B157" t="b">
        <f>IF(Bestellungen!J157="Ja",Bestellungen!B157)</f>
        <v>0</v>
      </c>
      <c r="C157" t="s">
        <v>51</v>
      </c>
      <c r="D157" t="s">
        <v>51</v>
      </c>
      <c r="E157" t="s">
        <v>51</v>
      </c>
      <c r="F157" t="s">
        <v>51</v>
      </c>
      <c r="G157" t="e">
        <f t="shared" si="2"/>
        <v>#DIV/0!</v>
      </c>
    </row>
    <row r="158" spans="1:7" hidden="1" x14ac:dyDescent="0.35">
      <c r="A158" t="b">
        <f>IF(Bestellungen!J158="Ja",Bestellungen!A158)</f>
        <v>0</v>
      </c>
      <c r="B158" t="b">
        <f>IF(Bestellungen!J158="Ja",Bestellungen!B158)</f>
        <v>0</v>
      </c>
      <c r="C158" t="s">
        <v>51</v>
      </c>
      <c r="D158" t="s">
        <v>51</v>
      </c>
      <c r="E158" t="s">
        <v>51</v>
      </c>
      <c r="F158" t="s">
        <v>51</v>
      </c>
      <c r="G158" t="e">
        <f t="shared" si="2"/>
        <v>#DIV/0!</v>
      </c>
    </row>
    <row r="159" spans="1:7" hidden="1" x14ac:dyDescent="0.35">
      <c r="A159" t="b">
        <f>IF(Bestellungen!J159="Ja",Bestellungen!A159)</f>
        <v>0</v>
      </c>
      <c r="B159" t="b">
        <f>IF(Bestellungen!J159="Ja",Bestellungen!B159)</f>
        <v>0</v>
      </c>
      <c r="C159" t="s">
        <v>51</v>
      </c>
      <c r="D159" t="s">
        <v>51</v>
      </c>
      <c r="E159" t="s">
        <v>51</v>
      </c>
      <c r="F159" t="s">
        <v>51</v>
      </c>
      <c r="G159" t="e">
        <f t="shared" si="2"/>
        <v>#DIV/0!</v>
      </c>
    </row>
    <row r="160" spans="1:7" hidden="1" x14ac:dyDescent="0.35">
      <c r="A160" t="b">
        <f>IF(Bestellungen!J160="Ja",Bestellungen!A160)</f>
        <v>0</v>
      </c>
      <c r="B160" t="b">
        <f>IF(Bestellungen!J160="Ja",Bestellungen!B160)</f>
        <v>0</v>
      </c>
      <c r="C160" t="s">
        <v>51</v>
      </c>
      <c r="D160" t="s">
        <v>51</v>
      </c>
      <c r="E160" t="s">
        <v>51</v>
      </c>
      <c r="F160" t="s">
        <v>51</v>
      </c>
      <c r="G160" t="e">
        <f t="shared" si="2"/>
        <v>#DIV/0!</v>
      </c>
    </row>
    <row r="161" spans="1:7" x14ac:dyDescent="0.35">
      <c r="A161">
        <f>IF(Bestellungen!J161="Ja",Bestellungen!A161)</f>
        <v>7808</v>
      </c>
      <c r="B161">
        <f>IF(Bestellungen!J161="Ja",Bestellungen!B161)</f>
        <v>71</v>
      </c>
      <c r="C161">
        <v>4</v>
      </c>
      <c r="D161">
        <v>4</v>
      </c>
      <c r="E161">
        <v>4</v>
      </c>
      <c r="F161">
        <v>3</v>
      </c>
      <c r="G161">
        <f t="shared" si="2"/>
        <v>3.75</v>
      </c>
    </row>
    <row r="162" spans="1:7" hidden="1" x14ac:dyDescent="0.35">
      <c r="A162" t="b">
        <f>IF(Bestellungen!J162="Ja",Bestellungen!A162)</f>
        <v>0</v>
      </c>
      <c r="B162" t="b">
        <f>IF(Bestellungen!J162="Ja",Bestellungen!B162)</f>
        <v>0</v>
      </c>
      <c r="C162" t="s">
        <v>51</v>
      </c>
      <c r="D162" t="s">
        <v>51</v>
      </c>
      <c r="E162" t="s">
        <v>51</v>
      </c>
      <c r="F162" t="s">
        <v>51</v>
      </c>
      <c r="G162" t="e">
        <f t="shared" si="2"/>
        <v>#DIV/0!</v>
      </c>
    </row>
    <row r="163" spans="1:7" x14ac:dyDescent="0.35">
      <c r="A163">
        <f>IF(Bestellungen!J163="Ja",Bestellungen!A163)</f>
        <v>7810</v>
      </c>
      <c r="B163">
        <f>IF(Bestellungen!J163="Ja",Bestellungen!B163)</f>
        <v>800</v>
      </c>
      <c r="C163">
        <v>5</v>
      </c>
      <c r="D163">
        <v>4</v>
      </c>
      <c r="E163">
        <v>3</v>
      </c>
      <c r="F163">
        <v>5</v>
      </c>
      <c r="G163">
        <f t="shared" si="2"/>
        <v>4.25</v>
      </c>
    </row>
    <row r="164" spans="1:7" x14ac:dyDescent="0.35">
      <c r="A164">
        <f>IF(Bestellungen!J164="Ja",Bestellungen!A164)</f>
        <v>7811</v>
      </c>
      <c r="B164">
        <f>IF(Bestellungen!J164="Ja",Bestellungen!B164)</f>
        <v>726</v>
      </c>
      <c r="C164">
        <v>4</v>
      </c>
      <c r="D164">
        <v>3</v>
      </c>
      <c r="E164">
        <v>4</v>
      </c>
      <c r="F164">
        <v>4</v>
      </c>
      <c r="G164">
        <f t="shared" si="2"/>
        <v>3.75</v>
      </c>
    </row>
    <row r="165" spans="1:7" hidden="1" x14ac:dyDescent="0.35">
      <c r="A165" t="b">
        <f>IF(Bestellungen!J165="Ja",Bestellungen!A165)</f>
        <v>0</v>
      </c>
      <c r="B165" t="b">
        <f>IF(Bestellungen!J165="Ja",Bestellungen!B165)</f>
        <v>0</v>
      </c>
      <c r="C165" t="s">
        <v>51</v>
      </c>
      <c r="D165" t="s">
        <v>51</v>
      </c>
      <c r="E165" t="s">
        <v>51</v>
      </c>
      <c r="F165" t="s">
        <v>51</v>
      </c>
      <c r="G165" t="e">
        <f t="shared" si="2"/>
        <v>#DIV/0!</v>
      </c>
    </row>
    <row r="166" spans="1:7" x14ac:dyDescent="0.35">
      <c r="A166">
        <f>IF(Bestellungen!J166="Ja",Bestellungen!A166)</f>
        <v>7813</v>
      </c>
      <c r="B166">
        <f>IF(Bestellungen!J166="Ja",Bestellungen!B166)</f>
        <v>742</v>
      </c>
      <c r="C166">
        <v>3</v>
      </c>
      <c r="D166">
        <v>5</v>
      </c>
      <c r="E166">
        <v>5</v>
      </c>
      <c r="F166">
        <v>5</v>
      </c>
      <c r="G166">
        <f t="shared" si="2"/>
        <v>4.5</v>
      </c>
    </row>
    <row r="167" spans="1:7" hidden="1" x14ac:dyDescent="0.35">
      <c r="A167" t="b">
        <f>IF(Bestellungen!J167="Ja",Bestellungen!A167)</f>
        <v>0</v>
      </c>
      <c r="B167" t="b">
        <f>IF(Bestellungen!J167="Ja",Bestellungen!B167)</f>
        <v>0</v>
      </c>
      <c r="C167" t="s">
        <v>51</v>
      </c>
      <c r="D167" t="s">
        <v>51</v>
      </c>
      <c r="E167" t="s">
        <v>51</v>
      </c>
      <c r="F167" t="s">
        <v>51</v>
      </c>
      <c r="G167" t="e">
        <f t="shared" si="2"/>
        <v>#DIV/0!</v>
      </c>
    </row>
    <row r="168" spans="1:7" x14ac:dyDescent="0.35">
      <c r="A168">
        <f>IF(Bestellungen!J168="Ja",Bestellungen!A168)</f>
        <v>7815</v>
      </c>
      <c r="B168">
        <f>IF(Bestellungen!J168="Ja",Bestellungen!B168)</f>
        <v>452</v>
      </c>
      <c r="C168">
        <v>4</v>
      </c>
      <c r="D168">
        <v>3</v>
      </c>
      <c r="E168">
        <v>5</v>
      </c>
      <c r="F168">
        <v>4</v>
      </c>
      <c r="G168">
        <f t="shared" si="2"/>
        <v>4</v>
      </c>
    </row>
    <row r="169" spans="1:7" x14ac:dyDescent="0.35">
      <c r="A169">
        <f>IF(Bestellungen!J169="Ja",Bestellungen!A169)</f>
        <v>7816</v>
      </c>
      <c r="B169">
        <f>IF(Bestellungen!J169="Ja",Bestellungen!B169)</f>
        <v>17</v>
      </c>
      <c r="C169">
        <v>3</v>
      </c>
      <c r="D169">
        <v>3</v>
      </c>
      <c r="E169">
        <v>3</v>
      </c>
      <c r="F169">
        <v>4</v>
      </c>
      <c r="G169">
        <f t="shared" si="2"/>
        <v>3.25</v>
      </c>
    </row>
    <row r="170" spans="1:7" hidden="1" x14ac:dyDescent="0.35">
      <c r="A170" t="b">
        <f>IF(Bestellungen!J170="Ja",Bestellungen!A170)</f>
        <v>0</v>
      </c>
      <c r="B170" t="b">
        <f>IF(Bestellungen!J170="Ja",Bestellungen!B170)</f>
        <v>0</v>
      </c>
      <c r="C170" t="s">
        <v>51</v>
      </c>
      <c r="D170" t="s">
        <v>51</v>
      </c>
      <c r="E170" t="s">
        <v>51</v>
      </c>
      <c r="F170" t="s">
        <v>51</v>
      </c>
      <c r="G170" t="e">
        <f t="shared" si="2"/>
        <v>#DIV/0!</v>
      </c>
    </row>
    <row r="171" spans="1:7" hidden="1" x14ac:dyDescent="0.35">
      <c r="A171" t="b">
        <f>IF(Bestellungen!J171="Ja",Bestellungen!A171)</f>
        <v>0</v>
      </c>
      <c r="B171" t="b">
        <f>IF(Bestellungen!J171="Ja",Bestellungen!B171)</f>
        <v>0</v>
      </c>
      <c r="C171" t="s">
        <v>51</v>
      </c>
      <c r="D171" t="s">
        <v>51</v>
      </c>
      <c r="E171" t="s">
        <v>51</v>
      </c>
      <c r="F171" t="s">
        <v>51</v>
      </c>
      <c r="G171" t="e">
        <f t="shared" si="2"/>
        <v>#DIV/0!</v>
      </c>
    </row>
    <row r="172" spans="1:7" hidden="1" x14ac:dyDescent="0.35">
      <c r="A172" t="b">
        <f>IF(Bestellungen!J172="Ja",Bestellungen!A172)</f>
        <v>0</v>
      </c>
      <c r="B172" t="b">
        <f>IF(Bestellungen!J172="Ja",Bestellungen!B172)</f>
        <v>0</v>
      </c>
      <c r="C172" t="s">
        <v>51</v>
      </c>
      <c r="D172" t="s">
        <v>51</v>
      </c>
      <c r="E172" t="s">
        <v>51</v>
      </c>
      <c r="F172" t="s">
        <v>51</v>
      </c>
      <c r="G172" t="e">
        <f t="shared" si="2"/>
        <v>#DIV/0!</v>
      </c>
    </row>
    <row r="173" spans="1:7" hidden="1" x14ac:dyDescent="0.35">
      <c r="A173" t="b">
        <f>IF(Bestellungen!J173="Ja",Bestellungen!A173)</f>
        <v>0</v>
      </c>
      <c r="B173" t="b">
        <f>IF(Bestellungen!J173="Ja",Bestellungen!B173)</f>
        <v>0</v>
      </c>
      <c r="C173" t="s">
        <v>51</v>
      </c>
      <c r="D173" t="s">
        <v>51</v>
      </c>
      <c r="E173" t="s">
        <v>51</v>
      </c>
      <c r="F173" t="s">
        <v>51</v>
      </c>
      <c r="G173" t="e">
        <f t="shared" si="2"/>
        <v>#DIV/0!</v>
      </c>
    </row>
    <row r="174" spans="1:7" hidden="1" x14ac:dyDescent="0.35">
      <c r="A174" t="b">
        <f>IF(Bestellungen!J174="Ja",Bestellungen!A174)</f>
        <v>0</v>
      </c>
      <c r="B174" t="b">
        <f>IF(Bestellungen!J174="Ja",Bestellungen!B174)</f>
        <v>0</v>
      </c>
      <c r="C174" t="s">
        <v>51</v>
      </c>
      <c r="D174" t="s">
        <v>51</v>
      </c>
      <c r="E174" t="s">
        <v>51</v>
      </c>
      <c r="F174" t="s">
        <v>51</v>
      </c>
      <c r="G174" t="e">
        <f t="shared" si="2"/>
        <v>#DIV/0!</v>
      </c>
    </row>
    <row r="175" spans="1:7" hidden="1" x14ac:dyDescent="0.35">
      <c r="A175" t="b">
        <f>IF(Bestellungen!J175="Ja",Bestellungen!A175)</f>
        <v>0</v>
      </c>
      <c r="B175" t="b">
        <f>IF(Bestellungen!J175="Ja",Bestellungen!B175)</f>
        <v>0</v>
      </c>
      <c r="C175" t="s">
        <v>51</v>
      </c>
      <c r="D175" t="s">
        <v>51</v>
      </c>
      <c r="E175" t="s">
        <v>51</v>
      </c>
      <c r="F175" t="s">
        <v>51</v>
      </c>
      <c r="G175" t="e">
        <f t="shared" si="2"/>
        <v>#DIV/0!</v>
      </c>
    </row>
    <row r="176" spans="1:7" x14ac:dyDescent="0.35">
      <c r="A176">
        <f>IF(Bestellungen!J176="Ja",Bestellungen!A176)</f>
        <v>7823</v>
      </c>
      <c r="B176">
        <f>IF(Bestellungen!J176="Ja",Bestellungen!B176)</f>
        <v>501</v>
      </c>
      <c r="C176">
        <v>5</v>
      </c>
      <c r="D176">
        <v>3</v>
      </c>
      <c r="E176">
        <v>3</v>
      </c>
      <c r="F176">
        <v>4</v>
      </c>
      <c r="G176">
        <f t="shared" si="2"/>
        <v>3.75</v>
      </c>
    </row>
    <row r="177" spans="1:7" x14ac:dyDescent="0.35">
      <c r="A177">
        <f>IF(Bestellungen!J177="Ja",Bestellungen!A177)</f>
        <v>7824</v>
      </c>
      <c r="B177">
        <f>IF(Bestellungen!J177="Ja",Bestellungen!B177)</f>
        <v>698</v>
      </c>
      <c r="C177">
        <v>5</v>
      </c>
      <c r="D177">
        <v>4</v>
      </c>
      <c r="E177">
        <v>3</v>
      </c>
      <c r="F177">
        <v>4</v>
      </c>
      <c r="G177">
        <f t="shared" si="2"/>
        <v>4</v>
      </c>
    </row>
    <row r="178" spans="1:7" x14ac:dyDescent="0.35">
      <c r="A178">
        <f>IF(Bestellungen!J178="Ja",Bestellungen!A178)</f>
        <v>7825</v>
      </c>
      <c r="B178">
        <f>IF(Bestellungen!J178="Ja",Bestellungen!B178)</f>
        <v>498</v>
      </c>
      <c r="C178">
        <v>3</v>
      </c>
      <c r="D178">
        <v>4</v>
      </c>
      <c r="E178">
        <v>5</v>
      </c>
      <c r="F178">
        <v>5</v>
      </c>
      <c r="G178">
        <f t="shared" si="2"/>
        <v>4.25</v>
      </c>
    </row>
    <row r="179" spans="1:7" hidden="1" x14ac:dyDescent="0.35">
      <c r="A179" t="b">
        <f>IF(Bestellungen!J179="Ja",Bestellungen!A179)</f>
        <v>0</v>
      </c>
      <c r="B179" t="b">
        <f>IF(Bestellungen!J179="Ja",Bestellungen!B179)</f>
        <v>0</v>
      </c>
      <c r="C179" t="s">
        <v>51</v>
      </c>
      <c r="D179" t="s">
        <v>51</v>
      </c>
      <c r="E179" t="s">
        <v>51</v>
      </c>
      <c r="F179" t="s">
        <v>51</v>
      </c>
      <c r="G179" t="e">
        <f t="shared" si="2"/>
        <v>#DIV/0!</v>
      </c>
    </row>
    <row r="180" spans="1:7" hidden="1" x14ac:dyDescent="0.35">
      <c r="A180" t="b">
        <f>IF(Bestellungen!J180="Ja",Bestellungen!A180)</f>
        <v>0</v>
      </c>
      <c r="B180" t="b">
        <f>IF(Bestellungen!J180="Ja",Bestellungen!B180)</f>
        <v>0</v>
      </c>
      <c r="C180" t="s">
        <v>51</v>
      </c>
      <c r="D180" t="s">
        <v>51</v>
      </c>
      <c r="E180" t="s">
        <v>51</v>
      </c>
      <c r="F180" t="s">
        <v>51</v>
      </c>
      <c r="G180" t="e">
        <f t="shared" si="2"/>
        <v>#DIV/0!</v>
      </c>
    </row>
    <row r="181" spans="1:7" hidden="1" x14ac:dyDescent="0.35">
      <c r="A181" t="b">
        <f>IF(Bestellungen!J181="Ja",Bestellungen!A181)</f>
        <v>0</v>
      </c>
      <c r="B181" t="b">
        <f>IF(Bestellungen!J181="Ja",Bestellungen!B181)</f>
        <v>0</v>
      </c>
      <c r="C181" t="s">
        <v>51</v>
      </c>
      <c r="D181" t="s">
        <v>51</v>
      </c>
      <c r="E181" t="s">
        <v>51</v>
      </c>
      <c r="F181" t="s">
        <v>51</v>
      </c>
      <c r="G181" t="e">
        <f t="shared" si="2"/>
        <v>#DIV/0!</v>
      </c>
    </row>
    <row r="182" spans="1:7" hidden="1" x14ac:dyDescent="0.35">
      <c r="A182" t="b">
        <f>IF(Bestellungen!J182="Ja",Bestellungen!A182)</f>
        <v>0</v>
      </c>
      <c r="B182" t="b">
        <f>IF(Bestellungen!J182="Ja",Bestellungen!B182)</f>
        <v>0</v>
      </c>
      <c r="C182" t="s">
        <v>51</v>
      </c>
      <c r="D182" t="s">
        <v>51</v>
      </c>
      <c r="E182" t="s">
        <v>51</v>
      </c>
      <c r="F182" t="s">
        <v>51</v>
      </c>
      <c r="G182" t="e">
        <f t="shared" si="2"/>
        <v>#DIV/0!</v>
      </c>
    </row>
    <row r="183" spans="1:7" hidden="1" x14ac:dyDescent="0.35">
      <c r="A183" t="b">
        <f>IF(Bestellungen!J183="Ja",Bestellungen!A183)</f>
        <v>0</v>
      </c>
      <c r="B183" t="b">
        <f>IF(Bestellungen!J183="Ja",Bestellungen!B183)</f>
        <v>0</v>
      </c>
      <c r="C183" t="s">
        <v>51</v>
      </c>
      <c r="D183" t="s">
        <v>51</v>
      </c>
      <c r="E183" t="s">
        <v>51</v>
      </c>
      <c r="F183" t="s">
        <v>51</v>
      </c>
      <c r="G183" t="e">
        <f t="shared" si="2"/>
        <v>#DIV/0!</v>
      </c>
    </row>
    <row r="184" spans="1:7" hidden="1" x14ac:dyDescent="0.35">
      <c r="A184" t="b">
        <f>IF(Bestellungen!J184="Ja",Bestellungen!A184)</f>
        <v>0</v>
      </c>
      <c r="B184" t="b">
        <f>IF(Bestellungen!J184="Ja",Bestellungen!B184)</f>
        <v>0</v>
      </c>
      <c r="C184" t="s">
        <v>51</v>
      </c>
      <c r="D184" t="s">
        <v>51</v>
      </c>
      <c r="E184" t="s">
        <v>51</v>
      </c>
      <c r="F184" t="s">
        <v>51</v>
      </c>
      <c r="G184" t="e">
        <f t="shared" si="2"/>
        <v>#DIV/0!</v>
      </c>
    </row>
    <row r="185" spans="1:7" hidden="1" x14ac:dyDescent="0.35">
      <c r="A185" t="b">
        <f>IF(Bestellungen!J185="Ja",Bestellungen!A185)</f>
        <v>0</v>
      </c>
      <c r="B185" t="b">
        <f>IF(Bestellungen!J185="Ja",Bestellungen!B185)</f>
        <v>0</v>
      </c>
      <c r="C185" t="s">
        <v>51</v>
      </c>
      <c r="D185" t="s">
        <v>51</v>
      </c>
      <c r="E185" t="s">
        <v>51</v>
      </c>
      <c r="F185" t="s">
        <v>51</v>
      </c>
      <c r="G185" t="e">
        <f t="shared" si="2"/>
        <v>#DIV/0!</v>
      </c>
    </row>
    <row r="186" spans="1:7" x14ac:dyDescent="0.35">
      <c r="A186">
        <f>IF(Bestellungen!J186="Ja",Bestellungen!A186)</f>
        <v>7833</v>
      </c>
      <c r="B186">
        <f>IF(Bestellungen!J186="Ja",Bestellungen!B186)</f>
        <v>668</v>
      </c>
      <c r="C186">
        <v>4</v>
      </c>
      <c r="D186">
        <v>4</v>
      </c>
      <c r="E186">
        <v>3</v>
      </c>
      <c r="F186">
        <v>5</v>
      </c>
      <c r="G186">
        <f t="shared" si="2"/>
        <v>4</v>
      </c>
    </row>
    <row r="187" spans="1:7" x14ac:dyDescent="0.35">
      <c r="A187">
        <f>IF(Bestellungen!J187="Ja",Bestellungen!A187)</f>
        <v>7834</v>
      </c>
      <c r="B187">
        <f>IF(Bestellungen!J187="Ja",Bestellungen!B187)</f>
        <v>561</v>
      </c>
      <c r="C187">
        <v>3</v>
      </c>
      <c r="D187">
        <v>5</v>
      </c>
      <c r="E187">
        <v>5</v>
      </c>
      <c r="F187">
        <v>4</v>
      </c>
      <c r="G187">
        <f t="shared" si="2"/>
        <v>4.25</v>
      </c>
    </row>
    <row r="188" spans="1:7" hidden="1" x14ac:dyDescent="0.35">
      <c r="A188" t="b">
        <f>IF(Bestellungen!J188="Ja",Bestellungen!A188)</f>
        <v>0</v>
      </c>
      <c r="B188" t="b">
        <f>IF(Bestellungen!J188="Ja",Bestellungen!B188)</f>
        <v>0</v>
      </c>
      <c r="C188" t="s">
        <v>51</v>
      </c>
      <c r="D188" t="s">
        <v>51</v>
      </c>
      <c r="E188" t="s">
        <v>51</v>
      </c>
      <c r="F188" t="s">
        <v>51</v>
      </c>
      <c r="G188" t="e">
        <f t="shared" si="2"/>
        <v>#DIV/0!</v>
      </c>
    </row>
    <row r="189" spans="1:7" x14ac:dyDescent="0.35">
      <c r="A189">
        <f>IF(Bestellungen!J189="Ja",Bestellungen!A189)</f>
        <v>7836</v>
      </c>
      <c r="B189">
        <f>IF(Bestellungen!J189="Ja",Bestellungen!B189)</f>
        <v>420</v>
      </c>
      <c r="C189">
        <v>4</v>
      </c>
      <c r="D189">
        <v>3</v>
      </c>
      <c r="E189">
        <v>3</v>
      </c>
      <c r="F189">
        <v>3</v>
      </c>
      <c r="G189">
        <f t="shared" si="2"/>
        <v>3.25</v>
      </c>
    </row>
    <row r="190" spans="1:7" hidden="1" x14ac:dyDescent="0.35">
      <c r="A190" t="b">
        <f>IF(Bestellungen!J190="Ja",Bestellungen!A190)</f>
        <v>0</v>
      </c>
      <c r="B190" t="b">
        <f>IF(Bestellungen!J190="Ja",Bestellungen!B190)</f>
        <v>0</v>
      </c>
      <c r="C190" t="s">
        <v>51</v>
      </c>
      <c r="D190" t="s">
        <v>51</v>
      </c>
      <c r="E190" t="s">
        <v>51</v>
      </c>
      <c r="F190" t="s">
        <v>51</v>
      </c>
      <c r="G190" t="e">
        <f t="shared" si="2"/>
        <v>#DIV/0!</v>
      </c>
    </row>
    <row r="191" spans="1:7" x14ac:dyDescent="0.35">
      <c r="A191">
        <f>IF(Bestellungen!J191="Ja",Bestellungen!A191)</f>
        <v>7838</v>
      </c>
      <c r="B191">
        <f>IF(Bestellungen!J191="Ja",Bestellungen!B191)</f>
        <v>85</v>
      </c>
      <c r="C191">
        <v>4</v>
      </c>
      <c r="D191">
        <v>4</v>
      </c>
      <c r="E191">
        <v>5</v>
      </c>
      <c r="F191">
        <v>3</v>
      </c>
      <c r="G191">
        <f t="shared" si="2"/>
        <v>4</v>
      </c>
    </row>
    <row r="192" spans="1:7" hidden="1" x14ac:dyDescent="0.35">
      <c r="A192" t="b">
        <f>IF(Bestellungen!J192="Ja",Bestellungen!A192)</f>
        <v>0</v>
      </c>
      <c r="B192" t="b">
        <f>IF(Bestellungen!J192="Ja",Bestellungen!B192)</f>
        <v>0</v>
      </c>
      <c r="C192" t="s">
        <v>51</v>
      </c>
      <c r="D192" t="s">
        <v>51</v>
      </c>
      <c r="E192" t="s">
        <v>51</v>
      </c>
      <c r="F192" t="s">
        <v>51</v>
      </c>
      <c r="G192" t="e">
        <f t="shared" si="2"/>
        <v>#DIV/0!</v>
      </c>
    </row>
    <row r="193" spans="1:7" hidden="1" x14ac:dyDescent="0.35">
      <c r="A193" t="b">
        <f>IF(Bestellungen!J193="Ja",Bestellungen!A193)</f>
        <v>0</v>
      </c>
      <c r="B193" t="b">
        <f>IF(Bestellungen!J193="Ja",Bestellungen!B193)</f>
        <v>0</v>
      </c>
      <c r="C193" t="s">
        <v>51</v>
      </c>
      <c r="D193" t="s">
        <v>51</v>
      </c>
      <c r="E193" t="s">
        <v>51</v>
      </c>
      <c r="F193" t="s">
        <v>51</v>
      </c>
      <c r="G193" t="e">
        <f t="shared" si="2"/>
        <v>#DIV/0!</v>
      </c>
    </row>
    <row r="194" spans="1:7" x14ac:dyDescent="0.35">
      <c r="A194">
        <f>IF(Bestellungen!J194="Ja",Bestellungen!A194)</f>
        <v>7841</v>
      </c>
      <c r="B194">
        <f>IF(Bestellungen!J194="Ja",Bestellungen!B194)</f>
        <v>599</v>
      </c>
      <c r="C194">
        <v>3</v>
      </c>
      <c r="D194">
        <v>5</v>
      </c>
      <c r="E194">
        <v>3</v>
      </c>
      <c r="F194">
        <v>5</v>
      </c>
      <c r="G194">
        <f t="shared" si="2"/>
        <v>4</v>
      </c>
    </row>
    <row r="195" spans="1:7" x14ac:dyDescent="0.35">
      <c r="A195">
        <f>IF(Bestellungen!J195="Ja",Bestellungen!A195)</f>
        <v>7842</v>
      </c>
      <c r="B195">
        <f>IF(Bestellungen!J195="Ja",Bestellungen!B195)</f>
        <v>501</v>
      </c>
      <c r="C195">
        <v>4</v>
      </c>
      <c r="D195">
        <v>3</v>
      </c>
      <c r="E195">
        <v>3</v>
      </c>
      <c r="F195">
        <v>3</v>
      </c>
      <c r="G195">
        <f t="shared" ref="G195:G258" si="3">SUM(C195:F195)/COUNT(C195:F195)</f>
        <v>3.25</v>
      </c>
    </row>
    <row r="196" spans="1:7" x14ac:dyDescent="0.35">
      <c r="A196">
        <f>IF(Bestellungen!J196="Ja",Bestellungen!A196)</f>
        <v>7843</v>
      </c>
      <c r="B196">
        <f>IF(Bestellungen!J196="Ja",Bestellungen!B196)</f>
        <v>41</v>
      </c>
      <c r="C196">
        <v>4</v>
      </c>
      <c r="D196">
        <v>3</v>
      </c>
      <c r="E196">
        <v>5</v>
      </c>
      <c r="F196">
        <v>5</v>
      </c>
      <c r="G196">
        <f t="shared" si="3"/>
        <v>4.25</v>
      </c>
    </row>
    <row r="197" spans="1:7" hidden="1" x14ac:dyDescent="0.35">
      <c r="A197" t="b">
        <f>IF(Bestellungen!J197="Ja",Bestellungen!A197)</f>
        <v>0</v>
      </c>
      <c r="B197" t="b">
        <f>IF(Bestellungen!J197="Ja",Bestellungen!B197)</f>
        <v>0</v>
      </c>
      <c r="C197" t="s">
        <v>51</v>
      </c>
      <c r="D197" t="s">
        <v>51</v>
      </c>
      <c r="E197" t="s">
        <v>51</v>
      </c>
      <c r="F197" t="s">
        <v>51</v>
      </c>
      <c r="G197" t="e">
        <f t="shared" si="3"/>
        <v>#DIV/0!</v>
      </c>
    </row>
    <row r="198" spans="1:7" hidden="1" x14ac:dyDescent="0.35">
      <c r="A198" t="b">
        <f>IF(Bestellungen!J198="Ja",Bestellungen!A198)</f>
        <v>0</v>
      </c>
      <c r="B198" t="b">
        <f>IF(Bestellungen!J198="Ja",Bestellungen!B198)</f>
        <v>0</v>
      </c>
      <c r="C198" t="s">
        <v>51</v>
      </c>
      <c r="D198" t="s">
        <v>51</v>
      </c>
      <c r="E198" t="s">
        <v>51</v>
      </c>
      <c r="F198" t="s">
        <v>51</v>
      </c>
      <c r="G198" t="e">
        <f t="shared" si="3"/>
        <v>#DIV/0!</v>
      </c>
    </row>
    <row r="199" spans="1:7" hidden="1" x14ac:dyDescent="0.35">
      <c r="A199" t="b">
        <f>IF(Bestellungen!J199="Ja",Bestellungen!A199)</f>
        <v>0</v>
      </c>
      <c r="B199" t="b">
        <f>IF(Bestellungen!J199="Ja",Bestellungen!B199)</f>
        <v>0</v>
      </c>
      <c r="C199" t="s">
        <v>51</v>
      </c>
      <c r="D199" t="s">
        <v>51</v>
      </c>
      <c r="E199" t="s">
        <v>51</v>
      </c>
      <c r="F199" t="s">
        <v>51</v>
      </c>
      <c r="G199" t="e">
        <f t="shared" si="3"/>
        <v>#DIV/0!</v>
      </c>
    </row>
    <row r="200" spans="1:7" x14ac:dyDescent="0.35">
      <c r="A200">
        <f>IF(Bestellungen!J200="Ja",Bestellungen!A200)</f>
        <v>7847</v>
      </c>
      <c r="B200">
        <f>IF(Bestellungen!J200="Ja",Bestellungen!B200)</f>
        <v>521</v>
      </c>
      <c r="C200">
        <v>4</v>
      </c>
      <c r="D200">
        <v>3</v>
      </c>
      <c r="E200">
        <v>4</v>
      </c>
      <c r="F200">
        <v>3</v>
      </c>
      <c r="G200">
        <f t="shared" si="3"/>
        <v>3.5</v>
      </c>
    </row>
    <row r="201" spans="1:7" x14ac:dyDescent="0.35">
      <c r="A201">
        <f>IF(Bestellungen!J201="Ja",Bestellungen!A201)</f>
        <v>7848</v>
      </c>
      <c r="B201">
        <f>IF(Bestellungen!J201="Ja",Bestellungen!B201)</f>
        <v>319</v>
      </c>
      <c r="C201">
        <v>3</v>
      </c>
      <c r="D201">
        <v>3</v>
      </c>
      <c r="E201">
        <v>3</v>
      </c>
      <c r="F201">
        <v>5</v>
      </c>
      <c r="G201">
        <f t="shared" si="3"/>
        <v>3.5</v>
      </c>
    </row>
    <row r="202" spans="1:7" hidden="1" x14ac:dyDescent="0.35">
      <c r="A202" t="b">
        <f>IF(Bestellungen!J202="Ja",Bestellungen!A202)</f>
        <v>0</v>
      </c>
      <c r="B202" t="b">
        <f>IF(Bestellungen!J202="Ja",Bestellungen!B202)</f>
        <v>0</v>
      </c>
      <c r="C202" t="s">
        <v>51</v>
      </c>
      <c r="D202" t="s">
        <v>51</v>
      </c>
      <c r="E202" t="s">
        <v>51</v>
      </c>
      <c r="F202" t="s">
        <v>51</v>
      </c>
      <c r="G202" t="e">
        <f t="shared" si="3"/>
        <v>#DIV/0!</v>
      </c>
    </row>
    <row r="203" spans="1:7" x14ac:dyDescent="0.35">
      <c r="A203">
        <f>IF(Bestellungen!J203="Ja",Bestellungen!A203)</f>
        <v>7850</v>
      </c>
      <c r="B203">
        <f>IF(Bestellungen!J203="Ja",Bestellungen!B203)</f>
        <v>739</v>
      </c>
      <c r="C203">
        <v>3</v>
      </c>
      <c r="D203">
        <v>5</v>
      </c>
      <c r="E203">
        <v>4</v>
      </c>
      <c r="F203">
        <v>4</v>
      </c>
      <c r="G203">
        <f t="shared" si="3"/>
        <v>4</v>
      </c>
    </row>
    <row r="204" spans="1:7" x14ac:dyDescent="0.35">
      <c r="A204">
        <f>IF(Bestellungen!J204="Ja",Bestellungen!A204)</f>
        <v>7851</v>
      </c>
      <c r="B204">
        <f>IF(Bestellungen!J204="Ja",Bestellungen!B204)</f>
        <v>643</v>
      </c>
      <c r="C204">
        <v>3</v>
      </c>
      <c r="D204">
        <v>3</v>
      </c>
      <c r="E204">
        <v>3</v>
      </c>
      <c r="F204">
        <v>4</v>
      </c>
      <c r="G204">
        <f t="shared" si="3"/>
        <v>3.25</v>
      </c>
    </row>
    <row r="205" spans="1:7" x14ac:dyDescent="0.35">
      <c r="A205">
        <f>IF(Bestellungen!J205="Ja",Bestellungen!A205)</f>
        <v>7852</v>
      </c>
      <c r="B205">
        <f>IF(Bestellungen!J205="Ja",Bestellungen!B205)</f>
        <v>727</v>
      </c>
      <c r="C205">
        <v>3</v>
      </c>
      <c r="D205">
        <v>5</v>
      </c>
      <c r="E205">
        <v>4</v>
      </c>
      <c r="F205">
        <v>5</v>
      </c>
      <c r="G205">
        <f t="shared" si="3"/>
        <v>4.25</v>
      </c>
    </row>
    <row r="206" spans="1:7" x14ac:dyDescent="0.35">
      <c r="A206">
        <f>IF(Bestellungen!J206="Ja",Bestellungen!A206)</f>
        <v>7853</v>
      </c>
      <c r="B206">
        <f>IF(Bestellungen!J206="Ja",Bestellungen!B206)</f>
        <v>149</v>
      </c>
      <c r="C206">
        <v>4</v>
      </c>
      <c r="D206">
        <v>4</v>
      </c>
      <c r="E206">
        <v>4</v>
      </c>
      <c r="F206">
        <v>3</v>
      </c>
      <c r="G206">
        <f t="shared" si="3"/>
        <v>3.75</v>
      </c>
    </row>
    <row r="207" spans="1:7" hidden="1" x14ac:dyDescent="0.35">
      <c r="A207" t="b">
        <f>IF(Bestellungen!J207="Ja",Bestellungen!A207)</f>
        <v>0</v>
      </c>
      <c r="B207" t="b">
        <f>IF(Bestellungen!J207="Ja",Bestellungen!B207)</f>
        <v>0</v>
      </c>
      <c r="C207" t="s">
        <v>51</v>
      </c>
      <c r="D207" t="s">
        <v>51</v>
      </c>
      <c r="E207" t="s">
        <v>51</v>
      </c>
      <c r="F207" t="s">
        <v>51</v>
      </c>
      <c r="G207" t="e">
        <f t="shared" si="3"/>
        <v>#DIV/0!</v>
      </c>
    </row>
    <row r="208" spans="1:7" hidden="1" x14ac:dyDescent="0.35">
      <c r="A208" t="b">
        <f>IF(Bestellungen!J208="Ja",Bestellungen!A208)</f>
        <v>0</v>
      </c>
      <c r="B208" t="b">
        <f>IF(Bestellungen!J208="Ja",Bestellungen!B208)</f>
        <v>0</v>
      </c>
      <c r="C208" t="s">
        <v>51</v>
      </c>
      <c r="D208" t="s">
        <v>51</v>
      </c>
      <c r="E208" t="s">
        <v>51</v>
      </c>
      <c r="F208" t="s">
        <v>51</v>
      </c>
      <c r="G208" t="e">
        <f t="shared" si="3"/>
        <v>#DIV/0!</v>
      </c>
    </row>
    <row r="209" spans="1:7" x14ac:dyDescent="0.35">
      <c r="A209">
        <f>IF(Bestellungen!J209="Ja",Bestellungen!A209)</f>
        <v>7856</v>
      </c>
      <c r="B209">
        <f>IF(Bestellungen!J209="Ja",Bestellungen!B209)</f>
        <v>349</v>
      </c>
      <c r="C209">
        <v>5</v>
      </c>
      <c r="D209">
        <v>3</v>
      </c>
      <c r="E209">
        <v>3</v>
      </c>
      <c r="F209">
        <v>4</v>
      </c>
      <c r="G209">
        <f t="shared" si="3"/>
        <v>3.75</v>
      </c>
    </row>
    <row r="210" spans="1:7" hidden="1" x14ac:dyDescent="0.35">
      <c r="A210" t="b">
        <f>IF(Bestellungen!J210="Ja",Bestellungen!A210)</f>
        <v>0</v>
      </c>
      <c r="B210" t="b">
        <f>IF(Bestellungen!J210="Ja",Bestellungen!B210)</f>
        <v>0</v>
      </c>
      <c r="C210" t="s">
        <v>51</v>
      </c>
      <c r="D210" t="s">
        <v>51</v>
      </c>
      <c r="E210" t="s">
        <v>51</v>
      </c>
      <c r="F210" t="s">
        <v>51</v>
      </c>
      <c r="G210" t="e">
        <f t="shared" si="3"/>
        <v>#DIV/0!</v>
      </c>
    </row>
    <row r="211" spans="1:7" x14ac:dyDescent="0.35">
      <c r="A211">
        <f>IF(Bestellungen!J211="Ja",Bestellungen!A211)</f>
        <v>7858</v>
      </c>
      <c r="B211">
        <f>IF(Bestellungen!J211="Ja",Bestellungen!B211)</f>
        <v>748</v>
      </c>
      <c r="C211">
        <v>3</v>
      </c>
      <c r="D211">
        <v>5</v>
      </c>
      <c r="E211">
        <v>5</v>
      </c>
      <c r="F211">
        <v>5</v>
      </c>
      <c r="G211">
        <f t="shared" si="3"/>
        <v>4.5</v>
      </c>
    </row>
    <row r="212" spans="1:7" x14ac:dyDescent="0.35">
      <c r="A212">
        <f>IF(Bestellungen!J212="Ja",Bestellungen!A212)</f>
        <v>7859</v>
      </c>
      <c r="B212">
        <f>IF(Bestellungen!J212="Ja",Bestellungen!B212)</f>
        <v>754</v>
      </c>
      <c r="C212">
        <v>4</v>
      </c>
      <c r="D212">
        <v>4</v>
      </c>
      <c r="E212">
        <v>5</v>
      </c>
      <c r="F212">
        <v>3</v>
      </c>
      <c r="G212">
        <f t="shared" si="3"/>
        <v>4</v>
      </c>
    </row>
    <row r="213" spans="1:7" x14ac:dyDescent="0.35">
      <c r="A213">
        <f>IF(Bestellungen!J213="Ja",Bestellungen!A213)</f>
        <v>7860</v>
      </c>
      <c r="B213">
        <f>IF(Bestellungen!J213="Ja",Bestellungen!B213)</f>
        <v>611</v>
      </c>
      <c r="C213">
        <v>5</v>
      </c>
      <c r="D213">
        <v>3</v>
      </c>
      <c r="E213">
        <v>4</v>
      </c>
      <c r="F213">
        <v>3</v>
      </c>
      <c r="G213">
        <f t="shared" si="3"/>
        <v>3.75</v>
      </c>
    </row>
    <row r="214" spans="1:7" x14ac:dyDescent="0.35">
      <c r="A214">
        <f>IF(Bestellungen!J214="Ja",Bestellungen!A214)</f>
        <v>7861</v>
      </c>
      <c r="B214">
        <f>IF(Bestellungen!J214="Ja",Bestellungen!B214)</f>
        <v>315</v>
      </c>
      <c r="C214">
        <v>3</v>
      </c>
      <c r="D214">
        <v>3</v>
      </c>
      <c r="E214">
        <v>4</v>
      </c>
      <c r="F214">
        <v>3</v>
      </c>
      <c r="G214">
        <f t="shared" si="3"/>
        <v>3.25</v>
      </c>
    </row>
    <row r="215" spans="1:7" x14ac:dyDescent="0.35">
      <c r="A215">
        <f>IF(Bestellungen!J215="Ja",Bestellungen!A215)</f>
        <v>7862</v>
      </c>
      <c r="B215">
        <f>IF(Bestellungen!J215="Ja",Bestellungen!B215)</f>
        <v>412</v>
      </c>
      <c r="C215">
        <v>5</v>
      </c>
      <c r="D215">
        <v>5</v>
      </c>
      <c r="E215">
        <v>5</v>
      </c>
      <c r="F215">
        <v>3</v>
      </c>
      <c r="G215">
        <f t="shared" si="3"/>
        <v>4.5</v>
      </c>
    </row>
    <row r="216" spans="1:7" x14ac:dyDescent="0.35">
      <c r="A216">
        <f>IF(Bestellungen!J216="Ja",Bestellungen!A216)</f>
        <v>7863</v>
      </c>
      <c r="B216">
        <f>IF(Bestellungen!J216="Ja",Bestellungen!B216)</f>
        <v>320</v>
      </c>
      <c r="C216">
        <v>3</v>
      </c>
      <c r="D216">
        <v>5</v>
      </c>
      <c r="E216">
        <v>4</v>
      </c>
      <c r="F216">
        <v>5</v>
      </c>
      <c r="G216">
        <f t="shared" si="3"/>
        <v>4.25</v>
      </c>
    </row>
    <row r="217" spans="1:7" hidden="1" x14ac:dyDescent="0.35">
      <c r="A217" t="b">
        <f>IF(Bestellungen!J217="Ja",Bestellungen!A217)</f>
        <v>0</v>
      </c>
      <c r="B217" t="b">
        <f>IF(Bestellungen!J217="Ja",Bestellungen!B217)</f>
        <v>0</v>
      </c>
      <c r="C217" t="s">
        <v>51</v>
      </c>
      <c r="D217" t="s">
        <v>51</v>
      </c>
      <c r="E217" t="s">
        <v>51</v>
      </c>
      <c r="F217" t="s">
        <v>51</v>
      </c>
      <c r="G217" t="e">
        <f t="shared" si="3"/>
        <v>#DIV/0!</v>
      </c>
    </row>
    <row r="218" spans="1:7" x14ac:dyDescent="0.35">
      <c r="A218">
        <f>IF(Bestellungen!J218="Ja",Bestellungen!A218)</f>
        <v>7865</v>
      </c>
      <c r="B218">
        <f>IF(Bestellungen!J218="Ja",Bestellungen!B218)</f>
        <v>435</v>
      </c>
      <c r="C218">
        <v>4</v>
      </c>
      <c r="D218">
        <v>5</v>
      </c>
      <c r="E218">
        <v>3</v>
      </c>
      <c r="F218">
        <v>4</v>
      </c>
      <c r="G218">
        <f t="shared" si="3"/>
        <v>4</v>
      </c>
    </row>
    <row r="219" spans="1:7" x14ac:dyDescent="0.35">
      <c r="A219">
        <f>IF(Bestellungen!J219="Ja",Bestellungen!A219)</f>
        <v>7866</v>
      </c>
      <c r="B219">
        <f>IF(Bestellungen!J219="Ja",Bestellungen!B219)</f>
        <v>205</v>
      </c>
      <c r="C219">
        <v>3</v>
      </c>
      <c r="D219">
        <v>4</v>
      </c>
      <c r="E219">
        <v>3</v>
      </c>
      <c r="F219">
        <v>5</v>
      </c>
      <c r="G219">
        <f t="shared" si="3"/>
        <v>3.75</v>
      </c>
    </row>
    <row r="220" spans="1:7" x14ac:dyDescent="0.35">
      <c r="A220">
        <f>IF(Bestellungen!J220="Ja",Bestellungen!A220)</f>
        <v>7867</v>
      </c>
      <c r="B220">
        <f>IF(Bestellungen!J220="Ja",Bestellungen!B220)</f>
        <v>138</v>
      </c>
      <c r="C220">
        <v>3</v>
      </c>
      <c r="D220">
        <v>3</v>
      </c>
      <c r="E220">
        <v>4</v>
      </c>
      <c r="F220">
        <v>4</v>
      </c>
      <c r="G220">
        <f t="shared" si="3"/>
        <v>3.5</v>
      </c>
    </row>
    <row r="221" spans="1:7" hidden="1" x14ac:dyDescent="0.35">
      <c r="A221" t="b">
        <f>IF(Bestellungen!J221="Ja",Bestellungen!A221)</f>
        <v>0</v>
      </c>
      <c r="B221" t="b">
        <f>IF(Bestellungen!J221="Ja",Bestellungen!B221)</f>
        <v>0</v>
      </c>
      <c r="C221" t="s">
        <v>51</v>
      </c>
      <c r="D221" t="s">
        <v>51</v>
      </c>
      <c r="E221" t="s">
        <v>51</v>
      </c>
      <c r="F221" t="s">
        <v>51</v>
      </c>
      <c r="G221" t="e">
        <f t="shared" si="3"/>
        <v>#DIV/0!</v>
      </c>
    </row>
    <row r="222" spans="1:7" hidden="1" x14ac:dyDescent="0.35">
      <c r="A222" t="b">
        <f>IF(Bestellungen!J222="Ja",Bestellungen!A222)</f>
        <v>0</v>
      </c>
      <c r="B222" t="b">
        <f>IF(Bestellungen!J222="Ja",Bestellungen!B222)</f>
        <v>0</v>
      </c>
      <c r="C222" t="s">
        <v>51</v>
      </c>
      <c r="D222" t="s">
        <v>51</v>
      </c>
      <c r="E222" t="s">
        <v>51</v>
      </c>
      <c r="F222" t="s">
        <v>51</v>
      </c>
      <c r="G222" t="e">
        <f t="shared" si="3"/>
        <v>#DIV/0!</v>
      </c>
    </row>
    <row r="223" spans="1:7" x14ac:dyDescent="0.35">
      <c r="A223">
        <f>IF(Bestellungen!J223="Ja",Bestellungen!A223)</f>
        <v>7870</v>
      </c>
      <c r="B223">
        <f>IF(Bestellungen!J223="Ja",Bestellungen!B223)</f>
        <v>323</v>
      </c>
      <c r="C223">
        <v>3</v>
      </c>
      <c r="D223">
        <v>3</v>
      </c>
      <c r="E223">
        <v>3</v>
      </c>
      <c r="F223">
        <v>3</v>
      </c>
      <c r="G223">
        <f t="shared" si="3"/>
        <v>3</v>
      </c>
    </row>
    <row r="224" spans="1:7" x14ac:dyDescent="0.35">
      <c r="A224">
        <f>IF(Bestellungen!J224="Ja",Bestellungen!A224)</f>
        <v>7871</v>
      </c>
      <c r="B224">
        <f>IF(Bestellungen!J224="Ja",Bestellungen!B224)</f>
        <v>611</v>
      </c>
      <c r="C224">
        <v>5</v>
      </c>
      <c r="D224">
        <v>5</v>
      </c>
      <c r="E224">
        <v>3</v>
      </c>
      <c r="F224">
        <v>5</v>
      </c>
      <c r="G224">
        <f t="shared" si="3"/>
        <v>4.5</v>
      </c>
    </row>
    <row r="225" spans="1:7" x14ac:dyDescent="0.35">
      <c r="A225">
        <f>IF(Bestellungen!J225="Ja",Bestellungen!A225)</f>
        <v>7872</v>
      </c>
      <c r="B225">
        <f>IF(Bestellungen!J225="Ja",Bestellungen!B225)</f>
        <v>90</v>
      </c>
      <c r="C225">
        <v>5</v>
      </c>
      <c r="D225">
        <v>3</v>
      </c>
      <c r="E225">
        <v>4</v>
      </c>
      <c r="F225">
        <v>3</v>
      </c>
      <c r="G225">
        <f t="shared" si="3"/>
        <v>3.75</v>
      </c>
    </row>
    <row r="226" spans="1:7" hidden="1" x14ac:dyDescent="0.35">
      <c r="A226" t="b">
        <f>IF(Bestellungen!J226="Ja",Bestellungen!A226)</f>
        <v>0</v>
      </c>
      <c r="B226" t="b">
        <f>IF(Bestellungen!J226="Ja",Bestellungen!B226)</f>
        <v>0</v>
      </c>
      <c r="C226" t="s">
        <v>51</v>
      </c>
      <c r="D226" t="s">
        <v>51</v>
      </c>
      <c r="E226" t="s">
        <v>51</v>
      </c>
      <c r="F226" t="s">
        <v>51</v>
      </c>
      <c r="G226" t="e">
        <f t="shared" si="3"/>
        <v>#DIV/0!</v>
      </c>
    </row>
    <row r="227" spans="1:7" hidden="1" x14ac:dyDescent="0.35">
      <c r="A227" t="b">
        <f>IF(Bestellungen!J227="Ja",Bestellungen!A227)</f>
        <v>0</v>
      </c>
      <c r="B227" t="b">
        <f>IF(Bestellungen!J227="Ja",Bestellungen!B227)</f>
        <v>0</v>
      </c>
      <c r="C227" t="s">
        <v>51</v>
      </c>
      <c r="D227" t="s">
        <v>51</v>
      </c>
      <c r="E227" t="s">
        <v>51</v>
      </c>
      <c r="F227" t="s">
        <v>51</v>
      </c>
      <c r="G227" t="e">
        <f t="shared" si="3"/>
        <v>#DIV/0!</v>
      </c>
    </row>
    <row r="228" spans="1:7" hidden="1" x14ac:dyDescent="0.35">
      <c r="A228" t="b">
        <f>IF(Bestellungen!J228="Ja",Bestellungen!A228)</f>
        <v>0</v>
      </c>
      <c r="B228" t="b">
        <f>IF(Bestellungen!J228="Ja",Bestellungen!B228)</f>
        <v>0</v>
      </c>
      <c r="C228" t="s">
        <v>51</v>
      </c>
      <c r="D228" t="s">
        <v>51</v>
      </c>
      <c r="E228" t="s">
        <v>51</v>
      </c>
      <c r="F228" t="s">
        <v>51</v>
      </c>
      <c r="G228" t="e">
        <f t="shared" si="3"/>
        <v>#DIV/0!</v>
      </c>
    </row>
    <row r="229" spans="1:7" hidden="1" x14ac:dyDescent="0.35">
      <c r="A229" t="b">
        <f>IF(Bestellungen!J229="Ja",Bestellungen!A229)</f>
        <v>0</v>
      </c>
      <c r="B229" t="b">
        <f>IF(Bestellungen!J229="Ja",Bestellungen!B229)</f>
        <v>0</v>
      </c>
      <c r="C229" t="s">
        <v>51</v>
      </c>
      <c r="D229" t="s">
        <v>51</v>
      </c>
      <c r="E229" t="s">
        <v>51</v>
      </c>
      <c r="F229" t="s">
        <v>51</v>
      </c>
      <c r="G229" t="e">
        <f t="shared" si="3"/>
        <v>#DIV/0!</v>
      </c>
    </row>
    <row r="230" spans="1:7" x14ac:dyDescent="0.35">
      <c r="A230">
        <f>IF(Bestellungen!J230="Ja",Bestellungen!A230)</f>
        <v>7877</v>
      </c>
      <c r="B230">
        <f>IF(Bestellungen!J230="Ja",Bestellungen!B230)</f>
        <v>790</v>
      </c>
      <c r="C230">
        <v>4</v>
      </c>
      <c r="D230">
        <v>4</v>
      </c>
      <c r="E230">
        <v>3</v>
      </c>
      <c r="F230">
        <v>5</v>
      </c>
      <c r="G230">
        <f t="shared" si="3"/>
        <v>4</v>
      </c>
    </row>
    <row r="231" spans="1:7" hidden="1" x14ac:dyDescent="0.35">
      <c r="A231" t="b">
        <f>IF(Bestellungen!J231="Ja",Bestellungen!A231)</f>
        <v>0</v>
      </c>
      <c r="B231" t="b">
        <f>IF(Bestellungen!J231="Ja",Bestellungen!B231)</f>
        <v>0</v>
      </c>
      <c r="C231" t="s">
        <v>51</v>
      </c>
      <c r="D231" t="s">
        <v>51</v>
      </c>
      <c r="E231" t="s">
        <v>51</v>
      </c>
      <c r="F231" t="s">
        <v>51</v>
      </c>
      <c r="G231" t="e">
        <f t="shared" si="3"/>
        <v>#DIV/0!</v>
      </c>
    </row>
    <row r="232" spans="1:7" hidden="1" x14ac:dyDescent="0.35">
      <c r="A232" t="b">
        <f>IF(Bestellungen!J232="Ja",Bestellungen!A232)</f>
        <v>0</v>
      </c>
      <c r="B232" t="b">
        <f>IF(Bestellungen!J232="Ja",Bestellungen!B232)</f>
        <v>0</v>
      </c>
      <c r="C232" t="s">
        <v>51</v>
      </c>
      <c r="D232" t="s">
        <v>51</v>
      </c>
      <c r="E232" t="s">
        <v>51</v>
      </c>
      <c r="F232" t="s">
        <v>51</v>
      </c>
      <c r="G232" t="e">
        <f t="shared" si="3"/>
        <v>#DIV/0!</v>
      </c>
    </row>
    <row r="233" spans="1:7" hidden="1" x14ac:dyDescent="0.35">
      <c r="A233" t="b">
        <f>IF(Bestellungen!J233="Ja",Bestellungen!A233)</f>
        <v>0</v>
      </c>
      <c r="B233" t="b">
        <f>IF(Bestellungen!J233="Ja",Bestellungen!B233)</f>
        <v>0</v>
      </c>
      <c r="C233" t="s">
        <v>51</v>
      </c>
      <c r="D233" t="s">
        <v>51</v>
      </c>
      <c r="E233" t="s">
        <v>51</v>
      </c>
      <c r="F233" t="s">
        <v>51</v>
      </c>
      <c r="G233" t="e">
        <f t="shared" si="3"/>
        <v>#DIV/0!</v>
      </c>
    </row>
    <row r="234" spans="1:7" hidden="1" x14ac:dyDescent="0.35">
      <c r="A234" t="b">
        <f>IF(Bestellungen!J234="Ja",Bestellungen!A234)</f>
        <v>0</v>
      </c>
      <c r="B234" t="b">
        <f>IF(Bestellungen!J234="Ja",Bestellungen!B234)</f>
        <v>0</v>
      </c>
      <c r="C234" t="s">
        <v>51</v>
      </c>
      <c r="D234" t="s">
        <v>51</v>
      </c>
      <c r="E234" t="s">
        <v>51</v>
      </c>
      <c r="F234" t="s">
        <v>51</v>
      </c>
      <c r="G234" t="e">
        <f t="shared" si="3"/>
        <v>#DIV/0!</v>
      </c>
    </row>
    <row r="235" spans="1:7" hidden="1" x14ac:dyDescent="0.35">
      <c r="A235" t="b">
        <f>IF(Bestellungen!J235="Ja",Bestellungen!A235)</f>
        <v>0</v>
      </c>
      <c r="B235" t="b">
        <f>IF(Bestellungen!J235="Ja",Bestellungen!B235)</f>
        <v>0</v>
      </c>
      <c r="C235" t="s">
        <v>51</v>
      </c>
      <c r="D235" t="s">
        <v>51</v>
      </c>
      <c r="E235" t="s">
        <v>51</v>
      </c>
      <c r="F235" t="s">
        <v>51</v>
      </c>
      <c r="G235" t="e">
        <f t="shared" si="3"/>
        <v>#DIV/0!</v>
      </c>
    </row>
    <row r="236" spans="1:7" x14ac:dyDescent="0.35">
      <c r="A236">
        <f>IF(Bestellungen!J236="Ja",Bestellungen!A236)</f>
        <v>7883</v>
      </c>
      <c r="B236">
        <f>IF(Bestellungen!J236="Ja",Bestellungen!B236)</f>
        <v>641</v>
      </c>
      <c r="C236">
        <v>4</v>
      </c>
      <c r="D236">
        <v>4</v>
      </c>
      <c r="E236">
        <v>4</v>
      </c>
      <c r="F236">
        <v>4</v>
      </c>
      <c r="G236">
        <f t="shared" si="3"/>
        <v>4</v>
      </c>
    </row>
    <row r="237" spans="1:7" x14ac:dyDescent="0.35">
      <c r="A237">
        <f>IF(Bestellungen!J237="Ja",Bestellungen!A237)</f>
        <v>7884</v>
      </c>
      <c r="B237">
        <f>IF(Bestellungen!J237="Ja",Bestellungen!B237)</f>
        <v>581</v>
      </c>
      <c r="C237">
        <v>5</v>
      </c>
      <c r="D237">
        <v>5</v>
      </c>
      <c r="E237">
        <v>3</v>
      </c>
      <c r="F237">
        <v>3</v>
      </c>
      <c r="G237">
        <f t="shared" si="3"/>
        <v>4</v>
      </c>
    </row>
    <row r="238" spans="1:7" hidden="1" x14ac:dyDescent="0.35">
      <c r="A238" t="b">
        <f>IF(Bestellungen!J238="Ja",Bestellungen!A238)</f>
        <v>0</v>
      </c>
      <c r="B238" t="b">
        <f>IF(Bestellungen!J238="Ja",Bestellungen!B238)</f>
        <v>0</v>
      </c>
      <c r="C238" t="s">
        <v>51</v>
      </c>
      <c r="D238" t="s">
        <v>51</v>
      </c>
      <c r="E238" t="s">
        <v>51</v>
      </c>
      <c r="F238" t="s">
        <v>51</v>
      </c>
      <c r="G238" t="e">
        <f t="shared" si="3"/>
        <v>#DIV/0!</v>
      </c>
    </row>
    <row r="239" spans="1:7" hidden="1" x14ac:dyDescent="0.35">
      <c r="A239" t="b">
        <f>IF(Bestellungen!J239="Ja",Bestellungen!A239)</f>
        <v>0</v>
      </c>
      <c r="B239" t="b">
        <f>IF(Bestellungen!J239="Ja",Bestellungen!B239)</f>
        <v>0</v>
      </c>
      <c r="C239" t="s">
        <v>51</v>
      </c>
      <c r="D239" t="s">
        <v>51</v>
      </c>
      <c r="E239" t="s">
        <v>51</v>
      </c>
      <c r="F239" t="s">
        <v>51</v>
      </c>
      <c r="G239" t="e">
        <f t="shared" si="3"/>
        <v>#DIV/0!</v>
      </c>
    </row>
    <row r="240" spans="1:7" hidden="1" x14ac:dyDescent="0.35">
      <c r="A240" t="b">
        <f>IF(Bestellungen!J240="Ja",Bestellungen!A240)</f>
        <v>0</v>
      </c>
      <c r="B240" t="b">
        <f>IF(Bestellungen!J240="Ja",Bestellungen!B240)</f>
        <v>0</v>
      </c>
      <c r="C240" t="s">
        <v>51</v>
      </c>
      <c r="D240" t="s">
        <v>51</v>
      </c>
      <c r="E240" t="s">
        <v>51</v>
      </c>
      <c r="F240" t="s">
        <v>51</v>
      </c>
      <c r="G240" t="e">
        <f t="shared" si="3"/>
        <v>#DIV/0!</v>
      </c>
    </row>
    <row r="241" spans="1:7" x14ac:dyDescent="0.35">
      <c r="A241">
        <f>IF(Bestellungen!J241="Ja",Bestellungen!A241)</f>
        <v>7888</v>
      </c>
      <c r="B241">
        <f>IF(Bestellungen!J241="Ja",Bestellungen!B241)</f>
        <v>439</v>
      </c>
      <c r="C241">
        <v>4</v>
      </c>
      <c r="D241">
        <v>5</v>
      </c>
      <c r="E241">
        <v>3</v>
      </c>
      <c r="F241">
        <v>3</v>
      </c>
      <c r="G241">
        <f t="shared" si="3"/>
        <v>3.75</v>
      </c>
    </row>
    <row r="242" spans="1:7" hidden="1" x14ac:dyDescent="0.35">
      <c r="A242" t="b">
        <f>IF(Bestellungen!J242="Ja",Bestellungen!A242)</f>
        <v>0</v>
      </c>
      <c r="B242" t="b">
        <f>IF(Bestellungen!J242="Ja",Bestellungen!B242)</f>
        <v>0</v>
      </c>
      <c r="C242" t="s">
        <v>51</v>
      </c>
      <c r="D242" t="s">
        <v>51</v>
      </c>
      <c r="E242" t="s">
        <v>51</v>
      </c>
      <c r="F242" t="s">
        <v>51</v>
      </c>
      <c r="G242" t="e">
        <f t="shared" si="3"/>
        <v>#DIV/0!</v>
      </c>
    </row>
    <row r="243" spans="1:7" hidden="1" x14ac:dyDescent="0.35">
      <c r="A243" t="b">
        <f>IF(Bestellungen!J243="Ja",Bestellungen!A243)</f>
        <v>0</v>
      </c>
      <c r="B243" t="b">
        <f>IF(Bestellungen!J243="Ja",Bestellungen!B243)</f>
        <v>0</v>
      </c>
      <c r="C243" t="s">
        <v>51</v>
      </c>
      <c r="D243" t="s">
        <v>51</v>
      </c>
      <c r="E243" t="s">
        <v>51</v>
      </c>
      <c r="F243" t="s">
        <v>51</v>
      </c>
      <c r="G243" t="e">
        <f t="shared" si="3"/>
        <v>#DIV/0!</v>
      </c>
    </row>
    <row r="244" spans="1:7" hidden="1" x14ac:dyDescent="0.35">
      <c r="A244" t="b">
        <f>IF(Bestellungen!J244="Ja",Bestellungen!A244)</f>
        <v>0</v>
      </c>
      <c r="B244" t="b">
        <f>IF(Bestellungen!J244="Ja",Bestellungen!B244)</f>
        <v>0</v>
      </c>
      <c r="C244" t="s">
        <v>51</v>
      </c>
      <c r="D244" t="s">
        <v>51</v>
      </c>
      <c r="E244" t="s">
        <v>51</v>
      </c>
      <c r="F244" t="s">
        <v>51</v>
      </c>
      <c r="G244" t="e">
        <f t="shared" si="3"/>
        <v>#DIV/0!</v>
      </c>
    </row>
    <row r="245" spans="1:7" hidden="1" x14ac:dyDescent="0.35">
      <c r="A245" t="b">
        <f>IF(Bestellungen!J245="Ja",Bestellungen!A245)</f>
        <v>0</v>
      </c>
      <c r="B245" t="b">
        <f>IF(Bestellungen!J245="Ja",Bestellungen!B245)</f>
        <v>0</v>
      </c>
      <c r="C245" t="s">
        <v>51</v>
      </c>
      <c r="D245" t="s">
        <v>51</v>
      </c>
      <c r="E245" t="s">
        <v>51</v>
      </c>
      <c r="F245" t="s">
        <v>51</v>
      </c>
      <c r="G245" t="e">
        <f t="shared" si="3"/>
        <v>#DIV/0!</v>
      </c>
    </row>
    <row r="246" spans="1:7" x14ac:dyDescent="0.35">
      <c r="A246">
        <f>IF(Bestellungen!J246="Ja",Bestellungen!A246)</f>
        <v>7893</v>
      </c>
      <c r="B246">
        <f>IF(Bestellungen!J246="Ja",Bestellungen!B246)</f>
        <v>85</v>
      </c>
      <c r="C246">
        <v>3</v>
      </c>
      <c r="D246">
        <v>5</v>
      </c>
      <c r="E246">
        <v>3</v>
      </c>
      <c r="F246">
        <v>4</v>
      </c>
      <c r="G246">
        <f t="shared" si="3"/>
        <v>3.75</v>
      </c>
    </row>
    <row r="247" spans="1:7" hidden="1" x14ac:dyDescent="0.35">
      <c r="A247" t="b">
        <f>IF(Bestellungen!J247="Ja",Bestellungen!A247)</f>
        <v>0</v>
      </c>
      <c r="B247" t="b">
        <f>IF(Bestellungen!J247="Ja",Bestellungen!B247)</f>
        <v>0</v>
      </c>
      <c r="C247" t="s">
        <v>51</v>
      </c>
      <c r="D247" t="s">
        <v>51</v>
      </c>
      <c r="E247" t="s">
        <v>51</v>
      </c>
      <c r="F247" t="s">
        <v>51</v>
      </c>
      <c r="G247" t="e">
        <f t="shared" si="3"/>
        <v>#DIV/0!</v>
      </c>
    </row>
    <row r="248" spans="1:7" x14ac:dyDescent="0.35">
      <c r="A248">
        <f>IF(Bestellungen!J248="Ja",Bestellungen!A248)</f>
        <v>7895</v>
      </c>
      <c r="B248">
        <f>IF(Bestellungen!J248="Ja",Bestellungen!B248)</f>
        <v>539</v>
      </c>
      <c r="C248">
        <v>5</v>
      </c>
      <c r="D248">
        <v>5</v>
      </c>
      <c r="E248">
        <v>3</v>
      </c>
      <c r="F248">
        <v>3</v>
      </c>
      <c r="G248">
        <f t="shared" si="3"/>
        <v>4</v>
      </c>
    </row>
    <row r="249" spans="1:7" hidden="1" x14ac:dyDescent="0.35">
      <c r="A249" t="b">
        <f>IF(Bestellungen!J249="Ja",Bestellungen!A249)</f>
        <v>0</v>
      </c>
      <c r="B249" t="b">
        <f>IF(Bestellungen!J249="Ja",Bestellungen!B249)</f>
        <v>0</v>
      </c>
      <c r="C249" t="s">
        <v>51</v>
      </c>
      <c r="D249" t="s">
        <v>51</v>
      </c>
      <c r="E249" t="s">
        <v>51</v>
      </c>
      <c r="F249" t="s">
        <v>51</v>
      </c>
      <c r="G249" t="e">
        <f t="shared" si="3"/>
        <v>#DIV/0!</v>
      </c>
    </row>
    <row r="250" spans="1:7" hidden="1" x14ac:dyDescent="0.35">
      <c r="A250" t="b">
        <f>IF(Bestellungen!J250="Ja",Bestellungen!A250)</f>
        <v>0</v>
      </c>
      <c r="B250" t="b">
        <f>IF(Bestellungen!J250="Ja",Bestellungen!B250)</f>
        <v>0</v>
      </c>
      <c r="C250" t="s">
        <v>51</v>
      </c>
      <c r="D250" t="s">
        <v>51</v>
      </c>
      <c r="E250" t="s">
        <v>51</v>
      </c>
      <c r="F250" t="s">
        <v>51</v>
      </c>
      <c r="G250" t="e">
        <f t="shared" si="3"/>
        <v>#DIV/0!</v>
      </c>
    </row>
    <row r="251" spans="1:7" hidden="1" x14ac:dyDescent="0.35">
      <c r="A251" t="b">
        <f>IF(Bestellungen!J251="Ja",Bestellungen!A251)</f>
        <v>0</v>
      </c>
      <c r="B251" t="b">
        <f>IF(Bestellungen!J251="Ja",Bestellungen!B251)</f>
        <v>0</v>
      </c>
      <c r="C251" t="s">
        <v>51</v>
      </c>
      <c r="D251" t="s">
        <v>51</v>
      </c>
      <c r="E251" t="s">
        <v>51</v>
      </c>
      <c r="F251" t="s">
        <v>51</v>
      </c>
      <c r="G251" t="e">
        <f t="shared" si="3"/>
        <v>#DIV/0!</v>
      </c>
    </row>
    <row r="252" spans="1:7" hidden="1" x14ac:dyDescent="0.35">
      <c r="A252" t="b">
        <f>IF(Bestellungen!J252="Ja",Bestellungen!A252)</f>
        <v>0</v>
      </c>
      <c r="B252" t="b">
        <f>IF(Bestellungen!J252="Ja",Bestellungen!B252)</f>
        <v>0</v>
      </c>
      <c r="C252" t="s">
        <v>51</v>
      </c>
      <c r="D252" t="s">
        <v>51</v>
      </c>
      <c r="E252" t="s">
        <v>51</v>
      </c>
      <c r="F252" t="s">
        <v>51</v>
      </c>
      <c r="G252" t="e">
        <f t="shared" si="3"/>
        <v>#DIV/0!</v>
      </c>
    </row>
    <row r="253" spans="1:7" hidden="1" x14ac:dyDescent="0.35">
      <c r="A253" t="b">
        <f>IF(Bestellungen!J253="Ja",Bestellungen!A253)</f>
        <v>0</v>
      </c>
      <c r="B253" t="b">
        <f>IF(Bestellungen!J253="Ja",Bestellungen!B253)</f>
        <v>0</v>
      </c>
      <c r="C253" t="s">
        <v>51</v>
      </c>
      <c r="D253" t="s">
        <v>51</v>
      </c>
      <c r="E253" t="s">
        <v>51</v>
      </c>
      <c r="F253" t="s">
        <v>51</v>
      </c>
      <c r="G253" t="e">
        <f t="shared" si="3"/>
        <v>#DIV/0!</v>
      </c>
    </row>
    <row r="254" spans="1:7" x14ac:dyDescent="0.35">
      <c r="A254">
        <f>IF(Bestellungen!J254="Ja",Bestellungen!A254)</f>
        <v>7901</v>
      </c>
      <c r="B254">
        <f>IF(Bestellungen!J254="Ja",Bestellungen!B254)</f>
        <v>160</v>
      </c>
      <c r="C254">
        <v>4</v>
      </c>
      <c r="D254">
        <v>5</v>
      </c>
      <c r="E254">
        <v>3</v>
      </c>
      <c r="F254">
        <v>4</v>
      </c>
      <c r="G254">
        <f t="shared" si="3"/>
        <v>4</v>
      </c>
    </row>
    <row r="255" spans="1:7" hidden="1" x14ac:dyDescent="0.35">
      <c r="A255" t="b">
        <f>IF(Bestellungen!J255="Ja",Bestellungen!A255)</f>
        <v>0</v>
      </c>
      <c r="B255" t="b">
        <f>IF(Bestellungen!J255="Ja",Bestellungen!B255)</f>
        <v>0</v>
      </c>
      <c r="C255" t="s">
        <v>51</v>
      </c>
      <c r="D255" t="s">
        <v>51</v>
      </c>
      <c r="E255" t="s">
        <v>51</v>
      </c>
      <c r="F255" t="s">
        <v>51</v>
      </c>
      <c r="G255" t="e">
        <f t="shared" si="3"/>
        <v>#DIV/0!</v>
      </c>
    </row>
    <row r="256" spans="1:7" hidden="1" x14ac:dyDescent="0.35">
      <c r="A256" t="b">
        <f>IF(Bestellungen!J256="Ja",Bestellungen!A256)</f>
        <v>0</v>
      </c>
      <c r="B256" t="b">
        <f>IF(Bestellungen!J256="Ja",Bestellungen!B256)</f>
        <v>0</v>
      </c>
      <c r="C256" t="s">
        <v>51</v>
      </c>
      <c r="D256" t="s">
        <v>51</v>
      </c>
      <c r="E256" t="s">
        <v>51</v>
      </c>
      <c r="F256" t="s">
        <v>51</v>
      </c>
      <c r="G256" t="e">
        <f t="shared" si="3"/>
        <v>#DIV/0!</v>
      </c>
    </row>
    <row r="257" spans="1:7" hidden="1" x14ac:dyDescent="0.35">
      <c r="A257" t="b">
        <f>IF(Bestellungen!J257="Ja",Bestellungen!A257)</f>
        <v>0</v>
      </c>
      <c r="B257" t="b">
        <f>IF(Bestellungen!J257="Ja",Bestellungen!B257)</f>
        <v>0</v>
      </c>
      <c r="C257" t="s">
        <v>51</v>
      </c>
      <c r="D257" t="s">
        <v>51</v>
      </c>
      <c r="E257" t="s">
        <v>51</v>
      </c>
      <c r="F257" t="s">
        <v>51</v>
      </c>
      <c r="G257" t="e">
        <f t="shared" si="3"/>
        <v>#DIV/0!</v>
      </c>
    </row>
    <row r="258" spans="1:7" hidden="1" x14ac:dyDescent="0.35">
      <c r="A258" t="b">
        <f>IF(Bestellungen!J258="Ja",Bestellungen!A258)</f>
        <v>0</v>
      </c>
      <c r="B258" t="b">
        <f>IF(Bestellungen!J258="Ja",Bestellungen!B258)</f>
        <v>0</v>
      </c>
      <c r="C258" t="s">
        <v>51</v>
      </c>
      <c r="D258" t="s">
        <v>51</v>
      </c>
      <c r="E258" t="s">
        <v>51</v>
      </c>
      <c r="F258" t="s">
        <v>51</v>
      </c>
      <c r="G258" t="e">
        <f t="shared" si="3"/>
        <v>#DIV/0!</v>
      </c>
    </row>
    <row r="259" spans="1:7" x14ac:dyDescent="0.35">
      <c r="A259">
        <f>IF(Bestellungen!J259="Ja",Bestellungen!A259)</f>
        <v>7906</v>
      </c>
      <c r="B259">
        <f>IF(Bestellungen!J259="Ja",Bestellungen!B259)</f>
        <v>728</v>
      </c>
      <c r="C259">
        <v>5</v>
      </c>
      <c r="D259">
        <v>5</v>
      </c>
      <c r="E259">
        <v>4</v>
      </c>
      <c r="F259">
        <v>4</v>
      </c>
      <c r="G259">
        <f t="shared" ref="G259:G322" si="4">SUM(C259:F259)/COUNT(C259:F259)</f>
        <v>4.5</v>
      </c>
    </row>
    <row r="260" spans="1:7" hidden="1" x14ac:dyDescent="0.35">
      <c r="A260" t="b">
        <f>IF(Bestellungen!J260="Ja",Bestellungen!A260)</f>
        <v>0</v>
      </c>
      <c r="B260" t="b">
        <f>IF(Bestellungen!J260="Ja",Bestellungen!B260)</f>
        <v>0</v>
      </c>
      <c r="C260" t="s">
        <v>51</v>
      </c>
      <c r="D260" t="s">
        <v>51</v>
      </c>
      <c r="E260" t="s">
        <v>51</v>
      </c>
      <c r="F260" t="s">
        <v>51</v>
      </c>
      <c r="G260" t="e">
        <f t="shared" si="4"/>
        <v>#DIV/0!</v>
      </c>
    </row>
    <row r="261" spans="1:7" hidden="1" x14ac:dyDescent="0.35">
      <c r="A261" t="b">
        <f>IF(Bestellungen!J261="Ja",Bestellungen!A261)</f>
        <v>0</v>
      </c>
      <c r="B261" t="b">
        <f>IF(Bestellungen!J261="Ja",Bestellungen!B261)</f>
        <v>0</v>
      </c>
      <c r="C261" t="s">
        <v>51</v>
      </c>
      <c r="D261" t="s">
        <v>51</v>
      </c>
      <c r="E261" t="s">
        <v>51</v>
      </c>
      <c r="F261" t="s">
        <v>51</v>
      </c>
      <c r="G261" t="e">
        <f t="shared" si="4"/>
        <v>#DIV/0!</v>
      </c>
    </row>
    <row r="262" spans="1:7" x14ac:dyDescent="0.35">
      <c r="A262">
        <f>IF(Bestellungen!J262="Ja",Bestellungen!A262)</f>
        <v>7909</v>
      </c>
      <c r="B262">
        <f>IF(Bestellungen!J262="Ja",Bestellungen!B262)</f>
        <v>643</v>
      </c>
      <c r="C262">
        <v>3</v>
      </c>
      <c r="D262">
        <v>4</v>
      </c>
      <c r="E262">
        <v>5</v>
      </c>
      <c r="F262">
        <v>4</v>
      </c>
      <c r="G262">
        <f t="shared" si="4"/>
        <v>4</v>
      </c>
    </row>
    <row r="263" spans="1:7" hidden="1" x14ac:dyDescent="0.35">
      <c r="A263" t="b">
        <f>IF(Bestellungen!J263="Ja",Bestellungen!A263)</f>
        <v>0</v>
      </c>
      <c r="B263" t="b">
        <f>IF(Bestellungen!J263="Ja",Bestellungen!B263)</f>
        <v>0</v>
      </c>
      <c r="C263" t="s">
        <v>51</v>
      </c>
      <c r="D263" t="s">
        <v>51</v>
      </c>
      <c r="E263" t="s">
        <v>51</v>
      </c>
      <c r="F263" t="s">
        <v>51</v>
      </c>
      <c r="G263" t="e">
        <f t="shared" si="4"/>
        <v>#DIV/0!</v>
      </c>
    </row>
    <row r="264" spans="1:7" hidden="1" x14ac:dyDescent="0.35">
      <c r="A264" t="b">
        <f>IF(Bestellungen!J264="Ja",Bestellungen!A264)</f>
        <v>0</v>
      </c>
      <c r="B264" t="b">
        <f>IF(Bestellungen!J264="Ja",Bestellungen!B264)</f>
        <v>0</v>
      </c>
      <c r="C264" t="s">
        <v>51</v>
      </c>
      <c r="D264" t="s">
        <v>51</v>
      </c>
      <c r="E264" t="s">
        <v>51</v>
      </c>
      <c r="F264" t="s">
        <v>51</v>
      </c>
      <c r="G264" t="e">
        <f t="shared" si="4"/>
        <v>#DIV/0!</v>
      </c>
    </row>
    <row r="265" spans="1:7" hidden="1" x14ac:dyDescent="0.35">
      <c r="A265" t="b">
        <f>IF(Bestellungen!J265="Ja",Bestellungen!A265)</f>
        <v>0</v>
      </c>
      <c r="B265" t="b">
        <f>IF(Bestellungen!J265="Ja",Bestellungen!B265)</f>
        <v>0</v>
      </c>
      <c r="C265" t="s">
        <v>51</v>
      </c>
      <c r="D265" t="s">
        <v>51</v>
      </c>
      <c r="E265" t="s">
        <v>51</v>
      </c>
      <c r="F265" t="s">
        <v>51</v>
      </c>
      <c r="G265" t="e">
        <f t="shared" si="4"/>
        <v>#DIV/0!</v>
      </c>
    </row>
    <row r="266" spans="1:7" hidden="1" x14ac:dyDescent="0.35">
      <c r="A266" t="b">
        <f>IF(Bestellungen!J266="Ja",Bestellungen!A266)</f>
        <v>0</v>
      </c>
      <c r="B266" t="b">
        <f>IF(Bestellungen!J266="Ja",Bestellungen!B266)</f>
        <v>0</v>
      </c>
      <c r="C266" t="s">
        <v>51</v>
      </c>
      <c r="D266" t="s">
        <v>51</v>
      </c>
      <c r="E266" t="s">
        <v>51</v>
      </c>
      <c r="F266" t="s">
        <v>51</v>
      </c>
      <c r="G266" t="e">
        <f t="shared" si="4"/>
        <v>#DIV/0!</v>
      </c>
    </row>
    <row r="267" spans="1:7" hidden="1" x14ac:dyDescent="0.35">
      <c r="A267" t="b">
        <f>IF(Bestellungen!J267="Ja",Bestellungen!A267)</f>
        <v>0</v>
      </c>
      <c r="B267" t="b">
        <f>IF(Bestellungen!J267="Ja",Bestellungen!B267)</f>
        <v>0</v>
      </c>
      <c r="C267" t="s">
        <v>51</v>
      </c>
      <c r="D267" t="s">
        <v>51</v>
      </c>
      <c r="E267" t="s">
        <v>51</v>
      </c>
      <c r="F267" t="s">
        <v>51</v>
      </c>
      <c r="G267" t="e">
        <f t="shared" si="4"/>
        <v>#DIV/0!</v>
      </c>
    </row>
    <row r="268" spans="1:7" hidden="1" x14ac:dyDescent="0.35">
      <c r="A268" t="b">
        <f>IF(Bestellungen!J268="Ja",Bestellungen!A268)</f>
        <v>0</v>
      </c>
      <c r="B268" t="b">
        <f>IF(Bestellungen!J268="Ja",Bestellungen!B268)</f>
        <v>0</v>
      </c>
      <c r="C268" t="s">
        <v>51</v>
      </c>
      <c r="D268" t="s">
        <v>51</v>
      </c>
      <c r="E268" t="s">
        <v>51</v>
      </c>
      <c r="F268" t="s">
        <v>51</v>
      </c>
      <c r="G268" t="e">
        <f t="shared" si="4"/>
        <v>#DIV/0!</v>
      </c>
    </row>
    <row r="269" spans="1:7" hidden="1" x14ac:dyDescent="0.35">
      <c r="A269" t="b">
        <f>IF(Bestellungen!J269="Ja",Bestellungen!A269)</f>
        <v>0</v>
      </c>
      <c r="B269" t="b">
        <f>IF(Bestellungen!J269="Ja",Bestellungen!B269)</f>
        <v>0</v>
      </c>
      <c r="C269" t="s">
        <v>51</v>
      </c>
      <c r="D269" t="s">
        <v>51</v>
      </c>
      <c r="E269" t="s">
        <v>51</v>
      </c>
      <c r="F269" t="s">
        <v>51</v>
      </c>
      <c r="G269" t="e">
        <f t="shared" si="4"/>
        <v>#DIV/0!</v>
      </c>
    </row>
    <row r="270" spans="1:7" hidden="1" x14ac:dyDescent="0.35">
      <c r="A270" t="b">
        <f>IF(Bestellungen!J270="Ja",Bestellungen!A270)</f>
        <v>0</v>
      </c>
      <c r="B270" t="b">
        <f>IF(Bestellungen!J270="Ja",Bestellungen!B270)</f>
        <v>0</v>
      </c>
      <c r="C270" t="s">
        <v>51</v>
      </c>
      <c r="D270" t="s">
        <v>51</v>
      </c>
      <c r="E270" t="s">
        <v>51</v>
      </c>
      <c r="F270" t="s">
        <v>51</v>
      </c>
      <c r="G270" t="e">
        <f t="shared" si="4"/>
        <v>#DIV/0!</v>
      </c>
    </row>
    <row r="271" spans="1:7" x14ac:dyDescent="0.35">
      <c r="A271">
        <f>IF(Bestellungen!J271="Ja",Bestellungen!A271)</f>
        <v>7918</v>
      </c>
      <c r="B271">
        <f>IF(Bestellungen!J271="Ja",Bestellungen!B271)</f>
        <v>93</v>
      </c>
      <c r="C271">
        <v>5</v>
      </c>
      <c r="D271">
        <v>3</v>
      </c>
      <c r="E271">
        <v>5</v>
      </c>
      <c r="F271">
        <v>4</v>
      </c>
      <c r="G271">
        <f t="shared" si="4"/>
        <v>4.25</v>
      </c>
    </row>
    <row r="272" spans="1:7" hidden="1" x14ac:dyDescent="0.35">
      <c r="A272" t="b">
        <f>IF(Bestellungen!J272="Ja",Bestellungen!A272)</f>
        <v>0</v>
      </c>
      <c r="B272" t="b">
        <f>IF(Bestellungen!J272="Ja",Bestellungen!B272)</f>
        <v>0</v>
      </c>
      <c r="C272" t="s">
        <v>51</v>
      </c>
      <c r="D272" t="s">
        <v>51</v>
      </c>
      <c r="E272" t="s">
        <v>51</v>
      </c>
      <c r="F272" t="s">
        <v>51</v>
      </c>
      <c r="G272" t="e">
        <f t="shared" si="4"/>
        <v>#DIV/0!</v>
      </c>
    </row>
    <row r="273" spans="1:7" hidden="1" x14ac:dyDescent="0.35">
      <c r="A273" t="b">
        <f>IF(Bestellungen!J273="Ja",Bestellungen!A273)</f>
        <v>0</v>
      </c>
      <c r="B273" t="b">
        <f>IF(Bestellungen!J273="Ja",Bestellungen!B273)</f>
        <v>0</v>
      </c>
      <c r="C273" t="s">
        <v>51</v>
      </c>
      <c r="D273" t="s">
        <v>51</v>
      </c>
      <c r="E273" t="s">
        <v>51</v>
      </c>
      <c r="F273" t="s">
        <v>51</v>
      </c>
      <c r="G273" t="e">
        <f t="shared" si="4"/>
        <v>#DIV/0!</v>
      </c>
    </row>
    <row r="274" spans="1:7" hidden="1" x14ac:dyDescent="0.35">
      <c r="A274" t="b">
        <f>IF(Bestellungen!J274="Ja",Bestellungen!A274)</f>
        <v>0</v>
      </c>
      <c r="B274" t="b">
        <f>IF(Bestellungen!J274="Ja",Bestellungen!B274)</f>
        <v>0</v>
      </c>
      <c r="C274" t="s">
        <v>51</v>
      </c>
      <c r="D274" t="s">
        <v>51</v>
      </c>
      <c r="E274" t="s">
        <v>51</v>
      </c>
      <c r="F274" t="s">
        <v>51</v>
      </c>
      <c r="G274" t="e">
        <f t="shared" si="4"/>
        <v>#DIV/0!</v>
      </c>
    </row>
    <row r="275" spans="1:7" x14ac:dyDescent="0.35">
      <c r="A275">
        <f>IF(Bestellungen!J275="Ja",Bestellungen!A275)</f>
        <v>7922</v>
      </c>
      <c r="B275">
        <f>IF(Bestellungen!J275="Ja",Bestellungen!B275)</f>
        <v>398</v>
      </c>
      <c r="C275">
        <v>5</v>
      </c>
      <c r="D275">
        <v>4</v>
      </c>
      <c r="E275">
        <v>4</v>
      </c>
      <c r="F275">
        <v>4</v>
      </c>
      <c r="G275">
        <f t="shared" si="4"/>
        <v>4.25</v>
      </c>
    </row>
    <row r="276" spans="1:7" x14ac:dyDescent="0.35">
      <c r="A276">
        <f>IF(Bestellungen!J276="Ja",Bestellungen!A276)</f>
        <v>7923</v>
      </c>
      <c r="B276">
        <f>IF(Bestellungen!J276="Ja",Bestellungen!B276)</f>
        <v>345</v>
      </c>
      <c r="C276">
        <v>5</v>
      </c>
      <c r="D276">
        <v>5</v>
      </c>
      <c r="E276">
        <v>4</v>
      </c>
      <c r="F276">
        <v>3</v>
      </c>
      <c r="G276">
        <f t="shared" si="4"/>
        <v>4.25</v>
      </c>
    </row>
    <row r="277" spans="1:7" hidden="1" x14ac:dyDescent="0.35">
      <c r="A277" t="b">
        <f>IF(Bestellungen!J277="Ja",Bestellungen!A277)</f>
        <v>0</v>
      </c>
      <c r="B277" t="b">
        <f>IF(Bestellungen!J277="Ja",Bestellungen!B277)</f>
        <v>0</v>
      </c>
      <c r="C277" t="s">
        <v>51</v>
      </c>
      <c r="D277" t="s">
        <v>51</v>
      </c>
      <c r="E277" t="s">
        <v>51</v>
      </c>
      <c r="F277" t="s">
        <v>51</v>
      </c>
      <c r="G277" t="e">
        <f t="shared" si="4"/>
        <v>#DIV/0!</v>
      </c>
    </row>
    <row r="278" spans="1:7" hidden="1" x14ac:dyDescent="0.35">
      <c r="A278" t="b">
        <f>IF(Bestellungen!J278="Ja",Bestellungen!A278)</f>
        <v>0</v>
      </c>
      <c r="B278" t="b">
        <f>IF(Bestellungen!J278="Ja",Bestellungen!B278)</f>
        <v>0</v>
      </c>
      <c r="C278" t="s">
        <v>51</v>
      </c>
      <c r="D278" t="s">
        <v>51</v>
      </c>
      <c r="E278" t="s">
        <v>51</v>
      </c>
      <c r="F278" t="s">
        <v>51</v>
      </c>
      <c r="G278" t="e">
        <f t="shared" si="4"/>
        <v>#DIV/0!</v>
      </c>
    </row>
    <row r="279" spans="1:7" x14ac:dyDescent="0.35">
      <c r="A279">
        <f>IF(Bestellungen!J279="Ja",Bestellungen!A279)</f>
        <v>7926</v>
      </c>
      <c r="B279">
        <f>IF(Bestellungen!J279="Ja",Bestellungen!B279)</f>
        <v>383</v>
      </c>
      <c r="C279">
        <v>5</v>
      </c>
      <c r="D279">
        <v>4</v>
      </c>
      <c r="E279">
        <v>5</v>
      </c>
      <c r="F279">
        <v>4</v>
      </c>
      <c r="G279">
        <f t="shared" si="4"/>
        <v>4.5</v>
      </c>
    </row>
    <row r="280" spans="1:7" hidden="1" x14ac:dyDescent="0.35">
      <c r="A280" t="b">
        <f>IF(Bestellungen!J280="Ja",Bestellungen!A280)</f>
        <v>0</v>
      </c>
      <c r="B280" t="b">
        <f>IF(Bestellungen!J280="Ja",Bestellungen!B280)</f>
        <v>0</v>
      </c>
      <c r="C280" t="s">
        <v>51</v>
      </c>
      <c r="D280" t="s">
        <v>51</v>
      </c>
      <c r="E280" t="s">
        <v>51</v>
      </c>
      <c r="F280" t="s">
        <v>51</v>
      </c>
      <c r="G280" t="e">
        <f t="shared" si="4"/>
        <v>#DIV/0!</v>
      </c>
    </row>
    <row r="281" spans="1:7" hidden="1" x14ac:dyDescent="0.35">
      <c r="A281" t="b">
        <f>IF(Bestellungen!J281="Ja",Bestellungen!A281)</f>
        <v>0</v>
      </c>
      <c r="B281" t="b">
        <f>IF(Bestellungen!J281="Ja",Bestellungen!B281)</f>
        <v>0</v>
      </c>
      <c r="C281" t="s">
        <v>51</v>
      </c>
      <c r="D281" t="s">
        <v>51</v>
      </c>
      <c r="E281" t="s">
        <v>51</v>
      </c>
      <c r="F281" t="s">
        <v>51</v>
      </c>
      <c r="G281" t="e">
        <f t="shared" si="4"/>
        <v>#DIV/0!</v>
      </c>
    </row>
    <row r="282" spans="1:7" x14ac:dyDescent="0.35">
      <c r="A282">
        <f>IF(Bestellungen!J282="Ja",Bestellungen!A282)</f>
        <v>7929</v>
      </c>
      <c r="B282">
        <f>IF(Bestellungen!J282="Ja",Bestellungen!B282)</f>
        <v>650</v>
      </c>
      <c r="C282">
        <v>3</v>
      </c>
      <c r="D282">
        <v>5</v>
      </c>
      <c r="E282">
        <v>4</v>
      </c>
      <c r="F282">
        <v>4</v>
      </c>
      <c r="G282">
        <f t="shared" si="4"/>
        <v>4</v>
      </c>
    </row>
    <row r="283" spans="1:7" x14ac:dyDescent="0.35">
      <c r="A283">
        <f>IF(Bestellungen!J283="Ja",Bestellungen!A283)</f>
        <v>7930</v>
      </c>
      <c r="B283">
        <f>IF(Bestellungen!J283="Ja",Bestellungen!B283)</f>
        <v>562</v>
      </c>
      <c r="C283">
        <v>4</v>
      </c>
      <c r="D283">
        <v>5</v>
      </c>
      <c r="E283">
        <v>3</v>
      </c>
      <c r="F283">
        <v>4</v>
      </c>
      <c r="G283">
        <f t="shared" si="4"/>
        <v>4</v>
      </c>
    </row>
    <row r="284" spans="1:7" hidden="1" x14ac:dyDescent="0.35">
      <c r="A284" t="b">
        <f>IF(Bestellungen!J284="Ja",Bestellungen!A284)</f>
        <v>0</v>
      </c>
      <c r="B284" t="b">
        <f>IF(Bestellungen!J284="Ja",Bestellungen!B284)</f>
        <v>0</v>
      </c>
      <c r="C284" t="s">
        <v>51</v>
      </c>
      <c r="D284" t="s">
        <v>51</v>
      </c>
      <c r="E284" t="s">
        <v>51</v>
      </c>
      <c r="F284" t="s">
        <v>51</v>
      </c>
      <c r="G284" t="e">
        <f t="shared" si="4"/>
        <v>#DIV/0!</v>
      </c>
    </row>
    <row r="285" spans="1:7" hidden="1" x14ac:dyDescent="0.35">
      <c r="A285" t="b">
        <f>IF(Bestellungen!J285="Ja",Bestellungen!A285)</f>
        <v>0</v>
      </c>
      <c r="B285" t="b">
        <f>IF(Bestellungen!J285="Ja",Bestellungen!B285)</f>
        <v>0</v>
      </c>
      <c r="C285" t="s">
        <v>51</v>
      </c>
      <c r="D285" t="s">
        <v>51</v>
      </c>
      <c r="E285" t="s">
        <v>51</v>
      </c>
      <c r="F285" t="s">
        <v>51</v>
      </c>
      <c r="G285" t="e">
        <f t="shared" si="4"/>
        <v>#DIV/0!</v>
      </c>
    </row>
    <row r="286" spans="1:7" hidden="1" x14ac:dyDescent="0.35">
      <c r="A286" t="b">
        <f>IF(Bestellungen!J286="Ja",Bestellungen!A286)</f>
        <v>0</v>
      </c>
      <c r="B286" t="b">
        <f>IF(Bestellungen!J286="Ja",Bestellungen!B286)</f>
        <v>0</v>
      </c>
      <c r="C286" t="s">
        <v>51</v>
      </c>
      <c r="D286" t="s">
        <v>51</v>
      </c>
      <c r="E286" t="s">
        <v>51</v>
      </c>
      <c r="F286" t="s">
        <v>51</v>
      </c>
      <c r="G286" t="e">
        <f t="shared" si="4"/>
        <v>#DIV/0!</v>
      </c>
    </row>
    <row r="287" spans="1:7" x14ac:dyDescent="0.35">
      <c r="A287">
        <f>IF(Bestellungen!J287="Ja",Bestellungen!A287)</f>
        <v>7934</v>
      </c>
      <c r="B287">
        <f>IF(Bestellungen!J287="Ja",Bestellungen!B287)</f>
        <v>157</v>
      </c>
      <c r="C287">
        <v>4</v>
      </c>
      <c r="D287">
        <v>3</v>
      </c>
      <c r="E287">
        <v>4</v>
      </c>
      <c r="F287">
        <v>5</v>
      </c>
      <c r="G287">
        <f t="shared" si="4"/>
        <v>4</v>
      </c>
    </row>
    <row r="288" spans="1:7" hidden="1" x14ac:dyDescent="0.35">
      <c r="A288" t="b">
        <f>IF(Bestellungen!J288="Ja",Bestellungen!A288)</f>
        <v>0</v>
      </c>
      <c r="B288" t="b">
        <f>IF(Bestellungen!J288="Ja",Bestellungen!B288)</f>
        <v>0</v>
      </c>
      <c r="C288" t="s">
        <v>51</v>
      </c>
      <c r="D288" t="s">
        <v>51</v>
      </c>
      <c r="E288" t="s">
        <v>51</v>
      </c>
      <c r="F288" t="s">
        <v>51</v>
      </c>
      <c r="G288" t="e">
        <f t="shared" si="4"/>
        <v>#DIV/0!</v>
      </c>
    </row>
    <row r="289" spans="1:7" hidden="1" x14ac:dyDescent="0.35">
      <c r="A289" t="b">
        <f>IF(Bestellungen!J289="Ja",Bestellungen!A289)</f>
        <v>0</v>
      </c>
      <c r="B289" t="b">
        <f>IF(Bestellungen!J289="Ja",Bestellungen!B289)</f>
        <v>0</v>
      </c>
      <c r="C289" t="s">
        <v>51</v>
      </c>
      <c r="D289" t="s">
        <v>51</v>
      </c>
      <c r="E289" t="s">
        <v>51</v>
      </c>
      <c r="F289" t="s">
        <v>51</v>
      </c>
      <c r="G289" t="e">
        <f t="shared" si="4"/>
        <v>#DIV/0!</v>
      </c>
    </row>
    <row r="290" spans="1:7" x14ac:dyDescent="0.35">
      <c r="A290">
        <f>IF(Bestellungen!J290="Ja",Bestellungen!A290)</f>
        <v>7937</v>
      </c>
      <c r="B290">
        <f>IF(Bestellungen!J290="Ja",Bestellungen!B290)</f>
        <v>633</v>
      </c>
      <c r="C290">
        <v>5</v>
      </c>
      <c r="D290">
        <v>5</v>
      </c>
      <c r="E290">
        <v>3</v>
      </c>
      <c r="F290">
        <v>4</v>
      </c>
      <c r="G290">
        <f t="shared" si="4"/>
        <v>4.25</v>
      </c>
    </row>
    <row r="291" spans="1:7" x14ac:dyDescent="0.35">
      <c r="A291">
        <f>IF(Bestellungen!J291="Ja",Bestellungen!A291)</f>
        <v>7938</v>
      </c>
      <c r="B291">
        <f>IF(Bestellungen!J291="Ja",Bestellungen!B291)</f>
        <v>126</v>
      </c>
      <c r="C291">
        <v>5</v>
      </c>
      <c r="D291">
        <v>5</v>
      </c>
      <c r="E291">
        <v>5</v>
      </c>
      <c r="F291">
        <v>3</v>
      </c>
      <c r="G291">
        <f t="shared" si="4"/>
        <v>4.5</v>
      </c>
    </row>
    <row r="292" spans="1:7" x14ac:dyDescent="0.35">
      <c r="A292">
        <f>IF(Bestellungen!J292="Ja",Bestellungen!A292)</f>
        <v>7939</v>
      </c>
      <c r="B292">
        <f>IF(Bestellungen!J292="Ja",Bestellungen!B292)</f>
        <v>765</v>
      </c>
      <c r="C292">
        <v>5</v>
      </c>
      <c r="D292">
        <v>5</v>
      </c>
      <c r="E292">
        <v>3</v>
      </c>
      <c r="F292">
        <v>5</v>
      </c>
      <c r="G292">
        <f t="shared" si="4"/>
        <v>4.5</v>
      </c>
    </row>
    <row r="293" spans="1:7" x14ac:dyDescent="0.35">
      <c r="A293">
        <f>IF(Bestellungen!J293="Ja",Bestellungen!A293)</f>
        <v>7940</v>
      </c>
      <c r="B293">
        <f>IF(Bestellungen!J293="Ja",Bestellungen!B293)</f>
        <v>413</v>
      </c>
      <c r="C293">
        <v>5</v>
      </c>
      <c r="D293">
        <v>4</v>
      </c>
      <c r="E293">
        <v>3</v>
      </c>
      <c r="F293">
        <v>4</v>
      </c>
      <c r="G293">
        <f t="shared" si="4"/>
        <v>4</v>
      </c>
    </row>
    <row r="294" spans="1:7" hidden="1" x14ac:dyDescent="0.35">
      <c r="A294" t="b">
        <f>IF(Bestellungen!J294="Ja",Bestellungen!A294)</f>
        <v>0</v>
      </c>
      <c r="B294" t="b">
        <f>IF(Bestellungen!J294="Ja",Bestellungen!B294)</f>
        <v>0</v>
      </c>
      <c r="C294" t="s">
        <v>51</v>
      </c>
      <c r="D294" t="s">
        <v>51</v>
      </c>
      <c r="E294" t="s">
        <v>51</v>
      </c>
      <c r="F294" t="s">
        <v>51</v>
      </c>
      <c r="G294" t="e">
        <f t="shared" si="4"/>
        <v>#DIV/0!</v>
      </c>
    </row>
    <row r="295" spans="1:7" hidden="1" x14ac:dyDescent="0.35">
      <c r="A295" t="b">
        <f>IF(Bestellungen!J295="Ja",Bestellungen!A295)</f>
        <v>0</v>
      </c>
      <c r="B295" t="b">
        <f>IF(Bestellungen!J295="Ja",Bestellungen!B295)</f>
        <v>0</v>
      </c>
      <c r="C295" t="s">
        <v>51</v>
      </c>
      <c r="D295" t="s">
        <v>51</v>
      </c>
      <c r="E295" t="s">
        <v>51</v>
      </c>
      <c r="F295" t="s">
        <v>51</v>
      </c>
      <c r="G295" t="e">
        <f t="shared" si="4"/>
        <v>#DIV/0!</v>
      </c>
    </row>
    <row r="296" spans="1:7" x14ac:dyDescent="0.35">
      <c r="A296">
        <f>IF(Bestellungen!J296="Ja",Bestellungen!A296)</f>
        <v>7943</v>
      </c>
      <c r="B296">
        <f>IF(Bestellungen!J296="Ja",Bestellungen!B296)</f>
        <v>457</v>
      </c>
      <c r="C296">
        <v>5</v>
      </c>
      <c r="D296">
        <v>3</v>
      </c>
      <c r="E296">
        <v>3</v>
      </c>
      <c r="F296">
        <v>3</v>
      </c>
      <c r="G296">
        <f t="shared" si="4"/>
        <v>3.5</v>
      </c>
    </row>
    <row r="297" spans="1:7" x14ac:dyDescent="0.35">
      <c r="A297">
        <f>IF(Bestellungen!J297="Ja",Bestellungen!A297)</f>
        <v>7944</v>
      </c>
      <c r="B297">
        <f>IF(Bestellungen!J297="Ja",Bestellungen!B297)</f>
        <v>21</v>
      </c>
      <c r="C297">
        <v>4</v>
      </c>
      <c r="D297">
        <v>5</v>
      </c>
      <c r="E297">
        <v>5</v>
      </c>
      <c r="F297">
        <v>4</v>
      </c>
      <c r="G297">
        <f t="shared" si="4"/>
        <v>4.5</v>
      </c>
    </row>
    <row r="298" spans="1:7" hidden="1" x14ac:dyDescent="0.35">
      <c r="A298" t="b">
        <f>IF(Bestellungen!J298="Ja",Bestellungen!A298)</f>
        <v>0</v>
      </c>
      <c r="B298" t="b">
        <f>IF(Bestellungen!J298="Ja",Bestellungen!B298)</f>
        <v>0</v>
      </c>
      <c r="C298" t="s">
        <v>51</v>
      </c>
      <c r="D298" t="s">
        <v>51</v>
      </c>
      <c r="E298" t="s">
        <v>51</v>
      </c>
      <c r="F298" t="s">
        <v>51</v>
      </c>
      <c r="G298" t="e">
        <f t="shared" si="4"/>
        <v>#DIV/0!</v>
      </c>
    </row>
    <row r="299" spans="1:7" x14ac:dyDescent="0.35">
      <c r="A299">
        <f>IF(Bestellungen!J299="Ja",Bestellungen!A299)</f>
        <v>7946</v>
      </c>
      <c r="B299">
        <f>IF(Bestellungen!J299="Ja",Bestellungen!B299)</f>
        <v>371</v>
      </c>
      <c r="C299">
        <v>5</v>
      </c>
      <c r="D299">
        <v>5</v>
      </c>
      <c r="E299">
        <v>5</v>
      </c>
      <c r="F299">
        <v>4</v>
      </c>
      <c r="G299">
        <f t="shared" si="4"/>
        <v>4.75</v>
      </c>
    </row>
    <row r="300" spans="1:7" hidden="1" x14ac:dyDescent="0.35">
      <c r="A300" t="b">
        <f>IF(Bestellungen!J300="Ja",Bestellungen!A300)</f>
        <v>0</v>
      </c>
      <c r="B300" t="b">
        <f>IF(Bestellungen!J300="Ja",Bestellungen!B300)</f>
        <v>0</v>
      </c>
      <c r="C300" t="s">
        <v>51</v>
      </c>
      <c r="D300" t="s">
        <v>51</v>
      </c>
      <c r="E300" t="s">
        <v>51</v>
      </c>
      <c r="F300" t="s">
        <v>51</v>
      </c>
      <c r="G300" t="e">
        <f t="shared" si="4"/>
        <v>#DIV/0!</v>
      </c>
    </row>
    <row r="301" spans="1:7" hidden="1" x14ac:dyDescent="0.35">
      <c r="A301" t="b">
        <f>IF(Bestellungen!J301="Ja",Bestellungen!A301)</f>
        <v>0</v>
      </c>
      <c r="B301" t="b">
        <f>IF(Bestellungen!J301="Ja",Bestellungen!B301)</f>
        <v>0</v>
      </c>
      <c r="C301" t="s">
        <v>51</v>
      </c>
      <c r="D301" t="s">
        <v>51</v>
      </c>
      <c r="E301" t="s">
        <v>51</v>
      </c>
      <c r="F301" t="s">
        <v>51</v>
      </c>
      <c r="G301" t="e">
        <f t="shared" si="4"/>
        <v>#DIV/0!</v>
      </c>
    </row>
    <row r="302" spans="1:7" hidden="1" x14ac:dyDescent="0.35">
      <c r="A302" t="b">
        <f>IF(Bestellungen!J302="Ja",Bestellungen!A302)</f>
        <v>0</v>
      </c>
      <c r="B302" t="b">
        <f>IF(Bestellungen!J302="Ja",Bestellungen!B302)</f>
        <v>0</v>
      </c>
      <c r="C302" t="s">
        <v>51</v>
      </c>
      <c r="D302" t="s">
        <v>51</v>
      </c>
      <c r="E302" t="s">
        <v>51</v>
      </c>
      <c r="F302" t="s">
        <v>51</v>
      </c>
      <c r="G302" t="e">
        <f t="shared" si="4"/>
        <v>#DIV/0!</v>
      </c>
    </row>
    <row r="303" spans="1:7" x14ac:dyDescent="0.35">
      <c r="A303">
        <f>IF(Bestellungen!J303="Ja",Bestellungen!A303)</f>
        <v>7950</v>
      </c>
      <c r="B303">
        <f>IF(Bestellungen!J303="Ja",Bestellungen!B303)</f>
        <v>299</v>
      </c>
      <c r="C303">
        <v>4</v>
      </c>
      <c r="D303">
        <v>4</v>
      </c>
      <c r="E303">
        <v>5</v>
      </c>
      <c r="F303">
        <v>3</v>
      </c>
      <c r="G303">
        <f t="shared" si="4"/>
        <v>4</v>
      </c>
    </row>
    <row r="304" spans="1:7" x14ac:dyDescent="0.35">
      <c r="A304">
        <f>IF(Bestellungen!J304="Ja",Bestellungen!A304)</f>
        <v>7951</v>
      </c>
      <c r="B304">
        <f>IF(Bestellungen!J304="Ja",Bestellungen!B304)</f>
        <v>512</v>
      </c>
      <c r="C304">
        <v>4</v>
      </c>
      <c r="D304">
        <v>5</v>
      </c>
      <c r="E304">
        <v>4</v>
      </c>
      <c r="F304">
        <v>3</v>
      </c>
      <c r="G304">
        <f t="shared" si="4"/>
        <v>4</v>
      </c>
    </row>
    <row r="305" spans="1:7" hidden="1" x14ac:dyDescent="0.35">
      <c r="A305" t="b">
        <f>IF(Bestellungen!J305="Ja",Bestellungen!A305)</f>
        <v>0</v>
      </c>
      <c r="B305" t="b">
        <f>IF(Bestellungen!J305="Ja",Bestellungen!B305)</f>
        <v>0</v>
      </c>
      <c r="C305" t="s">
        <v>51</v>
      </c>
      <c r="D305" t="s">
        <v>51</v>
      </c>
      <c r="E305" t="s">
        <v>51</v>
      </c>
      <c r="F305" t="s">
        <v>51</v>
      </c>
      <c r="G305" t="e">
        <f t="shared" si="4"/>
        <v>#DIV/0!</v>
      </c>
    </row>
    <row r="306" spans="1:7" hidden="1" x14ac:dyDescent="0.35">
      <c r="A306" t="b">
        <f>IF(Bestellungen!J306="Ja",Bestellungen!A306)</f>
        <v>0</v>
      </c>
      <c r="B306" t="b">
        <f>IF(Bestellungen!J306="Ja",Bestellungen!B306)</f>
        <v>0</v>
      </c>
      <c r="C306" t="s">
        <v>51</v>
      </c>
      <c r="D306" t="s">
        <v>51</v>
      </c>
      <c r="E306" t="s">
        <v>51</v>
      </c>
      <c r="F306" t="s">
        <v>51</v>
      </c>
      <c r="G306" t="e">
        <f t="shared" si="4"/>
        <v>#DIV/0!</v>
      </c>
    </row>
    <row r="307" spans="1:7" hidden="1" x14ac:dyDescent="0.35">
      <c r="A307" t="b">
        <f>IF(Bestellungen!J307="Ja",Bestellungen!A307)</f>
        <v>0</v>
      </c>
      <c r="B307" t="b">
        <f>IF(Bestellungen!J307="Ja",Bestellungen!B307)</f>
        <v>0</v>
      </c>
      <c r="C307" t="s">
        <v>51</v>
      </c>
      <c r="D307" t="s">
        <v>51</v>
      </c>
      <c r="E307" t="s">
        <v>51</v>
      </c>
      <c r="F307" t="s">
        <v>51</v>
      </c>
      <c r="G307" t="e">
        <f t="shared" si="4"/>
        <v>#DIV/0!</v>
      </c>
    </row>
    <row r="308" spans="1:7" hidden="1" x14ac:dyDescent="0.35">
      <c r="A308" t="b">
        <f>IF(Bestellungen!J308="Ja",Bestellungen!A308)</f>
        <v>0</v>
      </c>
      <c r="B308" t="b">
        <f>IF(Bestellungen!J308="Ja",Bestellungen!B308)</f>
        <v>0</v>
      </c>
      <c r="C308" t="s">
        <v>51</v>
      </c>
      <c r="D308" t="s">
        <v>51</v>
      </c>
      <c r="E308" t="s">
        <v>51</v>
      </c>
      <c r="F308" t="s">
        <v>51</v>
      </c>
      <c r="G308" t="e">
        <f t="shared" si="4"/>
        <v>#DIV/0!</v>
      </c>
    </row>
    <row r="309" spans="1:7" x14ac:dyDescent="0.35">
      <c r="A309">
        <f>IF(Bestellungen!J309="Ja",Bestellungen!A309)</f>
        <v>7956</v>
      </c>
      <c r="B309">
        <f>IF(Bestellungen!J309="Ja",Bestellungen!B309)</f>
        <v>22</v>
      </c>
      <c r="C309">
        <v>4</v>
      </c>
      <c r="D309">
        <v>3</v>
      </c>
      <c r="E309">
        <v>5</v>
      </c>
      <c r="F309">
        <v>4</v>
      </c>
      <c r="G309">
        <f t="shared" si="4"/>
        <v>4</v>
      </c>
    </row>
    <row r="310" spans="1:7" hidden="1" x14ac:dyDescent="0.35">
      <c r="A310" t="b">
        <f>IF(Bestellungen!J310="Ja",Bestellungen!A310)</f>
        <v>0</v>
      </c>
      <c r="B310" t="b">
        <f>IF(Bestellungen!J310="Ja",Bestellungen!B310)</f>
        <v>0</v>
      </c>
      <c r="C310" t="s">
        <v>51</v>
      </c>
      <c r="D310" t="s">
        <v>51</v>
      </c>
      <c r="E310" t="s">
        <v>51</v>
      </c>
      <c r="F310" t="s">
        <v>51</v>
      </c>
      <c r="G310" t="e">
        <f t="shared" si="4"/>
        <v>#DIV/0!</v>
      </c>
    </row>
    <row r="311" spans="1:7" hidden="1" x14ac:dyDescent="0.35">
      <c r="A311" t="b">
        <f>IF(Bestellungen!J311="Ja",Bestellungen!A311)</f>
        <v>0</v>
      </c>
      <c r="B311" t="b">
        <f>IF(Bestellungen!J311="Ja",Bestellungen!B311)</f>
        <v>0</v>
      </c>
      <c r="C311" t="s">
        <v>51</v>
      </c>
      <c r="D311" t="s">
        <v>51</v>
      </c>
      <c r="E311" t="s">
        <v>51</v>
      </c>
      <c r="F311" t="s">
        <v>51</v>
      </c>
      <c r="G311" t="e">
        <f t="shared" si="4"/>
        <v>#DIV/0!</v>
      </c>
    </row>
    <row r="312" spans="1:7" x14ac:dyDescent="0.35">
      <c r="A312">
        <f>IF(Bestellungen!J312="Ja",Bestellungen!A312)</f>
        <v>7959</v>
      </c>
      <c r="B312">
        <f>IF(Bestellungen!J312="Ja",Bestellungen!B312)</f>
        <v>180</v>
      </c>
      <c r="C312">
        <v>4</v>
      </c>
      <c r="D312">
        <v>5</v>
      </c>
      <c r="E312">
        <v>4</v>
      </c>
      <c r="F312">
        <v>4</v>
      </c>
      <c r="G312">
        <f t="shared" si="4"/>
        <v>4.25</v>
      </c>
    </row>
    <row r="313" spans="1:7" hidden="1" x14ac:dyDescent="0.35">
      <c r="A313" t="b">
        <f>IF(Bestellungen!J313="Ja",Bestellungen!A313)</f>
        <v>0</v>
      </c>
      <c r="B313" t="b">
        <f>IF(Bestellungen!J313="Ja",Bestellungen!B313)</f>
        <v>0</v>
      </c>
      <c r="C313" t="s">
        <v>51</v>
      </c>
      <c r="D313" t="s">
        <v>51</v>
      </c>
      <c r="E313" t="s">
        <v>51</v>
      </c>
      <c r="F313" t="s">
        <v>51</v>
      </c>
      <c r="G313" t="e">
        <f t="shared" si="4"/>
        <v>#DIV/0!</v>
      </c>
    </row>
    <row r="314" spans="1:7" hidden="1" x14ac:dyDescent="0.35">
      <c r="A314" t="b">
        <f>IF(Bestellungen!J314="Ja",Bestellungen!A314)</f>
        <v>0</v>
      </c>
      <c r="B314" t="b">
        <f>IF(Bestellungen!J314="Ja",Bestellungen!B314)</f>
        <v>0</v>
      </c>
      <c r="C314" t="s">
        <v>51</v>
      </c>
      <c r="D314" t="s">
        <v>51</v>
      </c>
      <c r="E314" t="s">
        <v>51</v>
      </c>
      <c r="F314" t="s">
        <v>51</v>
      </c>
      <c r="G314" t="e">
        <f t="shared" si="4"/>
        <v>#DIV/0!</v>
      </c>
    </row>
    <row r="315" spans="1:7" x14ac:dyDescent="0.35">
      <c r="A315">
        <f>IF(Bestellungen!J315="Ja",Bestellungen!A315)</f>
        <v>7962</v>
      </c>
      <c r="B315">
        <f>IF(Bestellungen!J315="Ja",Bestellungen!B315)</f>
        <v>474</v>
      </c>
      <c r="C315">
        <v>3</v>
      </c>
      <c r="D315">
        <v>3</v>
      </c>
      <c r="E315">
        <v>3</v>
      </c>
      <c r="F315">
        <v>3</v>
      </c>
      <c r="G315">
        <f t="shared" si="4"/>
        <v>3</v>
      </c>
    </row>
    <row r="316" spans="1:7" hidden="1" x14ac:dyDescent="0.35">
      <c r="A316" t="b">
        <f>IF(Bestellungen!J316="Ja",Bestellungen!A316)</f>
        <v>0</v>
      </c>
      <c r="B316" t="b">
        <f>IF(Bestellungen!J316="Ja",Bestellungen!B316)</f>
        <v>0</v>
      </c>
      <c r="C316" t="s">
        <v>51</v>
      </c>
      <c r="D316" t="s">
        <v>51</v>
      </c>
      <c r="E316" t="s">
        <v>51</v>
      </c>
      <c r="F316" t="s">
        <v>51</v>
      </c>
      <c r="G316" t="e">
        <f t="shared" si="4"/>
        <v>#DIV/0!</v>
      </c>
    </row>
    <row r="317" spans="1:7" x14ac:dyDescent="0.35">
      <c r="A317">
        <f>IF(Bestellungen!J317="Ja",Bestellungen!A317)</f>
        <v>7964</v>
      </c>
      <c r="B317">
        <f>IF(Bestellungen!J317="Ja",Bestellungen!B317)</f>
        <v>341</v>
      </c>
      <c r="C317">
        <v>4</v>
      </c>
      <c r="D317">
        <v>5</v>
      </c>
      <c r="E317">
        <v>5</v>
      </c>
      <c r="F317">
        <v>3</v>
      </c>
      <c r="G317">
        <f t="shared" si="4"/>
        <v>4.25</v>
      </c>
    </row>
    <row r="318" spans="1:7" x14ac:dyDescent="0.35">
      <c r="A318">
        <f>IF(Bestellungen!J318="Ja",Bestellungen!A318)</f>
        <v>7965</v>
      </c>
      <c r="B318">
        <f>IF(Bestellungen!J318="Ja",Bestellungen!B318)</f>
        <v>108</v>
      </c>
      <c r="C318">
        <v>3</v>
      </c>
      <c r="D318">
        <v>4</v>
      </c>
      <c r="E318">
        <v>4</v>
      </c>
      <c r="F318">
        <v>4</v>
      </c>
      <c r="G318">
        <f t="shared" si="4"/>
        <v>3.75</v>
      </c>
    </row>
    <row r="319" spans="1:7" x14ac:dyDescent="0.35">
      <c r="A319">
        <f>IF(Bestellungen!J319="Ja",Bestellungen!A319)</f>
        <v>7966</v>
      </c>
      <c r="B319">
        <f>IF(Bestellungen!J319="Ja",Bestellungen!B319)</f>
        <v>68</v>
      </c>
      <c r="C319">
        <v>4</v>
      </c>
      <c r="D319">
        <v>5</v>
      </c>
      <c r="E319">
        <v>3</v>
      </c>
      <c r="F319">
        <v>3</v>
      </c>
      <c r="G319">
        <f t="shared" si="4"/>
        <v>3.75</v>
      </c>
    </row>
    <row r="320" spans="1:7" x14ac:dyDescent="0.35">
      <c r="A320">
        <f>IF(Bestellungen!J320="Ja",Bestellungen!A320)</f>
        <v>7967</v>
      </c>
      <c r="B320">
        <f>IF(Bestellungen!J320="Ja",Bestellungen!B320)</f>
        <v>425</v>
      </c>
      <c r="C320">
        <v>5</v>
      </c>
      <c r="D320">
        <v>5</v>
      </c>
      <c r="E320">
        <v>4</v>
      </c>
      <c r="F320">
        <v>3</v>
      </c>
      <c r="G320">
        <f t="shared" si="4"/>
        <v>4.25</v>
      </c>
    </row>
    <row r="321" spans="1:7" hidden="1" x14ac:dyDescent="0.35">
      <c r="A321" t="b">
        <f>IF(Bestellungen!J321="Ja",Bestellungen!A321)</f>
        <v>0</v>
      </c>
      <c r="B321" t="b">
        <f>IF(Bestellungen!J321="Ja",Bestellungen!B321)</f>
        <v>0</v>
      </c>
      <c r="C321" t="s">
        <v>51</v>
      </c>
      <c r="D321" t="s">
        <v>51</v>
      </c>
      <c r="E321" t="s">
        <v>51</v>
      </c>
      <c r="F321" t="s">
        <v>51</v>
      </c>
      <c r="G321" t="e">
        <f t="shared" si="4"/>
        <v>#DIV/0!</v>
      </c>
    </row>
    <row r="322" spans="1:7" x14ac:dyDescent="0.35">
      <c r="A322">
        <f>IF(Bestellungen!J322="Ja",Bestellungen!A322)</f>
        <v>7969</v>
      </c>
      <c r="B322">
        <f>IF(Bestellungen!J322="Ja",Bestellungen!B322)</f>
        <v>140</v>
      </c>
      <c r="C322">
        <v>3</v>
      </c>
      <c r="D322">
        <v>3</v>
      </c>
      <c r="E322">
        <v>3</v>
      </c>
      <c r="F322">
        <v>4</v>
      </c>
      <c r="G322">
        <f t="shared" si="4"/>
        <v>3.25</v>
      </c>
    </row>
    <row r="323" spans="1:7" hidden="1" x14ac:dyDescent="0.35">
      <c r="A323" t="b">
        <f>IF(Bestellungen!J323="Ja",Bestellungen!A323)</f>
        <v>0</v>
      </c>
      <c r="B323" t="b">
        <f>IF(Bestellungen!J323="Ja",Bestellungen!B323)</f>
        <v>0</v>
      </c>
      <c r="C323" t="s">
        <v>51</v>
      </c>
      <c r="D323" t="s">
        <v>51</v>
      </c>
      <c r="E323" t="s">
        <v>51</v>
      </c>
      <c r="F323" t="s">
        <v>51</v>
      </c>
      <c r="G323" t="e">
        <f t="shared" ref="G323:G386" si="5">SUM(C323:F323)/COUNT(C323:F323)</f>
        <v>#DIV/0!</v>
      </c>
    </row>
    <row r="324" spans="1:7" x14ac:dyDescent="0.35">
      <c r="A324">
        <f>IF(Bestellungen!J324="Ja",Bestellungen!A324)</f>
        <v>7971</v>
      </c>
      <c r="B324">
        <f>IF(Bestellungen!J324="Ja",Bestellungen!B324)</f>
        <v>189</v>
      </c>
      <c r="C324">
        <v>5</v>
      </c>
      <c r="D324">
        <v>5</v>
      </c>
      <c r="E324">
        <v>5</v>
      </c>
      <c r="F324">
        <v>5</v>
      </c>
      <c r="G324">
        <f t="shared" si="5"/>
        <v>5</v>
      </c>
    </row>
    <row r="325" spans="1:7" hidden="1" x14ac:dyDescent="0.35">
      <c r="A325" t="b">
        <f>IF(Bestellungen!J325="Ja",Bestellungen!A325)</f>
        <v>0</v>
      </c>
      <c r="B325" t="b">
        <f>IF(Bestellungen!J325="Ja",Bestellungen!B325)</f>
        <v>0</v>
      </c>
      <c r="C325" t="s">
        <v>51</v>
      </c>
      <c r="D325" t="s">
        <v>51</v>
      </c>
      <c r="E325" t="s">
        <v>51</v>
      </c>
      <c r="F325" t="s">
        <v>51</v>
      </c>
      <c r="G325" t="e">
        <f t="shared" si="5"/>
        <v>#DIV/0!</v>
      </c>
    </row>
    <row r="326" spans="1:7" hidden="1" x14ac:dyDescent="0.35">
      <c r="A326" t="b">
        <f>IF(Bestellungen!J326="Ja",Bestellungen!A326)</f>
        <v>0</v>
      </c>
      <c r="B326" t="b">
        <f>IF(Bestellungen!J326="Ja",Bestellungen!B326)</f>
        <v>0</v>
      </c>
      <c r="C326" t="s">
        <v>51</v>
      </c>
      <c r="D326" t="s">
        <v>51</v>
      </c>
      <c r="E326" t="s">
        <v>51</v>
      </c>
      <c r="F326" t="s">
        <v>51</v>
      </c>
      <c r="G326" t="e">
        <f t="shared" si="5"/>
        <v>#DIV/0!</v>
      </c>
    </row>
    <row r="327" spans="1:7" x14ac:dyDescent="0.35">
      <c r="A327">
        <f>IF(Bestellungen!J327="Ja",Bestellungen!A327)</f>
        <v>7974</v>
      </c>
      <c r="B327">
        <f>IF(Bestellungen!J327="Ja",Bestellungen!B327)</f>
        <v>470</v>
      </c>
      <c r="C327">
        <v>5</v>
      </c>
      <c r="D327">
        <v>5</v>
      </c>
      <c r="E327">
        <v>5</v>
      </c>
      <c r="F327">
        <v>3</v>
      </c>
      <c r="G327">
        <f t="shared" si="5"/>
        <v>4.5</v>
      </c>
    </row>
    <row r="328" spans="1:7" x14ac:dyDescent="0.35">
      <c r="A328">
        <f>IF(Bestellungen!J328="Ja",Bestellungen!A328)</f>
        <v>7975</v>
      </c>
      <c r="B328">
        <f>IF(Bestellungen!J328="Ja",Bestellungen!B328)</f>
        <v>359</v>
      </c>
      <c r="C328">
        <v>3</v>
      </c>
      <c r="D328">
        <v>3</v>
      </c>
      <c r="E328">
        <v>5</v>
      </c>
      <c r="F328">
        <v>3</v>
      </c>
      <c r="G328">
        <f t="shared" si="5"/>
        <v>3.5</v>
      </c>
    </row>
    <row r="329" spans="1:7" x14ac:dyDescent="0.35">
      <c r="A329">
        <f>IF(Bestellungen!J329="Ja",Bestellungen!A329)</f>
        <v>7976</v>
      </c>
      <c r="B329">
        <f>IF(Bestellungen!J329="Ja",Bestellungen!B329)</f>
        <v>524</v>
      </c>
      <c r="C329">
        <v>4</v>
      </c>
      <c r="D329">
        <v>3</v>
      </c>
      <c r="E329">
        <v>4</v>
      </c>
      <c r="F329">
        <v>4</v>
      </c>
      <c r="G329">
        <f t="shared" si="5"/>
        <v>3.75</v>
      </c>
    </row>
    <row r="330" spans="1:7" hidden="1" x14ac:dyDescent="0.35">
      <c r="A330" t="b">
        <f>IF(Bestellungen!J330="Ja",Bestellungen!A330)</f>
        <v>0</v>
      </c>
      <c r="B330" t="b">
        <f>IF(Bestellungen!J330="Ja",Bestellungen!B330)</f>
        <v>0</v>
      </c>
      <c r="C330" t="s">
        <v>51</v>
      </c>
      <c r="D330" t="s">
        <v>51</v>
      </c>
      <c r="E330" t="s">
        <v>51</v>
      </c>
      <c r="F330" t="s">
        <v>51</v>
      </c>
      <c r="G330" t="e">
        <f t="shared" si="5"/>
        <v>#DIV/0!</v>
      </c>
    </row>
    <row r="331" spans="1:7" x14ac:dyDescent="0.35">
      <c r="A331">
        <f>IF(Bestellungen!J331="Ja",Bestellungen!A331)</f>
        <v>7978</v>
      </c>
      <c r="B331">
        <f>IF(Bestellungen!J331="Ja",Bestellungen!B331)</f>
        <v>705</v>
      </c>
      <c r="C331">
        <v>5</v>
      </c>
      <c r="D331">
        <v>4</v>
      </c>
      <c r="E331">
        <v>5</v>
      </c>
      <c r="F331">
        <v>3</v>
      </c>
      <c r="G331">
        <f t="shared" si="5"/>
        <v>4.25</v>
      </c>
    </row>
    <row r="332" spans="1:7" hidden="1" x14ac:dyDescent="0.35">
      <c r="A332" t="b">
        <f>IF(Bestellungen!J332="Ja",Bestellungen!A332)</f>
        <v>0</v>
      </c>
      <c r="B332" t="b">
        <f>IF(Bestellungen!J332="Ja",Bestellungen!B332)</f>
        <v>0</v>
      </c>
      <c r="C332" t="s">
        <v>51</v>
      </c>
      <c r="D332" t="s">
        <v>51</v>
      </c>
      <c r="E332" t="s">
        <v>51</v>
      </c>
      <c r="F332" t="s">
        <v>51</v>
      </c>
      <c r="G332" t="e">
        <f t="shared" si="5"/>
        <v>#DIV/0!</v>
      </c>
    </row>
    <row r="333" spans="1:7" x14ac:dyDescent="0.35">
      <c r="A333">
        <f>IF(Bestellungen!J333="Ja",Bestellungen!A333)</f>
        <v>7980</v>
      </c>
      <c r="B333">
        <f>IF(Bestellungen!J333="Ja",Bestellungen!B333)</f>
        <v>433</v>
      </c>
      <c r="C333">
        <v>3</v>
      </c>
      <c r="D333">
        <v>4</v>
      </c>
      <c r="E333">
        <v>3</v>
      </c>
      <c r="F333">
        <v>5</v>
      </c>
      <c r="G333">
        <f t="shared" si="5"/>
        <v>3.75</v>
      </c>
    </row>
    <row r="334" spans="1:7" x14ac:dyDescent="0.35">
      <c r="A334">
        <f>IF(Bestellungen!J334="Ja",Bestellungen!A334)</f>
        <v>7981</v>
      </c>
      <c r="B334">
        <f>IF(Bestellungen!J334="Ja",Bestellungen!B334)</f>
        <v>443</v>
      </c>
      <c r="C334">
        <v>3</v>
      </c>
      <c r="D334">
        <v>3</v>
      </c>
      <c r="E334">
        <v>3</v>
      </c>
      <c r="F334">
        <v>3</v>
      </c>
      <c r="G334">
        <f t="shared" si="5"/>
        <v>3</v>
      </c>
    </row>
    <row r="335" spans="1:7" x14ac:dyDescent="0.35">
      <c r="A335">
        <f>IF(Bestellungen!J335="Ja",Bestellungen!A335)</f>
        <v>7982</v>
      </c>
      <c r="B335">
        <f>IF(Bestellungen!J335="Ja",Bestellungen!B335)</f>
        <v>375</v>
      </c>
      <c r="C335">
        <v>4</v>
      </c>
      <c r="D335">
        <v>3</v>
      </c>
      <c r="E335">
        <v>4</v>
      </c>
      <c r="F335">
        <v>4</v>
      </c>
      <c r="G335">
        <f t="shared" si="5"/>
        <v>3.75</v>
      </c>
    </row>
    <row r="336" spans="1:7" x14ac:dyDescent="0.35">
      <c r="A336">
        <f>IF(Bestellungen!J336="Ja",Bestellungen!A336)</f>
        <v>7983</v>
      </c>
      <c r="B336">
        <f>IF(Bestellungen!J336="Ja",Bestellungen!B336)</f>
        <v>145</v>
      </c>
      <c r="C336">
        <v>3</v>
      </c>
      <c r="D336">
        <v>3</v>
      </c>
      <c r="E336">
        <v>5</v>
      </c>
      <c r="F336">
        <v>3</v>
      </c>
      <c r="G336">
        <f t="shared" si="5"/>
        <v>3.5</v>
      </c>
    </row>
    <row r="337" spans="1:7" x14ac:dyDescent="0.35">
      <c r="A337">
        <f>IF(Bestellungen!J337="Ja",Bestellungen!A337)</f>
        <v>7984</v>
      </c>
      <c r="B337">
        <f>IF(Bestellungen!J337="Ja",Bestellungen!B337)</f>
        <v>321</v>
      </c>
      <c r="C337">
        <v>5</v>
      </c>
      <c r="D337">
        <v>4</v>
      </c>
      <c r="E337">
        <v>4</v>
      </c>
      <c r="F337">
        <v>3</v>
      </c>
      <c r="G337">
        <f t="shared" si="5"/>
        <v>4</v>
      </c>
    </row>
    <row r="338" spans="1:7" hidden="1" x14ac:dyDescent="0.35">
      <c r="A338" t="b">
        <f>IF(Bestellungen!J338="Ja",Bestellungen!A338)</f>
        <v>0</v>
      </c>
      <c r="B338" t="b">
        <f>IF(Bestellungen!J338="Ja",Bestellungen!B338)</f>
        <v>0</v>
      </c>
      <c r="C338" t="s">
        <v>51</v>
      </c>
      <c r="D338" t="s">
        <v>51</v>
      </c>
      <c r="E338" t="s">
        <v>51</v>
      </c>
      <c r="F338" t="s">
        <v>51</v>
      </c>
      <c r="G338" t="e">
        <f t="shared" si="5"/>
        <v>#DIV/0!</v>
      </c>
    </row>
    <row r="339" spans="1:7" hidden="1" x14ac:dyDescent="0.35">
      <c r="A339" t="b">
        <f>IF(Bestellungen!J339="Ja",Bestellungen!A339)</f>
        <v>0</v>
      </c>
      <c r="B339" t="b">
        <f>IF(Bestellungen!J339="Ja",Bestellungen!B339)</f>
        <v>0</v>
      </c>
      <c r="C339" t="s">
        <v>51</v>
      </c>
      <c r="D339" t="s">
        <v>51</v>
      </c>
      <c r="E339" t="s">
        <v>51</v>
      </c>
      <c r="F339" t="s">
        <v>51</v>
      </c>
      <c r="G339" t="e">
        <f t="shared" si="5"/>
        <v>#DIV/0!</v>
      </c>
    </row>
    <row r="340" spans="1:7" x14ac:dyDescent="0.35">
      <c r="A340">
        <f>IF(Bestellungen!J340="Ja",Bestellungen!A340)</f>
        <v>7987</v>
      </c>
      <c r="B340">
        <f>IF(Bestellungen!J340="Ja",Bestellungen!B340)</f>
        <v>759</v>
      </c>
      <c r="C340">
        <v>3</v>
      </c>
      <c r="D340">
        <v>3</v>
      </c>
      <c r="E340">
        <v>4</v>
      </c>
      <c r="F340">
        <v>5</v>
      </c>
      <c r="G340">
        <f t="shared" si="5"/>
        <v>3.75</v>
      </c>
    </row>
    <row r="341" spans="1:7" hidden="1" x14ac:dyDescent="0.35">
      <c r="A341" t="b">
        <f>IF(Bestellungen!J341="Ja",Bestellungen!A341)</f>
        <v>0</v>
      </c>
      <c r="B341" t="b">
        <f>IF(Bestellungen!J341="Ja",Bestellungen!B341)</f>
        <v>0</v>
      </c>
      <c r="C341" t="s">
        <v>51</v>
      </c>
      <c r="D341" t="s">
        <v>51</v>
      </c>
      <c r="E341" t="s">
        <v>51</v>
      </c>
      <c r="F341" t="s">
        <v>51</v>
      </c>
      <c r="G341" t="e">
        <f t="shared" si="5"/>
        <v>#DIV/0!</v>
      </c>
    </row>
    <row r="342" spans="1:7" x14ac:dyDescent="0.35">
      <c r="A342">
        <f>IF(Bestellungen!J342="Ja",Bestellungen!A342)</f>
        <v>7989</v>
      </c>
      <c r="B342">
        <f>IF(Bestellungen!J342="Ja",Bestellungen!B342)</f>
        <v>287</v>
      </c>
      <c r="C342">
        <v>3</v>
      </c>
      <c r="D342">
        <v>3</v>
      </c>
      <c r="E342">
        <v>3</v>
      </c>
      <c r="F342">
        <v>4</v>
      </c>
      <c r="G342">
        <f t="shared" si="5"/>
        <v>3.25</v>
      </c>
    </row>
    <row r="343" spans="1:7" hidden="1" x14ac:dyDescent="0.35">
      <c r="A343" t="b">
        <f>IF(Bestellungen!J343="Ja",Bestellungen!A343)</f>
        <v>0</v>
      </c>
      <c r="B343" t="b">
        <f>IF(Bestellungen!J343="Ja",Bestellungen!B343)</f>
        <v>0</v>
      </c>
      <c r="C343" t="s">
        <v>51</v>
      </c>
      <c r="D343" t="s">
        <v>51</v>
      </c>
      <c r="E343" t="s">
        <v>51</v>
      </c>
      <c r="F343" t="s">
        <v>51</v>
      </c>
      <c r="G343" t="e">
        <f t="shared" si="5"/>
        <v>#DIV/0!</v>
      </c>
    </row>
    <row r="344" spans="1:7" x14ac:dyDescent="0.35">
      <c r="A344">
        <f>IF(Bestellungen!J344="Ja",Bestellungen!A344)</f>
        <v>7991</v>
      </c>
      <c r="B344">
        <f>IF(Bestellungen!J344="Ja",Bestellungen!B344)</f>
        <v>657</v>
      </c>
      <c r="C344">
        <v>3</v>
      </c>
      <c r="D344">
        <v>5</v>
      </c>
      <c r="E344">
        <v>3</v>
      </c>
      <c r="F344">
        <v>4</v>
      </c>
      <c r="G344">
        <f t="shared" si="5"/>
        <v>3.75</v>
      </c>
    </row>
    <row r="345" spans="1:7" x14ac:dyDescent="0.35">
      <c r="A345">
        <f>IF(Bestellungen!J345="Ja",Bestellungen!A345)</f>
        <v>7992</v>
      </c>
      <c r="B345">
        <f>IF(Bestellungen!J345="Ja",Bestellungen!B345)</f>
        <v>168</v>
      </c>
      <c r="C345">
        <v>4</v>
      </c>
      <c r="D345">
        <v>5</v>
      </c>
      <c r="E345">
        <v>3</v>
      </c>
      <c r="F345">
        <v>5</v>
      </c>
      <c r="G345">
        <f t="shared" si="5"/>
        <v>4.25</v>
      </c>
    </row>
    <row r="346" spans="1:7" x14ac:dyDescent="0.35">
      <c r="A346">
        <f>IF(Bestellungen!J346="Ja",Bestellungen!A346)</f>
        <v>7993</v>
      </c>
      <c r="B346">
        <f>IF(Bestellungen!J346="Ja",Bestellungen!B346)</f>
        <v>7</v>
      </c>
      <c r="C346">
        <v>4</v>
      </c>
      <c r="D346">
        <v>3</v>
      </c>
      <c r="E346">
        <v>4</v>
      </c>
      <c r="F346">
        <v>5</v>
      </c>
      <c r="G346">
        <f t="shared" si="5"/>
        <v>4</v>
      </c>
    </row>
    <row r="347" spans="1:7" hidden="1" x14ac:dyDescent="0.35">
      <c r="A347" t="b">
        <f>IF(Bestellungen!J347="Ja",Bestellungen!A347)</f>
        <v>0</v>
      </c>
      <c r="B347" t="b">
        <f>IF(Bestellungen!J347="Ja",Bestellungen!B347)</f>
        <v>0</v>
      </c>
      <c r="C347" t="s">
        <v>51</v>
      </c>
      <c r="D347" t="s">
        <v>51</v>
      </c>
      <c r="E347" t="s">
        <v>51</v>
      </c>
      <c r="F347" t="s">
        <v>51</v>
      </c>
      <c r="G347" t="e">
        <f t="shared" si="5"/>
        <v>#DIV/0!</v>
      </c>
    </row>
    <row r="348" spans="1:7" x14ac:dyDescent="0.35">
      <c r="A348">
        <f>IF(Bestellungen!J348="Ja",Bestellungen!A348)</f>
        <v>7995</v>
      </c>
      <c r="B348">
        <f>IF(Bestellungen!J348="Ja",Bestellungen!B348)</f>
        <v>702</v>
      </c>
      <c r="C348">
        <v>5</v>
      </c>
      <c r="D348">
        <v>5</v>
      </c>
      <c r="E348">
        <v>5</v>
      </c>
      <c r="F348">
        <v>4</v>
      </c>
      <c r="G348">
        <f t="shared" si="5"/>
        <v>4.75</v>
      </c>
    </row>
    <row r="349" spans="1:7" x14ac:dyDescent="0.35">
      <c r="A349">
        <f>IF(Bestellungen!J349="Ja",Bestellungen!A349)</f>
        <v>7996</v>
      </c>
      <c r="B349">
        <f>IF(Bestellungen!J349="Ja",Bestellungen!B349)</f>
        <v>8</v>
      </c>
      <c r="C349">
        <v>5</v>
      </c>
      <c r="D349">
        <v>5</v>
      </c>
      <c r="E349">
        <v>5</v>
      </c>
      <c r="F349">
        <v>5</v>
      </c>
      <c r="G349">
        <f t="shared" si="5"/>
        <v>5</v>
      </c>
    </row>
    <row r="350" spans="1:7" x14ac:dyDescent="0.35">
      <c r="A350">
        <f>IF(Bestellungen!J350="Ja",Bestellungen!A350)</f>
        <v>7997</v>
      </c>
      <c r="B350">
        <f>IF(Bestellungen!J350="Ja",Bestellungen!B350)</f>
        <v>106</v>
      </c>
      <c r="C350">
        <v>3</v>
      </c>
      <c r="D350">
        <v>4</v>
      </c>
      <c r="E350">
        <v>3</v>
      </c>
      <c r="F350">
        <v>5</v>
      </c>
      <c r="G350">
        <f t="shared" si="5"/>
        <v>3.75</v>
      </c>
    </row>
    <row r="351" spans="1:7" x14ac:dyDescent="0.35">
      <c r="A351">
        <f>IF(Bestellungen!J351="Ja",Bestellungen!A351)</f>
        <v>7998</v>
      </c>
      <c r="B351">
        <f>IF(Bestellungen!J351="Ja",Bestellungen!B351)</f>
        <v>649</v>
      </c>
      <c r="C351">
        <v>5</v>
      </c>
      <c r="D351">
        <v>3</v>
      </c>
      <c r="E351">
        <v>3</v>
      </c>
      <c r="F351">
        <v>5</v>
      </c>
      <c r="G351">
        <f t="shared" si="5"/>
        <v>4</v>
      </c>
    </row>
    <row r="352" spans="1:7" x14ac:dyDescent="0.35">
      <c r="A352">
        <f>IF(Bestellungen!J352="Ja",Bestellungen!A352)</f>
        <v>7999</v>
      </c>
      <c r="B352">
        <f>IF(Bestellungen!J352="Ja",Bestellungen!B352)</f>
        <v>761</v>
      </c>
      <c r="C352">
        <v>4</v>
      </c>
      <c r="D352">
        <v>3</v>
      </c>
      <c r="E352">
        <v>5</v>
      </c>
      <c r="F352">
        <v>5</v>
      </c>
      <c r="G352">
        <f t="shared" si="5"/>
        <v>4.25</v>
      </c>
    </row>
    <row r="353" spans="1:7" hidden="1" x14ac:dyDescent="0.35">
      <c r="A353" t="b">
        <f>IF(Bestellungen!J353="Ja",Bestellungen!A353)</f>
        <v>0</v>
      </c>
      <c r="B353" t="b">
        <f>IF(Bestellungen!J353="Ja",Bestellungen!B353)</f>
        <v>0</v>
      </c>
      <c r="C353" t="s">
        <v>51</v>
      </c>
      <c r="D353" t="s">
        <v>51</v>
      </c>
      <c r="E353" t="s">
        <v>51</v>
      </c>
      <c r="F353" t="s">
        <v>51</v>
      </c>
      <c r="G353" t="e">
        <f t="shared" si="5"/>
        <v>#DIV/0!</v>
      </c>
    </row>
    <row r="354" spans="1:7" x14ac:dyDescent="0.35">
      <c r="A354">
        <f>IF(Bestellungen!J354="Ja",Bestellungen!A354)</f>
        <v>8001</v>
      </c>
      <c r="B354">
        <f>IF(Bestellungen!J354="Ja",Bestellungen!B354)</f>
        <v>482</v>
      </c>
      <c r="C354">
        <v>3</v>
      </c>
      <c r="D354">
        <v>5</v>
      </c>
      <c r="E354">
        <v>4</v>
      </c>
      <c r="F354">
        <v>5</v>
      </c>
      <c r="G354">
        <f t="shared" si="5"/>
        <v>4.25</v>
      </c>
    </row>
    <row r="355" spans="1:7" hidden="1" x14ac:dyDescent="0.35">
      <c r="A355" t="b">
        <f>IF(Bestellungen!J355="Ja",Bestellungen!A355)</f>
        <v>0</v>
      </c>
      <c r="B355" t="b">
        <f>IF(Bestellungen!J355="Ja",Bestellungen!B355)</f>
        <v>0</v>
      </c>
      <c r="C355" t="s">
        <v>51</v>
      </c>
      <c r="D355" t="s">
        <v>51</v>
      </c>
      <c r="E355" t="s">
        <v>51</v>
      </c>
      <c r="F355" t="s">
        <v>51</v>
      </c>
      <c r="G355" t="e">
        <f t="shared" si="5"/>
        <v>#DIV/0!</v>
      </c>
    </row>
    <row r="356" spans="1:7" hidden="1" x14ac:dyDescent="0.35">
      <c r="A356" t="b">
        <f>IF(Bestellungen!J356="Ja",Bestellungen!A356)</f>
        <v>0</v>
      </c>
      <c r="B356" t="b">
        <f>IF(Bestellungen!J356="Ja",Bestellungen!B356)</f>
        <v>0</v>
      </c>
      <c r="C356" t="s">
        <v>51</v>
      </c>
      <c r="D356" t="s">
        <v>51</v>
      </c>
      <c r="E356" t="s">
        <v>51</v>
      </c>
      <c r="F356" t="s">
        <v>51</v>
      </c>
      <c r="G356" t="e">
        <f t="shared" si="5"/>
        <v>#DIV/0!</v>
      </c>
    </row>
    <row r="357" spans="1:7" x14ac:dyDescent="0.35">
      <c r="A357">
        <f>IF(Bestellungen!J357="Ja",Bestellungen!A357)</f>
        <v>8004</v>
      </c>
      <c r="B357">
        <f>IF(Bestellungen!J357="Ja",Bestellungen!B357)</f>
        <v>462</v>
      </c>
      <c r="C357">
        <v>3</v>
      </c>
      <c r="D357">
        <v>5</v>
      </c>
      <c r="E357">
        <v>5</v>
      </c>
      <c r="F357">
        <v>5</v>
      </c>
      <c r="G357">
        <f t="shared" si="5"/>
        <v>4.5</v>
      </c>
    </row>
    <row r="358" spans="1:7" x14ac:dyDescent="0.35">
      <c r="A358">
        <f>IF(Bestellungen!J358="Ja",Bestellungen!A358)</f>
        <v>8005</v>
      </c>
      <c r="B358">
        <f>IF(Bestellungen!J358="Ja",Bestellungen!B358)</f>
        <v>481</v>
      </c>
      <c r="C358">
        <v>5</v>
      </c>
      <c r="D358">
        <v>4</v>
      </c>
      <c r="E358">
        <v>3</v>
      </c>
      <c r="F358">
        <v>4</v>
      </c>
      <c r="G358">
        <f t="shared" si="5"/>
        <v>4</v>
      </c>
    </row>
    <row r="359" spans="1:7" hidden="1" x14ac:dyDescent="0.35">
      <c r="A359" t="b">
        <f>IF(Bestellungen!J359="Ja",Bestellungen!A359)</f>
        <v>0</v>
      </c>
      <c r="B359" t="b">
        <f>IF(Bestellungen!J359="Ja",Bestellungen!B359)</f>
        <v>0</v>
      </c>
      <c r="C359" t="s">
        <v>51</v>
      </c>
      <c r="D359" t="s">
        <v>51</v>
      </c>
      <c r="E359" t="s">
        <v>51</v>
      </c>
      <c r="F359" t="s">
        <v>51</v>
      </c>
      <c r="G359" t="e">
        <f t="shared" si="5"/>
        <v>#DIV/0!</v>
      </c>
    </row>
    <row r="360" spans="1:7" x14ac:dyDescent="0.35">
      <c r="A360">
        <f>IF(Bestellungen!J360="Ja",Bestellungen!A360)</f>
        <v>8007</v>
      </c>
      <c r="B360">
        <f>IF(Bestellungen!J360="Ja",Bestellungen!B360)</f>
        <v>43</v>
      </c>
      <c r="C360">
        <v>5</v>
      </c>
      <c r="D360">
        <v>3</v>
      </c>
      <c r="E360">
        <v>4</v>
      </c>
      <c r="F360">
        <v>3</v>
      </c>
      <c r="G360">
        <f t="shared" si="5"/>
        <v>3.75</v>
      </c>
    </row>
    <row r="361" spans="1:7" hidden="1" x14ac:dyDescent="0.35">
      <c r="A361" t="b">
        <f>IF(Bestellungen!J361="Ja",Bestellungen!A361)</f>
        <v>0</v>
      </c>
      <c r="B361" t="b">
        <f>IF(Bestellungen!J361="Ja",Bestellungen!B361)</f>
        <v>0</v>
      </c>
      <c r="C361" t="s">
        <v>51</v>
      </c>
      <c r="D361" t="s">
        <v>51</v>
      </c>
      <c r="E361" t="s">
        <v>51</v>
      </c>
      <c r="F361" t="s">
        <v>51</v>
      </c>
      <c r="G361" t="e">
        <f t="shared" si="5"/>
        <v>#DIV/0!</v>
      </c>
    </row>
    <row r="362" spans="1:7" hidden="1" x14ac:dyDescent="0.35">
      <c r="A362" t="b">
        <f>IF(Bestellungen!J362="Ja",Bestellungen!A362)</f>
        <v>0</v>
      </c>
      <c r="B362" t="b">
        <f>IF(Bestellungen!J362="Ja",Bestellungen!B362)</f>
        <v>0</v>
      </c>
      <c r="C362" t="s">
        <v>51</v>
      </c>
      <c r="D362" t="s">
        <v>51</v>
      </c>
      <c r="E362" t="s">
        <v>51</v>
      </c>
      <c r="F362" t="s">
        <v>51</v>
      </c>
      <c r="G362" t="e">
        <f t="shared" si="5"/>
        <v>#DIV/0!</v>
      </c>
    </row>
    <row r="363" spans="1:7" x14ac:dyDescent="0.35">
      <c r="A363">
        <f>IF(Bestellungen!J363="Ja",Bestellungen!A363)</f>
        <v>8010</v>
      </c>
      <c r="B363">
        <f>IF(Bestellungen!J363="Ja",Bestellungen!B363)</f>
        <v>82</v>
      </c>
      <c r="C363">
        <v>5</v>
      </c>
      <c r="D363">
        <v>5</v>
      </c>
      <c r="E363">
        <v>4</v>
      </c>
      <c r="F363">
        <v>4</v>
      </c>
      <c r="G363">
        <f t="shared" si="5"/>
        <v>4.5</v>
      </c>
    </row>
    <row r="364" spans="1:7" x14ac:dyDescent="0.35">
      <c r="A364">
        <f>IF(Bestellungen!J364="Ja",Bestellungen!A364)</f>
        <v>8011</v>
      </c>
      <c r="B364">
        <f>IF(Bestellungen!J364="Ja",Bestellungen!B364)</f>
        <v>97</v>
      </c>
      <c r="C364">
        <v>3</v>
      </c>
      <c r="D364">
        <v>3</v>
      </c>
      <c r="E364">
        <v>4</v>
      </c>
      <c r="F364">
        <v>3</v>
      </c>
      <c r="G364">
        <f t="shared" si="5"/>
        <v>3.25</v>
      </c>
    </row>
    <row r="365" spans="1:7" hidden="1" x14ac:dyDescent="0.35">
      <c r="A365" t="b">
        <f>IF(Bestellungen!J365="Ja",Bestellungen!A365)</f>
        <v>0</v>
      </c>
      <c r="B365" t="b">
        <f>IF(Bestellungen!J365="Ja",Bestellungen!B365)</f>
        <v>0</v>
      </c>
      <c r="C365" t="s">
        <v>51</v>
      </c>
      <c r="D365" t="s">
        <v>51</v>
      </c>
      <c r="E365" t="s">
        <v>51</v>
      </c>
      <c r="F365" t="s">
        <v>51</v>
      </c>
      <c r="G365" t="e">
        <f t="shared" si="5"/>
        <v>#DIV/0!</v>
      </c>
    </row>
    <row r="366" spans="1:7" hidden="1" x14ac:dyDescent="0.35">
      <c r="A366" t="b">
        <f>IF(Bestellungen!J366="Ja",Bestellungen!A366)</f>
        <v>0</v>
      </c>
      <c r="B366" t="b">
        <f>IF(Bestellungen!J366="Ja",Bestellungen!B366)</f>
        <v>0</v>
      </c>
      <c r="C366" t="s">
        <v>51</v>
      </c>
      <c r="D366" t="s">
        <v>51</v>
      </c>
      <c r="E366" t="s">
        <v>51</v>
      </c>
      <c r="F366" t="s">
        <v>51</v>
      </c>
      <c r="G366" t="e">
        <f t="shared" si="5"/>
        <v>#DIV/0!</v>
      </c>
    </row>
    <row r="367" spans="1:7" hidden="1" x14ac:dyDescent="0.35">
      <c r="A367" t="b">
        <f>IF(Bestellungen!J367="Ja",Bestellungen!A367)</f>
        <v>0</v>
      </c>
      <c r="B367" t="b">
        <f>IF(Bestellungen!J367="Ja",Bestellungen!B367)</f>
        <v>0</v>
      </c>
      <c r="C367" t="s">
        <v>51</v>
      </c>
      <c r="D367" t="s">
        <v>51</v>
      </c>
      <c r="E367" t="s">
        <v>51</v>
      </c>
      <c r="F367" t="s">
        <v>51</v>
      </c>
      <c r="G367" t="e">
        <f t="shared" si="5"/>
        <v>#DIV/0!</v>
      </c>
    </row>
    <row r="368" spans="1:7" hidden="1" x14ac:dyDescent="0.35">
      <c r="A368" t="b">
        <f>IF(Bestellungen!J368="Ja",Bestellungen!A368)</f>
        <v>0</v>
      </c>
      <c r="B368" t="b">
        <f>IF(Bestellungen!J368="Ja",Bestellungen!B368)</f>
        <v>0</v>
      </c>
      <c r="C368" t="s">
        <v>51</v>
      </c>
      <c r="D368" t="s">
        <v>51</v>
      </c>
      <c r="E368" t="s">
        <v>51</v>
      </c>
      <c r="F368" t="s">
        <v>51</v>
      </c>
      <c r="G368" t="e">
        <f t="shared" si="5"/>
        <v>#DIV/0!</v>
      </c>
    </row>
    <row r="369" spans="1:7" hidden="1" x14ac:dyDescent="0.35">
      <c r="A369" t="b">
        <f>IF(Bestellungen!J369="Ja",Bestellungen!A369)</f>
        <v>0</v>
      </c>
      <c r="B369" t="b">
        <f>IF(Bestellungen!J369="Ja",Bestellungen!B369)</f>
        <v>0</v>
      </c>
      <c r="C369" t="s">
        <v>51</v>
      </c>
      <c r="D369" t="s">
        <v>51</v>
      </c>
      <c r="E369" t="s">
        <v>51</v>
      </c>
      <c r="F369" t="s">
        <v>51</v>
      </c>
      <c r="G369" t="e">
        <f t="shared" si="5"/>
        <v>#DIV/0!</v>
      </c>
    </row>
    <row r="370" spans="1:7" x14ac:dyDescent="0.35">
      <c r="A370">
        <f>IF(Bestellungen!J370="Ja",Bestellungen!A370)</f>
        <v>8017</v>
      </c>
      <c r="B370">
        <f>IF(Bestellungen!J370="Ja",Bestellungen!B370)</f>
        <v>668</v>
      </c>
      <c r="C370">
        <v>3</v>
      </c>
      <c r="D370">
        <v>5</v>
      </c>
      <c r="E370">
        <v>5</v>
      </c>
      <c r="F370">
        <v>3</v>
      </c>
      <c r="G370">
        <f t="shared" si="5"/>
        <v>4</v>
      </c>
    </row>
    <row r="371" spans="1:7" hidden="1" x14ac:dyDescent="0.35">
      <c r="A371" t="b">
        <f>IF(Bestellungen!J371="Ja",Bestellungen!A371)</f>
        <v>0</v>
      </c>
      <c r="B371" t="b">
        <f>IF(Bestellungen!J371="Ja",Bestellungen!B371)</f>
        <v>0</v>
      </c>
      <c r="C371" t="s">
        <v>51</v>
      </c>
      <c r="D371" t="s">
        <v>51</v>
      </c>
      <c r="E371" t="s">
        <v>51</v>
      </c>
      <c r="F371" t="s">
        <v>51</v>
      </c>
      <c r="G371" t="e">
        <f t="shared" si="5"/>
        <v>#DIV/0!</v>
      </c>
    </row>
    <row r="372" spans="1:7" x14ac:dyDescent="0.35">
      <c r="A372">
        <f>IF(Bestellungen!J372="Ja",Bestellungen!A372)</f>
        <v>8019</v>
      </c>
      <c r="B372">
        <f>IF(Bestellungen!J372="Ja",Bestellungen!B372)</f>
        <v>430</v>
      </c>
      <c r="C372">
        <v>3</v>
      </c>
      <c r="D372">
        <v>3</v>
      </c>
      <c r="E372">
        <v>4</v>
      </c>
      <c r="F372">
        <v>4</v>
      </c>
      <c r="G372">
        <f t="shared" si="5"/>
        <v>3.5</v>
      </c>
    </row>
    <row r="373" spans="1:7" x14ac:dyDescent="0.35">
      <c r="A373">
        <f>IF(Bestellungen!J373="Ja",Bestellungen!A373)</f>
        <v>8020</v>
      </c>
      <c r="B373">
        <f>IF(Bestellungen!J373="Ja",Bestellungen!B373)</f>
        <v>637</v>
      </c>
      <c r="C373">
        <v>5</v>
      </c>
      <c r="D373">
        <v>4</v>
      </c>
      <c r="E373">
        <v>4</v>
      </c>
      <c r="F373">
        <v>4</v>
      </c>
      <c r="G373">
        <f t="shared" si="5"/>
        <v>4.25</v>
      </c>
    </row>
    <row r="374" spans="1:7" hidden="1" x14ac:dyDescent="0.35">
      <c r="A374" t="b">
        <f>IF(Bestellungen!J374="Ja",Bestellungen!A374)</f>
        <v>0</v>
      </c>
      <c r="B374" t="b">
        <f>IF(Bestellungen!J374="Ja",Bestellungen!B374)</f>
        <v>0</v>
      </c>
      <c r="C374" t="s">
        <v>51</v>
      </c>
      <c r="D374" t="s">
        <v>51</v>
      </c>
      <c r="E374" t="s">
        <v>51</v>
      </c>
      <c r="F374" t="s">
        <v>51</v>
      </c>
      <c r="G374" t="e">
        <f t="shared" si="5"/>
        <v>#DIV/0!</v>
      </c>
    </row>
    <row r="375" spans="1:7" x14ac:dyDescent="0.35">
      <c r="A375">
        <f>IF(Bestellungen!J375="Ja",Bestellungen!A375)</f>
        <v>8022</v>
      </c>
      <c r="B375">
        <f>IF(Bestellungen!J375="Ja",Bestellungen!B375)</f>
        <v>406</v>
      </c>
      <c r="C375">
        <v>4</v>
      </c>
      <c r="D375">
        <v>3</v>
      </c>
      <c r="E375">
        <v>4</v>
      </c>
      <c r="F375">
        <v>4</v>
      </c>
      <c r="G375">
        <f t="shared" si="5"/>
        <v>3.75</v>
      </c>
    </row>
    <row r="376" spans="1:7" x14ac:dyDescent="0.35">
      <c r="A376">
        <f>IF(Bestellungen!J376="Ja",Bestellungen!A376)</f>
        <v>8023</v>
      </c>
      <c r="B376">
        <f>IF(Bestellungen!J376="Ja",Bestellungen!B376)</f>
        <v>455</v>
      </c>
      <c r="C376">
        <v>5</v>
      </c>
      <c r="D376">
        <v>3</v>
      </c>
      <c r="E376">
        <v>5</v>
      </c>
      <c r="F376">
        <v>3</v>
      </c>
      <c r="G376">
        <f t="shared" si="5"/>
        <v>4</v>
      </c>
    </row>
    <row r="377" spans="1:7" x14ac:dyDescent="0.35">
      <c r="A377">
        <f>IF(Bestellungen!J377="Ja",Bestellungen!A377)</f>
        <v>8024</v>
      </c>
      <c r="B377">
        <f>IF(Bestellungen!J377="Ja",Bestellungen!B377)</f>
        <v>369</v>
      </c>
      <c r="C377">
        <v>4</v>
      </c>
      <c r="D377">
        <v>5</v>
      </c>
      <c r="E377">
        <v>5</v>
      </c>
      <c r="F377">
        <v>4</v>
      </c>
      <c r="G377">
        <f t="shared" si="5"/>
        <v>4.5</v>
      </c>
    </row>
    <row r="378" spans="1:7" hidden="1" x14ac:dyDescent="0.35">
      <c r="A378" t="b">
        <f>IF(Bestellungen!J378="Ja",Bestellungen!A378)</f>
        <v>0</v>
      </c>
      <c r="B378" t="b">
        <f>IF(Bestellungen!J378="Ja",Bestellungen!B378)</f>
        <v>0</v>
      </c>
      <c r="C378" t="s">
        <v>51</v>
      </c>
      <c r="D378" t="s">
        <v>51</v>
      </c>
      <c r="E378" t="s">
        <v>51</v>
      </c>
      <c r="F378" t="s">
        <v>51</v>
      </c>
      <c r="G378" t="e">
        <f t="shared" si="5"/>
        <v>#DIV/0!</v>
      </c>
    </row>
    <row r="379" spans="1:7" x14ac:dyDescent="0.35">
      <c r="A379">
        <f>IF(Bestellungen!J379="Ja",Bestellungen!A379)</f>
        <v>8026</v>
      </c>
      <c r="B379">
        <f>IF(Bestellungen!J379="Ja",Bestellungen!B379)</f>
        <v>504</v>
      </c>
      <c r="C379">
        <v>3</v>
      </c>
      <c r="D379">
        <v>4</v>
      </c>
      <c r="E379">
        <v>3</v>
      </c>
      <c r="F379">
        <v>3</v>
      </c>
      <c r="G379">
        <f t="shared" si="5"/>
        <v>3.25</v>
      </c>
    </row>
    <row r="380" spans="1:7" x14ac:dyDescent="0.35">
      <c r="A380">
        <f>IF(Bestellungen!J380="Ja",Bestellungen!A380)</f>
        <v>8027</v>
      </c>
      <c r="B380">
        <f>IF(Bestellungen!J380="Ja",Bestellungen!B380)</f>
        <v>219</v>
      </c>
      <c r="C380">
        <v>4</v>
      </c>
      <c r="D380">
        <v>3</v>
      </c>
      <c r="E380">
        <v>5</v>
      </c>
      <c r="F380">
        <v>5</v>
      </c>
      <c r="G380">
        <f t="shared" si="5"/>
        <v>4.25</v>
      </c>
    </row>
    <row r="381" spans="1:7" hidden="1" x14ac:dyDescent="0.35">
      <c r="A381" t="b">
        <f>IF(Bestellungen!J381="Ja",Bestellungen!A381)</f>
        <v>0</v>
      </c>
      <c r="B381" t="b">
        <f>IF(Bestellungen!J381="Ja",Bestellungen!B381)</f>
        <v>0</v>
      </c>
      <c r="C381" t="s">
        <v>51</v>
      </c>
      <c r="D381" t="s">
        <v>51</v>
      </c>
      <c r="E381" t="s">
        <v>51</v>
      </c>
      <c r="F381" t="s">
        <v>51</v>
      </c>
      <c r="G381" t="e">
        <f t="shared" si="5"/>
        <v>#DIV/0!</v>
      </c>
    </row>
    <row r="382" spans="1:7" x14ac:dyDescent="0.35">
      <c r="A382">
        <f>IF(Bestellungen!J382="Ja",Bestellungen!A382)</f>
        <v>8029</v>
      </c>
      <c r="B382">
        <f>IF(Bestellungen!J382="Ja",Bestellungen!B382)</f>
        <v>566</v>
      </c>
      <c r="C382">
        <v>5</v>
      </c>
      <c r="D382">
        <v>3</v>
      </c>
      <c r="E382">
        <v>5</v>
      </c>
      <c r="F382">
        <v>5</v>
      </c>
      <c r="G382">
        <f t="shared" si="5"/>
        <v>4.5</v>
      </c>
    </row>
    <row r="383" spans="1:7" hidden="1" x14ac:dyDescent="0.35">
      <c r="A383" t="b">
        <f>IF(Bestellungen!J383="Ja",Bestellungen!A383)</f>
        <v>0</v>
      </c>
      <c r="B383" t="b">
        <f>IF(Bestellungen!J383="Ja",Bestellungen!B383)</f>
        <v>0</v>
      </c>
      <c r="C383" t="s">
        <v>51</v>
      </c>
      <c r="D383" t="s">
        <v>51</v>
      </c>
      <c r="E383" t="s">
        <v>51</v>
      </c>
      <c r="F383" t="s">
        <v>51</v>
      </c>
      <c r="G383" t="e">
        <f t="shared" si="5"/>
        <v>#DIV/0!</v>
      </c>
    </row>
    <row r="384" spans="1:7" hidden="1" x14ac:dyDescent="0.35">
      <c r="A384" t="b">
        <f>IF(Bestellungen!J384="Ja",Bestellungen!A384)</f>
        <v>0</v>
      </c>
      <c r="B384" t="b">
        <f>IF(Bestellungen!J384="Ja",Bestellungen!B384)</f>
        <v>0</v>
      </c>
      <c r="C384" t="s">
        <v>51</v>
      </c>
      <c r="D384" t="s">
        <v>51</v>
      </c>
      <c r="E384" t="s">
        <v>51</v>
      </c>
      <c r="F384" t="s">
        <v>51</v>
      </c>
      <c r="G384" t="e">
        <f t="shared" si="5"/>
        <v>#DIV/0!</v>
      </c>
    </row>
    <row r="385" spans="1:7" hidden="1" x14ac:dyDescent="0.35">
      <c r="A385" t="b">
        <f>IF(Bestellungen!J385="Ja",Bestellungen!A385)</f>
        <v>0</v>
      </c>
      <c r="B385" t="b">
        <f>IF(Bestellungen!J385="Ja",Bestellungen!B385)</f>
        <v>0</v>
      </c>
      <c r="C385" t="s">
        <v>51</v>
      </c>
      <c r="D385" t="s">
        <v>51</v>
      </c>
      <c r="E385" t="s">
        <v>51</v>
      </c>
      <c r="F385" t="s">
        <v>51</v>
      </c>
      <c r="G385" t="e">
        <f t="shared" si="5"/>
        <v>#DIV/0!</v>
      </c>
    </row>
    <row r="386" spans="1:7" x14ac:dyDescent="0.35">
      <c r="A386">
        <f>IF(Bestellungen!J386="Ja",Bestellungen!A386)</f>
        <v>8033</v>
      </c>
      <c r="B386">
        <f>IF(Bestellungen!J386="Ja",Bestellungen!B386)</f>
        <v>312</v>
      </c>
      <c r="C386">
        <v>3</v>
      </c>
      <c r="D386">
        <v>4</v>
      </c>
      <c r="E386">
        <v>4</v>
      </c>
      <c r="F386">
        <v>5</v>
      </c>
      <c r="G386">
        <f t="shared" si="5"/>
        <v>4</v>
      </c>
    </row>
    <row r="387" spans="1:7" x14ac:dyDescent="0.35">
      <c r="A387">
        <f>IF(Bestellungen!J387="Ja",Bestellungen!A387)</f>
        <v>8034</v>
      </c>
      <c r="B387">
        <f>IF(Bestellungen!J387="Ja",Bestellungen!B387)</f>
        <v>250</v>
      </c>
      <c r="C387">
        <v>5</v>
      </c>
      <c r="D387">
        <v>4</v>
      </c>
      <c r="E387">
        <v>3</v>
      </c>
      <c r="F387">
        <v>4</v>
      </c>
      <c r="G387">
        <f t="shared" ref="G387:G450" si="6">SUM(C387:F387)/COUNT(C387:F387)</f>
        <v>4</v>
      </c>
    </row>
    <row r="388" spans="1:7" x14ac:dyDescent="0.35">
      <c r="A388">
        <f>IF(Bestellungen!J388="Ja",Bestellungen!A388)</f>
        <v>8035</v>
      </c>
      <c r="B388">
        <f>IF(Bestellungen!J388="Ja",Bestellungen!B388)</f>
        <v>278</v>
      </c>
      <c r="C388">
        <v>4</v>
      </c>
      <c r="D388">
        <v>5</v>
      </c>
      <c r="E388">
        <v>3</v>
      </c>
      <c r="F388">
        <v>5</v>
      </c>
      <c r="G388">
        <f t="shared" si="6"/>
        <v>4.25</v>
      </c>
    </row>
    <row r="389" spans="1:7" hidden="1" x14ac:dyDescent="0.35">
      <c r="A389" t="b">
        <f>IF(Bestellungen!J389="Ja",Bestellungen!A389)</f>
        <v>0</v>
      </c>
      <c r="B389" t="b">
        <f>IF(Bestellungen!J389="Ja",Bestellungen!B389)</f>
        <v>0</v>
      </c>
      <c r="C389" t="s">
        <v>51</v>
      </c>
      <c r="D389" t="s">
        <v>51</v>
      </c>
      <c r="E389" t="s">
        <v>51</v>
      </c>
      <c r="F389" t="s">
        <v>51</v>
      </c>
      <c r="G389" t="e">
        <f t="shared" si="6"/>
        <v>#DIV/0!</v>
      </c>
    </row>
    <row r="390" spans="1:7" x14ac:dyDescent="0.35">
      <c r="A390">
        <f>IF(Bestellungen!J390="Ja",Bestellungen!A390)</f>
        <v>8037</v>
      </c>
      <c r="B390">
        <f>IF(Bestellungen!J390="Ja",Bestellungen!B390)</f>
        <v>163</v>
      </c>
      <c r="C390">
        <v>3</v>
      </c>
      <c r="D390">
        <v>5</v>
      </c>
      <c r="E390">
        <v>4</v>
      </c>
      <c r="F390">
        <v>3</v>
      </c>
      <c r="G390">
        <f t="shared" si="6"/>
        <v>3.75</v>
      </c>
    </row>
    <row r="391" spans="1:7" x14ac:dyDescent="0.35">
      <c r="A391">
        <f>IF(Bestellungen!J391="Ja",Bestellungen!A391)</f>
        <v>8038</v>
      </c>
      <c r="B391">
        <f>IF(Bestellungen!J391="Ja",Bestellungen!B391)</f>
        <v>606</v>
      </c>
      <c r="C391">
        <v>4</v>
      </c>
      <c r="D391">
        <v>5</v>
      </c>
      <c r="E391">
        <v>5</v>
      </c>
      <c r="F391">
        <v>4</v>
      </c>
      <c r="G391">
        <f t="shared" si="6"/>
        <v>4.5</v>
      </c>
    </row>
    <row r="392" spans="1:7" x14ac:dyDescent="0.35">
      <c r="A392">
        <f>IF(Bestellungen!J392="Ja",Bestellungen!A392)</f>
        <v>8039</v>
      </c>
      <c r="B392">
        <f>IF(Bestellungen!J392="Ja",Bestellungen!B392)</f>
        <v>706</v>
      </c>
      <c r="C392">
        <v>4</v>
      </c>
      <c r="D392">
        <v>3</v>
      </c>
      <c r="E392">
        <v>5</v>
      </c>
      <c r="F392">
        <v>4</v>
      </c>
      <c r="G392">
        <f t="shared" si="6"/>
        <v>4</v>
      </c>
    </row>
    <row r="393" spans="1:7" hidden="1" x14ac:dyDescent="0.35">
      <c r="A393" t="b">
        <f>IF(Bestellungen!J393="Ja",Bestellungen!A393)</f>
        <v>0</v>
      </c>
      <c r="B393" t="b">
        <f>IF(Bestellungen!J393="Ja",Bestellungen!B393)</f>
        <v>0</v>
      </c>
      <c r="C393" t="s">
        <v>51</v>
      </c>
      <c r="D393" t="s">
        <v>51</v>
      </c>
      <c r="E393" t="s">
        <v>51</v>
      </c>
      <c r="F393" t="s">
        <v>51</v>
      </c>
      <c r="G393" t="e">
        <f t="shared" si="6"/>
        <v>#DIV/0!</v>
      </c>
    </row>
    <row r="394" spans="1:7" x14ac:dyDescent="0.35">
      <c r="A394">
        <f>IF(Bestellungen!J394="Ja",Bestellungen!A394)</f>
        <v>8041</v>
      </c>
      <c r="B394">
        <f>IF(Bestellungen!J394="Ja",Bestellungen!B394)</f>
        <v>727</v>
      </c>
      <c r="C394">
        <v>5</v>
      </c>
      <c r="D394">
        <v>3</v>
      </c>
      <c r="E394">
        <v>4</v>
      </c>
      <c r="F394">
        <v>3</v>
      </c>
      <c r="G394">
        <f t="shared" si="6"/>
        <v>3.75</v>
      </c>
    </row>
    <row r="395" spans="1:7" x14ac:dyDescent="0.35">
      <c r="A395">
        <f>IF(Bestellungen!J395="Ja",Bestellungen!A395)</f>
        <v>8042</v>
      </c>
      <c r="B395">
        <f>IF(Bestellungen!J395="Ja",Bestellungen!B395)</f>
        <v>481</v>
      </c>
      <c r="C395">
        <v>5</v>
      </c>
      <c r="D395">
        <v>5</v>
      </c>
      <c r="E395">
        <v>3</v>
      </c>
      <c r="F395">
        <v>3</v>
      </c>
      <c r="G395">
        <f t="shared" si="6"/>
        <v>4</v>
      </c>
    </row>
    <row r="396" spans="1:7" hidden="1" x14ac:dyDescent="0.35">
      <c r="A396" t="b">
        <f>IF(Bestellungen!J396="Ja",Bestellungen!A396)</f>
        <v>0</v>
      </c>
      <c r="B396" t="b">
        <f>IF(Bestellungen!J396="Ja",Bestellungen!B396)</f>
        <v>0</v>
      </c>
      <c r="C396" t="s">
        <v>51</v>
      </c>
      <c r="D396" t="s">
        <v>51</v>
      </c>
      <c r="E396" t="s">
        <v>51</v>
      </c>
      <c r="F396" t="s">
        <v>51</v>
      </c>
      <c r="G396" t="e">
        <f t="shared" si="6"/>
        <v>#DIV/0!</v>
      </c>
    </row>
    <row r="397" spans="1:7" x14ac:dyDescent="0.35">
      <c r="A397">
        <f>IF(Bestellungen!J397="Ja",Bestellungen!A397)</f>
        <v>8044</v>
      </c>
      <c r="B397">
        <f>IF(Bestellungen!J397="Ja",Bestellungen!B397)</f>
        <v>696</v>
      </c>
      <c r="C397">
        <v>3</v>
      </c>
      <c r="D397">
        <v>4</v>
      </c>
      <c r="E397">
        <v>4</v>
      </c>
      <c r="F397">
        <v>3</v>
      </c>
      <c r="G397">
        <f t="shared" si="6"/>
        <v>3.5</v>
      </c>
    </row>
    <row r="398" spans="1:7" hidden="1" x14ac:dyDescent="0.35">
      <c r="A398" t="b">
        <f>IF(Bestellungen!J398="Ja",Bestellungen!A398)</f>
        <v>0</v>
      </c>
      <c r="B398" t="b">
        <f>IF(Bestellungen!J398="Ja",Bestellungen!B398)</f>
        <v>0</v>
      </c>
      <c r="C398" t="s">
        <v>51</v>
      </c>
      <c r="D398" t="s">
        <v>51</v>
      </c>
      <c r="E398" t="s">
        <v>51</v>
      </c>
      <c r="F398" t="s">
        <v>51</v>
      </c>
      <c r="G398" t="e">
        <f t="shared" si="6"/>
        <v>#DIV/0!</v>
      </c>
    </row>
    <row r="399" spans="1:7" x14ac:dyDescent="0.35">
      <c r="A399">
        <f>IF(Bestellungen!J399="Ja",Bestellungen!A399)</f>
        <v>8046</v>
      </c>
      <c r="B399">
        <f>IF(Bestellungen!J399="Ja",Bestellungen!B399)</f>
        <v>236</v>
      </c>
      <c r="C399">
        <v>5</v>
      </c>
      <c r="D399">
        <v>3</v>
      </c>
      <c r="E399">
        <v>5</v>
      </c>
      <c r="F399">
        <v>4</v>
      </c>
      <c r="G399">
        <f t="shared" si="6"/>
        <v>4.25</v>
      </c>
    </row>
    <row r="400" spans="1:7" hidden="1" x14ac:dyDescent="0.35">
      <c r="A400" t="b">
        <f>IF(Bestellungen!J400="Ja",Bestellungen!A400)</f>
        <v>0</v>
      </c>
      <c r="B400" t="b">
        <f>IF(Bestellungen!J400="Ja",Bestellungen!B400)</f>
        <v>0</v>
      </c>
      <c r="C400" t="s">
        <v>51</v>
      </c>
      <c r="D400" t="s">
        <v>51</v>
      </c>
      <c r="E400" t="s">
        <v>51</v>
      </c>
      <c r="F400" t="s">
        <v>51</v>
      </c>
      <c r="G400" t="e">
        <f t="shared" si="6"/>
        <v>#DIV/0!</v>
      </c>
    </row>
    <row r="401" spans="1:7" hidden="1" x14ac:dyDescent="0.35">
      <c r="A401" t="b">
        <f>IF(Bestellungen!J401="Ja",Bestellungen!A401)</f>
        <v>0</v>
      </c>
      <c r="B401" t="b">
        <f>IF(Bestellungen!J401="Ja",Bestellungen!B401)</f>
        <v>0</v>
      </c>
      <c r="C401" t="s">
        <v>51</v>
      </c>
      <c r="D401" t="s">
        <v>51</v>
      </c>
      <c r="E401" t="s">
        <v>51</v>
      </c>
      <c r="F401" t="s">
        <v>51</v>
      </c>
      <c r="G401" t="e">
        <f t="shared" si="6"/>
        <v>#DIV/0!</v>
      </c>
    </row>
    <row r="402" spans="1:7" hidden="1" x14ac:dyDescent="0.35">
      <c r="A402" t="b">
        <f>IF(Bestellungen!J402="Ja",Bestellungen!A402)</f>
        <v>0</v>
      </c>
      <c r="B402" t="b">
        <f>IF(Bestellungen!J402="Ja",Bestellungen!B402)</f>
        <v>0</v>
      </c>
      <c r="C402" t="s">
        <v>51</v>
      </c>
      <c r="D402" t="s">
        <v>51</v>
      </c>
      <c r="E402" t="s">
        <v>51</v>
      </c>
      <c r="F402" t="s">
        <v>51</v>
      </c>
      <c r="G402" t="e">
        <f t="shared" si="6"/>
        <v>#DIV/0!</v>
      </c>
    </row>
    <row r="403" spans="1:7" hidden="1" x14ac:dyDescent="0.35">
      <c r="A403" t="b">
        <f>IF(Bestellungen!J403="Ja",Bestellungen!A403)</f>
        <v>0</v>
      </c>
      <c r="B403" t="b">
        <f>IF(Bestellungen!J403="Ja",Bestellungen!B403)</f>
        <v>0</v>
      </c>
      <c r="C403" t="s">
        <v>51</v>
      </c>
      <c r="D403" t="s">
        <v>51</v>
      </c>
      <c r="E403" t="s">
        <v>51</v>
      </c>
      <c r="F403" t="s">
        <v>51</v>
      </c>
      <c r="G403" t="e">
        <f t="shared" si="6"/>
        <v>#DIV/0!</v>
      </c>
    </row>
    <row r="404" spans="1:7" hidden="1" x14ac:dyDescent="0.35">
      <c r="A404" t="b">
        <f>IF(Bestellungen!J404="Ja",Bestellungen!A404)</f>
        <v>0</v>
      </c>
      <c r="B404" t="b">
        <f>IF(Bestellungen!J404="Ja",Bestellungen!B404)</f>
        <v>0</v>
      </c>
      <c r="C404" t="s">
        <v>51</v>
      </c>
      <c r="D404" t="s">
        <v>51</v>
      </c>
      <c r="E404" t="s">
        <v>51</v>
      </c>
      <c r="F404" t="s">
        <v>51</v>
      </c>
      <c r="G404" t="e">
        <f t="shared" si="6"/>
        <v>#DIV/0!</v>
      </c>
    </row>
    <row r="405" spans="1:7" hidden="1" x14ac:dyDescent="0.35">
      <c r="A405" t="b">
        <f>IF(Bestellungen!J405="Ja",Bestellungen!A405)</f>
        <v>0</v>
      </c>
      <c r="B405" t="b">
        <f>IF(Bestellungen!J405="Ja",Bestellungen!B405)</f>
        <v>0</v>
      </c>
      <c r="C405" t="s">
        <v>51</v>
      </c>
      <c r="D405" t="s">
        <v>51</v>
      </c>
      <c r="E405" t="s">
        <v>51</v>
      </c>
      <c r="F405" t="s">
        <v>51</v>
      </c>
      <c r="G405" t="e">
        <f t="shared" si="6"/>
        <v>#DIV/0!</v>
      </c>
    </row>
    <row r="406" spans="1:7" hidden="1" x14ac:dyDescent="0.35">
      <c r="A406" t="b">
        <f>IF(Bestellungen!J406="Ja",Bestellungen!A406)</f>
        <v>0</v>
      </c>
      <c r="B406" t="b">
        <f>IF(Bestellungen!J406="Ja",Bestellungen!B406)</f>
        <v>0</v>
      </c>
      <c r="C406" t="s">
        <v>51</v>
      </c>
      <c r="D406" t="s">
        <v>51</v>
      </c>
      <c r="E406" t="s">
        <v>51</v>
      </c>
      <c r="F406" t="s">
        <v>51</v>
      </c>
      <c r="G406" t="e">
        <f t="shared" si="6"/>
        <v>#DIV/0!</v>
      </c>
    </row>
    <row r="407" spans="1:7" hidden="1" x14ac:dyDescent="0.35">
      <c r="A407" t="b">
        <f>IF(Bestellungen!J407="Ja",Bestellungen!A407)</f>
        <v>0</v>
      </c>
      <c r="B407" t="b">
        <f>IF(Bestellungen!J407="Ja",Bestellungen!B407)</f>
        <v>0</v>
      </c>
      <c r="C407" t="s">
        <v>51</v>
      </c>
      <c r="D407" t="s">
        <v>51</v>
      </c>
      <c r="E407" t="s">
        <v>51</v>
      </c>
      <c r="F407" t="s">
        <v>51</v>
      </c>
      <c r="G407" t="e">
        <f t="shared" si="6"/>
        <v>#DIV/0!</v>
      </c>
    </row>
    <row r="408" spans="1:7" hidden="1" x14ac:dyDescent="0.35">
      <c r="A408" t="b">
        <f>IF(Bestellungen!J408="Ja",Bestellungen!A408)</f>
        <v>0</v>
      </c>
      <c r="B408" t="b">
        <f>IF(Bestellungen!J408="Ja",Bestellungen!B408)</f>
        <v>0</v>
      </c>
      <c r="C408" t="s">
        <v>51</v>
      </c>
      <c r="D408" t="s">
        <v>51</v>
      </c>
      <c r="E408" t="s">
        <v>51</v>
      </c>
      <c r="F408" t="s">
        <v>51</v>
      </c>
      <c r="G408" t="e">
        <f t="shared" si="6"/>
        <v>#DIV/0!</v>
      </c>
    </row>
    <row r="409" spans="1:7" x14ac:dyDescent="0.35">
      <c r="A409">
        <f>IF(Bestellungen!J409="Ja",Bestellungen!A409)</f>
        <v>8056</v>
      </c>
      <c r="B409">
        <f>IF(Bestellungen!J409="Ja",Bestellungen!B409)</f>
        <v>747</v>
      </c>
      <c r="C409">
        <v>4</v>
      </c>
      <c r="D409">
        <v>3</v>
      </c>
      <c r="E409">
        <v>3</v>
      </c>
      <c r="F409">
        <v>5</v>
      </c>
      <c r="G409">
        <f t="shared" si="6"/>
        <v>3.75</v>
      </c>
    </row>
    <row r="410" spans="1:7" hidden="1" x14ac:dyDescent="0.35">
      <c r="A410" t="b">
        <f>IF(Bestellungen!J410="Ja",Bestellungen!A410)</f>
        <v>0</v>
      </c>
      <c r="B410" t="b">
        <f>IF(Bestellungen!J410="Ja",Bestellungen!B410)</f>
        <v>0</v>
      </c>
      <c r="C410" t="s">
        <v>51</v>
      </c>
      <c r="D410" t="s">
        <v>51</v>
      </c>
      <c r="E410" t="s">
        <v>51</v>
      </c>
      <c r="F410" t="s">
        <v>51</v>
      </c>
      <c r="G410" t="e">
        <f t="shared" si="6"/>
        <v>#DIV/0!</v>
      </c>
    </row>
    <row r="411" spans="1:7" x14ac:dyDescent="0.35">
      <c r="A411">
        <f>IF(Bestellungen!J411="Ja",Bestellungen!A411)</f>
        <v>8058</v>
      </c>
      <c r="B411">
        <f>IF(Bestellungen!J411="Ja",Bestellungen!B411)</f>
        <v>423</v>
      </c>
      <c r="C411">
        <v>4</v>
      </c>
      <c r="D411">
        <v>5</v>
      </c>
      <c r="E411">
        <v>5</v>
      </c>
      <c r="F411">
        <v>5</v>
      </c>
      <c r="G411">
        <f t="shared" si="6"/>
        <v>4.75</v>
      </c>
    </row>
    <row r="412" spans="1:7" x14ac:dyDescent="0.35">
      <c r="A412">
        <f>IF(Bestellungen!J412="Ja",Bestellungen!A412)</f>
        <v>8059</v>
      </c>
      <c r="B412">
        <f>IF(Bestellungen!J412="Ja",Bestellungen!B412)</f>
        <v>630</v>
      </c>
      <c r="C412">
        <v>5</v>
      </c>
      <c r="D412">
        <v>3</v>
      </c>
      <c r="E412">
        <v>3</v>
      </c>
      <c r="F412">
        <v>4</v>
      </c>
      <c r="G412">
        <f t="shared" si="6"/>
        <v>3.75</v>
      </c>
    </row>
    <row r="413" spans="1:7" hidden="1" x14ac:dyDescent="0.35">
      <c r="A413" t="b">
        <f>IF(Bestellungen!J413="Ja",Bestellungen!A413)</f>
        <v>0</v>
      </c>
      <c r="B413" t="b">
        <f>IF(Bestellungen!J413="Ja",Bestellungen!B413)</f>
        <v>0</v>
      </c>
      <c r="C413" t="s">
        <v>51</v>
      </c>
      <c r="D413" t="s">
        <v>51</v>
      </c>
      <c r="E413" t="s">
        <v>51</v>
      </c>
      <c r="F413" t="s">
        <v>51</v>
      </c>
      <c r="G413" t="e">
        <f t="shared" si="6"/>
        <v>#DIV/0!</v>
      </c>
    </row>
    <row r="414" spans="1:7" x14ac:dyDescent="0.35">
      <c r="A414">
        <f>IF(Bestellungen!J414="Ja",Bestellungen!A414)</f>
        <v>8061</v>
      </c>
      <c r="B414">
        <f>IF(Bestellungen!J414="Ja",Bestellungen!B414)</f>
        <v>432</v>
      </c>
      <c r="C414">
        <v>5</v>
      </c>
      <c r="D414">
        <v>3</v>
      </c>
      <c r="E414">
        <v>4</v>
      </c>
      <c r="F414">
        <v>5</v>
      </c>
      <c r="G414">
        <f t="shared" si="6"/>
        <v>4.25</v>
      </c>
    </row>
    <row r="415" spans="1:7" hidden="1" x14ac:dyDescent="0.35">
      <c r="A415" t="b">
        <f>IF(Bestellungen!J415="Ja",Bestellungen!A415)</f>
        <v>0</v>
      </c>
      <c r="B415" t="b">
        <f>IF(Bestellungen!J415="Ja",Bestellungen!B415)</f>
        <v>0</v>
      </c>
      <c r="C415" t="s">
        <v>51</v>
      </c>
      <c r="D415" t="s">
        <v>51</v>
      </c>
      <c r="E415" t="s">
        <v>51</v>
      </c>
      <c r="F415" t="s">
        <v>51</v>
      </c>
      <c r="G415" t="e">
        <f t="shared" si="6"/>
        <v>#DIV/0!</v>
      </c>
    </row>
    <row r="416" spans="1:7" x14ac:dyDescent="0.35">
      <c r="A416">
        <f>IF(Bestellungen!J416="Ja",Bestellungen!A416)</f>
        <v>8063</v>
      </c>
      <c r="B416">
        <f>IF(Bestellungen!J416="Ja",Bestellungen!B416)</f>
        <v>500</v>
      </c>
      <c r="C416">
        <v>3</v>
      </c>
      <c r="D416">
        <v>5</v>
      </c>
      <c r="E416">
        <v>4</v>
      </c>
      <c r="F416">
        <v>5</v>
      </c>
      <c r="G416">
        <f t="shared" si="6"/>
        <v>4.25</v>
      </c>
    </row>
    <row r="417" spans="1:7" x14ac:dyDescent="0.35">
      <c r="A417">
        <f>IF(Bestellungen!J417="Ja",Bestellungen!A417)</f>
        <v>8064</v>
      </c>
      <c r="B417">
        <f>IF(Bestellungen!J417="Ja",Bestellungen!B417)</f>
        <v>461</v>
      </c>
      <c r="C417">
        <v>5</v>
      </c>
      <c r="D417">
        <v>5</v>
      </c>
      <c r="E417">
        <v>3</v>
      </c>
      <c r="F417">
        <v>4</v>
      </c>
      <c r="G417">
        <f t="shared" si="6"/>
        <v>4.25</v>
      </c>
    </row>
    <row r="418" spans="1:7" x14ac:dyDescent="0.35">
      <c r="A418">
        <f>IF(Bestellungen!J418="Ja",Bestellungen!A418)</f>
        <v>8065</v>
      </c>
      <c r="B418">
        <f>IF(Bestellungen!J418="Ja",Bestellungen!B418)</f>
        <v>88</v>
      </c>
      <c r="C418">
        <v>3</v>
      </c>
      <c r="D418">
        <v>3</v>
      </c>
      <c r="E418">
        <v>5</v>
      </c>
      <c r="F418">
        <v>5</v>
      </c>
      <c r="G418">
        <f t="shared" si="6"/>
        <v>4</v>
      </c>
    </row>
    <row r="419" spans="1:7" hidden="1" x14ac:dyDescent="0.35">
      <c r="A419" t="b">
        <f>IF(Bestellungen!J419="Ja",Bestellungen!A419)</f>
        <v>0</v>
      </c>
      <c r="B419" t="b">
        <f>IF(Bestellungen!J419="Ja",Bestellungen!B419)</f>
        <v>0</v>
      </c>
      <c r="C419" t="s">
        <v>51</v>
      </c>
      <c r="D419" t="s">
        <v>51</v>
      </c>
      <c r="E419" t="s">
        <v>51</v>
      </c>
      <c r="F419" t="s">
        <v>51</v>
      </c>
      <c r="G419" t="e">
        <f t="shared" si="6"/>
        <v>#DIV/0!</v>
      </c>
    </row>
    <row r="420" spans="1:7" hidden="1" x14ac:dyDescent="0.35">
      <c r="A420" t="b">
        <f>IF(Bestellungen!J420="Ja",Bestellungen!A420)</f>
        <v>0</v>
      </c>
      <c r="B420" t="b">
        <f>IF(Bestellungen!J420="Ja",Bestellungen!B420)</f>
        <v>0</v>
      </c>
      <c r="C420" t="s">
        <v>51</v>
      </c>
      <c r="D420" t="s">
        <v>51</v>
      </c>
      <c r="E420" t="s">
        <v>51</v>
      </c>
      <c r="F420" t="s">
        <v>51</v>
      </c>
      <c r="G420" t="e">
        <f t="shared" si="6"/>
        <v>#DIV/0!</v>
      </c>
    </row>
    <row r="421" spans="1:7" hidden="1" x14ac:dyDescent="0.35">
      <c r="A421" t="b">
        <f>IF(Bestellungen!J421="Ja",Bestellungen!A421)</f>
        <v>0</v>
      </c>
      <c r="B421" t="b">
        <f>IF(Bestellungen!J421="Ja",Bestellungen!B421)</f>
        <v>0</v>
      </c>
      <c r="C421" t="s">
        <v>51</v>
      </c>
      <c r="D421" t="s">
        <v>51</v>
      </c>
      <c r="E421" t="s">
        <v>51</v>
      </c>
      <c r="F421" t="s">
        <v>51</v>
      </c>
      <c r="G421" t="e">
        <f t="shared" si="6"/>
        <v>#DIV/0!</v>
      </c>
    </row>
    <row r="422" spans="1:7" hidden="1" x14ac:dyDescent="0.35">
      <c r="A422" t="b">
        <f>IF(Bestellungen!J422="Ja",Bestellungen!A422)</f>
        <v>0</v>
      </c>
      <c r="B422" t="b">
        <f>IF(Bestellungen!J422="Ja",Bestellungen!B422)</f>
        <v>0</v>
      </c>
      <c r="C422" t="s">
        <v>51</v>
      </c>
      <c r="D422" t="s">
        <v>51</v>
      </c>
      <c r="E422" t="s">
        <v>51</v>
      </c>
      <c r="F422" t="s">
        <v>51</v>
      </c>
      <c r="G422" t="e">
        <f t="shared" si="6"/>
        <v>#DIV/0!</v>
      </c>
    </row>
    <row r="423" spans="1:7" x14ac:dyDescent="0.35">
      <c r="A423">
        <f>IF(Bestellungen!J423="Ja",Bestellungen!A423)</f>
        <v>8070</v>
      </c>
      <c r="B423">
        <f>IF(Bestellungen!J423="Ja",Bestellungen!B423)</f>
        <v>682</v>
      </c>
      <c r="C423">
        <v>5</v>
      </c>
      <c r="D423">
        <v>3</v>
      </c>
      <c r="E423">
        <v>5</v>
      </c>
      <c r="F423">
        <v>3</v>
      </c>
      <c r="G423">
        <f t="shared" si="6"/>
        <v>4</v>
      </c>
    </row>
    <row r="424" spans="1:7" x14ac:dyDescent="0.35">
      <c r="A424">
        <f>IF(Bestellungen!J424="Ja",Bestellungen!A424)</f>
        <v>8071</v>
      </c>
      <c r="B424">
        <f>IF(Bestellungen!J424="Ja",Bestellungen!B424)</f>
        <v>661</v>
      </c>
      <c r="C424">
        <v>4</v>
      </c>
      <c r="D424">
        <v>5</v>
      </c>
      <c r="E424">
        <v>3</v>
      </c>
      <c r="F424">
        <v>5</v>
      </c>
      <c r="G424">
        <f t="shared" si="6"/>
        <v>4.25</v>
      </c>
    </row>
    <row r="425" spans="1:7" x14ac:dyDescent="0.35">
      <c r="A425">
        <f>IF(Bestellungen!J425="Ja",Bestellungen!A425)</f>
        <v>8072</v>
      </c>
      <c r="B425">
        <f>IF(Bestellungen!J425="Ja",Bestellungen!B425)</f>
        <v>610</v>
      </c>
      <c r="C425">
        <v>5</v>
      </c>
      <c r="D425">
        <v>3</v>
      </c>
      <c r="E425">
        <v>3</v>
      </c>
      <c r="F425">
        <v>3</v>
      </c>
      <c r="G425">
        <f t="shared" si="6"/>
        <v>3.5</v>
      </c>
    </row>
    <row r="426" spans="1:7" x14ac:dyDescent="0.35">
      <c r="A426">
        <f>IF(Bestellungen!J426="Ja",Bestellungen!A426)</f>
        <v>8073</v>
      </c>
      <c r="B426">
        <f>IF(Bestellungen!J426="Ja",Bestellungen!B426)</f>
        <v>395</v>
      </c>
      <c r="C426">
        <v>3</v>
      </c>
      <c r="D426">
        <v>4</v>
      </c>
      <c r="E426">
        <v>4</v>
      </c>
      <c r="F426">
        <v>3</v>
      </c>
      <c r="G426">
        <f t="shared" si="6"/>
        <v>3.5</v>
      </c>
    </row>
    <row r="427" spans="1:7" x14ac:dyDescent="0.35">
      <c r="A427">
        <f>IF(Bestellungen!J427="Ja",Bestellungen!A427)</f>
        <v>8074</v>
      </c>
      <c r="B427">
        <f>IF(Bestellungen!J427="Ja",Bestellungen!B427)</f>
        <v>174</v>
      </c>
      <c r="C427">
        <v>5</v>
      </c>
      <c r="D427">
        <v>4</v>
      </c>
      <c r="E427">
        <v>4</v>
      </c>
      <c r="F427">
        <v>3</v>
      </c>
      <c r="G427">
        <f t="shared" si="6"/>
        <v>4</v>
      </c>
    </row>
    <row r="428" spans="1:7" hidden="1" x14ac:dyDescent="0.35">
      <c r="A428" t="b">
        <f>IF(Bestellungen!J428="Ja",Bestellungen!A428)</f>
        <v>0</v>
      </c>
      <c r="B428" t="b">
        <f>IF(Bestellungen!J428="Ja",Bestellungen!B428)</f>
        <v>0</v>
      </c>
      <c r="C428" t="s">
        <v>51</v>
      </c>
      <c r="D428" t="s">
        <v>51</v>
      </c>
      <c r="E428" t="s">
        <v>51</v>
      </c>
      <c r="F428" t="s">
        <v>51</v>
      </c>
      <c r="G428" t="e">
        <f t="shared" si="6"/>
        <v>#DIV/0!</v>
      </c>
    </row>
    <row r="429" spans="1:7" x14ac:dyDescent="0.35">
      <c r="A429">
        <f>IF(Bestellungen!J429="Ja",Bestellungen!A429)</f>
        <v>8076</v>
      </c>
      <c r="B429">
        <f>IF(Bestellungen!J429="Ja",Bestellungen!B429)</f>
        <v>663</v>
      </c>
      <c r="C429">
        <v>3</v>
      </c>
      <c r="D429">
        <v>3</v>
      </c>
      <c r="E429">
        <v>4</v>
      </c>
      <c r="F429">
        <v>3</v>
      </c>
      <c r="G429">
        <f t="shared" si="6"/>
        <v>3.25</v>
      </c>
    </row>
    <row r="430" spans="1:7" x14ac:dyDescent="0.35">
      <c r="A430">
        <f>IF(Bestellungen!J430="Ja",Bestellungen!A430)</f>
        <v>8077</v>
      </c>
      <c r="B430">
        <f>IF(Bestellungen!J430="Ja",Bestellungen!B430)</f>
        <v>556</v>
      </c>
      <c r="C430">
        <v>3</v>
      </c>
      <c r="D430">
        <v>3</v>
      </c>
      <c r="E430">
        <v>5</v>
      </c>
      <c r="F430">
        <v>5</v>
      </c>
      <c r="G430">
        <f t="shared" si="6"/>
        <v>4</v>
      </c>
    </row>
    <row r="431" spans="1:7" hidden="1" x14ac:dyDescent="0.35">
      <c r="A431" t="b">
        <f>IF(Bestellungen!J431="Ja",Bestellungen!A431)</f>
        <v>0</v>
      </c>
      <c r="B431" t="b">
        <f>IF(Bestellungen!J431="Ja",Bestellungen!B431)</f>
        <v>0</v>
      </c>
      <c r="C431" t="s">
        <v>51</v>
      </c>
      <c r="D431" t="s">
        <v>51</v>
      </c>
      <c r="E431" t="s">
        <v>51</v>
      </c>
      <c r="F431" t="s">
        <v>51</v>
      </c>
      <c r="G431" t="e">
        <f t="shared" si="6"/>
        <v>#DIV/0!</v>
      </c>
    </row>
    <row r="432" spans="1:7" x14ac:dyDescent="0.35">
      <c r="A432">
        <f>IF(Bestellungen!J432="Ja",Bestellungen!A432)</f>
        <v>8079</v>
      </c>
      <c r="B432">
        <f>IF(Bestellungen!J432="Ja",Bestellungen!B432)</f>
        <v>491</v>
      </c>
      <c r="C432">
        <v>5</v>
      </c>
      <c r="D432">
        <v>3</v>
      </c>
      <c r="E432">
        <v>5</v>
      </c>
      <c r="F432">
        <v>4</v>
      </c>
      <c r="G432">
        <f t="shared" si="6"/>
        <v>4.25</v>
      </c>
    </row>
    <row r="433" spans="1:7" x14ac:dyDescent="0.35">
      <c r="A433">
        <f>IF(Bestellungen!J433="Ja",Bestellungen!A433)</f>
        <v>8080</v>
      </c>
      <c r="B433">
        <f>IF(Bestellungen!J433="Ja",Bestellungen!B433)</f>
        <v>594</v>
      </c>
      <c r="C433">
        <v>5</v>
      </c>
      <c r="D433">
        <v>3</v>
      </c>
      <c r="E433">
        <v>3</v>
      </c>
      <c r="F433">
        <v>4</v>
      </c>
      <c r="G433">
        <f t="shared" si="6"/>
        <v>3.75</v>
      </c>
    </row>
    <row r="434" spans="1:7" hidden="1" x14ac:dyDescent="0.35">
      <c r="A434" t="b">
        <f>IF(Bestellungen!J434="Ja",Bestellungen!A434)</f>
        <v>0</v>
      </c>
      <c r="B434" t="b">
        <f>IF(Bestellungen!J434="Ja",Bestellungen!B434)</f>
        <v>0</v>
      </c>
      <c r="C434" t="s">
        <v>51</v>
      </c>
      <c r="D434" t="s">
        <v>51</v>
      </c>
      <c r="E434" t="s">
        <v>51</v>
      </c>
      <c r="F434" t="s">
        <v>51</v>
      </c>
      <c r="G434" t="e">
        <f t="shared" si="6"/>
        <v>#DIV/0!</v>
      </c>
    </row>
    <row r="435" spans="1:7" hidden="1" x14ac:dyDescent="0.35">
      <c r="A435" t="b">
        <f>IF(Bestellungen!J435="Ja",Bestellungen!A435)</f>
        <v>0</v>
      </c>
      <c r="B435" t="b">
        <f>IF(Bestellungen!J435="Ja",Bestellungen!B435)</f>
        <v>0</v>
      </c>
      <c r="C435" t="s">
        <v>51</v>
      </c>
      <c r="D435" t="s">
        <v>51</v>
      </c>
      <c r="E435" t="s">
        <v>51</v>
      </c>
      <c r="F435" t="s">
        <v>51</v>
      </c>
      <c r="G435" t="e">
        <f t="shared" si="6"/>
        <v>#DIV/0!</v>
      </c>
    </row>
    <row r="436" spans="1:7" hidden="1" x14ac:dyDescent="0.35">
      <c r="A436" t="b">
        <f>IF(Bestellungen!J436="Ja",Bestellungen!A436)</f>
        <v>0</v>
      </c>
      <c r="B436" t="b">
        <f>IF(Bestellungen!J436="Ja",Bestellungen!B436)</f>
        <v>0</v>
      </c>
      <c r="C436" t="s">
        <v>51</v>
      </c>
      <c r="D436" t="s">
        <v>51</v>
      </c>
      <c r="E436" t="s">
        <v>51</v>
      </c>
      <c r="F436" t="s">
        <v>51</v>
      </c>
      <c r="G436" t="e">
        <f t="shared" si="6"/>
        <v>#DIV/0!</v>
      </c>
    </row>
    <row r="437" spans="1:7" hidden="1" x14ac:dyDescent="0.35">
      <c r="A437" t="b">
        <f>IF(Bestellungen!J437="Ja",Bestellungen!A437)</f>
        <v>0</v>
      </c>
      <c r="B437" t="b">
        <f>IF(Bestellungen!J437="Ja",Bestellungen!B437)</f>
        <v>0</v>
      </c>
      <c r="C437" t="s">
        <v>51</v>
      </c>
      <c r="D437" t="s">
        <v>51</v>
      </c>
      <c r="E437" t="s">
        <v>51</v>
      </c>
      <c r="F437" t="s">
        <v>51</v>
      </c>
      <c r="G437" t="e">
        <f t="shared" si="6"/>
        <v>#DIV/0!</v>
      </c>
    </row>
    <row r="438" spans="1:7" x14ac:dyDescent="0.35">
      <c r="A438">
        <f>IF(Bestellungen!J438="Ja",Bestellungen!A438)</f>
        <v>8085</v>
      </c>
      <c r="B438">
        <f>IF(Bestellungen!J438="Ja",Bestellungen!B438)</f>
        <v>714</v>
      </c>
      <c r="C438">
        <v>4</v>
      </c>
      <c r="D438">
        <v>3</v>
      </c>
      <c r="E438">
        <v>4</v>
      </c>
      <c r="F438">
        <v>5</v>
      </c>
      <c r="G438">
        <f t="shared" si="6"/>
        <v>4</v>
      </c>
    </row>
    <row r="439" spans="1:7" hidden="1" x14ac:dyDescent="0.35">
      <c r="A439" t="b">
        <f>IF(Bestellungen!J439="Ja",Bestellungen!A439)</f>
        <v>0</v>
      </c>
      <c r="B439" t="b">
        <f>IF(Bestellungen!J439="Ja",Bestellungen!B439)</f>
        <v>0</v>
      </c>
      <c r="C439" t="s">
        <v>51</v>
      </c>
      <c r="D439" t="s">
        <v>51</v>
      </c>
      <c r="E439" t="s">
        <v>51</v>
      </c>
      <c r="F439" t="s">
        <v>51</v>
      </c>
      <c r="G439" t="e">
        <f t="shared" si="6"/>
        <v>#DIV/0!</v>
      </c>
    </row>
    <row r="440" spans="1:7" x14ac:dyDescent="0.35">
      <c r="A440">
        <f>IF(Bestellungen!J440="Ja",Bestellungen!A440)</f>
        <v>8087</v>
      </c>
      <c r="B440">
        <f>IF(Bestellungen!J440="Ja",Bestellungen!B440)</f>
        <v>362</v>
      </c>
      <c r="C440">
        <v>3</v>
      </c>
      <c r="D440">
        <v>3</v>
      </c>
      <c r="E440">
        <v>3</v>
      </c>
      <c r="F440">
        <v>5</v>
      </c>
      <c r="G440">
        <f t="shared" si="6"/>
        <v>3.5</v>
      </c>
    </row>
    <row r="441" spans="1:7" x14ac:dyDescent="0.35">
      <c r="A441">
        <f>IF(Bestellungen!J441="Ja",Bestellungen!A441)</f>
        <v>8088</v>
      </c>
      <c r="B441">
        <f>IF(Bestellungen!J441="Ja",Bestellungen!B441)</f>
        <v>719</v>
      </c>
      <c r="C441">
        <v>3</v>
      </c>
      <c r="D441">
        <v>3</v>
      </c>
      <c r="E441">
        <v>4</v>
      </c>
      <c r="F441">
        <v>3</v>
      </c>
      <c r="G441">
        <f t="shared" si="6"/>
        <v>3.25</v>
      </c>
    </row>
    <row r="442" spans="1:7" x14ac:dyDescent="0.35">
      <c r="A442">
        <f>IF(Bestellungen!J442="Ja",Bestellungen!A442)</f>
        <v>8089</v>
      </c>
      <c r="B442">
        <f>IF(Bestellungen!J442="Ja",Bestellungen!B442)</f>
        <v>611</v>
      </c>
      <c r="C442">
        <v>3</v>
      </c>
      <c r="D442">
        <v>5</v>
      </c>
      <c r="E442">
        <v>5</v>
      </c>
      <c r="F442">
        <v>4</v>
      </c>
      <c r="G442">
        <f t="shared" si="6"/>
        <v>4.25</v>
      </c>
    </row>
    <row r="443" spans="1:7" hidden="1" x14ac:dyDescent="0.35">
      <c r="A443" t="b">
        <f>IF(Bestellungen!J443="Ja",Bestellungen!A443)</f>
        <v>0</v>
      </c>
      <c r="B443" t="b">
        <f>IF(Bestellungen!J443="Ja",Bestellungen!B443)</f>
        <v>0</v>
      </c>
      <c r="C443" t="s">
        <v>51</v>
      </c>
      <c r="D443" t="s">
        <v>51</v>
      </c>
      <c r="E443" t="s">
        <v>51</v>
      </c>
      <c r="F443" t="s">
        <v>51</v>
      </c>
      <c r="G443" t="e">
        <f t="shared" si="6"/>
        <v>#DIV/0!</v>
      </c>
    </row>
    <row r="444" spans="1:7" x14ac:dyDescent="0.35">
      <c r="A444">
        <f>IF(Bestellungen!J444="Ja",Bestellungen!A444)</f>
        <v>8091</v>
      </c>
      <c r="B444">
        <f>IF(Bestellungen!J444="Ja",Bestellungen!B444)</f>
        <v>411</v>
      </c>
      <c r="C444">
        <v>4</v>
      </c>
      <c r="D444">
        <v>4</v>
      </c>
      <c r="E444">
        <v>4</v>
      </c>
      <c r="F444">
        <v>3</v>
      </c>
      <c r="G444">
        <f t="shared" si="6"/>
        <v>3.75</v>
      </c>
    </row>
    <row r="445" spans="1:7" x14ac:dyDescent="0.35">
      <c r="A445">
        <f>IF(Bestellungen!J445="Ja",Bestellungen!A445)</f>
        <v>8092</v>
      </c>
      <c r="B445">
        <f>IF(Bestellungen!J445="Ja",Bestellungen!B445)</f>
        <v>385</v>
      </c>
      <c r="C445">
        <v>3</v>
      </c>
      <c r="D445">
        <v>4</v>
      </c>
      <c r="E445">
        <v>3</v>
      </c>
      <c r="F445">
        <v>4</v>
      </c>
      <c r="G445">
        <f t="shared" si="6"/>
        <v>3.5</v>
      </c>
    </row>
    <row r="446" spans="1:7" hidden="1" x14ac:dyDescent="0.35">
      <c r="A446" t="b">
        <f>IF(Bestellungen!J446="Ja",Bestellungen!A446)</f>
        <v>0</v>
      </c>
      <c r="B446" t="b">
        <f>IF(Bestellungen!J446="Ja",Bestellungen!B446)</f>
        <v>0</v>
      </c>
      <c r="C446" t="s">
        <v>51</v>
      </c>
      <c r="D446" t="s">
        <v>51</v>
      </c>
      <c r="E446" t="s">
        <v>51</v>
      </c>
      <c r="F446" t="s">
        <v>51</v>
      </c>
      <c r="G446" t="e">
        <f t="shared" si="6"/>
        <v>#DIV/0!</v>
      </c>
    </row>
    <row r="447" spans="1:7" hidden="1" x14ac:dyDescent="0.35">
      <c r="A447" t="b">
        <f>IF(Bestellungen!J447="Ja",Bestellungen!A447)</f>
        <v>0</v>
      </c>
      <c r="B447" t="b">
        <f>IF(Bestellungen!J447="Ja",Bestellungen!B447)</f>
        <v>0</v>
      </c>
      <c r="C447" t="s">
        <v>51</v>
      </c>
      <c r="D447" t="s">
        <v>51</v>
      </c>
      <c r="E447" t="s">
        <v>51</v>
      </c>
      <c r="F447" t="s">
        <v>51</v>
      </c>
      <c r="G447" t="e">
        <f t="shared" si="6"/>
        <v>#DIV/0!</v>
      </c>
    </row>
    <row r="448" spans="1:7" hidden="1" x14ac:dyDescent="0.35">
      <c r="A448" t="b">
        <f>IF(Bestellungen!J448="Ja",Bestellungen!A448)</f>
        <v>0</v>
      </c>
      <c r="B448" t="b">
        <f>IF(Bestellungen!J448="Ja",Bestellungen!B448)</f>
        <v>0</v>
      </c>
      <c r="C448" t="s">
        <v>51</v>
      </c>
      <c r="D448" t="s">
        <v>51</v>
      </c>
      <c r="E448" t="s">
        <v>51</v>
      </c>
      <c r="F448" t="s">
        <v>51</v>
      </c>
      <c r="G448" t="e">
        <f t="shared" si="6"/>
        <v>#DIV/0!</v>
      </c>
    </row>
    <row r="449" spans="1:7" x14ac:dyDescent="0.35">
      <c r="A449">
        <f>IF(Bestellungen!J449="Ja",Bestellungen!A449)</f>
        <v>8096</v>
      </c>
      <c r="B449">
        <f>IF(Bestellungen!J449="Ja",Bestellungen!B449)</f>
        <v>522</v>
      </c>
      <c r="C449">
        <v>4</v>
      </c>
      <c r="D449">
        <v>3</v>
      </c>
      <c r="E449">
        <v>3</v>
      </c>
      <c r="F449">
        <v>5</v>
      </c>
      <c r="G449">
        <f t="shared" si="6"/>
        <v>3.75</v>
      </c>
    </row>
    <row r="450" spans="1:7" hidden="1" x14ac:dyDescent="0.35">
      <c r="A450" t="b">
        <f>IF(Bestellungen!J450="Ja",Bestellungen!A450)</f>
        <v>0</v>
      </c>
      <c r="B450" t="b">
        <f>IF(Bestellungen!J450="Ja",Bestellungen!B450)</f>
        <v>0</v>
      </c>
      <c r="C450" t="s">
        <v>51</v>
      </c>
      <c r="D450" t="s">
        <v>51</v>
      </c>
      <c r="E450" t="s">
        <v>51</v>
      </c>
      <c r="F450" t="s">
        <v>51</v>
      </c>
      <c r="G450" t="e">
        <f t="shared" si="6"/>
        <v>#DIV/0!</v>
      </c>
    </row>
    <row r="451" spans="1:7" hidden="1" x14ac:dyDescent="0.35">
      <c r="A451" t="b">
        <f>IF(Bestellungen!J451="Ja",Bestellungen!A451)</f>
        <v>0</v>
      </c>
      <c r="B451" t="b">
        <f>IF(Bestellungen!J451="Ja",Bestellungen!B451)</f>
        <v>0</v>
      </c>
      <c r="C451" t="s">
        <v>51</v>
      </c>
      <c r="D451" t="s">
        <v>51</v>
      </c>
      <c r="E451" t="s">
        <v>51</v>
      </c>
      <c r="F451" t="s">
        <v>51</v>
      </c>
      <c r="G451" t="e">
        <f t="shared" ref="G451:G514" si="7">SUM(C451:F451)/COUNT(C451:F451)</f>
        <v>#DIV/0!</v>
      </c>
    </row>
    <row r="452" spans="1:7" x14ac:dyDescent="0.35">
      <c r="A452">
        <f>IF(Bestellungen!J452="Ja",Bestellungen!A452)</f>
        <v>8099</v>
      </c>
      <c r="B452">
        <f>IF(Bestellungen!J452="Ja",Bestellungen!B452)</f>
        <v>136</v>
      </c>
      <c r="C452">
        <v>3</v>
      </c>
      <c r="D452">
        <v>4</v>
      </c>
      <c r="E452">
        <v>3</v>
      </c>
      <c r="F452">
        <v>4</v>
      </c>
      <c r="G452">
        <f t="shared" si="7"/>
        <v>3.5</v>
      </c>
    </row>
    <row r="453" spans="1:7" hidden="1" x14ac:dyDescent="0.35">
      <c r="A453" t="b">
        <f>IF(Bestellungen!J453="Ja",Bestellungen!A453)</f>
        <v>0</v>
      </c>
      <c r="B453" t="b">
        <f>IF(Bestellungen!J453="Ja",Bestellungen!B453)</f>
        <v>0</v>
      </c>
      <c r="C453" t="s">
        <v>51</v>
      </c>
      <c r="D453" t="s">
        <v>51</v>
      </c>
      <c r="E453" t="s">
        <v>51</v>
      </c>
      <c r="F453" t="s">
        <v>51</v>
      </c>
      <c r="G453" t="e">
        <f t="shared" si="7"/>
        <v>#DIV/0!</v>
      </c>
    </row>
    <row r="454" spans="1:7" x14ac:dyDescent="0.35">
      <c r="A454">
        <f>IF(Bestellungen!J454="Ja",Bestellungen!A454)</f>
        <v>8101</v>
      </c>
      <c r="B454">
        <f>IF(Bestellungen!J454="Ja",Bestellungen!B454)</f>
        <v>451</v>
      </c>
      <c r="C454">
        <v>4</v>
      </c>
      <c r="D454">
        <v>5</v>
      </c>
      <c r="E454">
        <v>3</v>
      </c>
      <c r="F454">
        <v>4</v>
      </c>
      <c r="G454">
        <f t="shared" si="7"/>
        <v>4</v>
      </c>
    </row>
    <row r="455" spans="1:7" hidden="1" x14ac:dyDescent="0.35">
      <c r="A455" t="b">
        <f>IF(Bestellungen!J455="Ja",Bestellungen!A455)</f>
        <v>0</v>
      </c>
      <c r="B455" t="b">
        <f>IF(Bestellungen!J455="Ja",Bestellungen!B455)</f>
        <v>0</v>
      </c>
      <c r="C455" t="s">
        <v>51</v>
      </c>
      <c r="D455" t="s">
        <v>51</v>
      </c>
      <c r="E455" t="s">
        <v>51</v>
      </c>
      <c r="F455" t="s">
        <v>51</v>
      </c>
      <c r="G455" t="e">
        <f t="shared" si="7"/>
        <v>#DIV/0!</v>
      </c>
    </row>
    <row r="456" spans="1:7" x14ac:dyDescent="0.35">
      <c r="A456">
        <f>IF(Bestellungen!J456="Ja",Bestellungen!A456)</f>
        <v>8103</v>
      </c>
      <c r="B456">
        <f>IF(Bestellungen!J456="Ja",Bestellungen!B456)</f>
        <v>755</v>
      </c>
      <c r="C456">
        <v>4</v>
      </c>
      <c r="D456">
        <v>4</v>
      </c>
      <c r="E456">
        <v>4</v>
      </c>
      <c r="F456">
        <v>5</v>
      </c>
      <c r="G456">
        <f t="shared" si="7"/>
        <v>4.25</v>
      </c>
    </row>
    <row r="457" spans="1:7" hidden="1" x14ac:dyDescent="0.35">
      <c r="A457" t="b">
        <f>IF(Bestellungen!J457="Ja",Bestellungen!A457)</f>
        <v>0</v>
      </c>
      <c r="B457" t="b">
        <f>IF(Bestellungen!J457="Ja",Bestellungen!B457)</f>
        <v>0</v>
      </c>
      <c r="C457" t="s">
        <v>51</v>
      </c>
      <c r="D457" t="s">
        <v>51</v>
      </c>
      <c r="E457" t="s">
        <v>51</v>
      </c>
      <c r="F457" t="s">
        <v>51</v>
      </c>
      <c r="G457" t="e">
        <f t="shared" si="7"/>
        <v>#DIV/0!</v>
      </c>
    </row>
    <row r="458" spans="1:7" x14ac:dyDescent="0.35">
      <c r="A458">
        <f>IF(Bestellungen!J458="Ja",Bestellungen!A458)</f>
        <v>8105</v>
      </c>
      <c r="B458">
        <f>IF(Bestellungen!J458="Ja",Bestellungen!B458)</f>
        <v>537</v>
      </c>
      <c r="C458">
        <v>3</v>
      </c>
      <c r="D458">
        <v>5</v>
      </c>
      <c r="E458">
        <v>4</v>
      </c>
      <c r="F458">
        <v>3</v>
      </c>
      <c r="G458">
        <f t="shared" si="7"/>
        <v>3.75</v>
      </c>
    </row>
    <row r="459" spans="1:7" x14ac:dyDescent="0.35">
      <c r="A459">
        <f>IF(Bestellungen!J459="Ja",Bestellungen!A459)</f>
        <v>8106</v>
      </c>
      <c r="B459">
        <f>IF(Bestellungen!J459="Ja",Bestellungen!B459)</f>
        <v>688</v>
      </c>
      <c r="C459">
        <v>4</v>
      </c>
      <c r="D459">
        <v>3</v>
      </c>
      <c r="E459">
        <v>3</v>
      </c>
      <c r="F459">
        <v>5</v>
      </c>
      <c r="G459">
        <f t="shared" si="7"/>
        <v>3.75</v>
      </c>
    </row>
    <row r="460" spans="1:7" x14ac:dyDescent="0.35">
      <c r="A460">
        <f>IF(Bestellungen!J460="Ja",Bestellungen!A460)</f>
        <v>8107</v>
      </c>
      <c r="B460">
        <f>IF(Bestellungen!J460="Ja",Bestellungen!B460)</f>
        <v>82</v>
      </c>
      <c r="C460">
        <v>3</v>
      </c>
      <c r="D460">
        <v>5</v>
      </c>
      <c r="E460">
        <v>4</v>
      </c>
      <c r="F460">
        <v>3</v>
      </c>
      <c r="G460">
        <f t="shared" si="7"/>
        <v>3.75</v>
      </c>
    </row>
    <row r="461" spans="1:7" x14ac:dyDescent="0.35">
      <c r="A461">
        <f>IF(Bestellungen!J461="Ja",Bestellungen!A461)</f>
        <v>8108</v>
      </c>
      <c r="B461">
        <f>IF(Bestellungen!J461="Ja",Bestellungen!B461)</f>
        <v>306</v>
      </c>
      <c r="C461">
        <v>3</v>
      </c>
      <c r="D461">
        <v>3</v>
      </c>
      <c r="E461">
        <v>4</v>
      </c>
      <c r="F461">
        <v>5</v>
      </c>
      <c r="G461">
        <f t="shared" si="7"/>
        <v>3.75</v>
      </c>
    </row>
    <row r="462" spans="1:7" x14ac:dyDescent="0.35">
      <c r="A462">
        <f>IF(Bestellungen!J462="Ja",Bestellungen!A462)</f>
        <v>8109</v>
      </c>
      <c r="B462">
        <f>IF(Bestellungen!J462="Ja",Bestellungen!B462)</f>
        <v>667</v>
      </c>
      <c r="C462">
        <v>5</v>
      </c>
      <c r="D462">
        <v>5</v>
      </c>
      <c r="E462">
        <v>5</v>
      </c>
      <c r="F462">
        <v>3</v>
      </c>
      <c r="G462">
        <f t="shared" si="7"/>
        <v>4.5</v>
      </c>
    </row>
    <row r="463" spans="1:7" hidden="1" x14ac:dyDescent="0.35">
      <c r="A463" t="b">
        <f>IF(Bestellungen!J463="Ja",Bestellungen!A463)</f>
        <v>0</v>
      </c>
      <c r="B463" t="b">
        <f>IF(Bestellungen!J463="Ja",Bestellungen!B463)</f>
        <v>0</v>
      </c>
      <c r="C463" t="s">
        <v>51</v>
      </c>
      <c r="D463" t="s">
        <v>51</v>
      </c>
      <c r="E463" t="s">
        <v>51</v>
      </c>
      <c r="F463" t="s">
        <v>51</v>
      </c>
      <c r="G463" t="e">
        <f t="shared" si="7"/>
        <v>#DIV/0!</v>
      </c>
    </row>
    <row r="464" spans="1:7" x14ac:dyDescent="0.35">
      <c r="A464">
        <f>IF(Bestellungen!J464="Ja",Bestellungen!A464)</f>
        <v>8111</v>
      </c>
      <c r="B464">
        <f>IF(Bestellungen!J464="Ja",Bestellungen!B464)</f>
        <v>111</v>
      </c>
      <c r="C464">
        <v>4</v>
      </c>
      <c r="D464">
        <v>5</v>
      </c>
      <c r="E464">
        <v>4</v>
      </c>
      <c r="F464">
        <v>5</v>
      </c>
      <c r="G464">
        <f t="shared" si="7"/>
        <v>4.5</v>
      </c>
    </row>
    <row r="465" spans="1:7" hidden="1" x14ac:dyDescent="0.35">
      <c r="A465" t="b">
        <f>IF(Bestellungen!J465="Ja",Bestellungen!A465)</f>
        <v>0</v>
      </c>
      <c r="B465" t="b">
        <f>IF(Bestellungen!J465="Ja",Bestellungen!B465)</f>
        <v>0</v>
      </c>
      <c r="C465" t="s">
        <v>51</v>
      </c>
      <c r="D465" t="s">
        <v>51</v>
      </c>
      <c r="E465" t="s">
        <v>51</v>
      </c>
      <c r="F465" t="s">
        <v>51</v>
      </c>
      <c r="G465" t="e">
        <f t="shared" si="7"/>
        <v>#DIV/0!</v>
      </c>
    </row>
    <row r="466" spans="1:7" x14ac:dyDescent="0.35">
      <c r="A466">
        <f>IF(Bestellungen!J466="Ja",Bestellungen!A466)</f>
        <v>8113</v>
      </c>
      <c r="B466">
        <f>IF(Bestellungen!J466="Ja",Bestellungen!B466)</f>
        <v>716</v>
      </c>
      <c r="C466">
        <v>4</v>
      </c>
      <c r="D466">
        <v>5</v>
      </c>
      <c r="E466">
        <v>5</v>
      </c>
      <c r="F466">
        <v>3</v>
      </c>
      <c r="G466">
        <f t="shared" si="7"/>
        <v>4.25</v>
      </c>
    </row>
    <row r="467" spans="1:7" x14ac:dyDescent="0.35">
      <c r="A467">
        <f>IF(Bestellungen!J467="Ja",Bestellungen!A467)</f>
        <v>8114</v>
      </c>
      <c r="B467">
        <f>IF(Bestellungen!J467="Ja",Bestellungen!B467)</f>
        <v>738</v>
      </c>
      <c r="C467">
        <v>5</v>
      </c>
      <c r="D467">
        <v>3</v>
      </c>
      <c r="E467">
        <v>4</v>
      </c>
      <c r="F467">
        <v>3</v>
      </c>
      <c r="G467">
        <f t="shared" si="7"/>
        <v>3.75</v>
      </c>
    </row>
    <row r="468" spans="1:7" x14ac:dyDescent="0.35">
      <c r="A468">
        <f>IF(Bestellungen!J468="Ja",Bestellungen!A468)</f>
        <v>8115</v>
      </c>
      <c r="B468">
        <f>IF(Bestellungen!J468="Ja",Bestellungen!B468)</f>
        <v>184</v>
      </c>
      <c r="C468">
        <v>5</v>
      </c>
      <c r="D468">
        <v>5</v>
      </c>
      <c r="E468">
        <v>3</v>
      </c>
      <c r="F468">
        <v>5</v>
      </c>
      <c r="G468">
        <f t="shared" si="7"/>
        <v>4.5</v>
      </c>
    </row>
    <row r="469" spans="1:7" hidden="1" x14ac:dyDescent="0.35">
      <c r="A469" t="b">
        <f>IF(Bestellungen!J469="Ja",Bestellungen!A469)</f>
        <v>0</v>
      </c>
      <c r="B469" t="b">
        <f>IF(Bestellungen!J469="Ja",Bestellungen!B469)</f>
        <v>0</v>
      </c>
      <c r="C469" t="s">
        <v>51</v>
      </c>
      <c r="D469" t="s">
        <v>51</v>
      </c>
      <c r="E469" t="s">
        <v>51</v>
      </c>
      <c r="F469" t="s">
        <v>51</v>
      </c>
      <c r="G469" t="e">
        <f t="shared" si="7"/>
        <v>#DIV/0!</v>
      </c>
    </row>
    <row r="470" spans="1:7" x14ac:dyDescent="0.35">
      <c r="A470">
        <f>IF(Bestellungen!J470="Ja",Bestellungen!A470)</f>
        <v>8117</v>
      </c>
      <c r="B470">
        <f>IF(Bestellungen!J470="Ja",Bestellungen!B470)</f>
        <v>728</v>
      </c>
      <c r="C470">
        <v>5</v>
      </c>
      <c r="D470">
        <v>4</v>
      </c>
      <c r="E470">
        <v>4</v>
      </c>
      <c r="F470">
        <v>3</v>
      </c>
      <c r="G470">
        <f t="shared" si="7"/>
        <v>4</v>
      </c>
    </row>
    <row r="471" spans="1:7" x14ac:dyDescent="0.35">
      <c r="A471">
        <f>IF(Bestellungen!J471="Ja",Bestellungen!A471)</f>
        <v>8118</v>
      </c>
      <c r="B471">
        <f>IF(Bestellungen!J471="Ja",Bestellungen!B471)</f>
        <v>642</v>
      </c>
      <c r="C471">
        <v>3</v>
      </c>
      <c r="D471">
        <v>5</v>
      </c>
      <c r="E471">
        <v>5</v>
      </c>
      <c r="F471">
        <v>5</v>
      </c>
      <c r="G471">
        <f t="shared" si="7"/>
        <v>4.5</v>
      </c>
    </row>
    <row r="472" spans="1:7" hidden="1" x14ac:dyDescent="0.35">
      <c r="A472" t="b">
        <f>IF(Bestellungen!J472="Ja",Bestellungen!A472)</f>
        <v>0</v>
      </c>
      <c r="B472" t="b">
        <f>IF(Bestellungen!J472="Ja",Bestellungen!B472)</f>
        <v>0</v>
      </c>
      <c r="C472" t="s">
        <v>51</v>
      </c>
      <c r="D472" t="s">
        <v>51</v>
      </c>
      <c r="E472" t="s">
        <v>51</v>
      </c>
      <c r="F472" t="s">
        <v>51</v>
      </c>
      <c r="G472" t="e">
        <f t="shared" si="7"/>
        <v>#DIV/0!</v>
      </c>
    </row>
    <row r="473" spans="1:7" x14ac:dyDescent="0.35">
      <c r="A473">
        <f>IF(Bestellungen!J473="Ja",Bestellungen!A473)</f>
        <v>8120</v>
      </c>
      <c r="B473">
        <f>IF(Bestellungen!J473="Ja",Bestellungen!B473)</f>
        <v>552</v>
      </c>
      <c r="C473">
        <v>3</v>
      </c>
      <c r="D473">
        <v>4</v>
      </c>
      <c r="E473">
        <v>3</v>
      </c>
      <c r="F473">
        <v>5</v>
      </c>
      <c r="G473">
        <f t="shared" si="7"/>
        <v>3.75</v>
      </c>
    </row>
    <row r="474" spans="1:7" hidden="1" x14ac:dyDescent="0.35">
      <c r="A474" t="b">
        <f>IF(Bestellungen!J474="Ja",Bestellungen!A474)</f>
        <v>0</v>
      </c>
      <c r="B474" t="b">
        <f>IF(Bestellungen!J474="Ja",Bestellungen!B474)</f>
        <v>0</v>
      </c>
      <c r="C474" t="s">
        <v>51</v>
      </c>
      <c r="D474" t="s">
        <v>51</v>
      </c>
      <c r="E474" t="s">
        <v>51</v>
      </c>
      <c r="F474" t="s">
        <v>51</v>
      </c>
      <c r="G474" t="e">
        <f t="shared" si="7"/>
        <v>#DIV/0!</v>
      </c>
    </row>
    <row r="475" spans="1:7" hidden="1" x14ac:dyDescent="0.35">
      <c r="A475" t="b">
        <f>IF(Bestellungen!J475="Ja",Bestellungen!A475)</f>
        <v>0</v>
      </c>
      <c r="B475" t="b">
        <f>IF(Bestellungen!J475="Ja",Bestellungen!B475)</f>
        <v>0</v>
      </c>
      <c r="C475" t="s">
        <v>51</v>
      </c>
      <c r="D475" t="s">
        <v>51</v>
      </c>
      <c r="E475" t="s">
        <v>51</v>
      </c>
      <c r="F475" t="s">
        <v>51</v>
      </c>
      <c r="G475" t="e">
        <f t="shared" si="7"/>
        <v>#DIV/0!</v>
      </c>
    </row>
    <row r="476" spans="1:7" hidden="1" x14ac:dyDescent="0.35">
      <c r="A476" t="b">
        <f>IF(Bestellungen!J476="Ja",Bestellungen!A476)</f>
        <v>0</v>
      </c>
      <c r="B476" t="b">
        <f>IF(Bestellungen!J476="Ja",Bestellungen!B476)</f>
        <v>0</v>
      </c>
      <c r="C476" t="s">
        <v>51</v>
      </c>
      <c r="D476" t="s">
        <v>51</v>
      </c>
      <c r="E476" t="s">
        <v>51</v>
      </c>
      <c r="F476" t="s">
        <v>51</v>
      </c>
      <c r="G476" t="e">
        <f t="shared" si="7"/>
        <v>#DIV/0!</v>
      </c>
    </row>
    <row r="477" spans="1:7" hidden="1" x14ac:dyDescent="0.35">
      <c r="A477" t="b">
        <f>IF(Bestellungen!J477="Ja",Bestellungen!A477)</f>
        <v>0</v>
      </c>
      <c r="B477" t="b">
        <f>IF(Bestellungen!J477="Ja",Bestellungen!B477)</f>
        <v>0</v>
      </c>
      <c r="C477" t="s">
        <v>51</v>
      </c>
      <c r="D477" t="s">
        <v>51</v>
      </c>
      <c r="E477" t="s">
        <v>51</v>
      </c>
      <c r="F477" t="s">
        <v>51</v>
      </c>
      <c r="G477" t="e">
        <f t="shared" si="7"/>
        <v>#DIV/0!</v>
      </c>
    </row>
    <row r="478" spans="1:7" x14ac:dyDescent="0.35">
      <c r="A478">
        <f>IF(Bestellungen!J478="Ja",Bestellungen!A478)</f>
        <v>8125</v>
      </c>
      <c r="B478">
        <f>IF(Bestellungen!J478="Ja",Bestellungen!B478)</f>
        <v>793</v>
      </c>
      <c r="C478">
        <v>3</v>
      </c>
      <c r="D478">
        <v>4</v>
      </c>
      <c r="E478">
        <v>4</v>
      </c>
      <c r="F478">
        <v>3</v>
      </c>
      <c r="G478">
        <f t="shared" si="7"/>
        <v>3.5</v>
      </c>
    </row>
    <row r="479" spans="1:7" x14ac:dyDescent="0.35">
      <c r="A479">
        <f>IF(Bestellungen!J479="Ja",Bestellungen!A479)</f>
        <v>8126</v>
      </c>
      <c r="B479">
        <f>IF(Bestellungen!J479="Ja",Bestellungen!B479)</f>
        <v>256</v>
      </c>
      <c r="C479">
        <v>5</v>
      </c>
      <c r="D479">
        <v>3</v>
      </c>
      <c r="E479">
        <v>5</v>
      </c>
      <c r="F479">
        <v>4</v>
      </c>
      <c r="G479">
        <f t="shared" si="7"/>
        <v>4.25</v>
      </c>
    </row>
    <row r="480" spans="1:7" x14ac:dyDescent="0.35">
      <c r="A480">
        <f>IF(Bestellungen!J480="Ja",Bestellungen!A480)</f>
        <v>8127</v>
      </c>
      <c r="B480">
        <f>IF(Bestellungen!J480="Ja",Bestellungen!B480)</f>
        <v>485</v>
      </c>
      <c r="C480">
        <v>5</v>
      </c>
      <c r="D480">
        <v>3</v>
      </c>
      <c r="E480">
        <v>5</v>
      </c>
      <c r="F480">
        <v>3</v>
      </c>
      <c r="G480">
        <f t="shared" si="7"/>
        <v>4</v>
      </c>
    </row>
    <row r="481" spans="1:7" hidden="1" x14ac:dyDescent="0.35">
      <c r="A481" t="b">
        <f>IF(Bestellungen!J481="Ja",Bestellungen!A481)</f>
        <v>0</v>
      </c>
      <c r="B481" t="b">
        <f>IF(Bestellungen!J481="Ja",Bestellungen!B481)</f>
        <v>0</v>
      </c>
      <c r="C481" t="s">
        <v>51</v>
      </c>
      <c r="D481" t="s">
        <v>51</v>
      </c>
      <c r="E481" t="s">
        <v>51</v>
      </c>
      <c r="F481" t="s">
        <v>51</v>
      </c>
      <c r="G481" t="e">
        <f t="shared" si="7"/>
        <v>#DIV/0!</v>
      </c>
    </row>
    <row r="482" spans="1:7" hidden="1" x14ac:dyDescent="0.35">
      <c r="A482" t="b">
        <f>IF(Bestellungen!J482="Ja",Bestellungen!A482)</f>
        <v>0</v>
      </c>
      <c r="B482" t="b">
        <f>IF(Bestellungen!J482="Ja",Bestellungen!B482)</f>
        <v>0</v>
      </c>
      <c r="C482" t="s">
        <v>51</v>
      </c>
      <c r="D482" t="s">
        <v>51</v>
      </c>
      <c r="E482" t="s">
        <v>51</v>
      </c>
      <c r="F482" t="s">
        <v>51</v>
      </c>
      <c r="G482" t="e">
        <f t="shared" si="7"/>
        <v>#DIV/0!</v>
      </c>
    </row>
    <row r="483" spans="1:7" hidden="1" x14ac:dyDescent="0.35">
      <c r="A483" t="b">
        <f>IF(Bestellungen!J483="Ja",Bestellungen!A483)</f>
        <v>0</v>
      </c>
      <c r="B483" t="b">
        <f>IF(Bestellungen!J483="Ja",Bestellungen!B483)</f>
        <v>0</v>
      </c>
      <c r="C483" t="s">
        <v>51</v>
      </c>
      <c r="D483" t="s">
        <v>51</v>
      </c>
      <c r="E483" t="s">
        <v>51</v>
      </c>
      <c r="F483" t="s">
        <v>51</v>
      </c>
      <c r="G483" t="e">
        <f t="shared" si="7"/>
        <v>#DIV/0!</v>
      </c>
    </row>
    <row r="484" spans="1:7" hidden="1" x14ac:dyDescent="0.35">
      <c r="A484" t="b">
        <f>IF(Bestellungen!J484="Ja",Bestellungen!A484)</f>
        <v>0</v>
      </c>
      <c r="B484" t="b">
        <f>IF(Bestellungen!J484="Ja",Bestellungen!B484)</f>
        <v>0</v>
      </c>
      <c r="C484" t="s">
        <v>51</v>
      </c>
      <c r="D484" t="s">
        <v>51</v>
      </c>
      <c r="E484" t="s">
        <v>51</v>
      </c>
      <c r="F484" t="s">
        <v>51</v>
      </c>
      <c r="G484" t="e">
        <f t="shared" si="7"/>
        <v>#DIV/0!</v>
      </c>
    </row>
    <row r="485" spans="1:7" x14ac:dyDescent="0.35">
      <c r="A485">
        <f>IF(Bestellungen!J485="Ja",Bestellungen!A485)</f>
        <v>8132</v>
      </c>
      <c r="B485">
        <f>IF(Bestellungen!J485="Ja",Bestellungen!B485)</f>
        <v>25</v>
      </c>
      <c r="C485">
        <v>3</v>
      </c>
      <c r="D485">
        <v>4</v>
      </c>
      <c r="E485">
        <v>4</v>
      </c>
      <c r="F485">
        <v>4</v>
      </c>
      <c r="G485">
        <f t="shared" si="7"/>
        <v>3.75</v>
      </c>
    </row>
    <row r="486" spans="1:7" hidden="1" x14ac:dyDescent="0.35">
      <c r="A486" t="b">
        <f>IF(Bestellungen!J486="Ja",Bestellungen!A486)</f>
        <v>0</v>
      </c>
      <c r="B486" t="b">
        <f>IF(Bestellungen!J486="Ja",Bestellungen!B486)</f>
        <v>0</v>
      </c>
      <c r="C486" t="s">
        <v>51</v>
      </c>
      <c r="D486" t="s">
        <v>51</v>
      </c>
      <c r="E486" t="s">
        <v>51</v>
      </c>
      <c r="F486" t="s">
        <v>51</v>
      </c>
      <c r="G486" t="e">
        <f t="shared" si="7"/>
        <v>#DIV/0!</v>
      </c>
    </row>
    <row r="487" spans="1:7" x14ac:dyDescent="0.35">
      <c r="A487">
        <f>IF(Bestellungen!J487="Ja",Bestellungen!A487)</f>
        <v>8134</v>
      </c>
      <c r="B487">
        <f>IF(Bestellungen!J487="Ja",Bestellungen!B487)</f>
        <v>651</v>
      </c>
      <c r="C487">
        <v>3</v>
      </c>
      <c r="D487">
        <v>4</v>
      </c>
      <c r="E487">
        <v>4</v>
      </c>
      <c r="F487">
        <v>5</v>
      </c>
      <c r="G487">
        <f t="shared" si="7"/>
        <v>4</v>
      </c>
    </row>
    <row r="488" spans="1:7" hidden="1" x14ac:dyDescent="0.35">
      <c r="A488" t="b">
        <f>IF(Bestellungen!J488="Ja",Bestellungen!A488)</f>
        <v>0</v>
      </c>
      <c r="B488" t="b">
        <f>IF(Bestellungen!J488="Ja",Bestellungen!B488)</f>
        <v>0</v>
      </c>
      <c r="C488" t="s">
        <v>51</v>
      </c>
      <c r="D488" t="s">
        <v>51</v>
      </c>
      <c r="E488" t="s">
        <v>51</v>
      </c>
      <c r="F488" t="s">
        <v>51</v>
      </c>
      <c r="G488" t="e">
        <f t="shared" si="7"/>
        <v>#DIV/0!</v>
      </c>
    </row>
    <row r="489" spans="1:7" hidden="1" x14ac:dyDescent="0.35">
      <c r="A489" t="b">
        <f>IF(Bestellungen!J489="Ja",Bestellungen!A489)</f>
        <v>0</v>
      </c>
      <c r="B489" t="b">
        <f>IF(Bestellungen!J489="Ja",Bestellungen!B489)</f>
        <v>0</v>
      </c>
      <c r="C489" t="s">
        <v>51</v>
      </c>
      <c r="D489" t="s">
        <v>51</v>
      </c>
      <c r="E489" t="s">
        <v>51</v>
      </c>
      <c r="F489" t="s">
        <v>51</v>
      </c>
      <c r="G489" t="e">
        <f t="shared" si="7"/>
        <v>#DIV/0!</v>
      </c>
    </row>
    <row r="490" spans="1:7" hidden="1" x14ac:dyDescent="0.35">
      <c r="A490" t="b">
        <f>IF(Bestellungen!J490="Ja",Bestellungen!A490)</f>
        <v>0</v>
      </c>
      <c r="B490" t="b">
        <f>IF(Bestellungen!J490="Ja",Bestellungen!B490)</f>
        <v>0</v>
      </c>
      <c r="C490" t="s">
        <v>51</v>
      </c>
      <c r="D490" t="s">
        <v>51</v>
      </c>
      <c r="E490" t="s">
        <v>51</v>
      </c>
      <c r="F490" t="s">
        <v>51</v>
      </c>
      <c r="G490" t="e">
        <f t="shared" si="7"/>
        <v>#DIV/0!</v>
      </c>
    </row>
    <row r="491" spans="1:7" x14ac:dyDescent="0.35">
      <c r="A491">
        <f>IF(Bestellungen!J491="Ja",Bestellungen!A491)</f>
        <v>8138</v>
      </c>
      <c r="B491">
        <f>IF(Bestellungen!J491="Ja",Bestellungen!B491)</f>
        <v>592</v>
      </c>
      <c r="C491">
        <v>3</v>
      </c>
      <c r="D491">
        <v>5</v>
      </c>
      <c r="E491">
        <v>4</v>
      </c>
      <c r="F491">
        <v>5</v>
      </c>
      <c r="G491">
        <f t="shared" si="7"/>
        <v>4.25</v>
      </c>
    </row>
    <row r="492" spans="1:7" x14ac:dyDescent="0.35">
      <c r="A492">
        <f>IF(Bestellungen!J492="Ja",Bestellungen!A492)</f>
        <v>8139</v>
      </c>
      <c r="B492">
        <f>IF(Bestellungen!J492="Ja",Bestellungen!B492)</f>
        <v>68</v>
      </c>
      <c r="C492">
        <v>4</v>
      </c>
      <c r="D492">
        <v>4</v>
      </c>
      <c r="E492">
        <v>5</v>
      </c>
      <c r="F492">
        <v>5</v>
      </c>
      <c r="G492">
        <f t="shared" si="7"/>
        <v>4.5</v>
      </c>
    </row>
    <row r="493" spans="1:7" x14ac:dyDescent="0.35">
      <c r="A493">
        <f>IF(Bestellungen!J493="Ja",Bestellungen!A493)</f>
        <v>8140</v>
      </c>
      <c r="B493">
        <f>IF(Bestellungen!J493="Ja",Bestellungen!B493)</f>
        <v>447</v>
      </c>
      <c r="C493">
        <v>5</v>
      </c>
      <c r="D493">
        <v>4</v>
      </c>
      <c r="E493">
        <v>5</v>
      </c>
      <c r="F493">
        <v>3</v>
      </c>
      <c r="G493">
        <f t="shared" si="7"/>
        <v>4.25</v>
      </c>
    </row>
    <row r="494" spans="1:7" x14ac:dyDescent="0.35">
      <c r="A494">
        <f>IF(Bestellungen!J494="Ja",Bestellungen!A494)</f>
        <v>8141</v>
      </c>
      <c r="B494">
        <f>IF(Bestellungen!J494="Ja",Bestellungen!B494)</f>
        <v>545</v>
      </c>
      <c r="C494">
        <v>3</v>
      </c>
      <c r="D494">
        <v>3</v>
      </c>
      <c r="E494">
        <v>5</v>
      </c>
      <c r="F494">
        <v>3</v>
      </c>
      <c r="G494">
        <f t="shared" si="7"/>
        <v>3.5</v>
      </c>
    </row>
    <row r="495" spans="1:7" x14ac:dyDescent="0.35">
      <c r="A495">
        <f>IF(Bestellungen!J495="Ja",Bestellungen!A495)</f>
        <v>8142</v>
      </c>
      <c r="B495">
        <f>IF(Bestellungen!J495="Ja",Bestellungen!B495)</f>
        <v>453</v>
      </c>
      <c r="C495">
        <v>4</v>
      </c>
      <c r="D495">
        <v>3</v>
      </c>
      <c r="E495">
        <v>4</v>
      </c>
      <c r="F495">
        <v>3</v>
      </c>
      <c r="G495">
        <f t="shared" si="7"/>
        <v>3.5</v>
      </c>
    </row>
    <row r="496" spans="1:7" x14ac:dyDescent="0.35">
      <c r="A496">
        <f>IF(Bestellungen!J496="Ja",Bestellungen!A496)</f>
        <v>8143</v>
      </c>
      <c r="B496">
        <f>IF(Bestellungen!J496="Ja",Bestellungen!B496)</f>
        <v>188</v>
      </c>
      <c r="C496">
        <v>4</v>
      </c>
      <c r="D496">
        <v>3</v>
      </c>
      <c r="E496">
        <v>5</v>
      </c>
      <c r="F496">
        <v>4</v>
      </c>
      <c r="G496">
        <f t="shared" si="7"/>
        <v>4</v>
      </c>
    </row>
    <row r="497" spans="1:7" x14ac:dyDescent="0.35">
      <c r="A497">
        <f>IF(Bestellungen!J497="Ja",Bestellungen!A497)</f>
        <v>8144</v>
      </c>
      <c r="B497">
        <f>IF(Bestellungen!J497="Ja",Bestellungen!B497)</f>
        <v>320</v>
      </c>
      <c r="C497">
        <v>5</v>
      </c>
      <c r="D497">
        <v>4</v>
      </c>
      <c r="E497">
        <v>5</v>
      </c>
      <c r="F497">
        <v>5</v>
      </c>
      <c r="G497">
        <f t="shared" si="7"/>
        <v>4.75</v>
      </c>
    </row>
    <row r="498" spans="1:7" x14ac:dyDescent="0.35">
      <c r="A498">
        <f>IF(Bestellungen!J498="Ja",Bestellungen!A498)</f>
        <v>8145</v>
      </c>
      <c r="B498">
        <f>IF(Bestellungen!J498="Ja",Bestellungen!B498)</f>
        <v>774</v>
      </c>
      <c r="C498">
        <v>4</v>
      </c>
      <c r="D498">
        <v>5</v>
      </c>
      <c r="E498">
        <v>4</v>
      </c>
      <c r="F498">
        <v>5</v>
      </c>
      <c r="G498">
        <f t="shared" si="7"/>
        <v>4.5</v>
      </c>
    </row>
    <row r="499" spans="1:7" x14ac:dyDescent="0.35">
      <c r="A499">
        <f>IF(Bestellungen!J499="Ja",Bestellungen!A499)</f>
        <v>8146</v>
      </c>
      <c r="B499">
        <f>IF(Bestellungen!J499="Ja",Bestellungen!B499)</f>
        <v>459</v>
      </c>
      <c r="C499">
        <v>4</v>
      </c>
      <c r="D499">
        <v>3</v>
      </c>
      <c r="E499">
        <v>4</v>
      </c>
      <c r="F499">
        <v>4</v>
      </c>
      <c r="G499">
        <f t="shared" si="7"/>
        <v>3.75</v>
      </c>
    </row>
    <row r="500" spans="1:7" hidden="1" x14ac:dyDescent="0.35">
      <c r="A500" t="b">
        <f>IF(Bestellungen!J500="Ja",Bestellungen!A500)</f>
        <v>0</v>
      </c>
      <c r="B500" t="b">
        <f>IF(Bestellungen!J500="Ja",Bestellungen!B500)</f>
        <v>0</v>
      </c>
      <c r="C500" t="s">
        <v>51</v>
      </c>
      <c r="D500" t="s">
        <v>51</v>
      </c>
      <c r="E500" t="s">
        <v>51</v>
      </c>
      <c r="F500" t="s">
        <v>51</v>
      </c>
      <c r="G500" t="e">
        <f t="shared" si="7"/>
        <v>#DIV/0!</v>
      </c>
    </row>
    <row r="501" spans="1:7" x14ac:dyDescent="0.35">
      <c r="A501">
        <f>IF(Bestellungen!J501="Ja",Bestellungen!A501)</f>
        <v>8148</v>
      </c>
      <c r="B501">
        <f>IF(Bestellungen!J501="Ja",Bestellungen!B501)</f>
        <v>623</v>
      </c>
      <c r="C501">
        <v>3</v>
      </c>
      <c r="D501">
        <v>3</v>
      </c>
      <c r="E501">
        <v>4</v>
      </c>
      <c r="F501">
        <v>5</v>
      </c>
      <c r="G501">
        <f t="shared" si="7"/>
        <v>3.75</v>
      </c>
    </row>
    <row r="502" spans="1:7" x14ac:dyDescent="0.35">
      <c r="A502">
        <f>IF(Bestellungen!J502="Ja",Bestellungen!A502)</f>
        <v>8149</v>
      </c>
      <c r="B502">
        <f>IF(Bestellungen!J502="Ja",Bestellungen!B502)</f>
        <v>663</v>
      </c>
      <c r="C502">
        <v>5</v>
      </c>
      <c r="D502">
        <v>3</v>
      </c>
      <c r="E502">
        <v>4</v>
      </c>
      <c r="F502">
        <v>4</v>
      </c>
      <c r="G502">
        <f t="shared" si="7"/>
        <v>4</v>
      </c>
    </row>
    <row r="503" spans="1:7" x14ac:dyDescent="0.35">
      <c r="A503">
        <f>IF(Bestellungen!J503="Ja",Bestellungen!A503)</f>
        <v>8150</v>
      </c>
      <c r="B503">
        <f>IF(Bestellungen!J503="Ja",Bestellungen!B503)</f>
        <v>492</v>
      </c>
      <c r="C503">
        <v>3</v>
      </c>
      <c r="D503">
        <v>5</v>
      </c>
      <c r="E503">
        <v>3</v>
      </c>
      <c r="F503">
        <v>4</v>
      </c>
      <c r="G503">
        <f t="shared" si="7"/>
        <v>3.75</v>
      </c>
    </row>
    <row r="504" spans="1:7" hidden="1" x14ac:dyDescent="0.35">
      <c r="A504" t="b">
        <f>IF(Bestellungen!J504="Ja",Bestellungen!A504)</f>
        <v>0</v>
      </c>
      <c r="B504" t="b">
        <f>IF(Bestellungen!J504="Ja",Bestellungen!B504)</f>
        <v>0</v>
      </c>
      <c r="C504" t="s">
        <v>51</v>
      </c>
      <c r="D504" t="s">
        <v>51</v>
      </c>
      <c r="E504" t="s">
        <v>51</v>
      </c>
      <c r="F504" t="s">
        <v>51</v>
      </c>
      <c r="G504" t="e">
        <f t="shared" si="7"/>
        <v>#DIV/0!</v>
      </c>
    </row>
    <row r="505" spans="1:7" hidden="1" x14ac:dyDescent="0.35">
      <c r="A505" t="b">
        <f>IF(Bestellungen!J505="Ja",Bestellungen!A505)</f>
        <v>0</v>
      </c>
      <c r="B505" t="b">
        <f>IF(Bestellungen!J505="Ja",Bestellungen!B505)</f>
        <v>0</v>
      </c>
      <c r="C505" t="s">
        <v>51</v>
      </c>
      <c r="D505" t="s">
        <v>51</v>
      </c>
      <c r="E505" t="s">
        <v>51</v>
      </c>
      <c r="F505" t="s">
        <v>51</v>
      </c>
      <c r="G505" t="e">
        <f t="shared" si="7"/>
        <v>#DIV/0!</v>
      </c>
    </row>
    <row r="506" spans="1:7" hidden="1" x14ac:dyDescent="0.35">
      <c r="A506" t="b">
        <f>IF(Bestellungen!J506="Ja",Bestellungen!A506)</f>
        <v>0</v>
      </c>
      <c r="B506" t="b">
        <f>IF(Bestellungen!J506="Ja",Bestellungen!B506)</f>
        <v>0</v>
      </c>
      <c r="C506" t="s">
        <v>51</v>
      </c>
      <c r="D506" t="s">
        <v>51</v>
      </c>
      <c r="E506" t="s">
        <v>51</v>
      </c>
      <c r="F506" t="s">
        <v>51</v>
      </c>
      <c r="G506" t="e">
        <f t="shared" si="7"/>
        <v>#DIV/0!</v>
      </c>
    </row>
    <row r="507" spans="1:7" x14ac:dyDescent="0.35">
      <c r="A507">
        <f>IF(Bestellungen!J507="Ja",Bestellungen!A507)</f>
        <v>8154</v>
      </c>
      <c r="B507">
        <f>IF(Bestellungen!J507="Ja",Bestellungen!B507)</f>
        <v>93</v>
      </c>
      <c r="C507">
        <v>5</v>
      </c>
      <c r="D507">
        <v>3</v>
      </c>
      <c r="E507">
        <v>4</v>
      </c>
      <c r="F507">
        <v>4</v>
      </c>
      <c r="G507">
        <f t="shared" si="7"/>
        <v>4</v>
      </c>
    </row>
    <row r="508" spans="1:7" hidden="1" x14ac:dyDescent="0.35">
      <c r="A508" t="b">
        <f>IF(Bestellungen!J508="Ja",Bestellungen!A508)</f>
        <v>0</v>
      </c>
      <c r="B508" t="b">
        <f>IF(Bestellungen!J508="Ja",Bestellungen!B508)</f>
        <v>0</v>
      </c>
      <c r="C508" t="s">
        <v>51</v>
      </c>
      <c r="D508" t="s">
        <v>51</v>
      </c>
      <c r="E508" t="s">
        <v>51</v>
      </c>
      <c r="F508" t="s">
        <v>51</v>
      </c>
      <c r="G508" t="e">
        <f t="shared" si="7"/>
        <v>#DIV/0!</v>
      </c>
    </row>
    <row r="509" spans="1:7" x14ac:dyDescent="0.35">
      <c r="A509">
        <f>IF(Bestellungen!J509="Ja",Bestellungen!A509)</f>
        <v>8156</v>
      </c>
      <c r="B509">
        <f>IF(Bestellungen!J509="Ja",Bestellungen!B509)</f>
        <v>708</v>
      </c>
      <c r="C509">
        <v>5</v>
      </c>
      <c r="D509">
        <v>4</v>
      </c>
      <c r="E509">
        <v>4</v>
      </c>
      <c r="F509">
        <v>5</v>
      </c>
      <c r="G509">
        <f t="shared" si="7"/>
        <v>4.5</v>
      </c>
    </row>
    <row r="510" spans="1:7" hidden="1" x14ac:dyDescent="0.35">
      <c r="A510" t="b">
        <f>IF(Bestellungen!J510="Ja",Bestellungen!A510)</f>
        <v>0</v>
      </c>
      <c r="B510" t="b">
        <f>IF(Bestellungen!J510="Ja",Bestellungen!B510)</f>
        <v>0</v>
      </c>
      <c r="C510" t="s">
        <v>51</v>
      </c>
      <c r="D510" t="s">
        <v>51</v>
      </c>
      <c r="E510" t="s">
        <v>51</v>
      </c>
      <c r="F510" t="s">
        <v>51</v>
      </c>
      <c r="G510" t="e">
        <f t="shared" si="7"/>
        <v>#DIV/0!</v>
      </c>
    </row>
    <row r="511" spans="1:7" x14ac:dyDescent="0.35">
      <c r="A511">
        <f>IF(Bestellungen!J511="Ja",Bestellungen!A511)</f>
        <v>8158</v>
      </c>
      <c r="B511">
        <f>IF(Bestellungen!J511="Ja",Bestellungen!B511)</f>
        <v>789</v>
      </c>
      <c r="C511">
        <v>4</v>
      </c>
      <c r="D511">
        <v>3</v>
      </c>
      <c r="E511">
        <v>4</v>
      </c>
      <c r="F511">
        <v>5</v>
      </c>
      <c r="G511">
        <f t="shared" si="7"/>
        <v>4</v>
      </c>
    </row>
    <row r="512" spans="1:7" x14ac:dyDescent="0.35">
      <c r="A512">
        <f>IF(Bestellungen!J512="Ja",Bestellungen!A512)</f>
        <v>8159</v>
      </c>
      <c r="B512">
        <f>IF(Bestellungen!J512="Ja",Bestellungen!B512)</f>
        <v>398</v>
      </c>
      <c r="C512">
        <v>3</v>
      </c>
      <c r="D512">
        <v>5</v>
      </c>
      <c r="E512">
        <v>5</v>
      </c>
      <c r="F512">
        <v>5</v>
      </c>
      <c r="G512">
        <f t="shared" si="7"/>
        <v>4.5</v>
      </c>
    </row>
    <row r="513" spans="1:7" hidden="1" x14ac:dyDescent="0.35">
      <c r="A513" t="b">
        <f>IF(Bestellungen!J513="Ja",Bestellungen!A513)</f>
        <v>0</v>
      </c>
      <c r="B513" t="b">
        <f>IF(Bestellungen!J513="Ja",Bestellungen!B513)</f>
        <v>0</v>
      </c>
      <c r="C513" t="s">
        <v>51</v>
      </c>
      <c r="D513" t="s">
        <v>51</v>
      </c>
      <c r="E513" t="s">
        <v>51</v>
      </c>
      <c r="F513" t="s">
        <v>51</v>
      </c>
      <c r="G513" t="e">
        <f t="shared" si="7"/>
        <v>#DIV/0!</v>
      </c>
    </row>
    <row r="514" spans="1:7" x14ac:dyDescent="0.35">
      <c r="A514">
        <f>IF(Bestellungen!J514="Ja",Bestellungen!A514)</f>
        <v>8161</v>
      </c>
      <c r="B514">
        <f>IF(Bestellungen!J514="Ja",Bestellungen!B514)</f>
        <v>637</v>
      </c>
      <c r="C514">
        <v>3</v>
      </c>
      <c r="D514">
        <v>4</v>
      </c>
      <c r="E514">
        <v>4</v>
      </c>
      <c r="F514">
        <v>3</v>
      </c>
      <c r="G514">
        <f t="shared" si="7"/>
        <v>3.5</v>
      </c>
    </row>
    <row r="515" spans="1:7" x14ac:dyDescent="0.35">
      <c r="A515">
        <f>IF(Bestellungen!J515="Ja",Bestellungen!A515)</f>
        <v>8162</v>
      </c>
      <c r="B515">
        <f>IF(Bestellungen!J515="Ja",Bestellungen!B515)</f>
        <v>628</v>
      </c>
      <c r="C515">
        <v>5</v>
      </c>
      <c r="D515">
        <v>4</v>
      </c>
      <c r="E515">
        <v>5</v>
      </c>
      <c r="F515">
        <v>5</v>
      </c>
      <c r="G515">
        <f t="shared" ref="G515:G578" si="8">SUM(C515:F515)/COUNT(C515:F515)</f>
        <v>4.75</v>
      </c>
    </row>
    <row r="516" spans="1:7" hidden="1" x14ac:dyDescent="0.35">
      <c r="A516" t="b">
        <f>IF(Bestellungen!J516="Ja",Bestellungen!A516)</f>
        <v>0</v>
      </c>
      <c r="B516" t="b">
        <f>IF(Bestellungen!J516="Ja",Bestellungen!B516)</f>
        <v>0</v>
      </c>
      <c r="C516" t="s">
        <v>51</v>
      </c>
      <c r="D516" t="s">
        <v>51</v>
      </c>
      <c r="E516" t="s">
        <v>51</v>
      </c>
      <c r="F516" t="s">
        <v>51</v>
      </c>
      <c r="G516" t="e">
        <f t="shared" si="8"/>
        <v>#DIV/0!</v>
      </c>
    </row>
    <row r="517" spans="1:7" hidden="1" x14ac:dyDescent="0.35">
      <c r="A517" t="b">
        <f>IF(Bestellungen!J517="Ja",Bestellungen!A517)</f>
        <v>0</v>
      </c>
      <c r="B517" t="b">
        <f>IF(Bestellungen!J517="Ja",Bestellungen!B517)</f>
        <v>0</v>
      </c>
      <c r="C517" t="s">
        <v>51</v>
      </c>
      <c r="D517" t="s">
        <v>51</v>
      </c>
      <c r="E517" t="s">
        <v>51</v>
      </c>
      <c r="F517" t="s">
        <v>51</v>
      </c>
      <c r="G517" t="e">
        <f t="shared" si="8"/>
        <v>#DIV/0!</v>
      </c>
    </row>
    <row r="518" spans="1:7" x14ac:dyDescent="0.35">
      <c r="A518">
        <f>IF(Bestellungen!J518="Ja",Bestellungen!A518)</f>
        <v>8165</v>
      </c>
      <c r="B518">
        <f>IF(Bestellungen!J518="Ja",Bestellungen!B518)</f>
        <v>39</v>
      </c>
      <c r="C518">
        <v>5</v>
      </c>
      <c r="D518">
        <v>5</v>
      </c>
      <c r="E518">
        <v>5</v>
      </c>
      <c r="F518">
        <v>4</v>
      </c>
      <c r="G518">
        <f t="shared" si="8"/>
        <v>4.75</v>
      </c>
    </row>
    <row r="519" spans="1:7" x14ac:dyDescent="0.35">
      <c r="A519">
        <f>IF(Bestellungen!J519="Ja",Bestellungen!A519)</f>
        <v>8166</v>
      </c>
      <c r="B519">
        <f>IF(Bestellungen!J519="Ja",Bestellungen!B519)</f>
        <v>578</v>
      </c>
      <c r="C519">
        <v>4</v>
      </c>
      <c r="D519">
        <v>5</v>
      </c>
      <c r="E519">
        <v>5</v>
      </c>
      <c r="F519">
        <v>4</v>
      </c>
      <c r="G519">
        <f t="shared" si="8"/>
        <v>4.5</v>
      </c>
    </row>
    <row r="520" spans="1:7" x14ac:dyDescent="0.35">
      <c r="A520">
        <f>IF(Bestellungen!J520="Ja",Bestellungen!A520)</f>
        <v>8167</v>
      </c>
      <c r="B520">
        <f>IF(Bestellungen!J520="Ja",Bestellungen!B520)</f>
        <v>181</v>
      </c>
      <c r="C520">
        <v>5</v>
      </c>
      <c r="D520">
        <v>5</v>
      </c>
      <c r="E520">
        <v>4</v>
      </c>
      <c r="F520">
        <v>5</v>
      </c>
      <c r="G520">
        <f t="shared" si="8"/>
        <v>4.75</v>
      </c>
    </row>
    <row r="521" spans="1:7" x14ac:dyDescent="0.35">
      <c r="A521">
        <f>IF(Bestellungen!J521="Ja",Bestellungen!A521)</f>
        <v>8168</v>
      </c>
      <c r="B521">
        <f>IF(Bestellungen!J521="Ja",Bestellungen!B521)</f>
        <v>505</v>
      </c>
      <c r="C521">
        <v>4</v>
      </c>
      <c r="D521">
        <v>4</v>
      </c>
      <c r="E521">
        <v>3</v>
      </c>
      <c r="F521">
        <v>3</v>
      </c>
      <c r="G521">
        <f t="shared" si="8"/>
        <v>3.5</v>
      </c>
    </row>
    <row r="522" spans="1:7" hidden="1" x14ac:dyDescent="0.35">
      <c r="A522" t="b">
        <f>IF(Bestellungen!J522="Ja",Bestellungen!A522)</f>
        <v>0</v>
      </c>
      <c r="B522" t="b">
        <f>IF(Bestellungen!J522="Ja",Bestellungen!B522)</f>
        <v>0</v>
      </c>
      <c r="C522" t="s">
        <v>51</v>
      </c>
      <c r="D522" t="s">
        <v>51</v>
      </c>
      <c r="E522" t="s">
        <v>51</v>
      </c>
      <c r="F522" t="s">
        <v>51</v>
      </c>
      <c r="G522" t="e">
        <f t="shared" si="8"/>
        <v>#DIV/0!</v>
      </c>
    </row>
    <row r="523" spans="1:7" x14ac:dyDescent="0.35">
      <c r="A523">
        <f>IF(Bestellungen!J523="Ja",Bestellungen!A523)</f>
        <v>8170</v>
      </c>
      <c r="B523">
        <f>IF(Bestellungen!J523="Ja",Bestellungen!B523)</f>
        <v>692</v>
      </c>
      <c r="C523">
        <v>5</v>
      </c>
      <c r="D523">
        <v>4</v>
      </c>
      <c r="E523">
        <v>3</v>
      </c>
      <c r="F523">
        <v>5</v>
      </c>
      <c r="G523">
        <f t="shared" si="8"/>
        <v>4.25</v>
      </c>
    </row>
    <row r="524" spans="1:7" hidden="1" x14ac:dyDescent="0.35">
      <c r="A524" t="b">
        <f>IF(Bestellungen!J524="Ja",Bestellungen!A524)</f>
        <v>0</v>
      </c>
      <c r="B524" t="b">
        <f>IF(Bestellungen!J524="Ja",Bestellungen!B524)</f>
        <v>0</v>
      </c>
      <c r="C524" t="s">
        <v>51</v>
      </c>
      <c r="D524" t="s">
        <v>51</v>
      </c>
      <c r="E524" t="s">
        <v>51</v>
      </c>
      <c r="F524" t="s">
        <v>51</v>
      </c>
      <c r="G524" t="e">
        <f t="shared" si="8"/>
        <v>#DIV/0!</v>
      </c>
    </row>
    <row r="525" spans="1:7" hidden="1" x14ac:dyDescent="0.35">
      <c r="A525" t="b">
        <f>IF(Bestellungen!J525="Ja",Bestellungen!A525)</f>
        <v>0</v>
      </c>
      <c r="B525" t="b">
        <f>IF(Bestellungen!J525="Ja",Bestellungen!B525)</f>
        <v>0</v>
      </c>
      <c r="C525" t="s">
        <v>51</v>
      </c>
      <c r="D525" t="s">
        <v>51</v>
      </c>
      <c r="E525" t="s">
        <v>51</v>
      </c>
      <c r="F525" t="s">
        <v>51</v>
      </c>
      <c r="G525" t="e">
        <f t="shared" si="8"/>
        <v>#DIV/0!</v>
      </c>
    </row>
    <row r="526" spans="1:7" x14ac:dyDescent="0.35">
      <c r="A526">
        <f>IF(Bestellungen!J526="Ja",Bestellungen!A526)</f>
        <v>8173</v>
      </c>
      <c r="B526">
        <f>IF(Bestellungen!J526="Ja",Bestellungen!B526)</f>
        <v>565</v>
      </c>
      <c r="C526">
        <v>5</v>
      </c>
      <c r="D526">
        <v>3</v>
      </c>
      <c r="E526">
        <v>5</v>
      </c>
      <c r="F526">
        <v>3</v>
      </c>
      <c r="G526">
        <f t="shared" si="8"/>
        <v>4</v>
      </c>
    </row>
    <row r="527" spans="1:7" hidden="1" x14ac:dyDescent="0.35">
      <c r="A527" t="b">
        <f>IF(Bestellungen!J527="Ja",Bestellungen!A527)</f>
        <v>0</v>
      </c>
      <c r="B527" t="b">
        <f>IF(Bestellungen!J527="Ja",Bestellungen!B527)</f>
        <v>0</v>
      </c>
      <c r="C527" t="s">
        <v>51</v>
      </c>
      <c r="D527" t="s">
        <v>51</v>
      </c>
      <c r="E527" t="s">
        <v>51</v>
      </c>
      <c r="F527" t="s">
        <v>51</v>
      </c>
      <c r="G527" t="e">
        <f t="shared" si="8"/>
        <v>#DIV/0!</v>
      </c>
    </row>
    <row r="528" spans="1:7" x14ac:dyDescent="0.35">
      <c r="A528">
        <f>IF(Bestellungen!J528="Ja",Bestellungen!A528)</f>
        <v>8175</v>
      </c>
      <c r="B528">
        <f>IF(Bestellungen!J528="Ja",Bestellungen!B528)</f>
        <v>226</v>
      </c>
      <c r="C528">
        <v>5</v>
      </c>
      <c r="D528">
        <v>3</v>
      </c>
      <c r="E528">
        <v>3</v>
      </c>
      <c r="F528">
        <v>4</v>
      </c>
      <c r="G528">
        <f t="shared" si="8"/>
        <v>3.75</v>
      </c>
    </row>
    <row r="529" spans="1:7" x14ac:dyDescent="0.35">
      <c r="A529">
        <f>IF(Bestellungen!J529="Ja",Bestellungen!A529)</f>
        <v>8176</v>
      </c>
      <c r="B529">
        <f>IF(Bestellungen!J529="Ja",Bestellungen!B529)</f>
        <v>446</v>
      </c>
      <c r="C529">
        <v>5</v>
      </c>
      <c r="D529">
        <v>3</v>
      </c>
      <c r="E529">
        <v>4</v>
      </c>
      <c r="F529">
        <v>4</v>
      </c>
      <c r="G529">
        <f t="shared" si="8"/>
        <v>4</v>
      </c>
    </row>
    <row r="530" spans="1:7" hidden="1" x14ac:dyDescent="0.35">
      <c r="A530" t="b">
        <f>IF(Bestellungen!J530="Ja",Bestellungen!A530)</f>
        <v>0</v>
      </c>
      <c r="B530" t="b">
        <f>IF(Bestellungen!J530="Ja",Bestellungen!B530)</f>
        <v>0</v>
      </c>
      <c r="C530" t="s">
        <v>51</v>
      </c>
      <c r="D530" t="s">
        <v>51</v>
      </c>
      <c r="E530" t="s">
        <v>51</v>
      </c>
      <c r="F530" t="s">
        <v>51</v>
      </c>
      <c r="G530" t="e">
        <f t="shared" si="8"/>
        <v>#DIV/0!</v>
      </c>
    </row>
    <row r="531" spans="1:7" hidden="1" x14ac:dyDescent="0.35">
      <c r="A531" t="b">
        <f>IF(Bestellungen!J531="Ja",Bestellungen!A531)</f>
        <v>0</v>
      </c>
      <c r="B531" t="b">
        <f>IF(Bestellungen!J531="Ja",Bestellungen!B531)</f>
        <v>0</v>
      </c>
      <c r="C531" t="s">
        <v>51</v>
      </c>
      <c r="D531" t="s">
        <v>51</v>
      </c>
      <c r="E531" t="s">
        <v>51</v>
      </c>
      <c r="F531" t="s">
        <v>51</v>
      </c>
      <c r="G531" t="e">
        <f t="shared" si="8"/>
        <v>#DIV/0!</v>
      </c>
    </row>
    <row r="532" spans="1:7" x14ac:dyDescent="0.35">
      <c r="A532">
        <f>IF(Bestellungen!J532="Ja",Bestellungen!A532)</f>
        <v>8179</v>
      </c>
      <c r="B532">
        <f>IF(Bestellungen!J532="Ja",Bestellungen!B532)</f>
        <v>643</v>
      </c>
      <c r="C532">
        <v>3</v>
      </c>
      <c r="D532">
        <v>3</v>
      </c>
      <c r="E532">
        <v>3</v>
      </c>
      <c r="F532">
        <v>5</v>
      </c>
      <c r="G532">
        <f t="shared" si="8"/>
        <v>3.5</v>
      </c>
    </row>
    <row r="533" spans="1:7" hidden="1" x14ac:dyDescent="0.35">
      <c r="A533" t="b">
        <f>IF(Bestellungen!J533="Ja",Bestellungen!A533)</f>
        <v>0</v>
      </c>
      <c r="B533" t="b">
        <f>IF(Bestellungen!J533="Ja",Bestellungen!B533)</f>
        <v>0</v>
      </c>
      <c r="C533" t="s">
        <v>51</v>
      </c>
      <c r="D533" t="s">
        <v>51</v>
      </c>
      <c r="E533" t="s">
        <v>51</v>
      </c>
      <c r="F533" t="s">
        <v>51</v>
      </c>
      <c r="G533" t="e">
        <f t="shared" si="8"/>
        <v>#DIV/0!</v>
      </c>
    </row>
    <row r="534" spans="1:7" hidden="1" x14ac:dyDescent="0.35">
      <c r="A534" t="b">
        <f>IF(Bestellungen!J534="Ja",Bestellungen!A534)</f>
        <v>0</v>
      </c>
      <c r="B534" t="b">
        <f>IF(Bestellungen!J534="Ja",Bestellungen!B534)</f>
        <v>0</v>
      </c>
      <c r="C534" t="s">
        <v>51</v>
      </c>
      <c r="D534" t="s">
        <v>51</v>
      </c>
      <c r="E534" t="s">
        <v>51</v>
      </c>
      <c r="F534" t="s">
        <v>51</v>
      </c>
      <c r="G534" t="e">
        <f t="shared" si="8"/>
        <v>#DIV/0!</v>
      </c>
    </row>
    <row r="535" spans="1:7" x14ac:dyDescent="0.35">
      <c r="A535">
        <f>IF(Bestellungen!J535="Ja",Bestellungen!A535)</f>
        <v>8182</v>
      </c>
      <c r="B535">
        <f>IF(Bestellungen!J535="Ja",Bestellungen!B535)</f>
        <v>544</v>
      </c>
      <c r="C535">
        <v>3</v>
      </c>
      <c r="D535">
        <v>3</v>
      </c>
      <c r="E535">
        <v>5</v>
      </c>
      <c r="F535">
        <v>5</v>
      </c>
      <c r="G535">
        <f t="shared" si="8"/>
        <v>4</v>
      </c>
    </row>
    <row r="536" spans="1:7" x14ac:dyDescent="0.35">
      <c r="A536">
        <f>IF(Bestellungen!J536="Ja",Bestellungen!A536)</f>
        <v>8183</v>
      </c>
      <c r="B536">
        <f>IF(Bestellungen!J536="Ja",Bestellungen!B536)</f>
        <v>277</v>
      </c>
      <c r="C536">
        <v>5</v>
      </c>
      <c r="D536">
        <v>5</v>
      </c>
      <c r="E536">
        <v>5</v>
      </c>
      <c r="F536">
        <v>4</v>
      </c>
      <c r="G536">
        <f t="shared" si="8"/>
        <v>4.75</v>
      </c>
    </row>
    <row r="537" spans="1:7" x14ac:dyDescent="0.35">
      <c r="A537">
        <f>IF(Bestellungen!J537="Ja",Bestellungen!A537)</f>
        <v>8184</v>
      </c>
      <c r="B537">
        <f>IF(Bestellungen!J537="Ja",Bestellungen!B537)</f>
        <v>431</v>
      </c>
      <c r="C537">
        <v>5</v>
      </c>
      <c r="D537">
        <v>3</v>
      </c>
      <c r="E537">
        <v>5</v>
      </c>
      <c r="F537">
        <v>3</v>
      </c>
      <c r="G537">
        <f t="shared" si="8"/>
        <v>4</v>
      </c>
    </row>
    <row r="538" spans="1:7" hidden="1" x14ac:dyDescent="0.35">
      <c r="A538" t="b">
        <f>IF(Bestellungen!J538="Ja",Bestellungen!A538)</f>
        <v>0</v>
      </c>
      <c r="B538" t="b">
        <f>IF(Bestellungen!J538="Ja",Bestellungen!B538)</f>
        <v>0</v>
      </c>
      <c r="C538" t="s">
        <v>51</v>
      </c>
      <c r="D538" t="s">
        <v>51</v>
      </c>
      <c r="E538" t="s">
        <v>51</v>
      </c>
      <c r="F538" t="s">
        <v>51</v>
      </c>
      <c r="G538" t="e">
        <f t="shared" si="8"/>
        <v>#DIV/0!</v>
      </c>
    </row>
    <row r="539" spans="1:7" x14ac:dyDescent="0.35">
      <c r="A539">
        <f>IF(Bestellungen!J539="Ja",Bestellungen!A539)</f>
        <v>8186</v>
      </c>
      <c r="B539">
        <f>IF(Bestellungen!J539="Ja",Bestellungen!B539)</f>
        <v>524</v>
      </c>
      <c r="C539">
        <v>5</v>
      </c>
      <c r="D539">
        <v>3</v>
      </c>
      <c r="E539">
        <v>4</v>
      </c>
      <c r="F539">
        <v>4</v>
      </c>
      <c r="G539">
        <f t="shared" si="8"/>
        <v>4</v>
      </c>
    </row>
    <row r="540" spans="1:7" x14ac:dyDescent="0.35">
      <c r="A540">
        <f>IF(Bestellungen!J540="Ja",Bestellungen!A540)</f>
        <v>8187</v>
      </c>
      <c r="B540">
        <f>IF(Bestellungen!J540="Ja",Bestellungen!B540)</f>
        <v>315</v>
      </c>
      <c r="C540">
        <v>5</v>
      </c>
      <c r="D540">
        <v>3</v>
      </c>
      <c r="E540">
        <v>5</v>
      </c>
      <c r="F540">
        <v>3</v>
      </c>
      <c r="G540">
        <f t="shared" si="8"/>
        <v>4</v>
      </c>
    </row>
    <row r="541" spans="1:7" hidden="1" x14ac:dyDescent="0.35">
      <c r="A541" t="b">
        <f>IF(Bestellungen!J541="Ja",Bestellungen!A541)</f>
        <v>0</v>
      </c>
      <c r="B541" t="b">
        <f>IF(Bestellungen!J541="Ja",Bestellungen!B541)</f>
        <v>0</v>
      </c>
      <c r="C541" t="s">
        <v>51</v>
      </c>
      <c r="D541" t="s">
        <v>51</v>
      </c>
      <c r="E541" t="s">
        <v>51</v>
      </c>
      <c r="F541" t="s">
        <v>51</v>
      </c>
      <c r="G541" t="e">
        <f t="shared" si="8"/>
        <v>#DIV/0!</v>
      </c>
    </row>
    <row r="542" spans="1:7" hidden="1" x14ac:dyDescent="0.35">
      <c r="A542" t="b">
        <f>IF(Bestellungen!J542="Ja",Bestellungen!A542)</f>
        <v>0</v>
      </c>
      <c r="B542" t="b">
        <f>IF(Bestellungen!J542="Ja",Bestellungen!B542)</f>
        <v>0</v>
      </c>
      <c r="C542" t="s">
        <v>51</v>
      </c>
      <c r="D542" t="s">
        <v>51</v>
      </c>
      <c r="E542" t="s">
        <v>51</v>
      </c>
      <c r="F542" t="s">
        <v>51</v>
      </c>
      <c r="G542" t="e">
        <f t="shared" si="8"/>
        <v>#DIV/0!</v>
      </c>
    </row>
    <row r="543" spans="1:7" hidden="1" x14ac:dyDescent="0.35">
      <c r="A543" t="b">
        <f>IF(Bestellungen!J543="Ja",Bestellungen!A543)</f>
        <v>0</v>
      </c>
      <c r="B543" t="b">
        <f>IF(Bestellungen!J543="Ja",Bestellungen!B543)</f>
        <v>0</v>
      </c>
      <c r="C543" t="s">
        <v>51</v>
      </c>
      <c r="D543" t="s">
        <v>51</v>
      </c>
      <c r="E543" t="s">
        <v>51</v>
      </c>
      <c r="F543" t="s">
        <v>51</v>
      </c>
      <c r="G543" t="e">
        <f t="shared" si="8"/>
        <v>#DIV/0!</v>
      </c>
    </row>
    <row r="544" spans="1:7" x14ac:dyDescent="0.35">
      <c r="A544">
        <f>IF(Bestellungen!J544="Ja",Bestellungen!A544)</f>
        <v>8191</v>
      </c>
      <c r="B544">
        <f>IF(Bestellungen!J544="Ja",Bestellungen!B544)</f>
        <v>255</v>
      </c>
      <c r="C544">
        <v>3</v>
      </c>
      <c r="D544">
        <v>3</v>
      </c>
      <c r="E544">
        <v>3</v>
      </c>
      <c r="F544">
        <v>4</v>
      </c>
      <c r="G544">
        <f t="shared" si="8"/>
        <v>3.25</v>
      </c>
    </row>
    <row r="545" spans="1:7" hidden="1" x14ac:dyDescent="0.35">
      <c r="A545" t="b">
        <f>IF(Bestellungen!J545="Ja",Bestellungen!A545)</f>
        <v>0</v>
      </c>
      <c r="B545" t="b">
        <f>IF(Bestellungen!J545="Ja",Bestellungen!B545)</f>
        <v>0</v>
      </c>
      <c r="C545" t="s">
        <v>51</v>
      </c>
      <c r="D545" t="s">
        <v>51</v>
      </c>
      <c r="E545" t="s">
        <v>51</v>
      </c>
      <c r="F545" t="s">
        <v>51</v>
      </c>
      <c r="G545" t="e">
        <f t="shared" si="8"/>
        <v>#DIV/0!</v>
      </c>
    </row>
    <row r="546" spans="1:7" hidden="1" x14ac:dyDescent="0.35">
      <c r="A546" t="b">
        <f>IF(Bestellungen!J546="Ja",Bestellungen!A546)</f>
        <v>0</v>
      </c>
      <c r="B546" t="b">
        <f>IF(Bestellungen!J546="Ja",Bestellungen!B546)</f>
        <v>0</v>
      </c>
      <c r="C546" t="s">
        <v>51</v>
      </c>
      <c r="D546" t="s">
        <v>51</v>
      </c>
      <c r="E546" t="s">
        <v>51</v>
      </c>
      <c r="F546" t="s">
        <v>51</v>
      </c>
      <c r="G546" t="e">
        <f t="shared" si="8"/>
        <v>#DIV/0!</v>
      </c>
    </row>
    <row r="547" spans="1:7" hidden="1" x14ac:dyDescent="0.35">
      <c r="A547" t="b">
        <f>IF(Bestellungen!J547="Ja",Bestellungen!A547)</f>
        <v>0</v>
      </c>
      <c r="B547" t="b">
        <f>IF(Bestellungen!J547="Ja",Bestellungen!B547)</f>
        <v>0</v>
      </c>
      <c r="C547" t="s">
        <v>51</v>
      </c>
      <c r="D547" t="s">
        <v>51</v>
      </c>
      <c r="E547" t="s">
        <v>51</v>
      </c>
      <c r="F547" t="s">
        <v>51</v>
      </c>
      <c r="G547" t="e">
        <f t="shared" si="8"/>
        <v>#DIV/0!</v>
      </c>
    </row>
    <row r="548" spans="1:7" hidden="1" x14ac:dyDescent="0.35">
      <c r="A548" t="b">
        <f>IF(Bestellungen!J548="Ja",Bestellungen!A548)</f>
        <v>0</v>
      </c>
      <c r="B548" t="b">
        <f>IF(Bestellungen!J548="Ja",Bestellungen!B548)</f>
        <v>0</v>
      </c>
      <c r="C548" t="s">
        <v>51</v>
      </c>
      <c r="D548" t="s">
        <v>51</v>
      </c>
      <c r="E548" t="s">
        <v>51</v>
      </c>
      <c r="F548" t="s">
        <v>51</v>
      </c>
      <c r="G548" t="e">
        <f t="shared" si="8"/>
        <v>#DIV/0!</v>
      </c>
    </row>
    <row r="549" spans="1:7" hidden="1" x14ac:dyDescent="0.35">
      <c r="A549" t="b">
        <f>IF(Bestellungen!J549="Ja",Bestellungen!A549)</f>
        <v>0</v>
      </c>
      <c r="B549" t="b">
        <f>IF(Bestellungen!J549="Ja",Bestellungen!B549)</f>
        <v>0</v>
      </c>
      <c r="C549" t="s">
        <v>51</v>
      </c>
      <c r="D549" t="s">
        <v>51</v>
      </c>
      <c r="E549" t="s">
        <v>51</v>
      </c>
      <c r="F549" t="s">
        <v>51</v>
      </c>
      <c r="G549" t="e">
        <f t="shared" si="8"/>
        <v>#DIV/0!</v>
      </c>
    </row>
    <row r="550" spans="1:7" hidden="1" x14ac:dyDescent="0.35">
      <c r="A550" t="b">
        <f>IF(Bestellungen!J550="Ja",Bestellungen!A550)</f>
        <v>0</v>
      </c>
      <c r="B550" t="b">
        <f>IF(Bestellungen!J550="Ja",Bestellungen!B550)</f>
        <v>0</v>
      </c>
      <c r="C550" t="s">
        <v>51</v>
      </c>
      <c r="D550" t="s">
        <v>51</v>
      </c>
      <c r="E550" t="s">
        <v>51</v>
      </c>
      <c r="F550" t="s">
        <v>51</v>
      </c>
      <c r="G550" t="e">
        <f t="shared" si="8"/>
        <v>#DIV/0!</v>
      </c>
    </row>
    <row r="551" spans="1:7" x14ac:dyDescent="0.35">
      <c r="A551">
        <f>IF(Bestellungen!J551="Ja",Bestellungen!A551)</f>
        <v>8198</v>
      </c>
      <c r="B551">
        <f>IF(Bestellungen!J551="Ja",Bestellungen!B551)</f>
        <v>738</v>
      </c>
      <c r="C551">
        <v>3</v>
      </c>
      <c r="D551">
        <v>5</v>
      </c>
      <c r="E551">
        <v>3</v>
      </c>
      <c r="F551">
        <v>4</v>
      </c>
      <c r="G551">
        <f t="shared" si="8"/>
        <v>3.75</v>
      </c>
    </row>
    <row r="552" spans="1:7" hidden="1" x14ac:dyDescent="0.35">
      <c r="A552" t="b">
        <f>IF(Bestellungen!J552="Ja",Bestellungen!A552)</f>
        <v>0</v>
      </c>
      <c r="B552" t="b">
        <f>IF(Bestellungen!J552="Ja",Bestellungen!B552)</f>
        <v>0</v>
      </c>
      <c r="C552" t="s">
        <v>51</v>
      </c>
      <c r="D552" t="s">
        <v>51</v>
      </c>
      <c r="E552" t="s">
        <v>51</v>
      </c>
      <c r="F552" t="s">
        <v>51</v>
      </c>
      <c r="G552" t="e">
        <f t="shared" si="8"/>
        <v>#DIV/0!</v>
      </c>
    </row>
    <row r="553" spans="1:7" x14ac:dyDescent="0.35">
      <c r="A553">
        <f>IF(Bestellungen!J553="Ja",Bestellungen!A553)</f>
        <v>8200</v>
      </c>
      <c r="B553">
        <f>IF(Bestellungen!J553="Ja",Bestellungen!B553)</f>
        <v>373</v>
      </c>
      <c r="C553">
        <v>5</v>
      </c>
      <c r="D553">
        <v>3</v>
      </c>
      <c r="E553">
        <v>4</v>
      </c>
      <c r="F553">
        <v>4</v>
      </c>
      <c r="G553">
        <f t="shared" si="8"/>
        <v>4</v>
      </c>
    </row>
    <row r="554" spans="1:7" x14ac:dyDescent="0.35">
      <c r="A554">
        <f>IF(Bestellungen!J554="Ja",Bestellungen!A554)</f>
        <v>8201</v>
      </c>
      <c r="B554">
        <f>IF(Bestellungen!J554="Ja",Bestellungen!B554)</f>
        <v>727</v>
      </c>
      <c r="C554">
        <v>5</v>
      </c>
      <c r="D554">
        <v>3</v>
      </c>
      <c r="E554">
        <v>5</v>
      </c>
      <c r="F554">
        <v>4</v>
      </c>
      <c r="G554">
        <f t="shared" si="8"/>
        <v>4.25</v>
      </c>
    </row>
    <row r="555" spans="1:7" x14ac:dyDescent="0.35">
      <c r="A555">
        <f>IF(Bestellungen!J555="Ja",Bestellungen!A555)</f>
        <v>8202</v>
      </c>
      <c r="B555">
        <f>IF(Bestellungen!J555="Ja",Bestellungen!B555)</f>
        <v>546</v>
      </c>
      <c r="C555">
        <v>5</v>
      </c>
      <c r="D555">
        <v>4</v>
      </c>
      <c r="E555">
        <v>5</v>
      </c>
      <c r="F555">
        <v>3</v>
      </c>
      <c r="G555">
        <f t="shared" si="8"/>
        <v>4.25</v>
      </c>
    </row>
    <row r="556" spans="1:7" hidden="1" x14ac:dyDescent="0.35">
      <c r="A556" t="b">
        <f>IF(Bestellungen!J556="Ja",Bestellungen!A556)</f>
        <v>0</v>
      </c>
      <c r="B556" t="b">
        <f>IF(Bestellungen!J556="Ja",Bestellungen!B556)</f>
        <v>0</v>
      </c>
      <c r="C556" t="s">
        <v>51</v>
      </c>
      <c r="D556" t="s">
        <v>51</v>
      </c>
      <c r="E556" t="s">
        <v>51</v>
      </c>
      <c r="F556" t="s">
        <v>51</v>
      </c>
      <c r="G556" t="e">
        <f t="shared" si="8"/>
        <v>#DIV/0!</v>
      </c>
    </row>
    <row r="557" spans="1:7" x14ac:dyDescent="0.35">
      <c r="A557">
        <f>IF(Bestellungen!J557="Ja",Bestellungen!A557)</f>
        <v>8204</v>
      </c>
      <c r="B557">
        <f>IF(Bestellungen!J557="Ja",Bestellungen!B557)</f>
        <v>300</v>
      </c>
      <c r="C557">
        <v>3</v>
      </c>
      <c r="D557">
        <v>4</v>
      </c>
      <c r="E557">
        <v>4</v>
      </c>
      <c r="F557">
        <v>5</v>
      </c>
      <c r="G557">
        <f t="shared" si="8"/>
        <v>4</v>
      </c>
    </row>
    <row r="558" spans="1:7" hidden="1" x14ac:dyDescent="0.35">
      <c r="A558" t="b">
        <f>IF(Bestellungen!J558="Ja",Bestellungen!A558)</f>
        <v>0</v>
      </c>
      <c r="B558" t="b">
        <f>IF(Bestellungen!J558="Ja",Bestellungen!B558)</f>
        <v>0</v>
      </c>
      <c r="C558" t="s">
        <v>51</v>
      </c>
      <c r="D558" t="s">
        <v>51</v>
      </c>
      <c r="E558" t="s">
        <v>51</v>
      </c>
      <c r="F558" t="s">
        <v>51</v>
      </c>
      <c r="G558" t="e">
        <f t="shared" si="8"/>
        <v>#DIV/0!</v>
      </c>
    </row>
    <row r="559" spans="1:7" x14ac:dyDescent="0.35">
      <c r="A559">
        <f>IF(Bestellungen!J559="Ja",Bestellungen!A559)</f>
        <v>8206</v>
      </c>
      <c r="B559">
        <f>IF(Bestellungen!J559="Ja",Bestellungen!B559)</f>
        <v>334</v>
      </c>
      <c r="C559">
        <v>5</v>
      </c>
      <c r="D559">
        <v>5</v>
      </c>
      <c r="E559">
        <v>3</v>
      </c>
      <c r="F559">
        <v>5</v>
      </c>
      <c r="G559">
        <f t="shared" si="8"/>
        <v>4.5</v>
      </c>
    </row>
    <row r="560" spans="1:7" hidden="1" x14ac:dyDescent="0.35">
      <c r="A560" t="b">
        <f>IF(Bestellungen!J560="Ja",Bestellungen!A560)</f>
        <v>0</v>
      </c>
      <c r="B560" t="b">
        <f>IF(Bestellungen!J560="Ja",Bestellungen!B560)</f>
        <v>0</v>
      </c>
      <c r="C560" t="s">
        <v>51</v>
      </c>
      <c r="D560" t="s">
        <v>51</v>
      </c>
      <c r="E560" t="s">
        <v>51</v>
      </c>
      <c r="F560" t="s">
        <v>51</v>
      </c>
      <c r="G560" t="e">
        <f t="shared" si="8"/>
        <v>#DIV/0!</v>
      </c>
    </row>
    <row r="561" spans="1:7" hidden="1" x14ac:dyDescent="0.35">
      <c r="A561" t="b">
        <f>IF(Bestellungen!J561="Ja",Bestellungen!A561)</f>
        <v>0</v>
      </c>
      <c r="B561" t="b">
        <f>IF(Bestellungen!J561="Ja",Bestellungen!B561)</f>
        <v>0</v>
      </c>
      <c r="C561" t="s">
        <v>51</v>
      </c>
      <c r="D561" t="s">
        <v>51</v>
      </c>
      <c r="E561" t="s">
        <v>51</v>
      </c>
      <c r="F561" t="s">
        <v>51</v>
      </c>
      <c r="G561" t="e">
        <f t="shared" si="8"/>
        <v>#DIV/0!</v>
      </c>
    </row>
    <row r="562" spans="1:7" hidden="1" x14ac:dyDescent="0.35">
      <c r="A562" t="b">
        <f>IF(Bestellungen!J562="Ja",Bestellungen!A562)</f>
        <v>0</v>
      </c>
      <c r="B562" t="b">
        <f>IF(Bestellungen!J562="Ja",Bestellungen!B562)</f>
        <v>0</v>
      </c>
      <c r="C562" t="s">
        <v>51</v>
      </c>
      <c r="D562" t="s">
        <v>51</v>
      </c>
      <c r="E562" t="s">
        <v>51</v>
      </c>
      <c r="F562" t="s">
        <v>51</v>
      </c>
      <c r="G562" t="e">
        <f t="shared" si="8"/>
        <v>#DIV/0!</v>
      </c>
    </row>
    <row r="563" spans="1:7" x14ac:dyDescent="0.35">
      <c r="A563">
        <f>IF(Bestellungen!J563="Ja",Bestellungen!A563)</f>
        <v>8210</v>
      </c>
      <c r="B563">
        <f>IF(Bestellungen!J563="Ja",Bestellungen!B563)</f>
        <v>354</v>
      </c>
      <c r="C563">
        <v>3</v>
      </c>
      <c r="D563">
        <v>3</v>
      </c>
      <c r="E563">
        <v>3</v>
      </c>
      <c r="F563">
        <v>5</v>
      </c>
      <c r="G563">
        <f t="shared" si="8"/>
        <v>3.5</v>
      </c>
    </row>
    <row r="564" spans="1:7" x14ac:dyDescent="0.35">
      <c r="A564">
        <f>IF(Bestellungen!J564="Ja",Bestellungen!A564)</f>
        <v>8211</v>
      </c>
      <c r="B564">
        <f>IF(Bestellungen!J564="Ja",Bestellungen!B564)</f>
        <v>407</v>
      </c>
      <c r="C564">
        <v>3</v>
      </c>
      <c r="D564">
        <v>3</v>
      </c>
      <c r="E564">
        <v>4</v>
      </c>
      <c r="F564">
        <v>5</v>
      </c>
      <c r="G564">
        <f t="shared" si="8"/>
        <v>3.75</v>
      </c>
    </row>
    <row r="565" spans="1:7" x14ac:dyDescent="0.35">
      <c r="A565">
        <f>IF(Bestellungen!J565="Ja",Bestellungen!A565)</f>
        <v>8212</v>
      </c>
      <c r="B565">
        <f>IF(Bestellungen!J565="Ja",Bestellungen!B565)</f>
        <v>93</v>
      </c>
      <c r="C565">
        <v>3</v>
      </c>
      <c r="D565">
        <v>4</v>
      </c>
      <c r="E565">
        <v>3</v>
      </c>
      <c r="F565">
        <v>3</v>
      </c>
      <c r="G565">
        <f t="shared" si="8"/>
        <v>3.25</v>
      </c>
    </row>
    <row r="566" spans="1:7" hidden="1" x14ac:dyDescent="0.35">
      <c r="A566" t="b">
        <f>IF(Bestellungen!J566="Ja",Bestellungen!A566)</f>
        <v>0</v>
      </c>
      <c r="B566" t="b">
        <f>IF(Bestellungen!J566="Ja",Bestellungen!B566)</f>
        <v>0</v>
      </c>
      <c r="C566" t="s">
        <v>51</v>
      </c>
      <c r="D566" t="s">
        <v>51</v>
      </c>
      <c r="E566" t="s">
        <v>51</v>
      </c>
      <c r="F566" t="s">
        <v>51</v>
      </c>
      <c r="G566" t="e">
        <f t="shared" si="8"/>
        <v>#DIV/0!</v>
      </c>
    </row>
    <row r="567" spans="1:7" hidden="1" x14ac:dyDescent="0.35">
      <c r="A567" t="b">
        <f>IF(Bestellungen!J567="Ja",Bestellungen!A567)</f>
        <v>0</v>
      </c>
      <c r="B567" t="b">
        <f>IF(Bestellungen!J567="Ja",Bestellungen!B567)</f>
        <v>0</v>
      </c>
      <c r="C567" t="s">
        <v>51</v>
      </c>
      <c r="D567" t="s">
        <v>51</v>
      </c>
      <c r="E567" t="s">
        <v>51</v>
      </c>
      <c r="F567" t="s">
        <v>51</v>
      </c>
      <c r="G567" t="e">
        <f t="shared" si="8"/>
        <v>#DIV/0!</v>
      </c>
    </row>
    <row r="568" spans="1:7" x14ac:dyDescent="0.35">
      <c r="A568">
        <f>IF(Bestellungen!J568="Ja",Bestellungen!A568)</f>
        <v>8215</v>
      </c>
      <c r="B568">
        <f>IF(Bestellungen!J568="Ja",Bestellungen!B568)</f>
        <v>448</v>
      </c>
      <c r="C568">
        <v>3</v>
      </c>
      <c r="D568">
        <v>5</v>
      </c>
      <c r="E568">
        <v>5</v>
      </c>
      <c r="F568">
        <v>4</v>
      </c>
      <c r="G568">
        <f t="shared" si="8"/>
        <v>4.25</v>
      </c>
    </row>
    <row r="569" spans="1:7" x14ac:dyDescent="0.35">
      <c r="A569">
        <f>IF(Bestellungen!J569="Ja",Bestellungen!A569)</f>
        <v>8216</v>
      </c>
      <c r="B569">
        <f>IF(Bestellungen!J569="Ja",Bestellungen!B569)</f>
        <v>235</v>
      </c>
      <c r="C569">
        <v>4</v>
      </c>
      <c r="D569">
        <v>3</v>
      </c>
      <c r="E569">
        <v>5</v>
      </c>
      <c r="F569">
        <v>4</v>
      </c>
      <c r="G569">
        <f t="shared" si="8"/>
        <v>4</v>
      </c>
    </row>
    <row r="570" spans="1:7" hidden="1" x14ac:dyDescent="0.35">
      <c r="A570" t="b">
        <f>IF(Bestellungen!J570="Ja",Bestellungen!A570)</f>
        <v>0</v>
      </c>
      <c r="B570" t="b">
        <f>IF(Bestellungen!J570="Ja",Bestellungen!B570)</f>
        <v>0</v>
      </c>
      <c r="C570" t="s">
        <v>51</v>
      </c>
      <c r="D570" t="s">
        <v>51</v>
      </c>
      <c r="E570" t="s">
        <v>51</v>
      </c>
      <c r="F570" t="s">
        <v>51</v>
      </c>
      <c r="G570" t="e">
        <f t="shared" si="8"/>
        <v>#DIV/0!</v>
      </c>
    </row>
    <row r="571" spans="1:7" x14ac:dyDescent="0.35">
      <c r="A571">
        <f>IF(Bestellungen!J571="Ja",Bestellungen!A571)</f>
        <v>8218</v>
      </c>
      <c r="B571">
        <f>IF(Bestellungen!J571="Ja",Bestellungen!B571)</f>
        <v>307</v>
      </c>
      <c r="C571">
        <v>4</v>
      </c>
      <c r="D571">
        <v>3</v>
      </c>
      <c r="E571">
        <v>5</v>
      </c>
      <c r="F571">
        <v>3</v>
      </c>
      <c r="G571">
        <f t="shared" si="8"/>
        <v>3.75</v>
      </c>
    </row>
    <row r="572" spans="1:7" x14ac:dyDescent="0.35">
      <c r="A572">
        <f>IF(Bestellungen!J572="Ja",Bestellungen!A572)</f>
        <v>8219</v>
      </c>
      <c r="B572">
        <f>IF(Bestellungen!J572="Ja",Bestellungen!B572)</f>
        <v>300</v>
      </c>
      <c r="C572">
        <v>4</v>
      </c>
      <c r="D572">
        <v>3</v>
      </c>
      <c r="E572">
        <v>4</v>
      </c>
      <c r="F572">
        <v>3</v>
      </c>
      <c r="G572">
        <f t="shared" si="8"/>
        <v>3.5</v>
      </c>
    </row>
    <row r="573" spans="1:7" x14ac:dyDescent="0.35">
      <c r="A573">
        <f>IF(Bestellungen!J573="Ja",Bestellungen!A573)</f>
        <v>8220</v>
      </c>
      <c r="B573">
        <f>IF(Bestellungen!J573="Ja",Bestellungen!B573)</f>
        <v>651</v>
      </c>
      <c r="C573">
        <v>4</v>
      </c>
      <c r="D573">
        <v>4</v>
      </c>
      <c r="E573">
        <v>5</v>
      </c>
      <c r="F573">
        <v>5</v>
      </c>
      <c r="G573">
        <f t="shared" si="8"/>
        <v>4.5</v>
      </c>
    </row>
    <row r="574" spans="1:7" hidden="1" x14ac:dyDescent="0.35">
      <c r="A574" t="b">
        <f>IF(Bestellungen!J574="Ja",Bestellungen!A574)</f>
        <v>0</v>
      </c>
      <c r="B574" t="b">
        <f>IF(Bestellungen!J574="Ja",Bestellungen!B574)</f>
        <v>0</v>
      </c>
      <c r="C574" t="s">
        <v>51</v>
      </c>
      <c r="D574" t="s">
        <v>51</v>
      </c>
      <c r="E574" t="s">
        <v>51</v>
      </c>
      <c r="F574" t="s">
        <v>51</v>
      </c>
      <c r="G574" t="e">
        <f t="shared" si="8"/>
        <v>#DIV/0!</v>
      </c>
    </row>
    <row r="575" spans="1:7" hidden="1" x14ac:dyDescent="0.35">
      <c r="A575" t="b">
        <f>IF(Bestellungen!J575="Ja",Bestellungen!A575)</f>
        <v>0</v>
      </c>
      <c r="B575" t="b">
        <f>IF(Bestellungen!J575="Ja",Bestellungen!B575)</f>
        <v>0</v>
      </c>
      <c r="C575" t="s">
        <v>51</v>
      </c>
      <c r="D575" t="s">
        <v>51</v>
      </c>
      <c r="E575" t="s">
        <v>51</v>
      </c>
      <c r="F575" t="s">
        <v>51</v>
      </c>
      <c r="G575" t="e">
        <f t="shared" si="8"/>
        <v>#DIV/0!</v>
      </c>
    </row>
    <row r="576" spans="1:7" x14ac:dyDescent="0.35">
      <c r="A576">
        <f>IF(Bestellungen!J576="Ja",Bestellungen!A576)</f>
        <v>8223</v>
      </c>
      <c r="B576">
        <f>IF(Bestellungen!J576="Ja",Bestellungen!B576)</f>
        <v>472</v>
      </c>
      <c r="C576">
        <v>3</v>
      </c>
      <c r="D576">
        <v>4</v>
      </c>
      <c r="E576">
        <v>4</v>
      </c>
      <c r="F576">
        <v>5</v>
      </c>
      <c r="G576">
        <f t="shared" si="8"/>
        <v>4</v>
      </c>
    </row>
    <row r="577" spans="1:7" hidden="1" x14ac:dyDescent="0.35">
      <c r="A577" t="b">
        <f>IF(Bestellungen!J577="Ja",Bestellungen!A577)</f>
        <v>0</v>
      </c>
      <c r="B577" t="b">
        <f>IF(Bestellungen!J577="Ja",Bestellungen!B577)</f>
        <v>0</v>
      </c>
      <c r="C577" t="s">
        <v>51</v>
      </c>
      <c r="D577" t="s">
        <v>51</v>
      </c>
      <c r="E577" t="s">
        <v>51</v>
      </c>
      <c r="F577" t="s">
        <v>51</v>
      </c>
      <c r="G577" t="e">
        <f t="shared" si="8"/>
        <v>#DIV/0!</v>
      </c>
    </row>
    <row r="578" spans="1:7" hidden="1" x14ac:dyDescent="0.35">
      <c r="A578" t="b">
        <f>IF(Bestellungen!J578="Ja",Bestellungen!A578)</f>
        <v>0</v>
      </c>
      <c r="B578" t="b">
        <f>IF(Bestellungen!J578="Ja",Bestellungen!B578)</f>
        <v>0</v>
      </c>
      <c r="C578" t="s">
        <v>51</v>
      </c>
      <c r="D578" t="s">
        <v>51</v>
      </c>
      <c r="E578" t="s">
        <v>51</v>
      </c>
      <c r="F578" t="s">
        <v>51</v>
      </c>
      <c r="G578" t="e">
        <f t="shared" si="8"/>
        <v>#DIV/0!</v>
      </c>
    </row>
    <row r="579" spans="1:7" hidden="1" x14ac:dyDescent="0.35">
      <c r="A579" t="b">
        <f>IF(Bestellungen!J579="Ja",Bestellungen!A579)</f>
        <v>0</v>
      </c>
      <c r="B579" t="b">
        <f>IF(Bestellungen!J579="Ja",Bestellungen!B579)</f>
        <v>0</v>
      </c>
      <c r="C579" t="s">
        <v>51</v>
      </c>
      <c r="D579" t="s">
        <v>51</v>
      </c>
      <c r="E579" t="s">
        <v>51</v>
      </c>
      <c r="F579" t="s">
        <v>51</v>
      </c>
      <c r="G579" t="e">
        <f t="shared" ref="G579:G642" si="9">SUM(C579:F579)/COUNT(C579:F579)</f>
        <v>#DIV/0!</v>
      </c>
    </row>
    <row r="580" spans="1:7" hidden="1" x14ac:dyDescent="0.35">
      <c r="A580" t="b">
        <f>IF(Bestellungen!J580="Ja",Bestellungen!A580)</f>
        <v>0</v>
      </c>
      <c r="B580" t="b">
        <f>IF(Bestellungen!J580="Ja",Bestellungen!B580)</f>
        <v>0</v>
      </c>
      <c r="C580" t="s">
        <v>51</v>
      </c>
      <c r="D580" t="s">
        <v>51</v>
      </c>
      <c r="E580" t="s">
        <v>51</v>
      </c>
      <c r="F580" t="s">
        <v>51</v>
      </c>
      <c r="G580" t="e">
        <f t="shared" si="9"/>
        <v>#DIV/0!</v>
      </c>
    </row>
    <row r="581" spans="1:7" hidden="1" x14ac:dyDescent="0.35">
      <c r="A581" t="b">
        <f>IF(Bestellungen!J581="Ja",Bestellungen!A581)</f>
        <v>0</v>
      </c>
      <c r="B581" t="b">
        <f>IF(Bestellungen!J581="Ja",Bestellungen!B581)</f>
        <v>0</v>
      </c>
      <c r="C581" t="s">
        <v>51</v>
      </c>
      <c r="D581" t="s">
        <v>51</v>
      </c>
      <c r="E581" t="s">
        <v>51</v>
      </c>
      <c r="F581" t="s">
        <v>51</v>
      </c>
      <c r="G581" t="e">
        <f t="shared" si="9"/>
        <v>#DIV/0!</v>
      </c>
    </row>
    <row r="582" spans="1:7" hidden="1" x14ac:dyDescent="0.35">
      <c r="A582" t="b">
        <f>IF(Bestellungen!J582="Ja",Bestellungen!A582)</f>
        <v>0</v>
      </c>
      <c r="B582" t="b">
        <f>IF(Bestellungen!J582="Ja",Bestellungen!B582)</f>
        <v>0</v>
      </c>
      <c r="C582" t="s">
        <v>51</v>
      </c>
      <c r="D582" t="s">
        <v>51</v>
      </c>
      <c r="E582" t="s">
        <v>51</v>
      </c>
      <c r="F582" t="s">
        <v>51</v>
      </c>
      <c r="G582" t="e">
        <f t="shared" si="9"/>
        <v>#DIV/0!</v>
      </c>
    </row>
    <row r="583" spans="1:7" hidden="1" x14ac:dyDescent="0.35">
      <c r="A583" t="b">
        <f>IF(Bestellungen!J583="Ja",Bestellungen!A583)</f>
        <v>0</v>
      </c>
      <c r="B583" t="b">
        <f>IF(Bestellungen!J583="Ja",Bestellungen!B583)</f>
        <v>0</v>
      </c>
      <c r="C583" t="s">
        <v>51</v>
      </c>
      <c r="D583" t="s">
        <v>51</v>
      </c>
      <c r="E583" t="s">
        <v>51</v>
      </c>
      <c r="F583" t="s">
        <v>51</v>
      </c>
      <c r="G583" t="e">
        <f t="shared" si="9"/>
        <v>#DIV/0!</v>
      </c>
    </row>
    <row r="584" spans="1:7" x14ac:dyDescent="0.35">
      <c r="A584">
        <f>IF(Bestellungen!J584="Ja",Bestellungen!A584)</f>
        <v>8231</v>
      </c>
      <c r="B584">
        <f>IF(Bestellungen!J584="Ja",Bestellungen!B584)</f>
        <v>48</v>
      </c>
      <c r="C584">
        <v>3</v>
      </c>
      <c r="D584">
        <v>4</v>
      </c>
      <c r="E584">
        <v>3</v>
      </c>
      <c r="F584">
        <v>3</v>
      </c>
      <c r="G584">
        <f t="shared" si="9"/>
        <v>3.25</v>
      </c>
    </row>
    <row r="585" spans="1:7" x14ac:dyDescent="0.35">
      <c r="A585">
        <f>IF(Bestellungen!J585="Ja",Bestellungen!A585)</f>
        <v>8232</v>
      </c>
      <c r="B585">
        <f>IF(Bestellungen!J585="Ja",Bestellungen!B585)</f>
        <v>415</v>
      </c>
      <c r="C585">
        <v>3</v>
      </c>
      <c r="D585">
        <v>5</v>
      </c>
      <c r="E585">
        <v>3</v>
      </c>
      <c r="F585">
        <v>3</v>
      </c>
      <c r="G585">
        <f t="shared" si="9"/>
        <v>3.5</v>
      </c>
    </row>
    <row r="586" spans="1:7" x14ac:dyDescent="0.35">
      <c r="A586">
        <f>IF(Bestellungen!J586="Ja",Bestellungen!A586)</f>
        <v>8233</v>
      </c>
      <c r="B586">
        <f>IF(Bestellungen!J586="Ja",Bestellungen!B586)</f>
        <v>360</v>
      </c>
      <c r="C586">
        <v>4</v>
      </c>
      <c r="D586">
        <v>3</v>
      </c>
      <c r="E586">
        <v>4</v>
      </c>
      <c r="F586">
        <v>5</v>
      </c>
      <c r="G586">
        <f t="shared" si="9"/>
        <v>4</v>
      </c>
    </row>
    <row r="587" spans="1:7" x14ac:dyDescent="0.35">
      <c r="A587">
        <f>IF(Bestellungen!J587="Ja",Bestellungen!A587)</f>
        <v>8234</v>
      </c>
      <c r="B587">
        <f>IF(Bestellungen!J587="Ja",Bestellungen!B587)</f>
        <v>710</v>
      </c>
      <c r="C587">
        <v>3</v>
      </c>
      <c r="D587">
        <v>3</v>
      </c>
      <c r="E587">
        <v>5</v>
      </c>
      <c r="F587">
        <v>3</v>
      </c>
      <c r="G587">
        <f t="shared" si="9"/>
        <v>3.5</v>
      </c>
    </row>
    <row r="588" spans="1:7" hidden="1" x14ac:dyDescent="0.35">
      <c r="A588" t="b">
        <f>IF(Bestellungen!J588="Ja",Bestellungen!A588)</f>
        <v>0</v>
      </c>
      <c r="B588" t="b">
        <f>IF(Bestellungen!J588="Ja",Bestellungen!B588)</f>
        <v>0</v>
      </c>
      <c r="C588" t="s">
        <v>51</v>
      </c>
      <c r="D588" t="s">
        <v>51</v>
      </c>
      <c r="E588" t="s">
        <v>51</v>
      </c>
      <c r="F588" t="s">
        <v>51</v>
      </c>
      <c r="G588" t="e">
        <f t="shared" si="9"/>
        <v>#DIV/0!</v>
      </c>
    </row>
    <row r="589" spans="1:7" x14ac:dyDescent="0.35">
      <c r="A589">
        <f>IF(Bestellungen!J589="Ja",Bestellungen!A589)</f>
        <v>8236</v>
      </c>
      <c r="B589">
        <f>IF(Bestellungen!J589="Ja",Bestellungen!B589)</f>
        <v>419</v>
      </c>
      <c r="C589">
        <v>5</v>
      </c>
      <c r="D589">
        <v>5</v>
      </c>
      <c r="E589">
        <v>5</v>
      </c>
      <c r="F589">
        <v>5</v>
      </c>
      <c r="G589">
        <f t="shared" si="9"/>
        <v>5</v>
      </c>
    </row>
    <row r="590" spans="1:7" hidden="1" x14ac:dyDescent="0.35">
      <c r="A590" t="b">
        <f>IF(Bestellungen!J590="Ja",Bestellungen!A590)</f>
        <v>0</v>
      </c>
      <c r="B590" t="b">
        <f>IF(Bestellungen!J590="Ja",Bestellungen!B590)</f>
        <v>0</v>
      </c>
      <c r="C590" t="s">
        <v>51</v>
      </c>
      <c r="D590" t="s">
        <v>51</v>
      </c>
      <c r="E590" t="s">
        <v>51</v>
      </c>
      <c r="F590" t="s">
        <v>51</v>
      </c>
      <c r="G590" t="e">
        <f t="shared" si="9"/>
        <v>#DIV/0!</v>
      </c>
    </row>
    <row r="591" spans="1:7" hidden="1" x14ac:dyDescent="0.35">
      <c r="A591" t="b">
        <f>IF(Bestellungen!J591="Ja",Bestellungen!A591)</f>
        <v>0</v>
      </c>
      <c r="B591" t="b">
        <f>IF(Bestellungen!J591="Ja",Bestellungen!B591)</f>
        <v>0</v>
      </c>
      <c r="C591" t="s">
        <v>51</v>
      </c>
      <c r="D591" t="s">
        <v>51</v>
      </c>
      <c r="E591" t="s">
        <v>51</v>
      </c>
      <c r="F591" t="s">
        <v>51</v>
      </c>
      <c r="G591" t="e">
        <f t="shared" si="9"/>
        <v>#DIV/0!</v>
      </c>
    </row>
    <row r="592" spans="1:7" x14ac:dyDescent="0.35">
      <c r="A592">
        <f>IF(Bestellungen!J592="Ja",Bestellungen!A592)</f>
        <v>8239</v>
      </c>
      <c r="B592">
        <f>IF(Bestellungen!J592="Ja",Bestellungen!B592)</f>
        <v>668</v>
      </c>
      <c r="C592">
        <v>5</v>
      </c>
      <c r="D592">
        <v>5</v>
      </c>
      <c r="E592">
        <v>4</v>
      </c>
      <c r="F592">
        <v>3</v>
      </c>
      <c r="G592">
        <f t="shared" si="9"/>
        <v>4.25</v>
      </c>
    </row>
    <row r="593" spans="1:7" x14ac:dyDescent="0.35">
      <c r="A593">
        <f>IF(Bestellungen!J593="Ja",Bestellungen!A593)</f>
        <v>8240</v>
      </c>
      <c r="B593">
        <f>IF(Bestellungen!J593="Ja",Bestellungen!B593)</f>
        <v>28</v>
      </c>
      <c r="C593">
        <v>3</v>
      </c>
      <c r="D593">
        <v>5</v>
      </c>
      <c r="E593">
        <v>3</v>
      </c>
      <c r="F593">
        <v>3</v>
      </c>
      <c r="G593">
        <f t="shared" si="9"/>
        <v>3.5</v>
      </c>
    </row>
    <row r="594" spans="1:7" x14ac:dyDescent="0.35">
      <c r="A594">
        <f>IF(Bestellungen!J594="Ja",Bestellungen!A594)</f>
        <v>8241</v>
      </c>
      <c r="B594">
        <f>IF(Bestellungen!J594="Ja",Bestellungen!B594)</f>
        <v>327</v>
      </c>
      <c r="C594">
        <v>4</v>
      </c>
      <c r="D594">
        <v>4</v>
      </c>
      <c r="E594">
        <v>4</v>
      </c>
      <c r="F594">
        <v>3</v>
      </c>
      <c r="G594">
        <f t="shared" si="9"/>
        <v>3.75</v>
      </c>
    </row>
    <row r="595" spans="1:7" hidden="1" x14ac:dyDescent="0.35">
      <c r="A595" t="b">
        <f>IF(Bestellungen!J595="Ja",Bestellungen!A595)</f>
        <v>0</v>
      </c>
      <c r="B595" t="b">
        <f>IF(Bestellungen!J595="Ja",Bestellungen!B595)</f>
        <v>0</v>
      </c>
      <c r="C595" t="s">
        <v>51</v>
      </c>
      <c r="D595" t="s">
        <v>51</v>
      </c>
      <c r="E595" t="s">
        <v>51</v>
      </c>
      <c r="F595" t="s">
        <v>51</v>
      </c>
      <c r="G595" t="e">
        <f t="shared" si="9"/>
        <v>#DIV/0!</v>
      </c>
    </row>
    <row r="596" spans="1:7" hidden="1" x14ac:dyDescent="0.35">
      <c r="A596" t="b">
        <f>IF(Bestellungen!J596="Ja",Bestellungen!A596)</f>
        <v>0</v>
      </c>
      <c r="B596" t="b">
        <f>IF(Bestellungen!J596="Ja",Bestellungen!B596)</f>
        <v>0</v>
      </c>
      <c r="C596" t="s">
        <v>51</v>
      </c>
      <c r="D596" t="s">
        <v>51</v>
      </c>
      <c r="E596" t="s">
        <v>51</v>
      </c>
      <c r="F596" t="s">
        <v>51</v>
      </c>
      <c r="G596" t="e">
        <f t="shared" si="9"/>
        <v>#DIV/0!</v>
      </c>
    </row>
    <row r="597" spans="1:7" hidden="1" x14ac:dyDescent="0.35">
      <c r="A597" t="b">
        <f>IF(Bestellungen!J597="Ja",Bestellungen!A597)</f>
        <v>0</v>
      </c>
      <c r="B597" t="b">
        <f>IF(Bestellungen!J597="Ja",Bestellungen!B597)</f>
        <v>0</v>
      </c>
      <c r="C597" t="s">
        <v>51</v>
      </c>
      <c r="D597" t="s">
        <v>51</v>
      </c>
      <c r="E597" t="s">
        <v>51</v>
      </c>
      <c r="F597" t="s">
        <v>51</v>
      </c>
      <c r="G597" t="e">
        <f t="shared" si="9"/>
        <v>#DIV/0!</v>
      </c>
    </row>
    <row r="598" spans="1:7" hidden="1" x14ac:dyDescent="0.35">
      <c r="A598" t="b">
        <f>IF(Bestellungen!J598="Ja",Bestellungen!A598)</f>
        <v>0</v>
      </c>
      <c r="B598" t="b">
        <f>IF(Bestellungen!J598="Ja",Bestellungen!B598)</f>
        <v>0</v>
      </c>
      <c r="C598" t="s">
        <v>51</v>
      </c>
      <c r="D598" t="s">
        <v>51</v>
      </c>
      <c r="E598" t="s">
        <v>51</v>
      </c>
      <c r="F598" t="s">
        <v>51</v>
      </c>
      <c r="G598" t="e">
        <f t="shared" si="9"/>
        <v>#DIV/0!</v>
      </c>
    </row>
    <row r="599" spans="1:7" hidden="1" x14ac:dyDescent="0.35">
      <c r="A599" t="b">
        <f>IF(Bestellungen!J599="Ja",Bestellungen!A599)</f>
        <v>0</v>
      </c>
      <c r="B599" t="b">
        <f>IF(Bestellungen!J599="Ja",Bestellungen!B599)</f>
        <v>0</v>
      </c>
      <c r="C599" t="s">
        <v>51</v>
      </c>
      <c r="D599" t="s">
        <v>51</v>
      </c>
      <c r="E599" t="s">
        <v>51</v>
      </c>
      <c r="F599" t="s">
        <v>51</v>
      </c>
      <c r="G599" t="e">
        <f t="shared" si="9"/>
        <v>#DIV/0!</v>
      </c>
    </row>
    <row r="600" spans="1:7" x14ac:dyDescent="0.35">
      <c r="A600">
        <f>IF(Bestellungen!J600="Ja",Bestellungen!A600)</f>
        <v>8247</v>
      </c>
      <c r="B600">
        <f>IF(Bestellungen!J600="Ja",Bestellungen!B600)</f>
        <v>600</v>
      </c>
      <c r="C600">
        <v>5</v>
      </c>
      <c r="D600">
        <v>3</v>
      </c>
      <c r="E600">
        <v>4</v>
      </c>
      <c r="F600">
        <v>3</v>
      </c>
      <c r="G600">
        <f t="shared" si="9"/>
        <v>3.75</v>
      </c>
    </row>
    <row r="601" spans="1:7" hidden="1" x14ac:dyDescent="0.35">
      <c r="A601" t="b">
        <f>IF(Bestellungen!J601="Ja",Bestellungen!A601)</f>
        <v>0</v>
      </c>
      <c r="B601" t="b">
        <f>IF(Bestellungen!J601="Ja",Bestellungen!B601)</f>
        <v>0</v>
      </c>
      <c r="C601" t="s">
        <v>51</v>
      </c>
      <c r="D601" t="s">
        <v>51</v>
      </c>
      <c r="E601" t="s">
        <v>51</v>
      </c>
      <c r="F601" t="s">
        <v>51</v>
      </c>
      <c r="G601" t="e">
        <f t="shared" si="9"/>
        <v>#DIV/0!</v>
      </c>
    </row>
    <row r="602" spans="1:7" x14ac:dyDescent="0.35">
      <c r="A602">
        <f>IF(Bestellungen!J602="Ja",Bestellungen!A602)</f>
        <v>8249</v>
      </c>
      <c r="B602">
        <f>IF(Bestellungen!J602="Ja",Bestellungen!B602)</f>
        <v>745</v>
      </c>
      <c r="C602">
        <v>3</v>
      </c>
      <c r="D602">
        <v>4</v>
      </c>
      <c r="E602">
        <v>3</v>
      </c>
      <c r="F602">
        <v>3</v>
      </c>
      <c r="G602">
        <f t="shared" si="9"/>
        <v>3.25</v>
      </c>
    </row>
    <row r="603" spans="1:7" hidden="1" x14ac:dyDescent="0.35">
      <c r="A603" t="b">
        <f>IF(Bestellungen!J603="Ja",Bestellungen!A603)</f>
        <v>0</v>
      </c>
      <c r="B603" t="b">
        <f>IF(Bestellungen!J603="Ja",Bestellungen!B603)</f>
        <v>0</v>
      </c>
      <c r="C603" t="s">
        <v>51</v>
      </c>
      <c r="D603" t="s">
        <v>51</v>
      </c>
      <c r="E603" t="s">
        <v>51</v>
      </c>
      <c r="F603" t="s">
        <v>51</v>
      </c>
      <c r="G603" t="e">
        <f t="shared" si="9"/>
        <v>#DIV/0!</v>
      </c>
    </row>
    <row r="604" spans="1:7" hidden="1" x14ac:dyDescent="0.35">
      <c r="A604" t="b">
        <f>IF(Bestellungen!J604="Ja",Bestellungen!A604)</f>
        <v>0</v>
      </c>
      <c r="B604" t="b">
        <f>IF(Bestellungen!J604="Ja",Bestellungen!B604)</f>
        <v>0</v>
      </c>
      <c r="C604" t="s">
        <v>51</v>
      </c>
      <c r="D604" t="s">
        <v>51</v>
      </c>
      <c r="E604" t="s">
        <v>51</v>
      </c>
      <c r="F604" t="s">
        <v>51</v>
      </c>
      <c r="G604" t="e">
        <f t="shared" si="9"/>
        <v>#DIV/0!</v>
      </c>
    </row>
    <row r="605" spans="1:7" x14ac:dyDescent="0.35">
      <c r="A605">
        <f>IF(Bestellungen!J605="Ja",Bestellungen!A605)</f>
        <v>8252</v>
      </c>
      <c r="B605">
        <f>IF(Bestellungen!J605="Ja",Bestellungen!B605)</f>
        <v>704</v>
      </c>
      <c r="C605">
        <v>4</v>
      </c>
      <c r="D605">
        <v>5</v>
      </c>
      <c r="E605">
        <v>5</v>
      </c>
      <c r="F605">
        <v>3</v>
      </c>
      <c r="G605">
        <f t="shared" si="9"/>
        <v>4.25</v>
      </c>
    </row>
    <row r="606" spans="1:7" hidden="1" x14ac:dyDescent="0.35">
      <c r="A606" t="b">
        <f>IF(Bestellungen!J606="Ja",Bestellungen!A606)</f>
        <v>0</v>
      </c>
      <c r="B606" t="b">
        <f>IF(Bestellungen!J606="Ja",Bestellungen!B606)</f>
        <v>0</v>
      </c>
      <c r="C606" t="s">
        <v>51</v>
      </c>
      <c r="D606" t="s">
        <v>51</v>
      </c>
      <c r="E606" t="s">
        <v>51</v>
      </c>
      <c r="F606" t="s">
        <v>51</v>
      </c>
      <c r="G606" t="e">
        <f t="shared" si="9"/>
        <v>#DIV/0!</v>
      </c>
    </row>
    <row r="607" spans="1:7" x14ac:dyDescent="0.35">
      <c r="A607">
        <f>IF(Bestellungen!J607="Ja",Bestellungen!A607)</f>
        <v>8254</v>
      </c>
      <c r="B607">
        <f>IF(Bestellungen!J607="Ja",Bestellungen!B607)</f>
        <v>734</v>
      </c>
      <c r="C607">
        <v>3</v>
      </c>
      <c r="D607">
        <v>4</v>
      </c>
      <c r="E607">
        <v>3</v>
      </c>
      <c r="F607">
        <v>3</v>
      </c>
      <c r="G607">
        <f t="shared" si="9"/>
        <v>3.25</v>
      </c>
    </row>
    <row r="608" spans="1:7" x14ac:dyDescent="0.35">
      <c r="A608">
        <f>IF(Bestellungen!J608="Ja",Bestellungen!A608)</f>
        <v>8255</v>
      </c>
      <c r="B608">
        <f>IF(Bestellungen!J608="Ja",Bestellungen!B608)</f>
        <v>173</v>
      </c>
      <c r="C608">
        <v>4</v>
      </c>
      <c r="D608">
        <v>4</v>
      </c>
      <c r="E608">
        <v>3</v>
      </c>
      <c r="F608">
        <v>4</v>
      </c>
      <c r="G608">
        <f t="shared" si="9"/>
        <v>3.75</v>
      </c>
    </row>
    <row r="609" spans="1:7" hidden="1" x14ac:dyDescent="0.35">
      <c r="A609" t="b">
        <f>IF(Bestellungen!J609="Ja",Bestellungen!A609)</f>
        <v>0</v>
      </c>
      <c r="B609" t="b">
        <f>IF(Bestellungen!J609="Ja",Bestellungen!B609)</f>
        <v>0</v>
      </c>
      <c r="C609" t="s">
        <v>51</v>
      </c>
      <c r="D609" t="s">
        <v>51</v>
      </c>
      <c r="E609" t="s">
        <v>51</v>
      </c>
      <c r="F609" t="s">
        <v>51</v>
      </c>
      <c r="G609" t="e">
        <f t="shared" si="9"/>
        <v>#DIV/0!</v>
      </c>
    </row>
    <row r="610" spans="1:7" x14ac:dyDescent="0.35">
      <c r="A610">
        <f>IF(Bestellungen!J610="Ja",Bestellungen!A610)</f>
        <v>8257</v>
      </c>
      <c r="B610">
        <f>IF(Bestellungen!J610="Ja",Bestellungen!B610)</f>
        <v>32</v>
      </c>
      <c r="C610">
        <v>4</v>
      </c>
      <c r="D610">
        <v>3</v>
      </c>
      <c r="E610">
        <v>3</v>
      </c>
      <c r="F610">
        <v>5</v>
      </c>
      <c r="G610">
        <f t="shared" si="9"/>
        <v>3.75</v>
      </c>
    </row>
    <row r="611" spans="1:7" x14ac:dyDescent="0.35">
      <c r="A611">
        <f>IF(Bestellungen!J611="Ja",Bestellungen!A611)</f>
        <v>8258</v>
      </c>
      <c r="B611">
        <f>IF(Bestellungen!J611="Ja",Bestellungen!B611)</f>
        <v>596</v>
      </c>
      <c r="C611">
        <v>4</v>
      </c>
      <c r="D611">
        <v>4</v>
      </c>
      <c r="E611">
        <v>4</v>
      </c>
      <c r="F611">
        <v>5</v>
      </c>
      <c r="G611">
        <f t="shared" si="9"/>
        <v>4.25</v>
      </c>
    </row>
    <row r="612" spans="1:7" hidden="1" x14ac:dyDescent="0.35">
      <c r="A612" t="b">
        <f>IF(Bestellungen!J612="Ja",Bestellungen!A612)</f>
        <v>0</v>
      </c>
      <c r="B612" t="b">
        <f>IF(Bestellungen!J612="Ja",Bestellungen!B612)</f>
        <v>0</v>
      </c>
      <c r="C612" t="s">
        <v>51</v>
      </c>
      <c r="D612" t="s">
        <v>51</v>
      </c>
      <c r="E612" t="s">
        <v>51</v>
      </c>
      <c r="F612" t="s">
        <v>51</v>
      </c>
      <c r="G612" t="e">
        <f t="shared" si="9"/>
        <v>#DIV/0!</v>
      </c>
    </row>
    <row r="613" spans="1:7" x14ac:dyDescent="0.35">
      <c r="A613">
        <f>IF(Bestellungen!J613="Ja",Bestellungen!A613)</f>
        <v>8260</v>
      </c>
      <c r="B613">
        <f>IF(Bestellungen!J613="Ja",Bestellungen!B613)</f>
        <v>572</v>
      </c>
      <c r="C613">
        <v>4</v>
      </c>
      <c r="D613">
        <v>5</v>
      </c>
      <c r="E613">
        <v>4</v>
      </c>
      <c r="F613">
        <v>3</v>
      </c>
      <c r="G613">
        <f t="shared" si="9"/>
        <v>4</v>
      </c>
    </row>
    <row r="614" spans="1:7" hidden="1" x14ac:dyDescent="0.35">
      <c r="A614" t="b">
        <f>IF(Bestellungen!J614="Ja",Bestellungen!A614)</f>
        <v>0</v>
      </c>
      <c r="B614" t="b">
        <f>IF(Bestellungen!J614="Ja",Bestellungen!B614)</f>
        <v>0</v>
      </c>
      <c r="C614" t="s">
        <v>51</v>
      </c>
      <c r="D614" t="s">
        <v>51</v>
      </c>
      <c r="E614" t="s">
        <v>51</v>
      </c>
      <c r="F614" t="s">
        <v>51</v>
      </c>
      <c r="G614" t="e">
        <f t="shared" si="9"/>
        <v>#DIV/0!</v>
      </c>
    </row>
    <row r="615" spans="1:7" hidden="1" x14ac:dyDescent="0.35">
      <c r="A615" t="b">
        <f>IF(Bestellungen!J615="Ja",Bestellungen!A615)</f>
        <v>0</v>
      </c>
      <c r="B615" t="b">
        <f>IF(Bestellungen!J615="Ja",Bestellungen!B615)</f>
        <v>0</v>
      </c>
      <c r="C615" t="s">
        <v>51</v>
      </c>
      <c r="D615" t="s">
        <v>51</v>
      </c>
      <c r="E615" t="s">
        <v>51</v>
      </c>
      <c r="F615" t="s">
        <v>51</v>
      </c>
      <c r="G615" t="e">
        <f t="shared" si="9"/>
        <v>#DIV/0!</v>
      </c>
    </row>
    <row r="616" spans="1:7" x14ac:dyDescent="0.35">
      <c r="A616">
        <f>IF(Bestellungen!J616="Ja",Bestellungen!A616)</f>
        <v>8263</v>
      </c>
      <c r="B616">
        <f>IF(Bestellungen!J616="Ja",Bestellungen!B616)</f>
        <v>122</v>
      </c>
      <c r="C616">
        <v>5</v>
      </c>
      <c r="D616">
        <v>3</v>
      </c>
      <c r="E616">
        <v>5</v>
      </c>
      <c r="F616">
        <v>3</v>
      </c>
      <c r="G616">
        <f t="shared" si="9"/>
        <v>4</v>
      </c>
    </row>
    <row r="617" spans="1:7" x14ac:dyDescent="0.35">
      <c r="A617">
        <f>IF(Bestellungen!J617="Ja",Bestellungen!A617)</f>
        <v>8264</v>
      </c>
      <c r="B617">
        <f>IF(Bestellungen!J617="Ja",Bestellungen!B617)</f>
        <v>267</v>
      </c>
      <c r="C617">
        <v>4</v>
      </c>
      <c r="D617">
        <v>3</v>
      </c>
      <c r="E617">
        <v>4</v>
      </c>
      <c r="F617">
        <v>4</v>
      </c>
      <c r="G617">
        <f t="shared" si="9"/>
        <v>3.75</v>
      </c>
    </row>
    <row r="618" spans="1:7" hidden="1" x14ac:dyDescent="0.35">
      <c r="A618" t="b">
        <f>IF(Bestellungen!J618="Ja",Bestellungen!A618)</f>
        <v>0</v>
      </c>
      <c r="B618" t="b">
        <f>IF(Bestellungen!J618="Ja",Bestellungen!B618)</f>
        <v>0</v>
      </c>
      <c r="C618" t="s">
        <v>51</v>
      </c>
      <c r="D618" t="s">
        <v>51</v>
      </c>
      <c r="E618" t="s">
        <v>51</v>
      </c>
      <c r="F618" t="s">
        <v>51</v>
      </c>
      <c r="G618" t="e">
        <f t="shared" si="9"/>
        <v>#DIV/0!</v>
      </c>
    </row>
    <row r="619" spans="1:7" hidden="1" x14ac:dyDescent="0.35">
      <c r="A619" t="b">
        <f>IF(Bestellungen!J619="Ja",Bestellungen!A619)</f>
        <v>0</v>
      </c>
      <c r="B619" t="b">
        <f>IF(Bestellungen!J619="Ja",Bestellungen!B619)</f>
        <v>0</v>
      </c>
      <c r="C619" t="s">
        <v>51</v>
      </c>
      <c r="D619" t="s">
        <v>51</v>
      </c>
      <c r="E619" t="s">
        <v>51</v>
      </c>
      <c r="F619" t="s">
        <v>51</v>
      </c>
      <c r="G619" t="e">
        <f t="shared" si="9"/>
        <v>#DIV/0!</v>
      </c>
    </row>
    <row r="620" spans="1:7" x14ac:dyDescent="0.35">
      <c r="A620">
        <f>IF(Bestellungen!J620="Ja",Bestellungen!A620)</f>
        <v>8267</v>
      </c>
      <c r="B620">
        <f>IF(Bestellungen!J620="Ja",Bestellungen!B620)</f>
        <v>694</v>
      </c>
      <c r="C620">
        <v>5</v>
      </c>
      <c r="D620">
        <v>5</v>
      </c>
      <c r="E620">
        <v>5</v>
      </c>
      <c r="F620">
        <v>3</v>
      </c>
      <c r="G620">
        <f t="shared" si="9"/>
        <v>4.5</v>
      </c>
    </row>
    <row r="621" spans="1:7" x14ac:dyDescent="0.35">
      <c r="A621">
        <f>IF(Bestellungen!J621="Ja",Bestellungen!A621)</f>
        <v>8268</v>
      </c>
      <c r="B621">
        <f>IF(Bestellungen!J621="Ja",Bestellungen!B621)</f>
        <v>422</v>
      </c>
      <c r="C621">
        <v>5</v>
      </c>
      <c r="D621">
        <v>4</v>
      </c>
      <c r="E621">
        <v>4</v>
      </c>
      <c r="F621">
        <v>3</v>
      </c>
      <c r="G621">
        <f t="shared" si="9"/>
        <v>4</v>
      </c>
    </row>
    <row r="622" spans="1:7" hidden="1" x14ac:dyDescent="0.35">
      <c r="A622" t="b">
        <f>IF(Bestellungen!J622="Ja",Bestellungen!A622)</f>
        <v>0</v>
      </c>
      <c r="B622" t="b">
        <f>IF(Bestellungen!J622="Ja",Bestellungen!B622)</f>
        <v>0</v>
      </c>
      <c r="C622" t="s">
        <v>51</v>
      </c>
      <c r="D622" t="s">
        <v>51</v>
      </c>
      <c r="E622" t="s">
        <v>51</v>
      </c>
      <c r="F622" t="s">
        <v>51</v>
      </c>
      <c r="G622" t="e">
        <f t="shared" si="9"/>
        <v>#DIV/0!</v>
      </c>
    </row>
    <row r="623" spans="1:7" hidden="1" x14ac:dyDescent="0.35">
      <c r="A623" t="b">
        <f>IF(Bestellungen!J623="Ja",Bestellungen!A623)</f>
        <v>0</v>
      </c>
      <c r="B623" t="b">
        <f>IF(Bestellungen!J623="Ja",Bestellungen!B623)</f>
        <v>0</v>
      </c>
      <c r="C623" t="s">
        <v>51</v>
      </c>
      <c r="D623" t="s">
        <v>51</v>
      </c>
      <c r="E623" t="s">
        <v>51</v>
      </c>
      <c r="F623" t="s">
        <v>51</v>
      </c>
      <c r="G623" t="e">
        <f t="shared" si="9"/>
        <v>#DIV/0!</v>
      </c>
    </row>
    <row r="624" spans="1:7" x14ac:dyDescent="0.35">
      <c r="A624">
        <f>IF(Bestellungen!J624="Ja",Bestellungen!A624)</f>
        <v>8271</v>
      </c>
      <c r="B624">
        <f>IF(Bestellungen!J624="Ja",Bestellungen!B624)</f>
        <v>87</v>
      </c>
      <c r="C624">
        <v>3</v>
      </c>
      <c r="D624">
        <v>4</v>
      </c>
      <c r="E624">
        <v>3</v>
      </c>
      <c r="F624">
        <v>4</v>
      </c>
      <c r="G624">
        <f t="shared" si="9"/>
        <v>3.5</v>
      </c>
    </row>
    <row r="625" spans="1:7" x14ac:dyDescent="0.35">
      <c r="A625">
        <f>IF(Bestellungen!J625="Ja",Bestellungen!A625)</f>
        <v>8272</v>
      </c>
      <c r="B625">
        <f>IF(Bestellungen!J625="Ja",Bestellungen!B625)</f>
        <v>736</v>
      </c>
      <c r="C625">
        <v>5</v>
      </c>
      <c r="D625">
        <v>5</v>
      </c>
      <c r="E625">
        <v>4</v>
      </c>
      <c r="F625">
        <v>3</v>
      </c>
      <c r="G625">
        <f t="shared" si="9"/>
        <v>4.25</v>
      </c>
    </row>
    <row r="626" spans="1:7" hidden="1" x14ac:dyDescent="0.35">
      <c r="A626" t="b">
        <f>IF(Bestellungen!J626="Ja",Bestellungen!A626)</f>
        <v>0</v>
      </c>
      <c r="B626" t="b">
        <f>IF(Bestellungen!J626="Ja",Bestellungen!B626)</f>
        <v>0</v>
      </c>
      <c r="C626" t="s">
        <v>51</v>
      </c>
      <c r="D626" t="s">
        <v>51</v>
      </c>
      <c r="E626" t="s">
        <v>51</v>
      </c>
      <c r="F626" t="s">
        <v>51</v>
      </c>
      <c r="G626" t="e">
        <f t="shared" si="9"/>
        <v>#DIV/0!</v>
      </c>
    </row>
    <row r="627" spans="1:7" hidden="1" x14ac:dyDescent="0.35">
      <c r="A627" t="b">
        <f>IF(Bestellungen!J627="Ja",Bestellungen!A627)</f>
        <v>0</v>
      </c>
      <c r="B627" t="b">
        <f>IF(Bestellungen!J627="Ja",Bestellungen!B627)</f>
        <v>0</v>
      </c>
      <c r="C627" t="s">
        <v>51</v>
      </c>
      <c r="D627" t="s">
        <v>51</v>
      </c>
      <c r="E627" t="s">
        <v>51</v>
      </c>
      <c r="F627" t="s">
        <v>51</v>
      </c>
      <c r="G627" t="e">
        <f t="shared" si="9"/>
        <v>#DIV/0!</v>
      </c>
    </row>
    <row r="628" spans="1:7" x14ac:dyDescent="0.35">
      <c r="A628">
        <f>IF(Bestellungen!J628="Ja",Bestellungen!A628)</f>
        <v>8275</v>
      </c>
      <c r="B628">
        <f>IF(Bestellungen!J628="Ja",Bestellungen!B628)</f>
        <v>504</v>
      </c>
      <c r="C628">
        <v>4</v>
      </c>
      <c r="D628">
        <v>4</v>
      </c>
      <c r="E628">
        <v>4</v>
      </c>
      <c r="F628">
        <v>5</v>
      </c>
      <c r="G628">
        <f t="shared" si="9"/>
        <v>4.25</v>
      </c>
    </row>
    <row r="629" spans="1:7" hidden="1" x14ac:dyDescent="0.35">
      <c r="A629" t="b">
        <f>IF(Bestellungen!J629="Ja",Bestellungen!A629)</f>
        <v>0</v>
      </c>
      <c r="B629" t="b">
        <f>IF(Bestellungen!J629="Ja",Bestellungen!B629)</f>
        <v>0</v>
      </c>
      <c r="C629" t="s">
        <v>51</v>
      </c>
      <c r="D629" t="s">
        <v>51</v>
      </c>
      <c r="E629" t="s">
        <v>51</v>
      </c>
      <c r="F629" t="s">
        <v>51</v>
      </c>
      <c r="G629" t="e">
        <f t="shared" si="9"/>
        <v>#DIV/0!</v>
      </c>
    </row>
    <row r="630" spans="1:7" x14ac:dyDescent="0.35">
      <c r="A630">
        <f>IF(Bestellungen!J630="Ja",Bestellungen!A630)</f>
        <v>8277</v>
      </c>
      <c r="B630">
        <f>IF(Bestellungen!J630="Ja",Bestellungen!B630)</f>
        <v>152</v>
      </c>
      <c r="C630">
        <v>4</v>
      </c>
      <c r="D630">
        <v>5</v>
      </c>
      <c r="E630">
        <v>5</v>
      </c>
      <c r="F630">
        <v>5</v>
      </c>
      <c r="G630">
        <f t="shared" si="9"/>
        <v>4.75</v>
      </c>
    </row>
    <row r="631" spans="1:7" x14ac:dyDescent="0.35">
      <c r="A631">
        <f>IF(Bestellungen!J631="Ja",Bestellungen!A631)</f>
        <v>8278</v>
      </c>
      <c r="B631">
        <f>IF(Bestellungen!J631="Ja",Bestellungen!B631)</f>
        <v>442</v>
      </c>
      <c r="C631">
        <v>5</v>
      </c>
      <c r="D631">
        <v>3</v>
      </c>
      <c r="E631">
        <v>4</v>
      </c>
      <c r="F631">
        <v>4</v>
      </c>
      <c r="G631">
        <f t="shared" si="9"/>
        <v>4</v>
      </c>
    </row>
    <row r="632" spans="1:7" x14ac:dyDescent="0.35">
      <c r="A632">
        <f>IF(Bestellungen!J632="Ja",Bestellungen!A632)</f>
        <v>8279</v>
      </c>
      <c r="B632">
        <f>IF(Bestellungen!J632="Ja",Bestellungen!B632)</f>
        <v>516</v>
      </c>
      <c r="C632">
        <v>4</v>
      </c>
      <c r="D632">
        <v>3</v>
      </c>
      <c r="E632">
        <v>4</v>
      </c>
      <c r="F632">
        <v>3</v>
      </c>
      <c r="G632">
        <f t="shared" si="9"/>
        <v>3.5</v>
      </c>
    </row>
    <row r="633" spans="1:7" x14ac:dyDescent="0.35">
      <c r="A633">
        <f>IF(Bestellungen!J633="Ja",Bestellungen!A633)</f>
        <v>8280</v>
      </c>
      <c r="B633">
        <f>IF(Bestellungen!J633="Ja",Bestellungen!B633)</f>
        <v>780</v>
      </c>
      <c r="C633">
        <v>3</v>
      </c>
      <c r="D633">
        <v>5</v>
      </c>
      <c r="E633">
        <v>4</v>
      </c>
      <c r="F633">
        <v>5</v>
      </c>
      <c r="G633">
        <f t="shared" si="9"/>
        <v>4.25</v>
      </c>
    </row>
    <row r="634" spans="1:7" x14ac:dyDescent="0.35">
      <c r="A634">
        <f>IF(Bestellungen!J634="Ja",Bestellungen!A634)</f>
        <v>8281</v>
      </c>
      <c r="B634">
        <f>IF(Bestellungen!J634="Ja",Bestellungen!B634)</f>
        <v>235</v>
      </c>
      <c r="C634">
        <v>4</v>
      </c>
      <c r="D634">
        <v>5</v>
      </c>
      <c r="E634">
        <v>4</v>
      </c>
      <c r="F634">
        <v>4</v>
      </c>
      <c r="G634">
        <f t="shared" si="9"/>
        <v>4.25</v>
      </c>
    </row>
    <row r="635" spans="1:7" hidden="1" x14ac:dyDescent="0.35">
      <c r="A635" t="b">
        <f>IF(Bestellungen!J635="Ja",Bestellungen!A635)</f>
        <v>0</v>
      </c>
      <c r="B635" t="b">
        <f>IF(Bestellungen!J635="Ja",Bestellungen!B635)</f>
        <v>0</v>
      </c>
      <c r="C635" t="s">
        <v>51</v>
      </c>
      <c r="D635" t="s">
        <v>51</v>
      </c>
      <c r="E635" t="s">
        <v>51</v>
      </c>
      <c r="F635" t="s">
        <v>51</v>
      </c>
      <c r="G635" t="e">
        <f t="shared" si="9"/>
        <v>#DIV/0!</v>
      </c>
    </row>
    <row r="636" spans="1:7" hidden="1" x14ac:dyDescent="0.35">
      <c r="A636" t="b">
        <f>IF(Bestellungen!J636="Ja",Bestellungen!A636)</f>
        <v>0</v>
      </c>
      <c r="B636" t="b">
        <f>IF(Bestellungen!J636="Ja",Bestellungen!B636)</f>
        <v>0</v>
      </c>
      <c r="C636" t="s">
        <v>51</v>
      </c>
      <c r="D636" t="s">
        <v>51</v>
      </c>
      <c r="E636" t="s">
        <v>51</v>
      </c>
      <c r="F636" t="s">
        <v>51</v>
      </c>
      <c r="G636" t="e">
        <f t="shared" si="9"/>
        <v>#DIV/0!</v>
      </c>
    </row>
    <row r="637" spans="1:7" hidden="1" x14ac:dyDescent="0.35">
      <c r="A637" t="b">
        <f>IF(Bestellungen!J637="Ja",Bestellungen!A637)</f>
        <v>0</v>
      </c>
      <c r="B637" t="b">
        <f>IF(Bestellungen!J637="Ja",Bestellungen!B637)</f>
        <v>0</v>
      </c>
      <c r="C637" t="s">
        <v>51</v>
      </c>
      <c r="D637" t="s">
        <v>51</v>
      </c>
      <c r="E637" t="s">
        <v>51</v>
      </c>
      <c r="F637" t="s">
        <v>51</v>
      </c>
      <c r="G637" t="e">
        <f t="shared" si="9"/>
        <v>#DIV/0!</v>
      </c>
    </row>
    <row r="638" spans="1:7" hidden="1" x14ac:dyDescent="0.35">
      <c r="A638" t="b">
        <f>IF(Bestellungen!J638="Ja",Bestellungen!A638)</f>
        <v>0</v>
      </c>
      <c r="B638" t="b">
        <f>IF(Bestellungen!J638="Ja",Bestellungen!B638)</f>
        <v>0</v>
      </c>
      <c r="C638" t="s">
        <v>51</v>
      </c>
      <c r="D638" t="s">
        <v>51</v>
      </c>
      <c r="E638" t="s">
        <v>51</v>
      </c>
      <c r="F638" t="s">
        <v>51</v>
      </c>
      <c r="G638" t="e">
        <f t="shared" si="9"/>
        <v>#DIV/0!</v>
      </c>
    </row>
    <row r="639" spans="1:7" x14ac:dyDescent="0.35">
      <c r="A639">
        <f>IF(Bestellungen!J639="Ja",Bestellungen!A639)</f>
        <v>8286</v>
      </c>
      <c r="B639">
        <f>IF(Bestellungen!J639="Ja",Bestellungen!B639)</f>
        <v>167</v>
      </c>
      <c r="C639">
        <v>5</v>
      </c>
      <c r="D639">
        <v>4</v>
      </c>
      <c r="E639">
        <v>3</v>
      </c>
      <c r="F639">
        <v>4</v>
      </c>
      <c r="G639">
        <f t="shared" si="9"/>
        <v>4</v>
      </c>
    </row>
    <row r="640" spans="1:7" hidden="1" x14ac:dyDescent="0.35">
      <c r="A640" t="b">
        <f>IF(Bestellungen!J640="Ja",Bestellungen!A640)</f>
        <v>0</v>
      </c>
      <c r="B640" t="b">
        <f>IF(Bestellungen!J640="Ja",Bestellungen!B640)</f>
        <v>0</v>
      </c>
      <c r="C640" t="s">
        <v>51</v>
      </c>
      <c r="D640" t="s">
        <v>51</v>
      </c>
      <c r="E640" t="s">
        <v>51</v>
      </c>
      <c r="F640" t="s">
        <v>51</v>
      </c>
      <c r="G640" t="e">
        <f t="shared" si="9"/>
        <v>#DIV/0!</v>
      </c>
    </row>
    <row r="641" spans="1:7" hidden="1" x14ac:dyDescent="0.35">
      <c r="A641" t="b">
        <f>IF(Bestellungen!J641="Ja",Bestellungen!A641)</f>
        <v>0</v>
      </c>
      <c r="B641" t="b">
        <f>IF(Bestellungen!J641="Ja",Bestellungen!B641)</f>
        <v>0</v>
      </c>
      <c r="C641" t="s">
        <v>51</v>
      </c>
      <c r="D641" t="s">
        <v>51</v>
      </c>
      <c r="E641" t="s">
        <v>51</v>
      </c>
      <c r="F641" t="s">
        <v>51</v>
      </c>
      <c r="G641" t="e">
        <f t="shared" si="9"/>
        <v>#DIV/0!</v>
      </c>
    </row>
    <row r="642" spans="1:7" x14ac:dyDescent="0.35">
      <c r="A642">
        <f>IF(Bestellungen!J642="Ja",Bestellungen!A642)</f>
        <v>8289</v>
      </c>
      <c r="B642">
        <f>IF(Bestellungen!J642="Ja",Bestellungen!B642)</f>
        <v>387</v>
      </c>
      <c r="C642">
        <v>5</v>
      </c>
      <c r="D642">
        <v>5</v>
      </c>
      <c r="E642">
        <v>3</v>
      </c>
      <c r="F642">
        <v>4</v>
      </c>
      <c r="G642">
        <f t="shared" si="9"/>
        <v>4.25</v>
      </c>
    </row>
    <row r="643" spans="1:7" hidden="1" x14ac:dyDescent="0.35">
      <c r="A643" t="b">
        <f>IF(Bestellungen!J643="Ja",Bestellungen!A643)</f>
        <v>0</v>
      </c>
      <c r="B643" t="b">
        <f>IF(Bestellungen!J643="Ja",Bestellungen!B643)</f>
        <v>0</v>
      </c>
      <c r="C643" t="s">
        <v>51</v>
      </c>
      <c r="D643" t="s">
        <v>51</v>
      </c>
      <c r="E643" t="s">
        <v>51</v>
      </c>
      <c r="F643" t="s">
        <v>51</v>
      </c>
      <c r="G643" t="e">
        <f t="shared" ref="G643:G706" si="10">SUM(C643:F643)/COUNT(C643:F643)</f>
        <v>#DIV/0!</v>
      </c>
    </row>
    <row r="644" spans="1:7" x14ac:dyDescent="0.35">
      <c r="A644">
        <f>IF(Bestellungen!J644="Ja",Bestellungen!A644)</f>
        <v>8291</v>
      </c>
      <c r="B644">
        <f>IF(Bestellungen!J644="Ja",Bestellungen!B644)</f>
        <v>464</v>
      </c>
      <c r="C644">
        <v>5</v>
      </c>
      <c r="D644">
        <v>4</v>
      </c>
      <c r="E644">
        <v>5</v>
      </c>
      <c r="F644">
        <v>4</v>
      </c>
      <c r="G644">
        <f t="shared" si="10"/>
        <v>4.5</v>
      </c>
    </row>
    <row r="645" spans="1:7" x14ac:dyDescent="0.35">
      <c r="A645">
        <f>IF(Bestellungen!J645="Ja",Bestellungen!A645)</f>
        <v>8292</v>
      </c>
      <c r="B645">
        <f>IF(Bestellungen!J645="Ja",Bestellungen!B645)</f>
        <v>639</v>
      </c>
      <c r="C645">
        <v>5</v>
      </c>
      <c r="D645">
        <v>4</v>
      </c>
      <c r="E645">
        <v>3</v>
      </c>
      <c r="F645">
        <v>5</v>
      </c>
      <c r="G645">
        <f t="shared" si="10"/>
        <v>4.25</v>
      </c>
    </row>
    <row r="646" spans="1:7" hidden="1" x14ac:dyDescent="0.35">
      <c r="A646" t="b">
        <f>IF(Bestellungen!J646="Ja",Bestellungen!A646)</f>
        <v>0</v>
      </c>
      <c r="B646" t="b">
        <f>IF(Bestellungen!J646="Ja",Bestellungen!B646)</f>
        <v>0</v>
      </c>
      <c r="C646" t="s">
        <v>51</v>
      </c>
      <c r="D646" t="s">
        <v>51</v>
      </c>
      <c r="E646" t="s">
        <v>51</v>
      </c>
      <c r="F646" t="s">
        <v>51</v>
      </c>
      <c r="G646" t="e">
        <f t="shared" si="10"/>
        <v>#DIV/0!</v>
      </c>
    </row>
    <row r="647" spans="1:7" hidden="1" x14ac:dyDescent="0.35">
      <c r="A647" t="b">
        <f>IF(Bestellungen!J647="Ja",Bestellungen!A647)</f>
        <v>0</v>
      </c>
      <c r="B647" t="b">
        <f>IF(Bestellungen!J647="Ja",Bestellungen!B647)</f>
        <v>0</v>
      </c>
      <c r="C647" t="s">
        <v>51</v>
      </c>
      <c r="D647" t="s">
        <v>51</v>
      </c>
      <c r="E647" t="s">
        <v>51</v>
      </c>
      <c r="F647" t="s">
        <v>51</v>
      </c>
      <c r="G647" t="e">
        <f t="shared" si="10"/>
        <v>#DIV/0!</v>
      </c>
    </row>
    <row r="648" spans="1:7" hidden="1" x14ac:dyDescent="0.35">
      <c r="A648" t="b">
        <f>IF(Bestellungen!J648="Ja",Bestellungen!A648)</f>
        <v>0</v>
      </c>
      <c r="B648" t="b">
        <f>IF(Bestellungen!J648="Ja",Bestellungen!B648)</f>
        <v>0</v>
      </c>
      <c r="C648" t="s">
        <v>51</v>
      </c>
      <c r="D648" t="s">
        <v>51</v>
      </c>
      <c r="E648" t="s">
        <v>51</v>
      </c>
      <c r="F648" t="s">
        <v>51</v>
      </c>
      <c r="G648" t="e">
        <f t="shared" si="10"/>
        <v>#DIV/0!</v>
      </c>
    </row>
    <row r="649" spans="1:7" hidden="1" x14ac:dyDescent="0.35">
      <c r="A649" t="b">
        <f>IF(Bestellungen!J649="Ja",Bestellungen!A649)</f>
        <v>0</v>
      </c>
      <c r="B649" t="b">
        <f>IF(Bestellungen!J649="Ja",Bestellungen!B649)</f>
        <v>0</v>
      </c>
      <c r="C649" t="s">
        <v>51</v>
      </c>
      <c r="D649" t="s">
        <v>51</v>
      </c>
      <c r="E649" t="s">
        <v>51</v>
      </c>
      <c r="F649" t="s">
        <v>51</v>
      </c>
      <c r="G649" t="e">
        <f t="shared" si="10"/>
        <v>#DIV/0!</v>
      </c>
    </row>
    <row r="650" spans="1:7" hidden="1" x14ac:dyDescent="0.35">
      <c r="A650" t="b">
        <f>IF(Bestellungen!J650="Ja",Bestellungen!A650)</f>
        <v>0</v>
      </c>
      <c r="B650" t="b">
        <f>IF(Bestellungen!J650="Ja",Bestellungen!B650)</f>
        <v>0</v>
      </c>
      <c r="C650" t="s">
        <v>51</v>
      </c>
      <c r="D650" t="s">
        <v>51</v>
      </c>
      <c r="E650" t="s">
        <v>51</v>
      </c>
      <c r="F650" t="s">
        <v>51</v>
      </c>
      <c r="G650" t="e">
        <f t="shared" si="10"/>
        <v>#DIV/0!</v>
      </c>
    </row>
    <row r="651" spans="1:7" hidden="1" x14ac:dyDescent="0.35">
      <c r="A651" t="b">
        <f>IF(Bestellungen!J651="Ja",Bestellungen!A651)</f>
        <v>0</v>
      </c>
      <c r="B651" t="b">
        <f>IF(Bestellungen!J651="Ja",Bestellungen!B651)</f>
        <v>0</v>
      </c>
      <c r="C651" t="s">
        <v>51</v>
      </c>
      <c r="D651" t="s">
        <v>51</v>
      </c>
      <c r="E651" t="s">
        <v>51</v>
      </c>
      <c r="F651" t="s">
        <v>51</v>
      </c>
      <c r="G651" t="e">
        <f t="shared" si="10"/>
        <v>#DIV/0!</v>
      </c>
    </row>
    <row r="652" spans="1:7" x14ac:dyDescent="0.35">
      <c r="A652">
        <f>IF(Bestellungen!J652="Ja",Bestellungen!A652)</f>
        <v>8299</v>
      </c>
      <c r="B652">
        <f>IF(Bestellungen!J652="Ja",Bestellungen!B652)</f>
        <v>275</v>
      </c>
      <c r="C652">
        <v>4</v>
      </c>
      <c r="D652">
        <v>4</v>
      </c>
      <c r="E652">
        <v>3</v>
      </c>
      <c r="F652">
        <v>3</v>
      </c>
      <c r="G652">
        <f t="shared" si="10"/>
        <v>3.5</v>
      </c>
    </row>
    <row r="653" spans="1:7" x14ac:dyDescent="0.35">
      <c r="A653">
        <f>IF(Bestellungen!J653="Ja",Bestellungen!A653)</f>
        <v>8300</v>
      </c>
      <c r="B653">
        <f>IF(Bestellungen!J653="Ja",Bestellungen!B653)</f>
        <v>434</v>
      </c>
      <c r="C653">
        <v>3</v>
      </c>
      <c r="D653">
        <v>4</v>
      </c>
      <c r="E653">
        <v>3</v>
      </c>
      <c r="F653">
        <v>4</v>
      </c>
      <c r="G653">
        <f t="shared" si="10"/>
        <v>3.5</v>
      </c>
    </row>
    <row r="654" spans="1:7" hidden="1" x14ac:dyDescent="0.35">
      <c r="A654" t="b">
        <f>IF(Bestellungen!J654="Ja",Bestellungen!A654)</f>
        <v>0</v>
      </c>
      <c r="B654" t="b">
        <f>IF(Bestellungen!J654="Ja",Bestellungen!B654)</f>
        <v>0</v>
      </c>
      <c r="C654" t="s">
        <v>51</v>
      </c>
      <c r="D654" t="s">
        <v>51</v>
      </c>
      <c r="E654" t="s">
        <v>51</v>
      </c>
      <c r="F654" t="s">
        <v>51</v>
      </c>
      <c r="G654" t="e">
        <f t="shared" si="10"/>
        <v>#DIV/0!</v>
      </c>
    </row>
    <row r="655" spans="1:7" x14ac:dyDescent="0.35">
      <c r="A655">
        <f>IF(Bestellungen!J655="Ja",Bestellungen!A655)</f>
        <v>8302</v>
      </c>
      <c r="B655">
        <f>IF(Bestellungen!J655="Ja",Bestellungen!B655)</f>
        <v>567</v>
      </c>
      <c r="C655">
        <v>3</v>
      </c>
      <c r="D655">
        <v>5</v>
      </c>
      <c r="E655">
        <v>3</v>
      </c>
      <c r="F655">
        <v>5</v>
      </c>
      <c r="G655">
        <f t="shared" si="10"/>
        <v>4</v>
      </c>
    </row>
    <row r="656" spans="1:7" x14ac:dyDescent="0.35">
      <c r="A656">
        <f>IF(Bestellungen!J656="Ja",Bestellungen!A656)</f>
        <v>8303</v>
      </c>
      <c r="B656">
        <f>IF(Bestellungen!J656="Ja",Bestellungen!B656)</f>
        <v>527</v>
      </c>
      <c r="C656">
        <v>5</v>
      </c>
      <c r="D656">
        <v>5</v>
      </c>
      <c r="E656">
        <v>4</v>
      </c>
      <c r="F656">
        <v>4</v>
      </c>
      <c r="G656">
        <f t="shared" si="10"/>
        <v>4.5</v>
      </c>
    </row>
    <row r="657" spans="1:7" x14ac:dyDescent="0.35">
      <c r="A657">
        <f>IF(Bestellungen!J657="Ja",Bestellungen!A657)</f>
        <v>8304</v>
      </c>
      <c r="B657">
        <f>IF(Bestellungen!J657="Ja",Bestellungen!B657)</f>
        <v>68</v>
      </c>
      <c r="C657">
        <v>5</v>
      </c>
      <c r="D657">
        <v>4</v>
      </c>
      <c r="E657">
        <v>4</v>
      </c>
      <c r="F657">
        <v>4</v>
      </c>
      <c r="G657">
        <f t="shared" si="10"/>
        <v>4.25</v>
      </c>
    </row>
    <row r="658" spans="1:7" x14ac:dyDescent="0.35">
      <c r="A658">
        <f>IF(Bestellungen!J658="Ja",Bestellungen!A658)</f>
        <v>8305</v>
      </c>
      <c r="B658">
        <f>IF(Bestellungen!J658="Ja",Bestellungen!B658)</f>
        <v>40</v>
      </c>
      <c r="C658">
        <v>5</v>
      </c>
      <c r="D658">
        <v>5</v>
      </c>
      <c r="E658">
        <v>3</v>
      </c>
      <c r="F658">
        <v>4</v>
      </c>
      <c r="G658">
        <f t="shared" si="10"/>
        <v>4.25</v>
      </c>
    </row>
    <row r="659" spans="1:7" hidden="1" x14ac:dyDescent="0.35">
      <c r="A659" t="b">
        <f>IF(Bestellungen!J659="Ja",Bestellungen!A659)</f>
        <v>0</v>
      </c>
      <c r="B659" t="b">
        <f>IF(Bestellungen!J659="Ja",Bestellungen!B659)</f>
        <v>0</v>
      </c>
      <c r="C659" t="s">
        <v>51</v>
      </c>
      <c r="D659" t="s">
        <v>51</v>
      </c>
      <c r="E659" t="s">
        <v>51</v>
      </c>
      <c r="F659" t="s">
        <v>51</v>
      </c>
      <c r="G659" t="e">
        <f t="shared" si="10"/>
        <v>#DIV/0!</v>
      </c>
    </row>
    <row r="660" spans="1:7" hidden="1" x14ac:dyDescent="0.35">
      <c r="A660" t="b">
        <f>IF(Bestellungen!J660="Ja",Bestellungen!A660)</f>
        <v>0</v>
      </c>
      <c r="B660" t="b">
        <f>IF(Bestellungen!J660="Ja",Bestellungen!B660)</f>
        <v>0</v>
      </c>
      <c r="C660" t="s">
        <v>51</v>
      </c>
      <c r="D660" t="s">
        <v>51</v>
      </c>
      <c r="E660" t="s">
        <v>51</v>
      </c>
      <c r="F660" t="s">
        <v>51</v>
      </c>
      <c r="G660" t="e">
        <f t="shared" si="10"/>
        <v>#DIV/0!</v>
      </c>
    </row>
    <row r="661" spans="1:7" hidden="1" x14ac:dyDescent="0.35">
      <c r="A661" t="b">
        <f>IF(Bestellungen!J661="Ja",Bestellungen!A661)</f>
        <v>0</v>
      </c>
      <c r="B661" t="b">
        <f>IF(Bestellungen!J661="Ja",Bestellungen!B661)</f>
        <v>0</v>
      </c>
      <c r="C661" t="s">
        <v>51</v>
      </c>
      <c r="D661" t="s">
        <v>51</v>
      </c>
      <c r="E661" t="s">
        <v>51</v>
      </c>
      <c r="F661" t="s">
        <v>51</v>
      </c>
      <c r="G661" t="e">
        <f t="shared" si="10"/>
        <v>#DIV/0!</v>
      </c>
    </row>
    <row r="662" spans="1:7" x14ac:dyDescent="0.35">
      <c r="A662">
        <f>IF(Bestellungen!J662="Ja",Bestellungen!A662)</f>
        <v>8309</v>
      </c>
      <c r="B662">
        <f>IF(Bestellungen!J662="Ja",Bestellungen!B662)</f>
        <v>764</v>
      </c>
      <c r="C662">
        <v>4</v>
      </c>
      <c r="D662">
        <v>5</v>
      </c>
      <c r="E662">
        <v>4</v>
      </c>
      <c r="F662">
        <v>4</v>
      </c>
      <c r="G662">
        <f t="shared" si="10"/>
        <v>4.25</v>
      </c>
    </row>
    <row r="663" spans="1:7" x14ac:dyDescent="0.35">
      <c r="A663">
        <f>IF(Bestellungen!J663="Ja",Bestellungen!A663)</f>
        <v>8310</v>
      </c>
      <c r="B663">
        <f>IF(Bestellungen!J663="Ja",Bestellungen!B663)</f>
        <v>178</v>
      </c>
      <c r="C663">
        <v>4</v>
      </c>
      <c r="D663">
        <v>4</v>
      </c>
      <c r="E663">
        <v>5</v>
      </c>
      <c r="F663">
        <v>4</v>
      </c>
      <c r="G663">
        <f t="shared" si="10"/>
        <v>4.25</v>
      </c>
    </row>
    <row r="664" spans="1:7" hidden="1" x14ac:dyDescent="0.35">
      <c r="A664" t="b">
        <f>IF(Bestellungen!J664="Ja",Bestellungen!A664)</f>
        <v>0</v>
      </c>
      <c r="B664" t="b">
        <f>IF(Bestellungen!J664="Ja",Bestellungen!B664)</f>
        <v>0</v>
      </c>
      <c r="C664" t="s">
        <v>51</v>
      </c>
      <c r="D664" t="s">
        <v>51</v>
      </c>
      <c r="E664" t="s">
        <v>51</v>
      </c>
      <c r="F664" t="s">
        <v>51</v>
      </c>
      <c r="G664" t="e">
        <f t="shared" si="10"/>
        <v>#DIV/0!</v>
      </c>
    </row>
    <row r="665" spans="1:7" hidden="1" x14ac:dyDescent="0.35">
      <c r="A665" t="b">
        <f>IF(Bestellungen!J665="Ja",Bestellungen!A665)</f>
        <v>0</v>
      </c>
      <c r="B665" t="b">
        <f>IF(Bestellungen!J665="Ja",Bestellungen!B665)</f>
        <v>0</v>
      </c>
      <c r="C665" t="s">
        <v>51</v>
      </c>
      <c r="D665" t="s">
        <v>51</v>
      </c>
      <c r="E665" t="s">
        <v>51</v>
      </c>
      <c r="F665" t="s">
        <v>51</v>
      </c>
      <c r="G665" t="e">
        <f t="shared" si="10"/>
        <v>#DIV/0!</v>
      </c>
    </row>
    <row r="666" spans="1:7" hidden="1" x14ac:dyDescent="0.35">
      <c r="A666" t="b">
        <f>IF(Bestellungen!J666="Ja",Bestellungen!A666)</f>
        <v>0</v>
      </c>
      <c r="B666" t="b">
        <f>IF(Bestellungen!J666="Ja",Bestellungen!B666)</f>
        <v>0</v>
      </c>
      <c r="C666" t="s">
        <v>51</v>
      </c>
      <c r="D666" t="s">
        <v>51</v>
      </c>
      <c r="E666" t="s">
        <v>51</v>
      </c>
      <c r="F666" t="s">
        <v>51</v>
      </c>
      <c r="G666" t="e">
        <f t="shared" si="10"/>
        <v>#DIV/0!</v>
      </c>
    </row>
    <row r="667" spans="1:7" x14ac:dyDescent="0.35">
      <c r="A667">
        <f>IF(Bestellungen!J667="Ja",Bestellungen!A667)</f>
        <v>8314</v>
      </c>
      <c r="B667">
        <f>IF(Bestellungen!J667="Ja",Bestellungen!B667)</f>
        <v>314</v>
      </c>
      <c r="C667">
        <v>4</v>
      </c>
      <c r="D667">
        <v>3</v>
      </c>
      <c r="E667">
        <v>4</v>
      </c>
      <c r="F667">
        <v>5</v>
      </c>
      <c r="G667">
        <f t="shared" si="10"/>
        <v>4</v>
      </c>
    </row>
    <row r="668" spans="1:7" x14ac:dyDescent="0.35">
      <c r="A668">
        <f>IF(Bestellungen!J668="Ja",Bestellungen!A668)</f>
        <v>8315</v>
      </c>
      <c r="B668">
        <f>IF(Bestellungen!J668="Ja",Bestellungen!B668)</f>
        <v>189</v>
      </c>
      <c r="C668">
        <v>5</v>
      </c>
      <c r="D668">
        <v>4</v>
      </c>
      <c r="E668">
        <v>3</v>
      </c>
      <c r="F668">
        <v>3</v>
      </c>
      <c r="G668">
        <f t="shared" si="10"/>
        <v>3.75</v>
      </c>
    </row>
    <row r="669" spans="1:7" hidden="1" x14ac:dyDescent="0.35">
      <c r="A669" t="b">
        <f>IF(Bestellungen!J669="Ja",Bestellungen!A669)</f>
        <v>0</v>
      </c>
      <c r="B669" t="b">
        <f>IF(Bestellungen!J669="Ja",Bestellungen!B669)</f>
        <v>0</v>
      </c>
      <c r="C669" t="s">
        <v>51</v>
      </c>
      <c r="D669" t="s">
        <v>51</v>
      </c>
      <c r="E669" t="s">
        <v>51</v>
      </c>
      <c r="F669" t="s">
        <v>51</v>
      </c>
      <c r="G669" t="e">
        <f t="shared" si="10"/>
        <v>#DIV/0!</v>
      </c>
    </row>
    <row r="670" spans="1:7" hidden="1" x14ac:dyDescent="0.35">
      <c r="A670" t="b">
        <f>IF(Bestellungen!J670="Ja",Bestellungen!A670)</f>
        <v>0</v>
      </c>
      <c r="B670" t="b">
        <f>IF(Bestellungen!J670="Ja",Bestellungen!B670)</f>
        <v>0</v>
      </c>
      <c r="C670" t="s">
        <v>51</v>
      </c>
      <c r="D670" t="s">
        <v>51</v>
      </c>
      <c r="E670" t="s">
        <v>51</v>
      </c>
      <c r="F670" t="s">
        <v>51</v>
      </c>
      <c r="G670" t="e">
        <f t="shared" si="10"/>
        <v>#DIV/0!</v>
      </c>
    </row>
    <row r="671" spans="1:7" hidden="1" x14ac:dyDescent="0.35">
      <c r="A671" t="b">
        <f>IF(Bestellungen!J671="Ja",Bestellungen!A671)</f>
        <v>0</v>
      </c>
      <c r="B671" t="b">
        <f>IF(Bestellungen!J671="Ja",Bestellungen!B671)</f>
        <v>0</v>
      </c>
      <c r="C671" t="s">
        <v>51</v>
      </c>
      <c r="D671" t="s">
        <v>51</v>
      </c>
      <c r="E671" t="s">
        <v>51</v>
      </c>
      <c r="F671" t="s">
        <v>51</v>
      </c>
      <c r="G671" t="e">
        <f t="shared" si="10"/>
        <v>#DIV/0!</v>
      </c>
    </row>
    <row r="672" spans="1:7" hidden="1" x14ac:dyDescent="0.35">
      <c r="A672" t="b">
        <f>IF(Bestellungen!J672="Ja",Bestellungen!A672)</f>
        <v>0</v>
      </c>
      <c r="B672" t="b">
        <f>IF(Bestellungen!J672="Ja",Bestellungen!B672)</f>
        <v>0</v>
      </c>
      <c r="C672" t="s">
        <v>51</v>
      </c>
      <c r="D672" t="s">
        <v>51</v>
      </c>
      <c r="E672" t="s">
        <v>51</v>
      </c>
      <c r="F672" t="s">
        <v>51</v>
      </c>
      <c r="G672" t="e">
        <f t="shared" si="10"/>
        <v>#DIV/0!</v>
      </c>
    </row>
    <row r="673" spans="1:7" x14ac:dyDescent="0.35">
      <c r="A673">
        <f>IF(Bestellungen!J673="Ja",Bestellungen!A673)</f>
        <v>8320</v>
      </c>
      <c r="B673">
        <f>IF(Bestellungen!J673="Ja",Bestellungen!B673)</f>
        <v>773</v>
      </c>
      <c r="C673">
        <v>4</v>
      </c>
      <c r="D673">
        <v>5</v>
      </c>
      <c r="E673">
        <v>4</v>
      </c>
      <c r="F673">
        <v>3</v>
      </c>
      <c r="G673">
        <f t="shared" si="10"/>
        <v>4</v>
      </c>
    </row>
    <row r="674" spans="1:7" hidden="1" x14ac:dyDescent="0.35">
      <c r="A674" t="b">
        <f>IF(Bestellungen!J674="Ja",Bestellungen!A674)</f>
        <v>0</v>
      </c>
      <c r="B674" t="b">
        <f>IF(Bestellungen!J674="Ja",Bestellungen!B674)</f>
        <v>0</v>
      </c>
      <c r="C674" t="s">
        <v>51</v>
      </c>
      <c r="D674" t="s">
        <v>51</v>
      </c>
      <c r="E674" t="s">
        <v>51</v>
      </c>
      <c r="F674" t="s">
        <v>51</v>
      </c>
      <c r="G674" t="e">
        <f t="shared" si="10"/>
        <v>#DIV/0!</v>
      </c>
    </row>
    <row r="675" spans="1:7" hidden="1" x14ac:dyDescent="0.35">
      <c r="A675" t="b">
        <f>IF(Bestellungen!J675="Ja",Bestellungen!A675)</f>
        <v>0</v>
      </c>
      <c r="B675" t="b">
        <f>IF(Bestellungen!J675="Ja",Bestellungen!B675)</f>
        <v>0</v>
      </c>
      <c r="C675" t="s">
        <v>51</v>
      </c>
      <c r="D675" t="s">
        <v>51</v>
      </c>
      <c r="E675" t="s">
        <v>51</v>
      </c>
      <c r="F675" t="s">
        <v>51</v>
      </c>
      <c r="G675" t="e">
        <f t="shared" si="10"/>
        <v>#DIV/0!</v>
      </c>
    </row>
    <row r="676" spans="1:7" hidden="1" x14ac:dyDescent="0.35">
      <c r="A676" t="b">
        <f>IF(Bestellungen!J676="Ja",Bestellungen!A676)</f>
        <v>0</v>
      </c>
      <c r="B676" t="b">
        <f>IF(Bestellungen!J676="Ja",Bestellungen!B676)</f>
        <v>0</v>
      </c>
      <c r="C676" t="s">
        <v>51</v>
      </c>
      <c r="D676" t="s">
        <v>51</v>
      </c>
      <c r="E676" t="s">
        <v>51</v>
      </c>
      <c r="F676" t="s">
        <v>51</v>
      </c>
      <c r="G676" t="e">
        <f t="shared" si="10"/>
        <v>#DIV/0!</v>
      </c>
    </row>
    <row r="677" spans="1:7" hidden="1" x14ac:dyDescent="0.35">
      <c r="A677" t="b">
        <f>IF(Bestellungen!J677="Ja",Bestellungen!A677)</f>
        <v>0</v>
      </c>
      <c r="B677" t="b">
        <f>IF(Bestellungen!J677="Ja",Bestellungen!B677)</f>
        <v>0</v>
      </c>
      <c r="C677" t="s">
        <v>51</v>
      </c>
      <c r="D677" t="s">
        <v>51</v>
      </c>
      <c r="E677" t="s">
        <v>51</v>
      </c>
      <c r="F677" t="s">
        <v>51</v>
      </c>
      <c r="G677" t="e">
        <f t="shared" si="10"/>
        <v>#DIV/0!</v>
      </c>
    </row>
    <row r="678" spans="1:7" hidden="1" x14ac:dyDescent="0.35">
      <c r="A678" t="b">
        <f>IF(Bestellungen!J678="Ja",Bestellungen!A678)</f>
        <v>0</v>
      </c>
      <c r="B678" t="b">
        <f>IF(Bestellungen!J678="Ja",Bestellungen!B678)</f>
        <v>0</v>
      </c>
      <c r="C678" t="s">
        <v>51</v>
      </c>
      <c r="D678" t="s">
        <v>51</v>
      </c>
      <c r="E678" t="s">
        <v>51</v>
      </c>
      <c r="F678" t="s">
        <v>51</v>
      </c>
      <c r="G678" t="e">
        <f t="shared" si="10"/>
        <v>#DIV/0!</v>
      </c>
    </row>
    <row r="679" spans="1:7" x14ac:dyDescent="0.35">
      <c r="A679">
        <f>IF(Bestellungen!J679="Ja",Bestellungen!A679)</f>
        <v>8326</v>
      </c>
      <c r="B679">
        <f>IF(Bestellungen!J679="Ja",Bestellungen!B679)</f>
        <v>66</v>
      </c>
      <c r="C679">
        <v>4</v>
      </c>
      <c r="D679">
        <v>4</v>
      </c>
      <c r="E679">
        <v>5</v>
      </c>
      <c r="F679">
        <v>4</v>
      </c>
      <c r="G679">
        <f t="shared" si="10"/>
        <v>4.25</v>
      </c>
    </row>
    <row r="680" spans="1:7" hidden="1" x14ac:dyDescent="0.35">
      <c r="A680" t="b">
        <f>IF(Bestellungen!J680="Ja",Bestellungen!A680)</f>
        <v>0</v>
      </c>
      <c r="B680" t="b">
        <f>IF(Bestellungen!J680="Ja",Bestellungen!B680)</f>
        <v>0</v>
      </c>
      <c r="C680" t="s">
        <v>51</v>
      </c>
      <c r="D680" t="s">
        <v>51</v>
      </c>
      <c r="E680" t="s">
        <v>51</v>
      </c>
      <c r="F680" t="s">
        <v>51</v>
      </c>
      <c r="G680" t="e">
        <f t="shared" si="10"/>
        <v>#DIV/0!</v>
      </c>
    </row>
    <row r="681" spans="1:7" hidden="1" x14ac:dyDescent="0.35">
      <c r="A681" t="b">
        <f>IF(Bestellungen!J681="Ja",Bestellungen!A681)</f>
        <v>0</v>
      </c>
      <c r="B681" t="b">
        <f>IF(Bestellungen!J681="Ja",Bestellungen!B681)</f>
        <v>0</v>
      </c>
      <c r="C681" t="s">
        <v>51</v>
      </c>
      <c r="D681" t="s">
        <v>51</v>
      </c>
      <c r="E681" t="s">
        <v>51</v>
      </c>
      <c r="F681" t="s">
        <v>51</v>
      </c>
      <c r="G681" t="e">
        <f t="shared" si="10"/>
        <v>#DIV/0!</v>
      </c>
    </row>
    <row r="682" spans="1:7" x14ac:dyDescent="0.35">
      <c r="A682">
        <f>IF(Bestellungen!J682="Ja",Bestellungen!A682)</f>
        <v>8329</v>
      </c>
      <c r="B682">
        <f>IF(Bestellungen!J682="Ja",Bestellungen!B682)</f>
        <v>110</v>
      </c>
      <c r="C682">
        <v>3</v>
      </c>
      <c r="D682">
        <v>5</v>
      </c>
      <c r="E682">
        <v>5</v>
      </c>
      <c r="F682">
        <v>4</v>
      </c>
      <c r="G682">
        <f t="shared" si="10"/>
        <v>4.25</v>
      </c>
    </row>
    <row r="683" spans="1:7" hidden="1" x14ac:dyDescent="0.35">
      <c r="A683" t="b">
        <f>IF(Bestellungen!J683="Ja",Bestellungen!A683)</f>
        <v>0</v>
      </c>
      <c r="B683" t="b">
        <f>IF(Bestellungen!J683="Ja",Bestellungen!B683)</f>
        <v>0</v>
      </c>
      <c r="C683" t="s">
        <v>51</v>
      </c>
      <c r="D683" t="s">
        <v>51</v>
      </c>
      <c r="E683" t="s">
        <v>51</v>
      </c>
      <c r="F683" t="s">
        <v>51</v>
      </c>
      <c r="G683" t="e">
        <f t="shared" si="10"/>
        <v>#DIV/0!</v>
      </c>
    </row>
    <row r="684" spans="1:7" x14ac:dyDescent="0.35">
      <c r="A684">
        <f>IF(Bestellungen!J684="Ja",Bestellungen!A684)</f>
        <v>8331</v>
      </c>
      <c r="B684">
        <f>IF(Bestellungen!J684="Ja",Bestellungen!B684)</f>
        <v>43</v>
      </c>
      <c r="C684">
        <v>4</v>
      </c>
      <c r="D684">
        <v>5</v>
      </c>
      <c r="E684">
        <v>3</v>
      </c>
      <c r="F684">
        <v>5</v>
      </c>
      <c r="G684">
        <f t="shared" si="10"/>
        <v>4.25</v>
      </c>
    </row>
    <row r="685" spans="1:7" hidden="1" x14ac:dyDescent="0.35">
      <c r="A685" t="b">
        <f>IF(Bestellungen!J685="Ja",Bestellungen!A685)</f>
        <v>0</v>
      </c>
      <c r="B685" t="b">
        <f>IF(Bestellungen!J685="Ja",Bestellungen!B685)</f>
        <v>0</v>
      </c>
      <c r="C685" t="s">
        <v>51</v>
      </c>
      <c r="D685" t="s">
        <v>51</v>
      </c>
      <c r="E685" t="s">
        <v>51</v>
      </c>
      <c r="F685" t="s">
        <v>51</v>
      </c>
      <c r="G685" t="e">
        <f t="shared" si="10"/>
        <v>#DIV/0!</v>
      </c>
    </row>
    <row r="686" spans="1:7" hidden="1" x14ac:dyDescent="0.35">
      <c r="A686" t="b">
        <f>IF(Bestellungen!J686="Ja",Bestellungen!A686)</f>
        <v>0</v>
      </c>
      <c r="B686" t="b">
        <f>IF(Bestellungen!J686="Ja",Bestellungen!B686)</f>
        <v>0</v>
      </c>
      <c r="C686" t="s">
        <v>51</v>
      </c>
      <c r="D686" t="s">
        <v>51</v>
      </c>
      <c r="E686" t="s">
        <v>51</v>
      </c>
      <c r="F686" t="s">
        <v>51</v>
      </c>
      <c r="G686" t="e">
        <f t="shared" si="10"/>
        <v>#DIV/0!</v>
      </c>
    </row>
    <row r="687" spans="1:7" x14ac:dyDescent="0.35">
      <c r="A687">
        <f>IF(Bestellungen!J687="Ja",Bestellungen!A687)</f>
        <v>8334</v>
      </c>
      <c r="B687">
        <f>IF(Bestellungen!J687="Ja",Bestellungen!B687)</f>
        <v>459</v>
      </c>
      <c r="C687">
        <v>5</v>
      </c>
      <c r="D687">
        <v>4</v>
      </c>
      <c r="E687">
        <v>4</v>
      </c>
      <c r="F687">
        <v>5</v>
      </c>
      <c r="G687">
        <f t="shared" si="10"/>
        <v>4.5</v>
      </c>
    </row>
    <row r="688" spans="1:7" hidden="1" x14ac:dyDescent="0.35">
      <c r="A688" t="b">
        <f>IF(Bestellungen!J688="Ja",Bestellungen!A688)</f>
        <v>0</v>
      </c>
      <c r="B688" t="b">
        <f>IF(Bestellungen!J688="Ja",Bestellungen!B688)</f>
        <v>0</v>
      </c>
      <c r="C688" t="s">
        <v>51</v>
      </c>
      <c r="D688" t="s">
        <v>51</v>
      </c>
      <c r="E688" t="s">
        <v>51</v>
      </c>
      <c r="F688" t="s">
        <v>51</v>
      </c>
      <c r="G688" t="e">
        <f t="shared" si="10"/>
        <v>#DIV/0!</v>
      </c>
    </row>
    <row r="689" spans="1:7" x14ac:dyDescent="0.35">
      <c r="A689">
        <f>IF(Bestellungen!J689="Ja",Bestellungen!A689)</f>
        <v>8336</v>
      </c>
      <c r="B689">
        <f>IF(Bestellungen!J689="Ja",Bestellungen!B689)</f>
        <v>18</v>
      </c>
      <c r="C689">
        <v>4</v>
      </c>
      <c r="D689">
        <v>3</v>
      </c>
      <c r="E689">
        <v>3</v>
      </c>
      <c r="F689">
        <v>3</v>
      </c>
      <c r="G689">
        <f t="shared" si="10"/>
        <v>3.25</v>
      </c>
    </row>
    <row r="690" spans="1:7" hidden="1" x14ac:dyDescent="0.35">
      <c r="A690" t="b">
        <f>IF(Bestellungen!J690="Ja",Bestellungen!A690)</f>
        <v>0</v>
      </c>
      <c r="B690" t="b">
        <f>IF(Bestellungen!J690="Ja",Bestellungen!B690)</f>
        <v>0</v>
      </c>
      <c r="C690" t="s">
        <v>51</v>
      </c>
      <c r="D690" t="s">
        <v>51</v>
      </c>
      <c r="E690" t="s">
        <v>51</v>
      </c>
      <c r="F690" t="s">
        <v>51</v>
      </c>
      <c r="G690" t="e">
        <f t="shared" si="10"/>
        <v>#DIV/0!</v>
      </c>
    </row>
    <row r="691" spans="1:7" x14ac:dyDescent="0.35">
      <c r="A691">
        <f>IF(Bestellungen!J691="Ja",Bestellungen!A691)</f>
        <v>8338</v>
      </c>
      <c r="B691">
        <f>IF(Bestellungen!J691="Ja",Bestellungen!B691)</f>
        <v>89</v>
      </c>
      <c r="C691">
        <v>3</v>
      </c>
      <c r="D691">
        <v>3</v>
      </c>
      <c r="E691">
        <v>5</v>
      </c>
      <c r="F691">
        <v>4</v>
      </c>
      <c r="G691">
        <f t="shared" si="10"/>
        <v>3.75</v>
      </c>
    </row>
    <row r="692" spans="1:7" hidden="1" x14ac:dyDescent="0.35">
      <c r="A692" t="b">
        <f>IF(Bestellungen!J692="Ja",Bestellungen!A692)</f>
        <v>0</v>
      </c>
      <c r="B692" t="b">
        <f>IF(Bestellungen!J692="Ja",Bestellungen!B692)</f>
        <v>0</v>
      </c>
      <c r="C692" t="s">
        <v>51</v>
      </c>
      <c r="D692" t="s">
        <v>51</v>
      </c>
      <c r="E692" t="s">
        <v>51</v>
      </c>
      <c r="F692" t="s">
        <v>51</v>
      </c>
      <c r="G692" t="e">
        <f t="shared" si="10"/>
        <v>#DIV/0!</v>
      </c>
    </row>
    <row r="693" spans="1:7" hidden="1" x14ac:dyDescent="0.35">
      <c r="A693" t="b">
        <f>IF(Bestellungen!J693="Ja",Bestellungen!A693)</f>
        <v>0</v>
      </c>
      <c r="B693" t="b">
        <f>IF(Bestellungen!J693="Ja",Bestellungen!B693)</f>
        <v>0</v>
      </c>
      <c r="C693" t="s">
        <v>51</v>
      </c>
      <c r="D693" t="s">
        <v>51</v>
      </c>
      <c r="E693" t="s">
        <v>51</v>
      </c>
      <c r="F693" t="s">
        <v>51</v>
      </c>
      <c r="G693" t="e">
        <f t="shared" si="10"/>
        <v>#DIV/0!</v>
      </c>
    </row>
    <row r="694" spans="1:7" x14ac:dyDescent="0.35">
      <c r="A694">
        <f>IF(Bestellungen!J694="Ja",Bestellungen!A694)</f>
        <v>8341</v>
      </c>
      <c r="B694">
        <f>IF(Bestellungen!J694="Ja",Bestellungen!B694)</f>
        <v>406</v>
      </c>
      <c r="C694">
        <v>4</v>
      </c>
      <c r="D694">
        <v>4</v>
      </c>
      <c r="E694">
        <v>3</v>
      </c>
      <c r="F694">
        <v>5</v>
      </c>
      <c r="G694">
        <f t="shared" si="10"/>
        <v>4</v>
      </c>
    </row>
    <row r="695" spans="1:7" hidden="1" x14ac:dyDescent="0.35">
      <c r="A695" t="b">
        <f>IF(Bestellungen!J695="Ja",Bestellungen!A695)</f>
        <v>0</v>
      </c>
      <c r="B695" t="b">
        <f>IF(Bestellungen!J695="Ja",Bestellungen!B695)</f>
        <v>0</v>
      </c>
      <c r="C695" t="s">
        <v>51</v>
      </c>
      <c r="D695" t="s">
        <v>51</v>
      </c>
      <c r="E695" t="s">
        <v>51</v>
      </c>
      <c r="F695" t="s">
        <v>51</v>
      </c>
      <c r="G695" t="e">
        <f t="shared" si="10"/>
        <v>#DIV/0!</v>
      </c>
    </row>
    <row r="696" spans="1:7" hidden="1" x14ac:dyDescent="0.35">
      <c r="A696" t="b">
        <f>IF(Bestellungen!J696="Ja",Bestellungen!A696)</f>
        <v>0</v>
      </c>
      <c r="B696" t="b">
        <f>IF(Bestellungen!J696="Ja",Bestellungen!B696)</f>
        <v>0</v>
      </c>
      <c r="C696" t="s">
        <v>51</v>
      </c>
      <c r="D696" t="s">
        <v>51</v>
      </c>
      <c r="E696" t="s">
        <v>51</v>
      </c>
      <c r="F696" t="s">
        <v>51</v>
      </c>
      <c r="G696" t="e">
        <f t="shared" si="10"/>
        <v>#DIV/0!</v>
      </c>
    </row>
    <row r="697" spans="1:7" x14ac:dyDescent="0.35">
      <c r="A697">
        <f>IF(Bestellungen!J697="Ja",Bestellungen!A697)</f>
        <v>8344</v>
      </c>
      <c r="B697">
        <f>IF(Bestellungen!J697="Ja",Bestellungen!B697)</f>
        <v>161</v>
      </c>
      <c r="C697">
        <v>5</v>
      </c>
      <c r="D697">
        <v>3</v>
      </c>
      <c r="E697">
        <v>5</v>
      </c>
      <c r="F697">
        <v>5</v>
      </c>
      <c r="G697">
        <f t="shared" si="10"/>
        <v>4.5</v>
      </c>
    </row>
    <row r="698" spans="1:7" hidden="1" x14ac:dyDescent="0.35">
      <c r="A698" t="b">
        <f>IF(Bestellungen!J698="Ja",Bestellungen!A698)</f>
        <v>0</v>
      </c>
      <c r="B698" t="b">
        <f>IF(Bestellungen!J698="Ja",Bestellungen!B698)</f>
        <v>0</v>
      </c>
      <c r="C698" t="s">
        <v>51</v>
      </c>
      <c r="D698" t="s">
        <v>51</v>
      </c>
      <c r="E698" t="s">
        <v>51</v>
      </c>
      <c r="F698" t="s">
        <v>51</v>
      </c>
      <c r="G698" t="e">
        <f t="shared" si="10"/>
        <v>#DIV/0!</v>
      </c>
    </row>
    <row r="699" spans="1:7" hidden="1" x14ac:dyDescent="0.35">
      <c r="A699" t="b">
        <f>IF(Bestellungen!J699="Ja",Bestellungen!A699)</f>
        <v>0</v>
      </c>
      <c r="B699" t="b">
        <f>IF(Bestellungen!J699="Ja",Bestellungen!B699)</f>
        <v>0</v>
      </c>
      <c r="C699" t="s">
        <v>51</v>
      </c>
      <c r="D699" t="s">
        <v>51</v>
      </c>
      <c r="E699" t="s">
        <v>51</v>
      </c>
      <c r="F699" t="s">
        <v>51</v>
      </c>
      <c r="G699" t="e">
        <f t="shared" si="10"/>
        <v>#DIV/0!</v>
      </c>
    </row>
    <row r="700" spans="1:7" x14ac:dyDescent="0.35">
      <c r="A700">
        <f>IF(Bestellungen!J700="Ja",Bestellungen!A700)</f>
        <v>8347</v>
      </c>
      <c r="B700">
        <f>IF(Bestellungen!J700="Ja",Bestellungen!B700)</f>
        <v>300</v>
      </c>
      <c r="C700">
        <v>3</v>
      </c>
      <c r="D700">
        <v>3</v>
      </c>
      <c r="E700">
        <v>5</v>
      </c>
      <c r="F700">
        <v>5</v>
      </c>
      <c r="G700">
        <f t="shared" si="10"/>
        <v>4</v>
      </c>
    </row>
    <row r="701" spans="1:7" hidden="1" x14ac:dyDescent="0.35">
      <c r="A701" t="b">
        <f>IF(Bestellungen!J701="Ja",Bestellungen!A701)</f>
        <v>0</v>
      </c>
      <c r="B701" t="b">
        <f>IF(Bestellungen!J701="Ja",Bestellungen!B701)</f>
        <v>0</v>
      </c>
      <c r="C701" t="s">
        <v>51</v>
      </c>
      <c r="D701" t="s">
        <v>51</v>
      </c>
      <c r="E701" t="s">
        <v>51</v>
      </c>
      <c r="F701" t="s">
        <v>51</v>
      </c>
      <c r="G701" t="e">
        <f t="shared" si="10"/>
        <v>#DIV/0!</v>
      </c>
    </row>
    <row r="702" spans="1:7" hidden="1" x14ac:dyDescent="0.35">
      <c r="A702" t="b">
        <f>IF(Bestellungen!J702="Ja",Bestellungen!A702)</f>
        <v>0</v>
      </c>
      <c r="B702" t="b">
        <f>IF(Bestellungen!J702="Ja",Bestellungen!B702)</f>
        <v>0</v>
      </c>
      <c r="C702" t="s">
        <v>51</v>
      </c>
      <c r="D702" t="s">
        <v>51</v>
      </c>
      <c r="E702" t="s">
        <v>51</v>
      </c>
      <c r="F702" t="s">
        <v>51</v>
      </c>
      <c r="G702" t="e">
        <f t="shared" si="10"/>
        <v>#DIV/0!</v>
      </c>
    </row>
    <row r="703" spans="1:7" x14ac:dyDescent="0.35">
      <c r="A703">
        <f>IF(Bestellungen!J703="Ja",Bestellungen!A703)</f>
        <v>8350</v>
      </c>
      <c r="B703">
        <f>IF(Bestellungen!J703="Ja",Bestellungen!B703)</f>
        <v>76</v>
      </c>
      <c r="C703">
        <v>3</v>
      </c>
      <c r="D703">
        <v>4</v>
      </c>
      <c r="E703">
        <v>3</v>
      </c>
      <c r="F703">
        <v>3</v>
      </c>
      <c r="G703">
        <f t="shared" si="10"/>
        <v>3.25</v>
      </c>
    </row>
    <row r="704" spans="1:7" x14ac:dyDescent="0.35">
      <c r="A704">
        <f>IF(Bestellungen!J704="Ja",Bestellungen!A704)</f>
        <v>8351</v>
      </c>
      <c r="B704">
        <f>IF(Bestellungen!J704="Ja",Bestellungen!B704)</f>
        <v>734</v>
      </c>
      <c r="C704">
        <v>3</v>
      </c>
      <c r="D704">
        <v>4</v>
      </c>
      <c r="E704">
        <v>5</v>
      </c>
      <c r="F704">
        <v>5</v>
      </c>
      <c r="G704">
        <f t="shared" si="10"/>
        <v>4.25</v>
      </c>
    </row>
    <row r="705" spans="1:7" x14ac:dyDescent="0.35">
      <c r="A705">
        <f>IF(Bestellungen!J705="Ja",Bestellungen!A705)</f>
        <v>8352</v>
      </c>
      <c r="B705">
        <f>IF(Bestellungen!J705="Ja",Bestellungen!B705)</f>
        <v>554</v>
      </c>
      <c r="C705">
        <v>3</v>
      </c>
      <c r="D705">
        <v>5</v>
      </c>
      <c r="E705">
        <v>5</v>
      </c>
      <c r="F705">
        <v>5</v>
      </c>
      <c r="G705">
        <f t="shared" si="10"/>
        <v>4.5</v>
      </c>
    </row>
    <row r="706" spans="1:7" x14ac:dyDescent="0.35">
      <c r="A706">
        <f>IF(Bestellungen!J706="Ja",Bestellungen!A706)</f>
        <v>8353</v>
      </c>
      <c r="B706">
        <f>IF(Bestellungen!J706="Ja",Bestellungen!B706)</f>
        <v>30</v>
      </c>
      <c r="C706">
        <v>4</v>
      </c>
      <c r="D706">
        <v>4</v>
      </c>
      <c r="E706">
        <v>5</v>
      </c>
      <c r="F706">
        <v>5</v>
      </c>
      <c r="G706">
        <f t="shared" si="10"/>
        <v>4.5</v>
      </c>
    </row>
    <row r="707" spans="1:7" hidden="1" x14ac:dyDescent="0.35">
      <c r="A707" t="b">
        <f>IF(Bestellungen!J707="Ja",Bestellungen!A707)</f>
        <v>0</v>
      </c>
      <c r="B707" t="b">
        <f>IF(Bestellungen!J707="Ja",Bestellungen!B707)</f>
        <v>0</v>
      </c>
      <c r="C707" t="s">
        <v>51</v>
      </c>
      <c r="D707" t="s">
        <v>51</v>
      </c>
      <c r="E707" t="s">
        <v>51</v>
      </c>
      <c r="F707" t="s">
        <v>51</v>
      </c>
      <c r="G707" t="e">
        <f t="shared" ref="G707:G770" si="11">SUM(C707:F707)/COUNT(C707:F707)</f>
        <v>#DIV/0!</v>
      </c>
    </row>
    <row r="708" spans="1:7" hidden="1" x14ac:dyDescent="0.35">
      <c r="A708" t="b">
        <f>IF(Bestellungen!J708="Ja",Bestellungen!A708)</f>
        <v>0</v>
      </c>
      <c r="B708" t="b">
        <f>IF(Bestellungen!J708="Ja",Bestellungen!B708)</f>
        <v>0</v>
      </c>
      <c r="C708" t="s">
        <v>51</v>
      </c>
      <c r="D708" t="s">
        <v>51</v>
      </c>
      <c r="E708" t="s">
        <v>51</v>
      </c>
      <c r="F708" t="s">
        <v>51</v>
      </c>
      <c r="G708" t="e">
        <f t="shared" si="11"/>
        <v>#DIV/0!</v>
      </c>
    </row>
    <row r="709" spans="1:7" hidden="1" x14ac:dyDescent="0.35">
      <c r="A709" t="b">
        <f>IF(Bestellungen!J709="Ja",Bestellungen!A709)</f>
        <v>0</v>
      </c>
      <c r="B709" t="b">
        <f>IF(Bestellungen!J709="Ja",Bestellungen!B709)</f>
        <v>0</v>
      </c>
      <c r="C709" t="s">
        <v>51</v>
      </c>
      <c r="D709" t="s">
        <v>51</v>
      </c>
      <c r="E709" t="s">
        <v>51</v>
      </c>
      <c r="F709" t="s">
        <v>51</v>
      </c>
      <c r="G709" t="e">
        <f t="shared" si="11"/>
        <v>#DIV/0!</v>
      </c>
    </row>
    <row r="710" spans="1:7" x14ac:dyDescent="0.35">
      <c r="A710">
        <f>IF(Bestellungen!J710="Ja",Bestellungen!A710)</f>
        <v>8357</v>
      </c>
      <c r="B710">
        <f>IF(Bestellungen!J710="Ja",Bestellungen!B710)</f>
        <v>622</v>
      </c>
      <c r="C710">
        <v>4</v>
      </c>
      <c r="D710">
        <v>3</v>
      </c>
      <c r="E710">
        <v>4</v>
      </c>
      <c r="F710">
        <v>4</v>
      </c>
      <c r="G710">
        <f t="shared" si="11"/>
        <v>3.75</v>
      </c>
    </row>
    <row r="711" spans="1:7" hidden="1" x14ac:dyDescent="0.35">
      <c r="A711" t="b">
        <f>IF(Bestellungen!J711="Ja",Bestellungen!A711)</f>
        <v>0</v>
      </c>
      <c r="B711" t="b">
        <f>IF(Bestellungen!J711="Ja",Bestellungen!B711)</f>
        <v>0</v>
      </c>
      <c r="C711" t="s">
        <v>51</v>
      </c>
      <c r="D711" t="s">
        <v>51</v>
      </c>
      <c r="E711" t="s">
        <v>51</v>
      </c>
      <c r="F711" t="s">
        <v>51</v>
      </c>
      <c r="G711" t="e">
        <f t="shared" si="11"/>
        <v>#DIV/0!</v>
      </c>
    </row>
    <row r="712" spans="1:7" x14ac:dyDescent="0.35">
      <c r="A712">
        <f>IF(Bestellungen!J712="Ja",Bestellungen!A712)</f>
        <v>8359</v>
      </c>
      <c r="B712">
        <f>IF(Bestellungen!J712="Ja",Bestellungen!B712)</f>
        <v>321</v>
      </c>
      <c r="C712">
        <v>3</v>
      </c>
      <c r="D712">
        <v>4</v>
      </c>
      <c r="E712">
        <v>3</v>
      </c>
      <c r="F712">
        <v>4</v>
      </c>
      <c r="G712">
        <f t="shared" si="11"/>
        <v>3.5</v>
      </c>
    </row>
    <row r="713" spans="1:7" hidden="1" x14ac:dyDescent="0.35">
      <c r="A713" t="b">
        <f>IF(Bestellungen!J713="Ja",Bestellungen!A713)</f>
        <v>0</v>
      </c>
      <c r="B713" t="b">
        <f>IF(Bestellungen!J713="Ja",Bestellungen!B713)</f>
        <v>0</v>
      </c>
      <c r="C713" t="s">
        <v>51</v>
      </c>
      <c r="D713" t="s">
        <v>51</v>
      </c>
      <c r="E713" t="s">
        <v>51</v>
      </c>
      <c r="F713" t="s">
        <v>51</v>
      </c>
      <c r="G713" t="e">
        <f t="shared" si="11"/>
        <v>#DIV/0!</v>
      </c>
    </row>
    <row r="714" spans="1:7" hidden="1" x14ac:dyDescent="0.35">
      <c r="A714" t="b">
        <f>IF(Bestellungen!J714="Ja",Bestellungen!A714)</f>
        <v>0</v>
      </c>
      <c r="B714" t="b">
        <f>IF(Bestellungen!J714="Ja",Bestellungen!B714)</f>
        <v>0</v>
      </c>
      <c r="C714" t="s">
        <v>51</v>
      </c>
      <c r="D714" t="s">
        <v>51</v>
      </c>
      <c r="E714" t="s">
        <v>51</v>
      </c>
      <c r="F714" t="s">
        <v>51</v>
      </c>
      <c r="G714" t="e">
        <f t="shared" si="11"/>
        <v>#DIV/0!</v>
      </c>
    </row>
    <row r="715" spans="1:7" x14ac:dyDescent="0.35">
      <c r="A715">
        <f>IF(Bestellungen!J715="Ja",Bestellungen!A715)</f>
        <v>8362</v>
      </c>
      <c r="B715">
        <f>IF(Bestellungen!J715="Ja",Bestellungen!B715)</f>
        <v>377</v>
      </c>
      <c r="C715">
        <v>5</v>
      </c>
      <c r="D715">
        <v>5</v>
      </c>
      <c r="E715">
        <v>5</v>
      </c>
      <c r="F715">
        <v>4</v>
      </c>
      <c r="G715">
        <f t="shared" si="11"/>
        <v>4.75</v>
      </c>
    </row>
    <row r="716" spans="1:7" hidden="1" x14ac:dyDescent="0.35">
      <c r="A716" t="b">
        <f>IF(Bestellungen!J716="Ja",Bestellungen!A716)</f>
        <v>0</v>
      </c>
      <c r="B716" t="b">
        <f>IF(Bestellungen!J716="Ja",Bestellungen!B716)</f>
        <v>0</v>
      </c>
      <c r="C716" t="s">
        <v>51</v>
      </c>
      <c r="D716" t="s">
        <v>51</v>
      </c>
      <c r="E716" t="s">
        <v>51</v>
      </c>
      <c r="F716" t="s">
        <v>51</v>
      </c>
      <c r="G716" t="e">
        <f t="shared" si="11"/>
        <v>#DIV/0!</v>
      </c>
    </row>
    <row r="717" spans="1:7" hidden="1" x14ac:dyDescent="0.35">
      <c r="A717" t="b">
        <f>IF(Bestellungen!J717="Ja",Bestellungen!A717)</f>
        <v>0</v>
      </c>
      <c r="B717" t="b">
        <f>IF(Bestellungen!J717="Ja",Bestellungen!B717)</f>
        <v>0</v>
      </c>
      <c r="C717" t="s">
        <v>51</v>
      </c>
      <c r="D717" t="s">
        <v>51</v>
      </c>
      <c r="E717" t="s">
        <v>51</v>
      </c>
      <c r="F717" t="s">
        <v>51</v>
      </c>
      <c r="G717" t="e">
        <f t="shared" si="11"/>
        <v>#DIV/0!</v>
      </c>
    </row>
    <row r="718" spans="1:7" x14ac:dyDescent="0.35">
      <c r="A718">
        <f>IF(Bestellungen!J718="Ja",Bestellungen!A718)</f>
        <v>8365</v>
      </c>
      <c r="B718">
        <f>IF(Bestellungen!J718="Ja",Bestellungen!B718)</f>
        <v>714</v>
      </c>
      <c r="C718">
        <v>5</v>
      </c>
      <c r="D718">
        <v>4</v>
      </c>
      <c r="E718">
        <v>3</v>
      </c>
      <c r="F718">
        <v>5</v>
      </c>
      <c r="G718">
        <f t="shared" si="11"/>
        <v>4.25</v>
      </c>
    </row>
    <row r="719" spans="1:7" x14ac:dyDescent="0.35">
      <c r="A719">
        <f>IF(Bestellungen!J719="Ja",Bestellungen!A719)</f>
        <v>8366</v>
      </c>
      <c r="B719">
        <f>IF(Bestellungen!J719="Ja",Bestellungen!B719)</f>
        <v>140</v>
      </c>
      <c r="C719">
        <v>3</v>
      </c>
      <c r="D719">
        <v>5</v>
      </c>
      <c r="E719">
        <v>5</v>
      </c>
      <c r="F719">
        <v>4</v>
      </c>
      <c r="G719">
        <f t="shared" si="11"/>
        <v>4.25</v>
      </c>
    </row>
    <row r="720" spans="1:7" hidden="1" x14ac:dyDescent="0.35">
      <c r="A720" t="b">
        <f>IF(Bestellungen!J720="Ja",Bestellungen!A720)</f>
        <v>0</v>
      </c>
      <c r="B720" t="b">
        <f>IF(Bestellungen!J720="Ja",Bestellungen!B720)</f>
        <v>0</v>
      </c>
      <c r="C720" t="s">
        <v>51</v>
      </c>
      <c r="D720" t="s">
        <v>51</v>
      </c>
      <c r="E720" t="s">
        <v>51</v>
      </c>
      <c r="F720" t="s">
        <v>51</v>
      </c>
      <c r="G720" t="e">
        <f t="shared" si="11"/>
        <v>#DIV/0!</v>
      </c>
    </row>
    <row r="721" spans="1:7" hidden="1" x14ac:dyDescent="0.35">
      <c r="A721" t="b">
        <f>IF(Bestellungen!J721="Ja",Bestellungen!A721)</f>
        <v>0</v>
      </c>
      <c r="B721" t="b">
        <f>IF(Bestellungen!J721="Ja",Bestellungen!B721)</f>
        <v>0</v>
      </c>
      <c r="C721" t="s">
        <v>51</v>
      </c>
      <c r="D721" t="s">
        <v>51</v>
      </c>
      <c r="E721" t="s">
        <v>51</v>
      </c>
      <c r="F721" t="s">
        <v>51</v>
      </c>
      <c r="G721" t="e">
        <f t="shared" si="11"/>
        <v>#DIV/0!</v>
      </c>
    </row>
    <row r="722" spans="1:7" hidden="1" x14ac:dyDescent="0.35">
      <c r="A722" t="b">
        <f>IF(Bestellungen!J722="Ja",Bestellungen!A722)</f>
        <v>0</v>
      </c>
      <c r="B722" t="b">
        <f>IF(Bestellungen!J722="Ja",Bestellungen!B722)</f>
        <v>0</v>
      </c>
      <c r="C722" t="s">
        <v>51</v>
      </c>
      <c r="D722" t="s">
        <v>51</v>
      </c>
      <c r="E722" t="s">
        <v>51</v>
      </c>
      <c r="F722" t="s">
        <v>51</v>
      </c>
      <c r="G722" t="e">
        <f t="shared" si="11"/>
        <v>#DIV/0!</v>
      </c>
    </row>
    <row r="723" spans="1:7" x14ac:dyDescent="0.35">
      <c r="A723">
        <f>IF(Bestellungen!J723="Ja",Bestellungen!A723)</f>
        <v>8370</v>
      </c>
      <c r="B723">
        <f>IF(Bestellungen!J723="Ja",Bestellungen!B723)</f>
        <v>660</v>
      </c>
      <c r="C723">
        <v>3</v>
      </c>
      <c r="D723">
        <v>5</v>
      </c>
      <c r="E723">
        <v>5</v>
      </c>
      <c r="F723">
        <v>3</v>
      </c>
      <c r="G723">
        <f t="shared" si="11"/>
        <v>4</v>
      </c>
    </row>
    <row r="724" spans="1:7" hidden="1" x14ac:dyDescent="0.35">
      <c r="A724" t="b">
        <f>IF(Bestellungen!J724="Ja",Bestellungen!A724)</f>
        <v>0</v>
      </c>
      <c r="B724" t="b">
        <f>IF(Bestellungen!J724="Ja",Bestellungen!B724)</f>
        <v>0</v>
      </c>
      <c r="C724" t="s">
        <v>51</v>
      </c>
      <c r="D724" t="s">
        <v>51</v>
      </c>
      <c r="E724" t="s">
        <v>51</v>
      </c>
      <c r="F724" t="s">
        <v>51</v>
      </c>
      <c r="G724" t="e">
        <f t="shared" si="11"/>
        <v>#DIV/0!</v>
      </c>
    </row>
    <row r="725" spans="1:7" x14ac:dyDescent="0.35">
      <c r="A725">
        <f>IF(Bestellungen!J725="Ja",Bestellungen!A725)</f>
        <v>8372</v>
      </c>
      <c r="B725">
        <f>IF(Bestellungen!J725="Ja",Bestellungen!B725)</f>
        <v>63</v>
      </c>
      <c r="C725">
        <v>5</v>
      </c>
      <c r="D725">
        <v>4</v>
      </c>
      <c r="E725">
        <v>3</v>
      </c>
      <c r="F725">
        <v>3</v>
      </c>
      <c r="G725">
        <f t="shared" si="11"/>
        <v>3.75</v>
      </c>
    </row>
    <row r="726" spans="1:7" x14ac:dyDescent="0.35">
      <c r="A726">
        <f>IF(Bestellungen!J726="Ja",Bestellungen!A726)</f>
        <v>8373</v>
      </c>
      <c r="B726">
        <f>IF(Bestellungen!J726="Ja",Bestellungen!B726)</f>
        <v>306</v>
      </c>
      <c r="C726">
        <v>4</v>
      </c>
      <c r="D726">
        <v>3</v>
      </c>
      <c r="E726">
        <v>3</v>
      </c>
      <c r="F726">
        <v>4</v>
      </c>
      <c r="G726">
        <f t="shared" si="11"/>
        <v>3.5</v>
      </c>
    </row>
    <row r="727" spans="1:7" hidden="1" x14ac:dyDescent="0.35">
      <c r="A727" t="b">
        <f>IF(Bestellungen!J727="Ja",Bestellungen!A727)</f>
        <v>0</v>
      </c>
      <c r="B727" t="b">
        <f>IF(Bestellungen!J727="Ja",Bestellungen!B727)</f>
        <v>0</v>
      </c>
      <c r="C727" t="s">
        <v>51</v>
      </c>
      <c r="D727" t="s">
        <v>51</v>
      </c>
      <c r="E727" t="s">
        <v>51</v>
      </c>
      <c r="F727" t="s">
        <v>51</v>
      </c>
      <c r="G727" t="e">
        <f t="shared" si="11"/>
        <v>#DIV/0!</v>
      </c>
    </row>
    <row r="728" spans="1:7" hidden="1" x14ac:dyDescent="0.35">
      <c r="A728" t="b">
        <f>IF(Bestellungen!J728="Ja",Bestellungen!A728)</f>
        <v>0</v>
      </c>
      <c r="B728" t="b">
        <f>IF(Bestellungen!J728="Ja",Bestellungen!B728)</f>
        <v>0</v>
      </c>
      <c r="C728" t="s">
        <v>51</v>
      </c>
      <c r="D728" t="s">
        <v>51</v>
      </c>
      <c r="E728" t="s">
        <v>51</v>
      </c>
      <c r="F728" t="s">
        <v>51</v>
      </c>
      <c r="G728" t="e">
        <f t="shared" si="11"/>
        <v>#DIV/0!</v>
      </c>
    </row>
    <row r="729" spans="1:7" hidden="1" x14ac:dyDescent="0.35">
      <c r="A729" t="b">
        <f>IF(Bestellungen!J729="Ja",Bestellungen!A729)</f>
        <v>0</v>
      </c>
      <c r="B729" t="b">
        <f>IF(Bestellungen!J729="Ja",Bestellungen!B729)</f>
        <v>0</v>
      </c>
      <c r="C729" t="s">
        <v>51</v>
      </c>
      <c r="D729" t="s">
        <v>51</v>
      </c>
      <c r="E729" t="s">
        <v>51</v>
      </c>
      <c r="F729" t="s">
        <v>51</v>
      </c>
      <c r="G729" t="e">
        <f t="shared" si="11"/>
        <v>#DIV/0!</v>
      </c>
    </row>
    <row r="730" spans="1:7" x14ac:dyDescent="0.35">
      <c r="A730">
        <f>IF(Bestellungen!J730="Ja",Bestellungen!A730)</f>
        <v>8377</v>
      </c>
      <c r="B730">
        <f>IF(Bestellungen!J730="Ja",Bestellungen!B730)</f>
        <v>114</v>
      </c>
      <c r="C730">
        <v>4</v>
      </c>
      <c r="D730">
        <v>5</v>
      </c>
      <c r="E730">
        <v>4</v>
      </c>
      <c r="F730">
        <v>5</v>
      </c>
      <c r="G730">
        <f t="shared" si="11"/>
        <v>4.5</v>
      </c>
    </row>
    <row r="731" spans="1:7" hidden="1" x14ac:dyDescent="0.35">
      <c r="A731" t="b">
        <f>IF(Bestellungen!J731="Ja",Bestellungen!A731)</f>
        <v>0</v>
      </c>
      <c r="B731" t="b">
        <f>IF(Bestellungen!J731="Ja",Bestellungen!B731)</f>
        <v>0</v>
      </c>
      <c r="C731" t="s">
        <v>51</v>
      </c>
      <c r="D731" t="s">
        <v>51</v>
      </c>
      <c r="E731" t="s">
        <v>51</v>
      </c>
      <c r="F731" t="s">
        <v>51</v>
      </c>
      <c r="G731" t="e">
        <f t="shared" si="11"/>
        <v>#DIV/0!</v>
      </c>
    </row>
    <row r="732" spans="1:7" hidden="1" x14ac:dyDescent="0.35">
      <c r="A732" t="b">
        <f>IF(Bestellungen!J732="Ja",Bestellungen!A732)</f>
        <v>0</v>
      </c>
      <c r="B732" t="b">
        <f>IF(Bestellungen!J732="Ja",Bestellungen!B732)</f>
        <v>0</v>
      </c>
      <c r="C732" t="s">
        <v>51</v>
      </c>
      <c r="D732" t="s">
        <v>51</v>
      </c>
      <c r="E732" t="s">
        <v>51</v>
      </c>
      <c r="F732" t="s">
        <v>51</v>
      </c>
      <c r="G732" t="e">
        <f t="shared" si="11"/>
        <v>#DIV/0!</v>
      </c>
    </row>
    <row r="733" spans="1:7" hidden="1" x14ac:dyDescent="0.35">
      <c r="A733" t="b">
        <f>IF(Bestellungen!J733="Ja",Bestellungen!A733)</f>
        <v>0</v>
      </c>
      <c r="B733" t="b">
        <f>IF(Bestellungen!J733="Ja",Bestellungen!B733)</f>
        <v>0</v>
      </c>
      <c r="C733" t="s">
        <v>51</v>
      </c>
      <c r="D733" t="s">
        <v>51</v>
      </c>
      <c r="E733" t="s">
        <v>51</v>
      </c>
      <c r="F733" t="s">
        <v>51</v>
      </c>
      <c r="G733" t="e">
        <f t="shared" si="11"/>
        <v>#DIV/0!</v>
      </c>
    </row>
    <row r="734" spans="1:7" hidden="1" x14ac:dyDescent="0.35">
      <c r="A734" t="b">
        <f>IF(Bestellungen!J734="Ja",Bestellungen!A734)</f>
        <v>0</v>
      </c>
      <c r="B734" t="b">
        <f>IF(Bestellungen!J734="Ja",Bestellungen!B734)</f>
        <v>0</v>
      </c>
      <c r="C734" t="s">
        <v>51</v>
      </c>
      <c r="D734" t="s">
        <v>51</v>
      </c>
      <c r="E734" t="s">
        <v>51</v>
      </c>
      <c r="F734" t="s">
        <v>51</v>
      </c>
      <c r="G734" t="e">
        <f t="shared" si="11"/>
        <v>#DIV/0!</v>
      </c>
    </row>
    <row r="735" spans="1:7" x14ac:dyDescent="0.35">
      <c r="A735">
        <f>IF(Bestellungen!J735="Ja",Bestellungen!A735)</f>
        <v>8382</v>
      </c>
      <c r="B735">
        <f>IF(Bestellungen!J735="Ja",Bestellungen!B735)</f>
        <v>580</v>
      </c>
      <c r="C735">
        <v>5</v>
      </c>
      <c r="D735">
        <v>4</v>
      </c>
      <c r="E735">
        <v>5</v>
      </c>
      <c r="F735">
        <v>5</v>
      </c>
      <c r="G735">
        <f t="shared" si="11"/>
        <v>4.75</v>
      </c>
    </row>
    <row r="736" spans="1:7" x14ac:dyDescent="0.35">
      <c r="A736">
        <f>IF(Bestellungen!J736="Ja",Bestellungen!A736)</f>
        <v>8383</v>
      </c>
      <c r="B736">
        <f>IF(Bestellungen!J736="Ja",Bestellungen!B736)</f>
        <v>508</v>
      </c>
      <c r="C736">
        <v>5</v>
      </c>
      <c r="D736">
        <v>4</v>
      </c>
      <c r="E736">
        <v>4</v>
      </c>
      <c r="F736">
        <v>3</v>
      </c>
      <c r="G736">
        <f t="shared" si="11"/>
        <v>4</v>
      </c>
    </row>
    <row r="737" spans="1:7" hidden="1" x14ac:dyDescent="0.35">
      <c r="A737" t="b">
        <f>IF(Bestellungen!J737="Ja",Bestellungen!A737)</f>
        <v>0</v>
      </c>
      <c r="B737" t="b">
        <f>IF(Bestellungen!J737="Ja",Bestellungen!B737)</f>
        <v>0</v>
      </c>
      <c r="C737" t="s">
        <v>51</v>
      </c>
      <c r="D737" t="s">
        <v>51</v>
      </c>
      <c r="E737" t="s">
        <v>51</v>
      </c>
      <c r="F737" t="s">
        <v>51</v>
      </c>
      <c r="G737" t="e">
        <f t="shared" si="11"/>
        <v>#DIV/0!</v>
      </c>
    </row>
    <row r="738" spans="1:7" x14ac:dyDescent="0.35">
      <c r="A738">
        <f>IF(Bestellungen!J738="Ja",Bestellungen!A738)</f>
        <v>8385</v>
      </c>
      <c r="B738">
        <f>IF(Bestellungen!J738="Ja",Bestellungen!B738)</f>
        <v>617</v>
      </c>
      <c r="C738">
        <v>4</v>
      </c>
      <c r="D738">
        <v>5</v>
      </c>
      <c r="E738">
        <v>3</v>
      </c>
      <c r="F738">
        <v>4</v>
      </c>
      <c r="G738">
        <f t="shared" si="11"/>
        <v>4</v>
      </c>
    </row>
    <row r="739" spans="1:7" hidden="1" x14ac:dyDescent="0.35">
      <c r="A739" t="b">
        <f>IF(Bestellungen!J739="Ja",Bestellungen!A739)</f>
        <v>0</v>
      </c>
      <c r="B739" t="b">
        <f>IF(Bestellungen!J739="Ja",Bestellungen!B739)</f>
        <v>0</v>
      </c>
      <c r="C739" t="s">
        <v>51</v>
      </c>
      <c r="D739" t="s">
        <v>51</v>
      </c>
      <c r="E739" t="s">
        <v>51</v>
      </c>
      <c r="F739" t="s">
        <v>51</v>
      </c>
      <c r="G739" t="e">
        <f t="shared" si="11"/>
        <v>#DIV/0!</v>
      </c>
    </row>
    <row r="740" spans="1:7" hidden="1" x14ac:dyDescent="0.35">
      <c r="A740" t="b">
        <f>IF(Bestellungen!J740="Ja",Bestellungen!A740)</f>
        <v>0</v>
      </c>
      <c r="B740" t="b">
        <f>IF(Bestellungen!J740="Ja",Bestellungen!B740)</f>
        <v>0</v>
      </c>
      <c r="C740" t="s">
        <v>51</v>
      </c>
      <c r="D740" t="s">
        <v>51</v>
      </c>
      <c r="E740" t="s">
        <v>51</v>
      </c>
      <c r="F740" t="s">
        <v>51</v>
      </c>
      <c r="G740" t="e">
        <f t="shared" si="11"/>
        <v>#DIV/0!</v>
      </c>
    </row>
    <row r="741" spans="1:7" x14ac:dyDescent="0.35">
      <c r="A741">
        <f>IF(Bestellungen!J741="Ja",Bestellungen!A741)</f>
        <v>8388</v>
      </c>
      <c r="B741">
        <f>IF(Bestellungen!J741="Ja",Bestellungen!B741)</f>
        <v>314</v>
      </c>
      <c r="C741">
        <v>4</v>
      </c>
      <c r="D741">
        <v>3</v>
      </c>
      <c r="E741">
        <v>4</v>
      </c>
      <c r="F741">
        <v>5</v>
      </c>
      <c r="G741">
        <f t="shared" si="11"/>
        <v>4</v>
      </c>
    </row>
    <row r="742" spans="1:7" x14ac:dyDescent="0.35">
      <c r="A742">
        <f>IF(Bestellungen!J742="Ja",Bestellungen!A742)</f>
        <v>8389</v>
      </c>
      <c r="B742">
        <f>IF(Bestellungen!J742="Ja",Bestellungen!B742)</f>
        <v>232</v>
      </c>
      <c r="C742">
        <v>4</v>
      </c>
      <c r="D742">
        <v>3</v>
      </c>
      <c r="E742">
        <v>3</v>
      </c>
      <c r="F742">
        <v>5</v>
      </c>
      <c r="G742">
        <f t="shared" si="11"/>
        <v>3.75</v>
      </c>
    </row>
    <row r="743" spans="1:7" x14ac:dyDescent="0.35">
      <c r="A743">
        <f>IF(Bestellungen!J743="Ja",Bestellungen!A743)</f>
        <v>8390</v>
      </c>
      <c r="B743">
        <f>IF(Bestellungen!J743="Ja",Bestellungen!B743)</f>
        <v>301</v>
      </c>
      <c r="C743">
        <v>5</v>
      </c>
      <c r="D743">
        <v>5</v>
      </c>
      <c r="E743">
        <v>5</v>
      </c>
      <c r="F743">
        <v>3</v>
      </c>
      <c r="G743">
        <f t="shared" si="11"/>
        <v>4.5</v>
      </c>
    </row>
    <row r="744" spans="1:7" x14ac:dyDescent="0.35">
      <c r="A744">
        <f>IF(Bestellungen!J744="Ja",Bestellungen!A744)</f>
        <v>8391</v>
      </c>
      <c r="B744">
        <f>IF(Bestellungen!J744="Ja",Bestellungen!B744)</f>
        <v>356</v>
      </c>
      <c r="C744">
        <v>5</v>
      </c>
      <c r="D744">
        <v>5</v>
      </c>
      <c r="E744">
        <v>3</v>
      </c>
      <c r="F744">
        <v>3</v>
      </c>
      <c r="G744">
        <f t="shared" si="11"/>
        <v>4</v>
      </c>
    </row>
    <row r="745" spans="1:7" x14ac:dyDescent="0.35">
      <c r="A745">
        <f>IF(Bestellungen!J745="Ja",Bestellungen!A745)</f>
        <v>8392</v>
      </c>
      <c r="B745">
        <f>IF(Bestellungen!J745="Ja",Bestellungen!B745)</f>
        <v>411</v>
      </c>
      <c r="C745">
        <v>3</v>
      </c>
      <c r="D745">
        <v>4</v>
      </c>
      <c r="E745">
        <v>3</v>
      </c>
      <c r="F745">
        <v>3</v>
      </c>
      <c r="G745">
        <f t="shared" si="11"/>
        <v>3.25</v>
      </c>
    </row>
    <row r="746" spans="1:7" x14ac:dyDescent="0.35">
      <c r="A746">
        <f>IF(Bestellungen!J746="Ja",Bestellungen!A746)</f>
        <v>8393</v>
      </c>
      <c r="B746">
        <f>IF(Bestellungen!J746="Ja",Bestellungen!B746)</f>
        <v>68</v>
      </c>
      <c r="C746">
        <v>5</v>
      </c>
      <c r="D746">
        <v>5</v>
      </c>
      <c r="E746">
        <v>3</v>
      </c>
      <c r="F746">
        <v>3</v>
      </c>
      <c r="G746">
        <f t="shared" si="11"/>
        <v>4</v>
      </c>
    </row>
    <row r="747" spans="1:7" x14ac:dyDescent="0.35">
      <c r="A747">
        <f>IF(Bestellungen!J747="Ja",Bestellungen!A747)</f>
        <v>8394</v>
      </c>
      <c r="B747">
        <f>IF(Bestellungen!J747="Ja",Bestellungen!B747)</f>
        <v>626</v>
      </c>
      <c r="C747">
        <v>3</v>
      </c>
      <c r="D747">
        <v>3</v>
      </c>
      <c r="E747">
        <v>4</v>
      </c>
      <c r="F747">
        <v>5</v>
      </c>
      <c r="G747">
        <f t="shared" si="11"/>
        <v>3.75</v>
      </c>
    </row>
    <row r="748" spans="1:7" x14ac:dyDescent="0.35">
      <c r="A748">
        <f>IF(Bestellungen!J748="Ja",Bestellungen!A748)</f>
        <v>8395</v>
      </c>
      <c r="B748">
        <f>IF(Bestellungen!J748="Ja",Bestellungen!B748)</f>
        <v>699</v>
      </c>
      <c r="C748">
        <v>3</v>
      </c>
      <c r="D748">
        <v>4</v>
      </c>
      <c r="E748">
        <v>3</v>
      </c>
      <c r="F748">
        <v>3</v>
      </c>
      <c r="G748">
        <f t="shared" si="11"/>
        <v>3.25</v>
      </c>
    </row>
    <row r="749" spans="1:7" hidden="1" x14ac:dyDescent="0.35">
      <c r="A749" t="b">
        <f>IF(Bestellungen!J749="Ja",Bestellungen!A749)</f>
        <v>0</v>
      </c>
      <c r="B749" t="b">
        <f>IF(Bestellungen!J749="Ja",Bestellungen!B749)</f>
        <v>0</v>
      </c>
      <c r="C749" t="s">
        <v>51</v>
      </c>
      <c r="D749" t="s">
        <v>51</v>
      </c>
      <c r="E749" t="s">
        <v>51</v>
      </c>
      <c r="F749" t="s">
        <v>51</v>
      </c>
      <c r="G749" t="e">
        <f t="shared" si="11"/>
        <v>#DIV/0!</v>
      </c>
    </row>
    <row r="750" spans="1:7" x14ac:dyDescent="0.35">
      <c r="A750">
        <f>IF(Bestellungen!J750="Ja",Bestellungen!A750)</f>
        <v>8397</v>
      </c>
      <c r="B750">
        <f>IF(Bestellungen!J750="Ja",Bestellungen!B750)</f>
        <v>358</v>
      </c>
      <c r="C750">
        <v>5</v>
      </c>
      <c r="D750">
        <v>3</v>
      </c>
      <c r="E750">
        <v>4</v>
      </c>
      <c r="F750">
        <v>4</v>
      </c>
      <c r="G750">
        <f t="shared" si="11"/>
        <v>4</v>
      </c>
    </row>
    <row r="751" spans="1:7" x14ac:dyDescent="0.35">
      <c r="A751">
        <f>IF(Bestellungen!J751="Ja",Bestellungen!A751)</f>
        <v>8398</v>
      </c>
      <c r="B751">
        <f>IF(Bestellungen!J751="Ja",Bestellungen!B751)</f>
        <v>294</v>
      </c>
      <c r="C751">
        <v>5</v>
      </c>
      <c r="D751">
        <v>4</v>
      </c>
      <c r="E751">
        <v>3</v>
      </c>
      <c r="F751">
        <v>3</v>
      </c>
      <c r="G751">
        <f t="shared" si="11"/>
        <v>3.75</v>
      </c>
    </row>
    <row r="752" spans="1:7" x14ac:dyDescent="0.35">
      <c r="A752">
        <f>IF(Bestellungen!J752="Ja",Bestellungen!A752)</f>
        <v>8399</v>
      </c>
      <c r="B752">
        <f>IF(Bestellungen!J752="Ja",Bestellungen!B752)</f>
        <v>679</v>
      </c>
      <c r="C752">
        <v>3</v>
      </c>
      <c r="D752">
        <v>4</v>
      </c>
      <c r="E752">
        <v>3</v>
      </c>
      <c r="F752">
        <v>5</v>
      </c>
      <c r="G752">
        <f t="shared" si="11"/>
        <v>3.75</v>
      </c>
    </row>
    <row r="753" spans="1:7" hidden="1" x14ac:dyDescent="0.35">
      <c r="A753" t="b">
        <f>IF(Bestellungen!J753="Ja",Bestellungen!A753)</f>
        <v>0</v>
      </c>
      <c r="B753" t="b">
        <f>IF(Bestellungen!J753="Ja",Bestellungen!B753)</f>
        <v>0</v>
      </c>
      <c r="C753" t="s">
        <v>51</v>
      </c>
      <c r="D753" t="s">
        <v>51</v>
      </c>
      <c r="E753" t="s">
        <v>51</v>
      </c>
      <c r="F753" t="s">
        <v>51</v>
      </c>
      <c r="G753" t="e">
        <f t="shared" si="11"/>
        <v>#DIV/0!</v>
      </c>
    </row>
    <row r="754" spans="1:7" hidden="1" x14ac:dyDescent="0.35">
      <c r="A754" t="b">
        <f>IF(Bestellungen!J754="Ja",Bestellungen!A754)</f>
        <v>0</v>
      </c>
      <c r="B754" t="b">
        <f>IF(Bestellungen!J754="Ja",Bestellungen!B754)</f>
        <v>0</v>
      </c>
      <c r="C754" t="s">
        <v>51</v>
      </c>
      <c r="D754" t="s">
        <v>51</v>
      </c>
      <c r="E754" t="s">
        <v>51</v>
      </c>
      <c r="F754" t="s">
        <v>51</v>
      </c>
      <c r="G754" t="e">
        <f t="shared" si="11"/>
        <v>#DIV/0!</v>
      </c>
    </row>
    <row r="755" spans="1:7" hidden="1" x14ac:dyDescent="0.35">
      <c r="A755" t="b">
        <f>IF(Bestellungen!J755="Ja",Bestellungen!A755)</f>
        <v>0</v>
      </c>
      <c r="B755" t="b">
        <f>IF(Bestellungen!J755="Ja",Bestellungen!B755)</f>
        <v>0</v>
      </c>
      <c r="C755" t="s">
        <v>51</v>
      </c>
      <c r="D755" t="s">
        <v>51</v>
      </c>
      <c r="E755" t="s">
        <v>51</v>
      </c>
      <c r="F755" t="s">
        <v>51</v>
      </c>
      <c r="G755" t="e">
        <f t="shared" si="11"/>
        <v>#DIV/0!</v>
      </c>
    </row>
    <row r="756" spans="1:7" hidden="1" x14ac:dyDescent="0.35">
      <c r="A756" t="b">
        <f>IF(Bestellungen!J756="Ja",Bestellungen!A756)</f>
        <v>0</v>
      </c>
      <c r="B756" t="b">
        <f>IF(Bestellungen!J756="Ja",Bestellungen!B756)</f>
        <v>0</v>
      </c>
      <c r="C756" t="s">
        <v>51</v>
      </c>
      <c r="D756" t="s">
        <v>51</v>
      </c>
      <c r="E756" t="s">
        <v>51</v>
      </c>
      <c r="F756" t="s">
        <v>51</v>
      </c>
      <c r="G756" t="e">
        <f t="shared" si="11"/>
        <v>#DIV/0!</v>
      </c>
    </row>
    <row r="757" spans="1:7" x14ac:dyDescent="0.35">
      <c r="A757">
        <f>IF(Bestellungen!J757="Ja",Bestellungen!A757)</f>
        <v>8404</v>
      </c>
      <c r="B757">
        <f>IF(Bestellungen!J757="Ja",Bestellungen!B757)</f>
        <v>704</v>
      </c>
      <c r="C757">
        <v>4</v>
      </c>
      <c r="D757">
        <v>3</v>
      </c>
      <c r="E757">
        <v>3</v>
      </c>
      <c r="F757">
        <v>4</v>
      </c>
      <c r="G757">
        <f t="shared" si="11"/>
        <v>3.5</v>
      </c>
    </row>
    <row r="758" spans="1:7" hidden="1" x14ac:dyDescent="0.35">
      <c r="A758" t="b">
        <f>IF(Bestellungen!J758="Ja",Bestellungen!A758)</f>
        <v>0</v>
      </c>
      <c r="B758" t="b">
        <f>IF(Bestellungen!J758="Ja",Bestellungen!B758)</f>
        <v>0</v>
      </c>
      <c r="C758" t="s">
        <v>51</v>
      </c>
      <c r="D758" t="s">
        <v>51</v>
      </c>
      <c r="E758" t="s">
        <v>51</v>
      </c>
      <c r="F758" t="s">
        <v>51</v>
      </c>
      <c r="G758" t="e">
        <f t="shared" si="11"/>
        <v>#DIV/0!</v>
      </c>
    </row>
    <row r="759" spans="1:7" hidden="1" x14ac:dyDescent="0.35">
      <c r="A759" t="b">
        <f>IF(Bestellungen!J759="Ja",Bestellungen!A759)</f>
        <v>0</v>
      </c>
      <c r="B759" t="b">
        <f>IF(Bestellungen!J759="Ja",Bestellungen!B759)</f>
        <v>0</v>
      </c>
      <c r="C759" t="s">
        <v>51</v>
      </c>
      <c r="D759" t="s">
        <v>51</v>
      </c>
      <c r="E759" t="s">
        <v>51</v>
      </c>
      <c r="F759" t="s">
        <v>51</v>
      </c>
      <c r="G759" t="e">
        <f t="shared" si="11"/>
        <v>#DIV/0!</v>
      </c>
    </row>
    <row r="760" spans="1:7" hidden="1" x14ac:dyDescent="0.35">
      <c r="A760" t="b">
        <f>IF(Bestellungen!J760="Ja",Bestellungen!A760)</f>
        <v>0</v>
      </c>
      <c r="B760" t="b">
        <f>IF(Bestellungen!J760="Ja",Bestellungen!B760)</f>
        <v>0</v>
      </c>
      <c r="C760" t="s">
        <v>51</v>
      </c>
      <c r="D760" t="s">
        <v>51</v>
      </c>
      <c r="E760" t="s">
        <v>51</v>
      </c>
      <c r="F760" t="s">
        <v>51</v>
      </c>
      <c r="G760" t="e">
        <f t="shared" si="11"/>
        <v>#DIV/0!</v>
      </c>
    </row>
    <row r="761" spans="1:7" x14ac:dyDescent="0.35">
      <c r="A761">
        <f>IF(Bestellungen!J761="Ja",Bestellungen!A761)</f>
        <v>8408</v>
      </c>
      <c r="B761">
        <f>IF(Bestellungen!J761="Ja",Bestellungen!B761)</f>
        <v>793</v>
      </c>
      <c r="C761">
        <v>4</v>
      </c>
      <c r="D761">
        <v>4</v>
      </c>
      <c r="E761">
        <v>5</v>
      </c>
      <c r="F761">
        <v>4</v>
      </c>
      <c r="G761">
        <f t="shared" si="11"/>
        <v>4.25</v>
      </c>
    </row>
    <row r="762" spans="1:7" hidden="1" x14ac:dyDescent="0.35">
      <c r="A762" t="b">
        <f>IF(Bestellungen!J762="Ja",Bestellungen!A762)</f>
        <v>0</v>
      </c>
      <c r="B762" t="b">
        <f>IF(Bestellungen!J762="Ja",Bestellungen!B762)</f>
        <v>0</v>
      </c>
      <c r="C762" t="s">
        <v>51</v>
      </c>
      <c r="D762" t="s">
        <v>51</v>
      </c>
      <c r="E762" t="s">
        <v>51</v>
      </c>
      <c r="F762" t="s">
        <v>51</v>
      </c>
      <c r="G762" t="e">
        <f t="shared" si="11"/>
        <v>#DIV/0!</v>
      </c>
    </row>
    <row r="763" spans="1:7" hidden="1" x14ac:dyDescent="0.35">
      <c r="A763" t="b">
        <f>IF(Bestellungen!J763="Ja",Bestellungen!A763)</f>
        <v>0</v>
      </c>
      <c r="B763" t="b">
        <f>IF(Bestellungen!J763="Ja",Bestellungen!B763)</f>
        <v>0</v>
      </c>
      <c r="C763" t="s">
        <v>51</v>
      </c>
      <c r="D763" t="s">
        <v>51</v>
      </c>
      <c r="E763" t="s">
        <v>51</v>
      </c>
      <c r="F763" t="s">
        <v>51</v>
      </c>
      <c r="G763" t="e">
        <f t="shared" si="11"/>
        <v>#DIV/0!</v>
      </c>
    </row>
    <row r="764" spans="1:7" x14ac:dyDescent="0.35">
      <c r="A764">
        <f>IF(Bestellungen!J764="Ja",Bestellungen!A764)</f>
        <v>8411</v>
      </c>
      <c r="B764">
        <f>IF(Bestellungen!J764="Ja",Bestellungen!B764)</f>
        <v>792</v>
      </c>
      <c r="C764">
        <v>5</v>
      </c>
      <c r="D764">
        <v>5</v>
      </c>
      <c r="E764">
        <v>4</v>
      </c>
      <c r="F764">
        <v>3</v>
      </c>
      <c r="G764">
        <f t="shared" si="11"/>
        <v>4.25</v>
      </c>
    </row>
    <row r="765" spans="1:7" hidden="1" x14ac:dyDescent="0.35">
      <c r="A765" t="b">
        <f>IF(Bestellungen!J765="Ja",Bestellungen!A765)</f>
        <v>0</v>
      </c>
      <c r="B765" t="b">
        <f>IF(Bestellungen!J765="Ja",Bestellungen!B765)</f>
        <v>0</v>
      </c>
      <c r="C765" t="s">
        <v>51</v>
      </c>
      <c r="D765" t="s">
        <v>51</v>
      </c>
      <c r="E765" t="s">
        <v>51</v>
      </c>
      <c r="F765" t="s">
        <v>51</v>
      </c>
      <c r="G765" t="e">
        <f t="shared" si="11"/>
        <v>#DIV/0!</v>
      </c>
    </row>
    <row r="766" spans="1:7" x14ac:dyDescent="0.35">
      <c r="A766">
        <f>IF(Bestellungen!J766="Ja",Bestellungen!A766)</f>
        <v>8413</v>
      </c>
      <c r="B766">
        <f>IF(Bestellungen!J766="Ja",Bestellungen!B766)</f>
        <v>191</v>
      </c>
      <c r="C766">
        <v>5</v>
      </c>
      <c r="D766">
        <v>3</v>
      </c>
      <c r="E766">
        <v>4</v>
      </c>
      <c r="F766">
        <v>5</v>
      </c>
      <c r="G766">
        <f t="shared" si="11"/>
        <v>4.25</v>
      </c>
    </row>
    <row r="767" spans="1:7" hidden="1" x14ac:dyDescent="0.35">
      <c r="A767" t="b">
        <f>IF(Bestellungen!J767="Ja",Bestellungen!A767)</f>
        <v>0</v>
      </c>
      <c r="B767" t="b">
        <f>IF(Bestellungen!J767="Ja",Bestellungen!B767)</f>
        <v>0</v>
      </c>
      <c r="C767" t="s">
        <v>51</v>
      </c>
      <c r="D767" t="s">
        <v>51</v>
      </c>
      <c r="E767" t="s">
        <v>51</v>
      </c>
      <c r="F767" t="s">
        <v>51</v>
      </c>
      <c r="G767" t="e">
        <f t="shared" si="11"/>
        <v>#DIV/0!</v>
      </c>
    </row>
    <row r="768" spans="1:7" x14ac:dyDescent="0.35">
      <c r="A768">
        <f>IF(Bestellungen!J768="Ja",Bestellungen!A768)</f>
        <v>8415</v>
      </c>
      <c r="B768">
        <f>IF(Bestellungen!J768="Ja",Bestellungen!B768)</f>
        <v>532</v>
      </c>
      <c r="C768">
        <v>3</v>
      </c>
      <c r="D768">
        <v>5</v>
      </c>
      <c r="E768">
        <v>5</v>
      </c>
      <c r="F768">
        <v>3</v>
      </c>
      <c r="G768">
        <f t="shared" si="11"/>
        <v>4</v>
      </c>
    </row>
    <row r="769" spans="1:7" hidden="1" x14ac:dyDescent="0.35">
      <c r="A769" t="b">
        <f>IF(Bestellungen!J769="Ja",Bestellungen!A769)</f>
        <v>0</v>
      </c>
      <c r="B769" t="b">
        <f>IF(Bestellungen!J769="Ja",Bestellungen!B769)</f>
        <v>0</v>
      </c>
      <c r="C769" t="s">
        <v>51</v>
      </c>
      <c r="D769" t="s">
        <v>51</v>
      </c>
      <c r="E769" t="s">
        <v>51</v>
      </c>
      <c r="F769" t="s">
        <v>51</v>
      </c>
      <c r="G769" t="e">
        <f t="shared" si="11"/>
        <v>#DIV/0!</v>
      </c>
    </row>
    <row r="770" spans="1:7" x14ac:dyDescent="0.35">
      <c r="A770">
        <f>IF(Bestellungen!J770="Ja",Bestellungen!A770)</f>
        <v>8417</v>
      </c>
      <c r="B770">
        <f>IF(Bestellungen!J770="Ja",Bestellungen!B770)</f>
        <v>432</v>
      </c>
      <c r="C770">
        <v>5</v>
      </c>
      <c r="D770">
        <v>4</v>
      </c>
      <c r="E770">
        <v>5</v>
      </c>
      <c r="F770">
        <v>4</v>
      </c>
      <c r="G770">
        <f t="shared" si="11"/>
        <v>4.5</v>
      </c>
    </row>
    <row r="771" spans="1:7" hidden="1" x14ac:dyDescent="0.35">
      <c r="A771" t="b">
        <f>IF(Bestellungen!J771="Ja",Bestellungen!A771)</f>
        <v>0</v>
      </c>
      <c r="B771" t="b">
        <f>IF(Bestellungen!J771="Ja",Bestellungen!B771)</f>
        <v>0</v>
      </c>
      <c r="C771" t="s">
        <v>51</v>
      </c>
      <c r="D771" t="s">
        <v>51</v>
      </c>
      <c r="E771" t="s">
        <v>51</v>
      </c>
      <c r="F771" t="s">
        <v>51</v>
      </c>
      <c r="G771" t="e">
        <f t="shared" ref="G771:G834" si="12">SUM(C771:F771)/COUNT(C771:F771)</f>
        <v>#DIV/0!</v>
      </c>
    </row>
    <row r="772" spans="1:7" hidden="1" x14ac:dyDescent="0.35">
      <c r="A772" t="b">
        <f>IF(Bestellungen!J772="Ja",Bestellungen!A772)</f>
        <v>0</v>
      </c>
      <c r="B772" t="b">
        <f>IF(Bestellungen!J772="Ja",Bestellungen!B772)</f>
        <v>0</v>
      </c>
      <c r="C772" t="s">
        <v>51</v>
      </c>
      <c r="D772" t="s">
        <v>51</v>
      </c>
      <c r="E772" t="s">
        <v>51</v>
      </c>
      <c r="F772" t="s">
        <v>51</v>
      </c>
      <c r="G772" t="e">
        <f t="shared" si="12"/>
        <v>#DIV/0!</v>
      </c>
    </row>
    <row r="773" spans="1:7" hidden="1" x14ac:dyDescent="0.35">
      <c r="A773" t="b">
        <f>IF(Bestellungen!J773="Ja",Bestellungen!A773)</f>
        <v>0</v>
      </c>
      <c r="B773" t="b">
        <f>IF(Bestellungen!J773="Ja",Bestellungen!B773)</f>
        <v>0</v>
      </c>
      <c r="C773" t="s">
        <v>51</v>
      </c>
      <c r="D773" t="s">
        <v>51</v>
      </c>
      <c r="E773" t="s">
        <v>51</v>
      </c>
      <c r="F773" t="s">
        <v>51</v>
      </c>
      <c r="G773" t="e">
        <f t="shared" si="12"/>
        <v>#DIV/0!</v>
      </c>
    </row>
    <row r="774" spans="1:7" x14ac:dyDescent="0.35">
      <c r="A774">
        <f>IF(Bestellungen!J774="Ja",Bestellungen!A774)</f>
        <v>8421</v>
      </c>
      <c r="B774">
        <f>IF(Bestellungen!J774="Ja",Bestellungen!B774)</f>
        <v>46</v>
      </c>
      <c r="C774">
        <v>5</v>
      </c>
      <c r="D774">
        <v>5</v>
      </c>
      <c r="E774">
        <v>3</v>
      </c>
      <c r="F774">
        <v>5</v>
      </c>
      <c r="G774">
        <f t="shared" si="12"/>
        <v>4.5</v>
      </c>
    </row>
    <row r="775" spans="1:7" x14ac:dyDescent="0.35">
      <c r="A775">
        <f>IF(Bestellungen!J775="Ja",Bestellungen!A775)</f>
        <v>8422</v>
      </c>
      <c r="B775">
        <f>IF(Bestellungen!J775="Ja",Bestellungen!B775)</f>
        <v>530</v>
      </c>
      <c r="C775">
        <v>3</v>
      </c>
      <c r="D775">
        <v>3</v>
      </c>
      <c r="E775">
        <v>3</v>
      </c>
      <c r="F775">
        <v>4</v>
      </c>
      <c r="G775">
        <f t="shared" si="12"/>
        <v>3.25</v>
      </c>
    </row>
    <row r="776" spans="1:7" hidden="1" x14ac:dyDescent="0.35">
      <c r="A776" t="b">
        <f>IF(Bestellungen!J776="Ja",Bestellungen!A776)</f>
        <v>0</v>
      </c>
      <c r="B776" t="b">
        <f>IF(Bestellungen!J776="Ja",Bestellungen!B776)</f>
        <v>0</v>
      </c>
      <c r="C776" t="s">
        <v>51</v>
      </c>
      <c r="D776" t="s">
        <v>51</v>
      </c>
      <c r="E776" t="s">
        <v>51</v>
      </c>
      <c r="F776" t="s">
        <v>51</v>
      </c>
      <c r="G776" t="e">
        <f t="shared" si="12"/>
        <v>#DIV/0!</v>
      </c>
    </row>
    <row r="777" spans="1:7" x14ac:dyDescent="0.35">
      <c r="A777">
        <f>IF(Bestellungen!J777="Ja",Bestellungen!A777)</f>
        <v>8424</v>
      </c>
      <c r="B777">
        <f>IF(Bestellungen!J777="Ja",Bestellungen!B777)</f>
        <v>154</v>
      </c>
      <c r="C777">
        <v>3</v>
      </c>
      <c r="D777">
        <v>5</v>
      </c>
      <c r="E777">
        <v>3</v>
      </c>
      <c r="F777">
        <v>3</v>
      </c>
      <c r="G777">
        <f t="shared" si="12"/>
        <v>3.5</v>
      </c>
    </row>
    <row r="778" spans="1:7" hidden="1" x14ac:dyDescent="0.35">
      <c r="A778" t="b">
        <f>IF(Bestellungen!J778="Ja",Bestellungen!A778)</f>
        <v>0</v>
      </c>
      <c r="B778" t="b">
        <f>IF(Bestellungen!J778="Ja",Bestellungen!B778)</f>
        <v>0</v>
      </c>
      <c r="C778" t="s">
        <v>51</v>
      </c>
      <c r="D778" t="s">
        <v>51</v>
      </c>
      <c r="E778" t="s">
        <v>51</v>
      </c>
      <c r="F778" t="s">
        <v>51</v>
      </c>
      <c r="G778" t="e">
        <f t="shared" si="12"/>
        <v>#DIV/0!</v>
      </c>
    </row>
    <row r="779" spans="1:7" x14ac:dyDescent="0.35">
      <c r="A779">
        <f>IF(Bestellungen!J779="Ja",Bestellungen!A779)</f>
        <v>8426</v>
      </c>
      <c r="B779">
        <f>IF(Bestellungen!J779="Ja",Bestellungen!B779)</f>
        <v>30</v>
      </c>
      <c r="C779">
        <v>3</v>
      </c>
      <c r="D779">
        <v>5</v>
      </c>
      <c r="E779">
        <v>5</v>
      </c>
      <c r="F779">
        <v>3</v>
      </c>
      <c r="G779">
        <f t="shared" si="12"/>
        <v>4</v>
      </c>
    </row>
    <row r="780" spans="1:7" hidden="1" x14ac:dyDescent="0.35">
      <c r="A780" t="b">
        <f>IF(Bestellungen!J780="Ja",Bestellungen!A780)</f>
        <v>0</v>
      </c>
      <c r="B780" t="b">
        <f>IF(Bestellungen!J780="Ja",Bestellungen!B780)</f>
        <v>0</v>
      </c>
      <c r="C780" t="s">
        <v>51</v>
      </c>
      <c r="D780" t="s">
        <v>51</v>
      </c>
      <c r="E780" t="s">
        <v>51</v>
      </c>
      <c r="F780" t="s">
        <v>51</v>
      </c>
      <c r="G780" t="e">
        <f t="shared" si="12"/>
        <v>#DIV/0!</v>
      </c>
    </row>
    <row r="781" spans="1:7" hidden="1" x14ac:dyDescent="0.35">
      <c r="A781" t="b">
        <f>IF(Bestellungen!J781="Ja",Bestellungen!A781)</f>
        <v>0</v>
      </c>
      <c r="B781" t="b">
        <f>IF(Bestellungen!J781="Ja",Bestellungen!B781)</f>
        <v>0</v>
      </c>
      <c r="C781" t="s">
        <v>51</v>
      </c>
      <c r="D781" t="s">
        <v>51</v>
      </c>
      <c r="E781" t="s">
        <v>51</v>
      </c>
      <c r="F781" t="s">
        <v>51</v>
      </c>
      <c r="G781" t="e">
        <f t="shared" si="12"/>
        <v>#DIV/0!</v>
      </c>
    </row>
    <row r="782" spans="1:7" hidden="1" x14ac:dyDescent="0.35">
      <c r="A782" t="b">
        <f>IF(Bestellungen!J782="Ja",Bestellungen!A782)</f>
        <v>0</v>
      </c>
      <c r="B782" t="b">
        <f>IF(Bestellungen!J782="Ja",Bestellungen!B782)</f>
        <v>0</v>
      </c>
      <c r="C782" t="s">
        <v>51</v>
      </c>
      <c r="D782" t="s">
        <v>51</v>
      </c>
      <c r="E782" t="s">
        <v>51</v>
      </c>
      <c r="F782" t="s">
        <v>51</v>
      </c>
      <c r="G782" t="e">
        <f t="shared" si="12"/>
        <v>#DIV/0!</v>
      </c>
    </row>
    <row r="783" spans="1:7" hidden="1" x14ac:dyDescent="0.35">
      <c r="A783" t="b">
        <f>IF(Bestellungen!J783="Ja",Bestellungen!A783)</f>
        <v>0</v>
      </c>
      <c r="B783" t="b">
        <f>IF(Bestellungen!J783="Ja",Bestellungen!B783)</f>
        <v>0</v>
      </c>
      <c r="C783" t="s">
        <v>51</v>
      </c>
      <c r="D783" t="s">
        <v>51</v>
      </c>
      <c r="E783" t="s">
        <v>51</v>
      </c>
      <c r="F783" t="s">
        <v>51</v>
      </c>
      <c r="G783" t="e">
        <f t="shared" si="12"/>
        <v>#DIV/0!</v>
      </c>
    </row>
    <row r="784" spans="1:7" hidden="1" x14ac:dyDescent="0.35">
      <c r="A784" t="b">
        <f>IF(Bestellungen!J784="Ja",Bestellungen!A784)</f>
        <v>0</v>
      </c>
      <c r="B784" t="b">
        <f>IF(Bestellungen!J784="Ja",Bestellungen!B784)</f>
        <v>0</v>
      </c>
      <c r="C784" t="s">
        <v>51</v>
      </c>
      <c r="D784" t="s">
        <v>51</v>
      </c>
      <c r="E784" t="s">
        <v>51</v>
      </c>
      <c r="F784" t="s">
        <v>51</v>
      </c>
      <c r="G784" t="e">
        <f t="shared" si="12"/>
        <v>#DIV/0!</v>
      </c>
    </row>
    <row r="785" spans="1:7" x14ac:dyDescent="0.35">
      <c r="A785">
        <f>IF(Bestellungen!J785="Ja",Bestellungen!A785)</f>
        <v>8432</v>
      </c>
      <c r="B785">
        <f>IF(Bestellungen!J785="Ja",Bestellungen!B785)</f>
        <v>627</v>
      </c>
      <c r="C785">
        <v>5</v>
      </c>
      <c r="D785">
        <v>3</v>
      </c>
      <c r="E785">
        <v>3</v>
      </c>
      <c r="F785">
        <v>5</v>
      </c>
      <c r="G785">
        <f t="shared" si="12"/>
        <v>4</v>
      </c>
    </row>
    <row r="786" spans="1:7" hidden="1" x14ac:dyDescent="0.35">
      <c r="A786" t="b">
        <f>IF(Bestellungen!J786="Ja",Bestellungen!A786)</f>
        <v>0</v>
      </c>
      <c r="B786" t="b">
        <f>IF(Bestellungen!J786="Ja",Bestellungen!B786)</f>
        <v>0</v>
      </c>
      <c r="C786" t="s">
        <v>51</v>
      </c>
      <c r="D786" t="s">
        <v>51</v>
      </c>
      <c r="E786" t="s">
        <v>51</v>
      </c>
      <c r="F786" t="s">
        <v>51</v>
      </c>
      <c r="G786" t="e">
        <f t="shared" si="12"/>
        <v>#DIV/0!</v>
      </c>
    </row>
    <row r="787" spans="1:7" x14ac:dyDescent="0.35">
      <c r="A787">
        <f>IF(Bestellungen!J787="Ja",Bestellungen!A787)</f>
        <v>8434</v>
      </c>
      <c r="B787">
        <f>IF(Bestellungen!J787="Ja",Bestellungen!B787)</f>
        <v>102</v>
      </c>
      <c r="C787">
        <v>4</v>
      </c>
      <c r="D787">
        <v>4</v>
      </c>
      <c r="E787">
        <v>5</v>
      </c>
      <c r="F787">
        <v>5</v>
      </c>
      <c r="G787">
        <f t="shared" si="12"/>
        <v>4.5</v>
      </c>
    </row>
    <row r="788" spans="1:7" hidden="1" x14ac:dyDescent="0.35">
      <c r="A788" t="b">
        <f>IF(Bestellungen!J788="Ja",Bestellungen!A788)</f>
        <v>0</v>
      </c>
      <c r="B788" t="b">
        <f>IF(Bestellungen!J788="Ja",Bestellungen!B788)</f>
        <v>0</v>
      </c>
      <c r="C788" t="s">
        <v>51</v>
      </c>
      <c r="D788" t="s">
        <v>51</v>
      </c>
      <c r="E788" t="s">
        <v>51</v>
      </c>
      <c r="F788" t="s">
        <v>51</v>
      </c>
      <c r="G788" t="e">
        <f t="shared" si="12"/>
        <v>#DIV/0!</v>
      </c>
    </row>
    <row r="789" spans="1:7" hidden="1" x14ac:dyDescent="0.35">
      <c r="A789" t="b">
        <f>IF(Bestellungen!J789="Ja",Bestellungen!A789)</f>
        <v>0</v>
      </c>
      <c r="B789" t="b">
        <f>IF(Bestellungen!J789="Ja",Bestellungen!B789)</f>
        <v>0</v>
      </c>
      <c r="C789" t="s">
        <v>51</v>
      </c>
      <c r="D789" t="s">
        <v>51</v>
      </c>
      <c r="E789" t="s">
        <v>51</v>
      </c>
      <c r="F789" t="s">
        <v>51</v>
      </c>
      <c r="G789" t="e">
        <f t="shared" si="12"/>
        <v>#DIV/0!</v>
      </c>
    </row>
    <row r="790" spans="1:7" hidden="1" x14ac:dyDescent="0.35">
      <c r="A790" t="b">
        <f>IF(Bestellungen!J790="Ja",Bestellungen!A790)</f>
        <v>0</v>
      </c>
      <c r="B790" t="b">
        <f>IF(Bestellungen!J790="Ja",Bestellungen!B790)</f>
        <v>0</v>
      </c>
      <c r="C790" t="s">
        <v>51</v>
      </c>
      <c r="D790" t="s">
        <v>51</v>
      </c>
      <c r="E790" t="s">
        <v>51</v>
      </c>
      <c r="F790" t="s">
        <v>51</v>
      </c>
      <c r="G790" t="e">
        <f t="shared" si="12"/>
        <v>#DIV/0!</v>
      </c>
    </row>
    <row r="791" spans="1:7" hidden="1" x14ac:dyDescent="0.35">
      <c r="A791" t="b">
        <f>IF(Bestellungen!J791="Ja",Bestellungen!A791)</f>
        <v>0</v>
      </c>
      <c r="B791" t="b">
        <f>IF(Bestellungen!J791="Ja",Bestellungen!B791)</f>
        <v>0</v>
      </c>
      <c r="C791" t="s">
        <v>51</v>
      </c>
      <c r="D791" t="s">
        <v>51</v>
      </c>
      <c r="E791" t="s">
        <v>51</v>
      </c>
      <c r="F791" t="s">
        <v>51</v>
      </c>
      <c r="G791" t="e">
        <f t="shared" si="12"/>
        <v>#DIV/0!</v>
      </c>
    </row>
    <row r="792" spans="1:7" hidden="1" x14ac:dyDescent="0.35">
      <c r="A792" t="b">
        <f>IF(Bestellungen!J792="Ja",Bestellungen!A792)</f>
        <v>0</v>
      </c>
      <c r="B792" t="b">
        <f>IF(Bestellungen!J792="Ja",Bestellungen!B792)</f>
        <v>0</v>
      </c>
      <c r="C792" t="s">
        <v>51</v>
      </c>
      <c r="D792" t="s">
        <v>51</v>
      </c>
      <c r="E792" t="s">
        <v>51</v>
      </c>
      <c r="F792" t="s">
        <v>51</v>
      </c>
      <c r="G792" t="e">
        <f t="shared" si="12"/>
        <v>#DIV/0!</v>
      </c>
    </row>
    <row r="793" spans="1:7" hidden="1" x14ac:dyDescent="0.35">
      <c r="A793" t="b">
        <f>IF(Bestellungen!J793="Ja",Bestellungen!A793)</f>
        <v>0</v>
      </c>
      <c r="B793" t="b">
        <f>IF(Bestellungen!J793="Ja",Bestellungen!B793)</f>
        <v>0</v>
      </c>
      <c r="C793" t="s">
        <v>51</v>
      </c>
      <c r="D793" t="s">
        <v>51</v>
      </c>
      <c r="E793" t="s">
        <v>51</v>
      </c>
      <c r="F793" t="s">
        <v>51</v>
      </c>
      <c r="G793" t="e">
        <f t="shared" si="12"/>
        <v>#DIV/0!</v>
      </c>
    </row>
    <row r="794" spans="1:7" x14ac:dyDescent="0.35">
      <c r="A794">
        <f>IF(Bestellungen!J794="Ja",Bestellungen!A794)</f>
        <v>8441</v>
      </c>
      <c r="B794">
        <f>IF(Bestellungen!J794="Ja",Bestellungen!B794)</f>
        <v>615</v>
      </c>
      <c r="C794">
        <v>5</v>
      </c>
      <c r="D794">
        <v>5</v>
      </c>
      <c r="E794">
        <v>5</v>
      </c>
      <c r="F794">
        <v>5</v>
      </c>
      <c r="G794">
        <f t="shared" si="12"/>
        <v>5</v>
      </c>
    </row>
    <row r="795" spans="1:7" hidden="1" x14ac:dyDescent="0.35">
      <c r="A795" t="b">
        <f>IF(Bestellungen!J795="Ja",Bestellungen!A795)</f>
        <v>0</v>
      </c>
      <c r="B795" t="b">
        <f>IF(Bestellungen!J795="Ja",Bestellungen!B795)</f>
        <v>0</v>
      </c>
      <c r="C795" t="s">
        <v>51</v>
      </c>
      <c r="D795" t="s">
        <v>51</v>
      </c>
      <c r="E795" t="s">
        <v>51</v>
      </c>
      <c r="F795" t="s">
        <v>51</v>
      </c>
      <c r="G795" t="e">
        <f t="shared" si="12"/>
        <v>#DIV/0!</v>
      </c>
    </row>
    <row r="796" spans="1:7" x14ac:dyDescent="0.35">
      <c r="A796">
        <f>IF(Bestellungen!J796="Ja",Bestellungen!A796)</f>
        <v>8443</v>
      </c>
      <c r="B796">
        <f>IF(Bestellungen!J796="Ja",Bestellungen!B796)</f>
        <v>29</v>
      </c>
      <c r="C796">
        <v>3</v>
      </c>
      <c r="D796">
        <v>4</v>
      </c>
      <c r="E796">
        <v>5</v>
      </c>
      <c r="F796">
        <v>5</v>
      </c>
      <c r="G796">
        <f t="shared" si="12"/>
        <v>4.25</v>
      </c>
    </row>
    <row r="797" spans="1:7" x14ac:dyDescent="0.35">
      <c r="A797">
        <f>IF(Bestellungen!J797="Ja",Bestellungen!A797)</f>
        <v>8444</v>
      </c>
      <c r="B797">
        <f>IF(Bestellungen!J797="Ja",Bestellungen!B797)</f>
        <v>40</v>
      </c>
      <c r="C797">
        <v>4</v>
      </c>
      <c r="D797">
        <v>3</v>
      </c>
      <c r="E797">
        <v>3</v>
      </c>
      <c r="F797">
        <v>4</v>
      </c>
      <c r="G797">
        <f t="shared" si="12"/>
        <v>3.5</v>
      </c>
    </row>
    <row r="798" spans="1:7" x14ac:dyDescent="0.35">
      <c r="A798">
        <f>IF(Bestellungen!J798="Ja",Bestellungen!A798)</f>
        <v>8445</v>
      </c>
      <c r="B798">
        <f>IF(Bestellungen!J798="Ja",Bestellungen!B798)</f>
        <v>720</v>
      </c>
      <c r="C798">
        <v>3</v>
      </c>
      <c r="D798">
        <v>3</v>
      </c>
      <c r="E798">
        <v>4</v>
      </c>
      <c r="F798">
        <v>4</v>
      </c>
      <c r="G798">
        <f t="shared" si="12"/>
        <v>3.5</v>
      </c>
    </row>
    <row r="799" spans="1:7" x14ac:dyDescent="0.35">
      <c r="A799">
        <f>IF(Bestellungen!J799="Ja",Bestellungen!A799)</f>
        <v>8446</v>
      </c>
      <c r="B799">
        <f>IF(Bestellungen!J799="Ja",Bestellungen!B799)</f>
        <v>763</v>
      </c>
      <c r="C799">
        <v>3</v>
      </c>
      <c r="D799">
        <v>4</v>
      </c>
      <c r="E799">
        <v>4</v>
      </c>
      <c r="F799">
        <v>4</v>
      </c>
      <c r="G799">
        <f t="shared" si="12"/>
        <v>3.75</v>
      </c>
    </row>
    <row r="800" spans="1:7" hidden="1" x14ac:dyDescent="0.35">
      <c r="A800" t="b">
        <f>IF(Bestellungen!J800="Ja",Bestellungen!A800)</f>
        <v>0</v>
      </c>
      <c r="B800" t="b">
        <f>IF(Bestellungen!J800="Ja",Bestellungen!B800)</f>
        <v>0</v>
      </c>
      <c r="C800" t="s">
        <v>51</v>
      </c>
      <c r="D800" t="s">
        <v>51</v>
      </c>
      <c r="E800" t="s">
        <v>51</v>
      </c>
      <c r="F800" t="s">
        <v>51</v>
      </c>
      <c r="G800" t="e">
        <f t="shared" si="12"/>
        <v>#DIV/0!</v>
      </c>
    </row>
    <row r="801" spans="1:7" x14ac:dyDescent="0.35">
      <c r="A801">
        <f>IF(Bestellungen!J801="Ja",Bestellungen!A801)</f>
        <v>8448</v>
      </c>
      <c r="B801">
        <f>IF(Bestellungen!J801="Ja",Bestellungen!B801)</f>
        <v>769</v>
      </c>
      <c r="C801">
        <v>5</v>
      </c>
      <c r="D801">
        <v>3</v>
      </c>
      <c r="E801">
        <v>4</v>
      </c>
      <c r="F801">
        <v>3</v>
      </c>
      <c r="G801">
        <f t="shared" si="12"/>
        <v>3.75</v>
      </c>
    </row>
    <row r="802" spans="1:7" hidden="1" x14ac:dyDescent="0.35">
      <c r="A802" t="b">
        <f>IF(Bestellungen!J802="Ja",Bestellungen!A802)</f>
        <v>0</v>
      </c>
      <c r="B802" t="b">
        <f>IF(Bestellungen!J802="Ja",Bestellungen!B802)</f>
        <v>0</v>
      </c>
      <c r="C802" t="s">
        <v>51</v>
      </c>
      <c r="D802" t="s">
        <v>51</v>
      </c>
      <c r="E802" t="s">
        <v>51</v>
      </c>
      <c r="F802" t="s">
        <v>51</v>
      </c>
      <c r="G802" t="e">
        <f t="shared" si="12"/>
        <v>#DIV/0!</v>
      </c>
    </row>
    <row r="803" spans="1:7" x14ac:dyDescent="0.35">
      <c r="A803">
        <f>IF(Bestellungen!J803="Ja",Bestellungen!A803)</f>
        <v>8450</v>
      </c>
      <c r="B803">
        <f>IF(Bestellungen!J803="Ja",Bestellungen!B803)</f>
        <v>625</v>
      </c>
      <c r="C803">
        <v>4</v>
      </c>
      <c r="D803">
        <v>5</v>
      </c>
      <c r="E803">
        <v>4</v>
      </c>
      <c r="F803">
        <v>3</v>
      </c>
      <c r="G803">
        <f t="shared" si="12"/>
        <v>4</v>
      </c>
    </row>
    <row r="804" spans="1:7" hidden="1" x14ac:dyDescent="0.35">
      <c r="A804" t="b">
        <f>IF(Bestellungen!J804="Ja",Bestellungen!A804)</f>
        <v>0</v>
      </c>
      <c r="B804" t="b">
        <f>IF(Bestellungen!J804="Ja",Bestellungen!B804)</f>
        <v>0</v>
      </c>
      <c r="C804" t="s">
        <v>51</v>
      </c>
      <c r="D804" t="s">
        <v>51</v>
      </c>
      <c r="E804" t="s">
        <v>51</v>
      </c>
      <c r="F804" t="s">
        <v>51</v>
      </c>
      <c r="G804" t="e">
        <f t="shared" si="12"/>
        <v>#DIV/0!</v>
      </c>
    </row>
    <row r="805" spans="1:7" x14ac:dyDescent="0.35">
      <c r="A805">
        <f>IF(Bestellungen!J805="Ja",Bestellungen!A805)</f>
        <v>8452</v>
      </c>
      <c r="B805">
        <f>IF(Bestellungen!J805="Ja",Bestellungen!B805)</f>
        <v>373</v>
      </c>
      <c r="C805">
        <v>4</v>
      </c>
      <c r="D805">
        <v>5</v>
      </c>
      <c r="E805">
        <v>3</v>
      </c>
      <c r="F805">
        <v>4</v>
      </c>
      <c r="G805">
        <f t="shared" si="12"/>
        <v>4</v>
      </c>
    </row>
    <row r="806" spans="1:7" hidden="1" x14ac:dyDescent="0.35">
      <c r="A806" t="b">
        <f>IF(Bestellungen!J806="Ja",Bestellungen!A806)</f>
        <v>0</v>
      </c>
      <c r="B806" t="b">
        <f>IF(Bestellungen!J806="Ja",Bestellungen!B806)</f>
        <v>0</v>
      </c>
      <c r="C806" t="s">
        <v>51</v>
      </c>
      <c r="D806" t="s">
        <v>51</v>
      </c>
      <c r="E806" t="s">
        <v>51</v>
      </c>
      <c r="F806" t="s">
        <v>51</v>
      </c>
      <c r="G806" t="e">
        <f t="shared" si="12"/>
        <v>#DIV/0!</v>
      </c>
    </row>
    <row r="807" spans="1:7" hidden="1" x14ac:dyDescent="0.35">
      <c r="A807" t="b">
        <f>IF(Bestellungen!J807="Ja",Bestellungen!A807)</f>
        <v>0</v>
      </c>
      <c r="B807" t="b">
        <f>IF(Bestellungen!J807="Ja",Bestellungen!B807)</f>
        <v>0</v>
      </c>
      <c r="C807" t="s">
        <v>51</v>
      </c>
      <c r="D807" t="s">
        <v>51</v>
      </c>
      <c r="E807" t="s">
        <v>51</v>
      </c>
      <c r="F807" t="s">
        <v>51</v>
      </c>
      <c r="G807" t="e">
        <f t="shared" si="12"/>
        <v>#DIV/0!</v>
      </c>
    </row>
    <row r="808" spans="1:7" hidden="1" x14ac:dyDescent="0.35">
      <c r="A808" t="b">
        <f>IF(Bestellungen!J808="Ja",Bestellungen!A808)</f>
        <v>0</v>
      </c>
      <c r="B808" t="b">
        <f>IF(Bestellungen!J808="Ja",Bestellungen!B808)</f>
        <v>0</v>
      </c>
      <c r="C808" t="s">
        <v>51</v>
      </c>
      <c r="D808" t="s">
        <v>51</v>
      </c>
      <c r="E808" t="s">
        <v>51</v>
      </c>
      <c r="F808" t="s">
        <v>51</v>
      </c>
      <c r="G808" t="e">
        <f t="shared" si="12"/>
        <v>#DIV/0!</v>
      </c>
    </row>
    <row r="809" spans="1:7" x14ac:dyDescent="0.35">
      <c r="A809">
        <f>IF(Bestellungen!J809="Ja",Bestellungen!A809)</f>
        <v>8456</v>
      </c>
      <c r="B809">
        <f>IF(Bestellungen!J809="Ja",Bestellungen!B809)</f>
        <v>263</v>
      </c>
      <c r="C809">
        <v>3</v>
      </c>
      <c r="D809">
        <v>3</v>
      </c>
      <c r="E809">
        <v>4</v>
      </c>
      <c r="F809">
        <v>3</v>
      </c>
      <c r="G809">
        <f t="shared" si="12"/>
        <v>3.25</v>
      </c>
    </row>
    <row r="810" spans="1:7" hidden="1" x14ac:dyDescent="0.35">
      <c r="A810" t="b">
        <f>IF(Bestellungen!J810="Ja",Bestellungen!A810)</f>
        <v>0</v>
      </c>
      <c r="B810" t="b">
        <f>IF(Bestellungen!J810="Ja",Bestellungen!B810)</f>
        <v>0</v>
      </c>
      <c r="C810" t="s">
        <v>51</v>
      </c>
      <c r="D810" t="s">
        <v>51</v>
      </c>
      <c r="E810" t="s">
        <v>51</v>
      </c>
      <c r="F810" t="s">
        <v>51</v>
      </c>
      <c r="G810" t="e">
        <f t="shared" si="12"/>
        <v>#DIV/0!</v>
      </c>
    </row>
    <row r="811" spans="1:7" hidden="1" x14ac:dyDescent="0.35">
      <c r="A811" t="b">
        <f>IF(Bestellungen!J811="Ja",Bestellungen!A811)</f>
        <v>0</v>
      </c>
      <c r="B811" t="b">
        <f>IF(Bestellungen!J811="Ja",Bestellungen!B811)</f>
        <v>0</v>
      </c>
      <c r="C811" t="s">
        <v>51</v>
      </c>
      <c r="D811" t="s">
        <v>51</v>
      </c>
      <c r="E811" t="s">
        <v>51</v>
      </c>
      <c r="F811" t="s">
        <v>51</v>
      </c>
      <c r="G811" t="e">
        <f t="shared" si="12"/>
        <v>#DIV/0!</v>
      </c>
    </row>
    <row r="812" spans="1:7" x14ac:dyDescent="0.35">
      <c r="A812">
        <f>IF(Bestellungen!J812="Ja",Bestellungen!A812)</f>
        <v>8459</v>
      </c>
      <c r="B812">
        <f>IF(Bestellungen!J812="Ja",Bestellungen!B812)</f>
        <v>569</v>
      </c>
      <c r="C812">
        <v>4</v>
      </c>
      <c r="D812">
        <v>3</v>
      </c>
      <c r="E812">
        <v>3</v>
      </c>
      <c r="F812">
        <v>5</v>
      </c>
      <c r="G812">
        <f t="shared" si="12"/>
        <v>3.75</v>
      </c>
    </row>
    <row r="813" spans="1:7" x14ac:dyDescent="0.35">
      <c r="A813">
        <f>IF(Bestellungen!J813="Ja",Bestellungen!A813)</f>
        <v>8460</v>
      </c>
      <c r="B813">
        <f>IF(Bestellungen!J813="Ja",Bestellungen!B813)</f>
        <v>744</v>
      </c>
      <c r="C813">
        <v>4</v>
      </c>
      <c r="D813">
        <v>4</v>
      </c>
      <c r="E813">
        <v>3</v>
      </c>
      <c r="F813">
        <v>3</v>
      </c>
      <c r="G813">
        <f t="shared" si="12"/>
        <v>3.5</v>
      </c>
    </row>
    <row r="814" spans="1:7" x14ac:dyDescent="0.35">
      <c r="A814">
        <f>IF(Bestellungen!J814="Ja",Bestellungen!A814)</f>
        <v>8461</v>
      </c>
      <c r="B814">
        <f>IF(Bestellungen!J814="Ja",Bestellungen!B814)</f>
        <v>473</v>
      </c>
      <c r="C814">
        <v>4</v>
      </c>
      <c r="D814">
        <v>3</v>
      </c>
      <c r="E814">
        <v>4</v>
      </c>
      <c r="F814">
        <v>4</v>
      </c>
      <c r="G814">
        <f t="shared" si="12"/>
        <v>3.75</v>
      </c>
    </row>
    <row r="815" spans="1:7" hidden="1" x14ac:dyDescent="0.35">
      <c r="A815" t="b">
        <f>IF(Bestellungen!J815="Ja",Bestellungen!A815)</f>
        <v>0</v>
      </c>
      <c r="B815" t="b">
        <f>IF(Bestellungen!J815="Ja",Bestellungen!B815)</f>
        <v>0</v>
      </c>
      <c r="C815" t="s">
        <v>51</v>
      </c>
      <c r="D815" t="s">
        <v>51</v>
      </c>
      <c r="E815" t="s">
        <v>51</v>
      </c>
      <c r="F815" t="s">
        <v>51</v>
      </c>
      <c r="G815" t="e">
        <f t="shared" si="12"/>
        <v>#DIV/0!</v>
      </c>
    </row>
    <row r="816" spans="1:7" x14ac:dyDescent="0.35">
      <c r="A816">
        <f>IF(Bestellungen!J816="Ja",Bestellungen!A816)</f>
        <v>8463</v>
      </c>
      <c r="B816">
        <f>IF(Bestellungen!J816="Ja",Bestellungen!B816)</f>
        <v>47</v>
      </c>
      <c r="C816">
        <v>4</v>
      </c>
      <c r="D816">
        <v>5</v>
      </c>
      <c r="E816">
        <v>3</v>
      </c>
      <c r="F816">
        <v>3</v>
      </c>
      <c r="G816">
        <f t="shared" si="12"/>
        <v>3.75</v>
      </c>
    </row>
    <row r="817" spans="1:7" hidden="1" x14ac:dyDescent="0.35">
      <c r="A817" t="b">
        <f>IF(Bestellungen!J817="Ja",Bestellungen!A817)</f>
        <v>0</v>
      </c>
      <c r="B817" t="b">
        <f>IF(Bestellungen!J817="Ja",Bestellungen!B817)</f>
        <v>0</v>
      </c>
      <c r="C817" t="s">
        <v>51</v>
      </c>
      <c r="D817" t="s">
        <v>51</v>
      </c>
      <c r="E817" t="s">
        <v>51</v>
      </c>
      <c r="F817" t="s">
        <v>51</v>
      </c>
      <c r="G817" t="e">
        <f t="shared" si="12"/>
        <v>#DIV/0!</v>
      </c>
    </row>
    <row r="818" spans="1:7" x14ac:dyDescent="0.35">
      <c r="A818">
        <f>IF(Bestellungen!J818="Ja",Bestellungen!A818)</f>
        <v>8465</v>
      </c>
      <c r="B818">
        <f>IF(Bestellungen!J818="Ja",Bestellungen!B818)</f>
        <v>651</v>
      </c>
      <c r="C818">
        <v>5</v>
      </c>
      <c r="D818">
        <v>4</v>
      </c>
      <c r="E818">
        <v>4</v>
      </c>
      <c r="F818">
        <v>5</v>
      </c>
      <c r="G818">
        <f t="shared" si="12"/>
        <v>4.5</v>
      </c>
    </row>
    <row r="819" spans="1:7" hidden="1" x14ac:dyDescent="0.35">
      <c r="A819" t="b">
        <f>IF(Bestellungen!J819="Ja",Bestellungen!A819)</f>
        <v>0</v>
      </c>
      <c r="B819" t="b">
        <f>IF(Bestellungen!J819="Ja",Bestellungen!B819)</f>
        <v>0</v>
      </c>
      <c r="C819" t="s">
        <v>51</v>
      </c>
      <c r="D819" t="s">
        <v>51</v>
      </c>
      <c r="E819" t="s">
        <v>51</v>
      </c>
      <c r="F819" t="s">
        <v>51</v>
      </c>
      <c r="G819" t="e">
        <f t="shared" si="12"/>
        <v>#DIV/0!</v>
      </c>
    </row>
    <row r="820" spans="1:7" x14ac:dyDescent="0.35">
      <c r="A820">
        <f>IF(Bestellungen!J820="Ja",Bestellungen!A820)</f>
        <v>8467</v>
      </c>
      <c r="B820">
        <f>IF(Bestellungen!J820="Ja",Bestellungen!B820)</f>
        <v>294</v>
      </c>
      <c r="C820">
        <v>4</v>
      </c>
      <c r="D820">
        <v>4</v>
      </c>
      <c r="E820">
        <v>5</v>
      </c>
      <c r="F820">
        <v>3</v>
      </c>
      <c r="G820">
        <f t="shared" si="12"/>
        <v>4</v>
      </c>
    </row>
    <row r="821" spans="1:7" x14ac:dyDescent="0.35">
      <c r="A821">
        <f>IF(Bestellungen!J821="Ja",Bestellungen!A821)</f>
        <v>8468</v>
      </c>
      <c r="B821">
        <f>IF(Bestellungen!J821="Ja",Bestellungen!B821)</f>
        <v>536</v>
      </c>
      <c r="C821">
        <v>5</v>
      </c>
      <c r="D821">
        <v>3</v>
      </c>
      <c r="E821">
        <v>4</v>
      </c>
      <c r="F821">
        <v>4</v>
      </c>
      <c r="G821">
        <f t="shared" si="12"/>
        <v>4</v>
      </c>
    </row>
    <row r="822" spans="1:7" hidden="1" x14ac:dyDescent="0.35">
      <c r="A822" t="b">
        <f>IF(Bestellungen!J822="Ja",Bestellungen!A822)</f>
        <v>0</v>
      </c>
      <c r="B822" t="b">
        <f>IF(Bestellungen!J822="Ja",Bestellungen!B822)</f>
        <v>0</v>
      </c>
      <c r="C822" t="s">
        <v>51</v>
      </c>
      <c r="D822" t="s">
        <v>51</v>
      </c>
      <c r="E822" t="s">
        <v>51</v>
      </c>
      <c r="F822" t="s">
        <v>51</v>
      </c>
      <c r="G822" t="e">
        <f t="shared" si="12"/>
        <v>#DIV/0!</v>
      </c>
    </row>
    <row r="823" spans="1:7" x14ac:dyDescent="0.35">
      <c r="A823">
        <f>IF(Bestellungen!J823="Ja",Bestellungen!A823)</f>
        <v>8470</v>
      </c>
      <c r="B823">
        <f>IF(Bestellungen!J823="Ja",Bestellungen!B823)</f>
        <v>569</v>
      </c>
      <c r="C823">
        <v>5</v>
      </c>
      <c r="D823">
        <v>5</v>
      </c>
      <c r="E823">
        <v>5</v>
      </c>
      <c r="F823">
        <v>5</v>
      </c>
      <c r="G823">
        <f t="shared" si="12"/>
        <v>5</v>
      </c>
    </row>
    <row r="824" spans="1:7" hidden="1" x14ac:dyDescent="0.35">
      <c r="A824" t="b">
        <f>IF(Bestellungen!J824="Ja",Bestellungen!A824)</f>
        <v>0</v>
      </c>
      <c r="B824" t="b">
        <f>IF(Bestellungen!J824="Ja",Bestellungen!B824)</f>
        <v>0</v>
      </c>
      <c r="C824" t="s">
        <v>51</v>
      </c>
      <c r="D824" t="s">
        <v>51</v>
      </c>
      <c r="E824" t="s">
        <v>51</v>
      </c>
      <c r="F824" t="s">
        <v>51</v>
      </c>
      <c r="G824" t="e">
        <f t="shared" si="12"/>
        <v>#DIV/0!</v>
      </c>
    </row>
    <row r="825" spans="1:7" x14ac:dyDescent="0.35">
      <c r="A825">
        <f>IF(Bestellungen!J825="Ja",Bestellungen!A825)</f>
        <v>8472</v>
      </c>
      <c r="B825">
        <f>IF(Bestellungen!J825="Ja",Bestellungen!B825)</f>
        <v>755</v>
      </c>
      <c r="C825">
        <v>5</v>
      </c>
      <c r="D825">
        <v>5</v>
      </c>
      <c r="E825">
        <v>5</v>
      </c>
      <c r="F825">
        <v>3</v>
      </c>
      <c r="G825">
        <f t="shared" si="12"/>
        <v>4.5</v>
      </c>
    </row>
    <row r="826" spans="1:7" x14ac:dyDescent="0.35">
      <c r="A826">
        <f>IF(Bestellungen!J826="Ja",Bestellungen!A826)</f>
        <v>8473</v>
      </c>
      <c r="B826">
        <f>IF(Bestellungen!J826="Ja",Bestellungen!B826)</f>
        <v>361</v>
      </c>
      <c r="C826">
        <v>4</v>
      </c>
      <c r="D826">
        <v>4</v>
      </c>
      <c r="E826">
        <v>5</v>
      </c>
      <c r="F826">
        <v>5</v>
      </c>
      <c r="G826">
        <f t="shared" si="12"/>
        <v>4.5</v>
      </c>
    </row>
    <row r="827" spans="1:7" x14ac:dyDescent="0.35">
      <c r="A827">
        <f>IF(Bestellungen!J827="Ja",Bestellungen!A827)</f>
        <v>8474</v>
      </c>
      <c r="B827">
        <f>IF(Bestellungen!J827="Ja",Bestellungen!B827)</f>
        <v>540</v>
      </c>
      <c r="C827">
        <v>3</v>
      </c>
      <c r="D827">
        <v>4</v>
      </c>
      <c r="E827">
        <v>4</v>
      </c>
      <c r="F827">
        <v>3</v>
      </c>
      <c r="G827">
        <f t="shared" si="12"/>
        <v>3.5</v>
      </c>
    </row>
    <row r="828" spans="1:7" x14ac:dyDescent="0.35">
      <c r="A828">
        <f>IF(Bestellungen!J828="Ja",Bestellungen!A828)</f>
        <v>8475</v>
      </c>
      <c r="B828">
        <f>IF(Bestellungen!J828="Ja",Bestellungen!B828)</f>
        <v>84</v>
      </c>
      <c r="C828">
        <v>4</v>
      </c>
      <c r="D828">
        <v>5</v>
      </c>
      <c r="E828">
        <v>5</v>
      </c>
      <c r="F828">
        <v>5</v>
      </c>
      <c r="G828">
        <f t="shared" si="12"/>
        <v>4.75</v>
      </c>
    </row>
    <row r="829" spans="1:7" hidden="1" x14ac:dyDescent="0.35">
      <c r="A829" t="b">
        <f>IF(Bestellungen!J829="Ja",Bestellungen!A829)</f>
        <v>0</v>
      </c>
      <c r="B829" t="b">
        <f>IF(Bestellungen!J829="Ja",Bestellungen!B829)</f>
        <v>0</v>
      </c>
      <c r="C829" t="s">
        <v>51</v>
      </c>
      <c r="D829" t="s">
        <v>51</v>
      </c>
      <c r="E829" t="s">
        <v>51</v>
      </c>
      <c r="F829" t="s">
        <v>51</v>
      </c>
      <c r="G829" t="e">
        <f t="shared" si="12"/>
        <v>#DIV/0!</v>
      </c>
    </row>
    <row r="830" spans="1:7" x14ac:dyDescent="0.35">
      <c r="A830">
        <f>IF(Bestellungen!J830="Ja",Bestellungen!A830)</f>
        <v>8477</v>
      </c>
      <c r="B830">
        <f>IF(Bestellungen!J830="Ja",Bestellungen!B830)</f>
        <v>54</v>
      </c>
      <c r="C830">
        <v>4</v>
      </c>
      <c r="D830">
        <v>3</v>
      </c>
      <c r="E830">
        <v>5</v>
      </c>
      <c r="F830">
        <v>4</v>
      </c>
      <c r="G830">
        <f t="shared" si="12"/>
        <v>4</v>
      </c>
    </row>
    <row r="831" spans="1:7" x14ac:dyDescent="0.35">
      <c r="A831">
        <f>IF(Bestellungen!J831="Ja",Bestellungen!A831)</f>
        <v>8478</v>
      </c>
      <c r="B831">
        <f>IF(Bestellungen!J831="Ja",Bestellungen!B831)</f>
        <v>88</v>
      </c>
      <c r="C831">
        <v>5</v>
      </c>
      <c r="D831">
        <v>3</v>
      </c>
      <c r="E831">
        <v>5</v>
      </c>
      <c r="F831">
        <v>3</v>
      </c>
      <c r="G831">
        <f t="shared" si="12"/>
        <v>4</v>
      </c>
    </row>
    <row r="832" spans="1:7" x14ac:dyDescent="0.35">
      <c r="A832">
        <f>IF(Bestellungen!J832="Ja",Bestellungen!A832)</f>
        <v>8479</v>
      </c>
      <c r="B832">
        <f>IF(Bestellungen!J832="Ja",Bestellungen!B832)</f>
        <v>130</v>
      </c>
      <c r="C832">
        <v>3</v>
      </c>
      <c r="D832">
        <v>4</v>
      </c>
      <c r="E832">
        <v>4</v>
      </c>
      <c r="F832">
        <v>3</v>
      </c>
      <c r="G832">
        <f t="shared" si="12"/>
        <v>3.5</v>
      </c>
    </row>
    <row r="833" spans="1:7" x14ac:dyDescent="0.35">
      <c r="A833">
        <f>IF(Bestellungen!J833="Ja",Bestellungen!A833)</f>
        <v>8480</v>
      </c>
      <c r="B833">
        <f>IF(Bestellungen!J833="Ja",Bestellungen!B833)</f>
        <v>716</v>
      </c>
      <c r="C833">
        <v>4</v>
      </c>
      <c r="D833">
        <v>3</v>
      </c>
      <c r="E833">
        <v>3</v>
      </c>
      <c r="F833">
        <v>4</v>
      </c>
      <c r="G833">
        <f t="shared" si="12"/>
        <v>3.5</v>
      </c>
    </row>
    <row r="834" spans="1:7" hidden="1" x14ac:dyDescent="0.35">
      <c r="A834" t="b">
        <f>IF(Bestellungen!J834="Ja",Bestellungen!A834)</f>
        <v>0</v>
      </c>
      <c r="B834" t="b">
        <f>IF(Bestellungen!J834="Ja",Bestellungen!B834)</f>
        <v>0</v>
      </c>
      <c r="C834" t="s">
        <v>51</v>
      </c>
      <c r="D834" t="s">
        <v>51</v>
      </c>
      <c r="E834" t="s">
        <v>51</v>
      </c>
      <c r="F834" t="s">
        <v>51</v>
      </c>
      <c r="G834" t="e">
        <f t="shared" si="12"/>
        <v>#DIV/0!</v>
      </c>
    </row>
    <row r="835" spans="1:7" x14ac:dyDescent="0.35">
      <c r="A835">
        <f>IF(Bestellungen!J835="Ja",Bestellungen!A835)</f>
        <v>8482</v>
      </c>
      <c r="B835">
        <f>IF(Bestellungen!J835="Ja",Bestellungen!B835)</f>
        <v>541</v>
      </c>
      <c r="C835">
        <v>3</v>
      </c>
      <c r="D835">
        <v>5</v>
      </c>
      <c r="E835">
        <v>5</v>
      </c>
      <c r="F835">
        <v>3</v>
      </c>
      <c r="G835">
        <f t="shared" ref="G835:G898" si="13">SUM(C835:F835)/COUNT(C835:F835)</f>
        <v>4</v>
      </c>
    </row>
    <row r="836" spans="1:7" x14ac:dyDescent="0.35">
      <c r="A836">
        <f>IF(Bestellungen!J836="Ja",Bestellungen!A836)</f>
        <v>8483</v>
      </c>
      <c r="B836">
        <f>IF(Bestellungen!J836="Ja",Bestellungen!B836)</f>
        <v>172</v>
      </c>
      <c r="C836">
        <v>4</v>
      </c>
      <c r="D836">
        <v>3</v>
      </c>
      <c r="E836">
        <v>4</v>
      </c>
      <c r="F836">
        <v>5</v>
      </c>
      <c r="G836">
        <f t="shared" si="13"/>
        <v>4</v>
      </c>
    </row>
    <row r="837" spans="1:7" hidden="1" x14ac:dyDescent="0.35">
      <c r="A837" t="b">
        <f>IF(Bestellungen!J837="Ja",Bestellungen!A837)</f>
        <v>0</v>
      </c>
      <c r="B837" t="b">
        <f>IF(Bestellungen!J837="Ja",Bestellungen!B837)</f>
        <v>0</v>
      </c>
      <c r="C837" t="s">
        <v>51</v>
      </c>
      <c r="D837" t="s">
        <v>51</v>
      </c>
      <c r="E837" t="s">
        <v>51</v>
      </c>
      <c r="F837" t="s">
        <v>51</v>
      </c>
      <c r="G837" t="e">
        <f t="shared" si="13"/>
        <v>#DIV/0!</v>
      </c>
    </row>
    <row r="838" spans="1:7" x14ac:dyDescent="0.35">
      <c r="A838">
        <f>IF(Bestellungen!J838="Ja",Bestellungen!A838)</f>
        <v>8485</v>
      </c>
      <c r="B838">
        <f>IF(Bestellungen!J838="Ja",Bestellungen!B838)</f>
        <v>185</v>
      </c>
      <c r="C838">
        <v>3</v>
      </c>
      <c r="D838">
        <v>4</v>
      </c>
      <c r="E838">
        <v>5</v>
      </c>
      <c r="F838">
        <v>3</v>
      </c>
      <c r="G838">
        <f t="shared" si="13"/>
        <v>3.75</v>
      </c>
    </row>
    <row r="839" spans="1:7" x14ac:dyDescent="0.35">
      <c r="A839">
        <f>IF(Bestellungen!J839="Ja",Bestellungen!A839)</f>
        <v>8486</v>
      </c>
      <c r="B839">
        <f>IF(Bestellungen!J839="Ja",Bestellungen!B839)</f>
        <v>169</v>
      </c>
      <c r="C839">
        <v>3</v>
      </c>
      <c r="D839">
        <v>3</v>
      </c>
      <c r="E839">
        <v>3</v>
      </c>
      <c r="F839">
        <v>5</v>
      </c>
      <c r="G839">
        <f t="shared" si="13"/>
        <v>3.5</v>
      </c>
    </row>
    <row r="840" spans="1:7" x14ac:dyDescent="0.35">
      <c r="A840">
        <f>IF(Bestellungen!J840="Ja",Bestellungen!A840)</f>
        <v>8487</v>
      </c>
      <c r="B840">
        <f>IF(Bestellungen!J840="Ja",Bestellungen!B840)</f>
        <v>530</v>
      </c>
      <c r="C840">
        <v>4</v>
      </c>
      <c r="D840">
        <v>3</v>
      </c>
      <c r="E840">
        <v>5</v>
      </c>
      <c r="F840">
        <v>5</v>
      </c>
      <c r="G840">
        <f t="shared" si="13"/>
        <v>4.25</v>
      </c>
    </row>
    <row r="841" spans="1:7" x14ac:dyDescent="0.35">
      <c r="A841">
        <f>IF(Bestellungen!J841="Ja",Bestellungen!A841)</f>
        <v>8488</v>
      </c>
      <c r="B841">
        <f>IF(Bestellungen!J841="Ja",Bestellungen!B841)</f>
        <v>504</v>
      </c>
      <c r="C841">
        <v>4</v>
      </c>
      <c r="D841">
        <v>5</v>
      </c>
      <c r="E841">
        <v>5</v>
      </c>
      <c r="F841">
        <v>5</v>
      </c>
      <c r="G841">
        <f t="shared" si="13"/>
        <v>4.75</v>
      </c>
    </row>
    <row r="842" spans="1:7" x14ac:dyDescent="0.35">
      <c r="A842">
        <f>IF(Bestellungen!J842="Ja",Bestellungen!A842)</f>
        <v>8489</v>
      </c>
      <c r="B842">
        <f>IF(Bestellungen!J842="Ja",Bestellungen!B842)</f>
        <v>30</v>
      </c>
      <c r="C842">
        <v>3</v>
      </c>
      <c r="D842">
        <v>5</v>
      </c>
      <c r="E842">
        <v>5</v>
      </c>
      <c r="F842">
        <v>4</v>
      </c>
      <c r="G842">
        <f t="shared" si="13"/>
        <v>4.25</v>
      </c>
    </row>
    <row r="843" spans="1:7" hidden="1" x14ac:dyDescent="0.35">
      <c r="A843" t="b">
        <f>IF(Bestellungen!J843="Ja",Bestellungen!A843)</f>
        <v>0</v>
      </c>
      <c r="B843" t="b">
        <f>IF(Bestellungen!J843="Ja",Bestellungen!B843)</f>
        <v>0</v>
      </c>
      <c r="C843" t="s">
        <v>51</v>
      </c>
      <c r="D843" t="s">
        <v>51</v>
      </c>
      <c r="E843" t="s">
        <v>51</v>
      </c>
      <c r="F843" t="s">
        <v>51</v>
      </c>
      <c r="G843" t="e">
        <f t="shared" si="13"/>
        <v>#DIV/0!</v>
      </c>
    </row>
    <row r="844" spans="1:7" x14ac:dyDescent="0.35">
      <c r="A844">
        <f>IF(Bestellungen!J844="Ja",Bestellungen!A844)</f>
        <v>8491</v>
      </c>
      <c r="B844">
        <f>IF(Bestellungen!J844="Ja",Bestellungen!B844)</f>
        <v>60</v>
      </c>
      <c r="C844">
        <v>4</v>
      </c>
      <c r="D844">
        <v>4</v>
      </c>
      <c r="E844">
        <v>5</v>
      </c>
      <c r="F844">
        <v>4</v>
      </c>
      <c r="G844">
        <f t="shared" si="13"/>
        <v>4.25</v>
      </c>
    </row>
    <row r="845" spans="1:7" hidden="1" x14ac:dyDescent="0.35">
      <c r="A845" t="b">
        <f>IF(Bestellungen!J845="Ja",Bestellungen!A845)</f>
        <v>0</v>
      </c>
      <c r="B845" t="b">
        <f>IF(Bestellungen!J845="Ja",Bestellungen!B845)</f>
        <v>0</v>
      </c>
      <c r="C845" t="s">
        <v>51</v>
      </c>
      <c r="D845" t="s">
        <v>51</v>
      </c>
      <c r="E845" t="s">
        <v>51</v>
      </c>
      <c r="F845" t="s">
        <v>51</v>
      </c>
      <c r="G845" t="e">
        <f t="shared" si="13"/>
        <v>#DIV/0!</v>
      </c>
    </row>
    <row r="846" spans="1:7" x14ac:dyDescent="0.35">
      <c r="A846">
        <f>IF(Bestellungen!J846="Ja",Bestellungen!A846)</f>
        <v>8493</v>
      </c>
      <c r="B846">
        <f>IF(Bestellungen!J846="Ja",Bestellungen!B846)</f>
        <v>327</v>
      </c>
      <c r="C846">
        <v>5</v>
      </c>
      <c r="D846">
        <v>4</v>
      </c>
      <c r="E846">
        <v>3</v>
      </c>
      <c r="F846">
        <v>3</v>
      </c>
      <c r="G846">
        <f t="shared" si="13"/>
        <v>3.75</v>
      </c>
    </row>
    <row r="847" spans="1:7" x14ac:dyDescent="0.35">
      <c r="A847">
        <f>IF(Bestellungen!J847="Ja",Bestellungen!A847)</f>
        <v>8494</v>
      </c>
      <c r="B847">
        <f>IF(Bestellungen!J847="Ja",Bestellungen!B847)</f>
        <v>130</v>
      </c>
      <c r="C847">
        <v>4</v>
      </c>
      <c r="D847">
        <v>3</v>
      </c>
      <c r="E847">
        <v>3</v>
      </c>
      <c r="F847">
        <v>4</v>
      </c>
      <c r="G847">
        <f t="shared" si="13"/>
        <v>3.5</v>
      </c>
    </row>
    <row r="848" spans="1:7" hidden="1" x14ac:dyDescent="0.35">
      <c r="A848" t="b">
        <f>IF(Bestellungen!J848="Ja",Bestellungen!A848)</f>
        <v>0</v>
      </c>
      <c r="B848" t="b">
        <f>IF(Bestellungen!J848="Ja",Bestellungen!B848)</f>
        <v>0</v>
      </c>
      <c r="C848" t="s">
        <v>51</v>
      </c>
      <c r="D848" t="s">
        <v>51</v>
      </c>
      <c r="E848" t="s">
        <v>51</v>
      </c>
      <c r="F848" t="s">
        <v>51</v>
      </c>
      <c r="G848" t="e">
        <f t="shared" si="13"/>
        <v>#DIV/0!</v>
      </c>
    </row>
    <row r="849" spans="1:7" x14ac:dyDescent="0.35">
      <c r="A849">
        <f>IF(Bestellungen!J849="Ja",Bestellungen!A849)</f>
        <v>8496</v>
      </c>
      <c r="B849">
        <f>IF(Bestellungen!J849="Ja",Bestellungen!B849)</f>
        <v>493</v>
      </c>
      <c r="C849">
        <v>4</v>
      </c>
      <c r="D849">
        <v>3</v>
      </c>
      <c r="E849">
        <v>4</v>
      </c>
      <c r="F849">
        <v>5</v>
      </c>
      <c r="G849">
        <f t="shared" si="13"/>
        <v>4</v>
      </c>
    </row>
    <row r="850" spans="1:7" x14ac:dyDescent="0.35">
      <c r="A850">
        <f>IF(Bestellungen!J850="Ja",Bestellungen!A850)</f>
        <v>8497</v>
      </c>
      <c r="B850">
        <f>IF(Bestellungen!J850="Ja",Bestellungen!B850)</f>
        <v>211</v>
      </c>
      <c r="C850">
        <v>3</v>
      </c>
      <c r="D850">
        <v>4</v>
      </c>
      <c r="E850">
        <v>5</v>
      </c>
      <c r="F850">
        <v>4</v>
      </c>
      <c r="G850">
        <f t="shared" si="13"/>
        <v>4</v>
      </c>
    </row>
    <row r="851" spans="1:7" hidden="1" x14ac:dyDescent="0.35">
      <c r="A851" t="b">
        <f>IF(Bestellungen!J851="Ja",Bestellungen!A851)</f>
        <v>0</v>
      </c>
      <c r="B851" t="b">
        <f>IF(Bestellungen!J851="Ja",Bestellungen!B851)</f>
        <v>0</v>
      </c>
      <c r="C851" t="s">
        <v>51</v>
      </c>
      <c r="D851" t="s">
        <v>51</v>
      </c>
      <c r="E851" t="s">
        <v>51</v>
      </c>
      <c r="F851" t="s">
        <v>51</v>
      </c>
      <c r="G851" t="e">
        <f t="shared" si="13"/>
        <v>#DIV/0!</v>
      </c>
    </row>
    <row r="852" spans="1:7" x14ac:dyDescent="0.35">
      <c r="A852">
        <f>IF(Bestellungen!J852="Ja",Bestellungen!A852)</f>
        <v>8499</v>
      </c>
      <c r="B852">
        <f>IF(Bestellungen!J852="Ja",Bestellungen!B852)</f>
        <v>717</v>
      </c>
      <c r="C852">
        <v>5</v>
      </c>
      <c r="D852">
        <v>4</v>
      </c>
      <c r="E852">
        <v>4</v>
      </c>
      <c r="F852">
        <v>4</v>
      </c>
      <c r="G852">
        <f t="shared" si="13"/>
        <v>4.25</v>
      </c>
    </row>
    <row r="853" spans="1:7" hidden="1" x14ac:dyDescent="0.35">
      <c r="A853" t="b">
        <f>IF(Bestellungen!J853="Ja",Bestellungen!A853)</f>
        <v>0</v>
      </c>
      <c r="B853" t="b">
        <f>IF(Bestellungen!J853="Ja",Bestellungen!B853)</f>
        <v>0</v>
      </c>
      <c r="C853" t="s">
        <v>51</v>
      </c>
      <c r="D853" t="s">
        <v>51</v>
      </c>
      <c r="E853" t="s">
        <v>51</v>
      </c>
      <c r="F853" t="s">
        <v>51</v>
      </c>
      <c r="G853" t="e">
        <f t="shared" si="13"/>
        <v>#DIV/0!</v>
      </c>
    </row>
    <row r="854" spans="1:7" hidden="1" x14ac:dyDescent="0.35">
      <c r="A854" t="b">
        <f>IF(Bestellungen!J854="Ja",Bestellungen!A854)</f>
        <v>0</v>
      </c>
      <c r="B854" t="b">
        <f>IF(Bestellungen!J854="Ja",Bestellungen!B854)</f>
        <v>0</v>
      </c>
      <c r="C854" t="s">
        <v>51</v>
      </c>
      <c r="D854" t="s">
        <v>51</v>
      </c>
      <c r="E854" t="s">
        <v>51</v>
      </c>
      <c r="F854" t="s">
        <v>51</v>
      </c>
      <c r="G854" t="e">
        <f t="shared" si="13"/>
        <v>#DIV/0!</v>
      </c>
    </row>
    <row r="855" spans="1:7" x14ac:dyDescent="0.35">
      <c r="A855">
        <f>IF(Bestellungen!J855="Ja",Bestellungen!A855)</f>
        <v>8502</v>
      </c>
      <c r="B855">
        <f>IF(Bestellungen!J855="Ja",Bestellungen!B855)</f>
        <v>135</v>
      </c>
      <c r="C855">
        <v>4</v>
      </c>
      <c r="D855">
        <v>4</v>
      </c>
      <c r="E855">
        <v>3</v>
      </c>
      <c r="F855">
        <v>3</v>
      </c>
      <c r="G855">
        <f t="shared" si="13"/>
        <v>3.5</v>
      </c>
    </row>
    <row r="856" spans="1:7" x14ac:dyDescent="0.35">
      <c r="A856">
        <f>IF(Bestellungen!J856="Ja",Bestellungen!A856)</f>
        <v>8503</v>
      </c>
      <c r="B856">
        <f>IF(Bestellungen!J856="Ja",Bestellungen!B856)</f>
        <v>633</v>
      </c>
      <c r="C856">
        <v>5</v>
      </c>
      <c r="D856">
        <v>3</v>
      </c>
      <c r="E856">
        <v>5</v>
      </c>
      <c r="F856">
        <v>5</v>
      </c>
      <c r="G856">
        <f t="shared" si="13"/>
        <v>4.5</v>
      </c>
    </row>
    <row r="857" spans="1:7" hidden="1" x14ac:dyDescent="0.35">
      <c r="A857" t="b">
        <f>IF(Bestellungen!J857="Ja",Bestellungen!A857)</f>
        <v>0</v>
      </c>
      <c r="B857" t="b">
        <f>IF(Bestellungen!J857="Ja",Bestellungen!B857)</f>
        <v>0</v>
      </c>
      <c r="C857" t="s">
        <v>51</v>
      </c>
      <c r="D857" t="s">
        <v>51</v>
      </c>
      <c r="E857" t="s">
        <v>51</v>
      </c>
      <c r="F857" t="s">
        <v>51</v>
      </c>
      <c r="G857" t="e">
        <f t="shared" si="13"/>
        <v>#DIV/0!</v>
      </c>
    </row>
    <row r="858" spans="1:7" hidden="1" x14ac:dyDescent="0.35">
      <c r="A858" t="b">
        <f>IF(Bestellungen!J858="Ja",Bestellungen!A858)</f>
        <v>0</v>
      </c>
      <c r="B858" t="b">
        <f>IF(Bestellungen!J858="Ja",Bestellungen!B858)</f>
        <v>0</v>
      </c>
      <c r="C858" t="s">
        <v>51</v>
      </c>
      <c r="D858" t="s">
        <v>51</v>
      </c>
      <c r="E858" t="s">
        <v>51</v>
      </c>
      <c r="F858" t="s">
        <v>51</v>
      </c>
      <c r="G858" t="e">
        <f t="shared" si="13"/>
        <v>#DIV/0!</v>
      </c>
    </row>
    <row r="859" spans="1:7" hidden="1" x14ac:dyDescent="0.35">
      <c r="A859" t="b">
        <f>IF(Bestellungen!J859="Ja",Bestellungen!A859)</f>
        <v>0</v>
      </c>
      <c r="B859" t="b">
        <f>IF(Bestellungen!J859="Ja",Bestellungen!B859)</f>
        <v>0</v>
      </c>
      <c r="C859" t="s">
        <v>51</v>
      </c>
      <c r="D859" t="s">
        <v>51</v>
      </c>
      <c r="E859" t="s">
        <v>51</v>
      </c>
      <c r="F859" t="s">
        <v>51</v>
      </c>
      <c r="G859" t="e">
        <f t="shared" si="13"/>
        <v>#DIV/0!</v>
      </c>
    </row>
    <row r="860" spans="1:7" x14ac:dyDescent="0.35">
      <c r="A860">
        <f>IF(Bestellungen!J860="Ja",Bestellungen!A860)</f>
        <v>8507</v>
      </c>
      <c r="B860">
        <f>IF(Bestellungen!J860="Ja",Bestellungen!B860)</f>
        <v>389</v>
      </c>
      <c r="C860">
        <v>3</v>
      </c>
      <c r="D860">
        <v>4</v>
      </c>
      <c r="E860">
        <v>3</v>
      </c>
      <c r="F860">
        <v>3</v>
      </c>
      <c r="G860">
        <f t="shared" si="13"/>
        <v>3.25</v>
      </c>
    </row>
    <row r="861" spans="1:7" hidden="1" x14ac:dyDescent="0.35">
      <c r="A861" t="b">
        <f>IF(Bestellungen!J861="Ja",Bestellungen!A861)</f>
        <v>0</v>
      </c>
      <c r="B861" t="b">
        <f>IF(Bestellungen!J861="Ja",Bestellungen!B861)</f>
        <v>0</v>
      </c>
      <c r="C861" t="s">
        <v>51</v>
      </c>
      <c r="D861" t="s">
        <v>51</v>
      </c>
      <c r="E861" t="s">
        <v>51</v>
      </c>
      <c r="F861" t="s">
        <v>51</v>
      </c>
      <c r="G861" t="e">
        <f t="shared" si="13"/>
        <v>#DIV/0!</v>
      </c>
    </row>
    <row r="862" spans="1:7" hidden="1" x14ac:dyDescent="0.35">
      <c r="A862" t="b">
        <f>IF(Bestellungen!J862="Ja",Bestellungen!A862)</f>
        <v>0</v>
      </c>
      <c r="B862" t="b">
        <f>IF(Bestellungen!J862="Ja",Bestellungen!B862)</f>
        <v>0</v>
      </c>
      <c r="C862" t="s">
        <v>51</v>
      </c>
      <c r="D862" t="s">
        <v>51</v>
      </c>
      <c r="E862" t="s">
        <v>51</v>
      </c>
      <c r="F862" t="s">
        <v>51</v>
      </c>
      <c r="G862" t="e">
        <f t="shared" si="13"/>
        <v>#DIV/0!</v>
      </c>
    </row>
    <row r="863" spans="1:7" hidden="1" x14ac:dyDescent="0.35">
      <c r="A863" t="b">
        <f>IF(Bestellungen!J863="Ja",Bestellungen!A863)</f>
        <v>0</v>
      </c>
      <c r="B863" t="b">
        <f>IF(Bestellungen!J863="Ja",Bestellungen!B863)</f>
        <v>0</v>
      </c>
      <c r="C863" t="s">
        <v>51</v>
      </c>
      <c r="D863" t="s">
        <v>51</v>
      </c>
      <c r="E863" t="s">
        <v>51</v>
      </c>
      <c r="F863" t="s">
        <v>51</v>
      </c>
      <c r="G863" t="e">
        <f t="shared" si="13"/>
        <v>#DIV/0!</v>
      </c>
    </row>
    <row r="864" spans="1:7" hidden="1" x14ac:dyDescent="0.35">
      <c r="A864" t="b">
        <f>IF(Bestellungen!J864="Ja",Bestellungen!A864)</f>
        <v>0</v>
      </c>
      <c r="B864" t="b">
        <f>IF(Bestellungen!J864="Ja",Bestellungen!B864)</f>
        <v>0</v>
      </c>
      <c r="C864" t="s">
        <v>51</v>
      </c>
      <c r="D864" t="s">
        <v>51</v>
      </c>
      <c r="E864" t="s">
        <v>51</v>
      </c>
      <c r="F864" t="s">
        <v>51</v>
      </c>
      <c r="G864" t="e">
        <f t="shared" si="13"/>
        <v>#DIV/0!</v>
      </c>
    </row>
    <row r="865" spans="1:7" hidden="1" x14ac:dyDescent="0.35">
      <c r="A865" t="b">
        <f>IF(Bestellungen!J865="Ja",Bestellungen!A865)</f>
        <v>0</v>
      </c>
      <c r="B865" t="b">
        <f>IF(Bestellungen!J865="Ja",Bestellungen!B865)</f>
        <v>0</v>
      </c>
      <c r="C865" t="s">
        <v>51</v>
      </c>
      <c r="D865" t="s">
        <v>51</v>
      </c>
      <c r="E865" t="s">
        <v>51</v>
      </c>
      <c r="F865" t="s">
        <v>51</v>
      </c>
      <c r="G865" t="e">
        <f t="shared" si="13"/>
        <v>#DIV/0!</v>
      </c>
    </row>
    <row r="866" spans="1:7" x14ac:dyDescent="0.35">
      <c r="A866">
        <f>IF(Bestellungen!J866="Ja",Bestellungen!A866)</f>
        <v>8513</v>
      </c>
      <c r="B866">
        <f>IF(Bestellungen!J866="Ja",Bestellungen!B866)</f>
        <v>144</v>
      </c>
      <c r="C866">
        <v>3</v>
      </c>
      <c r="D866">
        <v>4</v>
      </c>
      <c r="E866">
        <v>5</v>
      </c>
      <c r="F866">
        <v>3</v>
      </c>
      <c r="G866">
        <f t="shared" si="13"/>
        <v>3.75</v>
      </c>
    </row>
    <row r="867" spans="1:7" x14ac:dyDescent="0.35">
      <c r="A867">
        <f>IF(Bestellungen!J867="Ja",Bestellungen!A867)</f>
        <v>8514</v>
      </c>
      <c r="B867">
        <f>IF(Bestellungen!J867="Ja",Bestellungen!B867)</f>
        <v>747</v>
      </c>
      <c r="C867">
        <v>4</v>
      </c>
      <c r="D867">
        <v>3</v>
      </c>
      <c r="E867">
        <v>3</v>
      </c>
      <c r="F867">
        <v>3</v>
      </c>
      <c r="G867">
        <f t="shared" si="13"/>
        <v>3.25</v>
      </c>
    </row>
    <row r="868" spans="1:7" hidden="1" x14ac:dyDescent="0.35">
      <c r="A868" t="b">
        <f>IF(Bestellungen!J868="Ja",Bestellungen!A868)</f>
        <v>0</v>
      </c>
      <c r="B868" t="b">
        <f>IF(Bestellungen!J868="Ja",Bestellungen!B868)</f>
        <v>0</v>
      </c>
      <c r="C868" t="s">
        <v>51</v>
      </c>
      <c r="D868" t="s">
        <v>51</v>
      </c>
      <c r="E868" t="s">
        <v>51</v>
      </c>
      <c r="F868" t="s">
        <v>51</v>
      </c>
      <c r="G868" t="e">
        <f t="shared" si="13"/>
        <v>#DIV/0!</v>
      </c>
    </row>
    <row r="869" spans="1:7" x14ac:dyDescent="0.35">
      <c r="A869">
        <f>IF(Bestellungen!J869="Ja",Bestellungen!A869)</f>
        <v>8516</v>
      </c>
      <c r="B869">
        <f>IF(Bestellungen!J869="Ja",Bestellungen!B869)</f>
        <v>39</v>
      </c>
      <c r="C869">
        <v>5</v>
      </c>
      <c r="D869">
        <v>5</v>
      </c>
      <c r="E869">
        <v>3</v>
      </c>
      <c r="F869">
        <v>4</v>
      </c>
      <c r="G869">
        <f t="shared" si="13"/>
        <v>4.25</v>
      </c>
    </row>
    <row r="870" spans="1:7" x14ac:dyDescent="0.35">
      <c r="A870">
        <f>IF(Bestellungen!J870="Ja",Bestellungen!A870)</f>
        <v>8517</v>
      </c>
      <c r="B870">
        <f>IF(Bestellungen!J870="Ja",Bestellungen!B870)</f>
        <v>686</v>
      </c>
      <c r="C870">
        <v>3</v>
      </c>
      <c r="D870">
        <v>4</v>
      </c>
      <c r="E870">
        <v>3</v>
      </c>
      <c r="F870">
        <v>4</v>
      </c>
      <c r="G870">
        <f t="shared" si="13"/>
        <v>3.5</v>
      </c>
    </row>
    <row r="871" spans="1:7" x14ac:dyDescent="0.35">
      <c r="A871">
        <f>IF(Bestellungen!J871="Ja",Bestellungen!A871)</f>
        <v>8518</v>
      </c>
      <c r="B871">
        <f>IF(Bestellungen!J871="Ja",Bestellungen!B871)</f>
        <v>527</v>
      </c>
      <c r="C871">
        <v>5</v>
      </c>
      <c r="D871">
        <v>3</v>
      </c>
      <c r="E871">
        <v>3</v>
      </c>
      <c r="F871">
        <v>4</v>
      </c>
      <c r="G871">
        <f t="shared" si="13"/>
        <v>3.75</v>
      </c>
    </row>
    <row r="872" spans="1:7" x14ac:dyDescent="0.35">
      <c r="A872">
        <f>IF(Bestellungen!J872="Ja",Bestellungen!A872)</f>
        <v>8519</v>
      </c>
      <c r="B872">
        <f>IF(Bestellungen!J872="Ja",Bestellungen!B872)</f>
        <v>68</v>
      </c>
      <c r="C872">
        <v>3</v>
      </c>
      <c r="D872">
        <v>4</v>
      </c>
      <c r="E872">
        <v>4</v>
      </c>
      <c r="F872">
        <v>3</v>
      </c>
      <c r="G872">
        <f t="shared" si="13"/>
        <v>3.5</v>
      </c>
    </row>
    <row r="873" spans="1:7" x14ac:dyDescent="0.35">
      <c r="A873">
        <f>IF(Bestellungen!J873="Ja",Bestellungen!A873)</f>
        <v>8520</v>
      </c>
      <c r="B873">
        <f>IF(Bestellungen!J873="Ja",Bestellungen!B873)</f>
        <v>344</v>
      </c>
      <c r="C873">
        <v>5</v>
      </c>
      <c r="D873">
        <v>4</v>
      </c>
      <c r="E873">
        <v>5</v>
      </c>
      <c r="F873">
        <v>5</v>
      </c>
      <c r="G873">
        <f t="shared" si="13"/>
        <v>4.75</v>
      </c>
    </row>
    <row r="874" spans="1:7" hidden="1" x14ac:dyDescent="0.35">
      <c r="A874" t="b">
        <f>IF(Bestellungen!J874="Ja",Bestellungen!A874)</f>
        <v>0</v>
      </c>
      <c r="B874" t="b">
        <f>IF(Bestellungen!J874="Ja",Bestellungen!B874)</f>
        <v>0</v>
      </c>
      <c r="C874" t="s">
        <v>51</v>
      </c>
      <c r="D874" t="s">
        <v>51</v>
      </c>
      <c r="E874" t="s">
        <v>51</v>
      </c>
      <c r="F874" t="s">
        <v>51</v>
      </c>
      <c r="G874" t="e">
        <f t="shared" si="13"/>
        <v>#DIV/0!</v>
      </c>
    </row>
    <row r="875" spans="1:7" hidden="1" x14ac:dyDescent="0.35">
      <c r="A875" t="b">
        <f>IF(Bestellungen!J875="Ja",Bestellungen!A875)</f>
        <v>0</v>
      </c>
      <c r="B875" t="b">
        <f>IF(Bestellungen!J875="Ja",Bestellungen!B875)</f>
        <v>0</v>
      </c>
      <c r="C875" t="s">
        <v>51</v>
      </c>
      <c r="D875" t="s">
        <v>51</v>
      </c>
      <c r="E875" t="s">
        <v>51</v>
      </c>
      <c r="F875" t="s">
        <v>51</v>
      </c>
      <c r="G875" t="e">
        <f t="shared" si="13"/>
        <v>#DIV/0!</v>
      </c>
    </row>
    <row r="876" spans="1:7" x14ac:dyDescent="0.35">
      <c r="A876">
        <f>IF(Bestellungen!J876="Ja",Bestellungen!A876)</f>
        <v>8523</v>
      </c>
      <c r="B876">
        <f>IF(Bestellungen!J876="Ja",Bestellungen!B876)</f>
        <v>637</v>
      </c>
      <c r="C876">
        <v>4</v>
      </c>
      <c r="D876">
        <v>5</v>
      </c>
      <c r="E876">
        <v>3</v>
      </c>
      <c r="F876">
        <v>3</v>
      </c>
      <c r="G876">
        <f t="shared" si="13"/>
        <v>3.75</v>
      </c>
    </row>
    <row r="877" spans="1:7" hidden="1" x14ac:dyDescent="0.35">
      <c r="A877" t="b">
        <f>IF(Bestellungen!J877="Ja",Bestellungen!A877)</f>
        <v>0</v>
      </c>
      <c r="B877" t="b">
        <f>IF(Bestellungen!J877="Ja",Bestellungen!B877)</f>
        <v>0</v>
      </c>
      <c r="C877" t="s">
        <v>51</v>
      </c>
      <c r="D877" t="s">
        <v>51</v>
      </c>
      <c r="E877" t="s">
        <v>51</v>
      </c>
      <c r="F877" t="s">
        <v>51</v>
      </c>
      <c r="G877" t="e">
        <f t="shared" si="13"/>
        <v>#DIV/0!</v>
      </c>
    </row>
    <row r="878" spans="1:7" hidden="1" x14ac:dyDescent="0.35">
      <c r="A878" t="b">
        <f>IF(Bestellungen!J878="Ja",Bestellungen!A878)</f>
        <v>0</v>
      </c>
      <c r="B878" t="b">
        <f>IF(Bestellungen!J878="Ja",Bestellungen!B878)</f>
        <v>0</v>
      </c>
      <c r="C878" t="s">
        <v>51</v>
      </c>
      <c r="D878" t="s">
        <v>51</v>
      </c>
      <c r="E878" t="s">
        <v>51</v>
      </c>
      <c r="F878" t="s">
        <v>51</v>
      </c>
      <c r="G878" t="e">
        <f t="shared" si="13"/>
        <v>#DIV/0!</v>
      </c>
    </row>
    <row r="879" spans="1:7" x14ac:dyDescent="0.35">
      <c r="A879">
        <f>IF(Bestellungen!J879="Ja",Bestellungen!A879)</f>
        <v>8526</v>
      </c>
      <c r="B879">
        <f>IF(Bestellungen!J879="Ja",Bestellungen!B879)</f>
        <v>57</v>
      </c>
      <c r="C879">
        <v>4</v>
      </c>
      <c r="D879">
        <v>4</v>
      </c>
      <c r="E879">
        <v>3</v>
      </c>
      <c r="F879">
        <v>5</v>
      </c>
      <c r="G879">
        <f t="shared" si="13"/>
        <v>4</v>
      </c>
    </row>
    <row r="880" spans="1:7" hidden="1" x14ac:dyDescent="0.35">
      <c r="A880" t="b">
        <f>IF(Bestellungen!J880="Ja",Bestellungen!A880)</f>
        <v>0</v>
      </c>
      <c r="B880" t="b">
        <f>IF(Bestellungen!J880="Ja",Bestellungen!B880)</f>
        <v>0</v>
      </c>
      <c r="C880" t="s">
        <v>51</v>
      </c>
      <c r="D880" t="s">
        <v>51</v>
      </c>
      <c r="E880" t="s">
        <v>51</v>
      </c>
      <c r="F880" t="s">
        <v>51</v>
      </c>
      <c r="G880" t="e">
        <f t="shared" si="13"/>
        <v>#DIV/0!</v>
      </c>
    </row>
    <row r="881" spans="1:7" x14ac:dyDescent="0.35">
      <c r="A881">
        <f>IF(Bestellungen!J881="Ja",Bestellungen!A881)</f>
        <v>8528</v>
      </c>
      <c r="B881">
        <f>IF(Bestellungen!J881="Ja",Bestellungen!B881)</f>
        <v>119</v>
      </c>
      <c r="C881">
        <v>5</v>
      </c>
      <c r="D881">
        <v>3</v>
      </c>
      <c r="E881">
        <v>4</v>
      </c>
      <c r="F881">
        <v>4</v>
      </c>
      <c r="G881">
        <f t="shared" si="13"/>
        <v>4</v>
      </c>
    </row>
    <row r="882" spans="1:7" hidden="1" x14ac:dyDescent="0.35">
      <c r="A882" t="b">
        <f>IF(Bestellungen!J882="Ja",Bestellungen!A882)</f>
        <v>0</v>
      </c>
      <c r="B882" t="b">
        <f>IF(Bestellungen!J882="Ja",Bestellungen!B882)</f>
        <v>0</v>
      </c>
      <c r="C882" t="s">
        <v>51</v>
      </c>
      <c r="D882" t="s">
        <v>51</v>
      </c>
      <c r="E882" t="s">
        <v>51</v>
      </c>
      <c r="F882" t="s">
        <v>51</v>
      </c>
      <c r="G882" t="e">
        <f t="shared" si="13"/>
        <v>#DIV/0!</v>
      </c>
    </row>
    <row r="883" spans="1:7" x14ac:dyDescent="0.35">
      <c r="A883">
        <f>IF(Bestellungen!J883="Ja",Bestellungen!A883)</f>
        <v>8530</v>
      </c>
      <c r="B883">
        <f>IF(Bestellungen!J883="Ja",Bestellungen!B883)</f>
        <v>493</v>
      </c>
      <c r="C883">
        <v>5</v>
      </c>
      <c r="D883">
        <v>3</v>
      </c>
      <c r="E883">
        <v>5</v>
      </c>
      <c r="F883">
        <v>5</v>
      </c>
      <c r="G883">
        <f t="shared" si="13"/>
        <v>4.5</v>
      </c>
    </row>
    <row r="884" spans="1:7" hidden="1" x14ac:dyDescent="0.35">
      <c r="A884" t="b">
        <f>IF(Bestellungen!J884="Ja",Bestellungen!A884)</f>
        <v>0</v>
      </c>
      <c r="B884" t="b">
        <f>IF(Bestellungen!J884="Ja",Bestellungen!B884)</f>
        <v>0</v>
      </c>
      <c r="C884" t="s">
        <v>51</v>
      </c>
      <c r="D884" t="s">
        <v>51</v>
      </c>
      <c r="E884" t="s">
        <v>51</v>
      </c>
      <c r="F884" t="s">
        <v>51</v>
      </c>
      <c r="G884" t="e">
        <f t="shared" si="13"/>
        <v>#DIV/0!</v>
      </c>
    </row>
    <row r="885" spans="1:7" hidden="1" x14ac:dyDescent="0.35">
      <c r="A885" t="b">
        <f>IF(Bestellungen!J885="Ja",Bestellungen!A885)</f>
        <v>0</v>
      </c>
      <c r="B885" t="b">
        <f>IF(Bestellungen!J885="Ja",Bestellungen!B885)</f>
        <v>0</v>
      </c>
      <c r="C885" t="s">
        <v>51</v>
      </c>
      <c r="D885" t="s">
        <v>51</v>
      </c>
      <c r="E885" t="s">
        <v>51</v>
      </c>
      <c r="F885" t="s">
        <v>51</v>
      </c>
      <c r="G885" t="e">
        <f t="shared" si="13"/>
        <v>#DIV/0!</v>
      </c>
    </row>
    <row r="886" spans="1:7" x14ac:dyDescent="0.35">
      <c r="A886">
        <f>IF(Bestellungen!J886="Ja",Bestellungen!A886)</f>
        <v>8533</v>
      </c>
      <c r="B886">
        <f>IF(Bestellungen!J886="Ja",Bestellungen!B886)</f>
        <v>577</v>
      </c>
      <c r="C886">
        <v>4</v>
      </c>
      <c r="D886">
        <v>4</v>
      </c>
      <c r="E886">
        <v>4</v>
      </c>
      <c r="F886">
        <v>5</v>
      </c>
      <c r="G886">
        <f t="shared" si="13"/>
        <v>4.25</v>
      </c>
    </row>
    <row r="887" spans="1:7" x14ac:dyDescent="0.35">
      <c r="A887">
        <f>IF(Bestellungen!J887="Ja",Bestellungen!A887)</f>
        <v>8534</v>
      </c>
      <c r="B887">
        <f>IF(Bestellungen!J887="Ja",Bestellungen!B887)</f>
        <v>528</v>
      </c>
      <c r="C887">
        <v>4</v>
      </c>
      <c r="D887">
        <v>3</v>
      </c>
      <c r="E887">
        <v>5</v>
      </c>
      <c r="F887">
        <v>4</v>
      </c>
      <c r="G887">
        <f t="shared" si="13"/>
        <v>4</v>
      </c>
    </row>
    <row r="888" spans="1:7" x14ac:dyDescent="0.35">
      <c r="A888">
        <f>IF(Bestellungen!J888="Ja",Bestellungen!A888)</f>
        <v>8535</v>
      </c>
      <c r="B888">
        <f>IF(Bestellungen!J888="Ja",Bestellungen!B888)</f>
        <v>738</v>
      </c>
      <c r="C888">
        <v>4</v>
      </c>
      <c r="D888">
        <v>4</v>
      </c>
      <c r="E888">
        <v>5</v>
      </c>
      <c r="F888">
        <v>4</v>
      </c>
      <c r="G888">
        <f t="shared" si="13"/>
        <v>4.25</v>
      </c>
    </row>
    <row r="889" spans="1:7" hidden="1" x14ac:dyDescent="0.35">
      <c r="A889" t="b">
        <f>IF(Bestellungen!J889="Ja",Bestellungen!A889)</f>
        <v>0</v>
      </c>
      <c r="B889" t="b">
        <f>IF(Bestellungen!J889="Ja",Bestellungen!B889)</f>
        <v>0</v>
      </c>
      <c r="C889" t="s">
        <v>51</v>
      </c>
      <c r="D889" t="s">
        <v>51</v>
      </c>
      <c r="E889" t="s">
        <v>51</v>
      </c>
      <c r="F889" t="s">
        <v>51</v>
      </c>
      <c r="G889" t="e">
        <f t="shared" si="13"/>
        <v>#DIV/0!</v>
      </c>
    </row>
    <row r="890" spans="1:7" x14ac:dyDescent="0.35">
      <c r="A890">
        <f>IF(Bestellungen!J890="Ja",Bestellungen!A890)</f>
        <v>8537</v>
      </c>
      <c r="B890">
        <f>IF(Bestellungen!J890="Ja",Bestellungen!B890)</f>
        <v>261</v>
      </c>
      <c r="C890">
        <v>3</v>
      </c>
      <c r="D890">
        <v>5</v>
      </c>
      <c r="E890">
        <v>5</v>
      </c>
      <c r="F890">
        <v>4</v>
      </c>
      <c r="G890">
        <f t="shared" si="13"/>
        <v>4.25</v>
      </c>
    </row>
    <row r="891" spans="1:7" hidden="1" x14ac:dyDescent="0.35">
      <c r="A891" t="b">
        <f>IF(Bestellungen!J891="Ja",Bestellungen!A891)</f>
        <v>0</v>
      </c>
      <c r="B891" t="b">
        <f>IF(Bestellungen!J891="Ja",Bestellungen!B891)</f>
        <v>0</v>
      </c>
      <c r="C891" t="s">
        <v>51</v>
      </c>
      <c r="D891" t="s">
        <v>51</v>
      </c>
      <c r="E891" t="s">
        <v>51</v>
      </c>
      <c r="F891" t="s">
        <v>51</v>
      </c>
      <c r="G891" t="e">
        <f t="shared" si="13"/>
        <v>#DIV/0!</v>
      </c>
    </row>
    <row r="892" spans="1:7" x14ac:dyDescent="0.35">
      <c r="A892">
        <f>IF(Bestellungen!J892="Ja",Bestellungen!A892)</f>
        <v>8539</v>
      </c>
      <c r="B892">
        <f>IF(Bestellungen!J892="Ja",Bestellungen!B892)</f>
        <v>234</v>
      </c>
      <c r="C892">
        <v>4</v>
      </c>
      <c r="D892">
        <v>4</v>
      </c>
      <c r="E892">
        <v>3</v>
      </c>
      <c r="F892">
        <v>4</v>
      </c>
      <c r="G892">
        <f t="shared" si="13"/>
        <v>3.75</v>
      </c>
    </row>
    <row r="893" spans="1:7" hidden="1" x14ac:dyDescent="0.35">
      <c r="A893" t="b">
        <f>IF(Bestellungen!J893="Ja",Bestellungen!A893)</f>
        <v>0</v>
      </c>
      <c r="B893" t="b">
        <f>IF(Bestellungen!J893="Ja",Bestellungen!B893)</f>
        <v>0</v>
      </c>
      <c r="C893" t="s">
        <v>51</v>
      </c>
      <c r="D893" t="s">
        <v>51</v>
      </c>
      <c r="E893" t="s">
        <v>51</v>
      </c>
      <c r="F893" t="s">
        <v>51</v>
      </c>
      <c r="G893" t="e">
        <f t="shared" si="13"/>
        <v>#DIV/0!</v>
      </c>
    </row>
    <row r="894" spans="1:7" hidden="1" x14ac:dyDescent="0.35">
      <c r="A894" t="b">
        <f>IF(Bestellungen!J894="Ja",Bestellungen!A894)</f>
        <v>0</v>
      </c>
      <c r="B894" t="b">
        <f>IF(Bestellungen!J894="Ja",Bestellungen!B894)</f>
        <v>0</v>
      </c>
      <c r="C894" t="s">
        <v>51</v>
      </c>
      <c r="D894" t="s">
        <v>51</v>
      </c>
      <c r="E894" t="s">
        <v>51</v>
      </c>
      <c r="F894" t="s">
        <v>51</v>
      </c>
      <c r="G894" t="e">
        <f t="shared" si="13"/>
        <v>#DIV/0!</v>
      </c>
    </row>
    <row r="895" spans="1:7" x14ac:dyDescent="0.35">
      <c r="A895">
        <f>IF(Bestellungen!J895="Ja",Bestellungen!A895)</f>
        <v>8542</v>
      </c>
      <c r="B895">
        <f>IF(Bestellungen!J895="Ja",Bestellungen!B895)</f>
        <v>10</v>
      </c>
      <c r="C895">
        <v>4</v>
      </c>
      <c r="D895">
        <v>3</v>
      </c>
      <c r="E895">
        <v>4</v>
      </c>
      <c r="F895">
        <v>3</v>
      </c>
      <c r="G895">
        <f t="shared" si="13"/>
        <v>3.5</v>
      </c>
    </row>
    <row r="896" spans="1:7" hidden="1" x14ac:dyDescent="0.35">
      <c r="A896" t="b">
        <f>IF(Bestellungen!J896="Ja",Bestellungen!A896)</f>
        <v>0</v>
      </c>
      <c r="B896" t="b">
        <f>IF(Bestellungen!J896="Ja",Bestellungen!B896)</f>
        <v>0</v>
      </c>
      <c r="C896" t="s">
        <v>51</v>
      </c>
      <c r="D896" t="s">
        <v>51</v>
      </c>
      <c r="E896" t="s">
        <v>51</v>
      </c>
      <c r="F896" t="s">
        <v>51</v>
      </c>
      <c r="G896" t="e">
        <f t="shared" si="13"/>
        <v>#DIV/0!</v>
      </c>
    </row>
    <row r="897" spans="1:7" hidden="1" x14ac:dyDescent="0.35">
      <c r="A897" t="b">
        <f>IF(Bestellungen!J897="Ja",Bestellungen!A897)</f>
        <v>0</v>
      </c>
      <c r="B897" t="b">
        <f>IF(Bestellungen!J897="Ja",Bestellungen!B897)</f>
        <v>0</v>
      </c>
      <c r="C897" t="s">
        <v>51</v>
      </c>
      <c r="D897" t="s">
        <v>51</v>
      </c>
      <c r="E897" t="s">
        <v>51</v>
      </c>
      <c r="F897" t="s">
        <v>51</v>
      </c>
      <c r="G897" t="e">
        <f t="shared" si="13"/>
        <v>#DIV/0!</v>
      </c>
    </row>
    <row r="898" spans="1:7" hidden="1" x14ac:dyDescent="0.35">
      <c r="A898" t="b">
        <f>IF(Bestellungen!J898="Ja",Bestellungen!A898)</f>
        <v>0</v>
      </c>
      <c r="B898" t="b">
        <f>IF(Bestellungen!J898="Ja",Bestellungen!B898)</f>
        <v>0</v>
      </c>
      <c r="C898" t="s">
        <v>51</v>
      </c>
      <c r="D898" t="s">
        <v>51</v>
      </c>
      <c r="E898" t="s">
        <v>51</v>
      </c>
      <c r="F898" t="s">
        <v>51</v>
      </c>
      <c r="G898" t="e">
        <f t="shared" si="13"/>
        <v>#DIV/0!</v>
      </c>
    </row>
    <row r="899" spans="1:7" x14ac:dyDescent="0.35">
      <c r="A899">
        <f>IF(Bestellungen!J899="Ja",Bestellungen!A899)</f>
        <v>8546</v>
      </c>
      <c r="B899">
        <f>IF(Bestellungen!J899="Ja",Bestellungen!B899)</f>
        <v>238</v>
      </c>
      <c r="C899">
        <v>5</v>
      </c>
      <c r="D899">
        <v>3</v>
      </c>
      <c r="E899">
        <v>5</v>
      </c>
      <c r="F899">
        <v>4</v>
      </c>
      <c r="G899">
        <f t="shared" ref="G899:G962" si="14">SUM(C899:F899)/COUNT(C899:F899)</f>
        <v>4.25</v>
      </c>
    </row>
    <row r="900" spans="1:7" hidden="1" x14ac:dyDescent="0.35">
      <c r="A900" t="b">
        <f>IF(Bestellungen!J900="Ja",Bestellungen!A900)</f>
        <v>0</v>
      </c>
      <c r="B900" t="b">
        <f>IF(Bestellungen!J900="Ja",Bestellungen!B900)</f>
        <v>0</v>
      </c>
      <c r="C900" t="s">
        <v>51</v>
      </c>
      <c r="D900" t="s">
        <v>51</v>
      </c>
      <c r="E900" t="s">
        <v>51</v>
      </c>
      <c r="F900" t="s">
        <v>51</v>
      </c>
      <c r="G900" t="e">
        <f t="shared" si="14"/>
        <v>#DIV/0!</v>
      </c>
    </row>
    <row r="901" spans="1:7" hidden="1" x14ac:dyDescent="0.35">
      <c r="A901" t="b">
        <f>IF(Bestellungen!J901="Ja",Bestellungen!A901)</f>
        <v>0</v>
      </c>
      <c r="B901" t="b">
        <f>IF(Bestellungen!J901="Ja",Bestellungen!B901)</f>
        <v>0</v>
      </c>
      <c r="C901" t="s">
        <v>51</v>
      </c>
      <c r="D901" t="s">
        <v>51</v>
      </c>
      <c r="E901" t="s">
        <v>51</v>
      </c>
      <c r="F901" t="s">
        <v>51</v>
      </c>
      <c r="G901" t="e">
        <f t="shared" si="14"/>
        <v>#DIV/0!</v>
      </c>
    </row>
    <row r="902" spans="1:7" x14ac:dyDescent="0.35">
      <c r="A902">
        <f>IF(Bestellungen!J902="Ja",Bestellungen!A902)</f>
        <v>8549</v>
      </c>
      <c r="B902">
        <f>IF(Bestellungen!J902="Ja",Bestellungen!B902)</f>
        <v>219</v>
      </c>
      <c r="C902">
        <v>4</v>
      </c>
      <c r="D902">
        <v>5</v>
      </c>
      <c r="E902">
        <v>5</v>
      </c>
      <c r="F902">
        <v>3</v>
      </c>
      <c r="G902">
        <f t="shared" si="14"/>
        <v>4.25</v>
      </c>
    </row>
    <row r="903" spans="1:7" x14ac:dyDescent="0.35">
      <c r="A903">
        <f>IF(Bestellungen!J903="Ja",Bestellungen!A903)</f>
        <v>8550</v>
      </c>
      <c r="B903">
        <f>IF(Bestellungen!J903="Ja",Bestellungen!B903)</f>
        <v>100</v>
      </c>
      <c r="C903">
        <v>4</v>
      </c>
      <c r="D903">
        <v>5</v>
      </c>
      <c r="E903">
        <v>3</v>
      </c>
      <c r="F903">
        <v>3</v>
      </c>
      <c r="G903">
        <f t="shared" si="14"/>
        <v>3.75</v>
      </c>
    </row>
    <row r="904" spans="1:7" hidden="1" x14ac:dyDescent="0.35">
      <c r="A904" t="b">
        <f>IF(Bestellungen!J904="Ja",Bestellungen!A904)</f>
        <v>0</v>
      </c>
      <c r="B904" t="b">
        <f>IF(Bestellungen!J904="Ja",Bestellungen!B904)</f>
        <v>0</v>
      </c>
      <c r="C904" t="s">
        <v>51</v>
      </c>
      <c r="D904" t="s">
        <v>51</v>
      </c>
      <c r="E904" t="s">
        <v>51</v>
      </c>
      <c r="F904" t="s">
        <v>51</v>
      </c>
      <c r="G904" t="e">
        <f t="shared" si="14"/>
        <v>#DIV/0!</v>
      </c>
    </row>
    <row r="905" spans="1:7" x14ac:dyDescent="0.35">
      <c r="A905">
        <f>IF(Bestellungen!J905="Ja",Bestellungen!A905)</f>
        <v>8552</v>
      </c>
      <c r="B905">
        <f>IF(Bestellungen!J905="Ja",Bestellungen!B905)</f>
        <v>428</v>
      </c>
      <c r="C905">
        <v>4</v>
      </c>
      <c r="D905">
        <v>5</v>
      </c>
      <c r="E905">
        <v>3</v>
      </c>
      <c r="F905">
        <v>3</v>
      </c>
      <c r="G905">
        <f t="shared" si="14"/>
        <v>3.75</v>
      </c>
    </row>
    <row r="906" spans="1:7" hidden="1" x14ac:dyDescent="0.35">
      <c r="A906" t="b">
        <f>IF(Bestellungen!J906="Ja",Bestellungen!A906)</f>
        <v>0</v>
      </c>
      <c r="B906" t="b">
        <f>IF(Bestellungen!J906="Ja",Bestellungen!B906)</f>
        <v>0</v>
      </c>
      <c r="C906" t="s">
        <v>51</v>
      </c>
      <c r="D906" t="s">
        <v>51</v>
      </c>
      <c r="E906" t="s">
        <v>51</v>
      </c>
      <c r="F906" t="s">
        <v>51</v>
      </c>
      <c r="G906" t="e">
        <f t="shared" si="14"/>
        <v>#DIV/0!</v>
      </c>
    </row>
    <row r="907" spans="1:7" x14ac:dyDescent="0.35">
      <c r="A907">
        <f>IF(Bestellungen!J907="Ja",Bestellungen!A907)</f>
        <v>8554</v>
      </c>
      <c r="B907">
        <f>IF(Bestellungen!J907="Ja",Bestellungen!B907)</f>
        <v>426</v>
      </c>
      <c r="C907">
        <v>4</v>
      </c>
      <c r="D907">
        <v>5</v>
      </c>
      <c r="E907">
        <v>3</v>
      </c>
      <c r="F907">
        <v>4</v>
      </c>
      <c r="G907">
        <f t="shared" si="14"/>
        <v>4</v>
      </c>
    </row>
    <row r="908" spans="1:7" x14ac:dyDescent="0.35">
      <c r="A908">
        <f>IF(Bestellungen!J908="Ja",Bestellungen!A908)</f>
        <v>8555</v>
      </c>
      <c r="B908">
        <f>IF(Bestellungen!J908="Ja",Bestellungen!B908)</f>
        <v>397</v>
      </c>
      <c r="C908">
        <v>3</v>
      </c>
      <c r="D908">
        <v>3</v>
      </c>
      <c r="E908">
        <v>4</v>
      </c>
      <c r="F908">
        <v>4</v>
      </c>
      <c r="G908">
        <f t="shared" si="14"/>
        <v>3.5</v>
      </c>
    </row>
    <row r="909" spans="1:7" x14ac:dyDescent="0.35">
      <c r="A909">
        <f>IF(Bestellungen!J909="Ja",Bestellungen!A909)</f>
        <v>8556</v>
      </c>
      <c r="B909">
        <f>IF(Bestellungen!J909="Ja",Bestellungen!B909)</f>
        <v>109</v>
      </c>
      <c r="C909">
        <v>5</v>
      </c>
      <c r="D909">
        <v>3</v>
      </c>
      <c r="E909">
        <v>4</v>
      </c>
      <c r="F909">
        <v>4</v>
      </c>
      <c r="G909">
        <f t="shared" si="14"/>
        <v>4</v>
      </c>
    </row>
    <row r="910" spans="1:7" hidden="1" x14ac:dyDescent="0.35">
      <c r="A910" t="b">
        <f>IF(Bestellungen!J910="Ja",Bestellungen!A910)</f>
        <v>0</v>
      </c>
      <c r="B910" t="b">
        <f>IF(Bestellungen!J910="Ja",Bestellungen!B910)</f>
        <v>0</v>
      </c>
      <c r="C910" t="s">
        <v>51</v>
      </c>
      <c r="D910" t="s">
        <v>51</v>
      </c>
      <c r="E910" t="s">
        <v>51</v>
      </c>
      <c r="F910" t="s">
        <v>51</v>
      </c>
      <c r="G910" t="e">
        <f t="shared" si="14"/>
        <v>#DIV/0!</v>
      </c>
    </row>
    <row r="911" spans="1:7" x14ac:dyDescent="0.35">
      <c r="A911">
        <f>IF(Bestellungen!J911="Ja",Bestellungen!A911)</f>
        <v>8558</v>
      </c>
      <c r="B911">
        <f>IF(Bestellungen!J911="Ja",Bestellungen!B911)</f>
        <v>445</v>
      </c>
      <c r="C911">
        <v>4</v>
      </c>
      <c r="D911">
        <v>4</v>
      </c>
      <c r="E911">
        <v>3</v>
      </c>
      <c r="F911">
        <v>3</v>
      </c>
      <c r="G911">
        <f t="shared" si="14"/>
        <v>3.5</v>
      </c>
    </row>
    <row r="912" spans="1:7" x14ac:dyDescent="0.35">
      <c r="A912">
        <f>IF(Bestellungen!J912="Ja",Bestellungen!A912)</f>
        <v>8559</v>
      </c>
      <c r="B912">
        <f>IF(Bestellungen!J912="Ja",Bestellungen!B912)</f>
        <v>591</v>
      </c>
      <c r="C912">
        <v>5</v>
      </c>
      <c r="D912">
        <v>5</v>
      </c>
      <c r="E912">
        <v>3</v>
      </c>
      <c r="F912">
        <v>5</v>
      </c>
      <c r="G912">
        <f t="shared" si="14"/>
        <v>4.5</v>
      </c>
    </row>
    <row r="913" spans="1:7" x14ac:dyDescent="0.35">
      <c r="A913">
        <f>IF(Bestellungen!J913="Ja",Bestellungen!A913)</f>
        <v>8560</v>
      </c>
      <c r="B913">
        <f>IF(Bestellungen!J913="Ja",Bestellungen!B913)</f>
        <v>9</v>
      </c>
      <c r="C913">
        <v>3</v>
      </c>
      <c r="D913">
        <v>5</v>
      </c>
      <c r="E913">
        <v>5</v>
      </c>
      <c r="F913">
        <v>3</v>
      </c>
      <c r="G913">
        <f t="shared" si="14"/>
        <v>4</v>
      </c>
    </row>
    <row r="914" spans="1:7" x14ac:dyDescent="0.35">
      <c r="A914">
        <f>IF(Bestellungen!J914="Ja",Bestellungen!A914)</f>
        <v>8561</v>
      </c>
      <c r="B914">
        <f>IF(Bestellungen!J914="Ja",Bestellungen!B914)</f>
        <v>630</v>
      </c>
      <c r="C914">
        <v>3</v>
      </c>
      <c r="D914">
        <v>4</v>
      </c>
      <c r="E914">
        <v>3</v>
      </c>
      <c r="F914">
        <v>3</v>
      </c>
      <c r="G914">
        <f t="shared" si="14"/>
        <v>3.25</v>
      </c>
    </row>
    <row r="915" spans="1:7" hidden="1" x14ac:dyDescent="0.35">
      <c r="A915" t="b">
        <f>IF(Bestellungen!J915="Ja",Bestellungen!A915)</f>
        <v>0</v>
      </c>
      <c r="B915" t="b">
        <f>IF(Bestellungen!J915="Ja",Bestellungen!B915)</f>
        <v>0</v>
      </c>
      <c r="C915" t="s">
        <v>51</v>
      </c>
      <c r="D915" t="s">
        <v>51</v>
      </c>
      <c r="E915" t="s">
        <v>51</v>
      </c>
      <c r="F915" t="s">
        <v>51</v>
      </c>
      <c r="G915" t="e">
        <f t="shared" si="14"/>
        <v>#DIV/0!</v>
      </c>
    </row>
    <row r="916" spans="1:7" hidden="1" x14ac:dyDescent="0.35">
      <c r="A916" t="b">
        <f>IF(Bestellungen!J916="Ja",Bestellungen!A916)</f>
        <v>0</v>
      </c>
      <c r="B916" t="b">
        <f>IF(Bestellungen!J916="Ja",Bestellungen!B916)</f>
        <v>0</v>
      </c>
      <c r="C916" t="s">
        <v>51</v>
      </c>
      <c r="D916" t="s">
        <v>51</v>
      </c>
      <c r="E916" t="s">
        <v>51</v>
      </c>
      <c r="F916" t="s">
        <v>51</v>
      </c>
      <c r="G916" t="e">
        <f t="shared" si="14"/>
        <v>#DIV/0!</v>
      </c>
    </row>
    <row r="917" spans="1:7" x14ac:dyDescent="0.35">
      <c r="A917">
        <f>IF(Bestellungen!J917="Ja",Bestellungen!A917)</f>
        <v>8564</v>
      </c>
      <c r="B917">
        <f>IF(Bestellungen!J917="Ja",Bestellungen!B917)</f>
        <v>215</v>
      </c>
      <c r="C917">
        <v>3</v>
      </c>
      <c r="D917">
        <v>3</v>
      </c>
      <c r="E917">
        <v>5</v>
      </c>
      <c r="F917">
        <v>3</v>
      </c>
      <c r="G917">
        <f t="shared" si="14"/>
        <v>3.5</v>
      </c>
    </row>
    <row r="918" spans="1:7" hidden="1" x14ac:dyDescent="0.35">
      <c r="A918" t="b">
        <f>IF(Bestellungen!J918="Ja",Bestellungen!A918)</f>
        <v>0</v>
      </c>
      <c r="B918" t="b">
        <f>IF(Bestellungen!J918="Ja",Bestellungen!B918)</f>
        <v>0</v>
      </c>
      <c r="C918" t="s">
        <v>51</v>
      </c>
      <c r="D918" t="s">
        <v>51</v>
      </c>
      <c r="E918" t="s">
        <v>51</v>
      </c>
      <c r="F918" t="s">
        <v>51</v>
      </c>
      <c r="G918" t="e">
        <f t="shared" si="14"/>
        <v>#DIV/0!</v>
      </c>
    </row>
    <row r="919" spans="1:7" hidden="1" x14ac:dyDescent="0.35">
      <c r="A919" t="b">
        <f>IF(Bestellungen!J919="Ja",Bestellungen!A919)</f>
        <v>0</v>
      </c>
      <c r="B919" t="b">
        <f>IF(Bestellungen!J919="Ja",Bestellungen!B919)</f>
        <v>0</v>
      </c>
      <c r="C919" t="s">
        <v>51</v>
      </c>
      <c r="D919" t="s">
        <v>51</v>
      </c>
      <c r="E919" t="s">
        <v>51</v>
      </c>
      <c r="F919" t="s">
        <v>51</v>
      </c>
      <c r="G919" t="e">
        <f t="shared" si="14"/>
        <v>#DIV/0!</v>
      </c>
    </row>
    <row r="920" spans="1:7" hidden="1" x14ac:dyDescent="0.35">
      <c r="A920" t="b">
        <f>IF(Bestellungen!J920="Ja",Bestellungen!A920)</f>
        <v>0</v>
      </c>
      <c r="B920" t="b">
        <f>IF(Bestellungen!J920="Ja",Bestellungen!B920)</f>
        <v>0</v>
      </c>
      <c r="C920" t="s">
        <v>51</v>
      </c>
      <c r="D920" t="s">
        <v>51</v>
      </c>
      <c r="E920" t="s">
        <v>51</v>
      </c>
      <c r="F920" t="s">
        <v>51</v>
      </c>
      <c r="G920" t="e">
        <f t="shared" si="14"/>
        <v>#DIV/0!</v>
      </c>
    </row>
    <row r="921" spans="1:7" x14ac:dyDescent="0.35">
      <c r="A921">
        <f>IF(Bestellungen!J921="Ja",Bestellungen!A921)</f>
        <v>8568</v>
      </c>
      <c r="B921">
        <f>IF(Bestellungen!J921="Ja",Bestellungen!B921)</f>
        <v>102</v>
      </c>
      <c r="C921">
        <v>3</v>
      </c>
      <c r="D921">
        <v>3</v>
      </c>
      <c r="E921">
        <v>5</v>
      </c>
      <c r="F921">
        <v>5</v>
      </c>
      <c r="G921">
        <f t="shared" si="14"/>
        <v>4</v>
      </c>
    </row>
    <row r="922" spans="1:7" x14ac:dyDescent="0.35">
      <c r="A922">
        <f>IF(Bestellungen!J922="Ja",Bestellungen!A922)</f>
        <v>8569</v>
      </c>
      <c r="B922">
        <f>IF(Bestellungen!J922="Ja",Bestellungen!B922)</f>
        <v>662</v>
      </c>
      <c r="C922">
        <v>4</v>
      </c>
      <c r="D922">
        <v>4</v>
      </c>
      <c r="E922">
        <v>4</v>
      </c>
      <c r="F922">
        <v>3</v>
      </c>
      <c r="G922">
        <f t="shared" si="14"/>
        <v>3.75</v>
      </c>
    </row>
    <row r="923" spans="1:7" hidden="1" x14ac:dyDescent="0.35">
      <c r="A923" t="b">
        <f>IF(Bestellungen!J923="Ja",Bestellungen!A923)</f>
        <v>0</v>
      </c>
      <c r="B923" t="b">
        <f>IF(Bestellungen!J923="Ja",Bestellungen!B923)</f>
        <v>0</v>
      </c>
      <c r="C923" t="s">
        <v>51</v>
      </c>
      <c r="D923" t="s">
        <v>51</v>
      </c>
      <c r="E923" t="s">
        <v>51</v>
      </c>
      <c r="F923" t="s">
        <v>51</v>
      </c>
      <c r="G923" t="e">
        <f t="shared" si="14"/>
        <v>#DIV/0!</v>
      </c>
    </row>
    <row r="924" spans="1:7" x14ac:dyDescent="0.35">
      <c r="A924">
        <f>IF(Bestellungen!J924="Ja",Bestellungen!A924)</f>
        <v>8571</v>
      </c>
      <c r="B924">
        <f>IF(Bestellungen!J924="Ja",Bestellungen!B924)</f>
        <v>356</v>
      </c>
      <c r="C924">
        <v>5</v>
      </c>
      <c r="D924">
        <v>3</v>
      </c>
      <c r="E924">
        <v>3</v>
      </c>
      <c r="F924">
        <v>3</v>
      </c>
      <c r="G924">
        <f t="shared" si="14"/>
        <v>3.5</v>
      </c>
    </row>
    <row r="925" spans="1:7" x14ac:dyDescent="0.35">
      <c r="A925">
        <f>IF(Bestellungen!J925="Ja",Bestellungen!A925)</f>
        <v>8572</v>
      </c>
      <c r="B925">
        <f>IF(Bestellungen!J925="Ja",Bestellungen!B925)</f>
        <v>787</v>
      </c>
      <c r="C925">
        <v>4</v>
      </c>
      <c r="D925">
        <v>4</v>
      </c>
      <c r="E925">
        <v>5</v>
      </c>
      <c r="F925">
        <v>4</v>
      </c>
      <c r="G925">
        <f t="shared" si="14"/>
        <v>4.25</v>
      </c>
    </row>
    <row r="926" spans="1:7" hidden="1" x14ac:dyDescent="0.35">
      <c r="A926" t="b">
        <f>IF(Bestellungen!J926="Ja",Bestellungen!A926)</f>
        <v>0</v>
      </c>
      <c r="B926" t="b">
        <f>IF(Bestellungen!J926="Ja",Bestellungen!B926)</f>
        <v>0</v>
      </c>
      <c r="C926" t="s">
        <v>51</v>
      </c>
      <c r="D926" t="s">
        <v>51</v>
      </c>
      <c r="E926" t="s">
        <v>51</v>
      </c>
      <c r="F926" t="s">
        <v>51</v>
      </c>
      <c r="G926" t="e">
        <f t="shared" si="14"/>
        <v>#DIV/0!</v>
      </c>
    </row>
    <row r="927" spans="1:7" x14ac:dyDescent="0.35">
      <c r="A927">
        <f>IF(Bestellungen!J927="Ja",Bestellungen!A927)</f>
        <v>8574</v>
      </c>
      <c r="B927">
        <f>IF(Bestellungen!J927="Ja",Bestellungen!B927)</f>
        <v>76</v>
      </c>
      <c r="C927">
        <v>5</v>
      </c>
      <c r="D927">
        <v>4</v>
      </c>
      <c r="E927">
        <v>3</v>
      </c>
      <c r="F927">
        <v>5</v>
      </c>
      <c r="G927">
        <f t="shared" si="14"/>
        <v>4.25</v>
      </c>
    </row>
    <row r="928" spans="1:7" x14ac:dyDescent="0.35">
      <c r="A928">
        <f>IF(Bestellungen!J928="Ja",Bestellungen!A928)</f>
        <v>8575</v>
      </c>
      <c r="B928">
        <f>IF(Bestellungen!J928="Ja",Bestellungen!B928)</f>
        <v>558</v>
      </c>
      <c r="C928">
        <v>4</v>
      </c>
      <c r="D928">
        <v>4</v>
      </c>
      <c r="E928">
        <v>3</v>
      </c>
      <c r="F928">
        <v>3</v>
      </c>
      <c r="G928">
        <f t="shared" si="14"/>
        <v>3.5</v>
      </c>
    </row>
    <row r="929" spans="1:7" hidden="1" x14ac:dyDescent="0.35">
      <c r="A929" t="b">
        <f>IF(Bestellungen!J929="Ja",Bestellungen!A929)</f>
        <v>0</v>
      </c>
      <c r="B929" t="b">
        <f>IF(Bestellungen!J929="Ja",Bestellungen!B929)</f>
        <v>0</v>
      </c>
      <c r="C929" t="s">
        <v>51</v>
      </c>
      <c r="D929" t="s">
        <v>51</v>
      </c>
      <c r="E929" t="s">
        <v>51</v>
      </c>
      <c r="F929" t="s">
        <v>51</v>
      </c>
      <c r="G929" t="e">
        <f t="shared" si="14"/>
        <v>#DIV/0!</v>
      </c>
    </row>
    <row r="930" spans="1:7" x14ac:dyDescent="0.35">
      <c r="A930">
        <f>IF(Bestellungen!J930="Ja",Bestellungen!A930)</f>
        <v>8577</v>
      </c>
      <c r="B930">
        <f>IF(Bestellungen!J930="Ja",Bestellungen!B930)</f>
        <v>288</v>
      </c>
      <c r="C930">
        <v>3</v>
      </c>
      <c r="D930">
        <v>3</v>
      </c>
      <c r="E930">
        <v>3</v>
      </c>
      <c r="F930">
        <v>3</v>
      </c>
      <c r="G930">
        <f t="shared" si="14"/>
        <v>3</v>
      </c>
    </row>
    <row r="931" spans="1:7" x14ac:dyDescent="0.35">
      <c r="A931">
        <f>IF(Bestellungen!J931="Ja",Bestellungen!A931)</f>
        <v>8578</v>
      </c>
      <c r="B931">
        <f>IF(Bestellungen!J931="Ja",Bestellungen!B931)</f>
        <v>51</v>
      </c>
      <c r="C931">
        <v>5</v>
      </c>
      <c r="D931">
        <v>3</v>
      </c>
      <c r="E931">
        <v>5</v>
      </c>
      <c r="F931">
        <v>3</v>
      </c>
      <c r="G931">
        <f t="shared" si="14"/>
        <v>4</v>
      </c>
    </row>
    <row r="932" spans="1:7" x14ac:dyDescent="0.35">
      <c r="A932">
        <f>IF(Bestellungen!J932="Ja",Bestellungen!A932)</f>
        <v>8579</v>
      </c>
      <c r="B932">
        <f>IF(Bestellungen!J932="Ja",Bestellungen!B932)</f>
        <v>255</v>
      </c>
      <c r="C932">
        <v>4</v>
      </c>
      <c r="D932">
        <v>5</v>
      </c>
      <c r="E932">
        <v>5</v>
      </c>
      <c r="F932">
        <v>4</v>
      </c>
      <c r="G932">
        <f t="shared" si="14"/>
        <v>4.5</v>
      </c>
    </row>
    <row r="933" spans="1:7" hidden="1" x14ac:dyDescent="0.35">
      <c r="A933" t="b">
        <f>IF(Bestellungen!J933="Ja",Bestellungen!A933)</f>
        <v>0</v>
      </c>
      <c r="B933" t="b">
        <f>IF(Bestellungen!J933="Ja",Bestellungen!B933)</f>
        <v>0</v>
      </c>
      <c r="C933" t="s">
        <v>51</v>
      </c>
      <c r="D933" t="s">
        <v>51</v>
      </c>
      <c r="E933" t="s">
        <v>51</v>
      </c>
      <c r="F933" t="s">
        <v>51</v>
      </c>
      <c r="G933" t="e">
        <f t="shared" si="14"/>
        <v>#DIV/0!</v>
      </c>
    </row>
    <row r="934" spans="1:7" x14ac:dyDescent="0.35">
      <c r="A934">
        <f>IF(Bestellungen!J934="Ja",Bestellungen!A934)</f>
        <v>8581</v>
      </c>
      <c r="B934">
        <f>IF(Bestellungen!J934="Ja",Bestellungen!B934)</f>
        <v>338</v>
      </c>
      <c r="C934">
        <v>4</v>
      </c>
      <c r="D934">
        <v>4</v>
      </c>
      <c r="E934">
        <v>5</v>
      </c>
      <c r="F934">
        <v>3</v>
      </c>
      <c r="G934">
        <f t="shared" si="14"/>
        <v>4</v>
      </c>
    </row>
    <row r="935" spans="1:7" x14ac:dyDescent="0.35">
      <c r="A935">
        <f>IF(Bestellungen!J935="Ja",Bestellungen!A935)</f>
        <v>8582</v>
      </c>
      <c r="B935">
        <f>IF(Bestellungen!J935="Ja",Bestellungen!B935)</f>
        <v>301</v>
      </c>
      <c r="C935">
        <v>3</v>
      </c>
      <c r="D935">
        <v>3</v>
      </c>
      <c r="E935">
        <v>4</v>
      </c>
      <c r="F935">
        <v>5</v>
      </c>
      <c r="G935">
        <f t="shared" si="14"/>
        <v>3.75</v>
      </c>
    </row>
    <row r="936" spans="1:7" x14ac:dyDescent="0.35">
      <c r="A936">
        <f>IF(Bestellungen!J936="Ja",Bestellungen!A936)</f>
        <v>8583</v>
      </c>
      <c r="B936">
        <f>IF(Bestellungen!J936="Ja",Bestellungen!B936)</f>
        <v>573</v>
      </c>
      <c r="C936">
        <v>3</v>
      </c>
      <c r="D936">
        <v>5</v>
      </c>
      <c r="E936">
        <v>5</v>
      </c>
      <c r="F936">
        <v>3</v>
      </c>
      <c r="G936">
        <f t="shared" si="14"/>
        <v>4</v>
      </c>
    </row>
    <row r="937" spans="1:7" x14ac:dyDescent="0.35">
      <c r="A937">
        <f>IF(Bestellungen!J937="Ja",Bestellungen!A937)</f>
        <v>8584</v>
      </c>
      <c r="B937">
        <f>IF(Bestellungen!J937="Ja",Bestellungen!B937)</f>
        <v>428</v>
      </c>
      <c r="C937">
        <v>3</v>
      </c>
      <c r="D937">
        <v>5</v>
      </c>
      <c r="E937">
        <v>3</v>
      </c>
      <c r="F937">
        <v>5</v>
      </c>
      <c r="G937">
        <f t="shared" si="14"/>
        <v>4</v>
      </c>
    </row>
    <row r="938" spans="1:7" x14ac:dyDescent="0.35">
      <c r="A938">
        <f>IF(Bestellungen!J938="Ja",Bestellungen!A938)</f>
        <v>8585</v>
      </c>
      <c r="B938">
        <f>IF(Bestellungen!J938="Ja",Bestellungen!B938)</f>
        <v>744</v>
      </c>
      <c r="C938">
        <v>4</v>
      </c>
      <c r="D938">
        <v>3</v>
      </c>
      <c r="E938">
        <v>3</v>
      </c>
      <c r="F938">
        <v>5</v>
      </c>
      <c r="G938">
        <f t="shared" si="14"/>
        <v>3.75</v>
      </c>
    </row>
    <row r="939" spans="1:7" x14ac:dyDescent="0.35">
      <c r="A939">
        <f>IF(Bestellungen!J939="Ja",Bestellungen!A939)</f>
        <v>8586</v>
      </c>
      <c r="B939">
        <f>IF(Bestellungen!J939="Ja",Bestellungen!B939)</f>
        <v>458</v>
      </c>
      <c r="C939">
        <v>5</v>
      </c>
      <c r="D939">
        <v>4</v>
      </c>
      <c r="E939">
        <v>3</v>
      </c>
      <c r="F939">
        <v>5</v>
      </c>
      <c r="G939">
        <f t="shared" si="14"/>
        <v>4.25</v>
      </c>
    </row>
    <row r="940" spans="1:7" x14ac:dyDescent="0.35">
      <c r="A940">
        <f>IF(Bestellungen!J940="Ja",Bestellungen!A940)</f>
        <v>8587</v>
      </c>
      <c r="B940">
        <f>IF(Bestellungen!J940="Ja",Bestellungen!B940)</f>
        <v>738</v>
      </c>
      <c r="C940">
        <v>4</v>
      </c>
      <c r="D940">
        <v>5</v>
      </c>
      <c r="E940">
        <v>4</v>
      </c>
      <c r="F940">
        <v>4</v>
      </c>
      <c r="G940">
        <f t="shared" si="14"/>
        <v>4.25</v>
      </c>
    </row>
    <row r="941" spans="1:7" x14ac:dyDescent="0.35">
      <c r="A941">
        <f>IF(Bestellungen!J941="Ja",Bestellungen!A941)</f>
        <v>8588</v>
      </c>
      <c r="B941">
        <f>IF(Bestellungen!J941="Ja",Bestellungen!B941)</f>
        <v>229</v>
      </c>
      <c r="C941">
        <v>5</v>
      </c>
      <c r="D941">
        <v>5</v>
      </c>
      <c r="E941">
        <v>3</v>
      </c>
      <c r="F941">
        <v>5</v>
      </c>
      <c r="G941">
        <f t="shared" si="14"/>
        <v>4.5</v>
      </c>
    </row>
    <row r="942" spans="1:7" hidden="1" x14ac:dyDescent="0.35">
      <c r="A942" t="b">
        <f>IF(Bestellungen!J942="Ja",Bestellungen!A942)</f>
        <v>0</v>
      </c>
      <c r="B942" t="b">
        <f>IF(Bestellungen!J942="Ja",Bestellungen!B942)</f>
        <v>0</v>
      </c>
      <c r="C942" t="s">
        <v>51</v>
      </c>
      <c r="D942" t="s">
        <v>51</v>
      </c>
      <c r="E942" t="s">
        <v>51</v>
      </c>
      <c r="F942" t="s">
        <v>51</v>
      </c>
      <c r="G942" t="e">
        <f t="shared" si="14"/>
        <v>#DIV/0!</v>
      </c>
    </row>
    <row r="943" spans="1:7" x14ac:dyDescent="0.35">
      <c r="A943">
        <f>IF(Bestellungen!J943="Ja",Bestellungen!A943)</f>
        <v>8590</v>
      </c>
      <c r="B943">
        <f>IF(Bestellungen!J943="Ja",Bestellungen!B943)</f>
        <v>750</v>
      </c>
      <c r="C943">
        <v>5</v>
      </c>
      <c r="D943">
        <v>5</v>
      </c>
      <c r="E943">
        <v>4</v>
      </c>
      <c r="F943">
        <v>4</v>
      </c>
      <c r="G943">
        <f t="shared" si="14"/>
        <v>4.5</v>
      </c>
    </row>
    <row r="944" spans="1:7" x14ac:dyDescent="0.35">
      <c r="A944">
        <f>IF(Bestellungen!J944="Ja",Bestellungen!A944)</f>
        <v>8591</v>
      </c>
      <c r="B944">
        <f>IF(Bestellungen!J944="Ja",Bestellungen!B944)</f>
        <v>634</v>
      </c>
      <c r="C944">
        <v>4</v>
      </c>
      <c r="D944">
        <v>3</v>
      </c>
      <c r="E944">
        <v>5</v>
      </c>
      <c r="F944">
        <v>3</v>
      </c>
      <c r="G944">
        <f t="shared" si="14"/>
        <v>3.75</v>
      </c>
    </row>
    <row r="945" spans="1:7" hidden="1" x14ac:dyDescent="0.35">
      <c r="A945" t="b">
        <f>IF(Bestellungen!J945="Ja",Bestellungen!A945)</f>
        <v>0</v>
      </c>
      <c r="B945" t="b">
        <f>IF(Bestellungen!J945="Ja",Bestellungen!B945)</f>
        <v>0</v>
      </c>
      <c r="C945" t="s">
        <v>51</v>
      </c>
      <c r="D945" t="s">
        <v>51</v>
      </c>
      <c r="E945" t="s">
        <v>51</v>
      </c>
      <c r="F945" t="s">
        <v>51</v>
      </c>
      <c r="G945" t="e">
        <f t="shared" si="14"/>
        <v>#DIV/0!</v>
      </c>
    </row>
    <row r="946" spans="1:7" x14ac:dyDescent="0.35">
      <c r="A946">
        <f>IF(Bestellungen!J946="Ja",Bestellungen!A946)</f>
        <v>8593</v>
      </c>
      <c r="B946">
        <f>IF(Bestellungen!J946="Ja",Bestellungen!B946)</f>
        <v>60</v>
      </c>
      <c r="C946">
        <v>3</v>
      </c>
      <c r="D946">
        <v>4</v>
      </c>
      <c r="E946">
        <v>4</v>
      </c>
      <c r="F946">
        <v>3</v>
      </c>
      <c r="G946">
        <f t="shared" si="14"/>
        <v>3.5</v>
      </c>
    </row>
    <row r="947" spans="1:7" hidden="1" x14ac:dyDescent="0.35">
      <c r="A947" t="b">
        <f>IF(Bestellungen!J947="Ja",Bestellungen!A947)</f>
        <v>0</v>
      </c>
      <c r="B947" t="b">
        <f>IF(Bestellungen!J947="Ja",Bestellungen!B947)</f>
        <v>0</v>
      </c>
      <c r="C947" t="s">
        <v>51</v>
      </c>
      <c r="D947" t="s">
        <v>51</v>
      </c>
      <c r="E947" t="s">
        <v>51</v>
      </c>
      <c r="F947" t="s">
        <v>51</v>
      </c>
      <c r="G947" t="e">
        <f t="shared" si="14"/>
        <v>#DIV/0!</v>
      </c>
    </row>
    <row r="948" spans="1:7" x14ac:dyDescent="0.35">
      <c r="A948">
        <f>IF(Bestellungen!J948="Ja",Bestellungen!A948)</f>
        <v>8595</v>
      </c>
      <c r="B948">
        <f>IF(Bestellungen!J948="Ja",Bestellungen!B948)</f>
        <v>634</v>
      </c>
      <c r="C948">
        <v>5</v>
      </c>
      <c r="D948">
        <v>4</v>
      </c>
      <c r="E948">
        <v>3</v>
      </c>
      <c r="F948">
        <v>3</v>
      </c>
      <c r="G948">
        <f t="shared" si="14"/>
        <v>3.75</v>
      </c>
    </row>
    <row r="949" spans="1:7" x14ac:dyDescent="0.35">
      <c r="A949">
        <f>IF(Bestellungen!J949="Ja",Bestellungen!A949)</f>
        <v>8596</v>
      </c>
      <c r="B949">
        <f>IF(Bestellungen!J949="Ja",Bestellungen!B949)</f>
        <v>480</v>
      </c>
      <c r="C949">
        <v>3</v>
      </c>
      <c r="D949">
        <v>4</v>
      </c>
      <c r="E949">
        <v>4</v>
      </c>
      <c r="F949">
        <v>5</v>
      </c>
      <c r="G949">
        <f t="shared" si="14"/>
        <v>4</v>
      </c>
    </row>
    <row r="950" spans="1:7" hidden="1" x14ac:dyDescent="0.35">
      <c r="A950" t="b">
        <f>IF(Bestellungen!J950="Ja",Bestellungen!A950)</f>
        <v>0</v>
      </c>
      <c r="B950" t="b">
        <f>IF(Bestellungen!J950="Ja",Bestellungen!B950)</f>
        <v>0</v>
      </c>
      <c r="C950" t="s">
        <v>51</v>
      </c>
      <c r="D950" t="s">
        <v>51</v>
      </c>
      <c r="E950" t="s">
        <v>51</v>
      </c>
      <c r="F950" t="s">
        <v>51</v>
      </c>
      <c r="G950" t="e">
        <f t="shared" si="14"/>
        <v>#DIV/0!</v>
      </c>
    </row>
    <row r="951" spans="1:7" x14ac:dyDescent="0.35">
      <c r="A951">
        <f>IF(Bestellungen!J951="Ja",Bestellungen!A951)</f>
        <v>8598</v>
      </c>
      <c r="B951">
        <f>IF(Bestellungen!J951="Ja",Bestellungen!B951)</f>
        <v>121</v>
      </c>
      <c r="C951">
        <v>3</v>
      </c>
      <c r="D951">
        <v>4</v>
      </c>
      <c r="E951">
        <v>3</v>
      </c>
      <c r="F951">
        <v>5</v>
      </c>
      <c r="G951">
        <f t="shared" si="14"/>
        <v>3.75</v>
      </c>
    </row>
    <row r="952" spans="1:7" hidden="1" x14ac:dyDescent="0.35">
      <c r="A952" t="b">
        <f>IF(Bestellungen!J952="Ja",Bestellungen!A952)</f>
        <v>0</v>
      </c>
      <c r="B952" t="b">
        <f>IF(Bestellungen!J952="Ja",Bestellungen!B952)</f>
        <v>0</v>
      </c>
      <c r="C952" t="s">
        <v>51</v>
      </c>
      <c r="D952" t="s">
        <v>51</v>
      </c>
      <c r="E952" t="s">
        <v>51</v>
      </c>
      <c r="F952" t="s">
        <v>51</v>
      </c>
      <c r="G952" t="e">
        <f t="shared" si="14"/>
        <v>#DIV/0!</v>
      </c>
    </row>
    <row r="953" spans="1:7" hidden="1" x14ac:dyDescent="0.35">
      <c r="A953" t="b">
        <f>IF(Bestellungen!J953="Ja",Bestellungen!A953)</f>
        <v>0</v>
      </c>
      <c r="B953" t="b">
        <f>IF(Bestellungen!J953="Ja",Bestellungen!B953)</f>
        <v>0</v>
      </c>
      <c r="C953" t="s">
        <v>51</v>
      </c>
      <c r="D953" t="s">
        <v>51</v>
      </c>
      <c r="E953" t="s">
        <v>51</v>
      </c>
      <c r="F953" t="s">
        <v>51</v>
      </c>
      <c r="G953" t="e">
        <f t="shared" si="14"/>
        <v>#DIV/0!</v>
      </c>
    </row>
    <row r="954" spans="1:7" x14ac:dyDescent="0.35">
      <c r="A954">
        <f>IF(Bestellungen!J954="Ja",Bestellungen!A954)</f>
        <v>8601</v>
      </c>
      <c r="B954">
        <f>IF(Bestellungen!J954="Ja",Bestellungen!B954)</f>
        <v>254</v>
      </c>
      <c r="C954">
        <v>5</v>
      </c>
      <c r="D954">
        <v>5</v>
      </c>
      <c r="E954">
        <v>4</v>
      </c>
      <c r="F954">
        <v>3</v>
      </c>
      <c r="G954">
        <f t="shared" si="14"/>
        <v>4.25</v>
      </c>
    </row>
    <row r="955" spans="1:7" hidden="1" x14ac:dyDescent="0.35">
      <c r="A955" t="b">
        <f>IF(Bestellungen!J955="Ja",Bestellungen!A955)</f>
        <v>0</v>
      </c>
      <c r="B955" t="b">
        <f>IF(Bestellungen!J955="Ja",Bestellungen!B955)</f>
        <v>0</v>
      </c>
      <c r="C955" t="s">
        <v>51</v>
      </c>
      <c r="D955" t="s">
        <v>51</v>
      </c>
      <c r="E955" t="s">
        <v>51</v>
      </c>
      <c r="F955" t="s">
        <v>51</v>
      </c>
      <c r="G955" t="e">
        <f t="shared" si="14"/>
        <v>#DIV/0!</v>
      </c>
    </row>
    <row r="956" spans="1:7" hidden="1" x14ac:dyDescent="0.35">
      <c r="A956" t="b">
        <f>IF(Bestellungen!J956="Ja",Bestellungen!A956)</f>
        <v>0</v>
      </c>
      <c r="B956" t="b">
        <f>IF(Bestellungen!J956="Ja",Bestellungen!B956)</f>
        <v>0</v>
      </c>
      <c r="C956" t="s">
        <v>51</v>
      </c>
      <c r="D956" t="s">
        <v>51</v>
      </c>
      <c r="E956" t="s">
        <v>51</v>
      </c>
      <c r="F956" t="s">
        <v>51</v>
      </c>
      <c r="G956" t="e">
        <f t="shared" si="14"/>
        <v>#DIV/0!</v>
      </c>
    </row>
    <row r="957" spans="1:7" hidden="1" x14ac:dyDescent="0.35">
      <c r="A957" t="b">
        <f>IF(Bestellungen!J957="Ja",Bestellungen!A957)</f>
        <v>0</v>
      </c>
      <c r="B957" t="b">
        <f>IF(Bestellungen!J957="Ja",Bestellungen!B957)</f>
        <v>0</v>
      </c>
      <c r="C957" t="s">
        <v>51</v>
      </c>
      <c r="D957" t="s">
        <v>51</v>
      </c>
      <c r="E957" t="s">
        <v>51</v>
      </c>
      <c r="F957" t="s">
        <v>51</v>
      </c>
      <c r="G957" t="e">
        <f t="shared" si="14"/>
        <v>#DIV/0!</v>
      </c>
    </row>
    <row r="958" spans="1:7" hidden="1" x14ac:dyDescent="0.35">
      <c r="A958" t="b">
        <f>IF(Bestellungen!J958="Ja",Bestellungen!A958)</f>
        <v>0</v>
      </c>
      <c r="B958" t="b">
        <f>IF(Bestellungen!J958="Ja",Bestellungen!B958)</f>
        <v>0</v>
      </c>
      <c r="C958" t="s">
        <v>51</v>
      </c>
      <c r="D958" t="s">
        <v>51</v>
      </c>
      <c r="E958" t="s">
        <v>51</v>
      </c>
      <c r="F958" t="s">
        <v>51</v>
      </c>
      <c r="G958" t="e">
        <f t="shared" si="14"/>
        <v>#DIV/0!</v>
      </c>
    </row>
    <row r="959" spans="1:7" hidden="1" x14ac:dyDescent="0.35">
      <c r="A959" t="b">
        <f>IF(Bestellungen!J959="Ja",Bestellungen!A959)</f>
        <v>0</v>
      </c>
      <c r="B959" t="b">
        <f>IF(Bestellungen!J959="Ja",Bestellungen!B959)</f>
        <v>0</v>
      </c>
      <c r="C959" t="s">
        <v>51</v>
      </c>
      <c r="D959" t="s">
        <v>51</v>
      </c>
      <c r="E959" t="s">
        <v>51</v>
      </c>
      <c r="F959" t="s">
        <v>51</v>
      </c>
      <c r="G959" t="e">
        <f t="shared" si="14"/>
        <v>#DIV/0!</v>
      </c>
    </row>
    <row r="960" spans="1:7" hidden="1" x14ac:dyDescent="0.35">
      <c r="A960" t="b">
        <f>IF(Bestellungen!J960="Ja",Bestellungen!A960)</f>
        <v>0</v>
      </c>
      <c r="B960" t="b">
        <f>IF(Bestellungen!J960="Ja",Bestellungen!B960)</f>
        <v>0</v>
      </c>
      <c r="C960" t="s">
        <v>51</v>
      </c>
      <c r="D960" t="s">
        <v>51</v>
      </c>
      <c r="E960" t="s">
        <v>51</v>
      </c>
      <c r="F960" t="s">
        <v>51</v>
      </c>
      <c r="G960" t="e">
        <f t="shared" si="14"/>
        <v>#DIV/0!</v>
      </c>
    </row>
    <row r="961" spans="1:7" x14ac:dyDescent="0.35">
      <c r="A961">
        <f>IF(Bestellungen!J961="Ja",Bestellungen!A961)</f>
        <v>8608</v>
      </c>
      <c r="B961">
        <f>IF(Bestellungen!J961="Ja",Bestellungen!B961)</f>
        <v>640</v>
      </c>
      <c r="C961">
        <v>4</v>
      </c>
      <c r="D961">
        <v>5</v>
      </c>
      <c r="E961">
        <v>3</v>
      </c>
      <c r="F961">
        <v>3</v>
      </c>
      <c r="G961">
        <f t="shared" si="14"/>
        <v>3.75</v>
      </c>
    </row>
    <row r="962" spans="1:7" x14ac:dyDescent="0.35">
      <c r="A962">
        <f>IF(Bestellungen!J962="Ja",Bestellungen!A962)</f>
        <v>8609</v>
      </c>
      <c r="B962">
        <f>IF(Bestellungen!J962="Ja",Bestellungen!B962)</f>
        <v>392</v>
      </c>
      <c r="C962">
        <v>4</v>
      </c>
      <c r="D962">
        <v>5</v>
      </c>
      <c r="E962">
        <v>3</v>
      </c>
      <c r="F962">
        <v>3</v>
      </c>
      <c r="G962">
        <f t="shared" si="14"/>
        <v>3.75</v>
      </c>
    </row>
    <row r="963" spans="1:7" hidden="1" x14ac:dyDescent="0.35">
      <c r="A963" t="b">
        <f>IF(Bestellungen!J963="Ja",Bestellungen!A963)</f>
        <v>0</v>
      </c>
      <c r="B963" t="b">
        <f>IF(Bestellungen!J963="Ja",Bestellungen!B963)</f>
        <v>0</v>
      </c>
      <c r="C963" t="s">
        <v>51</v>
      </c>
      <c r="D963" t="s">
        <v>51</v>
      </c>
      <c r="E963" t="s">
        <v>51</v>
      </c>
      <c r="F963" t="s">
        <v>51</v>
      </c>
      <c r="G963" t="e">
        <f t="shared" ref="G963:G1026" si="15">SUM(C963:F963)/COUNT(C963:F963)</f>
        <v>#DIV/0!</v>
      </c>
    </row>
    <row r="964" spans="1:7" x14ac:dyDescent="0.35">
      <c r="A964">
        <f>IF(Bestellungen!J964="Ja",Bestellungen!A964)</f>
        <v>8611</v>
      </c>
      <c r="B964">
        <f>IF(Bestellungen!J964="Ja",Bestellungen!B964)</f>
        <v>19</v>
      </c>
      <c r="C964">
        <v>3</v>
      </c>
      <c r="D964">
        <v>4</v>
      </c>
      <c r="E964">
        <v>4</v>
      </c>
      <c r="F964">
        <v>4</v>
      </c>
      <c r="G964">
        <f t="shared" si="15"/>
        <v>3.75</v>
      </c>
    </row>
    <row r="965" spans="1:7" hidden="1" x14ac:dyDescent="0.35">
      <c r="A965" t="b">
        <f>IF(Bestellungen!J965="Ja",Bestellungen!A965)</f>
        <v>0</v>
      </c>
      <c r="B965" t="b">
        <f>IF(Bestellungen!J965="Ja",Bestellungen!B965)</f>
        <v>0</v>
      </c>
      <c r="C965" t="s">
        <v>51</v>
      </c>
      <c r="D965" t="s">
        <v>51</v>
      </c>
      <c r="E965" t="s">
        <v>51</v>
      </c>
      <c r="F965" t="s">
        <v>51</v>
      </c>
      <c r="G965" t="e">
        <f t="shared" si="15"/>
        <v>#DIV/0!</v>
      </c>
    </row>
    <row r="966" spans="1:7" hidden="1" x14ac:dyDescent="0.35">
      <c r="A966" t="b">
        <f>IF(Bestellungen!J966="Ja",Bestellungen!A966)</f>
        <v>0</v>
      </c>
      <c r="B966" t="b">
        <f>IF(Bestellungen!J966="Ja",Bestellungen!B966)</f>
        <v>0</v>
      </c>
      <c r="C966" t="s">
        <v>51</v>
      </c>
      <c r="D966" t="s">
        <v>51</v>
      </c>
      <c r="E966" t="s">
        <v>51</v>
      </c>
      <c r="F966" t="s">
        <v>51</v>
      </c>
      <c r="G966" t="e">
        <f t="shared" si="15"/>
        <v>#DIV/0!</v>
      </c>
    </row>
    <row r="967" spans="1:7" hidden="1" x14ac:dyDescent="0.35">
      <c r="A967" t="b">
        <f>IF(Bestellungen!J967="Ja",Bestellungen!A967)</f>
        <v>0</v>
      </c>
      <c r="B967" t="b">
        <f>IF(Bestellungen!J967="Ja",Bestellungen!B967)</f>
        <v>0</v>
      </c>
      <c r="C967" t="s">
        <v>51</v>
      </c>
      <c r="D967" t="s">
        <v>51</v>
      </c>
      <c r="E967" t="s">
        <v>51</v>
      </c>
      <c r="F967" t="s">
        <v>51</v>
      </c>
      <c r="G967" t="e">
        <f t="shared" si="15"/>
        <v>#DIV/0!</v>
      </c>
    </row>
    <row r="968" spans="1:7" hidden="1" x14ac:dyDescent="0.35">
      <c r="A968" t="b">
        <f>IF(Bestellungen!J968="Ja",Bestellungen!A968)</f>
        <v>0</v>
      </c>
      <c r="B968" t="b">
        <f>IF(Bestellungen!J968="Ja",Bestellungen!B968)</f>
        <v>0</v>
      </c>
      <c r="C968" t="s">
        <v>51</v>
      </c>
      <c r="D968" t="s">
        <v>51</v>
      </c>
      <c r="E968" t="s">
        <v>51</v>
      </c>
      <c r="F968" t="s">
        <v>51</v>
      </c>
      <c r="G968" t="e">
        <f t="shared" si="15"/>
        <v>#DIV/0!</v>
      </c>
    </row>
    <row r="969" spans="1:7" hidden="1" x14ac:dyDescent="0.35">
      <c r="A969" t="b">
        <f>IF(Bestellungen!J969="Ja",Bestellungen!A969)</f>
        <v>0</v>
      </c>
      <c r="B969" t="b">
        <f>IF(Bestellungen!J969="Ja",Bestellungen!B969)</f>
        <v>0</v>
      </c>
      <c r="C969" t="s">
        <v>51</v>
      </c>
      <c r="D969" t="s">
        <v>51</v>
      </c>
      <c r="E969" t="s">
        <v>51</v>
      </c>
      <c r="F969" t="s">
        <v>51</v>
      </c>
      <c r="G969" t="e">
        <f t="shared" si="15"/>
        <v>#DIV/0!</v>
      </c>
    </row>
    <row r="970" spans="1:7" hidden="1" x14ac:dyDescent="0.35">
      <c r="A970" t="b">
        <f>IF(Bestellungen!J970="Ja",Bestellungen!A970)</f>
        <v>0</v>
      </c>
      <c r="B970" t="b">
        <f>IF(Bestellungen!J970="Ja",Bestellungen!B970)</f>
        <v>0</v>
      </c>
      <c r="C970" t="s">
        <v>51</v>
      </c>
      <c r="D970" t="s">
        <v>51</v>
      </c>
      <c r="E970" t="s">
        <v>51</v>
      </c>
      <c r="F970" t="s">
        <v>51</v>
      </c>
      <c r="G970" t="e">
        <f t="shared" si="15"/>
        <v>#DIV/0!</v>
      </c>
    </row>
    <row r="971" spans="1:7" hidden="1" x14ac:dyDescent="0.35">
      <c r="A971" t="b">
        <f>IF(Bestellungen!J971="Ja",Bestellungen!A971)</f>
        <v>0</v>
      </c>
      <c r="B971" t="b">
        <f>IF(Bestellungen!J971="Ja",Bestellungen!B971)</f>
        <v>0</v>
      </c>
      <c r="C971" t="s">
        <v>51</v>
      </c>
      <c r="D971" t="s">
        <v>51</v>
      </c>
      <c r="E971" t="s">
        <v>51</v>
      </c>
      <c r="F971" t="s">
        <v>51</v>
      </c>
      <c r="G971" t="e">
        <f t="shared" si="15"/>
        <v>#DIV/0!</v>
      </c>
    </row>
    <row r="972" spans="1:7" hidden="1" x14ac:dyDescent="0.35">
      <c r="A972" t="b">
        <f>IF(Bestellungen!J972="Ja",Bestellungen!A972)</f>
        <v>0</v>
      </c>
      <c r="B972" t="b">
        <f>IF(Bestellungen!J972="Ja",Bestellungen!B972)</f>
        <v>0</v>
      </c>
      <c r="C972" t="s">
        <v>51</v>
      </c>
      <c r="D972" t="s">
        <v>51</v>
      </c>
      <c r="E972" t="s">
        <v>51</v>
      </c>
      <c r="F972" t="s">
        <v>51</v>
      </c>
      <c r="G972" t="e">
        <f t="shared" si="15"/>
        <v>#DIV/0!</v>
      </c>
    </row>
    <row r="973" spans="1:7" x14ac:dyDescent="0.35">
      <c r="A973">
        <f>IF(Bestellungen!J973="Ja",Bestellungen!A973)</f>
        <v>8620</v>
      </c>
      <c r="B973">
        <f>IF(Bestellungen!J973="Ja",Bestellungen!B973)</f>
        <v>69</v>
      </c>
      <c r="C973">
        <v>5</v>
      </c>
      <c r="D973">
        <v>3</v>
      </c>
      <c r="E973">
        <v>5</v>
      </c>
      <c r="F973">
        <v>3</v>
      </c>
      <c r="G973">
        <f t="shared" si="15"/>
        <v>4</v>
      </c>
    </row>
    <row r="974" spans="1:7" x14ac:dyDescent="0.35">
      <c r="A974">
        <f>IF(Bestellungen!J974="Ja",Bestellungen!A974)</f>
        <v>8621</v>
      </c>
      <c r="B974">
        <f>IF(Bestellungen!J974="Ja",Bestellungen!B974)</f>
        <v>262</v>
      </c>
      <c r="C974">
        <v>4</v>
      </c>
      <c r="D974">
        <v>3</v>
      </c>
      <c r="E974">
        <v>3</v>
      </c>
      <c r="F974">
        <v>4</v>
      </c>
      <c r="G974">
        <f t="shared" si="15"/>
        <v>3.5</v>
      </c>
    </row>
    <row r="975" spans="1:7" hidden="1" x14ac:dyDescent="0.35">
      <c r="A975" t="b">
        <f>IF(Bestellungen!J975="Ja",Bestellungen!A975)</f>
        <v>0</v>
      </c>
      <c r="B975" t="b">
        <f>IF(Bestellungen!J975="Ja",Bestellungen!B975)</f>
        <v>0</v>
      </c>
      <c r="C975" t="s">
        <v>51</v>
      </c>
      <c r="D975" t="s">
        <v>51</v>
      </c>
      <c r="E975" t="s">
        <v>51</v>
      </c>
      <c r="F975" t="s">
        <v>51</v>
      </c>
      <c r="G975" t="e">
        <f t="shared" si="15"/>
        <v>#DIV/0!</v>
      </c>
    </row>
    <row r="976" spans="1:7" x14ac:dyDescent="0.35">
      <c r="A976">
        <f>IF(Bestellungen!J976="Ja",Bestellungen!A976)</f>
        <v>8623</v>
      </c>
      <c r="B976">
        <f>IF(Bestellungen!J976="Ja",Bestellungen!B976)</f>
        <v>719</v>
      </c>
      <c r="C976">
        <v>5</v>
      </c>
      <c r="D976">
        <v>5</v>
      </c>
      <c r="E976">
        <v>4</v>
      </c>
      <c r="F976">
        <v>5</v>
      </c>
      <c r="G976">
        <f t="shared" si="15"/>
        <v>4.75</v>
      </c>
    </row>
    <row r="977" spans="1:7" hidden="1" x14ac:dyDescent="0.35">
      <c r="A977" t="b">
        <f>IF(Bestellungen!J977="Ja",Bestellungen!A977)</f>
        <v>0</v>
      </c>
      <c r="B977" t="b">
        <f>IF(Bestellungen!J977="Ja",Bestellungen!B977)</f>
        <v>0</v>
      </c>
      <c r="C977" t="s">
        <v>51</v>
      </c>
      <c r="D977" t="s">
        <v>51</v>
      </c>
      <c r="E977" t="s">
        <v>51</v>
      </c>
      <c r="F977" t="s">
        <v>51</v>
      </c>
      <c r="G977" t="e">
        <f t="shared" si="15"/>
        <v>#DIV/0!</v>
      </c>
    </row>
    <row r="978" spans="1:7" hidden="1" x14ac:dyDescent="0.35">
      <c r="A978" t="b">
        <f>IF(Bestellungen!J978="Ja",Bestellungen!A978)</f>
        <v>0</v>
      </c>
      <c r="B978" t="b">
        <f>IF(Bestellungen!J978="Ja",Bestellungen!B978)</f>
        <v>0</v>
      </c>
      <c r="C978" t="s">
        <v>51</v>
      </c>
      <c r="D978" t="s">
        <v>51</v>
      </c>
      <c r="E978" t="s">
        <v>51</v>
      </c>
      <c r="F978" t="s">
        <v>51</v>
      </c>
      <c r="G978" t="e">
        <f t="shared" si="15"/>
        <v>#DIV/0!</v>
      </c>
    </row>
    <row r="979" spans="1:7" hidden="1" x14ac:dyDescent="0.35">
      <c r="A979" t="b">
        <f>IF(Bestellungen!J979="Ja",Bestellungen!A979)</f>
        <v>0</v>
      </c>
      <c r="B979" t="b">
        <f>IF(Bestellungen!J979="Ja",Bestellungen!B979)</f>
        <v>0</v>
      </c>
      <c r="C979" t="s">
        <v>51</v>
      </c>
      <c r="D979" t="s">
        <v>51</v>
      </c>
      <c r="E979" t="s">
        <v>51</v>
      </c>
      <c r="F979" t="s">
        <v>51</v>
      </c>
      <c r="G979" t="e">
        <f t="shared" si="15"/>
        <v>#DIV/0!</v>
      </c>
    </row>
    <row r="980" spans="1:7" x14ac:dyDescent="0.35">
      <c r="A980">
        <f>IF(Bestellungen!J980="Ja",Bestellungen!A980)</f>
        <v>8627</v>
      </c>
      <c r="B980">
        <f>IF(Bestellungen!J980="Ja",Bestellungen!B980)</f>
        <v>69</v>
      </c>
      <c r="C980">
        <v>3</v>
      </c>
      <c r="D980">
        <v>4</v>
      </c>
      <c r="E980">
        <v>5</v>
      </c>
      <c r="F980">
        <v>4</v>
      </c>
      <c r="G980">
        <f t="shared" si="15"/>
        <v>4</v>
      </c>
    </row>
    <row r="981" spans="1:7" x14ac:dyDescent="0.35">
      <c r="A981">
        <f>IF(Bestellungen!J981="Ja",Bestellungen!A981)</f>
        <v>8628</v>
      </c>
      <c r="B981">
        <f>IF(Bestellungen!J981="Ja",Bestellungen!B981)</f>
        <v>472</v>
      </c>
      <c r="C981">
        <v>3</v>
      </c>
      <c r="D981">
        <v>4</v>
      </c>
      <c r="E981">
        <v>3</v>
      </c>
      <c r="F981">
        <v>5</v>
      </c>
      <c r="G981">
        <f t="shared" si="15"/>
        <v>3.75</v>
      </c>
    </row>
    <row r="982" spans="1:7" hidden="1" x14ac:dyDescent="0.35">
      <c r="A982" t="b">
        <f>IF(Bestellungen!J982="Ja",Bestellungen!A982)</f>
        <v>0</v>
      </c>
      <c r="B982" t="b">
        <f>IF(Bestellungen!J982="Ja",Bestellungen!B982)</f>
        <v>0</v>
      </c>
      <c r="C982" t="s">
        <v>51</v>
      </c>
      <c r="D982" t="s">
        <v>51</v>
      </c>
      <c r="E982" t="s">
        <v>51</v>
      </c>
      <c r="F982" t="s">
        <v>51</v>
      </c>
      <c r="G982" t="e">
        <f t="shared" si="15"/>
        <v>#DIV/0!</v>
      </c>
    </row>
    <row r="983" spans="1:7" hidden="1" x14ac:dyDescent="0.35">
      <c r="A983" t="b">
        <f>IF(Bestellungen!J983="Ja",Bestellungen!A983)</f>
        <v>0</v>
      </c>
      <c r="B983" t="b">
        <f>IF(Bestellungen!J983="Ja",Bestellungen!B983)</f>
        <v>0</v>
      </c>
      <c r="C983" t="s">
        <v>51</v>
      </c>
      <c r="D983" t="s">
        <v>51</v>
      </c>
      <c r="E983" t="s">
        <v>51</v>
      </c>
      <c r="F983" t="s">
        <v>51</v>
      </c>
      <c r="G983" t="e">
        <f t="shared" si="15"/>
        <v>#DIV/0!</v>
      </c>
    </row>
    <row r="984" spans="1:7" x14ac:dyDescent="0.35">
      <c r="A984">
        <f>IF(Bestellungen!J984="Ja",Bestellungen!A984)</f>
        <v>8631</v>
      </c>
      <c r="B984">
        <f>IF(Bestellungen!J984="Ja",Bestellungen!B984)</f>
        <v>444</v>
      </c>
      <c r="C984">
        <v>4</v>
      </c>
      <c r="D984">
        <v>5</v>
      </c>
      <c r="E984">
        <v>5</v>
      </c>
      <c r="F984">
        <v>3</v>
      </c>
      <c r="G984">
        <f t="shared" si="15"/>
        <v>4.25</v>
      </c>
    </row>
    <row r="985" spans="1:7" hidden="1" x14ac:dyDescent="0.35">
      <c r="A985" t="b">
        <f>IF(Bestellungen!J985="Ja",Bestellungen!A985)</f>
        <v>0</v>
      </c>
      <c r="B985" t="b">
        <f>IF(Bestellungen!J985="Ja",Bestellungen!B985)</f>
        <v>0</v>
      </c>
      <c r="C985" t="s">
        <v>51</v>
      </c>
      <c r="D985" t="s">
        <v>51</v>
      </c>
      <c r="E985" t="s">
        <v>51</v>
      </c>
      <c r="F985" t="s">
        <v>51</v>
      </c>
      <c r="G985" t="e">
        <f t="shared" si="15"/>
        <v>#DIV/0!</v>
      </c>
    </row>
    <row r="986" spans="1:7" hidden="1" x14ac:dyDescent="0.35">
      <c r="A986" t="b">
        <f>IF(Bestellungen!J986="Ja",Bestellungen!A986)</f>
        <v>0</v>
      </c>
      <c r="B986" t="b">
        <f>IF(Bestellungen!J986="Ja",Bestellungen!B986)</f>
        <v>0</v>
      </c>
      <c r="C986" t="s">
        <v>51</v>
      </c>
      <c r="D986" t="s">
        <v>51</v>
      </c>
      <c r="E986" t="s">
        <v>51</v>
      </c>
      <c r="F986" t="s">
        <v>51</v>
      </c>
      <c r="G986" t="e">
        <f t="shared" si="15"/>
        <v>#DIV/0!</v>
      </c>
    </row>
    <row r="987" spans="1:7" x14ac:dyDescent="0.35">
      <c r="A987">
        <f>IF(Bestellungen!J987="Ja",Bestellungen!A987)</f>
        <v>8634</v>
      </c>
      <c r="B987">
        <f>IF(Bestellungen!J987="Ja",Bestellungen!B987)</f>
        <v>654</v>
      </c>
      <c r="C987">
        <v>5</v>
      </c>
      <c r="D987">
        <v>5</v>
      </c>
      <c r="E987">
        <v>3</v>
      </c>
      <c r="F987">
        <v>5</v>
      </c>
      <c r="G987">
        <f t="shared" si="15"/>
        <v>4.5</v>
      </c>
    </row>
    <row r="988" spans="1:7" x14ac:dyDescent="0.35">
      <c r="A988">
        <f>IF(Bestellungen!J988="Ja",Bestellungen!A988)</f>
        <v>8635</v>
      </c>
      <c r="B988">
        <f>IF(Bestellungen!J988="Ja",Bestellungen!B988)</f>
        <v>505</v>
      </c>
      <c r="C988">
        <v>3</v>
      </c>
      <c r="D988">
        <v>5</v>
      </c>
      <c r="E988">
        <v>4</v>
      </c>
      <c r="F988">
        <v>4</v>
      </c>
      <c r="G988">
        <f t="shared" si="15"/>
        <v>4</v>
      </c>
    </row>
    <row r="989" spans="1:7" hidden="1" x14ac:dyDescent="0.35">
      <c r="A989" t="b">
        <f>IF(Bestellungen!J989="Ja",Bestellungen!A989)</f>
        <v>0</v>
      </c>
      <c r="B989" t="b">
        <f>IF(Bestellungen!J989="Ja",Bestellungen!B989)</f>
        <v>0</v>
      </c>
      <c r="C989" t="s">
        <v>51</v>
      </c>
      <c r="D989" t="s">
        <v>51</v>
      </c>
      <c r="E989" t="s">
        <v>51</v>
      </c>
      <c r="F989" t="s">
        <v>51</v>
      </c>
      <c r="G989" t="e">
        <f t="shared" si="15"/>
        <v>#DIV/0!</v>
      </c>
    </row>
    <row r="990" spans="1:7" hidden="1" x14ac:dyDescent="0.35">
      <c r="A990" t="b">
        <f>IF(Bestellungen!J990="Ja",Bestellungen!A990)</f>
        <v>0</v>
      </c>
      <c r="B990" t="b">
        <f>IF(Bestellungen!J990="Ja",Bestellungen!B990)</f>
        <v>0</v>
      </c>
      <c r="C990" t="s">
        <v>51</v>
      </c>
      <c r="D990" t="s">
        <v>51</v>
      </c>
      <c r="E990" t="s">
        <v>51</v>
      </c>
      <c r="F990" t="s">
        <v>51</v>
      </c>
      <c r="G990" t="e">
        <f t="shared" si="15"/>
        <v>#DIV/0!</v>
      </c>
    </row>
    <row r="991" spans="1:7" x14ac:dyDescent="0.35">
      <c r="A991">
        <f>IF(Bestellungen!J991="Ja",Bestellungen!A991)</f>
        <v>8638</v>
      </c>
      <c r="B991">
        <f>IF(Bestellungen!J991="Ja",Bestellungen!B991)</f>
        <v>339</v>
      </c>
      <c r="C991">
        <v>3</v>
      </c>
      <c r="D991">
        <v>4</v>
      </c>
      <c r="E991">
        <v>5</v>
      </c>
      <c r="F991">
        <v>5</v>
      </c>
      <c r="G991">
        <f t="shared" si="15"/>
        <v>4.25</v>
      </c>
    </row>
    <row r="992" spans="1:7" x14ac:dyDescent="0.35">
      <c r="A992">
        <f>IF(Bestellungen!J992="Ja",Bestellungen!A992)</f>
        <v>8639</v>
      </c>
      <c r="B992">
        <f>IF(Bestellungen!J992="Ja",Bestellungen!B992)</f>
        <v>71</v>
      </c>
      <c r="C992">
        <v>3</v>
      </c>
      <c r="D992">
        <v>3</v>
      </c>
      <c r="E992">
        <v>4</v>
      </c>
      <c r="F992">
        <v>5</v>
      </c>
      <c r="G992">
        <f t="shared" si="15"/>
        <v>3.75</v>
      </c>
    </row>
    <row r="993" spans="1:7" hidden="1" x14ac:dyDescent="0.35">
      <c r="A993" t="b">
        <f>IF(Bestellungen!J993="Ja",Bestellungen!A993)</f>
        <v>0</v>
      </c>
      <c r="B993" t="b">
        <f>IF(Bestellungen!J993="Ja",Bestellungen!B993)</f>
        <v>0</v>
      </c>
      <c r="C993" t="s">
        <v>51</v>
      </c>
      <c r="D993" t="s">
        <v>51</v>
      </c>
      <c r="E993" t="s">
        <v>51</v>
      </c>
      <c r="F993" t="s">
        <v>51</v>
      </c>
      <c r="G993" t="e">
        <f t="shared" si="15"/>
        <v>#DIV/0!</v>
      </c>
    </row>
    <row r="994" spans="1:7" hidden="1" x14ac:dyDescent="0.35">
      <c r="A994" t="b">
        <f>IF(Bestellungen!J994="Ja",Bestellungen!A994)</f>
        <v>0</v>
      </c>
      <c r="B994" t="b">
        <f>IF(Bestellungen!J994="Ja",Bestellungen!B994)</f>
        <v>0</v>
      </c>
      <c r="C994" t="s">
        <v>51</v>
      </c>
      <c r="D994" t="s">
        <v>51</v>
      </c>
      <c r="E994" t="s">
        <v>51</v>
      </c>
      <c r="F994" t="s">
        <v>51</v>
      </c>
      <c r="G994" t="e">
        <f t="shared" si="15"/>
        <v>#DIV/0!</v>
      </c>
    </row>
    <row r="995" spans="1:7" hidden="1" x14ac:dyDescent="0.35">
      <c r="A995" t="b">
        <f>IF(Bestellungen!J995="Ja",Bestellungen!A995)</f>
        <v>0</v>
      </c>
      <c r="B995" t="b">
        <f>IF(Bestellungen!J995="Ja",Bestellungen!B995)</f>
        <v>0</v>
      </c>
      <c r="C995" t="s">
        <v>51</v>
      </c>
      <c r="D995" t="s">
        <v>51</v>
      </c>
      <c r="E995" t="s">
        <v>51</v>
      </c>
      <c r="F995" t="s">
        <v>51</v>
      </c>
      <c r="G995" t="e">
        <f t="shared" si="15"/>
        <v>#DIV/0!</v>
      </c>
    </row>
    <row r="996" spans="1:7" x14ac:dyDescent="0.35">
      <c r="A996">
        <f>IF(Bestellungen!J996="Ja",Bestellungen!A996)</f>
        <v>8643</v>
      </c>
      <c r="B996">
        <f>IF(Bestellungen!J996="Ja",Bestellungen!B996)</f>
        <v>785</v>
      </c>
      <c r="C996">
        <v>4</v>
      </c>
      <c r="D996">
        <v>4</v>
      </c>
      <c r="E996">
        <v>3</v>
      </c>
      <c r="F996">
        <v>3</v>
      </c>
      <c r="G996">
        <f t="shared" si="15"/>
        <v>3.5</v>
      </c>
    </row>
    <row r="997" spans="1:7" x14ac:dyDescent="0.35">
      <c r="A997">
        <f>IF(Bestellungen!J997="Ja",Bestellungen!A997)</f>
        <v>8644</v>
      </c>
      <c r="B997">
        <f>IF(Bestellungen!J997="Ja",Bestellungen!B997)</f>
        <v>558</v>
      </c>
      <c r="C997">
        <v>4</v>
      </c>
      <c r="D997">
        <v>4</v>
      </c>
      <c r="E997">
        <v>3</v>
      </c>
      <c r="F997">
        <v>4</v>
      </c>
      <c r="G997">
        <f t="shared" si="15"/>
        <v>3.75</v>
      </c>
    </row>
    <row r="998" spans="1:7" x14ac:dyDescent="0.35">
      <c r="A998">
        <f>IF(Bestellungen!J998="Ja",Bestellungen!A998)</f>
        <v>8645</v>
      </c>
      <c r="B998">
        <f>IF(Bestellungen!J998="Ja",Bestellungen!B998)</f>
        <v>219</v>
      </c>
      <c r="C998">
        <v>4</v>
      </c>
      <c r="D998">
        <v>4</v>
      </c>
      <c r="E998">
        <v>5</v>
      </c>
      <c r="F998">
        <v>4</v>
      </c>
      <c r="G998">
        <f t="shared" si="15"/>
        <v>4.25</v>
      </c>
    </row>
    <row r="999" spans="1:7" hidden="1" x14ac:dyDescent="0.35">
      <c r="A999" t="b">
        <f>IF(Bestellungen!J999="Ja",Bestellungen!A999)</f>
        <v>0</v>
      </c>
      <c r="B999" t="b">
        <f>IF(Bestellungen!J999="Ja",Bestellungen!B999)</f>
        <v>0</v>
      </c>
      <c r="C999" t="s">
        <v>51</v>
      </c>
      <c r="D999" t="s">
        <v>51</v>
      </c>
      <c r="E999" t="s">
        <v>51</v>
      </c>
      <c r="F999" t="s">
        <v>51</v>
      </c>
      <c r="G999" t="e">
        <f t="shared" si="15"/>
        <v>#DIV/0!</v>
      </c>
    </row>
    <row r="1000" spans="1:7" hidden="1" x14ac:dyDescent="0.35">
      <c r="A1000" t="b">
        <f>IF(Bestellungen!J1000="Ja",Bestellungen!A1000)</f>
        <v>0</v>
      </c>
      <c r="B1000" t="b">
        <f>IF(Bestellungen!J1000="Ja",Bestellungen!B1000)</f>
        <v>0</v>
      </c>
      <c r="C1000" t="s">
        <v>51</v>
      </c>
      <c r="D1000" t="s">
        <v>51</v>
      </c>
      <c r="E1000" t="s">
        <v>51</v>
      </c>
      <c r="F1000" t="s">
        <v>51</v>
      </c>
      <c r="G1000" t="e">
        <f t="shared" si="15"/>
        <v>#DIV/0!</v>
      </c>
    </row>
    <row r="1001" spans="1:7" hidden="1" x14ac:dyDescent="0.35">
      <c r="A1001" t="b">
        <f>IF(Bestellungen!J1001="Ja",Bestellungen!A1001)</f>
        <v>0</v>
      </c>
      <c r="B1001" t="b">
        <f>IF(Bestellungen!J1001="Ja",Bestellungen!B1001)</f>
        <v>0</v>
      </c>
      <c r="C1001" t="s">
        <v>51</v>
      </c>
      <c r="D1001" t="s">
        <v>51</v>
      </c>
      <c r="E1001" t="s">
        <v>51</v>
      </c>
      <c r="F1001" t="s">
        <v>51</v>
      </c>
      <c r="G1001" t="e">
        <f t="shared" si="15"/>
        <v>#DIV/0!</v>
      </c>
    </row>
    <row r="1002" spans="1:7" x14ac:dyDescent="0.35">
      <c r="A1002">
        <f>IF(Bestellungen!J1002="Ja",Bestellungen!A1002)</f>
        <v>8649</v>
      </c>
      <c r="B1002">
        <f>IF(Bestellungen!J1002="Ja",Bestellungen!B1002)</f>
        <v>151</v>
      </c>
      <c r="C1002">
        <v>5</v>
      </c>
      <c r="D1002">
        <v>5</v>
      </c>
      <c r="E1002">
        <v>5</v>
      </c>
      <c r="F1002">
        <v>4</v>
      </c>
      <c r="G1002">
        <f t="shared" si="15"/>
        <v>4.75</v>
      </c>
    </row>
    <row r="1003" spans="1:7" x14ac:dyDescent="0.35">
      <c r="A1003">
        <f>IF(Bestellungen!J1003="Ja",Bestellungen!A1003)</f>
        <v>8650</v>
      </c>
      <c r="B1003">
        <f>IF(Bestellungen!J1003="Ja",Bestellungen!B1003)</f>
        <v>619</v>
      </c>
      <c r="C1003">
        <v>3</v>
      </c>
      <c r="D1003">
        <v>4</v>
      </c>
      <c r="E1003">
        <v>3</v>
      </c>
      <c r="F1003">
        <v>4</v>
      </c>
      <c r="G1003">
        <f t="shared" si="15"/>
        <v>3.5</v>
      </c>
    </row>
    <row r="1004" spans="1:7" hidden="1" x14ac:dyDescent="0.35">
      <c r="A1004" t="b">
        <f>IF(Bestellungen!J1004="Ja",Bestellungen!A1004)</f>
        <v>0</v>
      </c>
      <c r="B1004" t="b">
        <f>IF(Bestellungen!J1004="Ja",Bestellungen!B1004)</f>
        <v>0</v>
      </c>
      <c r="C1004" t="s">
        <v>51</v>
      </c>
      <c r="D1004" t="s">
        <v>51</v>
      </c>
      <c r="E1004" t="s">
        <v>51</v>
      </c>
      <c r="F1004" t="s">
        <v>51</v>
      </c>
      <c r="G1004" t="e">
        <f t="shared" si="15"/>
        <v>#DIV/0!</v>
      </c>
    </row>
    <row r="1005" spans="1:7" x14ac:dyDescent="0.35">
      <c r="A1005">
        <f>IF(Bestellungen!J1005="Ja",Bestellungen!A1005)</f>
        <v>8652</v>
      </c>
      <c r="B1005">
        <f>IF(Bestellungen!J1005="Ja",Bestellungen!B1005)</f>
        <v>594</v>
      </c>
      <c r="C1005">
        <v>5</v>
      </c>
      <c r="D1005">
        <v>5</v>
      </c>
      <c r="E1005">
        <v>3</v>
      </c>
      <c r="F1005">
        <v>5</v>
      </c>
      <c r="G1005">
        <f t="shared" si="15"/>
        <v>4.5</v>
      </c>
    </row>
    <row r="1006" spans="1:7" hidden="1" x14ac:dyDescent="0.35">
      <c r="A1006" t="b">
        <f>IF(Bestellungen!J1006="Ja",Bestellungen!A1006)</f>
        <v>0</v>
      </c>
      <c r="B1006" t="b">
        <f>IF(Bestellungen!J1006="Ja",Bestellungen!B1006)</f>
        <v>0</v>
      </c>
      <c r="C1006" t="s">
        <v>51</v>
      </c>
      <c r="D1006" t="s">
        <v>51</v>
      </c>
      <c r="E1006" t="s">
        <v>51</v>
      </c>
      <c r="F1006" t="s">
        <v>51</v>
      </c>
      <c r="G1006" t="e">
        <f t="shared" si="15"/>
        <v>#DIV/0!</v>
      </c>
    </row>
    <row r="1007" spans="1:7" x14ac:dyDescent="0.35">
      <c r="A1007">
        <f>IF(Bestellungen!J1007="Ja",Bestellungen!A1007)</f>
        <v>8654</v>
      </c>
      <c r="B1007">
        <f>IF(Bestellungen!J1007="Ja",Bestellungen!B1007)</f>
        <v>619</v>
      </c>
      <c r="C1007">
        <v>4</v>
      </c>
      <c r="D1007">
        <v>5</v>
      </c>
      <c r="E1007">
        <v>4</v>
      </c>
      <c r="F1007">
        <v>5</v>
      </c>
      <c r="G1007">
        <f t="shared" si="15"/>
        <v>4.5</v>
      </c>
    </row>
    <row r="1008" spans="1:7" x14ac:dyDescent="0.35">
      <c r="A1008">
        <f>IF(Bestellungen!J1008="Ja",Bestellungen!A1008)</f>
        <v>8655</v>
      </c>
      <c r="B1008">
        <f>IF(Bestellungen!J1008="Ja",Bestellungen!B1008)</f>
        <v>47</v>
      </c>
      <c r="C1008">
        <v>3</v>
      </c>
      <c r="D1008">
        <v>4</v>
      </c>
      <c r="E1008">
        <v>4</v>
      </c>
      <c r="F1008">
        <v>4</v>
      </c>
      <c r="G1008">
        <f t="shared" si="15"/>
        <v>3.75</v>
      </c>
    </row>
    <row r="1009" spans="1:7" hidden="1" x14ac:dyDescent="0.35">
      <c r="A1009" t="b">
        <f>IF(Bestellungen!J1009="Ja",Bestellungen!A1009)</f>
        <v>0</v>
      </c>
      <c r="B1009" t="b">
        <f>IF(Bestellungen!J1009="Ja",Bestellungen!B1009)</f>
        <v>0</v>
      </c>
      <c r="C1009" t="s">
        <v>51</v>
      </c>
      <c r="D1009" t="s">
        <v>51</v>
      </c>
      <c r="E1009" t="s">
        <v>51</v>
      </c>
      <c r="F1009" t="s">
        <v>51</v>
      </c>
      <c r="G1009" t="e">
        <f t="shared" si="15"/>
        <v>#DIV/0!</v>
      </c>
    </row>
    <row r="1010" spans="1:7" x14ac:dyDescent="0.35">
      <c r="A1010">
        <f>IF(Bestellungen!J1010="Ja",Bestellungen!A1010)</f>
        <v>8657</v>
      </c>
      <c r="B1010">
        <f>IF(Bestellungen!J1010="Ja",Bestellungen!B1010)</f>
        <v>325</v>
      </c>
      <c r="C1010">
        <v>5</v>
      </c>
      <c r="D1010">
        <v>4</v>
      </c>
      <c r="E1010">
        <v>4</v>
      </c>
      <c r="F1010">
        <v>4</v>
      </c>
      <c r="G1010">
        <f t="shared" si="15"/>
        <v>4.25</v>
      </c>
    </row>
    <row r="1011" spans="1:7" x14ac:dyDescent="0.35">
      <c r="A1011">
        <f>IF(Bestellungen!J1011="Ja",Bestellungen!A1011)</f>
        <v>8658</v>
      </c>
      <c r="B1011">
        <f>IF(Bestellungen!J1011="Ja",Bestellungen!B1011)</f>
        <v>767</v>
      </c>
      <c r="C1011">
        <v>5</v>
      </c>
      <c r="D1011">
        <v>5</v>
      </c>
      <c r="E1011">
        <v>3</v>
      </c>
      <c r="F1011">
        <v>5</v>
      </c>
      <c r="G1011">
        <f t="shared" si="15"/>
        <v>4.5</v>
      </c>
    </row>
    <row r="1012" spans="1:7" hidden="1" x14ac:dyDescent="0.35">
      <c r="A1012" t="b">
        <f>IF(Bestellungen!J1012="Ja",Bestellungen!A1012)</f>
        <v>0</v>
      </c>
      <c r="B1012" t="b">
        <f>IF(Bestellungen!J1012="Ja",Bestellungen!B1012)</f>
        <v>0</v>
      </c>
      <c r="C1012" t="s">
        <v>51</v>
      </c>
      <c r="D1012" t="s">
        <v>51</v>
      </c>
      <c r="E1012" t="s">
        <v>51</v>
      </c>
      <c r="F1012" t="s">
        <v>51</v>
      </c>
      <c r="G1012" t="e">
        <f t="shared" si="15"/>
        <v>#DIV/0!</v>
      </c>
    </row>
    <row r="1013" spans="1:7" x14ac:dyDescent="0.35">
      <c r="A1013">
        <f>IF(Bestellungen!J1013="Ja",Bestellungen!A1013)</f>
        <v>8660</v>
      </c>
      <c r="B1013">
        <f>IF(Bestellungen!J1013="Ja",Bestellungen!B1013)</f>
        <v>369</v>
      </c>
      <c r="C1013">
        <v>3</v>
      </c>
      <c r="D1013">
        <v>4</v>
      </c>
      <c r="E1013">
        <v>5</v>
      </c>
      <c r="F1013">
        <v>4</v>
      </c>
      <c r="G1013">
        <f t="shared" si="15"/>
        <v>4</v>
      </c>
    </row>
    <row r="1014" spans="1:7" x14ac:dyDescent="0.35">
      <c r="A1014">
        <f>IF(Bestellungen!J1014="Ja",Bestellungen!A1014)</f>
        <v>8661</v>
      </c>
      <c r="B1014">
        <f>IF(Bestellungen!J1014="Ja",Bestellungen!B1014)</f>
        <v>761</v>
      </c>
      <c r="C1014">
        <v>3</v>
      </c>
      <c r="D1014">
        <v>5</v>
      </c>
      <c r="E1014">
        <v>3</v>
      </c>
      <c r="F1014">
        <v>4</v>
      </c>
      <c r="G1014">
        <f t="shared" si="15"/>
        <v>3.75</v>
      </c>
    </row>
    <row r="1015" spans="1:7" hidden="1" x14ac:dyDescent="0.35">
      <c r="A1015" t="b">
        <f>IF(Bestellungen!J1015="Ja",Bestellungen!A1015)</f>
        <v>0</v>
      </c>
      <c r="B1015" t="b">
        <f>IF(Bestellungen!J1015="Ja",Bestellungen!B1015)</f>
        <v>0</v>
      </c>
      <c r="C1015" t="s">
        <v>51</v>
      </c>
      <c r="D1015" t="s">
        <v>51</v>
      </c>
      <c r="E1015" t="s">
        <v>51</v>
      </c>
      <c r="F1015" t="s">
        <v>51</v>
      </c>
      <c r="G1015" t="e">
        <f t="shared" si="15"/>
        <v>#DIV/0!</v>
      </c>
    </row>
    <row r="1016" spans="1:7" x14ac:dyDescent="0.35">
      <c r="A1016">
        <f>IF(Bestellungen!J1016="Ja",Bestellungen!A1016)</f>
        <v>8663</v>
      </c>
      <c r="B1016">
        <f>IF(Bestellungen!J1016="Ja",Bestellungen!B1016)</f>
        <v>708</v>
      </c>
      <c r="C1016">
        <v>4</v>
      </c>
      <c r="D1016">
        <v>4</v>
      </c>
      <c r="E1016">
        <v>3</v>
      </c>
      <c r="F1016">
        <v>5</v>
      </c>
      <c r="G1016">
        <f t="shared" si="15"/>
        <v>4</v>
      </c>
    </row>
    <row r="1017" spans="1:7" hidden="1" x14ac:dyDescent="0.35">
      <c r="A1017" t="b">
        <f>IF(Bestellungen!J1017="Ja",Bestellungen!A1017)</f>
        <v>0</v>
      </c>
      <c r="B1017" t="b">
        <f>IF(Bestellungen!J1017="Ja",Bestellungen!B1017)</f>
        <v>0</v>
      </c>
      <c r="C1017" t="s">
        <v>51</v>
      </c>
      <c r="D1017" t="s">
        <v>51</v>
      </c>
      <c r="E1017" t="s">
        <v>51</v>
      </c>
      <c r="F1017" t="s">
        <v>51</v>
      </c>
      <c r="G1017" t="e">
        <f t="shared" si="15"/>
        <v>#DIV/0!</v>
      </c>
    </row>
    <row r="1018" spans="1:7" x14ac:dyDescent="0.35">
      <c r="A1018">
        <f>IF(Bestellungen!J1018="Ja",Bestellungen!A1018)</f>
        <v>8665</v>
      </c>
      <c r="B1018">
        <f>IF(Bestellungen!J1018="Ja",Bestellungen!B1018)</f>
        <v>651</v>
      </c>
      <c r="C1018">
        <v>4</v>
      </c>
      <c r="D1018">
        <v>4</v>
      </c>
      <c r="E1018">
        <v>4</v>
      </c>
      <c r="F1018">
        <v>3</v>
      </c>
      <c r="G1018">
        <f t="shared" si="15"/>
        <v>3.75</v>
      </c>
    </row>
    <row r="1019" spans="1:7" hidden="1" x14ac:dyDescent="0.35">
      <c r="A1019" t="b">
        <f>IF(Bestellungen!J1019="Ja",Bestellungen!A1019)</f>
        <v>0</v>
      </c>
      <c r="B1019" t="b">
        <f>IF(Bestellungen!J1019="Ja",Bestellungen!B1019)</f>
        <v>0</v>
      </c>
      <c r="C1019" t="s">
        <v>51</v>
      </c>
      <c r="D1019" t="s">
        <v>51</v>
      </c>
      <c r="E1019" t="s">
        <v>51</v>
      </c>
      <c r="F1019" t="s">
        <v>51</v>
      </c>
      <c r="G1019" t="e">
        <f t="shared" si="15"/>
        <v>#DIV/0!</v>
      </c>
    </row>
    <row r="1020" spans="1:7" x14ac:dyDescent="0.35">
      <c r="A1020">
        <f>IF(Bestellungen!J1020="Ja",Bestellungen!A1020)</f>
        <v>8667</v>
      </c>
      <c r="B1020">
        <f>IF(Bestellungen!J1020="Ja",Bestellungen!B1020)</f>
        <v>343</v>
      </c>
      <c r="C1020">
        <v>5</v>
      </c>
      <c r="D1020">
        <v>5</v>
      </c>
      <c r="E1020">
        <v>4</v>
      </c>
      <c r="F1020">
        <v>3</v>
      </c>
      <c r="G1020">
        <f t="shared" si="15"/>
        <v>4.25</v>
      </c>
    </row>
    <row r="1021" spans="1:7" x14ac:dyDescent="0.35">
      <c r="A1021">
        <f>IF(Bestellungen!J1021="Ja",Bestellungen!A1021)</f>
        <v>8668</v>
      </c>
      <c r="B1021">
        <f>IF(Bestellungen!J1021="Ja",Bestellungen!B1021)</f>
        <v>531</v>
      </c>
      <c r="C1021">
        <v>3</v>
      </c>
      <c r="D1021">
        <v>4</v>
      </c>
      <c r="E1021">
        <v>5</v>
      </c>
      <c r="F1021">
        <v>4</v>
      </c>
      <c r="G1021">
        <f t="shared" si="15"/>
        <v>4</v>
      </c>
    </row>
    <row r="1022" spans="1:7" x14ac:dyDescent="0.35">
      <c r="A1022">
        <f>IF(Bestellungen!J1022="Ja",Bestellungen!A1022)</f>
        <v>8669</v>
      </c>
      <c r="B1022">
        <f>IF(Bestellungen!J1022="Ja",Bestellungen!B1022)</f>
        <v>11</v>
      </c>
      <c r="C1022">
        <v>4</v>
      </c>
      <c r="D1022">
        <v>5</v>
      </c>
      <c r="E1022">
        <v>5</v>
      </c>
      <c r="F1022">
        <v>5</v>
      </c>
      <c r="G1022">
        <f t="shared" si="15"/>
        <v>4.75</v>
      </c>
    </row>
    <row r="1023" spans="1:7" hidden="1" x14ac:dyDescent="0.35">
      <c r="A1023" t="b">
        <f>IF(Bestellungen!J1023="Ja",Bestellungen!A1023)</f>
        <v>0</v>
      </c>
      <c r="B1023" t="b">
        <f>IF(Bestellungen!J1023="Ja",Bestellungen!B1023)</f>
        <v>0</v>
      </c>
      <c r="C1023" t="s">
        <v>51</v>
      </c>
      <c r="D1023" t="s">
        <v>51</v>
      </c>
      <c r="E1023" t="s">
        <v>51</v>
      </c>
      <c r="F1023" t="s">
        <v>51</v>
      </c>
      <c r="G1023" t="e">
        <f t="shared" si="15"/>
        <v>#DIV/0!</v>
      </c>
    </row>
    <row r="1024" spans="1:7" x14ac:dyDescent="0.35">
      <c r="A1024">
        <f>IF(Bestellungen!J1024="Ja",Bestellungen!A1024)</f>
        <v>8671</v>
      </c>
      <c r="B1024">
        <f>IF(Bestellungen!J1024="Ja",Bestellungen!B1024)</f>
        <v>215</v>
      </c>
      <c r="C1024">
        <v>5</v>
      </c>
      <c r="D1024">
        <v>4</v>
      </c>
      <c r="E1024">
        <v>5</v>
      </c>
      <c r="F1024">
        <v>4</v>
      </c>
      <c r="G1024">
        <f t="shared" si="15"/>
        <v>4.5</v>
      </c>
    </row>
    <row r="1025" spans="1:7" x14ac:dyDescent="0.35">
      <c r="A1025">
        <f>IF(Bestellungen!J1025="Ja",Bestellungen!A1025)</f>
        <v>8672</v>
      </c>
      <c r="B1025">
        <f>IF(Bestellungen!J1025="Ja",Bestellungen!B1025)</f>
        <v>173</v>
      </c>
      <c r="C1025">
        <v>3</v>
      </c>
      <c r="D1025">
        <v>5</v>
      </c>
      <c r="E1025">
        <v>3</v>
      </c>
      <c r="F1025">
        <v>5</v>
      </c>
      <c r="G1025">
        <f t="shared" si="15"/>
        <v>4</v>
      </c>
    </row>
    <row r="1026" spans="1:7" x14ac:dyDescent="0.35">
      <c r="A1026">
        <f>IF(Bestellungen!J1026="Ja",Bestellungen!A1026)</f>
        <v>8673</v>
      </c>
      <c r="B1026">
        <f>IF(Bestellungen!J1026="Ja",Bestellungen!B1026)</f>
        <v>153</v>
      </c>
      <c r="C1026">
        <v>3</v>
      </c>
      <c r="D1026">
        <v>5</v>
      </c>
      <c r="E1026">
        <v>3</v>
      </c>
      <c r="F1026">
        <v>4</v>
      </c>
      <c r="G1026">
        <f t="shared" si="15"/>
        <v>3.75</v>
      </c>
    </row>
    <row r="1027" spans="1:7" x14ac:dyDescent="0.35">
      <c r="A1027">
        <f>IF(Bestellungen!J1027="Ja",Bestellungen!A1027)</f>
        <v>8674</v>
      </c>
      <c r="B1027">
        <f>IF(Bestellungen!J1027="Ja",Bestellungen!B1027)</f>
        <v>416</v>
      </c>
      <c r="C1027">
        <v>4</v>
      </c>
      <c r="D1027">
        <v>4</v>
      </c>
      <c r="E1027">
        <v>4</v>
      </c>
      <c r="F1027">
        <v>4</v>
      </c>
      <c r="G1027">
        <f t="shared" ref="G1027:G1090" si="16">SUM(C1027:F1027)/COUNT(C1027:F1027)</f>
        <v>4</v>
      </c>
    </row>
    <row r="1028" spans="1:7" hidden="1" x14ac:dyDescent="0.35">
      <c r="A1028" t="b">
        <f>IF(Bestellungen!J1028="Ja",Bestellungen!A1028)</f>
        <v>0</v>
      </c>
      <c r="B1028" t="b">
        <f>IF(Bestellungen!J1028="Ja",Bestellungen!B1028)</f>
        <v>0</v>
      </c>
      <c r="C1028" t="s">
        <v>51</v>
      </c>
      <c r="D1028" t="s">
        <v>51</v>
      </c>
      <c r="E1028" t="s">
        <v>51</v>
      </c>
      <c r="F1028" t="s">
        <v>51</v>
      </c>
      <c r="G1028" t="e">
        <f t="shared" si="16"/>
        <v>#DIV/0!</v>
      </c>
    </row>
    <row r="1029" spans="1:7" hidden="1" x14ac:dyDescent="0.35">
      <c r="A1029" t="b">
        <f>IF(Bestellungen!J1029="Ja",Bestellungen!A1029)</f>
        <v>0</v>
      </c>
      <c r="B1029" t="b">
        <f>IF(Bestellungen!J1029="Ja",Bestellungen!B1029)</f>
        <v>0</v>
      </c>
      <c r="C1029" t="s">
        <v>51</v>
      </c>
      <c r="D1029" t="s">
        <v>51</v>
      </c>
      <c r="E1029" t="s">
        <v>51</v>
      </c>
      <c r="F1029" t="s">
        <v>51</v>
      </c>
      <c r="G1029" t="e">
        <f t="shared" si="16"/>
        <v>#DIV/0!</v>
      </c>
    </row>
    <row r="1030" spans="1:7" x14ac:dyDescent="0.35">
      <c r="A1030">
        <f>IF(Bestellungen!J1030="Ja",Bestellungen!A1030)</f>
        <v>8677</v>
      </c>
      <c r="B1030">
        <f>IF(Bestellungen!J1030="Ja",Bestellungen!B1030)</f>
        <v>771</v>
      </c>
      <c r="C1030">
        <v>5</v>
      </c>
      <c r="D1030">
        <v>4</v>
      </c>
      <c r="E1030">
        <v>4</v>
      </c>
      <c r="F1030">
        <v>5</v>
      </c>
      <c r="G1030">
        <f t="shared" si="16"/>
        <v>4.5</v>
      </c>
    </row>
    <row r="1031" spans="1:7" x14ac:dyDescent="0.35">
      <c r="A1031">
        <f>IF(Bestellungen!J1031="Ja",Bestellungen!A1031)</f>
        <v>8678</v>
      </c>
      <c r="B1031">
        <f>IF(Bestellungen!J1031="Ja",Bestellungen!B1031)</f>
        <v>78</v>
      </c>
      <c r="C1031">
        <v>5</v>
      </c>
      <c r="D1031">
        <v>4</v>
      </c>
      <c r="E1031">
        <v>4</v>
      </c>
      <c r="F1031">
        <v>4</v>
      </c>
      <c r="G1031">
        <f t="shared" si="16"/>
        <v>4.25</v>
      </c>
    </row>
    <row r="1032" spans="1:7" hidden="1" x14ac:dyDescent="0.35">
      <c r="A1032" t="b">
        <f>IF(Bestellungen!J1032="Ja",Bestellungen!A1032)</f>
        <v>0</v>
      </c>
      <c r="B1032" t="b">
        <f>IF(Bestellungen!J1032="Ja",Bestellungen!B1032)</f>
        <v>0</v>
      </c>
      <c r="C1032" t="s">
        <v>51</v>
      </c>
      <c r="D1032" t="s">
        <v>51</v>
      </c>
      <c r="E1032" t="s">
        <v>51</v>
      </c>
      <c r="F1032" t="s">
        <v>51</v>
      </c>
      <c r="G1032" t="e">
        <f t="shared" si="16"/>
        <v>#DIV/0!</v>
      </c>
    </row>
    <row r="1033" spans="1:7" hidden="1" x14ac:dyDescent="0.35">
      <c r="A1033" t="b">
        <f>IF(Bestellungen!J1033="Ja",Bestellungen!A1033)</f>
        <v>0</v>
      </c>
      <c r="B1033" t="b">
        <f>IF(Bestellungen!J1033="Ja",Bestellungen!B1033)</f>
        <v>0</v>
      </c>
      <c r="C1033" t="s">
        <v>51</v>
      </c>
      <c r="D1033" t="s">
        <v>51</v>
      </c>
      <c r="E1033" t="s">
        <v>51</v>
      </c>
      <c r="F1033" t="s">
        <v>51</v>
      </c>
      <c r="G1033" t="e">
        <f t="shared" si="16"/>
        <v>#DIV/0!</v>
      </c>
    </row>
    <row r="1034" spans="1:7" hidden="1" x14ac:dyDescent="0.35">
      <c r="A1034" t="b">
        <f>IF(Bestellungen!J1034="Ja",Bestellungen!A1034)</f>
        <v>0</v>
      </c>
      <c r="B1034" t="b">
        <f>IF(Bestellungen!J1034="Ja",Bestellungen!B1034)</f>
        <v>0</v>
      </c>
      <c r="C1034" t="s">
        <v>51</v>
      </c>
      <c r="D1034" t="s">
        <v>51</v>
      </c>
      <c r="E1034" t="s">
        <v>51</v>
      </c>
      <c r="F1034" t="s">
        <v>51</v>
      </c>
      <c r="G1034" t="e">
        <f t="shared" si="16"/>
        <v>#DIV/0!</v>
      </c>
    </row>
    <row r="1035" spans="1:7" hidden="1" x14ac:dyDescent="0.35">
      <c r="A1035" t="b">
        <f>IF(Bestellungen!J1035="Ja",Bestellungen!A1035)</f>
        <v>0</v>
      </c>
      <c r="B1035" t="b">
        <f>IF(Bestellungen!J1035="Ja",Bestellungen!B1035)</f>
        <v>0</v>
      </c>
      <c r="C1035" t="s">
        <v>51</v>
      </c>
      <c r="D1035" t="s">
        <v>51</v>
      </c>
      <c r="E1035" t="s">
        <v>51</v>
      </c>
      <c r="F1035" t="s">
        <v>51</v>
      </c>
      <c r="G1035" t="e">
        <f t="shared" si="16"/>
        <v>#DIV/0!</v>
      </c>
    </row>
    <row r="1036" spans="1:7" x14ac:dyDescent="0.35">
      <c r="A1036">
        <f>IF(Bestellungen!J1036="Ja",Bestellungen!A1036)</f>
        <v>8683</v>
      </c>
      <c r="B1036">
        <f>IF(Bestellungen!J1036="Ja",Bestellungen!B1036)</f>
        <v>772</v>
      </c>
      <c r="C1036">
        <v>3</v>
      </c>
      <c r="D1036">
        <v>5</v>
      </c>
      <c r="E1036">
        <v>3</v>
      </c>
      <c r="F1036">
        <v>4</v>
      </c>
      <c r="G1036">
        <f t="shared" si="16"/>
        <v>3.75</v>
      </c>
    </row>
    <row r="1037" spans="1:7" hidden="1" x14ac:dyDescent="0.35">
      <c r="A1037" t="b">
        <f>IF(Bestellungen!J1037="Ja",Bestellungen!A1037)</f>
        <v>0</v>
      </c>
      <c r="B1037" t="b">
        <f>IF(Bestellungen!J1037="Ja",Bestellungen!B1037)</f>
        <v>0</v>
      </c>
      <c r="C1037" t="s">
        <v>51</v>
      </c>
      <c r="D1037" t="s">
        <v>51</v>
      </c>
      <c r="E1037" t="s">
        <v>51</v>
      </c>
      <c r="F1037" t="s">
        <v>51</v>
      </c>
      <c r="G1037" t="e">
        <f t="shared" si="16"/>
        <v>#DIV/0!</v>
      </c>
    </row>
    <row r="1038" spans="1:7" hidden="1" x14ac:dyDescent="0.35">
      <c r="A1038" t="b">
        <f>IF(Bestellungen!J1038="Ja",Bestellungen!A1038)</f>
        <v>0</v>
      </c>
      <c r="B1038" t="b">
        <f>IF(Bestellungen!J1038="Ja",Bestellungen!B1038)</f>
        <v>0</v>
      </c>
      <c r="C1038" t="s">
        <v>51</v>
      </c>
      <c r="D1038" t="s">
        <v>51</v>
      </c>
      <c r="E1038" t="s">
        <v>51</v>
      </c>
      <c r="F1038" t="s">
        <v>51</v>
      </c>
      <c r="G1038" t="e">
        <f t="shared" si="16"/>
        <v>#DIV/0!</v>
      </c>
    </row>
    <row r="1039" spans="1:7" x14ac:dyDescent="0.35">
      <c r="A1039">
        <f>IF(Bestellungen!J1039="Ja",Bestellungen!A1039)</f>
        <v>8686</v>
      </c>
      <c r="B1039">
        <f>IF(Bestellungen!J1039="Ja",Bestellungen!B1039)</f>
        <v>286</v>
      </c>
      <c r="C1039">
        <v>3</v>
      </c>
      <c r="D1039">
        <v>3</v>
      </c>
      <c r="E1039">
        <v>5</v>
      </c>
      <c r="F1039">
        <v>4</v>
      </c>
      <c r="G1039">
        <f t="shared" si="16"/>
        <v>3.75</v>
      </c>
    </row>
    <row r="1040" spans="1:7" hidden="1" x14ac:dyDescent="0.35">
      <c r="A1040" t="b">
        <f>IF(Bestellungen!J1040="Ja",Bestellungen!A1040)</f>
        <v>0</v>
      </c>
      <c r="B1040" t="b">
        <f>IF(Bestellungen!J1040="Ja",Bestellungen!B1040)</f>
        <v>0</v>
      </c>
      <c r="C1040" t="s">
        <v>51</v>
      </c>
      <c r="D1040" t="s">
        <v>51</v>
      </c>
      <c r="E1040" t="s">
        <v>51</v>
      </c>
      <c r="F1040" t="s">
        <v>51</v>
      </c>
      <c r="G1040" t="e">
        <f t="shared" si="16"/>
        <v>#DIV/0!</v>
      </c>
    </row>
    <row r="1041" spans="1:7" x14ac:dyDescent="0.35">
      <c r="A1041">
        <f>IF(Bestellungen!J1041="Ja",Bestellungen!A1041)</f>
        <v>8688</v>
      </c>
      <c r="B1041">
        <f>IF(Bestellungen!J1041="Ja",Bestellungen!B1041)</f>
        <v>482</v>
      </c>
      <c r="C1041">
        <v>3</v>
      </c>
      <c r="D1041">
        <v>5</v>
      </c>
      <c r="E1041">
        <v>3</v>
      </c>
      <c r="F1041">
        <v>5</v>
      </c>
      <c r="G1041">
        <f t="shared" si="16"/>
        <v>4</v>
      </c>
    </row>
    <row r="1042" spans="1:7" hidden="1" x14ac:dyDescent="0.35">
      <c r="A1042" t="b">
        <f>IF(Bestellungen!J1042="Ja",Bestellungen!A1042)</f>
        <v>0</v>
      </c>
      <c r="B1042" t="b">
        <f>IF(Bestellungen!J1042="Ja",Bestellungen!B1042)</f>
        <v>0</v>
      </c>
      <c r="C1042" t="s">
        <v>51</v>
      </c>
      <c r="D1042" t="s">
        <v>51</v>
      </c>
      <c r="E1042" t="s">
        <v>51</v>
      </c>
      <c r="F1042" t="s">
        <v>51</v>
      </c>
      <c r="G1042" t="e">
        <f t="shared" si="16"/>
        <v>#DIV/0!</v>
      </c>
    </row>
    <row r="1043" spans="1:7" hidden="1" x14ac:dyDescent="0.35">
      <c r="A1043" t="b">
        <f>IF(Bestellungen!J1043="Ja",Bestellungen!A1043)</f>
        <v>0</v>
      </c>
      <c r="B1043" t="b">
        <f>IF(Bestellungen!J1043="Ja",Bestellungen!B1043)</f>
        <v>0</v>
      </c>
      <c r="C1043" t="s">
        <v>51</v>
      </c>
      <c r="D1043" t="s">
        <v>51</v>
      </c>
      <c r="E1043" t="s">
        <v>51</v>
      </c>
      <c r="F1043" t="s">
        <v>51</v>
      </c>
      <c r="G1043" t="e">
        <f t="shared" si="16"/>
        <v>#DIV/0!</v>
      </c>
    </row>
    <row r="1044" spans="1:7" hidden="1" x14ac:dyDescent="0.35">
      <c r="A1044" t="b">
        <f>IF(Bestellungen!J1044="Ja",Bestellungen!A1044)</f>
        <v>0</v>
      </c>
      <c r="B1044" t="b">
        <f>IF(Bestellungen!J1044="Ja",Bestellungen!B1044)</f>
        <v>0</v>
      </c>
      <c r="C1044" t="s">
        <v>51</v>
      </c>
      <c r="D1044" t="s">
        <v>51</v>
      </c>
      <c r="E1044" t="s">
        <v>51</v>
      </c>
      <c r="F1044" t="s">
        <v>51</v>
      </c>
      <c r="G1044" t="e">
        <f t="shared" si="16"/>
        <v>#DIV/0!</v>
      </c>
    </row>
    <row r="1045" spans="1:7" x14ac:dyDescent="0.35">
      <c r="A1045">
        <f>IF(Bestellungen!J1045="Ja",Bestellungen!A1045)</f>
        <v>8692</v>
      </c>
      <c r="B1045">
        <f>IF(Bestellungen!J1045="Ja",Bestellungen!B1045)</f>
        <v>764</v>
      </c>
      <c r="C1045">
        <v>4</v>
      </c>
      <c r="D1045">
        <v>4</v>
      </c>
      <c r="E1045">
        <v>4</v>
      </c>
      <c r="F1045">
        <v>4</v>
      </c>
      <c r="G1045">
        <f t="shared" si="16"/>
        <v>4</v>
      </c>
    </row>
    <row r="1046" spans="1:7" hidden="1" x14ac:dyDescent="0.35">
      <c r="A1046" t="b">
        <f>IF(Bestellungen!J1046="Ja",Bestellungen!A1046)</f>
        <v>0</v>
      </c>
      <c r="B1046" t="b">
        <f>IF(Bestellungen!J1046="Ja",Bestellungen!B1046)</f>
        <v>0</v>
      </c>
      <c r="C1046" t="s">
        <v>51</v>
      </c>
      <c r="D1046" t="s">
        <v>51</v>
      </c>
      <c r="E1046" t="s">
        <v>51</v>
      </c>
      <c r="F1046" t="s">
        <v>51</v>
      </c>
      <c r="G1046" t="e">
        <f t="shared" si="16"/>
        <v>#DIV/0!</v>
      </c>
    </row>
    <row r="1047" spans="1:7" x14ac:dyDescent="0.35">
      <c r="A1047">
        <f>IF(Bestellungen!J1047="Ja",Bestellungen!A1047)</f>
        <v>8694</v>
      </c>
      <c r="B1047">
        <f>IF(Bestellungen!J1047="Ja",Bestellungen!B1047)</f>
        <v>680</v>
      </c>
      <c r="C1047">
        <v>5</v>
      </c>
      <c r="D1047">
        <v>3</v>
      </c>
      <c r="E1047">
        <v>4</v>
      </c>
      <c r="F1047">
        <v>4</v>
      </c>
      <c r="G1047">
        <f t="shared" si="16"/>
        <v>4</v>
      </c>
    </row>
    <row r="1048" spans="1:7" x14ac:dyDescent="0.35">
      <c r="A1048">
        <f>IF(Bestellungen!J1048="Ja",Bestellungen!A1048)</f>
        <v>8695</v>
      </c>
      <c r="B1048">
        <f>IF(Bestellungen!J1048="Ja",Bestellungen!B1048)</f>
        <v>621</v>
      </c>
      <c r="C1048">
        <v>3</v>
      </c>
      <c r="D1048">
        <v>3</v>
      </c>
      <c r="E1048">
        <v>5</v>
      </c>
      <c r="F1048">
        <v>4</v>
      </c>
      <c r="G1048">
        <f t="shared" si="16"/>
        <v>3.75</v>
      </c>
    </row>
    <row r="1049" spans="1:7" x14ac:dyDescent="0.35">
      <c r="A1049">
        <f>IF(Bestellungen!J1049="Ja",Bestellungen!A1049)</f>
        <v>8696</v>
      </c>
      <c r="B1049">
        <f>IF(Bestellungen!J1049="Ja",Bestellungen!B1049)</f>
        <v>189</v>
      </c>
      <c r="C1049">
        <v>4</v>
      </c>
      <c r="D1049">
        <v>4</v>
      </c>
      <c r="E1049">
        <v>3</v>
      </c>
      <c r="F1049">
        <v>3</v>
      </c>
      <c r="G1049">
        <f t="shared" si="16"/>
        <v>3.5</v>
      </c>
    </row>
    <row r="1050" spans="1:7" x14ac:dyDescent="0.35">
      <c r="A1050">
        <f>IF(Bestellungen!J1050="Ja",Bestellungen!A1050)</f>
        <v>8697</v>
      </c>
      <c r="B1050">
        <f>IF(Bestellungen!J1050="Ja",Bestellungen!B1050)</f>
        <v>559</v>
      </c>
      <c r="C1050">
        <v>4</v>
      </c>
      <c r="D1050">
        <v>4</v>
      </c>
      <c r="E1050">
        <v>4</v>
      </c>
      <c r="F1050">
        <v>5</v>
      </c>
      <c r="G1050">
        <f t="shared" si="16"/>
        <v>4.25</v>
      </c>
    </row>
    <row r="1051" spans="1:7" x14ac:dyDescent="0.35">
      <c r="A1051">
        <f>IF(Bestellungen!J1051="Ja",Bestellungen!A1051)</f>
        <v>8698</v>
      </c>
      <c r="B1051">
        <f>IF(Bestellungen!J1051="Ja",Bestellungen!B1051)</f>
        <v>465</v>
      </c>
      <c r="C1051">
        <v>4</v>
      </c>
      <c r="D1051">
        <v>5</v>
      </c>
      <c r="E1051">
        <v>3</v>
      </c>
      <c r="F1051">
        <v>5</v>
      </c>
      <c r="G1051">
        <f t="shared" si="16"/>
        <v>4.25</v>
      </c>
    </row>
    <row r="1052" spans="1:7" hidden="1" x14ac:dyDescent="0.35">
      <c r="A1052" t="b">
        <f>IF(Bestellungen!J1052="Ja",Bestellungen!A1052)</f>
        <v>0</v>
      </c>
      <c r="B1052" t="b">
        <f>IF(Bestellungen!J1052="Ja",Bestellungen!B1052)</f>
        <v>0</v>
      </c>
      <c r="C1052" t="s">
        <v>51</v>
      </c>
      <c r="D1052" t="s">
        <v>51</v>
      </c>
      <c r="E1052" t="s">
        <v>51</v>
      </c>
      <c r="F1052" t="s">
        <v>51</v>
      </c>
      <c r="G1052" t="e">
        <f t="shared" si="16"/>
        <v>#DIV/0!</v>
      </c>
    </row>
    <row r="1053" spans="1:7" hidden="1" x14ac:dyDescent="0.35">
      <c r="A1053" t="b">
        <f>IF(Bestellungen!J1053="Ja",Bestellungen!A1053)</f>
        <v>0</v>
      </c>
      <c r="B1053" t="b">
        <f>IF(Bestellungen!J1053="Ja",Bestellungen!B1053)</f>
        <v>0</v>
      </c>
      <c r="C1053" t="s">
        <v>51</v>
      </c>
      <c r="D1053" t="s">
        <v>51</v>
      </c>
      <c r="E1053" t="s">
        <v>51</v>
      </c>
      <c r="F1053" t="s">
        <v>51</v>
      </c>
      <c r="G1053" t="e">
        <f t="shared" si="16"/>
        <v>#DIV/0!</v>
      </c>
    </row>
    <row r="1054" spans="1:7" x14ac:dyDescent="0.35">
      <c r="A1054">
        <f>IF(Bestellungen!J1054="Ja",Bestellungen!A1054)</f>
        <v>8701</v>
      </c>
      <c r="B1054">
        <f>IF(Bestellungen!J1054="Ja",Bestellungen!B1054)</f>
        <v>657</v>
      </c>
      <c r="C1054">
        <v>3</v>
      </c>
      <c r="D1054">
        <v>3</v>
      </c>
      <c r="E1054">
        <v>4</v>
      </c>
      <c r="F1054">
        <v>5</v>
      </c>
      <c r="G1054">
        <f t="shared" si="16"/>
        <v>3.75</v>
      </c>
    </row>
    <row r="1055" spans="1:7" x14ac:dyDescent="0.35">
      <c r="A1055">
        <f>IF(Bestellungen!J1055="Ja",Bestellungen!A1055)</f>
        <v>8702</v>
      </c>
      <c r="B1055">
        <f>IF(Bestellungen!J1055="Ja",Bestellungen!B1055)</f>
        <v>681</v>
      </c>
      <c r="C1055">
        <v>4</v>
      </c>
      <c r="D1055">
        <v>4</v>
      </c>
      <c r="E1055">
        <v>5</v>
      </c>
      <c r="F1055">
        <v>4</v>
      </c>
      <c r="G1055">
        <f t="shared" si="16"/>
        <v>4.25</v>
      </c>
    </row>
    <row r="1056" spans="1:7" x14ac:dyDescent="0.35">
      <c r="A1056">
        <f>IF(Bestellungen!J1056="Ja",Bestellungen!A1056)</f>
        <v>8703</v>
      </c>
      <c r="B1056">
        <f>IF(Bestellungen!J1056="Ja",Bestellungen!B1056)</f>
        <v>552</v>
      </c>
      <c r="C1056">
        <v>5</v>
      </c>
      <c r="D1056">
        <v>5</v>
      </c>
      <c r="E1056">
        <v>5</v>
      </c>
      <c r="F1056">
        <v>5</v>
      </c>
      <c r="G1056">
        <f t="shared" si="16"/>
        <v>5</v>
      </c>
    </row>
    <row r="1057" spans="1:7" hidden="1" x14ac:dyDescent="0.35">
      <c r="A1057" t="b">
        <f>IF(Bestellungen!J1057="Ja",Bestellungen!A1057)</f>
        <v>0</v>
      </c>
      <c r="B1057" t="b">
        <f>IF(Bestellungen!J1057="Ja",Bestellungen!B1057)</f>
        <v>0</v>
      </c>
      <c r="C1057" t="s">
        <v>51</v>
      </c>
      <c r="D1057" t="s">
        <v>51</v>
      </c>
      <c r="E1057" t="s">
        <v>51</v>
      </c>
      <c r="F1057" t="s">
        <v>51</v>
      </c>
      <c r="G1057" t="e">
        <f t="shared" si="16"/>
        <v>#DIV/0!</v>
      </c>
    </row>
    <row r="1058" spans="1:7" x14ac:dyDescent="0.35">
      <c r="A1058">
        <f>IF(Bestellungen!J1058="Ja",Bestellungen!A1058)</f>
        <v>8705</v>
      </c>
      <c r="B1058">
        <f>IF(Bestellungen!J1058="Ja",Bestellungen!B1058)</f>
        <v>99</v>
      </c>
      <c r="C1058">
        <v>5</v>
      </c>
      <c r="D1058">
        <v>4</v>
      </c>
      <c r="E1058">
        <v>4</v>
      </c>
      <c r="F1058">
        <v>5</v>
      </c>
      <c r="G1058">
        <f t="shared" si="16"/>
        <v>4.5</v>
      </c>
    </row>
    <row r="1059" spans="1:7" hidden="1" x14ac:dyDescent="0.35">
      <c r="A1059" t="b">
        <f>IF(Bestellungen!J1059="Ja",Bestellungen!A1059)</f>
        <v>0</v>
      </c>
      <c r="B1059" t="b">
        <f>IF(Bestellungen!J1059="Ja",Bestellungen!B1059)</f>
        <v>0</v>
      </c>
      <c r="C1059" t="s">
        <v>51</v>
      </c>
      <c r="D1059" t="s">
        <v>51</v>
      </c>
      <c r="E1059" t="s">
        <v>51</v>
      </c>
      <c r="F1059" t="s">
        <v>51</v>
      </c>
      <c r="G1059" t="e">
        <f t="shared" si="16"/>
        <v>#DIV/0!</v>
      </c>
    </row>
    <row r="1060" spans="1:7" x14ac:dyDescent="0.35">
      <c r="A1060">
        <f>IF(Bestellungen!J1060="Ja",Bestellungen!A1060)</f>
        <v>8707</v>
      </c>
      <c r="B1060">
        <f>IF(Bestellungen!J1060="Ja",Bestellungen!B1060)</f>
        <v>316</v>
      </c>
      <c r="C1060">
        <v>4</v>
      </c>
      <c r="D1060">
        <v>4</v>
      </c>
      <c r="E1060">
        <v>3</v>
      </c>
      <c r="F1060">
        <v>5</v>
      </c>
      <c r="G1060">
        <f t="shared" si="16"/>
        <v>4</v>
      </c>
    </row>
    <row r="1061" spans="1:7" x14ac:dyDescent="0.35">
      <c r="A1061">
        <f>IF(Bestellungen!J1061="Ja",Bestellungen!A1061)</f>
        <v>8708</v>
      </c>
      <c r="B1061">
        <f>IF(Bestellungen!J1061="Ja",Bestellungen!B1061)</f>
        <v>511</v>
      </c>
      <c r="C1061">
        <v>5</v>
      </c>
      <c r="D1061">
        <v>3</v>
      </c>
      <c r="E1061">
        <v>4</v>
      </c>
      <c r="F1061">
        <v>5</v>
      </c>
      <c r="G1061">
        <f t="shared" si="16"/>
        <v>4.25</v>
      </c>
    </row>
    <row r="1062" spans="1:7" hidden="1" x14ac:dyDescent="0.35">
      <c r="A1062" t="b">
        <f>IF(Bestellungen!J1062="Ja",Bestellungen!A1062)</f>
        <v>0</v>
      </c>
      <c r="B1062" t="b">
        <f>IF(Bestellungen!J1062="Ja",Bestellungen!B1062)</f>
        <v>0</v>
      </c>
      <c r="C1062" t="s">
        <v>51</v>
      </c>
      <c r="D1062" t="s">
        <v>51</v>
      </c>
      <c r="E1062" t="s">
        <v>51</v>
      </c>
      <c r="F1062" t="s">
        <v>51</v>
      </c>
      <c r="G1062" t="e">
        <f t="shared" si="16"/>
        <v>#DIV/0!</v>
      </c>
    </row>
    <row r="1063" spans="1:7" hidden="1" x14ac:dyDescent="0.35">
      <c r="A1063" t="b">
        <f>IF(Bestellungen!J1063="Ja",Bestellungen!A1063)</f>
        <v>0</v>
      </c>
      <c r="B1063" t="b">
        <f>IF(Bestellungen!J1063="Ja",Bestellungen!B1063)</f>
        <v>0</v>
      </c>
      <c r="C1063" t="s">
        <v>51</v>
      </c>
      <c r="D1063" t="s">
        <v>51</v>
      </c>
      <c r="E1063" t="s">
        <v>51</v>
      </c>
      <c r="F1063" t="s">
        <v>51</v>
      </c>
      <c r="G1063" t="e">
        <f t="shared" si="16"/>
        <v>#DIV/0!</v>
      </c>
    </row>
    <row r="1064" spans="1:7" x14ac:dyDescent="0.35">
      <c r="A1064">
        <f>IF(Bestellungen!J1064="Ja",Bestellungen!A1064)</f>
        <v>8711</v>
      </c>
      <c r="B1064">
        <f>IF(Bestellungen!J1064="Ja",Bestellungen!B1064)</f>
        <v>570</v>
      </c>
      <c r="C1064">
        <v>4</v>
      </c>
      <c r="D1064">
        <v>5</v>
      </c>
      <c r="E1064">
        <v>3</v>
      </c>
      <c r="F1064">
        <v>5</v>
      </c>
      <c r="G1064">
        <f t="shared" si="16"/>
        <v>4.25</v>
      </c>
    </row>
    <row r="1065" spans="1:7" x14ac:dyDescent="0.35">
      <c r="A1065">
        <f>IF(Bestellungen!J1065="Ja",Bestellungen!A1065)</f>
        <v>8712</v>
      </c>
      <c r="B1065">
        <f>IF(Bestellungen!J1065="Ja",Bestellungen!B1065)</f>
        <v>496</v>
      </c>
      <c r="C1065">
        <v>3</v>
      </c>
      <c r="D1065">
        <v>5</v>
      </c>
      <c r="E1065">
        <v>3</v>
      </c>
      <c r="F1065">
        <v>5</v>
      </c>
      <c r="G1065">
        <f t="shared" si="16"/>
        <v>4</v>
      </c>
    </row>
    <row r="1066" spans="1:7" x14ac:dyDescent="0.35">
      <c r="A1066">
        <f>IF(Bestellungen!J1066="Ja",Bestellungen!A1066)</f>
        <v>8713</v>
      </c>
      <c r="B1066">
        <f>IF(Bestellungen!J1066="Ja",Bestellungen!B1066)</f>
        <v>607</v>
      </c>
      <c r="C1066">
        <v>3</v>
      </c>
      <c r="D1066">
        <v>4</v>
      </c>
      <c r="E1066">
        <v>3</v>
      </c>
      <c r="F1066">
        <v>5</v>
      </c>
      <c r="G1066">
        <f t="shared" si="16"/>
        <v>3.75</v>
      </c>
    </row>
    <row r="1067" spans="1:7" x14ac:dyDescent="0.35">
      <c r="A1067">
        <f>IF(Bestellungen!J1067="Ja",Bestellungen!A1067)</f>
        <v>8714</v>
      </c>
      <c r="B1067">
        <f>IF(Bestellungen!J1067="Ja",Bestellungen!B1067)</f>
        <v>136</v>
      </c>
      <c r="C1067">
        <v>3</v>
      </c>
      <c r="D1067">
        <v>5</v>
      </c>
      <c r="E1067">
        <v>3</v>
      </c>
      <c r="F1067">
        <v>4</v>
      </c>
      <c r="G1067">
        <f t="shared" si="16"/>
        <v>3.75</v>
      </c>
    </row>
    <row r="1068" spans="1:7" x14ac:dyDescent="0.35">
      <c r="A1068">
        <f>IF(Bestellungen!J1068="Ja",Bestellungen!A1068)</f>
        <v>8715</v>
      </c>
      <c r="B1068">
        <f>IF(Bestellungen!J1068="Ja",Bestellungen!B1068)</f>
        <v>715</v>
      </c>
      <c r="C1068">
        <v>5</v>
      </c>
      <c r="D1068">
        <v>5</v>
      </c>
      <c r="E1068">
        <v>5</v>
      </c>
      <c r="F1068">
        <v>4</v>
      </c>
      <c r="G1068">
        <f t="shared" si="16"/>
        <v>4.75</v>
      </c>
    </row>
    <row r="1069" spans="1:7" hidden="1" x14ac:dyDescent="0.35">
      <c r="A1069" t="b">
        <f>IF(Bestellungen!J1069="Ja",Bestellungen!A1069)</f>
        <v>0</v>
      </c>
      <c r="B1069" t="b">
        <f>IF(Bestellungen!J1069="Ja",Bestellungen!B1069)</f>
        <v>0</v>
      </c>
      <c r="C1069" t="s">
        <v>51</v>
      </c>
      <c r="D1069" t="s">
        <v>51</v>
      </c>
      <c r="E1069" t="s">
        <v>51</v>
      </c>
      <c r="F1069" t="s">
        <v>51</v>
      </c>
      <c r="G1069" t="e">
        <f t="shared" si="16"/>
        <v>#DIV/0!</v>
      </c>
    </row>
    <row r="1070" spans="1:7" x14ac:dyDescent="0.35">
      <c r="A1070">
        <f>IF(Bestellungen!J1070="Ja",Bestellungen!A1070)</f>
        <v>8717</v>
      </c>
      <c r="B1070">
        <f>IF(Bestellungen!J1070="Ja",Bestellungen!B1070)</f>
        <v>578</v>
      </c>
      <c r="C1070">
        <v>3</v>
      </c>
      <c r="D1070">
        <v>5</v>
      </c>
      <c r="E1070">
        <v>3</v>
      </c>
      <c r="F1070">
        <v>3</v>
      </c>
      <c r="G1070">
        <f t="shared" si="16"/>
        <v>3.5</v>
      </c>
    </row>
    <row r="1071" spans="1:7" hidden="1" x14ac:dyDescent="0.35">
      <c r="A1071" t="b">
        <f>IF(Bestellungen!J1071="Ja",Bestellungen!A1071)</f>
        <v>0</v>
      </c>
      <c r="B1071" t="b">
        <f>IF(Bestellungen!J1071="Ja",Bestellungen!B1071)</f>
        <v>0</v>
      </c>
      <c r="C1071" t="s">
        <v>51</v>
      </c>
      <c r="D1071" t="s">
        <v>51</v>
      </c>
      <c r="E1071" t="s">
        <v>51</v>
      </c>
      <c r="F1071" t="s">
        <v>51</v>
      </c>
      <c r="G1071" t="e">
        <f t="shared" si="16"/>
        <v>#DIV/0!</v>
      </c>
    </row>
    <row r="1072" spans="1:7" x14ac:dyDescent="0.35">
      <c r="A1072">
        <f>IF(Bestellungen!J1072="Ja",Bestellungen!A1072)</f>
        <v>8719</v>
      </c>
      <c r="B1072">
        <f>IF(Bestellungen!J1072="Ja",Bestellungen!B1072)</f>
        <v>204</v>
      </c>
      <c r="C1072">
        <v>3</v>
      </c>
      <c r="D1072">
        <v>5</v>
      </c>
      <c r="E1072">
        <v>5</v>
      </c>
      <c r="F1072">
        <v>4</v>
      </c>
      <c r="G1072">
        <f t="shared" si="16"/>
        <v>4.25</v>
      </c>
    </row>
    <row r="1073" spans="1:7" hidden="1" x14ac:dyDescent="0.35">
      <c r="A1073" t="b">
        <f>IF(Bestellungen!J1073="Ja",Bestellungen!A1073)</f>
        <v>0</v>
      </c>
      <c r="B1073" t="b">
        <f>IF(Bestellungen!J1073="Ja",Bestellungen!B1073)</f>
        <v>0</v>
      </c>
      <c r="C1073" t="s">
        <v>51</v>
      </c>
      <c r="D1073" t="s">
        <v>51</v>
      </c>
      <c r="E1073" t="s">
        <v>51</v>
      </c>
      <c r="F1073" t="s">
        <v>51</v>
      </c>
      <c r="G1073" t="e">
        <f t="shared" si="16"/>
        <v>#DIV/0!</v>
      </c>
    </row>
    <row r="1074" spans="1:7" hidden="1" x14ac:dyDescent="0.35">
      <c r="A1074" t="b">
        <f>IF(Bestellungen!J1074="Ja",Bestellungen!A1074)</f>
        <v>0</v>
      </c>
      <c r="B1074" t="b">
        <f>IF(Bestellungen!J1074="Ja",Bestellungen!B1074)</f>
        <v>0</v>
      </c>
      <c r="C1074" t="s">
        <v>51</v>
      </c>
      <c r="D1074" t="s">
        <v>51</v>
      </c>
      <c r="E1074" t="s">
        <v>51</v>
      </c>
      <c r="F1074" t="s">
        <v>51</v>
      </c>
      <c r="G1074" t="e">
        <f t="shared" si="16"/>
        <v>#DIV/0!</v>
      </c>
    </row>
    <row r="1075" spans="1:7" hidden="1" x14ac:dyDescent="0.35">
      <c r="A1075" t="b">
        <f>IF(Bestellungen!J1075="Ja",Bestellungen!A1075)</f>
        <v>0</v>
      </c>
      <c r="B1075" t="b">
        <f>IF(Bestellungen!J1075="Ja",Bestellungen!B1075)</f>
        <v>0</v>
      </c>
      <c r="C1075" t="s">
        <v>51</v>
      </c>
      <c r="D1075" t="s">
        <v>51</v>
      </c>
      <c r="E1075" t="s">
        <v>51</v>
      </c>
      <c r="F1075" t="s">
        <v>51</v>
      </c>
      <c r="G1075" t="e">
        <f t="shared" si="16"/>
        <v>#DIV/0!</v>
      </c>
    </row>
    <row r="1076" spans="1:7" hidden="1" x14ac:dyDescent="0.35">
      <c r="A1076" t="b">
        <f>IF(Bestellungen!J1076="Ja",Bestellungen!A1076)</f>
        <v>0</v>
      </c>
      <c r="B1076" t="b">
        <f>IF(Bestellungen!J1076="Ja",Bestellungen!B1076)</f>
        <v>0</v>
      </c>
      <c r="C1076" t="s">
        <v>51</v>
      </c>
      <c r="D1076" t="s">
        <v>51</v>
      </c>
      <c r="E1076" t="s">
        <v>51</v>
      </c>
      <c r="F1076" t="s">
        <v>51</v>
      </c>
      <c r="G1076" t="e">
        <f t="shared" si="16"/>
        <v>#DIV/0!</v>
      </c>
    </row>
    <row r="1077" spans="1:7" hidden="1" x14ac:dyDescent="0.35">
      <c r="A1077" t="b">
        <f>IF(Bestellungen!J1077="Ja",Bestellungen!A1077)</f>
        <v>0</v>
      </c>
      <c r="B1077" t="b">
        <f>IF(Bestellungen!J1077="Ja",Bestellungen!B1077)</f>
        <v>0</v>
      </c>
      <c r="C1077" t="s">
        <v>51</v>
      </c>
      <c r="D1077" t="s">
        <v>51</v>
      </c>
      <c r="E1077" t="s">
        <v>51</v>
      </c>
      <c r="F1077" t="s">
        <v>51</v>
      </c>
      <c r="G1077" t="e">
        <f t="shared" si="16"/>
        <v>#DIV/0!</v>
      </c>
    </row>
    <row r="1078" spans="1:7" x14ac:dyDescent="0.35">
      <c r="A1078">
        <f>IF(Bestellungen!J1078="Ja",Bestellungen!A1078)</f>
        <v>8725</v>
      </c>
      <c r="B1078">
        <f>IF(Bestellungen!J1078="Ja",Bestellungen!B1078)</f>
        <v>483</v>
      </c>
      <c r="C1078">
        <v>5</v>
      </c>
      <c r="D1078">
        <v>3</v>
      </c>
      <c r="E1078">
        <v>3</v>
      </c>
      <c r="F1078">
        <v>4</v>
      </c>
      <c r="G1078">
        <f t="shared" si="16"/>
        <v>3.75</v>
      </c>
    </row>
    <row r="1079" spans="1:7" hidden="1" x14ac:dyDescent="0.35">
      <c r="A1079" t="b">
        <f>IF(Bestellungen!J1079="Ja",Bestellungen!A1079)</f>
        <v>0</v>
      </c>
      <c r="B1079" t="b">
        <f>IF(Bestellungen!J1079="Ja",Bestellungen!B1079)</f>
        <v>0</v>
      </c>
      <c r="C1079" t="s">
        <v>51</v>
      </c>
      <c r="D1079" t="s">
        <v>51</v>
      </c>
      <c r="E1079" t="s">
        <v>51</v>
      </c>
      <c r="F1079" t="s">
        <v>51</v>
      </c>
      <c r="G1079" t="e">
        <f t="shared" si="16"/>
        <v>#DIV/0!</v>
      </c>
    </row>
    <row r="1080" spans="1:7" x14ac:dyDescent="0.35">
      <c r="A1080">
        <f>IF(Bestellungen!J1080="Ja",Bestellungen!A1080)</f>
        <v>8727</v>
      </c>
      <c r="B1080">
        <f>IF(Bestellungen!J1080="Ja",Bestellungen!B1080)</f>
        <v>644</v>
      </c>
      <c r="C1080">
        <v>4</v>
      </c>
      <c r="D1080">
        <v>5</v>
      </c>
      <c r="E1080">
        <v>5</v>
      </c>
      <c r="F1080">
        <v>5</v>
      </c>
      <c r="G1080">
        <f t="shared" si="16"/>
        <v>4.75</v>
      </c>
    </row>
    <row r="1081" spans="1:7" hidden="1" x14ac:dyDescent="0.35">
      <c r="A1081" t="b">
        <f>IF(Bestellungen!J1081="Ja",Bestellungen!A1081)</f>
        <v>0</v>
      </c>
      <c r="B1081" t="b">
        <f>IF(Bestellungen!J1081="Ja",Bestellungen!B1081)</f>
        <v>0</v>
      </c>
      <c r="C1081" t="s">
        <v>51</v>
      </c>
      <c r="D1081" t="s">
        <v>51</v>
      </c>
      <c r="E1081" t="s">
        <v>51</v>
      </c>
      <c r="F1081" t="s">
        <v>51</v>
      </c>
      <c r="G1081" t="e">
        <f t="shared" si="16"/>
        <v>#DIV/0!</v>
      </c>
    </row>
    <row r="1082" spans="1:7" x14ac:dyDescent="0.35">
      <c r="A1082">
        <f>IF(Bestellungen!J1082="Ja",Bestellungen!A1082)</f>
        <v>8729</v>
      </c>
      <c r="B1082">
        <f>IF(Bestellungen!J1082="Ja",Bestellungen!B1082)</f>
        <v>289</v>
      </c>
      <c r="C1082">
        <v>5</v>
      </c>
      <c r="D1082">
        <v>5</v>
      </c>
      <c r="E1082">
        <v>3</v>
      </c>
      <c r="F1082">
        <v>4</v>
      </c>
      <c r="G1082">
        <f t="shared" si="16"/>
        <v>4.25</v>
      </c>
    </row>
    <row r="1083" spans="1:7" hidden="1" x14ac:dyDescent="0.35">
      <c r="A1083" t="b">
        <f>IF(Bestellungen!J1083="Ja",Bestellungen!A1083)</f>
        <v>0</v>
      </c>
      <c r="B1083" t="b">
        <f>IF(Bestellungen!J1083="Ja",Bestellungen!B1083)</f>
        <v>0</v>
      </c>
      <c r="C1083" t="s">
        <v>51</v>
      </c>
      <c r="D1083" t="s">
        <v>51</v>
      </c>
      <c r="E1083" t="s">
        <v>51</v>
      </c>
      <c r="F1083" t="s">
        <v>51</v>
      </c>
      <c r="G1083" t="e">
        <f t="shared" si="16"/>
        <v>#DIV/0!</v>
      </c>
    </row>
    <row r="1084" spans="1:7" x14ac:dyDescent="0.35">
      <c r="A1084">
        <f>IF(Bestellungen!J1084="Ja",Bestellungen!A1084)</f>
        <v>8731</v>
      </c>
      <c r="B1084">
        <f>IF(Bestellungen!J1084="Ja",Bestellungen!B1084)</f>
        <v>259</v>
      </c>
      <c r="C1084">
        <v>5</v>
      </c>
      <c r="D1084">
        <v>3</v>
      </c>
      <c r="E1084">
        <v>3</v>
      </c>
      <c r="F1084">
        <v>5</v>
      </c>
      <c r="G1084">
        <f t="shared" si="16"/>
        <v>4</v>
      </c>
    </row>
    <row r="1085" spans="1:7" hidden="1" x14ac:dyDescent="0.35">
      <c r="A1085" t="b">
        <f>IF(Bestellungen!J1085="Ja",Bestellungen!A1085)</f>
        <v>0</v>
      </c>
      <c r="B1085" t="b">
        <f>IF(Bestellungen!J1085="Ja",Bestellungen!B1085)</f>
        <v>0</v>
      </c>
      <c r="C1085" t="s">
        <v>51</v>
      </c>
      <c r="D1085" t="s">
        <v>51</v>
      </c>
      <c r="E1085" t="s">
        <v>51</v>
      </c>
      <c r="F1085" t="s">
        <v>51</v>
      </c>
      <c r="G1085" t="e">
        <f t="shared" si="16"/>
        <v>#DIV/0!</v>
      </c>
    </row>
    <row r="1086" spans="1:7" hidden="1" x14ac:dyDescent="0.35">
      <c r="A1086" t="b">
        <f>IF(Bestellungen!J1086="Ja",Bestellungen!A1086)</f>
        <v>0</v>
      </c>
      <c r="B1086" t="b">
        <f>IF(Bestellungen!J1086="Ja",Bestellungen!B1086)</f>
        <v>0</v>
      </c>
      <c r="C1086" t="s">
        <v>51</v>
      </c>
      <c r="D1086" t="s">
        <v>51</v>
      </c>
      <c r="E1086" t="s">
        <v>51</v>
      </c>
      <c r="F1086" t="s">
        <v>51</v>
      </c>
      <c r="G1086" t="e">
        <f t="shared" si="16"/>
        <v>#DIV/0!</v>
      </c>
    </row>
    <row r="1087" spans="1:7" hidden="1" x14ac:dyDescent="0.35">
      <c r="A1087" t="b">
        <f>IF(Bestellungen!J1087="Ja",Bestellungen!A1087)</f>
        <v>0</v>
      </c>
      <c r="B1087" t="b">
        <f>IF(Bestellungen!J1087="Ja",Bestellungen!B1087)</f>
        <v>0</v>
      </c>
      <c r="C1087" t="s">
        <v>51</v>
      </c>
      <c r="D1087" t="s">
        <v>51</v>
      </c>
      <c r="E1087" t="s">
        <v>51</v>
      </c>
      <c r="F1087" t="s">
        <v>51</v>
      </c>
      <c r="G1087" t="e">
        <f t="shared" si="16"/>
        <v>#DIV/0!</v>
      </c>
    </row>
    <row r="1088" spans="1:7" x14ac:dyDescent="0.35">
      <c r="A1088">
        <f>IF(Bestellungen!J1088="Ja",Bestellungen!A1088)</f>
        <v>8735</v>
      </c>
      <c r="B1088">
        <f>IF(Bestellungen!J1088="Ja",Bestellungen!B1088)</f>
        <v>47</v>
      </c>
      <c r="C1088">
        <v>3</v>
      </c>
      <c r="D1088">
        <v>3</v>
      </c>
      <c r="E1088">
        <v>4</v>
      </c>
      <c r="F1088">
        <v>4</v>
      </c>
      <c r="G1088">
        <f t="shared" si="16"/>
        <v>3.5</v>
      </c>
    </row>
    <row r="1089" spans="1:7" hidden="1" x14ac:dyDescent="0.35">
      <c r="A1089" t="b">
        <f>IF(Bestellungen!J1089="Ja",Bestellungen!A1089)</f>
        <v>0</v>
      </c>
      <c r="B1089" t="b">
        <f>IF(Bestellungen!J1089="Ja",Bestellungen!B1089)</f>
        <v>0</v>
      </c>
      <c r="C1089" t="s">
        <v>51</v>
      </c>
      <c r="D1089" t="s">
        <v>51</v>
      </c>
      <c r="E1089" t="s">
        <v>51</v>
      </c>
      <c r="F1089" t="s">
        <v>51</v>
      </c>
      <c r="G1089" t="e">
        <f t="shared" si="16"/>
        <v>#DIV/0!</v>
      </c>
    </row>
    <row r="1090" spans="1:7" hidden="1" x14ac:dyDescent="0.35">
      <c r="A1090" t="b">
        <f>IF(Bestellungen!J1090="Ja",Bestellungen!A1090)</f>
        <v>0</v>
      </c>
      <c r="B1090" t="b">
        <f>IF(Bestellungen!J1090="Ja",Bestellungen!B1090)</f>
        <v>0</v>
      </c>
      <c r="C1090" t="s">
        <v>51</v>
      </c>
      <c r="D1090" t="s">
        <v>51</v>
      </c>
      <c r="E1090" t="s">
        <v>51</v>
      </c>
      <c r="F1090" t="s">
        <v>51</v>
      </c>
      <c r="G1090" t="e">
        <f t="shared" si="16"/>
        <v>#DIV/0!</v>
      </c>
    </row>
    <row r="1091" spans="1:7" x14ac:dyDescent="0.35">
      <c r="A1091">
        <f>IF(Bestellungen!J1091="Ja",Bestellungen!A1091)</f>
        <v>8738</v>
      </c>
      <c r="B1091">
        <f>IF(Bestellungen!J1091="Ja",Bestellungen!B1091)</f>
        <v>735</v>
      </c>
      <c r="C1091">
        <v>4</v>
      </c>
      <c r="D1091">
        <v>4</v>
      </c>
      <c r="E1091">
        <v>4</v>
      </c>
      <c r="F1091">
        <v>5</v>
      </c>
      <c r="G1091">
        <f t="shared" ref="G1091:G1154" si="17">SUM(C1091:F1091)/COUNT(C1091:F1091)</f>
        <v>4.25</v>
      </c>
    </row>
    <row r="1092" spans="1:7" hidden="1" x14ac:dyDescent="0.35">
      <c r="A1092" t="b">
        <f>IF(Bestellungen!J1092="Ja",Bestellungen!A1092)</f>
        <v>0</v>
      </c>
      <c r="B1092" t="b">
        <f>IF(Bestellungen!J1092="Ja",Bestellungen!B1092)</f>
        <v>0</v>
      </c>
      <c r="C1092" t="s">
        <v>51</v>
      </c>
      <c r="D1092" t="s">
        <v>51</v>
      </c>
      <c r="E1092" t="s">
        <v>51</v>
      </c>
      <c r="F1092" t="s">
        <v>51</v>
      </c>
      <c r="G1092" t="e">
        <f t="shared" si="17"/>
        <v>#DIV/0!</v>
      </c>
    </row>
    <row r="1093" spans="1:7" x14ac:dyDescent="0.35">
      <c r="A1093">
        <f>IF(Bestellungen!J1093="Ja",Bestellungen!A1093)</f>
        <v>8740</v>
      </c>
      <c r="B1093">
        <f>IF(Bestellungen!J1093="Ja",Bestellungen!B1093)</f>
        <v>94</v>
      </c>
      <c r="C1093">
        <v>5</v>
      </c>
      <c r="D1093">
        <v>3</v>
      </c>
      <c r="E1093">
        <v>5</v>
      </c>
      <c r="F1093">
        <v>4</v>
      </c>
      <c r="G1093">
        <f t="shared" si="17"/>
        <v>4.25</v>
      </c>
    </row>
    <row r="1094" spans="1:7" hidden="1" x14ac:dyDescent="0.35">
      <c r="A1094" t="b">
        <f>IF(Bestellungen!J1094="Ja",Bestellungen!A1094)</f>
        <v>0</v>
      </c>
      <c r="B1094" t="b">
        <f>IF(Bestellungen!J1094="Ja",Bestellungen!B1094)</f>
        <v>0</v>
      </c>
      <c r="C1094" t="s">
        <v>51</v>
      </c>
      <c r="D1094" t="s">
        <v>51</v>
      </c>
      <c r="E1094" t="s">
        <v>51</v>
      </c>
      <c r="F1094" t="s">
        <v>51</v>
      </c>
      <c r="G1094" t="e">
        <f t="shared" si="17"/>
        <v>#DIV/0!</v>
      </c>
    </row>
    <row r="1095" spans="1:7" x14ac:dyDescent="0.35">
      <c r="A1095">
        <f>IF(Bestellungen!J1095="Ja",Bestellungen!A1095)</f>
        <v>8742</v>
      </c>
      <c r="B1095">
        <f>IF(Bestellungen!J1095="Ja",Bestellungen!B1095)</f>
        <v>642</v>
      </c>
      <c r="C1095">
        <v>5</v>
      </c>
      <c r="D1095">
        <v>4</v>
      </c>
      <c r="E1095">
        <v>5</v>
      </c>
      <c r="F1095">
        <v>5</v>
      </c>
      <c r="G1095">
        <f t="shared" si="17"/>
        <v>4.75</v>
      </c>
    </row>
    <row r="1096" spans="1:7" x14ac:dyDescent="0.35">
      <c r="A1096">
        <f>IF(Bestellungen!J1096="Ja",Bestellungen!A1096)</f>
        <v>8743</v>
      </c>
      <c r="B1096">
        <f>IF(Bestellungen!J1096="Ja",Bestellungen!B1096)</f>
        <v>350</v>
      </c>
      <c r="C1096">
        <v>3</v>
      </c>
      <c r="D1096">
        <v>5</v>
      </c>
      <c r="E1096">
        <v>4</v>
      </c>
      <c r="F1096">
        <v>3</v>
      </c>
      <c r="G1096">
        <f t="shared" si="17"/>
        <v>3.75</v>
      </c>
    </row>
    <row r="1097" spans="1:7" hidden="1" x14ac:dyDescent="0.35">
      <c r="A1097" t="b">
        <f>IF(Bestellungen!J1097="Ja",Bestellungen!A1097)</f>
        <v>0</v>
      </c>
      <c r="B1097" t="b">
        <f>IF(Bestellungen!J1097="Ja",Bestellungen!B1097)</f>
        <v>0</v>
      </c>
      <c r="C1097" t="s">
        <v>51</v>
      </c>
      <c r="D1097" t="s">
        <v>51</v>
      </c>
      <c r="E1097" t="s">
        <v>51</v>
      </c>
      <c r="F1097" t="s">
        <v>51</v>
      </c>
      <c r="G1097" t="e">
        <f t="shared" si="17"/>
        <v>#DIV/0!</v>
      </c>
    </row>
    <row r="1098" spans="1:7" x14ac:dyDescent="0.35">
      <c r="A1098">
        <f>IF(Bestellungen!J1098="Ja",Bestellungen!A1098)</f>
        <v>8745</v>
      </c>
      <c r="B1098">
        <f>IF(Bestellungen!J1098="Ja",Bestellungen!B1098)</f>
        <v>784</v>
      </c>
      <c r="C1098">
        <v>5</v>
      </c>
      <c r="D1098">
        <v>5</v>
      </c>
      <c r="E1098">
        <v>3</v>
      </c>
      <c r="F1098">
        <v>3</v>
      </c>
      <c r="G1098">
        <f t="shared" si="17"/>
        <v>4</v>
      </c>
    </row>
    <row r="1099" spans="1:7" hidden="1" x14ac:dyDescent="0.35">
      <c r="A1099" t="b">
        <f>IF(Bestellungen!J1099="Ja",Bestellungen!A1099)</f>
        <v>0</v>
      </c>
      <c r="B1099" t="b">
        <f>IF(Bestellungen!J1099="Ja",Bestellungen!B1099)</f>
        <v>0</v>
      </c>
      <c r="C1099" t="s">
        <v>51</v>
      </c>
      <c r="D1099" t="s">
        <v>51</v>
      </c>
      <c r="E1099" t="s">
        <v>51</v>
      </c>
      <c r="F1099" t="s">
        <v>51</v>
      </c>
      <c r="G1099" t="e">
        <f t="shared" si="17"/>
        <v>#DIV/0!</v>
      </c>
    </row>
    <row r="1100" spans="1:7" hidden="1" x14ac:dyDescent="0.35">
      <c r="A1100" t="b">
        <f>IF(Bestellungen!J1100="Ja",Bestellungen!A1100)</f>
        <v>0</v>
      </c>
      <c r="B1100" t="b">
        <f>IF(Bestellungen!J1100="Ja",Bestellungen!B1100)</f>
        <v>0</v>
      </c>
      <c r="C1100" t="s">
        <v>51</v>
      </c>
      <c r="D1100" t="s">
        <v>51</v>
      </c>
      <c r="E1100" t="s">
        <v>51</v>
      </c>
      <c r="F1100" t="s">
        <v>51</v>
      </c>
      <c r="G1100" t="e">
        <f t="shared" si="17"/>
        <v>#DIV/0!</v>
      </c>
    </row>
    <row r="1101" spans="1:7" hidden="1" x14ac:dyDescent="0.35">
      <c r="A1101" t="b">
        <f>IF(Bestellungen!J1101="Ja",Bestellungen!A1101)</f>
        <v>0</v>
      </c>
      <c r="B1101" t="b">
        <f>IF(Bestellungen!J1101="Ja",Bestellungen!B1101)</f>
        <v>0</v>
      </c>
      <c r="C1101" t="s">
        <v>51</v>
      </c>
      <c r="D1101" t="s">
        <v>51</v>
      </c>
      <c r="E1101" t="s">
        <v>51</v>
      </c>
      <c r="F1101" t="s">
        <v>51</v>
      </c>
      <c r="G1101" t="e">
        <f t="shared" si="17"/>
        <v>#DIV/0!</v>
      </c>
    </row>
    <row r="1102" spans="1:7" x14ac:dyDescent="0.35">
      <c r="A1102">
        <f>IF(Bestellungen!J1102="Ja",Bestellungen!A1102)</f>
        <v>8749</v>
      </c>
      <c r="B1102">
        <f>IF(Bestellungen!J1102="Ja",Bestellungen!B1102)</f>
        <v>591</v>
      </c>
      <c r="C1102">
        <v>3</v>
      </c>
      <c r="D1102">
        <v>4</v>
      </c>
      <c r="E1102">
        <v>3</v>
      </c>
      <c r="F1102">
        <v>4</v>
      </c>
      <c r="G1102">
        <f t="shared" si="17"/>
        <v>3.5</v>
      </c>
    </row>
    <row r="1103" spans="1:7" hidden="1" x14ac:dyDescent="0.35">
      <c r="A1103" t="b">
        <f>IF(Bestellungen!J1103="Ja",Bestellungen!A1103)</f>
        <v>0</v>
      </c>
      <c r="B1103" t="b">
        <f>IF(Bestellungen!J1103="Ja",Bestellungen!B1103)</f>
        <v>0</v>
      </c>
      <c r="C1103" t="s">
        <v>51</v>
      </c>
      <c r="D1103" t="s">
        <v>51</v>
      </c>
      <c r="E1103" t="s">
        <v>51</v>
      </c>
      <c r="F1103" t="s">
        <v>51</v>
      </c>
      <c r="G1103" t="e">
        <f t="shared" si="17"/>
        <v>#DIV/0!</v>
      </c>
    </row>
    <row r="1104" spans="1:7" x14ac:dyDescent="0.35">
      <c r="A1104">
        <f>IF(Bestellungen!J1104="Ja",Bestellungen!A1104)</f>
        <v>8751</v>
      </c>
      <c r="B1104">
        <f>IF(Bestellungen!J1104="Ja",Bestellungen!B1104)</f>
        <v>368</v>
      </c>
      <c r="C1104">
        <v>5</v>
      </c>
      <c r="D1104">
        <v>3</v>
      </c>
      <c r="E1104">
        <v>5</v>
      </c>
      <c r="F1104">
        <v>4</v>
      </c>
      <c r="G1104">
        <f t="shared" si="17"/>
        <v>4.25</v>
      </c>
    </row>
    <row r="1105" spans="1:7" x14ac:dyDescent="0.35">
      <c r="A1105">
        <f>IF(Bestellungen!J1105="Ja",Bestellungen!A1105)</f>
        <v>8752</v>
      </c>
      <c r="B1105">
        <f>IF(Bestellungen!J1105="Ja",Bestellungen!B1105)</f>
        <v>417</v>
      </c>
      <c r="C1105">
        <v>4</v>
      </c>
      <c r="D1105">
        <v>3</v>
      </c>
      <c r="E1105">
        <v>3</v>
      </c>
      <c r="F1105">
        <v>5</v>
      </c>
      <c r="G1105">
        <f t="shared" si="17"/>
        <v>3.75</v>
      </c>
    </row>
    <row r="1106" spans="1:7" hidden="1" x14ac:dyDescent="0.35">
      <c r="A1106" t="b">
        <f>IF(Bestellungen!J1106="Ja",Bestellungen!A1106)</f>
        <v>0</v>
      </c>
      <c r="B1106" t="b">
        <f>IF(Bestellungen!J1106="Ja",Bestellungen!B1106)</f>
        <v>0</v>
      </c>
      <c r="C1106" t="s">
        <v>51</v>
      </c>
      <c r="D1106" t="s">
        <v>51</v>
      </c>
      <c r="E1106" t="s">
        <v>51</v>
      </c>
      <c r="F1106" t="s">
        <v>51</v>
      </c>
      <c r="G1106" t="e">
        <f t="shared" si="17"/>
        <v>#DIV/0!</v>
      </c>
    </row>
    <row r="1107" spans="1:7" x14ac:dyDescent="0.35">
      <c r="A1107">
        <f>IF(Bestellungen!J1107="Ja",Bestellungen!A1107)</f>
        <v>8754</v>
      </c>
      <c r="B1107">
        <f>IF(Bestellungen!J1107="Ja",Bestellungen!B1107)</f>
        <v>351</v>
      </c>
      <c r="C1107">
        <v>4</v>
      </c>
      <c r="D1107">
        <v>4</v>
      </c>
      <c r="E1107">
        <v>5</v>
      </c>
      <c r="F1107">
        <v>4</v>
      </c>
      <c r="G1107">
        <f t="shared" si="17"/>
        <v>4.25</v>
      </c>
    </row>
    <row r="1108" spans="1:7" x14ac:dyDescent="0.35">
      <c r="A1108">
        <f>IF(Bestellungen!J1108="Ja",Bestellungen!A1108)</f>
        <v>8755</v>
      </c>
      <c r="B1108">
        <f>IF(Bestellungen!J1108="Ja",Bestellungen!B1108)</f>
        <v>511</v>
      </c>
      <c r="C1108">
        <v>5</v>
      </c>
      <c r="D1108">
        <v>3</v>
      </c>
      <c r="E1108">
        <v>5</v>
      </c>
      <c r="F1108">
        <v>5</v>
      </c>
      <c r="G1108">
        <f t="shared" si="17"/>
        <v>4.5</v>
      </c>
    </row>
    <row r="1109" spans="1:7" x14ac:dyDescent="0.35">
      <c r="A1109">
        <f>IF(Bestellungen!J1109="Ja",Bestellungen!A1109)</f>
        <v>8756</v>
      </c>
      <c r="B1109">
        <f>IF(Bestellungen!J1109="Ja",Bestellungen!B1109)</f>
        <v>164</v>
      </c>
      <c r="C1109">
        <v>4</v>
      </c>
      <c r="D1109">
        <v>3</v>
      </c>
      <c r="E1109">
        <v>3</v>
      </c>
      <c r="F1109">
        <v>5</v>
      </c>
      <c r="G1109">
        <f t="shared" si="17"/>
        <v>3.75</v>
      </c>
    </row>
    <row r="1110" spans="1:7" x14ac:dyDescent="0.35">
      <c r="A1110">
        <f>IF(Bestellungen!J1110="Ja",Bestellungen!A1110)</f>
        <v>8757</v>
      </c>
      <c r="B1110">
        <f>IF(Bestellungen!J1110="Ja",Bestellungen!B1110)</f>
        <v>675</v>
      </c>
      <c r="C1110">
        <v>5</v>
      </c>
      <c r="D1110">
        <v>4</v>
      </c>
      <c r="E1110">
        <v>5</v>
      </c>
      <c r="F1110">
        <v>5</v>
      </c>
      <c r="G1110">
        <f t="shared" si="17"/>
        <v>4.75</v>
      </c>
    </row>
    <row r="1111" spans="1:7" hidden="1" x14ac:dyDescent="0.35">
      <c r="A1111" t="b">
        <f>IF(Bestellungen!J1111="Ja",Bestellungen!A1111)</f>
        <v>0</v>
      </c>
      <c r="B1111" t="b">
        <f>IF(Bestellungen!J1111="Ja",Bestellungen!B1111)</f>
        <v>0</v>
      </c>
      <c r="C1111" t="s">
        <v>51</v>
      </c>
      <c r="D1111" t="s">
        <v>51</v>
      </c>
      <c r="E1111" t="s">
        <v>51</v>
      </c>
      <c r="F1111" t="s">
        <v>51</v>
      </c>
      <c r="G1111" t="e">
        <f t="shared" si="17"/>
        <v>#DIV/0!</v>
      </c>
    </row>
    <row r="1112" spans="1:7" hidden="1" x14ac:dyDescent="0.35">
      <c r="A1112" t="b">
        <f>IF(Bestellungen!J1112="Ja",Bestellungen!A1112)</f>
        <v>0</v>
      </c>
      <c r="B1112" t="b">
        <f>IF(Bestellungen!J1112="Ja",Bestellungen!B1112)</f>
        <v>0</v>
      </c>
      <c r="C1112" t="s">
        <v>51</v>
      </c>
      <c r="D1112" t="s">
        <v>51</v>
      </c>
      <c r="E1112" t="s">
        <v>51</v>
      </c>
      <c r="F1112" t="s">
        <v>51</v>
      </c>
      <c r="G1112" t="e">
        <f t="shared" si="17"/>
        <v>#DIV/0!</v>
      </c>
    </row>
    <row r="1113" spans="1:7" x14ac:dyDescent="0.35">
      <c r="A1113">
        <f>IF(Bestellungen!J1113="Ja",Bestellungen!A1113)</f>
        <v>8760</v>
      </c>
      <c r="B1113">
        <f>IF(Bestellungen!J1113="Ja",Bestellungen!B1113)</f>
        <v>749</v>
      </c>
      <c r="C1113">
        <v>5</v>
      </c>
      <c r="D1113">
        <v>3</v>
      </c>
      <c r="E1113">
        <v>4</v>
      </c>
      <c r="F1113">
        <v>3</v>
      </c>
      <c r="G1113">
        <f t="shared" si="17"/>
        <v>3.75</v>
      </c>
    </row>
    <row r="1114" spans="1:7" hidden="1" x14ac:dyDescent="0.35">
      <c r="A1114" t="b">
        <f>IF(Bestellungen!J1114="Ja",Bestellungen!A1114)</f>
        <v>0</v>
      </c>
      <c r="B1114" t="b">
        <f>IF(Bestellungen!J1114="Ja",Bestellungen!B1114)</f>
        <v>0</v>
      </c>
      <c r="C1114" t="s">
        <v>51</v>
      </c>
      <c r="D1114" t="s">
        <v>51</v>
      </c>
      <c r="E1114" t="s">
        <v>51</v>
      </c>
      <c r="F1114" t="s">
        <v>51</v>
      </c>
      <c r="G1114" t="e">
        <f t="shared" si="17"/>
        <v>#DIV/0!</v>
      </c>
    </row>
    <row r="1115" spans="1:7" hidden="1" x14ac:dyDescent="0.35">
      <c r="A1115" t="b">
        <f>IF(Bestellungen!J1115="Ja",Bestellungen!A1115)</f>
        <v>0</v>
      </c>
      <c r="B1115" t="b">
        <f>IF(Bestellungen!J1115="Ja",Bestellungen!B1115)</f>
        <v>0</v>
      </c>
      <c r="C1115" t="s">
        <v>51</v>
      </c>
      <c r="D1115" t="s">
        <v>51</v>
      </c>
      <c r="E1115" t="s">
        <v>51</v>
      </c>
      <c r="F1115" t="s">
        <v>51</v>
      </c>
      <c r="G1115" t="e">
        <f t="shared" si="17"/>
        <v>#DIV/0!</v>
      </c>
    </row>
    <row r="1116" spans="1:7" hidden="1" x14ac:dyDescent="0.35">
      <c r="A1116" t="b">
        <f>IF(Bestellungen!J1116="Ja",Bestellungen!A1116)</f>
        <v>0</v>
      </c>
      <c r="B1116" t="b">
        <f>IF(Bestellungen!J1116="Ja",Bestellungen!B1116)</f>
        <v>0</v>
      </c>
      <c r="C1116" t="s">
        <v>51</v>
      </c>
      <c r="D1116" t="s">
        <v>51</v>
      </c>
      <c r="E1116" t="s">
        <v>51</v>
      </c>
      <c r="F1116" t="s">
        <v>51</v>
      </c>
      <c r="G1116" t="e">
        <f t="shared" si="17"/>
        <v>#DIV/0!</v>
      </c>
    </row>
    <row r="1117" spans="1:7" x14ac:dyDescent="0.35">
      <c r="A1117">
        <f>IF(Bestellungen!J1117="Ja",Bestellungen!A1117)</f>
        <v>8764</v>
      </c>
      <c r="B1117">
        <f>IF(Bestellungen!J1117="Ja",Bestellungen!B1117)</f>
        <v>308</v>
      </c>
      <c r="C1117">
        <v>3</v>
      </c>
      <c r="D1117">
        <v>5</v>
      </c>
      <c r="E1117">
        <v>5</v>
      </c>
      <c r="F1117">
        <v>5</v>
      </c>
      <c r="G1117">
        <f t="shared" si="17"/>
        <v>4.5</v>
      </c>
    </row>
    <row r="1118" spans="1:7" x14ac:dyDescent="0.35">
      <c r="A1118">
        <f>IF(Bestellungen!J1118="Ja",Bestellungen!A1118)</f>
        <v>8765</v>
      </c>
      <c r="B1118">
        <f>IF(Bestellungen!J1118="Ja",Bestellungen!B1118)</f>
        <v>765</v>
      </c>
      <c r="C1118">
        <v>5</v>
      </c>
      <c r="D1118">
        <v>4</v>
      </c>
      <c r="E1118">
        <v>5</v>
      </c>
      <c r="F1118">
        <v>3</v>
      </c>
      <c r="G1118">
        <f t="shared" si="17"/>
        <v>4.25</v>
      </c>
    </row>
    <row r="1119" spans="1:7" x14ac:dyDescent="0.35">
      <c r="A1119">
        <f>IF(Bestellungen!J1119="Ja",Bestellungen!A1119)</f>
        <v>8766</v>
      </c>
      <c r="B1119">
        <f>IF(Bestellungen!J1119="Ja",Bestellungen!B1119)</f>
        <v>11</v>
      </c>
      <c r="C1119">
        <v>4</v>
      </c>
      <c r="D1119">
        <v>3</v>
      </c>
      <c r="E1119">
        <v>4</v>
      </c>
      <c r="F1119">
        <v>3</v>
      </c>
      <c r="G1119">
        <f t="shared" si="17"/>
        <v>3.5</v>
      </c>
    </row>
    <row r="1120" spans="1:7" x14ac:dyDescent="0.35">
      <c r="A1120">
        <f>IF(Bestellungen!J1120="Ja",Bestellungen!A1120)</f>
        <v>8767</v>
      </c>
      <c r="B1120">
        <f>IF(Bestellungen!J1120="Ja",Bestellungen!B1120)</f>
        <v>589</v>
      </c>
      <c r="C1120">
        <v>5</v>
      </c>
      <c r="D1120">
        <v>3</v>
      </c>
      <c r="E1120">
        <v>4</v>
      </c>
      <c r="F1120">
        <v>4</v>
      </c>
      <c r="G1120">
        <f t="shared" si="17"/>
        <v>4</v>
      </c>
    </row>
    <row r="1121" spans="1:7" hidden="1" x14ac:dyDescent="0.35">
      <c r="A1121" t="b">
        <f>IF(Bestellungen!J1121="Ja",Bestellungen!A1121)</f>
        <v>0</v>
      </c>
      <c r="B1121" t="b">
        <f>IF(Bestellungen!J1121="Ja",Bestellungen!B1121)</f>
        <v>0</v>
      </c>
      <c r="C1121" t="s">
        <v>51</v>
      </c>
      <c r="D1121" t="s">
        <v>51</v>
      </c>
      <c r="E1121" t="s">
        <v>51</v>
      </c>
      <c r="F1121" t="s">
        <v>51</v>
      </c>
      <c r="G1121" t="e">
        <f t="shared" si="17"/>
        <v>#DIV/0!</v>
      </c>
    </row>
    <row r="1122" spans="1:7" x14ac:dyDescent="0.35">
      <c r="A1122">
        <f>IF(Bestellungen!J1122="Ja",Bestellungen!A1122)</f>
        <v>8769</v>
      </c>
      <c r="B1122">
        <f>IF(Bestellungen!J1122="Ja",Bestellungen!B1122)</f>
        <v>770</v>
      </c>
      <c r="C1122">
        <v>3</v>
      </c>
      <c r="D1122">
        <v>5</v>
      </c>
      <c r="E1122">
        <v>5</v>
      </c>
      <c r="F1122">
        <v>5</v>
      </c>
      <c r="G1122">
        <f t="shared" si="17"/>
        <v>4.5</v>
      </c>
    </row>
    <row r="1123" spans="1:7" hidden="1" x14ac:dyDescent="0.35">
      <c r="A1123" t="b">
        <f>IF(Bestellungen!J1123="Ja",Bestellungen!A1123)</f>
        <v>0</v>
      </c>
      <c r="B1123" t="b">
        <f>IF(Bestellungen!J1123="Ja",Bestellungen!B1123)</f>
        <v>0</v>
      </c>
      <c r="C1123" t="s">
        <v>51</v>
      </c>
      <c r="D1123" t="s">
        <v>51</v>
      </c>
      <c r="E1123" t="s">
        <v>51</v>
      </c>
      <c r="F1123" t="s">
        <v>51</v>
      </c>
      <c r="G1123" t="e">
        <f t="shared" si="17"/>
        <v>#DIV/0!</v>
      </c>
    </row>
    <row r="1124" spans="1:7" x14ac:dyDescent="0.35">
      <c r="A1124">
        <f>IF(Bestellungen!J1124="Ja",Bestellungen!A1124)</f>
        <v>8771</v>
      </c>
      <c r="B1124">
        <f>IF(Bestellungen!J1124="Ja",Bestellungen!B1124)</f>
        <v>649</v>
      </c>
      <c r="C1124">
        <v>3</v>
      </c>
      <c r="D1124">
        <v>5</v>
      </c>
      <c r="E1124">
        <v>3</v>
      </c>
      <c r="F1124">
        <v>3</v>
      </c>
      <c r="G1124">
        <f t="shared" si="17"/>
        <v>3.5</v>
      </c>
    </row>
    <row r="1125" spans="1:7" hidden="1" x14ac:dyDescent="0.35">
      <c r="A1125" t="b">
        <f>IF(Bestellungen!J1125="Ja",Bestellungen!A1125)</f>
        <v>0</v>
      </c>
      <c r="B1125" t="b">
        <f>IF(Bestellungen!J1125="Ja",Bestellungen!B1125)</f>
        <v>0</v>
      </c>
      <c r="C1125" t="s">
        <v>51</v>
      </c>
      <c r="D1125" t="s">
        <v>51</v>
      </c>
      <c r="E1125" t="s">
        <v>51</v>
      </c>
      <c r="F1125" t="s">
        <v>51</v>
      </c>
      <c r="G1125" t="e">
        <f t="shared" si="17"/>
        <v>#DIV/0!</v>
      </c>
    </row>
    <row r="1126" spans="1:7" x14ac:dyDescent="0.35">
      <c r="A1126">
        <f>IF(Bestellungen!J1126="Ja",Bestellungen!A1126)</f>
        <v>8773</v>
      </c>
      <c r="B1126">
        <f>IF(Bestellungen!J1126="Ja",Bestellungen!B1126)</f>
        <v>408</v>
      </c>
      <c r="C1126">
        <v>5</v>
      </c>
      <c r="D1126">
        <v>4</v>
      </c>
      <c r="E1126">
        <v>5</v>
      </c>
      <c r="F1126">
        <v>4</v>
      </c>
      <c r="G1126">
        <f t="shared" si="17"/>
        <v>4.5</v>
      </c>
    </row>
    <row r="1127" spans="1:7" x14ac:dyDescent="0.35">
      <c r="A1127">
        <f>IF(Bestellungen!J1127="Ja",Bestellungen!A1127)</f>
        <v>8774</v>
      </c>
      <c r="B1127">
        <f>IF(Bestellungen!J1127="Ja",Bestellungen!B1127)</f>
        <v>168</v>
      </c>
      <c r="C1127">
        <v>3</v>
      </c>
      <c r="D1127">
        <v>3</v>
      </c>
      <c r="E1127">
        <v>4</v>
      </c>
      <c r="F1127">
        <v>5</v>
      </c>
      <c r="G1127">
        <f t="shared" si="17"/>
        <v>3.75</v>
      </c>
    </row>
    <row r="1128" spans="1:7" hidden="1" x14ac:dyDescent="0.35">
      <c r="A1128" t="b">
        <f>IF(Bestellungen!J1128="Ja",Bestellungen!A1128)</f>
        <v>0</v>
      </c>
      <c r="B1128" t="b">
        <f>IF(Bestellungen!J1128="Ja",Bestellungen!B1128)</f>
        <v>0</v>
      </c>
      <c r="C1128" t="s">
        <v>51</v>
      </c>
      <c r="D1128" t="s">
        <v>51</v>
      </c>
      <c r="E1128" t="s">
        <v>51</v>
      </c>
      <c r="F1128" t="s">
        <v>51</v>
      </c>
      <c r="G1128" t="e">
        <f t="shared" si="17"/>
        <v>#DIV/0!</v>
      </c>
    </row>
    <row r="1129" spans="1:7" x14ac:dyDescent="0.35">
      <c r="A1129">
        <f>IF(Bestellungen!J1129="Ja",Bestellungen!A1129)</f>
        <v>8776</v>
      </c>
      <c r="B1129">
        <f>IF(Bestellungen!J1129="Ja",Bestellungen!B1129)</f>
        <v>597</v>
      </c>
      <c r="C1129">
        <v>4</v>
      </c>
      <c r="D1129">
        <v>3</v>
      </c>
      <c r="E1129">
        <v>3</v>
      </c>
      <c r="F1129">
        <v>4</v>
      </c>
      <c r="G1129">
        <f t="shared" si="17"/>
        <v>3.5</v>
      </c>
    </row>
    <row r="1130" spans="1:7" hidden="1" x14ac:dyDescent="0.35">
      <c r="A1130" t="b">
        <f>IF(Bestellungen!J1130="Ja",Bestellungen!A1130)</f>
        <v>0</v>
      </c>
      <c r="B1130" t="b">
        <f>IF(Bestellungen!J1130="Ja",Bestellungen!B1130)</f>
        <v>0</v>
      </c>
      <c r="C1130" t="s">
        <v>51</v>
      </c>
      <c r="D1130" t="s">
        <v>51</v>
      </c>
      <c r="E1130" t="s">
        <v>51</v>
      </c>
      <c r="F1130" t="s">
        <v>51</v>
      </c>
      <c r="G1130" t="e">
        <f t="shared" si="17"/>
        <v>#DIV/0!</v>
      </c>
    </row>
    <row r="1131" spans="1:7" hidden="1" x14ac:dyDescent="0.35">
      <c r="A1131" t="b">
        <f>IF(Bestellungen!J1131="Ja",Bestellungen!A1131)</f>
        <v>0</v>
      </c>
      <c r="B1131" t="b">
        <f>IF(Bestellungen!J1131="Ja",Bestellungen!B1131)</f>
        <v>0</v>
      </c>
      <c r="C1131" t="s">
        <v>51</v>
      </c>
      <c r="D1131" t="s">
        <v>51</v>
      </c>
      <c r="E1131" t="s">
        <v>51</v>
      </c>
      <c r="F1131" t="s">
        <v>51</v>
      </c>
      <c r="G1131" t="e">
        <f t="shared" si="17"/>
        <v>#DIV/0!</v>
      </c>
    </row>
    <row r="1132" spans="1:7" hidden="1" x14ac:dyDescent="0.35">
      <c r="A1132" t="b">
        <f>IF(Bestellungen!J1132="Ja",Bestellungen!A1132)</f>
        <v>0</v>
      </c>
      <c r="B1132" t="b">
        <f>IF(Bestellungen!J1132="Ja",Bestellungen!B1132)</f>
        <v>0</v>
      </c>
      <c r="C1132" t="s">
        <v>51</v>
      </c>
      <c r="D1132" t="s">
        <v>51</v>
      </c>
      <c r="E1132" t="s">
        <v>51</v>
      </c>
      <c r="F1132" t="s">
        <v>51</v>
      </c>
      <c r="G1132" t="e">
        <f t="shared" si="17"/>
        <v>#DIV/0!</v>
      </c>
    </row>
    <row r="1133" spans="1:7" x14ac:dyDescent="0.35">
      <c r="A1133">
        <f>IF(Bestellungen!J1133="Ja",Bestellungen!A1133)</f>
        <v>8780</v>
      </c>
      <c r="B1133">
        <f>IF(Bestellungen!J1133="Ja",Bestellungen!B1133)</f>
        <v>397</v>
      </c>
      <c r="C1133">
        <v>3</v>
      </c>
      <c r="D1133">
        <v>3</v>
      </c>
      <c r="E1133">
        <v>4</v>
      </c>
      <c r="F1133">
        <v>3</v>
      </c>
      <c r="G1133">
        <f t="shared" si="17"/>
        <v>3.25</v>
      </c>
    </row>
    <row r="1134" spans="1:7" hidden="1" x14ac:dyDescent="0.35">
      <c r="A1134" t="b">
        <f>IF(Bestellungen!J1134="Ja",Bestellungen!A1134)</f>
        <v>0</v>
      </c>
      <c r="B1134" t="b">
        <f>IF(Bestellungen!J1134="Ja",Bestellungen!B1134)</f>
        <v>0</v>
      </c>
      <c r="C1134" t="s">
        <v>51</v>
      </c>
      <c r="D1134" t="s">
        <v>51</v>
      </c>
      <c r="E1134" t="s">
        <v>51</v>
      </c>
      <c r="F1134" t="s">
        <v>51</v>
      </c>
      <c r="G1134" t="e">
        <f t="shared" si="17"/>
        <v>#DIV/0!</v>
      </c>
    </row>
    <row r="1135" spans="1:7" x14ac:dyDescent="0.35">
      <c r="A1135">
        <f>IF(Bestellungen!J1135="Ja",Bestellungen!A1135)</f>
        <v>8782</v>
      </c>
      <c r="B1135">
        <f>IF(Bestellungen!J1135="Ja",Bestellungen!B1135)</f>
        <v>63</v>
      </c>
      <c r="C1135">
        <v>5</v>
      </c>
      <c r="D1135">
        <v>5</v>
      </c>
      <c r="E1135">
        <v>4</v>
      </c>
      <c r="F1135">
        <v>4</v>
      </c>
      <c r="G1135">
        <f t="shared" si="17"/>
        <v>4.5</v>
      </c>
    </row>
    <row r="1136" spans="1:7" x14ac:dyDescent="0.35">
      <c r="A1136">
        <f>IF(Bestellungen!J1136="Ja",Bestellungen!A1136)</f>
        <v>8783</v>
      </c>
      <c r="B1136">
        <f>IF(Bestellungen!J1136="Ja",Bestellungen!B1136)</f>
        <v>81</v>
      </c>
      <c r="C1136">
        <v>5</v>
      </c>
      <c r="D1136">
        <v>5</v>
      </c>
      <c r="E1136">
        <v>3</v>
      </c>
      <c r="F1136">
        <v>4</v>
      </c>
      <c r="G1136">
        <f t="shared" si="17"/>
        <v>4.25</v>
      </c>
    </row>
    <row r="1137" spans="1:7" x14ac:dyDescent="0.35">
      <c r="A1137">
        <f>IF(Bestellungen!J1137="Ja",Bestellungen!A1137)</f>
        <v>8784</v>
      </c>
      <c r="B1137">
        <f>IF(Bestellungen!J1137="Ja",Bestellungen!B1137)</f>
        <v>177</v>
      </c>
      <c r="C1137">
        <v>5</v>
      </c>
      <c r="D1137">
        <v>4</v>
      </c>
      <c r="E1137">
        <v>5</v>
      </c>
      <c r="F1137">
        <v>4</v>
      </c>
      <c r="G1137">
        <f t="shared" si="17"/>
        <v>4.5</v>
      </c>
    </row>
    <row r="1138" spans="1:7" x14ac:dyDescent="0.35">
      <c r="A1138">
        <f>IF(Bestellungen!J1138="Ja",Bestellungen!A1138)</f>
        <v>8785</v>
      </c>
      <c r="B1138">
        <f>IF(Bestellungen!J1138="Ja",Bestellungen!B1138)</f>
        <v>741</v>
      </c>
      <c r="C1138">
        <v>4</v>
      </c>
      <c r="D1138">
        <v>3</v>
      </c>
      <c r="E1138">
        <v>3</v>
      </c>
      <c r="F1138">
        <v>5</v>
      </c>
      <c r="G1138">
        <f t="shared" si="17"/>
        <v>3.75</v>
      </c>
    </row>
    <row r="1139" spans="1:7" x14ac:dyDescent="0.35">
      <c r="A1139">
        <f>IF(Bestellungen!J1139="Ja",Bestellungen!A1139)</f>
        <v>8786</v>
      </c>
      <c r="B1139">
        <f>IF(Bestellungen!J1139="Ja",Bestellungen!B1139)</f>
        <v>532</v>
      </c>
      <c r="C1139">
        <v>3</v>
      </c>
      <c r="D1139">
        <v>3</v>
      </c>
      <c r="E1139">
        <v>4</v>
      </c>
      <c r="F1139">
        <v>3</v>
      </c>
      <c r="G1139">
        <f t="shared" si="17"/>
        <v>3.25</v>
      </c>
    </row>
    <row r="1140" spans="1:7" x14ac:dyDescent="0.35">
      <c r="A1140">
        <f>IF(Bestellungen!J1140="Ja",Bestellungen!A1140)</f>
        <v>8787</v>
      </c>
      <c r="B1140">
        <f>IF(Bestellungen!J1140="Ja",Bestellungen!B1140)</f>
        <v>569</v>
      </c>
      <c r="C1140">
        <v>4</v>
      </c>
      <c r="D1140">
        <v>5</v>
      </c>
      <c r="E1140">
        <v>3</v>
      </c>
      <c r="F1140">
        <v>5</v>
      </c>
      <c r="G1140">
        <f t="shared" si="17"/>
        <v>4.25</v>
      </c>
    </row>
    <row r="1141" spans="1:7" x14ac:dyDescent="0.35">
      <c r="A1141">
        <f>IF(Bestellungen!J1141="Ja",Bestellungen!A1141)</f>
        <v>8788</v>
      </c>
      <c r="B1141">
        <f>IF(Bestellungen!J1141="Ja",Bestellungen!B1141)</f>
        <v>753</v>
      </c>
      <c r="C1141">
        <v>4</v>
      </c>
      <c r="D1141">
        <v>4</v>
      </c>
      <c r="E1141">
        <v>4</v>
      </c>
      <c r="F1141">
        <v>4</v>
      </c>
      <c r="G1141">
        <f t="shared" si="17"/>
        <v>4</v>
      </c>
    </row>
    <row r="1142" spans="1:7" hidden="1" x14ac:dyDescent="0.35">
      <c r="A1142" t="b">
        <f>IF(Bestellungen!J1142="Ja",Bestellungen!A1142)</f>
        <v>0</v>
      </c>
      <c r="B1142" t="b">
        <f>IF(Bestellungen!J1142="Ja",Bestellungen!B1142)</f>
        <v>0</v>
      </c>
      <c r="C1142" t="s">
        <v>51</v>
      </c>
      <c r="D1142" t="s">
        <v>51</v>
      </c>
      <c r="E1142" t="s">
        <v>51</v>
      </c>
      <c r="F1142" t="s">
        <v>51</v>
      </c>
      <c r="G1142" t="e">
        <f t="shared" si="17"/>
        <v>#DIV/0!</v>
      </c>
    </row>
    <row r="1143" spans="1:7" hidden="1" x14ac:dyDescent="0.35">
      <c r="A1143" t="b">
        <f>IF(Bestellungen!J1143="Ja",Bestellungen!A1143)</f>
        <v>0</v>
      </c>
      <c r="B1143" t="b">
        <f>IF(Bestellungen!J1143="Ja",Bestellungen!B1143)</f>
        <v>0</v>
      </c>
      <c r="C1143" t="s">
        <v>51</v>
      </c>
      <c r="D1143" t="s">
        <v>51</v>
      </c>
      <c r="E1143" t="s">
        <v>51</v>
      </c>
      <c r="F1143" t="s">
        <v>51</v>
      </c>
      <c r="G1143" t="e">
        <f t="shared" si="17"/>
        <v>#DIV/0!</v>
      </c>
    </row>
    <row r="1144" spans="1:7" hidden="1" x14ac:dyDescent="0.35">
      <c r="A1144" t="b">
        <f>IF(Bestellungen!J1144="Ja",Bestellungen!A1144)</f>
        <v>0</v>
      </c>
      <c r="B1144" t="b">
        <f>IF(Bestellungen!J1144="Ja",Bestellungen!B1144)</f>
        <v>0</v>
      </c>
      <c r="C1144" t="s">
        <v>51</v>
      </c>
      <c r="D1144" t="s">
        <v>51</v>
      </c>
      <c r="E1144" t="s">
        <v>51</v>
      </c>
      <c r="F1144" t="s">
        <v>51</v>
      </c>
      <c r="G1144" t="e">
        <f t="shared" si="17"/>
        <v>#DIV/0!</v>
      </c>
    </row>
    <row r="1145" spans="1:7" hidden="1" x14ac:dyDescent="0.35">
      <c r="A1145" t="b">
        <f>IF(Bestellungen!J1145="Ja",Bestellungen!A1145)</f>
        <v>0</v>
      </c>
      <c r="B1145" t="b">
        <f>IF(Bestellungen!J1145="Ja",Bestellungen!B1145)</f>
        <v>0</v>
      </c>
      <c r="C1145" t="s">
        <v>51</v>
      </c>
      <c r="D1145" t="s">
        <v>51</v>
      </c>
      <c r="E1145" t="s">
        <v>51</v>
      </c>
      <c r="F1145" t="s">
        <v>51</v>
      </c>
      <c r="G1145" t="e">
        <f t="shared" si="17"/>
        <v>#DIV/0!</v>
      </c>
    </row>
    <row r="1146" spans="1:7" hidden="1" x14ac:dyDescent="0.35">
      <c r="A1146" t="b">
        <f>IF(Bestellungen!J1146="Ja",Bestellungen!A1146)</f>
        <v>0</v>
      </c>
      <c r="B1146" t="b">
        <f>IF(Bestellungen!J1146="Ja",Bestellungen!B1146)</f>
        <v>0</v>
      </c>
      <c r="C1146" t="s">
        <v>51</v>
      </c>
      <c r="D1146" t="s">
        <v>51</v>
      </c>
      <c r="E1146" t="s">
        <v>51</v>
      </c>
      <c r="F1146" t="s">
        <v>51</v>
      </c>
      <c r="G1146" t="e">
        <f t="shared" si="17"/>
        <v>#DIV/0!</v>
      </c>
    </row>
    <row r="1147" spans="1:7" hidden="1" x14ac:dyDescent="0.35">
      <c r="A1147" t="b">
        <f>IF(Bestellungen!J1147="Ja",Bestellungen!A1147)</f>
        <v>0</v>
      </c>
      <c r="B1147" t="b">
        <f>IF(Bestellungen!J1147="Ja",Bestellungen!B1147)</f>
        <v>0</v>
      </c>
      <c r="C1147" t="s">
        <v>51</v>
      </c>
      <c r="D1147" t="s">
        <v>51</v>
      </c>
      <c r="E1147" t="s">
        <v>51</v>
      </c>
      <c r="F1147" t="s">
        <v>51</v>
      </c>
      <c r="G1147" t="e">
        <f t="shared" si="17"/>
        <v>#DIV/0!</v>
      </c>
    </row>
    <row r="1148" spans="1:7" hidden="1" x14ac:dyDescent="0.35">
      <c r="A1148" t="b">
        <f>IF(Bestellungen!J1148="Ja",Bestellungen!A1148)</f>
        <v>0</v>
      </c>
      <c r="B1148" t="b">
        <f>IF(Bestellungen!J1148="Ja",Bestellungen!B1148)</f>
        <v>0</v>
      </c>
      <c r="C1148" t="s">
        <v>51</v>
      </c>
      <c r="D1148" t="s">
        <v>51</v>
      </c>
      <c r="E1148" t="s">
        <v>51</v>
      </c>
      <c r="F1148" t="s">
        <v>51</v>
      </c>
      <c r="G1148" t="e">
        <f t="shared" si="17"/>
        <v>#DIV/0!</v>
      </c>
    </row>
    <row r="1149" spans="1:7" x14ac:dyDescent="0.35">
      <c r="A1149">
        <f>IF(Bestellungen!J1149="Ja",Bestellungen!A1149)</f>
        <v>8796</v>
      </c>
      <c r="B1149">
        <f>IF(Bestellungen!J1149="Ja",Bestellungen!B1149)</f>
        <v>399</v>
      </c>
      <c r="C1149">
        <v>3</v>
      </c>
      <c r="D1149">
        <v>5</v>
      </c>
      <c r="E1149">
        <v>5</v>
      </c>
      <c r="F1149">
        <v>3</v>
      </c>
      <c r="G1149">
        <f t="shared" si="17"/>
        <v>4</v>
      </c>
    </row>
    <row r="1150" spans="1:7" x14ac:dyDescent="0.35">
      <c r="A1150">
        <f>IF(Bestellungen!J1150="Ja",Bestellungen!A1150)</f>
        <v>8797</v>
      </c>
      <c r="B1150">
        <f>IF(Bestellungen!J1150="Ja",Bestellungen!B1150)</f>
        <v>612</v>
      </c>
      <c r="C1150">
        <v>5</v>
      </c>
      <c r="D1150">
        <v>5</v>
      </c>
      <c r="E1150">
        <v>3</v>
      </c>
      <c r="F1150">
        <v>4</v>
      </c>
      <c r="G1150">
        <f t="shared" si="17"/>
        <v>4.25</v>
      </c>
    </row>
    <row r="1151" spans="1:7" x14ac:dyDescent="0.35">
      <c r="A1151">
        <f>IF(Bestellungen!J1151="Ja",Bestellungen!A1151)</f>
        <v>8798</v>
      </c>
      <c r="B1151">
        <f>IF(Bestellungen!J1151="Ja",Bestellungen!B1151)</f>
        <v>395</v>
      </c>
      <c r="C1151">
        <v>5</v>
      </c>
      <c r="D1151">
        <v>3</v>
      </c>
      <c r="E1151">
        <v>3</v>
      </c>
      <c r="F1151">
        <v>4</v>
      </c>
      <c r="G1151">
        <f t="shared" si="17"/>
        <v>3.75</v>
      </c>
    </row>
    <row r="1152" spans="1:7" x14ac:dyDescent="0.35">
      <c r="A1152">
        <f>IF(Bestellungen!J1152="Ja",Bestellungen!A1152)</f>
        <v>8799</v>
      </c>
      <c r="B1152">
        <f>IF(Bestellungen!J1152="Ja",Bestellungen!B1152)</f>
        <v>546</v>
      </c>
      <c r="C1152">
        <v>5</v>
      </c>
      <c r="D1152">
        <v>3</v>
      </c>
      <c r="E1152">
        <v>5</v>
      </c>
      <c r="F1152">
        <v>4</v>
      </c>
      <c r="G1152">
        <f t="shared" si="17"/>
        <v>4.25</v>
      </c>
    </row>
    <row r="1153" spans="1:7" hidden="1" x14ac:dyDescent="0.35">
      <c r="A1153" t="b">
        <f>IF(Bestellungen!J1153="Ja",Bestellungen!A1153)</f>
        <v>0</v>
      </c>
      <c r="B1153" t="b">
        <f>IF(Bestellungen!J1153="Ja",Bestellungen!B1153)</f>
        <v>0</v>
      </c>
      <c r="C1153" t="s">
        <v>51</v>
      </c>
      <c r="D1153" t="s">
        <v>51</v>
      </c>
      <c r="E1153" t="s">
        <v>51</v>
      </c>
      <c r="F1153" t="s">
        <v>51</v>
      </c>
      <c r="G1153" t="e">
        <f t="shared" si="17"/>
        <v>#DIV/0!</v>
      </c>
    </row>
    <row r="1154" spans="1:7" hidden="1" x14ac:dyDescent="0.35">
      <c r="A1154" t="b">
        <f>IF(Bestellungen!J1154="Ja",Bestellungen!A1154)</f>
        <v>0</v>
      </c>
      <c r="B1154" t="b">
        <f>IF(Bestellungen!J1154="Ja",Bestellungen!B1154)</f>
        <v>0</v>
      </c>
      <c r="C1154" t="s">
        <v>51</v>
      </c>
      <c r="D1154" t="s">
        <v>51</v>
      </c>
      <c r="E1154" t="s">
        <v>51</v>
      </c>
      <c r="F1154" t="s">
        <v>51</v>
      </c>
      <c r="G1154" t="e">
        <f t="shared" si="17"/>
        <v>#DIV/0!</v>
      </c>
    </row>
    <row r="1155" spans="1:7" x14ac:dyDescent="0.35">
      <c r="A1155">
        <f>IF(Bestellungen!J1155="Ja",Bestellungen!A1155)</f>
        <v>8802</v>
      </c>
      <c r="B1155">
        <f>IF(Bestellungen!J1155="Ja",Bestellungen!B1155)</f>
        <v>544</v>
      </c>
      <c r="C1155">
        <v>3</v>
      </c>
      <c r="D1155">
        <v>4</v>
      </c>
      <c r="E1155">
        <v>5</v>
      </c>
      <c r="F1155">
        <v>4</v>
      </c>
      <c r="G1155">
        <f t="shared" ref="G1155:G1218" si="18">SUM(C1155:F1155)/COUNT(C1155:F1155)</f>
        <v>4</v>
      </c>
    </row>
    <row r="1156" spans="1:7" hidden="1" x14ac:dyDescent="0.35">
      <c r="A1156" t="b">
        <f>IF(Bestellungen!J1156="Ja",Bestellungen!A1156)</f>
        <v>0</v>
      </c>
      <c r="B1156" t="b">
        <f>IF(Bestellungen!J1156="Ja",Bestellungen!B1156)</f>
        <v>0</v>
      </c>
      <c r="C1156" t="s">
        <v>51</v>
      </c>
      <c r="D1156" t="s">
        <v>51</v>
      </c>
      <c r="E1156" t="s">
        <v>51</v>
      </c>
      <c r="F1156" t="s">
        <v>51</v>
      </c>
      <c r="G1156" t="e">
        <f t="shared" si="18"/>
        <v>#DIV/0!</v>
      </c>
    </row>
    <row r="1157" spans="1:7" hidden="1" x14ac:dyDescent="0.35">
      <c r="A1157" t="b">
        <f>IF(Bestellungen!J1157="Ja",Bestellungen!A1157)</f>
        <v>0</v>
      </c>
      <c r="B1157" t="b">
        <f>IF(Bestellungen!J1157="Ja",Bestellungen!B1157)</f>
        <v>0</v>
      </c>
      <c r="C1157" t="s">
        <v>51</v>
      </c>
      <c r="D1157" t="s">
        <v>51</v>
      </c>
      <c r="E1157" t="s">
        <v>51</v>
      </c>
      <c r="F1157" t="s">
        <v>51</v>
      </c>
      <c r="G1157" t="e">
        <f t="shared" si="18"/>
        <v>#DIV/0!</v>
      </c>
    </row>
    <row r="1158" spans="1:7" hidden="1" x14ac:dyDescent="0.35">
      <c r="A1158" t="b">
        <f>IF(Bestellungen!J1158="Ja",Bestellungen!A1158)</f>
        <v>0</v>
      </c>
      <c r="B1158" t="b">
        <f>IF(Bestellungen!J1158="Ja",Bestellungen!B1158)</f>
        <v>0</v>
      </c>
      <c r="C1158" t="s">
        <v>51</v>
      </c>
      <c r="D1158" t="s">
        <v>51</v>
      </c>
      <c r="E1158" t="s">
        <v>51</v>
      </c>
      <c r="F1158" t="s">
        <v>51</v>
      </c>
      <c r="G1158" t="e">
        <f t="shared" si="18"/>
        <v>#DIV/0!</v>
      </c>
    </row>
    <row r="1159" spans="1:7" x14ac:dyDescent="0.35">
      <c r="A1159">
        <f>IF(Bestellungen!J1159="Ja",Bestellungen!A1159)</f>
        <v>8806</v>
      </c>
      <c r="B1159">
        <f>IF(Bestellungen!J1159="Ja",Bestellungen!B1159)</f>
        <v>348</v>
      </c>
      <c r="C1159">
        <v>5</v>
      </c>
      <c r="D1159">
        <v>4</v>
      </c>
      <c r="E1159">
        <v>3</v>
      </c>
      <c r="F1159">
        <v>5</v>
      </c>
      <c r="G1159">
        <f t="shared" si="18"/>
        <v>4.25</v>
      </c>
    </row>
    <row r="1160" spans="1:7" x14ac:dyDescent="0.35">
      <c r="A1160">
        <f>IF(Bestellungen!J1160="Ja",Bestellungen!A1160)</f>
        <v>8807</v>
      </c>
      <c r="B1160">
        <f>IF(Bestellungen!J1160="Ja",Bestellungen!B1160)</f>
        <v>243</v>
      </c>
      <c r="C1160">
        <v>5</v>
      </c>
      <c r="D1160">
        <v>3</v>
      </c>
      <c r="E1160">
        <v>5</v>
      </c>
      <c r="F1160">
        <v>4</v>
      </c>
      <c r="G1160">
        <f t="shared" si="18"/>
        <v>4.25</v>
      </c>
    </row>
    <row r="1161" spans="1:7" x14ac:dyDescent="0.35">
      <c r="A1161">
        <f>IF(Bestellungen!J1161="Ja",Bestellungen!A1161)</f>
        <v>8808</v>
      </c>
      <c r="B1161">
        <f>IF(Bestellungen!J1161="Ja",Bestellungen!B1161)</f>
        <v>134</v>
      </c>
      <c r="C1161">
        <v>5</v>
      </c>
      <c r="D1161">
        <v>3</v>
      </c>
      <c r="E1161">
        <v>4</v>
      </c>
      <c r="F1161">
        <v>3</v>
      </c>
      <c r="G1161">
        <f t="shared" si="18"/>
        <v>3.75</v>
      </c>
    </row>
    <row r="1162" spans="1:7" x14ac:dyDescent="0.35">
      <c r="A1162">
        <f>IF(Bestellungen!J1162="Ja",Bestellungen!A1162)</f>
        <v>8809</v>
      </c>
      <c r="B1162">
        <f>IF(Bestellungen!J1162="Ja",Bestellungen!B1162)</f>
        <v>71</v>
      </c>
      <c r="C1162">
        <v>4</v>
      </c>
      <c r="D1162">
        <v>4</v>
      </c>
      <c r="E1162">
        <v>4</v>
      </c>
      <c r="F1162">
        <v>5</v>
      </c>
      <c r="G1162">
        <f t="shared" si="18"/>
        <v>4.25</v>
      </c>
    </row>
    <row r="1163" spans="1:7" x14ac:dyDescent="0.35">
      <c r="A1163">
        <f>IF(Bestellungen!J1163="Ja",Bestellungen!A1163)</f>
        <v>8810</v>
      </c>
      <c r="B1163">
        <f>IF(Bestellungen!J1163="Ja",Bestellungen!B1163)</f>
        <v>272</v>
      </c>
      <c r="C1163">
        <v>3</v>
      </c>
      <c r="D1163">
        <v>5</v>
      </c>
      <c r="E1163">
        <v>4</v>
      </c>
      <c r="F1163">
        <v>3</v>
      </c>
      <c r="G1163">
        <f t="shared" si="18"/>
        <v>3.75</v>
      </c>
    </row>
    <row r="1164" spans="1:7" x14ac:dyDescent="0.35">
      <c r="A1164">
        <f>IF(Bestellungen!J1164="Ja",Bestellungen!A1164)</f>
        <v>8811</v>
      </c>
      <c r="B1164">
        <f>IF(Bestellungen!J1164="Ja",Bestellungen!B1164)</f>
        <v>740</v>
      </c>
      <c r="C1164">
        <v>4</v>
      </c>
      <c r="D1164">
        <v>5</v>
      </c>
      <c r="E1164">
        <v>3</v>
      </c>
      <c r="F1164">
        <v>5</v>
      </c>
      <c r="G1164">
        <f t="shared" si="18"/>
        <v>4.25</v>
      </c>
    </row>
    <row r="1165" spans="1:7" hidden="1" x14ac:dyDescent="0.35">
      <c r="A1165" t="b">
        <f>IF(Bestellungen!J1165="Ja",Bestellungen!A1165)</f>
        <v>0</v>
      </c>
      <c r="B1165" t="b">
        <f>IF(Bestellungen!J1165="Ja",Bestellungen!B1165)</f>
        <v>0</v>
      </c>
      <c r="C1165" t="s">
        <v>51</v>
      </c>
      <c r="D1165" t="s">
        <v>51</v>
      </c>
      <c r="E1165" t="s">
        <v>51</v>
      </c>
      <c r="F1165" t="s">
        <v>51</v>
      </c>
      <c r="G1165" t="e">
        <f t="shared" si="18"/>
        <v>#DIV/0!</v>
      </c>
    </row>
    <row r="1166" spans="1:7" x14ac:dyDescent="0.35">
      <c r="A1166">
        <f>IF(Bestellungen!J1166="Ja",Bestellungen!A1166)</f>
        <v>8813</v>
      </c>
      <c r="B1166">
        <f>IF(Bestellungen!J1166="Ja",Bestellungen!B1166)</f>
        <v>111</v>
      </c>
      <c r="C1166">
        <v>4</v>
      </c>
      <c r="D1166">
        <v>5</v>
      </c>
      <c r="E1166">
        <v>3</v>
      </c>
      <c r="F1166">
        <v>5</v>
      </c>
      <c r="G1166">
        <f t="shared" si="18"/>
        <v>4.25</v>
      </c>
    </row>
    <row r="1167" spans="1:7" hidden="1" x14ac:dyDescent="0.35">
      <c r="A1167" t="b">
        <f>IF(Bestellungen!J1167="Ja",Bestellungen!A1167)</f>
        <v>0</v>
      </c>
      <c r="B1167" t="b">
        <f>IF(Bestellungen!J1167="Ja",Bestellungen!B1167)</f>
        <v>0</v>
      </c>
      <c r="C1167" t="s">
        <v>51</v>
      </c>
      <c r="D1167" t="s">
        <v>51</v>
      </c>
      <c r="E1167" t="s">
        <v>51</v>
      </c>
      <c r="F1167" t="s">
        <v>51</v>
      </c>
      <c r="G1167" t="e">
        <f t="shared" si="18"/>
        <v>#DIV/0!</v>
      </c>
    </row>
    <row r="1168" spans="1:7" hidden="1" x14ac:dyDescent="0.35">
      <c r="A1168" t="b">
        <f>IF(Bestellungen!J1168="Ja",Bestellungen!A1168)</f>
        <v>0</v>
      </c>
      <c r="B1168" t="b">
        <f>IF(Bestellungen!J1168="Ja",Bestellungen!B1168)</f>
        <v>0</v>
      </c>
      <c r="C1168" t="s">
        <v>51</v>
      </c>
      <c r="D1168" t="s">
        <v>51</v>
      </c>
      <c r="E1168" t="s">
        <v>51</v>
      </c>
      <c r="F1168" t="s">
        <v>51</v>
      </c>
      <c r="G1168" t="e">
        <f t="shared" si="18"/>
        <v>#DIV/0!</v>
      </c>
    </row>
    <row r="1169" spans="1:7" hidden="1" x14ac:dyDescent="0.35">
      <c r="A1169" t="b">
        <f>IF(Bestellungen!J1169="Ja",Bestellungen!A1169)</f>
        <v>0</v>
      </c>
      <c r="B1169" t="b">
        <f>IF(Bestellungen!J1169="Ja",Bestellungen!B1169)</f>
        <v>0</v>
      </c>
      <c r="C1169" t="s">
        <v>51</v>
      </c>
      <c r="D1169" t="s">
        <v>51</v>
      </c>
      <c r="E1169" t="s">
        <v>51</v>
      </c>
      <c r="F1169" t="s">
        <v>51</v>
      </c>
      <c r="G1169" t="e">
        <f t="shared" si="18"/>
        <v>#DIV/0!</v>
      </c>
    </row>
    <row r="1170" spans="1:7" hidden="1" x14ac:dyDescent="0.35">
      <c r="A1170" t="b">
        <f>IF(Bestellungen!J1170="Ja",Bestellungen!A1170)</f>
        <v>0</v>
      </c>
      <c r="B1170" t="b">
        <f>IF(Bestellungen!J1170="Ja",Bestellungen!B1170)</f>
        <v>0</v>
      </c>
      <c r="C1170" t="s">
        <v>51</v>
      </c>
      <c r="D1170" t="s">
        <v>51</v>
      </c>
      <c r="E1170" t="s">
        <v>51</v>
      </c>
      <c r="F1170" t="s">
        <v>51</v>
      </c>
      <c r="G1170" t="e">
        <f t="shared" si="18"/>
        <v>#DIV/0!</v>
      </c>
    </row>
    <row r="1171" spans="1:7" x14ac:dyDescent="0.35">
      <c r="A1171">
        <f>IF(Bestellungen!J1171="Ja",Bestellungen!A1171)</f>
        <v>8818</v>
      </c>
      <c r="B1171">
        <f>IF(Bestellungen!J1171="Ja",Bestellungen!B1171)</f>
        <v>16</v>
      </c>
      <c r="C1171">
        <v>3</v>
      </c>
      <c r="D1171">
        <v>4</v>
      </c>
      <c r="E1171">
        <v>3</v>
      </c>
      <c r="F1171">
        <v>5</v>
      </c>
      <c r="G1171">
        <f t="shared" si="18"/>
        <v>3.75</v>
      </c>
    </row>
    <row r="1172" spans="1:7" x14ac:dyDescent="0.35">
      <c r="A1172">
        <f>IF(Bestellungen!J1172="Ja",Bestellungen!A1172)</f>
        <v>8819</v>
      </c>
      <c r="B1172">
        <f>IF(Bestellungen!J1172="Ja",Bestellungen!B1172)</f>
        <v>496</v>
      </c>
      <c r="C1172">
        <v>4</v>
      </c>
      <c r="D1172">
        <v>3</v>
      </c>
      <c r="E1172">
        <v>4</v>
      </c>
      <c r="F1172">
        <v>4</v>
      </c>
      <c r="G1172">
        <f t="shared" si="18"/>
        <v>3.75</v>
      </c>
    </row>
    <row r="1173" spans="1:7" x14ac:dyDescent="0.35">
      <c r="A1173">
        <f>IF(Bestellungen!J1173="Ja",Bestellungen!A1173)</f>
        <v>8820</v>
      </c>
      <c r="B1173">
        <f>IF(Bestellungen!J1173="Ja",Bestellungen!B1173)</f>
        <v>312</v>
      </c>
      <c r="C1173">
        <v>3</v>
      </c>
      <c r="D1173">
        <v>5</v>
      </c>
      <c r="E1173">
        <v>5</v>
      </c>
      <c r="F1173">
        <v>4</v>
      </c>
      <c r="G1173">
        <f t="shared" si="18"/>
        <v>4.25</v>
      </c>
    </row>
    <row r="1174" spans="1:7" hidden="1" x14ac:dyDescent="0.35">
      <c r="A1174" t="b">
        <f>IF(Bestellungen!J1174="Ja",Bestellungen!A1174)</f>
        <v>0</v>
      </c>
      <c r="B1174" t="b">
        <f>IF(Bestellungen!J1174="Ja",Bestellungen!B1174)</f>
        <v>0</v>
      </c>
      <c r="C1174" t="s">
        <v>51</v>
      </c>
      <c r="D1174" t="s">
        <v>51</v>
      </c>
      <c r="E1174" t="s">
        <v>51</v>
      </c>
      <c r="F1174" t="s">
        <v>51</v>
      </c>
      <c r="G1174" t="e">
        <f t="shared" si="18"/>
        <v>#DIV/0!</v>
      </c>
    </row>
    <row r="1175" spans="1:7" hidden="1" x14ac:dyDescent="0.35">
      <c r="A1175" t="b">
        <f>IF(Bestellungen!J1175="Ja",Bestellungen!A1175)</f>
        <v>0</v>
      </c>
      <c r="B1175" t="b">
        <f>IF(Bestellungen!J1175="Ja",Bestellungen!B1175)</f>
        <v>0</v>
      </c>
      <c r="C1175" t="s">
        <v>51</v>
      </c>
      <c r="D1175" t="s">
        <v>51</v>
      </c>
      <c r="E1175" t="s">
        <v>51</v>
      </c>
      <c r="F1175" t="s">
        <v>51</v>
      </c>
      <c r="G1175" t="e">
        <f t="shared" si="18"/>
        <v>#DIV/0!</v>
      </c>
    </row>
    <row r="1176" spans="1:7" x14ac:dyDescent="0.35">
      <c r="A1176">
        <f>IF(Bestellungen!J1176="Ja",Bestellungen!A1176)</f>
        <v>8823</v>
      </c>
      <c r="B1176">
        <f>IF(Bestellungen!J1176="Ja",Bestellungen!B1176)</f>
        <v>739</v>
      </c>
      <c r="C1176">
        <v>5</v>
      </c>
      <c r="D1176">
        <v>4</v>
      </c>
      <c r="E1176">
        <v>5</v>
      </c>
      <c r="F1176">
        <v>5</v>
      </c>
      <c r="G1176">
        <f t="shared" si="18"/>
        <v>4.75</v>
      </c>
    </row>
    <row r="1177" spans="1:7" x14ac:dyDescent="0.35">
      <c r="A1177">
        <f>IF(Bestellungen!J1177="Ja",Bestellungen!A1177)</f>
        <v>8824</v>
      </c>
      <c r="B1177">
        <f>IF(Bestellungen!J1177="Ja",Bestellungen!B1177)</f>
        <v>740</v>
      </c>
      <c r="C1177">
        <v>5</v>
      </c>
      <c r="D1177">
        <v>4</v>
      </c>
      <c r="E1177">
        <v>5</v>
      </c>
      <c r="F1177">
        <v>5</v>
      </c>
      <c r="G1177">
        <f t="shared" si="18"/>
        <v>4.75</v>
      </c>
    </row>
    <row r="1178" spans="1:7" x14ac:dyDescent="0.35">
      <c r="A1178">
        <f>IF(Bestellungen!J1178="Ja",Bestellungen!A1178)</f>
        <v>8825</v>
      </c>
      <c r="B1178">
        <f>IF(Bestellungen!J1178="Ja",Bestellungen!B1178)</f>
        <v>164</v>
      </c>
      <c r="C1178">
        <v>5</v>
      </c>
      <c r="D1178">
        <v>4</v>
      </c>
      <c r="E1178">
        <v>3</v>
      </c>
      <c r="F1178">
        <v>4</v>
      </c>
      <c r="G1178">
        <f t="shared" si="18"/>
        <v>4</v>
      </c>
    </row>
    <row r="1179" spans="1:7" x14ac:dyDescent="0.35">
      <c r="A1179">
        <f>IF(Bestellungen!J1179="Ja",Bestellungen!A1179)</f>
        <v>8826</v>
      </c>
      <c r="B1179">
        <f>IF(Bestellungen!J1179="Ja",Bestellungen!B1179)</f>
        <v>458</v>
      </c>
      <c r="C1179">
        <v>5</v>
      </c>
      <c r="D1179">
        <v>5</v>
      </c>
      <c r="E1179">
        <v>3</v>
      </c>
      <c r="F1179">
        <v>5</v>
      </c>
      <c r="G1179">
        <f t="shared" si="18"/>
        <v>4.5</v>
      </c>
    </row>
    <row r="1180" spans="1:7" x14ac:dyDescent="0.35">
      <c r="A1180">
        <f>IF(Bestellungen!J1180="Ja",Bestellungen!A1180)</f>
        <v>8827</v>
      </c>
      <c r="B1180">
        <f>IF(Bestellungen!J1180="Ja",Bestellungen!B1180)</f>
        <v>651</v>
      </c>
      <c r="C1180">
        <v>3</v>
      </c>
      <c r="D1180">
        <v>3</v>
      </c>
      <c r="E1180">
        <v>3</v>
      </c>
      <c r="F1180">
        <v>4</v>
      </c>
      <c r="G1180">
        <f t="shared" si="18"/>
        <v>3.25</v>
      </c>
    </row>
    <row r="1181" spans="1:7" x14ac:dyDescent="0.35">
      <c r="A1181">
        <f>IF(Bestellungen!J1181="Ja",Bestellungen!A1181)</f>
        <v>8828</v>
      </c>
      <c r="B1181">
        <f>IF(Bestellungen!J1181="Ja",Bestellungen!B1181)</f>
        <v>517</v>
      </c>
      <c r="C1181">
        <v>4</v>
      </c>
      <c r="D1181">
        <v>3</v>
      </c>
      <c r="E1181">
        <v>5</v>
      </c>
      <c r="F1181">
        <v>4</v>
      </c>
      <c r="G1181">
        <f t="shared" si="18"/>
        <v>4</v>
      </c>
    </row>
    <row r="1182" spans="1:7" x14ac:dyDescent="0.35">
      <c r="A1182">
        <f>IF(Bestellungen!J1182="Ja",Bestellungen!A1182)</f>
        <v>8829</v>
      </c>
      <c r="B1182">
        <f>IF(Bestellungen!J1182="Ja",Bestellungen!B1182)</f>
        <v>155</v>
      </c>
      <c r="C1182">
        <v>3</v>
      </c>
      <c r="D1182">
        <v>4</v>
      </c>
      <c r="E1182">
        <v>3</v>
      </c>
      <c r="F1182">
        <v>5</v>
      </c>
      <c r="G1182">
        <f t="shared" si="18"/>
        <v>3.75</v>
      </c>
    </row>
    <row r="1183" spans="1:7" x14ac:dyDescent="0.35">
      <c r="A1183">
        <f>IF(Bestellungen!J1183="Ja",Bestellungen!A1183)</f>
        <v>8830</v>
      </c>
      <c r="B1183">
        <f>IF(Bestellungen!J1183="Ja",Bestellungen!B1183)</f>
        <v>120</v>
      </c>
      <c r="C1183">
        <v>3</v>
      </c>
      <c r="D1183">
        <v>4</v>
      </c>
      <c r="E1183">
        <v>5</v>
      </c>
      <c r="F1183">
        <v>4</v>
      </c>
      <c r="G1183">
        <f t="shared" si="18"/>
        <v>4</v>
      </c>
    </row>
    <row r="1184" spans="1:7" hidden="1" x14ac:dyDescent="0.35">
      <c r="A1184" t="b">
        <f>IF(Bestellungen!J1184="Ja",Bestellungen!A1184)</f>
        <v>0</v>
      </c>
      <c r="B1184" t="b">
        <f>IF(Bestellungen!J1184="Ja",Bestellungen!B1184)</f>
        <v>0</v>
      </c>
      <c r="C1184" t="s">
        <v>51</v>
      </c>
      <c r="D1184" t="s">
        <v>51</v>
      </c>
      <c r="E1184" t="s">
        <v>51</v>
      </c>
      <c r="F1184" t="s">
        <v>51</v>
      </c>
      <c r="G1184" t="e">
        <f t="shared" si="18"/>
        <v>#DIV/0!</v>
      </c>
    </row>
    <row r="1185" spans="1:7" hidden="1" x14ac:dyDescent="0.35">
      <c r="A1185" t="b">
        <f>IF(Bestellungen!J1185="Ja",Bestellungen!A1185)</f>
        <v>0</v>
      </c>
      <c r="B1185" t="b">
        <f>IF(Bestellungen!J1185="Ja",Bestellungen!B1185)</f>
        <v>0</v>
      </c>
      <c r="C1185" t="s">
        <v>51</v>
      </c>
      <c r="D1185" t="s">
        <v>51</v>
      </c>
      <c r="E1185" t="s">
        <v>51</v>
      </c>
      <c r="F1185" t="s">
        <v>51</v>
      </c>
      <c r="G1185" t="e">
        <f t="shared" si="18"/>
        <v>#DIV/0!</v>
      </c>
    </row>
    <row r="1186" spans="1:7" x14ac:dyDescent="0.35">
      <c r="A1186">
        <f>IF(Bestellungen!J1186="Ja",Bestellungen!A1186)</f>
        <v>8833</v>
      </c>
      <c r="B1186">
        <f>IF(Bestellungen!J1186="Ja",Bestellungen!B1186)</f>
        <v>157</v>
      </c>
      <c r="C1186">
        <v>4</v>
      </c>
      <c r="D1186">
        <v>5</v>
      </c>
      <c r="E1186">
        <v>5</v>
      </c>
      <c r="F1186">
        <v>4</v>
      </c>
      <c r="G1186">
        <f t="shared" si="18"/>
        <v>4.5</v>
      </c>
    </row>
    <row r="1187" spans="1:7" x14ac:dyDescent="0.35">
      <c r="A1187">
        <f>IF(Bestellungen!J1187="Ja",Bestellungen!A1187)</f>
        <v>8834</v>
      </c>
      <c r="B1187">
        <f>IF(Bestellungen!J1187="Ja",Bestellungen!B1187)</f>
        <v>498</v>
      </c>
      <c r="C1187">
        <v>3</v>
      </c>
      <c r="D1187">
        <v>5</v>
      </c>
      <c r="E1187">
        <v>3</v>
      </c>
      <c r="F1187">
        <v>3</v>
      </c>
      <c r="G1187">
        <f t="shared" si="18"/>
        <v>3.5</v>
      </c>
    </row>
    <row r="1188" spans="1:7" hidden="1" x14ac:dyDescent="0.35">
      <c r="A1188" t="b">
        <f>IF(Bestellungen!J1188="Ja",Bestellungen!A1188)</f>
        <v>0</v>
      </c>
      <c r="B1188" t="b">
        <f>IF(Bestellungen!J1188="Ja",Bestellungen!B1188)</f>
        <v>0</v>
      </c>
      <c r="C1188" t="s">
        <v>51</v>
      </c>
      <c r="D1188" t="s">
        <v>51</v>
      </c>
      <c r="E1188" t="s">
        <v>51</v>
      </c>
      <c r="F1188" t="s">
        <v>51</v>
      </c>
      <c r="G1188" t="e">
        <f t="shared" si="18"/>
        <v>#DIV/0!</v>
      </c>
    </row>
    <row r="1189" spans="1:7" hidden="1" x14ac:dyDescent="0.35">
      <c r="A1189" t="b">
        <f>IF(Bestellungen!J1189="Ja",Bestellungen!A1189)</f>
        <v>0</v>
      </c>
      <c r="B1189" t="b">
        <f>IF(Bestellungen!J1189="Ja",Bestellungen!B1189)</f>
        <v>0</v>
      </c>
      <c r="C1189" t="s">
        <v>51</v>
      </c>
      <c r="D1189" t="s">
        <v>51</v>
      </c>
      <c r="E1189" t="s">
        <v>51</v>
      </c>
      <c r="F1189" t="s">
        <v>51</v>
      </c>
      <c r="G1189" t="e">
        <f t="shared" si="18"/>
        <v>#DIV/0!</v>
      </c>
    </row>
    <row r="1190" spans="1:7" hidden="1" x14ac:dyDescent="0.35">
      <c r="A1190" t="b">
        <f>IF(Bestellungen!J1190="Ja",Bestellungen!A1190)</f>
        <v>0</v>
      </c>
      <c r="B1190" t="b">
        <f>IF(Bestellungen!J1190="Ja",Bestellungen!B1190)</f>
        <v>0</v>
      </c>
      <c r="C1190" t="s">
        <v>51</v>
      </c>
      <c r="D1190" t="s">
        <v>51</v>
      </c>
      <c r="E1190" t="s">
        <v>51</v>
      </c>
      <c r="F1190" t="s">
        <v>51</v>
      </c>
      <c r="G1190" t="e">
        <f t="shared" si="18"/>
        <v>#DIV/0!</v>
      </c>
    </row>
    <row r="1191" spans="1:7" x14ac:dyDescent="0.35">
      <c r="A1191">
        <f>IF(Bestellungen!J1191="Ja",Bestellungen!A1191)</f>
        <v>8838</v>
      </c>
      <c r="B1191">
        <f>IF(Bestellungen!J1191="Ja",Bestellungen!B1191)</f>
        <v>687</v>
      </c>
      <c r="C1191">
        <v>5</v>
      </c>
      <c r="D1191">
        <v>3</v>
      </c>
      <c r="E1191">
        <v>4</v>
      </c>
      <c r="F1191">
        <v>5</v>
      </c>
      <c r="G1191">
        <f t="shared" si="18"/>
        <v>4.25</v>
      </c>
    </row>
    <row r="1192" spans="1:7" x14ac:dyDescent="0.35">
      <c r="A1192">
        <f>IF(Bestellungen!J1192="Ja",Bestellungen!A1192)</f>
        <v>8839</v>
      </c>
      <c r="B1192">
        <f>IF(Bestellungen!J1192="Ja",Bestellungen!B1192)</f>
        <v>428</v>
      </c>
      <c r="C1192">
        <v>3</v>
      </c>
      <c r="D1192">
        <v>5</v>
      </c>
      <c r="E1192">
        <v>5</v>
      </c>
      <c r="F1192">
        <v>4</v>
      </c>
      <c r="G1192">
        <f t="shared" si="18"/>
        <v>4.25</v>
      </c>
    </row>
    <row r="1193" spans="1:7" hidden="1" x14ac:dyDescent="0.35">
      <c r="A1193" t="b">
        <f>IF(Bestellungen!J1193="Ja",Bestellungen!A1193)</f>
        <v>0</v>
      </c>
      <c r="B1193" t="b">
        <f>IF(Bestellungen!J1193="Ja",Bestellungen!B1193)</f>
        <v>0</v>
      </c>
      <c r="C1193" t="s">
        <v>51</v>
      </c>
      <c r="D1193" t="s">
        <v>51</v>
      </c>
      <c r="E1193" t="s">
        <v>51</v>
      </c>
      <c r="F1193" t="s">
        <v>51</v>
      </c>
      <c r="G1193" t="e">
        <f t="shared" si="18"/>
        <v>#DIV/0!</v>
      </c>
    </row>
    <row r="1194" spans="1:7" x14ac:dyDescent="0.35">
      <c r="A1194">
        <f>IF(Bestellungen!J1194="Ja",Bestellungen!A1194)</f>
        <v>8841</v>
      </c>
      <c r="B1194">
        <f>IF(Bestellungen!J1194="Ja",Bestellungen!B1194)</f>
        <v>571</v>
      </c>
      <c r="C1194">
        <v>4</v>
      </c>
      <c r="D1194">
        <v>3</v>
      </c>
      <c r="E1194">
        <v>5</v>
      </c>
      <c r="F1194">
        <v>4</v>
      </c>
      <c r="G1194">
        <f t="shared" si="18"/>
        <v>4</v>
      </c>
    </row>
    <row r="1195" spans="1:7" hidden="1" x14ac:dyDescent="0.35">
      <c r="A1195" t="b">
        <f>IF(Bestellungen!J1195="Ja",Bestellungen!A1195)</f>
        <v>0</v>
      </c>
      <c r="B1195" t="b">
        <f>IF(Bestellungen!J1195="Ja",Bestellungen!B1195)</f>
        <v>0</v>
      </c>
      <c r="C1195" t="s">
        <v>51</v>
      </c>
      <c r="D1195" t="s">
        <v>51</v>
      </c>
      <c r="E1195" t="s">
        <v>51</v>
      </c>
      <c r="F1195" t="s">
        <v>51</v>
      </c>
      <c r="G1195" t="e">
        <f t="shared" si="18"/>
        <v>#DIV/0!</v>
      </c>
    </row>
    <row r="1196" spans="1:7" x14ac:dyDescent="0.35">
      <c r="A1196">
        <f>IF(Bestellungen!J1196="Ja",Bestellungen!A1196)</f>
        <v>8843</v>
      </c>
      <c r="B1196">
        <f>IF(Bestellungen!J1196="Ja",Bestellungen!B1196)</f>
        <v>636</v>
      </c>
      <c r="C1196">
        <v>4</v>
      </c>
      <c r="D1196">
        <v>3</v>
      </c>
      <c r="E1196">
        <v>5</v>
      </c>
      <c r="F1196">
        <v>4</v>
      </c>
      <c r="G1196">
        <f t="shared" si="18"/>
        <v>4</v>
      </c>
    </row>
    <row r="1197" spans="1:7" x14ac:dyDescent="0.35">
      <c r="A1197">
        <f>IF(Bestellungen!J1197="Ja",Bestellungen!A1197)</f>
        <v>8844</v>
      </c>
      <c r="B1197">
        <f>IF(Bestellungen!J1197="Ja",Bestellungen!B1197)</f>
        <v>526</v>
      </c>
      <c r="C1197">
        <v>3</v>
      </c>
      <c r="D1197">
        <v>4</v>
      </c>
      <c r="E1197">
        <v>4</v>
      </c>
      <c r="F1197">
        <v>3</v>
      </c>
      <c r="G1197">
        <f t="shared" si="18"/>
        <v>3.5</v>
      </c>
    </row>
    <row r="1198" spans="1:7" hidden="1" x14ac:dyDescent="0.35">
      <c r="A1198" t="b">
        <f>IF(Bestellungen!J1198="Ja",Bestellungen!A1198)</f>
        <v>0</v>
      </c>
      <c r="B1198" t="b">
        <f>IF(Bestellungen!J1198="Ja",Bestellungen!B1198)</f>
        <v>0</v>
      </c>
      <c r="C1198" t="s">
        <v>51</v>
      </c>
      <c r="D1198" t="s">
        <v>51</v>
      </c>
      <c r="E1198" t="s">
        <v>51</v>
      </c>
      <c r="F1198" t="s">
        <v>51</v>
      </c>
      <c r="G1198" t="e">
        <f t="shared" si="18"/>
        <v>#DIV/0!</v>
      </c>
    </row>
    <row r="1199" spans="1:7" hidden="1" x14ac:dyDescent="0.35">
      <c r="A1199" t="b">
        <f>IF(Bestellungen!J1199="Ja",Bestellungen!A1199)</f>
        <v>0</v>
      </c>
      <c r="B1199" t="b">
        <f>IF(Bestellungen!J1199="Ja",Bestellungen!B1199)</f>
        <v>0</v>
      </c>
      <c r="C1199" t="s">
        <v>51</v>
      </c>
      <c r="D1199" t="s">
        <v>51</v>
      </c>
      <c r="E1199" t="s">
        <v>51</v>
      </c>
      <c r="F1199" t="s">
        <v>51</v>
      </c>
      <c r="G1199" t="e">
        <f t="shared" si="18"/>
        <v>#DIV/0!</v>
      </c>
    </row>
    <row r="1200" spans="1:7" hidden="1" x14ac:dyDescent="0.35">
      <c r="A1200" t="b">
        <f>IF(Bestellungen!J1200="Ja",Bestellungen!A1200)</f>
        <v>0</v>
      </c>
      <c r="B1200" t="b">
        <f>IF(Bestellungen!J1200="Ja",Bestellungen!B1200)</f>
        <v>0</v>
      </c>
      <c r="C1200" t="s">
        <v>51</v>
      </c>
      <c r="D1200" t="s">
        <v>51</v>
      </c>
      <c r="E1200" t="s">
        <v>51</v>
      </c>
      <c r="F1200" t="s">
        <v>51</v>
      </c>
      <c r="G1200" t="e">
        <f t="shared" si="18"/>
        <v>#DIV/0!</v>
      </c>
    </row>
    <row r="1201" spans="1:7" x14ac:dyDescent="0.35">
      <c r="A1201">
        <f>IF(Bestellungen!J1201="Ja",Bestellungen!A1201)</f>
        <v>8848</v>
      </c>
      <c r="B1201">
        <f>IF(Bestellungen!J1201="Ja",Bestellungen!B1201)</f>
        <v>646</v>
      </c>
      <c r="C1201">
        <v>3</v>
      </c>
      <c r="D1201">
        <v>5</v>
      </c>
      <c r="E1201">
        <v>3</v>
      </c>
      <c r="F1201">
        <v>4</v>
      </c>
      <c r="G1201">
        <f t="shared" si="18"/>
        <v>3.75</v>
      </c>
    </row>
    <row r="1202" spans="1:7" hidden="1" x14ac:dyDescent="0.35">
      <c r="A1202" t="b">
        <f>IF(Bestellungen!J1202="Ja",Bestellungen!A1202)</f>
        <v>0</v>
      </c>
      <c r="B1202" t="b">
        <f>IF(Bestellungen!J1202="Ja",Bestellungen!B1202)</f>
        <v>0</v>
      </c>
      <c r="C1202" t="s">
        <v>51</v>
      </c>
      <c r="D1202" t="s">
        <v>51</v>
      </c>
      <c r="E1202" t="s">
        <v>51</v>
      </c>
      <c r="F1202" t="s">
        <v>51</v>
      </c>
      <c r="G1202" t="e">
        <f t="shared" si="18"/>
        <v>#DIV/0!</v>
      </c>
    </row>
    <row r="1203" spans="1:7" hidden="1" x14ac:dyDescent="0.35">
      <c r="A1203" t="b">
        <f>IF(Bestellungen!J1203="Ja",Bestellungen!A1203)</f>
        <v>0</v>
      </c>
      <c r="B1203" t="b">
        <f>IF(Bestellungen!J1203="Ja",Bestellungen!B1203)</f>
        <v>0</v>
      </c>
      <c r="C1203" t="s">
        <v>51</v>
      </c>
      <c r="D1203" t="s">
        <v>51</v>
      </c>
      <c r="E1203" t="s">
        <v>51</v>
      </c>
      <c r="F1203" t="s">
        <v>51</v>
      </c>
      <c r="G1203" t="e">
        <f t="shared" si="18"/>
        <v>#DIV/0!</v>
      </c>
    </row>
    <row r="1204" spans="1:7" x14ac:dyDescent="0.35">
      <c r="A1204">
        <f>IF(Bestellungen!J1204="Ja",Bestellungen!A1204)</f>
        <v>8851</v>
      </c>
      <c r="B1204">
        <f>IF(Bestellungen!J1204="Ja",Bestellungen!B1204)</f>
        <v>500</v>
      </c>
      <c r="C1204">
        <v>3</v>
      </c>
      <c r="D1204">
        <v>5</v>
      </c>
      <c r="E1204">
        <v>5</v>
      </c>
      <c r="F1204">
        <v>5</v>
      </c>
      <c r="G1204">
        <f t="shared" si="18"/>
        <v>4.5</v>
      </c>
    </row>
    <row r="1205" spans="1:7" x14ac:dyDescent="0.35">
      <c r="A1205">
        <f>IF(Bestellungen!J1205="Ja",Bestellungen!A1205)</f>
        <v>8852</v>
      </c>
      <c r="B1205">
        <f>IF(Bestellungen!J1205="Ja",Bestellungen!B1205)</f>
        <v>304</v>
      </c>
      <c r="C1205">
        <v>5</v>
      </c>
      <c r="D1205">
        <v>4</v>
      </c>
      <c r="E1205">
        <v>5</v>
      </c>
      <c r="F1205">
        <v>5</v>
      </c>
      <c r="G1205">
        <f t="shared" si="18"/>
        <v>4.75</v>
      </c>
    </row>
    <row r="1206" spans="1:7" x14ac:dyDescent="0.35">
      <c r="A1206">
        <f>IF(Bestellungen!J1206="Ja",Bestellungen!A1206)</f>
        <v>8853</v>
      </c>
      <c r="B1206">
        <f>IF(Bestellungen!J1206="Ja",Bestellungen!B1206)</f>
        <v>195</v>
      </c>
      <c r="C1206">
        <v>5</v>
      </c>
      <c r="D1206">
        <v>4</v>
      </c>
      <c r="E1206">
        <v>3</v>
      </c>
      <c r="F1206">
        <v>3</v>
      </c>
      <c r="G1206">
        <f t="shared" si="18"/>
        <v>3.75</v>
      </c>
    </row>
    <row r="1207" spans="1:7" hidden="1" x14ac:dyDescent="0.35">
      <c r="A1207" t="b">
        <f>IF(Bestellungen!J1207="Ja",Bestellungen!A1207)</f>
        <v>0</v>
      </c>
      <c r="B1207" t="b">
        <f>IF(Bestellungen!J1207="Ja",Bestellungen!B1207)</f>
        <v>0</v>
      </c>
      <c r="C1207" t="s">
        <v>51</v>
      </c>
      <c r="D1207" t="s">
        <v>51</v>
      </c>
      <c r="E1207" t="s">
        <v>51</v>
      </c>
      <c r="F1207" t="s">
        <v>51</v>
      </c>
      <c r="G1207" t="e">
        <f t="shared" si="18"/>
        <v>#DIV/0!</v>
      </c>
    </row>
    <row r="1208" spans="1:7" hidden="1" x14ac:dyDescent="0.35">
      <c r="A1208" t="b">
        <f>IF(Bestellungen!J1208="Ja",Bestellungen!A1208)</f>
        <v>0</v>
      </c>
      <c r="B1208" t="b">
        <f>IF(Bestellungen!J1208="Ja",Bestellungen!B1208)</f>
        <v>0</v>
      </c>
      <c r="C1208" t="s">
        <v>51</v>
      </c>
      <c r="D1208" t="s">
        <v>51</v>
      </c>
      <c r="E1208" t="s">
        <v>51</v>
      </c>
      <c r="F1208" t="s">
        <v>51</v>
      </c>
      <c r="G1208" t="e">
        <f t="shared" si="18"/>
        <v>#DIV/0!</v>
      </c>
    </row>
    <row r="1209" spans="1:7" hidden="1" x14ac:dyDescent="0.35">
      <c r="A1209" t="b">
        <f>IF(Bestellungen!J1209="Ja",Bestellungen!A1209)</f>
        <v>0</v>
      </c>
      <c r="B1209" t="b">
        <f>IF(Bestellungen!J1209="Ja",Bestellungen!B1209)</f>
        <v>0</v>
      </c>
      <c r="C1209" t="s">
        <v>51</v>
      </c>
      <c r="D1209" t="s">
        <v>51</v>
      </c>
      <c r="E1209" t="s">
        <v>51</v>
      </c>
      <c r="F1209" t="s">
        <v>51</v>
      </c>
      <c r="G1209" t="e">
        <f t="shared" si="18"/>
        <v>#DIV/0!</v>
      </c>
    </row>
    <row r="1210" spans="1:7" x14ac:dyDescent="0.35">
      <c r="A1210">
        <f>IF(Bestellungen!J1210="Ja",Bestellungen!A1210)</f>
        <v>8857</v>
      </c>
      <c r="B1210">
        <f>IF(Bestellungen!J1210="Ja",Bestellungen!B1210)</f>
        <v>440</v>
      </c>
      <c r="C1210">
        <v>5</v>
      </c>
      <c r="D1210">
        <v>4</v>
      </c>
      <c r="E1210">
        <v>5</v>
      </c>
      <c r="F1210">
        <v>5</v>
      </c>
      <c r="G1210">
        <f t="shared" si="18"/>
        <v>4.75</v>
      </c>
    </row>
    <row r="1211" spans="1:7" hidden="1" x14ac:dyDescent="0.35">
      <c r="A1211" t="b">
        <f>IF(Bestellungen!J1211="Ja",Bestellungen!A1211)</f>
        <v>0</v>
      </c>
      <c r="B1211" t="b">
        <f>IF(Bestellungen!J1211="Ja",Bestellungen!B1211)</f>
        <v>0</v>
      </c>
      <c r="C1211" t="s">
        <v>51</v>
      </c>
      <c r="D1211" t="s">
        <v>51</v>
      </c>
      <c r="E1211" t="s">
        <v>51</v>
      </c>
      <c r="F1211" t="s">
        <v>51</v>
      </c>
      <c r="G1211" t="e">
        <f t="shared" si="18"/>
        <v>#DIV/0!</v>
      </c>
    </row>
    <row r="1212" spans="1:7" x14ac:dyDescent="0.35">
      <c r="A1212">
        <f>IF(Bestellungen!J1212="Ja",Bestellungen!A1212)</f>
        <v>8859</v>
      </c>
      <c r="B1212">
        <f>IF(Bestellungen!J1212="Ja",Bestellungen!B1212)</f>
        <v>706</v>
      </c>
      <c r="C1212">
        <v>5</v>
      </c>
      <c r="D1212">
        <v>4</v>
      </c>
      <c r="E1212">
        <v>4</v>
      </c>
      <c r="F1212">
        <v>4</v>
      </c>
      <c r="G1212">
        <f t="shared" si="18"/>
        <v>4.25</v>
      </c>
    </row>
    <row r="1213" spans="1:7" x14ac:dyDescent="0.35">
      <c r="A1213">
        <f>IF(Bestellungen!J1213="Ja",Bestellungen!A1213)</f>
        <v>8860</v>
      </c>
      <c r="B1213">
        <f>IF(Bestellungen!J1213="Ja",Bestellungen!B1213)</f>
        <v>282</v>
      </c>
      <c r="C1213">
        <v>4</v>
      </c>
      <c r="D1213">
        <v>5</v>
      </c>
      <c r="E1213">
        <v>3</v>
      </c>
      <c r="F1213">
        <v>3</v>
      </c>
      <c r="G1213">
        <f t="shared" si="18"/>
        <v>3.75</v>
      </c>
    </row>
    <row r="1214" spans="1:7" hidden="1" x14ac:dyDescent="0.35">
      <c r="A1214" t="b">
        <f>IF(Bestellungen!J1214="Ja",Bestellungen!A1214)</f>
        <v>0</v>
      </c>
      <c r="B1214" t="b">
        <f>IF(Bestellungen!J1214="Ja",Bestellungen!B1214)</f>
        <v>0</v>
      </c>
      <c r="C1214" t="s">
        <v>51</v>
      </c>
      <c r="D1214" t="s">
        <v>51</v>
      </c>
      <c r="E1214" t="s">
        <v>51</v>
      </c>
      <c r="F1214" t="s">
        <v>51</v>
      </c>
      <c r="G1214" t="e">
        <f t="shared" si="18"/>
        <v>#DIV/0!</v>
      </c>
    </row>
    <row r="1215" spans="1:7" hidden="1" x14ac:dyDescent="0.35">
      <c r="A1215" t="b">
        <f>IF(Bestellungen!J1215="Ja",Bestellungen!A1215)</f>
        <v>0</v>
      </c>
      <c r="B1215" t="b">
        <f>IF(Bestellungen!J1215="Ja",Bestellungen!B1215)</f>
        <v>0</v>
      </c>
      <c r="C1215" t="s">
        <v>51</v>
      </c>
      <c r="D1215" t="s">
        <v>51</v>
      </c>
      <c r="E1215" t="s">
        <v>51</v>
      </c>
      <c r="F1215" t="s">
        <v>51</v>
      </c>
      <c r="G1215" t="e">
        <f t="shared" si="18"/>
        <v>#DIV/0!</v>
      </c>
    </row>
    <row r="1216" spans="1:7" hidden="1" x14ac:dyDescent="0.35">
      <c r="A1216" t="b">
        <f>IF(Bestellungen!J1216="Ja",Bestellungen!A1216)</f>
        <v>0</v>
      </c>
      <c r="B1216" t="b">
        <f>IF(Bestellungen!J1216="Ja",Bestellungen!B1216)</f>
        <v>0</v>
      </c>
      <c r="C1216" t="s">
        <v>51</v>
      </c>
      <c r="D1216" t="s">
        <v>51</v>
      </c>
      <c r="E1216" t="s">
        <v>51</v>
      </c>
      <c r="F1216" t="s">
        <v>51</v>
      </c>
      <c r="G1216" t="e">
        <f t="shared" si="18"/>
        <v>#DIV/0!</v>
      </c>
    </row>
    <row r="1217" spans="1:7" x14ac:dyDescent="0.35">
      <c r="A1217">
        <f>IF(Bestellungen!J1217="Ja",Bestellungen!A1217)</f>
        <v>8864</v>
      </c>
      <c r="B1217">
        <f>IF(Bestellungen!J1217="Ja",Bestellungen!B1217)</f>
        <v>733</v>
      </c>
      <c r="C1217">
        <v>3</v>
      </c>
      <c r="D1217">
        <v>4</v>
      </c>
      <c r="E1217">
        <v>5</v>
      </c>
      <c r="F1217">
        <v>3</v>
      </c>
      <c r="G1217">
        <f t="shared" si="18"/>
        <v>3.75</v>
      </c>
    </row>
    <row r="1218" spans="1:7" x14ac:dyDescent="0.35">
      <c r="A1218">
        <f>IF(Bestellungen!J1218="Ja",Bestellungen!A1218)</f>
        <v>8865</v>
      </c>
      <c r="B1218">
        <f>IF(Bestellungen!J1218="Ja",Bestellungen!B1218)</f>
        <v>551</v>
      </c>
      <c r="C1218">
        <v>5</v>
      </c>
      <c r="D1218">
        <v>3</v>
      </c>
      <c r="E1218">
        <v>3</v>
      </c>
      <c r="F1218">
        <v>4</v>
      </c>
      <c r="G1218">
        <f t="shared" si="18"/>
        <v>3.75</v>
      </c>
    </row>
    <row r="1219" spans="1:7" x14ac:dyDescent="0.35">
      <c r="A1219">
        <f>IF(Bestellungen!J1219="Ja",Bestellungen!A1219)</f>
        <v>8866</v>
      </c>
      <c r="B1219">
        <f>IF(Bestellungen!J1219="Ja",Bestellungen!B1219)</f>
        <v>117</v>
      </c>
      <c r="C1219">
        <v>3</v>
      </c>
      <c r="D1219">
        <v>3</v>
      </c>
      <c r="E1219">
        <v>5</v>
      </c>
      <c r="F1219">
        <v>5</v>
      </c>
      <c r="G1219">
        <f t="shared" ref="G1219:G1282" si="19">SUM(C1219:F1219)/COUNT(C1219:F1219)</f>
        <v>4</v>
      </c>
    </row>
    <row r="1220" spans="1:7" hidden="1" x14ac:dyDescent="0.35">
      <c r="A1220" t="b">
        <f>IF(Bestellungen!J1220="Ja",Bestellungen!A1220)</f>
        <v>0</v>
      </c>
      <c r="B1220" t="b">
        <f>IF(Bestellungen!J1220="Ja",Bestellungen!B1220)</f>
        <v>0</v>
      </c>
      <c r="C1220" t="s">
        <v>51</v>
      </c>
      <c r="D1220" t="s">
        <v>51</v>
      </c>
      <c r="E1220" t="s">
        <v>51</v>
      </c>
      <c r="F1220" t="s">
        <v>51</v>
      </c>
      <c r="G1220" t="e">
        <f t="shared" si="19"/>
        <v>#DIV/0!</v>
      </c>
    </row>
    <row r="1221" spans="1:7" x14ac:dyDescent="0.35">
      <c r="A1221">
        <f>IF(Bestellungen!J1221="Ja",Bestellungen!A1221)</f>
        <v>8868</v>
      </c>
      <c r="B1221">
        <f>IF(Bestellungen!J1221="Ja",Bestellungen!B1221)</f>
        <v>188</v>
      </c>
      <c r="C1221">
        <v>4</v>
      </c>
      <c r="D1221">
        <v>5</v>
      </c>
      <c r="E1221">
        <v>5</v>
      </c>
      <c r="F1221">
        <v>4</v>
      </c>
      <c r="G1221">
        <f t="shared" si="19"/>
        <v>4.5</v>
      </c>
    </row>
    <row r="1222" spans="1:7" hidden="1" x14ac:dyDescent="0.35">
      <c r="A1222" t="b">
        <f>IF(Bestellungen!J1222="Ja",Bestellungen!A1222)</f>
        <v>0</v>
      </c>
      <c r="B1222" t="b">
        <f>IF(Bestellungen!J1222="Ja",Bestellungen!B1222)</f>
        <v>0</v>
      </c>
      <c r="C1222" t="s">
        <v>51</v>
      </c>
      <c r="D1222" t="s">
        <v>51</v>
      </c>
      <c r="E1222" t="s">
        <v>51</v>
      </c>
      <c r="F1222" t="s">
        <v>51</v>
      </c>
      <c r="G1222" t="e">
        <f t="shared" si="19"/>
        <v>#DIV/0!</v>
      </c>
    </row>
    <row r="1223" spans="1:7" x14ac:dyDescent="0.35">
      <c r="A1223">
        <f>IF(Bestellungen!J1223="Ja",Bestellungen!A1223)</f>
        <v>8870</v>
      </c>
      <c r="B1223">
        <f>IF(Bestellungen!J1223="Ja",Bestellungen!B1223)</f>
        <v>689</v>
      </c>
      <c r="C1223">
        <v>3</v>
      </c>
      <c r="D1223">
        <v>3</v>
      </c>
      <c r="E1223">
        <v>5</v>
      </c>
      <c r="F1223">
        <v>3</v>
      </c>
      <c r="G1223">
        <f t="shared" si="19"/>
        <v>3.5</v>
      </c>
    </row>
    <row r="1224" spans="1:7" x14ac:dyDescent="0.35">
      <c r="A1224">
        <f>IF(Bestellungen!J1224="Ja",Bestellungen!A1224)</f>
        <v>8871</v>
      </c>
      <c r="B1224">
        <f>IF(Bestellungen!J1224="Ja",Bestellungen!B1224)</f>
        <v>408</v>
      </c>
      <c r="C1224">
        <v>4</v>
      </c>
      <c r="D1224">
        <v>5</v>
      </c>
      <c r="E1224">
        <v>4</v>
      </c>
      <c r="F1224">
        <v>4</v>
      </c>
      <c r="G1224">
        <f t="shared" si="19"/>
        <v>4.25</v>
      </c>
    </row>
    <row r="1225" spans="1:7" x14ac:dyDescent="0.35">
      <c r="A1225">
        <f>IF(Bestellungen!J1225="Ja",Bestellungen!A1225)</f>
        <v>8872</v>
      </c>
      <c r="B1225">
        <f>IF(Bestellungen!J1225="Ja",Bestellungen!B1225)</f>
        <v>109</v>
      </c>
      <c r="C1225">
        <v>5</v>
      </c>
      <c r="D1225">
        <v>5</v>
      </c>
      <c r="E1225">
        <v>4</v>
      </c>
      <c r="F1225">
        <v>4</v>
      </c>
      <c r="G1225">
        <f t="shared" si="19"/>
        <v>4.5</v>
      </c>
    </row>
    <row r="1226" spans="1:7" hidden="1" x14ac:dyDescent="0.35">
      <c r="A1226" t="b">
        <f>IF(Bestellungen!J1226="Ja",Bestellungen!A1226)</f>
        <v>0</v>
      </c>
      <c r="B1226" t="b">
        <f>IF(Bestellungen!J1226="Ja",Bestellungen!B1226)</f>
        <v>0</v>
      </c>
      <c r="C1226" t="s">
        <v>51</v>
      </c>
      <c r="D1226" t="s">
        <v>51</v>
      </c>
      <c r="E1226" t="s">
        <v>51</v>
      </c>
      <c r="F1226" t="s">
        <v>51</v>
      </c>
      <c r="G1226" t="e">
        <f t="shared" si="19"/>
        <v>#DIV/0!</v>
      </c>
    </row>
    <row r="1227" spans="1:7" hidden="1" x14ac:dyDescent="0.35">
      <c r="A1227" t="b">
        <f>IF(Bestellungen!J1227="Ja",Bestellungen!A1227)</f>
        <v>0</v>
      </c>
      <c r="B1227" t="b">
        <f>IF(Bestellungen!J1227="Ja",Bestellungen!B1227)</f>
        <v>0</v>
      </c>
      <c r="C1227" t="s">
        <v>51</v>
      </c>
      <c r="D1227" t="s">
        <v>51</v>
      </c>
      <c r="E1227" t="s">
        <v>51</v>
      </c>
      <c r="F1227" t="s">
        <v>51</v>
      </c>
      <c r="G1227" t="e">
        <f t="shared" si="19"/>
        <v>#DIV/0!</v>
      </c>
    </row>
    <row r="1228" spans="1:7" hidden="1" x14ac:dyDescent="0.35">
      <c r="A1228" t="b">
        <f>IF(Bestellungen!J1228="Ja",Bestellungen!A1228)</f>
        <v>0</v>
      </c>
      <c r="B1228" t="b">
        <f>IF(Bestellungen!J1228="Ja",Bestellungen!B1228)</f>
        <v>0</v>
      </c>
      <c r="C1228" t="s">
        <v>51</v>
      </c>
      <c r="D1228" t="s">
        <v>51</v>
      </c>
      <c r="E1228" t="s">
        <v>51</v>
      </c>
      <c r="F1228" t="s">
        <v>51</v>
      </c>
      <c r="G1228" t="e">
        <f t="shared" si="19"/>
        <v>#DIV/0!</v>
      </c>
    </row>
    <row r="1229" spans="1:7" x14ac:dyDescent="0.35">
      <c r="A1229">
        <f>IF(Bestellungen!J1229="Ja",Bestellungen!A1229)</f>
        <v>8876</v>
      </c>
      <c r="B1229">
        <f>IF(Bestellungen!J1229="Ja",Bestellungen!B1229)</f>
        <v>554</v>
      </c>
      <c r="C1229">
        <v>3</v>
      </c>
      <c r="D1229">
        <v>4</v>
      </c>
      <c r="E1229">
        <v>3</v>
      </c>
      <c r="F1229">
        <v>5</v>
      </c>
      <c r="G1229">
        <f t="shared" si="19"/>
        <v>3.75</v>
      </c>
    </row>
    <row r="1230" spans="1:7" hidden="1" x14ac:dyDescent="0.35">
      <c r="A1230" t="b">
        <f>IF(Bestellungen!J1230="Ja",Bestellungen!A1230)</f>
        <v>0</v>
      </c>
      <c r="B1230" t="b">
        <f>IF(Bestellungen!J1230="Ja",Bestellungen!B1230)</f>
        <v>0</v>
      </c>
      <c r="C1230" t="s">
        <v>51</v>
      </c>
      <c r="D1230" t="s">
        <v>51</v>
      </c>
      <c r="E1230" t="s">
        <v>51</v>
      </c>
      <c r="F1230" t="s">
        <v>51</v>
      </c>
      <c r="G1230" t="e">
        <f t="shared" si="19"/>
        <v>#DIV/0!</v>
      </c>
    </row>
    <row r="1231" spans="1:7" hidden="1" x14ac:dyDescent="0.35">
      <c r="A1231" t="b">
        <f>IF(Bestellungen!J1231="Ja",Bestellungen!A1231)</f>
        <v>0</v>
      </c>
      <c r="B1231" t="b">
        <f>IF(Bestellungen!J1231="Ja",Bestellungen!B1231)</f>
        <v>0</v>
      </c>
      <c r="C1231" t="s">
        <v>51</v>
      </c>
      <c r="D1231" t="s">
        <v>51</v>
      </c>
      <c r="E1231" t="s">
        <v>51</v>
      </c>
      <c r="F1231" t="s">
        <v>51</v>
      </c>
      <c r="G1231" t="e">
        <f t="shared" si="19"/>
        <v>#DIV/0!</v>
      </c>
    </row>
    <row r="1232" spans="1:7" hidden="1" x14ac:dyDescent="0.35">
      <c r="A1232" t="b">
        <f>IF(Bestellungen!J1232="Ja",Bestellungen!A1232)</f>
        <v>0</v>
      </c>
      <c r="B1232" t="b">
        <f>IF(Bestellungen!J1232="Ja",Bestellungen!B1232)</f>
        <v>0</v>
      </c>
      <c r="C1232" t="s">
        <v>51</v>
      </c>
      <c r="D1232" t="s">
        <v>51</v>
      </c>
      <c r="E1232" t="s">
        <v>51</v>
      </c>
      <c r="F1232" t="s">
        <v>51</v>
      </c>
      <c r="G1232" t="e">
        <f t="shared" si="19"/>
        <v>#DIV/0!</v>
      </c>
    </row>
    <row r="1233" spans="1:7" x14ac:dyDescent="0.35">
      <c r="A1233">
        <f>IF(Bestellungen!J1233="Ja",Bestellungen!A1233)</f>
        <v>8880</v>
      </c>
      <c r="B1233">
        <f>IF(Bestellungen!J1233="Ja",Bestellungen!B1233)</f>
        <v>79</v>
      </c>
      <c r="C1233">
        <v>5</v>
      </c>
      <c r="D1233">
        <v>5</v>
      </c>
      <c r="E1233">
        <v>3</v>
      </c>
      <c r="F1233">
        <v>3</v>
      </c>
      <c r="G1233">
        <f t="shared" si="19"/>
        <v>4</v>
      </c>
    </row>
    <row r="1234" spans="1:7" x14ac:dyDescent="0.35">
      <c r="A1234">
        <f>IF(Bestellungen!J1234="Ja",Bestellungen!A1234)</f>
        <v>8881</v>
      </c>
      <c r="B1234">
        <f>IF(Bestellungen!J1234="Ja",Bestellungen!B1234)</f>
        <v>783</v>
      </c>
      <c r="C1234">
        <v>3</v>
      </c>
      <c r="D1234">
        <v>4</v>
      </c>
      <c r="E1234">
        <v>3</v>
      </c>
      <c r="F1234">
        <v>4</v>
      </c>
      <c r="G1234">
        <f t="shared" si="19"/>
        <v>3.5</v>
      </c>
    </row>
    <row r="1235" spans="1:7" x14ac:dyDescent="0.35">
      <c r="A1235">
        <f>IF(Bestellungen!J1235="Ja",Bestellungen!A1235)</f>
        <v>8882</v>
      </c>
      <c r="B1235">
        <f>IF(Bestellungen!J1235="Ja",Bestellungen!B1235)</f>
        <v>506</v>
      </c>
      <c r="C1235">
        <v>3</v>
      </c>
      <c r="D1235">
        <v>4</v>
      </c>
      <c r="E1235">
        <v>4</v>
      </c>
      <c r="F1235">
        <v>5</v>
      </c>
      <c r="G1235">
        <f t="shared" si="19"/>
        <v>4</v>
      </c>
    </row>
    <row r="1236" spans="1:7" hidden="1" x14ac:dyDescent="0.35">
      <c r="A1236" t="b">
        <f>IF(Bestellungen!J1236="Ja",Bestellungen!A1236)</f>
        <v>0</v>
      </c>
      <c r="B1236" t="b">
        <f>IF(Bestellungen!J1236="Ja",Bestellungen!B1236)</f>
        <v>0</v>
      </c>
      <c r="C1236" t="s">
        <v>51</v>
      </c>
      <c r="D1236" t="s">
        <v>51</v>
      </c>
      <c r="E1236" t="s">
        <v>51</v>
      </c>
      <c r="F1236" t="s">
        <v>51</v>
      </c>
      <c r="G1236" t="e">
        <f t="shared" si="19"/>
        <v>#DIV/0!</v>
      </c>
    </row>
    <row r="1237" spans="1:7" x14ac:dyDescent="0.35">
      <c r="A1237">
        <f>IF(Bestellungen!J1237="Ja",Bestellungen!A1237)</f>
        <v>8884</v>
      </c>
      <c r="B1237">
        <f>IF(Bestellungen!J1237="Ja",Bestellungen!B1237)</f>
        <v>617</v>
      </c>
      <c r="C1237">
        <v>3</v>
      </c>
      <c r="D1237">
        <v>3</v>
      </c>
      <c r="E1237">
        <v>4</v>
      </c>
      <c r="F1237">
        <v>3</v>
      </c>
      <c r="G1237">
        <f t="shared" si="19"/>
        <v>3.25</v>
      </c>
    </row>
    <row r="1238" spans="1:7" hidden="1" x14ac:dyDescent="0.35">
      <c r="A1238" t="b">
        <f>IF(Bestellungen!J1238="Ja",Bestellungen!A1238)</f>
        <v>0</v>
      </c>
      <c r="B1238" t="b">
        <f>IF(Bestellungen!J1238="Ja",Bestellungen!B1238)</f>
        <v>0</v>
      </c>
      <c r="C1238" t="s">
        <v>51</v>
      </c>
      <c r="D1238" t="s">
        <v>51</v>
      </c>
      <c r="E1238" t="s">
        <v>51</v>
      </c>
      <c r="F1238" t="s">
        <v>51</v>
      </c>
      <c r="G1238" t="e">
        <f t="shared" si="19"/>
        <v>#DIV/0!</v>
      </c>
    </row>
    <row r="1239" spans="1:7" hidden="1" x14ac:dyDescent="0.35">
      <c r="A1239" t="b">
        <f>IF(Bestellungen!J1239="Ja",Bestellungen!A1239)</f>
        <v>0</v>
      </c>
      <c r="B1239" t="b">
        <f>IF(Bestellungen!J1239="Ja",Bestellungen!B1239)</f>
        <v>0</v>
      </c>
      <c r="C1239" t="s">
        <v>51</v>
      </c>
      <c r="D1239" t="s">
        <v>51</v>
      </c>
      <c r="E1239" t="s">
        <v>51</v>
      </c>
      <c r="F1239" t="s">
        <v>51</v>
      </c>
      <c r="G1239" t="e">
        <f t="shared" si="19"/>
        <v>#DIV/0!</v>
      </c>
    </row>
    <row r="1240" spans="1:7" x14ac:dyDescent="0.35">
      <c r="A1240">
        <f>IF(Bestellungen!J1240="Ja",Bestellungen!A1240)</f>
        <v>8887</v>
      </c>
      <c r="B1240">
        <f>IF(Bestellungen!J1240="Ja",Bestellungen!B1240)</f>
        <v>369</v>
      </c>
      <c r="C1240">
        <v>5</v>
      </c>
      <c r="D1240">
        <v>4</v>
      </c>
      <c r="E1240">
        <v>4</v>
      </c>
      <c r="F1240">
        <v>3</v>
      </c>
      <c r="G1240">
        <f t="shared" si="19"/>
        <v>4</v>
      </c>
    </row>
    <row r="1241" spans="1:7" hidden="1" x14ac:dyDescent="0.35">
      <c r="A1241" t="b">
        <f>IF(Bestellungen!J1241="Ja",Bestellungen!A1241)</f>
        <v>0</v>
      </c>
      <c r="B1241" t="b">
        <f>IF(Bestellungen!J1241="Ja",Bestellungen!B1241)</f>
        <v>0</v>
      </c>
      <c r="C1241" t="s">
        <v>51</v>
      </c>
      <c r="D1241" t="s">
        <v>51</v>
      </c>
      <c r="E1241" t="s">
        <v>51</v>
      </c>
      <c r="F1241" t="s">
        <v>51</v>
      </c>
      <c r="G1241" t="e">
        <f t="shared" si="19"/>
        <v>#DIV/0!</v>
      </c>
    </row>
    <row r="1242" spans="1:7" hidden="1" x14ac:dyDescent="0.35">
      <c r="A1242" t="b">
        <f>IF(Bestellungen!J1242="Ja",Bestellungen!A1242)</f>
        <v>0</v>
      </c>
      <c r="B1242" t="b">
        <f>IF(Bestellungen!J1242="Ja",Bestellungen!B1242)</f>
        <v>0</v>
      </c>
      <c r="C1242" t="s">
        <v>51</v>
      </c>
      <c r="D1242" t="s">
        <v>51</v>
      </c>
      <c r="E1242" t="s">
        <v>51</v>
      </c>
      <c r="F1242" t="s">
        <v>51</v>
      </c>
      <c r="G1242" t="e">
        <f t="shared" si="19"/>
        <v>#DIV/0!</v>
      </c>
    </row>
    <row r="1243" spans="1:7" hidden="1" x14ac:dyDescent="0.35">
      <c r="A1243" t="b">
        <f>IF(Bestellungen!J1243="Ja",Bestellungen!A1243)</f>
        <v>0</v>
      </c>
      <c r="B1243" t="b">
        <f>IF(Bestellungen!J1243="Ja",Bestellungen!B1243)</f>
        <v>0</v>
      </c>
      <c r="C1243" t="s">
        <v>51</v>
      </c>
      <c r="D1243" t="s">
        <v>51</v>
      </c>
      <c r="E1243" t="s">
        <v>51</v>
      </c>
      <c r="F1243" t="s">
        <v>51</v>
      </c>
      <c r="G1243" t="e">
        <f t="shared" si="19"/>
        <v>#DIV/0!</v>
      </c>
    </row>
    <row r="1244" spans="1:7" x14ac:dyDescent="0.35">
      <c r="A1244">
        <f>IF(Bestellungen!J1244="Ja",Bestellungen!A1244)</f>
        <v>8891</v>
      </c>
      <c r="B1244">
        <f>IF(Bestellungen!J1244="Ja",Bestellungen!B1244)</f>
        <v>764</v>
      </c>
      <c r="C1244">
        <v>4</v>
      </c>
      <c r="D1244">
        <v>4</v>
      </c>
      <c r="E1244">
        <v>4</v>
      </c>
      <c r="F1244">
        <v>3</v>
      </c>
      <c r="G1244">
        <f t="shared" si="19"/>
        <v>3.75</v>
      </c>
    </row>
    <row r="1245" spans="1:7" x14ac:dyDescent="0.35">
      <c r="A1245">
        <f>IF(Bestellungen!J1245="Ja",Bestellungen!A1245)</f>
        <v>8892</v>
      </c>
      <c r="B1245">
        <f>IF(Bestellungen!J1245="Ja",Bestellungen!B1245)</f>
        <v>35</v>
      </c>
      <c r="C1245">
        <v>4</v>
      </c>
      <c r="D1245">
        <v>4</v>
      </c>
      <c r="E1245">
        <v>4</v>
      </c>
      <c r="F1245">
        <v>5</v>
      </c>
      <c r="G1245">
        <f t="shared" si="19"/>
        <v>4.25</v>
      </c>
    </row>
    <row r="1246" spans="1:7" hidden="1" x14ac:dyDescent="0.35">
      <c r="A1246" t="b">
        <f>IF(Bestellungen!J1246="Ja",Bestellungen!A1246)</f>
        <v>0</v>
      </c>
      <c r="B1246" t="b">
        <f>IF(Bestellungen!J1246="Ja",Bestellungen!B1246)</f>
        <v>0</v>
      </c>
      <c r="C1246" t="s">
        <v>51</v>
      </c>
      <c r="D1246" t="s">
        <v>51</v>
      </c>
      <c r="E1246" t="s">
        <v>51</v>
      </c>
      <c r="F1246" t="s">
        <v>51</v>
      </c>
      <c r="G1246" t="e">
        <f t="shared" si="19"/>
        <v>#DIV/0!</v>
      </c>
    </row>
    <row r="1247" spans="1:7" x14ac:dyDescent="0.35">
      <c r="A1247">
        <f>IF(Bestellungen!J1247="Ja",Bestellungen!A1247)</f>
        <v>8894</v>
      </c>
      <c r="B1247">
        <f>IF(Bestellungen!J1247="Ja",Bestellungen!B1247)</f>
        <v>610</v>
      </c>
      <c r="C1247">
        <v>5</v>
      </c>
      <c r="D1247">
        <v>3</v>
      </c>
      <c r="E1247">
        <v>3</v>
      </c>
      <c r="F1247">
        <v>5</v>
      </c>
      <c r="G1247">
        <f t="shared" si="19"/>
        <v>4</v>
      </c>
    </row>
    <row r="1248" spans="1:7" x14ac:dyDescent="0.35">
      <c r="A1248">
        <f>IF(Bestellungen!J1248="Ja",Bestellungen!A1248)</f>
        <v>8895</v>
      </c>
      <c r="B1248">
        <f>IF(Bestellungen!J1248="Ja",Bestellungen!B1248)</f>
        <v>412</v>
      </c>
      <c r="C1248">
        <v>5</v>
      </c>
      <c r="D1248">
        <v>4</v>
      </c>
      <c r="E1248">
        <v>4</v>
      </c>
      <c r="F1248">
        <v>5</v>
      </c>
      <c r="G1248">
        <f t="shared" si="19"/>
        <v>4.5</v>
      </c>
    </row>
    <row r="1249" spans="1:7" hidden="1" x14ac:dyDescent="0.35">
      <c r="A1249" t="b">
        <f>IF(Bestellungen!J1249="Ja",Bestellungen!A1249)</f>
        <v>0</v>
      </c>
      <c r="B1249" t="b">
        <f>IF(Bestellungen!J1249="Ja",Bestellungen!B1249)</f>
        <v>0</v>
      </c>
      <c r="C1249" t="s">
        <v>51</v>
      </c>
      <c r="D1249" t="s">
        <v>51</v>
      </c>
      <c r="E1249" t="s">
        <v>51</v>
      </c>
      <c r="F1249" t="s">
        <v>51</v>
      </c>
      <c r="G1249" t="e">
        <f t="shared" si="19"/>
        <v>#DIV/0!</v>
      </c>
    </row>
    <row r="1250" spans="1:7" x14ac:dyDescent="0.35">
      <c r="A1250">
        <f>IF(Bestellungen!J1250="Ja",Bestellungen!A1250)</f>
        <v>8897</v>
      </c>
      <c r="B1250">
        <f>IF(Bestellungen!J1250="Ja",Bestellungen!B1250)</f>
        <v>381</v>
      </c>
      <c r="C1250">
        <v>3</v>
      </c>
      <c r="D1250">
        <v>4</v>
      </c>
      <c r="E1250">
        <v>5</v>
      </c>
      <c r="F1250">
        <v>3</v>
      </c>
      <c r="G1250">
        <f t="shared" si="19"/>
        <v>3.75</v>
      </c>
    </row>
    <row r="1251" spans="1:7" hidden="1" x14ac:dyDescent="0.35">
      <c r="A1251" t="b">
        <f>IF(Bestellungen!J1251="Ja",Bestellungen!A1251)</f>
        <v>0</v>
      </c>
      <c r="B1251" t="b">
        <f>IF(Bestellungen!J1251="Ja",Bestellungen!B1251)</f>
        <v>0</v>
      </c>
      <c r="C1251" t="s">
        <v>51</v>
      </c>
      <c r="D1251" t="s">
        <v>51</v>
      </c>
      <c r="E1251" t="s">
        <v>51</v>
      </c>
      <c r="F1251" t="s">
        <v>51</v>
      </c>
      <c r="G1251" t="e">
        <f t="shared" si="19"/>
        <v>#DIV/0!</v>
      </c>
    </row>
    <row r="1252" spans="1:7" hidden="1" x14ac:dyDescent="0.35">
      <c r="A1252" t="b">
        <f>IF(Bestellungen!J1252="Ja",Bestellungen!A1252)</f>
        <v>0</v>
      </c>
      <c r="B1252" t="b">
        <f>IF(Bestellungen!J1252="Ja",Bestellungen!B1252)</f>
        <v>0</v>
      </c>
      <c r="C1252" t="s">
        <v>51</v>
      </c>
      <c r="D1252" t="s">
        <v>51</v>
      </c>
      <c r="E1252" t="s">
        <v>51</v>
      </c>
      <c r="F1252" t="s">
        <v>51</v>
      </c>
      <c r="G1252" t="e">
        <f t="shared" si="19"/>
        <v>#DIV/0!</v>
      </c>
    </row>
    <row r="1253" spans="1:7" x14ac:dyDescent="0.35">
      <c r="A1253">
        <f>IF(Bestellungen!J1253="Ja",Bestellungen!A1253)</f>
        <v>8900</v>
      </c>
      <c r="B1253">
        <f>IF(Bestellungen!J1253="Ja",Bestellungen!B1253)</f>
        <v>19</v>
      </c>
      <c r="C1253">
        <v>4</v>
      </c>
      <c r="D1253">
        <v>4</v>
      </c>
      <c r="E1253">
        <v>3</v>
      </c>
      <c r="F1253">
        <v>5</v>
      </c>
      <c r="G1253">
        <f t="shared" si="19"/>
        <v>4</v>
      </c>
    </row>
    <row r="1254" spans="1:7" hidden="1" x14ac:dyDescent="0.35">
      <c r="A1254" t="b">
        <f>IF(Bestellungen!J1254="Ja",Bestellungen!A1254)</f>
        <v>0</v>
      </c>
      <c r="B1254" t="b">
        <f>IF(Bestellungen!J1254="Ja",Bestellungen!B1254)</f>
        <v>0</v>
      </c>
      <c r="C1254" t="s">
        <v>51</v>
      </c>
      <c r="D1254" t="s">
        <v>51</v>
      </c>
      <c r="E1254" t="s">
        <v>51</v>
      </c>
      <c r="F1254" t="s">
        <v>51</v>
      </c>
      <c r="G1254" t="e">
        <f t="shared" si="19"/>
        <v>#DIV/0!</v>
      </c>
    </row>
    <row r="1255" spans="1:7" x14ac:dyDescent="0.35">
      <c r="A1255">
        <f>IF(Bestellungen!J1255="Ja",Bestellungen!A1255)</f>
        <v>8902</v>
      </c>
      <c r="B1255">
        <f>IF(Bestellungen!J1255="Ja",Bestellungen!B1255)</f>
        <v>298</v>
      </c>
      <c r="C1255">
        <v>4</v>
      </c>
      <c r="D1255">
        <v>5</v>
      </c>
      <c r="E1255">
        <v>4</v>
      </c>
      <c r="F1255">
        <v>5</v>
      </c>
      <c r="G1255">
        <f t="shared" si="19"/>
        <v>4.5</v>
      </c>
    </row>
    <row r="1256" spans="1:7" x14ac:dyDescent="0.35">
      <c r="A1256">
        <f>IF(Bestellungen!J1256="Ja",Bestellungen!A1256)</f>
        <v>8903</v>
      </c>
      <c r="B1256">
        <f>IF(Bestellungen!J1256="Ja",Bestellungen!B1256)</f>
        <v>116</v>
      </c>
      <c r="C1256">
        <v>4</v>
      </c>
      <c r="D1256">
        <v>5</v>
      </c>
      <c r="E1256">
        <v>5</v>
      </c>
      <c r="F1256">
        <v>5</v>
      </c>
      <c r="G1256">
        <f t="shared" si="19"/>
        <v>4.75</v>
      </c>
    </row>
    <row r="1257" spans="1:7" x14ac:dyDescent="0.35">
      <c r="A1257">
        <f>IF(Bestellungen!J1257="Ja",Bestellungen!A1257)</f>
        <v>8904</v>
      </c>
      <c r="B1257">
        <f>IF(Bestellungen!J1257="Ja",Bestellungen!B1257)</f>
        <v>322</v>
      </c>
      <c r="C1257">
        <v>5</v>
      </c>
      <c r="D1257">
        <v>4</v>
      </c>
      <c r="E1257">
        <v>3</v>
      </c>
      <c r="F1257">
        <v>5</v>
      </c>
      <c r="G1257">
        <f t="shared" si="19"/>
        <v>4.25</v>
      </c>
    </row>
    <row r="1258" spans="1:7" x14ac:dyDescent="0.35">
      <c r="A1258">
        <f>IF(Bestellungen!J1258="Ja",Bestellungen!A1258)</f>
        <v>8905</v>
      </c>
      <c r="B1258">
        <f>IF(Bestellungen!J1258="Ja",Bestellungen!B1258)</f>
        <v>100</v>
      </c>
      <c r="C1258">
        <v>5</v>
      </c>
      <c r="D1258">
        <v>5</v>
      </c>
      <c r="E1258">
        <v>4</v>
      </c>
      <c r="F1258">
        <v>4</v>
      </c>
      <c r="G1258">
        <f t="shared" si="19"/>
        <v>4.5</v>
      </c>
    </row>
    <row r="1259" spans="1:7" x14ac:dyDescent="0.35">
      <c r="A1259">
        <f>IF(Bestellungen!J1259="Ja",Bestellungen!A1259)</f>
        <v>8906</v>
      </c>
      <c r="B1259">
        <f>IF(Bestellungen!J1259="Ja",Bestellungen!B1259)</f>
        <v>425</v>
      </c>
      <c r="C1259">
        <v>3</v>
      </c>
      <c r="D1259">
        <v>5</v>
      </c>
      <c r="E1259">
        <v>5</v>
      </c>
      <c r="F1259">
        <v>4</v>
      </c>
      <c r="G1259">
        <f t="shared" si="19"/>
        <v>4.25</v>
      </c>
    </row>
    <row r="1260" spans="1:7" x14ac:dyDescent="0.35">
      <c r="A1260">
        <f>IF(Bestellungen!J1260="Ja",Bestellungen!A1260)</f>
        <v>8907</v>
      </c>
      <c r="B1260">
        <f>IF(Bestellungen!J1260="Ja",Bestellungen!B1260)</f>
        <v>420</v>
      </c>
      <c r="C1260">
        <v>5</v>
      </c>
      <c r="D1260">
        <v>5</v>
      </c>
      <c r="E1260">
        <v>5</v>
      </c>
      <c r="F1260">
        <v>3</v>
      </c>
      <c r="G1260">
        <f t="shared" si="19"/>
        <v>4.5</v>
      </c>
    </row>
    <row r="1261" spans="1:7" x14ac:dyDescent="0.35">
      <c r="A1261">
        <f>IF(Bestellungen!J1261="Ja",Bestellungen!A1261)</f>
        <v>8908</v>
      </c>
      <c r="B1261">
        <f>IF(Bestellungen!J1261="Ja",Bestellungen!B1261)</f>
        <v>43</v>
      </c>
      <c r="C1261">
        <v>3</v>
      </c>
      <c r="D1261">
        <v>3</v>
      </c>
      <c r="E1261">
        <v>4</v>
      </c>
      <c r="F1261">
        <v>4</v>
      </c>
      <c r="G1261">
        <f t="shared" si="19"/>
        <v>3.5</v>
      </c>
    </row>
    <row r="1262" spans="1:7" x14ac:dyDescent="0.35">
      <c r="A1262">
        <f>IF(Bestellungen!J1262="Ja",Bestellungen!A1262)</f>
        <v>8909</v>
      </c>
      <c r="B1262">
        <f>IF(Bestellungen!J1262="Ja",Bestellungen!B1262)</f>
        <v>613</v>
      </c>
      <c r="C1262">
        <v>5</v>
      </c>
      <c r="D1262">
        <v>5</v>
      </c>
      <c r="E1262">
        <v>3</v>
      </c>
      <c r="F1262">
        <v>4</v>
      </c>
      <c r="G1262">
        <f t="shared" si="19"/>
        <v>4.25</v>
      </c>
    </row>
    <row r="1263" spans="1:7" hidden="1" x14ac:dyDescent="0.35">
      <c r="A1263" t="b">
        <f>IF(Bestellungen!J1263="Ja",Bestellungen!A1263)</f>
        <v>0</v>
      </c>
      <c r="B1263" t="b">
        <f>IF(Bestellungen!J1263="Ja",Bestellungen!B1263)</f>
        <v>0</v>
      </c>
      <c r="C1263" t="s">
        <v>51</v>
      </c>
      <c r="D1263" t="s">
        <v>51</v>
      </c>
      <c r="E1263" t="s">
        <v>51</v>
      </c>
      <c r="F1263" t="s">
        <v>51</v>
      </c>
      <c r="G1263" t="e">
        <f t="shared" si="19"/>
        <v>#DIV/0!</v>
      </c>
    </row>
    <row r="1264" spans="1:7" hidden="1" x14ac:dyDescent="0.35">
      <c r="A1264" t="b">
        <f>IF(Bestellungen!J1264="Ja",Bestellungen!A1264)</f>
        <v>0</v>
      </c>
      <c r="B1264" t="b">
        <f>IF(Bestellungen!J1264="Ja",Bestellungen!B1264)</f>
        <v>0</v>
      </c>
      <c r="C1264" t="s">
        <v>51</v>
      </c>
      <c r="D1264" t="s">
        <v>51</v>
      </c>
      <c r="E1264" t="s">
        <v>51</v>
      </c>
      <c r="F1264" t="s">
        <v>51</v>
      </c>
      <c r="G1264" t="e">
        <f t="shared" si="19"/>
        <v>#DIV/0!</v>
      </c>
    </row>
    <row r="1265" spans="1:7" hidden="1" x14ac:dyDescent="0.35">
      <c r="A1265" t="b">
        <f>IF(Bestellungen!J1265="Ja",Bestellungen!A1265)</f>
        <v>0</v>
      </c>
      <c r="B1265" t="b">
        <f>IF(Bestellungen!J1265="Ja",Bestellungen!B1265)</f>
        <v>0</v>
      </c>
      <c r="C1265" t="s">
        <v>51</v>
      </c>
      <c r="D1265" t="s">
        <v>51</v>
      </c>
      <c r="E1265" t="s">
        <v>51</v>
      </c>
      <c r="F1265" t="s">
        <v>51</v>
      </c>
      <c r="G1265" t="e">
        <f t="shared" si="19"/>
        <v>#DIV/0!</v>
      </c>
    </row>
    <row r="1266" spans="1:7" hidden="1" x14ac:dyDescent="0.35">
      <c r="A1266" t="b">
        <f>IF(Bestellungen!J1266="Ja",Bestellungen!A1266)</f>
        <v>0</v>
      </c>
      <c r="B1266" t="b">
        <f>IF(Bestellungen!J1266="Ja",Bestellungen!B1266)</f>
        <v>0</v>
      </c>
      <c r="C1266" t="s">
        <v>51</v>
      </c>
      <c r="D1266" t="s">
        <v>51</v>
      </c>
      <c r="E1266" t="s">
        <v>51</v>
      </c>
      <c r="F1266" t="s">
        <v>51</v>
      </c>
      <c r="G1266" t="e">
        <f t="shared" si="19"/>
        <v>#DIV/0!</v>
      </c>
    </row>
    <row r="1267" spans="1:7" x14ac:dyDescent="0.35">
      <c r="A1267">
        <f>IF(Bestellungen!J1267="Ja",Bestellungen!A1267)</f>
        <v>8914</v>
      </c>
      <c r="B1267">
        <f>IF(Bestellungen!J1267="Ja",Bestellungen!B1267)</f>
        <v>386</v>
      </c>
      <c r="C1267">
        <v>3</v>
      </c>
      <c r="D1267">
        <v>4</v>
      </c>
      <c r="E1267">
        <v>5</v>
      </c>
      <c r="F1267">
        <v>5</v>
      </c>
      <c r="G1267">
        <f t="shared" si="19"/>
        <v>4.25</v>
      </c>
    </row>
    <row r="1268" spans="1:7" x14ac:dyDescent="0.35">
      <c r="A1268">
        <f>IF(Bestellungen!J1268="Ja",Bestellungen!A1268)</f>
        <v>8915</v>
      </c>
      <c r="B1268">
        <f>IF(Bestellungen!J1268="Ja",Bestellungen!B1268)</f>
        <v>653</v>
      </c>
      <c r="C1268">
        <v>3</v>
      </c>
      <c r="D1268">
        <v>4</v>
      </c>
      <c r="E1268">
        <v>5</v>
      </c>
      <c r="F1268">
        <v>4</v>
      </c>
      <c r="G1268">
        <f t="shared" si="19"/>
        <v>4</v>
      </c>
    </row>
    <row r="1269" spans="1:7" hidden="1" x14ac:dyDescent="0.35">
      <c r="A1269" t="b">
        <f>IF(Bestellungen!J1269="Ja",Bestellungen!A1269)</f>
        <v>0</v>
      </c>
      <c r="B1269" t="b">
        <f>IF(Bestellungen!J1269="Ja",Bestellungen!B1269)</f>
        <v>0</v>
      </c>
      <c r="C1269" t="s">
        <v>51</v>
      </c>
      <c r="D1269" t="s">
        <v>51</v>
      </c>
      <c r="E1269" t="s">
        <v>51</v>
      </c>
      <c r="F1269" t="s">
        <v>51</v>
      </c>
      <c r="G1269" t="e">
        <f t="shared" si="19"/>
        <v>#DIV/0!</v>
      </c>
    </row>
    <row r="1270" spans="1:7" hidden="1" x14ac:dyDescent="0.35">
      <c r="A1270" t="b">
        <f>IF(Bestellungen!J1270="Ja",Bestellungen!A1270)</f>
        <v>0</v>
      </c>
      <c r="B1270" t="b">
        <f>IF(Bestellungen!J1270="Ja",Bestellungen!B1270)</f>
        <v>0</v>
      </c>
      <c r="C1270" t="s">
        <v>51</v>
      </c>
      <c r="D1270" t="s">
        <v>51</v>
      </c>
      <c r="E1270" t="s">
        <v>51</v>
      </c>
      <c r="F1270" t="s">
        <v>51</v>
      </c>
      <c r="G1270" t="e">
        <f t="shared" si="19"/>
        <v>#DIV/0!</v>
      </c>
    </row>
    <row r="1271" spans="1:7" x14ac:dyDescent="0.35">
      <c r="A1271">
        <f>IF(Bestellungen!J1271="Ja",Bestellungen!A1271)</f>
        <v>8918</v>
      </c>
      <c r="B1271">
        <f>IF(Bestellungen!J1271="Ja",Bestellungen!B1271)</f>
        <v>496</v>
      </c>
      <c r="C1271">
        <v>3</v>
      </c>
      <c r="D1271">
        <v>4</v>
      </c>
      <c r="E1271">
        <v>4</v>
      </c>
      <c r="F1271">
        <v>5</v>
      </c>
      <c r="G1271">
        <f t="shared" si="19"/>
        <v>4</v>
      </c>
    </row>
    <row r="1272" spans="1:7" x14ac:dyDescent="0.35">
      <c r="A1272">
        <f>IF(Bestellungen!J1272="Ja",Bestellungen!A1272)</f>
        <v>8919</v>
      </c>
      <c r="B1272">
        <f>IF(Bestellungen!J1272="Ja",Bestellungen!B1272)</f>
        <v>436</v>
      </c>
      <c r="C1272">
        <v>4</v>
      </c>
      <c r="D1272">
        <v>3</v>
      </c>
      <c r="E1272">
        <v>4</v>
      </c>
      <c r="F1272">
        <v>3</v>
      </c>
      <c r="G1272">
        <f t="shared" si="19"/>
        <v>3.5</v>
      </c>
    </row>
    <row r="1273" spans="1:7" x14ac:dyDescent="0.35">
      <c r="A1273">
        <f>IF(Bestellungen!J1273="Ja",Bestellungen!A1273)</f>
        <v>8920</v>
      </c>
      <c r="B1273">
        <f>IF(Bestellungen!J1273="Ja",Bestellungen!B1273)</f>
        <v>521</v>
      </c>
      <c r="C1273">
        <v>5</v>
      </c>
      <c r="D1273">
        <v>4</v>
      </c>
      <c r="E1273">
        <v>4</v>
      </c>
      <c r="F1273">
        <v>5</v>
      </c>
      <c r="G1273">
        <f t="shared" si="19"/>
        <v>4.5</v>
      </c>
    </row>
    <row r="1274" spans="1:7" x14ac:dyDescent="0.35">
      <c r="A1274">
        <f>IF(Bestellungen!J1274="Ja",Bestellungen!A1274)</f>
        <v>8921</v>
      </c>
      <c r="B1274">
        <f>IF(Bestellungen!J1274="Ja",Bestellungen!B1274)</f>
        <v>757</v>
      </c>
      <c r="C1274">
        <v>4</v>
      </c>
      <c r="D1274">
        <v>5</v>
      </c>
      <c r="E1274">
        <v>5</v>
      </c>
      <c r="F1274">
        <v>4</v>
      </c>
      <c r="G1274">
        <f t="shared" si="19"/>
        <v>4.5</v>
      </c>
    </row>
    <row r="1275" spans="1:7" hidden="1" x14ac:dyDescent="0.35">
      <c r="A1275" t="b">
        <f>IF(Bestellungen!J1275="Ja",Bestellungen!A1275)</f>
        <v>0</v>
      </c>
      <c r="B1275" t="b">
        <f>IF(Bestellungen!J1275="Ja",Bestellungen!B1275)</f>
        <v>0</v>
      </c>
      <c r="C1275" t="s">
        <v>51</v>
      </c>
      <c r="D1275" t="s">
        <v>51</v>
      </c>
      <c r="E1275" t="s">
        <v>51</v>
      </c>
      <c r="F1275" t="s">
        <v>51</v>
      </c>
      <c r="G1275" t="e">
        <f t="shared" si="19"/>
        <v>#DIV/0!</v>
      </c>
    </row>
    <row r="1276" spans="1:7" hidden="1" x14ac:dyDescent="0.35">
      <c r="A1276" t="b">
        <f>IF(Bestellungen!J1276="Ja",Bestellungen!A1276)</f>
        <v>0</v>
      </c>
      <c r="B1276" t="b">
        <f>IF(Bestellungen!J1276="Ja",Bestellungen!B1276)</f>
        <v>0</v>
      </c>
      <c r="C1276" t="s">
        <v>51</v>
      </c>
      <c r="D1276" t="s">
        <v>51</v>
      </c>
      <c r="E1276" t="s">
        <v>51</v>
      </c>
      <c r="F1276" t="s">
        <v>51</v>
      </c>
      <c r="G1276" t="e">
        <f t="shared" si="19"/>
        <v>#DIV/0!</v>
      </c>
    </row>
    <row r="1277" spans="1:7" x14ac:dyDescent="0.35">
      <c r="A1277">
        <f>IF(Bestellungen!J1277="Ja",Bestellungen!A1277)</f>
        <v>8924</v>
      </c>
      <c r="B1277">
        <f>IF(Bestellungen!J1277="Ja",Bestellungen!B1277)</f>
        <v>427</v>
      </c>
      <c r="C1277">
        <v>4</v>
      </c>
      <c r="D1277">
        <v>4</v>
      </c>
      <c r="E1277">
        <v>4</v>
      </c>
      <c r="F1277">
        <v>5</v>
      </c>
      <c r="G1277">
        <f t="shared" si="19"/>
        <v>4.25</v>
      </c>
    </row>
    <row r="1278" spans="1:7" hidden="1" x14ac:dyDescent="0.35">
      <c r="A1278" t="b">
        <f>IF(Bestellungen!J1278="Ja",Bestellungen!A1278)</f>
        <v>0</v>
      </c>
      <c r="B1278" t="b">
        <f>IF(Bestellungen!J1278="Ja",Bestellungen!B1278)</f>
        <v>0</v>
      </c>
      <c r="C1278" t="s">
        <v>51</v>
      </c>
      <c r="D1278" t="s">
        <v>51</v>
      </c>
      <c r="E1278" t="s">
        <v>51</v>
      </c>
      <c r="F1278" t="s">
        <v>51</v>
      </c>
      <c r="G1278" t="e">
        <f t="shared" si="19"/>
        <v>#DIV/0!</v>
      </c>
    </row>
    <row r="1279" spans="1:7" x14ac:dyDescent="0.35">
      <c r="A1279">
        <f>IF(Bestellungen!J1279="Ja",Bestellungen!A1279)</f>
        <v>8926</v>
      </c>
      <c r="B1279">
        <f>IF(Bestellungen!J1279="Ja",Bestellungen!B1279)</f>
        <v>368</v>
      </c>
      <c r="C1279">
        <v>4</v>
      </c>
      <c r="D1279">
        <v>5</v>
      </c>
      <c r="E1279">
        <v>4</v>
      </c>
      <c r="F1279">
        <v>3</v>
      </c>
      <c r="G1279">
        <f t="shared" si="19"/>
        <v>4</v>
      </c>
    </row>
    <row r="1280" spans="1:7" hidden="1" x14ac:dyDescent="0.35">
      <c r="A1280" t="b">
        <f>IF(Bestellungen!J1280="Ja",Bestellungen!A1280)</f>
        <v>0</v>
      </c>
      <c r="B1280" t="b">
        <f>IF(Bestellungen!J1280="Ja",Bestellungen!B1280)</f>
        <v>0</v>
      </c>
      <c r="C1280" t="s">
        <v>51</v>
      </c>
      <c r="D1280" t="s">
        <v>51</v>
      </c>
      <c r="E1280" t="s">
        <v>51</v>
      </c>
      <c r="F1280" t="s">
        <v>51</v>
      </c>
      <c r="G1280" t="e">
        <f t="shared" si="19"/>
        <v>#DIV/0!</v>
      </c>
    </row>
    <row r="1281" spans="1:7" hidden="1" x14ac:dyDescent="0.35">
      <c r="A1281" t="b">
        <f>IF(Bestellungen!J1281="Ja",Bestellungen!A1281)</f>
        <v>0</v>
      </c>
      <c r="B1281" t="b">
        <f>IF(Bestellungen!J1281="Ja",Bestellungen!B1281)</f>
        <v>0</v>
      </c>
      <c r="C1281" t="s">
        <v>51</v>
      </c>
      <c r="D1281" t="s">
        <v>51</v>
      </c>
      <c r="E1281" t="s">
        <v>51</v>
      </c>
      <c r="F1281" t="s">
        <v>51</v>
      </c>
      <c r="G1281" t="e">
        <f t="shared" si="19"/>
        <v>#DIV/0!</v>
      </c>
    </row>
    <row r="1282" spans="1:7" hidden="1" x14ac:dyDescent="0.35">
      <c r="A1282" t="b">
        <f>IF(Bestellungen!J1282="Ja",Bestellungen!A1282)</f>
        <v>0</v>
      </c>
      <c r="B1282" t="b">
        <f>IF(Bestellungen!J1282="Ja",Bestellungen!B1282)</f>
        <v>0</v>
      </c>
      <c r="C1282" t="s">
        <v>51</v>
      </c>
      <c r="D1282" t="s">
        <v>51</v>
      </c>
      <c r="E1282" t="s">
        <v>51</v>
      </c>
      <c r="F1282" t="s">
        <v>51</v>
      </c>
      <c r="G1282" t="e">
        <f t="shared" si="19"/>
        <v>#DIV/0!</v>
      </c>
    </row>
    <row r="1283" spans="1:7" x14ac:dyDescent="0.35">
      <c r="A1283">
        <f>IF(Bestellungen!J1283="Ja",Bestellungen!A1283)</f>
        <v>8930</v>
      </c>
      <c r="B1283">
        <f>IF(Bestellungen!J1283="Ja",Bestellungen!B1283)</f>
        <v>288</v>
      </c>
      <c r="C1283">
        <v>4</v>
      </c>
      <c r="D1283">
        <v>4</v>
      </c>
      <c r="E1283">
        <v>4</v>
      </c>
      <c r="F1283">
        <v>4</v>
      </c>
      <c r="G1283">
        <f t="shared" ref="G1283:G1346" si="20">SUM(C1283:F1283)/COUNT(C1283:F1283)</f>
        <v>4</v>
      </c>
    </row>
    <row r="1284" spans="1:7" x14ac:dyDescent="0.35">
      <c r="A1284">
        <f>IF(Bestellungen!J1284="Ja",Bestellungen!A1284)</f>
        <v>8931</v>
      </c>
      <c r="B1284">
        <f>IF(Bestellungen!J1284="Ja",Bestellungen!B1284)</f>
        <v>477</v>
      </c>
      <c r="C1284">
        <v>4</v>
      </c>
      <c r="D1284">
        <v>5</v>
      </c>
      <c r="E1284">
        <v>3</v>
      </c>
      <c r="F1284">
        <v>5</v>
      </c>
      <c r="G1284">
        <f t="shared" si="20"/>
        <v>4.25</v>
      </c>
    </row>
    <row r="1285" spans="1:7" hidden="1" x14ac:dyDescent="0.35">
      <c r="A1285" t="b">
        <f>IF(Bestellungen!J1285="Ja",Bestellungen!A1285)</f>
        <v>0</v>
      </c>
      <c r="B1285" t="b">
        <f>IF(Bestellungen!J1285="Ja",Bestellungen!B1285)</f>
        <v>0</v>
      </c>
      <c r="C1285" t="s">
        <v>51</v>
      </c>
      <c r="D1285" t="s">
        <v>51</v>
      </c>
      <c r="E1285" t="s">
        <v>51</v>
      </c>
      <c r="F1285" t="s">
        <v>51</v>
      </c>
      <c r="G1285" t="e">
        <f t="shared" si="20"/>
        <v>#DIV/0!</v>
      </c>
    </row>
    <row r="1286" spans="1:7" hidden="1" x14ac:dyDescent="0.35">
      <c r="A1286" t="b">
        <f>IF(Bestellungen!J1286="Ja",Bestellungen!A1286)</f>
        <v>0</v>
      </c>
      <c r="B1286" t="b">
        <f>IF(Bestellungen!J1286="Ja",Bestellungen!B1286)</f>
        <v>0</v>
      </c>
      <c r="C1286" t="s">
        <v>51</v>
      </c>
      <c r="D1286" t="s">
        <v>51</v>
      </c>
      <c r="E1286" t="s">
        <v>51</v>
      </c>
      <c r="F1286" t="s">
        <v>51</v>
      </c>
      <c r="G1286" t="e">
        <f t="shared" si="20"/>
        <v>#DIV/0!</v>
      </c>
    </row>
    <row r="1287" spans="1:7" x14ac:dyDescent="0.35">
      <c r="A1287">
        <f>IF(Bestellungen!J1287="Ja",Bestellungen!A1287)</f>
        <v>8934</v>
      </c>
      <c r="B1287">
        <f>IF(Bestellungen!J1287="Ja",Bestellungen!B1287)</f>
        <v>31</v>
      </c>
      <c r="C1287">
        <v>4</v>
      </c>
      <c r="D1287">
        <v>3</v>
      </c>
      <c r="E1287">
        <v>5</v>
      </c>
      <c r="F1287">
        <v>3</v>
      </c>
      <c r="G1287">
        <f t="shared" si="20"/>
        <v>3.75</v>
      </c>
    </row>
    <row r="1288" spans="1:7" hidden="1" x14ac:dyDescent="0.35">
      <c r="A1288" t="b">
        <f>IF(Bestellungen!J1288="Ja",Bestellungen!A1288)</f>
        <v>0</v>
      </c>
      <c r="B1288" t="b">
        <f>IF(Bestellungen!J1288="Ja",Bestellungen!B1288)</f>
        <v>0</v>
      </c>
      <c r="C1288" t="s">
        <v>51</v>
      </c>
      <c r="D1288" t="s">
        <v>51</v>
      </c>
      <c r="E1288" t="s">
        <v>51</v>
      </c>
      <c r="F1288" t="s">
        <v>51</v>
      </c>
      <c r="G1288" t="e">
        <f t="shared" si="20"/>
        <v>#DIV/0!</v>
      </c>
    </row>
    <row r="1289" spans="1:7" hidden="1" x14ac:dyDescent="0.35">
      <c r="A1289" t="b">
        <f>IF(Bestellungen!J1289="Ja",Bestellungen!A1289)</f>
        <v>0</v>
      </c>
      <c r="B1289" t="b">
        <f>IF(Bestellungen!J1289="Ja",Bestellungen!B1289)</f>
        <v>0</v>
      </c>
      <c r="C1289" t="s">
        <v>51</v>
      </c>
      <c r="D1289" t="s">
        <v>51</v>
      </c>
      <c r="E1289" t="s">
        <v>51</v>
      </c>
      <c r="F1289" t="s">
        <v>51</v>
      </c>
      <c r="G1289" t="e">
        <f t="shared" si="20"/>
        <v>#DIV/0!</v>
      </c>
    </row>
    <row r="1290" spans="1:7" x14ac:dyDescent="0.35">
      <c r="A1290">
        <f>IF(Bestellungen!J1290="Ja",Bestellungen!A1290)</f>
        <v>8937</v>
      </c>
      <c r="B1290">
        <f>IF(Bestellungen!J1290="Ja",Bestellungen!B1290)</f>
        <v>382</v>
      </c>
      <c r="C1290">
        <v>5</v>
      </c>
      <c r="D1290">
        <v>4</v>
      </c>
      <c r="E1290">
        <v>3</v>
      </c>
      <c r="F1290">
        <v>5</v>
      </c>
      <c r="G1290">
        <f t="shared" si="20"/>
        <v>4.25</v>
      </c>
    </row>
    <row r="1291" spans="1:7" hidden="1" x14ac:dyDescent="0.35">
      <c r="A1291" t="b">
        <f>IF(Bestellungen!J1291="Ja",Bestellungen!A1291)</f>
        <v>0</v>
      </c>
      <c r="B1291" t="b">
        <f>IF(Bestellungen!J1291="Ja",Bestellungen!B1291)</f>
        <v>0</v>
      </c>
      <c r="C1291" t="s">
        <v>51</v>
      </c>
      <c r="D1291" t="s">
        <v>51</v>
      </c>
      <c r="E1291" t="s">
        <v>51</v>
      </c>
      <c r="F1291" t="s">
        <v>51</v>
      </c>
      <c r="G1291" t="e">
        <f t="shared" si="20"/>
        <v>#DIV/0!</v>
      </c>
    </row>
    <row r="1292" spans="1:7" hidden="1" x14ac:dyDescent="0.35">
      <c r="A1292" t="b">
        <f>IF(Bestellungen!J1292="Ja",Bestellungen!A1292)</f>
        <v>0</v>
      </c>
      <c r="B1292" t="b">
        <f>IF(Bestellungen!J1292="Ja",Bestellungen!B1292)</f>
        <v>0</v>
      </c>
      <c r="C1292" t="s">
        <v>51</v>
      </c>
      <c r="D1292" t="s">
        <v>51</v>
      </c>
      <c r="E1292" t="s">
        <v>51</v>
      </c>
      <c r="F1292" t="s">
        <v>51</v>
      </c>
      <c r="G1292" t="e">
        <f t="shared" si="20"/>
        <v>#DIV/0!</v>
      </c>
    </row>
    <row r="1293" spans="1:7" x14ac:dyDescent="0.35">
      <c r="A1293">
        <f>IF(Bestellungen!J1293="Ja",Bestellungen!A1293)</f>
        <v>8940</v>
      </c>
      <c r="B1293">
        <f>IF(Bestellungen!J1293="Ja",Bestellungen!B1293)</f>
        <v>508</v>
      </c>
      <c r="C1293">
        <v>3</v>
      </c>
      <c r="D1293">
        <v>3</v>
      </c>
      <c r="E1293">
        <v>3</v>
      </c>
      <c r="F1293">
        <v>5</v>
      </c>
      <c r="G1293">
        <f t="shared" si="20"/>
        <v>3.5</v>
      </c>
    </row>
    <row r="1294" spans="1:7" x14ac:dyDescent="0.35">
      <c r="A1294">
        <f>IF(Bestellungen!J1294="Ja",Bestellungen!A1294)</f>
        <v>8941</v>
      </c>
      <c r="B1294">
        <f>IF(Bestellungen!J1294="Ja",Bestellungen!B1294)</f>
        <v>62</v>
      </c>
      <c r="C1294">
        <v>4</v>
      </c>
      <c r="D1294">
        <v>4</v>
      </c>
      <c r="E1294">
        <v>4</v>
      </c>
      <c r="F1294">
        <v>5</v>
      </c>
      <c r="G1294">
        <f t="shared" si="20"/>
        <v>4.25</v>
      </c>
    </row>
    <row r="1295" spans="1:7" hidden="1" x14ac:dyDescent="0.35">
      <c r="A1295" t="b">
        <f>IF(Bestellungen!J1295="Ja",Bestellungen!A1295)</f>
        <v>0</v>
      </c>
      <c r="B1295" t="b">
        <f>IF(Bestellungen!J1295="Ja",Bestellungen!B1295)</f>
        <v>0</v>
      </c>
      <c r="C1295" t="s">
        <v>51</v>
      </c>
      <c r="D1295" t="s">
        <v>51</v>
      </c>
      <c r="E1295" t="s">
        <v>51</v>
      </c>
      <c r="F1295" t="s">
        <v>51</v>
      </c>
      <c r="G1295" t="e">
        <f t="shared" si="20"/>
        <v>#DIV/0!</v>
      </c>
    </row>
    <row r="1296" spans="1:7" hidden="1" x14ac:dyDescent="0.35">
      <c r="A1296" t="b">
        <f>IF(Bestellungen!J1296="Ja",Bestellungen!A1296)</f>
        <v>0</v>
      </c>
      <c r="B1296" t="b">
        <f>IF(Bestellungen!J1296="Ja",Bestellungen!B1296)</f>
        <v>0</v>
      </c>
      <c r="C1296" t="s">
        <v>51</v>
      </c>
      <c r="D1296" t="s">
        <v>51</v>
      </c>
      <c r="E1296" t="s">
        <v>51</v>
      </c>
      <c r="F1296" t="s">
        <v>51</v>
      </c>
      <c r="G1296" t="e">
        <f t="shared" si="20"/>
        <v>#DIV/0!</v>
      </c>
    </row>
    <row r="1297" spans="1:7" hidden="1" x14ac:dyDescent="0.35">
      <c r="A1297" t="b">
        <f>IF(Bestellungen!J1297="Ja",Bestellungen!A1297)</f>
        <v>0</v>
      </c>
      <c r="B1297" t="b">
        <f>IF(Bestellungen!J1297="Ja",Bestellungen!B1297)</f>
        <v>0</v>
      </c>
      <c r="C1297" t="s">
        <v>51</v>
      </c>
      <c r="D1297" t="s">
        <v>51</v>
      </c>
      <c r="E1297" t="s">
        <v>51</v>
      </c>
      <c r="F1297" t="s">
        <v>51</v>
      </c>
      <c r="G1297" t="e">
        <f t="shared" si="20"/>
        <v>#DIV/0!</v>
      </c>
    </row>
    <row r="1298" spans="1:7" x14ac:dyDescent="0.35">
      <c r="A1298">
        <f>IF(Bestellungen!J1298="Ja",Bestellungen!A1298)</f>
        <v>8945</v>
      </c>
      <c r="B1298">
        <f>IF(Bestellungen!J1298="Ja",Bestellungen!B1298)</f>
        <v>259</v>
      </c>
      <c r="C1298">
        <v>5</v>
      </c>
      <c r="D1298">
        <v>5</v>
      </c>
      <c r="E1298">
        <v>3</v>
      </c>
      <c r="F1298">
        <v>5</v>
      </c>
      <c r="G1298">
        <f t="shared" si="20"/>
        <v>4.5</v>
      </c>
    </row>
    <row r="1299" spans="1:7" x14ac:dyDescent="0.35">
      <c r="A1299">
        <f>IF(Bestellungen!J1299="Ja",Bestellungen!A1299)</f>
        <v>8946</v>
      </c>
      <c r="B1299">
        <f>IF(Bestellungen!J1299="Ja",Bestellungen!B1299)</f>
        <v>215</v>
      </c>
      <c r="C1299">
        <v>4</v>
      </c>
      <c r="D1299">
        <v>3</v>
      </c>
      <c r="E1299">
        <v>3</v>
      </c>
      <c r="F1299">
        <v>4</v>
      </c>
      <c r="G1299">
        <f t="shared" si="20"/>
        <v>3.5</v>
      </c>
    </row>
    <row r="1300" spans="1:7" x14ac:dyDescent="0.35">
      <c r="A1300">
        <f>IF(Bestellungen!J1300="Ja",Bestellungen!A1300)</f>
        <v>8947</v>
      </c>
      <c r="B1300">
        <f>IF(Bestellungen!J1300="Ja",Bestellungen!B1300)</f>
        <v>786</v>
      </c>
      <c r="C1300">
        <v>5</v>
      </c>
      <c r="D1300">
        <v>5</v>
      </c>
      <c r="E1300">
        <v>5</v>
      </c>
      <c r="F1300">
        <v>3</v>
      </c>
      <c r="G1300">
        <f t="shared" si="20"/>
        <v>4.5</v>
      </c>
    </row>
    <row r="1301" spans="1:7" hidden="1" x14ac:dyDescent="0.35">
      <c r="A1301" t="b">
        <f>IF(Bestellungen!J1301="Ja",Bestellungen!A1301)</f>
        <v>0</v>
      </c>
      <c r="B1301" t="b">
        <f>IF(Bestellungen!J1301="Ja",Bestellungen!B1301)</f>
        <v>0</v>
      </c>
      <c r="C1301" t="s">
        <v>51</v>
      </c>
      <c r="D1301" t="s">
        <v>51</v>
      </c>
      <c r="E1301" t="s">
        <v>51</v>
      </c>
      <c r="F1301" t="s">
        <v>51</v>
      </c>
      <c r="G1301" t="e">
        <f t="shared" si="20"/>
        <v>#DIV/0!</v>
      </c>
    </row>
    <row r="1302" spans="1:7" hidden="1" x14ac:dyDescent="0.35">
      <c r="A1302" t="b">
        <f>IF(Bestellungen!J1302="Ja",Bestellungen!A1302)</f>
        <v>0</v>
      </c>
      <c r="B1302" t="b">
        <f>IF(Bestellungen!J1302="Ja",Bestellungen!B1302)</f>
        <v>0</v>
      </c>
      <c r="C1302" t="s">
        <v>51</v>
      </c>
      <c r="D1302" t="s">
        <v>51</v>
      </c>
      <c r="E1302" t="s">
        <v>51</v>
      </c>
      <c r="F1302" t="s">
        <v>51</v>
      </c>
      <c r="G1302" t="e">
        <f t="shared" si="20"/>
        <v>#DIV/0!</v>
      </c>
    </row>
    <row r="1303" spans="1:7" x14ac:dyDescent="0.35">
      <c r="A1303">
        <f>IF(Bestellungen!J1303="Ja",Bestellungen!A1303)</f>
        <v>8950</v>
      </c>
      <c r="B1303">
        <f>IF(Bestellungen!J1303="Ja",Bestellungen!B1303)</f>
        <v>384</v>
      </c>
      <c r="C1303">
        <v>4</v>
      </c>
      <c r="D1303">
        <v>4</v>
      </c>
      <c r="E1303">
        <v>5</v>
      </c>
      <c r="F1303">
        <v>5</v>
      </c>
      <c r="G1303">
        <f t="shared" si="20"/>
        <v>4.5</v>
      </c>
    </row>
    <row r="1304" spans="1:7" hidden="1" x14ac:dyDescent="0.35">
      <c r="A1304" t="b">
        <f>IF(Bestellungen!J1304="Ja",Bestellungen!A1304)</f>
        <v>0</v>
      </c>
      <c r="B1304" t="b">
        <f>IF(Bestellungen!J1304="Ja",Bestellungen!B1304)</f>
        <v>0</v>
      </c>
      <c r="C1304" t="s">
        <v>51</v>
      </c>
      <c r="D1304" t="s">
        <v>51</v>
      </c>
      <c r="E1304" t="s">
        <v>51</v>
      </c>
      <c r="F1304" t="s">
        <v>51</v>
      </c>
      <c r="G1304" t="e">
        <f t="shared" si="20"/>
        <v>#DIV/0!</v>
      </c>
    </row>
    <row r="1305" spans="1:7" x14ac:dyDescent="0.35">
      <c r="A1305">
        <f>IF(Bestellungen!J1305="Ja",Bestellungen!A1305)</f>
        <v>8952</v>
      </c>
      <c r="B1305">
        <f>IF(Bestellungen!J1305="Ja",Bestellungen!B1305)</f>
        <v>517</v>
      </c>
      <c r="C1305">
        <v>4</v>
      </c>
      <c r="D1305">
        <v>5</v>
      </c>
      <c r="E1305">
        <v>4</v>
      </c>
      <c r="F1305">
        <v>4</v>
      </c>
      <c r="G1305">
        <f t="shared" si="20"/>
        <v>4.25</v>
      </c>
    </row>
    <row r="1306" spans="1:7" hidden="1" x14ac:dyDescent="0.35">
      <c r="A1306" t="b">
        <f>IF(Bestellungen!J1306="Ja",Bestellungen!A1306)</f>
        <v>0</v>
      </c>
      <c r="B1306" t="b">
        <f>IF(Bestellungen!J1306="Ja",Bestellungen!B1306)</f>
        <v>0</v>
      </c>
      <c r="C1306" t="s">
        <v>51</v>
      </c>
      <c r="D1306" t="s">
        <v>51</v>
      </c>
      <c r="E1306" t="s">
        <v>51</v>
      </c>
      <c r="F1306" t="s">
        <v>51</v>
      </c>
      <c r="G1306" t="e">
        <f t="shared" si="20"/>
        <v>#DIV/0!</v>
      </c>
    </row>
    <row r="1307" spans="1:7" x14ac:dyDescent="0.35">
      <c r="A1307">
        <f>IF(Bestellungen!J1307="Ja",Bestellungen!A1307)</f>
        <v>8954</v>
      </c>
      <c r="B1307">
        <f>IF(Bestellungen!J1307="Ja",Bestellungen!B1307)</f>
        <v>451</v>
      </c>
      <c r="C1307">
        <v>3</v>
      </c>
      <c r="D1307">
        <v>4</v>
      </c>
      <c r="E1307">
        <v>5</v>
      </c>
      <c r="F1307">
        <v>4</v>
      </c>
      <c r="G1307">
        <f t="shared" si="20"/>
        <v>4</v>
      </c>
    </row>
    <row r="1308" spans="1:7" x14ac:dyDescent="0.35">
      <c r="A1308">
        <f>IF(Bestellungen!J1308="Ja",Bestellungen!A1308)</f>
        <v>8955</v>
      </c>
      <c r="B1308">
        <f>IF(Bestellungen!J1308="Ja",Bestellungen!B1308)</f>
        <v>316</v>
      </c>
      <c r="C1308">
        <v>4</v>
      </c>
      <c r="D1308">
        <v>3</v>
      </c>
      <c r="E1308">
        <v>4</v>
      </c>
      <c r="F1308">
        <v>4</v>
      </c>
      <c r="G1308">
        <f t="shared" si="20"/>
        <v>3.75</v>
      </c>
    </row>
    <row r="1309" spans="1:7" x14ac:dyDescent="0.35">
      <c r="A1309">
        <f>IF(Bestellungen!J1309="Ja",Bestellungen!A1309)</f>
        <v>8956</v>
      </c>
      <c r="B1309">
        <f>IF(Bestellungen!J1309="Ja",Bestellungen!B1309)</f>
        <v>65</v>
      </c>
      <c r="C1309">
        <v>3</v>
      </c>
      <c r="D1309">
        <v>4</v>
      </c>
      <c r="E1309">
        <v>3</v>
      </c>
      <c r="F1309">
        <v>4</v>
      </c>
      <c r="G1309">
        <f t="shared" si="20"/>
        <v>3.5</v>
      </c>
    </row>
    <row r="1310" spans="1:7" hidden="1" x14ac:dyDescent="0.35">
      <c r="A1310" t="b">
        <f>IF(Bestellungen!J1310="Ja",Bestellungen!A1310)</f>
        <v>0</v>
      </c>
      <c r="B1310" t="b">
        <f>IF(Bestellungen!J1310="Ja",Bestellungen!B1310)</f>
        <v>0</v>
      </c>
      <c r="C1310" t="s">
        <v>51</v>
      </c>
      <c r="D1310" t="s">
        <v>51</v>
      </c>
      <c r="E1310" t="s">
        <v>51</v>
      </c>
      <c r="F1310" t="s">
        <v>51</v>
      </c>
      <c r="G1310" t="e">
        <f t="shared" si="20"/>
        <v>#DIV/0!</v>
      </c>
    </row>
    <row r="1311" spans="1:7" x14ac:dyDescent="0.35">
      <c r="A1311">
        <f>IF(Bestellungen!J1311="Ja",Bestellungen!A1311)</f>
        <v>8958</v>
      </c>
      <c r="B1311">
        <f>IF(Bestellungen!J1311="Ja",Bestellungen!B1311)</f>
        <v>587</v>
      </c>
      <c r="C1311">
        <v>5</v>
      </c>
      <c r="D1311">
        <v>5</v>
      </c>
      <c r="E1311">
        <v>3</v>
      </c>
      <c r="F1311">
        <v>4</v>
      </c>
      <c r="G1311">
        <f t="shared" si="20"/>
        <v>4.25</v>
      </c>
    </row>
    <row r="1312" spans="1:7" hidden="1" x14ac:dyDescent="0.35">
      <c r="A1312" t="b">
        <f>IF(Bestellungen!J1312="Ja",Bestellungen!A1312)</f>
        <v>0</v>
      </c>
      <c r="B1312" t="b">
        <f>IF(Bestellungen!J1312="Ja",Bestellungen!B1312)</f>
        <v>0</v>
      </c>
      <c r="C1312" t="s">
        <v>51</v>
      </c>
      <c r="D1312" t="s">
        <v>51</v>
      </c>
      <c r="E1312" t="s">
        <v>51</v>
      </c>
      <c r="F1312" t="s">
        <v>51</v>
      </c>
      <c r="G1312" t="e">
        <f t="shared" si="20"/>
        <v>#DIV/0!</v>
      </c>
    </row>
    <row r="1313" spans="1:7" x14ac:dyDescent="0.35">
      <c r="A1313">
        <f>IF(Bestellungen!J1313="Ja",Bestellungen!A1313)</f>
        <v>8960</v>
      </c>
      <c r="B1313">
        <f>IF(Bestellungen!J1313="Ja",Bestellungen!B1313)</f>
        <v>774</v>
      </c>
      <c r="C1313">
        <v>4</v>
      </c>
      <c r="D1313">
        <v>3</v>
      </c>
      <c r="E1313">
        <v>5</v>
      </c>
      <c r="F1313">
        <v>5</v>
      </c>
      <c r="G1313">
        <f t="shared" si="20"/>
        <v>4.25</v>
      </c>
    </row>
    <row r="1314" spans="1:7" hidden="1" x14ac:dyDescent="0.35">
      <c r="A1314" t="b">
        <f>IF(Bestellungen!J1314="Ja",Bestellungen!A1314)</f>
        <v>0</v>
      </c>
      <c r="B1314" t="b">
        <f>IF(Bestellungen!J1314="Ja",Bestellungen!B1314)</f>
        <v>0</v>
      </c>
      <c r="C1314" t="s">
        <v>51</v>
      </c>
      <c r="D1314" t="s">
        <v>51</v>
      </c>
      <c r="E1314" t="s">
        <v>51</v>
      </c>
      <c r="F1314" t="s">
        <v>51</v>
      </c>
      <c r="G1314" t="e">
        <f t="shared" si="20"/>
        <v>#DIV/0!</v>
      </c>
    </row>
    <row r="1315" spans="1:7" hidden="1" x14ac:dyDescent="0.35">
      <c r="A1315" t="b">
        <f>IF(Bestellungen!J1315="Ja",Bestellungen!A1315)</f>
        <v>0</v>
      </c>
      <c r="B1315" t="b">
        <f>IF(Bestellungen!J1315="Ja",Bestellungen!B1315)</f>
        <v>0</v>
      </c>
      <c r="C1315" t="s">
        <v>51</v>
      </c>
      <c r="D1315" t="s">
        <v>51</v>
      </c>
      <c r="E1315" t="s">
        <v>51</v>
      </c>
      <c r="F1315" t="s">
        <v>51</v>
      </c>
      <c r="G1315" t="e">
        <f t="shared" si="20"/>
        <v>#DIV/0!</v>
      </c>
    </row>
    <row r="1316" spans="1:7" x14ac:dyDescent="0.35">
      <c r="A1316">
        <f>IF(Bestellungen!J1316="Ja",Bestellungen!A1316)</f>
        <v>8963</v>
      </c>
      <c r="B1316">
        <f>IF(Bestellungen!J1316="Ja",Bestellungen!B1316)</f>
        <v>233</v>
      </c>
      <c r="C1316">
        <v>4</v>
      </c>
      <c r="D1316">
        <v>5</v>
      </c>
      <c r="E1316">
        <v>3</v>
      </c>
      <c r="F1316">
        <v>4</v>
      </c>
      <c r="G1316">
        <f t="shared" si="20"/>
        <v>4</v>
      </c>
    </row>
    <row r="1317" spans="1:7" hidden="1" x14ac:dyDescent="0.35">
      <c r="A1317" t="b">
        <f>IF(Bestellungen!J1317="Ja",Bestellungen!A1317)</f>
        <v>0</v>
      </c>
      <c r="B1317" t="b">
        <f>IF(Bestellungen!J1317="Ja",Bestellungen!B1317)</f>
        <v>0</v>
      </c>
      <c r="C1317" t="s">
        <v>51</v>
      </c>
      <c r="D1317" t="s">
        <v>51</v>
      </c>
      <c r="E1317" t="s">
        <v>51</v>
      </c>
      <c r="F1317" t="s">
        <v>51</v>
      </c>
      <c r="G1317" t="e">
        <f t="shared" si="20"/>
        <v>#DIV/0!</v>
      </c>
    </row>
    <row r="1318" spans="1:7" hidden="1" x14ac:dyDescent="0.35">
      <c r="A1318" t="b">
        <f>IF(Bestellungen!J1318="Ja",Bestellungen!A1318)</f>
        <v>0</v>
      </c>
      <c r="B1318" t="b">
        <f>IF(Bestellungen!J1318="Ja",Bestellungen!B1318)</f>
        <v>0</v>
      </c>
      <c r="C1318" t="s">
        <v>51</v>
      </c>
      <c r="D1318" t="s">
        <v>51</v>
      </c>
      <c r="E1318" t="s">
        <v>51</v>
      </c>
      <c r="F1318" t="s">
        <v>51</v>
      </c>
      <c r="G1318" t="e">
        <f t="shared" si="20"/>
        <v>#DIV/0!</v>
      </c>
    </row>
    <row r="1319" spans="1:7" hidden="1" x14ac:dyDescent="0.35">
      <c r="A1319" t="b">
        <f>IF(Bestellungen!J1319="Ja",Bestellungen!A1319)</f>
        <v>0</v>
      </c>
      <c r="B1319" t="b">
        <f>IF(Bestellungen!J1319="Ja",Bestellungen!B1319)</f>
        <v>0</v>
      </c>
      <c r="C1319" t="s">
        <v>51</v>
      </c>
      <c r="D1319" t="s">
        <v>51</v>
      </c>
      <c r="E1319" t="s">
        <v>51</v>
      </c>
      <c r="F1319" t="s">
        <v>51</v>
      </c>
      <c r="G1319" t="e">
        <f t="shared" si="20"/>
        <v>#DIV/0!</v>
      </c>
    </row>
    <row r="1320" spans="1:7" x14ac:dyDescent="0.35">
      <c r="A1320">
        <f>IF(Bestellungen!J1320="Ja",Bestellungen!A1320)</f>
        <v>8967</v>
      </c>
      <c r="B1320">
        <f>IF(Bestellungen!J1320="Ja",Bestellungen!B1320)</f>
        <v>631</v>
      </c>
      <c r="C1320">
        <v>4</v>
      </c>
      <c r="D1320">
        <v>4</v>
      </c>
      <c r="E1320">
        <v>3</v>
      </c>
      <c r="F1320">
        <v>3</v>
      </c>
      <c r="G1320">
        <f t="shared" si="20"/>
        <v>3.5</v>
      </c>
    </row>
    <row r="1321" spans="1:7" hidden="1" x14ac:dyDescent="0.35">
      <c r="A1321" t="b">
        <f>IF(Bestellungen!J1321="Ja",Bestellungen!A1321)</f>
        <v>0</v>
      </c>
      <c r="B1321" t="b">
        <f>IF(Bestellungen!J1321="Ja",Bestellungen!B1321)</f>
        <v>0</v>
      </c>
      <c r="C1321" t="s">
        <v>51</v>
      </c>
      <c r="D1321" t="s">
        <v>51</v>
      </c>
      <c r="E1321" t="s">
        <v>51</v>
      </c>
      <c r="F1321" t="s">
        <v>51</v>
      </c>
      <c r="G1321" t="e">
        <f t="shared" si="20"/>
        <v>#DIV/0!</v>
      </c>
    </row>
    <row r="1322" spans="1:7" x14ac:dyDescent="0.35">
      <c r="A1322">
        <f>IF(Bestellungen!J1322="Ja",Bestellungen!A1322)</f>
        <v>8969</v>
      </c>
      <c r="B1322">
        <f>IF(Bestellungen!J1322="Ja",Bestellungen!B1322)</f>
        <v>459</v>
      </c>
      <c r="C1322">
        <v>4</v>
      </c>
      <c r="D1322">
        <v>4</v>
      </c>
      <c r="E1322">
        <v>4</v>
      </c>
      <c r="F1322">
        <v>5</v>
      </c>
      <c r="G1322">
        <f t="shared" si="20"/>
        <v>4.25</v>
      </c>
    </row>
    <row r="1323" spans="1:7" x14ac:dyDescent="0.35">
      <c r="A1323">
        <f>IF(Bestellungen!J1323="Ja",Bestellungen!A1323)</f>
        <v>8970</v>
      </c>
      <c r="B1323">
        <f>IF(Bestellungen!J1323="Ja",Bestellungen!B1323)</f>
        <v>750</v>
      </c>
      <c r="C1323">
        <v>4</v>
      </c>
      <c r="D1323">
        <v>3</v>
      </c>
      <c r="E1323">
        <v>3</v>
      </c>
      <c r="F1323">
        <v>5</v>
      </c>
      <c r="G1323">
        <f t="shared" si="20"/>
        <v>3.75</v>
      </c>
    </row>
    <row r="1324" spans="1:7" x14ac:dyDescent="0.35">
      <c r="A1324">
        <f>IF(Bestellungen!J1324="Ja",Bestellungen!A1324)</f>
        <v>8971</v>
      </c>
      <c r="B1324">
        <f>IF(Bestellungen!J1324="Ja",Bestellungen!B1324)</f>
        <v>768</v>
      </c>
      <c r="C1324">
        <v>3</v>
      </c>
      <c r="D1324">
        <v>5</v>
      </c>
      <c r="E1324">
        <v>4</v>
      </c>
      <c r="F1324">
        <v>4</v>
      </c>
      <c r="G1324">
        <f t="shared" si="20"/>
        <v>4</v>
      </c>
    </row>
    <row r="1325" spans="1:7" hidden="1" x14ac:dyDescent="0.35">
      <c r="A1325" t="b">
        <f>IF(Bestellungen!J1325="Ja",Bestellungen!A1325)</f>
        <v>0</v>
      </c>
      <c r="B1325" t="b">
        <f>IF(Bestellungen!J1325="Ja",Bestellungen!B1325)</f>
        <v>0</v>
      </c>
      <c r="C1325" t="s">
        <v>51</v>
      </c>
      <c r="D1325" t="s">
        <v>51</v>
      </c>
      <c r="E1325" t="s">
        <v>51</v>
      </c>
      <c r="F1325" t="s">
        <v>51</v>
      </c>
      <c r="G1325" t="e">
        <f t="shared" si="20"/>
        <v>#DIV/0!</v>
      </c>
    </row>
    <row r="1326" spans="1:7" hidden="1" x14ac:dyDescent="0.35">
      <c r="A1326" t="b">
        <f>IF(Bestellungen!J1326="Ja",Bestellungen!A1326)</f>
        <v>0</v>
      </c>
      <c r="B1326" t="b">
        <f>IF(Bestellungen!J1326="Ja",Bestellungen!B1326)</f>
        <v>0</v>
      </c>
      <c r="C1326" t="s">
        <v>51</v>
      </c>
      <c r="D1326" t="s">
        <v>51</v>
      </c>
      <c r="E1326" t="s">
        <v>51</v>
      </c>
      <c r="F1326" t="s">
        <v>51</v>
      </c>
      <c r="G1326" t="e">
        <f t="shared" si="20"/>
        <v>#DIV/0!</v>
      </c>
    </row>
    <row r="1327" spans="1:7" hidden="1" x14ac:dyDescent="0.35">
      <c r="A1327" t="b">
        <f>IF(Bestellungen!J1327="Ja",Bestellungen!A1327)</f>
        <v>0</v>
      </c>
      <c r="B1327" t="b">
        <f>IF(Bestellungen!J1327="Ja",Bestellungen!B1327)</f>
        <v>0</v>
      </c>
      <c r="C1327" t="s">
        <v>51</v>
      </c>
      <c r="D1327" t="s">
        <v>51</v>
      </c>
      <c r="E1327" t="s">
        <v>51</v>
      </c>
      <c r="F1327" t="s">
        <v>51</v>
      </c>
      <c r="G1327" t="e">
        <f t="shared" si="20"/>
        <v>#DIV/0!</v>
      </c>
    </row>
    <row r="1328" spans="1:7" hidden="1" x14ac:dyDescent="0.35">
      <c r="A1328" t="b">
        <f>IF(Bestellungen!J1328="Ja",Bestellungen!A1328)</f>
        <v>0</v>
      </c>
      <c r="B1328" t="b">
        <f>IF(Bestellungen!J1328="Ja",Bestellungen!B1328)</f>
        <v>0</v>
      </c>
      <c r="C1328" t="s">
        <v>51</v>
      </c>
      <c r="D1328" t="s">
        <v>51</v>
      </c>
      <c r="E1328" t="s">
        <v>51</v>
      </c>
      <c r="F1328" t="s">
        <v>51</v>
      </c>
      <c r="G1328" t="e">
        <f t="shared" si="20"/>
        <v>#DIV/0!</v>
      </c>
    </row>
    <row r="1329" spans="1:7" x14ac:dyDescent="0.35">
      <c r="A1329">
        <f>IF(Bestellungen!J1329="Ja",Bestellungen!A1329)</f>
        <v>8976</v>
      </c>
      <c r="B1329">
        <f>IF(Bestellungen!J1329="Ja",Bestellungen!B1329)</f>
        <v>448</v>
      </c>
      <c r="C1329">
        <v>4</v>
      </c>
      <c r="D1329">
        <v>5</v>
      </c>
      <c r="E1329">
        <v>5</v>
      </c>
      <c r="F1329">
        <v>3</v>
      </c>
      <c r="G1329">
        <f t="shared" si="20"/>
        <v>4.25</v>
      </c>
    </row>
    <row r="1330" spans="1:7" hidden="1" x14ac:dyDescent="0.35">
      <c r="A1330" t="b">
        <f>IF(Bestellungen!J1330="Ja",Bestellungen!A1330)</f>
        <v>0</v>
      </c>
      <c r="B1330" t="b">
        <f>IF(Bestellungen!J1330="Ja",Bestellungen!B1330)</f>
        <v>0</v>
      </c>
      <c r="C1330" t="s">
        <v>51</v>
      </c>
      <c r="D1330" t="s">
        <v>51</v>
      </c>
      <c r="E1330" t="s">
        <v>51</v>
      </c>
      <c r="F1330" t="s">
        <v>51</v>
      </c>
      <c r="G1330" t="e">
        <f t="shared" si="20"/>
        <v>#DIV/0!</v>
      </c>
    </row>
    <row r="1331" spans="1:7" hidden="1" x14ac:dyDescent="0.35">
      <c r="A1331" t="b">
        <f>IF(Bestellungen!J1331="Ja",Bestellungen!A1331)</f>
        <v>0</v>
      </c>
      <c r="B1331" t="b">
        <f>IF(Bestellungen!J1331="Ja",Bestellungen!B1331)</f>
        <v>0</v>
      </c>
      <c r="C1331" t="s">
        <v>51</v>
      </c>
      <c r="D1331" t="s">
        <v>51</v>
      </c>
      <c r="E1331" t="s">
        <v>51</v>
      </c>
      <c r="F1331" t="s">
        <v>51</v>
      </c>
      <c r="G1331" t="e">
        <f t="shared" si="20"/>
        <v>#DIV/0!</v>
      </c>
    </row>
    <row r="1332" spans="1:7" hidden="1" x14ac:dyDescent="0.35">
      <c r="A1332" t="b">
        <f>IF(Bestellungen!J1332="Ja",Bestellungen!A1332)</f>
        <v>0</v>
      </c>
      <c r="B1332" t="b">
        <f>IF(Bestellungen!J1332="Ja",Bestellungen!B1332)</f>
        <v>0</v>
      </c>
      <c r="C1332" t="s">
        <v>51</v>
      </c>
      <c r="D1332" t="s">
        <v>51</v>
      </c>
      <c r="E1332" t="s">
        <v>51</v>
      </c>
      <c r="F1332" t="s">
        <v>51</v>
      </c>
      <c r="G1332" t="e">
        <f t="shared" si="20"/>
        <v>#DIV/0!</v>
      </c>
    </row>
    <row r="1333" spans="1:7" hidden="1" x14ac:dyDescent="0.35">
      <c r="A1333" t="b">
        <f>IF(Bestellungen!J1333="Ja",Bestellungen!A1333)</f>
        <v>0</v>
      </c>
      <c r="B1333" t="b">
        <f>IF(Bestellungen!J1333="Ja",Bestellungen!B1333)</f>
        <v>0</v>
      </c>
      <c r="C1333" t="s">
        <v>51</v>
      </c>
      <c r="D1333" t="s">
        <v>51</v>
      </c>
      <c r="E1333" t="s">
        <v>51</v>
      </c>
      <c r="F1333" t="s">
        <v>51</v>
      </c>
      <c r="G1333" t="e">
        <f t="shared" si="20"/>
        <v>#DIV/0!</v>
      </c>
    </row>
    <row r="1334" spans="1:7" hidden="1" x14ac:dyDescent="0.35">
      <c r="A1334" t="b">
        <f>IF(Bestellungen!J1334="Ja",Bestellungen!A1334)</f>
        <v>0</v>
      </c>
      <c r="B1334" t="b">
        <f>IF(Bestellungen!J1334="Ja",Bestellungen!B1334)</f>
        <v>0</v>
      </c>
      <c r="C1334" t="s">
        <v>51</v>
      </c>
      <c r="D1334" t="s">
        <v>51</v>
      </c>
      <c r="E1334" t="s">
        <v>51</v>
      </c>
      <c r="F1334" t="s">
        <v>51</v>
      </c>
      <c r="G1334" t="e">
        <f t="shared" si="20"/>
        <v>#DIV/0!</v>
      </c>
    </row>
    <row r="1335" spans="1:7" x14ac:dyDescent="0.35">
      <c r="A1335">
        <f>IF(Bestellungen!J1335="Ja",Bestellungen!A1335)</f>
        <v>8982</v>
      </c>
      <c r="B1335">
        <f>IF(Bestellungen!J1335="Ja",Bestellungen!B1335)</f>
        <v>511</v>
      </c>
      <c r="C1335">
        <v>3</v>
      </c>
      <c r="D1335">
        <v>4</v>
      </c>
      <c r="E1335">
        <v>3</v>
      </c>
      <c r="F1335">
        <v>4</v>
      </c>
      <c r="G1335">
        <f t="shared" si="20"/>
        <v>3.5</v>
      </c>
    </row>
    <row r="1336" spans="1:7" hidden="1" x14ac:dyDescent="0.35">
      <c r="A1336" t="b">
        <f>IF(Bestellungen!J1336="Ja",Bestellungen!A1336)</f>
        <v>0</v>
      </c>
      <c r="B1336" t="b">
        <f>IF(Bestellungen!J1336="Ja",Bestellungen!B1336)</f>
        <v>0</v>
      </c>
      <c r="C1336" t="s">
        <v>51</v>
      </c>
      <c r="D1336" t="s">
        <v>51</v>
      </c>
      <c r="E1336" t="s">
        <v>51</v>
      </c>
      <c r="F1336" t="s">
        <v>51</v>
      </c>
      <c r="G1336" t="e">
        <f t="shared" si="20"/>
        <v>#DIV/0!</v>
      </c>
    </row>
    <row r="1337" spans="1:7" hidden="1" x14ac:dyDescent="0.35">
      <c r="A1337" t="b">
        <f>IF(Bestellungen!J1337="Ja",Bestellungen!A1337)</f>
        <v>0</v>
      </c>
      <c r="B1337" t="b">
        <f>IF(Bestellungen!J1337="Ja",Bestellungen!B1337)</f>
        <v>0</v>
      </c>
      <c r="C1337" t="s">
        <v>51</v>
      </c>
      <c r="D1337" t="s">
        <v>51</v>
      </c>
      <c r="E1337" t="s">
        <v>51</v>
      </c>
      <c r="F1337" t="s">
        <v>51</v>
      </c>
      <c r="G1337" t="e">
        <f t="shared" si="20"/>
        <v>#DIV/0!</v>
      </c>
    </row>
    <row r="1338" spans="1:7" x14ac:dyDescent="0.35">
      <c r="A1338">
        <f>IF(Bestellungen!J1338="Ja",Bestellungen!A1338)</f>
        <v>8985</v>
      </c>
      <c r="B1338">
        <f>IF(Bestellungen!J1338="Ja",Bestellungen!B1338)</f>
        <v>689</v>
      </c>
      <c r="C1338">
        <v>4</v>
      </c>
      <c r="D1338">
        <v>4</v>
      </c>
      <c r="E1338">
        <v>3</v>
      </c>
      <c r="F1338">
        <v>4</v>
      </c>
      <c r="G1338">
        <f t="shared" si="20"/>
        <v>3.75</v>
      </c>
    </row>
    <row r="1339" spans="1:7" x14ac:dyDescent="0.35">
      <c r="A1339">
        <f>IF(Bestellungen!J1339="Ja",Bestellungen!A1339)</f>
        <v>8986</v>
      </c>
      <c r="B1339">
        <f>IF(Bestellungen!J1339="Ja",Bestellungen!B1339)</f>
        <v>114</v>
      </c>
      <c r="C1339">
        <v>4</v>
      </c>
      <c r="D1339">
        <v>3</v>
      </c>
      <c r="E1339">
        <v>3</v>
      </c>
      <c r="F1339">
        <v>3</v>
      </c>
      <c r="G1339">
        <f t="shared" si="20"/>
        <v>3.25</v>
      </c>
    </row>
    <row r="1340" spans="1:7" hidden="1" x14ac:dyDescent="0.35">
      <c r="A1340" t="b">
        <f>IF(Bestellungen!J1340="Ja",Bestellungen!A1340)</f>
        <v>0</v>
      </c>
      <c r="B1340" t="b">
        <f>IF(Bestellungen!J1340="Ja",Bestellungen!B1340)</f>
        <v>0</v>
      </c>
      <c r="C1340" t="s">
        <v>51</v>
      </c>
      <c r="D1340" t="s">
        <v>51</v>
      </c>
      <c r="E1340" t="s">
        <v>51</v>
      </c>
      <c r="F1340" t="s">
        <v>51</v>
      </c>
      <c r="G1340" t="e">
        <f t="shared" si="20"/>
        <v>#DIV/0!</v>
      </c>
    </row>
    <row r="1341" spans="1:7" x14ac:dyDescent="0.35">
      <c r="A1341">
        <f>IF(Bestellungen!J1341="Ja",Bestellungen!A1341)</f>
        <v>8988</v>
      </c>
      <c r="B1341">
        <f>IF(Bestellungen!J1341="Ja",Bestellungen!B1341)</f>
        <v>393</v>
      </c>
      <c r="C1341">
        <v>5</v>
      </c>
      <c r="D1341">
        <v>4</v>
      </c>
      <c r="E1341">
        <v>4</v>
      </c>
      <c r="F1341">
        <v>4</v>
      </c>
      <c r="G1341">
        <f t="shared" si="20"/>
        <v>4.25</v>
      </c>
    </row>
    <row r="1342" spans="1:7" x14ac:dyDescent="0.35">
      <c r="A1342">
        <f>IF(Bestellungen!J1342="Ja",Bestellungen!A1342)</f>
        <v>8989</v>
      </c>
      <c r="B1342">
        <f>IF(Bestellungen!J1342="Ja",Bestellungen!B1342)</f>
        <v>576</v>
      </c>
      <c r="C1342">
        <v>4</v>
      </c>
      <c r="D1342">
        <v>5</v>
      </c>
      <c r="E1342">
        <v>4</v>
      </c>
      <c r="F1342">
        <v>3</v>
      </c>
      <c r="G1342">
        <f t="shared" si="20"/>
        <v>4</v>
      </c>
    </row>
    <row r="1343" spans="1:7" hidden="1" x14ac:dyDescent="0.35">
      <c r="A1343" t="b">
        <f>IF(Bestellungen!J1343="Ja",Bestellungen!A1343)</f>
        <v>0</v>
      </c>
      <c r="B1343" t="b">
        <f>IF(Bestellungen!J1343="Ja",Bestellungen!B1343)</f>
        <v>0</v>
      </c>
      <c r="C1343" t="s">
        <v>51</v>
      </c>
      <c r="D1343" t="s">
        <v>51</v>
      </c>
      <c r="E1343" t="s">
        <v>51</v>
      </c>
      <c r="F1343" t="s">
        <v>51</v>
      </c>
      <c r="G1343" t="e">
        <f t="shared" si="20"/>
        <v>#DIV/0!</v>
      </c>
    </row>
    <row r="1344" spans="1:7" hidden="1" x14ac:dyDescent="0.35">
      <c r="A1344" t="b">
        <f>IF(Bestellungen!J1344="Ja",Bestellungen!A1344)</f>
        <v>0</v>
      </c>
      <c r="B1344" t="b">
        <f>IF(Bestellungen!J1344="Ja",Bestellungen!B1344)</f>
        <v>0</v>
      </c>
      <c r="C1344" t="s">
        <v>51</v>
      </c>
      <c r="D1344" t="s">
        <v>51</v>
      </c>
      <c r="E1344" t="s">
        <v>51</v>
      </c>
      <c r="F1344" t="s">
        <v>51</v>
      </c>
      <c r="G1344" t="e">
        <f t="shared" si="20"/>
        <v>#DIV/0!</v>
      </c>
    </row>
    <row r="1345" spans="1:7" hidden="1" x14ac:dyDescent="0.35">
      <c r="A1345" t="b">
        <f>IF(Bestellungen!J1345="Ja",Bestellungen!A1345)</f>
        <v>0</v>
      </c>
      <c r="B1345" t="b">
        <f>IF(Bestellungen!J1345="Ja",Bestellungen!B1345)</f>
        <v>0</v>
      </c>
      <c r="C1345" t="s">
        <v>51</v>
      </c>
      <c r="D1345" t="s">
        <v>51</v>
      </c>
      <c r="E1345" t="s">
        <v>51</v>
      </c>
      <c r="F1345" t="s">
        <v>51</v>
      </c>
      <c r="G1345" t="e">
        <f t="shared" si="20"/>
        <v>#DIV/0!</v>
      </c>
    </row>
    <row r="1346" spans="1:7" x14ac:dyDescent="0.35">
      <c r="A1346">
        <f>IF(Bestellungen!J1346="Ja",Bestellungen!A1346)</f>
        <v>8993</v>
      </c>
      <c r="B1346">
        <f>IF(Bestellungen!J1346="Ja",Bestellungen!B1346)</f>
        <v>289</v>
      </c>
      <c r="C1346">
        <v>5</v>
      </c>
      <c r="D1346">
        <v>5</v>
      </c>
      <c r="E1346">
        <v>3</v>
      </c>
      <c r="F1346">
        <v>4</v>
      </c>
      <c r="G1346">
        <f t="shared" si="20"/>
        <v>4.25</v>
      </c>
    </row>
    <row r="1347" spans="1:7" x14ac:dyDescent="0.35">
      <c r="A1347">
        <f>IF(Bestellungen!J1347="Ja",Bestellungen!A1347)</f>
        <v>8994</v>
      </c>
      <c r="B1347">
        <f>IF(Bestellungen!J1347="Ja",Bestellungen!B1347)</f>
        <v>401</v>
      </c>
      <c r="C1347">
        <v>4</v>
      </c>
      <c r="D1347">
        <v>3</v>
      </c>
      <c r="E1347">
        <v>5</v>
      </c>
      <c r="F1347">
        <v>3</v>
      </c>
      <c r="G1347">
        <f t="shared" ref="G1347:G1410" si="21">SUM(C1347:F1347)/COUNT(C1347:F1347)</f>
        <v>3.75</v>
      </c>
    </row>
    <row r="1348" spans="1:7" hidden="1" x14ac:dyDescent="0.35">
      <c r="A1348" t="b">
        <f>IF(Bestellungen!J1348="Ja",Bestellungen!A1348)</f>
        <v>0</v>
      </c>
      <c r="B1348" t="b">
        <f>IF(Bestellungen!J1348="Ja",Bestellungen!B1348)</f>
        <v>0</v>
      </c>
      <c r="C1348" t="s">
        <v>51</v>
      </c>
      <c r="D1348" t="s">
        <v>51</v>
      </c>
      <c r="E1348" t="s">
        <v>51</v>
      </c>
      <c r="F1348" t="s">
        <v>51</v>
      </c>
      <c r="G1348" t="e">
        <f t="shared" si="21"/>
        <v>#DIV/0!</v>
      </c>
    </row>
    <row r="1349" spans="1:7" x14ac:dyDescent="0.35">
      <c r="A1349">
        <f>IF(Bestellungen!J1349="Ja",Bestellungen!A1349)</f>
        <v>8996</v>
      </c>
      <c r="B1349">
        <f>IF(Bestellungen!J1349="Ja",Bestellungen!B1349)</f>
        <v>172</v>
      </c>
      <c r="C1349">
        <v>3</v>
      </c>
      <c r="D1349">
        <v>4</v>
      </c>
      <c r="E1349">
        <v>3</v>
      </c>
      <c r="F1349">
        <v>3</v>
      </c>
      <c r="G1349">
        <f t="shared" si="21"/>
        <v>3.25</v>
      </c>
    </row>
    <row r="1350" spans="1:7" x14ac:dyDescent="0.35">
      <c r="A1350">
        <f>IF(Bestellungen!J1350="Ja",Bestellungen!A1350)</f>
        <v>8997</v>
      </c>
      <c r="B1350">
        <f>IF(Bestellungen!J1350="Ja",Bestellungen!B1350)</f>
        <v>299</v>
      </c>
      <c r="C1350">
        <v>3</v>
      </c>
      <c r="D1350">
        <v>3</v>
      </c>
      <c r="E1350">
        <v>4</v>
      </c>
      <c r="F1350">
        <v>5</v>
      </c>
      <c r="G1350">
        <f t="shared" si="21"/>
        <v>3.75</v>
      </c>
    </row>
    <row r="1351" spans="1:7" hidden="1" x14ac:dyDescent="0.35">
      <c r="A1351" t="b">
        <f>IF(Bestellungen!J1351="Ja",Bestellungen!A1351)</f>
        <v>0</v>
      </c>
      <c r="B1351" t="b">
        <f>IF(Bestellungen!J1351="Ja",Bestellungen!B1351)</f>
        <v>0</v>
      </c>
      <c r="C1351" t="s">
        <v>51</v>
      </c>
      <c r="D1351" t="s">
        <v>51</v>
      </c>
      <c r="E1351" t="s">
        <v>51</v>
      </c>
      <c r="F1351" t="s">
        <v>51</v>
      </c>
      <c r="G1351" t="e">
        <f t="shared" si="21"/>
        <v>#DIV/0!</v>
      </c>
    </row>
    <row r="1352" spans="1:7" x14ac:dyDescent="0.35">
      <c r="A1352">
        <f>IF(Bestellungen!J1352="Ja",Bestellungen!A1352)</f>
        <v>8999</v>
      </c>
      <c r="B1352">
        <f>IF(Bestellungen!J1352="Ja",Bestellungen!B1352)</f>
        <v>570</v>
      </c>
      <c r="C1352">
        <v>4</v>
      </c>
      <c r="D1352">
        <v>4</v>
      </c>
      <c r="E1352">
        <v>3</v>
      </c>
      <c r="F1352">
        <v>4</v>
      </c>
      <c r="G1352">
        <f t="shared" si="21"/>
        <v>3.75</v>
      </c>
    </row>
    <row r="1353" spans="1:7" x14ac:dyDescent="0.35">
      <c r="A1353">
        <f>IF(Bestellungen!J1353="Ja",Bestellungen!A1353)</f>
        <v>9000</v>
      </c>
      <c r="B1353">
        <f>IF(Bestellungen!J1353="Ja",Bestellungen!B1353)</f>
        <v>135</v>
      </c>
      <c r="C1353">
        <v>3</v>
      </c>
      <c r="D1353">
        <v>4</v>
      </c>
      <c r="E1353">
        <v>5</v>
      </c>
      <c r="F1353">
        <v>5</v>
      </c>
      <c r="G1353">
        <f t="shared" si="21"/>
        <v>4.25</v>
      </c>
    </row>
    <row r="1354" spans="1:7" hidden="1" x14ac:dyDescent="0.35">
      <c r="A1354" t="b">
        <f>IF(Bestellungen!J1354="Ja",Bestellungen!A1354)</f>
        <v>0</v>
      </c>
      <c r="B1354" t="b">
        <f>IF(Bestellungen!J1354="Ja",Bestellungen!B1354)</f>
        <v>0</v>
      </c>
      <c r="C1354" t="s">
        <v>51</v>
      </c>
      <c r="D1354" t="s">
        <v>51</v>
      </c>
      <c r="E1354" t="s">
        <v>51</v>
      </c>
      <c r="F1354" t="s">
        <v>51</v>
      </c>
      <c r="G1354" t="e">
        <f t="shared" si="21"/>
        <v>#DIV/0!</v>
      </c>
    </row>
    <row r="1355" spans="1:7" x14ac:dyDescent="0.35">
      <c r="A1355">
        <f>IF(Bestellungen!J1355="Ja",Bestellungen!A1355)</f>
        <v>9002</v>
      </c>
      <c r="B1355">
        <f>IF(Bestellungen!J1355="Ja",Bestellungen!B1355)</f>
        <v>91</v>
      </c>
      <c r="C1355">
        <v>5</v>
      </c>
      <c r="D1355">
        <v>5</v>
      </c>
      <c r="E1355">
        <v>5</v>
      </c>
      <c r="F1355">
        <v>4</v>
      </c>
      <c r="G1355">
        <f t="shared" si="21"/>
        <v>4.75</v>
      </c>
    </row>
    <row r="1356" spans="1:7" hidden="1" x14ac:dyDescent="0.35">
      <c r="A1356" t="b">
        <f>IF(Bestellungen!J1356="Ja",Bestellungen!A1356)</f>
        <v>0</v>
      </c>
      <c r="B1356" t="b">
        <f>IF(Bestellungen!J1356="Ja",Bestellungen!B1356)</f>
        <v>0</v>
      </c>
      <c r="C1356" t="s">
        <v>51</v>
      </c>
      <c r="D1356" t="s">
        <v>51</v>
      </c>
      <c r="E1356" t="s">
        <v>51</v>
      </c>
      <c r="F1356" t="s">
        <v>51</v>
      </c>
      <c r="G1356" t="e">
        <f t="shared" si="21"/>
        <v>#DIV/0!</v>
      </c>
    </row>
    <row r="1357" spans="1:7" hidden="1" x14ac:dyDescent="0.35">
      <c r="A1357" t="b">
        <f>IF(Bestellungen!J1357="Ja",Bestellungen!A1357)</f>
        <v>0</v>
      </c>
      <c r="B1357" t="b">
        <f>IF(Bestellungen!J1357="Ja",Bestellungen!B1357)</f>
        <v>0</v>
      </c>
      <c r="C1357" t="s">
        <v>51</v>
      </c>
      <c r="D1357" t="s">
        <v>51</v>
      </c>
      <c r="E1357" t="s">
        <v>51</v>
      </c>
      <c r="F1357" t="s">
        <v>51</v>
      </c>
      <c r="G1357" t="e">
        <f t="shared" si="21"/>
        <v>#DIV/0!</v>
      </c>
    </row>
    <row r="1358" spans="1:7" x14ac:dyDescent="0.35">
      <c r="A1358">
        <f>IF(Bestellungen!J1358="Ja",Bestellungen!A1358)</f>
        <v>9005</v>
      </c>
      <c r="B1358">
        <f>IF(Bestellungen!J1358="Ja",Bestellungen!B1358)</f>
        <v>547</v>
      </c>
      <c r="C1358">
        <v>4</v>
      </c>
      <c r="D1358">
        <v>4</v>
      </c>
      <c r="E1358">
        <v>3</v>
      </c>
      <c r="F1358">
        <v>3</v>
      </c>
      <c r="G1358">
        <f t="shared" si="21"/>
        <v>3.5</v>
      </c>
    </row>
    <row r="1359" spans="1:7" hidden="1" x14ac:dyDescent="0.35">
      <c r="A1359" t="b">
        <f>IF(Bestellungen!J1359="Ja",Bestellungen!A1359)</f>
        <v>0</v>
      </c>
      <c r="B1359" t="b">
        <f>IF(Bestellungen!J1359="Ja",Bestellungen!B1359)</f>
        <v>0</v>
      </c>
      <c r="C1359" t="s">
        <v>51</v>
      </c>
      <c r="D1359" t="s">
        <v>51</v>
      </c>
      <c r="E1359" t="s">
        <v>51</v>
      </c>
      <c r="F1359" t="s">
        <v>51</v>
      </c>
      <c r="G1359" t="e">
        <f t="shared" si="21"/>
        <v>#DIV/0!</v>
      </c>
    </row>
    <row r="1360" spans="1:7" x14ac:dyDescent="0.35">
      <c r="A1360">
        <f>IF(Bestellungen!J1360="Ja",Bestellungen!A1360)</f>
        <v>9007</v>
      </c>
      <c r="B1360">
        <f>IF(Bestellungen!J1360="Ja",Bestellungen!B1360)</f>
        <v>580</v>
      </c>
      <c r="C1360">
        <v>5</v>
      </c>
      <c r="D1360">
        <v>5</v>
      </c>
      <c r="E1360">
        <v>3</v>
      </c>
      <c r="F1360">
        <v>4</v>
      </c>
      <c r="G1360">
        <f t="shared" si="21"/>
        <v>4.25</v>
      </c>
    </row>
    <row r="1361" spans="1:7" x14ac:dyDescent="0.35">
      <c r="A1361">
        <f>IF(Bestellungen!J1361="Ja",Bestellungen!A1361)</f>
        <v>9008</v>
      </c>
      <c r="B1361">
        <f>IF(Bestellungen!J1361="Ja",Bestellungen!B1361)</f>
        <v>55</v>
      </c>
      <c r="C1361">
        <v>5</v>
      </c>
      <c r="D1361">
        <v>5</v>
      </c>
      <c r="E1361">
        <v>4</v>
      </c>
      <c r="F1361">
        <v>5</v>
      </c>
      <c r="G1361">
        <f t="shared" si="21"/>
        <v>4.75</v>
      </c>
    </row>
    <row r="1362" spans="1:7" x14ac:dyDescent="0.35">
      <c r="A1362">
        <f>IF(Bestellungen!J1362="Ja",Bestellungen!A1362)</f>
        <v>9009</v>
      </c>
      <c r="B1362">
        <f>IF(Bestellungen!J1362="Ja",Bestellungen!B1362)</f>
        <v>716</v>
      </c>
      <c r="C1362">
        <v>5</v>
      </c>
      <c r="D1362">
        <v>3</v>
      </c>
      <c r="E1362">
        <v>5</v>
      </c>
      <c r="F1362">
        <v>4</v>
      </c>
      <c r="G1362">
        <f t="shared" si="21"/>
        <v>4.25</v>
      </c>
    </row>
    <row r="1363" spans="1:7" x14ac:dyDescent="0.35">
      <c r="A1363">
        <f>IF(Bestellungen!J1363="Ja",Bestellungen!A1363)</f>
        <v>9010</v>
      </c>
      <c r="B1363">
        <f>IF(Bestellungen!J1363="Ja",Bestellungen!B1363)</f>
        <v>794</v>
      </c>
      <c r="C1363">
        <v>5</v>
      </c>
      <c r="D1363">
        <v>5</v>
      </c>
      <c r="E1363">
        <v>4</v>
      </c>
      <c r="F1363">
        <v>4</v>
      </c>
      <c r="G1363">
        <f t="shared" si="21"/>
        <v>4.5</v>
      </c>
    </row>
    <row r="1364" spans="1:7" x14ac:dyDescent="0.35">
      <c r="A1364">
        <f>IF(Bestellungen!J1364="Ja",Bestellungen!A1364)</f>
        <v>9011</v>
      </c>
      <c r="B1364">
        <f>IF(Bestellungen!J1364="Ja",Bestellungen!B1364)</f>
        <v>211</v>
      </c>
      <c r="C1364">
        <v>5</v>
      </c>
      <c r="D1364">
        <v>5</v>
      </c>
      <c r="E1364">
        <v>5</v>
      </c>
      <c r="F1364">
        <v>5</v>
      </c>
      <c r="G1364">
        <f t="shared" si="21"/>
        <v>5</v>
      </c>
    </row>
    <row r="1365" spans="1:7" x14ac:dyDescent="0.35">
      <c r="A1365">
        <f>IF(Bestellungen!J1365="Ja",Bestellungen!A1365)</f>
        <v>9012</v>
      </c>
      <c r="B1365">
        <f>IF(Bestellungen!J1365="Ja",Bestellungen!B1365)</f>
        <v>567</v>
      </c>
      <c r="C1365">
        <v>5</v>
      </c>
      <c r="D1365">
        <v>3</v>
      </c>
      <c r="E1365">
        <v>5</v>
      </c>
      <c r="F1365">
        <v>5</v>
      </c>
      <c r="G1365">
        <f t="shared" si="21"/>
        <v>4.5</v>
      </c>
    </row>
    <row r="1366" spans="1:7" hidden="1" x14ac:dyDescent="0.35">
      <c r="A1366" t="b">
        <f>IF(Bestellungen!J1366="Ja",Bestellungen!A1366)</f>
        <v>0</v>
      </c>
      <c r="B1366" t="b">
        <f>IF(Bestellungen!J1366="Ja",Bestellungen!B1366)</f>
        <v>0</v>
      </c>
      <c r="C1366" t="s">
        <v>51</v>
      </c>
      <c r="D1366" t="s">
        <v>51</v>
      </c>
      <c r="E1366" t="s">
        <v>51</v>
      </c>
      <c r="F1366" t="s">
        <v>51</v>
      </c>
      <c r="G1366" t="e">
        <f t="shared" si="21"/>
        <v>#DIV/0!</v>
      </c>
    </row>
    <row r="1367" spans="1:7" hidden="1" x14ac:dyDescent="0.35">
      <c r="A1367" t="b">
        <f>IF(Bestellungen!J1367="Ja",Bestellungen!A1367)</f>
        <v>0</v>
      </c>
      <c r="B1367" t="b">
        <f>IF(Bestellungen!J1367="Ja",Bestellungen!B1367)</f>
        <v>0</v>
      </c>
      <c r="C1367" t="s">
        <v>51</v>
      </c>
      <c r="D1367" t="s">
        <v>51</v>
      </c>
      <c r="E1367" t="s">
        <v>51</v>
      </c>
      <c r="F1367" t="s">
        <v>51</v>
      </c>
      <c r="G1367" t="e">
        <f t="shared" si="21"/>
        <v>#DIV/0!</v>
      </c>
    </row>
    <row r="1368" spans="1:7" hidden="1" x14ac:dyDescent="0.35">
      <c r="A1368" t="b">
        <f>IF(Bestellungen!J1368="Ja",Bestellungen!A1368)</f>
        <v>0</v>
      </c>
      <c r="B1368" t="b">
        <f>IF(Bestellungen!J1368="Ja",Bestellungen!B1368)</f>
        <v>0</v>
      </c>
      <c r="C1368" t="s">
        <v>51</v>
      </c>
      <c r="D1368" t="s">
        <v>51</v>
      </c>
      <c r="E1368" t="s">
        <v>51</v>
      </c>
      <c r="F1368" t="s">
        <v>51</v>
      </c>
      <c r="G1368" t="e">
        <f t="shared" si="21"/>
        <v>#DIV/0!</v>
      </c>
    </row>
    <row r="1369" spans="1:7" x14ac:dyDescent="0.35">
      <c r="A1369">
        <f>IF(Bestellungen!J1369="Ja",Bestellungen!A1369)</f>
        <v>9016</v>
      </c>
      <c r="B1369">
        <f>IF(Bestellungen!J1369="Ja",Bestellungen!B1369)</f>
        <v>605</v>
      </c>
      <c r="C1369">
        <v>5</v>
      </c>
      <c r="D1369">
        <v>3</v>
      </c>
      <c r="E1369">
        <v>5</v>
      </c>
      <c r="F1369">
        <v>5</v>
      </c>
      <c r="G1369">
        <f t="shared" si="21"/>
        <v>4.5</v>
      </c>
    </row>
    <row r="1370" spans="1:7" x14ac:dyDescent="0.35">
      <c r="A1370">
        <f>IF(Bestellungen!J1370="Ja",Bestellungen!A1370)</f>
        <v>9017</v>
      </c>
      <c r="B1370">
        <f>IF(Bestellungen!J1370="Ja",Bestellungen!B1370)</f>
        <v>680</v>
      </c>
      <c r="C1370">
        <v>3</v>
      </c>
      <c r="D1370">
        <v>5</v>
      </c>
      <c r="E1370">
        <v>3</v>
      </c>
      <c r="F1370">
        <v>4</v>
      </c>
      <c r="G1370">
        <f t="shared" si="21"/>
        <v>3.75</v>
      </c>
    </row>
    <row r="1371" spans="1:7" x14ac:dyDescent="0.35">
      <c r="A1371">
        <f>IF(Bestellungen!J1371="Ja",Bestellungen!A1371)</f>
        <v>9018</v>
      </c>
      <c r="B1371">
        <f>IF(Bestellungen!J1371="Ja",Bestellungen!B1371)</f>
        <v>20</v>
      </c>
      <c r="C1371">
        <v>3</v>
      </c>
      <c r="D1371">
        <v>4</v>
      </c>
      <c r="E1371">
        <v>5</v>
      </c>
      <c r="F1371">
        <v>5</v>
      </c>
      <c r="G1371">
        <f t="shared" si="21"/>
        <v>4.25</v>
      </c>
    </row>
    <row r="1372" spans="1:7" hidden="1" x14ac:dyDescent="0.35">
      <c r="A1372" t="b">
        <f>IF(Bestellungen!J1372="Ja",Bestellungen!A1372)</f>
        <v>0</v>
      </c>
      <c r="B1372" t="b">
        <f>IF(Bestellungen!J1372="Ja",Bestellungen!B1372)</f>
        <v>0</v>
      </c>
      <c r="C1372" t="s">
        <v>51</v>
      </c>
      <c r="D1372" t="s">
        <v>51</v>
      </c>
      <c r="E1372" t="s">
        <v>51</v>
      </c>
      <c r="F1372" t="s">
        <v>51</v>
      </c>
      <c r="G1372" t="e">
        <f t="shared" si="21"/>
        <v>#DIV/0!</v>
      </c>
    </row>
    <row r="1373" spans="1:7" x14ac:dyDescent="0.35">
      <c r="A1373">
        <f>IF(Bestellungen!J1373="Ja",Bestellungen!A1373)</f>
        <v>9020</v>
      </c>
      <c r="B1373">
        <f>IF(Bestellungen!J1373="Ja",Bestellungen!B1373)</f>
        <v>28</v>
      </c>
      <c r="C1373">
        <v>3</v>
      </c>
      <c r="D1373">
        <v>3</v>
      </c>
      <c r="E1373">
        <v>3</v>
      </c>
      <c r="F1373">
        <v>4</v>
      </c>
      <c r="G1373">
        <f t="shared" si="21"/>
        <v>3.25</v>
      </c>
    </row>
    <row r="1374" spans="1:7" x14ac:dyDescent="0.35">
      <c r="A1374">
        <f>IF(Bestellungen!J1374="Ja",Bestellungen!A1374)</f>
        <v>9021</v>
      </c>
      <c r="B1374">
        <f>IF(Bestellungen!J1374="Ja",Bestellungen!B1374)</f>
        <v>577</v>
      </c>
      <c r="C1374">
        <v>4</v>
      </c>
      <c r="D1374">
        <v>4</v>
      </c>
      <c r="E1374">
        <v>3</v>
      </c>
      <c r="F1374">
        <v>5</v>
      </c>
      <c r="G1374">
        <f t="shared" si="21"/>
        <v>4</v>
      </c>
    </row>
    <row r="1375" spans="1:7" hidden="1" x14ac:dyDescent="0.35">
      <c r="A1375" t="b">
        <f>IF(Bestellungen!J1375="Ja",Bestellungen!A1375)</f>
        <v>0</v>
      </c>
      <c r="B1375" t="b">
        <f>IF(Bestellungen!J1375="Ja",Bestellungen!B1375)</f>
        <v>0</v>
      </c>
      <c r="C1375" t="s">
        <v>51</v>
      </c>
      <c r="D1375" t="s">
        <v>51</v>
      </c>
      <c r="E1375" t="s">
        <v>51</v>
      </c>
      <c r="F1375" t="s">
        <v>51</v>
      </c>
      <c r="G1375" t="e">
        <f t="shared" si="21"/>
        <v>#DIV/0!</v>
      </c>
    </row>
    <row r="1376" spans="1:7" x14ac:dyDescent="0.35">
      <c r="A1376">
        <f>IF(Bestellungen!J1376="Ja",Bestellungen!A1376)</f>
        <v>9023</v>
      </c>
      <c r="B1376">
        <f>IF(Bestellungen!J1376="Ja",Bestellungen!B1376)</f>
        <v>714</v>
      </c>
      <c r="C1376">
        <v>5</v>
      </c>
      <c r="D1376">
        <v>5</v>
      </c>
      <c r="E1376">
        <v>5</v>
      </c>
      <c r="F1376">
        <v>3</v>
      </c>
      <c r="G1376">
        <f t="shared" si="21"/>
        <v>4.5</v>
      </c>
    </row>
    <row r="1377" spans="1:7" x14ac:dyDescent="0.35">
      <c r="A1377">
        <f>IF(Bestellungen!J1377="Ja",Bestellungen!A1377)</f>
        <v>9024</v>
      </c>
      <c r="B1377">
        <f>IF(Bestellungen!J1377="Ja",Bestellungen!B1377)</f>
        <v>25</v>
      </c>
      <c r="C1377">
        <v>5</v>
      </c>
      <c r="D1377">
        <v>4</v>
      </c>
      <c r="E1377">
        <v>5</v>
      </c>
      <c r="F1377">
        <v>5</v>
      </c>
      <c r="G1377">
        <f t="shared" si="21"/>
        <v>4.75</v>
      </c>
    </row>
    <row r="1378" spans="1:7" hidden="1" x14ac:dyDescent="0.35">
      <c r="A1378" t="b">
        <f>IF(Bestellungen!J1378="Ja",Bestellungen!A1378)</f>
        <v>0</v>
      </c>
      <c r="B1378" t="b">
        <f>IF(Bestellungen!J1378="Ja",Bestellungen!B1378)</f>
        <v>0</v>
      </c>
      <c r="C1378" t="s">
        <v>51</v>
      </c>
      <c r="D1378" t="s">
        <v>51</v>
      </c>
      <c r="E1378" t="s">
        <v>51</v>
      </c>
      <c r="F1378" t="s">
        <v>51</v>
      </c>
      <c r="G1378" t="e">
        <f t="shared" si="21"/>
        <v>#DIV/0!</v>
      </c>
    </row>
    <row r="1379" spans="1:7" x14ac:dyDescent="0.35">
      <c r="A1379">
        <f>IF(Bestellungen!J1379="Ja",Bestellungen!A1379)</f>
        <v>9026</v>
      </c>
      <c r="B1379">
        <f>IF(Bestellungen!J1379="Ja",Bestellungen!B1379)</f>
        <v>579</v>
      </c>
      <c r="C1379">
        <v>5</v>
      </c>
      <c r="D1379">
        <v>4</v>
      </c>
      <c r="E1379">
        <v>5</v>
      </c>
      <c r="F1379">
        <v>4</v>
      </c>
      <c r="G1379">
        <f t="shared" si="21"/>
        <v>4.5</v>
      </c>
    </row>
    <row r="1380" spans="1:7" x14ac:dyDescent="0.35">
      <c r="A1380">
        <f>IF(Bestellungen!J1380="Ja",Bestellungen!A1380)</f>
        <v>9027</v>
      </c>
      <c r="B1380">
        <f>IF(Bestellungen!J1380="Ja",Bestellungen!B1380)</f>
        <v>20</v>
      </c>
      <c r="C1380">
        <v>3</v>
      </c>
      <c r="D1380">
        <v>3</v>
      </c>
      <c r="E1380">
        <v>3</v>
      </c>
      <c r="F1380">
        <v>3</v>
      </c>
      <c r="G1380">
        <f t="shared" si="21"/>
        <v>3</v>
      </c>
    </row>
    <row r="1381" spans="1:7" hidden="1" x14ac:dyDescent="0.35">
      <c r="A1381" t="b">
        <f>IF(Bestellungen!J1381="Ja",Bestellungen!A1381)</f>
        <v>0</v>
      </c>
      <c r="B1381" t="b">
        <f>IF(Bestellungen!J1381="Ja",Bestellungen!B1381)</f>
        <v>0</v>
      </c>
      <c r="C1381" t="s">
        <v>51</v>
      </c>
      <c r="D1381" t="s">
        <v>51</v>
      </c>
      <c r="E1381" t="s">
        <v>51</v>
      </c>
      <c r="F1381" t="s">
        <v>51</v>
      </c>
      <c r="G1381" t="e">
        <f t="shared" si="21"/>
        <v>#DIV/0!</v>
      </c>
    </row>
    <row r="1382" spans="1:7" x14ac:dyDescent="0.35">
      <c r="A1382">
        <f>IF(Bestellungen!J1382="Ja",Bestellungen!A1382)</f>
        <v>9029</v>
      </c>
      <c r="B1382">
        <f>IF(Bestellungen!J1382="Ja",Bestellungen!B1382)</f>
        <v>652</v>
      </c>
      <c r="C1382">
        <v>5</v>
      </c>
      <c r="D1382">
        <v>4</v>
      </c>
      <c r="E1382">
        <v>4</v>
      </c>
      <c r="F1382">
        <v>4</v>
      </c>
      <c r="G1382">
        <f t="shared" si="21"/>
        <v>4.25</v>
      </c>
    </row>
    <row r="1383" spans="1:7" x14ac:dyDescent="0.35">
      <c r="A1383">
        <f>IF(Bestellungen!J1383="Ja",Bestellungen!A1383)</f>
        <v>9030</v>
      </c>
      <c r="B1383">
        <f>IF(Bestellungen!J1383="Ja",Bestellungen!B1383)</f>
        <v>516</v>
      </c>
      <c r="C1383">
        <v>5</v>
      </c>
      <c r="D1383">
        <v>5</v>
      </c>
      <c r="E1383">
        <v>5</v>
      </c>
      <c r="F1383">
        <v>4</v>
      </c>
      <c r="G1383">
        <f t="shared" si="21"/>
        <v>4.75</v>
      </c>
    </row>
    <row r="1384" spans="1:7" x14ac:dyDescent="0.35">
      <c r="A1384">
        <f>IF(Bestellungen!J1384="Ja",Bestellungen!A1384)</f>
        <v>9031</v>
      </c>
      <c r="B1384">
        <f>IF(Bestellungen!J1384="Ja",Bestellungen!B1384)</f>
        <v>39</v>
      </c>
      <c r="C1384">
        <v>4</v>
      </c>
      <c r="D1384">
        <v>5</v>
      </c>
      <c r="E1384">
        <v>4</v>
      </c>
      <c r="F1384">
        <v>3</v>
      </c>
      <c r="G1384">
        <f t="shared" si="21"/>
        <v>4</v>
      </c>
    </row>
    <row r="1385" spans="1:7" x14ac:dyDescent="0.35">
      <c r="A1385">
        <f>IF(Bestellungen!J1385="Ja",Bestellungen!A1385)</f>
        <v>9032</v>
      </c>
      <c r="B1385">
        <f>IF(Bestellungen!J1385="Ja",Bestellungen!B1385)</f>
        <v>782</v>
      </c>
      <c r="C1385">
        <v>3</v>
      </c>
      <c r="D1385">
        <v>5</v>
      </c>
      <c r="E1385">
        <v>4</v>
      </c>
      <c r="F1385">
        <v>3</v>
      </c>
      <c r="G1385">
        <f t="shared" si="21"/>
        <v>3.75</v>
      </c>
    </row>
    <row r="1386" spans="1:7" hidden="1" x14ac:dyDescent="0.35">
      <c r="A1386" t="b">
        <f>IF(Bestellungen!J1386="Ja",Bestellungen!A1386)</f>
        <v>0</v>
      </c>
      <c r="B1386" t="b">
        <f>IF(Bestellungen!J1386="Ja",Bestellungen!B1386)</f>
        <v>0</v>
      </c>
      <c r="C1386" t="s">
        <v>51</v>
      </c>
      <c r="D1386" t="s">
        <v>51</v>
      </c>
      <c r="E1386" t="s">
        <v>51</v>
      </c>
      <c r="F1386" t="s">
        <v>51</v>
      </c>
      <c r="G1386" t="e">
        <f t="shared" si="21"/>
        <v>#DIV/0!</v>
      </c>
    </row>
    <row r="1387" spans="1:7" x14ac:dyDescent="0.35">
      <c r="A1387">
        <f>IF(Bestellungen!J1387="Ja",Bestellungen!A1387)</f>
        <v>9034</v>
      </c>
      <c r="B1387">
        <f>IF(Bestellungen!J1387="Ja",Bestellungen!B1387)</f>
        <v>436</v>
      </c>
      <c r="C1387">
        <v>5</v>
      </c>
      <c r="D1387">
        <v>3</v>
      </c>
      <c r="E1387">
        <v>3</v>
      </c>
      <c r="F1387">
        <v>5</v>
      </c>
      <c r="G1387">
        <f t="shared" si="21"/>
        <v>4</v>
      </c>
    </row>
    <row r="1388" spans="1:7" hidden="1" x14ac:dyDescent="0.35">
      <c r="A1388" t="b">
        <f>IF(Bestellungen!J1388="Ja",Bestellungen!A1388)</f>
        <v>0</v>
      </c>
      <c r="B1388" t="b">
        <f>IF(Bestellungen!J1388="Ja",Bestellungen!B1388)</f>
        <v>0</v>
      </c>
      <c r="C1388" t="s">
        <v>51</v>
      </c>
      <c r="D1388" t="s">
        <v>51</v>
      </c>
      <c r="E1388" t="s">
        <v>51</v>
      </c>
      <c r="F1388" t="s">
        <v>51</v>
      </c>
      <c r="G1388" t="e">
        <f t="shared" si="21"/>
        <v>#DIV/0!</v>
      </c>
    </row>
    <row r="1389" spans="1:7" x14ac:dyDescent="0.35">
      <c r="A1389">
        <f>IF(Bestellungen!J1389="Ja",Bestellungen!A1389)</f>
        <v>9036</v>
      </c>
      <c r="B1389">
        <f>IF(Bestellungen!J1389="Ja",Bestellungen!B1389)</f>
        <v>382</v>
      </c>
      <c r="C1389">
        <v>3</v>
      </c>
      <c r="D1389">
        <v>4</v>
      </c>
      <c r="E1389">
        <v>4</v>
      </c>
      <c r="F1389">
        <v>3</v>
      </c>
      <c r="G1389">
        <f t="shared" si="21"/>
        <v>3.5</v>
      </c>
    </row>
    <row r="1390" spans="1:7" x14ac:dyDescent="0.35">
      <c r="A1390">
        <f>IF(Bestellungen!J1390="Ja",Bestellungen!A1390)</f>
        <v>9037</v>
      </c>
      <c r="B1390">
        <f>IF(Bestellungen!J1390="Ja",Bestellungen!B1390)</f>
        <v>149</v>
      </c>
      <c r="C1390">
        <v>4</v>
      </c>
      <c r="D1390">
        <v>4</v>
      </c>
      <c r="E1390">
        <v>5</v>
      </c>
      <c r="F1390">
        <v>3</v>
      </c>
      <c r="G1390">
        <f t="shared" si="21"/>
        <v>4</v>
      </c>
    </row>
    <row r="1391" spans="1:7" hidden="1" x14ac:dyDescent="0.35">
      <c r="A1391" t="b">
        <f>IF(Bestellungen!J1391="Ja",Bestellungen!A1391)</f>
        <v>0</v>
      </c>
      <c r="B1391" t="b">
        <f>IF(Bestellungen!J1391="Ja",Bestellungen!B1391)</f>
        <v>0</v>
      </c>
      <c r="C1391" t="s">
        <v>51</v>
      </c>
      <c r="D1391" t="s">
        <v>51</v>
      </c>
      <c r="E1391" t="s">
        <v>51</v>
      </c>
      <c r="F1391" t="s">
        <v>51</v>
      </c>
      <c r="G1391" t="e">
        <f t="shared" si="21"/>
        <v>#DIV/0!</v>
      </c>
    </row>
    <row r="1392" spans="1:7" hidden="1" x14ac:dyDescent="0.35">
      <c r="A1392" t="b">
        <f>IF(Bestellungen!J1392="Ja",Bestellungen!A1392)</f>
        <v>0</v>
      </c>
      <c r="B1392" t="b">
        <f>IF(Bestellungen!J1392="Ja",Bestellungen!B1392)</f>
        <v>0</v>
      </c>
      <c r="C1392" t="s">
        <v>51</v>
      </c>
      <c r="D1392" t="s">
        <v>51</v>
      </c>
      <c r="E1392" t="s">
        <v>51</v>
      </c>
      <c r="F1392" t="s">
        <v>51</v>
      </c>
      <c r="G1392" t="e">
        <f t="shared" si="21"/>
        <v>#DIV/0!</v>
      </c>
    </row>
    <row r="1393" spans="1:7" hidden="1" x14ac:dyDescent="0.35">
      <c r="A1393" t="b">
        <f>IF(Bestellungen!J1393="Ja",Bestellungen!A1393)</f>
        <v>0</v>
      </c>
      <c r="B1393" t="b">
        <f>IF(Bestellungen!J1393="Ja",Bestellungen!B1393)</f>
        <v>0</v>
      </c>
      <c r="C1393" t="s">
        <v>51</v>
      </c>
      <c r="D1393" t="s">
        <v>51</v>
      </c>
      <c r="E1393" t="s">
        <v>51</v>
      </c>
      <c r="F1393" t="s">
        <v>51</v>
      </c>
      <c r="G1393" t="e">
        <f t="shared" si="21"/>
        <v>#DIV/0!</v>
      </c>
    </row>
    <row r="1394" spans="1:7" hidden="1" x14ac:dyDescent="0.35">
      <c r="A1394" t="b">
        <f>IF(Bestellungen!J1394="Ja",Bestellungen!A1394)</f>
        <v>0</v>
      </c>
      <c r="B1394" t="b">
        <f>IF(Bestellungen!J1394="Ja",Bestellungen!B1394)</f>
        <v>0</v>
      </c>
      <c r="C1394" t="s">
        <v>51</v>
      </c>
      <c r="D1394" t="s">
        <v>51</v>
      </c>
      <c r="E1394" t="s">
        <v>51</v>
      </c>
      <c r="F1394" t="s">
        <v>51</v>
      </c>
      <c r="G1394" t="e">
        <f t="shared" si="21"/>
        <v>#DIV/0!</v>
      </c>
    </row>
    <row r="1395" spans="1:7" hidden="1" x14ac:dyDescent="0.35">
      <c r="A1395" t="b">
        <f>IF(Bestellungen!J1395="Ja",Bestellungen!A1395)</f>
        <v>0</v>
      </c>
      <c r="B1395" t="b">
        <f>IF(Bestellungen!J1395="Ja",Bestellungen!B1395)</f>
        <v>0</v>
      </c>
      <c r="C1395" t="s">
        <v>51</v>
      </c>
      <c r="D1395" t="s">
        <v>51</v>
      </c>
      <c r="E1395" t="s">
        <v>51</v>
      </c>
      <c r="F1395" t="s">
        <v>51</v>
      </c>
      <c r="G1395" t="e">
        <f t="shared" si="21"/>
        <v>#DIV/0!</v>
      </c>
    </row>
    <row r="1396" spans="1:7" hidden="1" x14ac:dyDescent="0.35">
      <c r="A1396" t="b">
        <f>IF(Bestellungen!J1396="Ja",Bestellungen!A1396)</f>
        <v>0</v>
      </c>
      <c r="B1396" t="b">
        <f>IF(Bestellungen!J1396="Ja",Bestellungen!B1396)</f>
        <v>0</v>
      </c>
      <c r="C1396" t="s">
        <v>51</v>
      </c>
      <c r="D1396" t="s">
        <v>51</v>
      </c>
      <c r="E1396" t="s">
        <v>51</v>
      </c>
      <c r="F1396" t="s">
        <v>51</v>
      </c>
      <c r="G1396" t="e">
        <f t="shared" si="21"/>
        <v>#DIV/0!</v>
      </c>
    </row>
    <row r="1397" spans="1:7" x14ac:dyDescent="0.35">
      <c r="A1397">
        <f>IF(Bestellungen!J1397="Ja",Bestellungen!A1397)</f>
        <v>9044</v>
      </c>
      <c r="B1397">
        <f>IF(Bestellungen!J1397="Ja",Bestellungen!B1397)</f>
        <v>635</v>
      </c>
      <c r="C1397">
        <v>4</v>
      </c>
      <c r="D1397">
        <v>5</v>
      </c>
      <c r="E1397">
        <v>5</v>
      </c>
      <c r="F1397">
        <v>5</v>
      </c>
      <c r="G1397">
        <f t="shared" si="21"/>
        <v>4.75</v>
      </c>
    </row>
    <row r="1398" spans="1:7" x14ac:dyDescent="0.35">
      <c r="A1398">
        <f>IF(Bestellungen!J1398="Ja",Bestellungen!A1398)</f>
        <v>9045</v>
      </c>
      <c r="B1398">
        <f>IF(Bestellungen!J1398="Ja",Bestellungen!B1398)</f>
        <v>592</v>
      </c>
      <c r="C1398">
        <v>3</v>
      </c>
      <c r="D1398">
        <v>4</v>
      </c>
      <c r="E1398">
        <v>5</v>
      </c>
      <c r="F1398">
        <v>4</v>
      </c>
      <c r="G1398">
        <f t="shared" si="21"/>
        <v>4</v>
      </c>
    </row>
    <row r="1399" spans="1:7" x14ac:dyDescent="0.35">
      <c r="A1399">
        <f>IF(Bestellungen!J1399="Ja",Bestellungen!A1399)</f>
        <v>9046</v>
      </c>
      <c r="B1399">
        <f>IF(Bestellungen!J1399="Ja",Bestellungen!B1399)</f>
        <v>287</v>
      </c>
      <c r="C1399">
        <v>5</v>
      </c>
      <c r="D1399">
        <v>3</v>
      </c>
      <c r="E1399">
        <v>4</v>
      </c>
      <c r="F1399">
        <v>4</v>
      </c>
      <c r="G1399">
        <f t="shared" si="21"/>
        <v>4</v>
      </c>
    </row>
    <row r="1400" spans="1:7" x14ac:dyDescent="0.35">
      <c r="A1400">
        <f>IF(Bestellungen!J1400="Ja",Bestellungen!A1400)</f>
        <v>9047</v>
      </c>
      <c r="B1400">
        <f>IF(Bestellungen!J1400="Ja",Bestellungen!B1400)</f>
        <v>555</v>
      </c>
      <c r="C1400">
        <v>5</v>
      </c>
      <c r="D1400">
        <v>5</v>
      </c>
      <c r="E1400">
        <v>3</v>
      </c>
      <c r="F1400">
        <v>5</v>
      </c>
      <c r="G1400">
        <f t="shared" si="21"/>
        <v>4.5</v>
      </c>
    </row>
    <row r="1401" spans="1:7" x14ac:dyDescent="0.35">
      <c r="A1401">
        <f>IF(Bestellungen!J1401="Ja",Bestellungen!A1401)</f>
        <v>9048</v>
      </c>
      <c r="B1401">
        <f>IF(Bestellungen!J1401="Ja",Bestellungen!B1401)</f>
        <v>338</v>
      </c>
      <c r="C1401">
        <v>4</v>
      </c>
      <c r="D1401">
        <v>5</v>
      </c>
      <c r="E1401">
        <v>5</v>
      </c>
      <c r="F1401">
        <v>4</v>
      </c>
      <c r="G1401">
        <f t="shared" si="21"/>
        <v>4.5</v>
      </c>
    </row>
    <row r="1402" spans="1:7" hidden="1" x14ac:dyDescent="0.35">
      <c r="A1402" t="b">
        <f>IF(Bestellungen!J1402="Ja",Bestellungen!A1402)</f>
        <v>0</v>
      </c>
      <c r="B1402" t="b">
        <f>IF(Bestellungen!J1402="Ja",Bestellungen!B1402)</f>
        <v>0</v>
      </c>
      <c r="C1402" t="s">
        <v>51</v>
      </c>
      <c r="D1402" t="s">
        <v>51</v>
      </c>
      <c r="E1402" t="s">
        <v>51</v>
      </c>
      <c r="F1402" t="s">
        <v>51</v>
      </c>
      <c r="G1402" t="e">
        <f t="shared" si="21"/>
        <v>#DIV/0!</v>
      </c>
    </row>
    <row r="1403" spans="1:7" x14ac:dyDescent="0.35">
      <c r="A1403">
        <f>IF(Bestellungen!J1403="Ja",Bestellungen!A1403)</f>
        <v>9050</v>
      </c>
      <c r="B1403">
        <f>IF(Bestellungen!J1403="Ja",Bestellungen!B1403)</f>
        <v>504</v>
      </c>
      <c r="C1403">
        <v>3</v>
      </c>
      <c r="D1403">
        <v>5</v>
      </c>
      <c r="E1403">
        <v>5</v>
      </c>
      <c r="F1403">
        <v>5</v>
      </c>
      <c r="G1403">
        <f t="shared" si="21"/>
        <v>4.5</v>
      </c>
    </row>
    <row r="1404" spans="1:7" x14ac:dyDescent="0.35">
      <c r="A1404">
        <f>IF(Bestellungen!J1404="Ja",Bestellungen!A1404)</f>
        <v>9051</v>
      </c>
      <c r="B1404">
        <f>IF(Bestellungen!J1404="Ja",Bestellungen!B1404)</f>
        <v>238</v>
      </c>
      <c r="C1404">
        <v>4</v>
      </c>
      <c r="D1404">
        <v>5</v>
      </c>
      <c r="E1404">
        <v>3</v>
      </c>
      <c r="F1404">
        <v>5</v>
      </c>
      <c r="G1404">
        <f t="shared" si="21"/>
        <v>4.25</v>
      </c>
    </row>
    <row r="1405" spans="1:7" hidden="1" x14ac:dyDescent="0.35">
      <c r="A1405" t="b">
        <f>IF(Bestellungen!J1405="Ja",Bestellungen!A1405)</f>
        <v>0</v>
      </c>
      <c r="B1405" t="b">
        <f>IF(Bestellungen!J1405="Ja",Bestellungen!B1405)</f>
        <v>0</v>
      </c>
      <c r="C1405" t="s">
        <v>51</v>
      </c>
      <c r="D1405" t="s">
        <v>51</v>
      </c>
      <c r="E1405" t="s">
        <v>51</v>
      </c>
      <c r="F1405" t="s">
        <v>51</v>
      </c>
      <c r="G1405" t="e">
        <f t="shared" si="21"/>
        <v>#DIV/0!</v>
      </c>
    </row>
    <row r="1406" spans="1:7" x14ac:dyDescent="0.35">
      <c r="A1406">
        <f>IF(Bestellungen!J1406="Ja",Bestellungen!A1406)</f>
        <v>9053</v>
      </c>
      <c r="B1406">
        <f>IF(Bestellungen!J1406="Ja",Bestellungen!B1406)</f>
        <v>351</v>
      </c>
      <c r="C1406">
        <v>5</v>
      </c>
      <c r="D1406">
        <v>5</v>
      </c>
      <c r="E1406">
        <v>3</v>
      </c>
      <c r="F1406">
        <v>5</v>
      </c>
      <c r="G1406">
        <f t="shared" si="21"/>
        <v>4.5</v>
      </c>
    </row>
    <row r="1407" spans="1:7" x14ac:dyDescent="0.35">
      <c r="A1407">
        <f>IF(Bestellungen!J1407="Ja",Bestellungen!A1407)</f>
        <v>9054</v>
      </c>
      <c r="B1407">
        <f>IF(Bestellungen!J1407="Ja",Bestellungen!B1407)</f>
        <v>191</v>
      </c>
      <c r="C1407">
        <v>5</v>
      </c>
      <c r="D1407">
        <v>5</v>
      </c>
      <c r="E1407">
        <v>5</v>
      </c>
      <c r="F1407">
        <v>3</v>
      </c>
      <c r="G1407">
        <f t="shared" si="21"/>
        <v>4.5</v>
      </c>
    </row>
    <row r="1408" spans="1:7" x14ac:dyDescent="0.35">
      <c r="A1408">
        <f>IF(Bestellungen!J1408="Ja",Bestellungen!A1408)</f>
        <v>9055</v>
      </c>
      <c r="B1408">
        <f>IF(Bestellungen!J1408="Ja",Bestellungen!B1408)</f>
        <v>523</v>
      </c>
      <c r="C1408">
        <v>4</v>
      </c>
      <c r="D1408">
        <v>3</v>
      </c>
      <c r="E1408">
        <v>4</v>
      </c>
      <c r="F1408">
        <v>4</v>
      </c>
      <c r="G1408">
        <f t="shared" si="21"/>
        <v>3.75</v>
      </c>
    </row>
    <row r="1409" spans="1:7" x14ac:dyDescent="0.35">
      <c r="A1409">
        <f>IF(Bestellungen!J1409="Ja",Bestellungen!A1409)</f>
        <v>9056</v>
      </c>
      <c r="B1409">
        <f>IF(Bestellungen!J1409="Ja",Bestellungen!B1409)</f>
        <v>759</v>
      </c>
      <c r="C1409">
        <v>3</v>
      </c>
      <c r="D1409">
        <v>4</v>
      </c>
      <c r="E1409">
        <v>3</v>
      </c>
      <c r="F1409">
        <v>4</v>
      </c>
      <c r="G1409">
        <f t="shared" si="21"/>
        <v>3.5</v>
      </c>
    </row>
    <row r="1410" spans="1:7" hidden="1" x14ac:dyDescent="0.35">
      <c r="A1410" t="b">
        <f>IF(Bestellungen!J1410="Ja",Bestellungen!A1410)</f>
        <v>0</v>
      </c>
      <c r="B1410" t="b">
        <f>IF(Bestellungen!J1410="Ja",Bestellungen!B1410)</f>
        <v>0</v>
      </c>
      <c r="C1410" t="s">
        <v>51</v>
      </c>
      <c r="D1410" t="s">
        <v>51</v>
      </c>
      <c r="E1410" t="s">
        <v>51</v>
      </c>
      <c r="F1410" t="s">
        <v>51</v>
      </c>
      <c r="G1410" t="e">
        <f t="shared" si="21"/>
        <v>#DIV/0!</v>
      </c>
    </row>
    <row r="1411" spans="1:7" hidden="1" x14ac:dyDescent="0.35">
      <c r="A1411" t="b">
        <f>IF(Bestellungen!J1411="Ja",Bestellungen!A1411)</f>
        <v>0</v>
      </c>
      <c r="B1411" t="b">
        <f>IF(Bestellungen!J1411="Ja",Bestellungen!B1411)</f>
        <v>0</v>
      </c>
      <c r="C1411" t="s">
        <v>51</v>
      </c>
      <c r="D1411" t="s">
        <v>51</v>
      </c>
      <c r="E1411" t="s">
        <v>51</v>
      </c>
      <c r="F1411" t="s">
        <v>51</v>
      </c>
      <c r="G1411" t="e">
        <f t="shared" ref="G1411:G1474" si="22">SUM(C1411:F1411)/COUNT(C1411:F1411)</f>
        <v>#DIV/0!</v>
      </c>
    </row>
    <row r="1412" spans="1:7" hidden="1" x14ac:dyDescent="0.35">
      <c r="A1412" t="b">
        <f>IF(Bestellungen!J1412="Ja",Bestellungen!A1412)</f>
        <v>0</v>
      </c>
      <c r="B1412" t="b">
        <f>IF(Bestellungen!J1412="Ja",Bestellungen!B1412)</f>
        <v>0</v>
      </c>
      <c r="C1412" t="s">
        <v>51</v>
      </c>
      <c r="D1412" t="s">
        <v>51</v>
      </c>
      <c r="E1412" t="s">
        <v>51</v>
      </c>
      <c r="F1412" t="s">
        <v>51</v>
      </c>
      <c r="G1412" t="e">
        <f t="shared" si="22"/>
        <v>#DIV/0!</v>
      </c>
    </row>
    <row r="1413" spans="1:7" x14ac:dyDescent="0.35">
      <c r="A1413">
        <f>IF(Bestellungen!J1413="Ja",Bestellungen!A1413)</f>
        <v>9060</v>
      </c>
      <c r="B1413">
        <f>IF(Bestellungen!J1413="Ja",Bestellungen!B1413)</f>
        <v>119</v>
      </c>
      <c r="C1413">
        <v>5</v>
      </c>
      <c r="D1413">
        <v>4</v>
      </c>
      <c r="E1413">
        <v>5</v>
      </c>
      <c r="F1413">
        <v>4</v>
      </c>
      <c r="G1413">
        <f t="shared" si="22"/>
        <v>4.5</v>
      </c>
    </row>
    <row r="1414" spans="1:7" hidden="1" x14ac:dyDescent="0.35">
      <c r="A1414" t="b">
        <f>IF(Bestellungen!J1414="Ja",Bestellungen!A1414)</f>
        <v>0</v>
      </c>
      <c r="B1414" t="b">
        <f>IF(Bestellungen!J1414="Ja",Bestellungen!B1414)</f>
        <v>0</v>
      </c>
      <c r="C1414" t="s">
        <v>51</v>
      </c>
      <c r="D1414" t="s">
        <v>51</v>
      </c>
      <c r="E1414" t="s">
        <v>51</v>
      </c>
      <c r="F1414" t="s">
        <v>51</v>
      </c>
      <c r="G1414" t="e">
        <f t="shared" si="22"/>
        <v>#DIV/0!</v>
      </c>
    </row>
    <row r="1415" spans="1:7" hidden="1" x14ac:dyDescent="0.35">
      <c r="A1415" t="b">
        <f>IF(Bestellungen!J1415="Ja",Bestellungen!A1415)</f>
        <v>0</v>
      </c>
      <c r="B1415" t="b">
        <f>IF(Bestellungen!J1415="Ja",Bestellungen!B1415)</f>
        <v>0</v>
      </c>
      <c r="C1415" t="s">
        <v>51</v>
      </c>
      <c r="D1415" t="s">
        <v>51</v>
      </c>
      <c r="E1415" t="s">
        <v>51</v>
      </c>
      <c r="F1415" t="s">
        <v>51</v>
      </c>
      <c r="G1415" t="e">
        <f t="shared" si="22"/>
        <v>#DIV/0!</v>
      </c>
    </row>
    <row r="1416" spans="1:7" x14ac:dyDescent="0.35">
      <c r="A1416">
        <f>IF(Bestellungen!J1416="Ja",Bestellungen!A1416)</f>
        <v>9063</v>
      </c>
      <c r="B1416">
        <f>IF(Bestellungen!J1416="Ja",Bestellungen!B1416)</f>
        <v>327</v>
      </c>
      <c r="C1416">
        <v>3</v>
      </c>
      <c r="D1416">
        <v>3</v>
      </c>
      <c r="E1416">
        <v>4</v>
      </c>
      <c r="F1416">
        <v>5</v>
      </c>
      <c r="G1416">
        <f t="shared" si="22"/>
        <v>3.75</v>
      </c>
    </row>
    <row r="1417" spans="1:7" x14ac:dyDescent="0.35">
      <c r="A1417">
        <f>IF(Bestellungen!J1417="Ja",Bestellungen!A1417)</f>
        <v>9064</v>
      </c>
      <c r="B1417">
        <f>IF(Bestellungen!J1417="Ja",Bestellungen!B1417)</f>
        <v>608</v>
      </c>
      <c r="C1417">
        <v>3</v>
      </c>
      <c r="D1417">
        <v>5</v>
      </c>
      <c r="E1417">
        <v>3</v>
      </c>
      <c r="F1417">
        <v>3</v>
      </c>
      <c r="G1417">
        <f t="shared" si="22"/>
        <v>3.5</v>
      </c>
    </row>
    <row r="1418" spans="1:7" hidden="1" x14ac:dyDescent="0.35">
      <c r="A1418" t="b">
        <f>IF(Bestellungen!J1418="Ja",Bestellungen!A1418)</f>
        <v>0</v>
      </c>
      <c r="B1418" t="b">
        <f>IF(Bestellungen!J1418="Ja",Bestellungen!B1418)</f>
        <v>0</v>
      </c>
      <c r="C1418" t="s">
        <v>51</v>
      </c>
      <c r="D1418" t="s">
        <v>51</v>
      </c>
      <c r="E1418" t="s">
        <v>51</v>
      </c>
      <c r="F1418" t="s">
        <v>51</v>
      </c>
      <c r="G1418" t="e">
        <f t="shared" si="22"/>
        <v>#DIV/0!</v>
      </c>
    </row>
    <row r="1419" spans="1:7" hidden="1" x14ac:dyDescent="0.35">
      <c r="A1419" t="b">
        <f>IF(Bestellungen!J1419="Ja",Bestellungen!A1419)</f>
        <v>0</v>
      </c>
      <c r="B1419" t="b">
        <f>IF(Bestellungen!J1419="Ja",Bestellungen!B1419)</f>
        <v>0</v>
      </c>
      <c r="C1419" t="s">
        <v>51</v>
      </c>
      <c r="D1419" t="s">
        <v>51</v>
      </c>
      <c r="E1419" t="s">
        <v>51</v>
      </c>
      <c r="F1419" t="s">
        <v>51</v>
      </c>
      <c r="G1419" t="e">
        <f t="shared" si="22"/>
        <v>#DIV/0!</v>
      </c>
    </row>
    <row r="1420" spans="1:7" x14ac:dyDescent="0.35">
      <c r="A1420">
        <f>IF(Bestellungen!J1420="Ja",Bestellungen!A1420)</f>
        <v>9067</v>
      </c>
      <c r="B1420">
        <f>IF(Bestellungen!J1420="Ja",Bestellungen!B1420)</f>
        <v>496</v>
      </c>
      <c r="C1420">
        <v>4</v>
      </c>
      <c r="D1420">
        <v>3</v>
      </c>
      <c r="E1420">
        <v>5</v>
      </c>
      <c r="F1420">
        <v>4</v>
      </c>
      <c r="G1420">
        <f t="shared" si="22"/>
        <v>4</v>
      </c>
    </row>
    <row r="1421" spans="1:7" x14ac:dyDescent="0.35">
      <c r="A1421">
        <f>IF(Bestellungen!J1421="Ja",Bestellungen!A1421)</f>
        <v>9068</v>
      </c>
      <c r="B1421">
        <f>IF(Bestellungen!J1421="Ja",Bestellungen!B1421)</f>
        <v>235</v>
      </c>
      <c r="C1421">
        <v>5</v>
      </c>
      <c r="D1421">
        <v>5</v>
      </c>
      <c r="E1421">
        <v>5</v>
      </c>
      <c r="F1421">
        <v>5</v>
      </c>
      <c r="G1421">
        <f t="shared" si="22"/>
        <v>5</v>
      </c>
    </row>
    <row r="1422" spans="1:7" x14ac:dyDescent="0.35">
      <c r="A1422">
        <f>IF(Bestellungen!J1422="Ja",Bestellungen!A1422)</f>
        <v>9069</v>
      </c>
      <c r="B1422">
        <f>IF(Bestellungen!J1422="Ja",Bestellungen!B1422)</f>
        <v>114</v>
      </c>
      <c r="C1422">
        <v>5</v>
      </c>
      <c r="D1422">
        <v>4</v>
      </c>
      <c r="E1422">
        <v>4</v>
      </c>
      <c r="F1422">
        <v>3</v>
      </c>
      <c r="G1422">
        <f t="shared" si="22"/>
        <v>4</v>
      </c>
    </row>
    <row r="1423" spans="1:7" x14ac:dyDescent="0.35">
      <c r="A1423">
        <f>IF(Bestellungen!J1423="Ja",Bestellungen!A1423)</f>
        <v>9070</v>
      </c>
      <c r="B1423">
        <f>IF(Bestellungen!J1423="Ja",Bestellungen!B1423)</f>
        <v>528</v>
      </c>
      <c r="C1423">
        <v>4</v>
      </c>
      <c r="D1423">
        <v>5</v>
      </c>
      <c r="E1423">
        <v>4</v>
      </c>
      <c r="F1423">
        <v>4</v>
      </c>
      <c r="G1423">
        <f t="shared" si="22"/>
        <v>4.25</v>
      </c>
    </row>
    <row r="1424" spans="1:7" hidden="1" x14ac:dyDescent="0.35">
      <c r="A1424" t="b">
        <f>IF(Bestellungen!J1424="Ja",Bestellungen!A1424)</f>
        <v>0</v>
      </c>
      <c r="B1424" t="b">
        <f>IF(Bestellungen!J1424="Ja",Bestellungen!B1424)</f>
        <v>0</v>
      </c>
      <c r="C1424" t="s">
        <v>51</v>
      </c>
      <c r="D1424" t="s">
        <v>51</v>
      </c>
      <c r="E1424" t="s">
        <v>51</v>
      </c>
      <c r="F1424" t="s">
        <v>51</v>
      </c>
      <c r="G1424" t="e">
        <f t="shared" si="22"/>
        <v>#DIV/0!</v>
      </c>
    </row>
    <row r="1425" spans="1:7" x14ac:dyDescent="0.35">
      <c r="A1425">
        <f>IF(Bestellungen!J1425="Ja",Bestellungen!A1425)</f>
        <v>9072</v>
      </c>
      <c r="B1425">
        <f>IF(Bestellungen!J1425="Ja",Bestellungen!B1425)</f>
        <v>664</v>
      </c>
      <c r="C1425">
        <v>4</v>
      </c>
      <c r="D1425">
        <v>4</v>
      </c>
      <c r="E1425">
        <v>4</v>
      </c>
      <c r="F1425">
        <v>5</v>
      </c>
      <c r="G1425">
        <f t="shared" si="22"/>
        <v>4.25</v>
      </c>
    </row>
    <row r="1426" spans="1:7" hidden="1" x14ac:dyDescent="0.35">
      <c r="A1426" t="b">
        <f>IF(Bestellungen!J1426="Ja",Bestellungen!A1426)</f>
        <v>0</v>
      </c>
      <c r="B1426" t="b">
        <f>IF(Bestellungen!J1426="Ja",Bestellungen!B1426)</f>
        <v>0</v>
      </c>
      <c r="C1426" t="s">
        <v>51</v>
      </c>
      <c r="D1426" t="s">
        <v>51</v>
      </c>
      <c r="E1426" t="s">
        <v>51</v>
      </c>
      <c r="F1426" t="s">
        <v>51</v>
      </c>
      <c r="G1426" t="e">
        <f t="shared" si="22"/>
        <v>#DIV/0!</v>
      </c>
    </row>
    <row r="1427" spans="1:7" hidden="1" x14ac:dyDescent="0.35">
      <c r="A1427" t="b">
        <f>IF(Bestellungen!J1427="Ja",Bestellungen!A1427)</f>
        <v>0</v>
      </c>
      <c r="B1427" t="b">
        <f>IF(Bestellungen!J1427="Ja",Bestellungen!B1427)</f>
        <v>0</v>
      </c>
      <c r="C1427" t="s">
        <v>51</v>
      </c>
      <c r="D1427" t="s">
        <v>51</v>
      </c>
      <c r="E1427" t="s">
        <v>51</v>
      </c>
      <c r="F1427" t="s">
        <v>51</v>
      </c>
      <c r="G1427" t="e">
        <f t="shared" si="22"/>
        <v>#DIV/0!</v>
      </c>
    </row>
    <row r="1428" spans="1:7" hidden="1" x14ac:dyDescent="0.35">
      <c r="A1428" t="b">
        <f>IF(Bestellungen!J1428="Ja",Bestellungen!A1428)</f>
        <v>0</v>
      </c>
      <c r="B1428" t="b">
        <f>IF(Bestellungen!J1428="Ja",Bestellungen!B1428)</f>
        <v>0</v>
      </c>
      <c r="C1428" t="s">
        <v>51</v>
      </c>
      <c r="D1428" t="s">
        <v>51</v>
      </c>
      <c r="E1428" t="s">
        <v>51</v>
      </c>
      <c r="F1428" t="s">
        <v>51</v>
      </c>
      <c r="G1428" t="e">
        <f t="shared" si="22"/>
        <v>#DIV/0!</v>
      </c>
    </row>
    <row r="1429" spans="1:7" hidden="1" x14ac:dyDescent="0.35">
      <c r="A1429" t="b">
        <f>IF(Bestellungen!J1429="Ja",Bestellungen!A1429)</f>
        <v>0</v>
      </c>
      <c r="B1429" t="b">
        <f>IF(Bestellungen!J1429="Ja",Bestellungen!B1429)</f>
        <v>0</v>
      </c>
      <c r="C1429" t="s">
        <v>51</v>
      </c>
      <c r="D1429" t="s">
        <v>51</v>
      </c>
      <c r="E1429" t="s">
        <v>51</v>
      </c>
      <c r="F1429" t="s">
        <v>51</v>
      </c>
      <c r="G1429" t="e">
        <f t="shared" si="22"/>
        <v>#DIV/0!</v>
      </c>
    </row>
    <row r="1430" spans="1:7" hidden="1" x14ac:dyDescent="0.35">
      <c r="A1430" t="b">
        <f>IF(Bestellungen!J1430="Ja",Bestellungen!A1430)</f>
        <v>0</v>
      </c>
      <c r="B1430" t="b">
        <f>IF(Bestellungen!J1430="Ja",Bestellungen!B1430)</f>
        <v>0</v>
      </c>
      <c r="C1430" t="s">
        <v>51</v>
      </c>
      <c r="D1430" t="s">
        <v>51</v>
      </c>
      <c r="E1430" t="s">
        <v>51</v>
      </c>
      <c r="F1430" t="s">
        <v>51</v>
      </c>
      <c r="G1430" t="e">
        <f t="shared" si="22"/>
        <v>#DIV/0!</v>
      </c>
    </row>
    <row r="1431" spans="1:7" x14ac:dyDescent="0.35">
      <c r="A1431">
        <f>IF(Bestellungen!J1431="Ja",Bestellungen!A1431)</f>
        <v>9078</v>
      </c>
      <c r="B1431">
        <f>IF(Bestellungen!J1431="Ja",Bestellungen!B1431)</f>
        <v>524</v>
      </c>
      <c r="C1431">
        <v>5</v>
      </c>
      <c r="D1431">
        <v>3</v>
      </c>
      <c r="E1431">
        <v>3</v>
      </c>
      <c r="F1431">
        <v>4</v>
      </c>
      <c r="G1431">
        <f t="shared" si="22"/>
        <v>3.75</v>
      </c>
    </row>
    <row r="1432" spans="1:7" x14ac:dyDescent="0.35">
      <c r="A1432">
        <f>IF(Bestellungen!J1432="Ja",Bestellungen!A1432)</f>
        <v>9079</v>
      </c>
      <c r="B1432">
        <f>IF(Bestellungen!J1432="Ja",Bestellungen!B1432)</f>
        <v>535</v>
      </c>
      <c r="C1432">
        <v>5</v>
      </c>
      <c r="D1432">
        <v>4</v>
      </c>
      <c r="E1432">
        <v>3</v>
      </c>
      <c r="F1432">
        <v>5</v>
      </c>
      <c r="G1432">
        <f t="shared" si="22"/>
        <v>4.25</v>
      </c>
    </row>
    <row r="1433" spans="1:7" x14ac:dyDescent="0.35">
      <c r="A1433">
        <f>IF(Bestellungen!J1433="Ja",Bestellungen!A1433)</f>
        <v>9080</v>
      </c>
      <c r="B1433">
        <f>IF(Bestellungen!J1433="Ja",Bestellungen!B1433)</f>
        <v>432</v>
      </c>
      <c r="C1433">
        <v>3</v>
      </c>
      <c r="D1433">
        <v>5</v>
      </c>
      <c r="E1433">
        <v>5</v>
      </c>
      <c r="F1433">
        <v>5</v>
      </c>
      <c r="G1433">
        <f t="shared" si="22"/>
        <v>4.5</v>
      </c>
    </row>
    <row r="1434" spans="1:7" hidden="1" x14ac:dyDescent="0.35">
      <c r="A1434" t="b">
        <f>IF(Bestellungen!J1434="Ja",Bestellungen!A1434)</f>
        <v>0</v>
      </c>
      <c r="B1434" t="b">
        <f>IF(Bestellungen!J1434="Ja",Bestellungen!B1434)</f>
        <v>0</v>
      </c>
      <c r="C1434" t="s">
        <v>51</v>
      </c>
      <c r="D1434" t="s">
        <v>51</v>
      </c>
      <c r="E1434" t="s">
        <v>51</v>
      </c>
      <c r="F1434" t="s">
        <v>51</v>
      </c>
      <c r="G1434" t="e">
        <f t="shared" si="22"/>
        <v>#DIV/0!</v>
      </c>
    </row>
    <row r="1435" spans="1:7" hidden="1" x14ac:dyDescent="0.35">
      <c r="A1435" t="b">
        <f>IF(Bestellungen!J1435="Ja",Bestellungen!A1435)</f>
        <v>0</v>
      </c>
      <c r="B1435" t="b">
        <f>IF(Bestellungen!J1435="Ja",Bestellungen!B1435)</f>
        <v>0</v>
      </c>
      <c r="C1435" t="s">
        <v>51</v>
      </c>
      <c r="D1435" t="s">
        <v>51</v>
      </c>
      <c r="E1435" t="s">
        <v>51</v>
      </c>
      <c r="F1435" t="s">
        <v>51</v>
      </c>
      <c r="G1435" t="e">
        <f t="shared" si="22"/>
        <v>#DIV/0!</v>
      </c>
    </row>
    <row r="1436" spans="1:7" hidden="1" x14ac:dyDescent="0.35">
      <c r="A1436" t="b">
        <f>IF(Bestellungen!J1436="Ja",Bestellungen!A1436)</f>
        <v>0</v>
      </c>
      <c r="B1436" t="b">
        <f>IF(Bestellungen!J1436="Ja",Bestellungen!B1436)</f>
        <v>0</v>
      </c>
      <c r="C1436" t="s">
        <v>51</v>
      </c>
      <c r="D1436" t="s">
        <v>51</v>
      </c>
      <c r="E1436" t="s">
        <v>51</v>
      </c>
      <c r="F1436" t="s">
        <v>51</v>
      </c>
      <c r="G1436" t="e">
        <f t="shared" si="22"/>
        <v>#DIV/0!</v>
      </c>
    </row>
    <row r="1437" spans="1:7" x14ac:dyDescent="0.35">
      <c r="A1437">
        <f>IF(Bestellungen!J1437="Ja",Bestellungen!A1437)</f>
        <v>9084</v>
      </c>
      <c r="B1437">
        <f>IF(Bestellungen!J1437="Ja",Bestellungen!B1437)</f>
        <v>72</v>
      </c>
      <c r="C1437">
        <v>4</v>
      </c>
      <c r="D1437">
        <v>5</v>
      </c>
      <c r="E1437">
        <v>4</v>
      </c>
      <c r="F1437">
        <v>3</v>
      </c>
      <c r="G1437">
        <f t="shared" si="22"/>
        <v>4</v>
      </c>
    </row>
    <row r="1438" spans="1:7" x14ac:dyDescent="0.35">
      <c r="A1438">
        <f>IF(Bestellungen!J1438="Ja",Bestellungen!A1438)</f>
        <v>9085</v>
      </c>
      <c r="B1438">
        <f>IF(Bestellungen!J1438="Ja",Bestellungen!B1438)</f>
        <v>135</v>
      </c>
      <c r="C1438">
        <v>3</v>
      </c>
      <c r="D1438">
        <v>3</v>
      </c>
      <c r="E1438">
        <v>3</v>
      </c>
      <c r="F1438">
        <v>5</v>
      </c>
      <c r="G1438">
        <f t="shared" si="22"/>
        <v>3.5</v>
      </c>
    </row>
    <row r="1439" spans="1:7" hidden="1" x14ac:dyDescent="0.35">
      <c r="A1439" t="b">
        <f>IF(Bestellungen!J1439="Ja",Bestellungen!A1439)</f>
        <v>0</v>
      </c>
      <c r="B1439" t="b">
        <f>IF(Bestellungen!J1439="Ja",Bestellungen!B1439)</f>
        <v>0</v>
      </c>
      <c r="C1439" t="s">
        <v>51</v>
      </c>
      <c r="D1439" t="s">
        <v>51</v>
      </c>
      <c r="E1439" t="s">
        <v>51</v>
      </c>
      <c r="F1439" t="s">
        <v>51</v>
      </c>
      <c r="G1439" t="e">
        <f t="shared" si="22"/>
        <v>#DIV/0!</v>
      </c>
    </row>
    <row r="1440" spans="1:7" hidden="1" x14ac:dyDescent="0.35">
      <c r="A1440" t="b">
        <f>IF(Bestellungen!J1440="Ja",Bestellungen!A1440)</f>
        <v>0</v>
      </c>
      <c r="B1440" t="b">
        <f>IF(Bestellungen!J1440="Ja",Bestellungen!B1440)</f>
        <v>0</v>
      </c>
      <c r="C1440" t="s">
        <v>51</v>
      </c>
      <c r="D1440" t="s">
        <v>51</v>
      </c>
      <c r="E1440" t="s">
        <v>51</v>
      </c>
      <c r="F1440" t="s">
        <v>51</v>
      </c>
      <c r="G1440" t="e">
        <f t="shared" si="22"/>
        <v>#DIV/0!</v>
      </c>
    </row>
    <row r="1441" spans="1:7" hidden="1" x14ac:dyDescent="0.35">
      <c r="A1441" t="b">
        <f>IF(Bestellungen!J1441="Ja",Bestellungen!A1441)</f>
        <v>0</v>
      </c>
      <c r="B1441" t="b">
        <f>IF(Bestellungen!J1441="Ja",Bestellungen!B1441)</f>
        <v>0</v>
      </c>
      <c r="C1441" t="s">
        <v>51</v>
      </c>
      <c r="D1441" t="s">
        <v>51</v>
      </c>
      <c r="E1441" t="s">
        <v>51</v>
      </c>
      <c r="F1441" t="s">
        <v>51</v>
      </c>
      <c r="G1441" t="e">
        <f t="shared" si="22"/>
        <v>#DIV/0!</v>
      </c>
    </row>
    <row r="1442" spans="1:7" x14ac:dyDescent="0.35">
      <c r="A1442">
        <f>IF(Bestellungen!J1442="Ja",Bestellungen!A1442)</f>
        <v>9089</v>
      </c>
      <c r="B1442">
        <f>IF(Bestellungen!J1442="Ja",Bestellungen!B1442)</f>
        <v>139</v>
      </c>
      <c r="C1442">
        <v>3</v>
      </c>
      <c r="D1442">
        <v>5</v>
      </c>
      <c r="E1442">
        <v>3</v>
      </c>
      <c r="F1442">
        <v>4</v>
      </c>
      <c r="G1442">
        <f t="shared" si="22"/>
        <v>3.75</v>
      </c>
    </row>
    <row r="1443" spans="1:7" x14ac:dyDescent="0.35">
      <c r="A1443">
        <f>IF(Bestellungen!J1443="Ja",Bestellungen!A1443)</f>
        <v>9090</v>
      </c>
      <c r="B1443">
        <f>IF(Bestellungen!J1443="Ja",Bestellungen!B1443)</f>
        <v>65</v>
      </c>
      <c r="C1443">
        <v>4</v>
      </c>
      <c r="D1443">
        <v>3</v>
      </c>
      <c r="E1443">
        <v>4</v>
      </c>
      <c r="F1443">
        <v>5</v>
      </c>
      <c r="G1443">
        <f t="shared" si="22"/>
        <v>4</v>
      </c>
    </row>
    <row r="1444" spans="1:7" x14ac:dyDescent="0.35">
      <c r="A1444">
        <f>IF(Bestellungen!J1444="Ja",Bestellungen!A1444)</f>
        <v>9091</v>
      </c>
      <c r="B1444">
        <f>IF(Bestellungen!J1444="Ja",Bestellungen!B1444)</f>
        <v>422</v>
      </c>
      <c r="C1444">
        <v>4</v>
      </c>
      <c r="D1444">
        <v>4</v>
      </c>
      <c r="E1444">
        <v>3</v>
      </c>
      <c r="F1444">
        <v>5</v>
      </c>
      <c r="G1444">
        <f t="shared" si="22"/>
        <v>4</v>
      </c>
    </row>
    <row r="1445" spans="1:7" hidden="1" x14ac:dyDescent="0.35">
      <c r="A1445" t="b">
        <f>IF(Bestellungen!J1445="Ja",Bestellungen!A1445)</f>
        <v>0</v>
      </c>
      <c r="B1445" t="b">
        <f>IF(Bestellungen!J1445="Ja",Bestellungen!B1445)</f>
        <v>0</v>
      </c>
      <c r="C1445" t="s">
        <v>51</v>
      </c>
      <c r="D1445" t="s">
        <v>51</v>
      </c>
      <c r="E1445" t="s">
        <v>51</v>
      </c>
      <c r="F1445" t="s">
        <v>51</v>
      </c>
      <c r="G1445" t="e">
        <f t="shared" si="22"/>
        <v>#DIV/0!</v>
      </c>
    </row>
    <row r="1446" spans="1:7" x14ac:dyDescent="0.35">
      <c r="A1446">
        <f>IF(Bestellungen!J1446="Ja",Bestellungen!A1446)</f>
        <v>9093</v>
      </c>
      <c r="B1446">
        <f>IF(Bestellungen!J1446="Ja",Bestellungen!B1446)</f>
        <v>392</v>
      </c>
      <c r="C1446">
        <v>5</v>
      </c>
      <c r="D1446">
        <v>3</v>
      </c>
      <c r="E1446">
        <v>4</v>
      </c>
      <c r="F1446">
        <v>4</v>
      </c>
      <c r="G1446">
        <f t="shared" si="22"/>
        <v>4</v>
      </c>
    </row>
    <row r="1447" spans="1:7" hidden="1" x14ac:dyDescent="0.35">
      <c r="A1447" t="b">
        <f>IF(Bestellungen!J1447="Ja",Bestellungen!A1447)</f>
        <v>0</v>
      </c>
      <c r="B1447" t="b">
        <f>IF(Bestellungen!J1447="Ja",Bestellungen!B1447)</f>
        <v>0</v>
      </c>
      <c r="C1447" t="s">
        <v>51</v>
      </c>
      <c r="D1447" t="s">
        <v>51</v>
      </c>
      <c r="E1447" t="s">
        <v>51</v>
      </c>
      <c r="F1447" t="s">
        <v>51</v>
      </c>
      <c r="G1447" t="e">
        <f t="shared" si="22"/>
        <v>#DIV/0!</v>
      </c>
    </row>
    <row r="1448" spans="1:7" hidden="1" x14ac:dyDescent="0.35">
      <c r="A1448" t="b">
        <f>IF(Bestellungen!J1448="Ja",Bestellungen!A1448)</f>
        <v>0</v>
      </c>
      <c r="B1448" t="b">
        <f>IF(Bestellungen!J1448="Ja",Bestellungen!B1448)</f>
        <v>0</v>
      </c>
      <c r="C1448" t="s">
        <v>51</v>
      </c>
      <c r="D1448" t="s">
        <v>51</v>
      </c>
      <c r="E1448" t="s">
        <v>51</v>
      </c>
      <c r="F1448" t="s">
        <v>51</v>
      </c>
      <c r="G1448" t="e">
        <f t="shared" si="22"/>
        <v>#DIV/0!</v>
      </c>
    </row>
    <row r="1449" spans="1:7" x14ac:dyDescent="0.35">
      <c r="A1449">
        <f>IF(Bestellungen!J1449="Ja",Bestellungen!A1449)</f>
        <v>9096</v>
      </c>
      <c r="B1449">
        <f>IF(Bestellungen!J1449="Ja",Bestellungen!B1449)</f>
        <v>556</v>
      </c>
      <c r="C1449">
        <v>3</v>
      </c>
      <c r="D1449">
        <v>5</v>
      </c>
      <c r="E1449">
        <v>3</v>
      </c>
      <c r="F1449">
        <v>4</v>
      </c>
      <c r="G1449">
        <f t="shared" si="22"/>
        <v>3.75</v>
      </c>
    </row>
    <row r="1450" spans="1:7" hidden="1" x14ac:dyDescent="0.35">
      <c r="A1450" t="b">
        <f>IF(Bestellungen!J1450="Ja",Bestellungen!A1450)</f>
        <v>0</v>
      </c>
      <c r="B1450" t="b">
        <f>IF(Bestellungen!J1450="Ja",Bestellungen!B1450)</f>
        <v>0</v>
      </c>
      <c r="C1450" t="s">
        <v>51</v>
      </c>
      <c r="D1450" t="s">
        <v>51</v>
      </c>
      <c r="E1450" t="s">
        <v>51</v>
      </c>
      <c r="F1450" t="s">
        <v>51</v>
      </c>
      <c r="G1450" t="e">
        <f t="shared" si="22"/>
        <v>#DIV/0!</v>
      </c>
    </row>
    <row r="1451" spans="1:7" hidden="1" x14ac:dyDescent="0.35">
      <c r="A1451" t="b">
        <f>IF(Bestellungen!J1451="Ja",Bestellungen!A1451)</f>
        <v>0</v>
      </c>
      <c r="B1451" t="b">
        <f>IF(Bestellungen!J1451="Ja",Bestellungen!B1451)</f>
        <v>0</v>
      </c>
      <c r="C1451" t="s">
        <v>51</v>
      </c>
      <c r="D1451" t="s">
        <v>51</v>
      </c>
      <c r="E1451" t="s">
        <v>51</v>
      </c>
      <c r="F1451" t="s">
        <v>51</v>
      </c>
      <c r="G1451" t="e">
        <f t="shared" si="22"/>
        <v>#DIV/0!</v>
      </c>
    </row>
    <row r="1452" spans="1:7" x14ac:dyDescent="0.35">
      <c r="A1452">
        <f>IF(Bestellungen!J1452="Ja",Bestellungen!A1452)</f>
        <v>9099</v>
      </c>
      <c r="B1452">
        <f>IF(Bestellungen!J1452="Ja",Bestellungen!B1452)</f>
        <v>783</v>
      </c>
      <c r="C1452">
        <v>3</v>
      </c>
      <c r="D1452">
        <v>3</v>
      </c>
      <c r="E1452">
        <v>5</v>
      </c>
      <c r="F1452">
        <v>3</v>
      </c>
      <c r="G1452">
        <f t="shared" si="22"/>
        <v>3.5</v>
      </c>
    </row>
    <row r="1453" spans="1:7" x14ac:dyDescent="0.35">
      <c r="A1453">
        <f>IF(Bestellungen!J1453="Ja",Bestellungen!A1453)</f>
        <v>9100</v>
      </c>
      <c r="B1453">
        <f>IF(Bestellungen!J1453="Ja",Bestellungen!B1453)</f>
        <v>432</v>
      </c>
      <c r="C1453">
        <v>5</v>
      </c>
      <c r="D1453">
        <v>3</v>
      </c>
      <c r="E1453">
        <v>5</v>
      </c>
      <c r="F1453">
        <v>3</v>
      </c>
      <c r="G1453">
        <f t="shared" si="22"/>
        <v>4</v>
      </c>
    </row>
    <row r="1454" spans="1:7" x14ac:dyDescent="0.35">
      <c r="A1454">
        <f>IF(Bestellungen!J1454="Ja",Bestellungen!A1454)</f>
        <v>9101</v>
      </c>
      <c r="B1454">
        <f>IF(Bestellungen!J1454="Ja",Bestellungen!B1454)</f>
        <v>703</v>
      </c>
      <c r="C1454">
        <v>3</v>
      </c>
      <c r="D1454">
        <v>3</v>
      </c>
      <c r="E1454">
        <v>5</v>
      </c>
      <c r="F1454">
        <v>3</v>
      </c>
      <c r="G1454">
        <f t="shared" si="22"/>
        <v>3.5</v>
      </c>
    </row>
    <row r="1455" spans="1:7" x14ac:dyDescent="0.35">
      <c r="A1455">
        <f>IF(Bestellungen!J1455="Ja",Bestellungen!A1455)</f>
        <v>9102</v>
      </c>
      <c r="B1455">
        <f>IF(Bestellungen!J1455="Ja",Bestellungen!B1455)</f>
        <v>760</v>
      </c>
      <c r="C1455">
        <v>4</v>
      </c>
      <c r="D1455">
        <v>3</v>
      </c>
      <c r="E1455">
        <v>4</v>
      </c>
      <c r="F1455">
        <v>3</v>
      </c>
      <c r="G1455">
        <f t="shared" si="22"/>
        <v>3.5</v>
      </c>
    </row>
    <row r="1456" spans="1:7" hidden="1" x14ac:dyDescent="0.35">
      <c r="A1456" t="b">
        <f>IF(Bestellungen!J1456="Ja",Bestellungen!A1456)</f>
        <v>0</v>
      </c>
      <c r="B1456" t="b">
        <f>IF(Bestellungen!J1456="Ja",Bestellungen!B1456)</f>
        <v>0</v>
      </c>
      <c r="C1456" t="s">
        <v>51</v>
      </c>
      <c r="D1456" t="s">
        <v>51</v>
      </c>
      <c r="E1456" t="s">
        <v>51</v>
      </c>
      <c r="F1456" t="s">
        <v>51</v>
      </c>
      <c r="G1456" t="e">
        <f t="shared" si="22"/>
        <v>#DIV/0!</v>
      </c>
    </row>
    <row r="1457" spans="1:7" hidden="1" x14ac:dyDescent="0.35">
      <c r="A1457" t="b">
        <f>IF(Bestellungen!J1457="Ja",Bestellungen!A1457)</f>
        <v>0</v>
      </c>
      <c r="B1457" t="b">
        <f>IF(Bestellungen!J1457="Ja",Bestellungen!B1457)</f>
        <v>0</v>
      </c>
      <c r="C1457" t="s">
        <v>51</v>
      </c>
      <c r="D1457" t="s">
        <v>51</v>
      </c>
      <c r="E1457" t="s">
        <v>51</v>
      </c>
      <c r="F1457" t="s">
        <v>51</v>
      </c>
      <c r="G1457" t="e">
        <f t="shared" si="22"/>
        <v>#DIV/0!</v>
      </c>
    </row>
    <row r="1458" spans="1:7" x14ac:dyDescent="0.35">
      <c r="A1458">
        <f>IF(Bestellungen!J1458="Ja",Bestellungen!A1458)</f>
        <v>9105</v>
      </c>
      <c r="B1458">
        <f>IF(Bestellungen!J1458="Ja",Bestellungen!B1458)</f>
        <v>461</v>
      </c>
      <c r="C1458">
        <v>5</v>
      </c>
      <c r="D1458">
        <v>5</v>
      </c>
      <c r="E1458">
        <v>5</v>
      </c>
      <c r="F1458">
        <v>3</v>
      </c>
      <c r="G1458">
        <f t="shared" si="22"/>
        <v>4.5</v>
      </c>
    </row>
    <row r="1459" spans="1:7" x14ac:dyDescent="0.35">
      <c r="A1459">
        <f>IF(Bestellungen!J1459="Ja",Bestellungen!A1459)</f>
        <v>9106</v>
      </c>
      <c r="B1459">
        <f>IF(Bestellungen!J1459="Ja",Bestellungen!B1459)</f>
        <v>764</v>
      </c>
      <c r="C1459">
        <v>5</v>
      </c>
      <c r="D1459">
        <v>3</v>
      </c>
      <c r="E1459">
        <v>4</v>
      </c>
      <c r="F1459">
        <v>3</v>
      </c>
      <c r="G1459">
        <f t="shared" si="22"/>
        <v>3.75</v>
      </c>
    </row>
    <row r="1460" spans="1:7" x14ac:dyDescent="0.35">
      <c r="A1460">
        <f>IF(Bestellungen!J1460="Ja",Bestellungen!A1460)</f>
        <v>9107</v>
      </c>
      <c r="B1460">
        <f>IF(Bestellungen!J1460="Ja",Bestellungen!B1460)</f>
        <v>236</v>
      </c>
      <c r="C1460">
        <v>3</v>
      </c>
      <c r="D1460">
        <v>4</v>
      </c>
      <c r="E1460">
        <v>5</v>
      </c>
      <c r="F1460">
        <v>5</v>
      </c>
      <c r="G1460">
        <f t="shared" si="22"/>
        <v>4.25</v>
      </c>
    </row>
    <row r="1461" spans="1:7" hidden="1" x14ac:dyDescent="0.35">
      <c r="A1461" t="b">
        <f>IF(Bestellungen!J1461="Ja",Bestellungen!A1461)</f>
        <v>0</v>
      </c>
      <c r="B1461" t="b">
        <f>IF(Bestellungen!J1461="Ja",Bestellungen!B1461)</f>
        <v>0</v>
      </c>
      <c r="C1461" t="s">
        <v>51</v>
      </c>
      <c r="D1461" t="s">
        <v>51</v>
      </c>
      <c r="E1461" t="s">
        <v>51</v>
      </c>
      <c r="F1461" t="s">
        <v>51</v>
      </c>
      <c r="G1461" t="e">
        <f t="shared" si="22"/>
        <v>#DIV/0!</v>
      </c>
    </row>
    <row r="1462" spans="1:7" hidden="1" x14ac:dyDescent="0.35">
      <c r="A1462" t="b">
        <f>IF(Bestellungen!J1462="Ja",Bestellungen!A1462)</f>
        <v>0</v>
      </c>
      <c r="B1462" t="b">
        <f>IF(Bestellungen!J1462="Ja",Bestellungen!B1462)</f>
        <v>0</v>
      </c>
      <c r="C1462" t="s">
        <v>51</v>
      </c>
      <c r="D1462" t="s">
        <v>51</v>
      </c>
      <c r="E1462" t="s">
        <v>51</v>
      </c>
      <c r="F1462" t="s">
        <v>51</v>
      </c>
      <c r="G1462" t="e">
        <f t="shared" si="22"/>
        <v>#DIV/0!</v>
      </c>
    </row>
    <row r="1463" spans="1:7" x14ac:dyDescent="0.35">
      <c r="A1463">
        <f>IF(Bestellungen!J1463="Ja",Bestellungen!A1463)</f>
        <v>9110</v>
      </c>
      <c r="B1463">
        <f>IF(Bestellungen!J1463="Ja",Bestellungen!B1463)</f>
        <v>500</v>
      </c>
      <c r="C1463">
        <v>3</v>
      </c>
      <c r="D1463">
        <v>3</v>
      </c>
      <c r="E1463">
        <v>5</v>
      </c>
      <c r="F1463">
        <v>5</v>
      </c>
      <c r="G1463">
        <f t="shared" si="22"/>
        <v>4</v>
      </c>
    </row>
    <row r="1464" spans="1:7" hidden="1" x14ac:dyDescent="0.35">
      <c r="A1464" t="b">
        <f>IF(Bestellungen!J1464="Ja",Bestellungen!A1464)</f>
        <v>0</v>
      </c>
      <c r="B1464" t="b">
        <f>IF(Bestellungen!J1464="Ja",Bestellungen!B1464)</f>
        <v>0</v>
      </c>
      <c r="C1464" t="s">
        <v>51</v>
      </c>
      <c r="D1464" t="s">
        <v>51</v>
      </c>
      <c r="E1464" t="s">
        <v>51</v>
      </c>
      <c r="F1464" t="s">
        <v>51</v>
      </c>
      <c r="G1464" t="e">
        <f t="shared" si="22"/>
        <v>#DIV/0!</v>
      </c>
    </row>
    <row r="1465" spans="1:7" x14ac:dyDescent="0.35">
      <c r="A1465">
        <f>IF(Bestellungen!J1465="Ja",Bestellungen!A1465)</f>
        <v>9112</v>
      </c>
      <c r="B1465">
        <f>IF(Bestellungen!J1465="Ja",Bestellungen!B1465)</f>
        <v>673</v>
      </c>
      <c r="C1465">
        <v>5</v>
      </c>
      <c r="D1465">
        <v>5</v>
      </c>
      <c r="E1465">
        <v>4</v>
      </c>
      <c r="F1465">
        <v>4</v>
      </c>
      <c r="G1465">
        <f t="shared" si="22"/>
        <v>4.5</v>
      </c>
    </row>
    <row r="1466" spans="1:7" hidden="1" x14ac:dyDescent="0.35">
      <c r="A1466" t="b">
        <f>IF(Bestellungen!J1466="Ja",Bestellungen!A1466)</f>
        <v>0</v>
      </c>
      <c r="B1466" t="b">
        <f>IF(Bestellungen!J1466="Ja",Bestellungen!B1466)</f>
        <v>0</v>
      </c>
      <c r="C1466" t="s">
        <v>51</v>
      </c>
      <c r="D1466" t="s">
        <v>51</v>
      </c>
      <c r="E1466" t="s">
        <v>51</v>
      </c>
      <c r="F1466" t="s">
        <v>51</v>
      </c>
      <c r="G1466" t="e">
        <f t="shared" si="22"/>
        <v>#DIV/0!</v>
      </c>
    </row>
    <row r="1467" spans="1:7" hidden="1" x14ac:dyDescent="0.35">
      <c r="A1467" t="b">
        <f>IF(Bestellungen!J1467="Ja",Bestellungen!A1467)</f>
        <v>0</v>
      </c>
      <c r="B1467" t="b">
        <f>IF(Bestellungen!J1467="Ja",Bestellungen!B1467)</f>
        <v>0</v>
      </c>
      <c r="C1467" t="s">
        <v>51</v>
      </c>
      <c r="D1467" t="s">
        <v>51</v>
      </c>
      <c r="E1467" t="s">
        <v>51</v>
      </c>
      <c r="F1467" t="s">
        <v>51</v>
      </c>
      <c r="G1467" t="e">
        <f t="shared" si="22"/>
        <v>#DIV/0!</v>
      </c>
    </row>
    <row r="1468" spans="1:7" hidden="1" x14ac:dyDescent="0.35">
      <c r="A1468" t="b">
        <f>IF(Bestellungen!J1468="Ja",Bestellungen!A1468)</f>
        <v>0</v>
      </c>
      <c r="B1468" t="b">
        <f>IF(Bestellungen!J1468="Ja",Bestellungen!B1468)</f>
        <v>0</v>
      </c>
      <c r="C1468" t="s">
        <v>51</v>
      </c>
      <c r="D1468" t="s">
        <v>51</v>
      </c>
      <c r="E1468" t="s">
        <v>51</v>
      </c>
      <c r="F1468" t="s">
        <v>51</v>
      </c>
      <c r="G1468" t="e">
        <f t="shared" si="22"/>
        <v>#DIV/0!</v>
      </c>
    </row>
    <row r="1469" spans="1:7" hidden="1" x14ac:dyDescent="0.35">
      <c r="A1469" t="b">
        <f>IF(Bestellungen!J1469="Ja",Bestellungen!A1469)</f>
        <v>0</v>
      </c>
      <c r="B1469" t="b">
        <f>IF(Bestellungen!J1469="Ja",Bestellungen!B1469)</f>
        <v>0</v>
      </c>
      <c r="C1469" t="s">
        <v>51</v>
      </c>
      <c r="D1469" t="s">
        <v>51</v>
      </c>
      <c r="E1469" t="s">
        <v>51</v>
      </c>
      <c r="F1469" t="s">
        <v>51</v>
      </c>
      <c r="G1469" t="e">
        <f t="shared" si="22"/>
        <v>#DIV/0!</v>
      </c>
    </row>
    <row r="1470" spans="1:7" x14ac:dyDescent="0.35">
      <c r="A1470">
        <f>IF(Bestellungen!J1470="Ja",Bestellungen!A1470)</f>
        <v>9117</v>
      </c>
      <c r="B1470">
        <f>IF(Bestellungen!J1470="Ja",Bestellungen!B1470)</f>
        <v>709</v>
      </c>
      <c r="C1470">
        <v>4</v>
      </c>
      <c r="D1470">
        <v>4</v>
      </c>
      <c r="E1470">
        <v>3</v>
      </c>
      <c r="F1470">
        <v>5</v>
      </c>
      <c r="G1470">
        <f t="shared" si="22"/>
        <v>4</v>
      </c>
    </row>
    <row r="1471" spans="1:7" x14ac:dyDescent="0.35">
      <c r="A1471">
        <f>IF(Bestellungen!J1471="Ja",Bestellungen!A1471)</f>
        <v>9118</v>
      </c>
      <c r="B1471">
        <f>IF(Bestellungen!J1471="Ja",Bestellungen!B1471)</f>
        <v>90</v>
      </c>
      <c r="C1471">
        <v>5</v>
      </c>
      <c r="D1471">
        <v>4</v>
      </c>
      <c r="E1471">
        <v>4</v>
      </c>
      <c r="F1471">
        <v>4</v>
      </c>
      <c r="G1471">
        <f t="shared" si="22"/>
        <v>4.25</v>
      </c>
    </row>
    <row r="1472" spans="1:7" hidden="1" x14ac:dyDescent="0.35">
      <c r="A1472" t="b">
        <f>IF(Bestellungen!J1472="Ja",Bestellungen!A1472)</f>
        <v>0</v>
      </c>
      <c r="B1472" t="b">
        <f>IF(Bestellungen!J1472="Ja",Bestellungen!B1472)</f>
        <v>0</v>
      </c>
      <c r="C1472" t="s">
        <v>51</v>
      </c>
      <c r="D1472" t="s">
        <v>51</v>
      </c>
      <c r="E1472" t="s">
        <v>51</v>
      </c>
      <c r="F1472" t="s">
        <v>51</v>
      </c>
      <c r="G1472" t="e">
        <f t="shared" si="22"/>
        <v>#DIV/0!</v>
      </c>
    </row>
    <row r="1473" spans="1:7" hidden="1" x14ac:dyDescent="0.35">
      <c r="A1473" t="b">
        <f>IF(Bestellungen!J1473="Ja",Bestellungen!A1473)</f>
        <v>0</v>
      </c>
      <c r="B1473" t="b">
        <f>IF(Bestellungen!J1473="Ja",Bestellungen!B1473)</f>
        <v>0</v>
      </c>
      <c r="C1473" t="s">
        <v>51</v>
      </c>
      <c r="D1473" t="s">
        <v>51</v>
      </c>
      <c r="E1473" t="s">
        <v>51</v>
      </c>
      <c r="F1473" t="s">
        <v>51</v>
      </c>
      <c r="G1473" t="e">
        <f t="shared" si="22"/>
        <v>#DIV/0!</v>
      </c>
    </row>
    <row r="1474" spans="1:7" x14ac:dyDescent="0.35">
      <c r="A1474">
        <f>IF(Bestellungen!J1474="Ja",Bestellungen!A1474)</f>
        <v>9121</v>
      </c>
      <c r="B1474">
        <f>IF(Bestellungen!J1474="Ja",Bestellungen!B1474)</f>
        <v>342</v>
      </c>
      <c r="C1474">
        <v>5</v>
      </c>
      <c r="D1474">
        <v>5</v>
      </c>
      <c r="E1474">
        <v>4</v>
      </c>
      <c r="F1474">
        <v>3</v>
      </c>
      <c r="G1474">
        <f t="shared" si="22"/>
        <v>4.25</v>
      </c>
    </row>
    <row r="1475" spans="1:7" x14ac:dyDescent="0.35">
      <c r="A1475">
        <f>IF(Bestellungen!J1475="Ja",Bestellungen!A1475)</f>
        <v>9122</v>
      </c>
      <c r="B1475">
        <f>IF(Bestellungen!J1475="Ja",Bestellungen!B1475)</f>
        <v>762</v>
      </c>
      <c r="C1475">
        <v>3</v>
      </c>
      <c r="D1475">
        <v>3</v>
      </c>
      <c r="E1475">
        <v>3</v>
      </c>
      <c r="F1475">
        <v>5</v>
      </c>
      <c r="G1475">
        <f t="shared" ref="G1475:G1500" si="23">SUM(C1475:F1475)/COUNT(C1475:F1475)</f>
        <v>3.5</v>
      </c>
    </row>
    <row r="1476" spans="1:7" x14ac:dyDescent="0.35">
      <c r="A1476">
        <f>IF(Bestellungen!J1476="Ja",Bestellungen!A1476)</f>
        <v>9123</v>
      </c>
      <c r="B1476">
        <f>IF(Bestellungen!J1476="Ja",Bestellungen!B1476)</f>
        <v>314</v>
      </c>
      <c r="C1476">
        <v>5</v>
      </c>
      <c r="D1476">
        <v>3</v>
      </c>
      <c r="E1476">
        <v>5</v>
      </c>
      <c r="F1476">
        <v>4</v>
      </c>
      <c r="G1476">
        <f t="shared" si="23"/>
        <v>4.25</v>
      </c>
    </row>
    <row r="1477" spans="1:7" hidden="1" x14ac:dyDescent="0.35">
      <c r="A1477" t="b">
        <f>IF(Bestellungen!J1477="Ja",Bestellungen!A1477)</f>
        <v>0</v>
      </c>
      <c r="B1477" t="b">
        <f>IF(Bestellungen!J1477="Ja",Bestellungen!B1477)</f>
        <v>0</v>
      </c>
      <c r="C1477" t="s">
        <v>51</v>
      </c>
      <c r="D1477" t="s">
        <v>51</v>
      </c>
      <c r="E1477" t="s">
        <v>51</v>
      </c>
      <c r="F1477" t="s">
        <v>51</v>
      </c>
      <c r="G1477" t="e">
        <f t="shared" si="23"/>
        <v>#DIV/0!</v>
      </c>
    </row>
    <row r="1478" spans="1:7" hidden="1" x14ac:dyDescent="0.35">
      <c r="A1478" t="b">
        <f>IF(Bestellungen!J1478="Ja",Bestellungen!A1478)</f>
        <v>0</v>
      </c>
      <c r="B1478" t="b">
        <f>IF(Bestellungen!J1478="Ja",Bestellungen!B1478)</f>
        <v>0</v>
      </c>
      <c r="C1478" t="s">
        <v>51</v>
      </c>
      <c r="D1478" t="s">
        <v>51</v>
      </c>
      <c r="E1478" t="s">
        <v>51</v>
      </c>
      <c r="F1478" t="s">
        <v>51</v>
      </c>
      <c r="G1478" t="e">
        <f t="shared" si="23"/>
        <v>#DIV/0!</v>
      </c>
    </row>
    <row r="1479" spans="1:7" x14ac:dyDescent="0.35">
      <c r="A1479">
        <f>IF(Bestellungen!J1479="Ja",Bestellungen!A1479)</f>
        <v>9126</v>
      </c>
      <c r="B1479">
        <f>IF(Bestellungen!J1479="Ja",Bestellungen!B1479)</f>
        <v>652</v>
      </c>
      <c r="C1479">
        <v>4</v>
      </c>
      <c r="D1479">
        <v>5</v>
      </c>
      <c r="E1479">
        <v>5</v>
      </c>
      <c r="F1479">
        <v>3</v>
      </c>
      <c r="G1479">
        <f t="shared" si="23"/>
        <v>4.25</v>
      </c>
    </row>
    <row r="1480" spans="1:7" x14ac:dyDescent="0.35">
      <c r="A1480">
        <f>IF(Bestellungen!J1480="Ja",Bestellungen!A1480)</f>
        <v>9127</v>
      </c>
      <c r="B1480">
        <f>IF(Bestellungen!J1480="Ja",Bestellungen!B1480)</f>
        <v>569</v>
      </c>
      <c r="C1480">
        <v>5</v>
      </c>
      <c r="D1480">
        <v>4</v>
      </c>
      <c r="E1480">
        <v>5</v>
      </c>
      <c r="F1480">
        <v>5</v>
      </c>
      <c r="G1480">
        <f t="shared" si="23"/>
        <v>4.75</v>
      </c>
    </row>
    <row r="1481" spans="1:7" hidden="1" x14ac:dyDescent="0.35">
      <c r="A1481" t="b">
        <f>IF(Bestellungen!J1481="Ja",Bestellungen!A1481)</f>
        <v>0</v>
      </c>
      <c r="B1481" t="b">
        <f>IF(Bestellungen!J1481="Ja",Bestellungen!B1481)</f>
        <v>0</v>
      </c>
      <c r="C1481" t="s">
        <v>51</v>
      </c>
      <c r="D1481" t="s">
        <v>51</v>
      </c>
      <c r="E1481" t="s">
        <v>51</v>
      </c>
      <c r="F1481" t="s">
        <v>51</v>
      </c>
      <c r="G1481" t="e">
        <f t="shared" si="23"/>
        <v>#DIV/0!</v>
      </c>
    </row>
    <row r="1482" spans="1:7" hidden="1" x14ac:dyDescent="0.35">
      <c r="A1482" t="b">
        <f>IF(Bestellungen!J1482="Ja",Bestellungen!A1482)</f>
        <v>0</v>
      </c>
      <c r="B1482" t="b">
        <f>IF(Bestellungen!J1482="Ja",Bestellungen!B1482)</f>
        <v>0</v>
      </c>
      <c r="C1482" t="s">
        <v>51</v>
      </c>
      <c r="D1482" t="s">
        <v>51</v>
      </c>
      <c r="E1482" t="s">
        <v>51</v>
      </c>
      <c r="F1482" t="s">
        <v>51</v>
      </c>
      <c r="G1482" t="e">
        <f t="shared" si="23"/>
        <v>#DIV/0!</v>
      </c>
    </row>
    <row r="1483" spans="1:7" hidden="1" x14ac:dyDescent="0.35">
      <c r="A1483" t="b">
        <f>IF(Bestellungen!J1483="Ja",Bestellungen!A1483)</f>
        <v>0</v>
      </c>
      <c r="B1483" t="b">
        <f>IF(Bestellungen!J1483="Ja",Bestellungen!B1483)</f>
        <v>0</v>
      </c>
      <c r="C1483" t="s">
        <v>51</v>
      </c>
      <c r="D1483" t="s">
        <v>51</v>
      </c>
      <c r="E1483" t="s">
        <v>51</v>
      </c>
      <c r="F1483" t="s">
        <v>51</v>
      </c>
      <c r="G1483" t="e">
        <f t="shared" si="23"/>
        <v>#DIV/0!</v>
      </c>
    </row>
    <row r="1484" spans="1:7" x14ac:dyDescent="0.35">
      <c r="A1484">
        <f>IF(Bestellungen!J1484="Ja",Bestellungen!A1484)</f>
        <v>9131</v>
      </c>
      <c r="B1484">
        <f>IF(Bestellungen!J1484="Ja",Bestellungen!B1484)</f>
        <v>745</v>
      </c>
      <c r="C1484">
        <v>4</v>
      </c>
      <c r="D1484">
        <v>4</v>
      </c>
      <c r="E1484">
        <v>3</v>
      </c>
      <c r="F1484">
        <v>3</v>
      </c>
      <c r="G1484">
        <f t="shared" si="23"/>
        <v>3.5</v>
      </c>
    </row>
    <row r="1485" spans="1:7" hidden="1" x14ac:dyDescent="0.35">
      <c r="A1485" t="b">
        <f>IF(Bestellungen!J1485="Ja",Bestellungen!A1485)</f>
        <v>0</v>
      </c>
      <c r="B1485" t="b">
        <f>IF(Bestellungen!J1485="Ja",Bestellungen!B1485)</f>
        <v>0</v>
      </c>
      <c r="C1485" t="s">
        <v>51</v>
      </c>
      <c r="D1485" t="s">
        <v>51</v>
      </c>
      <c r="E1485" t="s">
        <v>51</v>
      </c>
      <c r="F1485" t="s">
        <v>51</v>
      </c>
      <c r="G1485" t="e">
        <f t="shared" si="23"/>
        <v>#DIV/0!</v>
      </c>
    </row>
    <row r="1486" spans="1:7" x14ac:dyDescent="0.35">
      <c r="A1486">
        <f>IF(Bestellungen!J1486="Ja",Bestellungen!A1486)</f>
        <v>9133</v>
      </c>
      <c r="B1486">
        <f>IF(Bestellungen!J1486="Ja",Bestellungen!B1486)</f>
        <v>175</v>
      </c>
      <c r="C1486">
        <v>3</v>
      </c>
      <c r="D1486">
        <v>3</v>
      </c>
      <c r="E1486">
        <v>5</v>
      </c>
      <c r="F1486">
        <v>5</v>
      </c>
      <c r="G1486">
        <f t="shared" si="23"/>
        <v>4</v>
      </c>
    </row>
    <row r="1487" spans="1:7" x14ac:dyDescent="0.35">
      <c r="A1487">
        <f>IF(Bestellungen!J1487="Ja",Bestellungen!A1487)</f>
        <v>9134</v>
      </c>
      <c r="B1487">
        <f>IF(Bestellungen!J1487="Ja",Bestellungen!B1487)</f>
        <v>713</v>
      </c>
      <c r="C1487">
        <v>3</v>
      </c>
      <c r="D1487">
        <v>3</v>
      </c>
      <c r="E1487">
        <v>3</v>
      </c>
      <c r="F1487">
        <v>5</v>
      </c>
      <c r="G1487">
        <f t="shared" si="23"/>
        <v>3.5</v>
      </c>
    </row>
    <row r="1488" spans="1:7" x14ac:dyDescent="0.35">
      <c r="A1488">
        <f>IF(Bestellungen!J1488="Ja",Bestellungen!A1488)</f>
        <v>9135</v>
      </c>
      <c r="B1488">
        <f>IF(Bestellungen!J1488="Ja",Bestellungen!B1488)</f>
        <v>153</v>
      </c>
      <c r="C1488">
        <v>5</v>
      </c>
      <c r="D1488">
        <v>3</v>
      </c>
      <c r="E1488">
        <v>4</v>
      </c>
      <c r="F1488">
        <v>5</v>
      </c>
      <c r="G1488">
        <f t="shared" si="23"/>
        <v>4.25</v>
      </c>
    </row>
    <row r="1489" spans="1:7" x14ac:dyDescent="0.35">
      <c r="A1489">
        <f>IF(Bestellungen!J1489="Ja",Bestellungen!A1489)</f>
        <v>9136</v>
      </c>
      <c r="B1489">
        <f>IF(Bestellungen!J1489="Ja",Bestellungen!B1489)</f>
        <v>256</v>
      </c>
      <c r="C1489">
        <v>4</v>
      </c>
      <c r="D1489">
        <v>3</v>
      </c>
      <c r="E1489">
        <v>3</v>
      </c>
      <c r="F1489">
        <v>4</v>
      </c>
      <c r="G1489">
        <f t="shared" si="23"/>
        <v>3.5</v>
      </c>
    </row>
    <row r="1490" spans="1:7" hidden="1" x14ac:dyDescent="0.35">
      <c r="A1490" t="b">
        <f>IF(Bestellungen!J1490="Ja",Bestellungen!A1490)</f>
        <v>0</v>
      </c>
      <c r="B1490" t="b">
        <f>IF(Bestellungen!J1490="Ja",Bestellungen!B1490)</f>
        <v>0</v>
      </c>
      <c r="C1490" t="s">
        <v>51</v>
      </c>
      <c r="D1490" t="s">
        <v>51</v>
      </c>
      <c r="E1490" t="s">
        <v>51</v>
      </c>
      <c r="F1490" t="s">
        <v>51</v>
      </c>
      <c r="G1490" t="e">
        <f t="shared" si="23"/>
        <v>#DIV/0!</v>
      </c>
    </row>
    <row r="1491" spans="1:7" hidden="1" x14ac:dyDescent="0.35">
      <c r="A1491" t="b">
        <f>IF(Bestellungen!J1491="Ja",Bestellungen!A1491)</f>
        <v>0</v>
      </c>
      <c r="B1491" t="b">
        <f>IF(Bestellungen!J1491="Ja",Bestellungen!B1491)</f>
        <v>0</v>
      </c>
      <c r="C1491" t="s">
        <v>51</v>
      </c>
      <c r="D1491" t="s">
        <v>51</v>
      </c>
      <c r="E1491" t="s">
        <v>51</v>
      </c>
      <c r="F1491" t="s">
        <v>51</v>
      </c>
      <c r="G1491" t="e">
        <f t="shared" si="23"/>
        <v>#DIV/0!</v>
      </c>
    </row>
    <row r="1492" spans="1:7" hidden="1" x14ac:dyDescent="0.35">
      <c r="A1492" t="b">
        <f>IF(Bestellungen!J1492="Ja",Bestellungen!A1492)</f>
        <v>0</v>
      </c>
      <c r="B1492" t="b">
        <f>IF(Bestellungen!J1492="Ja",Bestellungen!B1492)</f>
        <v>0</v>
      </c>
      <c r="C1492" t="s">
        <v>51</v>
      </c>
      <c r="D1492" t="s">
        <v>51</v>
      </c>
      <c r="E1492" t="s">
        <v>51</v>
      </c>
      <c r="F1492" t="s">
        <v>51</v>
      </c>
      <c r="G1492" t="e">
        <f t="shared" si="23"/>
        <v>#DIV/0!</v>
      </c>
    </row>
    <row r="1493" spans="1:7" hidden="1" x14ac:dyDescent="0.35">
      <c r="A1493" t="b">
        <f>IF(Bestellungen!J1493="Ja",Bestellungen!A1493)</f>
        <v>0</v>
      </c>
      <c r="B1493" t="b">
        <f>IF(Bestellungen!J1493="Ja",Bestellungen!B1493)</f>
        <v>0</v>
      </c>
      <c r="C1493" t="s">
        <v>51</v>
      </c>
      <c r="D1493" t="s">
        <v>51</v>
      </c>
      <c r="E1493" t="s">
        <v>51</v>
      </c>
      <c r="F1493" t="s">
        <v>51</v>
      </c>
      <c r="G1493" t="e">
        <f t="shared" si="23"/>
        <v>#DIV/0!</v>
      </c>
    </row>
    <row r="1494" spans="1:7" x14ac:dyDescent="0.35">
      <c r="A1494">
        <f>IF(Bestellungen!J1494="Ja",Bestellungen!A1494)</f>
        <v>9141</v>
      </c>
      <c r="B1494">
        <f>IF(Bestellungen!J1494="Ja",Bestellungen!B1494)</f>
        <v>182</v>
      </c>
      <c r="C1494">
        <v>3</v>
      </c>
      <c r="D1494">
        <v>4</v>
      </c>
      <c r="E1494">
        <v>5</v>
      </c>
      <c r="F1494">
        <v>5</v>
      </c>
      <c r="G1494">
        <f t="shared" si="23"/>
        <v>4.25</v>
      </c>
    </row>
    <row r="1495" spans="1:7" hidden="1" x14ac:dyDescent="0.35">
      <c r="A1495" t="b">
        <f>IF(Bestellungen!J1495="Ja",Bestellungen!A1495)</f>
        <v>0</v>
      </c>
      <c r="B1495" t="b">
        <f>IF(Bestellungen!J1495="Ja",Bestellungen!B1495)</f>
        <v>0</v>
      </c>
      <c r="C1495" t="s">
        <v>51</v>
      </c>
      <c r="D1495" t="s">
        <v>51</v>
      </c>
      <c r="E1495" t="s">
        <v>51</v>
      </c>
      <c r="F1495" t="s">
        <v>51</v>
      </c>
      <c r="G1495" t="e">
        <f t="shared" si="23"/>
        <v>#DIV/0!</v>
      </c>
    </row>
    <row r="1496" spans="1:7" x14ac:dyDescent="0.35">
      <c r="A1496">
        <f>IF(Bestellungen!J1496="Ja",Bestellungen!A1496)</f>
        <v>9143</v>
      </c>
      <c r="B1496">
        <f>IF(Bestellungen!J1496="Ja",Bestellungen!B1496)</f>
        <v>372</v>
      </c>
      <c r="C1496">
        <v>5</v>
      </c>
      <c r="D1496">
        <v>5</v>
      </c>
      <c r="E1496">
        <v>4</v>
      </c>
      <c r="F1496">
        <v>5</v>
      </c>
      <c r="G1496">
        <f t="shared" si="23"/>
        <v>4.75</v>
      </c>
    </row>
    <row r="1497" spans="1:7" hidden="1" x14ac:dyDescent="0.35">
      <c r="A1497" t="b">
        <f>IF(Bestellungen!J1497="Ja",Bestellungen!A1497)</f>
        <v>0</v>
      </c>
      <c r="B1497" t="b">
        <f>IF(Bestellungen!J1497="Ja",Bestellungen!B1497)</f>
        <v>0</v>
      </c>
      <c r="C1497" t="s">
        <v>51</v>
      </c>
      <c r="D1497" t="s">
        <v>51</v>
      </c>
      <c r="E1497" t="s">
        <v>51</v>
      </c>
      <c r="F1497" t="s">
        <v>51</v>
      </c>
      <c r="G1497" t="e">
        <f t="shared" si="23"/>
        <v>#DIV/0!</v>
      </c>
    </row>
    <row r="1498" spans="1:7" x14ac:dyDescent="0.35">
      <c r="A1498">
        <f>IF(Bestellungen!J1498="Ja",Bestellungen!A1498)</f>
        <v>9145</v>
      </c>
      <c r="B1498">
        <f>IF(Bestellungen!J1498="Ja",Bestellungen!B1498)</f>
        <v>712</v>
      </c>
      <c r="C1498">
        <v>5</v>
      </c>
      <c r="D1498">
        <v>5</v>
      </c>
      <c r="E1498">
        <v>3</v>
      </c>
      <c r="F1498">
        <v>3</v>
      </c>
      <c r="G1498">
        <f t="shared" si="23"/>
        <v>4</v>
      </c>
    </row>
    <row r="1499" spans="1:7" hidden="1" x14ac:dyDescent="0.35">
      <c r="A1499" t="b">
        <f>IF(Bestellungen!J1499="Ja",Bestellungen!A1499)</f>
        <v>0</v>
      </c>
      <c r="B1499" t="b">
        <f>IF(Bestellungen!J1499="Ja",Bestellungen!B1499)</f>
        <v>0</v>
      </c>
      <c r="C1499" t="s">
        <v>51</v>
      </c>
      <c r="D1499" t="s">
        <v>51</v>
      </c>
      <c r="E1499" t="s">
        <v>51</v>
      </c>
      <c r="F1499" t="s">
        <v>51</v>
      </c>
      <c r="G1499" t="e">
        <f t="shared" si="23"/>
        <v>#DIV/0!</v>
      </c>
    </row>
    <row r="1500" spans="1:7" x14ac:dyDescent="0.35">
      <c r="A1500">
        <f>IF(Bestellungen!J1500="Ja",Bestellungen!A1500)</f>
        <v>9147</v>
      </c>
      <c r="B1500">
        <f>IF(Bestellungen!J1500="Ja",Bestellungen!B1500)</f>
        <v>520</v>
      </c>
      <c r="C1500">
        <v>5</v>
      </c>
      <c r="D1500">
        <v>4</v>
      </c>
      <c r="E1500">
        <v>4</v>
      </c>
      <c r="F1500">
        <v>3</v>
      </c>
      <c r="G1500">
        <f t="shared" si="23"/>
        <v>4</v>
      </c>
    </row>
  </sheetData>
  <autoFilter ref="A1:G1500" xr:uid="{1FDDADBD-3D88-4FEF-9D17-B28A89C78D9D}">
    <filterColumn colId="0">
      <filters>
        <filter val="7649"/>
        <filter val="7650"/>
        <filter val="7652"/>
        <filter val="7654"/>
        <filter val="7657"/>
        <filter val="7658"/>
        <filter val="7659"/>
        <filter val="7662"/>
        <filter val="7668"/>
        <filter val="7670"/>
        <filter val="7671"/>
        <filter val="7673"/>
        <filter val="7674"/>
        <filter val="7681"/>
        <filter val="7682"/>
        <filter val="7683"/>
        <filter val="7684"/>
        <filter val="7685"/>
        <filter val="7686"/>
        <filter val="7687"/>
        <filter val="7688"/>
        <filter val="7689"/>
        <filter val="7692"/>
        <filter val="7694"/>
        <filter val="7695"/>
        <filter val="7698"/>
        <filter val="7700"/>
        <filter val="7703"/>
        <filter val="7704"/>
        <filter val="7706"/>
        <filter val="7708"/>
        <filter val="7711"/>
        <filter val="7712"/>
        <filter val="7713"/>
        <filter val="7715"/>
        <filter val="7716"/>
        <filter val="7717"/>
        <filter val="7720"/>
        <filter val="7722"/>
        <filter val="7723"/>
        <filter val="7724"/>
        <filter val="7725"/>
        <filter val="7730"/>
        <filter val="7734"/>
        <filter val="7735"/>
        <filter val="7736"/>
        <filter val="7737"/>
        <filter val="7739"/>
        <filter val="7742"/>
        <filter val="7744"/>
        <filter val="7747"/>
        <filter val="7748"/>
        <filter val="7750"/>
        <filter val="7752"/>
        <filter val="7757"/>
        <filter val="7759"/>
        <filter val="7761"/>
        <filter val="7763"/>
        <filter val="7764"/>
        <filter val="7767"/>
        <filter val="7769"/>
        <filter val="7770"/>
        <filter val="7772"/>
        <filter val="7773"/>
        <filter val="7774"/>
        <filter val="7775"/>
        <filter val="7778"/>
        <filter val="7783"/>
        <filter val="7785"/>
        <filter val="7786"/>
        <filter val="7787"/>
        <filter val="7788"/>
        <filter val="7789"/>
        <filter val="7800"/>
        <filter val="7808"/>
        <filter val="7810"/>
        <filter val="7811"/>
        <filter val="7813"/>
        <filter val="7815"/>
        <filter val="7816"/>
        <filter val="7823"/>
        <filter val="7824"/>
        <filter val="7825"/>
        <filter val="7833"/>
        <filter val="7834"/>
        <filter val="7836"/>
        <filter val="7838"/>
        <filter val="7841"/>
        <filter val="7842"/>
        <filter val="7843"/>
        <filter val="7847"/>
        <filter val="7848"/>
        <filter val="7850"/>
        <filter val="7851"/>
        <filter val="7852"/>
        <filter val="7853"/>
        <filter val="7856"/>
        <filter val="7858"/>
        <filter val="7859"/>
        <filter val="7860"/>
        <filter val="7861"/>
        <filter val="7862"/>
        <filter val="7863"/>
        <filter val="7865"/>
        <filter val="7866"/>
        <filter val="7867"/>
        <filter val="7870"/>
        <filter val="7871"/>
        <filter val="7872"/>
        <filter val="7877"/>
        <filter val="7883"/>
        <filter val="7884"/>
        <filter val="7888"/>
        <filter val="7893"/>
        <filter val="7895"/>
        <filter val="7901"/>
        <filter val="7906"/>
        <filter val="7909"/>
        <filter val="7918"/>
        <filter val="7922"/>
        <filter val="7923"/>
        <filter val="7926"/>
        <filter val="7929"/>
        <filter val="7930"/>
        <filter val="7934"/>
        <filter val="7937"/>
        <filter val="7938"/>
        <filter val="7939"/>
        <filter val="7940"/>
        <filter val="7943"/>
        <filter val="7944"/>
        <filter val="7946"/>
        <filter val="7950"/>
        <filter val="7951"/>
        <filter val="7956"/>
        <filter val="7959"/>
        <filter val="7962"/>
        <filter val="7964"/>
        <filter val="7965"/>
        <filter val="7966"/>
        <filter val="7967"/>
        <filter val="7969"/>
        <filter val="7971"/>
        <filter val="7974"/>
        <filter val="7975"/>
        <filter val="7976"/>
        <filter val="7978"/>
        <filter val="7980"/>
        <filter val="7981"/>
        <filter val="7982"/>
        <filter val="7983"/>
        <filter val="7984"/>
        <filter val="7987"/>
        <filter val="7989"/>
        <filter val="7991"/>
        <filter val="7992"/>
        <filter val="7993"/>
        <filter val="7995"/>
        <filter val="7996"/>
        <filter val="7997"/>
        <filter val="7998"/>
        <filter val="7999"/>
        <filter val="8001"/>
        <filter val="8004"/>
        <filter val="8005"/>
        <filter val="8007"/>
        <filter val="8010"/>
        <filter val="8011"/>
        <filter val="8017"/>
        <filter val="8019"/>
        <filter val="8020"/>
        <filter val="8022"/>
        <filter val="8023"/>
        <filter val="8024"/>
        <filter val="8026"/>
        <filter val="8027"/>
        <filter val="8029"/>
        <filter val="8033"/>
        <filter val="8034"/>
        <filter val="8035"/>
        <filter val="8037"/>
        <filter val="8038"/>
        <filter val="8039"/>
        <filter val="8041"/>
        <filter val="8042"/>
        <filter val="8044"/>
        <filter val="8046"/>
        <filter val="8056"/>
        <filter val="8058"/>
        <filter val="8059"/>
        <filter val="8061"/>
        <filter val="8063"/>
        <filter val="8064"/>
        <filter val="8065"/>
        <filter val="8070"/>
        <filter val="8071"/>
        <filter val="8072"/>
        <filter val="8073"/>
        <filter val="8074"/>
        <filter val="8076"/>
        <filter val="8077"/>
        <filter val="8079"/>
        <filter val="8080"/>
        <filter val="8085"/>
        <filter val="8087"/>
        <filter val="8088"/>
        <filter val="8089"/>
        <filter val="8091"/>
        <filter val="8092"/>
        <filter val="8096"/>
        <filter val="8099"/>
        <filter val="8101"/>
        <filter val="8103"/>
        <filter val="8105"/>
        <filter val="8106"/>
        <filter val="8107"/>
        <filter val="8108"/>
        <filter val="8109"/>
        <filter val="8111"/>
        <filter val="8113"/>
        <filter val="8114"/>
        <filter val="8115"/>
        <filter val="8117"/>
        <filter val="8118"/>
        <filter val="8120"/>
        <filter val="8125"/>
        <filter val="8126"/>
        <filter val="8127"/>
        <filter val="8132"/>
        <filter val="8134"/>
        <filter val="8138"/>
        <filter val="8139"/>
        <filter val="8140"/>
        <filter val="8141"/>
        <filter val="8142"/>
        <filter val="8143"/>
        <filter val="8144"/>
        <filter val="8145"/>
        <filter val="8146"/>
        <filter val="8148"/>
        <filter val="8149"/>
        <filter val="8150"/>
        <filter val="8154"/>
        <filter val="8156"/>
        <filter val="8158"/>
        <filter val="8159"/>
        <filter val="8161"/>
        <filter val="8162"/>
        <filter val="8165"/>
        <filter val="8166"/>
        <filter val="8167"/>
        <filter val="8168"/>
        <filter val="8170"/>
        <filter val="8173"/>
        <filter val="8175"/>
        <filter val="8176"/>
        <filter val="8179"/>
        <filter val="8182"/>
        <filter val="8183"/>
        <filter val="8184"/>
        <filter val="8186"/>
        <filter val="8187"/>
        <filter val="8191"/>
        <filter val="8198"/>
        <filter val="8200"/>
        <filter val="8201"/>
        <filter val="8202"/>
        <filter val="8204"/>
        <filter val="8206"/>
        <filter val="8210"/>
        <filter val="8211"/>
        <filter val="8212"/>
        <filter val="8215"/>
        <filter val="8216"/>
        <filter val="8218"/>
        <filter val="8219"/>
        <filter val="8220"/>
        <filter val="8223"/>
        <filter val="8231"/>
        <filter val="8232"/>
        <filter val="8233"/>
        <filter val="8234"/>
        <filter val="8236"/>
        <filter val="8239"/>
        <filter val="8240"/>
        <filter val="8241"/>
        <filter val="8247"/>
        <filter val="8249"/>
        <filter val="8252"/>
        <filter val="8254"/>
        <filter val="8255"/>
        <filter val="8257"/>
        <filter val="8258"/>
        <filter val="8260"/>
        <filter val="8263"/>
        <filter val="8264"/>
        <filter val="8267"/>
        <filter val="8268"/>
        <filter val="8271"/>
        <filter val="8272"/>
        <filter val="8275"/>
        <filter val="8277"/>
        <filter val="8278"/>
        <filter val="8279"/>
        <filter val="8280"/>
        <filter val="8281"/>
        <filter val="8286"/>
        <filter val="8289"/>
        <filter val="8291"/>
        <filter val="8292"/>
        <filter val="8299"/>
        <filter val="8300"/>
        <filter val="8302"/>
        <filter val="8303"/>
        <filter val="8304"/>
        <filter val="8305"/>
        <filter val="8309"/>
        <filter val="8310"/>
        <filter val="8314"/>
        <filter val="8315"/>
        <filter val="8320"/>
        <filter val="8326"/>
        <filter val="8329"/>
        <filter val="8331"/>
        <filter val="8334"/>
        <filter val="8336"/>
        <filter val="8338"/>
        <filter val="8341"/>
        <filter val="8344"/>
        <filter val="8347"/>
        <filter val="8350"/>
        <filter val="8351"/>
        <filter val="8352"/>
        <filter val="8353"/>
        <filter val="8357"/>
        <filter val="8359"/>
        <filter val="8362"/>
        <filter val="8365"/>
        <filter val="8366"/>
        <filter val="8370"/>
        <filter val="8372"/>
        <filter val="8373"/>
        <filter val="8377"/>
        <filter val="8382"/>
        <filter val="8383"/>
        <filter val="8385"/>
        <filter val="8388"/>
        <filter val="8389"/>
        <filter val="8390"/>
        <filter val="8391"/>
        <filter val="8392"/>
        <filter val="8393"/>
        <filter val="8394"/>
        <filter val="8395"/>
        <filter val="8397"/>
        <filter val="8398"/>
        <filter val="8399"/>
        <filter val="8404"/>
        <filter val="8408"/>
        <filter val="8411"/>
        <filter val="8413"/>
        <filter val="8415"/>
        <filter val="8417"/>
        <filter val="8421"/>
        <filter val="8422"/>
        <filter val="8424"/>
        <filter val="8426"/>
        <filter val="8432"/>
        <filter val="8434"/>
        <filter val="8441"/>
        <filter val="8443"/>
        <filter val="8444"/>
        <filter val="8445"/>
        <filter val="8446"/>
        <filter val="8448"/>
        <filter val="8450"/>
        <filter val="8452"/>
        <filter val="8456"/>
        <filter val="8459"/>
        <filter val="8460"/>
        <filter val="8461"/>
        <filter val="8463"/>
        <filter val="8465"/>
        <filter val="8467"/>
        <filter val="8468"/>
        <filter val="8470"/>
        <filter val="8472"/>
        <filter val="8473"/>
        <filter val="8474"/>
        <filter val="8475"/>
        <filter val="8477"/>
        <filter val="8478"/>
        <filter val="8479"/>
        <filter val="8480"/>
        <filter val="8482"/>
        <filter val="8483"/>
        <filter val="8485"/>
        <filter val="8486"/>
        <filter val="8487"/>
        <filter val="8488"/>
        <filter val="8489"/>
        <filter val="8491"/>
        <filter val="8493"/>
        <filter val="8494"/>
        <filter val="8496"/>
        <filter val="8497"/>
        <filter val="8499"/>
        <filter val="8502"/>
        <filter val="8503"/>
        <filter val="8507"/>
        <filter val="8513"/>
        <filter val="8514"/>
        <filter val="8516"/>
        <filter val="8517"/>
        <filter val="8518"/>
        <filter val="8519"/>
        <filter val="8520"/>
        <filter val="8523"/>
        <filter val="8526"/>
        <filter val="8528"/>
        <filter val="8530"/>
        <filter val="8533"/>
        <filter val="8534"/>
        <filter val="8535"/>
        <filter val="8537"/>
        <filter val="8539"/>
        <filter val="8542"/>
        <filter val="8546"/>
        <filter val="8549"/>
        <filter val="8550"/>
        <filter val="8552"/>
        <filter val="8554"/>
        <filter val="8555"/>
        <filter val="8556"/>
        <filter val="8558"/>
        <filter val="8559"/>
        <filter val="8560"/>
        <filter val="8561"/>
        <filter val="8564"/>
        <filter val="8568"/>
        <filter val="8569"/>
        <filter val="8571"/>
        <filter val="8572"/>
        <filter val="8574"/>
        <filter val="8575"/>
        <filter val="8577"/>
        <filter val="8578"/>
        <filter val="8579"/>
        <filter val="8581"/>
        <filter val="8582"/>
        <filter val="8583"/>
        <filter val="8584"/>
        <filter val="8585"/>
        <filter val="8586"/>
        <filter val="8587"/>
        <filter val="8588"/>
        <filter val="8590"/>
        <filter val="8591"/>
        <filter val="8593"/>
        <filter val="8595"/>
        <filter val="8596"/>
        <filter val="8598"/>
        <filter val="8601"/>
        <filter val="8608"/>
        <filter val="8609"/>
        <filter val="8611"/>
        <filter val="8620"/>
        <filter val="8621"/>
        <filter val="8623"/>
        <filter val="8627"/>
        <filter val="8628"/>
        <filter val="8631"/>
        <filter val="8634"/>
        <filter val="8635"/>
        <filter val="8638"/>
        <filter val="8639"/>
        <filter val="8643"/>
        <filter val="8644"/>
        <filter val="8645"/>
        <filter val="8649"/>
        <filter val="8650"/>
        <filter val="8652"/>
        <filter val="8654"/>
        <filter val="8655"/>
        <filter val="8657"/>
        <filter val="8658"/>
        <filter val="8660"/>
        <filter val="8661"/>
        <filter val="8663"/>
        <filter val="8665"/>
        <filter val="8667"/>
        <filter val="8668"/>
        <filter val="8669"/>
        <filter val="8671"/>
        <filter val="8672"/>
        <filter val="8673"/>
        <filter val="8674"/>
        <filter val="8677"/>
        <filter val="8678"/>
        <filter val="8683"/>
        <filter val="8686"/>
        <filter val="8688"/>
        <filter val="8692"/>
        <filter val="8694"/>
        <filter val="8695"/>
        <filter val="8696"/>
        <filter val="8697"/>
        <filter val="8698"/>
        <filter val="8701"/>
        <filter val="8702"/>
        <filter val="8703"/>
        <filter val="8705"/>
        <filter val="8707"/>
        <filter val="8708"/>
        <filter val="8711"/>
        <filter val="8712"/>
        <filter val="8713"/>
        <filter val="8714"/>
        <filter val="8715"/>
        <filter val="8717"/>
        <filter val="8719"/>
        <filter val="8725"/>
        <filter val="8727"/>
        <filter val="8729"/>
        <filter val="8731"/>
        <filter val="8735"/>
        <filter val="8738"/>
        <filter val="8740"/>
        <filter val="8742"/>
        <filter val="8743"/>
        <filter val="8745"/>
        <filter val="8749"/>
        <filter val="8751"/>
        <filter val="8752"/>
        <filter val="8754"/>
        <filter val="8755"/>
        <filter val="8756"/>
        <filter val="8757"/>
        <filter val="8760"/>
        <filter val="8764"/>
        <filter val="8765"/>
        <filter val="8766"/>
        <filter val="8767"/>
        <filter val="8769"/>
        <filter val="8771"/>
        <filter val="8773"/>
        <filter val="8774"/>
        <filter val="8776"/>
        <filter val="8780"/>
        <filter val="8782"/>
        <filter val="8783"/>
        <filter val="8784"/>
        <filter val="8785"/>
        <filter val="8786"/>
        <filter val="8787"/>
        <filter val="8788"/>
        <filter val="8796"/>
        <filter val="8797"/>
        <filter val="8798"/>
        <filter val="8799"/>
        <filter val="8802"/>
        <filter val="8806"/>
        <filter val="8807"/>
        <filter val="8808"/>
        <filter val="8809"/>
        <filter val="8810"/>
        <filter val="8811"/>
        <filter val="8813"/>
        <filter val="8818"/>
        <filter val="8819"/>
        <filter val="8820"/>
        <filter val="8823"/>
        <filter val="8824"/>
        <filter val="8825"/>
        <filter val="8826"/>
        <filter val="8827"/>
        <filter val="8828"/>
        <filter val="8829"/>
        <filter val="8830"/>
        <filter val="8833"/>
        <filter val="8834"/>
        <filter val="8838"/>
        <filter val="8839"/>
        <filter val="8841"/>
        <filter val="8843"/>
        <filter val="8844"/>
        <filter val="8848"/>
        <filter val="8851"/>
        <filter val="8852"/>
        <filter val="8853"/>
        <filter val="8857"/>
        <filter val="8859"/>
        <filter val="8860"/>
        <filter val="8864"/>
        <filter val="8865"/>
        <filter val="8866"/>
        <filter val="8868"/>
        <filter val="8870"/>
        <filter val="8871"/>
        <filter val="8872"/>
        <filter val="8876"/>
        <filter val="8880"/>
        <filter val="8881"/>
        <filter val="8882"/>
        <filter val="8884"/>
        <filter val="8887"/>
        <filter val="8891"/>
        <filter val="8892"/>
        <filter val="8894"/>
        <filter val="8895"/>
        <filter val="8897"/>
        <filter val="8900"/>
        <filter val="8902"/>
        <filter val="8903"/>
        <filter val="8904"/>
        <filter val="8905"/>
        <filter val="8906"/>
        <filter val="8907"/>
        <filter val="8908"/>
        <filter val="8909"/>
        <filter val="8914"/>
        <filter val="8915"/>
        <filter val="8918"/>
        <filter val="8919"/>
        <filter val="8920"/>
        <filter val="8921"/>
        <filter val="8924"/>
        <filter val="8926"/>
        <filter val="8930"/>
        <filter val="8931"/>
        <filter val="8934"/>
        <filter val="8937"/>
        <filter val="8940"/>
        <filter val="8941"/>
        <filter val="8945"/>
        <filter val="8946"/>
        <filter val="8947"/>
        <filter val="8950"/>
        <filter val="8952"/>
        <filter val="8954"/>
        <filter val="8955"/>
        <filter val="8956"/>
        <filter val="8958"/>
        <filter val="8960"/>
        <filter val="8963"/>
        <filter val="8967"/>
        <filter val="8969"/>
        <filter val="8970"/>
        <filter val="8971"/>
        <filter val="8976"/>
        <filter val="8982"/>
        <filter val="8985"/>
        <filter val="8986"/>
        <filter val="8988"/>
        <filter val="8989"/>
        <filter val="8993"/>
        <filter val="8994"/>
        <filter val="8996"/>
        <filter val="8997"/>
        <filter val="8999"/>
        <filter val="9000"/>
        <filter val="9002"/>
        <filter val="9005"/>
        <filter val="9007"/>
        <filter val="9008"/>
        <filter val="9009"/>
        <filter val="9010"/>
        <filter val="9011"/>
        <filter val="9012"/>
        <filter val="9016"/>
        <filter val="9017"/>
        <filter val="9018"/>
        <filter val="9020"/>
        <filter val="9021"/>
        <filter val="9023"/>
        <filter val="9024"/>
        <filter val="9026"/>
        <filter val="9027"/>
        <filter val="9029"/>
        <filter val="9030"/>
        <filter val="9031"/>
        <filter val="9032"/>
        <filter val="9034"/>
        <filter val="9036"/>
        <filter val="9037"/>
        <filter val="9044"/>
        <filter val="9045"/>
        <filter val="9046"/>
        <filter val="9047"/>
        <filter val="9048"/>
        <filter val="9050"/>
        <filter val="9051"/>
        <filter val="9053"/>
        <filter val="9054"/>
        <filter val="9055"/>
        <filter val="9056"/>
        <filter val="9060"/>
        <filter val="9063"/>
        <filter val="9064"/>
        <filter val="9067"/>
        <filter val="9068"/>
        <filter val="9069"/>
        <filter val="9070"/>
        <filter val="9072"/>
        <filter val="9078"/>
        <filter val="9079"/>
        <filter val="9080"/>
        <filter val="9084"/>
        <filter val="9085"/>
        <filter val="9089"/>
        <filter val="9090"/>
        <filter val="9091"/>
        <filter val="9093"/>
        <filter val="9096"/>
        <filter val="9099"/>
        <filter val="9100"/>
        <filter val="9101"/>
        <filter val="9102"/>
        <filter val="9105"/>
        <filter val="9106"/>
        <filter val="9107"/>
        <filter val="9110"/>
        <filter val="9112"/>
        <filter val="9117"/>
        <filter val="9118"/>
        <filter val="9121"/>
        <filter val="9122"/>
        <filter val="9123"/>
        <filter val="9126"/>
        <filter val="9127"/>
        <filter val="9131"/>
        <filter val="9133"/>
        <filter val="9134"/>
        <filter val="9135"/>
        <filter val="9136"/>
        <filter val="9141"/>
        <filter val="9143"/>
        <filter val="9145"/>
        <filter val="9147"/>
      </filters>
    </filterColumn>
  </autoFilter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A8FB8-2776-4243-A2D3-7FEAA2206883}">
  <sheetPr codeName="Tabelle3"/>
  <dimension ref="A1:H801"/>
  <sheetViews>
    <sheetView workbookViewId="0">
      <selection activeCell="E4" sqref="E4"/>
    </sheetView>
  </sheetViews>
  <sheetFormatPr baseColWidth="10" defaultRowHeight="14.5" x14ac:dyDescent="0.35"/>
  <cols>
    <col min="2" max="2" width="12.54296875" bestFit="1" customWidth="1"/>
    <col min="3" max="3" width="14.08984375" bestFit="1" customWidth="1"/>
    <col min="6" max="6" width="14.26953125" bestFit="1" customWidth="1"/>
    <col min="7" max="7" width="14.36328125" bestFit="1" customWidth="1"/>
    <col min="9" max="9" width="13.90625" customWidth="1"/>
  </cols>
  <sheetData>
    <row r="1" spans="1:8" x14ac:dyDescent="0.35">
      <c r="A1" t="s">
        <v>0</v>
      </c>
      <c r="B1" t="s">
        <v>1</v>
      </c>
      <c r="C1" t="s">
        <v>10</v>
      </c>
      <c r="F1" t="s">
        <v>45</v>
      </c>
      <c r="G1" t="s">
        <v>44</v>
      </c>
    </row>
    <row r="2" spans="1:8" x14ac:dyDescent="0.35">
      <c r="A2">
        <v>1</v>
      </c>
      <c r="B2" t="str">
        <f>VLOOKUP(F2,'Hilfetabelle Region'!$A$2:$C$14,2,FALSE)</f>
        <v>Lateinamerika</v>
      </c>
      <c r="C2" t="str">
        <f>IF(B2="Europa",H2,"Geschäftskunde")</f>
        <v>Geschäftskunde</v>
      </c>
      <c r="E2" s="1"/>
      <c r="F2">
        <v>10</v>
      </c>
      <c r="G2">
        <v>22</v>
      </c>
      <c r="H2" t="str">
        <f>VLOOKUP(G2,'Hilfetabelle Region'!$A$17:$B$19,2,)</f>
        <v>Geschäftskunde</v>
      </c>
    </row>
    <row r="3" spans="1:8" x14ac:dyDescent="0.35">
      <c r="A3">
        <v>2</v>
      </c>
      <c r="B3" t="str">
        <f>VLOOKUP(F3,'Hilfetabelle Region'!$A$2:$C$14,2,FALSE)</f>
        <v>Europa</v>
      </c>
      <c r="C3" t="str">
        <f t="shared" ref="C3:C66" si="0">IF(B3="Europa",H3,"Geschäftskunde")</f>
        <v>Privatkunde</v>
      </c>
      <c r="E3" s="1"/>
      <c r="F3">
        <v>6</v>
      </c>
      <c r="G3">
        <v>23</v>
      </c>
      <c r="H3" t="str">
        <f>VLOOKUP(G3,'Hilfetabelle Region'!$A$17:$B$19,2,)</f>
        <v>Privatkunde</v>
      </c>
    </row>
    <row r="4" spans="1:8" x14ac:dyDescent="0.35">
      <c r="A4">
        <v>3</v>
      </c>
      <c r="B4" t="str">
        <f>VLOOKUP(F4,'Hilfetabelle Region'!$A$2:$C$14,2,FALSE)</f>
        <v>Asien</v>
      </c>
      <c r="C4" t="str">
        <f t="shared" si="0"/>
        <v>Geschäftskunde</v>
      </c>
      <c r="E4" s="1"/>
      <c r="F4">
        <v>12</v>
      </c>
      <c r="G4">
        <v>21</v>
      </c>
      <c r="H4" t="str">
        <f>VLOOKUP(G4,'Hilfetabelle Region'!$A$17:$B$19,2,)</f>
        <v>Geschäftskunde</v>
      </c>
    </row>
    <row r="5" spans="1:8" x14ac:dyDescent="0.35">
      <c r="A5">
        <v>4</v>
      </c>
      <c r="B5" t="str">
        <f>VLOOKUP(F5,'Hilfetabelle Region'!$A$2:$C$14,2,FALSE)</f>
        <v>Asien</v>
      </c>
      <c r="C5" t="str">
        <f t="shared" si="0"/>
        <v>Geschäftskunde</v>
      </c>
      <c r="E5" s="1"/>
      <c r="F5">
        <v>13</v>
      </c>
      <c r="G5">
        <v>23</v>
      </c>
      <c r="H5" t="str">
        <f>VLOOKUP(G5,'Hilfetabelle Region'!$A$17:$B$19,2,)</f>
        <v>Privatkunde</v>
      </c>
    </row>
    <row r="6" spans="1:8" x14ac:dyDescent="0.35">
      <c r="A6">
        <v>5</v>
      </c>
      <c r="B6" t="str">
        <f>VLOOKUP(F6,'Hilfetabelle Region'!$A$2:$C$14,2,FALSE)</f>
        <v>Europa</v>
      </c>
      <c r="C6" t="str">
        <f t="shared" si="0"/>
        <v>Privatkunde</v>
      </c>
      <c r="E6" s="1"/>
      <c r="F6">
        <v>6</v>
      </c>
      <c r="G6">
        <v>23</v>
      </c>
      <c r="H6" t="str">
        <f>VLOOKUP(G6,'Hilfetabelle Region'!$A$17:$B$19,2,)</f>
        <v>Privatkunde</v>
      </c>
    </row>
    <row r="7" spans="1:8" x14ac:dyDescent="0.35">
      <c r="A7">
        <v>6</v>
      </c>
      <c r="B7" t="str">
        <f>VLOOKUP(F7,'Hilfetabelle Region'!$A$2:$C$14,2,FALSE)</f>
        <v>Nordamerika</v>
      </c>
      <c r="C7" t="str">
        <f t="shared" si="0"/>
        <v>Geschäftskunde</v>
      </c>
      <c r="E7" s="1"/>
      <c r="F7">
        <v>7</v>
      </c>
      <c r="G7">
        <v>23</v>
      </c>
      <c r="H7" t="str">
        <f>VLOOKUP(G7,'Hilfetabelle Region'!$A$17:$B$19,2,)</f>
        <v>Privatkunde</v>
      </c>
    </row>
    <row r="8" spans="1:8" x14ac:dyDescent="0.35">
      <c r="A8">
        <v>7</v>
      </c>
      <c r="B8" t="str">
        <f>VLOOKUP(F8,'Hilfetabelle Region'!$A$2:$C$14,2,FALSE)</f>
        <v>Asien</v>
      </c>
      <c r="C8" t="str">
        <f t="shared" si="0"/>
        <v>Geschäftskunde</v>
      </c>
      <c r="E8" s="1"/>
      <c r="F8">
        <v>13</v>
      </c>
      <c r="G8">
        <v>23</v>
      </c>
      <c r="H8" t="str">
        <f>VLOOKUP(G8,'Hilfetabelle Region'!$A$17:$B$19,2,)</f>
        <v>Privatkunde</v>
      </c>
    </row>
    <row r="9" spans="1:8" x14ac:dyDescent="0.35">
      <c r="A9">
        <v>8</v>
      </c>
      <c r="B9" t="str">
        <f>VLOOKUP(F9,'Hilfetabelle Region'!$A$2:$C$14,2,FALSE)</f>
        <v>Lateinamerika</v>
      </c>
      <c r="C9" t="str">
        <f t="shared" si="0"/>
        <v>Geschäftskunde</v>
      </c>
      <c r="E9" s="1"/>
      <c r="F9">
        <v>10</v>
      </c>
      <c r="G9">
        <v>21</v>
      </c>
      <c r="H9" t="str">
        <f>VLOOKUP(G9,'Hilfetabelle Region'!$A$17:$B$19,2,)</f>
        <v>Geschäftskunde</v>
      </c>
    </row>
    <row r="10" spans="1:8" x14ac:dyDescent="0.35">
      <c r="A10">
        <v>9</v>
      </c>
      <c r="B10" t="str">
        <f>VLOOKUP(F10,'Hilfetabelle Region'!$A$2:$C$14,2,FALSE)</f>
        <v>Lateinamerika</v>
      </c>
      <c r="C10" t="str">
        <f t="shared" si="0"/>
        <v>Geschäftskunde</v>
      </c>
      <c r="E10" s="1"/>
      <c r="F10">
        <v>10</v>
      </c>
      <c r="G10">
        <v>21</v>
      </c>
      <c r="H10" t="str">
        <f>VLOOKUP(G10,'Hilfetabelle Region'!$A$17:$B$19,2,)</f>
        <v>Geschäftskunde</v>
      </c>
    </row>
    <row r="11" spans="1:8" x14ac:dyDescent="0.35">
      <c r="A11">
        <v>10</v>
      </c>
      <c r="B11" t="str">
        <f>VLOOKUP(F11,'Hilfetabelle Region'!$A$2:$C$14,2,FALSE)</f>
        <v>Asien</v>
      </c>
      <c r="C11" t="str">
        <f t="shared" si="0"/>
        <v>Geschäftskunde</v>
      </c>
      <c r="E11" s="1"/>
      <c r="F11">
        <v>12</v>
      </c>
      <c r="G11">
        <v>22</v>
      </c>
      <c r="H11" t="str">
        <f>VLOOKUP(G11,'Hilfetabelle Region'!$A$17:$B$19,2,)</f>
        <v>Geschäftskunde</v>
      </c>
    </row>
    <row r="12" spans="1:8" x14ac:dyDescent="0.35">
      <c r="A12">
        <v>11</v>
      </c>
      <c r="B12" t="str">
        <f>VLOOKUP(F12,'Hilfetabelle Region'!$A$2:$C$14,2,FALSE)</f>
        <v>Europa</v>
      </c>
      <c r="C12" t="str">
        <f t="shared" si="0"/>
        <v>Geschäftskunde</v>
      </c>
      <c r="E12" s="1"/>
      <c r="F12">
        <v>6</v>
      </c>
      <c r="G12">
        <v>22</v>
      </c>
      <c r="H12" t="str">
        <f>VLOOKUP(G12,'Hilfetabelle Region'!$A$17:$B$19,2,)</f>
        <v>Geschäftskunde</v>
      </c>
    </row>
    <row r="13" spans="1:8" x14ac:dyDescent="0.35">
      <c r="A13">
        <v>12</v>
      </c>
      <c r="B13" t="str">
        <f>VLOOKUP(F13,'Hilfetabelle Region'!$A$2:$C$14,2,FALSE)</f>
        <v>Europa</v>
      </c>
      <c r="C13" t="str">
        <f t="shared" si="0"/>
        <v>Privatkunde</v>
      </c>
      <c r="E13" s="1"/>
      <c r="F13">
        <v>4</v>
      </c>
      <c r="G13">
        <v>23</v>
      </c>
      <c r="H13" t="str">
        <f>VLOOKUP(G13,'Hilfetabelle Region'!$A$17:$B$19,2,)</f>
        <v>Privatkunde</v>
      </c>
    </row>
    <row r="14" spans="1:8" x14ac:dyDescent="0.35">
      <c r="A14">
        <v>13</v>
      </c>
      <c r="B14" t="str">
        <f>VLOOKUP(F14,'Hilfetabelle Region'!$A$2:$C$14,2,FALSE)</f>
        <v>Europa</v>
      </c>
      <c r="C14" t="str">
        <f t="shared" si="0"/>
        <v>Geschäftskunde</v>
      </c>
      <c r="E14" s="1"/>
      <c r="F14">
        <v>2</v>
      </c>
      <c r="G14">
        <v>21</v>
      </c>
      <c r="H14" t="str">
        <f>VLOOKUP(G14,'Hilfetabelle Region'!$A$17:$B$19,2,)</f>
        <v>Geschäftskunde</v>
      </c>
    </row>
    <row r="15" spans="1:8" x14ac:dyDescent="0.35">
      <c r="A15">
        <v>14</v>
      </c>
      <c r="B15" t="str">
        <f>VLOOKUP(F15,'Hilfetabelle Region'!$A$2:$C$14,2,FALSE)</f>
        <v>Nordamerika</v>
      </c>
      <c r="C15" t="str">
        <f t="shared" si="0"/>
        <v>Geschäftskunde</v>
      </c>
      <c r="E15" s="1"/>
      <c r="F15">
        <v>9</v>
      </c>
      <c r="G15">
        <v>21</v>
      </c>
      <c r="H15" t="str">
        <f>VLOOKUP(G15,'Hilfetabelle Region'!$A$17:$B$19,2,)</f>
        <v>Geschäftskunde</v>
      </c>
    </row>
    <row r="16" spans="1:8" x14ac:dyDescent="0.35">
      <c r="A16">
        <v>15</v>
      </c>
      <c r="B16" t="str">
        <f>VLOOKUP(F16,'Hilfetabelle Region'!$A$2:$C$14,2,FALSE)</f>
        <v>Europa</v>
      </c>
      <c r="C16" t="str">
        <f t="shared" si="0"/>
        <v>Geschäftskunde</v>
      </c>
      <c r="E16" s="1"/>
      <c r="F16">
        <v>5</v>
      </c>
      <c r="G16">
        <v>21</v>
      </c>
      <c r="H16" t="str">
        <f>VLOOKUP(G16,'Hilfetabelle Region'!$A$17:$B$19,2,)</f>
        <v>Geschäftskunde</v>
      </c>
    </row>
    <row r="17" spans="1:8" x14ac:dyDescent="0.35">
      <c r="A17">
        <v>16</v>
      </c>
      <c r="B17" t="str">
        <f>VLOOKUP(F17,'Hilfetabelle Region'!$A$2:$C$14,2,FALSE)</f>
        <v>Nordamerika</v>
      </c>
      <c r="C17" t="str">
        <f t="shared" si="0"/>
        <v>Geschäftskunde</v>
      </c>
      <c r="E17" s="1"/>
      <c r="F17">
        <v>7</v>
      </c>
      <c r="G17">
        <v>22</v>
      </c>
      <c r="H17" t="str">
        <f>VLOOKUP(G17,'Hilfetabelle Region'!$A$17:$B$19,2,)</f>
        <v>Geschäftskunde</v>
      </c>
    </row>
    <row r="18" spans="1:8" x14ac:dyDescent="0.35">
      <c r="A18">
        <v>17</v>
      </c>
      <c r="B18" t="str">
        <f>VLOOKUP(F18,'Hilfetabelle Region'!$A$2:$C$14,2,FALSE)</f>
        <v>Nordamerika</v>
      </c>
      <c r="C18" t="str">
        <f t="shared" si="0"/>
        <v>Geschäftskunde</v>
      </c>
      <c r="E18" s="1"/>
      <c r="F18">
        <v>7</v>
      </c>
      <c r="G18">
        <v>23</v>
      </c>
      <c r="H18" t="str">
        <f>VLOOKUP(G18,'Hilfetabelle Region'!$A$17:$B$19,2,)</f>
        <v>Privatkunde</v>
      </c>
    </row>
    <row r="19" spans="1:8" x14ac:dyDescent="0.35">
      <c r="A19">
        <v>18</v>
      </c>
      <c r="B19" t="str">
        <f>VLOOKUP(F19,'Hilfetabelle Region'!$A$2:$C$14,2,FALSE)</f>
        <v>Europa</v>
      </c>
      <c r="C19" t="str">
        <f t="shared" si="0"/>
        <v>Privatkunde</v>
      </c>
      <c r="E19" s="1"/>
      <c r="F19">
        <v>2</v>
      </c>
      <c r="G19">
        <v>23</v>
      </c>
      <c r="H19" t="str">
        <f>VLOOKUP(G19,'Hilfetabelle Region'!$A$17:$B$19,2,)</f>
        <v>Privatkunde</v>
      </c>
    </row>
    <row r="20" spans="1:8" x14ac:dyDescent="0.35">
      <c r="A20">
        <v>19</v>
      </c>
      <c r="B20" t="str">
        <f>VLOOKUP(F20,'Hilfetabelle Region'!$A$2:$C$14,2,FALSE)</f>
        <v>Europa</v>
      </c>
      <c r="C20" t="str">
        <f t="shared" si="0"/>
        <v>Geschäftskunde</v>
      </c>
      <c r="E20" s="1"/>
      <c r="F20">
        <v>4</v>
      </c>
      <c r="G20">
        <v>22</v>
      </c>
      <c r="H20" t="str">
        <f>VLOOKUP(G20,'Hilfetabelle Region'!$A$17:$B$19,2,)</f>
        <v>Geschäftskunde</v>
      </c>
    </row>
    <row r="21" spans="1:8" x14ac:dyDescent="0.35">
      <c r="A21">
        <v>20</v>
      </c>
      <c r="B21" t="str">
        <f>VLOOKUP(F21,'Hilfetabelle Region'!$A$2:$C$14,2,FALSE)</f>
        <v>Afrika</v>
      </c>
      <c r="C21" t="str">
        <f t="shared" si="0"/>
        <v>Geschäftskunde</v>
      </c>
      <c r="E21" s="1"/>
      <c r="F21">
        <v>11</v>
      </c>
      <c r="G21">
        <v>21</v>
      </c>
      <c r="H21" t="str">
        <f>VLOOKUP(G21,'Hilfetabelle Region'!$A$17:$B$19,2,)</f>
        <v>Geschäftskunde</v>
      </c>
    </row>
    <row r="22" spans="1:8" x14ac:dyDescent="0.35">
      <c r="A22">
        <v>21</v>
      </c>
      <c r="B22" t="str">
        <f>VLOOKUP(F22,'Hilfetabelle Region'!$A$2:$C$14,2,FALSE)</f>
        <v>Europa</v>
      </c>
      <c r="C22" t="str">
        <f t="shared" si="0"/>
        <v>Geschäftskunde</v>
      </c>
      <c r="E22" s="1"/>
      <c r="F22">
        <v>6</v>
      </c>
      <c r="G22">
        <v>22</v>
      </c>
      <c r="H22" t="str">
        <f>VLOOKUP(G22,'Hilfetabelle Region'!$A$17:$B$19,2,)</f>
        <v>Geschäftskunde</v>
      </c>
    </row>
    <row r="23" spans="1:8" x14ac:dyDescent="0.35">
      <c r="A23">
        <v>22</v>
      </c>
      <c r="B23" t="str">
        <f>VLOOKUP(F23,'Hilfetabelle Region'!$A$2:$C$14,2,FALSE)</f>
        <v>Nordamerika</v>
      </c>
      <c r="C23" t="str">
        <f t="shared" si="0"/>
        <v>Geschäftskunde</v>
      </c>
      <c r="E23" s="1"/>
      <c r="F23">
        <v>8</v>
      </c>
      <c r="G23">
        <v>21</v>
      </c>
      <c r="H23" t="str">
        <f>VLOOKUP(G23,'Hilfetabelle Region'!$A$17:$B$19,2,)</f>
        <v>Geschäftskunde</v>
      </c>
    </row>
    <row r="24" spans="1:8" x14ac:dyDescent="0.35">
      <c r="A24">
        <v>23</v>
      </c>
      <c r="B24" t="str">
        <f>VLOOKUP(F24,'Hilfetabelle Region'!$A$2:$C$14,2,FALSE)</f>
        <v>Europa</v>
      </c>
      <c r="C24" t="str">
        <f t="shared" si="0"/>
        <v>Geschäftskunde</v>
      </c>
      <c r="E24" s="1"/>
      <c r="F24">
        <v>3</v>
      </c>
      <c r="G24">
        <v>22</v>
      </c>
      <c r="H24" t="str">
        <f>VLOOKUP(G24,'Hilfetabelle Region'!$A$17:$B$19,2,)</f>
        <v>Geschäftskunde</v>
      </c>
    </row>
    <row r="25" spans="1:8" x14ac:dyDescent="0.35">
      <c r="A25">
        <v>24</v>
      </c>
      <c r="B25" t="str">
        <f>VLOOKUP(F25,'Hilfetabelle Region'!$A$2:$C$14,2,FALSE)</f>
        <v>Nordamerika</v>
      </c>
      <c r="C25" t="str">
        <f t="shared" si="0"/>
        <v>Geschäftskunde</v>
      </c>
      <c r="E25" s="1"/>
      <c r="F25">
        <v>7</v>
      </c>
      <c r="G25">
        <v>22</v>
      </c>
      <c r="H25" t="str">
        <f>VLOOKUP(G25,'Hilfetabelle Region'!$A$17:$B$19,2,)</f>
        <v>Geschäftskunde</v>
      </c>
    </row>
    <row r="26" spans="1:8" x14ac:dyDescent="0.35">
      <c r="A26">
        <v>25</v>
      </c>
      <c r="B26" t="str">
        <f>VLOOKUP(F26,'Hilfetabelle Region'!$A$2:$C$14,2,FALSE)</f>
        <v>Europa</v>
      </c>
      <c r="C26" t="str">
        <f t="shared" si="0"/>
        <v>Geschäftskunde</v>
      </c>
      <c r="E26" s="1"/>
      <c r="F26">
        <v>4</v>
      </c>
      <c r="G26">
        <v>21</v>
      </c>
      <c r="H26" t="str">
        <f>VLOOKUP(G26,'Hilfetabelle Region'!$A$17:$B$19,2,)</f>
        <v>Geschäftskunde</v>
      </c>
    </row>
    <row r="27" spans="1:8" x14ac:dyDescent="0.35">
      <c r="A27">
        <v>26</v>
      </c>
      <c r="B27" t="str">
        <f>VLOOKUP(F27,'Hilfetabelle Region'!$A$2:$C$14,2,FALSE)</f>
        <v>Asien</v>
      </c>
      <c r="C27" t="str">
        <f t="shared" si="0"/>
        <v>Geschäftskunde</v>
      </c>
      <c r="E27" s="1"/>
      <c r="F27">
        <v>12</v>
      </c>
      <c r="G27">
        <v>23</v>
      </c>
      <c r="H27" t="str">
        <f>VLOOKUP(G27,'Hilfetabelle Region'!$A$17:$B$19,2,)</f>
        <v>Privatkunde</v>
      </c>
    </row>
    <row r="28" spans="1:8" x14ac:dyDescent="0.35">
      <c r="A28">
        <v>27</v>
      </c>
      <c r="B28" t="str">
        <f>VLOOKUP(F28,'Hilfetabelle Region'!$A$2:$C$14,2,FALSE)</f>
        <v>Lateinamerika</v>
      </c>
      <c r="C28" t="str">
        <f t="shared" si="0"/>
        <v>Geschäftskunde</v>
      </c>
      <c r="E28" s="1"/>
      <c r="F28">
        <v>10</v>
      </c>
      <c r="G28">
        <v>23</v>
      </c>
      <c r="H28" t="str">
        <f>VLOOKUP(G28,'Hilfetabelle Region'!$A$17:$B$19,2,)</f>
        <v>Privatkunde</v>
      </c>
    </row>
    <row r="29" spans="1:8" x14ac:dyDescent="0.35">
      <c r="A29">
        <v>28</v>
      </c>
      <c r="B29" t="str">
        <f>VLOOKUP(F29,'Hilfetabelle Region'!$A$2:$C$14,2,FALSE)</f>
        <v>Nordamerika</v>
      </c>
      <c r="C29" t="str">
        <f t="shared" si="0"/>
        <v>Geschäftskunde</v>
      </c>
      <c r="E29" s="1"/>
      <c r="F29">
        <v>9</v>
      </c>
      <c r="G29">
        <v>22</v>
      </c>
      <c r="H29" t="str">
        <f>VLOOKUP(G29,'Hilfetabelle Region'!$A$17:$B$19,2,)</f>
        <v>Geschäftskunde</v>
      </c>
    </row>
    <row r="30" spans="1:8" x14ac:dyDescent="0.35">
      <c r="A30">
        <v>29</v>
      </c>
      <c r="B30" t="str">
        <f>VLOOKUP(F30,'Hilfetabelle Region'!$A$2:$C$14,2,FALSE)</f>
        <v>Nordamerika</v>
      </c>
      <c r="C30" t="str">
        <f t="shared" si="0"/>
        <v>Geschäftskunde</v>
      </c>
      <c r="E30" s="1"/>
      <c r="F30">
        <v>9</v>
      </c>
      <c r="G30">
        <v>22</v>
      </c>
      <c r="H30" t="str">
        <f>VLOOKUP(G30,'Hilfetabelle Region'!$A$17:$B$19,2,)</f>
        <v>Geschäftskunde</v>
      </c>
    </row>
    <row r="31" spans="1:8" x14ac:dyDescent="0.35">
      <c r="A31">
        <v>30</v>
      </c>
      <c r="B31" t="str">
        <f>VLOOKUP(F31,'Hilfetabelle Region'!$A$2:$C$14,2,FALSE)</f>
        <v>Europa</v>
      </c>
      <c r="C31" t="str">
        <f t="shared" si="0"/>
        <v>Privatkunde</v>
      </c>
      <c r="E31" s="1"/>
      <c r="F31">
        <v>5</v>
      </c>
      <c r="G31">
        <v>23</v>
      </c>
      <c r="H31" t="str">
        <f>VLOOKUP(G31,'Hilfetabelle Region'!$A$17:$B$19,2,)</f>
        <v>Privatkunde</v>
      </c>
    </row>
    <row r="32" spans="1:8" x14ac:dyDescent="0.35">
      <c r="A32">
        <v>31</v>
      </c>
      <c r="B32" t="str">
        <f>VLOOKUP(F32,'Hilfetabelle Region'!$A$2:$C$14,2,FALSE)</f>
        <v>Europa</v>
      </c>
      <c r="C32" t="str">
        <f t="shared" si="0"/>
        <v>Geschäftskunde</v>
      </c>
      <c r="E32" s="1"/>
      <c r="F32">
        <v>6</v>
      </c>
      <c r="G32">
        <v>21</v>
      </c>
      <c r="H32" t="str">
        <f>VLOOKUP(G32,'Hilfetabelle Region'!$A$17:$B$19,2,)</f>
        <v>Geschäftskunde</v>
      </c>
    </row>
    <row r="33" spans="1:8" x14ac:dyDescent="0.35">
      <c r="A33">
        <v>32</v>
      </c>
      <c r="B33" t="str">
        <f>VLOOKUP(F33,'Hilfetabelle Region'!$A$2:$C$14,2,FALSE)</f>
        <v>Nordamerika</v>
      </c>
      <c r="C33" t="str">
        <f t="shared" si="0"/>
        <v>Geschäftskunde</v>
      </c>
      <c r="E33" s="1"/>
      <c r="F33">
        <v>8</v>
      </c>
      <c r="G33">
        <v>22</v>
      </c>
      <c r="H33" t="str">
        <f>VLOOKUP(G33,'Hilfetabelle Region'!$A$17:$B$19,2,)</f>
        <v>Geschäftskunde</v>
      </c>
    </row>
    <row r="34" spans="1:8" x14ac:dyDescent="0.35">
      <c r="A34">
        <v>33</v>
      </c>
      <c r="B34" t="str">
        <f>VLOOKUP(F34,'Hilfetabelle Region'!$A$2:$C$14,2,FALSE)</f>
        <v>Europa</v>
      </c>
      <c r="C34" t="str">
        <f t="shared" si="0"/>
        <v>Geschäftskunde</v>
      </c>
      <c r="E34" s="1"/>
      <c r="F34">
        <v>3</v>
      </c>
      <c r="G34">
        <v>21</v>
      </c>
      <c r="H34" t="str">
        <f>VLOOKUP(G34,'Hilfetabelle Region'!$A$17:$B$19,2,)</f>
        <v>Geschäftskunde</v>
      </c>
    </row>
    <row r="35" spans="1:8" x14ac:dyDescent="0.35">
      <c r="A35">
        <v>34</v>
      </c>
      <c r="B35" t="str">
        <f>VLOOKUP(F35,'Hilfetabelle Region'!$A$2:$C$14,2,FALSE)</f>
        <v>Europa</v>
      </c>
      <c r="C35" t="str">
        <f t="shared" si="0"/>
        <v>Privatkunde</v>
      </c>
      <c r="E35" s="1"/>
      <c r="F35">
        <v>3</v>
      </c>
      <c r="G35">
        <v>23</v>
      </c>
      <c r="H35" t="str">
        <f>VLOOKUP(G35,'Hilfetabelle Region'!$A$17:$B$19,2,)</f>
        <v>Privatkunde</v>
      </c>
    </row>
    <row r="36" spans="1:8" x14ac:dyDescent="0.35">
      <c r="A36">
        <v>35</v>
      </c>
      <c r="B36" t="str">
        <f>VLOOKUP(F36,'Hilfetabelle Region'!$A$2:$C$14,2,FALSE)</f>
        <v>Europa</v>
      </c>
      <c r="C36" t="str">
        <f t="shared" si="0"/>
        <v>Privatkunde</v>
      </c>
      <c r="E36" s="1"/>
      <c r="F36">
        <v>2</v>
      </c>
      <c r="G36">
        <v>23</v>
      </c>
      <c r="H36" t="str">
        <f>VLOOKUP(G36,'Hilfetabelle Region'!$A$17:$B$19,2,)</f>
        <v>Privatkunde</v>
      </c>
    </row>
    <row r="37" spans="1:8" x14ac:dyDescent="0.35">
      <c r="A37">
        <v>36</v>
      </c>
      <c r="B37" t="str">
        <f>VLOOKUP(F37,'Hilfetabelle Region'!$A$2:$C$14,2,FALSE)</f>
        <v>Europa</v>
      </c>
      <c r="C37" t="str">
        <f t="shared" si="0"/>
        <v>Privatkunde</v>
      </c>
      <c r="E37" s="1"/>
      <c r="F37">
        <v>4</v>
      </c>
      <c r="G37">
        <v>23</v>
      </c>
      <c r="H37" t="str">
        <f>VLOOKUP(G37,'Hilfetabelle Region'!$A$17:$B$19,2,)</f>
        <v>Privatkunde</v>
      </c>
    </row>
    <row r="38" spans="1:8" x14ac:dyDescent="0.35">
      <c r="A38">
        <v>37</v>
      </c>
      <c r="B38" t="str">
        <f>VLOOKUP(F38,'Hilfetabelle Region'!$A$2:$C$14,2,FALSE)</f>
        <v>Europa</v>
      </c>
      <c r="C38" t="str">
        <f t="shared" si="0"/>
        <v>Geschäftskunde</v>
      </c>
      <c r="E38" s="1"/>
      <c r="F38">
        <v>2</v>
      </c>
      <c r="G38">
        <v>21</v>
      </c>
      <c r="H38" t="str">
        <f>VLOOKUP(G38,'Hilfetabelle Region'!$A$17:$B$19,2,)</f>
        <v>Geschäftskunde</v>
      </c>
    </row>
    <row r="39" spans="1:8" x14ac:dyDescent="0.35">
      <c r="A39">
        <v>38</v>
      </c>
      <c r="B39" t="str">
        <f>VLOOKUP(F39,'Hilfetabelle Region'!$A$2:$C$14,2,FALSE)</f>
        <v>Asien</v>
      </c>
      <c r="C39" t="str">
        <f t="shared" si="0"/>
        <v>Geschäftskunde</v>
      </c>
      <c r="E39" s="1"/>
      <c r="F39">
        <v>13</v>
      </c>
      <c r="G39">
        <v>22</v>
      </c>
      <c r="H39" t="str">
        <f>VLOOKUP(G39,'Hilfetabelle Region'!$A$17:$B$19,2,)</f>
        <v>Geschäftskunde</v>
      </c>
    </row>
    <row r="40" spans="1:8" x14ac:dyDescent="0.35">
      <c r="A40">
        <v>39</v>
      </c>
      <c r="B40" t="str">
        <f>VLOOKUP(F40,'Hilfetabelle Region'!$A$2:$C$14,2,FALSE)</f>
        <v>Asien</v>
      </c>
      <c r="C40" t="str">
        <f t="shared" si="0"/>
        <v>Geschäftskunde</v>
      </c>
      <c r="E40" s="1"/>
      <c r="F40">
        <v>13</v>
      </c>
      <c r="G40">
        <v>21</v>
      </c>
      <c r="H40" t="str">
        <f>VLOOKUP(G40,'Hilfetabelle Region'!$A$17:$B$19,2,)</f>
        <v>Geschäftskunde</v>
      </c>
    </row>
    <row r="41" spans="1:8" x14ac:dyDescent="0.35">
      <c r="A41">
        <v>40</v>
      </c>
      <c r="B41" t="str">
        <f>VLOOKUP(F41,'Hilfetabelle Region'!$A$2:$C$14,2,FALSE)</f>
        <v>Nordamerika</v>
      </c>
      <c r="C41" t="str">
        <f t="shared" si="0"/>
        <v>Geschäftskunde</v>
      </c>
      <c r="E41" s="1"/>
      <c r="F41">
        <v>7</v>
      </c>
      <c r="G41">
        <v>21</v>
      </c>
      <c r="H41" t="str">
        <f>VLOOKUP(G41,'Hilfetabelle Region'!$A$17:$B$19,2,)</f>
        <v>Geschäftskunde</v>
      </c>
    </row>
    <row r="42" spans="1:8" x14ac:dyDescent="0.35">
      <c r="A42">
        <v>41</v>
      </c>
      <c r="B42" t="str">
        <f>VLOOKUP(F42,'Hilfetabelle Region'!$A$2:$C$14,2,FALSE)</f>
        <v>Lateinamerika</v>
      </c>
      <c r="C42" t="str">
        <f t="shared" si="0"/>
        <v>Geschäftskunde</v>
      </c>
      <c r="E42" s="1"/>
      <c r="F42">
        <v>10</v>
      </c>
      <c r="G42">
        <v>22</v>
      </c>
      <c r="H42" t="str">
        <f>VLOOKUP(G42,'Hilfetabelle Region'!$A$17:$B$19,2,)</f>
        <v>Geschäftskunde</v>
      </c>
    </row>
    <row r="43" spans="1:8" x14ac:dyDescent="0.35">
      <c r="A43">
        <v>42</v>
      </c>
      <c r="B43" t="str">
        <f>VLOOKUP(F43,'Hilfetabelle Region'!$A$2:$C$14,2,FALSE)</f>
        <v>Nordamerika</v>
      </c>
      <c r="C43" t="str">
        <f t="shared" si="0"/>
        <v>Geschäftskunde</v>
      </c>
      <c r="E43" s="1"/>
      <c r="F43">
        <v>9</v>
      </c>
      <c r="G43">
        <v>22</v>
      </c>
      <c r="H43" t="str">
        <f>VLOOKUP(G43,'Hilfetabelle Region'!$A$17:$B$19,2,)</f>
        <v>Geschäftskunde</v>
      </c>
    </row>
    <row r="44" spans="1:8" x14ac:dyDescent="0.35">
      <c r="A44">
        <v>43</v>
      </c>
      <c r="B44" t="str">
        <f>VLOOKUP(F44,'Hilfetabelle Region'!$A$2:$C$14,2,FALSE)</f>
        <v>Europa</v>
      </c>
      <c r="C44" t="str">
        <f t="shared" si="0"/>
        <v>Geschäftskunde</v>
      </c>
      <c r="E44" s="1"/>
      <c r="F44">
        <v>4</v>
      </c>
      <c r="G44">
        <v>22</v>
      </c>
      <c r="H44" t="str">
        <f>VLOOKUP(G44,'Hilfetabelle Region'!$A$17:$B$19,2,)</f>
        <v>Geschäftskunde</v>
      </c>
    </row>
    <row r="45" spans="1:8" x14ac:dyDescent="0.35">
      <c r="A45">
        <v>44</v>
      </c>
      <c r="B45" t="str">
        <f>VLOOKUP(F45,'Hilfetabelle Region'!$A$2:$C$14,2,FALSE)</f>
        <v>Nordamerika</v>
      </c>
      <c r="C45" t="str">
        <f t="shared" si="0"/>
        <v>Geschäftskunde</v>
      </c>
      <c r="E45" s="1"/>
      <c r="F45">
        <v>8</v>
      </c>
      <c r="G45">
        <v>23</v>
      </c>
      <c r="H45" t="str">
        <f>VLOOKUP(G45,'Hilfetabelle Region'!$A$17:$B$19,2,)</f>
        <v>Privatkunde</v>
      </c>
    </row>
    <row r="46" spans="1:8" x14ac:dyDescent="0.35">
      <c r="A46">
        <v>45</v>
      </c>
      <c r="B46" t="str">
        <f>VLOOKUP(F46,'Hilfetabelle Region'!$A$2:$C$14,2,FALSE)</f>
        <v>Europa</v>
      </c>
      <c r="C46" t="str">
        <f t="shared" si="0"/>
        <v>Privatkunde</v>
      </c>
      <c r="E46" s="1"/>
      <c r="F46">
        <v>5</v>
      </c>
      <c r="G46">
        <v>23</v>
      </c>
      <c r="H46" t="str">
        <f>VLOOKUP(G46,'Hilfetabelle Region'!$A$17:$B$19,2,)</f>
        <v>Privatkunde</v>
      </c>
    </row>
    <row r="47" spans="1:8" x14ac:dyDescent="0.35">
      <c r="A47">
        <v>46</v>
      </c>
      <c r="B47" t="str">
        <f>VLOOKUP(F47,'Hilfetabelle Region'!$A$2:$C$14,2,FALSE)</f>
        <v>Europa</v>
      </c>
      <c r="C47" t="str">
        <f t="shared" si="0"/>
        <v>Geschäftskunde</v>
      </c>
      <c r="E47" s="1"/>
      <c r="F47">
        <v>4</v>
      </c>
      <c r="G47">
        <v>21</v>
      </c>
      <c r="H47" t="str">
        <f>VLOOKUP(G47,'Hilfetabelle Region'!$A$17:$B$19,2,)</f>
        <v>Geschäftskunde</v>
      </c>
    </row>
    <row r="48" spans="1:8" x14ac:dyDescent="0.35">
      <c r="A48">
        <v>47</v>
      </c>
      <c r="B48" t="str">
        <f>VLOOKUP(F48,'Hilfetabelle Region'!$A$2:$C$14,2,FALSE)</f>
        <v>Lateinamerika</v>
      </c>
      <c r="C48" t="str">
        <f t="shared" si="0"/>
        <v>Geschäftskunde</v>
      </c>
      <c r="E48" s="1"/>
      <c r="F48">
        <v>10</v>
      </c>
      <c r="G48">
        <v>23</v>
      </c>
      <c r="H48" t="str">
        <f>VLOOKUP(G48,'Hilfetabelle Region'!$A$17:$B$19,2,)</f>
        <v>Privatkunde</v>
      </c>
    </row>
    <row r="49" spans="1:8" x14ac:dyDescent="0.35">
      <c r="A49">
        <v>48</v>
      </c>
      <c r="B49" t="str">
        <f>VLOOKUP(F49,'Hilfetabelle Region'!$A$2:$C$14,2,FALSE)</f>
        <v>Nordamerika</v>
      </c>
      <c r="C49" t="str">
        <f t="shared" si="0"/>
        <v>Geschäftskunde</v>
      </c>
      <c r="E49" s="1"/>
      <c r="F49">
        <v>7</v>
      </c>
      <c r="G49">
        <v>21</v>
      </c>
      <c r="H49" t="str">
        <f>VLOOKUP(G49,'Hilfetabelle Region'!$A$17:$B$19,2,)</f>
        <v>Geschäftskunde</v>
      </c>
    </row>
    <row r="50" spans="1:8" x14ac:dyDescent="0.35">
      <c r="A50">
        <v>49</v>
      </c>
      <c r="B50" t="str">
        <f>VLOOKUP(F50,'Hilfetabelle Region'!$A$2:$C$14,2,FALSE)</f>
        <v>Nordamerika</v>
      </c>
      <c r="C50" t="str">
        <f t="shared" si="0"/>
        <v>Geschäftskunde</v>
      </c>
      <c r="E50" s="1"/>
      <c r="F50">
        <v>7</v>
      </c>
      <c r="G50">
        <v>21</v>
      </c>
      <c r="H50" t="str">
        <f>VLOOKUP(G50,'Hilfetabelle Region'!$A$17:$B$19,2,)</f>
        <v>Geschäftskunde</v>
      </c>
    </row>
    <row r="51" spans="1:8" x14ac:dyDescent="0.35">
      <c r="A51">
        <v>50</v>
      </c>
      <c r="B51" t="str">
        <f>VLOOKUP(F51,'Hilfetabelle Region'!$A$2:$C$14,2,FALSE)</f>
        <v>Nordamerika</v>
      </c>
      <c r="C51" t="str">
        <f t="shared" si="0"/>
        <v>Geschäftskunde</v>
      </c>
      <c r="E51" s="1"/>
      <c r="F51">
        <v>9</v>
      </c>
      <c r="G51">
        <v>21</v>
      </c>
      <c r="H51" t="str">
        <f>VLOOKUP(G51,'Hilfetabelle Region'!$A$17:$B$19,2,)</f>
        <v>Geschäftskunde</v>
      </c>
    </row>
    <row r="52" spans="1:8" x14ac:dyDescent="0.35">
      <c r="A52">
        <v>51</v>
      </c>
      <c r="B52" t="str">
        <f>VLOOKUP(F52,'Hilfetabelle Region'!$A$2:$C$14,2,FALSE)</f>
        <v>Nordamerika</v>
      </c>
      <c r="C52" t="str">
        <f t="shared" si="0"/>
        <v>Geschäftskunde</v>
      </c>
      <c r="E52" s="1"/>
      <c r="F52">
        <v>9</v>
      </c>
      <c r="G52">
        <v>21</v>
      </c>
      <c r="H52" t="str">
        <f>VLOOKUP(G52,'Hilfetabelle Region'!$A$17:$B$19,2,)</f>
        <v>Geschäftskunde</v>
      </c>
    </row>
    <row r="53" spans="1:8" x14ac:dyDescent="0.35">
      <c r="A53">
        <v>52</v>
      </c>
      <c r="B53" t="str">
        <f>VLOOKUP(F53,'Hilfetabelle Region'!$A$2:$C$14,2,FALSE)</f>
        <v>Europa</v>
      </c>
      <c r="C53" t="str">
        <f t="shared" si="0"/>
        <v>Privatkunde</v>
      </c>
      <c r="E53" s="1"/>
      <c r="F53">
        <v>1</v>
      </c>
      <c r="G53">
        <v>23</v>
      </c>
      <c r="H53" t="str">
        <f>VLOOKUP(G53,'Hilfetabelle Region'!$A$17:$B$19,2,)</f>
        <v>Privatkunde</v>
      </c>
    </row>
    <row r="54" spans="1:8" x14ac:dyDescent="0.35">
      <c r="A54">
        <v>53</v>
      </c>
      <c r="B54" t="str">
        <f>VLOOKUP(F54,'Hilfetabelle Region'!$A$2:$C$14,2,FALSE)</f>
        <v>Lateinamerika</v>
      </c>
      <c r="C54" t="str">
        <f t="shared" si="0"/>
        <v>Geschäftskunde</v>
      </c>
      <c r="E54" s="1"/>
      <c r="F54">
        <v>10</v>
      </c>
      <c r="G54">
        <v>23</v>
      </c>
      <c r="H54" t="str">
        <f>VLOOKUP(G54,'Hilfetabelle Region'!$A$17:$B$19,2,)</f>
        <v>Privatkunde</v>
      </c>
    </row>
    <row r="55" spans="1:8" x14ac:dyDescent="0.35">
      <c r="A55">
        <v>54</v>
      </c>
      <c r="B55" t="str">
        <f>VLOOKUP(F55,'Hilfetabelle Region'!$A$2:$C$14,2,FALSE)</f>
        <v>Asien</v>
      </c>
      <c r="C55" t="str">
        <f t="shared" si="0"/>
        <v>Geschäftskunde</v>
      </c>
      <c r="E55" s="1"/>
      <c r="F55">
        <v>13</v>
      </c>
      <c r="G55">
        <v>23</v>
      </c>
      <c r="H55" t="str">
        <f>VLOOKUP(G55,'Hilfetabelle Region'!$A$17:$B$19,2,)</f>
        <v>Privatkunde</v>
      </c>
    </row>
    <row r="56" spans="1:8" x14ac:dyDescent="0.35">
      <c r="A56">
        <v>55</v>
      </c>
      <c r="B56" t="str">
        <f>VLOOKUP(F56,'Hilfetabelle Region'!$A$2:$C$14,2,FALSE)</f>
        <v>Europa</v>
      </c>
      <c r="C56" t="str">
        <f t="shared" si="0"/>
        <v>Geschäftskunde</v>
      </c>
      <c r="E56" s="1"/>
      <c r="F56">
        <v>1</v>
      </c>
      <c r="G56">
        <v>22</v>
      </c>
      <c r="H56" t="str">
        <f>VLOOKUP(G56,'Hilfetabelle Region'!$A$17:$B$19,2,)</f>
        <v>Geschäftskunde</v>
      </c>
    </row>
    <row r="57" spans="1:8" x14ac:dyDescent="0.35">
      <c r="A57">
        <v>56</v>
      </c>
      <c r="B57" t="str">
        <f>VLOOKUP(F57,'Hilfetabelle Region'!$A$2:$C$14,2,FALSE)</f>
        <v>Europa</v>
      </c>
      <c r="C57" t="str">
        <f t="shared" si="0"/>
        <v>Geschäftskunde</v>
      </c>
      <c r="E57" s="1"/>
      <c r="F57">
        <v>1</v>
      </c>
      <c r="G57">
        <v>21</v>
      </c>
      <c r="H57" t="str">
        <f>VLOOKUP(G57,'Hilfetabelle Region'!$A$17:$B$19,2,)</f>
        <v>Geschäftskunde</v>
      </c>
    </row>
    <row r="58" spans="1:8" x14ac:dyDescent="0.35">
      <c r="A58">
        <v>57</v>
      </c>
      <c r="B58" t="str">
        <f>VLOOKUP(F58,'Hilfetabelle Region'!$A$2:$C$14,2,FALSE)</f>
        <v>Europa</v>
      </c>
      <c r="C58" t="str">
        <f t="shared" si="0"/>
        <v>Geschäftskunde</v>
      </c>
      <c r="E58" s="1"/>
      <c r="F58">
        <v>5</v>
      </c>
      <c r="G58">
        <v>21</v>
      </c>
      <c r="H58" t="str">
        <f>VLOOKUP(G58,'Hilfetabelle Region'!$A$17:$B$19,2,)</f>
        <v>Geschäftskunde</v>
      </c>
    </row>
    <row r="59" spans="1:8" x14ac:dyDescent="0.35">
      <c r="A59">
        <v>58</v>
      </c>
      <c r="B59" t="str">
        <f>VLOOKUP(F59,'Hilfetabelle Region'!$A$2:$C$14,2,FALSE)</f>
        <v>Nordamerika</v>
      </c>
      <c r="C59" t="str">
        <f t="shared" si="0"/>
        <v>Geschäftskunde</v>
      </c>
      <c r="E59" s="1"/>
      <c r="F59">
        <v>8</v>
      </c>
      <c r="G59">
        <v>21</v>
      </c>
      <c r="H59" t="str">
        <f>VLOOKUP(G59,'Hilfetabelle Region'!$A$17:$B$19,2,)</f>
        <v>Geschäftskunde</v>
      </c>
    </row>
    <row r="60" spans="1:8" x14ac:dyDescent="0.35">
      <c r="A60">
        <v>59</v>
      </c>
      <c r="B60" t="str">
        <f>VLOOKUP(F60,'Hilfetabelle Region'!$A$2:$C$14,2,FALSE)</f>
        <v>Asien</v>
      </c>
      <c r="C60" t="str">
        <f t="shared" si="0"/>
        <v>Geschäftskunde</v>
      </c>
      <c r="E60" s="1"/>
      <c r="F60">
        <v>12</v>
      </c>
      <c r="G60">
        <v>21</v>
      </c>
      <c r="H60" t="str">
        <f>VLOOKUP(G60,'Hilfetabelle Region'!$A$17:$B$19,2,)</f>
        <v>Geschäftskunde</v>
      </c>
    </row>
    <row r="61" spans="1:8" x14ac:dyDescent="0.35">
      <c r="A61">
        <v>60</v>
      </c>
      <c r="B61" t="str">
        <f>VLOOKUP(F61,'Hilfetabelle Region'!$A$2:$C$14,2,FALSE)</f>
        <v>Lateinamerika</v>
      </c>
      <c r="C61" t="str">
        <f t="shared" si="0"/>
        <v>Geschäftskunde</v>
      </c>
      <c r="E61" s="1"/>
      <c r="F61">
        <v>10</v>
      </c>
      <c r="G61">
        <v>22</v>
      </c>
      <c r="H61" t="str">
        <f>VLOOKUP(G61,'Hilfetabelle Region'!$A$17:$B$19,2,)</f>
        <v>Geschäftskunde</v>
      </c>
    </row>
    <row r="62" spans="1:8" x14ac:dyDescent="0.35">
      <c r="A62">
        <v>61</v>
      </c>
      <c r="B62" t="str">
        <f>VLOOKUP(F62,'Hilfetabelle Region'!$A$2:$C$14,2,FALSE)</f>
        <v>Europa</v>
      </c>
      <c r="C62" t="str">
        <f t="shared" si="0"/>
        <v>Geschäftskunde</v>
      </c>
      <c r="E62" s="1"/>
      <c r="F62">
        <v>5</v>
      </c>
      <c r="G62">
        <v>22</v>
      </c>
      <c r="H62" t="str">
        <f>VLOOKUP(G62,'Hilfetabelle Region'!$A$17:$B$19,2,)</f>
        <v>Geschäftskunde</v>
      </c>
    </row>
    <row r="63" spans="1:8" x14ac:dyDescent="0.35">
      <c r="A63">
        <v>62</v>
      </c>
      <c r="B63" t="str">
        <f>VLOOKUP(F63,'Hilfetabelle Region'!$A$2:$C$14,2,FALSE)</f>
        <v>Europa</v>
      </c>
      <c r="C63" t="str">
        <f t="shared" si="0"/>
        <v>Geschäftskunde</v>
      </c>
      <c r="E63" s="1"/>
      <c r="F63">
        <v>2</v>
      </c>
      <c r="G63">
        <v>22</v>
      </c>
      <c r="H63" t="str">
        <f>VLOOKUP(G63,'Hilfetabelle Region'!$A$17:$B$19,2,)</f>
        <v>Geschäftskunde</v>
      </c>
    </row>
    <row r="64" spans="1:8" x14ac:dyDescent="0.35">
      <c r="A64">
        <v>63</v>
      </c>
      <c r="B64" t="str">
        <f>VLOOKUP(F64,'Hilfetabelle Region'!$A$2:$C$14,2,FALSE)</f>
        <v>Europa</v>
      </c>
      <c r="C64" t="str">
        <f t="shared" si="0"/>
        <v>Geschäftskunde</v>
      </c>
      <c r="E64" s="1"/>
      <c r="F64">
        <v>5</v>
      </c>
      <c r="G64">
        <v>21</v>
      </c>
      <c r="H64" t="str">
        <f>VLOOKUP(G64,'Hilfetabelle Region'!$A$17:$B$19,2,)</f>
        <v>Geschäftskunde</v>
      </c>
    </row>
    <row r="65" spans="1:8" x14ac:dyDescent="0.35">
      <c r="A65">
        <v>64</v>
      </c>
      <c r="B65" t="str">
        <f>VLOOKUP(F65,'Hilfetabelle Region'!$A$2:$C$14,2,FALSE)</f>
        <v>Europa</v>
      </c>
      <c r="C65" t="str">
        <f t="shared" si="0"/>
        <v>Privatkunde</v>
      </c>
      <c r="E65" s="1"/>
      <c r="F65">
        <v>6</v>
      </c>
      <c r="G65">
        <v>23</v>
      </c>
      <c r="H65" t="str">
        <f>VLOOKUP(G65,'Hilfetabelle Region'!$A$17:$B$19,2,)</f>
        <v>Privatkunde</v>
      </c>
    </row>
    <row r="66" spans="1:8" x14ac:dyDescent="0.35">
      <c r="A66">
        <v>65</v>
      </c>
      <c r="B66" t="str">
        <f>VLOOKUP(F66,'Hilfetabelle Region'!$A$2:$C$14,2,FALSE)</f>
        <v>Europa</v>
      </c>
      <c r="C66" t="str">
        <f t="shared" si="0"/>
        <v>Geschäftskunde</v>
      </c>
      <c r="E66" s="1"/>
      <c r="F66">
        <v>5</v>
      </c>
      <c r="G66">
        <v>22</v>
      </c>
      <c r="H66" t="str">
        <f>VLOOKUP(G66,'Hilfetabelle Region'!$A$17:$B$19,2,)</f>
        <v>Geschäftskunde</v>
      </c>
    </row>
    <row r="67" spans="1:8" x14ac:dyDescent="0.35">
      <c r="A67">
        <v>66</v>
      </c>
      <c r="B67" t="str">
        <f>VLOOKUP(F67,'Hilfetabelle Region'!$A$2:$C$14,2,FALSE)</f>
        <v>Europa</v>
      </c>
      <c r="C67" t="str">
        <f t="shared" ref="C67:C130" si="1">IF(B67="Europa",H67,"Geschäftskunde")</f>
        <v>Geschäftskunde</v>
      </c>
      <c r="E67" s="1"/>
      <c r="F67">
        <v>3</v>
      </c>
      <c r="G67">
        <v>21</v>
      </c>
      <c r="H67" t="str">
        <f>VLOOKUP(G67,'Hilfetabelle Region'!$A$17:$B$19,2,)</f>
        <v>Geschäftskunde</v>
      </c>
    </row>
    <row r="68" spans="1:8" x14ac:dyDescent="0.35">
      <c r="A68">
        <v>67</v>
      </c>
      <c r="B68" t="str">
        <f>VLOOKUP(F68,'Hilfetabelle Region'!$A$2:$C$14,2,FALSE)</f>
        <v>Europa</v>
      </c>
      <c r="C68" t="str">
        <f t="shared" si="1"/>
        <v>Geschäftskunde</v>
      </c>
      <c r="E68" s="1"/>
      <c r="F68">
        <v>3</v>
      </c>
      <c r="G68">
        <v>21</v>
      </c>
      <c r="H68" t="str">
        <f>VLOOKUP(G68,'Hilfetabelle Region'!$A$17:$B$19,2,)</f>
        <v>Geschäftskunde</v>
      </c>
    </row>
    <row r="69" spans="1:8" x14ac:dyDescent="0.35">
      <c r="A69">
        <v>68</v>
      </c>
      <c r="B69" t="str">
        <f>VLOOKUP(F69,'Hilfetabelle Region'!$A$2:$C$14,2,FALSE)</f>
        <v>Nordamerika</v>
      </c>
      <c r="C69" t="str">
        <f t="shared" si="1"/>
        <v>Geschäftskunde</v>
      </c>
      <c r="E69" s="1"/>
      <c r="F69">
        <v>8</v>
      </c>
      <c r="G69">
        <v>23</v>
      </c>
      <c r="H69" t="str">
        <f>VLOOKUP(G69,'Hilfetabelle Region'!$A$17:$B$19,2,)</f>
        <v>Privatkunde</v>
      </c>
    </row>
    <row r="70" spans="1:8" x14ac:dyDescent="0.35">
      <c r="A70">
        <v>69</v>
      </c>
      <c r="B70" t="str">
        <f>VLOOKUP(F70,'Hilfetabelle Region'!$A$2:$C$14,2,FALSE)</f>
        <v>Asien</v>
      </c>
      <c r="C70" t="str">
        <f t="shared" si="1"/>
        <v>Geschäftskunde</v>
      </c>
      <c r="E70" s="1"/>
      <c r="F70">
        <v>13</v>
      </c>
      <c r="G70">
        <v>23</v>
      </c>
      <c r="H70" t="str">
        <f>VLOOKUP(G70,'Hilfetabelle Region'!$A$17:$B$19,2,)</f>
        <v>Privatkunde</v>
      </c>
    </row>
    <row r="71" spans="1:8" x14ac:dyDescent="0.35">
      <c r="A71">
        <v>70</v>
      </c>
      <c r="B71" t="str">
        <f>VLOOKUP(F71,'Hilfetabelle Region'!$A$2:$C$14,2,FALSE)</f>
        <v>Nordamerika</v>
      </c>
      <c r="C71" t="str">
        <f t="shared" si="1"/>
        <v>Geschäftskunde</v>
      </c>
      <c r="E71" s="1"/>
      <c r="F71">
        <v>7</v>
      </c>
      <c r="G71">
        <v>23</v>
      </c>
      <c r="H71" t="str">
        <f>VLOOKUP(G71,'Hilfetabelle Region'!$A$17:$B$19,2,)</f>
        <v>Privatkunde</v>
      </c>
    </row>
    <row r="72" spans="1:8" x14ac:dyDescent="0.35">
      <c r="A72">
        <v>71</v>
      </c>
      <c r="B72" t="str">
        <f>VLOOKUP(F72,'Hilfetabelle Region'!$A$2:$C$14,2,FALSE)</f>
        <v>Asien</v>
      </c>
      <c r="C72" t="str">
        <f t="shared" si="1"/>
        <v>Geschäftskunde</v>
      </c>
      <c r="E72" s="1"/>
      <c r="F72">
        <v>13</v>
      </c>
      <c r="G72">
        <v>22</v>
      </c>
      <c r="H72" t="str">
        <f>VLOOKUP(G72,'Hilfetabelle Region'!$A$17:$B$19,2,)</f>
        <v>Geschäftskunde</v>
      </c>
    </row>
    <row r="73" spans="1:8" x14ac:dyDescent="0.35">
      <c r="A73">
        <v>72</v>
      </c>
      <c r="B73" t="str">
        <f>VLOOKUP(F73,'Hilfetabelle Region'!$A$2:$C$14,2,FALSE)</f>
        <v>Nordamerika</v>
      </c>
      <c r="C73" t="str">
        <f t="shared" si="1"/>
        <v>Geschäftskunde</v>
      </c>
      <c r="E73" s="1"/>
      <c r="F73">
        <v>9</v>
      </c>
      <c r="G73">
        <v>23</v>
      </c>
      <c r="H73" t="str">
        <f>VLOOKUP(G73,'Hilfetabelle Region'!$A$17:$B$19,2,)</f>
        <v>Privatkunde</v>
      </c>
    </row>
    <row r="74" spans="1:8" x14ac:dyDescent="0.35">
      <c r="A74">
        <v>73</v>
      </c>
      <c r="B74" t="str">
        <f>VLOOKUP(F74,'Hilfetabelle Region'!$A$2:$C$14,2,FALSE)</f>
        <v>Europa</v>
      </c>
      <c r="C74" t="str">
        <f t="shared" si="1"/>
        <v>Geschäftskunde</v>
      </c>
      <c r="E74" s="1"/>
      <c r="F74">
        <v>6</v>
      </c>
      <c r="G74">
        <v>21</v>
      </c>
      <c r="H74" t="str">
        <f>VLOOKUP(G74,'Hilfetabelle Region'!$A$17:$B$19,2,)</f>
        <v>Geschäftskunde</v>
      </c>
    </row>
    <row r="75" spans="1:8" x14ac:dyDescent="0.35">
      <c r="A75">
        <v>74</v>
      </c>
      <c r="B75" t="str">
        <f>VLOOKUP(F75,'Hilfetabelle Region'!$A$2:$C$14,2,FALSE)</f>
        <v>Asien</v>
      </c>
      <c r="C75" t="str">
        <f t="shared" si="1"/>
        <v>Geschäftskunde</v>
      </c>
      <c r="E75" s="1"/>
      <c r="F75">
        <v>12</v>
      </c>
      <c r="G75">
        <v>22</v>
      </c>
      <c r="H75" t="str">
        <f>VLOOKUP(G75,'Hilfetabelle Region'!$A$17:$B$19,2,)</f>
        <v>Geschäftskunde</v>
      </c>
    </row>
    <row r="76" spans="1:8" x14ac:dyDescent="0.35">
      <c r="A76">
        <v>75</v>
      </c>
      <c r="B76" t="str">
        <f>VLOOKUP(F76,'Hilfetabelle Region'!$A$2:$C$14,2,FALSE)</f>
        <v>Europa</v>
      </c>
      <c r="C76" t="str">
        <f t="shared" si="1"/>
        <v>Privatkunde</v>
      </c>
      <c r="E76" s="1"/>
      <c r="F76">
        <v>5</v>
      </c>
      <c r="G76">
        <v>23</v>
      </c>
      <c r="H76" t="str">
        <f>VLOOKUP(G76,'Hilfetabelle Region'!$A$17:$B$19,2,)</f>
        <v>Privatkunde</v>
      </c>
    </row>
    <row r="77" spans="1:8" x14ac:dyDescent="0.35">
      <c r="A77">
        <v>76</v>
      </c>
      <c r="B77" t="str">
        <f>VLOOKUP(F77,'Hilfetabelle Region'!$A$2:$C$14,2,FALSE)</f>
        <v>Europa</v>
      </c>
      <c r="C77" t="str">
        <f t="shared" si="1"/>
        <v>Geschäftskunde</v>
      </c>
      <c r="E77" s="1"/>
      <c r="F77">
        <v>4</v>
      </c>
      <c r="G77">
        <v>22</v>
      </c>
      <c r="H77" t="str">
        <f>VLOOKUP(G77,'Hilfetabelle Region'!$A$17:$B$19,2,)</f>
        <v>Geschäftskunde</v>
      </c>
    </row>
    <row r="78" spans="1:8" x14ac:dyDescent="0.35">
      <c r="A78">
        <v>77</v>
      </c>
      <c r="B78" t="str">
        <f>VLOOKUP(F78,'Hilfetabelle Region'!$A$2:$C$14,2,FALSE)</f>
        <v>Asien</v>
      </c>
      <c r="C78" t="str">
        <f t="shared" si="1"/>
        <v>Geschäftskunde</v>
      </c>
      <c r="E78" s="1"/>
      <c r="F78">
        <v>13</v>
      </c>
      <c r="G78">
        <v>22</v>
      </c>
      <c r="H78" t="str">
        <f>VLOOKUP(G78,'Hilfetabelle Region'!$A$17:$B$19,2,)</f>
        <v>Geschäftskunde</v>
      </c>
    </row>
    <row r="79" spans="1:8" x14ac:dyDescent="0.35">
      <c r="A79">
        <v>78</v>
      </c>
      <c r="B79" t="str">
        <f>VLOOKUP(F79,'Hilfetabelle Region'!$A$2:$C$14,2,FALSE)</f>
        <v>Europa</v>
      </c>
      <c r="C79" t="str">
        <f t="shared" si="1"/>
        <v>Privatkunde</v>
      </c>
      <c r="E79" s="1"/>
      <c r="F79">
        <v>3</v>
      </c>
      <c r="G79">
        <v>23</v>
      </c>
      <c r="H79" t="str">
        <f>VLOOKUP(G79,'Hilfetabelle Region'!$A$17:$B$19,2,)</f>
        <v>Privatkunde</v>
      </c>
    </row>
    <row r="80" spans="1:8" x14ac:dyDescent="0.35">
      <c r="A80">
        <v>79</v>
      </c>
      <c r="B80" t="str">
        <f>VLOOKUP(F80,'Hilfetabelle Region'!$A$2:$C$14,2,FALSE)</f>
        <v>Lateinamerika</v>
      </c>
      <c r="C80" t="str">
        <f t="shared" si="1"/>
        <v>Geschäftskunde</v>
      </c>
      <c r="E80" s="1"/>
      <c r="F80">
        <v>10</v>
      </c>
      <c r="G80">
        <v>21</v>
      </c>
      <c r="H80" t="str">
        <f>VLOOKUP(G80,'Hilfetabelle Region'!$A$17:$B$19,2,)</f>
        <v>Geschäftskunde</v>
      </c>
    </row>
    <row r="81" spans="1:8" x14ac:dyDescent="0.35">
      <c r="A81">
        <v>80</v>
      </c>
      <c r="B81" t="str">
        <f>VLOOKUP(F81,'Hilfetabelle Region'!$A$2:$C$14,2,FALSE)</f>
        <v>Lateinamerika</v>
      </c>
      <c r="C81" t="str">
        <f t="shared" si="1"/>
        <v>Geschäftskunde</v>
      </c>
      <c r="E81" s="1"/>
      <c r="F81">
        <v>10</v>
      </c>
      <c r="G81">
        <v>21</v>
      </c>
      <c r="H81" t="str">
        <f>VLOOKUP(G81,'Hilfetabelle Region'!$A$17:$B$19,2,)</f>
        <v>Geschäftskunde</v>
      </c>
    </row>
    <row r="82" spans="1:8" x14ac:dyDescent="0.35">
      <c r="A82">
        <v>81</v>
      </c>
      <c r="B82" t="str">
        <f>VLOOKUP(F82,'Hilfetabelle Region'!$A$2:$C$14,2,FALSE)</f>
        <v>Europa</v>
      </c>
      <c r="C82" t="str">
        <f t="shared" si="1"/>
        <v>Privatkunde</v>
      </c>
      <c r="E82" s="1"/>
      <c r="F82">
        <v>6</v>
      </c>
      <c r="G82">
        <v>23</v>
      </c>
      <c r="H82" t="str">
        <f>VLOOKUP(G82,'Hilfetabelle Region'!$A$17:$B$19,2,)</f>
        <v>Privatkunde</v>
      </c>
    </row>
    <row r="83" spans="1:8" x14ac:dyDescent="0.35">
      <c r="A83">
        <v>82</v>
      </c>
      <c r="B83" t="str">
        <f>VLOOKUP(F83,'Hilfetabelle Region'!$A$2:$C$14,2,FALSE)</f>
        <v>Afrika</v>
      </c>
      <c r="C83" t="str">
        <f t="shared" si="1"/>
        <v>Geschäftskunde</v>
      </c>
      <c r="E83" s="1"/>
      <c r="F83">
        <v>11</v>
      </c>
      <c r="G83">
        <v>21</v>
      </c>
      <c r="H83" t="str">
        <f>VLOOKUP(G83,'Hilfetabelle Region'!$A$17:$B$19,2,)</f>
        <v>Geschäftskunde</v>
      </c>
    </row>
    <row r="84" spans="1:8" x14ac:dyDescent="0.35">
      <c r="A84">
        <v>83</v>
      </c>
      <c r="B84" t="str">
        <f>VLOOKUP(F84,'Hilfetabelle Region'!$A$2:$C$14,2,FALSE)</f>
        <v>Lateinamerika</v>
      </c>
      <c r="C84" t="str">
        <f t="shared" si="1"/>
        <v>Geschäftskunde</v>
      </c>
      <c r="E84" s="1"/>
      <c r="F84">
        <v>10</v>
      </c>
      <c r="G84">
        <v>22</v>
      </c>
      <c r="H84" t="str">
        <f>VLOOKUP(G84,'Hilfetabelle Region'!$A$17:$B$19,2,)</f>
        <v>Geschäftskunde</v>
      </c>
    </row>
    <row r="85" spans="1:8" x14ac:dyDescent="0.35">
      <c r="A85">
        <v>84</v>
      </c>
      <c r="B85" t="str">
        <f>VLOOKUP(F85,'Hilfetabelle Region'!$A$2:$C$14,2,FALSE)</f>
        <v>Nordamerika</v>
      </c>
      <c r="C85" t="str">
        <f t="shared" si="1"/>
        <v>Geschäftskunde</v>
      </c>
      <c r="E85" s="1"/>
      <c r="F85">
        <v>9</v>
      </c>
      <c r="G85">
        <v>22</v>
      </c>
      <c r="H85" t="str">
        <f>VLOOKUP(G85,'Hilfetabelle Region'!$A$17:$B$19,2,)</f>
        <v>Geschäftskunde</v>
      </c>
    </row>
    <row r="86" spans="1:8" x14ac:dyDescent="0.35">
      <c r="A86">
        <v>85</v>
      </c>
      <c r="B86" t="str">
        <f>VLOOKUP(F86,'Hilfetabelle Region'!$A$2:$C$14,2,FALSE)</f>
        <v>Europa</v>
      </c>
      <c r="C86" t="str">
        <f t="shared" si="1"/>
        <v>Geschäftskunde</v>
      </c>
      <c r="E86" s="1"/>
      <c r="F86">
        <v>2</v>
      </c>
      <c r="G86">
        <v>21</v>
      </c>
      <c r="H86" t="str">
        <f>VLOOKUP(G86,'Hilfetabelle Region'!$A$17:$B$19,2,)</f>
        <v>Geschäftskunde</v>
      </c>
    </row>
    <row r="87" spans="1:8" x14ac:dyDescent="0.35">
      <c r="A87">
        <v>86</v>
      </c>
      <c r="B87" t="str">
        <f>VLOOKUP(F87,'Hilfetabelle Region'!$A$2:$C$14,2,FALSE)</f>
        <v>Nordamerika</v>
      </c>
      <c r="C87" t="str">
        <f t="shared" si="1"/>
        <v>Geschäftskunde</v>
      </c>
      <c r="E87" s="1"/>
      <c r="F87">
        <v>8</v>
      </c>
      <c r="G87">
        <v>21</v>
      </c>
      <c r="H87" t="str">
        <f>VLOOKUP(G87,'Hilfetabelle Region'!$A$17:$B$19,2,)</f>
        <v>Geschäftskunde</v>
      </c>
    </row>
    <row r="88" spans="1:8" x14ac:dyDescent="0.35">
      <c r="A88">
        <v>87</v>
      </c>
      <c r="B88" t="str">
        <f>VLOOKUP(F88,'Hilfetabelle Region'!$A$2:$C$14,2,FALSE)</f>
        <v>Asien</v>
      </c>
      <c r="C88" t="str">
        <f t="shared" si="1"/>
        <v>Geschäftskunde</v>
      </c>
      <c r="E88" s="1"/>
      <c r="F88">
        <v>13</v>
      </c>
      <c r="G88">
        <v>22</v>
      </c>
      <c r="H88" t="str">
        <f>VLOOKUP(G88,'Hilfetabelle Region'!$A$17:$B$19,2,)</f>
        <v>Geschäftskunde</v>
      </c>
    </row>
    <row r="89" spans="1:8" x14ac:dyDescent="0.35">
      <c r="A89">
        <v>88</v>
      </c>
      <c r="B89" t="str">
        <f>VLOOKUP(F89,'Hilfetabelle Region'!$A$2:$C$14,2,FALSE)</f>
        <v>Nordamerika</v>
      </c>
      <c r="C89" t="str">
        <f t="shared" si="1"/>
        <v>Geschäftskunde</v>
      </c>
      <c r="E89" s="1"/>
      <c r="F89">
        <v>8</v>
      </c>
      <c r="G89">
        <v>23</v>
      </c>
      <c r="H89" t="str">
        <f>VLOOKUP(G89,'Hilfetabelle Region'!$A$17:$B$19,2,)</f>
        <v>Privatkunde</v>
      </c>
    </row>
    <row r="90" spans="1:8" x14ac:dyDescent="0.35">
      <c r="A90">
        <v>89</v>
      </c>
      <c r="B90" t="str">
        <f>VLOOKUP(F90,'Hilfetabelle Region'!$A$2:$C$14,2,FALSE)</f>
        <v>Asien</v>
      </c>
      <c r="C90" t="str">
        <f t="shared" si="1"/>
        <v>Geschäftskunde</v>
      </c>
      <c r="E90" s="1"/>
      <c r="F90">
        <v>13</v>
      </c>
      <c r="G90">
        <v>21</v>
      </c>
      <c r="H90" t="str">
        <f>VLOOKUP(G90,'Hilfetabelle Region'!$A$17:$B$19,2,)</f>
        <v>Geschäftskunde</v>
      </c>
    </row>
    <row r="91" spans="1:8" x14ac:dyDescent="0.35">
      <c r="A91">
        <v>90</v>
      </c>
      <c r="B91" t="str">
        <f>VLOOKUP(F91,'Hilfetabelle Region'!$A$2:$C$14,2,FALSE)</f>
        <v>Afrika</v>
      </c>
      <c r="C91" t="str">
        <f t="shared" si="1"/>
        <v>Geschäftskunde</v>
      </c>
      <c r="E91" s="1"/>
      <c r="F91">
        <v>11</v>
      </c>
      <c r="G91">
        <v>21</v>
      </c>
      <c r="H91" t="str">
        <f>VLOOKUP(G91,'Hilfetabelle Region'!$A$17:$B$19,2,)</f>
        <v>Geschäftskunde</v>
      </c>
    </row>
    <row r="92" spans="1:8" x14ac:dyDescent="0.35">
      <c r="A92">
        <v>91</v>
      </c>
      <c r="B92" t="str">
        <f>VLOOKUP(F92,'Hilfetabelle Region'!$A$2:$C$14,2,FALSE)</f>
        <v>Europa</v>
      </c>
      <c r="C92" t="str">
        <f t="shared" si="1"/>
        <v>Privatkunde</v>
      </c>
      <c r="E92" s="1"/>
      <c r="F92">
        <v>5</v>
      </c>
      <c r="G92">
        <v>23</v>
      </c>
      <c r="H92" t="str">
        <f>VLOOKUP(G92,'Hilfetabelle Region'!$A$17:$B$19,2,)</f>
        <v>Privatkunde</v>
      </c>
    </row>
    <row r="93" spans="1:8" x14ac:dyDescent="0.35">
      <c r="A93">
        <v>92</v>
      </c>
      <c r="B93" t="str">
        <f>VLOOKUP(F93,'Hilfetabelle Region'!$A$2:$C$14,2,FALSE)</f>
        <v>Europa</v>
      </c>
      <c r="C93" t="str">
        <f t="shared" si="1"/>
        <v>Privatkunde</v>
      </c>
      <c r="E93" s="1"/>
      <c r="F93">
        <v>3</v>
      </c>
      <c r="G93">
        <v>23</v>
      </c>
      <c r="H93" t="str">
        <f>VLOOKUP(G93,'Hilfetabelle Region'!$A$17:$B$19,2,)</f>
        <v>Privatkunde</v>
      </c>
    </row>
    <row r="94" spans="1:8" x14ac:dyDescent="0.35">
      <c r="A94">
        <v>93</v>
      </c>
      <c r="B94" t="str">
        <f>VLOOKUP(F94,'Hilfetabelle Region'!$A$2:$C$14,2,FALSE)</f>
        <v>Nordamerika</v>
      </c>
      <c r="C94" t="str">
        <f t="shared" si="1"/>
        <v>Geschäftskunde</v>
      </c>
      <c r="E94" s="1"/>
      <c r="F94">
        <v>9</v>
      </c>
      <c r="G94">
        <v>21</v>
      </c>
      <c r="H94" t="str">
        <f>VLOOKUP(G94,'Hilfetabelle Region'!$A$17:$B$19,2,)</f>
        <v>Geschäftskunde</v>
      </c>
    </row>
    <row r="95" spans="1:8" x14ac:dyDescent="0.35">
      <c r="A95">
        <v>94</v>
      </c>
      <c r="B95" t="str">
        <f>VLOOKUP(F95,'Hilfetabelle Region'!$A$2:$C$14,2,FALSE)</f>
        <v>Nordamerika</v>
      </c>
      <c r="C95" t="str">
        <f t="shared" si="1"/>
        <v>Geschäftskunde</v>
      </c>
      <c r="E95" s="1"/>
      <c r="F95">
        <v>7</v>
      </c>
      <c r="G95">
        <v>23</v>
      </c>
      <c r="H95" t="str">
        <f>VLOOKUP(G95,'Hilfetabelle Region'!$A$17:$B$19,2,)</f>
        <v>Privatkunde</v>
      </c>
    </row>
    <row r="96" spans="1:8" x14ac:dyDescent="0.35">
      <c r="A96">
        <v>95</v>
      </c>
      <c r="B96" t="str">
        <f>VLOOKUP(F96,'Hilfetabelle Region'!$A$2:$C$14,2,FALSE)</f>
        <v>Asien</v>
      </c>
      <c r="C96" t="str">
        <f t="shared" si="1"/>
        <v>Geschäftskunde</v>
      </c>
      <c r="E96" s="1"/>
      <c r="F96">
        <v>13</v>
      </c>
      <c r="G96">
        <v>23</v>
      </c>
      <c r="H96" t="str">
        <f>VLOOKUP(G96,'Hilfetabelle Region'!$A$17:$B$19,2,)</f>
        <v>Privatkunde</v>
      </c>
    </row>
    <row r="97" spans="1:8" x14ac:dyDescent="0.35">
      <c r="A97">
        <v>96</v>
      </c>
      <c r="B97" t="str">
        <f>VLOOKUP(F97,'Hilfetabelle Region'!$A$2:$C$14,2,FALSE)</f>
        <v>Nordamerika</v>
      </c>
      <c r="C97" t="str">
        <f t="shared" si="1"/>
        <v>Geschäftskunde</v>
      </c>
      <c r="E97" s="1"/>
      <c r="F97">
        <v>8</v>
      </c>
      <c r="G97">
        <v>22</v>
      </c>
      <c r="H97" t="str">
        <f>VLOOKUP(G97,'Hilfetabelle Region'!$A$17:$B$19,2,)</f>
        <v>Geschäftskunde</v>
      </c>
    </row>
    <row r="98" spans="1:8" x14ac:dyDescent="0.35">
      <c r="A98">
        <v>97</v>
      </c>
      <c r="B98" t="str">
        <f>VLOOKUP(F98,'Hilfetabelle Region'!$A$2:$C$14,2,FALSE)</f>
        <v>Nordamerika</v>
      </c>
      <c r="C98" t="str">
        <f t="shared" si="1"/>
        <v>Geschäftskunde</v>
      </c>
      <c r="E98" s="1"/>
      <c r="F98">
        <v>8</v>
      </c>
      <c r="G98">
        <v>21</v>
      </c>
      <c r="H98" t="str">
        <f>VLOOKUP(G98,'Hilfetabelle Region'!$A$17:$B$19,2,)</f>
        <v>Geschäftskunde</v>
      </c>
    </row>
    <row r="99" spans="1:8" x14ac:dyDescent="0.35">
      <c r="A99">
        <v>98</v>
      </c>
      <c r="B99" t="str">
        <f>VLOOKUP(F99,'Hilfetabelle Region'!$A$2:$C$14,2,FALSE)</f>
        <v>Europa</v>
      </c>
      <c r="C99" t="str">
        <f t="shared" si="1"/>
        <v>Geschäftskunde</v>
      </c>
      <c r="E99" s="1"/>
      <c r="F99">
        <v>6</v>
      </c>
      <c r="G99">
        <v>21</v>
      </c>
      <c r="H99" t="str">
        <f>VLOOKUP(G99,'Hilfetabelle Region'!$A$17:$B$19,2,)</f>
        <v>Geschäftskunde</v>
      </c>
    </row>
    <row r="100" spans="1:8" x14ac:dyDescent="0.35">
      <c r="A100">
        <v>99</v>
      </c>
      <c r="B100" t="str">
        <f>VLOOKUP(F100,'Hilfetabelle Region'!$A$2:$C$14,2,FALSE)</f>
        <v>Europa</v>
      </c>
      <c r="C100" t="str">
        <f t="shared" si="1"/>
        <v>Privatkunde</v>
      </c>
      <c r="E100" s="1"/>
      <c r="F100">
        <v>3</v>
      </c>
      <c r="G100">
        <v>23</v>
      </c>
      <c r="H100" t="str">
        <f>VLOOKUP(G100,'Hilfetabelle Region'!$A$17:$B$19,2,)</f>
        <v>Privatkunde</v>
      </c>
    </row>
    <row r="101" spans="1:8" x14ac:dyDescent="0.35">
      <c r="A101">
        <v>100</v>
      </c>
      <c r="B101" t="str">
        <f>VLOOKUP(F101,'Hilfetabelle Region'!$A$2:$C$14,2,FALSE)</f>
        <v>Europa</v>
      </c>
      <c r="C101" t="str">
        <f t="shared" si="1"/>
        <v>Privatkunde</v>
      </c>
      <c r="E101" s="1"/>
      <c r="F101">
        <v>4</v>
      </c>
      <c r="G101">
        <v>23</v>
      </c>
      <c r="H101" t="str">
        <f>VLOOKUP(G101,'Hilfetabelle Region'!$A$17:$B$19,2,)</f>
        <v>Privatkunde</v>
      </c>
    </row>
    <row r="102" spans="1:8" x14ac:dyDescent="0.35">
      <c r="A102">
        <v>101</v>
      </c>
      <c r="B102" t="str">
        <f>VLOOKUP(F102,'Hilfetabelle Region'!$A$2:$C$14,2,FALSE)</f>
        <v>Europa</v>
      </c>
      <c r="C102" t="str">
        <f t="shared" si="1"/>
        <v>Privatkunde</v>
      </c>
      <c r="E102" s="1"/>
      <c r="F102">
        <v>2</v>
      </c>
      <c r="G102">
        <v>23</v>
      </c>
      <c r="H102" t="str">
        <f>VLOOKUP(G102,'Hilfetabelle Region'!$A$17:$B$19,2,)</f>
        <v>Privatkunde</v>
      </c>
    </row>
    <row r="103" spans="1:8" x14ac:dyDescent="0.35">
      <c r="A103">
        <v>102</v>
      </c>
      <c r="B103" t="str">
        <f>VLOOKUP(F103,'Hilfetabelle Region'!$A$2:$C$14,2,FALSE)</f>
        <v>Asien</v>
      </c>
      <c r="C103" t="str">
        <f t="shared" si="1"/>
        <v>Geschäftskunde</v>
      </c>
      <c r="E103" s="1"/>
      <c r="F103">
        <v>13</v>
      </c>
      <c r="G103">
        <v>21</v>
      </c>
      <c r="H103" t="str">
        <f>VLOOKUP(G103,'Hilfetabelle Region'!$A$17:$B$19,2,)</f>
        <v>Geschäftskunde</v>
      </c>
    </row>
    <row r="104" spans="1:8" x14ac:dyDescent="0.35">
      <c r="A104">
        <v>103</v>
      </c>
      <c r="B104" t="str">
        <f>VLOOKUP(F104,'Hilfetabelle Region'!$A$2:$C$14,2,FALSE)</f>
        <v>Europa</v>
      </c>
      <c r="C104" t="str">
        <f t="shared" si="1"/>
        <v>Geschäftskunde</v>
      </c>
      <c r="E104" s="1"/>
      <c r="F104">
        <v>5</v>
      </c>
      <c r="G104">
        <v>22</v>
      </c>
      <c r="H104" t="str">
        <f>VLOOKUP(G104,'Hilfetabelle Region'!$A$17:$B$19,2,)</f>
        <v>Geschäftskunde</v>
      </c>
    </row>
    <row r="105" spans="1:8" x14ac:dyDescent="0.35">
      <c r="A105">
        <v>104</v>
      </c>
      <c r="B105" t="str">
        <f>VLOOKUP(F105,'Hilfetabelle Region'!$A$2:$C$14,2,FALSE)</f>
        <v>Nordamerika</v>
      </c>
      <c r="C105" t="str">
        <f t="shared" si="1"/>
        <v>Geschäftskunde</v>
      </c>
      <c r="E105" s="1"/>
      <c r="F105">
        <v>8</v>
      </c>
      <c r="G105">
        <v>21</v>
      </c>
      <c r="H105" t="str">
        <f>VLOOKUP(G105,'Hilfetabelle Region'!$A$17:$B$19,2,)</f>
        <v>Geschäftskunde</v>
      </c>
    </row>
    <row r="106" spans="1:8" x14ac:dyDescent="0.35">
      <c r="A106">
        <v>105</v>
      </c>
      <c r="B106" t="str">
        <f>VLOOKUP(F106,'Hilfetabelle Region'!$A$2:$C$14,2,FALSE)</f>
        <v>Nordamerika</v>
      </c>
      <c r="C106" t="str">
        <f t="shared" si="1"/>
        <v>Geschäftskunde</v>
      </c>
      <c r="E106" s="1"/>
      <c r="F106">
        <v>8</v>
      </c>
      <c r="G106">
        <v>23</v>
      </c>
      <c r="H106" t="str">
        <f>VLOOKUP(G106,'Hilfetabelle Region'!$A$17:$B$19,2,)</f>
        <v>Privatkunde</v>
      </c>
    </row>
    <row r="107" spans="1:8" x14ac:dyDescent="0.35">
      <c r="A107">
        <v>106</v>
      </c>
      <c r="B107" t="str">
        <f>VLOOKUP(F107,'Hilfetabelle Region'!$A$2:$C$14,2,FALSE)</f>
        <v>Europa</v>
      </c>
      <c r="C107" t="str">
        <f t="shared" si="1"/>
        <v>Geschäftskunde</v>
      </c>
      <c r="E107" s="1"/>
      <c r="F107">
        <v>1</v>
      </c>
      <c r="G107">
        <v>21</v>
      </c>
      <c r="H107" t="str">
        <f>VLOOKUP(G107,'Hilfetabelle Region'!$A$17:$B$19,2,)</f>
        <v>Geschäftskunde</v>
      </c>
    </row>
    <row r="108" spans="1:8" x14ac:dyDescent="0.35">
      <c r="A108">
        <v>107</v>
      </c>
      <c r="B108" t="str">
        <f>VLOOKUP(F108,'Hilfetabelle Region'!$A$2:$C$14,2,FALSE)</f>
        <v>Europa</v>
      </c>
      <c r="C108" t="str">
        <f t="shared" si="1"/>
        <v>Geschäftskunde</v>
      </c>
      <c r="E108" s="1"/>
      <c r="F108">
        <v>4</v>
      </c>
      <c r="G108">
        <v>22</v>
      </c>
      <c r="H108" t="str">
        <f>VLOOKUP(G108,'Hilfetabelle Region'!$A$17:$B$19,2,)</f>
        <v>Geschäftskunde</v>
      </c>
    </row>
    <row r="109" spans="1:8" x14ac:dyDescent="0.35">
      <c r="A109">
        <v>108</v>
      </c>
      <c r="B109" t="str">
        <f>VLOOKUP(F109,'Hilfetabelle Region'!$A$2:$C$14,2,FALSE)</f>
        <v>Europa</v>
      </c>
      <c r="C109" t="str">
        <f t="shared" si="1"/>
        <v>Privatkunde</v>
      </c>
      <c r="E109" s="1"/>
      <c r="F109">
        <v>1</v>
      </c>
      <c r="G109">
        <v>23</v>
      </c>
      <c r="H109" t="str">
        <f>VLOOKUP(G109,'Hilfetabelle Region'!$A$17:$B$19,2,)</f>
        <v>Privatkunde</v>
      </c>
    </row>
    <row r="110" spans="1:8" x14ac:dyDescent="0.35">
      <c r="A110">
        <v>109</v>
      </c>
      <c r="B110" t="str">
        <f>VLOOKUP(F110,'Hilfetabelle Region'!$A$2:$C$14,2,FALSE)</f>
        <v>Europa</v>
      </c>
      <c r="C110" t="str">
        <f t="shared" si="1"/>
        <v>Privatkunde</v>
      </c>
      <c r="E110" s="1"/>
      <c r="F110">
        <v>5</v>
      </c>
      <c r="G110">
        <v>23</v>
      </c>
      <c r="H110" t="str">
        <f>VLOOKUP(G110,'Hilfetabelle Region'!$A$17:$B$19,2,)</f>
        <v>Privatkunde</v>
      </c>
    </row>
    <row r="111" spans="1:8" x14ac:dyDescent="0.35">
      <c r="A111">
        <v>110</v>
      </c>
      <c r="B111" t="str">
        <f>VLOOKUP(F111,'Hilfetabelle Region'!$A$2:$C$14,2,FALSE)</f>
        <v>Europa</v>
      </c>
      <c r="C111" t="str">
        <f t="shared" si="1"/>
        <v>Privatkunde</v>
      </c>
      <c r="E111" s="1"/>
      <c r="F111">
        <v>5</v>
      </c>
      <c r="G111">
        <v>23</v>
      </c>
      <c r="H111" t="str">
        <f>VLOOKUP(G111,'Hilfetabelle Region'!$A$17:$B$19,2,)</f>
        <v>Privatkunde</v>
      </c>
    </row>
    <row r="112" spans="1:8" x14ac:dyDescent="0.35">
      <c r="A112">
        <v>111</v>
      </c>
      <c r="B112" t="str">
        <f>VLOOKUP(F112,'Hilfetabelle Region'!$A$2:$C$14,2,FALSE)</f>
        <v>Europa</v>
      </c>
      <c r="C112" t="str">
        <f t="shared" si="1"/>
        <v>Geschäftskunde</v>
      </c>
      <c r="E112" s="1"/>
      <c r="F112">
        <v>4</v>
      </c>
      <c r="G112">
        <v>22</v>
      </c>
      <c r="H112" t="str">
        <f>VLOOKUP(G112,'Hilfetabelle Region'!$A$17:$B$19,2,)</f>
        <v>Geschäftskunde</v>
      </c>
    </row>
    <row r="113" spans="1:8" x14ac:dyDescent="0.35">
      <c r="A113">
        <v>112</v>
      </c>
      <c r="B113" t="str">
        <f>VLOOKUP(F113,'Hilfetabelle Region'!$A$2:$C$14,2,FALSE)</f>
        <v>Asien</v>
      </c>
      <c r="C113" t="str">
        <f t="shared" si="1"/>
        <v>Geschäftskunde</v>
      </c>
      <c r="E113" s="1"/>
      <c r="F113">
        <v>13</v>
      </c>
      <c r="G113">
        <v>21</v>
      </c>
      <c r="H113" t="str">
        <f>VLOOKUP(G113,'Hilfetabelle Region'!$A$17:$B$19,2,)</f>
        <v>Geschäftskunde</v>
      </c>
    </row>
    <row r="114" spans="1:8" x14ac:dyDescent="0.35">
      <c r="A114">
        <v>113</v>
      </c>
      <c r="B114" t="str">
        <f>VLOOKUP(F114,'Hilfetabelle Region'!$A$2:$C$14,2,FALSE)</f>
        <v>Nordamerika</v>
      </c>
      <c r="C114" t="str">
        <f t="shared" si="1"/>
        <v>Geschäftskunde</v>
      </c>
      <c r="E114" s="1"/>
      <c r="F114">
        <v>9</v>
      </c>
      <c r="G114">
        <v>23</v>
      </c>
      <c r="H114" t="str">
        <f>VLOOKUP(G114,'Hilfetabelle Region'!$A$17:$B$19,2,)</f>
        <v>Privatkunde</v>
      </c>
    </row>
    <row r="115" spans="1:8" x14ac:dyDescent="0.35">
      <c r="A115">
        <v>114</v>
      </c>
      <c r="B115" t="str">
        <f>VLOOKUP(F115,'Hilfetabelle Region'!$A$2:$C$14,2,FALSE)</f>
        <v>Europa</v>
      </c>
      <c r="C115" t="str">
        <f t="shared" si="1"/>
        <v>Geschäftskunde</v>
      </c>
      <c r="E115" s="1"/>
      <c r="F115">
        <v>5</v>
      </c>
      <c r="G115">
        <v>22</v>
      </c>
      <c r="H115" t="str">
        <f>VLOOKUP(G115,'Hilfetabelle Region'!$A$17:$B$19,2,)</f>
        <v>Geschäftskunde</v>
      </c>
    </row>
    <row r="116" spans="1:8" x14ac:dyDescent="0.35">
      <c r="A116">
        <v>115</v>
      </c>
      <c r="B116" t="str">
        <f>VLOOKUP(F116,'Hilfetabelle Region'!$A$2:$C$14,2,FALSE)</f>
        <v>Europa</v>
      </c>
      <c r="C116" t="str">
        <f t="shared" si="1"/>
        <v>Geschäftskunde</v>
      </c>
      <c r="E116" s="1"/>
      <c r="F116">
        <v>4</v>
      </c>
      <c r="G116">
        <v>22</v>
      </c>
      <c r="H116" t="str">
        <f>VLOOKUP(G116,'Hilfetabelle Region'!$A$17:$B$19,2,)</f>
        <v>Geschäftskunde</v>
      </c>
    </row>
    <row r="117" spans="1:8" x14ac:dyDescent="0.35">
      <c r="A117">
        <v>116</v>
      </c>
      <c r="B117" t="str">
        <f>VLOOKUP(F117,'Hilfetabelle Region'!$A$2:$C$14,2,FALSE)</f>
        <v>Asien</v>
      </c>
      <c r="C117" t="str">
        <f t="shared" si="1"/>
        <v>Geschäftskunde</v>
      </c>
      <c r="E117" s="1"/>
      <c r="F117">
        <v>12</v>
      </c>
      <c r="G117">
        <v>21</v>
      </c>
      <c r="H117" t="str">
        <f>VLOOKUP(G117,'Hilfetabelle Region'!$A$17:$B$19,2,)</f>
        <v>Geschäftskunde</v>
      </c>
    </row>
    <row r="118" spans="1:8" x14ac:dyDescent="0.35">
      <c r="A118">
        <v>117</v>
      </c>
      <c r="B118" t="str">
        <f>VLOOKUP(F118,'Hilfetabelle Region'!$A$2:$C$14,2,FALSE)</f>
        <v>Nordamerika</v>
      </c>
      <c r="C118" t="str">
        <f t="shared" si="1"/>
        <v>Geschäftskunde</v>
      </c>
      <c r="E118" s="1"/>
      <c r="F118">
        <v>9</v>
      </c>
      <c r="G118">
        <v>23</v>
      </c>
      <c r="H118" t="str">
        <f>VLOOKUP(G118,'Hilfetabelle Region'!$A$17:$B$19,2,)</f>
        <v>Privatkunde</v>
      </c>
    </row>
    <row r="119" spans="1:8" x14ac:dyDescent="0.35">
      <c r="A119">
        <v>118</v>
      </c>
      <c r="B119" t="str">
        <f>VLOOKUP(F119,'Hilfetabelle Region'!$A$2:$C$14,2,FALSE)</f>
        <v>Nordamerika</v>
      </c>
      <c r="C119" t="str">
        <f t="shared" si="1"/>
        <v>Geschäftskunde</v>
      </c>
      <c r="E119" s="1"/>
      <c r="F119">
        <v>9</v>
      </c>
      <c r="G119">
        <v>21</v>
      </c>
      <c r="H119" t="str">
        <f>VLOOKUP(G119,'Hilfetabelle Region'!$A$17:$B$19,2,)</f>
        <v>Geschäftskunde</v>
      </c>
    </row>
    <row r="120" spans="1:8" x14ac:dyDescent="0.35">
      <c r="A120">
        <v>119</v>
      </c>
      <c r="B120" t="str">
        <f>VLOOKUP(F120,'Hilfetabelle Region'!$A$2:$C$14,2,FALSE)</f>
        <v>Lateinamerika</v>
      </c>
      <c r="C120" t="str">
        <f t="shared" si="1"/>
        <v>Geschäftskunde</v>
      </c>
      <c r="E120" s="1"/>
      <c r="F120">
        <v>10</v>
      </c>
      <c r="G120">
        <v>21</v>
      </c>
      <c r="H120" t="str">
        <f>VLOOKUP(G120,'Hilfetabelle Region'!$A$17:$B$19,2,)</f>
        <v>Geschäftskunde</v>
      </c>
    </row>
    <row r="121" spans="1:8" x14ac:dyDescent="0.35">
      <c r="A121">
        <v>120</v>
      </c>
      <c r="B121" t="str">
        <f>VLOOKUP(F121,'Hilfetabelle Region'!$A$2:$C$14,2,FALSE)</f>
        <v>Lateinamerika</v>
      </c>
      <c r="C121" t="str">
        <f t="shared" si="1"/>
        <v>Geschäftskunde</v>
      </c>
      <c r="E121" s="1"/>
      <c r="F121">
        <v>10</v>
      </c>
      <c r="G121">
        <v>23</v>
      </c>
      <c r="H121" t="str">
        <f>VLOOKUP(G121,'Hilfetabelle Region'!$A$17:$B$19,2,)</f>
        <v>Privatkunde</v>
      </c>
    </row>
    <row r="122" spans="1:8" x14ac:dyDescent="0.35">
      <c r="A122">
        <v>121</v>
      </c>
      <c r="B122" t="str">
        <f>VLOOKUP(F122,'Hilfetabelle Region'!$A$2:$C$14,2,FALSE)</f>
        <v>Asien</v>
      </c>
      <c r="C122" t="str">
        <f t="shared" si="1"/>
        <v>Geschäftskunde</v>
      </c>
      <c r="E122" s="1"/>
      <c r="F122">
        <v>12</v>
      </c>
      <c r="G122">
        <v>21</v>
      </c>
      <c r="H122" t="str">
        <f>VLOOKUP(G122,'Hilfetabelle Region'!$A$17:$B$19,2,)</f>
        <v>Geschäftskunde</v>
      </c>
    </row>
    <row r="123" spans="1:8" x14ac:dyDescent="0.35">
      <c r="A123">
        <v>122</v>
      </c>
      <c r="B123" t="str">
        <f>VLOOKUP(F123,'Hilfetabelle Region'!$A$2:$C$14,2,FALSE)</f>
        <v>Europa</v>
      </c>
      <c r="C123" t="str">
        <f t="shared" si="1"/>
        <v>Geschäftskunde</v>
      </c>
      <c r="E123" s="1"/>
      <c r="F123">
        <v>5</v>
      </c>
      <c r="G123">
        <v>22</v>
      </c>
      <c r="H123" t="str">
        <f>VLOOKUP(G123,'Hilfetabelle Region'!$A$17:$B$19,2,)</f>
        <v>Geschäftskunde</v>
      </c>
    </row>
    <row r="124" spans="1:8" x14ac:dyDescent="0.35">
      <c r="A124">
        <v>123</v>
      </c>
      <c r="B124" t="str">
        <f>VLOOKUP(F124,'Hilfetabelle Region'!$A$2:$C$14,2,FALSE)</f>
        <v>Lateinamerika</v>
      </c>
      <c r="C124" t="str">
        <f t="shared" si="1"/>
        <v>Geschäftskunde</v>
      </c>
      <c r="E124" s="1"/>
      <c r="F124">
        <v>10</v>
      </c>
      <c r="G124">
        <v>21</v>
      </c>
      <c r="H124" t="str">
        <f>VLOOKUP(G124,'Hilfetabelle Region'!$A$17:$B$19,2,)</f>
        <v>Geschäftskunde</v>
      </c>
    </row>
    <row r="125" spans="1:8" x14ac:dyDescent="0.35">
      <c r="A125">
        <v>124</v>
      </c>
      <c r="B125" t="str">
        <f>VLOOKUP(F125,'Hilfetabelle Region'!$A$2:$C$14,2,FALSE)</f>
        <v>Europa</v>
      </c>
      <c r="C125" t="str">
        <f t="shared" si="1"/>
        <v>Privatkunde</v>
      </c>
      <c r="E125" s="1"/>
      <c r="F125">
        <v>5</v>
      </c>
      <c r="G125">
        <v>23</v>
      </c>
      <c r="H125" t="str">
        <f>VLOOKUP(G125,'Hilfetabelle Region'!$A$17:$B$19,2,)</f>
        <v>Privatkunde</v>
      </c>
    </row>
    <row r="126" spans="1:8" x14ac:dyDescent="0.35">
      <c r="A126">
        <v>125</v>
      </c>
      <c r="B126" t="str">
        <f>VLOOKUP(F126,'Hilfetabelle Region'!$A$2:$C$14,2,FALSE)</f>
        <v>Europa</v>
      </c>
      <c r="C126" t="str">
        <f t="shared" si="1"/>
        <v>Geschäftskunde</v>
      </c>
      <c r="E126" s="1"/>
      <c r="F126">
        <v>3</v>
      </c>
      <c r="G126">
        <v>21</v>
      </c>
      <c r="H126" t="str">
        <f>VLOOKUP(G126,'Hilfetabelle Region'!$A$17:$B$19,2,)</f>
        <v>Geschäftskunde</v>
      </c>
    </row>
    <row r="127" spans="1:8" x14ac:dyDescent="0.35">
      <c r="A127">
        <v>126</v>
      </c>
      <c r="B127" t="str">
        <f>VLOOKUP(F127,'Hilfetabelle Region'!$A$2:$C$14,2,FALSE)</f>
        <v>Lateinamerika</v>
      </c>
      <c r="C127" t="str">
        <f t="shared" si="1"/>
        <v>Geschäftskunde</v>
      </c>
      <c r="E127" s="1"/>
      <c r="F127">
        <v>10</v>
      </c>
      <c r="G127">
        <v>23</v>
      </c>
      <c r="H127" t="str">
        <f>VLOOKUP(G127,'Hilfetabelle Region'!$A$17:$B$19,2,)</f>
        <v>Privatkunde</v>
      </c>
    </row>
    <row r="128" spans="1:8" x14ac:dyDescent="0.35">
      <c r="A128">
        <v>127</v>
      </c>
      <c r="B128" t="str">
        <f>VLOOKUP(F128,'Hilfetabelle Region'!$A$2:$C$14,2,FALSE)</f>
        <v>Afrika</v>
      </c>
      <c r="C128" t="str">
        <f t="shared" si="1"/>
        <v>Geschäftskunde</v>
      </c>
      <c r="E128" s="1"/>
      <c r="F128">
        <v>11</v>
      </c>
      <c r="G128">
        <v>22</v>
      </c>
      <c r="H128" t="str">
        <f>VLOOKUP(G128,'Hilfetabelle Region'!$A$17:$B$19,2,)</f>
        <v>Geschäftskunde</v>
      </c>
    </row>
    <row r="129" spans="1:8" x14ac:dyDescent="0.35">
      <c r="A129">
        <v>128</v>
      </c>
      <c r="B129" t="str">
        <f>VLOOKUP(F129,'Hilfetabelle Region'!$A$2:$C$14,2,FALSE)</f>
        <v>Europa</v>
      </c>
      <c r="C129" t="str">
        <f t="shared" si="1"/>
        <v>Privatkunde</v>
      </c>
      <c r="E129" s="1"/>
      <c r="F129">
        <v>1</v>
      </c>
      <c r="G129">
        <v>23</v>
      </c>
      <c r="H129" t="str">
        <f>VLOOKUP(G129,'Hilfetabelle Region'!$A$17:$B$19,2,)</f>
        <v>Privatkunde</v>
      </c>
    </row>
    <row r="130" spans="1:8" x14ac:dyDescent="0.35">
      <c r="A130">
        <v>129</v>
      </c>
      <c r="B130" t="str">
        <f>VLOOKUP(F130,'Hilfetabelle Region'!$A$2:$C$14,2,FALSE)</f>
        <v>Nordamerika</v>
      </c>
      <c r="C130" t="str">
        <f t="shared" si="1"/>
        <v>Geschäftskunde</v>
      </c>
      <c r="E130" s="1"/>
      <c r="F130">
        <v>9</v>
      </c>
      <c r="G130">
        <v>21</v>
      </c>
      <c r="H130" t="str">
        <f>VLOOKUP(G130,'Hilfetabelle Region'!$A$17:$B$19,2,)</f>
        <v>Geschäftskunde</v>
      </c>
    </row>
    <row r="131" spans="1:8" x14ac:dyDescent="0.35">
      <c r="A131">
        <v>130</v>
      </c>
      <c r="B131" t="str">
        <f>VLOOKUP(F131,'Hilfetabelle Region'!$A$2:$C$14,2,FALSE)</f>
        <v>Europa</v>
      </c>
      <c r="C131" t="str">
        <f t="shared" ref="C131:C194" si="2">IF(B131="Europa",H131,"Geschäftskunde")</f>
        <v>Geschäftskunde</v>
      </c>
      <c r="E131" s="1"/>
      <c r="F131">
        <v>4</v>
      </c>
      <c r="G131">
        <v>21</v>
      </c>
      <c r="H131" t="str">
        <f>VLOOKUP(G131,'Hilfetabelle Region'!$A$17:$B$19,2,)</f>
        <v>Geschäftskunde</v>
      </c>
    </row>
    <row r="132" spans="1:8" x14ac:dyDescent="0.35">
      <c r="A132">
        <v>131</v>
      </c>
      <c r="B132" t="str">
        <f>VLOOKUP(F132,'Hilfetabelle Region'!$A$2:$C$14,2,FALSE)</f>
        <v>Europa</v>
      </c>
      <c r="C132" t="str">
        <f t="shared" si="2"/>
        <v>Privatkunde</v>
      </c>
      <c r="E132" s="1"/>
      <c r="F132">
        <v>1</v>
      </c>
      <c r="G132">
        <v>23</v>
      </c>
      <c r="H132" t="str">
        <f>VLOOKUP(G132,'Hilfetabelle Region'!$A$17:$B$19,2,)</f>
        <v>Privatkunde</v>
      </c>
    </row>
    <row r="133" spans="1:8" x14ac:dyDescent="0.35">
      <c r="A133">
        <v>132</v>
      </c>
      <c r="B133" t="str">
        <f>VLOOKUP(F133,'Hilfetabelle Region'!$A$2:$C$14,2,FALSE)</f>
        <v>Europa</v>
      </c>
      <c r="C133" t="str">
        <f t="shared" si="2"/>
        <v>Geschäftskunde</v>
      </c>
      <c r="E133" s="1"/>
      <c r="F133">
        <v>3</v>
      </c>
      <c r="G133">
        <v>22</v>
      </c>
      <c r="H133" t="str">
        <f>VLOOKUP(G133,'Hilfetabelle Region'!$A$17:$B$19,2,)</f>
        <v>Geschäftskunde</v>
      </c>
    </row>
    <row r="134" spans="1:8" x14ac:dyDescent="0.35">
      <c r="A134">
        <v>133</v>
      </c>
      <c r="B134" t="str">
        <f>VLOOKUP(F134,'Hilfetabelle Region'!$A$2:$C$14,2,FALSE)</f>
        <v>Europa</v>
      </c>
      <c r="C134" t="str">
        <f t="shared" si="2"/>
        <v>Geschäftskunde</v>
      </c>
      <c r="E134" s="1"/>
      <c r="F134">
        <v>5</v>
      </c>
      <c r="G134">
        <v>21</v>
      </c>
      <c r="H134" t="str">
        <f>VLOOKUP(G134,'Hilfetabelle Region'!$A$17:$B$19,2,)</f>
        <v>Geschäftskunde</v>
      </c>
    </row>
    <row r="135" spans="1:8" x14ac:dyDescent="0.35">
      <c r="A135">
        <v>134</v>
      </c>
      <c r="B135" t="str">
        <f>VLOOKUP(F135,'Hilfetabelle Region'!$A$2:$C$14,2,FALSE)</f>
        <v>Europa</v>
      </c>
      <c r="C135" t="str">
        <f t="shared" si="2"/>
        <v>Geschäftskunde</v>
      </c>
      <c r="E135" s="1"/>
      <c r="F135">
        <v>2</v>
      </c>
      <c r="G135">
        <v>22</v>
      </c>
      <c r="H135" t="str">
        <f>VLOOKUP(G135,'Hilfetabelle Region'!$A$17:$B$19,2,)</f>
        <v>Geschäftskunde</v>
      </c>
    </row>
    <row r="136" spans="1:8" x14ac:dyDescent="0.35">
      <c r="A136">
        <v>135</v>
      </c>
      <c r="B136" t="str">
        <f>VLOOKUP(F136,'Hilfetabelle Region'!$A$2:$C$14,2,FALSE)</f>
        <v>Europa</v>
      </c>
      <c r="C136" t="str">
        <f t="shared" si="2"/>
        <v>Geschäftskunde</v>
      </c>
      <c r="E136" s="1"/>
      <c r="F136">
        <v>3</v>
      </c>
      <c r="G136">
        <v>21</v>
      </c>
      <c r="H136" t="str">
        <f>VLOOKUP(G136,'Hilfetabelle Region'!$A$17:$B$19,2,)</f>
        <v>Geschäftskunde</v>
      </c>
    </row>
    <row r="137" spans="1:8" x14ac:dyDescent="0.35">
      <c r="A137">
        <v>136</v>
      </c>
      <c r="B137" t="str">
        <f>VLOOKUP(F137,'Hilfetabelle Region'!$A$2:$C$14,2,FALSE)</f>
        <v>Europa</v>
      </c>
      <c r="C137" t="str">
        <f t="shared" si="2"/>
        <v>Privatkunde</v>
      </c>
      <c r="E137" s="1"/>
      <c r="F137">
        <v>3</v>
      </c>
      <c r="G137">
        <v>23</v>
      </c>
      <c r="H137" t="str">
        <f>VLOOKUP(G137,'Hilfetabelle Region'!$A$17:$B$19,2,)</f>
        <v>Privatkunde</v>
      </c>
    </row>
    <row r="138" spans="1:8" x14ac:dyDescent="0.35">
      <c r="A138">
        <v>137</v>
      </c>
      <c r="B138" t="str">
        <f>VLOOKUP(F138,'Hilfetabelle Region'!$A$2:$C$14,2,FALSE)</f>
        <v>Nordamerika</v>
      </c>
      <c r="C138" t="str">
        <f t="shared" si="2"/>
        <v>Geschäftskunde</v>
      </c>
      <c r="E138" s="1"/>
      <c r="F138">
        <v>7</v>
      </c>
      <c r="G138">
        <v>23</v>
      </c>
      <c r="H138" t="str">
        <f>VLOOKUP(G138,'Hilfetabelle Region'!$A$17:$B$19,2,)</f>
        <v>Privatkunde</v>
      </c>
    </row>
    <row r="139" spans="1:8" x14ac:dyDescent="0.35">
      <c r="A139">
        <v>138</v>
      </c>
      <c r="B139" t="str">
        <f>VLOOKUP(F139,'Hilfetabelle Region'!$A$2:$C$14,2,FALSE)</f>
        <v>Europa</v>
      </c>
      <c r="C139" t="str">
        <f t="shared" si="2"/>
        <v>Geschäftskunde</v>
      </c>
      <c r="E139" s="1"/>
      <c r="F139">
        <v>2</v>
      </c>
      <c r="G139">
        <v>21</v>
      </c>
      <c r="H139" t="str">
        <f>VLOOKUP(G139,'Hilfetabelle Region'!$A$17:$B$19,2,)</f>
        <v>Geschäftskunde</v>
      </c>
    </row>
    <row r="140" spans="1:8" x14ac:dyDescent="0.35">
      <c r="A140">
        <v>139</v>
      </c>
      <c r="B140" t="str">
        <f>VLOOKUP(F140,'Hilfetabelle Region'!$A$2:$C$14,2,FALSE)</f>
        <v>Europa</v>
      </c>
      <c r="C140" t="str">
        <f t="shared" si="2"/>
        <v>Geschäftskunde</v>
      </c>
      <c r="E140" s="1"/>
      <c r="F140">
        <v>1</v>
      </c>
      <c r="G140">
        <v>22</v>
      </c>
      <c r="H140" t="str">
        <f>VLOOKUP(G140,'Hilfetabelle Region'!$A$17:$B$19,2,)</f>
        <v>Geschäftskunde</v>
      </c>
    </row>
    <row r="141" spans="1:8" x14ac:dyDescent="0.35">
      <c r="A141">
        <v>140</v>
      </c>
      <c r="B141" t="str">
        <f>VLOOKUP(F141,'Hilfetabelle Region'!$A$2:$C$14,2,FALSE)</f>
        <v>Europa</v>
      </c>
      <c r="C141" t="str">
        <f t="shared" si="2"/>
        <v>Geschäftskunde</v>
      </c>
      <c r="E141" s="1"/>
      <c r="F141">
        <v>5</v>
      </c>
      <c r="G141">
        <v>22</v>
      </c>
      <c r="H141" t="str">
        <f>VLOOKUP(G141,'Hilfetabelle Region'!$A$17:$B$19,2,)</f>
        <v>Geschäftskunde</v>
      </c>
    </row>
    <row r="142" spans="1:8" x14ac:dyDescent="0.35">
      <c r="A142">
        <v>141</v>
      </c>
      <c r="B142" t="str">
        <f>VLOOKUP(F142,'Hilfetabelle Region'!$A$2:$C$14,2,FALSE)</f>
        <v>Nordamerika</v>
      </c>
      <c r="C142" t="str">
        <f t="shared" si="2"/>
        <v>Geschäftskunde</v>
      </c>
      <c r="E142" s="1"/>
      <c r="F142">
        <v>8</v>
      </c>
      <c r="G142">
        <v>22</v>
      </c>
      <c r="H142" t="str">
        <f>VLOOKUP(G142,'Hilfetabelle Region'!$A$17:$B$19,2,)</f>
        <v>Geschäftskunde</v>
      </c>
    </row>
    <row r="143" spans="1:8" x14ac:dyDescent="0.35">
      <c r="A143">
        <v>142</v>
      </c>
      <c r="B143" t="str">
        <f>VLOOKUP(F143,'Hilfetabelle Region'!$A$2:$C$14,2,FALSE)</f>
        <v>Europa</v>
      </c>
      <c r="C143" t="str">
        <f t="shared" si="2"/>
        <v>Geschäftskunde</v>
      </c>
      <c r="E143" s="1"/>
      <c r="F143">
        <v>1</v>
      </c>
      <c r="G143">
        <v>21</v>
      </c>
      <c r="H143" t="str">
        <f>VLOOKUP(G143,'Hilfetabelle Region'!$A$17:$B$19,2,)</f>
        <v>Geschäftskunde</v>
      </c>
    </row>
    <row r="144" spans="1:8" x14ac:dyDescent="0.35">
      <c r="A144">
        <v>143</v>
      </c>
      <c r="B144" t="str">
        <f>VLOOKUP(F144,'Hilfetabelle Region'!$A$2:$C$14,2,FALSE)</f>
        <v>Europa</v>
      </c>
      <c r="C144" t="str">
        <f t="shared" si="2"/>
        <v>Geschäftskunde</v>
      </c>
      <c r="E144" s="1"/>
      <c r="F144">
        <v>5</v>
      </c>
      <c r="G144">
        <v>22</v>
      </c>
      <c r="H144" t="str">
        <f>VLOOKUP(G144,'Hilfetabelle Region'!$A$17:$B$19,2,)</f>
        <v>Geschäftskunde</v>
      </c>
    </row>
    <row r="145" spans="1:8" x14ac:dyDescent="0.35">
      <c r="A145">
        <v>144</v>
      </c>
      <c r="B145" t="str">
        <f>VLOOKUP(F145,'Hilfetabelle Region'!$A$2:$C$14,2,FALSE)</f>
        <v>Europa</v>
      </c>
      <c r="C145" t="str">
        <f t="shared" si="2"/>
        <v>Geschäftskunde</v>
      </c>
      <c r="E145" s="1"/>
      <c r="F145">
        <v>4</v>
      </c>
      <c r="G145">
        <v>22</v>
      </c>
      <c r="H145" t="str">
        <f>VLOOKUP(G145,'Hilfetabelle Region'!$A$17:$B$19,2,)</f>
        <v>Geschäftskunde</v>
      </c>
    </row>
    <row r="146" spans="1:8" x14ac:dyDescent="0.35">
      <c r="A146">
        <v>145</v>
      </c>
      <c r="B146" t="str">
        <f>VLOOKUP(F146,'Hilfetabelle Region'!$A$2:$C$14,2,FALSE)</f>
        <v>Asien</v>
      </c>
      <c r="C146" t="str">
        <f t="shared" si="2"/>
        <v>Geschäftskunde</v>
      </c>
      <c r="E146" s="1"/>
      <c r="F146">
        <v>13</v>
      </c>
      <c r="G146">
        <v>23</v>
      </c>
      <c r="H146" t="str">
        <f>VLOOKUP(G146,'Hilfetabelle Region'!$A$17:$B$19,2,)</f>
        <v>Privatkunde</v>
      </c>
    </row>
    <row r="147" spans="1:8" x14ac:dyDescent="0.35">
      <c r="A147">
        <v>146</v>
      </c>
      <c r="B147" t="str">
        <f>VLOOKUP(F147,'Hilfetabelle Region'!$A$2:$C$14,2,FALSE)</f>
        <v>Europa</v>
      </c>
      <c r="C147" t="str">
        <f t="shared" si="2"/>
        <v>Geschäftskunde</v>
      </c>
      <c r="E147" s="1"/>
      <c r="F147">
        <v>6</v>
      </c>
      <c r="G147">
        <v>22</v>
      </c>
      <c r="H147" t="str">
        <f>VLOOKUP(G147,'Hilfetabelle Region'!$A$17:$B$19,2,)</f>
        <v>Geschäftskunde</v>
      </c>
    </row>
    <row r="148" spans="1:8" x14ac:dyDescent="0.35">
      <c r="A148">
        <v>147</v>
      </c>
      <c r="B148" t="str">
        <f>VLOOKUP(F148,'Hilfetabelle Region'!$A$2:$C$14,2,FALSE)</f>
        <v>Europa</v>
      </c>
      <c r="C148" t="str">
        <f t="shared" si="2"/>
        <v>Geschäftskunde</v>
      </c>
      <c r="E148" s="1"/>
      <c r="F148">
        <v>1</v>
      </c>
      <c r="G148">
        <v>21</v>
      </c>
      <c r="H148" t="str">
        <f>VLOOKUP(G148,'Hilfetabelle Region'!$A$17:$B$19,2,)</f>
        <v>Geschäftskunde</v>
      </c>
    </row>
    <row r="149" spans="1:8" x14ac:dyDescent="0.35">
      <c r="A149">
        <v>148</v>
      </c>
      <c r="B149" t="str">
        <f>VLOOKUP(F149,'Hilfetabelle Region'!$A$2:$C$14,2,FALSE)</f>
        <v>Europa</v>
      </c>
      <c r="C149" t="str">
        <f t="shared" si="2"/>
        <v>Geschäftskunde</v>
      </c>
      <c r="E149" s="1"/>
      <c r="F149">
        <v>1</v>
      </c>
      <c r="G149">
        <v>21</v>
      </c>
      <c r="H149" t="str">
        <f>VLOOKUP(G149,'Hilfetabelle Region'!$A$17:$B$19,2,)</f>
        <v>Geschäftskunde</v>
      </c>
    </row>
    <row r="150" spans="1:8" x14ac:dyDescent="0.35">
      <c r="A150">
        <v>149</v>
      </c>
      <c r="B150" t="str">
        <f>VLOOKUP(F150,'Hilfetabelle Region'!$A$2:$C$14,2,FALSE)</f>
        <v>Nordamerika</v>
      </c>
      <c r="C150" t="str">
        <f t="shared" si="2"/>
        <v>Geschäftskunde</v>
      </c>
      <c r="E150" s="1"/>
      <c r="F150">
        <v>9</v>
      </c>
      <c r="G150">
        <v>22</v>
      </c>
      <c r="H150" t="str">
        <f>VLOOKUP(G150,'Hilfetabelle Region'!$A$17:$B$19,2,)</f>
        <v>Geschäftskunde</v>
      </c>
    </row>
    <row r="151" spans="1:8" x14ac:dyDescent="0.35">
      <c r="A151">
        <v>150</v>
      </c>
      <c r="B151" t="str">
        <f>VLOOKUP(F151,'Hilfetabelle Region'!$A$2:$C$14,2,FALSE)</f>
        <v>Europa</v>
      </c>
      <c r="C151" t="str">
        <f t="shared" si="2"/>
        <v>Geschäftskunde</v>
      </c>
      <c r="E151" s="1"/>
      <c r="F151">
        <v>3</v>
      </c>
      <c r="G151">
        <v>21</v>
      </c>
      <c r="H151" t="str">
        <f>VLOOKUP(G151,'Hilfetabelle Region'!$A$17:$B$19,2,)</f>
        <v>Geschäftskunde</v>
      </c>
    </row>
    <row r="152" spans="1:8" x14ac:dyDescent="0.35">
      <c r="A152">
        <v>151</v>
      </c>
      <c r="B152" t="str">
        <f>VLOOKUP(F152,'Hilfetabelle Region'!$A$2:$C$14,2,FALSE)</f>
        <v>Asien</v>
      </c>
      <c r="C152" t="str">
        <f t="shared" si="2"/>
        <v>Geschäftskunde</v>
      </c>
      <c r="E152" s="1"/>
      <c r="F152">
        <v>12</v>
      </c>
      <c r="G152">
        <v>23</v>
      </c>
      <c r="H152" t="str">
        <f>VLOOKUP(G152,'Hilfetabelle Region'!$A$17:$B$19,2,)</f>
        <v>Privatkunde</v>
      </c>
    </row>
    <row r="153" spans="1:8" x14ac:dyDescent="0.35">
      <c r="A153">
        <v>152</v>
      </c>
      <c r="B153" t="str">
        <f>VLOOKUP(F153,'Hilfetabelle Region'!$A$2:$C$14,2,FALSE)</f>
        <v>Europa</v>
      </c>
      <c r="C153" t="str">
        <f t="shared" si="2"/>
        <v>Geschäftskunde</v>
      </c>
      <c r="E153" s="1"/>
      <c r="F153">
        <v>1</v>
      </c>
      <c r="G153">
        <v>22</v>
      </c>
      <c r="H153" t="str">
        <f>VLOOKUP(G153,'Hilfetabelle Region'!$A$17:$B$19,2,)</f>
        <v>Geschäftskunde</v>
      </c>
    </row>
    <row r="154" spans="1:8" x14ac:dyDescent="0.35">
      <c r="A154">
        <v>153</v>
      </c>
      <c r="B154" t="str">
        <f>VLOOKUP(F154,'Hilfetabelle Region'!$A$2:$C$14,2,FALSE)</f>
        <v>Nordamerika</v>
      </c>
      <c r="C154" t="str">
        <f t="shared" si="2"/>
        <v>Geschäftskunde</v>
      </c>
      <c r="E154" s="1"/>
      <c r="F154">
        <v>7</v>
      </c>
      <c r="G154">
        <v>21</v>
      </c>
      <c r="H154" t="str">
        <f>VLOOKUP(G154,'Hilfetabelle Region'!$A$17:$B$19,2,)</f>
        <v>Geschäftskunde</v>
      </c>
    </row>
    <row r="155" spans="1:8" x14ac:dyDescent="0.35">
      <c r="A155">
        <v>154</v>
      </c>
      <c r="B155" t="str">
        <f>VLOOKUP(F155,'Hilfetabelle Region'!$A$2:$C$14,2,FALSE)</f>
        <v>Afrika</v>
      </c>
      <c r="C155" t="str">
        <f t="shared" si="2"/>
        <v>Geschäftskunde</v>
      </c>
      <c r="E155" s="1"/>
      <c r="F155">
        <v>11</v>
      </c>
      <c r="G155">
        <v>21</v>
      </c>
      <c r="H155" t="str">
        <f>VLOOKUP(G155,'Hilfetabelle Region'!$A$17:$B$19,2,)</f>
        <v>Geschäftskunde</v>
      </c>
    </row>
    <row r="156" spans="1:8" x14ac:dyDescent="0.35">
      <c r="A156">
        <v>155</v>
      </c>
      <c r="B156" t="str">
        <f>VLOOKUP(F156,'Hilfetabelle Region'!$A$2:$C$14,2,FALSE)</f>
        <v>Asien</v>
      </c>
      <c r="C156" t="str">
        <f t="shared" si="2"/>
        <v>Geschäftskunde</v>
      </c>
      <c r="E156" s="1"/>
      <c r="F156">
        <v>13</v>
      </c>
      <c r="G156">
        <v>21</v>
      </c>
      <c r="H156" t="str">
        <f>VLOOKUP(G156,'Hilfetabelle Region'!$A$17:$B$19,2,)</f>
        <v>Geschäftskunde</v>
      </c>
    </row>
    <row r="157" spans="1:8" x14ac:dyDescent="0.35">
      <c r="A157">
        <v>156</v>
      </c>
      <c r="B157" t="str">
        <f>VLOOKUP(F157,'Hilfetabelle Region'!$A$2:$C$14,2,FALSE)</f>
        <v>Nordamerika</v>
      </c>
      <c r="C157" t="str">
        <f t="shared" si="2"/>
        <v>Geschäftskunde</v>
      </c>
      <c r="E157" s="1"/>
      <c r="F157">
        <v>7</v>
      </c>
      <c r="G157">
        <v>21</v>
      </c>
      <c r="H157" t="str">
        <f>VLOOKUP(G157,'Hilfetabelle Region'!$A$17:$B$19,2,)</f>
        <v>Geschäftskunde</v>
      </c>
    </row>
    <row r="158" spans="1:8" x14ac:dyDescent="0.35">
      <c r="A158">
        <v>157</v>
      </c>
      <c r="B158" t="str">
        <f>VLOOKUP(F158,'Hilfetabelle Region'!$A$2:$C$14,2,FALSE)</f>
        <v>Nordamerika</v>
      </c>
      <c r="C158" t="str">
        <f t="shared" si="2"/>
        <v>Geschäftskunde</v>
      </c>
      <c r="E158" s="1"/>
      <c r="F158">
        <v>7</v>
      </c>
      <c r="G158">
        <v>21</v>
      </c>
      <c r="H158" t="str">
        <f>VLOOKUP(G158,'Hilfetabelle Region'!$A$17:$B$19,2,)</f>
        <v>Geschäftskunde</v>
      </c>
    </row>
    <row r="159" spans="1:8" x14ac:dyDescent="0.35">
      <c r="A159">
        <v>158</v>
      </c>
      <c r="B159" t="str">
        <f>VLOOKUP(F159,'Hilfetabelle Region'!$A$2:$C$14,2,FALSE)</f>
        <v>Europa</v>
      </c>
      <c r="C159" t="str">
        <f t="shared" si="2"/>
        <v>Geschäftskunde</v>
      </c>
      <c r="E159" s="1"/>
      <c r="F159">
        <v>2</v>
      </c>
      <c r="G159">
        <v>22</v>
      </c>
      <c r="H159" t="str">
        <f>VLOOKUP(G159,'Hilfetabelle Region'!$A$17:$B$19,2,)</f>
        <v>Geschäftskunde</v>
      </c>
    </row>
    <row r="160" spans="1:8" x14ac:dyDescent="0.35">
      <c r="A160">
        <v>159</v>
      </c>
      <c r="B160" t="str">
        <f>VLOOKUP(F160,'Hilfetabelle Region'!$A$2:$C$14,2,FALSE)</f>
        <v>Europa</v>
      </c>
      <c r="C160" t="str">
        <f t="shared" si="2"/>
        <v>Geschäftskunde</v>
      </c>
      <c r="E160" s="1"/>
      <c r="F160">
        <v>4</v>
      </c>
      <c r="G160">
        <v>21</v>
      </c>
      <c r="H160" t="str">
        <f>VLOOKUP(G160,'Hilfetabelle Region'!$A$17:$B$19,2,)</f>
        <v>Geschäftskunde</v>
      </c>
    </row>
    <row r="161" spans="1:8" x14ac:dyDescent="0.35">
      <c r="A161">
        <v>160</v>
      </c>
      <c r="B161" t="str">
        <f>VLOOKUP(F161,'Hilfetabelle Region'!$A$2:$C$14,2,FALSE)</f>
        <v>Asien</v>
      </c>
      <c r="C161" t="str">
        <f t="shared" si="2"/>
        <v>Geschäftskunde</v>
      </c>
      <c r="E161" s="1"/>
      <c r="F161">
        <v>13</v>
      </c>
      <c r="G161">
        <v>22</v>
      </c>
      <c r="H161" t="str">
        <f>VLOOKUP(G161,'Hilfetabelle Region'!$A$17:$B$19,2,)</f>
        <v>Geschäftskunde</v>
      </c>
    </row>
    <row r="162" spans="1:8" x14ac:dyDescent="0.35">
      <c r="A162">
        <v>161</v>
      </c>
      <c r="B162" t="str">
        <f>VLOOKUP(F162,'Hilfetabelle Region'!$A$2:$C$14,2,FALSE)</f>
        <v>Europa</v>
      </c>
      <c r="C162" t="str">
        <f t="shared" si="2"/>
        <v>Geschäftskunde</v>
      </c>
      <c r="E162" s="1"/>
      <c r="F162">
        <v>2</v>
      </c>
      <c r="G162">
        <v>22</v>
      </c>
      <c r="H162" t="str">
        <f>VLOOKUP(G162,'Hilfetabelle Region'!$A$17:$B$19,2,)</f>
        <v>Geschäftskunde</v>
      </c>
    </row>
    <row r="163" spans="1:8" x14ac:dyDescent="0.35">
      <c r="A163">
        <v>162</v>
      </c>
      <c r="B163" t="str">
        <f>VLOOKUP(F163,'Hilfetabelle Region'!$A$2:$C$14,2,FALSE)</f>
        <v>Nordamerika</v>
      </c>
      <c r="C163" t="str">
        <f t="shared" si="2"/>
        <v>Geschäftskunde</v>
      </c>
      <c r="E163" s="1"/>
      <c r="F163">
        <v>7</v>
      </c>
      <c r="G163">
        <v>21</v>
      </c>
      <c r="H163" t="str">
        <f>VLOOKUP(G163,'Hilfetabelle Region'!$A$17:$B$19,2,)</f>
        <v>Geschäftskunde</v>
      </c>
    </row>
    <row r="164" spans="1:8" x14ac:dyDescent="0.35">
      <c r="A164">
        <v>163</v>
      </c>
      <c r="B164" t="str">
        <f>VLOOKUP(F164,'Hilfetabelle Region'!$A$2:$C$14,2,FALSE)</f>
        <v>Asien</v>
      </c>
      <c r="C164" t="str">
        <f t="shared" si="2"/>
        <v>Geschäftskunde</v>
      </c>
      <c r="E164" s="1"/>
      <c r="F164">
        <v>13</v>
      </c>
      <c r="G164">
        <v>23</v>
      </c>
      <c r="H164" t="str">
        <f>VLOOKUP(G164,'Hilfetabelle Region'!$A$17:$B$19,2,)</f>
        <v>Privatkunde</v>
      </c>
    </row>
    <row r="165" spans="1:8" x14ac:dyDescent="0.35">
      <c r="A165">
        <v>164</v>
      </c>
      <c r="B165" t="str">
        <f>VLOOKUP(F165,'Hilfetabelle Region'!$A$2:$C$14,2,FALSE)</f>
        <v>Nordamerika</v>
      </c>
      <c r="C165" t="str">
        <f t="shared" si="2"/>
        <v>Geschäftskunde</v>
      </c>
      <c r="E165" s="1"/>
      <c r="F165">
        <v>7</v>
      </c>
      <c r="G165">
        <v>22</v>
      </c>
      <c r="H165" t="str">
        <f>VLOOKUP(G165,'Hilfetabelle Region'!$A$17:$B$19,2,)</f>
        <v>Geschäftskunde</v>
      </c>
    </row>
    <row r="166" spans="1:8" x14ac:dyDescent="0.35">
      <c r="A166">
        <v>165</v>
      </c>
      <c r="B166" t="str">
        <f>VLOOKUP(F166,'Hilfetabelle Region'!$A$2:$C$14,2,FALSE)</f>
        <v>Lateinamerika</v>
      </c>
      <c r="C166" t="str">
        <f t="shared" si="2"/>
        <v>Geschäftskunde</v>
      </c>
      <c r="E166" s="1"/>
      <c r="F166">
        <v>10</v>
      </c>
      <c r="G166">
        <v>22</v>
      </c>
      <c r="H166" t="str">
        <f>VLOOKUP(G166,'Hilfetabelle Region'!$A$17:$B$19,2,)</f>
        <v>Geschäftskunde</v>
      </c>
    </row>
    <row r="167" spans="1:8" x14ac:dyDescent="0.35">
      <c r="A167">
        <v>166</v>
      </c>
      <c r="B167" t="str">
        <f>VLOOKUP(F167,'Hilfetabelle Region'!$A$2:$C$14,2,FALSE)</f>
        <v>Afrika</v>
      </c>
      <c r="C167" t="str">
        <f t="shared" si="2"/>
        <v>Geschäftskunde</v>
      </c>
      <c r="E167" s="1"/>
      <c r="F167">
        <v>11</v>
      </c>
      <c r="G167">
        <v>23</v>
      </c>
      <c r="H167" t="str">
        <f>VLOOKUP(G167,'Hilfetabelle Region'!$A$17:$B$19,2,)</f>
        <v>Privatkunde</v>
      </c>
    </row>
    <row r="168" spans="1:8" x14ac:dyDescent="0.35">
      <c r="A168">
        <v>167</v>
      </c>
      <c r="B168" t="str">
        <f>VLOOKUP(F168,'Hilfetabelle Region'!$A$2:$C$14,2,FALSE)</f>
        <v>Nordamerika</v>
      </c>
      <c r="C168" t="str">
        <f t="shared" si="2"/>
        <v>Geschäftskunde</v>
      </c>
      <c r="E168" s="1"/>
      <c r="F168">
        <v>8</v>
      </c>
      <c r="G168">
        <v>23</v>
      </c>
      <c r="H168" t="str">
        <f>VLOOKUP(G168,'Hilfetabelle Region'!$A$17:$B$19,2,)</f>
        <v>Privatkunde</v>
      </c>
    </row>
    <row r="169" spans="1:8" x14ac:dyDescent="0.35">
      <c r="A169">
        <v>168</v>
      </c>
      <c r="B169" t="str">
        <f>VLOOKUP(F169,'Hilfetabelle Region'!$A$2:$C$14,2,FALSE)</f>
        <v>Nordamerika</v>
      </c>
      <c r="C169" t="str">
        <f t="shared" si="2"/>
        <v>Geschäftskunde</v>
      </c>
      <c r="E169" s="1"/>
      <c r="F169">
        <v>9</v>
      </c>
      <c r="G169">
        <v>22</v>
      </c>
      <c r="H169" t="str">
        <f>VLOOKUP(G169,'Hilfetabelle Region'!$A$17:$B$19,2,)</f>
        <v>Geschäftskunde</v>
      </c>
    </row>
    <row r="170" spans="1:8" x14ac:dyDescent="0.35">
      <c r="A170">
        <v>169</v>
      </c>
      <c r="B170" t="str">
        <f>VLOOKUP(F170,'Hilfetabelle Region'!$A$2:$C$14,2,FALSE)</f>
        <v>Nordamerika</v>
      </c>
      <c r="C170" t="str">
        <f t="shared" si="2"/>
        <v>Geschäftskunde</v>
      </c>
      <c r="E170" s="1"/>
      <c r="F170">
        <v>9</v>
      </c>
      <c r="G170">
        <v>21</v>
      </c>
      <c r="H170" t="str">
        <f>VLOOKUP(G170,'Hilfetabelle Region'!$A$17:$B$19,2,)</f>
        <v>Geschäftskunde</v>
      </c>
    </row>
    <row r="171" spans="1:8" x14ac:dyDescent="0.35">
      <c r="A171">
        <v>170</v>
      </c>
      <c r="B171" t="str">
        <f>VLOOKUP(F171,'Hilfetabelle Region'!$A$2:$C$14,2,FALSE)</f>
        <v>Lateinamerika</v>
      </c>
      <c r="C171" t="str">
        <f t="shared" si="2"/>
        <v>Geschäftskunde</v>
      </c>
      <c r="E171" s="1"/>
      <c r="F171">
        <v>10</v>
      </c>
      <c r="G171">
        <v>22</v>
      </c>
      <c r="H171" t="str">
        <f>VLOOKUP(G171,'Hilfetabelle Region'!$A$17:$B$19,2,)</f>
        <v>Geschäftskunde</v>
      </c>
    </row>
    <row r="172" spans="1:8" x14ac:dyDescent="0.35">
      <c r="A172">
        <v>171</v>
      </c>
      <c r="B172" t="str">
        <f>VLOOKUP(F172,'Hilfetabelle Region'!$A$2:$C$14,2,FALSE)</f>
        <v>Lateinamerika</v>
      </c>
      <c r="C172" t="str">
        <f t="shared" si="2"/>
        <v>Geschäftskunde</v>
      </c>
      <c r="E172" s="1"/>
      <c r="F172">
        <v>10</v>
      </c>
      <c r="G172">
        <v>23</v>
      </c>
      <c r="H172" t="str">
        <f>VLOOKUP(G172,'Hilfetabelle Region'!$A$17:$B$19,2,)</f>
        <v>Privatkunde</v>
      </c>
    </row>
    <row r="173" spans="1:8" x14ac:dyDescent="0.35">
      <c r="A173">
        <v>172</v>
      </c>
      <c r="B173" t="str">
        <f>VLOOKUP(F173,'Hilfetabelle Region'!$A$2:$C$14,2,FALSE)</f>
        <v>Afrika</v>
      </c>
      <c r="C173" t="str">
        <f t="shared" si="2"/>
        <v>Geschäftskunde</v>
      </c>
      <c r="E173" s="1"/>
      <c r="F173">
        <v>11</v>
      </c>
      <c r="G173">
        <v>21</v>
      </c>
      <c r="H173" t="str">
        <f>VLOOKUP(G173,'Hilfetabelle Region'!$A$17:$B$19,2,)</f>
        <v>Geschäftskunde</v>
      </c>
    </row>
    <row r="174" spans="1:8" x14ac:dyDescent="0.35">
      <c r="A174">
        <v>173</v>
      </c>
      <c r="B174" t="str">
        <f>VLOOKUP(F174,'Hilfetabelle Region'!$A$2:$C$14,2,FALSE)</f>
        <v>Nordamerika</v>
      </c>
      <c r="C174" t="str">
        <f t="shared" si="2"/>
        <v>Geschäftskunde</v>
      </c>
      <c r="E174" s="1"/>
      <c r="F174">
        <v>9</v>
      </c>
      <c r="G174">
        <v>21</v>
      </c>
      <c r="H174" t="str">
        <f>VLOOKUP(G174,'Hilfetabelle Region'!$A$17:$B$19,2,)</f>
        <v>Geschäftskunde</v>
      </c>
    </row>
    <row r="175" spans="1:8" x14ac:dyDescent="0.35">
      <c r="A175">
        <v>174</v>
      </c>
      <c r="B175" t="str">
        <f>VLOOKUP(F175,'Hilfetabelle Region'!$A$2:$C$14,2,FALSE)</f>
        <v>Nordamerika</v>
      </c>
      <c r="C175" t="str">
        <f t="shared" si="2"/>
        <v>Geschäftskunde</v>
      </c>
      <c r="E175" s="1"/>
      <c r="F175">
        <v>8</v>
      </c>
      <c r="G175">
        <v>21</v>
      </c>
      <c r="H175" t="str">
        <f>VLOOKUP(G175,'Hilfetabelle Region'!$A$17:$B$19,2,)</f>
        <v>Geschäftskunde</v>
      </c>
    </row>
    <row r="176" spans="1:8" x14ac:dyDescent="0.35">
      <c r="A176">
        <v>175</v>
      </c>
      <c r="B176" t="str">
        <f>VLOOKUP(F176,'Hilfetabelle Region'!$A$2:$C$14,2,FALSE)</f>
        <v>Asien</v>
      </c>
      <c r="C176" t="str">
        <f t="shared" si="2"/>
        <v>Geschäftskunde</v>
      </c>
      <c r="E176" s="1"/>
      <c r="F176">
        <v>12</v>
      </c>
      <c r="G176">
        <v>22</v>
      </c>
      <c r="H176" t="str">
        <f>VLOOKUP(G176,'Hilfetabelle Region'!$A$17:$B$19,2,)</f>
        <v>Geschäftskunde</v>
      </c>
    </row>
    <row r="177" spans="1:8" x14ac:dyDescent="0.35">
      <c r="A177">
        <v>176</v>
      </c>
      <c r="B177" t="str">
        <f>VLOOKUP(F177,'Hilfetabelle Region'!$A$2:$C$14,2,FALSE)</f>
        <v>Asien</v>
      </c>
      <c r="C177" t="str">
        <f t="shared" si="2"/>
        <v>Geschäftskunde</v>
      </c>
      <c r="E177" s="1"/>
      <c r="F177">
        <v>13</v>
      </c>
      <c r="G177">
        <v>23</v>
      </c>
      <c r="H177" t="str">
        <f>VLOOKUP(G177,'Hilfetabelle Region'!$A$17:$B$19,2,)</f>
        <v>Privatkunde</v>
      </c>
    </row>
    <row r="178" spans="1:8" x14ac:dyDescent="0.35">
      <c r="A178">
        <v>177</v>
      </c>
      <c r="B178" t="str">
        <f>VLOOKUP(F178,'Hilfetabelle Region'!$A$2:$C$14,2,FALSE)</f>
        <v>Nordamerika</v>
      </c>
      <c r="C178" t="str">
        <f t="shared" si="2"/>
        <v>Geschäftskunde</v>
      </c>
      <c r="E178" s="1"/>
      <c r="F178">
        <v>8</v>
      </c>
      <c r="G178">
        <v>21</v>
      </c>
      <c r="H178" t="str">
        <f>VLOOKUP(G178,'Hilfetabelle Region'!$A$17:$B$19,2,)</f>
        <v>Geschäftskunde</v>
      </c>
    </row>
    <row r="179" spans="1:8" x14ac:dyDescent="0.35">
      <c r="A179">
        <v>178</v>
      </c>
      <c r="B179" t="str">
        <f>VLOOKUP(F179,'Hilfetabelle Region'!$A$2:$C$14,2,FALSE)</f>
        <v>Europa</v>
      </c>
      <c r="C179" t="str">
        <f t="shared" si="2"/>
        <v>Privatkunde</v>
      </c>
      <c r="E179" s="1"/>
      <c r="F179">
        <v>5</v>
      </c>
      <c r="G179">
        <v>23</v>
      </c>
      <c r="H179" t="str">
        <f>VLOOKUP(G179,'Hilfetabelle Region'!$A$17:$B$19,2,)</f>
        <v>Privatkunde</v>
      </c>
    </row>
    <row r="180" spans="1:8" x14ac:dyDescent="0.35">
      <c r="A180">
        <v>179</v>
      </c>
      <c r="B180" t="str">
        <f>VLOOKUP(F180,'Hilfetabelle Region'!$A$2:$C$14,2,FALSE)</f>
        <v>Asien</v>
      </c>
      <c r="C180" t="str">
        <f t="shared" si="2"/>
        <v>Geschäftskunde</v>
      </c>
      <c r="E180" s="1"/>
      <c r="F180">
        <v>12</v>
      </c>
      <c r="G180">
        <v>21</v>
      </c>
      <c r="H180" t="str">
        <f>VLOOKUP(G180,'Hilfetabelle Region'!$A$17:$B$19,2,)</f>
        <v>Geschäftskunde</v>
      </c>
    </row>
    <row r="181" spans="1:8" x14ac:dyDescent="0.35">
      <c r="A181">
        <v>180</v>
      </c>
      <c r="B181" t="str">
        <f>VLOOKUP(F181,'Hilfetabelle Region'!$A$2:$C$14,2,FALSE)</f>
        <v>Nordamerika</v>
      </c>
      <c r="C181" t="str">
        <f t="shared" si="2"/>
        <v>Geschäftskunde</v>
      </c>
      <c r="E181" s="1"/>
      <c r="F181">
        <v>9</v>
      </c>
      <c r="G181">
        <v>21</v>
      </c>
      <c r="H181" t="str">
        <f>VLOOKUP(G181,'Hilfetabelle Region'!$A$17:$B$19,2,)</f>
        <v>Geschäftskunde</v>
      </c>
    </row>
    <row r="182" spans="1:8" x14ac:dyDescent="0.35">
      <c r="A182">
        <v>181</v>
      </c>
      <c r="B182" t="str">
        <f>VLOOKUP(F182,'Hilfetabelle Region'!$A$2:$C$14,2,FALSE)</f>
        <v>Europa</v>
      </c>
      <c r="C182" t="str">
        <f t="shared" si="2"/>
        <v>Geschäftskunde</v>
      </c>
      <c r="E182" s="1"/>
      <c r="F182">
        <v>3</v>
      </c>
      <c r="G182">
        <v>22</v>
      </c>
      <c r="H182" t="str">
        <f>VLOOKUP(G182,'Hilfetabelle Region'!$A$17:$B$19,2,)</f>
        <v>Geschäftskunde</v>
      </c>
    </row>
    <row r="183" spans="1:8" x14ac:dyDescent="0.35">
      <c r="A183">
        <v>182</v>
      </c>
      <c r="B183" t="str">
        <f>VLOOKUP(F183,'Hilfetabelle Region'!$A$2:$C$14,2,FALSE)</f>
        <v>Lateinamerika</v>
      </c>
      <c r="C183" t="str">
        <f t="shared" si="2"/>
        <v>Geschäftskunde</v>
      </c>
      <c r="E183" s="1"/>
      <c r="F183">
        <v>10</v>
      </c>
      <c r="G183">
        <v>22</v>
      </c>
      <c r="H183" t="str">
        <f>VLOOKUP(G183,'Hilfetabelle Region'!$A$17:$B$19,2,)</f>
        <v>Geschäftskunde</v>
      </c>
    </row>
    <row r="184" spans="1:8" x14ac:dyDescent="0.35">
      <c r="A184">
        <v>183</v>
      </c>
      <c r="B184" t="str">
        <f>VLOOKUP(F184,'Hilfetabelle Region'!$A$2:$C$14,2,FALSE)</f>
        <v>Europa</v>
      </c>
      <c r="C184" t="str">
        <f t="shared" si="2"/>
        <v>Geschäftskunde</v>
      </c>
      <c r="E184" s="1"/>
      <c r="F184">
        <v>5</v>
      </c>
      <c r="G184">
        <v>22</v>
      </c>
      <c r="H184" t="str">
        <f>VLOOKUP(G184,'Hilfetabelle Region'!$A$17:$B$19,2,)</f>
        <v>Geschäftskunde</v>
      </c>
    </row>
    <row r="185" spans="1:8" x14ac:dyDescent="0.35">
      <c r="A185">
        <v>184</v>
      </c>
      <c r="B185" t="str">
        <f>VLOOKUP(F185,'Hilfetabelle Region'!$A$2:$C$14,2,FALSE)</f>
        <v>Lateinamerika</v>
      </c>
      <c r="C185" t="str">
        <f t="shared" si="2"/>
        <v>Geschäftskunde</v>
      </c>
      <c r="E185" s="1"/>
      <c r="F185">
        <v>10</v>
      </c>
      <c r="G185">
        <v>23</v>
      </c>
      <c r="H185" t="str">
        <f>VLOOKUP(G185,'Hilfetabelle Region'!$A$17:$B$19,2,)</f>
        <v>Privatkunde</v>
      </c>
    </row>
    <row r="186" spans="1:8" x14ac:dyDescent="0.35">
      <c r="A186">
        <v>185</v>
      </c>
      <c r="B186" t="str">
        <f>VLOOKUP(F186,'Hilfetabelle Region'!$A$2:$C$14,2,FALSE)</f>
        <v>Nordamerika</v>
      </c>
      <c r="C186" t="str">
        <f t="shared" si="2"/>
        <v>Geschäftskunde</v>
      </c>
      <c r="E186" s="1"/>
      <c r="F186">
        <v>7</v>
      </c>
      <c r="G186">
        <v>21</v>
      </c>
      <c r="H186" t="str">
        <f>VLOOKUP(G186,'Hilfetabelle Region'!$A$17:$B$19,2,)</f>
        <v>Geschäftskunde</v>
      </c>
    </row>
    <row r="187" spans="1:8" x14ac:dyDescent="0.35">
      <c r="A187">
        <v>186</v>
      </c>
      <c r="B187" t="str">
        <f>VLOOKUP(F187,'Hilfetabelle Region'!$A$2:$C$14,2,FALSE)</f>
        <v>Europa</v>
      </c>
      <c r="C187" t="str">
        <f t="shared" si="2"/>
        <v>Privatkunde</v>
      </c>
      <c r="E187" s="1"/>
      <c r="F187">
        <v>6</v>
      </c>
      <c r="G187">
        <v>23</v>
      </c>
      <c r="H187" t="str">
        <f>VLOOKUP(G187,'Hilfetabelle Region'!$A$17:$B$19,2,)</f>
        <v>Privatkunde</v>
      </c>
    </row>
    <row r="188" spans="1:8" x14ac:dyDescent="0.35">
      <c r="A188">
        <v>187</v>
      </c>
      <c r="B188" t="str">
        <f>VLOOKUP(F188,'Hilfetabelle Region'!$A$2:$C$14,2,FALSE)</f>
        <v>Lateinamerika</v>
      </c>
      <c r="C188" t="str">
        <f t="shared" si="2"/>
        <v>Geschäftskunde</v>
      </c>
      <c r="E188" s="1"/>
      <c r="F188">
        <v>10</v>
      </c>
      <c r="G188">
        <v>22</v>
      </c>
      <c r="H188" t="str">
        <f>VLOOKUP(G188,'Hilfetabelle Region'!$A$17:$B$19,2,)</f>
        <v>Geschäftskunde</v>
      </c>
    </row>
    <row r="189" spans="1:8" x14ac:dyDescent="0.35">
      <c r="A189">
        <v>188</v>
      </c>
      <c r="B189" t="str">
        <f>VLOOKUP(F189,'Hilfetabelle Region'!$A$2:$C$14,2,FALSE)</f>
        <v>Asien</v>
      </c>
      <c r="C189" t="str">
        <f t="shared" si="2"/>
        <v>Geschäftskunde</v>
      </c>
      <c r="E189" s="1"/>
      <c r="F189">
        <v>13</v>
      </c>
      <c r="G189">
        <v>22</v>
      </c>
      <c r="H189" t="str">
        <f>VLOOKUP(G189,'Hilfetabelle Region'!$A$17:$B$19,2,)</f>
        <v>Geschäftskunde</v>
      </c>
    </row>
    <row r="190" spans="1:8" x14ac:dyDescent="0.35">
      <c r="A190">
        <v>189</v>
      </c>
      <c r="B190" t="str">
        <f>VLOOKUP(F190,'Hilfetabelle Region'!$A$2:$C$14,2,FALSE)</f>
        <v>Asien</v>
      </c>
      <c r="C190" t="str">
        <f t="shared" si="2"/>
        <v>Geschäftskunde</v>
      </c>
      <c r="E190" s="1"/>
      <c r="F190">
        <v>13</v>
      </c>
      <c r="G190">
        <v>21</v>
      </c>
      <c r="H190" t="str">
        <f>VLOOKUP(G190,'Hilfetabelle Region'!$A$17:$B$19,2,)</f>
        <v>Geschäftskunde</v>
      </c>
    </row>
    <row r="191" spans="1:8" x14ac:dyDescent="0.35">
      <c r="A191">
        <v>190</v>
      </c>
      <c r="B191" t="str">
        <f>VLOOKUP(F191,'Hilfetabelle Region'!$A$2:$C$14,2,FALSE)</f>
        <v>Nordamerika</v>
      </c>
      <c r="C191" t="str">
        <f t="shared" si="2"/>
        <v>Geschäftskunde</v>
      </c>
      <c r="E191" s="1"/>
      <c r="F191">
        <v>9</v>
      </c>
      <c r="G191">
        <v>21</v>
      </c>
      <c r="H191" t="str">
        <f>VLOOKUP(G191,'Hilfetabelle Region'!$A$17:$B$19,2,)</f>
        <v>Geschäftskunde</v>
      </c>
    </row>
    <row r="192" spans="1:8" x14ac:dyDescent="0.35">
      <c r="A192">
        <v>191</v>
      </c>
      <c r="B192" t="str">
        <f>VLOOKUP(F192,'Hilfetabelle Region'!$A$2:$C$14,2,FALSE)</f>
        <v>Asien</v>
      </c>
      <c r="C192" t="str">
        <f t="shared" si="2"/>
        <v>Geschäftskunde</v>
      </c>
      <c r="E192" s="1"/>
      <c r="F192">
        <v>13</v>
      </c>
      <c r="G192">
        <v>23</v>
      </c>
      <c r="H192" t="str">
        <f>VLOOKUP(G192,'Hilfetabelle Region'!$A$17:$B$19,2,)</f>
        <v>Privatkunde</v>
      </c>
    </row>
    <row r="193" spans="1:8" x14ac:dyDescent="0.35">
      <c r="A193">
        <v>192</v>
      </c>
      <c r="B193" t="str">
        <f>VLOOKUP(F193,'Hilfetabelle Region'!$A$2:$C$14,2,FALSE)</f>
        <v>Europa</v>
      </c>
      <c r="C193" t="str">
        <f t="shared" si="2"/>
        <v>Privatkunde</v>
      </c>
      <c r="E193" s="1"/>
      <c r="F193">
        <v>1</v>
      </c>
      <c r="G193">
        <v>23</v>
      </c>
      <c r="H193" t="str">
        <f>VLOOKUP(G193,'Hilfetabelle Region'!$A$17:$B$19,2,)</f>
        <v>Privatkunde</v>
      </c>
    </row>
    <row r="194" spans="1:8" x14ac:dyDescent="0.35">
      <c r="A194">
        <v>193</v>
      </c>
      <c r="B194" t="str">
        <f>VLOOKUP(F194,'Hilfetabelle Region'!$A$2:$C$14,2,FALSE)</f>
        <v>Lateinamerika</v>
      </c>
      <c r="C194" t="str">
        <f t="shared" si="2"/>
        <v>Geschäftskunde</v>
      </c>
      <c r="E194" s="1"/>
      <c r="F194">
        <v>10</v>
      </c>
      <c r="G194">
        <v>22</v>
      </c>
      <c r="H194" t="str">
        <f>VLOOKUP(G194,'Hilfetabelle Region'!$A$17:$B$19,2,)</f>
        <v>Geschäftskunde</v>
      </c>
    </row>
    <row r="195" spans="1:8" x14ac:dyDescent="0.35">
      <c r="A195">
        <v>194</v>
      </c>
      <c r="B195" t="str">
        <f>VLOOKUP(F195,'Hilfetabelle Region'!$A$2:$C$14,2,FALSE)</f>
        <v>Europa</v>
      </c>
      <c r="C195" t="str">
        <f t="shared" ref="C195:C258" si="3">IF(B195="Europa",H195,"Geschäftskunde")</f>
        <v>Privatkunde</v>
      </c>
      <c r="E195" s="1"/>
      <c r="F195">
        <v>5</v>
      </c>
      <c r="G195">
        <v>23</v>
      </c>
      <c r="H195" t="str">
        <f>VLOOKUP(G195,'Hilfetabelle Region'!$A$17:$B$19,2,)</f>
        <v>Privatkunde</v>
      </c>
    </row>
    <row r="196" spans="1:8" x14ac:dyDescent="0.35">
      <c r="A196">
        <v>195</v>
      </c>
      <c r="B196" t="str">
        <f>VLOOKUP(F196,'Hilfetabelle Region'!$A$2:$C$14,2,FALSE)</f>
        <v>Europa</v>
      </c>
      <c r="C196" t="str">
        <f t="shared" si="3"/>
        <v>Geschäftskunde</v>
      </c>
      <c r="E196" s="1"/>
      <c r="F196">
        <v>4</v>
      </c>
      <c r="G196">
        <v>21</v>
      </c>
      <c r="H196" t="str">
        <f>VLOOKUP(G196,'Hilfetabelle Region'!$A$17:$B$19,2,)</f>
        <v>Geschäftskunde</v>
      </c>
    </row>
    <row r="197" spans="1:8" x14ac:dyDescent="0.35">
      <c r="A197">
        <v>196</v>
      </c>
      <c r="B197" t="str">
        <f>VLOOKUP(F197,'Hilfetabelle Region'!$A$2:$C$14,2,FALSE)</f>
        <v>Asien</v>
      </c>
      <c r="C197" t="str">
        <f t="shared" si="3"/>
        <v>Geschäftskunde</v>
      </c>
      <c r="E197" s="1"/>
      <c r="F197">
        <v>13</v>
      </c>
      <c r="G197">
        <v>23</v>
      </c>
      <c r="H197" t="str">
        <f>VLOOKUP(G197,'Hilfetabelle Region'!$A$17:$B$19,2,)</f>
        <v>Privatkunde</v>
      </c>
    </row>
    <row r="198" spans="1:8" x14ac:dyDescent="0.35">
      <c r="A198">
        <v>197</v>
      </c>
      <c r="B198" t="str">
        <f>VLOOKUP(F198,'Hilfetabelle Region'!$A$2:$C$14,2,FALSE)</f>
        <v>Nordamerika</v>
      </c>
      <c r="C198" t="str">
        <f t="shared" si="3"/>
        <v>Geschäftskunde</v>
      </c>
      <c r="E198" s="1"/>
      <c r="F198">
        <v>7</v>
      </c>
      <c r="G198">
        <v>22</v>
      </c>
      <c r="H198" t="str">
        <f>VLOOKUP(G198,'Hilfetabelle Region'!$A$17:$B$19,2,)</f>
        <v>Geschäftskunde</v>
      </c>
    </row>
    <row r="199" spans="1:8" x14ac:dyDescent="0.35">
      <c r="A199">
        <v>198</v>
      </c>
      <c r="B199" t="str">
        <f>VLOOKUP(F199,'Hilfetabelle Region'!$A$2:$C$14,2,FALSE)</f>
        <v>Asien</v>
      </c>
      <c r="C199" t="str">
        <f t="shared" si="3"/>
        <v>Geschäftskunde</v>
      </c>
      <c r="E199" s="1"/>
      <c r="F199">
        <v>13</v>
      </c>
      <c r="G199">
        <v>21</v>
      </c>
      <c r="H199" t="str">
        <f>VLOOKUP(G199,'Hilfetabelle Region'!$A$17:$B$19,2,)</f>
        <v>Geschäftskunde</v>
      </c>
    </row>
    <row r="200" spans="1:8" x14ac:dyDescent="0.35">
      <c r="A200">
        <v>199</v>
      </c>
      <c r="B200" t="str">
        <f>VLOOKUP(F200,'Hilfetabelle Region'!$A$2:$C$14,2,FALSE)</f>
        <v>Nordamerika</v>
      </c>
      <c r="C200" t="str">
        <f t="shared" si="3"/>
        <v>Geschäftskunde</v>
      </c>
      <c r="E200" s="1"/>
      <c r="F200">
        <v>9</v>
      </c>
      <c r="G200">
        <v>23</v>
      </c>
      <c r="H200" t="str">
        <f>VLOOKUP(G200,'Hilfetabelle Region'!$A$17:$B$19,2,)</f>
        <v>Privatkunde</v>
      </c>
    </row>
    <row r="201" spans="1:8" x14ac:dyDescent="0.35">
      <c r="A201">
        <v>200</v>
      </c>
      <c r="B201" t="str">
        <f>VLOOKUP(F201,'Hilfetabelle Region'!$A$2:$C$14,2,FALSE)</f>
        <v>Europa</v>
      </c>
      <c r="C201" t="str">
        <f t="shared" si="3"/>
        <v>Geschäftskunde</v>
      </c>
      <c r="E201" s="1"/>
      <c r="F201">
        <v>2</v>
      </c>
      <c r="G201">
        <v>21</v>
      </c>
      <c r="H201" t="str">
        <f>VLOOKUP(G201,'Hilfetabelle Region'!$A$17:$B$19,2,)</f>
        <v>Geschäftskunde</v>
      </c>
    </row>
    <row r="202" spans="1:8" x14ac:dyDescent="0.35">
      <c r="A202">
        <v>201</v>
      </c>
      <c r="B202" t="str">
        <f>VLOOKUP(F202,'Hilfetabelle Region'!$A$2:$C$14,2,FALSE)</f>
        <v>Nordamerika</v>
      </c>
      <c r="C202" t="str">
        <f t="shared" si="3"/>
        <v>Geschäftskunde</v>
      </c>
      <c r="E202" s="1"/>
      <c r="F202">
        <v>8</v>
      </c>
      <c r="G202">
        <v>23</v>
      </c>
      <c r="H202" t="str">
        <f>VLOOKUP(G202,'Hilfetabelle Region'!$A$17:$B$19,2,)</f>
        <v>Privatkunde</v>
      </c>
    </row>
    <row r="203" spans="1:8" x14ac:dyDescent="0.35">
      <c r="A203">
        <v>202</v>
      </c>
      <c r="B203" t="str">
        <f>VLOOKUP(F203,'Hilfetabelle Region'!$A$2:$C$14,2,FALSE)</f>
        <v>Europa</v>
      </c>
      <c r="C203" t="str">
        <f t="shared" si="3"/>
        <v>Privatkunde</v>
      </c>
      <c r="E203" s="1"/>
      <c r="F203">
        <v>5</v>
      </c>
      <c r="G203">
        <v>23</v>
      </c>
      <c r="H203" t="str">
        <f>VLOOKUP(G203,'Hilfetabelle Region'!$A$17:$B$19,2,)</f>
        <v>Privatkunde</v>
      </c>
    </row>
    <row r="204" spans="1:8" x14ac:dyDescent="0.35">
      <c r="A204">
        <v>203</v>
      </c>
      <c r="B204" t="str">
        <f>VLOOKUP(F204,'Hilfetabelle Region'!$A$2:$C$14,2,FALSE)</f>
        <v>Europa</v>
      </c>
      <c r="C204" t="str">
        <f t="shared" si="3"/>
        <v>Geschäftskunde</v>
      </c>
      <c r="E204" s="1"/>
      <c r="F204">
        <v>2</v>
      </c>
      <c r="G204">
        <v>21</v>
      </c>
      <c r="H204" t="str">
        <f>VLOOKUP(G204,'Hilfetabelle Region'!$A$17:$B$19,2,)</f>
        <v>Geschäftskunde</v>
      </c>
    </row>
    <row r="205" spans="1:8" x14ac:dyDescent="0.35">
      <c r="A205">
        <v>204</v>
      </c>
      <c r="B205" t="str">
        <f>VLOOKUP(F205,'Hilfetabelle Region'!$A$2:$C$14,2,FALSE)</f>
        <v>Asien</v>
      </c>
      <c r="C205" t="str">
        <f t="shared" si="3"/>
        <v>Geschäftskunde</v>
      </c>
      <c r="E205" s="1"/>
      <c r="F205">
        <v>12</v>
      </c>
      <c r="G205">
        <v>23</v>
      </c>
      <c r="H205" t="str">
        <f>VLOOKUP(G205,'Hilfetabelle Region'!$A$17:$B$19,2,)</f>
        <v>Privatkunde</v>
      </c>
    </row>
    <row r="206" spans="1:8" x14ac:dyDescent="0.35">
      <c r="A206">
        <v>205</v>
      </c>
      <c r="B206" t="str">
        <f>VLOOKUP(F206,'Hilfetabelle Region'!$A$2:$C$14,2,FALSE)</f>
        <v>Europa</v>
      </c>
      <c r="C206" t="str">
        <f t="shared" si="3"/>
        <v>Privatkunde</v>
      </c>
      <c r="E206" s="1"/>
      <c r="F206">
        <v>4</v>
      </c>
      <c r="G206">
        <v>23</v>
      </c>
      <c r="H206" t="str">
        <f>VLOOKUP(G206,'Hilfetabelle Region'!$A$17:$B$19,2,)</f>
        <v>Privatkunde</v>
      </c>
    </row>
    <row r="207" spans="1:8" x14ac:dyDescent="0.35">
      <c r="A207">
        <v>206</v>
      </c>
      <c r="B207" t="str">
        <f>VLOOKUP(F207,'Hilfetabelle Region'!$A$2:$C$14,2,FALSE)</f>
        <v>Nordamerika</v>
      </c>
      <c r="C207" t="str">
        <f t="shared" si="3"/>
        <v>Geschäftskunde</v>
      </c>
      <c r="E207" s="1"/>
      <c r="F207">
        <v>8</v>
      </c>
      <c r="G207">
        <v>23</v>
      </c>
      <c r="H207" t="str">
        <f>VLOOKUP(G207,'Hilfetabelle Region'!$A$17:$B$19,2,)</f>
        <v>Privatkunde</v>
      </c>
    </row>
    <row r="208" spans="1:8" x14ac:dyDescent="0.35">
      <c r="A208">
        <v>207</v>
      </c>
      <c r="B208" t="str">
        <f>VLOOKUP(F208,'Hilfetabelle Region'!$A$2:$C$14,2,FALSE)</f>
        <v>Europa</v>
      </c>
      <c r="C208" t="str">
        <f t="shared" si="3"/>
        <v>Geschäftskunde</v>
      </c>
      <c r="E208" s="1"/>
      <c r="F208">
        <v>4</v>
      </c>
      <c r="G208">
        <v>21</v>
      </c>
      <c r="H208" t="str">
        <f>VLOOKUP(G208,'Hilfetabelle Region'!$A$17:$B$19,2,)</f>
        <v>Geschäftskunde</v>
      </c>
    </row>
    <row r="209" spans="1:8" x14ac:dyDescent="0.35">
      <c r="A209">
        <v>208</v>
      </c>
      <c r="B209" t="str">
        <f>VLOOKUP(F209,'Hilfetabelle Region'!$A$2:$C$14,2,FALSE)</f>
        <v>Afrika</v>
      </c>
      <c r="C209" t="str">
        <f t="shared" si="3"/>
        <v>Geschäftskunde</v>
      </c>
      <c r="E209" s="1"/>
      <c r="F209">
        <v>11</v>
      </c>
      <c r="G209">
        <v>22</v>
      </c>
      <c r="H209" t="str">
        <f>VLOOKUP(G209,'Hilfetabelle Region'!$A$17:$B$19,2,)</f>
        <v>Geschäftskunde</v>
      </c>
    </row>
    <row r="210" spans="1:8" x14ac:dyDescent="0.35">
      <c r="A210">
        <v>209</v>
      </c>
      <c r="B210" t="str">
        <f>VLOOKUP(F210,'Hilfetabelle Region'!$A$2:$C$14,2,FALSE)</f>
        <v>Nordamerika</v>
      </c>
      <c r="C210" t="str">
        <f t="shared" si="3"/>
        <v>Geschäftskunde</v>
      </c>
      <c r="E210" s="1"/>
      <c r="F210">
        <v>9</v>
      </c>
      <c r="G210">
        <v>21</v>
      </c>
      <c r="H210" t="str">
        <f>VLOOKUP(G210,'Hilfetabelle Region'!$A$17:$B$19,2,)</f>
        <v>Geschäftskunde</v>
      </c>
    </row>
    <row r="211" spans="1:8" x14ac:dyDescent="0.35">
      <c r="A211">
        <v>210</v>
      </c>
      <c r="B211" t="str">
        <f>VLOOKUP(F211,'Hilfetabelle Region'!$A$2:$C$14,2,FALSE)</f>
        <v>Europa</v>
      </c>
      <c r="C211" t="str">
        <f t="shared" si="3"/>
        <v>Geschäftskunde</v>
      </c>
      <c r="E211" s="1"/>
      <c r="F211">
        <v>5</v>
      </c>
      <c r="G211">
        <v>21</v>
      </c>
      <c r="H211" t="str">
        <f>VLOOKUP(G211,'Hilfetabelle Region'!$A$17:$B$19,2,)</f>
        <v>Geschäftskunde</v>
      </c>
    </row>
    <row r="212" spans="1:8" x14ac:dyDescent="0.35">
      <c r="A212">
        <v>211</v>
      </c>
      <c r="B212" t="str">
        <f>VLOOKUP(F212,'Hilfetabelle Region'!$A$2:$C$14,2,FALSE)</f>
        <v>Europa</v>
      </c>
      <c r="C212" t="str">
        <f t="shared" si="3"/>
        <v>Geschäftskunde</v>
      </c>
      <c r="E212" s="1"/>
      <c r="F212">
        <v>2</v>
      </c>
      <c r="G212">
        <v>22</v>
      </c>
      <c r="H212" t="str">
        <f>VLOOKUP(G212,'Hilfetabelle Region'!$A$17:$B$19,2,)</f>
        <v>Geschäftskunde</v>
      </c>
    </row>
    <row r="213" spans="1:8" x14ac:dyDescent="0.35">
      <c r="A213">
        <v>212</v>
      </c>
      <c r="B213" t="str">
        <f>VLOOKUP(F213,'Hilfetabelle Region'!$A$2:$C$14,2,FALSE)</f>
        <v>Europa</v>
      </c>
      <c r="C213" t="str">
        <f t="shared" si="3"/>
        <v>Geschäftskunde</v>
      </c>
      <c r="E213" s="1"/>
      <c r="F213">
        <v>3</v>
      </c>
      <c r="G213">
        <v>22</v>
      </c>
      <c r="H213" t="str">
        <f>VLOOKUP(G213,'Hilfetabelle Region'!$A$17:$B$19,2,)</f>
        <v>Geschäftskunde</v>
      </c>
    </row>
    <row r="214" spans="1:8" x14ac:dyDescent="0.35">
      <c r="A214">
        <v>213</v>
      </c>
      <c r="B214" t="str">
        <f>VLOOKUP(F214,'Hilfetabelle Region'!$A$2:$C$14,2,FALSE)</f>
        <v>Nordamerika</v>
      </c>
      <c r="C214" t="str">
        <f t="shared" si="3"/>
        <v>Geschäftskunde</v>
      </c>
      <c r="E214" s="1"/>
      <c r="F214">
        <v>7</v>
      </c>
      <c r="G214">
        <v>22</v>
      </c>
      <c r="H214" t="str">
        <f>VLOOKUP(G214,'Hilfetabelle Region'!$A$17:$B$19,2,)</f>
        <v>Geschäftskunde</v>
      </c>
    </row>
    <row r="215" spans="1:8" x14ac:dyDescent="0.35">
      <c r="A215">
        <v>214</v>
      </c>
      <c r="B215" t="str">
        <f>VLOOKUP(F215,'Hilfetabelle Region'!$A$2:$C$14,2,FALSE)</f>
        <v>Europa</v>
      </c>
      <c r="C215" t="str">
        <f t="shared" si="3"/>
        <v>Geschäftskunde</v>
      </c>
      <c r="E215" s="1"/>
      <c r="F215">
        <v>6</v>
      </c>
      <c r="G215">
        <v>22</v>
      </c>
      <c r="H215" t="str">
        <f>VLOOKUP(G215,'Hilfetabelle Region'!$A$17:$B$19,2,)</f>
        <v>Geschäftskunde</v>
      </c>
    </row>
    <row r="216" spans="1:8" x14ac:dyDescent="0.35">
      <c r="A216">
        <v>215</v>
      </c>
      <c r="B216" t="str">
        <f>VLOOKUP(F216,'Hilfetabelle Region'!$A$2:$C$14,2,FALSE)</f>
        <v>Asien</v>
      </c>
      <c r="C216" t="str">
        <f t="shared" si="3"/>
        <v>Geschäftskunde</v>
      </c>
      <c r="E216" s="1"/>
      <c r="F216">
        <v>13</v>
      </c>
      <c r="G216">
        <v>23</v>
      </c>
      <c r="H216" t="str">
        <f>VLOOKUP(G216,'Hilfetabelle Region'!$A$17:$B$19,2,)</f>
        <v>Privatkunde</v>
      </c>
    </row>
    <row r="217" spans="1:8" x14ac:dyDescent="0.35">
      <c r="A217">
        <v>216</v>
      </c>
      <c r="B217" t="str">
        <f>VLOOKUP(F217,'Hilfetabelle Region'!$A$2:$C$14,2,FALSE)</f>
        <v>Asien</v>
      </c>
      <c r="C217" t="str">
        <f t="shared" si="3"/>
        <v>Geschäftskunde</v>
      </c>
      <c r="E217" s="1"/>
      <c r="F217">
        <v>12</v>
      </c>
      <c r="G217">
        <v>22</v>
      </c>
      <c r="H217" t="str">
        <f>VLOOKUP(G217,'Hilfetabelle Region'!$A$17:$B$19,2,)</f>
        <v>Geschäftskunde</v>
      </c>
    </row>
    <row r="218" spans="1:8" x14ac:dyDescent="0.35">
      <c r="A218">
        <v>217</v>
      </c>
      <c r="B218" t="str">
        <f>VLOOKUP(F218,'Hilfetabelle Region'!$A$2:$C$14,2,FALSE)</f>
        <v>Europa</v>
      </c>
      <c r="C218" t="str">
        <f t="shared" si="3"/>
        <v>Privatkunde</v>
      </c>
      <c r="E218" s="1"/>
      <c r="F218">
        <v>6</v>
      </c>
      <c r="G218">
        <v>23</v>
      </c>
      <c r="H218" t="str">
        <f>VLOOKUP(G218,'Hilfetabelle Region'!$A$17:$B$19,2,)</f>
        <v>Privatkunde</v>
      </c>
    </row>
    <row r="219" spans="1:8" x14ac:dyDescent="0.35">
      <c r="A219">
        <v>218</v>
      </c>
      <c r="B219" t="str">
        <f>VLOOKUP(F219,'Hilfetabelle Region'!$A$2:$C$14,2,FALSE)</f>
        <v>Europa</v>
      </c>
      <c r="C219" t="str">
        <f t="shared" si="3"/>
        <v>Geschäftskunde</v>
      </c>
      <c r="E219" s="1"/>
      <c r="F219">
        <v>2</v>
      </c>
      <c r="G219">
        <v>22</v>
      </c>
      <c r="H219" t="str">
        <f>VLOOKUP(G219,'Hilfetabelle Region'!$A$17:$B$19,2,)</f>
        <v>Geschäftskunde</v>
      </c>
    </row>
    <row r="220" spans="1:8" x14ac:dyDescent="0.35">
      <c r="A220">
        <v>219</v>
      </c>
      <c r="B220" t="str">
        <f>VLOOKUP(F220,'Hilfetabelle Region'!$A$2:$C$14,2,FALSE)</f>
        <v>Europa</v>
      </c>
      <c r="C220" t="str">
        <f t="shared" si="3"/>
        <v>Geschäftskunde</v>
      </c>
      <c r="E220" s="1"/>
      <c r="F220">
        <v>6</v>
      </c>
      <c r="G220">
        <v>21</v>
      </c>
      <c r="H220" t="str">
        <f>VLOOKUP(G220,'Hilfetabelle Region'!$A$17:$B$19,2,)</f>
        <v>Geschäftskunde</v>
      </c>
    </row>
    <row r="221" spans="1:8" x14ac:dyDescent="0.35">
      <c r="A221">
        <v>220</v>
      </c>
      <c r="B221" t="str">
        <f>VLOOKUP(F221,'Hilfetabelle Region'!$A$2:$C$14,2,FALSE)</f>
        <v>Nordamerika</v>
      </c>
      <c r="C221" t="str">
        <f t="shared" si="3"/>
        <v>Geschäftskunde</v>
      </c>
      <c r="E221" s="1"/>
      <c r="F221">
        <v>8</v>
      </c>
      <c r="G221">
        <v>23</v>
      </c>
      <c r="H221" t="str">
        <f>VLOOKUP(G221,'Hilfetabelle Region'!$A$17:$B$19,2,)</f>
        <v>Privatkunde</v>
      </c>
    </row>
    <row r="222" spans="1:8" x14ac:dyDescent="0.35">
      <c r="A222">
        <v>221</v>
      </c>
      <c r="B222" t="str">
        <f>VLOOKUP(F222,'Hilfetabelle Region'!$A$2:$C$14,2,FALSE)</f>
        <v>Europa</v>
      </c>
      <c r="C222" t="str">
        <f t="shared" si="3"/>
        <v>Geschäftskunde</v>
      </c>
      <c r="E222" s="1"/>
      <c r="F222">
        <v>1</v>
      </c>
      <c r="G222">
        <v>21</v>
      </c>
      <c r="H222" t="str">
        <f>VLOOKUP(G222,'Hilfetabelle Region'!$A$17:$B$19,2,)</f>
        <v>Geschäftskunde</v>
      </c>
    </row>
    <row r="223" spans="1:8" x14ac:dyDescent="0.35">
      <c r="A223">
        <v>222</v>
      </c>
      <c r="B223" t="str">
        <f>VLOOKUP(F223,'Hilfetabelle Region'!$A$2:$C$14,2,FALSE)</f>
        <v>Europa</v>
      </c>
      <c r="C223" t="str">
        <f t="shared" si="3"/>
        <v>Geschäftskunde</v>
      </c>
      <c r="E223" s="1"/>
      <c r="F223">
        <v>5</v>
      </c>
      <c r="G223">
        <v>22</v>
      </c>
      <c r="H223" t="str">
        <f>VLOOKUP(G223,'Hilfetabelle Region'!$A$17:$B$19,2,)</f>
        <v>Geschäftskunde</v>
      </c>
    </row>
    <row r="224" spans="1:8" x14ac:dyDescent="0.35">
      <c r="A224">
        <v>223</v>
      </c>
      <c r="B224" t="str">
        <f>VLOOKUP(F224,'Hilfetabelle Region'!$A$2:$C$14,2,FALSE)</f>
        <v>Europa</v>
      </c>
      <c r="C224" t="str">
        <f t="shared" si="3"/>
        <v>Privatkunde</v>
      </c>
      <c r="E224" s="1"/>
      <c r="F224">
        <v>1</v>
      </c>
      <c r="G224">
        <v>23</v>
      </c>
      <c r="H224" t="str">
        <f>VLOOKUP(G224,'Hilfetabelle Region'!$A$17:$B$19,2,)</f>
        <v>Privatkunde</v>
      </c>
    </row>
    <row r="225" spans="1:8" x14ac:dyDescent="0.35">
      <c r="A225">
        <v>224</v>
      </c>
      <c r="B225" t="str">
        <f>VLOOKUP(F225,'Hilfetabelle Region'!$A$2:$C$14,2,FALSE)</f>
        <v>Europa</v>
      </c>
      <c r="C225" t="str">
        <f t="shared" si="3"/>
        <v>Geschäftskunde</v>
      </c>
      <c r="E225" s="1"/>
      <c r="F225">
        <v>5</v>
      </c>
      <c r="G225">
        <v>22</v>
      </c>
      <c r="H225" t="str">
        <f>VLOOKUP(G225,'Hilfetabelle Region'!$A$17:$B$19,2,)</f>
        <v>Geschäftskunde</v>
      </c>
    </row>
    <row r="226" spans="1:8" x14ac:dyDescent="0.35">
      <c r="A226">
        <v>225</v>
      </c>
      <c r="B226" t="str">
        <f>VLOOKUP(F226,'Hilfetabelle Region'!$A$2:$C$14,2,FALSE)</f>
        <v>Europa</v>
      </c>
      <c r="C226" t="str">
        <f t="shared" si="3"/>
        <v>Geschäftskunde</v>
      </c>
      <c r="E226" s="1"/>
      <c r="F226">
        <v>4</v>
      </c>
      <c r="G226">
        <v>22</v>
      </c>
      <c r="H226" t="str">
        <f>VLOOKUP(G226,'Hilfetabelle Region'!$A$17:$B$19,2,)</f>
        <v>Geschäftskunde</v>
      </c>
    </row>
    <row r="227" spans="1:8" x14ac:dyDescent="0.35">
      <c r="A227">
        <v>226</v>
      </c>
      <c r="B227" t="str">
        <f>VLOOKUP(F227,'Hilfetabelle Region'!$A$2:$C$14,2,FALSE)</f>
        <v>Europa</v>
      </c>
      <c r="C227" t="str">
        <f t="shared" si="3"/>
        <v>Privatkunde</v>
      </c>
      <c r="E227" s="1"/>
      <c r="F227">
        <v>4</v>
      </c>
      <c r="G227">
        <v>23</v>
      </c>
      <c r="H227" t="str">
        <f>VLOOKUP(G227,'Hilfetabelle Region'!$A$17:$B$19,2,)</f>
        <v>Privatkunde</v>
      </c>
    </row>
    <row r="228" spans="1:8" x14ac:dyDescent="0.35">
      <c r="A228">
        <v>227</v>
      </c>
      <c r="B228" t="str">
        <f>VLOOKUP(F228,'Hilfetabelle Region'!$A$2:$C$14,2,FALSE)</f>
        <v>Europa</v>
      </c>
      <c r="C228" t="str">
        <f t="shared" si="3"/>
        <v>Geschäftskunde</v>
      </c>
      <c r="E228" s="1"/>
      <c r="F228">
        <v>1</v>
      </c>
      <c r="G228">
        <v>21</v>
      </c>
      <c r="H228" t="str">
        <f>VLOOKUP(G228,'Hilfetabelle Region'!$A$17:$B$19,2,)</f>
        <v>Geschäftskunde</v>
      </c>
    </row>
    <row r="229" spans="1:8" x14ac:dyDescent="0.35">
      <c r="A229">
        <v>228</v>
      </c>
      <c r="B229" t="str">
        <f>VLOOKUP(F229,'Hilfetabelle Region'!$A$2:$C$14,2,FALSE)</f>
        <v>Asien</v>
      </c>
      <c r="C229" t="str">
        <f t="shared" si="3"/>
        <v>Geschäftskunde</v>
      </c>
      <c r="E229" s="1"/>
      <c r="F229">
        <v>12</v>
      </c>
      <c r="G229">
        <v>23</v>
      </c>
      <c r="H229" t="str">
        <f>VLOOKUP(G229,'Hilfetabelle Region'!$A$17:$B$19,2,)</f>
        <v>Privatkunde</v>
      </c>
    </row>
    <row r="230" spans="1:8" x14ac:dyDescent="0.35">
      <c r="A230">
        <v>229</v>
      </c>
      <c r="B230" t="str">
        <f>VLOOKUP(F230,'Hilfetabelle Region'!$A$2:$C$14,2,FALSE)</f>
        <v>Afrika</v>
      </c>
      <c r="C230" t="str">
        <f t="shared" si="3"/>
        <v>Geschäftskunde</v>
      </c>
      <c r="E230" s="1"/>
      <c r="F230">
        <v>11</v>
      </c>
      <c r="G230">
        <v>21</v>
      </c>
      <c r="H230" t="str">
        <f>VLOOKUP(G230,'Hilfetabelle Region'!$A$17:$B$19,2,)</f>
        <v>Geschäftskunde</v>
      </c>
    </row>
    <row r="231" spans="1:8" x14ac:dyDescent="0.35">
      <c r="A231">
        <v>230</v>
      </c>
      <c r="B231" t="str">
        <f>VLOOKUP(F231,'Hilfetabelle Region'!$A$2:$C$14,2,FALSE)</f>
        <v>Asien</v>
      </c>
      <c r="C231" t="str">
        <f t="shared" si="3"/>
        <v>Geschäftskunde</v>
      </c>
      <c r="E231" s="1"/>
      <c r="F231">
        <v>12</v>
      </c>
      <c r="G231">
        <v>23</v>
      </c>
      <c r="H231" t="str">
        <f>VLOOKUP(G231,'Hilfetabelle Region'!$A$17:$B$19,2,)</f>
        <v>Privatkunde</v>
      </c>
    </row>
    <row r="232" spans="1:8" x14ac:dyDescent="0.35">
      <c r="A232">
        <v>231</v>
      </c>
      <c r="B232" t="str">
        <f>VLOOKUP(F232,'Hilfetabelle Region'!$A$2:$C$14,2,FALSE)</f>
        <v>Lateinamerika</v>
      </c>
      <c r="C232" t="str">
        <f t="shared" si="3"/>
        <v>Geschäftskunde</v>
      </c>
      <c r="E232" s="1"/>
      <c r="F232">
        <v>10</v>
      </c>
      <c r="G232">
        <v>21</v>
      </c>
      <c r="H232" t="str">
        <f>VLOOKUP(G232,'Hilfetabelle Region'!$A$17:$B$19,2,)</f>
        <v>Geschäftskunde</v>
      </c>
    </row>
    <row r="233" spans="1:8" x14ac:dyDescent="0.35">
      <c r="A233">
        <v>232</v>
      </c>
      <c r="B233" t="str">
        <f>VLOOKUP(F233,'Hilfetabelle Region'!$A$2:$C$14,2,FALSE)</f>
        <v>Asien</v>
      </c>
      <c r="C233" t="str">
        <f t="shared" si="3"/>
        <v>Geschäftskunde</v>
      </c>
      <c r="E233" s="1"/>
      <c r="F233">
        <v>12</v>
      </c>
      <c r="G233">
        <v>21</v>
      </c>
      <c r="H233" t="str">
        <f>VLOOKUP(G233,'Hilfetabelle Region'!$A$17:$B$19,2,)</f>
        <v>Geschäftskunde</v>
      </c>
    </row>
    <row r="234" spans="1:8" x14ac:dyDescent="0.35">
      <c r="A234">
        <v>233</v>
      </c>
      <c r="B234" t="str">
        <f>VLOOKUP(F234,'Hilfetabelle Region'!$A$2:$C$14,2,FALSE)</f>
        <v>Asien</v>
      </c>
      <c r="C234" t="str">
        <f t="shared" si="3"/>
        <v>Geschäftskunde</v>
      </c>
      <c r="E234" s="1"/>
      <c r="F234">
        <v>13</v>
      </c>
      <c r="G234">
        <v>21</v>
      </c>
      <c r="H234" t="str">
        <f>VLOOKUP(G234,'Hilfetabelle Region'!$A$17:$B$19,2,)</f>
        <v>Geschäftskunde</v>
      </c>
    </row>
    <row r="235" spans="1:8" x14ac:dyDescent="0.35">
      <c r="A235">
        <v>234</v>
      </c>
      <c r="B235" t="str">
        <f>VLOOKUP(F235,'Hilfetabelle Region'!$A$2:$C$14,2,FALSE)</f>
        <v>Afrika</v>
      </c>
      <c r="C235" t="str">
        <f t="shared" si="3"/>
        <v>Geschäftskunde</v>
      </c>
      <c r="E235" s="1"/>
      <c r="F235">
        <v>11</v>
      </c>
      <c r="G235">
        <v>22</v>
      </c>
      <c r="H235" t="str">
        <f>VLOOKUP(G235,'Hilfetabelle Region'!$A$17:$B$19,2,)</f>
        <v>Geschäftskunde</v>
      </c>
    </row>
    <row r="236" spans="1:8" x14ac:dyDescent="0.35">
      <c r="A236">
        <v>235</v>
      </c>
      <c r="B236" t="str">
        <f>VLOOKUP(F236,'Hilfetabelle Region'!$A$2:$C$14,2,FALSE)</f>
        <v>Europa</v>
      </c>
      <c r="C236" t="str">
        <f t="shared" si="3"/>
        <v>Geschäftskunde</v>
      </c>
      <c r="E236" s="1"/>
      <c r="F236">
        <v>3</v>
      </c>
      <c r="G236">
        <v>21</v>
      </c>
      <c r="H236" t="str">
        <f>VLOOKUP(G236,'Hilfetabelle Region'!$A$17:$B$19,2,)</f>
        <v>Geschäftskunde</v>
      </c>
    </row>
    <row r="237" spans="1:8" x14ac:dyDescent="0.35">
      <c r="A237">
        <v>236</v>
      </c>
      <c r="B237" t="str">
        <f>VLOOKUP(F237,'Hilfetabelle Region'!$A$2:$C$14,2,FALSE)</f>
        <v>Europa</v>
      </c>
      <c r="C237" t="str">
        <f t="shared" si="3"/>
        <v>Geschäftskunde</v>
      </c>
      <c r="E237" s="1"/>
      <c r="F237">
        <v>1</v>
      </c>
      <c r="G237">
        <v>22</v>
      </c>
      <c r="H237" t="str">
        <f>VLOOKUP(G237,'Hilfetabelle Region'!$A$17:$B$19,2,)</f>
        <v>Geschäftskunde</v>
      </c>
    </row>
    <row r="238" spans="1:8" x14ac:dyDescent="0.35">
      <c r="A238">
        <v>237</v>
      </c>
      <c r="B238" t="str">
        <f>VLOOKUP(F238,'Hilfetabelle Region'!$A$2:$C$14,2,FALSE)</f>
        <v>Nordamerika</v>
      </c>
      <c r="C238" t="str">
        <f t="shared" si="3"/>
        <v>Geschäftskunde</v>
      </c>
      <c r="E238" s="1"/>
      <c r="F238">
        <v>7</v>
      </c>
      <c r="G238">
        <v>22</v>
      </c>
      <c r="H238" t="str">
        <f>VLOOKUP(G238,'Hilfetabelle Region'!$A$17:$B$19,2,)</f>
        <v>Geschäftskunde</v>
      </c>
    </row>
    <row r="239" spans="1:8" x14ac:dyDescent="0.35">
      <c r="A239">
        <v>238</v>
      </c>
      <c r="B239" t="str">
        <f>VLOOKUP(F239,'Hilfetabelle Region'!$A$2:$C$14,2,FALSE)</f>
        <v>Europa</v>
      </c>
      <c r="C239" t="str">
        <f t="shared" si="3"/>
        <v>Geschäftskunde</v>
      </c>
      <c r="E239" s="1"/>
      <c r="F239">
        <v>4</v>
      </c>
      <c r="G239">
        <v>21</v>
      </c>
      <c r="H239" t="str">
        <f>VLOOKUP(G239,'Hilfetabelle Region'!$A$17:$B$19,2,)</f>
        <v>Geschäftskunde</v>
      </c>
    </row>
    <row r="240" spans="1:8" x14ac:dyDescent="0.35">
      <c r="A240">
        <v>239</v>
      </c>
      <c r="B240" t="str">
        <f>VLOOKUP(F240,'Hilfetabelle Region'!$A$2:$C$14,2,FALSE)</f>
        <v>Afrika</v>
      </c>
      <c r="C240" t="str">
        <f t="shared" si="3"/>
        <v>Geschäftskunde</v>
      </c>
      <c r="E240" s="1"/>
      <c r="F240">
        <v>11</v>
      </c>
      <c r="G240">
        <v>23</v>
      </c>
      <c r="H240" t="str">
        <f>VLOOKUP(G240,'Hilfetabelle Region'!$A$17:$B$19,2,)</f>
        <v>Privatkunde</v>
      </c>
    </row>
    <row r="241" spans="1:8" x14ac:dyDescent="0.35">
      <c r="A241">
        <v>240</v>
      </c>
      <c r="B241" t="str">
        <f>VLOOKUP(F241,'Hilfetabelle Region'!$A$2:$C$14,2,FALSE)</f>
        <v>Asien</v>
      </c>
      <c r="C241" t="str">
        <f t="shared" si="3"/>
        <v>Geschäftskunde</v>
      </c>
      <c r="E241" s="1"/>
      <c r="F241">
        <v>12</v>
      </c>
      <c r="G241">
        <v>23</v>
      </c>
      <c r="H241" t="str">
        <f>VLOOKUP(G241,'Hilfetabelle Region'!$A$17:$B$19,2,)</f>
        <v>Privatkunde</v>
      </c>
    </row>
    <row r="242" spans="1:8" x14ac:dyDescent="0.35">
      <c r="A242">
        <v>241</v>
      </c>
      <c r="B242" t="str">
        <f>VLOOKUP(F242,'Hilfetabelle Region'!$A$2:$C$14,2,FALSE)</f>
        <v>Nordamerika</v>
      </c>
      <c r="C242" t="str">
        <f t="shared" si="3"/>
        <v>Geschäftskunde</v>
      </c>
      <c r="E242" s="1"/>
      <c r="F242">
        <v>8</v>
      </c>
      <c r="G242">
        <v>22</v>
      </c>
      <c r="H242" t="str">
        <f>VLOOKUP(G242,'Hilfetabelle Region'!$A$17:$B$19,2,)</f>
        <v>Geschäftskunde</v>
      </c>
    </row>
    <row r="243" spans="1:8" x14ac:dyDescent="0.35">
      <c r="A243">
        <v>242</v>
      </c>
      <c r="B243" t="str">
        <f>VLOOKUP(F243,'Hilfetabelle Region'!$A$2:$C$14,2,FALSE)</f>
        <v>Afrika</v>
      </c>
      <c r="C243" t="str">
        <f t="shared" si="3"/>
        <v>Geschäftskunde</v>
      </c>
      <c r="E243" s="1"/>
      <c r="F243">
        <v>11</v>
      </c>
      <c r="G243">
        <v>21</v>
      </c>
      <c r="H243" t="str">
        <f>VLOOKUP(G243,'Hilfetabelle Region'!$A$17:$B$19,2,)</f>
        <v>Geschäftskunde</v>
      </c>
    </row>
    <row r="244" spans="1:8" x14ac:dyDescent="0.35">
      <c r="A244">
        <v>243</v>
      </c>
      <c r="B244" t="str">
        <f>VLOOKUP(F244,'Hilfetabelle Region'!$A$2:$C$14,2,FALSE)</f>
        <v>Europa</v>
      </c>
      <c r="C244" t="str">
        <f t="shared" si="3"/>
        <v>Privatkunde</v>
      </c>
      <c r="E244" s="1"/>
      <c r="F244">
        <v>6</v>
      </c>
      <c r="G244">
        <v>23</v>
      </c>
      <c r="H244" t="str">
        <f>VLOOKUP(G244,'Hilfetabelle Region'!$A$17:$B$19,2,)</f>
        <v>Privatkunde</v>
      </c>
    </row>
    <row r="245" spans="1:8" x14ac:dyDescent="0.35">
      <c r="A245">
        <v>244</v>
      </c>
      <c r="B245" t="str">
        <f>VLOOKUP(F245,'Hilfetabelle Region'!$A$2:$C$14,2,FALSE)</f>
        <v>Nordamerika</v>
      </c>
      <c r="C245" t="str">
        <f t="shared" si="3"/>
        <v>Geschäftskunde</v>
      </c>
      <c r="E245" s="1"/>
      <c r="F245">
        <v>8</v>
      </c>
      <c r="G245">
        <v>23</v>
      </c>
      <c r="H245" t="str">
        <f>VLOOKUP(G245,'Hilfetabelle Region'!$A$17:$B$19,2,)</f>
        <v>Privatkunde</v>
      </c>
    </row>
    <row r="246" spans="1:8" x14ac:dyDescent="0.35">
      <c r="A246">
        <v>245</v>
      </c>
      <c r="B246" t="str">
        <f>VLOOKUP(F246,'Hilfetabelle Region'!$A$2:$C$14,2,FALSE)</f>
        <v>Nordamerika</v>
      </c>
      <c r="C246" t="str">
        <f t="shared" si="3"/>
        <v>Geschäftskunde</v>
      </c>
      <c r="E246" s="1"/>
      <c r="F246">
        <v>8</v>
      </c>
      <c r="G246">
        <v>21</v>
      </c>
      <c r="H246" t="str">
        <f>VLOOKUP(G246,'Hilfetabelle Region'!$A$17:$B$19,2,)</f>
        <v>Geschäftskunde</v>
      </c>
    </row>
    <row r="247" spans="1:8" x14ac:dyDescent="0.35">
      <c r="A247">
        <v>246</v>
      </c>
      <c r="B247" t="str">
        <f>VLOOKUP(F247,'Hilfetabelle Region'!$A$2:$C$14,2,FALSE)</f>
        <v>Asien</v>
      </c>
      <c r="C247" t="str">
        <f t="shared" si="3"/>
        <v>Geschäftskunde</v>
      </c>
      <c r="E247" s="1"/>
      <c r="F247">
        <v>13</v>
      </c>
      <c r="G247">
        <v>21</v>
      </c>
      <c r="H247" t="str">
        <f>VLOOKUP(G247,'Hilfetabelle Region'!$A$17:$B$19,2,)</f>
        <v>Geschäftskunde</v>
      </c>
    </row>
    <row r="248" spans="1:8" x14ac:dyDescent="0.35">
      <c r="A248">
        <v>247</v>
      </c>
      <c r="B248" t="str">
        <f>VLOOKUP(F248,'Hilfetabelle Region'!$A$2:$C$14,2,FALSE)</f>
        <v>Europa</v>
      </c>
      <c r="C248" t="str">
        <f t="shared" si="3"/>
        <v>Geschäftskunde</v>
      </c>
      <c r="E248" s="1"/>
      <c r="F248">
        <v>1</v>
      </c>
      <c r="G248">
        <v>22</v>
      </c>
      <c r="H248" t="str">
        <f>VLOOKUP(G248,'Hilfetabelle Region'!$A$17:$B$19,2,)</f>
        <v>Geschäftskunde</v>
      </c>
    </row>
    <row r="249" spans="1:8" x14ac:dyDescent="0.35">
      <c r="A249">
        <v>248</v>
      </c>
      <c r="B249" t="str">
        <f>VLOOKUP(F249,'Hilfetabelle Region'!$A$2:$C$14,2,FALSE)</f>
        <v>Europa</v>
      </c>
      <c r="C249" t="str">
        <f t="shared" si="3"/>
        <v>Geschäftskunde</v>
      </c>
      <c r="E249" s="1"/>
      <c r="F249">
        <v>1</v>
      </c>
      <c r="G249">
        <v>22</v>
      </c>
      <c r="H249" t="str">
        <f>VLOOKUP(G249,'Hilfetabelle Region'!$A$17:$B$19,2,)</f>
        <v>Geschäftskunde</v>
      </c>
    </row>
    <row r="250" spans="1:8" x14ac:dyDescent="0.35">
      <c r="A250">
        <v>249</v>
      </c>
      <c r="B250" t="str">
        <f>VLOOKUP(F250,'Hilfetabelle Region'!$A$2:$C$14,2,FALSE)</f>
        <v>Europa</v>
      </c>
      <c r="C250" t="str">
        <f t="shared" si="3"/>
        <v>Geschäftskunde</v>
      </c>
      <c r="E250" s="1"/>
      <c r="F250">
        <v>4</v>
      </c>
      <c r="G250">
        <v>21</v>
      </c>
      <c r="H250" t="str">
        <f>VLOOKUP(G250,'Hilfetabelle Region'!$A$17:$B$19,2,)</f>
        <v>Geschäftskunde</v>
      </c>
    </row>
    <row r="251" spans="1:8" x14ac:dyDescent="0.35">
      <c r="A251">
        <v>250</v>
      </c>
      <c r="B251" t="str">
        <f>VLOOKUP(F251,'Hilfetabelle Region'!$A$2:$C$14,2,FALSE)</f>
        <v>Afrika</v>
      </c>
      <c r="C251" t="str">
        <f t="shared" si="3"/>
        <v>Geschäftskunde</v>
      </c>
      <c r="E251" s="1"/>
      <c r="F251">
        <v>11</v>
      </c>
      <c r="G251">
        <v>21</v>
      </c>
      <c r="H251" t="str">
        <f>VLOOKUP(G251,'Hilfetabelle Region'!$A$17:$B$19,2,)</f>
        <v>Geschäftskunde</v>
      </c>
    </row>
    <row r="252" spans="1:8" x14ac:dyDescent="0.35">
      <c r="A252">
        <v>251</v>
      </c>
      <c r="B252" t="str">
        <f>VLOOKUP(F252,'Hilfetabelle Region'!$A$2:$C$14,2,FALSE)</f>
        <v>Europa</v>
      </c>
      <c r="C252" t="str">
        <f t="shared" si="3"/>
        <v>Privatkunde</v>
      </c>
      <c r="E252" s="1"/>
      <c r="F252">
        <v>3</v>
      </c>
      <c r="G252">
        <v>23</v>
      </c>
      <c r="H252" t="str">
        <f>VLOOKUP(G252,'Hilfetabelle Region'!$A$17:$B$19,2,)</f>
        <v>Privatkunde</v>
      </c>
    </row>
    <row r="253" spans="1:8" x14ac:dyDescent="0.35">
      <c r="A253">
        <v>252</v>
      </c>
      <c r="B253" t="str">
        <f>VLOOKUP(F253,'Hilfetabelle Region'!$A$2:$C$14,2,FALSE)</f>
        <v>Europa</v>
      </c>
      <c r="C253" t="str">
        <f t="shared" si="3"/>
        <v>Geschäftskunde</v>
      </c>
      <c r="E253" s="1"/>
      <c r="F253">
        <v>3</v>
      </c>
      <c r="G253">
        <v>21</v>
      </c>
      <c r="H253" t="str">
        <f>VLOOKUP(G253,'Hilfetabelle Region'!$A$17:$B$19,2,)</f>
        <v>Geschäftskunde</v>
      </c>
    </row>
    <row r="254" spans="1:8" x14ac:dyDescent="0.35">
      <c r="A254">
        <v>253</v>
      </c>
      <c r="B254" t="str">
        <f>VLOOKUP(F254,'Hilfetabelle Region'!$A$2:$C$14,2,FALSE)</f>
        <v>Afrika</v>
      </c>
      <c r="C254" t="str">
        <f t="shared" si="3"/>
        <v>Geschäftskunde</v>
      </c>
      <c r="E254" s="1"/>
      <c r="F254">
        <v>11</v>
      </c>
      <c r="G254">
        <v>23</v>
      </c>
      <c r="H254" t="str">
        <f>VLOOKUP(G254,'Hilfetabelle Region'!$A$17:$B$19,2,)</f>
        <v>Privatkunde</v>
      </c>
    </row>
    <row r="255" spans="1:8" x14ac:dyDescent="0.35">
      <c r="A255">
        <v>254</v>
      </c>
      <c r="B255" t="str">
        <f>VLOOKUP(F255,'Hilfetabelle Region'!$A$2:$C$14,2,FALSE)</f>
        <v>Asien</v>
      </c>
      <c r="C255" t="str">
        <f t="shared" si="3"/>
        <v>Geschäftskunde</v>
      </c>
      <c r="E255" s="1"/>
      <c r="F255">
        <v>12</v>
      </c>
      <c r="G255">
        <v>23</v>
      </c>
      <c r="H255" t="str">
        <f>VLOOKUP(G255,'Hilfetabelle Region'!$A$17:$B$19,2,)</f>
        <v>Privatkunde</v>
      </c>
    </row>
    <row r="256" spans="1:8" x14ac:dyDescent="0.35">
      <c r="A256">
        <v>255</v>
      </c>
      <c r="B256" t="str">
        <f>VLOOKUP(F256,'Hilfetabelle Region'!$A$2:$C$14,2,FALSE)</f>
        <v>Europa</v>
      </c>
      <c r="C256" t="str">
        <f t="shared" si="3"/>
        <v>Geschäftskunde</v>
      </c>
      <c r="E256" s="1"/>
      <c r="F256">
        <v>2</v>
      </c>
      <c r="G256">
        <v>21</v>
      </c>
      <c r="H256" t="str">
        <f>VLOOKUP(G256,'Hilfetabelle Region'!$A$17:$B$19,2,)</f>
        <v>Geschäftskunde</v>
      </c>
    </row>
    <row r="257" spans="1:8" x14ac:dyDescent="0.35">
      <c r="A257">
        <v>256</v>
      </c>
      <c r="B257" t="str">
        <f>VLOOKUP(F257,'Hilfetabelle Region'!$A$2:$C$14,2,FALSE)</f>
        <v>Afrika</v>
      </c>
      <c r="C257" t="str">
        <f t="shared" si="3"/>
        <v>Geschäftskunde</v>
      </c>
      <c r="E257" s="1"/>
      <c r="F257">
        <v>11</v>
      </c>
      <c r="G257">
        <v>21</v>
      </c>
      <c r="H257" t="str">
        <f>VLOOKUP(G257,'Hilfetabelle Region'!$A$17:$B$19,2,)</f>
        <v>Geschäftskunde</v>
      </c>
    </row>
    <row r="258" spans="1:8" x14ac:dyDescent="0.35">
      <c r="A258">
        <v>257</v>
      </c>
      <c r="B258" t="str">
        <f>VLOOKUP(F258,'Hilfetabelle Region'!$A$2:$C$14,2,FALSE)</f>
        <v>Europa</v>
      </c>
      <c r="C258" t="str">
        <f t="shared" si="3"/>
        <v>Privatkunde</v>
      </c>
      <c r="E258" s="1"/>
      <c r="F258">
        <v>4</v>
      </c>
      <c r="G258">
        <v>23</v>
      </c>
      <c r="H258" t="str">
        <f>VLOOKUP(G258,'Hilfetabelle Region'!$A$17:$B$19,2,)</f>
        <v>Privatkunde</v>
      </c>
    </row>
    <row r="259" spans="1:8" x14ac:dyDescent="0.35">
      <c r="A259">
        <v>258</v>
      </c>
      <c r="B259" t="str">
        <f>VLOOKUP(F259,'Hilfetabelle Region'!$A$2:$C$14,2,FALSE)</f>
        <v>Europa</v>
      </c>
      <c r="C259" t="str">
        <f t="shared" ref="C259:C322" si="4">IF(B259="Europa",H259,"Geschäftskunde")</f>
        <v>Geschäftskunde</v>
      </c>
      <c r="E259" s="1"/>
      <c r="F259">
        <v>2</v>
      </c>
      <c r="G259">
        <v>21</v>
      </c>
      <c r="H259" t="str">
        <f>VLOOKUP(G259,'Hilfetabelle Region'!$A$17:$B$19,2,)</f>
        <v>Geschäftskunde</v>
      </c>
    </row>
    <row r="260" spans="1:8" x14ac:dyDescent="0.35">
      <c r="A260">
        <v>259</v>
      </c>
      <c r="B260" t="str">
        <f>VLOOKUP(F260,'Hilfetabelle Region'!$A$2:$C$14,2,FALSE)</f>
        <v>Europa</v>
      </c>
      <c r="C260" t="str">
        <f t="shared" si="4"/>
        <v>Geschäftskunde</v>
      </c>
      <c r="E260" s="1"/>
      <c r="F260">
        <v>1</v>
      </c>
      <c r="G260">
        <v>22</v>
      </c>
      <c r="H260" t="str">
        <f>VLOOKUP(G260,'Hilfetabelle Region'!$A$17:$B$19,2,)</f>
        <v>Geschäftskunde</v>
      </c>
    </row>
    <row r="261" spans="1:8" x14ac:dyDescent="0.35">
      <c r="A261">
        <v>260</v>
      </c>
      <c r="B261" t="str">
        <f>VLOOKUP(F261,'Hilfetabelle Region'!$A$2:$C$14,2,FALSE)</f>
        <v>Europa</v>
      </c>
      <c r="C261" t="str">
        <f t="shared" si="4"/>
        <v>Geschäftskunde</v>
      </c>
      <c r="E261" s="1"/>
      <c r="F261">
        <v>2</v>
      </c>
      <c r="G261">
        <v>21</v>
      </c>
      <c r="H261" t="str">
        <f>VLOOKUP(G261,'Hilfetabelle Region'!$A$17:$B$19,2,)</f>
        <v>Geschäftskunde</v>
      </c>
    </row>
    <row r="262" spans="1:8" x14ac:dyDescent="0.35">
      <c r="A262">
        <v>261</v>
      </c>
      <c r="B262" t="str">
        <f>VLOOKUP(F262,'Hilfetabelle Region'!$A$2:$C$14,2,FALSE)</f>
        <v>Europa</v>
      </c>
      <c r="C262" t="str">
        <f t="shared" si="4"/>
        <v>Privatkunde</v>
      </c>
      <c r="E262" s="1"/>
      <c r="F262">
        <v>4</v>
      </c>
      <c r="G262">
        <v>23</v>
      </c>
      <c r="H262" t="str">
        <f>VLOOKUP(G262,'Hilfetabelle Region'!$A$17:$B$19,2,)</f>
        <v>Privatkunde</v>
      </c>
    </row>
    <row r="263" spans="1:8" x14ac:dyDescent="0.35">
      <c r="A263">
        <v>262</v>
      </c>
      <c r="B263" t="str">
        <f>VLOOKUP(F263,'Hilfetabelle Region'!$A$2:$C$14,2,FALSE)</f>
        <v>Nordamerika</v>
      </c>
      <c r="C263" t="str">
        <f t="shared" si="4"/>
        <v>Geschäftskunde</v>
      </c>
      <c r="E263" s="1"/>
      <c r="F263">
        <v>8</v>
      </c>
      <c r="G263">
        <v>22</v>
      </c>
      <c r="H263" t="str">
        <f>VLOOKUP(G263,'Hilfetabelle Region'!$A$17:$B$19,2,)</f>
        <v>Geschäftskunde</v>
      </c>
    </row>
    <row r="264" spans="1:8" x14ac:dyDescent="0.35">
      <c r="A264">
        <v>263</v>
      </c>
      <c r="B264" t="str">
        <f>VLOOKUP(F264,'Hilfetabelle Region'!$A$2:$C$14,2,FALSE)</f>
        <v>Europa</v>
      </c>
      <c r="C264" t="str">
        <f t="shared" si="4"/>
        <v>Geschäftskunde</v>
      </c>
      <c r="E264" s="1"/>
      <c r="F264">
        <v>3</v>
      </c>
      <c r="G264">
        <v>21</v>
      </c>
      <c r="H264" t="str">
        <f>VLOOKUP(G264,'Hilfetabelle Region'!$A$17:$B$19,2,)</f>
        <v>Geschäftskunde</v>
      </c>
    </row>
    <row r="265" spans="1:8" x14ac:dyDescent="0.35">
      <c r="A265">
        <v>264</v>
      </c>
      <c r="B265" t="str">
        <f>VLOOKUP(F265,'Hilfetabelle Region'!$A$2:$C$14,2,FALSE)</f>
        <v>Nordamerika</v>
      </c>
      <c r="C265" t="str">
        <f t="shared" si="4"/>
        <v>Geschäftskunde</v>
      </c>
      <c r="E265" s="1"/>
      <c r="F265">
        <v>7</v>
      </c>
      <c r="G265">
        <v>22</v>
      </c>
      <c r="H265" t="str">
        <f>VLOOKUP(G265,'Hilfetabelle Region'!$A$17:$B$19,2,)</f>
        <v>Geschäftskunde</v>
      </c>
    </row>
    <row r="266" spans="1:8" x14ac:dyDescent="0.35">
      <c r="A266">
        <v>265</v>
      </c>
      <c r="B266" t="str">
        <f>VLOOKUP(F266,'Hilfetabelle Region'!$A$2:$C$14,2,FALSE)</f>
        <v>Europa</v>
      </c>
      <c r="C266" t="str">
        <f t="shared" si="4"/>
        <v>Geschäftskunde</v>
      </c>
      <c r="E266" s="1"/>
      <c r="F266">
        <v>4</v>
      </c>
      <c r="G266">
        <v>21</v>
      </c>
      <c r="H266" t="str">
        <f>VLOOKUP(G266,'Hilfetabelle Region'!$A$17:$B$19,2,)</f>
        <v>Geschäftskunde</v>
      </c>
    </row>
    <row r="267" spans="1:8" x14ac:dyDescent="0.35">
      <c r="A267">
        <v>266</v>
      </c>
      <c r="B267" t="str">
        <f>VLOOKUP(F267,'Hilfetabelle Region'!$A$2:$C$14,2,FALSE)</f>
        <v>Nordamerika</v>
      </c>
      <c r="C267" t="str">
        <f t="shared" si="4"/>
        <v>Geschäftskunde</v>
      </c>
      <c r="E267" s="1"/>
      <c r="F267">
        <v>7</v>
      </c>
      <c r="G267">
        <v>21</v>
      </c>
      <c r="H267" t="str">
        <f>VLOOKUP(G267,'Hilfetabelle Region'!$A$17:$B$19,2,)</f>
        <v>Geschäftskunde</v>
      </c>
    </row>
    <row r="268" spans="1:8" x14ac:dyDescent="0.35">
      <c r="A268">
        <v>267</v>
      </c>
      <c r="B268" t="str">
        <f>VLOOKUP(F268,'Hilfetabelle Region'!$A$2:$C$14,2,FALSE)</f>
        <v>Asien</v>
      </c>
      <c r="C268" t="str">
        <f t="shared" si="4"/>
        <v>Geschäftskunde</v>
      </c>
      <c r="E268" s="1"/>
      <c r="F268">
        <v>12</v>
      </c>
      <c r="G268">
        <v>23</v>
      </c>
      <c r="H268" t="str">
        <f>VLOOKUP(G268,'Hilfetabelle Region'!$A$17:$B$19,2,)</f>
        <v>Privatkunde</v>
      </c>
    </row>
    <row r="269" spans="1:8" x14ac:dyDescent="0.35">
      <c r="A269">
        <v>268</v>
      </c>
      <c r="B269" t="str">
        <f>VLOOKUP(F269,'Hilfetabelle Region'!$A$2:$C$14,2,FALSE)</f>
        <v>Europa</v>
      </c>
      <c r="C269" t="str">
        <f t="shared" si="4"/>
        <v>Geschäftskunde</v>
      </c>
      <c r="E269" s="1"/>
      <c r="F269">
        <v>1</v>
      </c>
      <c r="G269">
        <v>21</v>
      </c>
      <c r="H269" t="str">
        <f>VLOOKUP(G269,'Hilfetabelle Region'!$A$17:$B$19,2,)</f>
        <v>Geschäftskunde</v>
      </c>
    </row>
    <row r="270" spans="1:8" x14ac:dyDescent="0.35">
      <c r="A270">
        <v>269</v>
      </c>
      <c r="B270" t="str">
        <f>VLOOKUP(F270,'Hilfetabelle Region'!$A$2:$C$14,2,FALSE)</f>
        <v>Europa</v>
      </c>
      <c r="C270" t="str">
        <f t="shared" si="4"/>
        <v>Geschäftskunde</v>
      </c>
      <c r="E270" s="1"/>
      <c r="F270">
        <v>4</v>
      </c>
      <c r="G270">
        <v>21</v>
      </c>
      <c r="H270" t="str">
        <f>VLOOKUP(G270,'Hilfetabelle Region'!$A$17:$B$19,2,)</f>
        <v>Geschäftskunde</v>
      </c>
    </row>
    <row r="271" spans="1:8" x14ac:dyDescent="0.35">
      <c r="A271">
        <v>270</v>
      </c>
      <c r="B271" t="str">
        <f>VLOOKUP(F271,'Hilfetabelle Region'!$A$2:$C$14,2,FALSE)</f>
        <v>Nordamerika</v>
      </c>
      <c r="C271" t="str">
        <f t="shared" si="4"/>
        <v>Geschäftskunde</v>
      </c>
      <c r="E271" s="1"/>
      <c r="F271">
        <v>7</v>
      </c>
      <c r="G271">
        <v>23</v>
      </c>
      <c r="H271" t="str">
        <f>VLOOKUP(G271,'Hilfetabelle Region'!$A$17:$B$19,2,)</f>
        <v>Privatkunde</v>
      </c>
    </row>
    <row r="272" spans="1:8" x14ac:dyDescent="0.35">
      <c r="A272">
        <v>271</v>
      </c>
      <c r="B272" t="str">
        <f>VLOOKUP(F272,'Hilfetabelle Region'!$A$2:$C$14,2,FALSE)</f>
        <v>Asien</v>
      </c>
      <c r="C272" t="str">
        <f t="shared" si="4"/>
        <v>Geschäftskunde</v>
      </c>
      <c r="E272" s="1"/>
      <c r="F272">
        <v>13</v>
      </c>
      <c r="G272">
        <v>23</v>
      </c>
      <c r="H272" t="str">
        <f>VLOOKUP(G272,'Hilfetabelle Region'!$A$17:$B$19,2,)</f>
        <v>Privatkunde</v>
      </c>
    </row>
    <row r="273" spans="1:8" x14ac:dyDescent="0.35">
      <c r="A273">
        <v>272</v>
      </c>
      <c r="B273" t="str">
        <f>VLOOKUP(F273,'Hilfetabelle Region'!$A$2:$C$14,2,FALSE)</f>
        <v>Nordamerika</v>
      </c>
      <c r="C273" t="str">
        <f t="shared" si="4"/>
        <v>Geschäftskunde</v>
      </c>
      <c r="E273" s="1"/>
      <c r="F273">
        <v>8</v>
      </c>
      <c r="G273">
        <v>22</v>
      </c>
      <c r="H273" t="str">
        <f>VLOOKUP(G273,'Hilfetabelle Region'!$A$17:$B$19,2,)</f>
        <v>Geschäftskunde</v>
      </c>
    </row>
    <row r="274" spans="1:8" x14ac:dyDescent="0.35">
      <c r="A274">
        <v>273</v>
      </c>
      <c r="B274" t="str">
        <f>VLOOKUP(F274,'Hilfetabelle Region'!$A$2:$C$14,2,FALSE)</f>
        <v>Europa</v>
      </c>
      <c r="C274" t="str">
        <f t="shared" si="4"/>
        <v>Privatkunde</v>
      </c>
      <c r="E274" s="1"/>
      <c r="F274">
        <v>2</v>
      </c>
      <c r="G274">
        <v>23</v>
      </c>
      <c r="H274" t="str">
        <f>VLOOKUP(G274,'Hilfetabelle Region'!$A$17:$B$19,2,)</f>
        <v>Privatkunde</v>
      </c>
    </row>
    <row r="275" spans="1:8" x14ac:dyDescent="0.35">
      <c r="A275">
        <v>274</v>
      </c>
      <c r="B275" t="str">
        <f>VLOOKUP(F275,'Hilfetabelle Region'!$A$2:$C$14,2,FALSE)</f>
        <v>Europa</v>
      </c>
      <c r="C275" t="str">
        <f t="shared" si="4"/>
        <v>Geschäftskunde</v>
      </c>
      <c r="E275" s="1"/>
      <c r="F275">
        <v>4</v>
      </c>
      <c r="G275">
        <v>21</v>
      </c>
      <c r="H275" t="str">
        <f>VLOOKUP(G275,'Hilfetabelle Region'!$A$17:$B$19,2,)</f>
        <v>Geschäftskunde</v>
      </c>
    </row>
    <row r="276" spans="1:8" x14ac:dyDescent="0.35">
      <c r="A276">
        <v>275</v>
      </c>
      <c r="B276" t="str">
        <f>VLOOKUP(F276,'Hilfetabelle Region'!$A$2:$C$14,2,FALSE)</f>
        <v>Nordamerika</v>
      </c>
      <c r="C276" t="str">
        <f t="shared" si="4"/>
        <v>Geschäftskunde</v>
      </c>
      <c r="E276" s="1"/>
      <c r="F276">
        <v>8</v>
      </c>
      <c r="G276">
        <v>21</v>
      </c>
      <c r="H276" t="str">
        <f>VLOOKUP(G276,'Hilfetabelle Region'!$A$17:$B$19,2,)</f>
        <v>Geschäftskunde</v>
      </c>
    </row>
    <row r="277" spans="1:8" x14ac:dyDescent="0.35">
      <c r="A277">
        <v>276</v>
      </c>
      <c r="B277" t="str">
        <f>VLOOKUP(F277,'Hilfetabelle Region'!$A$2:$C$14,2,FALSE)</f>
        <v>Asien</v>
      </c>
      <c r="C277" t="str">
        <f t="shared" si="4"/>
        <v>Geschäftskunde</v>
      </c>
      <c r="E277" s="1"/>
      <c r="F277">
        <v>12</v>
      </c>
      <c r="G277">
        <v>21</v>
      </c>
      <c r="H277" t="str">
        <f>VLOOKUP(G277,'Hilfetabelle Region'!$A$17:$B$19,2,)</f>
        <v>Geschäftskunde</v>
      </c>
    </row>
    <row r="278" spans="1:8" x14ac:dyDescent="0.35">
      <c r="A278">
        <v>277</v>
      </c>
      <c r="B278" t="str">
        <f>VLOOKUP(F278,'Hilfetabelle Region'!$A$2:$C$14,2,FALSE)</f>
        <v>Europa</v>
      </c>
      <c r="C278" t="str">
        <f t="shared" si="4"/>
        <v>Privatkunde</v>
      </c>
      <c r="E278" s="1"/>
      <c r="F278">
        <v>2</v>
      </c>
      <c r="G278">
        <v>23</v>
      </c>
      <c r="H278" t="str">
        <f>VLOOKUP(G278,'Hilfetabelle Region'!$A$17:$B$19,2,)</f>
        <v>Privatkunde</v>
      </c>
    </row>
    <row r="279" spans="1:8" x14ac:dyDescent="0.35">
      <c r="A279">
        <v>278</v>
      </c>
      <c r="B279" t="str">
        <f>VLOOKUP(F279,'Hilfetabelle Region'!$A$2:$C$14,2,FALSE)</f>
        <v>Asien</v>
      </c>
      <c r="C279" t="str">
        <f t="shared" si="4"/>
        <v>Geschäftskunde</v>
      </c>
      <c r="E279" s="1"/>
      <c r="F279">
        <v>12</v>
      </c>
      <c r="G279">
        <v>22</v>
      </c>
      <c r="H279" t="str">
        <f>VLOOKUP(G279,'Hilfetabelle Region'!$A$17:$B$19,2,)</f>
        <v>Geschäftskunde</v>
      </c>
    </row>
    <row r="280" spans="1:8" x14ac:dyDescent="0.35">
      <c r="A280">
        <v>279</v>
      </c>
      <c r="B280" t="str">
        <f>VLOOKUP(F280,'Hilfetabelle Region'!$A$2:$C$14,2,FALSE)</f>
        <v>Nordamerika</v>
      </c>
      <c r="C280" t="str">
        <f t="shared" si="4"/>
        <v>Geschäftskunde</v>
      </c>
      <c r="E280" s="1"/>
      <c r="F280">
        <v>7</v>
      </c>
      <c r="G280">
        <v>23</v>
      </c>
      <c r="H280" t="str">
        <f>VLOOKUP(G280,'Hilfetabelle Region'!$A$17:$B$19,2,)</f>
        <v>Privatkunde</v>
      </c>
    </row>
    <row r="281" spans="1:8" x14ac:dyDescent="0.35">
      <c r="A281">
        <v>280</v>
      </c>
      <c r="B281" t="str">
        <f>VLOOKUP(F281,'Hilfetabelle Region'!$A$2:$C$14,2,FALSE)</f>
        <v>Asien</v>
      </c>
      <c r="C281" t="str">
        <f t="shared" si="4"/>
        <v>Geschäftskunde</v>
      </c>
      <c r="E281" s="1"/>
      <c r="F281">
        <v>12</v>
      </c>
      <c r="G281">
        <v>23</v>
      </c>
      <c r="H281" t="str">
        <f>VLOOKUP(G281,'Hilfetabelle Region'!$A$17:$B$19,2,)</f>
        <v>Privatkunde</v>
      </c>
    </row>
    <row r="282" spans="1:8" x14ac:dyDescent="0.35">
      <c r="A282">
        <v>281</v>
      </c>
      <c r="B282" t="str">
        <f>VLOOKUP(F282,'Hilfetabelle Region'!$A$2:$C$14,2,FALSE)</f>
        <v>Europa</v>
      </c>
      <c r="C282" t="str">
        <f t="shared" si="4"/>
        <v>Geschäftskunde</v>
      </c>
      <c r="E282" s="1"/>
      <c r="F282">
        <v>1</v>
      </c>
      <c r="G282">
        <v>22</v>
      </c>
      <c r="H282" t="str">
        <f>VLOOKUP(G282,'Hilfetabelle Region'!$A$17:$B$19,2,)</f>
        <v>Geschäftskunde</v>
      </c>
    </row>
    <row r="283" spans="1:8" x14ac:dyDescent="0.35">
      <c r="A283">
        <v>282</v>
      </c>
      <c r="B283" t="str">
        <f>VLOOKUP(F283,'Hilfetabelle Region'!$A$2:$C$14,2,FALSE)</f>
        <v>Europa</v>
      </c>
      <c r="C283" t="str">
        <f t="shared" si="4"/>
        <v>Geschäftskunde</v>
      </c>
      <c r="E283" s="1"/>
      <c r="F283">
        <v>2</v>
      </c>
      <c r="G283">
        <v>21</v>
      </c>
      <c r="H283" t="str">
        <f>VLOOKUP(G283,'Hilfetabelle Region'!$A$17:$B$19,2,)</f>
        <v>Geschäftskunde</v>
      </c>
    </row>
    <row r="284" spans="1:8" x14ac:dyDescent="0.35">
      <c r="A284">
        <v>283</v>
      </c>
      <c r="B284" t="str">
        <f>VLOOKUP(F284,'Hilfetabelle Region'!$A$2:$C$14,2,FALSE)</f>
        <v>Nordamerika</v>
      </c>
      <c r="C284" t="str">
        <f t="shared" si="4"/>
        <v>Geschäftskunde</v>
      </c>
      <c r="E284" s="1"/>
      <c r="F284">
        <v>8</v>
      </c>
      <c r="G284">
        <v>22</v>
      </c>
      <c r="H284" t="str">
        <f>VLOOKUP(G284,'Hilfetabelle Region'!$A$17:$B$19,2,)</f>
        <v>Geschäftskunde</v>
      </c>
    </row>
    <row r="285" spans="1:8" x14ac:dyDescent="0.35">
      <c r="A285">
        <v>284</v>
      </c>
      <c r="B285" t="str">
        <f>VLOOKUP(F285,'Hilfetabelle Region'!$A$2:$C$14,2,FALSE)</f>
        <v>Nordamerika</v>
      </c>
      <c r="C285" t="str">
        <f t="shared" si="4"/>
        <v>Geschäftskunde</v>
      </c>
      <c r="E285" s="1"/>
      <c r="F285">
        <v>8</v>
      </c>
      <c r="G285">
        <v>21</v>
      </c>
      <c r="H285" t="str">
        <f>VLOOKUP(G285,'Hilfetabelle Region'!$A$17:$B$19,2,)</f>
        <v>Geschäftskunde</v>
      </c>
    </row>
    <row r="286" spans="1:8" x14ac:dyDescent="0.35">
      <c r="A286">
        <v>285</v>
      </c>
      <c r="B286" t="str">
        <f>VLOOKUP(F286,'Hilfetabelle Region'!$A$2:$C$14,2,FALSE)</f>
        <v>Europa</v>
      </c>
      <c r="C286" t="str">
        <f t="shared" si="4"/>
        <v>Privatkunde</v>
      </c>
      <c r="E286" s="1"/>
      <c r="F286">
        <v>4</v>
      </c>
      <c r="G286">
        <v>23</v>
      </c>
      <c r="H286" t="str">
        <f>VLOOKUP(G286,'Hilfetabelle Region'!$A$17:$B$19,2,)</f>
        <v>Privatkunde</v>
      </c>
    </row>
    <row r="287" spans="1:8" x14ac:dyDescent="0.35">
      <c r="A287">
        <v>286</v>
      </c>
      <c r="B287" t="str">
        <f>VLOOKUP(F287,'Hilfetabelle Region'!$A$2:$C$14,2,FALSE)</f>
        <v>Lateinamerika</v>
      </c>
      <c r="C287" t="str">
        <f t="shared" si="4"/>
        <v>Geschäftskunde</v>
      </c>
      <c r="E287" s="1"/>
      <c r="F287">
        <v>10</v>
      </c>
      <c r="G287">
        <v>21</v>
      </c>
      <c r="H287" t="str">
        <f>VLOOKUP(G287,'Hilfetabelle Region'!$A$17:$B$19,2,)</f>
        <v>Geschäftskunde</v>
      </c>
    </row>
    <row r="288" spans="1:8" x14ac:dyDescent="0.35">
      <c r="A288">
        <v>287</v>
      </c>
      <c r="B288" t="str">
        <f>VLOOKUP(F288,'Hilfetabelle Region'!$A$2:$C$14,2,FALSE)</f>
        <v>Europa</v>
      </c>
      <c r="C288" t="str">
        <f t="shared" si="4"/>
        <v>Privatkunde</v>
      </c>
      <c r="E288" s="1"/>
      <c r="F288">
        <v>4</v>
      </c>
      <c r="G288">
        <v>23</v>
      </c>
      <c r="H288" t="str">
        <f>VLOOKUP(G288,'Hilfetabelle Region'!$A$17:$B$19,2,)</f>
        <v>Privatkunde</v>
      </c>
    </row>
    <row r="289" spans="1:8" x14ac:dyDescent="0.35">
      <c r="A289">
        <v>288</v>
      </c>
      <c r="B289" t="str">
        <f>VLOOKUP(F289,'Hilfetabelle Region'!$A$2:$C$14,2,FALSE)</f>
        <v>Europa</v>
      </c>
      <c r="C289" t="str">
        <f t="shared" si="4"/>
        <v>Privatkunde</v>
      </c>
      <c r="E289" s="1"/>
      <c r="F289">
        <v>3</v>
      </c>
      <c r="G289">
        <v>23</v>
      </c>
      <c r="H289" t="str">
        <f>VLOOKUP(G289,'Hilfetabelle Region'!$A$17:$B$19,2,)</f>
        <v>Privatkunde</v>
      </c>
    </row>
    <row r="290" spans="1:8" x14ac:dyDescent="0.35">
      <c r="A290">
        <v>289</v>
      </c>
      <c r="B290" t="str">
        <f>VLOOKUP(F290,'Hilfetabelle Region'!$A$2:$C$14,2,FALSE)</f>
        <v>Europa</v>
      </c>
      <c r="C290" t="str">
        <f t="shared" si="4"/>
        <v>Geschäftskunde</v>
      </c>
      <c r="E290" s="1"/>
      <c r="F290">
        <v>1</v>
      </c>
      <c r="G290">
        <v>21</v>
      </c>
      <c r="H290" t="str">
        <f>VLOOKUP(G290,'Hilfetabelle Region'!$A$17:$B$19,2,)</f>
        <v>Geschäftskunde</v>
      </c>
    </row>
    <row r="291" spans="1:8" x14ac:dyDescent="0.35">
      <c r="A291">
        <v>290</v>
      </c>
      <c r="B291" t="str">
        <f>VLOOKUP(F291,'Hilfetabelle Region'!$A$2:$C$14,2,FALSE)</f>
        <v>Afrika</v>
      </c>
      <c r="C291" t="str">
        <f t="shared" si="4"/>
        <v>Geschäftskunde</v>
      </c>
      <c r="E291" s="1"/>
      <c r="F291">
        <v>11</v>
      </c>
      <c r="G291">
        <v>23</v>
      </c>
      <c r="H291" t="str">
        <f>VLOOKUP(G291,'Hilfetabelle Region'!$A$17:$B$19,2,)</f>
        <v>Privatkunde</v>
      </c>
    </row>
    <row r="292" spans="1:8" x14ac:dyDescent="0.35">
      <c r="A292">
        <v>291</v>
      </c>
      <c r="B292" t="str">
        <f>VLOOKUP(F292,'Hilfetabelle Region'!$A$2:$C$14,2,FALSE)</f>
        <v>Nordamerika</v>
      </c>
      <c r="C292" t="str">
        <f t="shared" si="4"/>
        <v>Geschäftskunde</v>
      </c>
      <c r="E292" s="1"/>
      <c r="F292">
        <v>8</v>
      </c>
      <c r="G292">
        <v>23</v>
      </c>
      <c r="H292" t="str">
        <f>VLOOKUP(G292,'Hilfetabelle Region'!$A$17:$B$19,2,)</f>
        <v>Privatkunde</v>
      </c>
    </row>
    <row r="293" spans="1:8" x14ac:dyDescent="0.35">
      <c r="A293">
        <v>292</v>
      </c>
      <c r="B293" t="str">
        <f>VLOOKUP(F293,'Hilfetabelle Region'!$A$2:$C$14,2,FALSE)</f>
        <v>Europa</v>
      </c>
      <c r="C293" t="str">
        <f t="shared" si="4"/>
        <v>Geschäftskunde</v>
      </c>
      <c r="E293" s="1"/>
      <c r="F293">
        <v>1</v>
      </c>
      <c r="G293">
        <v>21</v>
      </c>
      <c r="H293" t="str">
        <f>VLOOKUP(G293,'Hilfetabelle Region'!$A$17:$B$19,2,)</f>
        <v>Geschäftskunde</v>
      </c>
    </row>
    <row r="294" spans="1:8" x14ac:dyDescent="0.35">
      <c r="A294">
        <v>293</v>
      </c>
      <c r="B294" t="str">
        <f>VLOOKUP(F294,'Hilfetabelle Region'!$A$2:$C$14,2,FALSE)</f>
        <v>Europa</v>
      </c>
      <c r="C294" t="str">
        <f t="shared" si="4"/>
        <v>Geschäftskunde</v>
      </c>
      <c r="E294" s="1"/>
      <c r="F294">
        <v>6</v>
      </c>
      <c r="G294">
        <v>21</v>
      </c>
      <c r="H294" t="str">
        <f>VLOOKUP(G294,'Hilfetabelle Region'!$A$17:$B$19,2,)</f>
        <v>Geschäftskunde</v>
      </c>
    </row>
    <row r="295" spans="1:8" x14ac:dyDescent="0.35">
      <c r="A295">
        <v>294</v>
      </c>
      <c r="B295" t="str">
        <f>VLOOKUP(F295,'Hilfetabelle Region'!$A$2:$C$14,2,FALSE)</f>
        <v>Asien</v>
      </c>
      <c r="C295" t="str">
        <f t="shared" si="4"/>
        <v>Geschäftskunde</v>
      </c>
      <c r="E295" s="1"/>
      <c r="F295">
        <v>12</v>
      </c>
      <c r="G295">
        <v>22</v>
      </c>
      <c r="H295" t="str">
        <f>VLOOKUP(G295,'Hilfetabelle Region'!$A$17:$B$19,2,)</f>
        <v>Geschäftskunde</v>
      </c>
    </row>
    <row r="296" spans="1:8" x14ac:dyDescent="0.35">
      <c r="A296">
        <v>295</v>
      </c>
      <c r="B296" t="str">
        <f>VLOOKUP(F296,'Hilfetabelle Region'!$A$2:$C$14,2,FALSE)</f>
        <v>Asien</v>
      </c>
      <c r="C296" t="str">
        <f t="shared" si="4"/>
        <v>Geschäftskunde</v>
      </c>
      <c r="E296" s="1"/>
      <c r="F296">
        <v>13</v>
      </c>
      <c r="G296">
        <v>21</v>
      </c>
      <c r="H296" t="str">
        <f>VLOOKUP(G296,'Hilfetabelle Region'!$A$17:$B$19,2,)</f>
        <v>Geschäftskunde</v>
      </c>
    </row>
    <row r="297" spans="1:8" x14ac:dyDescent="0.35">
      <c r="A297">
        <v>296</v>
      </c>
      <c r="B297" t="str">
        <f>VLOOKUP(F297,'Hilfetabelle Region'!$A$2:$C$14,2,FALSE)</f>
        <v>Europa</v>
      </c>
      <c r="C297" t="str">
        <f t="shared" si="4"/>
        <v>Geschäftskunde</v>
      </c>
      <c r="E297" s="1"/>
      <c r="F297">
        <v>5</v>
      </c>
      <c r="G297">
        <v>21</v>
      </c>
      <c r="H297" t="str">
        <f>VLOOKUP(G297,'Hilfetabelle Region'!$A$17:$B$19,2,)</f>
        <v>Geschäftskunde</v>
      </c>
    </row>
    <row r="298" spans="1:8" x14ac:dyDescent="0.35">
      <c r="A298">
        <v>297</v>
      </c>
      <c r="B298" t="str">
        <f>VLOOKUP(F298,'Hilfetabelle Region'!$A$2:$C$14,2,FALSE)</f>
        <v>Europa</v>
      </c>
      <c r="C298" t="str">
        <f t="shared" si="4"/>
        <v>Privatkunde</v>
      </c>
      <c r="E298" s="1"/>
      <c r="F298">
        <v>3</v>
      </c>
      <c r="G298">
        <v>23</v>
      </c>
      <c r="H298" t="str">
        <f>VLOOKUP(G298,'Hilfetabelle Region'!$A$17:$B$19,2,)</f>
        <v>Privatkunde</v>
      </c>
    </row>
    <row r="299" spans="1:8" x14ac:dyDescent="0.35">
      <c r="A299">
        <v>298</v>
      </c>
      <c r="B299" t="str">
        <f>VLOOKUP(F299,'Hilfetabelle Region'!$A$2:$C$14,2,FALSE)</f>
        <v>Asien</v>
      </c>
      <c r="C299" t="str">
        <f t="shared" si="4"/>
        <v>Geschäftskunde</v>
      </c>
      <c r="E299" s="1"/>
      <c r="F299">
        <v>13</v>
      </c>
      <c r="G299">
        <v>22</v>
      </c>
      <c r="H299" t="str">
        <f>VLOOKUP(G299,'Hilfetabelle Region'!$A$17:$B$19,2,)</f>
        <v>Geschäftskunde</v>
      </c>
    </row>
    <row r="300" spans="1:8" x14ac:dyDescent="0.35">
      <c r="A300">
        <v>299</v>
      </c>
      <c r="B300" t="str">
        <f>VLOOKUP(F300,'Hilfetabelle Region'!$A$2:$C$14,2,FALSE)</f>
        <v>Afrika</v>
      </c>
      <c r="C300" t="str">
        <f t="shared" si="4"/>
        <v>Geschäftskunde</v>
      </c>
      <c r="E300" s="1"/>
      <c r="F300">
        <v>11</v>
      </c>
      <c r="G300">
        <v>22</v>
      </c>
      <c r="H300" t="str">
        <f>VLOOKUP(G300,'Hilfetabelle Region'!$A$17:$B$19,2,)</f>
        <v>Geschäftskunde</v>
      </c>
    </row>
    <row r="301" spans="1:8" x14ac:dyDescent="0.35">
      <c r="A301">
        <v>300</v>
      </c>
      <c r="B301" t="str">
        <f>VLOOKUP(F301,'Hilfetabelle Region'!$A$2:$C$14,2,FALSE)</f>
        <v>Afrika</v>
      </c>
      <c r="C301" t="str">
        <f t="shared" si="4"/>
        <v>Geschäftskunde</v>
      </c>
      <c r="E301" s="1"/>
      <c r="F301">
        <v>11</v>
      </c>
      <c r="G301">
        <v>22</v>
      </c>
      <c r="H301" t="str">
        <f>VLOOKUP(G301,'Hilfetabelle Region'!$A$17:$B$19,2,)</f>
        <v>Geschäftskunde</v>
      </c>
    </row>
    <row r="302" spans="1:8" x14ac:dyDescent="0.35">
      <c r="A302">
        <v>301</v>
      </c>
      <c r="B302" t="str">
        <f>VLOOKUP(F302,'Hilfetabelle Region'!$A$2:$C$14,2,FALSE)</f>
        <v>Europa</v>
      </c>
      <c r="C302" t="str">
        <f t="shared" si="4"/>
        <v>Geschäftskunde</v>
      </c>
      <c r="E302" s="1"/>
      <c r="F302">
        <v>6</v>
      </c>
      <c r="G302">
        <v>21</v>
      </c>
      <c r="H302" t="str">
        <f>VLOOKUP(G302,'Hilfetabelle Region'!$A$17:$B$19,2,)</f>
        <v>Geschäftskunde</v>
      </c>
    </row>
    <row r="303" spans="1:8" x14ac:dyDescent="0.35">
      <c r="A303">
        <v>302</v>
      </c>
      <c r="B303" t="str">
        <f>VLOOKUP(F303,'Hilfetabelle Region'!$A$2:$C$14,2,FALSE)</f>
        <v>Asien</v>
      </c>
      <c r="C303" t="str">
        <f t="shared" si="4"/>
        <v>Geschäftskunde</v>
      </c>
      <c r="E303" s="1"/>
      <c r="F303">
        <v>12</v>
      </c>
      <c r="G303">
        <v>23</v>
      </c>
      <c r="H303" t="str">
        <f>VLOOKUP(G303,'Hilfetabelle Region'!$A$17:$B$19,2,)</f>
        <v>Privatkunde</v>
      </c>
    </row>
    <row r="304" spans="1:8" x14ac:dyDescent="0.35">
      <c r="A304">
        <v>303</v>
      </c>
      <c r="B304" t="str">
        <f>VLOOKUP(F304,'Hilfetabelle Region'!$A$2:$C$14,2,FALSE)</f>
        <v>Nordamerika</v>
      </c>
      <c r="C304" t="str">
        <f t="shared" si="4"/>
        <v>Geschäftskunde</v>
      </c>
      <c r="E304" s="1"/>
      <c r="F304">
        <v>9</v>
      </c>
      <c r="G304">
        <v>22</v>
      </c>
      <c r="H304" t="str">
        <f>VLOOKUP(G304,'Hilfetabelle Region'!$A$17:$B$19,2,)</f>
        <v>Geschäftskunde</v>
      </c>
    </row>
    <row r="305" spans="1:8" x14ac:dyDescent="0.35">
      <c r="A305">
        <v>304</v>
      </c>
      <c r="B305" t="str">
        <f>VLOOKUP(F305,'Hilfetabelle Region'!$A$2:$C$14,2,FALSE)</f>
        <v>Nordamerika</v>
      </c>
      <c r="C305" t="str">
        <f t="shared" si="4"/>
        <v>Geschäftskunde</v>
      </c>
      <c r="E305" s="1"/>
      <c r="F305">
        <v>8</v>
      </c>
      <c r="G305">
        <v>21</v>
      </c>
      <c r="H305" t="str">
        <f>VLOOKUP(G305,'Hilfetabelle Region'!$A$17:$B$19,2,)</f>
        <v>Geschäftskunde</v>
      </c>
    </row>
    <row r="306" spans="1:8" x14ac:dyDescent="0.35">
      <c r="A306">
        <v>305</v>
      </c>
      <c r="B306" t="str">
        <f>VLOOKUP(F306,'Hilfetabelle Region'!$A$2:$C$14,2,FALSE)</f>
        <v>Europa</v>
      </c>
      <c r="C306" t="str">
        <f t="shared" si="4"/>
        <v>Geschäftskunde</v>
      </c>
      <c r="E306" s="1"/>
      <c r="F306">
        <v>1</v>
      </c>
      <c r="G306">
        <v>21</v>
      </c>
      <c r="H306" t="str">
        <f>VLOOKUP(G306,'Hilfetabelle Region'!$A$17:$B$19,2,)</f>
        <v>Geschäftskunde</v>
      </c>
    </row>
    <row r="307" spans="1:8" x14ac:dyDescent="0.35">
      <c r="A307">
        <v>306</v>
      </c>
      <c r="B307" t="str">
        <f>VLOOKUP(F307,'Hilfetabelle Region'!$A$2:$C$14,2,FALSE)</f>
        <v>Europa</v>
      </c>
      <c r="C307" t="str">
        <f t="shared" si="4"/>
        <v>Geschäftskunde</v>
      </c>
      <c r="E307" s="1"/>
      <c r="F307">
        <v>3</v>
      </c>
      <c r="G307">
        <v>22</v>
      </c>
      <c r="H307" t="str">
        <f>VLOOKUP(G307,'Hilfetabelle Region'!$A$17:$B$19,2,)</f>
        <v>Geschäftskunde</v>
      </c>
    </row>
    <row r="308" spans="1:8" x14ac:dyDescent="0.35">
      <c r="A308">
        <v>307</v>
      </c>
      <c r="B308" t="str">
        <f>VLOOKUP(F308,'Hilfetabelle Region'!$A$2:$C$14,2,FALSE)</f>
        <v>Nordamerika</v>
      </c>
      <c r="C308" t="str">
        <f t="shared" si="4"/>
        <v>Geschäftskunde</v>
      </c>
      <c r="E308" s="1"/>
      <c r="F308">
        <v>7</v>
      </c>
      <c r="G308">
        <v>22</v>
      </c>
      <c r="H308" t="str">
        <f>VLOOKUP(G308,'Hilfetabelle Region'!$A$17:$B$19,2,)</f>
        <v>Geschäftskunde</v>
      </c>
    </row>
    <row r="309" spans="1:8" x14ac:dyDescent="0.35">
      <c r="A309">
        <v>308</v>
      </c>
      <c r="B309" t="str">
        <f>VLOOKUP(F309,'Hilfetabelle Region'!$A$2:$C$14,2,FALSE)</f>
        <v>Europa</v>
      </c>
      <c r="C309" t="str">
        <f t="shared" si="4"/>
        <v>Geschäftskunde</v>
      </c>
      <c r="E309" s="1"/>
      <c r="F309">
        <v>2</v>
      </c>
      <c r="G309">
        <v>22</v>
      </c>
      <c r="H309" t="str">
        <f>VLOOKUP(G309,'Hilfetabelle Region'!$A$17:$B$19,2,)</f>
        <v>Geschäftskunde</v>
      </c>
    </row>
    <row r="310" spans="1:8" x14ac:dyDescent="0.35">
      <c r="A310">
        <v>309</v>
      </c>
      <c r="B310" t="str">
        <f>VLOOKUP(F310,'Hilfetabelle Region'!$A$2:$C$14,2,FALSE)</f>
        <v>Lateinamerika</v>
      </c>
      <c r="C310" t="str">
        <f t="shared" si="4"/>
        <v>Geschäftskunde</v>
      </c>
      <c r="E310" s="1"/>
      <c r="F310">
        <v>10</v>
      </c>
      <c r="G310">
        <v>21</v>
      </c>
      <c r="H310" t="str">
        <f>VLOOKUP(G310,'Hilfetabelle Region'!$A$17:$B$19,2,)</f>
        <v>Geschäftskunde</v>
      </c>
    </row>
    <row r="311" spans="1:8" x14ac:dyDescent="0.35">
      <c r="A311">
        <v>310</v>
      </c>
      <c r="B311" t="str">
        <f>VLOOKUP(F311,'Hilfetabelle Region'!$A$2:$C$14,2,FALSE)</f>
        <v>Europa</v>
      </c>
      <c r="C311" t="str">
        <f t="shared" si="4"/>
        <v>Geschäftskunde</v>
      </c>
      <c r="E311" s="1"/>
      <c r="F311">
        <v>3</v>
      </c>
      <c r="G311">
        <v>22</v>
      </c>
      <c r="H311" t="str">
        <f>VLOOKUP(G311,'Hilfetabelle Region'!$A$17:$B$19,2,)</f>
        <v>Geschäftskunde</v>
      </c>
    </row>
    <row r="312" spans="1:8" x14ac:dyDescent="0.35">
      <c r="A312">
        <v>311</v>
      </c>
      <c r="B312" t="str">
        <f>VLOOKUP(F312,'Hilfetabelle Region'!$A$2:$C$14,2,FALSE)</f>
        <v>Europa</v>
      </c>
      <c r="C312" t="str">
        <f t="shared" si="4"/>
        <v>Geschäftskunde</v>
      </c>
      <c r="E312" s="1"/>
      <c r="F312">
        <v>2</v>
      </c>
      <c r="G312">
        <v>22</v>
      </c>
      <c r="H312" t="str">
        <f>VLOOKUP(G312,'Hilfetabelle Region'!$A$17:$B$19,2,)</f>
        <v>Geschäftskunde</v>
      </c>
    </row>
    <row r="313" spans="1:8" x14ac:dyDescent="0.35">
      <c r="A313">
        <v>312</v>
      </c>
      <c r="B313" t="str">
        <f>VLOOKUP(F313,'Hilfetabelle Region'!$A$2:$C$14,2,FALSE)</f>
        <v>Nordamerika</v>
      </c>
      <c r="C313" t="str">
        <f t="shared" si="4"/>
        <v>Geschäftskunde</v>
      </c>
      <c r="E313" s="1"/>
      <c r="F313">
        <v>7</v>
      </c>
      <c r="G313">
        <v>22</v>
      </c>
      <c r="H313" t="str">
        <f>VLOOKUP(G313,'Hilfetabelle Region'!$A$17:$B$19,2,)</f>
        <v>Geschäftskunde</v>
      </c>
    </row>
    <row r="314" spans="1:8" x14ac:dyDescent="0.35">
      <c r="A314">
        <v>313</v>
      </c>
      <c r="B314" t="str">
        <f>VLOOKUP(F314,'Hilfetabelle Region'!$A$2:$C$14,2,FALSE)</f>
        <v>Lateinamerika</v>
      </c>
      <c r="C314" t="str">
        <f t="shared" si="4"/>
        <v>Geschäftskunde</v>
      </c>
      <c r="E314" s="1"/>
      <c r="F314">
        <v>10</v>
      </c>
      <c r="G314">
        <v>22</v>
      </c>
      <c r="H314" t="str">
        <f>VLOOKUP(G314,'Hilfetabelle Region'!$A$17:$B$19,2,)</f>
        <v>Geschäftskunde</v>
      </c>
    </row>
    <row r="315" spans="1:8" x14ac:dyDescent="0.35">
      <c r="A315">
        <v>314</v>
      </c>
      <c r="B315" t="str">
        <f>VLOOKUP(F315,'Hilfetabelle Region'!$A$2:$C$14,2,FALSE)</f>
        <v>Lateinamerika</v>
      </c>
      <c r="C315" t="str">
        <f t="shared" si="4"/>
        <v>Geschäftskunde</v>
      </c>
      <c r="E315" s="1"/>
      <c r="F315">
        <v>10</v>
      </c>
      <c r="G315">
        <v>21</v>
      </c>
      <c r="H315" t="str">
        <f>VLOOKUP(G315,'Hilfetabelle Region'!$A$17:$B$19,2,)</f>
        <v>Geschäftskunde</v>
      </c>
    </row>
    <row r="316" spans="1:8" x14ac:dyDescent="0.35">
      <c r="A316">
        <v>315</v>
      </c>
      <c r="B316" t="str">
        <f>VLOOKUP(F316,'Hilfetabelle Region'!$A$2:$C$14,2,FALSE)</f>
        <v>Nordamerika</v>
      </c>
      <c r="C316" t="str">
        <f t="shared" si="4"/>
        <v>Geschäftskunde</v>
      </c>
      <c r="E316" s="1"/>
      <c r="F316">
        <v>8</v>
      </c>
      <c r="G316">
        <v>22</v>
      </c>
      <c r="H316" t="str">
        <f>VLOOKUP(G316,'Hilfetabelle Region'!$A$17:$B$19,2,)</f>
        <v>Geschäftskunde</v>
      </c>
    </row>
    <row r="317" spans="1:8" x14ac:dyDescent="0.35">
      <c r="A317">
        <v>316</v>
      </c>
      <c r="B317" t="str">
        <f>VLOOKUP(F317,'Hilfetabelle Region'!$A$2:$C$14,2,FALSE)</f>
        <v>Asien</v>
      </c>
      <c r="C317" t="str">
        <f t="shared" si="4"/>
        <v>Geschäftskunde</v>
      </c>
      <c r="E317" s="1"/>
      <c r="F317">
        <v>13</v>
      </c>
      <c r="G317">
        <v>22</v>
      </c>
      <c r="H317" t="str">
        <f>VLOOKUP(G317,'Hilfetabelle Region'!$A$17:$B$19,2,)</f>
        <v>Geschäftskunde</v>
      </c>
    </row>
    <row r="318" spans="1:8" x14ac:dyDescent="0.35">
      <c r="A318">
        <v>317</v>
      </c>
      <c r="B318" t="str">
        <f>VLOOKUP(F318,'Hilfetabelle Region'!$A$2:$C$14,2,FALSE)</f>
        <v>Europa</v>
      </c>
      <c r="C318" t="str">
        <f t="shared" si="4"/>
        <v>Geschäftskunde</v>
      </c>
      <c r="E318" s="1"/>
      <c r="F318">
        <v>1</v>
      </c>
      <c r="G318">
        <v>22</v>
      </c>
      <c r="H318" t="str">
        <f>VLOOKUP(G318,'Hilfetabelle Region'!$A$17:$B$19,2,)</f>
        <v>Geschäftskunde</v>
      </c>
    </row>
    <row r="319" spans="1:8" x14ac:dyDescent="0.35">
      <c r="A319">
        <v>318</v>
      </c>
      <c r="B319" t="str">
        <f>VLOOKUP(F319,'Hilfetabelle Region'!$A$2:$C$14,2,FALSE)</f>
        <v>Europa</v>
      </c>
      <c r="C319" t="str">
        <f t="shared" si="4"/>
        <v>Geschäftskunde</v>
      </c>
      <c r="E319" s="1"/>
      <c r="F319">
        <v>1</v>
      </c>
      <c r="G319">
        <v>22</v>
      </c>
      <c r="H319" t="str">
        <f>VLOOKUP(G319,'Hilfetabelle Region'!$A$17:$B$19,2,)</f>
        <v>Geschäftskunde</v>
      </c>
    </row>
    <row r="320" spans="1:8" x14ac:dyDescent="0.35">
      <c r="A320">
        <v>319</v>
      </c>
      <c r="B320" t="str">
        <f>VLOOKUP(F320,'Hilfetabelle Region'!$A$2:$C$14,2,FALSE)</f>
        <v>Asien</v>
      </c>
      <c r="C320" t="str">
        <f t="shared" si="4"/>
        <v>Geschäftskunde</v>
      </c>
      <c r="E320" s="1"/>
      <c r="F320">
        <v>13</v>
      </c>
      <c r="G320">
        <v>22</v>
      </c>
      <c r="H320" t="str">
        <f>VLOOKUP(G320,'Hilfetabelle Region'!$A$17:$B$19,2,)</f>
        <v>Geschäftskunde</v>
      </c>
    </row>
    <row r="321" spans="1:8" x14ac:dyDescent="0.35">
      <c r="A321">
        <v>320</v>
      </c>
      <c r="B321" t="str">
        <f>VLOOKUP(F321,'Hilfetabelle Region'!$A$2:$C$14,2,FALSE)</f>
        <v>Europa</v>
      </c>
      <c r="C321" t="str">
        <f t="shared" si="4"/>
        <v>Privatkunde</v>
      </c>
      <c r="E321" s="1"/>
      <c r="F321">
        <v>2</v>
      </c>
      <c r="G321">
        <v>23</v>
      </c>
      <c r="H321" t="str">
        <f>VLOOKUP(G321,'Hilfetabelle Region'!$A$17:$B$19,2,)</f>
        <v>Privatkunde</v>
      </c>
    </row>
    <row r="322" spans="1:8" x14ac:dyDescent="0.35">
      <c r="A322">
        <v>321</v>
      </c>
      <c r="B322" t="str">
        <f>VLOOKUP(F322,'Hilfetabelle Region'!$A$2:$C$14,2,FALSE)</f>
        <v>Asien</v>
      </c>
      <c r="C322" t="str">
        <f t="shared" si="4"/>
        <v>Geschäftskunde</v>
      </c>
      <c r="E322" s="1"/>
      <c r="F322">
        <v>13</v>
      </c>
      <c r="G322">
        <v>21</v>
      </c>
      <c r="H322" t="str">
        <f>VLOOKUP(G322,'Hilfetabelle Region'!$A$17:$B$19,2,)</f>
        <v>Geschäftskunde</v>
      </c>
    </row>
    <row r="323" spans="1:8" x14ac:dyDescent="0.35">
      <c r="A323">
        <v>322</v>
      </c>
      <c r="B323" t="str">
        <f>VLOOKUP(F323,'Hilfetabelle Region'!$A$2:$C$14,2,FALSE)</f>
        <v>Europa</v>
      </c>
      <c r="C323" t="str">
        <f t="shared" ref="C323:C386" si="5">IF(B323="Europa",H323,"Geschäftskunde")</f>
        <v>Geschäftskunde</v>
      </c>
      <c r="E323" s="1"/>
      <c r="F323">
        <v>3</v>
      </c>
      <c r="G323">
        <v>22</v>
      </c>
      <c r="H323" t="str">
        <f>VLOOKUP(G323,'Hilfetabelle Region'!$A$17:$B$19,2,)</f>
        <v>Geschäftskunde</v>
      </c>
    </row>
    <row r="324" spans="1:8" x14ac:dyDescent="0.35">
      <c r="A324">
        <v>323</v>
      </c>
      <c r="B324" t="str">
        <f>VLOOKUP(F324,'Hilfetabelle Region'!$A$2:$C$14,2,FALSE)</f>
        <v>Lateinamerika</v>
      </c>
      <c r="C324" t="str">
        <f t="shared" si="5"/>
        <v>Geschäftskunde</v>
      </c>
      <c r="E324" s="1"/>
      <c r="F324">
        <v>10</v>
      </c>
      <c r="G324">
        <v>23</v>
      </c>
      <c r="H324" t="str">
        <f>VLOOKUP(G324,'Hilfetabelle Region'!$A$17:$B$19,2,)</f>
        <v>Privatkunde</v>
      </c>
    </row>
    <row r="325" spans="1:8" x14ac:dyDescent="0.35">
      <c r="A325">
        <v>324</v>
      </c>
      <c r="B325" t="str">
        <f>VLOOKUP(F325,'Hilfetabelle Region'!$A$2:$C$14,2,FALSE)</f>
        <v>Nordamerika</v>
      </c>
      <c r="C325" t="str">
        <f t="shared" si="5"/>
        <v>Geschäftskunde</v>
      </c>
      <c r="E325" s="1"/>
      <c r="F325">
        <v>8</v>
      </c>
      <c r="G325">
        <v>23</v>
      </c>
      <c r="H325" t="str">
        <f>VLOOKUP(G325,'Hilfetabelle Region'!$A$17:$B$19,2,)</f>
        <v>Privatkunde</v>
      </c>
    </row>
    <row r="326" spans="1:8" x14ac:dyDescent="0.35">
      <c r="A326">
        <v>325</v>
      </c>
      <c r="B326" t="str">
        <f>VLOOKUP(F326,'Hilfetabelle Region'!$A$2:$C$14,2,FALSE)</f>
        <v>Lateinamerika</v>
      </c>
      <c r="C326" t="str">
        <f t="shared" si="5"/>
        <v>Geschäftskunde</v>
      </c>
      <c r="E326" s="1"/>
      <c r="F326">
        <v>10</v>
      </c>
      <c r="G326">
        <v>21</v>
      </c>
      <c r="H326" t="str">
        <f>VLOOKUP(G326,'Hilfetabelle Region'!$A$17:$B$19,2,)</f>
        <v>Geschäftskunde</v>
      </c>
    </row>
    <row r="327" spans="1:8" x14ac:dyDescent="0.35">
      <c r="A327">
        <v>326</v>
      </c>
      <c r="B327" t="str">
        <f>VLOOKUP(F327,'Hilfetabelle Region'!$A$2:$C$14,2,FALSE)</f>
        <v>Europa</v>
      </c>
      <c r="C327" t="str">
        <f t="shared" si="5"/>
        <v>Privatkunde</v>
      </c>
      <c r="E327" s="1"/>
      <c r="F327">
        <v>1</v>
      </c>
      <c r="G327">
        <v>23</v>
      </c>
      <c r="H327" t="str">
        <f>VLOOKUP(G327,'Hilfetabelle Region'!$A$17:$B$19,2,)</f>
        <v>Privatkunde</v>
      </c>
    </row>
    <row r="328" spans="1:8" x14ac:dyDescent="0.35">
      <c r="A328">
        <v>327</v>
      </c>
      <c r="B328" t="str">
        <f>VLOOKUP(F328,'Hilfetabelle Region'!$A$2:$C$14,2,FALSE)</f>
        <v>Europa</v>
      </c>
      <c r="C328" t="str">
        <f t="shared" si="5"/>
        <v>Geschäftskunde</v>
      </c>
      <c r="E328" s="1"/>
      <c r="F328">
        <v>1</v>
      </c>
      <c r="G328">
        <v>22</v>
      </c>
      <c r="H328" t="str">
        <f>VLOOKUP(G328,'Hilfetabelle Region'!$A$17:$B$19,2,)</f>
        <v>Geschäftskunde</v>
      </c>
    </row>
    <row r="329" spans="1:8" x14ac:dyDescent="0.35">
      <c r="A329">
        <v>328</v>
      </c>
      <c r="B329" t="str">
        <f>VLOOKUP(F329,'Hilfetabelle Region'!$A$2:$C$14,2,FALSE)</f>
        <v>Europa</v>
      </c>
      <c r="C329" t="str">
        <f t="shared" si="5"/>
        <v>Geschäftskunde</v>
      </c>
      <c r="E329" s="1"/>
      <c r="F329">
        <v>2</v>
      </c>
      <c r="G329">
        <v>22</v>
      </c>
      <c r="H329" t="str">
        <f>VLOOKUP(G329,'Hilfetabelle Region'!$A$17:$B$19,2,)</f>
        <v>Geschäftskunde</v>
      </c>
    </row>
    <row r="330" spans="1:8" x14ac:dyDescent="0.35">
      <c r="A330">
        <v>329</v>
      </c>
      <c r="B330" t="str">
        <f>VLOOKUP(F330,'Hilfetabelle Region'!$A$2:$C$14,2,FALSE)</f>
        <v>Nordamerika</v>
      </c>
      <c r="C330" t="str">
        <f t="shared" si="5"/>
        <v>Geschäftskunde</v>
      </c>
      <c r="E330" s="1"/>
      <c r="F330">
        <v>9</v>
      </c>
      <c r="G330">
        <v>23</v>
      </c>
      <c r="H330" t="str">
        <f>VLOOKUP(G330,'Hilfetabelle Region'!$A$17:$B$19,2,)</f>
        <v>Privatkunde</v>
      </c>
    </row>
    <row r="331" spans="1:8" x14ac:dyDescent="0.35">
      <c r="A331">
        <v>330</v>
      </c>
      <c r="B331" t="str">
        <f>VLOOKUP(F331,'Hilfetabelle Region'!$A$2:$C$14,2,FALSE)</f>
        <v>Asien</v>
      </c>
      <c r="C331" t="str">
        <f t="shared" si="5"/>
        <v>Geschäftskunde</v>
      </c>
      <c r="E331" s="1"/>
      <c r="F331">
        <v>13</v>
      </c>
      <c r="G331">
        <v>22</v>
      </c>
      <c r="H331" t="str">
        <f>VLOOKUP(G331,'Hilfetabelle Region'!$A$17:$B$19,2,)</f>
        <v>Geschäftskunde</v>
      </c>
    </row>
    <row r="332" spans="1:8" x14ac:dyDescent="0.35">
      <c r="A332">
        <v>331</v>
      </c>
      <c r="B332" t="str">
        <f>VLOOKUP(F332,'Hilfetabelle Region'!$A$2:$C$14,2,FALSE)</f>
        <v>Europa</v>
      </c>
      <c r="C332" t="str">
        <f t="shared" si="5"/>
        <v>Geschäftskunde</v>
      </c>
      <c r="E332" s="1"/>
      <c r="F332">
        <v>2</v>
      </c>
      <c r="G332">
        <v>22</v>
      </c>
      <c r="H332" t="str">
        <f>VLOOKUP(G332,'Hilfetabelle Region'!$A$17:$B$19,2,)</f>
        <v>Geschäftskunde</v>
      </c>
    </row>
    <row r="333" spans="1:8" x14ac:dyDescent="0.35">
      <c r="A333">
        <v>332</v>
      </c>
      <c r="B333" t="str">
        <f>VLOOKUP(F333,'Hilfetabelle Region'!$A$2:$C$14,2,FALSE)</f>
        <v>Nordamerika</v>
      </c>
      <c r="C333" t="str">
        <f t="shared" si="5"/>
        <v>Geschäftskunde</v>
      </c>
      <c r="E333" s="1"/>
      <c r="F333">
        <v>7</v>
      </c>
      <c r="G333">
        <v>23</v>
      </c>
      <c r="H333" t="str">
        <f>VLOOKUP(G333,'Hilfetabelle Region'!$A$17:$B$19,2,)</f>
        <v>Privatkunde</v>
      </c>
    </row>
    <row r="334" spans="1:8" x14ac:dyDescent="0.35">
      <c r="A334">
        <v>333</v>
      </c>
      <c r="B334" t="str">
        <f>VLOOKUP(F334,'Hilfetabelle Region'!$A$2:$C$14,2,FALSE)</f>
        <v>Europa</v>
      </c>
      <c r="C334" t="str">
        <f t="shared" si="5"/>
        <v>Privatkunde</v>
      </c>
      <c r="E334" s="1"/>
      <c r="F334">
        <v>5</v>
      </c>
      <c r="G334">
        <v>23</v>
      </c>
      <c r="H334" t="str">
        <f>VLOOKUP(G334,'Hilfetabelle Region'!$A$17:$B$19,2,)</f>
        <v>Privatkunde</v>
      </c>
    </row>
    <row r="335" spans="1:8" x14ac:dyDescent="0.35">
      <c r="A335">
        <v>334</v>
      </c>
      <c r="B335" t="str">
        <f>VLOOKUP(F335,'Hilfetabelle Region'!$A$2:$C$14,2,FALSE)</f>
        <v>Europa</v>
      </c>
      <c r="C335" t="str">
        <f t="shared" si="5"/>
        <v>Privatkunde</v>
      </c>
      <c r="E335" s="1"/>
      <c r="F335">
        <v>1</v>
      </c>
      <c r="G335">
        <v>23</v>
      </c>
      <c r="H335" t="str">
        <f>VLOOKUP(G335,'Hilfetabelle Region'!$A$17:$B$19,2,)</f>
        <v>Privatkunde</v>
      </c>
    </row>
    <row r="336" spans="1:8" x14ac:dyDescent="0.35">
      <c r="A336">
        <v>335</v>
      </c>
      <c r="B336" t="str">
        <f>VLOOKUP(F336,'Hilfetabelle Region'!$A$2:$C$14,2,FALSE)</f>
        <v>Europa</v>
      </c>
      <c r="C336" t="str">
        <f t="shared" si="5"/>
        <v>Geschäftskunde</v>
      </c>
      <c r="E336" s="1"/>
      <c r="F336">
        <v>1</v>
      </c>
      <c r="G336">
        <v>21</v>
      </c>
      <c r="H336" t="str">
        <f>VLOOKUP(G336,'Hilfetabelle Region'!$A$17:$B$19,2,)</f>
        <v>Geschäftskunde</v>
      </c>
    </row>
    <row r="337" spans="1:8" x14ac:dyDescent="0.35">
      <c r="A337">
        <v>336</v>
      </c>
      <c r="B337" t="str">
        <f>VLOOKUP(F337,'Hilfetabelle Region'!$A$2:$C$14,2,FALSE)</f>
        <v>Europa</v>
      </c>
      <c r="C337" t="str">
        <f t="shared" si="5"/>
        <v>Privatkunde</v>
      </c>
      <c r="E337" s="1"/>
      <c r="F337">
        <v>1</v>
      </c>
      <c r="G337">
        <v>23</v>
      </c>
      <c r="H337" t="str">
        <f>VLOOKUP(G337,'Hilfetabelle Region'!$A$17:$B$19,2,)</f>
        <v>Privatkunde</v>
      </c>
    </row>
    <row r="338" spans="1:8" x14ac:dyDescent="0.35">
      <c r="A338">
        <v>337</v>
      </c>
      <c r="B338" t="str">
        <f>VLOOKUP(F338,'Hilfetabelle Region'!$A$2:$C$14,2,FALSE)</f>
        <v>Europa</v>
      </c>
      <c r="C338" t="str">
        <f t="shared" si="5"/>
        <v>Geschäftskunde</v>
      </c>
      <c r="E338" s="1"/>
      <c r="F338">
        <v>1</v>
      </c>
      <c r="G338">
        <v>21</v>
      </c>
      <c r="H338" t="str">
        <f>VLOOKUP(G338,'Hilfetabelle Region'!$A$17:$B$19,2,)</f>
        <v>Geschäftskunde</v>
      </c>
    </row>
    <row r="339" spans="1:8" x14ac:dyDescent="0.35">
      <c r="A339">
        <v>338</v>
      </c>
      <c r="B339" t="str">
        <f>VLOOKUP(F339,'Hilfetabelle Region'!$A$2:$C$14,2,FALSE)</f>
        <v>Lateinamerika</v>
      </c>
      <c r="C339" t="str">
        <f t="shared" si="5"/>
        <v>Geschäftskunde</v>
      </c>
      <c r="E339" s="1"/>
      <c r="F339">
        <v>10</v>
      </c>
      <c r="G339">
        <v>22</v>
      </c>
      <c r="H339" t="str">
        <f>VLOOKUP(G339,'Hilfetabelle Region'!$A$17:$B$19,2,)</f>
        <v>Geschäftskunde</v>
      </c>
    </row>
    <row r="340" spans="1:8" x14ac:dyDescent="0.35">
      <c r="A340">
        <v>339</v>
      </c>
      <c r="B340" t="str">
        <f>VLOOKUP(F340,'Hilfetabelle Region'!$A$2:$C$14,2,FALSE)</f>
        <v>Asien</v>
      </c>
      <c r="C340" t="str">
        <f t="shared" si="5"/>
        <v>Geschäftskunde</v>
      </c>
      <c r="E340" s="1"/>
      <c r="F340">
        <v>12</v>
      </c>
      <c r="G340">
        <v>22</v>
      </c>
      <c r="H340" t="str">
        <f>VLOOKUP(G340,'Hilfetabelle Region'!$A$17:$B$19,2,)</f>
        <v>Geschäftskunde</v>
      </c>
    </row>
    <row r="341" spans="1:8" x14ac:dyDescent="0.35">
      <c r="A341">
        <v>340</v>
      </c>
      <c r="B341" t="str">
        <f>VLOOKUP(F341,'Hilfetabelle Region'!$A$2:$C$14,2,FALSE)</f>
        <v>Asien</v>
      </c>
      <c r="C341" t="str">
        <f t="shared" si="5"/>
        <v>Geschäftskunde</v>
      </c>
      <c r="E341" s="1"/>
      <c r="F341">
        <v>12</v>
      </c>
      <c r="G341">
        <v>21</v>
      </c>
      <c r="H341" t="str">
        <f>VLOOKUP(G341,'Hilfetabelle Region'!$A$17:$B$19,2,)</f>
        <v>Geschäftskunde</v>
      </c>
    </row>
    <row r="342" spans="1:8" x14ac:dyDescent="0.35">
      <c r="A342">
        <v>341</v>
      </c>
      <c r="B342" t="str">
        <f>VLOOKUP(F342,'Hilfetabelle Region'!$A$2:$C$14,2,FALSE)</f>
        <v>Europa</v>
      </c>
      <c r="C342" t="str">
        <f t="shared" si="5"/>
        <v>Privatkunde</v>
      </c>
      <c r="E342" s="1"/>
      <c r="F342">
        <v>3</v>
      </c>
      <c r="G342">
        <v>23</v>
      </c>
      <c r="H342" t="str">
        <f>VLOOKUP(G342,'Hilfetabelle Region'!$A$17:$B$19,2,)</f>
        <v>Privatkunde</v>
      </c>
    </row>
    <row r="343" spans="1:8" x14ac:dyDescent="0.35">
      <c r="A343">
        <v>342</v>
      </c>
      <c r="B343" t="str">
        <f>VLOOKUP(F343,'Hilfetabelle Region'!$A$2:$C$14,2,FALSE)</f>
        <v>Europa</v>
      </c>
      <c r="C343" t="str">
        <f t="shared" si="5"/>
        <v>Geschäftskunde</v>
      </c>
      <c r="E343" s="1"/>
      <c r="F343">
        <v>1</v>
      </c>
      <c r="G343">
        <v>22</v>
      </c>
      <c r="H343" t="str">
        <f>VLOOKUP(G343,'Hilfetabelle Region'!$A$17:$B$19,2,)</f>
        <v>Geschäftskunde</v>
      </c>
    </row>
    <row r="344" spans="1:8" x14ac:dyDescent="0.35">
      <c r="A344">
        <v>343</v>
      </c>
      <c r="B344" t="str">
        <f>VLOOKUP(F344,'Hilfetabelle Region'!$A$2:$C$14,2,FALSE)</f>
        <v>Nordamerika</v>
      </c>
      <c r="C344" t="str">
        <f t="shared" si="5"/>
        <v>Geschäftskunde</v>
      </c>
      <c r="E344" s="1"/>
      <c r="F344">
        <v>7</v>
      </c>
      <c r="G344">
        <v>21</v>
      </c>
      <c r="H344" t="str">
        <f>VLOOKUP(G344,'Hilfetabelle Region'!$A$17:$B$19,2,)</f>
        <v>Geschäftskunde</v>
      </c>
    </row>
    <row r="345" spans="1:8" x14ac:dyDescent="0.35">
      <c r="A345">
        <v>344</v>
      </c>
      <c r="B345" t="str">
        <f>VLOOKUP(F345,'Hilfetabelle Region'!$A$2:$C$14,2,FALSE)</f>
        <v>Asien</v>
      </c>
      <c r="C345" t="str">
        <f t="shared" si="5"/>
        <v>Geschäftskunde</v>
      </c>
      <c r="E345" s="1"/>
      <c r="F345">
        <v>12</v>
      </c>
      <c r="G345">
        <v>23</v>
      </c>
      <c r="H345" t="str">
        <f>VLOOKUP(G345,'Hilfetabelle Region'!$A$17:$B$19,2,)</f>
        <v>Privatkunde</v>
      </c>
    </row>
    <row r="346" spans="1:8" x14ac:dyDescent="0.35">
      <c r="A346">
        <v>345</v>
      </c>
      <c r="B346" t="str">
        <f>VLOOKUP(F346,'Hilfetabelle Region'!$A$2:$C$14,2,FALSE)</f>
        <v>Afrika</v>
      </c>
      <c r="C346" t="str">
        <f t="shared" si="5"/>
        <v>Geschäftskunde</v>
      </c>
      <c r="E346" s="1"/>
      <c r="F346">
        <v>11</v>
      </c>
      <c r="G346">
        <v>22</v>
      </c>
      <c r="H346" t="str">
        <f>VLOOKUP(G346,'Hilfetabelle Region'!$A$17:$B$19,2,)</f>
        <v>Geschäftskunde</v>
      </c>
    </row>
    <row r="347" spans="1:8" x14ac:dyDescent="0.35">
      <c r="A347">
        <v>346</v>
      </c>
      <c r="B347" t="str">
        <f>VLOOKUP(F347,'Hilfetabelle Region'!$A$2:$C$14,2,FALSE)</f>
        <v>Europa</v>
      </c>
      <c r="C347" t="str">
        <f t="shared" si="5"/>
        <v>Geschäftskunde</v>
      </c>
      <c r="E347" s="1"/>
      <c r="F347">
        <v>6</v>
      </c>
      <c r="G347">
        <v>21</v>
      </c>
      <c r="H347" t="str">
        <f>VLOOKUP(G347,'Hilfetabelle Region'!$A$17:$B$19,2,)</f>
        <v>Geschäftskunde</v>
      </c>
    </row>
    <row r="348" spans="1:8" x14ac:dyDescent="0.35">
      <c r="A348">
        <v>347</v>
      </c>
      <c r="B348" t="str">
        <f>VLOOKUP(F348,'Hilfetabelle Region'!$A$2:$C$14,2,FALSE)</f>
        <v>Europa</v>
      </c>
      <c r="C348" t="str">
        <f t="shared" si="5"/>
        <v>Geschäftskunde</v>
      </c>
      <c r="E348" s="1"/>
      <c r="F348">
        <v>4</v>
      </c>
      <c r="G348">
        <v>21</v>
      </c>
      <c r="H348" t="str">
        <f>VLOOKUP(G348,'Hilfetabelle Region'!$A$17:$B$19,2,)</f>
        <v>Geschäftskunde</v>
      </c>
    </row>
    <row r="349" spans="1:8" x14ac:dyDescent="0.35">
      <c r="A349">
        <v>348</v>
      </c>
      <c r="B349" t="str">
        <f>VLOOKUP(F349,'Hilfetabelle Region'!$A$2:$C$14,2,FALSE)</f>
        <v>Afrika</v>
      </c>
      <c r="C349" t="str">
        <f t="shared" si="5"/>
        <v>Geschäftskunde</v>
      </c>
      <c r="E349" s="1"/>
      <c r="F349">
        <v>11</v>
      </c>
      <c r="G349">
        <v>23</v>
      </c>
      <c r="H349" t="str">
        <f>VLOOKUP(G349,'Hilfetabelle Region'!$A$17:$B$19,2,)</f>
        <v>Privatkunde</v>
      </c>
    </row>
    <row r="350" spans="1:8" x14ac:dyDescent="0.35">
      <c r="A350">
        <v>349</v>
      </c>
      <c r="B350" t="str">
        <f>VLOOKUP(F350,'Hilfetabelle Region'!$A$2:$C$14,2,FALSE)</f>
        <v>Europa</v>
      </c>
      <c r="C350" t="str">
        <f t="shared" si="5"/>
        <v>Privatkunde</v>
      </c>
      <c r="E350" s="1"/>
      <c r="F350">
        <v>2</v>
      </c>
      <c r="G350">
        <v>23</v>
      </c>
      <c r="H350" t="str">
        <f>VLOOKUP(G350,'Hilfetabelle Region'!$A$17:$B$19,2,)</f>
        <v>Privatkunde</v>
      </c>
    </row>
    <row r="351" spans="1:8" x14ac:dyDescent="0.35">
      <c r="A351">
        <v>350</v>
      </c>
      <c r="B351" t="str">
        <f>VLOOKUP(F351,'Hilfetabelle Region'!$A$2:$C$14,2,FALSE)</f>
        <v>Europa</v>
      </c>
      <c r="C351" t="str">
        <f t="shared" si="5"/>
        <v>Geschäftskunde</v>
      </c>
      <c r="E351" s="1"/>
      <c r="F351">
        <v>3</v>
      </c>
      <c r="G351">
        <v>22</v>
      </c>
      <c r="H351" t="str">
        <f>VLOOKUP(G351,'Hilfetabelle Region'!$A$17:$B$19,2,)</f>
        <v>Geschäftskunde</v>
      </c>
    </row>
    <row r="352" spans="1:8" x14ac:dyDescent="0.35">
      <c r="A352">
        <v>351</v>
      </c>
      <c r="B352" t="str">
        <f>VLOOKUP(F352,'Hilfetabelle Region'!$A$2:$C$14,2,FALSE)</f>
        <v>Asien</v>
      </c>
      <c r="C352" t="str">
        <f t="shared" si="5"/>
        <v>Geschäftskunde</v>
      </c>
      <c r="E352" s="1"/>
      <c r="F352">
        <v>12</v>
      </c>
      <c r="G352">
        <v>23</v>
      </c>
      <c r="H352" t="str">
        <f>VLOOKUP(G352,'Hilfetabelle Region'!$A$17:$B$19,2,)</f>
        <v>Privatkunde</v>
      </c>
    </row>
    <row r="353" spans="1:8" x14ac:dyDescent="0.35">
      <c r="A353">
        <v>352</v>
      </c>
      <c r="B353" t="str">
        <f>VLOOKUP(F353,'Hilfetabelle Region'!$A$2:$C$14,2,FALSE)</f>
        <v>Afrika</v>
      </c>
      <c r="C353" t="str">
        <f t="shared" si="5"/>
        <v>Geschäftskunde</v>
      </c>
      <c r="E353" s="1"/>
      <c r="F353">
        <v>11</v>
      </c>
      <c r="G353">
        <v>21</v>
      </c>
      <c r="H353" t="str">
        <f>VLOOKUP(G353,'Hilfetabelle Region'!$A$17:$B$19,2,)</f>
        <v>Geschäftskunde</v>
      </c>
    </row>
    <row r="354" spans="1:8" x14ac:dyDescent="0.35">
      <c r="A354">
        <v>353</v>
      </c>
      <c r="B354" t="str">
        <f>VLOOKUP(F354,'Hilfetabelle Region'!$A$2:$C$14,2,FALSE)</f>
        <v>Nordamerika</v>
      </c>
      <c r="C354" t="str">
        <f t="shared" si="5"/>
        <v>Geschäftskunde</v>
      </c>
      <c r="E354" s="1"/>
      <c r="F354">
        <v>8</v>
      </c>
      <c r="G354">
        <v>22</v>
      </c>
      <c r="H354" t="str">
        <f>VLOOKUP(G354,'Hilfetabelle Region'!$A$17:$B$19,2,)</f>
        <v>Geschäftskunde</v>
      </c>
    </row>
    <row r="355" spans="1:8" x14ac:dyDescent="0.35">
      <c r="A355">
        <v>354</v>
      </c>
      <c r="B355" t="str">
        <f>VLOOKUP(F355,'Hilfetabelle Region'!$A$2:$C$14,2,FALSE)</f>
        <v>Europa</v>
      </c>
      <c r="C355" t="str">
        <f t="shared" si="5"/>
        <v>Geschäftskunde</v>
      </c>
      <c r="E355" s="1"/>
      <c r="F355">
        <v>3</v>
      </c>
      <c r="G355">
        <v>22</v>
      </c>
      <c r="H355" t="str">
        <f>VLOOKUP(G355,'Hilfetabelle Region'!$A$17:$B$19,2,)</f>
        <v>Geschäftskunde</v>
      </c>
    </row>
    <row r="356" spans="1:8" x14ac:dyDescent="0.35">
      <c r="A356">
        <v>355</v>
      </c>
      <c r="B356" t="str">
        <f>VLOOKUP(F356,'Hilfetabelle Region'!$A$2:$C$14,2,FALSE)</f>
        <v>Nordamerika</v>
      </c>
      <c r="C356" t="str">
        <f t="shared" si="5"/>
        <v>Geschäftskunde</v>
      </c>
      <c r="E356" s="1"/>
      <c r="F356">
        <v>8</v>
      </c>
      <c r="G356">
        <v>23</v>
      </c>
      <c r="H356" t="str">
        <f>VLOOKUP(G356,'Hilfetabelle Region'!$A$17:$B$19,2,)</f>
        <v>Privatkunde</v>
      </c>
    </row>
    <row r="357" spans="1:8" x14ac:dyDescent="0.35">
      <c r="A357">
        <v>356</v>
      </c>
      <c r="B357" t="str">
        <f>VLOOKUP(F357,'Hilfetabelle Region'!$A$2:$C$14,2,FALSE)</f>
        <v>Europa</v>
      </c>
      <c r="C357" t="str">
        <f t="shared" si="5"/>
        <v>Geschäftskunde</v>
      </c>
      <c r="E357" s="1"/>
      <c r="F357">
        <v>6</v>
      </c>
      <c r="G357">
        <v>22</v>
      </c>
      <c r="H357" t="str">
        <f>VLOOKUP(G357,'Hilfetabelle Region'!$A$17:$B$19,2,)</f>
        <v>Geschäftskunde</v>
      </c>
    </row>
    <row r="358" spans="1:8" x14ac:dyDescent="0.35">
      <c r="A358">
        <v>357</v>
      </c>
      <c r="B358" t="str">
        <f>VLOOKUP(F358,'Hilfetabelle Region'!$A$2:$C$14,2,FALSE)</f>
        <v>Asien</v>
      </c>
      <c r="C358" t="str">
        <f t="shared" si="5"/>
        <v>Geschäftskunde</v>
      </c>
      <c r="E358" s="1"/>
      <c r="F358">
        <v>12</v>
      </c>
      <c r="G358">
        <v>21</v>
      </c>
      <c r="H358" t="str">
        <f>VLOOKUP(G358,'Hilfetabelle Region'!$A$17:$B$19,2,)</f>
        <v>Geschäftskunde</v>
      </c>
    </row>
    <row r="359" spans="1:8" x14ac:dyDescent="0.35">
      <c r="A359">
        <v>358</v>
      </c>
      <c r="B359" t="str">
        <f>VLOOKUP(F359,'Hilfetabelle Region'!$A$2:$C$14,2,FALSE)</f>
        <v>Nordamerika</v>
      </c>
      <c r="C359" t="str">
        <f t="shared" si="5"/>
        <v>Geschäftskunde</v>
      </c>
      <c r="E359" s="1"/>
      <c r="F359">
        <v>7</v>
      </c>
      <c r="G359">
        <v>22</v>
      </c>
      <c r="H359" t="str">
        <f>VLOOKUP(G359,'Hilfetabelle Region'!$A$17:$B$19,2,)</f>
        <v>Geschäftskunde</v>
      </c>
    </row>
    <row r="360" spans="1:8" x14ac:dyDescent="0.35">
      <c r="A360">
        <v>359</v>
      </c>
      <c r="B360" t="str">
        <f>VLOOKUP(F360,'Hilfetabelle Region'!$A$2:$C$14,2,FALSE)</f>
        <v>Europa</v>
      </c>
      <c r="C360" t="str">
        <f t="shared" si="5"/>
        <v>Privatkunde</v>
      </c>
      <c r="E360" s="1"/>
      <c r="F360">
        <v>6</v>
      </c>
      <c r="G360">
        <v>23</v>
      </c>
      <c r="H360" t="str">
        <f>VLOOKUP(G360,'Hilfetabelle Region'!$A$17:$B$19,2,)</f>
        <v>Privatkunde</v>
      </c>
    </row>
    <row r="361" spans="1:8" x14ac:dyDescent="0.35">
      <c r="A361">
        <v>360</v>
      </c>
      <c r="B361" t="str">
        <f>VLOOKUP(F361,'Hilfetabelle Region'!$A$2:$C$14,2,FALSE)</f>
        <v>Europa</v>
      </c>
      <c r="C361" t="str">
        <f t="shared" si="5"/>
        <v>Geschäftskunde</v>
      </c>
      <c r="E361" s="1"/>
      <c r="F361">
        <v>4</v>
      </c>
      <c r="G361">
        <v>22</v>
      </c>
      <c r="H361" t="str">
        <f>VLOOKUP(G361,'Hilfetabelle Region'!$A$17:$B$19,2,)</f>
        <v>Geschäftskunde</v>
      </c>
    </row>
    <row r="362" spans="1:8" x14ac:dyDescent="0.35">
      <c r="A362">
        <v>361</v>
      </c>
      <c r="B362" t="str">
        <f>VLOOKUP(F362,'Hilfetabelle Region'!$A$2:$C$14,2,FALSE)</f>
        <v>Europa</v>
      </c>
      <c r="C362" t="str">
        <f t="shared" si="5"/>
        <v>Privatkunde</v>
      </c>
      <c r="E362" s="1"/>
      <c r="F362">
        <v>5</v>
      </c>
      <c r="G362">
        <v>23</v>
      </c>
      <c r="H362" t="str">
        <f>VLOOKUP(G362,'Hilfetabelle Region'!$A$17:$B$19,2,)</f>
        <v>Privatkunde</v>
      </c>
    </row>
    <row r="363" spans="1:8" x14ac:dyDescent="0.35">
      <c r="A363">
        <v>362</v>
      </c>
      <c r="B363" t="str">
        <f>VLOOKUP(F363,'Hilfetabelle Region'!$A$2:$C$14,2,FALSE)</f>
        <v>Europa</v>
      </c>
      <c r="C363" t="str">
        <f t="shared" si="5"/>
        <v>Geschäftskunde</v>
      </c>
      <c r="E363" s="1"/>
      <c r="F363">
        <v>6</v>
      </c>
      <c r="G363">
        <v>21</v>
      </c>
      <c r="H363" t="str">
        <f>VLOOKUP(G363,'Hilfetabelle Region'!$A$17:$B$19,2,)</f>
        <v>Geschäftskunde</v>
      </c>
    </row>
    <row r="364" spans="1:8" x14ac:dyDescent="0.35">
      <c r="A364">
        <v>363</v>
      </c>
      <c r="B364" t="str">
        <f>VLOOKUP(F364,'Hilfetabelle Region'!$A$2:$C$14,2,FALSE)</f>
        <v>Europa</v>
      </c>
      <c r="C364" t="str">
        <f t="shared" si="5"/>
        <v>Privatkunde</v>
      </c>
      <c r="E364" s="1"/>
      <c r="F364">
        <v>5</v>
      </c>
      <c r="G364">
        <v>23</v>
      </c>
      <c r="H364" t="str">
        <f>VLOOKUP(G364,'Hilfetabelle Region'!$A$17:$B$19,2,)</f>
        <v>Privatkunde</v>
      </c>
    </row>
    <row r="365" spans="1:8" x14ac:dyDescent="0.35">
      <c r="A365">
        <v>364</v>
      </c>
      <c r="B365" t="str">
        <f>VLOOKUP(F365,'Hilfetabelle Region'!$A$2:$C$14,2,FALSE)</f>
        <v>Europa</v>
      </c>
      <c r="C365" t="str">
        <f t="shared" si="5"/>
        <v>Privatkunde</v>
      </c>
      <c r="E365" s="1"/>
      <c r="F365">
        <v>5</v>
      </c>
      <c r="G365">
        <v>23</v>
      </c>
      <c r="H365" t="str">
        <f>VLOOKUP(G365,'Hilfetabelle Region'!$A$17:$B$19,2,)</f>
        <v>Privatkunde</v>
      </c>
    </row>
    <row r="366" spans="1:8" x14ac:dyDescent="0.35">
      <c r="A366">
        <v>365</v>
      </c>
      <c r="B366" t="str">
        <f>VLOOKUP(F366,'Hilfetabelle Region'!$A$2:$C$14,2,FALSE)</f>
        <v>Europa</v>
      </c>
      <c r="C366" t="str">
        <f t="shared" si="5"/>
        <v>Geschäftskunde</v>
      </c>
      <c r="E366" s="1"/>
      <c r="F366">
        <v>3</v>
      </c>
      <c r="G366">
        <v>21</v>
      </c>
      <c r="H366" t="str">
        <f>VLOOKUP(G366,'Hilfetabelle Region'!$A$17:$B$19,2,)</f>
        <v>Geschäftskunde</v>
      </c>
    </row>
    <row r="367" spans="1:8" x14ac:dyDescent="0.35">
      <c r="A367">
        <v>366</v>
      </c>
      <c r="B367" t="str">
        <f>VLOOKUP(F367,'Hilfetabelle Region'!$A$2:$C$14,2,FALSE)</f>
        <v>Europa</v>
      </c>
      <c r="C367" t="str">
        <f t="shared" si="5"/>
        <v>Privatkunde</v>
      </c>
      <c r="E367" s="1"/>
      <c r="F367">
        <v>3</v>
      </c>
      <c r="G367">
        <v>23</v>
      </c>
      <c r="H367" t="str">
        <f>VLOOKUP(G367,'Hilfetabelle Region'!$A$17:$B$19,2,)</f>
        <v>Privatkunde</v>
      </c>
    </row>
    <row r="368" spans="1:8" x14ac:dyDescent="0.35">
      <c r="A368">
        <v>367</v>
      </c>
      <c r="B368" t="str">
        <f>VLOOKUP(F368,'Hilfetabelle Region'!$A$2:$C$14,2,FALSE)</f>
        <v>Europa</v>
      </c>
      <c r="C368" t="str">
        <f t="shared" si="5"/>
        <v>Privatkunde</v>
      </c>
      <c r="E368" s="1"/>
      <c r="F368">
        <v>5</v>
      </c>
      <c r="G368">
        <v>23</v>
      </c>
      <c r="H368" t="str">
        <f>VLOOKUP(G368,'Hilfetabelle Region'!$A$17:$B$19,2,)</f>
        <v>Privatkunde</v>
      </c>
    </row>
    <row r="369" spans="1:8" x14ac:dyDescent="0.35">
      <c r="A369">
        <v>368</v>
      </c>
      <c r="B369" t="str">
        <f>VLOOKUP(F369,'Hilfetabelle Region'!$A$2:$C$14,2,FALSE)</f>
        <v>Europa</v>
      </c>
      <c r="C369" t="str">
        <f t="shared" si="5"/>
        <v>Geschäftskunde</v>
      </c>
      <c r="E369" s="1"/>
      <c r="F369">
        <v>3</v>
      </c>
      <c r="G369">
        <v>21</v>
      </c>
      <c r="H369" t="str">
        <f>VLOOKUP(G369,'Hilfetabelle Region'!$A$17:$B$19,2,)</f>
        <v>Geschäftskunde</v>
      </c>
    </row>
    <row r="370" spans="1:8" x14ac:dyDescent="0.35">
      <c r="A370">
        <v>369</v>
      </c>
      <c r="B370" t="str">
        <f>VLOOKUP(F370,'Hilfetabelle Region'!$A$2:$C$14,2,FALSE)</f>
        <v>Lateinamerika</v>
      </c>
      <c r="C370" t="str">
        <f t="shared" si="5"/>
        <v>Geschäftskunde</v>
      </c>
      <c r="E370" s="1"/>
      <c r="F370">
        <v>10</v>
      </c>
      <c r="G370">
        <v>23</v>
      </c>
      <c r="H370" t="str">
        <f>VLOOKUP(G370,'Hilfetabelle Region'!$A$17:$B$19,2,)</f>
        <v>Privatkunde</v>
      </c>
    </row>
    <row r="371" spans="1:8" x14ac:dyDescent="0.35">
      <c r="A371">
        <v>370</v>
      </c>
      <c r="B371" t="str">
        <f>VLOOKUP(F371,'Hilfetabelle Region'!$A$2:$C$14,2,FALSE)</f>
        <v>Nordamerika</v>
      </c>
      <c r="C371" t="str">
        <f t="shared" si="5"/>
        <v>Geschäftskunde</v>
      </c>
      <c r="E371" s="1"/>
      <c r="F371">
        <v>9</v>
      </c>
      <c r="G371">
        <v>23</v>
      </c>
      <c r="H371" t="str">
        <f>VLOOKUP(G371,'Hilfetabelle Region'!$A$17:$B$19,2,)</f>
        <v>Privatkunde</v>
      </c>
    </row>
    <row r="372" spans="1:8" x14ac:dyDescent="0.35">
      <c r="A372">
        <v>371</v>
      </c>
      <c r="B372" t="str">
        <f>VLOOKUP(F372,'Hilfetabelle Region'!$A$2:$C$14,2,FALSE)</f>
        <v>Europa</v>
      </c>
      <c r="C372" t="str">
        <f t="shared" si="5"/>
        <v>Privatkunde</v>
      </c>
      <c r="E372" s="1"/>
      <c r="F372">
        <v>4</v>
      </c>
      <c r="G372">
        <v>23</v>
      </c>
      <c r="H372" t="str">
        <f>VLOOKUP(G372,'Hilfetabelle Region'!$A$17:$B$19,2,)</f>
        <v>Privatkunde</v>
      </c>
    </row>
    <row r="373" spans="1:8" x14ac:dyDescent="0.35">
      <c r="A373">
        <v>372</v>
      </c>
      <c r="B373" t="str">
        <f>VLOOKUP(F373,'Hilfetabelle Region'!$A$2:$C$14,2,FALSE)</f>
        <v>Europa</v>
      </c>
      <c r="C373" t="str">
        <f t="shared" si="5"/>
        <v>Geschäftskunde</v>
      </c>
      <c r="E373" s="1"/>
      <c r="F373">
        <v>5</v>
      </c>
      <c r="G373">
        <v>21</v>
      </c>
      <c r="H373" t="str">
        <f>VLOOKUP(G373,'Hilfetabelle Region'!$A$17:$B$19,2,)</f>
        <v>Geschäftskunde</v>
      </c>
    </row>
    <row r="374" spans="1:8" x14ac:dyDescent="0.35">
      <c r="A374">
        <v>373</v>
      </c>
      <c r="B374" t="str">
        <f>VLOOKUP(F374,'Hilfetabelle Region'!$A$2:$C$14,2,FALSE)</f>
        <v>Nordamerika</v>
      </c>
      <c r="C374" t="str">
        <f t="shared" si="5"/>
        <v>Geschäftskunde</v>
      </c>
      <c r="E374" s="1"/>
      <c r="F374">
        <v>9</v>
      </c>
      <c r="G374">
        <v>22</v>
      </c>
      <c r="H374" t="str">
        <f>VLOOKUP(G374,'Hilfetabelle Region'!$A$17:$B$19,2,)</f>
        <v>Geschäftskunde</v>
      </c>
    </row>
    <row r="375" spans="1:8" x14ac:dyDescent="0.35">
      <c r="A375">
        <v>374</v>
      </c>
      <c r="B375" t="str">
        <f>VLOOKUP(F375,'Hilfetabelle Region'!$A$2:$C$14,2,FALSE)</f>
        <v>Europa</v>
      </c>
      <c r="C375" t="str">
        <f t="shared" si="5"/>
        <v>Geschäftskunde</v>
      </c>
      <c r="E375" s="1"/>
      <c r="F375">
        <v>2</v>
      </c>
      <c r="G375">
        <v>21</v>
      </c>
      <c r="H375" t="str">
        <f>VLOOKUP(G375,'Hilfetabelle Region'!$A$17:$B$19,2,)</f>
        <v>Geschäftskunde</v>
      </c>
    </row>
    <row r="376" spans="1:8" x14ac:dyDescent="0.35">
      <c r="A376">
        <v>375</v>
      </c>
      <c r="B376" t="str">
        <f>VLOOKUP(F376,'Hilfetabelle Region'!$A$2:$C$14,2,FALSE)</f>
        <v>Europa</v>
      </c>
      <c r="C376" t="str">
        <f t="shared" si="5"/>
        <v>Privatkunde</v>
      </c>
      <c r="E376" s="1"/>
      <c r="F376">
        <v>6</v>
      </c>
      <c r="G376">
        <v>23</v>
      </c>
      <c r="H376" t="str">
        <f>VLOOKUP(G376,'Hilfetabelle Region'!$A$17:$B$19,2,)</f>
        <v>Privatkunde</v>
      </c>
    </row>
    <row r="377" spans="1:8" x14ac:dyDescent="0.35">
      <c r="A377">
        <v>376</v>
      </c>
      <c r="B377" t="str">
        <f>VLOOKUP(F377,'Hilfetabelle Region'!$A$2:$C$14,2,FALSE)</f>
        <v>Nordamerika</v>
      </c>
      <c r="C377" t="str">
        <f t="shared" si="5"/>
        <v>Geschäftskunde</v>
      </c>
      <c r="E377" s="1"/>
      <c r="F377">
        <v>7</v>
      </c>
      <c r="G377">
        <v>21</v>
      </c>
      <c r="H377" t="str">
        <f>VLOOKUP(G377,'Hilfetabelle Region'!$A$17:$B$19,2,)</f>
        <v>Geschäftskunde</v>
      </c>
    </row>
    <row r="378" spans="1:8" x14ac:dyDescent="0.35">
      <c r="A378">
        <v>377</v>
      </c>
      <c r="B378" t="str">
        <f>VLOOKUP(F378,'Hilfetabelle Region'!$A$2:$C$14,2,FALSE)</f>
        <v>Europa</v>
      </c>
      <c r="C378" t="str">
        <f t="shared" si="5"/>
        <v>Geschäftskunde</v>
      </c>
      <c r="E378" s="1"/>
      <c r="F378">
        <v>6</v>
      </c>
      <c r="G378">
        <v>22</v>
      </c>
      <c r="H378" t="str">
        <f>VLOOKUP(G378,'Hilfetabelle Region'!$A$17:$B$19,2,)</f>
        <v>Geschäftskunde</v>
      </c>
    </row>
    <row r="379" spans="1:8" x14ac:dyDescent="0.35">
      <c r="A379">
        <v>378</v>
      </c>
      <c r="B379" t="str">
        <f>VLOOKUP(F379,'Hilfetabelle Region'!$A$2:$C$14,2,FALSE)</f>
        <v>Nordamerika</v>
      </c>
      <c r="C379" t="str">
        <f t="shared" si="5"/>
        <v>Geschäftskunde</v>
      </c>
      <c r="E379" s="1"/>
      <c r="F379">
        <v>7</v>
      </c>
      <c r="G379">
        <v>21</v>
      </c>
      <c r="H379" t="str">
        <f>VLOOKUP(G379,'Hilfetabelle Region'!$A$17:$B$19,2,)</f>
        <v>Geschäftskunde</v>
      </c>
    </row>
    <row r="380" spans="1:8" x14ac:dyDescent="0.35">
      <c r="A380">
        <v>379</v>
      </c>
      <c r="B380" t="str">
        <f>VLOOKUP(F380,'Hilfetabelle Region'!$A$2:$C$14,2,FALSE)</f>
        <v>Europa</v>
      </c>
      <c r="C380" t="str">
        <f t="shared" si="5"/>
        <v>Geschäftskunde</v>
      </c>
      <c r="E380" s="1"/>
      <c r="F380">
        <v>1</v>
      </c>
      <c r="G380">
        <v>22</v>
      </c>
      <c r="H380" t="str">
        <f>VLOOKUP(G380,'Hilfetabelle Region'!$A$17:$B$19,2,)</f>
        <v>Geschäftskunde</v>
      </c>
    </row>
    <row r="381" spans="1:8" x14ac:dyDescent="0.35">
      <c r="A381">
        <v>380</v>
      </c>
      <c r="B381" t="str">
        <f>VLOOKUP(F381,'Hilfetabelle Region'!$A$2:$C$14,2,FALSE)</f>
        <v>Nordamerika</v>
      </c>
      <c r="C381" t="str">
        <f t="shared" si="5"/>
        <v>Geschäftskunde</v>
      </c>
      <c r="E381" s="1"/>
      <c r="F381">
        <v>8</v>
      </c>
      <c r="G381">
        <v>21</v>
      </c>
      <c r="H381" t="str">
        <f>VLOOKUP(G381,'Hilfetabelle Region'!$A$17:$B$19,2,)</f>
        <v>Geschäftskunde</v>
      </c>
    </row>
    <row r="382" spans="1:8" x14ac:dyDescent="0.35">
      <c r="A382">
        <v>381</v>
      </c>
      <c r="B382" t="str">
        <f>VLOOKUP(F382,'Hilfetabelle Region'!$A$2:$C$14,2,FALSE)</f>
        <v>Europa</v>
      </c>
      <c r="C382" t="str">
        <f t="shared" si="5"/>
        <v>Geschäftskunde</v>
      </c>
      <c r="E382" s="1"/>
      <c r="F382">
        <v>3</v>
      </c>
      <c r="G382">
        <v>21</v>
      </c>
      <c r="H382" t="str">
        <f>VLOOKUP(G382,'Hilfetabelle Region'!$A$17:$B$19,2,)</f>
        <v>Geschäftskunde</v>
      </c>
    </row>
    <row r="383" spans="1:8" x14ac:dyDescent="0.35">
      <c r="A383">
        <v>382</v>
      </c>
      <c r="B383" t="str">
        <f>VLOOKUP(F383,'Hilfetabelle Region'!$A$2:$C$14,2,FALSE)</f>
        <v>Europa</v>
      </c>
      <c r="C383" t="str">
        <f t="shared" si="5"/>
        <v>Geschäftskunde</v>
      </c>
      <c r="E383" s="1"/>
      <c r="F383">
        <v>1</v>
      </c>
      <c r="G383">
        <v>21</v>
      </c>
      <c r="H383" t="str">
        <f>VLOOKUP(G383,'Hilfetabelle Region'!$A$17:$B$19,2,)</f>
        <v>Geschäftskunde</v>
      </c>
    </row>
    <row r="384" spans="1:8" x14ac:dyDescent="0.35">
      <c r="A384">
        <v>383</v>
      </c>
      <c r="B384" t="str">
        <f>VLOOKUP(F384,'Hilfetabelle Region'!$A$2:$C$14,2,FALSE)</f>
        <v>Nordamerika</v>
      </c>
      <c r="C384" t="str">
        <f t="shared" si="5"/>
        <v>Geschäftskunde</v>
      </c>
      <c r="E384" s="1"/>
      <c r="F384">
        <v>8</v>
      </c>
      <c r="G384">
        <v>22</v>
      </c>
      <c r="H384" t="str">
        <f>VLOOKUP(G384,'Hilfetabelle Region'!$A$17:$B$19,2,)</f>
        <v>Geschäftskunde</v>
      </c>
    </row>
    <row r="385" spans="1:8" x14ac:dyDescent="0.35">
      <c r="A385">
        <v>384</v>
      </c>
      <c r="B385" t="str">
        <f>VLOOKUP(F385,'Hilfetabelle Region'!$A$2:$C$14,2,FALSE)</f>
        <v>Europa</v>
      </c>
      <c r="C385" t="str">
        <f t="shared" si="5"/>
        <v>Geschäftskunde</v>
      </c>
      <c r="E385" s="1"/>
      <c r="F385">
        <v>1</v>
      </c>
      <c r="G385">
        <v>22</v>
      </c>
      <c r="H385" t="str">
        <f>VLOOKUP(G385,'Hilfetabelle Region'!$A$17:$B$19,2,)</f>
        <v>Geschäftskunde</v>
      </c>
    </row>
    <row r="386" spans="1:8" x14ac:dyDescent="0.35">
      <c r="A386">
        <v>385</v>
      </c>
      <c r="B386" t="str">
        <f>VLOOKUP(F386,'Hilfetabelle Region'!$A$2:$C$14,2,FALSE)</f>
        <v>Europa</v>
      </c>
      <c r="C386" t="str">
        <f t="shared" si="5"/>
        <v>Geschäftskunde</v>
      </c>
      <c r="E386" s="1"/>
      <c r="F386">
        <v>6</v>
      </c>
      <c r="G386">
        <v>22</v>
      </c>
      <c r="H386" t="str">
        <f>VLOOKUP(G386,'Hilfetabelle Region'!$A$17:$B$19,2,)</f>
        <v>Geschäftskunde</v>
      </c>
    </row>
    <row r="387" spans="1:8" x14ac:dyDescent="0.35">
      <c r="A387">
        <v>386</v>
      </c>
      <c r="B387" t="str">
        <f>VLOOKUP(F387,'Hilfetabelle Region'!$A$2:$C$14,2,FALSE)</f>
        <v>Europa</v>
      </c>
      <c r="C387" t="str">
        <f t="shared" ref="C387:C450" si="6">IF(B387="Europa",H387,"Geschäftskunde")</f>
        <v>Privatkunde</v>
      </c>
      <c r="E387" s="1"/>
      <c r="F387">
        <v>5</v>
      </c>
      <c r="G387">
        <v>23</v>
      </c>
      <c r="H387" t="str">
        <f>VLOOKUP(G387,'Hilfetabelle Region'!$A$17:$B$19,2,)</f>
        <v>Privatkunde</v>
      </c>
    </row>
    <row r="388" spans="1:8" x14ac:dyDescent="0.35">
      <c r="A388">
        <v>387</v>
      </c>
      <c r="B388" t="str">
        <f>VLOOKUP(F388,'Hilfetabelle Region'!$A$2:$C$14,2,FALSE)</f>
        <v>Europa</v>
      </c>
      <c r="C388" t="str">
        <f t="shared" si="6"/>
        <v>Geschäftskunde</v>
      </c>
      <c r="E388" s="1"/>
      <c r="F388">
        <v>6</v>
      </c>
      <c r="G388">
        <v>22</v>
      </c>
      <c r="H388" t="str">
        <f>VLOOKUP(G388,'Hilfetabelle Region'!$A$17:$B$19,2,)</f>
        <v>Geschäftskunde</v>
      </c>
    </row>
    <row r="389" spans="1:8" x14ac:dyDescent="0.35">
      <c r="A389">
        <v>388</v>
      </c>
      <c r="B389" t="str">
        <f>VLOOKUP(F389,'Hilfetabelle Region'!$A$2:$C$14,2,FALSE)</f>
        <v>Afrika</v>
      </c>
      <c r="C389" t="str">
        <f t="shared" si="6"/>
        <v>Geschäftskunde</v>
      </c>
      <c r="E389" s="1"/>
      <c r="F389">
        <v>11</v>
      </c>
      <c r="G389">
        <v>22</v>
      </c>
      <c r="H389" t="str">
        <f>VLOOKUP(G389,'Hilfetabelle Region'!$A$17:$B$19,2,)</f>
        <v>Geschäftskunde</v>
      </c>
    </row>
    <row r="390" spans="1:8" x14ac:dyDescent="0.35">
      <c r="A390">
        <v>389</v>
      </c>
      <c r="B390" t="str">
        <f>VLOOKUP(F390,'Hilfetabelle Region'!$A$2:$C$14,2,FALSE)</f>
        <v>Lateinamerika</v>
      </c>
      <c r="C390" t="str">
        <f t="shared" si="6"/>
        <v>Geschäftskunde</v>
      </c>
      <c r="E390" s="1"/>
      <c r="F390">
        <v>10</v>
      </c>
      <c r="G390">
        <v>21</v>
      </c>
      <c r="H390" t="str">
        <f>VLOOKUP(G390,'Hilfetabelle Region'!$A$17:$B$19,2,)</f>
        <v>Geschäftskunde</v>
      </c>
    </row>
    <row r="391" spans="1:8" x14ac:dyDescent="0.35">
      <c r="A391">
        <v>390</v>
      </c>
      <c r="B391" t="str">
        <f>VLOOKUP(F391,'Hilfetabelle Region'!$A$2:$C$14,2,FALSE)</f>
        <v>Nordamerika</v>
      </c>
      <c r="C391" t="str">
        <f t="shared" si="6"/>
        <v>Geschäftskunde</v>
      </c>
      <c r="E391" s="1"/>
      <c r="F391">
        <v>8</v>
      </c>
      <c r="G391">
        <v>23</v>
      </c>
      <c r="H391" t="str">
        <f>VLOOKUP(G391,'Hilfetabelle Region'!$A$17:$B$19,2,)</f>
        <v>Privatkunde</v>
      </c>
    </row>
    <row r="392" spans="1:8" x14ac:dyDescent="0.35">
      <c r="A392">
        <v>391</v>
      </c>
      <c r="B392" t="str">
        <f>VLOOKUP(F392,'Hilfetabelle Region'!$A$2:$C$14,2,FALSE)</f>
        <v>Nordamerika</v>
      </c>
      <c r="C392" t="str">
        <f t="shared" si="6"/>
        <v>Geschäftskunde</v>
      </c>
      <c r="E392" s="1"/>
      <c r="F392">
        <v>9</v>
      </c>
      <c r="G392">
        <v>21</v>
      </c>
      <c r="H392" t="str">
        <f>VLOOKUP(G392,'Hilfetabelle Region'!$A$17:$B$19,2,)</f>
        <v>Geschäftskunde</v>
      </c>
    </row>
    <row r="393" spans="1:8" x14ac:dyDescent="0.35">
      <c r="A393">
        <v>392</v>
      </c>
      <c r="B393" t="str">
        <f>VLOOKUP(F393,'Hilfetabelle Region'!$A$2:$C$14,2,FALSE)</f>
        <v>Europa</v>
      </c>
      <c r="C393" t="str">
        <f t="shared" si="6"/>
        <v>Geschäftskunde</v>
      </c>
      <c r="E393" s="1"/>
      <c r="F393">
        <v>6</v>
      </c>
      <c r="G393">
        <v>21</v>
      </c>
      <c r="H393" t="str">
        <f>VLOOKUP(G393,'Hilfetabelle Region'!$A$17:$B$19,2,)</f>
        <v>Geschäftskunde</v>
      </c>
    </row>
    <row r="394" spans="1:8" x14ac:dyDescent="0.35">
      <c r="A394">
        <v>393</v>
      </c>
      <c r="B394" t="str">
        <f>VLOOKUP(F394,'Hilfetabelle Region'!$A$2:$C$14,2,FALSE)</f>
        <v>Europa</v>
      </c>
      <c r="C394" t="str">
        <f t="shared" si="6"/>
        <v>Geschäftskunde</v>
      </c>
      <c r="E394" s="1"/>
      <c r="F394">
        <v>6</v>
      </c>
      <c r="G394">
        <v>22</v>
      </c>
      <c r="H394" t="str">
        <f>VLOOKUP(G394,'Hilfetabelle Region'!$A$17:$B$19,2,)</f>
        <v>Geschäftskunde</v>
      </c>
    </row>
    <row r="395" spans="1:8" x14ac:dyDescent="0.35">
      <c r="A395">
        <v>394</v>
      </c>
      <c r="B395" t="str">
        <f>VLOOKUP(F395,'Hilfetabelle Region'!$A$2:$C$14,2,FALSE)</f>
        <v>Nordamerika</v>
      </c>
      <c r="C395" t="str">
        <f t="shared" si="6"/>
        <v>Geschäftskunde</v>
      </c>
      <c r="E395" s="1"/>
      <c r="F395">
        <v>8</v>
      </c>
      <c r="G395">
        <v>21</v>
      </c>
      <c r="H395" t="str">
        <f>VLOOKUP(G395,'Hilfetabelle Region'!$A$17:$B$19,2,)</f>
        <v>Geschäftskunde</v>
      </c>
    </row>
    <row r="396" spans="1:8" x14ac:dyDescent="0.35">
      <c r="A396">
        <v>395</v>
      </c>
      <c r="B396" t="str">
        <f>VLOOKUP(F396,'Hilfetabelle Region'!$A$2:$C$14,2,FALSE)</f>
        <v>Europa</v>
      </c>
      <c r="C396" t="str">
        <f t="shared" si="6"/>
        <v>Geschäftskunde</v>
      </c>
      <c r="E396" s="1"/>
      <c r="F396">
        <v>4</v>
      </c>
      <c r="G396">
        <v>21</v>
      </c>
      <c r="H396" t="str">
        <f>VLOOKUP(G396,'Hilfetabelle Region'!$A$17:$B$19,2,)</f>
        <v>Geschäftskunde</v>
      </c>
    </row>
    <row r="397" spans="1:8" x14ac:dyDescent="0.35">
      <c r="A397">
        <v>396</v>
      </c>
      <c r="B397" t="str">
        <f>VLOOKUP(F397,'Hilfetabelle Region'!$A$2:$C$14,2,FALSE)</f>
        <v>Europa</v>
      </c>
      <c r="C397" t="str">
        <f t="shared" si="6"/>
        <v>Privatkunde</v>
      </c>
      <c r="E397" s="1"/>
      <c r="F397">
        <v>6</v>
      </c>
      <c r="G397">
        <v>23</v>
      </c>
      <c r="H397" t="str">
        <f>VLOOKUP(G397,'Hilfetabelle Region'!$A$17:$B$19,2,)</f>
        <v>Privatkunde</v>
      </c>
    </row>
    <row r="398" spans="1:8" x14ac:dyDescent="0.35">
      <c r="A398">
        <v>397</v>
      </c>
      <c r="B398" t="str">
        <f>VLOOKUP(F398,'Hilfetabelle Region'!$A$2:$C$14,2,FALSE)</f>
        <v>Afrika</v>
      </c>
      <c r="C398" t="str">
        <f t="shared" si="6"/>
        <v>Geschäftskunde</v>
      </c>
      <c r="E398" s="1"/>
      <c r="F398">
        <v>11</v>
      </c>
      <c r="G398">
        <v>22</v>
      </c>
      <c r="H398" t="str">
        <f>VLOOKUP(G398,'Hilfetabelle Region'!$A$17:$B$19,2,)</f>
        <v>Geschäftskunde</v>
      </c>
    </row>
    <row r="399" spans="1:8" x14ac:dyDescent="0.35">
      <c r="A399">
        <v>398</v>
      </c>
      <c r="B399" t="str">
        <f>VLOOKUP(F399,'Hilfetabelle Region'!$A$2:$C$14,2,FALSE)</f>
        <v>Europa</v>
      </c>
      <c r="C399" t="str">
        <f t="shared" si="6"/>
        <v>Privatkunde</v>
      </c>
      <c r="E399" s="1"/>
      <c r="F399">
        <v>2</v>
      </c>
      <c r="G399">
        <v>23</v>
      </c>
      <c r="H399" t="str">
        <f>VLOOKUP(G399,'Hilfetabelle Region'!$A$17:$B$19,2,)</f>
        <v>Privatkunde</v>
      </c>
    </row>
    <row r="400" spans="1:8" x14ac:dyDescent="0.35">
      <c r="A400">
        <v>399</v>
      </c>
      <c r="B400" t="str">
        <f>VLOOKUP(F400,'Hilfetabelle Region'!$A$2:$C$14,2,FALSE)</f>
        <v>Europa</v>
      </c>
      <c r="C400" t="str">
        <f t="shared" si="6"/>
        <v>Geschäftskunde</v>
      </c>
      <c r="E400" s="1"/>
      <c r="F400">
        <v>6</v>
      </c>
      <c r="G400">
        <v>21</v>
      </c>
      <c r="H400" t="str">
        <f>VLOOKUP(G400,'Hilfetabelle Region'!$A$17:$B$19,2,)</f>
        <v>Geschäftskunde</v>
      </c>
    </row>
    <row r="401" spans="1:8" x14ac:dyDescent="0.35">
      <c r="A401">
        <v>400</v>
      </c>
      <c r="B401" t="str">
        <f>VLOOKUP(F401,'Hilfetabelle Region'!$A$2:$C$14,2,FALSE)</f>
        <v>Nordamerika</v>
      </c>
      <c r="C401" t="str">
        <f t="shared" si="6"/>
        <v>Geschäftskunde</v>
      </c>
      <c r="E401" s="1"/>
      <c r="F401">
        <v>8</v>
      </c>
      <c r="G401">
        <v>22</v>
      </c>
      <c r="H401" t="str">
        <f>VLOOKUP(G401,'Hilfetabelle Region'!$A$17:$B$19,2,)</f>
        <v>Geschäftskunde</v>
      </c>
    </row>
    <row r="402" spans="1:8" x14ac:dyDescent="0.35">
      <c r="A402">
        <v>401</v>
      </c>
      <c r="B402" t="str">
        <f>VLOOKUP(F402,'Hilfetabelle Region'!$A$2:$C$14,2,FALSE)</f>
        <v>Europa</v>
      </c>
      <c r="C402" t="str">
        <f t="shared" si="6"/>
        <v>Geschäftskunde</v>
      </c>
      <c r="E402" s="1"/>
      <c r="F402">
        <v>5</v>
      </c>
      <c r="G402">
        <v>21</v>
      </c>
      <c r="H402" t="str">
        <f>VLOOKUP(G402,'Hilfetabelle Region'!$A$17:$B$19,2,)</f>
        <v>Geschäftskunde</v>
      </c>
    </row>
    <row r="403" spans="1:8" x14ac:dyDescent="0.35">
      <c r="A403">
        <v>402</v>
      </c>
      <c r="B403" t="str">
        <f>VLOOKUP(F403,'Hilfetabelle Region'!$A$2:$C$14,2,FALSE)</f>
        <v>Nordamerika</v>
      </c>
      <c r="C403" t="str">
        <f t="shared" si="6"/>
        <v>Geschäftskunde</v>
      </c>
      <c r="E403" s="1"/>
      <c r="F403">
        <v>7</v>
      </c>
      <c r="G403">
        <v>22</v>
      </c>
      <c r="H403" t="str">
        <f>VLOOKUP(G403,'Hilfetabelle Region'!$A$17:$B$19,2,)</f>
        <v>Geschäftskunde</v>
      </c>
    </row>
    <row r="404" spans="1:8" x14ac:dyDescent="0.35">
      <c r="A404">
        <v>403</v>
      </c>
      <c r="B404" t="str">
        <f>VLOOKUP(F404,'Hilfetabelle Region'!$A$2:$C$14,2,FALSE)</f>
        <v>Europa</v>
      </c>
      <c r="C404" t="str">
        <f t="shared" si="6"/>
        <v>Geschäftskunde</v>
      </c>
      <c r="E404" s="1"/>
      <c r="F404">
        <v>4</v>
      </c>
      <c r="G404">
        <v>22</v>
      </c>
      <c r="H404" t="str">
        <f>VLOOKUP(G404,'Hilfetabelle Region'!$A$17:$B$19,2,)</f>
        <v>Geschäftskunde</v>
      </c>
    </row>
    <row r="405" spans="1:8" x14ac:dyDescent="0.35">
      <c r="A405">
        <v>404</v>
      </c>
      <c r="B405" t="str">
        <f>VLOOKUP(F405,'Hilfetabelle Region'!$A$2:$C$14,2,FALSE)</f>
        <v>Europa</v>
      </c>
      <c r="C405" t="str">
        <f t="shared" si="6"/>
        <v>Privatkunde</v>
      </c>
      <c r="E405" s="1"/>
      <c r="F405">
        <v>3</v>
      </c>
      <c r="G405">
        <v>23</v>
      </c>
      <c r="H405" t="str">
        <f>VLOOKUP(G405,'Hilfetabelle Region'!$A$17:$B$19,2,)</f>
        <v>Privatkunde</v>
      </c>
    </row>
    <row r="406" spans="1:8" x14ac:dyDescent="0.35">
      <c r="A406">
        <v>405</v>
      </c>
      <c r="B406" t="str">
        <f>VLOOKUP(F406,'Hilfetabelle Region'!$A$2:$C$14,2,FALSE)</f>
        <v>Lateinamerika</v>
      </c>
      <c r="C406" t="str">
        <f t="shared" si="6"/>
        <v>Geschäftskunde</v>
      </c>
      <c r="E406" s="1"/>
      <c r="F406">
        <v>10</v>
      </c>
      <c r="G406">
        <v>23</v>
      </c>
      <c r="H406" t="str">
        <f>VLOOKUP(G406,'Hilfetabelle Region'!$A$17:$B$19,2,)</f>
        <v>Privatkunde</v>
      </c>
    </row>
    <row r="407" spans="1:8" x14ac:dyDescent="0.35">
      <c r="A407">
        <v>406</v>
      </c>
      <c r="B407" t="str">
        <f>VLOOKUP(F407,'Hilfetabelle Region'!$A$2:$C$14,2,FALSE)</f>
        <v>Nordamerika</v>
      </c>
      <c r="C407" t="str">
        <f t="shared" si="6"/>
        <v>Geschäftskunde</v>
      </c>
      <c r="E407" s="1"/>
      <c r="F407">
        <v>7</v>
      </c>
      <c r="G407">
        <v>21</v>
      </c>
      <c r="H407" t="str">
        <f>VLOOKUP(G407,'Hilfetabelle Region'!$A$17:$B$19,2,)</f>
        <v>Geschäftskunde</v>
      </c>
    </row>
    <row r="408" spans="1:8" x14ac:dyDescent="0.35">
      <c r="A408">
        <v>407</v>
      </c>
      <c r="B408" t="str">
        <f>VLOOKUP(F408,'Hilfetabelle Region'!$A$2:$C$14,2,FALSE)</f>
        <v>Nordamerika</v>
      </c>
      <c r="C408" t="str">
        <f t="shared" si="6"/>
        <v>Geschäftskunde</v>
      </c>
      <c r="E408" s="1"/>
      <c r="F408">
        <v>8</v>
      </c>
      <c r="G408">
        <v>21</v>
      </c>
      <c r="H408" t="str">
        <f>VLOOKUP(G408,'Hilfetabelle Region'!$A$17:$B$19,2,)</f>
        <v>Geschäftskunde</v>
      </c>
    </row>
    <row r="409" spans="1:8" x14ac:dyDescent="0.35">
      <c r="A409">
        <v>408</v>
      </c>
      <c r="B409" t="str">
        <f>VLOOKUP(F409,'Hilfetabelle Region'!$A$2:$C$14,2,FALSE)</f>
        <v>Afrika</v>
      </c>
      <c r="C409" t="str">
        <f t="shared" si="6"/>
        <v>Geschäftskunde</v>
      </c>
      <c r="E409" s="1"/>
      <c r="F409">
        <v>11</v>
      </c>
      <c r="G409">
        <v>22</v>
      </c>
      <c r="H409" t="str">
        <f>VLOOKUP(G409,'Hilfetabelle Region'!$A$17:$B$19,2,)</f>
        <v>Geschäftskunde</v>
      </c>
    </row>
    <row r="410" spans="1:8" x14ac:dyDescent="0.35">
      <c r="A410">
        <v>409</v>
      </c>
      <c r="B410" t="str">
        <f>VLOOKUP(F410,'Hilfetabelle Region'!$A$2:$C$14,2,FALSE)</f>
        <v>Lateinamerika</v>
      </c>
      <c r="C410" t="str">
        <f t="shared" si="6"/>
        <v>Geschäftskunde</v>
      </c>
      <c r="E410" s="1"/>
      <c r="F410">
        <v>10</v>
      </c>
      <c r="G410">
        <v>22</v>
      </c>
      <c r="H410" t="str">
        <f>VLOOKUP(G410,'Hilfetabelle Region'!$A$17:$B$19,2,)</f>
        <v>Geschäftskunde</v>
      </c>
    </row>
    <row r="411" spans="1:8" x14ac:dyDescent="0.35">
      <c r="A411">
        <v>410</v>
      </c>
      <c r="B411" t="str">
        <f>VLOOKUP(F411,'Hilfetabelle Region'!$A$2:$C$14,2,FALSE)</f>
        <v>Europa</v>
      </c>
      <c r="C411" t="str">
        <f t="shared" si="6"/>
        <v>Geschäftskunde</v>
      </c>
      <c r="E411" s="1"/>
      <c r="F411">
        <v>4</v>
      </c>
      <c r="G411">
        <v>22</v>
      </c>
      <c r="H411" t="str">
        <f>VLOOKUP(G411,'Hilfetabelle Region'!$A$17:$B$19,2,)</f>
        <v>Geschäftskunde</v>
      </c>
    </row>
    <row r="412" spans="1:8" x14ac:dyDescent="0.35">
      <c r="A412">
        <v>411</v>
      </c>
      <c r="B412" t="str">
        <f>VLOOKUP(F412,'Hilfetabelle Region'!$A$2:$C$14,2,FALSE)</f>
        <v>Asien</v>
      </c>
      <c r="C412" t="str">
        <f t="shared" si="6"/>
        <v>Geschäftskunde</v>
      </c>
      <c r="E412" s="1"/>
      <c r="F412">
        <v>12</v>
      </c>
      <c r="G412">
        <v>23</v>
      </c>
      <c r="H412" t="str">
        <f>VLOOKUP(G412,'Hilfetabelle Region'!$A$17:$B$19,2,)</f>
        <v>Privatkunde</v>
      </c>
    </row>
    <row r="413" spans="1:8" x14ac:dyDescent="0.35">
      <c r="A413">
        <v>412</v>
      </c>
      <c r="B413" t="str">
        <f>VLOOKUP(F413,'Hilfetabelle Region'!$A$2:$C$14,2,FALSE)</f>
        <v>Nordamerika</v>
      </c>
      <c r="C413" t="str">
        <f t="shared" si="6"/>
        <v>Geschäftskunde</v>
      </c>
      <c r="E413" s="1"/>
      <c r="F413">
        <v>9</v>
      </c>
      <c r="G413">
        <v>21</v>
      </c>
      <c r="H413" t="str">
        <f>VLOOKUP(G413,'Hilfetabelle Region'!$A$17:$B$19,2,)</f>
        <v>Geschäftskunde</v>
      </c>
    </row>
    <row r="414" spans="1:8" x14ac:dyDescent="0.35">
      <c r="A414">
        <v>413</v>
      </c>
      <c r="B414" t="str">
        <f>VLOOKUP(F414,'Hilfetabelle Region'!$A$2:$C$14,2,FALSE)</f>
        <v>Asien</v>
      </c>
      <c r="C414" t="str">
        <f t="shared" si="6"/>
        <v>Geschäftskunde</v>
      </c>
      <c r="E414" s="1"/>
      <c r="F414">
        <v>13</v>
      </c>
      <c r="G414">
        <v>21</v>
      </c>
      <c r="H414" t="str">
        <f>VLOOKUP(G414,'Hilfetabelle Region'!$A$17:$B$19,2,)</f>
        <v>Geschäftskunde</v>
      </c>
    </row>
    <row r="415" spans="1:8" x14ac:dyDescent="0.35">
      <c r="A415">
        <v>414</v>
      </c>
      <c r="B415" t="str">
        <f>VLOOKUP(F415,'Hilfetabelle Region'!$A$2:$C$14,2,FALSE)</f>
        <v>Asien</v>
      </c>
      <c r="C415" t="str">
        <f t="shared" si="6"/>
        <v>Geschäftskunde</v>
      </c>
      <c r="E415" s="1"/>
      <c r="F415">
        <v>13</v>
      </c>
      <c r="G415">
        <v>21</v>
      </c>
      <c r="H415" t="str">
        <f>VLOOKUP(G415,'Hilfetabelle Region'!$A$17:$B$19,2,)</f>
        <v>Geschäftskunde</v>
      </c>
    </row>
    <row r="416" spans="1:8" x14ac:dyDescent="0.35">
      <c r="A416">
        <v>415</v>
      </c>
      <c r="B416" t="str">
        <f>VLOOKUP(F416,'Hilfetabelle Region'!$A$2:$C$14,2,FALSE)</f>
        <v>Europa</v>
      </c>
      <c r="C416" t="str">
        <f t="shared" si="6"/>
        <v>Geschäftskunde</v>
      </c>
      <c r="E416" s="1"/>
      <c r="F416">
        <v>3</v>
      </c>
      <c r="G416">
        <v>21</v>
      </c>
      <c r="H416" t="str">
        <f>VLOOKUP(G416,'Hilfetabelle Region'!$A$17:$B$19,2,)</f>
        <v>Geschäftskunde</v>
      </c>
    </row>
    <row r="417" spans="1:8" x14ac:dyDescent="0.35">
      <c r="A417">
        <v>416</v>
      </c>
      <c r="B417" t="str">
        <f>VLOOKUP(F417,'Hilfetabelle Region'!$A$2:$C$14,2,FALSE)</f>
        <v>Europa</v>
      </c>
      <c r="C417" t="str">
        <f t="shared" si="6"/>
        <v>Geschäftskunde</v>
      </c>
      <c r="E417" s="1"/>
      <c r="F417">
        <v>6</v>
      </c>
      <c r="G417">
        <v>22</v>
      </c>
      <c r="H417" t="str">
        <f>VLOOKUP(G417,'Hilfetabelle Region'!$A$17:$B$19,2,)</f>
        <v>Geschäftskunde</v>
      </c>
    </row>
    <row r="418" spans="1:8" x14ac:dyDescent="0.35">
      <c r="A418">
        <v>417</v>
      </c>
      <c r="B418" t="str">
        <f>VLOOKUP(F418,'Hilfetabelle Region'!$A$2:$C$14,2,FALSE)</f>
        <v>Europa</v>
      </c>
      <c r="C418" t="str">
        <f t="shared" si="6"/>
        <v>Geschäftskunde</v>
      </c>
      <c r="E418" s="1"/>
      <c r="F418">
        <v>1</v>
      </c>
      <c r="G418">
        <v>21</v>
      </c>
      <c r="H418" t="str">
        <f>VLOOKUP(G418,'Hilfetabelle Region'!$A$17:$B$19,2,)</f>
        <v>Geschäftskunde</v>
      </c>
    </row>
    <row r="419" spans="1:8" x14ac:dyDescent="0.35">
      <c r="A419">
        <v>418</v>
      </c>
      <c r="B419" t="str">
        <f>VLOOKUP(F419,'Hilfetabelle Region'!$A$2:$C$14,2,FALSE)</f>
        <v>Europa</v>
      </c>
      <c r="C419" t="str">
        <f t="shared" si="6"/>
        <v>Privatkunde</v>
      </c>
      <c r="E419" s="1"/>
      <c r="F419">
        <v>4</v>
      </c>
      <c r="G419">
        <v>23</v>
      </c>
      <c r="H419" t="str">
        <f>VLOOKUP(G419,'Hilfetabelle Region'!$A$17:$B$19,2,)</f>
        <v>Privatkunde</v>
      </c>
    </row>
    <row r="420" spans="1:8" x14ac:dyDescent="0.35">
      <c r="A420">
        <v>419</v>
      </c>
      <c r="B420" t="str">
        <f>VLOOKUP(F420,'Hilfetabelle Region'!$A$2:$C$14,2,FALSE)</f>
        <v>Asien</v>
      </c>
      <c r="C420" t="str">
        <f t="shared" si="6"/>
        <v>Geschäftskunde</v>
      </c>
      <c r="E420" s="1"/>
      <c r="F420">
        <v>13</v>
      </c>
      <c r="G420">
        <v>23</v>
      </c>
      <c r="H420" t="str">
        <f>VLOOKUP(G420,'Hilfetabelle Region'!$A$17:$B$19,2,)</f>
        <v>Privatkunde</v>
      </c>
    </row>
    <row r="421" spans="1:8" x14ac:dyDescent="0.35">
      <c r="A421">
        <v>420</v>
      </c>
      <c r="B421" t="str">
        <f>VLOOKUP(F421,'Hilfetabelle Region'!$A$2:$C$14,2,FALSE)</f>
        <v>Nordamerika</v>
      </c>
      <c r="C421" t="str">
        <f t="shared" si="6"/>
        <v>Geschäftskunde</v>
      </c>
      <c r="E421" s="1"/>
      <c r="F421">
        <v>9</v>
      </c>
      <c r="G421">
        <v>22</v>
      </c>
      <c r="H421" t="str">
        <f>VLOOKUP(G421,'Hilfetabelle Region'!$A$17:$B$19,2,)</f>
        <v>Geschäftskunde</v>
      </c>
    </row>
    <row r="422" spans="1:8" x14ac:dyDescent="0.35">
      <c r="A422">
        <v>421</v>
      </c>
      <c r="B422" t="str">
        <f>VLOOKUP(F422,'Hilfetabelle Region'!$A$2:$C$14,2,FALSE)</f>
        <v>Afrika</v>
      </c>
      <c r="C422" t="str">
        <f t="shared" si="6"/>
        <v>Geschäftskunde</v>
      </c>
      <c r="E422" s="1"/>
      <c r="F422">
        <v>11</v>
      </c>
      <c r="G422">
        <v>23</v>
      </c>
      <c r="H422" t="str">
        <f>VLOOKUP(G422,'Hilfetabelle Region'!$A$17:$B$19,2,)</f>
        <v>Privatkunde</v>
      </c>
    </row>
    <row r="423" spans="1:8" x14ac:dyDescent="0.35">
      <c r="A423">
        <v>422</v>
      </c>
      <c r="B423" t="str">
        <f>VLOOKUP(F423,'Hilfetabelle Region'!$A$2:$C$14,2,FALSE)</f>
        <v>Lateinamerika</v>
      </c>
      <c r="C423" t="str">
        <f t="shared" si="6"/>
        <v>Geschäftskunde</v>
      </c>
      <c r="E423" s="1"/>
      <c r="F423">
        <v>10</v>
      </c>
      <c r="G423">
        <v>23</v>
      </c>
      <c r="H423" t="str">
        <f>VLOOKUP(G423,'Hilfetabelle Region'!$A$17:$B$19,2,)</f>
        <v>Privatkunde</v>
      </c>
    </row>
    <row r="424" spans="1:8" x14ac:dyDescent="0.35">
      <c r="A424">
        <v>423</v>
      </c>
      <c r="B424" t="str">
        <f>VLOOKUP(F424,'Hilfetabelle Region'!$A$2:$C$14,2,FALSE)</f>
        <v>Nordamerika</v>
      </c>
      <c r="C424" t="str">
        <f t="shared" si="6"/>
        <v>Geschäftskunde</v>
      </c>
      <c r="E424" s="1"/>
      <c r="F424">
        <v>9</v>
      </c>
      <c r="G424">
        <v>21</v>
      </c>
      <c r="H424" t="str">
        <f>VLOOKUP(G424,'Hilfetabelle Region'!$A$17:$B$19,2,)</f>
        <v>Geschäftskunde</v>
      </c>
    </row>
    <row r="425" spans="1:8" x14ac:dyDescent="0.35">
      <c r="A425">
        <v>424</v>
      </c>
      <c r="B425" t="str">
        <f>VLOOKUP(F425,'Hilfetabelle Region'!$A$2:$C$14,2,FALSE)</f>
        <v>Europa</v>
      </c>
      <c r="C425" t="str">
        <f t="shared" si="6"/>
        <v>Privatkunde</v>
      </c>
      <c r="E425" s="1"/>
      <c r="F425">
        <v>2</v>
      </c>
      <c r="G425">
        <v>23</v>
      </c>
      <c r="H425" t="str">
        <f>VLOOKUP(G425,'Hilfetabelle Region'!$A$17:$B$19,2,)</f>
        <v>Privatkunde</v>
      </c>
    </row>
    <row r="426" spans="1:8" x14ac:dyDescent="0.35">
      <c r="A426">
        <v>425</v>
      </c>
      <c r="B426" t="str">
        <f>VLOOKUP(F426,'Hilfetabelle Region'!$A$2:$C$14,2,FALSE)</f>
        <v>Lateinamerika</v>
      </c>
      <c r="C426" t="str">
        <f t="shared" si="6"/>
        <v>Geschäftskunde</v>
      </c>
      <c r="E426" s="1"/>
      <c r="F426">
        <v>10</v>
      </c>
      <c r="G426">
        <v>23</v>
      </c>
      <c r="H426" t="str">
        <f>VLOOKUP(G426,'Hilfetabelle Region'!$A$17:$B$19,2,)</f>
        <v>Privatkunde</v>
      </c>
    </row>
    <row r="427" spans="1:8" x14ac:dyDescent="0.35">
      <c r="A427">
        <v>426</v>
      </c>
      <c r="B427" t="str">
        <f>VLOOKUP(F427,'Hilfetabelle Region'!$A$2:$C$14,2,FALSE)</f>
        <v>Asien</v>
      </c>
      <c r="C427" t="str">
        <f t="shared" si="6"/>
        <v>Geschäftskunde</v>
      </c>
      <c r="E427" s="1"/>
      <c r="F427">
        <v>12</v>
      </c>
      <c r="G427">
        <v>21</v>
      </c>
      <c r="H427" t="str">
        <f>VLOOKUP(G427,'Hilfetabelle Region'!$A$17:$B$19,2,)</f>
        <v>Geschäftskunde</v>
      </c>
    </row>
    <row r="428" spans="1:8" x14ac:dyDescent="0.35">
      <c r="A428">
        <v>427</v>
      </c>
      <c r="B428" t="str">
        <f>VLOOKUP(F428,'Hilfetabelle Region'!$A$2:$C$14,2,FALSE)</f>
        <v>Europa</v>
      </c>
      <c r="C428" t="str">
        <f t="shared" si="6"/>
        <v>Geschäftskunde</v>
      </c>
      <c r="E428" s="1"/>
      <c r="F428">
        <v>6</v>
      </c>
      <c r="G428">
        <v>21</v>
      </c>
      <c r="H428" t="str">
        <f>VLOOKUP(G428,'Hilfetabelle Region'!$A$17:$B$19,2,)</f>
        <v>Geschäftskunde</v>
      </c>
    </row>
    <row r="429" spans="1:8" x14ac:dyDescent="0.35">
      <c r="A429">
        <v>428</v>
      </c>
      <c r="B429" t="str">
        <f>VLOOKUP(F429,'Hilfetabelle Region'!$A$2:$C$14,2,FALSE)</f>
        <v>Europa</v>
      </c>
      <c r="C429" t="str">
        <f t="shared" si="6"/>
        <v>Geschäftskunde</v>
      </c>
      <c r="E429" s="1"/>
      <c r="F429">
        <v>2</v>
      </c>
      <c r="G429">
        <v>22</v>
      </c>
      <c r="H429" t="str">
        <f>VLOOKUP(G429,'Hilfetabelle Region'!$A$17:$B$19,2,)</f>
        <v>Geschäftskunde</v>
      </c>
    </row>
    <row r="430" spans="1:8" x14ac:dyDescent="0.35">
      <c r="A430">
        <v>429</v>
      </c>
      <c r="B430" t="str">
        <f>VLOOKUP(F430,'Hilfetabelle Region'!$A$2:$C$14,2,FALSE)</f>
        <v>Europa</v>
      </c>
      <c r="C430" t="str">
        <f t="shared" si="6"/>
        <v>Privatkunde</v>
      </c>
      <c r="E430" s="1"/>
      <c r="F430">
        <v>1</v>
      </c>
      <c r="G430">
        <v>23</v>
      </c>
      <c r="H430" t="str">
        <f>VLOOKUP(G430,'Hilfetabelle Region'!$A$17:$B$19,2,)</f>
        <v>Privatkunde</v>
      </c>
    </row>
    <row r="431" spans="1:8" x14ac:dyDescent="0.35">
      <c r="A431">
        <v>430</v>
      </c>
      <c r="B431" t="str">
        <f>VLOOKUP(F431,'Hilfetabelle Region'!$A$2:$C$14,2,FALSE)</f>
        <v>Europa</v>
      </c>
      <c r="C431" t="str">
        <f t="shared" si="6"/>
        <v>Privatkunde</v>
      </c>
      <c r="E431" s="1"/>
      <c r="F431">
        <v>2</v>
      </c>
      <c r="G431">
        <v>23</v>
      </c>
      <c r="H431" t="str">
        <f>VLOOKUP(G431,'Hilfetabelle Region'!$A$17:$B$19,2,)</f>
        <v>Privatkunde</v>
      </c>
    </row>
    <row r="432" spans="1:8" x14ac:dyDescent="0.35">
      <c r="A432">
        <v>431</v>
      </c>
      <c r="B432" t="str">
        <f>VLOOKUP(F432,'Hilfetabelle Region'!$A$2:$C$14,2,FALSE)</f>
        <v>Europa</v>
      </c>
      <c r="C432" t="str">
        <f t="shared" si="6"/>
        <v>Geschäftskunde</v>
      </c>
      <c r="E432" s="1"/>
      <c r="F432">
        <v>5</v>
      </c>
      <c r="G432">
        <v>22</v>
      </c>
      <c r="H432" t="str">
        <f>VLOOKUP(G432,'Hilfetabelle Region'!$A$17:$B$19,2,)</f>
        <v>Geschäftskunde</v>
      </c>
    </row>
    <row r="433" spans="1:8" x14ac:dyDescent="0.35">
      <c r="A433">
        <v>432</v>
      </c>
      <c r="B433" t="str">
        <f>VLOOKUP(F433,'Hilfetabelle Region'!$A$2:$C$14,2,FALSE)</f>
        <v>Europa</v>
      </c>
      <c r="C433" t="str">
        <f t="shared" si="6"/>
        <v>Geschäftskunde</v>
      </c>
      <c r="E433" s="1"/>
      <c r="F433">
        <v>6</v>
      </c>
      <c r="G433">
        <v>22</v>
      </c>
      <c r="H433" t="str">
        <f>VLOOKUP(G433,'Hilfetabelle Region'!$A$17:$B$19,2,)</f>
        <v>Geschäftskunde</v>
      </c>
    </row>
    <row r="434" spans="1:8" x14ac:dyDescent="0.35">
      <c r="A434">
        <v>433</v>
      </c>
      <c r="B434" t="str">
        <f>VLOOKUP(F434,'Hilfetabelle Region'!$A$2:$C$14,2,FALSE)</f>
        <v>Europa</v>
      </c>
      <c r="C434" t="str">
        <f t="shared" si="6"/>
        <v>Privatkunde</v>
      </c>
      <c r="E434" s="1"/>
      <c r="F434">
        <v>5</v>
      </c>
      <c r="G434">
        <v>23</v>
      </c>
      <c r="H434" t="str">
        <f>VLOOKUP(G434,'Hilfetabelle Region'!$A$17:$B$19,2,)</f>
        <v>Privatkunde</v>
      </c>
    </row>
    <row r="435" spans="1:8" x14ac:dyDescent="0.35">
      <c r="A435">
        <v>434</v>
      </c>
      <c r="B435" t="str">
        <f>VLOOKUP(F435,'Hilfetabelle Region'!$A$2:$C$14,2,FALSE)</f>
        <v>Asien</v>
      </c>
      <c r="C435" t="str">
        <f t="shared" si="6"/>
        <v>Geschäftskunde</v>
      </c>
      <c r="E435" s="1"/>
      <c r="F435">
        <v>13</v>
      </c>
      <c r="G435">
        <v>21</v>
      </c>
      <c r="H435" t="str">
        <f>VLOOKUP(G435,'Hilfetabelle Region'!$A$17:$B$19,2,)</f>
        <v>Geschäftskunde</v>
      </c>
    </row>
    <row r="436" spans="1:8" x14ac:dyDescent="0.35">
      <c r="A436">
        <v>435</v>
      </c>
      <c r="B436" t="str">
        <f>VLOOKUP(F436,'Hilfetabelle Region'!$A$2:$C$14,2,FALSE)</f>
        <v>Europa</v>
      </c>
      <c r="C436" t="str">
        <f t="shared" si="6"/>
        <v>Privatkunde</v>
      </c>
      <c r="E436" s="1"/>
      <c r="F436">
        <v>6</v>
      </c>
      <c r="G436">
        <v>23</v>
      </c>
      <c r="H436" t="str">
        <f>VLOOKUP(G436,'Hilfetabelle Region'!$A$17:$B$19,2,)</f>
        <v>Privatkunde</v>
      </c>
    </row>
    <row r="437" spans="1:8" x14ac:dyDescent="0.35">
      <c r="A437">
        <v>436</v>
      </c>
      <c r="B437" t="str">
        <f>VLOOKUP(F437,'Hilfetabelle Region'!$A$2:$C$14,2,FALSE)</f>
        <v>Europa</v>
      </c>
      <c r="C437" t="str">
        <f t="shared" si="6"/>
        <v>Privatkunde</v>
      </c>
      <c r="E437" s="1"/>
      <c r="F437">
        <v>5</v>
      </c>
      <c r="G437">
        <v>23</v>
      </c>
      <c r="H437" t="str">
        <f>VLOOKUP(G437,'Hilfetabelle Region'!$A$17:$B$19,2,)</f>
        <v>Privatkunde</v>
      </c>
    </row>
    <row r="438" spans="1:8" x14ac:dyDescent="0.35">
      <c r="A438">
        <v>437</v>
      </c>
      <c r="B438" t="str">
        <f>VLOOKUP(F438,'Hilfetabelle Region'!$A$2:$C$14,2,FALSE)</f>
        <v>Asien</v>
      </c>
      <c r="C438" t="str">
        <f t="shared" si="6"/>
        <v>Geschäftskunde</v>
      </c>
      <c r="E438" s="1"/>
      <c r="F438">
        <v>13</v>
      </c>
      <c r="G438">
        <v>21</v>
      </c>
      <c r="H438" t="str">
        <f>VLOOKUP(G438,'Hilfetabelle Region'!$A$17:$B$19,2,)</f>
        <v>Geschäftskunde</v>
      </c>
    </row>
    <row r="439" spans="1:8" x14ac:dyDescent="0.35">
      <c r="A439">
        <v>438</v>
      </c>
      <c r="B439" t="str">
        <f>VLOOKUP(F439,'Hilfetabelle Region'!$A$2:$C$14,2,FALSE)</f>
        <v>Asien</v>
      </c>
      <c r="C439" t="str">
        <f t="shared" si="6"/>
        <v>Geschäftskunde</v>
      </c>
      <c r="E439" s="1"/>
      <c r="F439">
        <v>12</v>
      </c>
      <c r="G439">
        <v>21</v>
      </c>
      <c r="H439" t="str">
        <f>VLOOKUP(G439,'Hilfetabelle Region'!$A$17:$B$19,2,)</f>
        <v>Geschäftskunde</v>
      </c>
    </row>
    <row r="440" spans="1:8" x14ac:dyDescent="0.35">
      <c r="A440">
        <v>439</v>
      </c>
      <c r="B440" t="str">
        <f>VLOOKUP(F440,'Hilfetabelle Region'!$A$2:$C$14,2,FALSE)</f>
        <v>Afrika</v>
      </c>
      <c r="C440" t="str">
        <f t="shared" si="6"/>
        <v>Geschäftskunde</v>
      </c>
      <c r="E440" s="1"/>
      <c r="F440">
        <v>11</v>
      </c>
      <c r="G440">
        <v>22</v>
      </c>
      <c r="H440" t="str">
        <f>VLOOKUP(G440,'Hilfetabelle Region'!$A$17:$B$19,2,)</f>
        <v>Geschäftskunde</v>
      </c>
    </row>
    <row r="441" spans="1:8" x14ac:dyDescent="0.35">
      <c r="A441">
        <v>440</v>
      </c>
      <c r="B441" t="str">
        <f>VLOOKUP(F441,'Hilfetabelle Region'!$A$2:$C$14,2,FALSE)</f>
        <v>Europa</v>
      </c>
      <c r="C441" t="str">
        <f t="shared" si="6"/>
        <v>Privatkunde</v>
      </c>
      <c r="E441" s="1"/>
      <c r="F441">
        <v>1</v>
      </c>
      <c r="G441">
        <v>23</v>
      </c>
      <c r="H441" t="str">
        <f>VLOOKUP(G441,'Hilfetabelle Region'!$A$17:$B$19,2,)</f>
        <v>Privatkunde</v>
      </c>
    </row>
    <row r="442" spans="1:8" x14ac:dyDescent="0.35">
      <c r="A442">
        <v>441</v>
      </c>
      <c r="B442" t="str">
        <f>VLOOKUP(F442,'Hilfetabelle Region'!$A$2:$C$14,2,FALSE)</f>
        <v>Europa</v>
      </c>
      <c r="C442" t="str">
        <f t="shared" si="6"/>
        <v>Geschäftskunde</v>
      </c>
      <c r="E442" s="1"/>
      <c r="F442">
        <v>4</v>
      </c>
      <c r="G442">
        <v>22</v>
      </c>
      <c r="H442" t="str">
        <f>VLOOKUP(G442,'Hilfetabelle Region'!$A$17:$B$19,2,)</f>
        <v>Geschäftskunde</v>
      </c>
    </row>
    <row r="443" spans="1:8" x14ac:dyDescent="0.35">
      <c r="A443">
        <v>442</v>
      </c>
      <c r="B443" t="str">
        <f>VLOOKUP(F443,'Hilfetabelle Region'!$A$2:$C$14,2,FALSE)</f>
        <v>Nordamerika</v>
      </c>
      <c r="C443" t="str">
        <f t="shared" si="6"/>
        <v>Geschäftskunde</v>
      </c>
      <c r="E443" s="1"/>
      <c r="F443">
        <v>9</v>
      </c>
      <c r="G443">
        <v>21</v>
      </c>
      <c r="H443" t="str">
        <f>VLOOKUP(G443,'Hilfetabelle Region'!$A$17:$B$19,2,)</f>
        <v>Geschäftskunde</v>
      </c>
    </row>
    <row r="444" spans="1:8" x14ac:dyDescent="0.35">
      <c r="A444">
        <v>443</v>
      </c>
      <c r="B444" t="str">
        <f>VLOOKUP(F444,'Hilfetabelle Region'!$A$2:$C$14,2,FALSE)</f>
        <v>Asien</v>
      </c>
      <c r="C444" t="str">
        <f t="shared" si="6"/>
        <v>Geschäftskunde</v>
      </c>
      <c r="E444" s="1"/>
      <c r="F444">
        <v>13</v>
      </c>
      <c r="G444">
        <v>21</v>
      </c>
      <c r="H444" t="str">
        <f>VLOOKUP(G444,'Hilfetabelle Region'!$A$17:$B$19,2,)</f>
        <v>Geschäftskunde</v>
      </c>
    </row>
    <row r="445" spans="1:8" x14ac:dyDescent="0.35">
      <c r="A445">
        <v>444</v>
      </c>
      <c r="B445" t="str">
        <f>VLOOKUP(F445,'Hilfetabelle Region'!$A$2:$C$14,2,FALSE)</f>
        <v>Europa</v>
      </c>
      <c r="C445" t="str">
        <f t="shared" si="6"/>
        <v>Geschäftskunde</v>
      </c>
      <c r="E445" s="1"/>
      <c r="F445">
        <v>3</v>
      </c>
      <c r="G445">
        <v>22</v>
      </c>
      <c r="H445" t="str">
        <f>VLOOKUP(G445,'Hilfetabelle Region'!$A$17:$B$19,2,)</f>
        <v>Geschäftskunde</v>
      </c>
    </row>
    <row r="446" spans="1:8" x14ac:dyDescent="0.35">
      <c r="A446">
        <v>445</v>
      </c>
      <c r="B446" t="str">
        <f>VLOOKUP(F446,'Hilfetabelle Region'!$A$2:$C$14,2,FALSE)</f>
        <v>Europa</v>
      </c>
      <c r="C446" t="str">
        <f t="shared" si="6"/>
        <v>Geschäftskunde</v>
      </c>
      <c r="E446" s="1"/>
      <c r="F446">
        <v>5</v>
      </c>
      <c r="G446">
        <v>22</v>
      </c>
      <c r="H446" t="str">
        <f>VLOOKUP(G446,'Hilfetabelle Region'!$A$17:$B$19,2,)</f>
        <v>Geschäftskunde</v>
      </c>
    </row>
    <row r="447" spans="1:8" x14ac:dyDescent="0.35">
      <c r="A447">
        <v>446</v>
      </c>
      <c r="B447" t="str">
        <f>VLOOKUP(F447,'Hilfetabelle Region'!$A$2:$C$14,2,FALSE)</f>
        <v>Nordamerika</v>
      </c>
      <c r="C447" t="str">
        <f t="shared" si="6"/>
        <v>Geschäftskunde</v>
      </c>
      <c r="E447" s="1"/>
      <c r="F447">
        <v>7</v>
      </c>
      <c r="G447">
        <v>21</v>
      </c>
      <c r="H447" t="str">
        <f>VLOOKUP(G447,'Hilfetabelle Region'!$A$17:$B$19,2,)</f>
        <v>Geschäftskunde</v>
      </c>
    </row>
    <row r="448" spans="1:8" x14ac:dyDescent="0.35">
      <c r="A448">
        <v>447</v>
      </c>
      <c r="B448" t="str">
        <f>VLOOKUP(F448,'Hilfetabelle Region'!$A$2:$C$14,2,FALSE)</f>
        <v>Europa</v>
      </c>
      <c r="C448" t="str">
        <f t="shared" si="6"/>
        <v>Geschäftskunde</v>
      </c>
      <c r="E448" s="1"/>
      <c r="F448">
        <v>5</v>
      </c>
      <c r="G448">
        <v>21</v>
      </c>
      <c r="H448" t="str">
        <f>VLOOKUP(G448,'Hilfetabelle Region'!$A$17:$B$19,2,)</f>
        <v>Geschäftskunde</v>
      </c>
    </row>
    <row r="449" spans="1:8" x14ac:dyDescent="0.35">
      <c r="A449">
        <v>448</v>
      </c>
      <c r="B449" t="str">
        <f>VLOOKUP(F449,'Hilfetabelle Region'!$A$2:$C$14,2,FALSE)</f>
        <v>Asien</v>
      </c>
      <c r="C449" t="str">
        <f t="shared" si="6"/>
        <v>Geschäftskunde</v>
      </c>
      <c r="E449" s="1"/>
      <c r="F449">
        <v>12</v>
      </c>
      <c r="G449">
        <v>23</v>
      </c>
      <c r="H449" t="str">
        <f>VLOOKUP(G449,'Hilfetabelle Region'!$A$17:$B$19,2,)</f>
        <v>Privatkunde</v>
      </c>
    </row>
    <row r="450" spans="1:8" x14ac:dyDescent="0.35">
      <c r="A450">
        <v>449</v>
      </c>
      <c r="B450" t="str">
        <f>VLOOKUP(F450,'Hilfetabelle Region'!$A$2:$C$14,2,FALSE)</f>
        <v>Nordamerika</v>
      </c>
      <c r="C450" t="str">
        <f t="shared" si="6"/>
        <v>Geschäftskunde</v>
      </c>
      <c r="E450" s="1"/>
      <c r="F450">
        <v>8</v>
      </c>
      <c r="G450">
        <v>22</v>
      </c>
      <c r="H450" t="str">
        <f>VLOOKUP(G450,'Hilfetabelle Region'!$A$17:$B$19,2,)</f>
        <v>Geschäftskunde</v>
      </c>
    </row>
    <row r="451" spans="1:8" x14ac:dyDescent="0.35">
      <c r="A451">
        <v>450</v>
      </c>
      <c r="B451" t="str">
        <f>VLOOKUP(F451,'Hilfetabelle Region'!$A$2:$C$14,2,FALSE)</f>
        <v>Europa</v>
      </c>
      <c r="C451" t="str">
        <f t="shared" ref="C451:C514" si="7">IF(B451="Europa",H451,"Geschäftskunde")</f>
        <v>Geschäftskunde</v>
      </c>
      <c r="E451" s="1"/>
      <c r="F451">
        <v>5</v>
      </c>
      <c r="G451">
        <v>21</v>
      </c>
      <c r="H451" t="str">
        <f>VLOOKUP(G451,'Hilfetabelle Region'!$A$17:$B$19,2,)</f>
        <v>Geschäftskunde</v>
      </c>
    </row>
    <row r="452" spans="1:8" x14ac:dyDescent="0.35">
      <c r="A452">
        <v>451</v>
      </c>
      <c r="B452" t="str">
        <f>VLOOKUP(F452,'Hilfetabelle Region'!$A$2:$C$14,2,FALSE)</f>
        <v>Nordamerika</v>
      </c>
      <c r="C452" t="str">
        <f t="shared" si="7"/>
        <v>Geschäftskunde</v>
      </c>
      <c r="E452" s="1"/>
      <c r="F452">
        <v>8</v>
      </c>
      <c r="G452">
        <v>21</v>
      </c>
      <c r="H452" t="str">
        <f>VLOOKUP(G452,'Hilfetabelle Region'!$A$17:$B$19,2,)</f>
        <v>Geschäftskunde</v>
      </c>
    </row>
    <row r="453" spans="1:8" x14ac:dyDescent="0.35">
      <c r="A453">
        <v>452</v>
      </c>
      <c r="B453" t="str">
        <f>VLOOKUP(F453,'Hilfetabelle Region'!$A$2:$C$14,2,FALSE)</f>
        <v>Nordamerika</v>
      </c>
      <c r="C453" t="str">
        <f t="shared" si="7"/>
        <v>Geschäftskunde</v>
      </c>
      <c r="E453" s="1"/>
      <c r="F453">
        <v>9</v>
      </c>
      <c r="G453">
        <v>21</v>
      </c>
      <c r="H453" t="str">
        <f>VLOOKUP(G453,'Hilfetabelle Region'!$A$17:$B$19,2,)</f>
        <v>Geschäftskunde</v>
      </c>
    </row>
    <row r="454" spans="1:8" x14ac:dyDescent="0.35">
      <c r="A454">
        <v>453</v>
      </c>
      <c r="B454" t="str">
        <f>VLOOKUP(F454,'Hilfetabelle Region'!$A$2:$C$14,2,FALSE)</f>
        <v>Europa</v>
      </c>
      <c r="C454" t="str">
        <f t="shared" si="7"/>
        <v>Privatkunde</v>
      </c>
      <c r="E454" s="1"/>
      <c r="F454">
        <v>4</v>
      </c>
      <c r="G454">
        <v>23</v>
      </c>
      <c r="H454" t="str">
        <f>VLOOKUP(G454,'Hilfetabelle Region'!$A$17:$B$19,2,)</f>
        <v>Privatkunde</v>
      </c>
    </row>
    <row r="455" spans="1:8" x14ac:dyDescent="0.35">
      <c r="A455">
        <v>454</v>
      </c>
      <c r="B455" t="str">
        <f>VLOOKUP(F455,'Hilfetabelle Region'!$A$2:$C$14,2,FALSE)</f>
        <v>Europa</v>
      </c>
      <c r="C455" t="str">
        <f t="shared" si="7"/>
        <v>Geschäftskunde</v>
      </c>
      <c r="E455" s="1"/>
      <c r="F455">
        <v>5</v>
      </c>
      <c r="G455">
        <v>21</v>
      </c>
      <c r="H455" t="str">
        <f>VLOOKUP(G455,'Hilfetabelle Region'!$A$17:$B$19,2,)</f>
        <v>Geschäftskunde</v>
      </c>
    </row>
    <row r="456" spans="1:8" x14ac:dyDescent="0.35">
      <c r="A456">
        <v>455</v>
      </c>
      <c r="B456" t="str">
        <f>VLOOKUP(F456,'Hilfetabelle Region'!$A$2:$C$14,2,FALSE)</f>
        <v>Nordamerika</v>
      </c>
      <c r="C456" t="str">
        <f t="shared" si="7"/>
        <v>Geschäftskunde</v>
      </c>
      <c r="E456" s="1"/>
      <c r="F456">
        <v>7</v>
      </c>
      <c r="G456">
        <v>21</v>
      </c>
      <c r="H456" t="str">
        <f>VLOOKUP(G456,'Hilfetabelle Region'!$A$17:$B$19,2,)</f>
        <v>Geschäftskunde</v>
      </c>
    </row>
    <row r="457" spans="1:8" x14ac:dyDescent="0.35">
      <c r="A457">
        <v>456</v>
      </c>
      <c r="B457" t="str">
        <f>VLOOKUP(F457,'Hilfetabelle Region'!$A$2:$C$14,2,FALSE)</f>
        <v>Europa</v>
      </c>
      <c r="C457" t="str">
        <f t="shared" si="7"/>
        <v>Privatkunde</v>
      </c>
      <c r="E457" s="1"/>
      <c r="F457">
        <v>4</v>
      </c>
      <c r="G457">
        <v>23</v>
      </c>
      <c r="H457" t="str">
        <f>VLOOKUP(G457,'Hilfetabelle Region'!$A$17:$B$19,2,)</f>
        <v>Privatkunde</v>
      </c>
    </row>
    <row r="458" spans="1:8" x14ac:dyDescent="0.35">
      <c r="A458">
        <v>457</v>
      </c>
      <c r="B458" t="str">
        <f>VLOOKUP(F458,'Hilfetabelle Region'!$A$2:$C$14,2,FALSE)</f>
        <v>Asien</v>
      </c>
      <c r="C458" t="str">
        <f t="shared" si="7"/>
        <v>Geschäftskunde</v>
      </c>
      <c r="E458" s="1"/>
      <c r="F458">
        <v>13</v>
      </c>
      <c r="G458">
        <v>23</v>
      </c>
      <c r="H458" t="str">
        <f>VLOOKUP(G458,'Hilfetabelle Region'!$A$17:$B$19,2,)</f>
        <v>Privatkunde</v>
      </c>
    </row>
    <row r="459" spans="1:8" x14ac:dyDescent="0.35">
      <c r="A459">
        <v>458</v>
      </c>
      <c r="B459" t="str">
        <f>VLOOKUP(F459,'Hilfetabelle Region'!$A$2:$C$14,2,FALSE)</f>
        <v>Europa</v>
      </c>
      <c r="C459" t="str">
        <f t="shared" si="7"/>
        <v>Privatkunde</v>
      </c>
      <c r="E459" s="1"/>
      <c r="F459">
        <v>4</v>
      </c>
      <c r="G459">
        <v>23</v>
      </c>
      <c r="H459" t="str">
        <f>VLOOKUP(G459,'Hilfetabelle Region'!$A$17:$B$19,2,)</f>
        <v>Privatkunde</v>
      </c>
    </row>
    <row r="460" spans="1:8" x14ac:dyDescent="0.35">
      <c r="A460">
        <v>459</v>
      </c>
      <c r="B460" t="str">
        <f>VLOOKUP(F460,'Hilfetabelle Region'!$A$2:$C$14,2,FALSE)</f>
        <v>Nordamerika</v>
      </c>
      <c r="C460" t="str">
        <f t="shared" si="7"/>
        <v>Geschäftskunde</v>
      </c>
      <c r="E460" s="1"/>
      <c r="F460">
        <v>9</v>
      </c>
      <c r="G460">
        <v>21</v>
      </c>
      <c r="H460" t="str">
        <f>VLOOKUP(G460,'Hilfetabelle Region'!$A$17:$B$19,2,)</f>
        <v>Geschäftskunde</v>
      </c>
    </row>
    <row r="461" spans="1:8" x14ac:dyDescent="0.35">
      <c r="A461">
        <v>460</v>
      </c>
      <c r="B461" t="str">
        <f>VLOOKUP(F461,'Hilfetabelle Region'!$A$2:$C$14,2,FALSE)</f>
        <v>Europa</v>
      </c>
      <c r="C461" t="str">
        <f t="shared" si="7"/>
        <v>Geschäftskunde</v>
      </c>
      <c r="E461" s="1"/>
      <c r="F461">
        <v>1</v>
      </c>
      <c r="G461">
        <v>22</v>
      </c>
      <c r="H461" t="str">
        <f>VLOOKUP(G461,'Hilfetabelle Region'!$A$17:$B$19,2,)</f>
        <v>Geschäftskunde</v>
      </c>
    </row>
    <row r="462" spans="1:8" x14ac:dyDescent="0.35">
      <c r="A462">
        <v>461</v>
      </c>
      <c r="B462" t="str">
        <f>VLOOKUP(F462,'Hilfetabelle Region'!$A$2:$C$14,2,FALSE)</f>
        <v>Europa</v>
      </c>
      <c r="C462" t="str">
        <f t="shared" si="7"/>
        <v>Privatkunde</v>
      </c>
      <c r="E462" s="1"/>
      <c r="F462">
        <v>3</v>
      </c>
      <c r="G462">
        <v>23</v>
      </c>
      <c r="H462" t="str">
        <f>VLOOKUP(G462,'Hilfetabelle Region'!$A$17:$B$19,2,)</f>
        <v>Privatkunde</v>
      </c>
    </row>
    <row r="463" spans="1:8" x14ac:dyDescent="0.35">
      <c r="A463">
        <v>462</v>
      </c>
      <c r="B463" t="str">
        <f>VLOOKUP(F463,'Hilfetabelle Region'!$A$2:$C$14,2,FALSE)</f>
        <v>Lateinamerika</v>
      </c>
      <c r="C463" t="str">
        <f t="shared" si="7"/>
        <v>Geschäftskunde</v>
      </c>
      <c r="E463" s="1"/>
      <c r="F463">
        <v>10</v>
      </c>
      <c r="G463">
        <v>21</v>
      </c>
      <c r="H463" t="str">
        <f>VLOOKUP(G463,'Hilfetabelle Region'!$A$17:$B$19,2,)</f>
        <v>Geschäftskunde</v>
      </c>
    </row>
    <row r="464" spans="1:8" x14ac:dyDescent="0.35">
      <c r="A464">
        <v>463</v>
      </c>
      <c r="B464" t="str">
        <f>VLOOKUP(F464,'Hilfetabelle Region'!$A$2:$C$14,2,FALSE)</f>
        <v>Europa</v>
      </c>
      <c r="C464" t="str">
        <f t="shared" si="7"/>
        <v>Geschäftskunde</v>
      </c>
      <c r="E464" s="1"/>
      <c r="F464">
        <v>2</v>
      </c>
      <c r="G464">
        <v>22</v>
      </c>
      <c r="H464" t="str">
        <f>VLOOKUP(G464,'Hilfetabelle Region'!$A$17:$B$19,2,)</f>
        <v>Geschäftskunde</v>
      </c>
    </row>
    <row r="465" spans="1:8" x14ac:dyDescent="0.35">
      <c r="A465">
        <v>464</v>
      </c>
      <c r="B465" t="str">
        <f>VLOOKUP(F465,'Hilfetabelle Region'!$A$2:$C$14,2,FALSE)</f>
        <v>Asien</v>
      </c>
      <c r="C465" t="str">
        <f t="shared" si="7"/>
        <v>Geschäftskunde</v>
      </c>
      <c r="E465" s="1"/>
      <c r="F465">
        <v>12</v>
      </c>
      <c r="G465">
        <v>23</v>
      </c>
      <c r="H465" t="str">
        <f>VLOOKUP(G465,'Hilfetabelle Region'!$A$17:$B$19,2,)</f>
        <v>Privatkunde</v>
      </c>
    </row>
    <row r="466" spans="1:8" x14ac:dyDescent="0.35">
      <c r="A466">
        <v>465</v>
      </c>
      <c r="B466" t="str">
        <f>VLOOKUP(F466,'Hilfetabelle Region'!$A$2:$C$14,2,FALSE)</f>
        <v>Asien</v>
      </c>
      <c r="C466" t="str">
        <f t="shared" si="7"/>
        <v>Geschäftskunde</v>
      </c>
      <c r="E466" s="1"/>
      <c r="F466">
        <v>12</v>
      </c>
      <c r="G466">
        <v>21</v>
      </c>
      <c r="H466" t="str">
        <f>VLOOKUP(G466,'Hilfetabelle Region'!$A$17:$B$19,2,)</f>
        <v>Geschäftskunde</v>
      </c>
    </row>
    <row r="467" spans="1:8" x14ac:dyDescent="0.35">
      <c r="A467">
        <v>466</v>
      </c>
      <c r="B467" t="str">
        <f>VLOOKUP(F467,'Hilfetabelle Region'!$A$2:$C$14,2,FALSE)</f>
        <v>Afrika</v>
      </c>
      <c r="C467" t="str">
        <f t="shared" si="7"/>
        <v>Geschäftskunde</v>
      </c>
      <c r="E467" s="1"/>
      <c r="F467">
        <v>11</v>
      </c>
      <c r="G467">
        <v>21</v>
      </c>
      <c r="H467" t="str">
        <f>VLOOKUP(G467,'Hilfetabelle Region'!$A$17:$B$19,2,)</f>
        <v>Geschäftskunde</v>
      </c>
    </row>
    <row r="468" spans="1:8" x14ac:dyDescent="0.35">
      <c r="A468">
        <v>467</v>
      </c>
      <c r="B468" t="str">
        <f>VLOOKUP(F468,'Hilfetabelle Region'!$A$2:$C$14,2,FALSE)</f>
        <v>Europa</v>
      </c>
      <c r="C468" t="str">
        <f t="shared" si="7"/>
        <v>Privatkunde</v>
      </c>
      <c r="E468" s="1"/>
      <c r="F468">
        <v>6</v>
      </c>
      <c r="G468">
        <v>23</v>
      </c>
      <c r="H468" t="str">
        <f>VLOOKUP(G468,'Hilfetabelle Region'!$A$17:$B$19,2,)</f>
        <v>Privatkunde</v>
      </c>
    </row>
    <row r="469" spans="1:8" x14ac:dyDescent="0.35">
      <c r="A469">
        <v>468</v>
      </c>
      <c r="B469" t="str">
        <f>VLOOKUP(F469,'Hilfetabelle Region'!$A$2:$C$14,2,FALSE)</f>
        <v>Afrika</v>
      </c>
      <c r="C469" t="str">
        <f t="shared" si="7"/>
        <v>Geschäftskunde</v>
      </c>
      <c r="E469" s="1"/>
      <c r="F469">
        <v>11</v>
      </c>
      <c r="G469">
        <v>23</v>
      </c>
      <c r="H469" t="str">
        <f>VLOOKUP(G469,'Hilfetabelle Region'!$A$17:$B$19,2,)</f>
        <v>Privatkunde</v>
      </c>
    </row>
    <row r="470" spans="1:8" x14ac:dyDescent="0.35">
      <c r="A470">
        <v>469</v>
      </c>
      <c r="B470" t="str">
        <f>VLOOKUP(F470,'Hilfetabelle Region'!$A$2:$C$14,2,FALSE)</f>
        <v>Nordamerika</v>
      </c>
      <c r="C470" t="str">
        <f t="shared" si="7"/>
        <v>Geschäftskunde</v>
      </c>
      <c r="E470" s="1"/>
      <c r="F470">
        <v>9</v>
      </c>
      <c r="G470">
        <v>21</v>
      </c>
      <c r="H470" t="str">
        <f>VLOOKUP(G470,'Hilfetabelle Region'!$A$17:$B$19,2,)</f>
        <v>Geschäftskunde</v>
      </c>
    </row>
    <row r="471" spans="1:8" x14ac:dyDescent="0.35">
      <c r="A471">
        <v>470</v>
      </c>
      <c r="B471" t="str">
        <f>VLOOKUP(F471,'Hilfetabelle Region'!$A$2:$C$14,2,FALSE)</f>
        <v>Nordamerika</v>
      </c>
      <c r="C471" t="str">
        <f t="shared" si="7"/>
        <v>Geschäftskunde</v>
      </c>
      <c r="E471" s="1"/>
      <c r="F471">
        <v>9</v>
      </c>
      <c r="G471">
        <v>23</v>
      </c>
      <c r="H471" t="str">
        <f>VLOOKUP(G471,'Hilfetabelle Region'!$A$17:$B$19,2,)</f>
        <v>Privatkunde</v>
      </c>
    </row>
    <row r="472" spans="1:8" x14ac:dyDescent="0.35">
      <c r="A472">
        <v>471</v>
      </c>
      <c r="B472" t="str">
        <f>VLOOKUP(F472,'Hilfetabelle Region'!$A$2:$C$14,2,FALSE)</f>
        <v>Europa</v>
      </c>
      <c r="C472" t="str">
        <f t="shared" si="7"/>
        <v>Privatkunde</v>
      </c>
      <c r="E472" s="1"/>
      <c r="F472">
        <v>3</v>
      </c>
      <c r="G472">
        <v>23</v>
      </c>
      <c r="H472" t="str">
        <f>VLOOKUP(G472,'Hilfetabelle Region'!$A$17:$B$19,2,)</f>
        <v>Privatkunde</v>
      </c>
    </row>
    <row r="473" spans="1:8" x14ac:dyDescent="0.35">
      <c r="A473">
        <v>472</v>
      </c>
      <c r="B473" t="str">
        <f>VLOOKUP(F473,'Hilfetabelle Region'!$A$2:$C$14,2,FALSE)</f>
        <v>Europa</v>
      </c>
      <c r="C473" t="str">
        <f t="shared" si="7"/>
        <v>Privatkunde</v>
      </c>
      <c r="E473" s="1"/>
      <c r="F473">
        <v>5</v>
      </c>
      <c r="G473">
        <v>23</v>
      </c>
      <c r="H473" t="str">
        <f>VLOOKUP(G473,'Hilfetabelle Region'!$A$17:$B$19,2,)</f>
        <v>Privatkunde</v>
      </c>
    </row>
    <row r="474" spans="1:8" x14ac:dyDescent="0.35">
      <c r="A474">
        <v>473</v>
      </c>
      <c r="B474" t="str">
        <f>VLOOKUP(F474,'Hilfetabelle Region'!$A$2:$C$14,2,FALSE)</f>
        <v>Nordamerika</v>
      </c>
      <c r="C474" t="str">
        <f t="shared" si="7"/>
        <v>Geschäftskunde</v>
      </c>
      <c r="E474" s="1"/>
      <c r="F474">
        <v>9</v>
      </c>
      <c r="G474">
        <v>23</v>
      </c>
      <c r="H474" t="str">
        <f>VLOOKUP(G474,'Hilfetabelle Region'!$A$17:$B$19,2,)</f>
        <v>Privatkunde</v>
      </c>
    </row>
    <row r="475" spans="1:8" x14ac:dyDescent="0.35">
      <c r="A475">
        <v>474</v>
      </c>
      <c r="B475" t="str">
        <f>VLOOKUP(F475,'Hilfetabelle Region'!$A$2:$C$14,2,FALSE)</f>
        <v>Lateinamerika</v>
      </c>
      <c r="C475" t="str">
        <f t="shared" si="7"/>
        <v>Geschäftskunde</v>
      </c>
      <c r="E475" s="1"/>
      <c r="F475">
        <v>10</v>
      </c>
      <c r="G475">
        <v>23</v>
      </c>
      <c r="H475" t="str">
        <f>VLOOKUP(G475,'Hilfetabelle Region'!$A$17:$B$19,2,)</f>
        <v>Privatkunde</v>
      </c>
    </row>
    <row r="476" spans="1:8" x14ac:dyDescent="0.35">
      <c r="A476">
        <v>475</v>
      </c>
      <c r="B476" t="str">
        <f>VLOOKUP(F476,'Hilfetabelle Region'!$A$2:$C$14,2,FALSE)</f>
        <v>Europa</v>
      </c>
      <c r="C476" t="str">
        <f t="shared" si="7"/>
        <v>Geschäftskunde</v>
      </c>
      <c r="E476" s="1"/>
      <c r="F476">
        <v>4</v>
      </c>
      <c r="G476">
        <v>22</v>
      </c>
      <c r="H476" t="str">
        <f>VLOOKUP(G476,'Hilfetabelle Region'!$A$17:$B$19,2,)</f>
        <v>Geschäftskunde</v>
      </c>
    </row>
    <row r="477" spans="1:8" x14ac:dyDescent="0.35">
      <c r="A477">
        <v>476</v>
      </c>
      <c r="B477" t="str">
        <f>VLOOKUP(F477,'Hilfetabelle Region'!$A$2:$C$14,2,FALSE)</f>
        <v>Asien</v>
      </c>
      <c r="C477" t="str">
        <f t="shared" si="7"/>
        <v>Geschäftskunde</v>
      </c>
      <c r="E477" s="1"/>
      <c r="F477">
        <v>12</v>
      </c>
      <c r="G477">
        <v>21</v>
      </c>
      <c r="H477" t="str">
        <f>VLOOKUP(G477,'Hilfetabelle Region'!$A$17:$B$19,2,)</f>
        <v>Geschäftskunde</v>
      </c>
    </row>
    <row r="478" spans="1:8" x14ac:dyDescent="0.35">
      <c r="A478">
        <v>477</v>
      </c>
      <c r="B478" t="str">
        <f>VLOOKUP(F478,'Hilfetabelle Region'!$A$2:$C$14,2,FALSE)</f>
        <v>Asien</v>
      </c>
      <c r="C478" t="str">
        <f t="shared" si="7"/>
        <v>Geschäftskunde</v>
      </c>
      <c r="E478" s="1"/>
      <c r="F478">
        <v>13</v>
      </c>
      <c r="G478">
        <v>22</v>
      </c>
      <c r="H478" t="str">
        <f>VLOOKUP(G478,'Hilfetabelle Region'!$A$17:$B$19,2,)</f>
        <v>Geschäftskunde</v>
      </c>
    </row>
    <row r="479" spans="1:8" x14ac:dyDescent="0.35">
      <c r="A479">
        <v>478</v>
      </c>
      <c r="B479" t="str">
        <f>VLOOKUP(F479,'Hilfetabelle Region'!$A$2:$C$14,2,FALSE)</f>
        <v>Lateinamerika</v>
      </c>
      <c r="C479" t="str">
        <f t="shared" si="7"/>
        <v>Geschäftskunde</v>
      </c>
      <c r="E479" s="1"/>
      <c r="F479">
        <v>10</v>
      </c>
      <c r="G479">
        <v>21</v>
      </c>
      <c r="H479" t="str">
        <f>VLOOKUP(G479,'Hilfetabelle Region'!$A$17:$B$19,2,)</f>
        <v>Geschäftskunde</v>
      </c>
    </row>
    <row r="480" spans="1:8" x14ac:dyDescent="0.35">
      <c r="A480">
        <v>479</v>
      </c>
      <c r="B480" t="str">
        <f>VLOOKUP(F480,'Hilfetabelle Region'!$A$2:$C$14,2,FALSE)</f>
        <v>Europa</v>
      </c>
      <c r="C480" t="str">
        <f t="shared" si="7"/>
        <v>Geschäftskunde</v>
      </c>
      <c r="E480" s="1"/>
      <c r="F480">
        <v>3</v>
      </c>
      <c r="G480">
        <v>22</v>
      </c>
      <c r="H480" t="str">
        <f>VLOOKUP(G480,'Hilfetabelle Region'!$A$17:$B$19,2,)</f>
        <v>Geschäftskunde</v>
      </c>
    </row>
    <row r="481" spans="1:8" x14ac:dyDescent="0.35">
      <c r="A481">
        <v>480</v>
      </c>
      <c r="B481" t="str">
        <f>VLOOKUP(F481,'Hilfetabelle Region'!$A$2:$C$14,2,FALSE)</f>
        <v>Europa</v>
      </c>
      <c r="C481" t="str">
        <f t="shared" si="7"/>
        <v>Geschäftskunde</v>
      </c>
      <c r="E481" s="1"/>
      <c r="F481">
        <v>5</v>
      </c>
      <c r="G481">
        <v>22</v>
      </c>
      <c r="H481" t="str">
        <f>VLOOKUP(G481,'Hilfetabelle Region'!$A$17:$B$19,2,)</f>
        <v>Geschäftskunde</v>
      </c>
    </row>
    <row r="482" spans="1:8" x14ac:dyDescent="0.35">
      <c r="A482">
        <v>481</v>
      </c>
      <c r="B482" t="str">
        <f>VLOOKUP(F482,'Hilfetabelle Region'!$A$2:$C$14,2,FALSE)</f>
        <v>Asien</v>
      </c>
      <c r="C482" t="str">
        <f t="shared" si="7"/>
        <v>Geschäftskunde</v>
      </c>
      <c r="E482" s="1"/>
      <c r="F482">
        <v>13</v>
      </c>
      <c r="G482">
        <v>21</v>
      </c>
      <c r="H482" t="str">
        <f>VLOOKUP(G482,'Hilfetabelle Region'!$A$17:$B$19,2,)</f>
        <v>Geschäftskunde</v>
      </c>
    </row>
    <row r="483" spans="1:8" x14ac:dyDescent="0.35">
      <c r="A483">
        <v>482</v>
      </c>
      <c r="B483" t="str">
        <f>VLOOKUP(F483,'Hilfetabelle Region'!$A$2:$C$14,2,FALSE)</f>
        <v>Europa</v>
      </c>
      <c r="C483" t="str">
        <f t="shared" si="7"/>
        <v>Geschäftskunde</v>
      </c>
      <c r="E483" s="1"/>
      <c r="F483">
        <v>2</v>
      </c>
      <c r="G483">
        <v>22</v>
      </c>
      <c r="H483" t="str">
        <f>VLOOKUP(G483,'Hilfetabelle Region'!$A$17:$B$19,2,)</f>
        <v>Geschäftskunde</v>
      </c>
    </row>
    <row r="484" spans="1:8" x14ac:dyDescent="0.35">
      <c r="A484">
        <v>483</v>
      </c>
      <c r="B484" t="str">
        <f>VLOOKUP(F484,'Hilfetabelle Region'!$A$2:$C$14,2,FALSE)</f>
        <v>Asien</v>
      </c>
      <c r="C484" t="str">
        <f t="shared" si="7"/>
        <v>Geschäftskunde</v>
      </c>
      <c r="E484" s="1"/>
      <c r="F484">
        <v>13</v>
      </c>
      <c r="G484">
        <v>23</v>
      </c>
      <c r="H484" t="str">
        <f>VLOOKUP(G484,'Hilfetabelle Region'!$A$17:$B$19,2,)</f>
        <v>Privatkunde</v>
      </c>
    </row>
    <row r="485" spans="1:8" x14ac:dyDescent="0.35">
      <c r="A485">
        <v>484</v>
      </c>
      <c r="B485" t="str">
        <f>VLOOKUP(F485,'Hilfetabelle Region'!$A$2:$C$14,2,FALSE)</f>
        <v>Europa</v>
      </c>
      <c r="C485" t="str">
        <f t="shared" si="7"/>
        <v>Geschäftskunde</v>
      </c>
      <c r="E485" s="1"/>
      <c r="F485">
        <v>6</v>
      </c>
      <c r="G485">
        <v>21</v>
      </c>
      <c r="H485" t="str">
        <f>VLOOKUP(G485,'Hilfetabelle Region'!$A$17:$B$19,2,)</f>
        <v>Geschäftskunde</v>
      </c>
    </row>
    <row r="486" spans="1:8" x14ac:dyDescent="0.35">
      <c r="A486">
        <v>485</v>
      </c>
      <c r="B486" t="str">
        <f>VLOOKUP(F486,'Hilfetabelle Region'!$A$2:$C$14,2,FALSE)</f>
        <v>Europa</v>
      </c>
      <c r="C486" t="str">
        <f t="shared" si="7"/>
        <v>Geschäftskunde</v>
      </c>
      <c r="E486" s="1"/>
      <c r="F486">
        <v>1</v>
      </c>
      <c r="G486">
        <v>21</v>
      </c>
      <c r="H486" t="str">
        <f>VLOOKUP(G486,'Hilfetabelle Region'!$A$17:$B$19,2,)</f>
        <v>Geschäftskunde</v>
      </c>
    </row>
    <row r="487" spans="1:8" x14ac:dyDescent="0.35">
      <c r="A487">
        <v>486</v>
      </c>
      <c r="B487" t="str">
        <f>VLOOKUP(F487,'Hilfetabelle Region'!$A$2:$C$14,2,FALSE)</f>
        <v>Afrika</v>
      </c>
      <c r="C487" t="str">
        <f t="shared" si="7"/>
        <v>Geschäftskunde</v>
      </c>
      <c r="E487" s="1"/>
      <c r="F487">
        <v>11</v>
      </c>
      <c r="G487">
        <v>22</v>
      </c>
      <c r="H487" t="str">
        <f>VLOOKUP(G487,'Hilfetabelle Region'!$A$17:$B$19,2,)</f>
        <v>Geschäftskunde</v>
      </c>
    </row>
    <row r="488" spans="1:8" x14ac:dyDescent="0.35">
      <c r="A488">
        <v>487</v>
      </c>
      <c r="B488" t="str">
        <f>VLOOKUP(F488,'Hilfetabelle Region'!$A$2:$C$14,2,FALSE)</f>
        <v>Europa</v>
      </c>
      <c r="C488" t="str">
        <f t="shared" si="7"/>
        <v>Geschäftskunde</v>
      </c>
      <c r="E488" s="1"/>
      <c r="F488">
        <v>6</v>
      </c>
      <c r="G488">
        <v>21</v>
      </c>
      <c r="H488" t="str">
        <f>VLOOKUP(G488,'Hilfetabelle Region'!$A$17:$B$19,2,)</f>
        <v>Geschäftskunde</v>
      </c>
    </row>
    <row r="489" spans="1:8" x14ac:dyDescent="0.35">
      <c r="A489">
        <v>488</v>
      </c>
      <c r="B489" t="str">
        <f>VLOOKUP(F489,'Hilfetabelle Region'!$A$2:$C$14,2,FALSE)</f>
        <v>Afrika</v>
      </c>
      <c r="C489" t="str">
        <f t="shared" si="7"/>
        <v>Geschäftskunde</v>
      </c>
      <c r="E489" s="1"/>
      <c r="F489">
        <v>11</v>
      </c>
      <c r="G489">
        <v>22</v>
      </c>
      <c r="H489" t="str">
        <f>VLOOKUP(G489,'Hilfetabelle Region'!$A$17:$B$19,2,)</f>
        <v>Geschäftskunde</v>
      </c>
    </row>
    <row r="490" spans="1:8" x14ac:dyDescent="0.35">
      <c r="A490">
        <v>489</v>
      </c>
      <c r="B490" t="str">
        <f>VLOOKUP(F490,'Hilfetabelle Region'!$A$2:$C$14,2,FALSE)</f>
        <v>Europa</v>
      </c>
      <c r="C490" t="str">
        <f t="shared" si="7"/>
        <v>Privatkunde</v>
      </c>
      <c r="E490" s="1"/>
      <c r="F490">
        <v>4</v>
      </c>
      <c r="G490">
        <v>23</v>
      </c>
      <c r="H490" t="str">
        <f>VLOOKUP(G490,'Hilfetabelle Region'!$A$17:$B$19,2,)</f>
        <v>Privatkunde</v>
      </c>
    </row>
    <row r="491" spans="1:8" x14ac:dyDescent="0.35">
      <c r="A491">
        <v>490</v>
      </c>
      <c r="B491" t="str">
        <f>VLOOKUP(F491,'Hilfetabelle Region'!$A$2:$C$14,2,FALSE)</f>
        <v>Europa</v>
      </c>
      <c r="C491" t="str">
        <f t="shared" si="7"/>
        <v>Privatkunde</v>
      </c>
      <c r="E491" s="1"/>
      <c r="F491">
        <v>1</v>
      </c>
      <c r="G491">
        <v>23</v>
      </c>
      <c r="H491" t="str">
        <f>VLOOKUP(G491,'Hilfetabelle Region'!$A$17:$B$19,2,)</f>
        <v>Privatkunde</v>
      </c>
    </row>
    <row r="492" spans="1:8" x14ac:dyDescent="0.35">
      <c r="A492">
        <v>491</v>
      </c>
      <c r="B492" t="str">
        <f>VLOOKUP(F492,'Hilfetabelle Region'!$A$2:$C$14,2,FALSE)</f>
        <v>Europa</v>
      </c>
      <c r="C492" t="str">
        <f t="shared" si="7"/>
        <v>Privatkunde</v>
      </c>
      <c r="E492" s="1"/>
      <c r="F492">
        <v>4</v>
      </c>
      <c r="G492">
        <v>23</v>
      </c>
      <c r="H492" t="str">
        <f>VLOOKUP(G492,'Hilfetabelle Region'!$A$17:$B$19,2,)</f>
        <v>Privatkunde</v>
      </c>
    </row>
    <row r="493" spans="1:8" x14ac:dyDescent="0.35">
      <c r="A493">
        <v>492</v>
      </c>
      <c r="B493" t="str">
        <f>VLOOKUP(F493,'Hilfetabelle Region'!$A$2:$C$14,2,FALSE)</f>
        <v>Europa</v>
      </c>
      <c r="C493" t="str">
        <f t="shared" si="7"/>
        <v>Geschäftskunde</v>
      </c>
      <c r="E493" s="1"/>
      <c r="F493">
        <v>4</v>
      </c>
      <c r="G493">
        <v>21</v>
      </c>
      <c r="H493" t="str">
        <f>VLOOKUP(G493,'Hilfetabelle Region'!$A$17:$B$19,2,)</f>
        <v>Geschäftskunde</v>
      </c>
    </row>
    <row r="494" spans="1:8" x14ac:dyDescent="0.35">
      <c r="A494">
        <v>493</v>
      </c>
      <c r="B494" t="str">
        <f>VLOOKUP(F494,'Hilfetabelle Region'!$A$2:$C$14,2,FALSE)</f>
        <v>Europa</v>
      </c>
      <c r="C494" t="str">
        <f t="shared" si="7"/>
        <v>Geschäftskunde</v>
      </c>
      <c r="E494" s="1"/>
      <c r="F494">
        <v>3</v>
      </c>
      <c r="G494">
        <v>21</v>
      </c>
      <c r="H494" t="str">
        <f>VLOOKUP(G494,'Hilfetabelle Region'!$A$17:$B$19,2,)</f>
        <v>Geschäftskunde</v>
      </c>
    </row>
    <row r="495" spans="1:8" x14ac:dyDescent="0.35">
      <c r="A495">
        <v>494</v>
      </c>
      <c r="B495" t="str">
        <f>VLOOKUP(F495,'Hilfetabelle Region'!$A$2:$C$14,2,FALSE)</f>
        <v>Afrika</v>
      </c>
      <c r="C495" t="str">
        <f t="shared" si="7"/>
        <v>Geschäftskunde</v>
      </c>
      <c r="E495" s="1"/>
      <c r="F495">
        <v>11</v>
      </c>
      <c r="G495">
        <v>22</v>
      </c>
      <c r="H495" t="str">
        <f>VLOOKUP(G495,'Hilfetabelle Region'!$A$17:$B$19,2,)</f>
        <v>Geschäftskunde</v>
      </c>
    </row>
    <row r="496" spans="1:8" x14ac:dyDescent="0.35">
      <c r="A496">
        <v>495</v>
      </c>
      <c r="B496" t="str">
        <f>VLOOKUP(F496,'Hilfetabelle Region'!$A$2:$C$14,2,FALSE)</f>
        <v>Nordamerika</v>
      </c>
      <c r="C496" t="str">
        <f t="shared" si="7"/>
        <v>Geschäftskunde</v>
      </c>
      <c r="E496" s="1"/>
      <c r="F496">
        <v>9</v>
      </c>
      <c r="G496">
        <v>22</v>
      </c>
      <c r="H496" t="str">
        <f>VLOOKUP(G496,'Hilfetabelle Region'!$A$17:$B$19,2,)</f>
        <v>Geschäftskunde</v>
      </c>
    </row>
    <row r="497" spans="1:8" x14ac:dyDescent="0.35">
      <c r="A497">
        <v>496</v>
      </c>
      <c r="B497" t="str">
        <f>VLOOKUP(F497,'Hilfetabelle Region'!$A$2:$C$14,2,FALSE)</f>
        <v>Europa</v>
      </c>
      <c r="C497" t="str">
        <f t="shared" si="7"/>
        <v>Geschäftskunde</v>
      </c>
      <c r="E497" s="1"/>
      <c r="F497">
        <v>6</v>
      </c>
      <c r="G497">
        <v>22</v>
      </c>
      <c r="H497" t="str">
        <f>VLOOKUP(G497,'Hilfetabelle Region'!$A$17:$B$19,2,)</f>
        <v>Geschäftskunde</v>
      </c>
    </row>
    <row r="498" spans="1:8" x14ac:dyDescent="0.35">
      <c r="A498">
        <v>497</v>
      </c>
      <c r="B498" t="str">
        <f>VLOOKUP(F498,'Hilfetabelle Region'!$A$2:$C$14,2,FALSE)</f>
        <v>Lateinamerika</v>
      </c>
      <c r="C498" t="str">
        <f t="shared" si="7"/>
        <v>Geschäftskunde</v>
      </c>
      <c r="E498" s="1"/>
      <c r="F498">
        <v>10</v>
      </c>
      <c r="G498">
        <v>22</v>
      </c>
      <c r="H498" t="str">
        <f>VLOOKUP(G498,'Hilfetabelle Region'!$A$17:$B$19,2,)</f>
        <v>Geschäftskunde</v>
      </c>
    </row>
    <row r="499" spans="1:8" x14ac:dyDescent="0.35">
      <c r="A499">
        <v>498</v>
      </c>
      <c r="B499" t="str">
        <f>VLOOKUP(F499,'Hilfetabelle Region'!$A$2:$C$14,2,FALSE)</f>
        <v>Europa</v>
      </c>
      <c r="C499" t="str">
        <f t="shared" si="7"/>
        <v>Geschäftskunde</v>
      </c>
      <c r="E499" s="1"/>
      <c r="F499">
        <v>2</v>
      </c>
      <c r="G499">
        <v>22</v>
      </c>
      <c r="H499" t="str">
        <f>VLOOKUP(G499,'Hilfetabelle Region'!$A$17:$B$19,2,)</f>
        <v>Geschäftskunde</v>
      </c>
    </row>
    <row r="500" spans="1:8" x14ac:dyDescent="0.35">
      <c r="A500">
        <v>499</v>
      </c>
      <c r="B500" t="str">
        <f>VLOOKUP(F500,'Hilfetabelle Region'!$A$2:$C$14,2,FALSE)</f>
        <v>Nordamerika</v>
      </c>
      <c r="C500" t="str">
        <f t="shared" si="7"/>
        <v>Geschäftskunde</v>
      </c>
      <c r="E500" s="1"/>
      <c r="F500">
        <v>8</v>
      </c>
      <c r="G500">
        <v>22</v>
      </c>
      <c r="H500" t="str">
        <f>VLOOKUP(G500,'Hilfetabelle Region'!$A$17:$B$19,2,)</f>
        <v>Geschäftskunde</v>
      </c>
    </row>
    <row r="501" spans="1:8" x14ac:dyDescent="0.35">
      <c r="A501">
        <v>500</v>
      </c>
      <c r="B501" t="str">
        <f>VLOOKUP(F501,'Hilfetabelle Region'!$A$2:$C$14,2,FALSE)</f>
        <v>Lateinamerika</v>
      </c>
      <c r="C501" t="str">
        <f t="shared" si="7"/>
        <v>Geschäftskunde</v>
      </c>
      <c r="E501" s="1"/>
      <c r="F501">
        <v>10</v>
      </c>
      <c r="G501">
        <v>23</v>
      </c>
      <c r="H501" t="str">
        <f>VLOOKUP(G501,'Hilfetabelle Region'!$A$17:$B$19,2,)</f>
        <v>Privatkunde</v>
      </c>
    </row>
    <row r="502" spans="1:8" x14ac:dyDescent="0.35">
      <c r="A502">
        <v>501</v>
      </c>
      <c r="B502" t="str">
        <f>VLOOKUP(F502,'Hilfetabelle Region'!$A$2:$C$14,2,FALSE)</f>
        <v>Europa</v>
      </c>
      <c r="C502" t="str">
        <f t="shared" si="7"/>
        <v>Geschäftskunde</v>
      </c>
      <c r="E502" s="1"/>
      <c r="F502">
        <v>5</v>
      </c>
      <c r="G502">
        <v>22</v>
      </c>
      <c r="H502" t="str">
        <f>VLOOKUP(G502,'Hilfetabelle Region'!$A$17:$B$19,2,)</f>
        <v>Geschäftskunde</v>
      </c>
    </row>
    <row r="503" spans="1:8" x14ac:dyDescent="0.35">
      <c r="A503">
        <v>502</v>
      </c>
      <c r="B503" t="str">
        <f>VLOOKUP(F503,'Hilfetabelle Region'!$A$2:$C$14,2,FALSE)</f>
        <v>Lateinamerika</v>
      </c>
      <c r="C503" t="str">
        <f t="shared" si="7"/>
        <v>Geschäftskunde</v>
      </c>
      <c r="E503" s="1"/>
      <c r="F503">
        <v>10</v>
      </c>
      <c r="G503">
        <v>22</v>
      </c>
      <c r="H503" t="str">
        <f>VLOOKUP(G503,'Hilfetabelle Region'!$A$17:$B$19,2,)</f>
        <v>Geschäftskunde</v>
      </c>
    </row>
    <row r="504" spans="1:8" x14ac:dyDescent="0.35">
      <c r="A504">
        <v>503</v>
      </c>
      <c r="B504" t="str">
        <f>VLOOKUP(F504,'Hilfetabelle Region'!$A$2:$C$14,2,FALSE)</f>
        <v>Nordamerika</v>
      </c>
      <c r="C504" t="str">
        <f t="shared" si="7"/>
        <v>Geschäftskunde</v>
      </c>
      <c r="E504" s="1"/>
      <c r="F504">
        <v>7</v>
      </c>
      <c r="G504">
        <v>21</v>
      </c>
      <c r="H504" t="str">
        <f>VLOOKUP(G504,'Hilfetabelle Region'!$A$17:$B$19,2,)</f>
        <v>Geschäftskunde</v>
      </c>
    </row>
    <row r="505" spans="1:8" x14ac:dyDescent="0.35">
      <c r="A505">
        <v>504</v>
      </c>
      <c r="B505" t="str">
        <f>VLOOKUP(F505,'Hilfetabelle Region'!$A$2:$C$14,2,FALSE)</f>
        <v>Europa</v>
      </c>
      <c r="C505" t="str">
        <f t="shared" si="7"/>
        <v>Privatkunde</v>
      </c>
      <c r="E505" s="1"/>
      <c r="F505">
        <v>5</v>
      </c>
      <c r="G505">
        <v>23</v>
      </c>
      <c r="H505" t="str">
        <f>VLOOKUP(G505,'Hilfetabelle Region'!$A$17:$B$19,2,)</f>
        <v>Privatkunde</v>
      </c>
    </row>
    <row r="506" spans="1:8" x14ac:dyDescent="0.35">
      <c r="A506">
        <v>505</v>
      </c>
      <c r="B506" t="str">
        <f>VLOOKUP(F506,'Hilfetabelle Region'!$A$2:$C$14,2,FALSE)</f>
        <v>Nordamerika</v>
      </c>
      <c r="C506" t="str">
        <f t="shared" si="7"/>
        <v>Geschäftskunde</v>
      </c>
      <c r="E506" s="1"/>
      <c r="F506">
        <v>8</v>
      </c>
      <c r="G506">
        <v>21</v>
      </c>
      <c r="H506" t="str">
        <f>VLOOKUP(G506,'Hilfetabelle Region'!$A$17:$B$19,2,)</f>
        <v>Geschäftskunde</v>
      </c>
    </row>
    <row r="507" spans="1:8" x14ac:dyDescent="0.35">
      <c r="A507">
        <v>506</v>
      </c>
      <c r="B507" t="str">
        <f>VLOOKUP(F507,'Hilfetabelle Region'!$A$2:$C$14,2,FALSE)</f>
        <v>Lateinamerika</v>
      </c>
      <c r="C507" t="str">
        <f t="shared" si="7"/>
        <v>Geschäftskunde</v>
      </c>
      <c r="E507" s="1"/>
      <c r="F507">
        <v>10</v>
      </c>
      <c r="G507">
        <v>21</v>
      </c>
      <c r="H507" t="str">
        <f>VLOOKUP(G507,'Hilfetabelle Region'!$A$17:$B$19,2,)</f>
        <v>Geschäftskunde</v>
      </c>
    </row>
    <row r="508" spans="1:8" x14ac:dyDescent="0.35">
      <c r="A508">
        <v>507</v>
      </c>
      <c r="B508" t="str">
        <f>VLOOKUP(F508,'Hilfetabelle Region'!$A$2:$C$14,2,FALSE)</f>
        <v>Afrika</v>
      </c>
      <c r="C508" t="str">
        <f t="shared" si="7"/>
        <v>Geschäftskunde</v>
      </c>
      <c r="E508" s="1"/>
      <c r="F508">
        <v>11</v>
      </c>
      <c r="G508">
        <v>23</v>
      </c>
      <c r="H508" t="str">
        <f>VLOOKUP(G508,'Hilfetabelle Region'!$A$17:$B$19,2,)</f>
        <v>Privatkunde</v>
      </c>
    </row>
    <row r="509" spans="1:8" x14ac:dyDescent="0.35">
      <c r="A509">
        <v>508</v>
      </c>
      <c r="B509" t="str">
        <f>VLOOKUP(F509,'Hilfetabelle Region'!$A$2:$C$14,2,FALSE)</f>
        <v>Europa</v>
      </c>
      <c r="C509" t="str">
        <f t="shared" si="7"/>
        <v>Geschäftskunde</v>
      </c>
      <c r="E509" s="1"/>
      <c r="F509">
        <v>2</v>
      </c>
      <c r="G509">
        <v>22</v>
      </c>
      <c r="H509" t="str">
        <f>VLOOKUP(G509,'Hilfetabelle Region'!$A$17:$B$19,2,)</f>
        <v>Geschäftskunde</v>
      </c>
    </row>
    <row r="510" spans="1:8" x14ac:dyDescent="0.35">
      <c r="A510">
        <v>509</v>
      </c>
      <c r="B510" t="str">
        <f>VLOOKUP(F510,'Hilfetabelle Region'!$A$2:$C$14,2,FALSE)</f>
        <v>Europa</v>
      </c>
      <c r="C510" t="str">
        <f t="shared" si="7"/>
        <v>Geschäftskunde</v>
      </c>
      <c r="E510" s="1"/>
      <c r="F510">
        <v>1</v>
      </c>
      <c r="G510">
        <v>21</v>
      </c>
      <c r="H510" t="str">
        <f>VLOOKUP(G510,'Hilfetabelle Region'!$A$17:$B$19,2,)</f>
        <v>Geschäftskunde</v>
      </c>
    </row>
    <row r="511" spans="1:8" x14ac:dyDescent="0.35">
      <c r="A511">
        <v>510</v>
      </c>
      <c r="B511" t="str">
        <f>VLOOKUP(F511,'Hilfetabelle Region'!$A$2:$C$14,2,FALSE)</f>
        <v>Nordamerika</v>
      </c>
      <c r="C511" t="str">
        <f t="shared" si="7"/>
        <v>Geschäftskunde</v>
      </c>
      <c r="E511" s="1"/>
      <c r="F511">
        <v>7</v>
      </c>
      <c r="G511">
        <v>22</v>
      </c>
      <c r="H511" t="str">
        <f>VLOOKUP(G511,'Hilfetabelle Region'!$A$17:$B$19,2,)</f>
        <v>Geschäftskunde</v>
      </c>
    </row>
    <row r="512" spans="1:8" x14ac:dyDescent="0.35">
      <c r="A512">
        <v>511</v>
      </c>
      <c r="B512" t="str">
        <f>VLOOKUP(F512,'Hilfetabelle Region'!$A$2:$C$14,2,FALSE)</f>
        <v>Nordamerika</v>
      </c>
      <c r="C512" t="str">
        <f t="shared" si="7"/>
        <v>Geschäftskunde</v>
      </c>
      <c r="E512" s="1"/>
      <c r="F512">
        <v>8</v>
      </c>
      <c r="G512">
        <v>21</v>
      </c>
      <c r="H512" t="str">
        <f>VLOOKUP(G512,'Hilfetabelle Region'!$A$17:$B$19,2,)</f>
        <v>Geschäftskunde</v>
      </c>
    </row>
    <row r="513" spans="1:8" x14ac:dyDescent="0.35">
      <c r="A513">
        <v>512</v>
      </c>
      <c r="B513" t="str">
        <f>VLOOKUP(F513,'Hilfetabelle Region'!$A$2:$C$14,2,FALSE)</f>
        <v>Asien</v>
      </c>
      <c r="C513" t="str">
        <f t="shared" si="7"/>
        <v>Geschäftskunde</v>
      </c>
      <c r="E513" s="1"/>
      <c r="F513">
        <v>13</v>
      </c>
      <c r="G513">
        <v>23</v>
      </c>
      <c r="H513" t="str">
        <f>VLOOKUP(G513,'Hilfetabelle Region'!$A$17:$B$19,2,)</f>
        <v>Privatkunde</v>
      </c>
    </row>
    <row r="514" spans="1:8" x14ac:dyDescent="0.35">
      <c r="A514">
        <v>513</v>
      </c>
      <c r="B514" t="str">
        <f>VLOOKUP(F514,'Hilfetabelle Region'!$A$2:$C$14,2,FALSE)</f>
        <v>Afrika</v>
      </c>
      <c r="C514" t="str">
        <f t="shared" si="7"/>
        <v>Geschäftskunde</v>
      </c>
      <c r="E514" s="1"/>
      <c r="F514">
        <v>11</v>
      </c>
      <c r="G514">
        <v>22</v>
      </c>
      <c r="H514" t="str">
        <f>VLOOKUP(G514,'Hilfetabelle Region'!$A$17:$B$19,2,)</f>
        <v>Geschäftskunde</v>
      </c>
    </row>
    <row r="515" spans="1:8" x14ac:dyDescent="0.35">
      <c r="A515">
        <v>514</v>
      </c>
      <c r="B515" t="str">
        <f>VLOOKUP(F515,'Hilfetabelle Region'!$A$2:$C$14,2,FALSE)</f>
        <v>Europa</v>
      </c>
      <c r="C515" t="str">
        <f t="shared" ref="C515:C578" si="8">IF(B515="Europa",H515,"Geschäftskunde")</f>
        <v>Privatkunde</v>
      </c>
      <c r="E515" s="1"/>
      <c r="F515">
        <v>6</v>
      </c>
      <c r="G515">
        <v>23</v>
      </c>
      <c r="H515" t="str">
        <f>VLOOKUP(G515,'Hilfetabelle Region'!$A$17:$B$19,2,)</f>
        <v>Privatkunde</v>
      </c>
    </row>
    <row r="516" spans="1:8" x14ac:dyDescent="0.35">
      <c r="A516">
        <v>515</v>
      </c>
      <c r="B516" t="str">
        <f>VLOOKUP(F516,'Hilfetabelle Region'!$A$2:$C$14,2,FALSE)</f>
        <v>Europa</v>
      </c>
      <c r="C516" t="str">
        <f t="shared" si="8"/>
        <v>Privatkunde</v>
      </c>
      <c r="E516" s="1"/>
      <c r="F516">
        <v>2</v>
      </c>
      <c r="G516">
        <v>23</v>
      </c>
      <c r="H516" t="str">
        <f>VLOOKUP(G516,'Hilfetabelle Region'!$A$17:$B$19,2,)</f>
        <v>Privatkunde</v>
      </c>
    </row>
    <row r="517" spans="1:8" x14ac:dyDescent="0.35">
      <c r="A517">
        <v>516</v>
      </c>
      <c r="B517" t="str">
        <f>VLOOKUP(F517,'Hilfetabelle Region'!$A$2:$C$14,2,FALSE)</f>
        <v>Asien</v>
      </c>
      <c r="C517" t="str">
        <f t="shared" si="8"/>
        <v>Geschäftskunde</v>
      </c>
      <c r="E517" s="1"/>
      <c r="F517">
        <v>12</v>
      </c>
      <c r="G517">
        <v>22</v>
      </c>
      <c r="H517" t="str">
        <f>VLOOKUP(G517,'Hilfetabelle Region'!$A$17:$B$19,2,)</f>
        <v>Geschäftskunde</v>
      </c>
    </row>
    <row r="518" spans="1:8" x14ac:dyDescent="0.35">
      <c r="A518">
        <v>517</v>
      </c>
      <c r="B518" t="str">
        <f>VLOOKUP(F518,'Hilfetabelle Region'!$A$2:$C$14,2,FALSE)</f>
        <v>Nordamerika</v>
      </c>
      <c r="C518" t="str">
        <f t="shared" si="8"/>
        <v>Geschäftskunde</v>
      </c>
      <c r="E518" s="1"/>
      <c r="F518">
        <v>7</v>
      </c>
      <c r="G518">
        <v>23</v>
      </c>
      <c r="H518" t="str">
        <f>VLOOKUP(G518,'Hilfetabelle Region'!$A$17:$B$19,2,)</f>
        <v>Privatkunde</v>
      </c>
    </row>
    <row r="519" spans="1:8" x14ac:dyDescent="0.35">
      <c r="A519">
        <v>518</v>
      </c>
      <c r="B519" t="str">
        <f>VLOOKUP(F519,'Hilfetabelle Region'!$A$2:$C$14,2,FALSE)</f>
        <v>Asien</v>
      </c>
      <c r="C519" t="str">
        <f t="shared" si="8"/>
        <v>Geschäftskunde</v>
      </c>
      <c r="E519" s="1"/>
      <c r="F519">
        <v>12</v>
      </c>
      <c r="G519">
        <v>22</v>
      </c>
      <c r="H519" t="str">
        <f>VLOOKUP(G519,'Hilfetabelle Region'!$A$17:$B$19,2,)</f>
        <v>Geschäftskunde</v>
      </c>
    </row>
    <row r="520" spans="1:8" x14ac:dyDescent="0.35">
      <c r="A520">
        <v>519</v>
      </c>
      <c r="B520" t="str">
        <f>VLOOKUP(F520,'Hilfetabelle Region'!$A$2:$C$14,2,FALSE)</f>
        <v>Europa</v>
      </c>
      <c r="C520" t="str">
        <f t="shared" si="8"/>
        <v>Geschäftskunde</v>
      </c>
      <c r="E520" s="1"/>
      <c r="F520">
        <v>6</v>
      </c>
      <c r="G520">
        <v>22</v>
      </c>
      <c r="H520" t="str">
        <f>VLOOKUP(G520,'Hilfetabelle Region'!$A$17:$B$19,2,)</f>
        <v>Geschäftskunde</v>
      </c>
    </row>
    <row r="521" spans="1:8" x14ac:dyDescent="0.35">
      <c r="A521">
        <v>520</v>
      </c>
      <c r="B521" t="str">
        <f>VLOOKUP(F521,'Hilfetabelle Region'!$A$2:$C$14,2,FALSE)</f>
        <v>Nordamerika</v>
      </c>
      <c r="C521" t="str">
        <f t="shared" si="8"/>
        <v>Geschäftskunde</v>
      </c>
      <c r="E521" s="1"/>
      <c r="F521">
        <v>9</v>
      </c>
      <c r="G521">
        <v>23</v>
      </c>
      <c r="H521" t="str">
        <f>VLOOKUP(G521,'Hilfetabelle Region'!$A$17:$B$19,2,)</f>
        <v>Privatkunde</v>
      </c>
    </row>
    <row r="522" spans="1:8" x14ac:dyDescent="0.35">
      <c r="A522">
        <v>521</v>
      </c>
      <c r="B522" t="str">
        <f>VLOOKUP(F522,'Hilfetabelle Region'!$A$2:$C$14,2,FALSE)</f>
        <v>Europa</v>
      </c>
      <c r="C522" t="str">
        <f t="shared" si="8"/>
        <v>Geschäftskunde</v>
      </c>
      <c r="E522" s="1"/>
      <c r="F522">
        <v>6</v>
      </c>
      <c r="G522">
        <v>21</v>
      </c>
      <c r="H522" t="str">
        <f>VLOOKUP(G522,'Hilfetabelle Region'!$A$17:$B$19,2,)</f>
        <v>Geschäftskunde</v>
      </c>
    </row>
    <row r="523" spans="1:8" x14ac:dyDescent="0.35">
      <c r="A523">
        <v>522</v>
      </c>
      <c r="B523" t="str">
        <f>VLOOKUP(F523,'Hilfetabelle Region'!$A$2:$C$14,2,FALSE)</f>
        <v>Europa</v>
      </c>
      <c r="C523" t="str">
        <f t="shared" si="8"/>
        <v>Geschäftskunde</v>
      </c>
      <c r="E523" s="1"/>
      <c r="F523">
        <v>6</v>
      </c>
      <c r="G523">
        <v>21</v>
      </c>
      <c r="H523" t="str">
        <f>VLOOKUP(G523,'Hilfetabelle Region'!$A$17:$B$19,2,)</f>
        <v>Geschäftskunde</v>
      </c>
    </row>
    <row r="524" spans="1:8" x14ac:dyDescent="0.35">
      <c r="A524">
        <v>523</v>
      </c>
      <c r="B524" t="str">
        <f>VLOOKUP(F524,'Hilfetabelle Region'!$A$2:$C$14,2,FALSE)</f>
        <v>Europa</v>
      </c>
      <c r="C524" t="str">
        <f t="shared" si="8"/>
        <v>Geschäftskunde</v>
      </c>
      <c r="E524" s="1"/>
      <c r="F524">
        <v>2</v>
      </c>
      <c r="G524">
        <v>21</v>
      </c>
      <c r="H524" t="str">
        <f>VLOOKUP(G524,'Hilfetabelle Region'!$A$17:$B$19,2,)</f>
        <v>Geschäftskunde</v>
      </c>
    </row>
    <row r="525" spans="1:8" x14ac:dyDescent="0.35">
      <c r="A525">
        <v>524</v>
      </c>
      <c r="B525" t="str">
        <f>VLOOKUP(F525,'Hilfetabelle Region'!$A$2:$C$14,2,FALSE)</f>
        <v>Europa</v>
      </c>
      <c r="C525" t="str">
        <f t="shared" si="8"/>
        <v>Privatkunde</v>
      </c>
      <c r="E525" s="1"/>
      <c r="F525">
        <v>6</v>
      </c>
      <c r="G525">
        <v>23</v>
      </c>
      <c r="H525" t="str">
        <f>VLOOKUP(G525,'Hilfetabelle Region'!$A$17:$B$19,2,)</f>
        <v>Privatkunde</v>
      </c>
    </row>
    <row r="526" spans="1:8" x14ac:dyDescent="0.35">
      <c r="A526">
        <v>525</v>
      </c>
      <c r="B526" t="str">
        <f>VLOOKUP(F526,'Hilfetabelle Region'!$A$2:$C$14,2,FALSE)</f>
        <v>Europa</v>
      </c>
      <c r="C526" t="str">
        <f t="shared" si="8"/>
        <v>Geschäftskunde</v>
      </c>
      <c r="E526" s="1"/>
      <c r="F526">
        <v>3</v>
      </c>
      <c r="G526">
        <v>21</v>
      </c>
      <c r="H526" t="str">
        <f>VLOOKUP(G526,'Hilfetabelle Region'!$A$17:$B$19,2,)</f>
        <v>Geschäftskunde</v>
      </c>
    </row>
    <row r="527" spans="1:8" x14ac:dyDescent="0.35">
      <c r="A527">
        <v>526</v>
      </c>
      <c r="B527" t="str">
        <f>VLOOKUP(F527,'Hilfetabelle Region'!$A$2:$C$14,2,FALSE)</f>
        <v>Nordamerika</v>
      </c>
      <c r="C527" t="str">
        <f t="shared" si="8"/>
        <v>Geschäftskunde</v>
      </c>
      <c r="E527" s="1"/>
      <c r="F527">
        <v>9</v>
      </c>
      <c r="G527">
        <v>23</v>
      </c>
      <c r="H527" t="str">
        <f>VLOOKUP(G527,'Hilfetabelle Region'!$A$17:$B$19,2,)</f>
        <v>Privatkunde</v>
      </c>
    </row>
    <row r="528" spans="1:8" x14ac:dyDescent="0.35">
      <c r="A528">
        <v>527</v>
      </c>
      <c r="B528" t="str">
        <f>VLOOKUP(F528,'Hilfetabelle Region'!$A$2:$C$14,2,FALSE)</f>
        <v>Asien</v>
      </c>
      <c r="C528" t="str">
        <f t="shared" si="8"/>
        <v>Geschäftskunde</v>
      </c>
      <c r="E528" s="1"/>
      <c r="F528">
        <v>13</v>
      </c>
      <c r="G528">
        <v>21</v>
      </c>
      <c r="H528" t="str">
        <f>VLOOKUP(G528,'Hilfetabelle Region'!$A$17:$B$19,2,)</f>
        <v>Geschäftskunde</v>
      </c>
    </row>
    <row r="529" spans="1:8" x14ac:dyDescent="0.35">
      <c r="A529">
        <v>528</v>
      </c>
      <c r="B529" t="str">
        <f>VLOOKUP(F529,'Hilfetabelle Region'!$A$2:$C$14,2,FALSE)</f>
        <v>Europa</v>
      </c>
      <c r="C529" t="str">
        <f t="shared" si="8"/>
        <v>Geschäftskunde</v>
      </c>
      <c r="E529" s="1"/>
      <c r="F529">
        <v>2</v>
      </c>
      <c r="G529">
        <v>22</v>
      </c>
      <c r="H529" t="str">
        <f>VLOOKUP(G529,'Hilfetabelle Region'!$A$17:$B$19,2,)</f>
        <v>Geschäftskunde</v>
      </c>
    </row>
    <row r="530" spans="1:8" x14ac:dyDescent="0.35">
      <c r="A530">
        <v>529</v>
      </c>
      <c r="B530" t="str">
        <f>VLOOKUP(F530,'Hilfetabelle Region'!$A$2:$C$14,2,FALSE)</f>
        <v>Europa</v>
      </c>
      <c r="C530" t="str">
        <f t="shared" si="8"/>
        <v>Geschäftskunde</v>
      </c>
      <c r="E530" s="1"/>
      <c r="F530">
        <v>4</v>
      </c>
      <c r="G530">
        <v>21</v>
      </c>
      <c r="H530" t="str">
        <f>VLOOKUP(G530,'Hilfetabelle Region'!$A$17:$B$19,2,)</f>
        <v>Geschäftskunde</v>
      </c>
    </row>
    <row r="531" spans="1:8" x14ac:dyDescent="0.35">
      <c r="A531">
        <v>530</v>
      </c>
      <c r="B531" t="str">
        <f>VLOOKUP(F531,'Hilfetabelle Region'!$A$2:$C$14,2,FALSE)</f>
        <v>Europa</v>
      </c>
      <c r="C531" t="str">
        <f t="shared" si="8"/>
        <v>Geschäftskunde</v>
      </c>
      <c r="E531" s="1"/>
      <c r="F531">
        <v>2</v>
      </c>
      <c r="G531">
        <v>21</v>
      </c>
      <c r="H531" t="str">
        <f>VLOOKUP(G531,'Hilfetabelle Region'!$A$17:$B$19,2,)</f>
        <v>Geschäftskunde</v>
      </c>
    </row>
    <row r="532" spans="1:8" x14ac:dyDescent="0.35">
      <c r="A532">
        <v>531</v>
      </c>
      <c r="B532" t="str">
        <f>VLOOKUP(F532,'Hilfetabelle Region'!$A$2:$C$14,2,FALSE)</f>
        <v>Nordamerika</v>
      </c>
      <c r="C532" t="str">
        <f t="shared" si="8"/>
        <v>Geschäftskunde</v>
      </c>
      <c r="E532" s="1"/>
      <c r="F532">
        <v>7</v>
      </c>
      <c r="G532">
        <v>23</v>
      </c>
      <c r="H532" t="str">
        <f>VLOOKUP(G532,'Hilfetabelle Region'!$A$17:$B$19,2,)</f>
        <v>Privatkunde</v>
      </c>
    </row>
    <row r="533" spans="1:8" x14ac:dyDescent="0.35">
      <c r="A533">
        <v>532</v>
      </c>
      <c r="B533" t="str">
        <f>VLOOKUP(F533,'Hilfetabelle Region'!$A$2:$C$14,2,FALSE)</f>
        <v>Europa</v>
      </c>
      <c r="C533" t="str">
        <f t="shared" si="8"/>
        <v>Geschäftskunde</v>
      </c>
      <c r="E533" s="1"/>
      <c r="F533">
        <v>6</v>
      </c>
      <c r="G533">
        <v>22</v>
      </c>
      <c r="H533" t="str">
        <f>VLOOKUP(G533,'Hilfetabelle Region'!$A$17:$B$19,2,)</f>
        <v>Geschäftskunde</v>
      </c>
    </row>
    <row r="534" spans="1:8" x14ac:dyDescent="0.35">
      <c r="A534">
        <v>533</v>
      </c>
      <c r="B534" t="str">
        <f>VLOOKUP(F534,'Hilfetabelle Region'!$A$2:$C$14,2,FALSE)</f>
        <v>Europa</v>
      </c>
      <c r="C534" t="str">
        <f t="shared" si="8"/>
        <v>Geschäftskunde</v>
      </c>
      <c r="E534" s="1"/>
      <c r="F534">
        <v>1</v>
      </c>
      <c r="G534">
        <v>21</v>
      </c>
      <c r="H534" t="str">
        <f>VLOOKUP(G534,'Hilfetabelle Region'!$A$17:$B$19,2,)</f>
        <v>Geschäftskunde</v>
      </c>
    </row>
    <row r="535" spans="1:8" x14ac:dyDescent="0.35">
      <c r="A535">
        <v>534</v>
      </c>
      <c r="B535" t="str">
        <f>VLOOKUP(F535,'Hilfetabelle Region'!$A$2:$C$14,2,FALSE)</f>
        <v>Europa</v>
      </c>
      <c r="C535" t="str">
        <f t="shared" si="8"/>
        <v>Geschäftskunde</v>
      </c>
      <c r="E535" s="1"/>
      <c r="F535">
        <v>3</v>
      </c>
      <c r="G535">
        <v>22</v>
      </c>
      <c r="H535" t="str">
        <f>VLOOKUP(G535,'Hilfetabelle Region'!$A$17:$B$19,2,)</f>
        <v>Geschäftskunde</v>
      </c>
    </row>
    <row r="536" spans="1:8" x14ac:dyDescent="0.35">
      <c r="A536">
        <v>535</v>
      </c>
      <c r="B536" t="str">
        <f>VLOOKUP(F536,'Hilfetabelle Region'!$A$2:$C$14,2,FALSE)</f>
        <v>Europa</v>
      </c>
      <c r="C536" t="str">
        <f t="shared" si="8"/>
        <v>Geschäftskunde</v>
      </c>
      <c r="E536" s="1"/>
      <c r="F536">
        <v>5</v>
      </c>
      <c r="G536">
        <v>21</v>
      </c>
      <c r="H536" t="str">
        <f>VLOOKUP(G536,'Hilfetabelle Region'!$A$17:$B$19,2,)</f>
        <v>Geschäftskunde</v>
      </c>
    </row>
    <row r="537" spans="1:8" x14ac:dyDescent="0.35">
      <c r="A537">
        <v>536</v>
      </c>
      <c r="B537" t="str">
        <f>VLOOKUP(F537,'Hilfetabelle Region'!$A$2:$C$14,2,FALSE)</f>
        <v>Nordamerika</v>
      </c>
      <c r="C537" t="str">
        <f t="shared" si="8"/>
        <v>Geschäftskunde</v>
      </c>
      <c r="E537" s="1"/>
      <c r="F537">
        <v>7</v>
      </c>
      <c r="G537">
        <v>22</v>
      </c>
      <c r="H537" t="str">
        <f>VLOOKUP(G537,'Hilfetabelle Region'!$A$17:$B$19,2,)</f>
        <v>Geschäftskunde</v>
      </c>
    </row>
    <row r="538" spans="1:8" x14ac:dyDescent="0.35">
      <c r="A538">
        <v>537</v>
      </c>
      <c r="B538" t="str">
        <f>VLOOKUP(F538,'Hilfetabelle Region'!$A$2:$C$14,2,FALSE)</f>
        <v>Asien</v>
      </c>
      <c r="C538" t="str">
        <f t="shared" si="8"/>
        <v>Geschäftskunde</v>
      </c>
      <c r="E538" s="1"/>
      <c r="F538">
        <v>13</v>
      </c>
      <c r="G538">
        <v>22</v>
      </c>
      <c r="H538" t="str">
        <f>VLOOKUP(G538,'Hilfetabelle Region'!$A$17:$B$19,2,)</f>
        <v>Geschäftskunde</v>
      </c>
    </row>
    <row r="539" spans="1:8" x14ac:dyDescent="0.35">
      <c r="A539">
        <v>538</v>
      </c>
      <c r="B539" t="str">
        <f>VLOOKUP(F539,'Hilfetabelle Region'!$A$2:$C$14,2,FALSE)</f>
        <v>Lateinamerika</v>
      </c>
      <c r="C539" t="str">
        <f t="shared" si="8"/>
        <v>Geschäftskunde</v>
      </c>
      <c r="E539" s="1"/>
      <c r="F539">
        <v>10</v>
      </c>
      <c r="G539">
        <v>23</v>
      </c>
      <c r="H539" t="str">
        <f>VLOOKUP(G539,'Hilfetabelle Region'!$A$17:$B$19,2,)</f>
        <v>Privatkunde</v>
      </c>
    </row>
    <row r="540" spans="1:8" x14ac:dyDescent="0.35">
      <c r="A540">
        <v>539</v>
      </c>
      <c r="B540" t="str">
        <f>VLOOKUP(F540,'Hilfetabelle Region'!$A$2:$C$14,2,FALSE)</f>
        <v>Asien</v>
      </c>
      <c r="C540" t="str">
        <f t="shared" si="8"/>
        <v>Geschäftskunde</v>
      </c>
      <c r="E540" s="1"/>
      <c r="F540">
        <v>13</v>
      </c>
      <c r="G540">
        <v>22</v>
      </c>
      <c r="H540" t="str">
        <f>VLOOKUP(G540,'Hilfetabelle Region'!$A$17:$B$19,2,)</f>
        <v>Geschäftskunde</v>
      </c>
    </row>
    <row r="541" spans="1:8" x14ac:dyDescent="0.35">
      <c r="A541">
        <v>540</v>
      </c>
      <c r="B541" t="str">
        <f>VLOOKUP(F541,'Hilfetabelle Region'!$A$2:$C$14,2,FALSE)</f>
        <v>Nordamerika</v>
      </c>
      <c r="C541" t="str">
        <f t="shared" si="8"/>
        <v>Geschäftskunde</v>
      </c>
      <c r="E541" s="1"/>
      <c r="F541">
        <v>7</v>
      </c>
      <c r="G541">
        <v>22</v>
      </c>
      <c r="H541" t="str">
        <f>VLOOKUP(G541,'Hilfetabelle Region'!$A$17:$B$19,2,)</f>
        <v>Geschäftskunde</v>
      </c>
    </row>
    <row r="542" spans="1:8" x14ac:dyDescent="0.35">
      <c r="A542">
        <v>541</v>
      </c>
      <c r="B542" t="str">
        <f>VLOOKUP(F542,'Hilfetabelle Region'!$A$2:$C$14,2,FALSE)</f>
        <v>Lateinamerika</v>
      </c>
      <c r="C542" t="str">
        <f t="shared" si="8"/>
        <v>Geschäftskunde</v>
      </c>
      <c r="E542" s="1"/>
      <c r="F542">
        <v>10</v>
      </c>
      <c r="G542">
        <v>23</v>
      </c>
      <c r="H542" t="str">
        <f>VLOOKUP(G542,'Hilfetabelle Region'!$A$17:$B$19,2,)</f>
        <v>Privatkunde</v>
      </c>
    </row>
    <row r="543" spans="1:8" x14ac:dyDescent="0.35">
      <c r="A543">
        <v>542</v>
      </c>
      <c r="B543" t="str">
        <f>VLOOKUP(F543,'Hilfetabelle Region'!$A$2:$C$14,2,FALSE)</f>
        <v>Nordamerika</v>
      </c>
      <c r="C543" t="str">
        <f t="shared" si="8"/>
        <v>Geschäftskunde</v>
      </c>
      <c r="E543" s="1"/>
      <c r="F543">
        <v>9</v>
      </c>
      <c r="G543">
        <v>21</v>
      </c>
      <c r="H543" t="str">
        <f>VLOOKUP(G543,'Hilfetabelle Region'!$A$17:$B$19,2,)</f>
        <v>Geschäftskunde</v>
      </c>
    </row>
    <row r="544" spans="1:8" x14ac:dyDescent="0.35">
      <c r="A544">
        <v>543</v>
      </c>
      <c r="B544" t="str">
        <f>VLOOKUP(F544,'Hilfetabelle Region'!$A$2:$C$14,2,FALSE)</f>
        <v>Lateinamerika</v>
      </c>
      <c r="C544" t="str">
        <f t="shared" si="8"/>
        <v>Geschäftskunde</v>
      </c>
      <c r="E544" s="1"/>
      <c r="F544">
        <v>10</v>
      </c>
      <c r="G544">
        <v>22</v>
      </c>
      <c r="H544" t="str">
        <f>VLOOKUP(G544,'Hilfetabelle Region'!$A$17:$B$19,2,)</f>
        <v>Geschäftskunde</v>
      </c>
    </row>
    <row r="545" spans="1:8" x14ac:dyDescent="0.35">
      <c r="A545">
        <v>544</v>
      </c>
      <c r="B545" t="str">
        <f>VLOOKUP(F545,'Hilfetabelle Region'!$A$2:$C$14,2,FALSE)</f>
        <v>Lateinamerika</v>
      </c>
      <c r="C545" t="str">
        <f t="shared" si="8"/>
        <v>Geschäftskunde</v>
      </c>
      <c r="E545" s="1"/>
      <c r="F545">
        <v>10</v>
      </c>
      <c r="G545">
        <v>22</v>
      </c>
      <c r="H545" t="str">
        <f>VLOOKUP(G545,'Hilfetabelle Region'!$A$17:$B$19,2,)</f>
        <v>Geschäftskunde</v>
      </c>
    </row>
    <row r="546" spans="1:8" x14ac:dyDescent="0.35">
      <c r="A546">
        <v>545</v>
      </c>
      <c r="B546" t="str">
        <f>VLOOKUP(F546,'Hilfetabelle Region'!$A$2:$C$14,2,FALSE)</f>
        <v>Asien</v>
      </c>
      <c r="C546" t="str">
        <f t="shared" si="8"/>
        <v>Geschäftskunde</v>
      </c>
      <c r="E546" s="1"/>
      <c r="F546">
        <v>12</v>
      </c>
      <c r="G546">
        <v>23</v>
      </c>
      <c r="H546" t="str">
        <f>VLOOKUP(G546,'Hilfetabelle Region'!$A$17:$B$19,2,)</f>
        <v>Privatkunde</v>
      </c>
    </row>
    <row r="547" spans="1:8" x14ac:dyDescent="0.35">
      <c r="A547">
        <v>546</v>
      </c>
      <c r="B547" t="str">
        <f>VLOOKUP(F547,'Hilfetabelle Region'!$A$2:$C$14,2,FALSE)</f>
        <v>Europa</v>
      </c>
      <c r="C547" t="str">
        <f t="shared" si="8"/>
        <v>Privatkunde</v>
      </c>
      <c r="E547" s="1"/>
      <c r="F547">
        <v>6</v>
      </c>
      <c r="G547">
        <v>23</v>
      </c>
      <c r="H547" t="str">
        <f>VLOOKUP(G547,'Hilfetabelle Region'!$A$17:$B$19,2,)</f>
        <v>Privatkunde</v>
      </c>
    </row>
    <row r="548" spans="1:8" x14ac:dyDescent="0.35">
      <c r="A548">
        <v>547</v>
      </c>
      <c r="B548" t="str">
        <f>VLOOKUP(F548,'Hilfetabelle Region'!$A$2:$C$14,2,FALSE)</f>
        <v>Europa</v>
      </c>
      <c r="C548" t="str">
        <f t="shared" si="8"/>
        <v>Geschäftskunde</v>
      </c>
      <c r="E548" s="1"/>
      <c r="F548">
        <v>4</v>
      </c>
      <c r="G548">
        <v>22</v>
      </c>
      <c r="H548" t="str">
        <f>VLOOKUP(G548,'Hilfetabelle Region'!$A$17:$B$19,2,)</f>
        <v>Geschäftskunde</v>
      </c>
    </row>
    <row r="549" spans="1:8" x14ac:dyDescent="0.35">
      <c r="A549">
        <v>548</v>
      </c>
      <c r="B549" t="str">
        <f>VLOOKUP(F549,'Hilfetabelle Region'!$A$2:$C$14,2,FALSE)</f>
        <v>Nordamerika</v>
      </c>
      <c r="C549" t="str">
        <f t="shared" si="8"/>
        <v>Geschäftskunde</v>
      </c>
      <c r="E549" s="1"/>
      <c r="F549">
        <v>7</v>
      </c>
      <c r="G549">
        <v>23</v>
      </c>
      <c r="H549" t="str">
        <f>VLOOKUP(G549,'Hilfetabelle Region'!$A$17:$B$19,2,)</f>
        <v>Privatkunde</v>
      </c>
    </row>
    <row r="550" spans="1:8" x14ac:dyDescent="0.35">
      <c r="A550">
        <v>549</v>
      </c>
      <c r="B550" t="str">
        <f>VLOOKUP(F550,'Hilfetabelle Region'!$A$2:$C$14,2,FALSE)</f>
        <v>Europa</v>
      </c>
      <c r="C550" t="str">
        <f t="shared" si="8"/>
        <v>Privatkunde</v>
      </c>
      <c r="E550" s="1"/>
      <c r="F550">
        <v>3</v>
      </c>
      <c r="G550">
        <v>23</v>
      </c>
      <c r="H550" t="str">
        <f>VLOOKUP(G550,'Hilfetabelle Region'!$A$17:$B$19,2,)</f>
        <v>Privatkunde</v>
      </c>
    </row>
    <row r="551" spans="1:8" x14ac:dyDescent="0.35">
      <c r="A551">
        <v>550</v>
      </c>
      <c r="B551" t="str">
        <f>VLOOKUP(F551,'Hilfetabelle Region'!$A$2:$C$14,2,FALSE)</f>
        <v>Lateinamerika</v>
      </c>
      <c r="C551" t="str">
        <f t="shared" si="8"/>
        <v>Geschäftskunde</v>
      </c>
      <c r="E551" s="1"/>
      <c r="F551">
        <v>10</v>
      </c>
      <c r="G551">
        <v>22</v>
      </c>
      <c r="H551" t="str">
        <f>VLOOKUP(G551,'Hilfetabelle Region'!$A$17:$B$19,2,)</f>
        <v>Geschäftskunde</v>
      </c>
    </row>
    <row r="552" spans="1:8" x14ac:dyDescent="0.35">
      <c r="A552">
        <v>551</v>
      </c>
      <c r="B552" t="str">
        <f>VLOOKUP(F552,'Hilfetabelle Region'!$A$2:$C$14,2,FALSE)</f>
        <v>Asien</v>
      </c>
      <c r="C552" t="str">
        <f t="shared" si="8"/>
        <v>Geschäftskunde</v>
      </c>
      <c r="E552" s="1"/>
      <c r="F552">
        <v>13</v>
      </c>
      <c r="G552">
        <v>21</v>
      </c>
      <c r="H552" t="str">
        <f>VLOOKUP(G552,'Hilfetabelle Region'!$A$17:$B$19,2,)</f>
        <v>Geschäftskunde</v>
      </c>
    </row>
    <row r="553" spans="1:8" x14ac:dyDescent="0.35">
      <c r="A553">
        <v>552</v>
      </c>
      <c r="B553" t="str">
        <f>VLOOKUP(F553,'Hilfetabelle Region'!$A$2:$C$14,2,FALSE)</f>
        <v>Afrika</v>
      </c>
      <c r="C553" t="str">
        <f t="shared" si="8"/>
        <v>Geschäftskunde</v>
      </c>
      <c r="E553" s="1"/>
      <c r="F553">
        <v>11</v>
      </c>
      <c r="G553">
        <v>22</v>
      </c>
      <c r="H553" t="str">
        <f>VLOOKUP(G553,'Hilfetabelle Region'!$A$17:$B$19,2,)</f>
        <v>Geschäftskunde</v>
      </c>
    </row>
    <row r="554" spans="1:8" x14ac:dyDescent="0.35">
      <c r="A554">
        <v>553</v>
      </c>
      <c r="B554" t="str">
        <f>VLOOKUP(F554,'Hilfetabelle Region'!$A$2:$C$14,2,FALSE)</f>
        <v>Europa</v>
      </c>
      <c r="C554" t="str">
        <f t="shared" si="8"/>
        <v>Geschäftskunde</v>
      </c>
      <c r="E554" s="1"/>
      <c r="F554">
        <v>3</v>
      </c>
      <c r="G554">
        <v>22</v>
      </c>
      <c r="H554" t="str">
        <f>VLOOKUP(G554,'Hilfetabelle Region'!$A$17:$B$19,2,)</f>
        <v>Geschäftskunde</v>
      </c>
    </row>
    <row r="555" spans="1:8" x14ac:dyDescent="0.35">
      <c r="A555">
        <v>554</v>
      </c>
      <c r="B555" t="str">
        <f>VLOOKUP(F555,'Hilfetabelle Region'!$A$2:$C$14,2,FALSE)</f>
        <v>Nordamerika</v>
      </c>
      <c r="C555" t="str">
        <f t="shared" si="8"/>
        <v>Geschäftskunde</v>
      </c>
      <c r="E555" s="1"/>
      <c r="F555">
        <v>9</v>
      </c>
      <c r="G555">
        <v>23</v>
      </c>
      <c r="H555" t="str">
        <f>VLOOKUP(G555,'Hilfetabelle Region'!$A$17:$B$19,2,)</f>
        <v>Privatkunde</v>
      </c>
    </row>
    <row r="556" spans="1:8" x14ac:dyDescent="0.35">
      <c r="A556">
        <v>555</v>
      </c>
      <c r="B556" t="str">
        <f>VLOOKUP(F556,'Hilfetabelle Region'!$A$2:$C$14,2,FALSE)</f>
        <v>Asien</v>
      </c>
      <c r="C556" t="str">
        <f t="shared" si="8"/>
        <v>Geschäftskunde</v>
      </c>
      <c r="E556" s="1"/>
      <c r="F556">
        <v>13</v>
      </c>
      <c r="G556">
        <v>21</v>
      </c>
      <c r="H556" t="str">
        <f>VLOOKUP(G556,'Hilfetabelle Region'!$A$17:$B$19,2,)</f>
        <v>Geschäftskunde</v>
      </c>
    </row>
    <row r="557" spans="1:8" x14ac:dyDescent="0.35">
      <c r="A557">
        <v>556</v>
      </c>
      <c r="B557" t="str">
        <f>VLOOKUP(F557,'Hilfetabelle Region'!$A$2:$C$14,2,FALSE)</f>
        <v>Europa</v>
      </c>
      <c r="C557" t="str">
        <f t="shared" si="8"/>
        <v>Geschäftskunde</v>
      </c>
      <c r="E557" s="1"/>
      <c r="F557">
        <v>3</v>
      </c>
      <c r="G557">
        <v>22</v>
      </c>
      <c r="H557" t="str">
        <f>VLOOKUP(G557,'Hilfetabelle Region'!$A$17:$B$19,2,)</f>
        <v>Geschäftskunde</v>
      </c>
    </row>
    <row r="558" spans="1:8" x14ac:dyDescent="0.35">
      <c r="A558">
        <v>557</v>
      </c>
      <c r="B558" t="str">
        <f>VLOOKUP(F558,'Hilfetabelle Region'!$A$2:$C$14,2,FALSE)</f>
        <v>Europa</v>
      </c>
      <c r="C558" t="str">
        <f t="shared" si="8"/>
        <v>Privatkunde</v>
      </c>
      <c r="E558" s="1"/>
      <c r="F558">
        <v>5</v>
      </c>
      <c r="G558">
        <v>23</v>
      </c>
      <c r="H558" t="str">
        <f>VLOOKUP(G558,'Hilfetabelle Region'!$A$17:$B$19,2,)</f>
        <v>Privatkunde</v>
      </c>
    </row>
    <row r="559" spans="1:8" x14ac:dyDescent="0.35">
      <c r="A559">
        <v>558</v>
      </c>
      <c r="B559" t="str">
        <f>VLOOKUP(F559,'Hilfetabelle Region'!$A$2:$C$14,2,FALSE)</f>
        <v>Afrika</v>
      </c>
      <c r="C559" t="str">
        <f t="shared" si="8"/>
        <v>Geschäftskunde</v>
      </c>
      <c r="E559" s="1"/>
      <c r="F559">
        <v>11</v>
      </c>
      <c r="G559">
        <v>23</v>
      </c>
      <c r="H559" t="str">
        <f>VLOOKUP(G559,'Hilfetabelle Region'!$A$17:$B$19,2,)</f>
        <v>Privatkunde</v>
      </c>
    </row>
    <row r="560" spans="1:8" x14ac:dyDescent="0.35">
      <c r="A560">
        <v>559</v>
      </c>
      <c r="B560" t="str">
        <f>VLOOKUP(F560,'Hilfetabelle Region'!$A$2:$C$14,2,FALSE)</f>
        <v>Nordamerika</v>
      </c>
      <c r="C560" t="str">
        <f t="shared" si="8"/>
        <v>Geschäftskunde</v>
      </c>
      <c r="E560" s="1"/>
      <c r="F560">
        <v>8</v>
      </c>
      <c r="G560">
        <v>23</v>
      </c>
      <c r="H560" t="str">
        <f>VLOOKUP(G560,'Hilfetabelle Region'!$A$17:$B$19,2,)</f>
        <v>Privatkunde</v>
      </c>
    </row>
    <row r="561" spans="1:8" x14ac:dyDescent="0.35">
      <c r="A561">
        <v>560</v>
      </c>
      <c r="B561" t="str">
        <f>VLOOKUP(F561,'Hilfetabelle Region'!$A$2:$C$14,2,FALSE)</f>
        <v>Europa</v>
      </c>
      <c r="C561" t="str">
        <f t="shared" si="8"/>
        <v>Privatkunde</v>
      </c>
      <c r="E561" s="1"/>
      <c r="F561">
        <v>3</v>
      </c>
      <c r="G561">
        <v>23</v>
      </c>
      <c r="H561" t="str">
        <f>VLOOKUP(G561,'Hilfetabelle Region'!$A$17:$B$19,2,)</f>
        <v>Privatkunde</v>
      </c>
    </row>
    <row r="562" spans="1:8" x14ac:dyDescent="0.35">
      <c r="A562">
        <v>561</v>
      </c>
      <c r="B562" t="str">
        <f>VLOOKUP(F562,'Hilfetabelle Region'!$A$2:$C$14,2,FALSE)</f>
        <v>Europa</v>
      </c>
      <c r="C562" t="str">
        <f t="shared" si="8"/>
        <v>Privatkunde</v>
      </c>
      <c r="E562" s="1"/>
      <c r="F562">
        <v>5</v>
      </c>
      <c r="G562">
        <v>23</v>
      </c>
      <c r="H562" t="str">
        <f>VLOOKUP(G562,'Hilfetabelle Region'!$A$17:$B$19,2,)</f>
        <v>Privatkunde</v>
      </c>
    </row>
    <row r="563" spans="1:8" x14ac:dyDescent="0.35">
      <c r="A563">
        <v>562</v>
      </c>
      <c r="B563" t="str">
        <f>VLOOKUP(F563,'Hilfetabelle Region'!$A$2:$C$14,2,FALSE)</f>
        <v>Europa</v>
      </c>
      <c r="C563" t="str">
        <f t="shared" si="8"/>
        <v>Geschäftskunde</v>
      </c>
      <c r="E563" s="1"/>
      <c r="F563">
        <v>6</v>
      </c>
      <c r="G563">
        <v>21</v>
      </c>
      <c r="H563" t="str">
        <f>VLOOKUP(G563,'Hilfetabelle Region'!$A$17:$B$19,2,)</f>
        <v>Geschäftskunde</v>
      </c>
    </row>
    <row r="564" spans="1:8" x14ac:dyDescent="0.35">
      <c r="A564">
        <v>563</v>
      </c>
      <c r="B564" t="str">
        <f>VLOOKUP(F564,'Hilfetabelle Region'!$A$2:$C$14,2,FALSE)</f>
        <v>Lateinamerika</v>
      </c>
      <c r="C564" t="str">
        <f t="shared" si="8"/>
        <v>Geschäftskunde</v>
      </c>
      <c r="E564" s="1"/>
      <c r="F564">
        <v>10</v>
      </c>
      <c r="G564">
        <v>21</v>
      </c>
      <c r="H564" t="str">
        <f>VLOOKUP(G564,'Hilfetabelle Region'!$A$17:$B$19,2,)</f>
        <v>Geschäftskunde</v>
      </c>
    </row>
    <row r="565" spans="1:8" x14ac:dyDescent="0.35">
      <c r="A565">
        <v>564</v>
      </c>
      <c r="B565" t="str">
        <f>VLOOKUP(F565,'Hilfetabelle Region'!$A$2:$C$14,2,FALSE)</f>
        <v>Europa</v>
      </c>
      <c r="C565" t="str">
        <f t="shared" si="8"/>
        <v>Privatkunde</v>
      </c>
      <c r="E565" s="1"/>
      <c r="F565">
        <v>1</v>
      </c>
      <c r="G565">
        <v>23</v>
      </c>
      <c r="H565" t="str">
        <f>VLOOKUP(G565,'Hilfetabelle Region'!$A$17:$B$19,2,)</f>
        <v>Privatkunde</v>
      </c>
    </row>
    <row r="566" spans="1:8" x14ac:dyDescent="0.35">
      <c r="A566">
        <v>565</v>
      </c>
      <c r="B566" t="str">
        <f>VLOOKUP(F566,'Hilfetabelle Region'!$A$2:$C$14,2,FALSE)</f>
        <v>Europa</v>
      </c>
      <c r="C566" t="str">
        <f t="shared" si="8"/>
        <v>Geschäftskunde</v>
      </c>
      <c r="E566" s="1"/>
      <c r="F566">
        <v>5</v>
      </c>
      <c r="G566">
        <v>22</v>
      </c>
      <c r="H566" t="str">
        <f>VLOOKUP(G566,'Hilfetabelle Region'!$A$17:$B$19,2,)</f>
        <v>Geschäftskunde</v>
      </c>
    </row>
    <row r="567" spans="1:8" x14ac:dyDescent="0.35">
      <c r="A567">
        <v>566</v>
      </c>
      <c r="B567" t="str">
        <f>VLOOKUP(F567,'Hilfetabelle Region'!$A$2:$C$14,2,FALSE)</f>
        <v>Nordamerika</v>
      </c>
      <c r="C567" t="str">
        <f t="shared" si="8"/>
        <v>Geschäftskunde</v>
      </c>
      <c r="E567" s="1"/>
      <c r="F567">
        <v>9</v>
      </c>
      <c r="G567">
        <v>23</v>
      </c>
      <c r="H567" t="str">
        <f>VLOOKUP(G567,'Hilfetabelle Region'!$A$17:$B$19,2,)</f>
        <v>Privatkunde</v>
      </c>
    </row>
    <row r="568" spans="1:8" x14ac:dyDescent="0.35">
      <c r="A568">
        <v>567</v>
      </c>
      <c r="B568" t="str">
        <f>VLOOKUP(F568,'Hilfetabelle Region'!$A$2:$C$14,2,FALSE)</f>
        <v>Europa</v>
      </c>
      <c r="C568" t="str">
        <f t="shared" si="8"/>
        <v>Geschäftskunde</v>
      </c>
      <c r="E568" s="1"/>
      <c r="F568">
        <v>2</v>
      </c>
      <c r="G568">
        <v>21</v>
      </c>
      <c r="H568" t="str">
        <f>VLOOKUP(G568,'Hilfetabelle Region'!$A$17:$B$19,2,)</f>
        <v>Geschäftskunde</v>
      </c>
    </row>
    <row r="569" spans="1:8" x14ac:dyDescent="0.35">
      <c r="A569">
        <v>568</v>
      </c>
      <c r="B569" t="str">
        <f>VLOOKUP(F569,'Hilfetabelle Region'!$A$2:$C$14,2,FALSE)</f>
        <v>Asien</v>
      </c>
      <c r="C569" t="str">
        <f t="shared" si="8"/>
        <v>Geschäftskunde</v>
      </c>
      <c r="E569" s="1"/>
      <c r="F569">
        <v>13</v>
      </c>
      <c r="G569">
        <v>21</v>
      </c>
      <c r="H569" t="str">
        <f>VLOOKUP(G569,'Hilfetabelle Region'!$A$17:$B$19,2,)</f>
        <v>Geschäftskunde</v>
      </c>
    </row>
    <row r="570" spans="1:8" x14ac:dyDescent="0.35">
      <c r="A570">
        <v>569</v>
      </c>
      <c r="B570" t="str">
        <f>VLOOKUP(F570,'Hilfetabelle Region'!$A$2:$C$14,2,FALSE)</f>
        <v>Nordamerika</v>
      </c>
      <c r="C570" t="str">
        <f t="shared" si="8"/>
        <v>Geschäftskunde</v>
      </c>
      <c r="E570" s="1"/>
      <c r="F570">
        <v>7</v>
      </c>
      <c r="G570">
        <v>23</v>
      </c>
      <c r="H570" t="str">
        <f>VLOOKUP(G570,'Hilfetabelle Region'!$A$17:$B$19,2,)</f>
        <v>Privatkunde</v>
      </c>
    </row>
    <row r="571" spans="1:8" x14ac:dyDescent="0.35">
      <c r="A571">
        <v>570</v>
      </c>
      <c r="B571" t="str">
        <f>VLOOKUP(F571,'Hilfetabelle Region'!$A$2:$C$14,2,FALSE)</f>
        <v>Europa</v>
      </c>
      <c r="C571" t="str">
        <f t="shared" si="8"/>
        <v>Geschäftskunde</v>
      </c>
      <c r="E571" s="1"/>
      <c r="F571">
        <v>3</v>
      </c>
      <c r="G571">
        <v>22</v>
      </c>
      <c r="H571" t="str">
        <f>VLOOKUP(G571,'Hilfetabelle Region'!$A$17:$B$19,2,)</f>
        <v>Geschäftskunde</v>
      </c>
    </row>
    <row r="572" spans="1:8" x14ac:dyDescent="0.35">
      <c r="A572">
        <v>571</v>
      </c>
      <c r="B572" t="str">
        <f>VLOOKUP(F572,'Hilfetabelle Region'!$A$2:$C$14,2,FALSE)</f>
        <v>Afrika</v>
      </c>
      <c r="C572" t="str">
        <f t="shared" si="8"/>
        <v>Geschäftskunde</v>
      </c>
      <c r="E572" s="1"/>
      <c r="F572">
        <v>11</v>
      </c>
      <c r="G572">
        <v>22</v>
      </c>
      <c r="H572" t="str">
        <f>VLOOKUP(G572,'Hilfetabelle Region'!$A$17:$B$19,2,)</f>
        <v>Geschäftskunde</v>
      </c>
    </row>
    <row r="573" spans="1:8" x14ac:dyDescent="0.35">
      <c r="A573">
        <v>572</v>
      </c>
      <c r="B573" t="str">
        <f>VLOOKUP(F573,'Hilfetabelle Region'!$A$2:$C$14,2,FALSE)</f>
        <v>Nordamerika</v>
      </c>
      <c r="C573" t="str">
        <f t="shared" si="8"/>
        <v>Geschäftskunde</v>
      </c>
      <c r="E573" s="1"/>
      <c r="F573">
        <v>8</v>
      </c>
      <c r="G573">
        <v>23</v>
      </c>
      <c r="H573" t="str">
        <f>VLOOKUP(G573,'Hilfetabelle Region'!$A$17:$B$19,2,)</f>
        <v>Privatkunde</v>
      </c>
    </row>
    <row r="574" spans="1:8" x14ac:dyDescent="0.35">
      <c r="A574">
        <v>573</v>
      </c>
      <c r="B574" t="str">
        <f>VLOOKUP(F574,'Hilfetabelle Region'!$A$2:$C$14,2,FALSE)</f>
        <v>Europa</v>
      </c>
      <c r="C574" t="str">
        <f t="shared" si="8"/>
        <v>Geschäftskunde</v>
      </c>
      <c r="E574" s="1"/>
      <c r="F574">
        <v>5</v>
      </c>
      <c r="G574">
        <v>21</v>
      </c>
      <c r="H574" t="str">
        <f>VLOOKUP(G574,'Hilfetabelle Region'!$A$17:$B$19,2,)</f>
        <v>Geschäftskunde</v>
      </c>
    </row>
    <row r="575" spans="1:8" x14ac:dyDescent="0.35">
      <c r="A575">
        <v>574</v>
      </c>
      <c r="B575" t="str">
        <f>VLOOKUP(F575,'Hilfetabelle Region'!$A$2:$C$14,2,FALSE)</f>
        <v>Europa</v>
      </c>
      <c r="C575" t="str">
        <f t="shared" si="8"/>
        <v>Geschäftskunde</v>
      </c>
      <c r="E575" s="1"/>
      <c r="F575">
        <v>3</v>
      </c>
      <c r="G575">
        <v>21</v>
      </c>
      <c r="H575" t="str">
        <f>VLOOKUP(G575,'Hilfetabelle Region'!$A$17:$B$19,2,)</f>
        <v>Geschäftskunde</v>
      </c>
    </row>
    <row r="576" spans="1:8" x14ac:dyDescent="0.35">
      <c r="A576">
        <v>575</v>
      </c>
      <c r="B576" t="str">
        <f>VLOOKUP(F576,'Hilfetabelle Region'!$A$2:$C$14,2,FALSE)</f>
        <v>Afrika</v>
      </c>
      <c r="C576" t="str">
        <f t="shared" si="8"/>
        <v>Geschäftskunde</v>
      </c>
      <c r="E576" s="1"/>
      <c r="F576">
        <v>11</v>
      </c>
      <c r="G576">
        <v>21</v>
      </c>
      <c r="H576" t="str">
        <f>VLOOKUP(G576,'Hilfetabelle Region'!$A$17:$B$19,2,)</f>
        <v>Geschäftskunde</v>
      </c>
    </row>
    <row r="577" spans="1:8" x14ac:dyDescent="0.35">
      <c r="A577">
        <v>576</v>
      </c>
      <c r="B577" t="str">
        <f>VLOOKUP(F577,'Hilfetabelle Region'!$A$2:$C$14,2,FALSE)</f>
        <v>Lateinamerika</v>
      </c>
      <c r="C577" t="str">
        <f t="shared" si="8"/>
        <v>Geschäftskunde</v>
      </c>
      <c r="E577" s="1"/>
      <c r="F577">
        <v>10</v>
      </c>
      <c r="G577">
        <v>23</v>
      </c>
      <c r="H577" t="str">
        <f>VLOOKUP(G577,'Hilfetabelle Region'!$A$17:$B$19,2,)</f>
        <v>Privatkunde</v>
      </c>
    </row>
    <row r="578" spans="1:8" x14ac:dyDescent="0.35">
      <c r="A578">
        <v>577</v>
      </c>
      <c r="B578" t="str">
        <f>VLOOKUP(F578,'Hilfetabelle Region'!$A$2:$C$14,2,FALSE)</f>
        <v>Nordamerika</v>
      </c>
      <c r="C578" t="str">
        <f t="shared" si="8"/>
        <v>Geschäftskunde</v>
      </c>
      <c r="E578" s="1"/>
      <c r="F578">
        <v>9</v>
      </c>
      <c r="G578">
        <v>22</v>
      </c>
      <c r="H578" t="str">
        <f>VLOOKUP(G578,'Hilfetabelle Region'!$A$17:$B$19,2,)</f>
        <v>Geschäftskunde</v>
      </c>
    </row>
    <row r="579" spans="1:8" x14ac:dyDescent="0.35">
      <c r="A579">
        <v>578</v>
      </c>
      <c r="B579" t="str">
        <f>VLOOKUP(F579,'Hilfetabelle Region'!$A$2:$C$14,2,FALSE)</f>
        <v>Europa</v>
      </c>
      <c r="C579" t="str">
        <f t="shared" ref="C579:C642" si="9">IF(B579="Europa",H579,"Geschäftskunde")</f>
        <v>Geschäftskunde</v>
      </c>
      <c r="E579" s="1"/>
      <c r="F579">
        <v>2</v>
      </c>
      <c r="G579">
        <v>21</v>
      </c>
      <c r="H579" t="str">
        <f>VLOOKUP(G579,'Hilfetabelle Region'!$A$17:$B$19,2,)</f>
        <v>Geschäftskunde</v>
      </c>
    </row>
    <row r="580" spans="1:8" x14ac:dyDescent="0.35">
      <c r="A580">
        <v>579</v>
      </c>
      <c r="B580" t="str">
        <f>VLOOKUP(F580,'Hilfetabelle Region'!$A$2:$C$14,2,FALSE)</f>
        <v>Europa</v>
      </c>
      <c r="C580" t="str">
        <f t="shared" si="9"/>
        <v>Geschäftskunde</v>
      </c>
      <c r="E580" s="1"/>
      <c r="F580">
        <v>2</v>
      </c>
      <c r="G580">
        <v>21</v>
      </c>
      <c r="H580" t="str">
        <f>VLOOKUP(G580,'Hilfetabelle Region'!$A$17:$B$19,2,)</f>
        <v>Geschäftskunde</v>
      </c>
    </row>
    <row r="581" spans="1:8" x14ac:dyDescent="0.35">
      <c r="A581">
        <v>580</v>
      </c>
      <c r="B581" t="str">
        <f>VLOOKUP(F581,'Hilfetabelle Region'!$A$2:$C$14,2,FALSE)</f>
        <v>Nordamerika</v>
      </c>
      <c r="C581" t="str">
        <f t="shared" si="9"/>
        <v>Geschäftskunde</v>
      </c>
      <c r="E581" s="1"/>
      <c r="F581">
        <v>7</v>
      </c>
      <c r="G581">
        <v>22</v>
      </c>
      <c r="H581" t="str">
        <f>VLOOKUP(G581,'Hilfetabelle Region'!$A$17:$B$19,2,)</f>
        <v>Geschäftskunde</v>
      </c>
    </row>
    <row r="582" spans="1:8" x14ac:dyDescent="0.35">
      <c r="A582">
        <v>581</v>
      </c>
      <c r="B582" t="str">
        <f>VLOOKUP(F582,'Hilfetabelle Region'!$A$2:$C$14,2,FALSE)</f>
        <v>Europa</v>
      </c>
      <c r="C582" t="str">
        <f t="shared" si="9"/>
        <v>Geschäftskunde</v>
      </c>
      <c r="E582" s="1"/>
      <c r="F582">
        <v>2</v>
      </c>
      <c r="G582">
        <v>21</v>
      </c>
      <c r="H582" t="str">
        <f>VLOOKUP(G582,'Hilfetabelle Region'!$A$17:$B$19,2,)</f>
        <v>Geschäftskunde</v>
      </c>
    </row>
    <row r="583" spans="1:8" x14ac:dyDescent="0.35">
      <c r="A583">
        <v>582</v>
      </c>
      <c r="B583" t="str">
        <f>VLOOKUP(F583,'Hilfetabelle Region'!$A$2:$C$14,2,FALSE)</f>
        <v>Nordamerika</v>
      </c>
      <c r="C583" t="str">
        <f t="shared" si="9"/>
        <v>Geschäftskunde</v>
      </c>
      <c r="E583" s="1"/>
      <c r="F583">
        <v>8</v>
      </c>
      <c r="G583">
        <v>21</v>
      </c>
      <c r="H583" t="str">
        <f>VLOOKUP(G583,'Hilfetabelle Region'!$A$17:$B$19,2,)</f>
        <v>Geschäftskunde</v>
      </c>
    </row>
    <row r="584" spans="1:8" x14ac:dyDescent="0.35">
      <c r="A584">
        <v>583</v>
      </c>
      <c r="B584" t="str">
        <f>VLOOKUP(F584,'Hilfetabelle Region'!$A$2:$C$14,2,FALSE)</f>
        <v>Europa</v>
      </c>
      <c r="C584" t="str">
        <f t="shared" si="9"/>
        <v>Geschäftskunde</v>
      </c>
      <c r="E584" s="1"/>
      <c r="F584">
        <v>4</v>
      </c>
      <c r="G584">
        <v>21</v>
      </c>
      <c r="H584" t="str">
        <f>VLOOKUP(G584,'Hilfetabelle Region'!$A$17:$B$19,2,)</f>
        <v>Geschäftskunde</v>
      </c>
    </row>
    <row r="585" spans="1:8" x14ac:dyDescent="0.35">
      <c r="A585">
        <v>584</v>
      </c>
      <c r="B585" t="str">
        <f>VLOOKUP(F585,'Hilfetabelle Region'!$A$2:$C$14,2,FALSE)</f>
        <v>Nordamerika</v>
      </c>
      <c r="C585" t="str">
        <f t="shared" si="9"/>
        <v>Geschäftskunde</v>
      </c>
      <c r="E585" s="1"/>
      <c r="F585">
        <v>8</v>
      </c>
      <c r="G585">
        <v>21</v>
      </c>
      <c r="H585" t="str">
        <f>VLOOKUP(G585,'Hilfetabelle Region'!$A$17:$B$19,2,)</f>
        <v>Geschäftskunde</v>
      </c>
    </row>
    <row r="586" spans="1:8" x14ac:dyDescent="0.35">
      <c r="A586">
        <v>585</v>
      </c>
      <c r="B586" t="str">
        <f>VLOOKUP(F586,'Hilfetabelle Region'!$A$2:$C$14,2,FALSE)</f>
        <v>Lateinamerika</v>
      </c>
      <c r="C586" t="str">
        <f t="shared" si="9"/>
        <v>Geschäftskunde</v>
      </c>
      <c r="E586" s="1"/>
      <c r="F586">
        <v>10</v>
      </c>
      <c r="G586">
        <v>22</v>
      </c>
      <c r="H586" t="str">
        <f>VLOOKUP(G586,'Hilfetabelle Region'!$A$17:$B$19,2,)</f>
        <v>Geschäftskunde</v>
      </c>
    </row>
    <row r="587" spans="1:8" x14ac:dyDescent="0.35">
      <c r="A587">
        <v>586</v>
      </c>
      <c r="B587" t="str">
        <f>VLOOKUP(F587,'Hilfetabelle Region'!$A$2:$C$14,2,FALSE)</f>
        <v>Nordamerika</v>
      </c>
      <c r="C587" t="str">
        <f t="shared" si="9"/>
        <v>Geschäftskunde</v>
      </c>
      <c r="E587" s="1"/>
      <c r="F587">
        <v>9</v>
      </c>
      <c r="G587">
        <v>22</v>
      </c>
      <c r="H587" t="str">
        <f>VLOOKUP(G587,'Hilfetabelle Region'!$A$17:$B$19,2,)</f>
        <v>Geschäftskunde</v>
      </c>
    </row>
    <row r="588" spans="1:8" x14ac:dyDescent="0.35">
      <c r="A588">
        <v>587</v>
      </c>
      <c r="B588" t="str">
        <f>VLOOKUP(F588,'Hilfetabelle Region'!$A$2:$C$14,2,FALSE)</f>
        <v>Europa</v>
      </c>
      <c r="C588" t="str">
        <f t="shared" si="9"/>
        <v>Geschäftskunde</v>
      </c>
      <c r="E588" s="1"/>
      <c r="F588">
        <v>2</v>
      </c>
      <c r="G588">
        <v>22</v>
      </c>
      <c r="H588" t="str">
        <f>VLOOKUP(G588,'Hilfetabelle Region'!$A$17:$B$19,2,)</f>
        <v>Geschäftskunde</v>
      </c>
    </row>
    <row r="589" spans="1:8" x14ac:dyDescent="0.35">
      <c r="A589">
        <v>588</v>
      </c>
      <c r="B589" t="str">
        <f>VLOOKUP(F589,'Hilfetabelle Region'!$A$2:$C$14,2,FALSE)</f>
        <v>Europa</v>
      </c>
      <c r="C589" t="str">
        <f t="shared" si="9"/>
        <v>Privatkunde</v>
      </c>
      <c r="E589" s="1"/>
      <c r="F589">
        <v>4</v>
      </c>
      <c r="G589">
        <v>23</v>
      </c>
      <c r="H589" t="str">
        <f>VLOOKUP(G589,'Hilfetabelle Region'!$A$17:$B$19,2,)</f>
        <v>Privatkunde</v>
      </c>
    </row>
    <row r="590" spans="1:8" x14ac:dyDescent="0.35">
      <c r="A590">
        <v>589</v>
      </c>
      <c r="B590" t="str">
        <f>VLOOKUP(F590,'Hilfetabelle Region'!$A$2:$C$14,2,FALSE)</f>
        <v>Nordamerika</v>
      </c>
      <c r="C590" t="str">
        <f t="shared" si="9"/>
        <v>Geschäftskunde</v>
      </c>
      <c r="E590" s="1"/>
      <c r="F590">
        <v>9</v>
      </c>
      <c r="G590">
        <v>21</v>
      </c>
      <c r="H590" t="str">
        <f>VLOOKUP(G590,'Hilfetabelle Region'!$A$17:$B$19,2,)</f>
        <v>Geschäftskunde</v>
      </c>
    </row>
    <row r="591" spans="1:8" x14ac:dyDescent="0.35">
      <c r="A591">
        <v>590</v>
      </c>
      <c r="B591" t="str">
        <f>VLOOKUP(F591,'Hilfetabelle Region'!$A$2:$C$14,2,FALSE)</f>
        <v>Europa</v>
      </c>
      <c r="C591" t="str">
        <f t="shared" si="9"/>
        <v>Geschäftskunde</v>
      </c>
      <c r="E591" s="1"/>
      <c r="F591">
        <v>5</v>
      </c>
      <c r="G591">
        <v>22</v>
      </c>
      <c r="H591" t="str">
        <f>VLOOKUP(G591,'Hilfetabelle Region'!$A$17:$B$19,2,)</f>
        <v>Geschäftskunde</v>
      </c>
    </row>
    <row r="592" spans="1:8" x14ac:dyDescent="0.35">
      <c r="A592">
        <v>591</v>
      </c>
      <c r="B592" t="str">
        <f>VLOOKUP(F592,'Hilfetabelle Region'!$A$2:$C$14,2,FALSE)</f>
        <v>Asien</v>
      </c>
      <c r="C592" t="str">
        <f t="shared" si="9"/>
        <v>Geschäftskunde</v>
      </c>
      <c r="E592" s="1"/>
      <c r="F592">
        <v>13</v>
      </c>
      <c r="G592">
        <v>21</v>
      </c>
      <c r="H592" t="str">
        <f>VLOOKUP(G592,'Hilfetabelle Region'!$A$17:$B$19,2,)</f>
        <v>Geschäftskunde</v>
      </c>
    </row>
    <row r="593" spans="1:8" x14ac:dyDescent="0.35">
      <c r="A593">
        <v>592</v>
      </c>
      <c r="B593" t="str">
        <f>VLOOKUP(F593,'Hilfetabelle Region'!$A$2:$C$14,2,FALSE)</f>
        <v>Europa</v>
      </c>
      <c r="C593" t="str">
        <f t="shared" si="9"/>
        <v>Geschäftskunde</v>
      </c>
      <c r="E593" s="1"/>
      <c r="F593">
        <v>4</v>
      </c>
      <c r="G593">
        <v>22</v>
      </c>
      <c r="H593" t="str">
        <f>VLOOKUP(G593,'Hilfetabelle Region'!$A$17:$B$19,2,)</f>
        <v>Geschäftskunde</v>
      </c>
    </row>
    <row r="594" spans="1:8" x14ac:dyDescent="0.35">
      <c r="A594">
        <v>593</v>
      </c>
      <c r="B594" t="str">
        <f>VLOOKUP(F594,'Hilfetabelle Region'!$A$2:$C$14,2,FALSE)</f>
        <v>Europa</v>
      </c>
      <c r="C594" t="str">
        <f t="shared" si="9"/>
        <v>Geschäftskunde</v>
      </c>
      <c r="E594" s="1"/>
      <c r="F594">
        <v>5</v>
      </c>
      <c r="G594">
        <v>22</v>
      </c>
      <c r="H594" t="str">
        <f>VLOOKUP(G594,'Hilfetabelle Region'!$A$17:$B$19,2,)</f>
        <v>Geschäftskunde</v>
      </c>
    </row>
    <row r="595" spans="1:8" x14ac:dyDescent="0.35">
      <c r="A595">
        <v>594</v>
      </c>
      <c r="B595" t="str">
        <f>VLOOKUP(F595,'Hilfetabelle Region'!$A$2:$C$14,2,FALSE)</f>
        <v>Europa</v>
      </c>
      <c r="C595" t="str">
        <f t="shared" si="9"/>
        <v>Geschäftskunde</v>
      </c>
      <c r="E595" s="1"/>
      <c r="F595">
        <v>6</v>
      </c>
      <c r="G595">
        <v>21</v>
      </c>
      <c r="H595" t="str">
        <f>VLOOKUP(G595,'Hilfetabelle Region'!$A$17:$B$19,2,)</f>
        <v>Geschäftskunde</v>
      </c>
    </row>
    <row r="596" spans="1:8" x14ac:dyDescent="0.35">
      <c r="A596">
        <v>595</v>
      </c>
      <c r="B596" t="str">
        <f>VLOOKUP(F596,'Hilfetabelle Region'!$A$2:$C$14,2,FALSE)</f>
        <v>Europa</v>
      </c>
      <c r="C596" t="str">
        <f t="shared" si="9"/>
        <v>Geschäftskunde</v>
      </c>
      <c r="E596" s="1"/>
      <c r="F596">
        <v>6</v>
      </c>
      <c r="G596">
        <v>22</v>
      </c>
      <c r="H596" t="str">
        <f>VLOOKUP(G596,'Hilfetabelle Region'!$A$17:$B$19,2,)</f>
        <v>Geschäftskunde</v>
      </c>
    </row>
    <row r="597" spans="1:8" x14ac:dyDescent="0.35">
      <c r="A597">
        <v>596</v>
      </c>
      <c r="B597" t="str">
        <f>VLOOKUP(F597,'Hilfetabelle Region'!$A$2:$C$14,2,FALSE)</f>
        <v>Europa</v>
      </c>
      <c r="C597" t="str">
        <f t="shared" si="9"/>
        <v>Geschäftskunde</v>
      </c>
      <c r="E597" s="1"/>
      <c r="F597">
        <v>5</v>
      </c>
      <c r="G597">
        <v>22</v>
      </c>
      <c r="H597" t="str">
        <f>VLOOKUP(G597,'Hilfetabelle Region'!$A$17:$B$19,2,)</f>
        <v>Geschäftskunde</v>
      </c>
    </row>
    <row r="598" spans="1:8" x14ac:dyDescent="0.35">
      <c r="A598">
        <v>597</v>
      </c>
      <c r="B598" t="str">
        <f>VLOOKUP(F598,'Hilfetabelle Region'!$A$2:$C$14,2,FALSE)</f>
        <v>Asien</v>
      </c>
      <c r="C598" t="str">
        <f t="shared" si="9"/>
        <v>Geschäftskunde</v>
      </c>
      <c r="E598" s="1"/>
      <c r="F598">
        <v>13</v>
      </c>
      <c r="G598">
        <v>21</v>
      </c>
      <c r="H598" t="str">
        <f>VLOOKUP(G598,'Hilfetabelle Region'!$A$17:$B$19,2,)</f>
        <v>Geschäftskunde</v>
      </c>
    </row>
    <row r="599" spans="1:8" x14ac:dyDescent="0.35">
      <c r="A599">
        <v>598</v>
      </c>
      <c r="B599" t="str">
        <f>VLOOKUP(F599,'Hilfetabelle Region'!$A$2:$C$14,2,FALSE)</f>
        <v>Europa</v>
      </c>
      <c r="C599" t="str">
        <f t="shared" si="9"/>
        <v>Geschäftskunde</v>
      </c>
      <c r="E599" s="1"/>
      <c r="F599">
        <v>4</v>
      </c>
      <c r="G599">
        <v>22</v>
      </c>
      <c r="H599" t="str">
        <f>VLOOKUP(G599,'Hilfetabelle Region'!$A$17:$B$19,2,)</f>
        <v>Geschäftskunde</v>
      </c>
    </row>
    <row r="600" spans="1:8" x14ac:dyDescent="0.35">
      <c r="A600">
        <v>599</v>
      </c>
      <c r="B600" t="str">
        <f>VLOOKUP(F600,'Hilfetabelle Region'!$A$2:$C$14,2,FALSE)</f>
        <v>Europa</v>
      </c>
      <c r="C600" t="str">
        <f t="shared" si="9"/>
        <v>Geschäftskunde</v>
      </c>
      <c r="E600" s="1"/>
      <c r="F600">
        <v>1</v>
      </c>
      <c r="G600">
        <v>21</v>
      </c>
      <c r="H600" t="str">
        <f>VLOOKUP(G600,'Hilfetabelle Region'!$A$17:$B$19,2,)</f>
        <v>Geschäftskunde</v>
      </c>
    </row>
    <row r="601" spans="1:8" x14ac:dyDescent="0.35">
      <c r="A601">
        <v>600</v>
      </c>
      <c r="B601" t="str">
        <f>VLOOKUP(F601,'Hilfetabelle Region'!$A$2:$C$14,2,FALSE)</f>
        <v>Europa</v>
      </c>
      <c r="C601" t="str">
        <f t="shared" si="9"/>
        <v>Privatkunde</v>
      </c>
      <c r="E601" s="1"/>
      <c r="F601">
        <v>4</v>
      </c>
      <c r="G601">
        <v>23</v>
      </c>
      <c r="H601" t="str">
        <f>VLOOKUP(G601,'Hilfetabelle Region'!$A$17:$B$19,2,)</f>
        <v>Privatkunde</v>
      </c>
    </row>
    <row r="602" spans="1:8" x14ac:dyDescent="0.35">
      <c r="A602">
        <v>601</v>
      </c>
      <c r="B602" t="str">
        <f>VLOOKUP(F602,'Hilfetabelle Region'!$A$2:$C$14,2,FALSE)</f>
        <v>Nordamerika</v>
      </c>
      <c r="C602" t="str">
        <f t="shared" si="9"/>
        <v>Geschäftskunde</v>
      </c>
      <c r="E602" s="1"/>
      <c r="F602">
        <v>9</v>
      </c>
      <c r="G602">
        <v>21</v>
      </c>
      <c r="H602" t="str">
        <f>VLOOKUP(G602,'Hilfetabelle Region'!$A$17:$B$19,2,)</f>
        <v>Geschäftskunde</v>
      </c>
    </row>
    <row r="603" spans="1:8" x14ac:dyDescent="0.35">
      <c r="A603">
        <v>602</v>
      </c>
      <c r="B603" t="str">
        <f>VLOOKUP(F603,'Hilfetabelle Region'!$A$2:$C$14,2,FALSE)</f>
        <v>Nordamerika</v>
      </c>
      <c r="C603" t="str">
        <f t="shared" si="9"/>
        <v>Geschäftskunde</v>
      </c>
      <c r="E603" s="1"/>
      <c r="F603">
        <v>7</v>
      </c>
      <c r="G603">
        <v>21</v>
      </c>
      <c r="H603" t="str">
        <f>VLOOKUP(G603,'Hilfetabelle Region'!$A$17:$B$19,2,)</f>
        <v>Geschäftskunde</v>
      </c>
    </row>
    <row r="604" spans="1:8" x14ac:dyDescent="0.35">
      <c r="A604">
        <v>603</v>
      </c>
      <c r="B604" t="str">
        <f>VLOOKUP(F604,'Hilfetabelle Region'!$A$2:$C$14,2,FALSE)</f>
        <v>Nordamerika</v>
      </c>
      <c r="C604" t="str">
        <f t="shared" si="9"/>
        <v>Geschäftskunde</v>
      </c>
      <c r="E604" s="1"/>
      <c r="F604">
        <v>7</v>
      </c>
      <c r="G604">
        <v>23</v>
      </c>
      <c r="H604" t="str">
        <f>VLOOKUP(G604,'Hilfetabelle Region'!$A$17:$B$19,2,)</f>
        <v>Privatkunde</v>
      </c>
    </row>
    <row r="605" spans="1:8" x14ac:dyDescent="0.35">
      <c r="A605">
        <v>604</v>
      </c>
      <c r="B605" t="str">
        <f>VLOOKUP(F605,'Hilfetabelle Region'!$A$2:$C$14,2,FALSE)</f>
        <v>Nordamerika</v>
      </c>
      <c r="C605" t="str">
        <f t="shared" si="9"/>
        <v>Geschäftskunde</v>
      </c>
      <c r="E605" s="1"/>
      <c r="F605">
        <v>8</v>
      </c>
      <c r="G605">
        <v>22</v>
      </c>
      <c r="H605" t="str">
        <f>VLOOKUP(G605,'Hilfetabelle Region'!$A$17:$B$19,2,)</f>
        <v>Geschäftskunde</v>
      </c>
    </row>
    <row r="606" spans="1:8" x14ac:dyDescent="0.35">
      <c r="A606">
        <v>605</v>
      </c>
      <c r="B606" t="str">
        <f>VLOOKUP(F606,'Hilfetabelle Region'!$A$2:$C$14,2,FALSE)</f>
        <v>Nordamerika</v>
      </c>
      <c r="C606" t="str">
        <f t="shared" si="9"/>
        <v>Geschäftskunde</v>
      </c>
      <c r="E606" s="1"/>
      <c r="F606">
        <v>8</v>
      </c>
      <c r="G606">
        <v>22</v>
      </c>
      <c r="H606" t="str">
        <f>VLOOKUP(G606,'Hilfetabelle Region'!$A$17:$B$19,2,)</f>
        <v>Geschäftskunde</v>
      </c>
    </row>
    <row r="607" spans="1:8" x14ac:dyDescent="0.35">
      <c r="A607">
        <v>606</v>
      </c>
      <c r="B607" t="str">
        <f>VLOOKUP(F607,'Hilfetabelle Region'!$A$2:$C$14,2,FALSE)</f>
        <v>Asien</v>
      </c>
      <c r="C607" t="str">
        <f t="shared" si="9"/>
        <v>Geschäftskunde</v>
      </c>
      <c r="E607" s="1"/>
      <c r="F607">
        <v>12</v>
      </c>
      <c r="G607">
        <v>23</v>
      </c>
      <c r="H607" t="str">
        <f>VLOOKUP(G607,'Hilfetabelle Region'!$A$17:$B$19,2,)</f>
        <v>Privatkunde</v>
      </c>
    </row>
    <row r="608" spans="1:8" x14ac:dyDescent="0.35">
      <c r="A608">
        <v>607</v>
      </c>
      <c r="B608" t="str">
        <f>VLOOKUP(F608,'Hilfetabelle Region'!$A$2:$C$14,2,FALSE)</f>
        <v>Europa</v>
      </c>
      <c r="C608" t="str">
        <f t="shared" si="9"/>
        <v>Geschäftskunde</v>
      </c>
      <c r="E608" s="1"/>
      <c r="F608">
        <v>3</v>
      </c>
      <c r="G608">
        <v>21</v>
      </c>
      <c r="H608" t="str">
        <f>VLOOKUP(G608,'Hilfetabelle Region'!$A$17:$B$19,2,)</f>
        <v>Geschäftskunde</v>
      </c>
    </row>
    <row r="609" spans="1:8" x14ac:dyDescent="0.35">
      <c r="A609">
        <v>608</v>
      </c>
      <c r="B609" t="str">
        <f>VLOOKUP(F609,'Hilfetabelle Region'!$A$2:$C$14,2,FALSE)</f>
        <v>Europa</v>
      </c>
      <c r="C609" t="str">
        <f t="shared" si="9"/>
        <v>Privatkunde</v>
      </c>
      <c r="E609" s="1"/>
      <c r="F609">
        <v>1</v>
      </c>
      <c r="G609">
        <v>23</v>
      </c>
      <c r="H609" t="str">
        <f>VLOOKUP(G609,'Hilfetabelle Region'!$A$17:$B$19,2,)</f>
        <v>Privatkunde</v>
      </c>
    </row>
    <row r="610" spans="1:8" x14ac:dyDescent="0.35">
      <c r="A610">
        <v>609</v>
      </c>
      <c r="B610" t="str">
        <f>VLOOKUP(F610,'Hilfetabelle Region'!$A$2:$C$14,2,FALSE)</f>
        <v>Europa</v>
      </c>
      <c r="C610" t="str">
        <f t="shared" si="9"/>
        <v>Geschäftskunde</v>
      </c>
      <c r="E610" s="1"/>
      <c r="F610">
        <v>1</v>
      </c>
      <c r="G610">
        <v>22</v>
      </c>
      <c r="H610" t="str">
        <f>VLOOKUP(G610,'Hilfetabelle Region'!$A$17:$B$19,2,)</f>
        <v>Geschäftskunde</v>
      </c>
    </row>
    <row r="611" spans="1:8" x14ac:dyDescent="0.35">
      <c r="A611">
        <v>610</v>
      </c>
      <c r="B611" t="str">
        <f>VLOOKUP(F611,'Hilfetabelle Region'!$A$2:$C$14,2,FALSE)</f>
        <v>Europa</v>
      </c>
      <c r="C611" t="str">
        <f t="shared" si="9"/>
        <v>Geschäftskunde</v>
      </c>
      <c r="E611" s="1"/>
      <c r="F611">
        <v>3</v>
      </c>
      <c r="G611">
        <v>22</v>
      </c>
      <c r="H611" t="str">
        <f>VLOOKUP(G611,'Hilfetabelle Region'!$A$17:$B$19,2,)</f>
        <v>Geschäftskunde</v>
      </c>
    </row>
    <row r="612" spans="1:8" x14ac:dyDescent="0.35">
      <c r="A612">
        <v>611</v>
      </c>
      <c r="B612" t="str">
        <f>VLOOKUP(F612,'Hilfetabelle Region'!$A$2:$C$14,2,FALSE)</f>
        <v>Europa</v>
      </c>
      <c r="C612" t="str">
        <f t="shared" si="9"/>
        <v>Geschäftskunde</v>
      </c>
      <c r="E612" s="1"/>
      <c r="F612">
        <v>1</v>
      </c>
      <c r="G612">
        <v>22</v>
      </c>
      <c r="H612" t="str">
        <f>VLOOKUP(G612,'Hilfetabelle Region'!$A$17:$B$19,2,)</f>
        <v>Geschäftskunde</v>
      </c>
    </row>
    <row r="613" spans="1:8" x14ac:dyDescent="0.35">
      <c r="A613">
        <v>612</v>
      </c>
      <c r="B613" t="str">
        <f>VLOOKUP(F613,'Hilfetabelle Region'!$A$2:$C$14,2,FALSE)</f>
        <v>Afrika</v>
      </c>
      <c r="C613" t="str">
        <f t="shared" si="9"/>
        <v>Geschäftskunde</v>
      </c>
      <c r="E613" s="1"/>
      <c r="F613">
        <v>11</v>
      </c>
      <c r="G613">
        <v>21</v>
      </c>
      <c r="H613" t="str">
        <f>VLOOKUP(G613,'Hilfetabelle Region'!$A$17:$B$19,2,)</f>
        <v>Geschäftskunde</v>
      </c>
    </row>
    <row r="614" spans="1:8" x14ac:dyDescent="0.35">
      <c r="A614">
        <v>613</v>
      </c>
      <c r="B614" t="str">
        <f>VLOOKUP(F614,'Hilfetabelle Region'!$A$2:$C$14,2,FALSE)</f>
        <v>Asien</v>
      </c>
      <c r="C614" t="str">
        <f t="shared" si="9"/>
        <v>Geschäftskunde</v>
      </c>
      <c r="E614" s="1"/>
      <c r="F614">
        <v>13</v>
      </c>
      <c r="G614">
        <v>21</v>
      </c>
      <c r="H614" t="str">
        <f>VLOOKUP(G614,'Hilfetabelle Region'!$A$17:$B$19,2,)</f>
        <v>Geschäftskunde</v>
      </c>
    </row>
    <row r="615" spans="1:8" x14ac:dyDescent="0.35">
      <c r="A615">
        <v>614</v>
      </c>
      <c r="B615" t="str">
        <f>VLOOKUP(F615,'Hilfetabelle Region'!$A$2:$C$14,2,FALSE)</f>
        <v>Nordamerika</v>
      </c>
      <c r="C615" t="str">
        <f t="shared" si="9"/>
        <v>Geschäftskunde</v>
      </c>
      <c r="E615" s="1"/>
      <c r="F615">
        <v>7</v>
      </c>
      <c r="G615">
        <v>22</v>
      </c>
      <c r="H615" t="str">
        <f>VLOOKUP(G615,'Hilfetabelle Region'!$A$17:$B$19,2,)</f>
        <v>Geschäftskunde</v>
      </c>
    </row>
    <row r="616" spans="1:8" x14ac:dyDescent="0.35">
      <c r="A616">
        <v>615</v>
      </c>
      <c r="B616" t="str">
        <f>VLOOKUP(F616,'Hilfetabelle Region'!$A$2:$C$14,2,FALSE)</f>
        <v>Europa</v>
      </c>
      <c r="C616" t="str">
        <f t="shared" si="9"/>
        <v>Geschäftskunde</v>
      </c>
      <c r="E616" s="1"/>
      <c r="F616">
        <v>6</v>
      </c>
      <c r="G616">
        <v>21</v>
      </c>
      <c r="H616" t="str">
        <f>VLOOKUP(G616,'Hilfetabelle Region'!$A$17:$B$19,2,)</f>
        <v>Geschäftskunde</v>
      </c>
    </row>
    <row r="617" spans="1:8" x14ac:dyDescent="0.35">
      <c r="A617">
        <v>616</v>
      </c>
      <c r="B617" t="str">
        <f>VLOOKUP(F617,'Hilfetabelle Region'!$A$2:$C$14,2,FALSE)</f>
        <v>Europa</v>
      </c>
      <c r="C617" t="str">
        <f t="shared" si="9"/>
        <v>Privatkunde</v>
      </c>
      <c r="E617" s="1"/>
      <c r="F617">
        <v>2</v>
      </c>
      <c r="G617">
        <v>23</v>
      </c>
      <c r="H617" t="str">
        <f>VLOOKUP(G617,'Hilfetabelle Region'!$A$17:$B$19,2,)</f>
        <v>Privatkunde</v>
      </c>
    </row>
    <row r="618" spans="1:8" x14ac:dyDescent="0.35">
      <c r="A618">
        <v>617</v>
      </c>
      <c r="B618" t="str">
        <f>VLOOKUP(F618,'Hilfetabelle Region'!$A$2:$C$14,2,FALSE)</f>
        <v>Nordamerika</v>
      </c>
      <c r="C618" t="str">
        <f t="shared" si="9"/>
        <v>Geschäftskunde</v>
      </c>
      <c r="E618" s="1"/>
      <c r="F618">
        <v>9</v>
      </c>
      <c r="G618">
        <v>23</v>
      </c>
      <c r="H618" t="str">
        <f>VLOOKUP(G618,'Hilfetabelle Region'!$A$17:$B$19,2,)</f>
        <v>Privatkunde</v>
      </c>
    </row>
    <row r="619" spans="1:8" x14ac:dyDescent="0.35">
      <c r="A619">
        <v>618</v>
      </c>
      <c r="B619" t="str">
        <f>VLOOKUP(F619,'Hilfetabelle Region'!$A$2:$C$14,2,FALSE)</f>
        <v>Asien</v>
      </c>
      <c r="C619" t="str">
        <f t="shared" si="9"/>
        <v>Geschäftskunde</v>
      </c>
      <c r="E619" s="1"/>
      <c r="F619">
        <v>13</v>
      </c>
      <c r="G619">
        <v>22</v>
      </c>
      <c r="H619" t="str">
        <f>VLOOKUP(G619,'Hilfetabelle Region'!$A$17:$B$19,2,)</f>
        <v>Geschäftskunde</v>
      </c>
    </row>
    <row r="620" spans="1:8" x14ac:dyDescent="0.35">
      <c r="A620">
        <v>619</v>
      </c>
      <c r="B620" t="str">
        <f>VLOOKUP(F620,'Hilfetabelle Region'!$A$2:$C$14,2,FALSE)</f>
        <v>Lateinamerika</v>
      </c>
      <c r="C620" t="str">
        <f t="shared" si="9"/>
        <v>Geschäftskunde</v>
      </c>
      <c r="E620" s="1"/>
      <c r="F620">
        <v>10</v>
      </c>
      <c r="G620">
        <v>22</v>
      </c>
      <c r="H620" t="str">
        <f>VLOOKUP(G620,'Hilfetabelle Region'!$A$17:$B$19,2,)</f>
        <v>Geschäftskunde</v>
      </c>
    </row>
    <row r="621" spans="1:8" x14ac:dyDescent="0.35">
      <c r="A621">
        <v>620</v>
      </c>
      <c r="B621" t="str">
        <f>VLOOKUP(F621,'Hilfetabelle Region'!$A$2:$C$14,2,FALSE)</f>
        <v>Nordamerika</v>
      </c>
      <c r="C621" t="str">
        <f t="shared" si="9"/>
        <v>Geschäftskunde</v>
      </c>
      <c r="E621" s="1"/>
      <c r="F621">
        <v>7</v>
      </c>
      <c r="G621">
        <v>21</v>
      </c>
      <c r="H621" t="str">
        <f>VLOOKUP(G621,'Hilfetabelle Region'!$A$17:$B$19,2,)</f>
        <v>Geschäftskunde</v>
      </c>
    </row>
    <row r="622" spans="1:8" x14ac:dyDescent="0.35">
      <c r="A622">
        <v>621</v>
      </c>
      <c r="B622" t="str">
        <f>VLOOKUP(F622,'Hilfetabelle Region'!$A$2:$C$14,2,FALSE)</f>
        <v>Europa</v>
      </c>
      <c r="C622" t="str">
        <f t="shared" si="9"/>
        <v>Privatkunde</v>
      </c>
      <c r="E622" s="1"/>
      <c r="F622">
        <v>5</v>
      </c>
      <c r="G622">
        <v>23</v>
      </c>
      <c r="H622" t="str">
        <f>VLOOKUP(G622,'Hilfetabelle Region'!$A$17:$B$19,2,)</f>
        <v>Privatkunde</v>
      </c>
    </row>
    <row r="623" spans="1:8" x14ac:dyDescent="0.35">
      <c r="A623">
        <v>622</v>
      </c>
      <c r="B623" t="str">
        <f>VLOOKUP(F623,'Hilfetabelle Region'!$A$2:$C$14,2,FALSE)</f>
        <v>Asien</v>
      </c>
      <c r="C623" t="str">
        <f t="shared" si="9"/>
        <v>Geschäftskunde</v>
      </c>
      <c r="E623" s="1"/>
      <c r="F623">
        <v>12</v>
      </c>
      <c r="G623">
        <v>22</v>
      </c>
      <c r="H623" t="str">
        <f>VLOOKUP(G623,'Hilfetabelle Region'!$A$17:$B$19,2,)</f>
        <v>Geschäftskunde</v>
      </c>
    </row>
    <row r="624" spans="1:8" x14ac:dyDescent="0.35">
      <c r="A624">
        <v>623</v>
      </c>
      <c r="B624" t="str">
        <f>VLOOKUP(F624,'Hilfetabelle Region'!$A$2:$C$14,2,FALSE)</f>
        <v>Europa</v>
      </c>
      <c r="C624" t="str">
        <f t="shared" si="9"/>
        <v>Privatkunde</v>
      </c>
      <c r="E624" s="1"/>
      <c r="F624">
        <v>4</v>
      </c>
      <c r="G624">
        <v>23</v>
      </c>
      <c r="H624" t="str">
        <f>VLOOKUP(G624,'Hilfetabelle Region'!$A$17:$B$19,2,)</f>
        <v>Privatkunde</v>
      </c>
    </row>
    <row r="625" spans="1:8" x14ac:dyDescent="0.35">
      <c r="A625">
        <v>624</v>
      </c>
      <c r="B625" t="str">
        <f>VLOOKUP(F625,'Hilfetabelle Region'!$A$2:$C$14,2,FALSE)</f>
        <v>Europa</v>
      </c>
      <c r="C625" t="str">
        <f t="shared" si="9"/>
        <v>Privatkunde</v>
      </c>
      <c r="E625" s="1"/>
      <c r="F625">
        <v>2</v>
      </c>
      <c r="G625">
        <v>23</v>
      </c>
      <c r="H625" t="str">
        <f>VLOOKUP(G625,'Hilfetabelle Region'!$A$17:$B$19,2,)</f>
        <v>Privatkunde</v>
      </c>
    </row>
    <row r="626" spans="1:8" x14ac:dyDescent="0.35">
      <c r="A626">
        <v>625</v>
      </c>
      <c r="B626" t="str">
        <f>VLOOKUP(F626,'Hilfetabelle Region'!$A$2:$C$14,2,FALSE)</f>
        <v>Europa</v>
      </c>
      <c r="C626" t="str">
        <f t="shared" si="9"/>
        <v>Privatkunde</v>
      </c>
      <c r="E626" s="1"/>
      <c r="F626">
        <v>1</v>
      </c>
      <c r="G626">
        <v>23</v>
      </c>
      <c r="H626" t="str">
        <f>VLOOKUP(G626,'Hilfetabelle Region'!$A$17:$B$19,2,)</f>
        <v>Privatkunde</v>
      </c>
    </row>
    <row r="627" spans="1:8" x14ac:dyDescent="0.35">
      <c r="A627">
        <v>626</v>
      </c>
      <c r="B627" t="str">
        <f>VLOOKUP(F627,'Hilfetabelle Region'!$A$2:$C$14,2,FALSE)</f>
        <v>Europa</v>
      </c>
      <c r="C627" t="str">
        <f t="shared" si="9"/>
        <v>Geschäftskunde</v>
      </c>
      <c r="E627" s="1"/>
      <c r="F627">
        <v>3</v>
      </c>
      <c r="G627">
        <v>22</v>
      </c>
      <c r="H627" t="str">
        <f>VLOOKUP(G627,'Hilfetabelle Region'!$A$17:$B$19,2,)</f>
        <v>Geschäftskunde</v>
      </c>
    </row>
    <row r="628" spans="1:8" x14ac:dyDescent="0.35">
      <c r="A628">
        <v>627</v>
      </c>
      <c r="B628" t="str">
        <f>VLOOKUP(F628,'Hilfetabelle Region'!$A$2:$C$14,2,FALSE)</f>
        <v>Europa</v>
      </c>
      <c r="C628" t="str">
        <f t="shared" si="9"/>
        <v>Geschäftskunde</v>
      </c>
      <c r="E628" s="1"/>
      <c r="F628">
        <v>2</v>
      </c>
      <c r="G628">
        <v>21</v>
      </c>
      <c r="H628" t="str">
        <f>VLOOKUP(G628,'Hilfetabelle Region'!$A$17:$B$19,2,)</f>
        <v>Geschäftskunde</v>
      </c>
    </row>
    <row r="629" spans="1:8" x14ac:dyDescent="0.35">
      <c r="A629">
        <v>628</v>
      </c>
      <c r="B629" t="str">
        <f>VLOOKUP(F629,'Hilfetabelle Region'!$A$2:$C$14,2,FALSE)</f>
        <v>Europa</v>
      </c>
      <c r="C629" t="str">
        <f t="shared" si="9"/>
        <v>Privatkunde</v>
      </c>
      <c r="E629" s="1"/>
      <c r="F629">
        <v>1</v>
      </c>
      <c r="G629">
        <v>23</v>
      </c>
      <c r="H629" t="str">
        <f>VLOOKUP(G629,'Hilfetabelle Region'!$A$17:$B$19,2,)</f>
        <v>Privatkunde</v>
      </c>
    </row>
    <row r="630" spans="1:8" x14ac:dyDescent="0.35">
      <c r="A630">
        <v>629</v>
      </c>
      <c r="B630" t="str">
        <f>VLOOKUP(F630,'Hilfetabelle Region'!$A$2:$C$14,2,FALSE)</f>
        <v>Europa</v>
      </c>
      <c r="C630" t="str">
        <f t="shared" si="9"/>
        <v>Geschäftskunde</v>
      </c>
      <c r="E630" s="1"/>
      <c r="F630">
        <v>2</v>
      </c>
      <c r="G630">
        <v>21</v>
      </c>
      <c r="H630" t="str">
        <f>VLOOKUP(G630,'Hilfetabelle Region'!$A$17:$B$19,2,)</f>
        <v>Geschäftskunde</v>
      </c>
    </row>
    <row r="631" spans="1:8" x14ac:dyDescent="0.35">
      <c r="A631">
        <v>630</v>
      </c>
      <c r="B631" t="str">
        <f>VLOOKUP(F631,'Hilfetabelle Region'!$A$2:$C$14,2,FALSE)</f>
        <v>Asien</v>
      </c>
      <c r="C631" t="str">
        <f t="shared" si="9"/>
        <v>Geschäftskunde</v>
      </c>
      <c r="E631" s="1"/>
      <c r="F631">
        <v>12</v>
      </c>
      <c r="G631">
        <v>23</v>
      </c>
      <c r="H631" t="str">
        <f>VLOOKUP(G631,'Hilfetabelle Region'!$A$17:$B$19,2,)</f>
        <v>Privatkunde</v>
      </c>
    </row>
    <row r="632" spans="1:8" x14ac:dyDescent="0.35">
      <c r="A632">
        <v>631</v>
      </c>
      <c r="B632" t="str">
        <f>VLOOKUP(F632,'Hilfetabelle Region'!$A$2:$C$14,2,FALSE)</f>
        <v>Europa</v>
      </c>
      <c r="C632" t="str">
        <f t="shared" si="9"/>
        <v>Privatkunde</v>
      </c>
      <c r="E632" s="1"/>
      <c r="F632">
        <v>4</v>
      </c>
      <c r="G632">
        <v>23</v>
      </c>
      <c r="H632" t="str">
        <f>VLOOKUP(G632,'Hilfetabelle Region'!$A$17:$B$19,2,)</f>
        <v>Privatkunde</v>
      </c>
    </row>
    <row r="633" spans="1:8" x14ac:dyDescent="0.35">
      <c r="A633">
        <v>632</v>
      </c>
      <c r="B633" t="str">
        <f>VLOOKUP(F633,'Hilfetabelle Region'!$A$2:$C$14,2,FALSE)</f>
        <v>Nordamerika</v>
      </c>
      <c r="C633" t="str">
        <f t="shared" si="9"/>
        <v>Geschäftskunde</v>
      </c>
      <c r="E633" s="1"/>
      <c r="F633">
        <v>8</v>
      </c>
      <c r="G633">
        <v>23</v>
      </c>
      <c r="H633" t="str">
        <f>VLOOKUP(G633,'Hilfetabelle Region'!$A$17:$B$19,2,)</f>
        <v>Privatkunde</v>
      </c>
    </row>
    <row r="634" spans="1:8" x14ac:dyDescent="0.35">
      <c r="A634">
        <v>633</v>
      </c>
      <c r="B634" t="str">
        <f>VLOOKUP(F634,'Hilfetabelle Region'!$A$2:$C$14,2,FALSE)</f>
        <v>Europa</v>
      </c>
      <c r="C634" t="str">
        <f t="shared" si="9"/>
        <v>Privatkunde</v>
      </c>
      <c r="E634" s="1"/>
      <c r="F634">
        <v>6</v>
      </c>
      <c r="G634">
        <v>23</v>
      </c>
      <c r="H634" t="str">
        <f>VLOOKUP(G634,'Hilfetabelle Region'!$A$17:$B$19,2,)</f>
        <v>Privatkunde</v>
      </c>
    </row>
    <row r="635" spans="1:8" x14ac:dyDescent="0.35">
      <c r="A635">
        <v>634</v>
      </c>
      <c r="B635" t="str">
        <f>VLOOKUP(F635,'Hilfetabelle Region'!$A$2:$C$14,2,FALSE)</f>
        <v>Nordamerika</v>
      </c>
      <c r="C635" t="str">
        <f t="shared" si="9"/>
        <v>Geschäftskunde</v>
      </c>
      <c r="E635" s="1"/>
      <c r="F635">
        <v>7</v>
      </c>
      <c r="G635">
        <v>22</v>
      </c>
      <c r="H635" t="str">
        <f>VLOOKUP(G635,'Hilfetabelle Region'!$A$17:$B$19,2,)</f>
        <v>Geschäftskunde</v>
      </c>
    </row>
    <row r="636" spans="1:8" x14ac:dyDescent="0.35">
      <c r="A636">
        <v>635</v>
      </c>
      <c r="B636" t="str">
        <f>VLOOKUP(F636,'Hilfetabelle Region'!$A$2:$C$14,2,FALSE)</f>
        <v>Nordamerika</v>
      </c>
      <c r="C636" t="str">
        <f t="shared" si="9"/>
        <v>Geschäftskunde</v>
      </c>
      <c r="E636" s="1"/>
      <c r="F636">
        <v>7</v>
      </c>
      <c r="G636">
        <v>21</v>
      </c>
      <c r="H636" t="str">
        <f>VLOOKUP(G636,'Hilfetabelle Region'!$A$17:$B$19,2,)</f>
        <v>Geschäftskunde</v>
      </c>
    </row>
    <row r="637" spans="1:8" x14ac:dyDescent="0.35">
      <c r="A637">
        <v>636</v>
      </c>
      <c r="B637" t="str">
        <f>VLOOKUP(F637,'Hilfetabelle Region'!$A$2:$C$14,2,FALSE)</f>
        <v>Europa</v>
      </c>
      <c r="C637" t="str">
        <f t="shared" si="9"/>
        <v>Geschäftskunde</v>
      </c>
      <c r="E637" s="1"/>
      <c r="F637">
        <v>1</v>
      </c>
      <c r="G637">
        <v>22</v>
      </c>
      <c r="H637" t="str">
        <f>VLOOKUP(G637,'Hilfetabelle Region'!$A$17:$B$19,2,)</f>
        <v>Geschäftskunde</v>
      </c>
    </row>
    <row r="638" spans="1:8" x14ac:dyDescent="0.35">
      <c r="A638">
        <v>637</v>
      </c>
      <c r="B638" t="str">
        <f>VLOOKUP(F638,'Hilfetabelle Region'!$A$2:$C$14,2,FALSE)</f>
        <v>Europa</v>
      </c>
      <c r="C638" t="str">
        <f t="shared" si="9"/>
        <v>Geschäftskunde</v>
      </c>
      <c r="E638" s="1"/>
      <c r="F638">
        <v>3</v>
      </c>
      <c r="G638">
        <v>22</v>
      </c>
      <c r="H638" t="str">
        <f>VLOOKUP(G638,'Hilfetabelle Region'!$A$17:$B$19,2,)</f>
        <v>Geschäftskunde</v>
      </c>
    </row>
    <row r="639" spans="1:8" x14ac:dyDescent="0.35">
      <c r="A639">
        <v>638</v>
      </c>
      <c r="B639" t="str">
        <f>VLOOKUP(F639,'Hilfetabelle Region'!$A$2:$C$14,2,FALSE)</f>
        <v>Nordamerika</v>
      </c>
      <c r="C639" t="str">
        <f t="shared" si="9"/>
        <v>Geschäftskunde</v>
      </c>
      <c r="E639" s="1"/>
      <c r="F639">
        <v>7</v>
      </c>
      <c r="G639">
        <v>22</v>
      </c>
      <c r="H639" t="str">
        <f>VLOOKUP(G639,'Hilfetabelle Region'!$A$17:$B$19,2,)</f>
        <v>Geschäftskunde</v>
      </c>
    </row>
    <row r="640" spans="1:8" x14ac:dyDescent="0.35">
      <c r="A640">
        <v>639</v>
      </c>
      <c r="B640" t="str">
        <f>VLOOKUP(F640,'Hilfetabelle Region'!$A$2:$C$14,2,FALSE)</f>
        <v>Asien</v>
      </c>
      <c r="C640" t="str">
        <f t="shared" si="9"/>
        <v>Geschäftskunde</v>
      </c>
      <c r="E640" s="1"/>
      <c r="F640">
        <v>13</v>
      </c>
      <c r="G640">
        <v>23</v>
      </c>
      <c r="H640" t="str">
        <f>VLOOKUP(G640,'Hilfetabelle Region'!$A$17:$B$19,2,)</f>
        <v>Privatkunde</v>
      </c>
    </row>
    <row r="641" spans="1:8" x14ac:dyDescent="0.35">
      <c r="A641">
        <v>640</v>
      </c>
      <c r="B641" t="str">
        <f>VLOOKUP(F641,'Hilfetabelle Region'!$A$2:$C$14,2,FALSE)</f>
        <v>Europa</v>
      </c>
      <c r="C641" t="str">
        <f t="shared" si="9"/>
        <v>Geschäftskunde</v>
      </c>
      <c r="E641" s="1"/>
      <c r="F641">
        <v>2</v>
      </c>
      <c r="G641">
        <v>22</v>
      </c>
      <c r="H641" t="str">
        <f>VLOOKUP(G641,'Hilfetabelle Region'!$A$17:$B$19,2,)</f>
        <v>Geschäftskunde</v>
      </c>
    </row>
    <row r="642" spans="1:8" x14ac:dyDescent="0.35">
      <c r="A642">
        <v>641</v>
      </c>
      <c r="B642" t="str">
        <f>VLOOKUP(F642,'Hilfetabelle Region'!$A$2:$C$14,2,FALSE)</f>
        <v>Nordamerika</v>
      </c>
      <c r="C642" t="str">
        <f t="shared" si="9"/>
        <v>Geschäftskunde</v>
      </c>
      <c r="E642" s="1"/>
      <c r="F642">
        <v>9</v>
      </c>
      <c r="G642">
        <v>21</v>
      </c>
      <c r="H642" t="str">
        <f>VLOOKUP(G642,'Hilfetabelle Region'!$A$17:$B$19,2,)</f>
        <v>Geschäftskunde</v>
      </c>
    </row>
    <row r="643" spans="1:8" x14ac:dyDescent="0.35">
      <c r="A643">
        <v>642</v>
      </c>
      <c r="B643" t="str">
        <f>VLOOKUP(F643,'Hilfetabelle Region'!$A$2:$C$14,2,FALSE)</f>
        <v>Europa</v>
      </c>
      <c r="C643" t="str">
        <f t="shared" ref="C643:C706" si="10">IF(B643="Europa",H643,"Geschäftskunde")</f>
        <v>Geschäftskunde</v>
      </c>
      <c r="E643" s="1"/>
      <c r="F643">
        <v>6</v>
      </c>
      <c r="G643">
        <v>21</v>
      </c>
      <c r="H643" t="str">
        <f>VLOOKUP(G643,'Hilfetabelle Region'!$A$17:$B$19,2,)</f>
        <v>Geschäftskunde</v>
      </c>
    </row>
    <row r="644" spans="1:8" x14ac:dyDescent="0.35">
      <c r="A644">
        <v>643</v>
      </c>
      <c r="B644" t="str">
        <f>VLOOKUP(F644,'Hilfetabelle Region'!$A$2:$C$14,2,FALSE)</f>
        <v>Europa</v>
      </c>
      <c r="C644" t="str">
        <f t="shared" si="10"/>
        <v>Privatkunde</v>
      </c>
      <c r="E644" s="1"/>
      <c r="F644">
        <v>6</v>
      </c>
      <c r="G644">
        <v>23</v>
      </c>
      <c r="H644" t="str">
        <f>VLOOKUP(G644,'Hilfetabelle Region'!$A$17:$B$19,2,)</f>
        <v>Privatkunde</v>
      </c>
    </row>
    <row r="645" spans="1:8" x14ac:dyDescent="0.35">
      <c r="A645">
        <v>644</v>
      </c>
      <c r="B645" t="str">
        <f>VLOOKUP(F645,'Hilfetabelle Region'!$A$2:$C$14,2,FALSE)</f>
        <v>Asien</v>
      </c>
      <c r="C645" t="str">
        <f t="shared" si="10"/>
        <v>Geschäftskunde</v>
      </c>
      <c r="E645" s="1"/>
      <c r="F645">
        <v>12</v>
      </c>
      <c r="G645">
        <v>23</v>
      </c>
      <c r="H645" t="str">
        <f>VLOOKUP(G645,'Hilfetabelle Region'!$A$17:$B$19,2,)</f>
        <v>Privatkunde</v>
      </c>
    </row>
    <row r="646" spans="1:8" x14ac:dyDescent="0.35">
      <c r="A646">
        <v>645</v>
      </c>
      <c r="B646" t="str">
        <f>VLOOKUP(F646,'Hilfetabelle Region'!$A$2:$C$14,2,FALSE)</f>
        <v>Afrika</v>
      </c>
      <c r="C646" t="str">
        <f t="shared" si="10"/>
        <v>Geschäftskunde</v>
      </c>
      <c r="E646" s="1"/>
      <c r="F646">
        <v>11</v>
      </c>
      <c r="G646">
        <v>21</v>
      </c>
      <c r="H646" t="str">
        <f>VLOOKUP(G646,'Hilfetabelle Region'!$A$17:$B$19,2,)</f>
        <v>Geschäftskunde</v>
      </c>
    </row>
    <row r="647" spans="1:8" x14ac:dyDescent="0.35">
      <c r="A647">
        <v>646</v>
      </c>
      <c r="B647" t="str">
        <f>VLOOKUP(F647,'Hilfetabelle Region'!$A$2:$C$14,2,FALSE)</f>
        <v>Asien</v>
      </c>
      <c r="C647" t="str">
        <f t="shared" si="10"/>
        <v>Geschäftskunde</v>
      </c>
      <c r="E647" s="1"/>
      <c r="F647">
        <v>13</v>
      </c>
      <c r="G647">
        <v>22</v>
      </c>
      <c r="H647" t="str">
        <f>VLOOKUP(G647,'Hilfetabelle Region'!$A$17:$B$19,2,)</f>
        <v>Geschäftskunde</v>
      </c>
    </row>
    <row r="648" spans="1:8" x14ac:dyDescent="0.35">
      <c r="A648">
        <v>647</v>
      </c>
      <c r="B648" t="str">
        <f>VLOOKUP(F648,'Hilfetabelle Region'!$A$2:$C$14,2,FALSE)</f>
        <v>Europa</v>
      </c>
      <c r="C648" t="str">
        <f t="shared" si="10"/>
        <v>Privatkunde</v>
      </c>
      <c r="E648" s="1"/>
      <c r="F648">
        <v>5</v>
      </c>
      <c r="G648">
        <v>23</v>
      </c>
      <c r="H648" t="str">
        <f>VLOOKUP(G648,'Hilfetabelle Region'!$A$17:$B$19,2,)</f>
        <v>Privatkunde</v>
      </c>
    </row>
    <row r="649" spans="1:8" x14ac:dyDescent="0.35">
      <c r="A649">
        <v>648</v>
      </c>
      <c r="B649" t="str">
        <f>VLOOKUP(F649,'Hilfetabelle Region'!$A$2:$C$14,2,FALSE)</f>
        <v>Lateinamerika</v>
      </c>
      <c r="C649" t="str">
        <f t="shared" si="10"/>
        <v>Geschäftskunde</v>
      </c>
      <c r="E649" s="1"/>
      <c r="F649">
        <v>10</v>
      </c>
      <c r="G649">
        <v>23</v>
      </c>
      <c r="H649" t="str">
        <f>VLOOKUP(G649,'Hilfetabelle Region'!$A$17:$B$19,2,)</f>
        <v>Privatkunde</v>
      </c>
    </row>
    <row r="650" spans="1:8" x14ac:dyDescent="0.35">
      <c r="A650">
        <v>649</v>
      </c>
      <c r="B650" t="str">
        <f>VLOOKUP(F650,'Hilfetabelle Region'!$A$2:$C$14,2,FALSE)</f>
        <v>Nordamerika</v>
      </c>
      <c r="C650" t="str">
        <f t="shared" si="10"/>
        <v>Geschäftskunde</v>
      </c>
      <c r="E650" s="1"/>
      <c r="F650">
        <v>9</v>
      </c>
      <c r="G650">
        <v>21</v>
      </c>
      <c r="H650" t="str">
        <f>VLOOKUP(G650,'Hilfetabelle Region'!$A$17:$B$19,2,)</f>
        <v>Geschäftskunde</v>
      </c>
    </row>
    <row r="651" spans="1:8" x14ac:dyDescent="0.35">
      <c r="A651">
        <v>650</v>
      </c>
      <c r="B651" t="str">
        <f>VLOOKUP(F651,'Hilfetabelle Region'!$A$2:$C$14,2,FALSE)</f>
        <v>Europa</v>
      </c>
      <c r="C651" t="str">
        <f t="shared" si="10"/>
        <v>Privatkunde</v>
      </c>
      <c r="E651" s="1"/>
      <c r="F651">
        <v>1</v>
      </c>
      <c r="G651">
        <v>23</v>
      </c>
      <c r="H651" t="str">
        <f>VLOOKUP(G651,'Hilfetabelle Region'!$A$17:$B$19,2,)</f>
        <v>Privatkunde</v>
      </c>
    </row>
    <row r="652" spans="1:8" x14ac:dyDescent="0.35">
      <c r="A652">
        <v>651</v>
      </c>
      <c r="B652" t="str">
        <f>VLOOKUP(F652,'Hilfetabelle Region'!$A$2:$C$14,2,FALSE)</f>
        <v>Afrika</v>
      </c>
      <c r="C652" t="str">
        <f t="shared" si="10"/>
        <v>Geschäftskunde</v>
      </c>
      <c r="E652" s="1"/>
      <c r="F652">
        <v>11</v>
      </c>
      <c r="G652">
        <v>23</v>
      </c>
      <c r="H652" t="str">
        <f>VLOOKUP(G652,'Hilfetabelle Region'!$A$17:$B$19,2,)</f>
        <v>Privatkunde</v>
      </c>
    </row>
    <row r="653" spans="1:8" x14ac:dyDescent="0.35">
      <c r="A653">
        <v>652</v>
      </c>
      <c r="B653" t="str">
        <f>VLOOKUP(F653,'Hilfetabelle Region'!$A$2:$C$14,2,FALSE)</f>
        <v>Lateinamerika</v>
      </c>
      <c r="C653" t="str">
        <f t="shared" si="10"/>
        <v>Geschäftskunde</v>
      </c>
      <c r="E653" s="1"/>
      <c r="F653">
        <v>10</v>
      </c>
      <c r="G653">
        <v>23</v>
      </c>
      <c r="H653" t="str">
        <f>VLOOKUP(G653,'Hilfetabelle Region'!$A$17:$B$19,2,)</f>
        <v>Privatkunde</v>
      </c>
    </row>
    <row r="654" spans="1:8" x14ac:dyDescent="0.35">
      <c r="A654">
        <v>653</v>
      </c>
      <c r="B654" t="str">
        <f>VLOOKUP(F654,'Hilfetabelle Region'!$A$2:$C$14,2,FALSE)</f>
        <v>Nordamerika</v>
      </c>
      <c r="C654" t="str">
        <f t="shared" si="10"/>
        <v>Geschäftskunde</v>
      </c>
      <c r="E654" s="1"/>
      <c r="F654">
        <v>7</v>
      </c>
      <c r="G654">
        <v>21</v>
      </c>
      <c r="H654" t="str">
        <f>VLOOKUP(G654,'Hilfetabelle Region'!$A$17:$B$19,2,)</f>
        <v>Geschäftskunde</v>
      </c>
    </row>
    <row r="655" spans="1:8" x14ac:dyDescent="0.35">
      <c r="A655">
        <v>654</v>
      </c>
      <c r="B655" t="str">
        <f>VLOOKUP(F655,'Hilfetabelle Region'!$A$2:$C$14,2,FALSE)</f>
        <v>Europa</v>
      </c>
      <c r="C655" t="str">
        <f t="shared" si="10"/>
        <v>Geschäftskunde</v>
      </c>
      <c r="E655" s="1"/>
      <c r="F655">
        <v>6</v>
      </c>
      <c r="G655">
        <v>22</v>
      </c>
      <c r="H655" t="str">
        <f>VLOOKUP(G655,'Hilfetabelle Region'!$A$17:$B$19,2,)</f>
        <v>Geschäftskunde</v>
      </c>
    </row>
    <row r="656" spans="1:8" x14ac:dyDescent="0.35">
      <c r="A656">
        <v>655</v>
      </c>
      <c r="B656" t="str">
        <f>VLOOKUP(F656,'Hilfetabelle Region'!$A$2:$C$14,2,FALSE)</f>
        <v>Afrika</v>
      </c>
      <c r="C656" t="str">
        <f t="shared" si="10"/>
        <v>Geschäftskunde</v>
      </c>
      <c r="E656" s="1"/>
      <c r="F656">
        <v>11</v>
      </c>
      <c r="G656">
        <v>22</v>
      </c>
      <c r="H656" t="str">
        <f>VLOOKUP(G656,'Hilfetabelle Region'!$A$17:$B$19,2,)</f>
        <v>Geschäftskunde</v>
      </c>
    </row>
    <row r="657" spans="1:8" x14ac:dyDescent="0.35">
      <c r="A657">
        <v>656</v>
      </c>
      <c r="B657" t="str">
        <f>VLOOKUP(F657,'Hilfetabelle Region'!$A$2:$C$14,2,FALSE)</f>
        <v>Europa</v>
      </c>
      <c r="C657" t="str">
        <f t="shared" si="10"/>
        <v>Geschäftskunde</v>
      </c>
      <c r="E657" s="1"/>
      <c r="F657">
        <v>6</v>
      </c>
      <c r="G657">
        <v>22</v>
      </c>
      <c r="H657" t="str">
        <f>VLOOKUP(G657,'Hilfetabelle Region'!$A$17:$B$19,2,)</f>
        <v>Geschäftskunde</v>
      </c>
    </row>
    <row r="658" spans="1:8" x14ac:dyDescent="0.35">
      <c r="A658">
        <v>657</v>
      </c>
      <c r="B658" t="str">
        <f>VLOOKUP(F658,'Hilfetabelle Region'!$A$2:$C$14,2,FALSE)</f>
        <v>Afrika</v>
      </c>
      <c r="C658" t="str">
        <f t="shared" si="10"/>
        <v>Geschäftskunde</v>
      </c>
      <c r="E658" s="1"/>
      <c r="F658">
        <v>11</v>
      </c>
      <c r="G658">
        <v>22</v>
      </c>
      <c r="H658" t="str">
        <f>VLOOKUP(G658,'Hilfetabelle Region'!$A$17:$B$19,2,)</f>
        <v>Geschäftskunde</v>
      </c>
    </row>
    <row r="659" spans="1:8" x14ac:dyDescent="0.35">
      <c r="A659">
        <v>658</v>
      </c>
      <c r="B659" t="str">
        <f>VLOOKUP(F659,'Hilfetabelle Region'!$A$2:$C$14,2,FALSE)</f>
        <v>Afrika</v>
      </c>
      <c r="C659" t="str">
        <f t="shared" si="10"/>
        <v>Geschäftskunde</v>
      </c>
      <c r="E659" s="1"/>
      <c r="F659">
        <v>11</v>
      </c>
      <c r="G659">
        <v>23</v>
      </c>
      <c r="H659" t="str">
        <f>VLOOKUP(G659,'Hilfetabelle Region'!$A$17:$B$19,2,)</f>
        <v>Privatkunde</v>
      </c>
    </row>
    <row r="660" spans="1:8" x14ac:dyDescent="0.35">
      <c r="A660">
        <v>659</v>
      </c>
      <c r="B660" t="str">
        <f>VLOOKUP(F660,'Hilfetabelle Region'!$A$2:$C$14,2,FALSE)</f>
        <v>Europa</v>
      </c>
      <c r="C660" t="str">
        <f t="shared" si="10"/>
        <v>Privatkunde</v>
      </c>
      <c r="E660" s="1"/>
      <c r="F660">
        <v>4</v>
      </c>
      <c r="G660">
        <v>23</v>
      </c>
      <c r="H660" t="str">
        <f>VLOOKUP(G660,'Hilfetabelle Region'!$A$17:$B$19,2,)</f>
        <v>Privatkunde</v>
      </c>
    </row>
    <row r="661" spans="1:8" x14ac:dyDescent="0.35">
      <c r="A661">
        <v>660</v>
      </c>
      <c r="B661" t="str">
        <f>VLOOKUP(F661,'Hilfetabelle Region'!$A$2:$C$14,2,FALSE)</f>
        <v>Europa</v>
      </c>
      <c r="C661" t="str">
        <f t="shared" si="10"/>
        <v>Geschäftskunde</v>
      </c>
      <c r="E661" s="1"/>
      <c r="F661">
        <v>6</v>
      </c>
      <c r="G661">
        <v>21</v>
      </c>
      <c r="H661" t="str">
        <f>VLOOKUP(G661,'Hilfetabelle Region'!$A$17:$B$19,2,)</f>
        <v>Geschäftskunde</v>
      </c>
    </row>
    <row r="662" spans="1:8" x14ac:dyDescent="0.35">
      <c r="A662">
        <v>661</v>
      </c>
      <c r="B662" t="str">
        <f>VLOOKUP(F662,'Hilfetabelle Region'!$A$2:$C$14,2,FALSE)</f>
        <v>Nordamerika</v>
      </c>
      <c r="C662" t="str">
        <f t="shared" si="10"/>
        <v>Geschäftskunde</v>
      </c>
      <c r="E662" s="1"/>
      <c r="F662">
        <v>9</v>
      </c>
      <c r="G662">
        <v>22</v>
      </c>
      <c r="H662" t="str">
        <f>VLOOKUP(G662,'Hilfetabelle Region'!$A$17:$B$19,2,)</f>
        <v>Geschäftskunde</v>
      </c>
    </row>
    <row r="663" spans="1:8" x14ac:dyDescent="0.35">
      <c r="A663">
        <v>662</v>
      </c>
      <c r="B663" t="str">
        <f>VLOOKUP(F663,'Hilfetabelle Region'!$A$2:$C$14,2,FALSE)</f>
        <v>Afrika</v>
      </c>
      <c r="C663" t="str">
        <f t="shared" si="10"/>
        <v>Geschäftskunde</v>
      </c>
      <c r="E663" s="1"/>
      <c r="F663">
        <v>11</v>
      </c>
      <c r="G663">
        <v>22</v>
      </c>
      <c r="H663" t="str">
        <f>VLOOKUP(G663,'Hilfetabelle Region'!$A$17:$B$19,2,)</f>
        <v>Geschäftskunde</v>
      </c>
    </row>
    <row r="664" spans="1:8" x14ac:dyDescent="0.35">
      <c r="A664">
        <v>663</v>
      </c>
      <c r="B664" t="str">
        <f>VLOOKUP(F664,'Hilfetabelle Region'!$A$2:$C$14,2,FALSE)</f>
        <v>Europa</v>
      </c>
      <c r="C664" t="str">
        <f t="shared" si="10"/>
        <v>Privatkunde</v>
      </c>
      <c r="E664" s="1"/>
      <c r="F664">
        <v>2</v>
      </c>
      <c r="G664">
        <v>23</v>
      </c>
      <c r="H664" t="str">
        <f>VLOOKUP(G664,'Hilfetabelle Region'!$A$17:$B$19,2,)</f>
        <v>Privatkunde</v>
      </c>
    </row>
    <row r="665" spans="1:8" x14ac:dyDescent="0.35">
      <c r="A665">
        <v>664</v>
      </c>
      <c r="B665" t="str">
        <f>VLOOKUP(F665,'Hilfetabelle Region'!$A$2:$C$14,2,FALSE)</f>
        <v>Asien</v>
      </c>
      <c r="C665" t="str">
        <f t="shared" si="10"/>
        <v>Geschäftskunde</v>
      </c>
      <c r="E665" s="1"/>
      <c r="F665">
        <v>13</v>
      </c>
      <c r="G665">
        <v>23</v>
      </c>
      <c r="H665" t="str">
        <f>VLOOKUP(G665,'Hilfetabelle Region'!$A$17:$B$19,2,)</f>
        <v>Privatkunde</v>
      </c>
    </row>
    <row r="666" spans="1:8" x14ac:dyDescent="0.35">
      <c r="A666">
        <v>665</v>
      </c>
      <c r="B666" t="str">
        <f>VLOOKUP(F666,'Hilfetabelle Region'!$A$2:$C$14,2,FALSE)</f>
        <v>Lateinamerika</v>
      </c>
      <c r="C666" t="str">
        <f t="shared" si="10"/>
        <v>Geschäftskunde</v>
      </c>
      <c r="E666" s="1"/>
      <c r="F666">
        <v>10</v>
      </c>
      <c r="G666">
        <v>21</v>
      </c>
      <c r="H666" t="str">
        <f>VLOOKUP(G666,'Hilfetabelle Region'!$A$17:$B$19,2,)</f>
        <v>Geschäftskunde</v>
      </c>
    </row>
    <row r="667" spans="1:8" x14ac:dyDescent="0.35">
      <c r="A667">
        <v>666</v>
      </c>
      <c r="B667" t="str">
        <f>VLOOKUP(F667,'Hilfetabelle Region'!$A$2:$C$14,2,FALSE)</f>
        <v>Nordamerika</v>
      </c>
      <c r="C667" t="str">
        <f t="shared" si="10"/>
        <v>Geschäftskunde</v>
      </c>
      <c r="E667" s="1"/>
      <c r="F667">
        <v>9</v>
      </c>
      <c r="G667">
        <v>21</v>
      </c>
      <c r="H667" t="str">
        <f>VLOOKUP(G667,'Hilfetabelle Region'!$A$17:$B$19,2,)</f>
        <v>Geschäftskunde</v>
      </c>
    </row>
    <row r="668" spans="1:8" x14ac:dyDescent="0.35">
      <c r="A668">
        <v>667</v>
      </c>
      <c r="B668" t="str">
        <f>VLOOKUP(F668,'Hilfetabelle Region'!$A$2:$C$14,2,FALSE)</f>
        <v>Europa</v>
      </c>
      <c r="C668" t="str">
        <f t="shared" si="10"/>
        <v>Geschäftskunde</v>
      </c>
      <c r="E668" s="1"/>
      <c r="F668">
        <v>1</v>
      </c>
      <c r="G668">
        <v>21</v>
      </c>
      <c r="H668" t="str">
        <f>VLOOKUP(G668,'Hilfetabelle Region'!$A$17:$B$19,2,)</f>
        <v>Geschäftskunde</v>
      </c>
    </row>
    <row r="669" spans="1:8" x14ac:dyDescent="0.35">
      <c r="A669">
        <v>668</v>
      </c>
      <c r="B669" t="str">
        <f>VLOOKUP(F669,'Hilfetabelle Region'!$A$2:$C$14,2,FALSE)</f>
        <v>Lateinamerika</v>
      </c>
      <c r="C669" t="str">
        <f t="shared" si="10"/>
        <v>Geschäftskunde</v>
      </c>
      <c r="E669" s="1"/>
      <c r="F669">
        <v>10</v>
      </c>
      <c r="G669">
        <v>22</v>
      </c>
      <c r="H669" t="str">
        <f>VLOOKUP(G669,'Hilfetabelle Region'!$A$17:$B$19,2,)</f>
        <v>Geschäftskunde</v>
      </c>
    </row>
    <row r="670" spans="1:8" x14ac:dyDescent="0.35">
      <c r="A670">
        <v>669</v>
      </c>
      <c r="B670" t="str">
        <f>VLOOKUP(F670,'Hilfetabelle Region'!$A$2:$C$14,2,FALSE)</f>
        <v>Asien</v>
      </c>
      <c r="C670" t="str">
        <f t="shared" si="10"/>
        <v>Geschäftskunde</v>
      </c>
      <c r="E670" s="1"/>
      <c r="F670">
        <v>13</v>
      </c>
      <c r="G670">
        <v>22</v>
      </c>
      <c r="H670" t="str">
        <f>VLOOKUP(G670,'Hilfetabelle Region'!$A$17:$B$19,2,)</f>
        <v>Geschäftskunde</v>
      </c>
    </row>
    <row r="671" spans="1:8" x14ac:dyDescent="0.35">
      <c r="A671">
        <v>670</v>
      </c>
      <c r="B671" t="str">
        <f>VLOOKUP(F671,'Hilfetabelle Region'!$A$2:$C$14,2,FALSE)</f>
        <v>Asien</v>
      </c>
      <c r="C671" t="str">
        <f t="shared" si="10"/>
        <v>Geschäftskunde</v>
      </c>
      <c r="E671" s="1"/>
      <c r="F671">
        <v>12</v>
      </c>
      <c r="G671">
        <v>23</v>
      </c>
      <c r="H671" t="str">
        <f>VLOOKUP(G671,'Hilfetabelle Region'!$A$17:$B$19,2,)</f>
        <v>Privatkunde</v>
      </c>
    </row>
    <row r="672" spans="1:8" x14ac:dyDescent="0.35">
      <c r="A672">
        <v>671</v>
      </c>
      <c r="B672" t="str">
        <f>VLOOKUP(F672,'Hilfetabelle Region'!$A$2:$C$14,2,FALSE)</f>
        <v>Nordamerika</v>
      </c>
      <c r="C672" t="str">
        <f t="shared" si="10"/>
        <v>Geschäftskunde</v>
      </c>
      <c r="E672" s="1"/>
      <c r="F672">
        <v>8</v>
      </c>
      <c r="G672">
        <v>23</v>
      </c>
      <c r="H672" t="str">
        <f>VLOOKUP(G672,'Hilfetabelle Region'!$A$17:$B$19,2,)</f>
        <v>Privatkunde</v>
      </c>
    </row>
    <row r="673" spans="1:8" x14ac:dyDescent="0.35">
      <c r="A673">
        <v>672</v>
      </c>
      <c r="B673" t="str">
        <f>VLOOKUP(F673,'Hilfetabelle Region'!$A$2:$C$14,2,FALSE)</f>
        <v>Asien</v>
      </c>
      <c r="C673" t="str">
        <f t="shared" si="10"/>
        <v>Geschäftskunde</v>
      </c>
      <c r="E673" s="1"/>
      <c r="F673">
        <v>12</v>
      </c>
      <c r="G673">
        <v>22</v>
      </c>
      <c r="H673" t="str">
        <f>VLOOKUP(G673,'Hilfetabelle Region'!$A$17:$B$19,2,)</f>
        <v>Geschäftskunde</v>
      </c>
    </row>
    <row r="674" spans="1:8" x14ac:dyDescent="0.35">
      <c r="A674">
        <v>673</v>
      </c>
      <c r="B674" t="str">
        <f>VLOOKUP(F674,'Hilfetabelle Region'!$A$2:$C$14,2,FALSE)</f>
        <v>Lateinamerika</v>
      </c>
      <c r="C674" t="str">
        <f t="shared" si="10"/>
        <v>Geschäftskunde</v>
      </c>
      <c r="E674" s="1"/>
      <c r="F674">
        <v>10</v>
      </c>
      <c r="G674">
        <v>22</v>
      </c>
      <c r="H674" t="str">
        <f>VLOOKUP(G674,'Hilfetabelle Region'!$A$17:$B$19,2,)</f>
        <v>Geschäftskunde</v>
      </c>
    </row>
    <row r="675" spans="1:8" x14ac:dyDescent="0.35">
      <c r="A675">
        <v>674</v>
      </c>
      <c r="B675" t="str">
        <f>VLOOKUP(F675,'Hilfetabelle Region'!$A$2:$C$14,2,FALSE)</f>
        <v>Europa</v>
      </c>
      <c r="C675" t="str">
        <f t="shared" si="10"/>
        <v>Privatkunde</v>
      </c>
      <c r="E675" s="1"/>
      <c r="F675">
        <v>6</v>
      </c>
      <c r="G675">
        <v>23</v>
      </c>
      <c r="H675" t="str">
        <f>VLOOKUP(G675,'Hilfetabelle Region'!$A$17:$B$19,2,)</f>
        <v>Privatkunde</v>
      </c>
    </row>
    <row r="676" spans="1:8" x14ac:dyDescent="0.35">
      <c r="A676">
        <v>675</v>
      </c>
      <c r="B676" t="str">
        <f>VLOOKUP(F676,'Hilfetabelle Region'!$A$2:$C$14,2,FALSE)</f>
        <v>Afrika</v>
      </c>
      <c r="C676" t="str">
        <f t="shared" si="10"/>
        <v>Geschäftskunde</v>
      </c>
      <c r="E676" s="1"/>
      <c r="F676">
        <v>11</v>
      </c>
      <c r="G676">
        <v>21</v>
      </c>
      <c r="H676" t="str">
        <f>VLOOKUP(G676,'Hilfetabelle Region'!$A$17:$B$19,2,)</f>
        <v>Geschäftskunde</v>
      </c>
    </row>
    <row r="677" spans="1:8" x14ac:dyDescent="0.35">
      <c r="A677">
        <v>676</v>
      </c>
      <c r="B677" t="str">
        <f>VLOOKUP(F677,'Hilfetabelle Region'!$A$2:$C$14,2,FALSE)</f>
        <v>Europa</v>
      </c>
      <c r="C677" t="str">
        <f t="shared" si="10"/>
        <v>Privatkunde</v>
      </c>
      <c r="E677" s="1"/>
      <c r="F677">
        <v>3</v>
      </c>
      <c r="G677">
        <v>23</v>
      </c>
      <c r="H677" t="str">
        <f>VLOOKUP(G677,'Hilfetabelle Region'!$A$17:$B$19,2,)</f>
        <v>Privatkunde</v>
      </c>
    </row>
    <row r="678" spans="1:8" x14ac:dyDescent="0.35">
      <c r="A678">
        <v>677</v>
      </c>
      <c r="B678" t="str">
        <f>VLOOKUP(F678,'Hilfetabelle Region'!$A$2:$C$14,2,FALSE)</f>
        <v>Europa</v>
      </c>
      <c r="C678" t="str">
        <f t="shared" si="10"/>
        <v>Geschäftskunde</v>
      </c>
      <c r="E678" s="1"/>
      <c r="F678">
        <v>3</v>
      </c>
      <c r="G678">
        <v>21</v>
      </c>
      <c r="H678" t="str">
        <f>VLOOKUP(G678,'Hilfetabelle Region'!$A$17:$B$19,2,)</f>
        <v>Geschäftskunde</v>
      </c>
    </row>
    <row r="679" spans="1:8" x14ac:dyDescent="0.35">
      <c r="A679">
        <v>678</v>
      </c>
      <c r="B679" t="str">
        <f>VLOOKUP(F679,'Hilfetabelle Region'!$A$2:$C$14,2,FALSE)</f>
        <v>Nordamerika</v>
      </c>
      <c r="C679" t="str">
        <f t="shared" si="10"/>
        <v>Geschäftskunde</v>
      </c>
      <c r="E679" s="1"/>
      <c r="F679">
        <v>7</v>
      </c>
      <c r="G679">
        <v>23</v>
      </c>
      <c r="H679" t="str">
        <f>VLOOKUP(G679,'Hilfetabelle Region'!$A$17:$B$19,2,)</f>
        <v>Privatkunde</v>
      </c>
    </row>
    <row r="680" spans="1:8" x14ac:dyDescent="0.35">
      <c r="A680">
        <v>679</v>
      </c>
      <c r="B680" t="str">
        <f>VLOOKUP(F680,'Hilfetabelle Region'!$A$2:$C$14,2,FALSE)</f>
        <v>Nordamerika</v>
      </c>
      <c r="C680" t="str">
        <f t="shared" si="10"/>
        <v>Geschäftskunde</v>
      </c>
      <c r="E680" s="1"/>
      <c r="F680">
        <v>8</v>
      </c>
      <c r="G680">
        <v>22</v>
      </c>
      <c r="H680" t="str">
        <f>VLOOKUP(G680,'Hilfetabelle Region'!$A$17:$B$19,2,)</f>
        <v>Geschäftskunde</v>
      </c>
    </row>
    <row r="681" spans="1:8" x14ac:dyDescent="0.35">
      <c r="A681">
        <v>680</v>
      </c>
      <c r="B681" t="str">
        <f>VLOOKUP(F681,'Hilfetabelle Region'!$A$2:$C$14,2,FALSE)</f>
        <v>Lateinamerika</v>
      </c>
      <c r="C681" t="str">
        <f t="shared" si="10"/>
        <v>Geschäftskunde</v>
      </c>
      <c r="E681" s="1"/>
      <c r="F681">
        <v>10</v>
      </c>
      <c r="G681">
        <v>22</v>
      </c>
      <c r="H681" t="str">
        <f>VLOOKUP(G681,'Hilfetabelle Region'!$A$17:$B$19,2,)</f>
        <v>Geschäftskunde</v>
      </c>
    </row>
    <row r="682" spans="1:8" x14ac:dyDescent="0.35">
      <c r="A682">
        <v>681</v>
      </c>
      <c r="B682" t="str">
        <f>VLOOKUP(F682,'Hilfetabelle Region'!$A$2:$C$14,2,FALSE)</f>
        <v>Europa</v>
      </c>
      <c r="C682" t="str">
        <f t="shared" si="10"/>
        <v>Geschäftskunde</v>
      </c>
      <c r="E682" s="1"/>
      <c r="F682">
        <v>2</v>
      </c>
      <c r="G682">
        <v>22</v>
      </c>
      <c r="H682" t="str">
        <f>VLOOKUP(G682,'Hilfetabelle Region'!$A$17:$B$19,2,)</f>
        <v>Geschäftskunde</v>
      </c>
    </row>
    <row r="683" spans="1:8" x14ac:dyDescent="0.35">
      <c r="A683">
        <v>682</v>
      </c>
      <c r="B683" t="str">
        <f>VLOOKUP(F683,'Hilfetabelle Region'!$A$2:$C$14,2,FALSE)</f>
        <v>Europa</v>
      </c>
      <c r="C683" t="str">
        <f t="shared" si="10"/>
        <v>Privatkunde</v>
      </c>
      <c r="E683" s="1"/>
      <c r="F683">
        <v>1</v>
      </c>
      <c r="G683">
        <v>23</v>
      </c>
      <c r="H683" t="str">
        <f>VLOOKUP(G683,'Hilfetabelle Region'!$A$17:$B$19,2,)</f>
        <v>Privatkunde</v>
      </c>
    </row>
    <row r="684" spans="1:8" x14ac:dyDescent="0.35">
      <c r="A684">
        <v>683</v>
      </c>
      <c r="B684" t="str">
        <f>VLOOKUP(F684,'Hilfetabelle Region'!$A$2:$C$14,2,FALSE)</f>
        <v>Europa</v>
      </c>
      <c r="C684" t="str">
        <f t="shared" si="10"/>
        <v>Geschäftskunde</v>
      </c>
      <c r="E684" s="1"/>
      <c r="F684">
        <v>6</v>
      </c>
      <c r="G684">
        <v>21</v>
      </c>
      <c r="H684" t="str">
        <f>VLOOKUP(G684,'Hilfetabelle Region'!$A$17:$B$19,2,)</f>
        <v>Geschäftskunde</v>
      </c>
    </row>
    <row r="685" spans="1:8" x14ac:dyDescent="0.35">
      <c r="A685">
        <v>684</v>
      </c>
      <c r="B685" t="str">
        <f>VLOOKUP(F685,'Hilfetabelle Region'!$A$2:$C$14,2,FALSE)</f>
        <v>Europa</v>
      </c>
      <c r="C685" t="str">
        <f t="shared" si="10"/>
        <v>Geschäftskunde</v>
      </c>
      <c r="E685" s="1"/>
      <c r="F685">
        <v>5</v>
      </c>
      <c r="G685">
        <v>21</v>
      </c>
      <c r="H685" t="str">
        <f>VLOOKUP(G685,'Hilfetabelle Region'!$A$17:$B$19,2,)</f>
        <v>Geschäftskunde</v>
      </c>
    </row>
    <row r="686" spans="1:8" x14ac:dyDescent="0.35">
      <c r="A686">
        <v>685</v>
      </c>
      <c r="B686" t="str">
        <f>VLOOKUP(F686,'Hilfetabelle Region'!$A$2:$C$14,2,FALSE)</f>
        <v>Europa</v>
      </c>
      <c r="C686" t="str">
        <f t="shared" si="10"/>
        <v>Privatkunde</v>
      </c>
      <c r="E686" s="1"/>
      <c r="F686">
        <v>1</v>
      </c>
      <c r="G686">
        <v>23</v>
      </c>
      <c r="H686" t="str">
        <f>VLOOKUP(G686,'Hilfetabelle Region'!$A$17:$B$19,2,)</f>
        <v>Privatkunde</v>
      </c>
    </row>
    <row r="687" spans="1:8" x14ac:dyDescent="0.35">
      <c r="A687">
        <v>686</v>
      </c>
      <c r="B687" t="str">
        <f>VLOOKUP(F687,'Hilfetabelle Region'!$A$2:$C$14,2,FALSE)</f>
        <v>Europa</v>
      </c>
      <c r="C687" t="str">
        <f t="shared" si="10"/>
        <v>Geschäftskunde</v>
      </c>
      <c r="E687" s="1"/>
      <c r="F687">
        <v>4</v>
      </c>
      <c r="G687">
        <v>21</v>
      </c>
      <c r="H687" t="str">
        <f>VLOOKUP(G687,'Hilfetabelle Region'!$A$17:$B$19,2,)</f>
        <v>Geschäftskunde</v>
      </c>
    </row>
    <row r="688" spans="1:8" x14ac:dyDescent="0.35">
      <c r="A688">
        <v>687</v>
      </c>
      <c r="B688" t="str">
        <f>VLOOKUP(F688,'Hilfetabelle Region'!$A$2:$C$14,2,FALSE)</f>
        <v>Europa</v>
      </c>
      <c r="C688" t="str">
        <f t="shared" si="10"/>
        <v>Geschäftskunde</v>
      </c>
      <c r="E688" s="1"/>
      <c r="F688">
        <v>3</v>
      </c>
      <c r="G688">
        <v>22</v>
      </c>
      <c r="H688" t="str">
        <f>VLOOKUP(G688,'Hilfetabelle Region'!$A$17:$B$19,2,)</f>
        <v>Geschäftskunde</v>
      </c>
    </row>
    <row r="689" spans="1:8" x14ac:dyDescent="0.35">
      <c r="A689">
        <v>688</v>
      </c>
      <c r="B689" t="str">
        <f>VLOOKUP(F689,'Hilfetabelle Region'!$A$2:$C$14,2,FALSE)</f>
        <v>Afrika</v>
      </c>
      <c r="C689" t="str">
        <f t="shared" si="10"/>
        <v>Geschäftskunde</v>
      </c>
      <c r="E689" s="1"/>
      <c r="F689">
        <v>11</v>
      </c>
      <c r="G689">
        <v>21</v>
      </c>
      <c r="H689" t="str">
        <f>VLOOKUP(G689,'Hilfetabelle Region'!$A$17:$B$19,2,)</f>
        <v>Geschäftskunde</v>
      </c>
    </row>
    <row r="690" spans="1:8" x14ac:dyDescent="0.35">
      <c r="A690">
        <v>689</v>
      </c>
      <c r="B690" t="str">
        <f>VLOOKUP(F690,'Hilfetabelle Region'!$A$2:$C$14,2,FALSE)</f>
        <v>Afrika</v>
      </c>
      <c r="C690" t="str">
        <f t="shared" si="10"/>
        <v>Geschäftskunde</v>
      </c>
      <c r="E690" s="1"/>
      <c r="F690">
        <v>11</v>
      </c>
      <c r="G690">
        <v>21</v>
      </c>
      <c r="H690" t="str">
        <f>VLOOKUP(G690,'Hilfetabelle Region'!$A$17:$B$19,2,)</f>
        <v>Geschäftskunde</v>
      </c>
    </row>
    <row r="691" spans="1:8" x14ac:dyDescent="0.35">
      <c r="A691">
        <v>690</v>
      </c>
      <c r="B691" t="str">
        <f>VLOOKUP(F691,'Hilfetabelle Region'!$A$2:$C$14,2,FALSE)</f>
        <v>Afrika</v>
      </c>
      <c r="C691" t="str">
        <f t="shared" si="10"/>
        <v>Geschäftskunde</v>
      </c>
      <c r="E691" s="1"/>
      <c r="F691">
        <v>11</v>
      </c>
      <c r="G691">
        <v>22</v>
      </c>
      <c r="H691" t="str">
        <f>VLOOKUP(G691,'Hilfetabelle Region'!$A$17:$B$19,2,)</f>
        <v>Geschäftskunde</v>
      </c>
    </row>
    <row r="692" spans="1:8" x14ac:dyDescent="0.35">
      <c r="A692">
        <v>691</v>
      </c>
      <c r="B692" t="str">
        <f>VLOOKUP(F692,'Hilfetabelle Region'!$A$2:$C$14,2,FALSE)</f>
        <v>Afrika</v>
      </c>
      <c r="C692" t="str">
        <f t="shared" si="10"/>
        <v>Geschäftskunde</v>
      </c>
      <c r="E692" s="1"/>
      <c r="F692">
        <v>11</v>
      </c>
      <c r="G692">
        <v>23</v>
      </c>
      <c r="H692" t="str">
        <f>VLOOKUP(G692,'Hilfetabelle Region'!$A$17:$B$19,2,)</f>
        <v>Privatkunde</v>
      </c>
    </row>
    <row r="693" spans="1:8" x14ac:dyDescent="0.35">
      <c r="A693">
        <v>692</v>
      </c>
      <c r="B693" t="str">
        <f>VLOOKUP(F693,'Hilfetabelle Region'!$A$2:$C$14,2,FALSE)</f>
        <v>Europa</v>
      </c>
      <c r="C693" t="str">
        <f t="shared" si="10"/>
        <v>Geschäftskunde</v>
      </c>
      <c r="E693" s="1"/>
      <c r="F693">
        <v>2</v>
      </c>
      <c r="G693">
        <v>21</v>
      </c>
      <c r="H693" t="str">
        <f>VLOOKUP(G693,'Hilfetabelle Region'!$A$17:$B$19,2,)</f>
        <v>Geschäftskunde</v>
      </c>
    </row>
    <row r="694" spans="1:8" x14ac:dyDescent="0.35">
      <c r="A694">
        <v>693</v>
      </c>
      <c r="B694" t="str">
        <f>VLOOKUP(F694,'Hilfetabelle Region'!$A$2:$C$14,2,FALSE)</f>
        <v>Europa</v>
      </c>
      <c r="C694" t="str">
        <f t="shared" si="10"/>
        <v>Privatkunde</v>
      </c>
      <c r="E694" s="1"/>
      <c r="F694">
        <v>4</v>
      </c>
      <c r="G694">
        <v>23</v>
      </c>
      <c r="H694" t="str">
        <f>VLOOKUP(G694,'Hilfetabelle Region'!$A$17:$B$19,2,)</f>
        <v>Privatkunde</v>
      </c>
    </row>
    <row r="695" spans="1:8" x14ac:dyDescent="0.35">
      <c r="A695">
        <v>694</v>
      </c>
      <c r="B695" t="str">
        <f>VLOOKUP(F695,'Hilfetabelle Region'!$A$2:$C$14,2,FALSE)</f>
        <v>Lateinamerika</v>
      </c>
      <c r="C695" t="str">
        <f t="shared" si="10"/>
        <v>Geschäftskunde</v>
      </c>
      <c r="E695" s="1"/>
      <c r="F695">
        <v>10</v>
      </c>
      <c r="G695">
        <v>23</v>
      </c>
      <c r="H695" t="str">
        <f>VLOOKUP(G695,'Hilfetabelle Region'!$A$17:$B$19,2,)</f>
        <v>Privatkunde</v>
      </c>
    </row>
    <row r="696" spans="1:8" x14ac:dyDescent="0.35">
      <c r="A696">
        <v>695</v>
      </c>
      <c r="B696" t="str">
        <f>VLOOKUP(F696,'Hilfetabelle Region'!$A$2:$C$14,2,FALSE)</f>
        <v>Asien</v>
      </c>
      <c r="C696" t="str">
        <f t="shared" si="10"/>
        <v>Geschäftskunde</v>
      </c>
      <c r="E696" s="1"/>
      <c r="F696">
        <v>12</v>
      </c>
      <c r="G696">
        <v>21</v>
      </c>
      <c r="H696" t="str">
        <f>VLOOKUP(G696,'Hilfetabelle Region'!$A$17:$B$19,2,)</f>
        <v>Geschäftskunde</v>
      </c>
    </row>
    <row r="697" spans="1:8" x14ac:dyDescent="0.35">
      <c r="A697">
        <v>696</v>
      </c>
      <c r="B697" t="str">
        <f>VLOOKUP(F697,'Hilfetabelle Region'!$A$2:$C$14,2,FALSE)</f>
        <v>Europa</v>
      </c>
      <c r="C697" t="str">
        <f t="shared" si="10"/>
        <v>Geschäftskunde</v>
      </c>
      <c r="E697" s="1"/>
      <c r="F697">
        <v>5</v>
      </c>
      <c r="G697">
        <v>22</v>
      </c>
      <c r="H697" t="str">
        <f>VLOOKUP(G697,'Hilfetabelle Region'!$A$17:$B$19,2,)</f>
        <v>Geschäftskunde</v>
      </c>
    </row>
    <row r="698" spans="1:8" x14ac:dyDescent="0.35">
      <c r="A698">
        <v>697</v>
      </c>
      <c r="B698" t="str">
        <f>VLOOKUP(F698,'Hilfetabelle Region'!$A$2:$C$14,2,FALSE)</f>
        <v>Nordamerika</v>
      </c>
      <c r="C698" t="str">
        <f t="shared" si="10"/>
        <v>Geschäftskunde</v>
      </c>
      <c r="E698" s="1"/>
      <c r="F698">
        <v>7</v>
      </c>
      <c r="G698">
        <v>23</v>
      </c>
      <c r="H698" t="str">
        <f>VLOOKUP(G698,'Hilfetabelle Region'!$A$17:$B$19,2,)</f>
        <v>Privatkunde</v>
      </c>
    </row>
    <row r="699" spans="1:8" x14ac:dyDescent="0.35">
      <c r="A699">
        <v>698</v>
      </c>
      <c r="B699" t="str">
        <f>VLOOKUP(F699,'Hilfetabelle Region'!$A$2:$C$14,2,FALSE)</f>
        <v>Afrika</v>
      </c>
      <c r="C699" t="str">
        <f t="shared" si="10"/>
        <v>Geschäftskunde</v>
      </c>
      <c r="E699" s="1"/>
      <c r="F699">
        <v>11</v>
      </c>
      <c r="G699">
        <v>22</v>
      </c>
      <c r="H699" t="str">
        <f>VLOOKUP(G699,'Hilfetabelle Region'!$A$17:$B$19,2,)</f>
        <v>Geschäftskunde</v>
      </c>
    </row>
    <row r="700" spans="1:8" x14ac:dyDescent="0.35">
      <c r="A700">
        <v>699</v>
      </c>
      <c r="B700" t="str">
        <f>VLOOKUP(F700,'Hilfetabelle Region'!$A$2:$C$14,2,FALSE)</f>
        <v>Europa</v>
      </c>
      <c r="C700" t="str">
        <f t="shared" si="10"/>
        <v>Privatkunde</v>
      </c>
      <c r="E700" s="1"/>
      <c r="F700">
        <v>3</v>
      </c>
      <c r="G700">
        <v>23</v>
      </c>
      <c r="H700" t="str">
        <f>VLOOKUP(G700,'Hilfetabelle Region'!$A$17:$B$19,2,)</f>
        <v>Privatkunde</v>
      </c>
    </row>
    <row r="701" spans="1:8" x14ac:dyDescent="0.35">
      <c r="A701">
        <v>700</v>
      </c>
      <c r="B701" t="str">
        <f>VLOOKUP(F701,'Hilfetabelle Region'!$A$2:$C$14,2,FALSE)</f>
        <v>Asien</v>
      </c>
      <c r="C701" t="str">
        <f t="shared" si="10"/>
        <v>Geschäftskunde</v>
      </c>
      <c r="E701" s="1"/>
      <c r="F701">
        <v>13</v>
      </c>
      <c r="G701">
        <v>22</v>
      </c>
      <c r="H701" t="str">
        <f>VLOOKUP(G701,'Hilfetabelle Region'!$A$17:$B$19,2,)</f>
        <v>Geschäftskunde</v>
      </c>
    </row>
    <row r="702" spans="1:8" x14ac:dyDescent="0.35">
      <c r="A702">
        <v>701</v>
      </c>
      <c r="B702" t="str">
        <f>VLOOKUP(F702,'Hilfetabelle Region'!$A$2:$C$14,2,FALSE)</f>
        <v>Europa</v>
      </c>
      <c r="C702" t="str">
        <f t="shared" si="10"/>
        <v>Geschäftskunde</v>
      </c>
      <c r="E702" s="1"/>
      <c r="F702">
        <v>3</v>
      </c>
      <c r="G702">
        <v>22</v>
      </c>
      <c r="H702" t="str">
        <f>VLOOKUP(G702,'Hilfetabelle Region'!$A$17:$B$19,2,)</f>
        <v>Geschäftskunde</v>
      </c>
    </row>
    <row r="703" spans="1:8" x14ac:dyDescent="0.35">
      <c r="A703">
        <v>702</v>
      </c>
      <c r="B703" t="str">
        <f>VLOOKUP(F703,'Hilfetabelle Region'!$A$2:$C$14,2,FALSE)</f>
        <v>Europa</v>
      </c>
      <c r="C703" t="str">
        <f t="shared" si="10"/>
        <v>Privatkunde</v>
      </c>
      <c r="E703" s="1"/>
      <c r="F703">
        <v>2</v>
      </c>
      <c r="G703">
        <v>23</v>
      </c>
      <c r="H703" t="str">
        <f>VLOOKUP(G703,'Hilfetabelle Region'!$A$17:$B$19,2,)</f>
        <v>Privatkunde</v>
      </c>
    </row>
    <row r="704" spans="1:8" x14ac:dyDescent="0.35">
      <c r="A704">
        <v>703</v>
      </c>
      <c r="B704" t="str">
        <f>VLOOKUP(F704,'Hilfetabelle Region'!$A$2:$C$14,2,FALSE)</f>
        <v>Europa</v>
      </c>
      <c r="C704" t="str">
        <f t="shared" si="10"/>
        <v>Geschäftskunde</v>
      </c>
      <c r="E704" s="1"/>
      <c r="F704">
        <v>4</v>
      </c>
      <c r="G704">
        <v>22</v>
      </c>
      <c r="H704" t="str">
        <f>VLOOKUP(G704,'Hilfetabelle Region'!$A$17:$B$19,2,)</f>
        <v>Geschäftskunde</v>
      </c>
    </row>
    <row r="705" spans="1:8" x14ac:dyDescent="0.35">
      <c r="A705">
        <v>704</v>
      </c>
      <c r="B705" t="str">
        <f>VLOOKUP(F705,'Hilfetabelle Region'!$A$2:$C$14,2,FALSE)</f>
        <v>Lateinamerika</v>
      </c>
      <c r="C705" t="str">
        <f t="shared" si="10"/>
        <v>Geschäftskunde</v>
      </c>
      <c r="E705" s="1"/>
      <c r="F705">
        <v>10</v>
      </c>
      <c r="G705">
        <v>22</v>
      </c>
      <c r="H705" t="str">
        <f>VLOOKUP(G705,'Hilfetabelle Region'!$A$17:$B$19,2,)</f>
        <v>Geschäftskunde</v>
      </c>
    </row>
    <row r="706" spans="1:8" x14ac:dyDescent="0.35">
      <c r="A706">
        <v>705</v>
      </c>
      <c r="B706" t="str">
        <f>VLOOKUP(F706,'Hilfetabelle Region'!$A$2:$C$14,2,FALSE)</f>
        <v>Europa</v>
      </c>
      <c r="C706" t="str">
        <f t="shared" si="10"/>
        <v>Geschäftskunde</v>
      </c>
      <c r="E706" s="1"/>
      <c r="F706">
        <v>6</v>
      </c>
      <c r="G706">
        <v>22</v>
      </c>
      <c r="H706" t="str">
        <f>VLOOKUP(G706,'Hilfetabelle Region'!$A$17:$B$19,2,)</f>
        <v>Geschäftskunde</v>
      </c>
    </row>
    <row r="707" spans="1:8" x14ac:dyDescent="0.35">
      <c r="A707">
        <v>706</v>
      </c>
      <c r="B707" t="str">
        <f>VLOOKUP(F707,'Hilfetabelle Region'!$A$2:$C$14,2,FALSE)</f>
        <v>Asien</v>
      </c>
      <c r="C707" t="str">
        <f t="shared" ref="C707:C770" si="11">IF(B707="Europa",H707,"Geschäftskunde")</f>
        <v>Geschäftskunde</v>
      </c>
      <c r="E707" s="1"/>
      <c r="F707">
        <v>12</v>
      </c>
      <c r="G707">
        <v>23</v>
      </c>
      <c r="H707" t="str">
        <f>VLOOKUP(G707,'Hilfetabelle Region'!$A$17:$B$19,2,)</f>
        <v>Privatkunde</v>
      </c>
    </row>
    <row r="708" spans="1:8" x14ac:dyDescent="0.35">
      <c r="A708">
        <v>707</v>
      </c>
      <c r="B708" t="str">
        <f>VLOOKUP(F708,'Hilfetabelle Region'!$A$2:$C$14,2,FALSE)</f>
        <v>Afrika</v>
      </c>
      <c r="C708" t="str">
        <f t="shared" si="11"/>
        <v>Geschäftskunde</v>
      </c>
      <c r="E708" s="1"/>
      <c r="F708">
        <v>11</v>
      </c>
      <c r="G708">
        <v>23</v>
      </c>
      <c r="H708" t="str">
        <f>VLOOKUP(G708,'Hilfetabelle Region'!$A$17:$B$19,2,)</f>
        <v>Privatkunde</v>
      </c>
    </row>
    <row r="709" spans="1:8" x14ac:dyDescent="0.35">
      <c r="A709">
        <v>708</v>
      </c>
      <c r="B709" t="str">
        <f>VLOOKUP(F709,'Hilfetabelle Region'!$A$2:$C$14,2,FALSE)</f>
        <v>Asien</v>
      </c>
      <c r="C709" t="str">
        <f t="shared" si="11"/>
        <v>Geschäftskunde</v>
      </c>
      <c r="E709" s="1"/>
      <c r="F709">
        <v>12</v>
      </c>
      <c r="G709">
        <v>23</v>
      </c>
      <c r="H709" t="str">
        <f>VLOOKUP(G709,'Hilfetabelle Region'!$A$17:$B$19,2,)</f>
        <v>Privatkunde</v>
      </c>
    </row>
    <row r="710" spans="1:8" x14ac:dyDescent="0.35">
      <c r="A710">
        <v>709</v>
      </c>
      <c r="B710" t="str">
        <f>VLOOKUP(F710,'Hilfetabelle Region'!$A$2:$C$14,2,FALSE)</f>
        <v>Europa</v>
      </c>
      <c r="C710" t="str">
        <f t="shared" si="11"/>
        <v>Geschäftskunde</v>
      </c>
      <c r="E710" s="1"/>
      <c r="F710">
        <v>1</v>
      </c>
      <c r="G710">
        <v>22</v>
      </c>
      <c r="H710" t="str">
        <f>VLOOKUP(G710,'Hilfetabelle Region'!$A$17:$B$19,2,)</f>
        <v>Geschäftskunde</v>
      </c>
    </row>
    <row r="711" spans="1:8" x14ac:dyDescent="0.35">
      <c r="A711">
        <v>710</v>
      </c>
      <c r="B711" t="str">
        <f>VLOOKUP(F711,'Hilfetabelle Region'!$A$2:$C$14,2,FALSE)</f>
        <v>Europa</v>
      </c>
      <c r="C711" t="str">
        <f t="shared" si="11"/>
        <v>Geschäftskunde</v>
      </c>
      <c r="E711" s="1"/>
      <c r="F711">
        <v>1</v>
      </c>
      <c r="G711">
        <v>21</v>
      </c>
      <c r="H711" t="str">
        <f>VLOOKUP(G711,'Hilfetabelle Region'!$A$17:$B$19,2,)</f>
        <v>Geschäftskunde</v>
      </c>
    </row>
    <row r="712" spans="1:8" x14ac:dyDescent="0.35">
      <c r="A712">
        <v>711</v>
      </c>
      <c r="B712" t="str">
        <f>VLOOKUP(F712,'Hilfetabelle Region'!$A$2:$C$14,2,FALSE)</f>
        <v>Afrika</v>
      </c>
      <c r="C712" t="str">
        <f t="shared" si="11"/>
        <v>Geschäftskunde</v>
      </c>
      <c r="E712" s="1"/>
      <c r="F712">
        <v>11</v>
      </c>
      <c r="G712">
        <v>22</v>
      </c>
      <c r="H712" t="str">
        <f>VLOOKUP(G712,'Hilfetabelle Region'!$A$17:$B$19,2,)</f>
        <v>Geschäftskunde</v>
      </c>
    </row>
    <row r="713" spans="1:8" x14ac:dyDescent="0.35">
      <c r="A713">
        <v>712</v>
      </c>
      <c r="B713" t="str">
        <f>VLOOKUP(F713,'Hilfetabelle Region'!$A$2:$C$14,2,FALSE)</f>
        <v>Europa</v>
      </c>
      <c r="C713" t="str">
        <f t="shared" si="11"/>
        <v>Privatkunde</v>
      </c>
      <c r="E713" s="1"/>
      <c r="F713">
        <v>5</v>
      </c>
      <c r="G713">
        <v>23</v>
      </c>
      <c r="H713" t="str">
        <f>VLOOKUP(G713,'Hilfetabelle Region'!$A$17:$B$19,2,)</f>
        <v>Privatkunde</v>
      </c>
    </row>
    <row r="714" spans="1:8" x14ac:dyDescent="0.35">
      <c r="A714">
        <v>713</v>
      </c>
      <c r="B714" t="str">
        <f>VLOOKUP(F714,'Hilfetabelle Region'!$A$2:$C$14,2,FALSE)</f>
        <v>Lateinamerika</v>
      </c>
      <c r="C714" t="str">
        <f t="shared" si="11"/>
        <v>Geschäftskunde</v>
      </c>
      <c r="E714" s="1"/>
      <c r="F714">
        <v>10</v>
      </c>
      <c r="G714">
        <v>23</v>
      </c>
      <c r="H714" t="str">
        <f>VLOOKUP(G714,'Hilfetabelle Region'!$A$17:$B$19,2,)</f>
        <v>Privatkunde</v>
      </c>
    </row>
    <row r="715" spans="1:8" x14ac:dyDescent="0.35">
      <c r="A715">
        <v>714</v>
      </c>
      <c r="B715" t="str">
        <f>VLOOKUP(F715,'Hilfetabelle Region'!$A$2:$C$14,2,FALSE)</f>
        <v>Nordamerika</v>
      </c>
      <c r="C715" t="str">
        <f t="shared" si="11"/>
        <v>Geschäftskunde</v>
      </c>
      <c r="E715" s="1"/>
      <c r="F715">
        <v>9</v>
      </c>
      <c r="G715">
        <v>21</v>
      </c>
      <c r="H715" t="str">
        <f>VLOOKUP(G715,'Hilfetabelle Region'!$A$17:$B$19,2,)</f>
        <v>Geschäftskunde</v>
      </c>
    </row>
    <row r="716" spans="1:8" x14ac:dyDescent="0.35">
      <c r="A716">
        <v>715</v>
      </c>
      <c r="B716" t="str">
        <f>VLOOKUP(F716,'Hilfetabelle Region'!$A$2:$C$14,2,FALSE)</f>
        <v>Asien</v>
      </c>
      <c r="C716" t="str">
        <f t="shared" si="11"/>
        <v>Geschäftskunde</v>
      </c>
      <c r="E716" s="1"/>
      <c r="F716">
        <v>12</v>
      </c>
      <c r="G716">
        <v>21</v>
      </c>
      <c r="H716" t="str">
        <f>VLOOKUP(G716,'Hilfetabelle Region'!$A$17:$B$19,2,)</f>
        <v>Geschäftskunde</v>
      </c>
    </row>
    <row r="717" spans="1:8" x14ac:dyDescent="0.35">
      <c r="A717">
        <v>716</v>
      </c>
      <c r="B717" t="str">
        <f>VLOOKUP(F717,'Hilfetabelle Region'!$A$2:$C$14,2,FALSE)</f>
        <v>Nordamerika</v>
      </c>
      <c r="C717" t="str">
        <f t="shared" si="11"/>
        <v>Geschäftskunde</v>
      </c>
      <c r="E717" s="1"/>
      <c r="F717">
        <v>9</v>
      </c>
      <c r="G717">
        <v>23</v>
      </c>
      <c r="H717" t="str">
        <f>VLOOKUP(G717,'Hilfetabelle Region'!$A$17:$B$19,2,)</f>
        <v>Privatkunde</v>
      </c>
    </row>
    <row r="718" spans="1:8" x14ac:dyDescent="0.35">
      <c r="A718">
        <v>717</v>
      </c>
      <c r="B718" t="str">
        <f>VLOOKUP(F718,'Hilfetabelle Region'!$A$2:$C$14,2,FALSE)</f>
        <v>Asien</v>
      </c>
      <c r="C718" t="str">
        <f t="shared" si="11"/>
        <v>Geschäftskunde</v>
      </c>
      <c r="E718" s="1"/>
      <c r="F718">
        <v>13</v>
      </c>
      <c r="G718">
        <v>23</v>
      </c>
      <c r="H718" t="str">
        <f>VLOOKUP(G718,'Hilfetabelle Region'!$A$17:$B$19,2,)</f>
        <v>Privatkunde</v>
      </c>
    </row>
    <row r="719" spans="1:8" x14ac:dyDescent="0.35">
      <c r="A719">
        <v>718</v>
      </c>
      <c r="B719" t="str">
        <f>VLOOKUP(F719,'Hilfetabelle Region'!$A$2:$C$14,2,FALSE)</f>
        <v>Nordamerika</v>
      </c>
      <c r="C719" t="str">
        <f t="shared" si="11"/>
        <v>Geschäftskunde</v>
      </c>
      <c r="E719" s="1"/>
      <c r="F719">
        <v>7</v>
      </c>
      <c r="G719">
        <v>22</v>
      </c>
      <c r="H719" t="str">
        <f>VLOOKUP(G719,'Hilfetabelle Region'!$A$17:$B$19,2,)</f>
        <v>Geschäftskunde</v>
      </c>
    </row>
    <row r="720" spans="1:8" x14ac:dyDescent="0.35">
      <c r="A720">
        <v>719</v>
      </c>
      <c r="B720" t="str">
        <f>VLOOKUP(F720,'Hilfetabelle Region'!$A$2:$C$14,2,FALSE)</f>
        <v>Asien</v>
      </c>
      <c r="C720" t="str">
        <f t="shared" si="11"/>
        <v>Geschäftskunde</v>
      </c>
      <c r="E720" s="1"/>
      <c r="F720">
        <v>13</v>
      </c>
      <c r="G720">
        <v>23</v>
      </c>
      <c r="H720" t="str">
        <f>VLOOKUP(G720,'Hilfetabelle Region'!$A$17:$B$19,2,)</f>
        <v>Privatkunde</v>
      </c>
    </row>
    <row r="721" spans="1:8" x14ac:dyDescent="0.35">
      <c r="A721">
        <v>720</v>
      </c>
      <c r="B721" t="str">
        <f>VLOOKUP(F721,'Hilfetabelle Region'!$A$2:$C$14,2,FALSE)</f>
        <v>Asien</v>
      </c>
      <c r="C721" t="str">
        <f t="shared" si="11"/>
        <v>Geschäftskunde</v>
      </c>
      <c r="E721" s="1"/>
      <c r="F721">
        <v>13</v>
      </c>
      <c r="G721">
        <v>22</v>
      </c>
      <c r="H721" t="str">
        <f>VLOOKUP(G721,'Hilfetabelle Region'!$A$17:$B$19,2,)</f>
        <v>Geschäftskunde</v>
      </c>
    </row>
    <row r="722" spans="1:8" x14ac:dyDescent="0.35">
      <c r="A722">
        <v>721</v>
      </c>
      <c r="B722" t="str">
        <f>VLOOKUP(F722,'Hilfetabelle Region'!$A$2:$C$14,2,FALSE)</f>
        <v>Nordamerika</v>
      </c>
      <c r="C722" t="str">
        <f t="shared" si="11"/>
        <v>Geschäftskunde</v>
      </c>
      <c r="E722" s="1"/>
      <c r="F722">
        <v>7</v>
      </c>
      <c r="G722">
        <v>21</v>
      </c>
      <c r="H722" t="str">
        <f>VLOOKUP(G722,'Hilfetabelle Region'!$A$17:$B$19,2,)</f>
        <v>Geschäftskunde</v>
      </c>
    </row>
    <row r="723" spans="1:8" x14ac:dyDescent="0.35">
      <c r="A723">
        <v>722</v>
      </c>
      <c r="B723" t="str">
        <f>VLOOKUP(F723,'Hilfetabelle Region'!$A$2:$C$14,2,FALSE)</f>
        <v>Europa</v>
      </c>
      <c r="C723" t="str">
        <f t="shared" si="11"/>
        <v>Geschäftskunde</v>
      </c>
      <c r="E723" s="1"/>
      <c r="F723">
        <v>5</v>
      </c>
      <c r="G723">
        <v>22</v>
      </c>
      <c r="H723" t="str">
        <f>VLOOKUP(G723,'Hilfetabelle Region'!$A$17:$B$19,2,)</f>
        <v>Geschäftskunde</v>
      </c>
    </row>
    <row r="724" spans="1:8" x14ac:dyDescent="0.35">
      <c r="A724">
        <v>723</v>
      </c>
      <c r="B724" t="str">
        <f>VLOOKUP(F724,'Hilfetabelle Region'!$A$2:$C$14,2,FALSE)</f>
        <v>Nordamerika</v>
      </c>
      <c r="C724" t="str">
        <f t="shared" si="11"/>
        <v>Geschäftskunde</v>
      </c>
      <c r="E724" s="1"/>
      <c r="F724">
        <v>9</v>
      </c>
      <c r="G724">
        <v>23</v>
      </c>
      <c r="H724" t="str">
        <f>VLOOKUP(G724,'Hilfetabelle Region'!$A$17:$B$19,2,)</f>
        <v>Privatkunde</v>
      </c>
    </row>
    <row r="725" spans="1:8" x14ac:dyDescent="0.35">
      <c r="A725">
        <v>724</v>
      </c>
      <c r="B725" t="str">
        <f>VLOOKUP(F725,'Hilfetabelle Region'!$A$2:$C$14,2,FALSE)</f>
        <v>Nordamerika</v>
      </c>
      <c r="C725" t="str">
        <f t="shared" si="11"/>
        <v>Geschäftskunde</v>
      </c>
      <c r="E725" s="1"/>
      <c r="F725">
        <v>8</v>
      </c>
      <c r="G725">
        <v>21</v>
      </c>
      <c r="H725" t="str">
        <f>VLOOKUP(G725,'Hilfetabelle Region'!$A$17:$B$19,2,)</f>
        <v>Geschäftskunde</v>
      </c>
    </row>
    <row r="726" spans="1:8" x14ac:dyDescent="0.35">
      <c r="A726">
        <v>725</v>
      </c>
      <c r="B726" t="str">
        <f>VLOOKUP(F726,'Hilfetabelle Region'!$A$2:$C$14,2,FALSE)</f>
        <v>Europa</v>
      </c>
      <c r="C726" t="str">
        <f t="shared" si="11"/>
        <v>Geschäftskunde</v>
      </c>
      <c r="E726" s="1"/>
      <c r="F726">
        <v>5</v>
      </c>
      <c r="G726">
        <v>22</v>
      </c>
      <c r="H726" t="str">
        <f>VLOOKUP(G726,'Hilfetabelle Region'!$A$17:$B$19,2,)</f>
        <v>Geschäftskunde</v>
      </c>
    </row>
    <row r="727" spans="1:8" x14ac:dyDescent="0.35">
      <c r="A727">
        <v>726</v>
      </c>
      <c r="B727" t="str">
        <f>VLOOKUP(F727,'Hilfetabelle Region'!$A$2:$C$14,2,FALSE)</f>
        <v>Asien</v>
      </c>
      <c r="C727" t="str">
        <f t="shared" si="11"/>
        <v>Geschäftskunde</v>
      </c>
      <c r="E727" s="1"/>
      <c r="F727">
        <v>13</v>
      </c>
      <c r="G727">
        <v>21</v>
      </c>
      <c r="H727" t="str">
        <f>VLOOKUP(G727,'Hilfetabelle Region'!$A$17:$B$19,2,)</f>
        <v>Geschäftskunde</v>
      </c>
    </row>
    <row r="728" spans="1:8" x14ac:dyDescent="0.35">
      <c r="A728">
        <v>727</v>
      </c>
      <c r="B728" t="str">
        <f>VLOOKUP(F728,'Hilfetabelle Region'!$A$2:$C$14,2,FALSE)</f>
        <v>Nordamerika</v>
      </c>
      <c r="C728" t="str">
        <f t="shared" si="11"/>
        <v>Geschäftskunde</v>
      </c>
      <c r="E728" s="1"/>
      <c r="F728">
        <v>8</v>
      </c>
      <c r="G728">
        <v>22</v>
      </c>
      <c r="H728" t="str">
        <f>VLOOKUP(G728,'Hilfetabelle Region'!$A$17:$B$19,2,)</f>
        <v>Geschäftskunde</v>
      </c>
    </row>
    <row r="729" spans="1:8" x14ac:dyDescent="0.35">
      <c r="A729">
        <v>728</v>
      </c>
      <c r="B729" t="str">
        <f>VLOOKUP(F729,'Hilfetabelle Region'!$A$2:$C$14,2,FALSE)</f>
        <v>Asien</v>
      </c>
      <c r="C729" t="str">
        <f t="shared" si="11"/>
        <v>Geschäftskunde</v>
      </c>
      <c r="E729" s="1"/>
      <c r="F729">
        <v>13</v>
      </c>
      <c r="G729">
        <v>23</v>
      </c>
      <c r="H729" t="str">
        <f>VLOOKUP(G729,'Hilfetabelle Region'!$A$17:$B$19,2,)</f>
        <v>Privatkunde</v>
      </c>
    </row>
    <row r="730" spans="1:8" x14ac:dyDescent="0.35">
      <c r="A730">
        <v>729</v>
      </c>
      <c r="B730" t="str">
        <f>VLOOKUP(F730,'Hilfetabelle Region'!$A$2:$C$14,2,FALSE)</f>
        <v>Asien</v>
      </c>
      <c r="C730" t="str">
        <f t="shared" si="11"/>
        <v>Geschäftskunde</v>
      </c>
      <c r="E730" s="1"/>
      <c r="F730">
        <v>12</v>
      </c>
      <c r="G730">
        <v>22</v>
      </c>
      <c r="H730" t="str">
        <f>VLOOKUP(G730,'Hilfetabelle Region'!$A$17:$B$19,2,)</f>
        <v>Geschäftskunde</v>
      </c>
    </row>
    <row r="731" spans="1:8" x14ac:dyDescent="0.35">
      <c r="A731">
        <v>730</v>
      </c>
      <c r="B731" t="str">
        <f>VLOOKUP(F731,'Hilfetabelle Region'!$A$2:$C$14,2,FALSE)</f>
        <v>Nordamerika</v>
      </c>
      <c r="C731" t="str">
        <f t="shared" si="11"/>
        <v>Geschäftskunde</v>
      </c>
      <c r="E731" s="1"/>
      <c r="F731">
        <v>7</v>
      </c>
      <c r="G731">
        <v>23</v>
      </c>
      <c r="H731" t="str">
        <f>VLOOKUP(G731,'Hilfetabelle Region'!$A$17:$B$19,2,)</f>
        <v>Privatkunde</v>
      </c>
    </row>
    <row r="732" spans="1:8" x14ac:dyDescent="0.35">
      <c r="A732">
        <v>731</v>
      </c>
      <c r="B732" t="str">
        <f>VLOOKUP(F732,'Hilfetabelle Region'!$A$2:$C$14,2,FALSE)</f>
        <v>Europa</v>
      </c>
      <c r="C732" t="str">
        <f t="shared" si="11"/>
        <v>Privatkunde</v>
      </c>
      <c r="E732" s="1"/>
      <c r="F732">
        <v>4</v>
      </c>
      <c r="G732">
        <v>23</v>
      </c>
      <c r="H732" t="str">
        <f>VLOOKUP(G732,'Hilfetabelle Region'!$A$17:$B$19,2,)</f>
        <v>Privatkunde</v>
      </c>
    </row>
    <row r="733" spans="1:8" x14ac:dyDescent="0.35">
      <c r="A733">
        <v>732</v>
      </c>
      <c r="B733" t="str">
        <f>VLOOKUP(F733,'Hilfetabelle Region'!$A$2:$C$14,2,FALSE)</f>
        <v>Europa</v>
      </c>
      <c r="C733" t="str">
        <f t="shared" si="11"/>
        <v>Privatkunde</v>
      </c>
      <c r="E733" s="1"/>
      <c r="F733">
        <v>3</v>
      </c>
      <c r="G733">
        <v>23</v>
      </c>
      <c r="H733" t="str">
        <f>VLOOKUP(G733,'Hilfetabelle Region'!$A$17:$B$19,2,)</f>
        <v>Privatkunde</v>
      </c>
    </row>
    <row r="734" spans="1:8" x14ac:dyDescent="0.35">
      <c r="A734">
        <v>733</v>
      </c>
      <c r="B734" t="str">
        <f>VLOOKUP(F734,'Hilfetabelle Region'!$A$2:$C$14,2,FALSE)</f>
        <v>Nordamerika</v>
      </c>
      <c r="C734" t="str">
        <f t="shared" si="11"/>
        <v>Geschäftskunde</v>
      </c>
      <c r="E734" s="1"/>
      <c r="F734">
        <v>9</v>
      </c>
      <c r="G734">
        <v>23</v>
      </c>
      <c r="H734" t="str">
        <f>VLOOKUP(G734,'Hilfetabelle Region'!$A$17:$B$19,2,)</f>
        <v>Privatkunde</v>
      </c>
    </row>
    <row r="735" spans="1:8" x14ac:dyDescent="0.35">
      <c r="A735">
        <v>734</v>
      </c>
      <c r="B735" t="str">
        <f>VLOOKUP(F735,'Hilfetabelle Region'!$A$2:$C$14,2,FALSE)</f>
        <v>Asien</v>
      </c>
      <c r="C735" t="str">
        <f t="shared" si="11"/>
        <v>Geschäftskunde</v>
      </c>
      <c r="E735" s="1"/>
      <c r="F735">
        <v>13</v>
      </c>
      <c r="G735">
        <v>21</v>
      </c>
      <c r="H735" t="str">
        <f>VLOOKUP(G735,'Hilfetabelle Region'!$A$17:$B$19,2,)</f>
        <v>Geschäftskunde</v>
      </c>
    </row>
    <row r="736" spans="1:8" x14ac:dyDescent="0.35">
      <c r="A736">
        <v>735</v>
      </c>
      <c r="B736" t="str">
        <f>VLOOKUP(F736,'Hilfetabelle Region'!$A$2:$C$14,2,FALSE)</f>
        <v>Nordamerika</v>
      </c>
      <c r="C736" t="str">
        <f t="shared" si="11"/>
        <v>Geschäftskunde</v>
      </c>
      <c r="E736" s="1"/>
      <c r="F736">
        <v>8</v>
      </c>
      <c r="G736">
        <v>21</v>
      </c>
      <c r="H736" t="str">
        <f>VLOOKUP(G736,'Hilfetabelle Region'!$A$17:$B$19,2,)</f>
        <v>Geschäftskunde</v>
      </c>
    </row>
    <row r="737" spans="1:8" x14ac:dyDescent="0.35">
      <c r="A737">
        <v>736</v>
      </c>
      <c r="B737" t="str">
        <f>VLOOKUP(F737,'Hilfetabelle Region'!$A$2:$C$14,2,FALSE)</f>
        <v>Europa</v>
      </c>
      <c r="C737" t="str">
        <f t="shared" si="11"/>
        <v>Privatkunde</v>
      </c>
      <c r="E737" s="1"/>
      <c r="F737">
        <v>3</v>
      </c>
      <c r="G737">
        <v>23</v>
      </c>
      <c r="H737" t="str">
        <f>VLOOKUP(G737,'Hilfetabelle Region'!$A$17:$B$19,2,)</f>
        <v>Privatkunde</v>
      </c>
    </row>
    <row r="738" spans="1:8" x14ac:dyDescent="0.35">
      <c r="A738">
        <v>737</v>
      </c>
      <c r="B738" t="str">
        <f>VLOOKUP(F738,'Hilfetabelle Region'!$A$2:$C$14,2,FALSE)</f>
        <v>Europa</v>
      </c>
      <c r="C738" t="str">
        <f t="shared" si="11"/>
        <v>Privatkunde</v>
      </c>
      <c r="E738" s="1"/>
      <c r="F738">
        <v>5</v>
      </c>
      <c r="G738">
        <v>23</v>
      </c>
      <c r="H738" t="str">
        <f>VLOOKUP(G738,'Hilfetabelle Region'!$A$17:$B$19,2,)</f>
        <v>Privatkunde</v>
      </c>
    </row>
    <row r="739" spans="1:8" x14ac:dyDescent="0.35">
      <c r="A739">
        <v>738</v>
      </c>
      <c r="B739" t="str">
        <f>VLOOKUP(F739,'Hilfetabelle Region'!$A$2:$C$14,2,FALSE)</f>
        <v>Nordamerika</v>
      </c>
      <c r="C739" t="str">
        <f t="shared" si="11"/>
        <v>Geschäftskunde</v>
      </c>
      <c r="E739" s="1"/>
      <c r="F739">
        <v>8</v>
      </c>
      <c r="G739">
        <v>23</v>
      </c>
      <c r="H739" t="str">
        <f>VLOOKUP(G739,'Hilfetabelle Region'!$A$17:$B$19,2,)</f>
        <v>Privatkunde</v>
      </c>
    </row>
    <row r="740" spans="1:8" x14ac:dyDescent="0.35">
      <c r="A740">
        <v>739</v>
      </c>
      <c r="B740" t="str">
        <f>VLOOKUP(F740,'Hilfetabelle Region'!$A$2:$C$14,2,FALSE)</f>
        <v>Lateinamerika</v>
      </c>
      <c r="C740" t="str">
        <f t="shared" si="11"/>
        <v>Geschäftskunde</v>
      </c>
      <c r="E740" s="1"/>
      <c r="F740">
        <v>10</v>
      </c>
      <c r="G740">
        <v>21</v>
      </c>
      <c r="H740" t="str">
        <f>VLOOKUP(G740,'Hilfetabelle Region'!$A$17:$B$19,2,)</f>
        <v>Geschäftskunde</v>
      </c>
    </row>
    <row r="741" spans="1:8" x14ac:dyDescent="0.35">
      <c r="A741">
        <v>740</v>
      </c>
      <c r="B741" t="str">
        <f>VLOOKUP(F741,'Hilfetabelle Region'!$A$2:$C$14,2,FALSE)</f>
        <v>Europa</v>
      </c>
      <c r="C741" t="str">
        <f t="shared" si="11"/>
        <v>Privatkunde</v>
      </c>
      <c r="E741" s="1"/>
      <c r="F741">
        <v>2</v>
      </c>
      <c r="G741">
        <v>23</v>
      </c>
      <c r="H741" t="str">
        <f>VLOOKUP(G741,'Hilfetabelle Region'!$A$17:$B$19,2,)</f>
        <v>Privatkunde</v>
      </c>
    </row>
    <row r="742" spans="1:8" x14ac:dyDescent="0.35">
      <c r="A742">
        <v>741</v>
      </c>
      <c r="B742" t="str">
        <f>VLOOKUP(F742,'Hilfetabelle Region'!$A$2:$C$14,2,FALSE)</f>
        <v>Europa</v>
      </c>
      <c r="C742" t="str">
        <f t="shared" si="11"/>
        <v>Geschäftskunde</v>
      </c>
      <c r="E742" s="1"/>
      <c r="F742">
        <v>5</v>
      </c>
      <c r="G742">
        <v>22</v>
      </c>
      <c r="H742" t="str">
        <f>VLOOKUP(G742,'Hilfetabelle Region'!$A$17:$B$19,2,)</f>
        <v>Geschäftskunde</v>
      </c>
    </row>
    <row r="743" spans="1:8" x14ac:dyDescent="0.35">
      <c r="A743">
        <v>742</v>
      </c>
      <c r="B743" t="str">
        <f>VLOOKUP(F743,'Hilfetabelle Region'!$A$2:$C$14,2,FALSE)</f>
        <v>Europa</v>
      </c>
      <c r="C743" t="str">
        <f t="shared" si="11"/>
        <v>Geschäftskunde</v>
      </c>
      <c r="E743" s="1"/>
      <c r="F743">
        <v>4</v>
      </c>
      <c r="G743">
        <v>22</v>
      </c>
      <c r="H743" t="str">
        <f>VLOOKUP(G743,'Hilfetabelle Region'!$A$17:$B$19,2,)</f>
        <v>Geschäftskunde</v>
      </c>
    </row>
    <row r="744" spans="1:8" x14ac:dyDescent="0.35">
      <c r="A744">
        <v>743</v>
      </c>
      <c r="B744" t="str">
        <f>VLOOKUP(F744,'Hilfetabelle Region'!$A$2:$C$14,2,FALSE)</f>
        <v>Asien</v>
      </c>
      <c r="C744" t="str">
        <f t="shared" si="11"/>
        <v>Geschäftskunde</v>
      </c>
      <c r="E744" s="1"/>
      <c r="F744">
        <v>13</v>
      </c>
      <c r="G744">
        <v>23</v>
      </c>
      <c r="H744" t="str">
        <f>VLOOKUP(G744,'Hilfetabelle Region'!$A$17:$B$19,2,)</f>
        <v>Privatkunde</v>
      </c>
    </row>
    <row r="745" spans="1:8" x14ac:dyDescent="0.35">
      <c r="A745">
        <v>744</v>
      </c>
      <c r="B745" t="str">
        <f>VLOOKUP(F745,'Hilfetabelle Region'!$A$2:$C$14,2,FALSE)</f>
        <v>Asien</v>
      </c>
      <c r="C745" t="str">
        <f t="shared" si="11"/>
        <v>Geschäftskunde</v>
      </c>
      <c r="E745" s="1"/>
      <c r="F745">
        <v>13</v>
      </c>
      <c r="G745">
        <v>23</v>
      </c>
      <c r="H745" t="str">
        <f>VLOOKUP(G745,'Hilfetabelle Region'!$A$17:$B$19,2,)</f>
        <v>Privatkunde</v>
      </c>
    </row>
    <row r="746" spans="1:8" x14ac:dyDescent="0.35">
      <c r="A746">
        <v>745</v>
      </c>
      <c r="B746" t="str">
        <f>VLOOKUP(F746,'Hilfetabelle Region'!$A$2:$C$14,2,FALSE)</f>
        <v>Europa</v>
      </c>
      <c r="C746" t="str">
        <f t="shared" si="11"/>
        <v>Geschäftskunde</v>
      </c>
      <c r="E746" s="1"/>
      <c r="F746">
        <v>3</v>
      </c>
      <c r="G746">
        <v>22</v>
      </c>
      <c r="H746" t="str">
        <f>VLOOKUP(G746,'Hilfetabelle Region'!$A$17:$B$19,2,)</f>
        <v>Geschäftskunde</v>
      </c>
    </row>
    <row r="747" spans="1:8" x14ac:dyDescent="0.35">
      <c r="A747">
        <v>746</v>
      </c>
      <c r="B747" t="str">
        <f>VLOOKUP(F747,'Hilfetabelle Region'!$A$2:$C$14,2,FALSE)</f>
        <v>Lateinamerika</v>
      </c>
      <c r="C747" t="str">
        <f t="shared" si="11"/>
        <v>Geschäftskunde</v>
      </c>
      <c r="E747" s="1"/>
      <c r="F747">
        <v>10</v>
      </c>
      <c r="G747">
        <v>23</v>
      </c>
      <c r="H747" t="str">
        <f>VLOOKUP(G747,'Hilfetabelle Region'!$A$17:$B$19,2,)</f>
        <v>Privatkunde</v>
      </c>
    </row>
    <row r="748" spans="1:8" x14ac:dyDescent="0.35">
      <c r="A748">
        <v>747</v>
      </c>
      <c r="B748" t="str">
        <f>VLOOKUP(F748,'Hilfetabelle Region'!$A$2:$C$14,2,FALSE)</f>
        <v>Afrika</v>
      </c>
      <c r="C748" t="str">
        <f t="shared" si="11"/>
        <v>Geschäftskunde</v>
      </c>
      <c r="E748" s="1"/>
      <c r="F748">
        <v>11</v>
      </c>
      <c r="G748">
        <v>22</v>
      </c>
      <c r="H748" t="str">
        <f>VLOOKUP(G748,'Hilfetabelle Region'!$A$17:$B$19,2,)</f>
        <v>Geschäftskunde</v>
      </c>
    </row>
    <row r="749" spans="1:8" x14ac:dyDescent="0.35">
      <c r="A749">
        <v>748</v>
      </c>
      <c r="B749" t="str">
        <f>VLOOKUP(F749,'Hilfetabelle Region'!$A$2:$C$14,2,FALSE)</f>
        <v>Afrika</v>
      </c>
      <c r="C749" t="str">
        <f t="shared" si="11"/>
        <v>Geschäftskunde</v>
      </c>
      <c r="E749" s="1"/>
      <c r="F749">
        <v>11</v>
      </c>
      <c r="G749">
        <v>21</v>
      </c>
      <c r="H749" t="str">
        <f>VLOOKUP(G749,'Hilfetabelle Region'!$A$17:$B$19,2,)</f>
        <v>Geschäftskunde</v>
      </c>
    </row>
    <row r="750" spans="1:8" x14ac:dyDescent="0.35">
      <c r="A750">
        <v>749</v>
      </c>
      <c r="B750" t="str">
        <f>VLOOKUP(F750,'Hilfetabelle Region'!$A$2:$C$14,2,FALSE)</f>
        <v>Europa</v>
      </c>
      <c r="C750" t="str">
        <f t="shared" si="11"/>
        <v>Geschäftskunde</v>
      </c>
      <c r="E750" s="1"/>
      <c r="F750">
        <v>4</v>
      </c>
      <c r="G750">
        <v>21</v>
      </c>
      <c r="H750" t="str">
        <f>VLOOKUP(G750,'Hilfetabelle Region'!$A$17:$B$19,2,)</f>
        <v>Geschäftskunde</v>
      </c>
    </row>
    <row r="751" spans="1:8" x14ac:dyDescent="0.35">
      <c r="A751">
        <v>750</v>
      </c>
      <c r="B751" t="str">
        <f>VLOOKUP(F751,'Hilfetabelle Region'!$A$2:$C$14,2,FALSE)</f>
        <v>Europa</v>
      </c>
      <c r="C751" t="str">
        <f t="shared" si="11"/>
        <v>Geschäftskunde</v>
      </c>
      <c r="E751" s="1"/>
      <c r="F751">
        <v>3</v>
      </c>
      <c r="G751">
        <v>22</v>
      </c>
      <c r="H751" t="str">
        <f>VLOOKUP(G751,'Hilfetabelle Region'!$A$17:$B$19,2,)</f>
        <v>Geschäftskunde</v>
      </c>
    </row>
    <row r="752" spans="1:8" x14ac:dyDescent="0.35">
      <c r="A752">
        <v>751</v>
      </c>
      <c r="B752" t="str">
        <f>VLOOKUP(F752,'Hilfetabelle Region'!$A$2:$C$14,2,FALSE)</f>
        <v>Europa</v>
      </c>
      <c r="C752" t="str">
        <f t="shared" si="11"/>
        <v>Geschäftskunde</v>
      </c>
      <c r="E752" s="1"/>
      <c r="F752">
        <v>4</v>
      </c>
      <c r="G752">
        <v>21</v>
      </c>
      <c r="H752" t="str">
        <f>VLOOKUP(G752,'Hilfetabelle Region'!$A$17:$B$19,2,)</f>
        <v>Geschäftskunde</v>
      </c>
    </row>
    <row r="753" spans="1:8" x14ac:dyDescent="0.35">
      <c r="A753">
        <v>752</v>
      </c>
      <c r="B753" t="str">
        <f>VLOOKUP(F753,'Hilfetabelle Region'!$A$2:$C$14,2,FALSE)</f>
        <v>Europa</v>
      </c>
      <c r="C753" t="str">
        <f t="shared" si="11"/>
        <v>Geschäftskunde</v>
      </c>
      <c r="E753" s="1"/>
      <c r="F753">
        <v>1</v>
      </c>
      <c r="G753">
        <v>22</v>
      </c>
      <c r="H753" t="str">
        <f>VLOOKUP(G753,'Hilfetabelle Region'!$A$17:$B$19,2,)</f>
        <v>Geschäftskunde</v>
      </c>
    </row>
    <row r="754" spans="1:8" x14ac:dyDescent="0.35">
      <c r="A754">
        <v>753</v>
      </c>
      <c r="B754" t="str">
        <f>VLOOKUP(F754,'Hilfetabelle Region'!$A$2:$C$14,2,FALSE)</f>
        <v>Nordamerika</v>
      </c>
      <c r="C754" t="str">
        <f t="shared" si="11"/>
        <v>Geschäftskunde</v>
      </c>
      <c r="E754" s="1"/>
      <c r="F754">
        <v>7</v>
      </c>
      <c r="G754">
        <v>21</v>
      </c>
      <c r="H754" t="str">
        <f>VLOOKUP(G754,'Hilfetabelle Region'!$A$17:$B$19,2,)</f>
        <v>Geschäftskunde</v>
      </c>
    </row>
    <row r="755" spans="1:8" x14ac:dyDescent="0.35">
      <c r="A755">
        <v>754</v>
      </c>
      <c r="B755" t="str">
        <f>VLOOKUP(F755,'Hilfetabelle Region'!$A$2:$C$14,2,FALSE)</f>
        <v>Europa</v>
      </c>
      <c r="C755" t="str">
        <f t="shared" si="11"/>
        <v>Geschäftskunde</v>
      </c>
      <c r="E755" s="1"/>
      <c r="F755">
        <v>5</v>
      </c>
      <c r="G755">
        <v>22</v>
      </c>
      <c r="H755" t="str">
        <f>VLOOKUP(G755,'Hilfetabelle Region'!$A$17:$B$19,2,)</f>
        <v>Geschäftskunde</v>
      </c>
    </row>
    <row r="756" spans="1:8" x14ac:dyDescent="0.35">
      <c r="A756">
        <v>755</v>
      </c>
      <c r="B756" t="str">
        <f>VLOOKUP(F756,'Hilfetabelle Region'!$A$2:$C$14,2,FALSE)</f>
        <v>Nordamerika</v>
      </c>
      <c r="C756" t="str">
        <f t="shared" si="11"/>
        <v>Geschäftskunde</v>
      </c>
      <c r="E756" s="1"/>
      <c r="F756">
        <v>9</v>
      </c>
      <c r="G756">
        <v>23</v>
      </c>
      <c r="H756" t="str">
        <f>VLOOKUP(G756,'Hilfetabelle Region'!$A$17:$B$19,2,)</f>
        <v>Privatkunde</v>
      </c>
    </row>
    <row r="757" spans="1:8" x14ac:dyDescent="0.35">
      <c r="A757">
        <v>756</v>
      </c>
      <c r="B757" t="str">
        <f>VLOOKUP(F757,'Hilfetabelle Region'!$A$2:$C$14,2,FALSE)</f>
        <v>Asien</v>
      </c>
      <c r="C757" t="str">
        <f t="shared" si="11"/>
        <v>Geschäftskunde</v>
      </c>
      <c r="E757" s="1"/>
      <c r="F757">
        <v>12</v>
      </c>
      <c r="G757">
        <v>21</v>
      </c>
      <c r="H757" t="str">
        <f>VLOOKUP(G757,'Hilfetabelle Region'!$A$17:$B$19,2,)</f>
        <v>Geschäftskunde</v>
      </c>
    </row>
    <row r="758" spans="1:8" x14ac:dyDescent="0.35">
      <c r="A758">
        <v>757</v>
      </c>
      <c r="B758" t="str">
        <f>VLOOKUP(F758,'Hilfetabelle Region'!$A$2:$C$14,2,FALSE)</f>
        <v>Lateinamerika</v>
      </c>
      <c r="C758" t="str">
        <f t="shared" si="11"/>
        <v>Geschäftskunde</v>
      </c>
      <c r="E758" s="1"/>
      <c r="F758">
        <v>10</v>
      </c>
      <c r="G758">
        <v>23</v>
      </c>
      <c r="H758" t="str">
        <f>VLOOKUP(G758,'Hilfetabelle Region'!$A$17:$B$19,2,)</f>
        <v>Privatkunde</v>
      </c>
    </row>
    <row r="759" spans="1:8" x14ac:dyDescent="0.35">
      <c r="A759">
        <v>758</v>
      </c>
      <c r="B759" t="str">
        <f>VLOOKUP(F759,'Hilfetabelle Region'!$A$2:$C$14,2,FALSE)</f>
        <v>Europa</v>
      </c>
      <c r="C759" t="str">
        <f t="shared" si="11"/>
        <v>Geschäftskunde</v>
      </c>
      <c r="E759" s="1"/>
      <c r="F759">
        <v>2</v>
      </c>
      <c r="G759">
        <v>21</v>
      </c>
      <c r="H759" t="str">
        <f>VLOOKUP(G759,'Hilfetabelle Region'!$A$17:$B$19,2,)</f>
        <v>Geschäftskunde</v>
      </c>
    </row>
    <row r="760" spans="1:8" x14ac:dyDescent="0.35">
      <c r="A760">
        <v>759</v>
      </c>
      <c r="B760" t="str">
        <f>VLOOKUP(F760,'Hilfetabelle Region'!$A$2:$C$14,2,FALSE)</f>
        <v>Europa</v>
      </c>
      <c r="C760" t="str">
        <f t="shared" si="11"/>
        <v>Geschäftskunde</v>
      </c>
      <c r="E760" s="1"/>
      <c r="F760">
        <v>3</v>
      </c>
      <c r="G760">
        <v>21</v>
      </c>
      <c r="H760" t="str">
        <f>VLOOKUP(G760,'Hilfetabelle Region'!$A$17:$B$19,2,)</f>
        <v>Geschäftskunde</v>
      </c>
    </row>
    <row r="761" spans="1:8" x14ac:dyDescent="0.35">
      <c r="A761">
        <v>760</v>
      </c>
      <c r="B761" t="str">
        <f>VLOOKUP(F761,'Hilfetabelle Region'!$A$2:$C$14,2,FALSE)</f>
        <v>Nordamerika</v>
      </c>
      <c r="C761" t="str">
        <f t="shared" si="11"/>
        <v>Geschäftskunde</v>
      </c>
      <c r="E761" s="1"/>
      <c r="F761">
        <v>9</v>
      </c>
      <c r="G761">
        <v>21</v>
      </c>
      <c r="H761" t="str">
        <f>VLOOKUP(G761,'Hilfetabelle Region'!$A$17:$B$19,2,)</f>
        <v>Geschäftskunde</v>
      </c>
    </row>
    <row r="762" spans="1:8" x14ac:dyDescent="0.35">
      <c r="A762">
        <v>761</v>
      </c>
      <c r="B762" t="str">
        <f>VLOOKUP(F762,'Hilfetabelle Region'!$A$2:$C$14,2,FALSE)</f>
        <v>Europa</v>
      </c>
      <c r="C762" t="str">
        <f t="shared" si="11"/>
        <v>Geschäftskunde</v>
      </c>
      <c r="E762" s="1"/>
      <c r="F762">
        <v>5</v>
      </c>
      <c r="G762">
        <v>21</v>
      </c>
      <c r="H762" t="str">
        <f>VLOOKUP(G762,'Hilfetabelle Region'!$A$17:$B$19,2,)</f>
        <v>Geschäftskunde</v>
      </c>
    </row>
    <row r="763" spans="1:8" x14ac:dyDescent="0.35">
      <c r="A763">
        <v>762</v>
      </c>
      <c r="B763" t="str">
        <f>VLOOKUP(F763,'Hilfetabelle Region'!$A$2:$C$14,2,FALSE)</f>
        <v>Nordamerika</v>
      </c>
      <c r="C763" t="str">
        <f t="shared" si="11"/>
        <v>Geschäftskunde</v>
      </c>
      <c r="E763" s="1"/>
      <c r="F763">
        <v>7</v>
      </c>
      <c r="G763">
        <v>23</v>
      </c>
      <c r="H763" t="str">
        <f>VLOOKUP(G763,'Hilfetabelle Region'!$A$17:$B$19,2,)</f>
        <v>Privatkunde</v>
      </c>
    </row>
    <row r="764" spans="1:8" x14ac:dyDescent="0.35">
      <c r="A764">
        <v>763</v>
      </c>
      <c r="B764" t="str">
        <f>VLOOKUP(F764,'Hilfetabelle Region'!$A$2:$C$14,2,FALSE)</f>
        <v>Afrika</v>
      </c>
      <c r="C764" t="str">
        <f t="shared" si="11"/>
        <v>Geschäftskunde</v>
      </c>
      <c r="E764" s="1"/>
      <c r="F764">
        <v>11</v>
      </c>
      <c r="G764">
        <v>22</v>
      </c>
      <c r="H764" t="str">
        <f>VLOOKUP(G764,'Hilfetabelle Region'!$A$17:$B$19,2,)</f>
        <v>Geschäftskunde</v>
      </c>
    </row>
    <row r="765" spans="1:8" x14ac:dyDescent="0.35">
      <c r="A765">
        <v>764</v>
      </c>
      <c r="B765" t="str">
        <f>VLOOKUP(F765,'Hilfetabelle Region'!$A$2:$C$14,2,FALSE)</f>
        <v>Europa</v>
      </c>
      <c r="C765" t="str">
        <f t="shared" si="11"/>
        <v>Privatkunde</v>
      </c>
      <c r="E765" s="1"/>
      <c r="F765">
        <v>4</v>
      </c>
      <c r="G765">
        <v>23</v>
      </c>
      <c r="H765" t="str">
        <f>VLOOKUP(G765,'Hilfetabelle Region'!$A$17:$B$19,2,)</f>
        <v>Privatkunde</v>
      </c>
    </row>
    <row r="766" spans="1:8" x14ac:dyDescent="0.35">
      <c r="A766">
        <v>765</v>
      </c>
      <c r="B766" t="str">
        <f>VLOOKUP(F766,'Hilfetabelle Region'!$A$2:$C$14,2,FALSE)</f>
        <v>Europa</v>
      </c>
      <c r="C766" t="str">
        <f t="shared" si="11"/>
        <v>Geschäftskunde</v>
      </c>
      <c r="E766" s="1"/>
      <c r="F766">
        <v>2</v>
      </c>
      <c r="G766">
        <v>21</v>
      </c>
      <c r="H766" t="str">
        <f>VLOOKUP(G766,'Hilfetabelle Region'!$A$17:$B$19,2,)</f>
        <v>Geschäftskunde</v>
      </c>
    </row>
    <row r="767" spans="1:8" x14ac:dyDescent="0.35">
      <c r="A767">
        <v>766</v>
      </c>
      <c r="B767" t="str">
        <f>VLOOKUP(F767,'Hilfetabelle Region'!$A$2:$C$14,2,FALSE)</f>
        <v>Europa</v>
      </c>
      <c r="C767" t="str">
        <f t="shared" si="11"/>
        <v>Privatkunde</v>
      </c>
      <c r="E767" s="1"/>
      <c r="F767">
        <v>3</v>
      </c>
      <c r="G767">
        <v>23</v>
      </c>
      <c r="H767" t="str">
        <f>VLOOKUP(G767,'Hilfetabelle Region'!$A$17:$B$19,2,)</f>
        <v>Privatkunde</v>
      </c>
    </row>
    <row r="768" spans="1:8" x14ac:dyDescent="0.35">
      <c r="A768">
        <v>767</v>
      </c>
      <c r="B768" t="str">
        <f>VLOOKUP(F768,'Hilfetabelle Region'!$A$2:$C$14,2,FALSE)</f>
        <v>Europa</v>
      </c>
      <c r="C768" t="str">
        <f t="shared" si="11"/>
        <v>Geschäftskunde</v>
      </c>
      <c r="E768" s="1"/>
      <c r="F768">
        <v>6</v>
      </c>
      <c r="G768">
        <v>21</v>
      </c>
      <c r="H768" t="str">
        <f>VLOOKUP(G768,'Hilfetabelle Region'!$A$17:$B$19,2,)</f>
        <v>Geschäftskunde</v>
      </c>
    </row>
    <row r="769" spans="1:8" x14ac:dyDescent="0.35">
      <c r="A769">
        <v>768</v>
      </c>
      <c r="B769" t="str">
        <f>VLOOKUP(F769,'Hilfetabelle Region'!$A$2:$C$14,2,FALSE)</f>
        <v>Europa</v>
      </c>
      <c r="C769" t="str">
        <f t="shared" si="11"/>
        <v>Privatkunde</v>
      </c>
      <c r="E769" s="1"/>
      <c r="F769">
        <v>5</v>
      </c>
      <c r="G769">
        <v>23</v>
      </c>
      <c r="H769" t="str">
        <f>VLOOKUP(G769,'Hilfetabelle Region'!$A$17:$B$19,2,)</f>
        <v>Privatkunde</v>
      </c>
    </row>
    <row r="770" spans="1:8" x14ac:dyDescent="0.35">
      <c r="A770">
        <v>769</v>
      </c>
      <c r="B770" t="str">
        <f>VLOOKUP(F770,'Hilfetabelle Region'!$A$2:$C$14,2,FALSE)</f>
        <v>Europa</v>
      </c>
      <c r="C770" t="str">
        <f t="shared" si="11"/>
        <v>Geschäftskunde</v>
      </c>
      <c r="E770" s="1"/>
      <c r="F770">
        <v>2</v>
      </c>
      <c r="G770">
        <v>22</v>
      </c>
      <c r="H770" t="str">
        <f>VLOOKUP(G770,'Hilfetabelle Region'!$A$17:$B$19,2,)</f>
        <v>Geschäftskunde</v>
      </c>
    </row>
    <row r="771" spans="1:8" x14ac:dyDescent="0.35">
      <c r="A771">
        <v>770</v>
      </c>
      <c r="B771" t="str">
        <f>VLOOKUP(F771,'Hilfetabelle Region'!$A$2:$C$14,2,FALSE)</f>
        <v>Europa</v>
      </c>
      <c r="C771" t="str">
        <f t="shared" ref="C771:C801" si="12">IF(B771="Europa",H771,"Geschäftskunde")</f>
        <v>Geschäftskunde</v>
      </c>
      <c r="E771" s="1"/>
      <c r="F771">
        <v>1</v>
      </c>
      <c r="G771">
        <v>22</v>
      </c>
      <c r="H771" t="str">
        <f>VLOOKUP(G771,'Hilfetabelle Region'!$A$17:$B$19,2,)</f>
        <v>Geschäftskunde</v>
      </c>
    </row>
    <row r="772" spans="1:8" x14ac:dyDescent="0.35">
      <c r="A772">
        <v>771</v>
      </c>
      <c r="B772" t="str">
        <f>VLOOKUP(F772,'Hilfetabelle Region'!$A$2:$C$14,2,FALSE)</f>
        <v>Nordamerika</v>
      </c>
      <c r="C772" t="str">
        <f t="shared" si="12"/>
        <v>Geschäftskunde</v>
      </c>
      <c r="E772" s="1"/>
      <c r="F772">
        <v>7</v>
      </c>
      <c r="G772">
        <v>21</v>
      </c>
      <c r="H772" t="str">
        <f>VLOOKUP(G772,'Hilfetabelle Region'!$A$17:$B$19,2,)</f>
        <v>Geschäftskunde</v>
      </c>
    </row>
    <row r="773" spans="1:8" x14ac:dyDescent="0.35">
      <c r="A773">
        <v>772</v>
      </c>
      <c r="B773" t="str">
        <f>VLOOKUP(F773,'Hilfetabelle Region'!$A$2:$C$14,2,FALSE)</f>
        <v>Europa</v>
      </c>
      <c r="C773" t="str">
        <f t="shared" si="12"/>
        <v>Privatkunde</v>
      </c>
      <c r="E773" s="1"/>
      <c r="F773">
        <v>5</v>
      </c>
      <c r="G773">
        <v>23</v>
      </c>
      <c r="H773" t="str">
        <f>VLOOKUP(G773,'Hilfetabelle Region'!$A$17:$B$19,2,)</f>
        <v>Privatkunde</v>
      </c>
    </row>
    <row r="774" spans="1:8" x14ac:dyDescent="0.35">
      <c r="A774">
        <v>773</v>
      </c>
      <c r="B774" t="str">
        <f>VLOOKUP(F774,'Hilfetabelle Region'!$A$2:$C$14,2,FALSE)</f>
        <v>Nordamerika</v>
      </c>
      <c r="C774" t="str">
        <f t="shared" si="12"/>
        <v>Geschäftskunde</v>
      </c>
      <c r="E774" s="1"/>
      <c r="F774">
        <v>9</v>
      </c>
      <c r="G774">
        <v>21</v>
      </c>
      <c r="H774" t="str">
        <f>VLOOKUP(G774,'Hilfetabelle Region'!$A$17:$B$19,2,)</f>
        <v>Geschäftskunde</v>
      </c>
    </row>
    <row r="775" spans="1:8" x14ac:dyDescent="0.35">
      <c r="A775">
        <v>774</v>
      </c>
      <c r="B775" t="str">
        <f>VLOOKUP(F775,'Hilfetabelle Region'!$A$2:$C$14,2,FALSE)</f>
        <v>Nordamerika</v>
      </c>
      <c r="C775" t="str">
        <f t="shared" si="12"/>
        <v>Geschäftskunde</v>
      </c>
      <c r="E775" s="1"/>
      <c r="F775">
        <v>8</v>
      </c>
      <c r="G775">
        <v>23</v>
      </c>
      <c r="H775" t="str">
        <f>VLOOKUP(G775,'Hilfetabelle Region'!$A$17:$B$19,2,)</f>
        <v>Privatkunde</v>
      </c>
    </row>
    <row r="776" spans="1:8" x14ac:dyDescent="0.35">
      <c r="A776">
        <v>775</v>
      </c>
      <c r="B776" t="str">
        <f>VLOOKUP(F776,'Hilfetabelle Region'!$A$2:$C$14,2,FALSE)</f>
        <v>Asien</v>
      </c>
      <c r="C776" t="str">
        <f t="shared" si="12"/>
        <v>Geschäftskunde</v>
      </c>
      <c r="E776" s="1"/>
      <c r="F776">
        <v>13</v>
      </c>
      <c r="G776">
        <v>22</v>
      </c>
      <c r="H776" t="str">
        <f>VLOOKUP(G776,'Hilfetabelle Region'!$A$17:$B$19,2,)</f>
        <v>Geschäftskunde</v>
      </c>
    </row>
    <row r="777" spans="1:8" x14ac:dyDescent="0.35">
      <c r="A777">
        <v>776</v>
      </c>
      <c r="B777" t="str">
        <f>VLOOKUP(F777,'Hilfetabelle Region'!$A$2:$C$14,2,FALSE)</f>
        <v>Europa</v>
      </c>
      <c r="C777" t="str">
        <f t="shared" si="12"/>
        <v>Privatkunde</v>
      </c>
      <c r="E777" s="1"/>
      <c r="F777">
        <v>5</v>
      </c>
      <c r="G777">
        <v>23</v>
      </c>
      <c r="H777" t="str">
        <f>VLOOKUP(G777,'Hilfetabelle Region'!$A$17:$B$19,2,)</f>
        <v>Privatkunde</v>
      </c>
    </row>
    <row r="778" spans="1:8" x14ac:dyDescent="0.35">
      <c r="A778">
        <v>777</v>
      </c>
      <c r="B778" t="str">
        <f>VLOOKUP(F778,'Hilfetabelle Region'!$A$2:$C$14,2,FALSE)</f>
        <v>Nordamerika</v>
      </c>
      <c r="C778" t="str">
        <f t="shared" si="12"/>
        <v>Geschäftskunde</v>
      </c>
      <c r="E778" s="1"/>
      <c r="F778">
        <v>9</v>
      </c>
      <c r="G778">
        <v>22</v>
      </c>
      <c r="H778" t="str">
        <f>VLOOKUP(G778,'Hilfetabelle Region'!$A$17:$B$19,2,)</f>
        <v>Geschäftskunde</v>
      </c>
    </row>
    <row r="779" spans="1:8" x14ac:dyDescent="0.35">
      <c r="A779">
        <v>778</v>
      </c>
      <c r="B779" t="str">
        <f>VLOOKUP(F779,'Hilfetabelle Region'!$A$2:$C$14,2,FALSE)</f>
        <v>Europa</v>
      </c>
      <c r="C779" t="str">
        <f t="shared" si="12"/>
        <v>Geschäftskunde</v>
      </c>
      <c r="E779" s="1"/>
      <c r="F779">
        <v>5</v>
      </c>
      <c r="G779">
        <v>22</v>
      </c>
      <c r="H779" t="str">
        <f>VLOOKUP(G779,'Hilfetabelle Region'!$A$17:$B$19,2,)</f>
        <v>Geschäftskunde</v>
      </c>
    </row>
    <row r="780" spans="1:8" x14ac:dyDescent="0.35">
      <c r="A780">
        <v>779</v>
      </c>
      <c r="B780" t="str">
        <f>VLOOKUP(F780,'Hilfetabelle Region'!$A$2:$C$14,2,FALSE)</f>
        <v>Asien</v>
      </c>
      <c r="C780" t="str">
        <f t="shared" si="12"/>
        <v>Geschäftskunde</v>
      </c>
      <c r="E780" s="1"/>
      <c r="F780">
        <v>12</v>
      </c>
      <c r="G780">
        <v>22</v>
      </c>
      <c r="H780" t="str">
        <f>VLOOKUP(G780,'Hilfetabelle Region'!$A$17:$B$19,2,)</f>
        <v>Geschäftskunde</v>
      </c>
    </row>
    <row r="781" spans="1:8" x14ac:dyDescent="0.35">
      <c r="A781">
        <v>780</v>
      </c>
      <c r="B781" t="str">
        <f>VLOOKUP(F781,'Hilfetabelle Region'!$A$2:$C$14,2,FALSE)</f>
        <v>Nordamerika</v>
      </c>
      <c r="C781" t="str">
        <f t="shared" si="12"/>
        <v>Geschäftskunde</v>
      </c>
      <c r="E781" s="1"/>
      <c r="F781">
        <v>9</v>
      </c>
      <c r="G781">
        <v>21</v>
      </c>
      <c r="H781" t="str">
        <f>VLOOKUP(G781,'Hilfetabelle Region'!$A$17:$B$19,2,)</f>
        <v>Geschäftskunde</v>
      </c>
    </row>
    <row r="782" spans="1:8" x14ac:dyDescent="0.35">
      <c r="A782">
        <v>781</v>
      </c>
      <c r="B782" t="str">
        <f>VLOOKUP(F782,'Hilfetabelle Region'!$A$2:$C$14,2,FALSE)</f>
        <v>Europa</v>
      </c>
      <c r="C782" t="str">
        <f t="shared" si="12"/>
        <v>Geschäftskunde</v>
      </c>
      <c r="E782" s="1"/>
      <c r="F782">
        <v>1</v>
      </c>
      <c r="G782">
        <v>21</v>
      </c>
      <c r="H782" t="str">
        <f>VLOOKUP(G782,'Hilfetabelle Region'!$A$17:$B$19,2,)</f>
        <v>Geschäftskunde</v>
      </c>
    </row>
    <row r="783" spans="1:8" x14ac:dyDescent="0.35">
      <c r="A783">
        <v>782</v>
      </c>
      <c r="B783" t="str">
        <f>VLOOKUP(F783,'Hilfetabelle Region'!$A$2:$C$14,2,FALSE)</f>
        <v>Europa</v>
      </c>
      <c r="C783" t="str">
        <f t="shared" si="12"/>
        <v>Geschäftskunde</v>
      </c>
      <c r="E783" s="1"/>
      <c r="F783">
        <v>5</v>
      </c>
      <c r="G783">
        <v>22</v>
      </c>
      <c r="H783" t="str">
        <f>VLOOKUP(G783,'Hilfetabelle Region'!$A$17:$B$19,2,)</f>
        <v>Geschäftskunde</v>
      </c>
    </row>
    <row r="784" spans="1:8" x14ac:dyDescent="0.35">
      <c r="A784">
        <v>783</v>
      </c>
      <c r="B784" t="str">
        <f>VLOOKUP(F784,'Hilfetabelle Region'!$A$2:$C$14,2,FALSE)</f>
        <v>Nordamerika</v>
      </c>
      <c r="C784" t="str">
        <f t="shared" si="12"/>
        <v>Geschäftskunde</v>
      </c>
      <c r="E784" s="1"/>
      <c r="F784">
        <v>9</v>
      </c>
      <c r="G784">
        <v>22</v>
      </c>
      <c r="H784" t="str">
        <f>VLOOKUP(G784,'Hilfetabelle Region'!$A$17:$B$19,2,)</f>
        <v>Geschäftskunde</v>
      </c>
    </row>
    <row r="785" spans="1:8" x14ac:dyDescent="0.35">
      <c r="A785">
        <v>784</v>
      </c>
      <c r="B785" t="str">
        <f>VLOOKUP(F785,'Hilfetabelle Region'!$A$2:$C$14,2,FALSE)</f>
        <v>Europa</v>
      </c>
      <c r="C785" t="str">
        <f t="shared" si="12"/>
        <v>Privatkunde</v>
      </c>
      <c r="E785" s="1"/>
      <c r="F785">
        <v>3</v>
      </c>
      <c r="G785">
        <v>23</v>
      </c>
      <c r="H785" t="str">
        <f>VLOOKUP(G785,'Hilfetabelle Region'!$A$17:$B$19,2,)</f>
        <v>Privatkunde</v>
      </c>
    </row>
    <row r="786" spans="1:8" x14ac:dyDescent="0.35">
      <c r="A786">
        <v>785</v>
      </c>
      <c r="B786" t="str">
        <f>VLOOKUP(F786,'Hilfetabelle Region'!$A$2:$C$14,2,FALSE)</f>
        <v>Europa</v>
      </c>
      <c r="C786" t="str">
        <f t="shared" si="12"/>
        <v>Geschäftskunde</v>
      </c>
      <c r="E786" s="1"/>
      <c r="F786">
        <v>6</v>
      </c>
      <c r="G786">
        <v>22</v>
      </c>
      <c r="H786" t="str">
        <f>VLOOKUP(G786,'Hilfetabelle Region'!$A$17:$B$19,2,)</f>
        <v>Geschäftskunde</v>
      </c>
    </row>
    <row r="787" spans="1:8" x14ac:dyDescent="0.35">
      <c r="A787">
        <v>786</v>
      </c>
      <c r="B787" t="str">
        <f>VLOOKUP(F787,'Hilfetabelle Region'!$A$2:$C$14,2,FALSE)</f>
        <v>Europa</v>
      </c>
      <c r="C787" t="str">
        <f t="shared" si="12"/>
        <v>Privatkunde</v>
      </c>
      <c r="E787" s="1"/>
      <c r="F787">
        <v>4</v>
      </c>
      <c r="G787">
        <v>23</v>
      </c>
      <c r="H787" t="str">
        <f>VLOOKUP(G787,'Hilfetabelle Region'!$A$17:$B$19,2,)</f>
        <v>Privatkunde</v>
      </c>
    </row>
    <row r="788" spans="1:8" x14ac:dyDescent="0.35">
      <c r="A788">
        <v>787</v>
      </c>
      <c r="B788" t="str">
        <f>VLOOKUP(F788,'Hilfetabelle Region'!$A$2:$C$14,2,FALSE)</f>
        <v>Europa</v>
      </c>
      <c r="C788" t="str">
        <f t="shared" si="12"/>
        <v>Geschäftskunde</v>
      </c>
      <c r="E788" s="1"/>
      <c r="F788">
        <v>5</v>
      </c>
      <c r="G788">
        <v>21</v>
      </c>
      <c r="H788" t="str">
        <f>VLOOKUP(G788,'Hilfetabelle Region'!$A$17:$B$19,2,)</f>
        <v>Geschäftskunde</v>
      </c>
    </row>
    <row r="789" spans="1:8" x14ac:dyDescent="0.35">
      <c r="A789">
        <v>788</v>
      </c>
      <c r="B789" t="str">
        <f>VLOOKUP(F789,'Hilfetabelle Region'!$A$2:$C$14,2,FALSE)</f>
        <v>Nordamerika</v>
      </c>
      <c r="C789" t="str">
        <f t="shared" si="12"/>
        <v>Geschäftskunde</v>
      </c>
      <c r="E789" s="1"/>
      <c r="F789">
        <v>9</v>
      </c>
      <c r="G789">
        <v>21</v>
      </c>
      <c r="H789" t="str">
        <f>VLOOKUP(G789,'Hilfetabelle Region'!$A$17:$B$19,2,)</f>
        <v>Geschäftskunde</v>
      </c>
    </row>
    <row r="790" spans="1:8" x14ac:dyDescent="0.35">
      <c r="A790">
        <v>789</v>
      </c>
      <c r="B790" t="str">
        <f>VLOOKUP(F790,'Hilfetabelle Region'!$A$2:$C$14,2,FALSE)</f>
        <v>Europa</v>
      </c>
      <c r="C790" t="str">
        <f t="shared" si="12"/>
        <v>Geschäftskunde</v>
      </c>
      <c r="E790" s="1"/>
      <c r="F790">
        <v>1</v>
      </c>
      <c r="G790">
        <v>22</v>
      </c>
      <c r="H790" t="str">
        <f>VLOOKUP(G790,'Hilfetabelle Region'!$A$17:$B$19,2,)</f>
        <v>Geschäftskunde</v>
      </c>
    </row>
    <row r="791" spans="1:8" x14ac:dyDescent="0.35">
      <c r="A791">
        <v>790</v>
      </c>
      <c r="B791" t="str">
        <f>VLOOKUP(F791,'Hilfetabelle Region'!$A$2:$C$14,2,FALSE)</f>
        <v>Afrika</v>
      </c>
      <c r="C791" t="str">
        <f t="shared" si="12"/>
        <v>Geschäftskunde</v>
      </c>
      <c r="E791" s="1"/>
      <c r="F791">
        <v>11</v>
      </c>
      <c r="G791">
        <v>21</v>
      </c>
      <c r="H791" t="str">
        <f>VLOOKUP(G791,'Hilfetabelle Region'!$A$17:$B$19,2,)</f>
        <v>Geschäftskunde</v>
      </c>
    </row>
    <row r="792" spans="1:8" x14ac:dyDescent="0.35">
      <c r="A792">
        <v>791</v>
      </c>
      <c r="B792" t="str">
        <f>VLOOKUP(F792,'Hilfetabelle Region'!$A$2:$C$14,2,FALSE)</f>
        <v>Nordamerika</v>
      </c>
      <c r="C792" t="str">
        <f t="shared" si="12"/>
        <v>Geschäftskunde</v>
      </c>
      <c r="E792" s="1"/>
      <c r="F792">
        <v>9</v>
      </c>
      <c r="G792">
        <v>23</v>
      </c>
      <c r="H792" t="str">
        <f>VLOOKUP(G792,'Hilfetabelle Region'!$A$17:$B$19,2,)</f>
        <v>Privatkunde</v>
      </c>
    </row>
    <row r="793" spans="1:8" x14ac:dyDescent="0.35">
      <c r="A793">
        <v>792</v>
      </c>
      <c r="B793" t="str">
        <f>VLOOKUP(F793,'Hilfetabelle Region'!$A$2:$C$14,2,FALSE)</f>
        <v>Afrika</v>
      </c>
      <c r="C793" t="str">
        <f t="shared" si="12"/>
        <v>Geschäftskunde</v>
      </c>
      <c r="E793" s="1"/>
      <c r="F793">
        <v>11</v>
      </c>
      <c r="G793">
        <v>21</v>
      </c>
      <c r="H793" t="str">
        <f>VLOOKUP(G793,'Hilfetabelle Region'!$A$17:$B$19,2,)</f>
        <v>Geschäftskunde</v>
      </c>
    </row>
    <row r="794" spans="1:8" x14ac:dyDescent="0.35">
      <c r="A794">
        <v>793</v>
      </c>
      <c r="B794" t="str">
        <f>VLOOKUP(F794,'Hilfetabelle Region'!$A$2:$C$14,2,FALSE)</f>
        <v>Europa</v>
      </c>
      <c r="C794" t="str">
        <f t="shared" si="12"/>
        <v>Geschäftskunde</v>
      </c>
      <c r="E794" s="1"/>
      <c r="F794">
        <v>1</v>
      </c>
      <c r="G794">
        <v>21</v>
      </c>
      <c r="H794" t="str">
        <f>VLOOKUP(G794,'Hilfetabelle Region'!$A$17:$B$19,2,)</f>
        <v>Geschäftskunde</v>
      </c>
    </row>
    <row r="795" spans="1:8" x14ac:dyDescent="0.35">
      <c r="A795">
        <v>794</v>
      </c>
      <c r="B795" t="str">
        <f>VLOOKUP(F795,'Hilfetabelle Region'!$A$2:$C$14,2,FALSE)</f>
        <v>Asien</v>
      </c>
      <c r="C795" t="str">
        <f t="shared" si="12"/>
        <v>Geschäftskunde</v>
      </c>
      <c r="E795" s="1"/>
      <c r="F795">
        <v>12</v>
      </c>
      <c r="G795">
        <v>21</v>
      </c>
      <c r="H795" t="str">
        <f>VLOOKUP(G795,'Hilfetabelle Region'!$A$17:$B$19,2,)</f>
        <v>Geschäftskunde</v>
      </c>
    </row>
    <row r="796" spans="1:8" x14ac:dyDescent="0.35">
      <c r="A796">
        <v>795</v>
      </c>
      <c r="B796" t="str">
        <f>VLOOKUP(F796,'Hilfetabelle Region'!$A$2:$C$14,2,FALSE)</f>
        <v>Europa</v>
      </c>
      <c r="C796" t="str">
        <f t="shared" si="12"/>
        <v>Geschäftskunde</v>
      </c>
      <c r="E796" s="1"/>
      <c r="F796">
        <v>4</v>
      </c>
      <c r="G796">
        <v>21</v>
      </c>
      <c r="H796" t="str">
        <f>VLOOKUP(G796,'Hilfetabelle Region'!$A$17:$B$19,2,)</f>
        <v>Geschäftskunde</v>
      </c>
    </row>
    <row r="797" spans="1:8" x14ac:dyDescent="0.35">
      <c r="A797">
        <v>796</v>
      </c>
      <c r="B797" t="str">
        <f>VLOOKUP(F797,'Hilfetabelle Region'!$A$2:$C$14,2,FALSE)</f>
        <v>Asien</v>
      </c>
      <c r="C797" t="str">
        <f t="shared" si="12"/>
        <v>Geschäftskunde</v>
      </c>
      <c r="E797" s="1"/>
      <c r="F797">
        <v>13</v>
      </c>
      <c r="G797">
        <v>22</v>
      </c>
      <c r="H797" t="str">
        <f>VLOOKUP(G797,'Hilfetabelle Region'!$A$17:$B$19,2,)</f>
        <v>Geschäftskunde</v>
      </c>
    </row>
    <row r="798" spans="1:8" x14ac:dyDescent="0.35">
      <c r="A798">
        <v>797</v>
      </c>
      <c r="B798" t="str">
        <f>VLOOKUP(F798,'Hilfetabelle Region'!$A$2:$C$14,2,FALSE)</f>
        <v>Europa</v>
      </c>
      <c r="C798" t="str">
        <f t="shared" si="12"/>
        <v>Geschäftskunde</v>
      </c>
      <c r="E798" s="1"/>
      <c r="F798">
        <v>2</v>
      </c>
      <c r="G798">
        <v>21</v>
      </c>
      <c r="H798" t="str">
        <f>VLOOKUP(G798,'Hilfetabelle Region'!$A$17:$B$19,2,)</f>
        <v>Geschäftskunde</v>
      </c>
    </row>
    <row r="799" spans="1:8" x14ac:dyDescent="0.35">
      <c r="A799">
        <v>798</v>
      </c>
      <c r="B799" t="str">
        <f>VLOOKUP(F799,'Hilfetabelle Region'!$A$2:$C$14,2,FALSE)</f>
        <v>Asien</v>
      </c>
      <c r="C799" t="str">
        <f t="shared" si="12"/>
        <v>Geschäftskunde</v>
      </c>
      <c r="E799" s="1"/>
      <c r="F799">
        <v>12</v>
      </c>
      <c r="G799">
        <v>21</v>
      </c>
      <c r="H799" t="str">
        <f>VLOOKUP(G799,'Hilfetabelle Region'!$A$17:$B$19,2,)</f>
        <v>Geschäftskunde</v>
      </c>
    </row>
    <row r="800" spans="1:8" x14ac:dyDescent="0.35">
      <c r="A800">
        <v>799</v>
      </c>
      <c r="B800" t="str">
        <f>VLOOKUP(F800,'Hilfetabelle Region'!$A$2:$C$14,2,FALSE)</f>
        <v>Asien</v>
      </c>
      <c r="C800" t="str">
        <f t="shared" si="12"/>
        <v>Geschäftskunde</v>
      </c>
      <c r="E800" s="1"/>
      <c r="F800">
        <v>13</v>
      </c>
      <c r="G800">
        <v>21</v>
      </c>
      <c r="H800" t="str">
        <f>VLOOKUP(G800,'Hilfetabelle Region'!$A$17:$B$19,2,)</f>
        <v>Geschäftskunde</v>
      </c>
    </row>
    <row r="801" spans="1:8" x14ac:dyDescent="0.35">
      <c r="A801">
        <v>800</v>
      </c>
      <c r="B801" t="str">
        <f>VLOOKUP(F801,'Hilfetabelle Region'!$A$2:$C$14,2,FALSE)</f>
        <v>Europa</v>
      </c>
      <c r="C801" t="str">
        <f t="shared" si="12"/>
        <v>Geschäftskunde</v>
      </c>
      <c r="E801" s="1"/>
      <c r="F801">
        <v>6</v>
      </c>
      <c r="G801">
        <v>21</v>
      </c>
      <c r="H801" t="str">
        <f>VLOOKUP(G801,'Hilfetabelle Region'!$A$17:$B$19,2,)</f>
        <v>Geschäftskunde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C84FE-D8CA-4128-9F4E-6D4FB7E008CF}">
  <sheetPr codeName="Tabelle7"/>
  <dimension ref="A1:B19"/>
  <sheetViews>
    <sheetView workbookViewId="0">
      <selection activeCell="B20" sqref="B20"/>
    </sheetView>
  </sheetViews>
  <sheetFormatPr baseColWidth="10" defaultRowHeight="14.5" x14ac:dyDescent="0.35"/>
  <cols>
    <col min="2" max="2" width="12.54296875" bestFit="1" customWidth="1"/>
  </cols>
  <sheetData>
    <row r="1" spans="1:2" x14ac:dyDescent="0.35">
      <c r="B1" t="s">
        <v>42</v>
      </c>
    </row>
    <row r="2" spans="1:2" x14ac:dyDescent="0.35">
      <c r="A2">
        <v>1</v>
      </c>
      <c r="B2" t="s">
        <v>43</v>
      </c>
    </row>
    <row r="3" spans="1:2" x14ac:dyDescent="0.35">
      <c r="A3">
        <v>2</v>
      </c>
      <c r="B3" t="s">
        <v>43</v>
      </c>
    </row>
    <row r="4" spans="1:2" x14ac:dyDescent="0.35">
      <c r="A4">
        <v>3</v>
      </c>
      <c r="B4" t="s">
        <v>43</v>
      </c>
    </row>
    <row r="5" spans="1:2" x14ac:dyDescent="0.35">
      <c r="A5">
        <v>4</v>
      </c>
      <c r="B5" t="s">
        <v>43</v>
      </c>
    </row>
    <row r="6" spans="1:2" x14ac:dyDescent="0.35">
      <c r="A6">
        <v>5</v>
      </c>
      <c r="B6" t="s">
        <v>43</v>
      </c>
    </row>
    <row r="7" spans="1:2" x14ac:dyDescent="0.35">
      <c r="A7">
        <v>6</v>
      </c>
      <c r="B7" t="s">
        <v>43</v>
      </c>
    </row>
    <row r="8" spans="1:2" x14ac:dyDescent="0.35">
      <c r="A8">
        <v>7</v>
      </c>
      <c r="B8" t="s">
        <v>38</v>
      </c>
    </row>
    <row r="9" spans="1:2" x14ac:dyDescent="0.35">
      <c r="A9">
        <v>8</v>
      </c>
      <c r="B9" t="s">
        <v>38</v>
      </c>
    </row>
    <row r="10" spans="1:2" x14ac:dyDescent="0.35">
      <c r="A10">
        <v>9</v>
      </c>
      <c r="B10" t="s">
        <v>38</v>
      </c>
    </row>
    <row r="11" spans="1:2" x14ac:dyDescent="0.35">
      <c r="A11">
        <v>10</v>
      </c>
      <c r="B11" t="s">
        <v>40</v>
      </c>
    </row>
    <row r="12" spans="1:2" x14ac:dyDescent="0.35">
      <c r="A12">
        <v>11</v>
      </c>
      <c r="B12" t="s">
        <v>39</v>
      </c>
    </row>
    <row r="13" spans="1:2" x14ac:dyDescent="0.35">
      <c r="A13">
        <v>12</v>
      </c>
      <c r="B13" t="s">
        <v>41</v>
      </c>
    </row>
    <row r="14" spans="1:2" x14ac:dyDescent="0.35">
      <c r="A14">
        <v>13</v>
      </c>
      <c r="B14" t="s">
        <v>41</v>
      </c>
    </row>
    <row r="16" spans="1:2" x14ac:dyDescent="0.35">
      <c r="B16" t="s">
        <v>10</v>
      </c>
    </row>
    <row r="17" spans="1:2" x14ac:dyDescent="0.35">
      <c r="A17">
        <v>21</v>
      </c>
      <c r="B17" t="s">
        <v>46</v>
      </c>
    </row>
    <row r="18" spans="1:2" x14ac:dyDescent="0.35">
      <c r="A18">
        <v>22</v>
      </c>
      <c r="B18" t="s">
        <v>46</v>
      </c>
    </row>
    <row r="19" spans="1:2" x14ac:dyDescent="0.35">
      <c r="A19">
        <v>23</v>
      </c>
      <c r="B19" t="s">
        <v>47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9F0DF-0101-427F-BE11-52086AB49356}">
  <sheetPr codeName="Tabelle4"/>
  <dimension ref="A1:E5"/>
  <sheetViews>
    <sheetView workbookViewId="0">
      <selection activeCell="C7" sqref="C7"/>
    </sheetView>
  </sheetViews>
  <sheetFormatPr baseColWidth="10" defaultRowHeight="14.5" x14ac:dyDescent="0.35"/>
  <cols>
    <col min="3" max="3" width="12.1796875" bestFit="1" customWidth="1"/>
    <col min="4" max="4" width="16.453125" bestFit="1" customWidth="1"/>
    <col min="5" max="5" width="15.7265625" bestFit="1" customWidth="1"/>
  </cols>
  <sheetData>
    <row r="1" spans="1:5" x14ac:dyDescent="0.35">
      <c r="B1" t="s">
        <v>2</v>
      </c>
      <c r="C1" t="s">
        <v>8</v>
      </c>
      <c r="D1" t="s">
        <v>9</v>
      </c>
      <c r="E1" t="s">
        <v>11</v>
      </c>
    </row>
    <row r="2" spans="1:5" x14ac:dyDescent="0.35">
      <c r="A2">
        <v>1</v>
      </c>
      <c r="B2" t="s">
        <v>23</v>
      </c>
      <c r="C2">
        <v>300</v>
      </c>
      <c r="D2">
        <v>250</v>
      </c>
      <c r="E2" t="s">
        <v>27</v>
      </c>
    </row>
    <row r="3" spans="1:5" x14ac:dyDescent="0.35">
      <c r="A3">
        <v>2</v>
      </c>
      <c r="B3" t="s">
        <v>24</v>
      </c>
      <c r="C3">
        <v>480</v>
      </c>
      <c r="D3">
        <v>300</v>
      </c>
      <c r="E3" t="s">
        <v>28</v>
      </c>
    </row>
    <row r="4" spans="1:5" x14ac:dyDescent="0.35">
      <c r="A4">
        <v>3</v>
      </c>
      <c r="B4" t="s">
        <v>25</v>
      </c>
      <c r="C4">
        <v>1500</v>
      </c>
      <c r="D4">
        <v>1000</v>
      </c>
      <c r="E4">
        <v>5</v>
      </c>
    </row>
    <row r="5" spans="1:5" x14ac:dyDescent="0.35">
      <c r="A5">
        <v>4</v>
      </c>
      <c r="B5" t="s">
        <v>26</v>
      </c>
      <c r="C5">
        <v>800</v>
      </c>
      <c r="D5">
        <v>600</v>
      </c>
      <c r="E5">
        <v>3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54719-3FFD-43C5-9BC8-8B8E4F758C8E}">
  <sheetPr codeName="Tabelle8"/>
  <dimension ref="A1:J10000"/>
  <sheetViews>
    <sheetView workbookViewId="0">
      <selection activeCell="F5" sqref="F5"/>
    </sheetView>
  </sheetViews>
  <sheetFormatPr baseColWidth="10" defaultRowHeight="14.5" x14ac:dyDescent="0.35"/>
  <cols>
    <col min="2" max="2" width="11.453125" bestFit="1" customWidth="1"/>
    <col min="9" max="9" width="18" bestFit="1" customWidth="1"/>
    <col min="10" max="10" width="13.90625" bestFit="1" customWidth="1"/>
  </cols>
  <sheetData>
    <row r="1" spans="1:10" x14ac:dyDescent="0.35">
      <c r="A1" t="s">
        <v>66</v>
      </c>
      <c r="B1" t="s">
        <v>30</v>
      </c>
      <c r="C1" t="s">
        <v>31</v>
      </c>
      <c r="D1" t="s">
        <v>32</v>
      </c>
      <c r="H1" t="s">
        <v>68</v>
      </c>
      <c r="I1" t="s">
        <v>69</v>
      </c>
      <c r="J1" t="s">
        <v>70</v>
      </c>
    </row>
    <row r="2" spans="1:10" x14ac:dyDescent="0.35">
      <c r="A2" s="2">
        <v>44774</v>
      </c>
      <c r="B2" s="3">
        <v>0.63950231481481479</v>
      </c>
      <c r="C2">
        <v>34</v>
      </c>
      <c r="D2" t="str">
        <f>VLOOKUP(H2,Produkt!$A$2:$B$5,2,FALSE)</f>
        <v>B</v>
      </c>
      <c r="H2">
        <v>2</v>
      </c>
      <c r="I2">
        <v>0.71564814814814814</v>
      </c>
      <c r="J2">
        <v>44791</v>
      </c>
    </row>
    <row r="3" spans="1:10" x14ac:dyDescent="0.35">
      <c r="A3" s="2">
        <v>44774</v>
      </c>
      <c r="B3" s="3">
        <v>0.67491898148148144</v>
      </c>
      <c r="C3">
        <v>110</v>
      </c>
      <c r="D3" t="str">
        <f>VLOOKUP(H3,Produkt!$A$2:$B$5,2,FALSE)</f>
        <v>C</v>
      </c>
      <c r="H3">
        <v>3</v>
      </c>
      <c r="I3">
        <v>8.4108796296296293E-2</v>
      </c>
      <c r="J3">
        <v>44781</v>
      </c>
    </row>
    <row r="4" spans="1:10" x14ac:dyDescent="0.35">
      <c r="A4" s="2">
        <v>44774</v>
      </c>
      <c r="B4" s="3">
        <v>0.65178240740740734</v>
      </c>
      <c r="C4">
        <v>141</v>
      </c>
      <c r="D4" t="str">
        <f>VLOOKUP(H4,Produkt!$A$2:$B$5,2,FALSE)</f>
        <v>D</v>
      </c>
      <c r="H4">
        <v>4</v>
      </c>
      <c r="I4">
        <v>9.490740740740744E-4</v>
      </c>
      <c r="J4">
        <v>44782</v>
      </c>
    </row>
    <row r="5" spans="1:10" x14ac:dyDescent="0.35">
      <c r="A5" s="2">
        <v>44774</v>
      </c>
      <c r="B5" s="3">
        <v>0.33152777777777781</v>
      </c>
      <c r="C5">
        <v>156</v>
      </c>
      <c r="D5" t="str">
        <f>VLOOKUP(H5,Produkt!$A$2:$B$5,2,FALSE)</f>
        <v>C</v>
      </c>
      <c r="H5">
        <v>3</v>
      </c>
      <c r="I5">
        <v>0.17538194444444444</v>
      </c>
      <c r="J5">
        <v>44787</v>
      </c>
    </row>
    <row r="6" spans="1:10" x14ac:dyDescent="0.35">
      <c r="A6" s="2">
        <v>44774</v>
      </c>
      <c r="B6" s="3">
        <v>0.9002430555555555</v>
      </c>
      <c r="C6">
        <v>224</v>
      </c>
      <c r="D6" t="str">
        <f>VLOOKUP(H6,Produkt!$A$2:$B$5,2,FALSE)</f>
        <v>C</v>
      </c>
      <c r="H6">
        <v>3</v>
      </c>
      <c r="I6">
        <v>0.78412037037037041</v>
      </c>
      <c r="J6">
        <v>44795</v>
      </c>
    </row>
    <row r="7" spans="1:10" x14ac:dyDescent="0.35">
      <c r="A7" s="2">
        <v>44774</v>
      </c>
      <c r="B7" s="3">
        <v>0.4305208333333333</v>
      </c>
      <c r="C7">
        <v>259</v>
      </c>
      <c r="D7" t="str">
        <f>VLOOKUP(H7,Produkt!$A$2:$B$5,2,FALSE)</f>
        <v>D</v>
      </c>
      <c r="H7">
        <v>4</v>
      </c>
      <c r="I7">
        <v>0.18228009259259259</v>
      </c>
      <c r="J7">
        <v>44793</v>
      </c>
    </row>
    <row r="8" spans="1:10" x14ac:dyDescent="0.35">
      <c r="A8" s="2">
        <v>44774</v>
      </c>
      <c r="B8" s="3">
        <v>0.70271990740740742</v>
      </c>
      <c r="C8">
        <v>279</v>
      </c>
      <c r="D8" t="str">
        <f>VLOOKUP(H8,Produkt!$A$2:$B$5,2,FALSE)</f>
        <v>B</v>
      </c>
      <c r="H8">
        <v>2</v>
      </c>
      <c r="I8">
        <v>0.72769675925925925</v>
      </c>
      <c r="J8">
        <v>44780</v>
      </c>
    </row>
    <row r="9" spans="1:10" x14ac:dyDescent="0.35">
      <c r="A9" s="2">
        <v>44774</v>
      </c>
      <c r="B9" s="3">
        <v>0.41435185185185186</v>
      </c>
      <c r="C9">
        <v>336</v>
      </c>
      <c r="D9" t="str">
        <f>VLOOKUP(H9,Produkt!$A$2:$B$5,2,FALSE)</f>
        <v>B</v>
      </c>
      <c r="H9">
        <v>2</v>
      </c>
      <c r="I9">
        <v>2.1006944444444443E-2</v>
      </c>
      <c r="J9">
        <v>44789</v>
      </c>
    </row>
    <row r="10" spans="1:10" x14ac:dyDescent="0.35">
      <c r="A10" s="2">
        <v>44774</v>
      </c>
      <c r="B10" s="3">
        <v>0.64597222222222228</v>
      </c>
      <c r="C10">
        <v>360</v>
      </c>
      <c r="D10" t="str">
        <f>VLOOKUP(H10,Produkt!$A$2:$B$5,2,FALSE)</f>
        <v>A</v>
      </c>
      <c r="H10">
        <v>1</v>
      </c>
      <c r="I10">
        <v>3.7962962962962963E-3</v>
      </c>
      <c r="J10">
        <v>44776</v>
      </c>
    </row>
    <row r="11" spans="1:10" x14ac:dyDescent="0.35">
      <c r="A11" s="2">
        <v>44774</v>
      </c>
      <c r="B11" s="3">
        <v>0.83174768518518516</v>
      </c>
      <c r="C11">
        <v>376</v>
      </c>
      <c r="D11" t="str">
        <f>VLOOKUP(H11,Produkt!$A$2:$B$5,2,FALSE)</f>
        <v>C</v>
      </c>
      <c r="H11">
        <v>3</v>
      </c>
      <c r="I11">
        <v>0.75906250000000008</v>
      </c>
      <c r="J11">
        <v>44782</v>
      </c>
    </row>
    <row r="12" spans="1:10" x14ac:dyDescent="0.35">
      <c r="A12" s="2">
        <v>44774</v>
      </c>
      <c r="B12" s="3">
        <v>0.35464120370370367</v>
      </c>
      <c r="C12">
        <v>379</v>
      </c>
      <c r="D12" t="str">
        <f>VLOOKUP(H12,Produkt!$A$2:$B$5,2,FALSE)</f>
        <v>D</v>
      </c>
      <c r="H12">
        <v>4</v>
      </c>
      <c r="I12">
        <v>0.47733796296296299</v>
      </c>
      <c r="J12">
        <v>44793</v>
      </c>
    </row>
    <row r="13" spans="1:10" x14ac:dyDescent="0.35">
      <c r="A13" s="2">
        <v>44774</v>
      </c>
      <c r="B13" s="3">
        <v>0.31615740740740739</v>
      </c>
      <c r="C13">
        <v>394</v>
      </c>
      <c r="D13" t="str">
        <f>VLOOKUP(H13,Produkt!$A$2:$B$5,2,FALSE)</f>
        <v>B</v>
      </c>
      <c r="H13">
        <v>2</v>
      </c>
      <c r="I13">
        <v>0.60584490740740737</v>
      </c>
      <c r="J13">
        <v>44780</v>
      </c>
    </row>
    <row r="14" spans="1:10" x14ac:dyDescent="0.35">
      <c r="A14" s="2">
        <v>44774</v>
      </c>
      <c r="B14" s="3">
        <v>0.93783564814814813</v>
      </c>
      <c r="C14">
        <v>422</v>
      </c>
      <c r="D14" t="str">
        <f>VLOOKUP(H14,Produkt!$A$2:$B$5,2,FALSE)</f>
        <v>D</v>
      </c>
      <c r="H14">
        <v>4</v>
      </c>
      <c r="I14">
        <v>0.94960648148148152</v>
      </c>
      <c r="J14">
        <v>44781</v>
      </c>
    </row>
    <row r="15" spans="1:10" x14ac:dyDescent="0.35">
      <c r="A15" s="2">
        <v>44774</v>
      </c>
      <c r="B15" s="3">
        <v>0.4646527777777778</v>
      </c>
      <c r="C15">
        <v>440</v>
      </c>
      <c r="D15" t="str">
        <f>VLOOKUP(H15,Produkt!$A$2:$B$5,2,FALSE)</f>
        <v>D</v>
      </c>
      <c r="H15">
        <v>4</v>
      </c>
      <c r="I15">
        <v>0.69373842592592594</v>
      </c>
      <c r="J15">
        <v>44787</v>
      </c>
    </row>
    <row r="16" spans="1:10" x14ac:dyDescent="0.35">
      <c r="A16" s="2">
        <v>44774</v>
      </c>
      <c r="B16" s="3">
        <v>0.33049768518518519</v>
      </c>
      <c r="C16">
        <v>441</v>
      </c>
      <c r="D16" t="str">
        <f>VLOOKUP(H16,Produkt!$A$2:$B$5,2,FALSE)</f>
        <v>B</v>
      </c>
      <c r="H16">
        <v>2</v>
      </c>
      <c r="I16">
        <v>0.52916666666666667</v>
      </c>
      <c r="J16">
        <v>44791</v>
      </c>
    </row>
    <row r="17" spans="1:10" x14ac:dyDescent="0.35">
      <c r="A17" s="2">
        <v>44774</v>
      </c>
      <c r="B17" s="3">
        <v>0.34489583333333335</v>
      </c>
      <c r="C17">
        <v>446</v>
      </c>
      <c r="D17" t="str">
        <f>VLOOKUP(H17,Produkt!$A$2:$B$5,2,FALSE)</f>
        <v>A</v>
      </c>
      <c r="H17">
        <v>1</v>
      </c>
      <c r="I17">
        <v>0.8828125</v>
      </c>
      <c r="J17">
        <v>44786</v>
      </c>
    </row>
    <row r="18" spans="1:10" x14ac:dyDescent="0.35">
      <c r="A18" s="2">
        <v>44774</v>
      </c>
      <c r="B18" s="3">
        <v>0.94777777777777772</v>
      </c>
      <c r="C18">
        <v>449</v>
      </c>
      <c r="D18" t="str">
        <f>VLOOKUP(H18,Produkt!$A$2:$B$5,2,FALSE)</f>
        <v>C</v>
      </c>
      <c r="H18">
        <v>3</v>
      </c>
      <c r="I18">
        <v>0.85355324074074079</v>
      </c>
      <c r="J18">
        <v>44777</v>
      </c>
    </row>
    <row r="19" spans="1:10" x14ac:dyDescent="0.35">
      <c r="A19" s="2">
        <v>44774</v>
      </c>
      <c r="B19" s="3">
        <v>9.8136574074074071E-2</v>
      </c>
      <c r="C19">
        <v>483</v>
      </c>
      <c r="D19" t="str">
        <f>VLOOKUP(H19,Produkt!$A$2:$B$5,2,FALSE)</f>
        <v>C</v>
      </c>
      <c r="H19">
        <v>3</v>
      </c>
      <c r="I19">
        <v>0.93931712962962965</v>
      </c>
      <c r="J19">
        <v>44788</v>
      </c>
    </row>
    <row r="20" spans="1:10" x14ac:dyDescent="0.35">
      <c r="A20" s="2">
        <v>44774</v>
      </c>
      <c r="B20" s="3">
        <v>0.54</v>
      </c>
      <c r="C20">
        <v>621</v>
      </c>
      <c r="D20" t="str">
        <f>VLOOKUP(H20,Produkt!$A$2:$B$5,2,FALSE)</f>
        <v>C</v>
      </c>
      <c r="H20">
        <v>3</v>
      </c>
      <c r="I20">
        <v>0.31837962962962962</v>
      </c>
      <c r="J20">
        <v>44777</v>
      </c>
    </row>
    <row r="21" spans="1:10" x14ac:dyDescent="0.35">
      <c r="A21" s="2">
        <v>44774</v>
      </c>
      <c r="B21" s="3">
        <v>0.90282407407407417</v>
      </c>
      <c r="C21">
        <v>630</v>
      </c>
      <c r="D21" t="str">
        <f>VLOOKUP(H21,Produkt!$A$2:$B$5,2,FALSE)</f>
        <v>A</v>
      </c>
      <c r="H21">
        <v>1</v>
      </c>
      <c r="I21">
        <v>0.34456018518518516</v>
      </c>
      <c r="J21">
        <v>44785</v>
      </c>
    </row>
    <row r="22" spans="1:10" x14ac:dyDescent="0.35">
      <c r="A22" s="2">
        <v>44774</v>
      </c>
      <c r="B22" s="3">
        <v>4.7673611111111104E-2</v>
      </c>
      <c r="C22">
        <v>665</v>
      </c>
      <c r="D22" t="str">
        <f>VLOOKUP(H22,Produkt!$A$2:$B$5,2,FALSE)</f>
        <v>A</v>
      </c>
      <c r="H22">
        <v>1</v>
      </c>
      <c r="I22">
        <v>0.41627314814814814</v>
      </c>
      <c r="J22">
        <v>44804</v>
      </c>
    </row>
    <row r="23" spans="1:10" x14ac:dyDescent="0.35">
      <c r="A23" s="2">
        <v>44774</v>
      </c>
      <c r="B23" s="3">
        <v>0.75344907407407413</v>
      </c>
      <c r="C23">
        <v>674</v>
      </c>
      <c r="D23" t="str">
        <f>VLOOKUP(H23,Produkt!$A$2:$B$5,2,FALSE)</f>
        <v>A</v>
      </c>
      <c r="H23">
        <v>1</v>
      </c>
      <c r="I23">
        <v>0.35373842592592591</v>
      </c>
      <c r="J23">
        <v>44800</v>
      </c>
    </row>
    <row r="24" spans="1:10" x14ac:dyDescent="0.35">
      <c r="A24" s="2">
        <v>44774</v>
      </c>
      <c r="B24" s="3">
        <v>0.31396990740740743</v>
      </c>
      <c r="C24">
        <v>683</v>
      </c>
      <c r="D24" t="str">
        <f>VLOOKUP(H24,Produkt!$A$2:$B$5,2,FALSE)</f>
        <v>C</v>
      </c>
      <c r="H24">
        <v>3</v>
      </c>
      <c r="I24">
        <v>0.9962037037037037</v>
      </c>
      <c r="J24">
        <v>44774</v>
      </c>
    </row>
    <row r="25" spans="1:10" x14ac:dyDescent="0.35">
      <c r="A25" s="2">
        <v>44774</v>
      </c>
      <c r="B25" s="3">
        <v>0.58696759259259257</v>
      </c>
      <c r="C25">
        <v>689</v>
      </c>
      <c r="D25" t="str">
        <f>VLOOKUP(H25,Produkt!$A$2:$B$5,2,FALSE)</f>
        <v>D</v>
      </c>
      <c r="H25">
        <v>4</v>
      </c>
      <c r="I25">
        <v>0.44027777777777777</v>
      </c>
      <c r="J25">
        <v>44783</v>
      </c>
    </row>
    <row r="26" spans="1:10" x14ac:dyDescent="0.35">
      <c r="A26" s="2">
        <v>44774</v>
      </c>
      <c r="B26" s="3">
        <v>0.84956018518518517</v>
      </c>
      <c r="C26">
        <v>798</v>
      </c>
      <c r="D26" t="str">
        <f>VLOOKUP(H26,Produkt!$A$2:$B$5,2,FALSE)</f>
        <v>D</v>
      </c>
      <c r="H26">
        <v>4</v>
      </c>
      <c r="I26">
        <v>7.5590277777777784E-2</v>
      </c>
      <c r="J26">
        <v>44801</v>
      </c>
    </row>
    <row r="27" spans="1:10" x14ac:dyDescent="0.35">
      <c r="A27" s="2">
        <v>44774</v>
      </c>
      <c r="B27" s="3">
        <v>0.60719907407407414</v>
      </c>
      <c r="C27">
        <v>845</v>
      </c>
      <c r="D27" t="str">
        <f>VLOOKUP(H27,Produkt!$A$2:$B$5,2,FALSE)</f>
        <v>B</v>
      </c>
      <c r="H27">
        <v>2</v>
      </c>
      <c r="I27">
        <v>0.67766203703703709</v>
      </c>
      <c r="J27">
        <v>44776</v>
      </c>
    </row>
    <row r="28" spans="1:10" x14ac:dyDescent="0.35">
      <c r="A28" s="2">
        <v>44774</v>
      </c>
      <c r="B28" s="3">
        <v>1.9305555555555555E-2</v>
      </c>
      <c r="C28">
        <v>882</v>
      </c>
      <c r="D28" t="str">
        <f>VLOOKUP(H28,Produkt!$A$2:$B$5,2,FALSE)</f>
        <v>C</v>
      </c>
      <c r="H28">
        <v>3</v>
      </c>
      <c r="I28">
        <v>0.2726736111111111</v>
      </c>
      <c r="J28">
        <v>44795</v>
      </c>
    </row>
    <row r="29" spans="1:10" x14ac:dyDescent="0.35">
      <c r="A29" s="2">
        <v>44774</v>
      </c>
      <c r="B29" s="3">
        <v>8.3842592592592594E-2</v>
      </c>
      <c r="C29">
        <v>916</v>
      </c>
      <c r="D29" t="str">
        <f>VLOOKUP(H29,Produkt!$A$2:$B$5,2,FALSE)</f>
        <v>C</v>
      </c>
      <c r="H29">
        <v>3</v>
      </c>
      <c r="I29">
        <v>0.22428240740740743</v>
      </c>
      <c r="J29">
        <v>44792</v>
      </c>
    </row>
    <row r="30" spans="1:10" x14ac:dyDescent="0.35">
      <c r="A30" s="2">
        <v>44774</v>
      </c>
      <c r="B30" s="3">
        <v>0.84269675925925924</v>
      </c>
      <c r="C30">
        <v>935</v>
      </c>
      <c r="D30" t="str">
        <f>VLOOKUP(H30,Produkt!$A$2:$B$5,2,FALSE)</f>
        <v>C</v>
      </c>
      <c r="H30">
        <v>3</v>
      </c>
      <c r="I30">
        <v>9.8148148148148151E-2</v>
      </c>
      <c r="J30">
        <v>44775</v>
      </c>
    </row>
    <row r="31" spans="1:10" x14ac:dyDescent="0.35">
      <c r="A31" s="2">
        <v>44774</v>
      </c>
      <c r="B31" s="3">
        <v>0.40423611111111107</v>
      </c>
      <c r="C31">
        <v>948</v>
      </c>
      <c r="D31" t="str">
        <f>VLOOKUP(H31,Produkt!$A$2:$B$5,2,FALSE)</f>
        <v>C</v>
      </c>
      <c r="H31">
        <v>3</v>
      </c>
      <c r="I31">
        <v>0.50871527777777781</v>
      </c>
      <c r="J31">
        <v>44787</v>
      </c>
    </row>
    <row r="32" spans="1:10" x14ac:dyDescent="0.35">
      <c r="A32" s="2">
        <v>44774</v>
      </c>
      <c r="B32" s="3">
        <v>0.56388888888888888</v>
      </c>
      <c r="C32">
        <v>972</v>
      </c>
      <c r="D32" t="str">
        <f>VLOOKUP(H32,Produkt!$A$2:$B$5,2,FALSE)</f>
        <v>C</v>
      </c>
      <c r="H32">
        <v>3</v>
      </c>
      <c r="I32">
        <v>0.50893518518518521</v>
      </c>
      <c r="J32">
        <v>44799</v>
      </c>
    </row>
    <row r="33" spans="1:10" x14ac:dyDescent="0.35">
      <c r="A33" s="2">
        <v>44774</v>
      </c>
      <c r="B33" s="3">
        <v>0.68162037037037038</v>
      </c>
      <c r="C33">
        <v>1056</v>
      </c>
      <c r="D33" t="str">
        <f>VLOOKUP(H33,Produkt!$A$2:$B$5,2,FALSE)</f>
        <v>D</v>
      </c>
      <c r="H33">
        <v>4</v>
      </c>
      <c r="I33">
        <v>0.11269675925925926</v>
      </c>
      <c r="J33">
        <v>44804</v>
      </c>
    </row>
    <row r="34" spans="1:10" x14ac:dyDescent="0.35">
      <c r="A34" s="2">
        <v>44774</v>
      </c>
      <c r="B34" s="3">
        <v>0.44318287037037035</v>
      </c>
      <c r="C34">
        <v>1059</v>
      </c>
      <c r="D34" t="str">
        <f>VLOOKUP(H34,Produkt!$A$2:$B$5,2,FALSE)</f>
        <v>D</v>
      </c>
      <c r="H34">
        <v>4</v>
      </c>
      <c r="I34">
        <v>0.13199074074074074</v>
      </c>
      <c r="J34">
        <v>44799</v>
      </c>
    </row>
    <row r="35" spans="1:10" x14ac:dyDescent="0.35">
      <c r="A35" s="2">
        <v>44774</v>
      </c>
      <c r="B35" s="3">
        <v>6.1921296296296724E-3</v>
      </c>
      <c r="C35">
        <v>1092</v>
      </c>
      <c r="D35" t="str">
        <f>VLOOKUP(H35,Produkt!$A$2:$B$5,2,FALSE)</f>
        <v>A</v>
      </c>
      <c r="H35">
        <v>1</v>
      </c>
      <c r="I35">
        <v>0.63950231481481479</v>
      </c>
      <c r="J35">
        <v>44779</v>
      </c>
    </row>
    <row r="36" spans="1:10" x14ac:dyDescent="0.35">
      <c r="A36" s="2">
        <v>44774</v>
      </c>
      <c r="B36" s="3">
        <v>0.14960648148148148</v>
      </c>
      <c r="C36">
        <v>1109</v>
      </c>
      <c r="D36" t="str">
        <f>VLOOKUP(H36,Produkt!$A$2:$B$5,2,FALSE)</f>
        <v>D</v>
      </c>
      <c r="H36">
        <v>4</v>
      </c>
      <c r="I36">
        <v>0.16413194444444446</v>
      </c>
      <c r="J36">
        <v>44779</v>
      </c>
    </row>
    <row r="37" spans="1:10" x14ac:dyDescent="0.35">
      <c r="A37" s="2">
        <v>44774</v>
      </c>
      <c r="B37" s="3">
        <v>0.87100694444444438</v>
      </c>
      <c r="C37">
        <v>1111</v>
      </c>
      <c r="D37" t="str">
        <f>VLOOKUP(H37,Produkt!$A$2:$B$5,2,FALSE)</f>
        <v>D</v>
      </c>
      <c r="H37">
        <v>4</v>
      </c>
      <c r="I37">
        <v>2.4189814814814747E-2</v>
      </c>
      <c r="J37">
        <v>44782</v>
      </c>
    </row>
    <row r="38" spans="1:10" x14ac:dyDescent="0.35">
      <c r="A38" s="2">
        <v>44774</v>
      </c>
      <c r="B38" s="3">
        <v>0.88893518518518511</v>
      </c>
      <c r="C38">
        <v>1205</v>
      </c>
      <c r="D38" t="str">
        <f>VLOOKUP(H38,Produkt!$A$2:$B$5,2,FALSE)</f>
        <v>D</v>
      </c>
      <c r="H38">
        <v>4</v>
      </c>
      <c r="I38">
        <v>5.9108796296296291E-2</v>
      </c>
      <c r="J38">
        <v>44801</v>
      </c>
    </row>
    <row r="39" spans="1:10" x14ac:dyDescent="0.35">
      <c r="A39" s="2">
        <v>44774</v>
      </c>
      <c r="B39" s="3">
        <v>0.22104166666666666</v>
      </c>
      <c r="C39">
        <v>1255</v>
      </c>
      <c r="D39" t="str">
        <f>VLOOKUP(H39,Produkt!$A$2:$B$5,2,FALSE)</f>
        <v>D</v>
      </c>
      <c r="H39">
        <v>4</v>
      </c>
      <c r="I39">
        <v>0.31513888888888891</v>
      </c>
      <c r="J39">
        <v>44786</v>
      </c>
    </row>
    <row r="40" spans="1:10" x14ac:dyDescent="0.35">
      <c r="A40" s="2">
        <v>44774</v>
      </c>
      <c r="B40" s="3">
        <v>6.2569444444444441E-2</v>
      </c>
      <c r="C40">
        <v>1293</v>
      </c>
      <c r="D40" t="str">
        <f>VLOOKUP(H40,Produkt!$A$2:$B$5,2,FALSE)</f>
        <v>D</v>
      </c>
      <c r="H40">
        <v>4</v>
      </c>
      <c r="I40">
        <v>6.1689814814814815E-2</v>
      </c>
      <c r="J40">
        <v>44803</v>
      </c>
    </row>
    <row r="41" spans="1:10" x14ac:dyDescent="0.35">
      <c r="A41" s="2">
        <v>44774</v>
      </c>
      <c r="B41" s="3">
        <v>0.93200231481481488</v>
      </c>
      <c r="C41">
        <v>1346</v>
      </c>
      <c r="D41" t="str">
        <f>VLOOKUP(H41,Produkt!$A$2:$B$5,2,FALSE)</f>
        <v>D</v>
      </c>
      <c r="H41">
        <v>4</v>
      </c>
      <c r="I41">
        <v>0.58729166666666666</v>
      </c>
      <c r="J41">
        <v>44780</v>
      </c>
    </row>
    <row r="42" spans="1:10" x14ac:dyDescent="0.35">
      <c r="A42" s="2">
        <v>44774</v>
      </c>
      <c r="B42" s="3">
        <v>0.56996527777777783</v>
      </c>
      <c r="C42">
        <v>1350</v>
      </c>
      <c r="D42" t="str">
        <f>VLOOKUP(H42,Produkt!$A$2:$B$5,2,FALSE)</f>
        <v>C</v>
      </c>
      <c r="H42">
        <v>3</v>
      </c>
      <c r="I42">
        <v>0.11564814814814815</v>
      </c>
      <c r="J42">
        <v>44798</v>
      </c>
    </row>
    <row r="43" spans="1:10" x14ac:dyDescent="0.35">
      <c r="A43" s="2">
        <v>44774</v>
      </c>
      <c r="B43" s="3">
        <v>0.31511574074074072</v>
      </c>
      <c r="C43">
        <v>1374</v>
      </c>
      <c r="D43" t="str">
        <f>VLOOKUP(H43,Produkt!$A$2:$B$5,2,FALSE)</f>
        <v>A</v>
      </c>
      <c r="H43">
        <v>1</v>
      </c>
      <c r="I43">
        <v>0.87675925925925924</v>
      </c>
      <c r="J43">
        <v>44796</v>
      </c>
    </row>
    <row r="44" spans="1:10" x14ac:dyDescent="0.35">
      <c r="A44" s="2">
        <v>44774</v>
      </c>
      <c r="B44" s="3">
        <v>0.6312268518518519</v>
      </c>
      <c r="C44">
        <v>1375</v>
      </c>
      <c r="D44" t="str">
        <f>VLOOKUP(H44,Produkt!$A$2:$B$5,2,FALSE)</f>
        <v>C</v>
      </c>
      <c r="H44">
        <v>3</v>
      </c>
      <c r="I44">
        <v>0.93501157407407398</v>
      </c>
      <c r="J44">
        <v>44798</v>
      </c>
    </row>
    <row r="45" spans="1:10" x14ac:dyDescent="0.35">
      <c r="A45" s="2">
        <v>44774</v>
      </c>
      <c r="B45" s="3">
        <v>0.40630787037037036</v>
      </c>
      <c r="C45">
        <v>1434</v>
      </c>
      <c r="D45" t="str">
        <f>VLOOKUP(H45,Produkt!$A$2:$B$5,2,FALSE)</f>
        <v>A</v>
      </c>
      <c r="H45">
        <v>1</v>
      </c>
      <c r="I45">
        <v>0.78364583333333337</v>
      </c>
      <c r="J45">
        <v>44774</v>
      </c>
    </row>
    <row r="46" spans="1:10" x14ac:dyDescent="0.35">
      <c r="A46" s="2">
        <v>44774</v>
      </c>
      <c r="B46" s="3">
        <v>0.11109953703703705</v>
      </c>
      <c r="C46">
        <v>1494</v>
      </c>
      <c r="D46" t="str">
        <f>VLOOKUP(H46,Produkt!$A$2:$B$5,2,FALSE)</f>
        <v>A</v>
      </c>
      <c r="H46">
        <v>1</v>
      </c>
      <c r="I46">
        <v>0.64851851851851849</v>
      </c>
      <c r="J46">
        <v>44797</v>
      </c>
    </row>
    <row r="47" spans="1:10" x14ac:dyDescent="0.35">
      <c r="A47" s="2">
        <v>44774</v>
      </c>
      <c r="B47" s="3">
        <v>0.26178240740740738</v>
      </c>
      <c r="C47">
        <v>1584</v>
      </c>
      <c r="D47" t="str">
        <f>VLOOKUP(H47,Produkt!$A$2:$B$5,2,FALSE)</f>
        <v>D</v>
      </c>
      <c r="H47">
        <v>4</v>
      </c>
      <c r="I47">
        <v>0.65015046296296297</v>
      </c>
      <c r="J47">
        <v>44788</v>
      </c>
    </row>
    <row r="48" spans="1:10" x14ac:dyDescent="0.35">
      <c r="A48" s="2">
        <v>44774</v>
      </c>
      <c r="B48" s="3">
        <v>0.68386574074074069</v>
      </c>
      <c r="C48">
        <v>1614</v>
      </c>
      <c r="D48" t="str">
        <f>VLOOKUP(H48,Produkt!$A$2:$B$5,2,FALSE)</f>
        <v>D</v>
      </c>
      <c r="H48">
        <v>4</v>
      </c>
      <c r="I48">
        <v>0.56148148148148147</v>
      </c>
      <c r="J48">
        <v>44779</v>
      </c>
    </row>
    <row r="49" spans="1:10" x14ac:dyDescent="0.35">
      <c r="A49" s="2">
        <v>44774</v>
      </c>
      <c r="B49" s="3">
        <v>1.9166666666666669E-2</v>
      </c>
      <c r="C49">
        <v>1631</v>
      </c>
      <c r="D49" t="str">
        <f>VLOOKUP(H49,Produkt!$A$2:$B$5,2,FALSE)</f>
        <v>B</v>
      </c>
      <c r="H49">
        <v>2</v>
      </c>
      <c r="I49">
        <v>0.84005787037037039</v>
      </c>
      <c r="J49">
        <v>44792</v>
      </c>
    </row>
    <row r="50" spans="1:10" x14ac:dyDescent="0.35">
      <c r="A50" s="2">
        <v>44774</v>
      </c>
      <c r="B50" s="3">
        <v>0.27643518518518517</v>
      </c>
      <c r="C50">
        <v>1707</v>
      </c>
      <c r="D50" t="str">
        <f>VLOOKUP(H50,Produkt!$A$2:$B$5,2,FALSE)</f>
        <v>B</v>
      </c>
      <c r="H50">
        <v>2</v>
      </c>
      <c r="I50">
        <v>0.25714120370370369</v>
      </c>
      <c r="J50">
        <v>44801</v>
      </c>
    </row>
    <row r="51" spans="1:10" x14ac:dyDescent="0.35">
      <c r="A51" s="2">
        <v>44774</v>
      </c>
      <c r="B51" s="3">
        <v>0.21859953703703705</v>
      </c>
      <c r="C51">
        <v>1759</v>
      </c>
      <c r="D51" t="str">
        <f>VLOOKUP(H51,Produkt!$A$2:$B$5,2,FALSE)</f>
        <v>A</v>
      </c>
      <c r="H51">
        <v>1</v>
      </c>
      <c r="I51">
        <v>0.12321759259259259</v>
      </c>
      <c r="J51">
        <v>44804</v>
      </c>
    </row>
    <row r="52" spans="1:10" x14ac:dyDescent="0.35">
      <c r="A52" s="2">
        <v>44774</v>
      </c>
      <c r="B52" s="3">
        <v>0.97756944444444438</v>
      </c>
      <c r="C52">
        <v>1837</v>
      </c>
      <c r="D52" t="str">
        <f>VLOOKUP(H52,Produkt!$A$2:$B$5,2,FALSE)</f>
        <v>D</v>
      </c>
      <c r="H52">
        <v>4</v>
      </c>
      <c r="I52">
        <v>0.30701388888888886</v>
      </c>
      <c r="J52">
        <v>44775</v>
      </c>
    </row>
    <row r="53" spans="1:10" x14ac:dyDescent="0.35">
      <c r="A53" s="2">
        <v>44774</v>
      </c>
      <c r="B53" s="3">
        <v>0.74753472222222228</v>
      </c>
      <c r="C53">
        <v>1851</v>
      </c>
      <c r="D53" t="str">
        <f>VLOOKUP(H53,Produkt!$A$2:$B$5,2,FALSE)</f>
        <v>C</v>
      </c>
      <c r="H53">
        <v>3</v>
      </c>
      <c r="I53">
        <v>0.15275462962962963</v>
      </c>
      <c r="J53">
        <v>44801</v>
      </c>
    </row>
    <row r="54" spans="1:10" x14ac:dyDescent="0.35">
      <c r="A54" s="2">
        <v>44774</v>
      </c>
      <c r="B54" s="3">
        <v>0.51383101851851853</v>
      </c>
      <c r="C54">
        <v>1884</v>
      </c>
      <c r="D54" t="str">
        <f>VLOOKUP(H54,Produkt!$A$2:$B$5,2,FALSE)</f>
        <v>D</v>
      </c>
      <c r="H54">
        <v>4</v>
      </c>
      <c r="I54">
        <v>3.9618055555555552E-2</v>
      </c>
      <c r="J54">
        <v>44781</v>
      </c>
    </row>
    <row r="55" spans="1:10" x14ac:dyDescent="0.35">
      <c r="A55" s="2">
        <v>44774</v>
      </c>
      <c r="B55" s="3">
        <v>2.762731481481473E-2</v>
      </c>
      <c r="C55">
        <v>1929</v>
      </c>
      <c r="D55" t="str">
        <f>VLOOKUP(H55,Produkt!$A$2:$B$5,2,FALSE)</f>
        <v>B</v>
      </c>
      <c r="H55">
        <v>2</v>
      </c>
      <c r="I55">
        <v>0.90023148148148147</v>
      </c>
      <c r="J55">
        <v>44791</v>
      </c>
    </row>
    <row r="56" spans="1:10" x14ac:dyDescent="0.35">
      <c r="A56" s="2">
        <v>44774</v>
      </c>
      <c r="B56" s="3">
        <v>0.93458333333333332</v>
      </c>
      <c r="C56">
        <v>2030</v>
      </c>
      <c r="D56" t="str">
        <f>VLOOKUP(H56,Produkt!$A$2:$B$5,2,FALSE)</f>
        <v>A</v>
      </c>
      <c r="H56">
        <v>1</v>
      </c>
      <c r="I56">
        <v>0.59542824074074074</v>
      </c>
      <c r="J56">
        <v>44790</v>
      </c>
    </row>
    <row r="57" spans="1:10" x14ac:dyDescent="0.35">
      <c r="A57" s="2">
        <v>44774</v>
      </c>
      <c r="B57" s="3">
        <v>0.25822916666666668</v>
      </c>
      <c r="C57">
        <v>2056</v>
      </c>
      <c r="D57" t="str">
        <f>VLOOKUP(H57,Produkt!$A$2:$B$5,2,FALSE)</f>
        <v>D</v>
      </c>
      <c r="H57">
        <v>4</v>
      </c>
      <c r="I57">
        <v>0.98449074074074072</v>
      </c>
      <c r="J57">
        <v>44779</v>
      </c>
    </row>
    <row r="58" spans="1:10" x14ac:dyDescent="0.35">
      <c r="A58" s="2">
        <v>44774</v>
      </c>
      <c r="B58" s="3">
        <v>5.1504629629629629E-2</v>
      </c>
      <c r="C58">
        <v>2083</v>
      </c>
      <c r="D58" t="str">
        <f>VLOOKUP(H58,Produkt!$A$2:$B$5,2,FALSE)</f>
        <v>C</v>
      </c>
      <c r="H58">
        <v>3</v>
      </c>
      <c r="I58">
        <v>0.2076388888888889</v>
      </c>
      <c r="J58">
        <v>44783</v>
      </c>
    </row>
    <row r="59" spans="1:10" x14ac:dyDescent="0.35">
      <c r="A59" s="2">
        <v>44774</v>
      </c>
      <c r="B59" s="3">
        <v>0.1449074074074074</v>
      </c>
      <c r="C59">
        <v>2107</v>
      </c>
      <c r="D59" t="str">
        <f>VLOOKUP(H59,Produkt!$A$2:$B$5,2,FALSE)</f>
        <v>D</v>
      </c>
      <c r="H59">
        <v>4</v>
      </c>
      <c r="I59">
        <v>0.20673611111111112</v>
      </c>
      <c r="J59">
        <v>44801</v>
      </c>
    </row>
    <row r="60" spans="1:10" x14ac:dyDescent="0.35">
      <c r="A60" s="2">
        <v>44774</v>
      </c>
      <c r="B60" s="3">
        <v>0.85045138888888883</v>
      </c>
      <c r="C60">
        <v>2138</v>
      </c>
      <c r="D60" t="str">
        <f>VLOOKUP(H60,Produkt!$A$2:$B$5,2,FALSE)</f>
        <v>A</v>
      </c>
      <c r="H60">
        <v>1</v>
      </c>
      <c r="I60">
        <v>0.97945601851851849</v>
      </c>
      <c r="J60">
        <v>44784</v>
      </c>
    </row>
    <row r="61" spans="1:10" x14ac:dyDescent="0.35">
      <c r="A61" s="2">
        <v>44774</v>
      </c>
      <c r="B61" s="3">
        <v>0.44368055555555558</v>
      </c>
      <c r="C61">
        <v>2155</v>
      </c>
      <c r="D61" t="str">
        <f>VLOOKUP(H61,Produkt!$A$2:$B$5,2,FALSE)</f>
        <v>B</v>
      </c>
      <c r="H61">
        <v>2</v>
      </c>
      <c r="I61">
        <v>0.6058796296296296</v>
      </c>
      <c r="J61">
        <v>44778</v>
      </c>
    </row>
    <row r="62" spans="1:10" x14ac:dyDescent="0.35">
      <c r="A62" s="2">
        <v>44774</v>
      </c>
      <c r="B62" s="3">
        <v>0.68206018518518519</v>
      </c>
      <c r="C62">
        <v>2179</v>
      </c>
      <c r="D62" t="str">
        <f>VLOOKUP(H62,Produkt!$A$2:$B$5,2,FALSE)</f>
        <v>D</v>
      </c>
      <c r="H62">
        <v>4</v>
      </c>
      <c r="I62">
        <v>0.79854166666666659</v>
      </c>
      <c r="J62">
        <v>44781</v>
      </c>
    </row>
    <row r="63" spans="1:10" x14ac:dyDescent="0.35">
      <c r="A63" s="2">
        <v>44774</v>
      </c>
      <c r="B63" s="3">
        <v>0.66931712962962964</v>
      </c>
      <c r="C63">
        <v>2255</v>
      </c>
      <c r="D63" t="str">
        <f>VLOOKUP(H63,Produkt!$A$2:$B$5,2,FALSE)</f>
        <v>D</v>
      </c>
      <c r="H63">
        <v>4</v>
      </c>
      <c r="I63">
        <v>0.23276620370370371</v>
      </c>
      <c r="J63">
        <v>44779</v>
      </c>
    </row>
    <row r="64" spans="1:10" x14ac:dyDescent="0.35">
      <c r="A64" s="2">
        <v>44774</v>
      </c>
      <c r="B64" s="3">
        <v>0.80524305555555553</v>
      </c>
      <c r="C64">
        <v>2285</v>
      </c>
      <c r="D64" t="str">
        <f>VLOOKUP(H64,Produkt!$A$2:$B$5,2,FALSE)</f>
        <v>C</v>
      </c>
      <c r="H64">
        <v>3</v>
      </c>
      <c r="I64">
        <v>2.399305555555542E-2</v>
      </c>
      <c r="J64">
        <v>44802</v>
      </c>
    </row>
    <row r="65" spans="1:10" x14ac:dyDescent="0.35">
      <c r="A65" s="2">
        <v>44774</v>
      </c>
      <c r="B65" s="3">
        <v>0.54535879629629636</v>
      </c>
      <c r="C65">
        <v>2424</v>
      </c>
      <c r="D65" t="str">
        <f>VLOOKUP(H65,Produkt!$A$2:$B$5,2,FALSE)</f>
        <v>C</v>
      </c>
      <c r="H65">
        <v>3</v>
      </c>
      <c r="I65">
        <v>0.31793981481481481</v>
      </c>
      <c r="J65">
        <v>44802</v>
      </c>
    </row>
    <row r="66" spans="1:10" x14ac:dyDescent="0.35">
      <c r="A66" s="2">
        <v>44774</v>
      </c>
      <c r="B66" s="3">
        <v>0.86365740740740737</v>
      </c>
      <c r="C66">
        <v>2438</v>
      </c>
      <c r="D66" t="str">
        <f>VLOOKUP(H66,Produkt!$A$2:$B$5,2,FALSE)</f>
        <v>C</v>
      </c>
      <c r="H66">
        <v>3</v>
      </c>
      <c r="I66">
        <v>0.19416666666666668</v>
      </c>
      <c r="J66">
        <v>44777</v>
      </c>
    </row>
    <row r="67" spans="1:10" x14ac:dyDescent="0.35">
      <c r="A67" s="2">
        <v>44774</v>
      </c>
      <c r="B67" s="3">
        <v>0.85674768518518529</v>
      </c>
      <c r="C67">
        <v>2442</v>
      </c>
      <c r="D67" t="str">
        <f>VLOOKUP(H67,Produkt!$A$2:$B$5,2,FALSE)</f>
        <v>D</v>
      </c>
      <c r="H67">
        <v>4</v>
      </c>
      <c r="I67">
        <v>0.75846064814814806</v>
      </c>
      <c r="J67">
        <v>44782</v>
      </c>
    </row>
    <row r="68" spans="1:10" x14ac:dyDescent="0.35">
      <c r="A68" s="2">
        <v>44774</v>
      </c>
      <c r="B68" s="3">
        <v>0.9018518518518519</v>
      </c>
      <c r="C68">
        <v>2455</v>
      </c>
      <c r="D68" t="str">
        <f>VLOOKUP(H68,Produkt!$A$2:$B$5,2,FALSE)</f>
        <v>B</v>
      </c>
      <c r="H68">
        <v>2</v>
      </c>
      <c r="I68">
        <v>7.7662037037036225E-3</v>
      </c>
      <c r="J68">
        <v>44787</v>
      </c>
    </row>
    <row r="69" spans="1:10" x14ac:dyDescent="0.35">
      <c r="A69" s="2">
        <v>44774</v>
      </c>
      <c r="B69" s="3">
        <v>3.8263888888888889E-2</v>
      </c>
      <c r="C69">
        <v>2486</v>
      </c>
      <c r="D69" t="str">
        <f>VLOOKUP(H69,Produkt!$A$2:$B$5,2,FALSE)</f>
        <v>D</v>
      </c>
      <c r="H69">
        <v>4</v>
      </c>
      <c r="I69">
        <v>0.84858796296296291</v>
      </c>
      <c r="J69">
        <v>44791</v>
      </c>
    </row>
    <row r="70" spans="1:10" x14ac:dyDescent="0.35">
      <c r="A70" s="2">
        <v>44774</v>
      </c>
      <c r="B70" s="3">
        <v>0.58206018518518521</v>
      </c>
      <c r="C70">
        <v>2552</v>
      </c>
      <c r="D70" t="str">
        <f>VLOOKUP(H70,Produkt!$A$2:$B$5,2,FALSE)</f>
        <v>B</v>
      </c>
      <c r="H70">
        <v>2</v>
      </c>
      <c r="I70">
        <v>0.36651620370370369</v>
      </c>
      <c r="J70">
        <v>44794</v>
      </c>
    </row>
    <row r="71" spans="1:10" x14ac:dyDescent="0.35">
      <c r="A71" s="2">
        <v>44774</v>
      </c>
      <c r="B71" s="3">
        <v>0.66888888888888898</v>
      </c>
      <c r="C71">
        <v>2566</v>
      </c>
      <c r="D71" t="str">
        <f>VLOOKUP(H71,Produkt!$A$2:$B$5,2,FALSE)</f>
        <v>A</v>
      </c>
      <c r="H71">
        <v>1</v>
      </c>
      <c r="I71">
        <v>0.28787037037037039</v>
      </c>
      <c r="J71">
        <v>44791</v>
      </c>
    </row>
    <row r="72" spans="1:10" x14ac:dyDescent="0.35">
      <c r="A72" s="2">
        <v>44774</v>
      </c>
      <c r="B72" s="3">
        <v>0.27687499999999998</v>
      </c>
      <c r="C72">
        <v>2654</v>
      </c>
      <c r="D72" t="str">
        <f>VLOOKUP(H72,Produkt!$A$2:$B$5,2,FALSE)</f>
        <v>D</v>
      </c>
      <c r="H72">
        <v>4</v>
      </c>
      <c r="I72">
        <v>0.67498842592592589</v>
      </c>
      <c r="J72">
        <v>44784</v>
      </c>
    </row>
    <row r="73" spans="1:10" x14ac:dyDescent="0.35">
      <c r="A73" s="2">
        <v>44774</v>
      </c>
      <c r="B73" s="3">
        <v>0.80016203703703714</v>
      </c>
      <c r="C73">
        <v>2723</v>
      </c>
      <c r="D73" t="str">
        <f>VLOOKUP(H73,Produkt!$A$2:$B$5,2,FALSE)</f>
        <v>B</v>
      </c>
      <c r="H73">
        <v>2</v>
      </c>
      <c r="I73">
        <v>0.46322916666666664</v>
      </c>
      <c r="J73">
        <v>44804</v>
      </c>
    </row>
    <row r="74" spans="1:10" x14ac:dyDescent="0.35">
      <c r="A74" s="2">
        <v>44774</v>
      </c>
      <c r="B74" s="3">
        <v>0.31900462962962961</v>
      </c>
      <c r="C74">
        <v>2752</v>
      </c>
      <c r="D74" t="str">
        <f>VLOOKUP(H74,Produkt!$A$2:$B$5,2,FALSE)</f>
        <v>B</v>
      </c>
      <c r="H74">
        <v>2</v>
      </c>
      <c r="I74">
        <v>0.5882060185185185</v>
      </c>
      <c r="J74">
        <v>44790</v>
      </c>
    </row>
    <row r="75" spans="1:10" x14ac:dyDescent="0.35">
      <c r="A75" s="2">
        <v>44774</v>
      </c>
      <c r="B75" s="3">
        <v>0.18614583333333334</v>
      </c>
      <c r="C75">
        <v>2763</v>
      </c>
      <c r="D75" t="str">
        <f>VLOOKUP(H75,Produkt!$A$2:$B$5,2,FALSE)</f>
        <v>D</v>
      </c>
      <c r="H75">
        <v>4</v>
      </c>
      <c r="I75">
        <v>0.34241898148148148</v>
      </c>
      <c r="J75">
        <v>44783</v>
      </c>
    </row>
    <row r="76" spans="1:10" x14ac:dyDescent="0.35">
      <c r="A76" s="2">
        <v>44774</v>
      </c>
      <c r="B76" s="3">
        <v>0.65849537037037031</v>
      </c>
      <c r="C76">
        <v>2789</v>
      </c>
      <c r="D76" t="str">
        <f>VLOOKUP(H76,Produkt!$A$2:$B$5,2,FALSE)</f>
        <v>B</v>
      </c>
      <c r="H76">
        <v>2</v>
      </c>
      <c r="I76">
        <v>0.54440972222222228</v>
      </c>
      <c r="J76">
        <v>44778</v>
      </c>
    </row>
    <row r="77" spans="1:10" x14ac:dyDescent="0.35">
      <c r="A77" s="2">
        <v>44774</v>
      </c>
      <c r="B77" s="3">
        <v>0.38633101851851853</v>
      </c>
      <c r="C77">
        <v>2797</v>
      </c>
      <c r="D77" t="str">
        <f>VLOOKUP(H77,Produkt!$A$2:$B$5,2,FALSE)</f>
        <v>C</v>
      </c>
      <c r="H77">
        <v>3</v>
      </c>
      <c r="I77">
        <v>0.41116898148148145</v>
      </c>
      <c r="J77">
        <v>44795</v>
      </c>
    </row>
    <row r="78" spans="1:10" x14ac:dyDescent="0.35">
      <c r="A78" s="2">
        <v>44774</v>
      </c>
      <c r="B78" s="3">
        <v>9.7384259259259254E-2</v>
      </c>
      <c r="C78">
        <v>2861</v>
      </c>
      <c r="D78" t="str">
        <f>VLOOKUP(H78,Produkt!$A$2:$B$5,2,FALSE)</f>
        <v>C</v>
      </c>
      <c r="H78">
        <v>3</v>
      </c>
      <c r="I78">
        <v>0.69351851851851853</v>
      </c>
      <c r="J78">
        <v>44775</v>
      </c>
    </row>
    <row r="79" spans="1:10" x14ac:dyDescent="0.35">
      <c r="A79" s="2">
        <v>44774</v>
      </c>
      <c r="B79" s="3">
        <v>0.90195601851851848</v>
      </c>
      <c r="C79">
        <v>2862</v>
      </c>
      <c r="D79" t="str">
        <f>VLOOKUP(H79,Produkt!$A$2:$B$5,2,FALSE)</f>
        <v>C</v>
      </c>
      <c r="H79">
        <v>3</v>
      </c>
      <c r="I79">
        <v>5.5671296296296302E-3</v>
      </c>
      <c r="J79">
        <v>44800</v>
      </c>
    </row>
    <row r="80" spans="1:10" x14ac:dyDescent="0.35">
      <c r="A80" s="2">
        <v>44774</v>
      </c>
      <c r="B80" s="3">
        <v>0.79305555555555562</v>
      </c>
      <c r="C80">
        <v>2925</v>
      </c>
      <c r="D80" t="str">
        <f>VLOOKUP(H80,Produkt!$A$2:$B$5,2,FALSE)</f>
        <v>A</v>
      </c>
      <c r="H80">
        <v>1</v>
      </c>
      <c r="I80">
        <v>3.4016203703703708E-2</v>
      </c>
      <c r="J80">
        <v>44785</v>
      </c>
    </row>
    <row r="81" spans="1:10" x14ac:dyDescent="0.35">
      <c r="A81" s="2">
        <v>44774</v>
      </c>
      <c r="B81" s="3">
        <v>0.71451388888888889</v>
      </c>
      <c r="C81">
        <v>2928</v>
      </c>
      <c r="D81" t="str">
        <f>VLOOKUP(H81,Produkt!$A$2:$B$5,2,FALSE)</f>
        <v>C</v>
      </c>
      <c r="H81">
        <v>3</v>
      </c>
      <c r="I81">
        <v>0.82512731481481483</v>
      </c>
      <c r="J81">
        <v>44797</v>
      </c>
    </row>
    <row r="82" spans="1:10" x14ac:dyDescent="0.35">
      <c r="A82" s="2">
        <v>44774</v>
      </c>
      <c r="B82" s="3">
        <v>0.46675925925925926</v>
      </c>
      <c r="C82">
        <v>2963</v>
      </c>
      <c r="D82" t="str">
        <f>VLOOKUP(H82,Produkt!$A$2:$B$5,2,FALSE)</f>
        <v>B</v>
      </c>
      <c r="H82">
        <v>2</v>
      </c>
      <c r="I82">
        <v>2.0729166666666667E-2</v>
      </c>
      <c r="J82">
        <v>44796</v>
      </c>
    </row>
    <row r="83" spans="1:10" x14ac:dyDescent="0.35">
      <c r="A83" s="2">
        <v>44774</v>
      </c>
      <c r="B83" s="3">
        <v>0.82990740740740743</v>
      </c>
      <c r="C83">
        <v>2971</v>
      </c>
      <c r="D83" t="str">
        <f>VLOOKUP(H83,Produkt!$A$2:$B$5,2,FALSE)</f>
        <v>A</v>
      </c>
      <c r="H83">
        <v>1</v>
      </c>
      <c r="I83">
        <v>0.81960648148148152</v>
      </c>
      <c r="J83">
        <v>44783</v>
      </c>
    </row>
    <row r="84" spans="1:10" x14ac:dyDescent="0.35">
      <c r="A84" s="2">
        <v>44774</v>
      </c>
      <c r="B84" s="3">
        <v>0.91746527777777775</v>
      </c>
      <c r="C84">
        <v>2980</v>
      </c>
      <c r="D84" t="str">
        <f>VLOOKUP(H84,Produkt!$A$2:$B$5,2,FALSE)</f>
        <v>A</v>
      </c>
      <c r="H84">
        <v>1</v>
      </c>
      <c r="I84">
        <v>1.699074074074074E-2</v>
      </c>
      <c r="J84">
        <v>44792</v>
      </c>
    </row>
    <row r="85" spans="1:10" x14ac:dyDescent="0.35">
      <c r="A85" s="2">
        <v>44774</v>
      </c>
      <c r="B85" s="3">
        <v>0.32722222222222225</v>
      </c>
      <c r="C85">
        <v>2997</v>
      </c>
      <c r="D85" t="str">
        <f>VLOOKUP(H85,Produkt!$A$2:$B$5,2,FALSE)</f>
        <v>C</v>
      </c>
      <c r="H85">
        <v>3</v>
      </c>
      <c r="I85">
        <v>0.19769675925925925</v>
      </c>
      <c r="J85">
        <v>44797</v>
      </c>
    </row>
    <row r="86" spans="1:10" x14ac:dyDescent="0.35">
      <c r="A86" s="2">
        <v>44774</v>
      </c>
      <c r="B86" s="3">
        <v>0.59266203703703701</v>
      </c>
      <c r="C86">
        <v>3014</v>
      </c>
      <c r="D86" t="str">
        <f>VLOOKUP(H86,Produkt!$A$2:$B$5,2,FALSE)</f>
        <v>B</v>
      </c>
      <c r="H86">
        <v>2</v>
      </c>
      <c r="I86">
        <v>0.98395833333333327</v>
      </c>
      <c r="J86">
        <v>44785</v>
      </c>
    </row>
    <row r="87" spans="1:10" x14ac:dyDescent="0.35">
      <c r="A87" s="2">
        <v>44774</v>
      </c>
      <c r="B87" s="3">
        <v>8.1597222222222227E-3</v>
      </c>
      <c r="C87">
        <v>3064</v>
      </c>
      <c r="D87" t="str">
        <f>VLOOKUP(H87,Produkt!$A$2:$B$5,2,FALSE)</f>
        <v>C</v>
      </c>
      <c r="H87">
        <v>3</v>
      </c>
      <c r="I87">
        <v>0.83758101851851852</v>
      </c>
      <c r="J87">
        <v>44775</v>
      </c>
    </row>
    <row r="88" spans="1:10" x14ac:dyDescent="0.35">
      <c r="A88" s="2">
        <v>44774</v>
      </c>
      <c r="B88" s="3">
        <v>0.74930555555555556</v>
      </c>
      <c r="C88">
        <v>3125</v>
      </c>
      <c r="D88" t="str">
        <f>VLOOKUP(H88,Produkt!$A$2:$B$5,2,FALSE)</f>
        <v>D</v>
      </c>
      <c r="H88">
        <v>4</v>
      </c>
      <c r="I88">
        <v>0.71796296296296302</v>
      </c>
      <c r="J88">
        <v>44796</v>
      </c>
    </row>
    <row r="89" spans="1:10" x14ac:dyDescent="0.35">
      <c r="A89" s="2">
        <v>44774</v>
      </c>
      <c r="B89" s="3">
        <v>0.36722222222222217</v>
      </c>
      <c r="C89">
        <v>3138</v>
      </c>
      <c r="D89" t="str">
        <f>VLOOKUP(H89,Produkt!$A$2:$B$5,2,FALSE)</f>
        <v>B</v>
      </c>
      <c r="H89">
        <v>2</v>
      </c>
      <c r="I89">
        <v>0.22517361111111112</v>
      </c>
      <c r="J89">
        <v>44794</v>
      </c>
    </row>
    <row r="90" spans="1:10" x14ac:dyDescent="0.35">
      <c r="A90" s="2">
        <v>44774</v>
      </c>
      <c r="B90" s="3">
        <v>0.55554398148148143</v>
      </c>
      <c r="C90">
        <v>3144</v>
      </c>
      <c r="D90" t="str">
        <f>VLOOKUP(H90,Produkt!$A$2:$B$5,2,FALSE)</f>
        <v>A</v>
      </c>
      <c r="H90">
        <v>1</v>
      </c>
      <c r="I90">
        <v>2.3483796296296378E-2</v>
      </c>
      <c r="J90">
        <v>44791</v>
      </c>
    </row>
    <row r="91" spans="1:10" x14ac:dyDescent="0.35">
      <c r="A91" s="2">
        <v>44774</v>
      </c>
      <c r="B91" s="3">
        <v>0.76739583333333339</v>
      </c>
      <c r="C91">
        <v>3245</v>
      </c>
      <c r="D91" t="str">
        <f>VLOOKUP(H91,Produkt!$A$2:$B$5,2,FALSE)</f>
        <v>C</v>
      </c>
      <c r="H91">
        <v>3</v>
      </c>
      <c r="I91">
        <v>0.87732638888888881</v>
      </c>
      <c r="J91">
        <v>44785</v>
      </c>
    </row>
    <row r="92" spans="1:10" x14ac:dyDescent="0.35">
      <c r="A92" s="2">
        <v>44774</v>
      </c>
      <c r="B92" s="3">
        <v>0.79223379629629631</v>
      </c>
      <c r="C92">
        <v>3293</v>
      </c>
      <c r="D92" t="str">
        <f>VLOOKUP(H92,Produkt!$A$2:$B$5,2,FALSE)</f>
        <v>D</v>
      </c>
      <c r="H92">
        <v>4</v>
      </c>
      <c r="I92">
        <v>7.0821759259259265E-2</v>
      </c>
      <c r="J92">
        <v>44794</v>
      </c>
    </row>
    <row r="93" spans="1:10" x14ac:dyDescent="0.35">
      <c r="A93" s="2">
        <v>44774</v>
      </c>
      <c r="B93" s="3">
        <v>0.17444444444444443</v>
      </c>
      <c r="C93">
        <v>3338</v>
      </c>
      <c r="D93" t="str">
        <f>VLOOKUP(H93,Produkt!$A$2:$B$5,2,FALSE)</f>
        <v>A</v>
      </c>
      <c r="H93">
        <v>1</v>
      </c>
      <c r="I93">
        <v>0.76366898148148143</v>
      </c>
      <c r="J93">
        <v>44801</v>
      </c>
    </row>
    <row r="94" spans="1:10" x14ac:dyDescent="0.35">
      <c r="A94" s="2">
        <v>44774</v>
      </c>
      <c r="B94" s="3">
        <v>0.29130787037037037</v>
      </c>
      <c r="C94">
        <v>3343</v>
      </c>
      <c r="D94" t="str">
        <f>VLOOKUP(H94,Produkt!$A$2:$B$5,2,FALSE)</f>
        <v>D</v>
      </c>
      <c r="H94">
        <v>4</v>
      </c>
      <c r="I94">
        <v>7.6990740740740735E-2</v>
      </c>
      <c r="J94">
        <v>44782</v>
      </c>
    </row>
    <row r="95" spans="1:10" x14ac:dyDescent="0.35">
      <c r="A95" s="2">
        <v>44774</v>
      </c>
      <c r="B95" s="3">
        <v>4.152777777777783E-2</v>
      </c>
      <c r="C95">
        <v>3428</v>
      </c>
      <c r="D95" t="str">
        <f>VLOOKUP(H95,Produkt!$A$2:$B$5,2,FALSE)</f>
        <v>A</v>
      </c>
      <c r="H95">
        <v>1</v>
      </c>
      <c r="I95">
        <v>0.89547453703703705</v>
      </c>
      <c r="J95">
        <v>44796</v>
      </c>
    </row>
    <row r="96" spans="1:10" x14ac:dyDescent="0.35">
      <c r="A96" s="2">
        <v>44774</v>
      </c>
      <c r="B96" s="3">
        <v>0.34297453703703701</v>
      </c>
      <c r="C96">
        <v>3461</v>
      </c>
      <c r="D96" t="str">
        <f>VLOOKUP(H96,Produkt!$A$2:$B$5,2,FALSE)</f>
        <v>A</v>
      </c>
      <c r="H96">
        <v>1</v>
      </c>
      <c r="I96">
        <v>0.57422453703703702</v>
      </c>
      <c r="J96">
        <v>44781</v>
      </c>
    </row>
    <row r="97" spans="1:10" x14ac:dyDescent="0.35">
      <c r="A97" s="2">
        <v>44774</v>
      </c>
      <c r="B97" s="3">
        <v>0.60341435185185188</v>
      </c>
      <c r="C97">
        <v>3512</v>
      </c>
      <c r="D97" t="str">
        <f>VLOOKUP(H97,Produkt!$A$2:$B$5,2,FALSE)</f>
        <v>B</v>
      </c>
      <c r="H97">
        <v>2</v>
      </c>
      <c r="I97">
        <v>0.30217592592592596</v>
      </c>
      <c r="J97">
        <v>44794</v>
      </c>
    </row>
    <row r="98" spans="1:10" x14ac:dyDescent="0.35">
      <c r="A98" s="2">
        <v>44774</v>
      </c>
      <c r="B98" s="3">
        <v>0.4776157407407407</v>
      </c>
      <c r="C98">
        <v>3627</v>
      </c>
      <c r="D98" t="str">
        <f>VLOOKUP(H98,Produkt!$A$2:$B$5,2,FALSE)</f>
        <v>C</v>
      </c>
      <c r="H98">
        <v>3</v>
      </c>
      <c r="I98">
        <v>0.95951388888888889</v>
      </c>
      <c r="J98">
        <v>44781</v>
      </c>
    </row>
    <row r="99" spans="1:10" x14ac:dyDescent="0.35">
      <c r="A99" s="2">
        <v>44774</v>
      </c>
      <c r="B99" s="3">
        <v>0.61343749999999997</v>
      </c>
      <c r="C99">
        <v>3630</v>
      </c>
      <c r="D99" t="str">
        <f>VLOOKUP(H99,Produkt!$A$2:$B$5,2,FALSE)</f>
        <v>D</v>
      </c>
      <c r="H99">
        <v>4</v>
      </c>
      <c r="I99">
        <v>0.55103009259259261</v>
      </c>
      <c r="J99">
        <v>44780</v>
      </c>
    </row>
    <row r="100" spans="1:10" x14ac:dyDescent="0.35">
      <c r="A100" s="2">
        <v>44774</v>
      </c>
      <c r="B100" s="3">
        <v>0.38685185185185184</v>
      </c>
      <c r="C100">
        <v>3637</v>
      </c>
      <c r="D100" t="str">
        <f>VLOOKUP(H100,Produkt!$A$2:$B$5,2,FALSE)</f>
        <v>A</v>
      </c>
      <c r="H100">
        <v>1</v>
      </c>
      <c r="I100">
        <v>0.86915509259259249</v>
      </c>
      <c r="J100">
        <v>44793</v>
      </c>
    </row>
    <row r="101" spans="1:10" x14ac:dyDescent="0.35">
      <c r="A101" s="2">
        <v>44774</v>
      </c>
      <c r="B101" s="3">
        <v>0.3991319444444445</v>
      </c>
      <c r="C101">
        <v>3658</v>
      </c>
      <c r="D101" t="str">
        <f>VLOOKUP(H101,Produkt!$A$2:$B$5,2,FALSE)</f>
        <v>B</v>
      </c>
      <c r="H101">
        <v>2</v>
      </c>
      <c r="I101">
        <v>2.4999999999999998E-2</v>
      </c>
      <c r="J101">
        <v>44800</v>
      </c>
    </row>
    <row r="102" spans="1:10" x14ac:dyDescent="0.35">
      <c r="A102" s="2">
        <v>44774</v>
      </c>
      <c r="B102" s="3">
        <v>0.10344907407407407</v>
      </c>
      <c r="C102">
        <v>3666</v>
      </c>
      <c r="D102" t="str">
        <f>VLOOKUP(H102,Produkt!$A$2:$B$5,2,FALSE)</f>
        <v>B</v>
      </c>
      <c r="H102">
        <v>2</v>
      </c>
      <c r="I102">
        <v>0.50012731481481476</v>
      </c>
      <c r="J102">
        <v>44798</v>
      </c>
    </row>
    <row r="103" spans="1:10" x14ac:dyDescent="0.35">
      <c r="A103" s="2">
        <v>44774</v>
      </c>
      <c r="B103" s="3">
        <v>0.30609953703703702</v>
      </c>
      <c r="C103">
        <v>3677</v>
      </c>
      <c r="D103" t="str">
        <f>VLOOKUP(H103,Produkt!$A$2:$B$5,2,FALSE)</f>
        <v>D</v>
      </c>
      <c r="H103">
        <v>4</v>
      </c>
      <c r="I103">
        <v>6.4583333333333333E-3</v>
      </c>
      <c r="J103">
        <v>44791</v>
      </c>
    </row>
    <row r="104" spans="1:10" x14ac:dyDescent="0.35">
      <c r="A104" s="2">
        <v>44774</v>
      </c>
      <c r="B104" s="3">
        <v>0.37193287037037037</v>
      </c>
      <c r="C104">
        <v>3678</v>
      </c>
      <c r="D104" t="str">
        <f>VLOOKUP(H104,Produkt!$A$2:$B$5,2,FALSE)</f>
        <v>D</v>
      </c>
      <c r="H104">
        <v>4</v>
      </c>
      <c r="I104">
        <v>0.91723379629629631</v>
      </c>
      <c r="J104">
        <v>44801</v>
      </c>
    </row>
    <row r="105" spans="1:10" x14ac:dyDescent="0.35">
      <c r="A105" s="2">
        <v>44774</v>
      </c>
      <c r="B105" s="3">
        <v>0.77868055555555549</v>
      </c>
      <c r="C105">
        <v>3700</v>
      </c>
      <c r="D105" t="str">
        <f>VLOOKUP(H105,Produkt!$A$2:$B$5,2,FALSE)</f>
        <v>D</v>
      </c>
      <c r="H105">
        <v>4</v>
      </c>
      <c r="I105">
        <v>0.62848379629629625</v>
      </c>
      <c r="J105">
        <v>44804</v>
      </c>
    </row>
    <row r="106" spans="1:10" x14ac:dyDescent="0.35">
      <c r="A106" s="2">
        <v>44774</v>
      </c>
      <c r="B106" s="3">
        <v>0.86163194444444446</v>
      </c>
      <c r="C106">
        <v>3719</v>
      </c>
      <c r="D106" t="str">
        <f>VLOOKUP(H106,Produkt!$A$2:$B$5,2,FALSE)</f>
        <v>D</v>
      </c>
      <c r="H106">
        <v>4</v>
      </c>
      <c r="I106">
        <v>0.90479166666666666</v>
      </c>
      <c r="J106">
        <v>44800</v>
      </c>
    </row>
    <row r="107" spans="1:10" x14ac:dyDescent="0.35">
      <c r="A107" s="2">
        <v>44774</v>
      </c>
      <c r="B107" s="3">
        <v>0.25795138888888886</v>
      </c>
      <c r="C107">
        <v>3783</v>
      </c>
      <c r="D107" t="str">
        <f>VLOOKUP(H107,Produkt!$A$2:$B$5,2,FALSE)</f>
        <v>C</v>
      </c>
      <c r="H107">
        <v>3</v>
      </c>
      <c r="I107">
        <v>0.91344907407407405</v>
      </c>
      <c r="J107">
        <v>44802</v>
      </c>
    </row>
    <row r="108" spans="1:10" x14ac:dyDescent="0.35">
      <c r="A108" s="2">
        <v>44774</v>
      </c>
      <c r="B108" s="3">
        <v>0.46493055555555557</v>
      </c>
      <c r="C108">
        <v>3790</v>
      </c>
      <c r="D108" t="str">
        <f>VLOOKUP(H108,Produkt!$A$2:$B$5,2,FALSE)</f>
        <v>D</v>
      </c>
      <c r="H108">
        <v>4</v>
      </c>
      <c r="I108">
        <v>0.28659722222222223</v>
      </c>
      <c r="J108">
        <v>44797</v>
      </c>
    </row>
    <row r="109" spans="1:10" x14ac:dyDescent="0.35">
      <c r="A109" s="2">
        <v>44774</v>
      </c>
      <c r="B109" s="3">
        <v>0.24806712962962962</v>
      </c>
      <c r="C109">
        <v>3794</v>
      </c>
      <c r="D109" t="str">
        <f>VLOOKUP(H109,Produkt!$A$2:$B$5,2,FALSE)</f>
        <v>D</v>
      </c>
      <c r="H109">
        <v>4</v>
      </c>
      <c r="I109">
        <v>0.39531250000000001</v>
      </c>
      <c r="J109">
        <v>44774</v>
      </c>
    </row>
    <row r="110" spans="1:10" x14ac:dyDescent="0.35">
      <c r="A110" s="2">
        <v>44774</v>
      </c>
      <c r="B110" s="3">
        <v>6.3657407407407404E-3</v>
      </c>
      <c r="C110">
        <v>3807</v>
      </c>
      <c r="D110" t="str">
        <f>VLOOKUP(H110,Produkt!$A$2:$B$5,2,FALSE)</f>
        <v>B</v>
      </c>
      <c r="H110">
        <v>2</v>
      </c>
      <c r="I110">
        <v>0.34172453703703703</v>
      </c>
      <c r="J110">
        <v>44800</v>
      </c>
    </row>
    <row r="111" spans="1:10" x14ac:dyDescent="0.35">
      <c r="A111" s="2">
        <v>44774</v>
      </c>
      <c r="B111" s="3">
        <v>0.43684027777777779</v>
      </c>
      <c r="C111">
        <v>3815</v>
      </c>
      <c r="D111" t="str">
        <f>VLOOKUP(H111,Produkt!$A$2:$B$5,2,FALSE)</f>
        <v>C</v>
      </c>
      <c r="H111">
        <v>3</v>
      </c>
      <c r="I111">
        <v>0.67491898148148144</v>
      </c>
      <c r="J111">
        <v>44789</v>
      </c>
    </row>
    <row r="112" spans="1:10" x14ac:dyDescent="0.35">
      <c r="A112" s="2">
        <v>44774</v>
      </c>
      <c r="B112" s="3">
        <v>0.49456018518518513</v>
      </c>
      <c r="C112">
        <v>3856</v>
      </c>
      <c r="D112" t="str">
        <f>VLOOKUP(H112,Produkt!$A$2:$B$5,2,FALSE)</f>
        <v>C</v>
      </c>
      <c r="H112">
        <v>3</v>
      </c>
      <c r="I112">
        <v>0.96763888888888883</v>
      </c>
      <c r="J112">
        <v>44787</v>
      </c>
    </row>
    <row r="113" spans="1:10" x14ac:dyDescent="0.35">
      <c r="A113" s="2">
        <v>44774</v>
      </c>
      <c r="B113" s="3">
        <v>0.13848379629629629</v>
      </c>
      <c r="C113">
        <v>3874</v>
      </c>
      <c r="D113" t="str">
        <f>VLOOKUP(H113,Produkt!$A$2:$B$5,2,FALSE)</f>
        <v>B</v>
      </c>
      <c r="H113">
        <v>2</v>
      </c>
      <c r="I113">
        <v>0.2542476851851852</v>
      </c>
      <c r="J113">
        <v>44794</v>
      </c>
    </row>
    <row r="114" spans="1:10" x14ac:dyDescent="0.35">
      <c r="A114" s="2">
        <v>44774</v>
      </c>
      <c r="B114" s="3">
        <v>0.33270833333333333</v>
      </c>
      <c r="C114">
        <v>3903</v>
      </c>
      <c r="D114" t="str">
        <f>VLOOKUP(H114,Produkt!$A$2:$B$5,2,FALSE)</f>
        <v>A</v>
      </c>
      <c r="H114">
        <v>1</v>
      </c>
      <c r="I114">
        <v>0.89268518518518514</v>
      </c>
      <c r="J114">
        <v>44794</v>
      </c>
    </row>
    <row r="115" spans="1:10" x14ac:dyDescent="0.35">
      <c r="A115" s="2">
        <v>44774</v>
      </c>
      <c r="B115" s="3">
        <v>0.23907407407407408</v>
      </c>
      <c r="C115">
        <v>3910</v>
      </c>
      <c r="D115" t="str">
        <f>VLOOKUP(H115,Produkt!$A$2:$B$5,2,FALSE)</f>
        <v>D</v>
      </c>
      <c r="H115">
        <v>4</v>
      </c>
      <c r="I115">
        <v>0.772974537037037</v>
      </c>
      <c r="J115">
        <v>44792</v>
      </c>
    </row>
    <row r="116" spans="1:10" x14ac:dyDescent="0.35">
      <c r="A116" s="2">
        <v>44774</v>
      </c>
      <c r="B116" s="3">
        <v>0.43263888888888885</v>
      </c>
      <c r="C116">
        <v>3924</v>
      </c>
      <c r="D116" t="str">
        <f>VLOOKUP(H116,Produkt!$A$2:$B$5,2,FALSE)</f>
        <v>C</v>
      </c>
      <c r="H116">
        <v>3</v>
      </c>
      <c r="I116">
        <v>0.56981481481481489</v>
      </c>
      <c r="J116">
        <v>44774</v>
      </c>
    </row>
    <row r="117" spans="1:10" x14ac:dyDescent="0.35">
      <c r="A117" s="2">
        <v>44774</v>
      </c>
      <c r="B117" s="3">
        <v>0.5582407407407407</v>
      </c>
      <c r="C117">
        <v>4006</v>
      </c>
      <c r="D117" t="str">
        <f>VLOOKUP(H117,Produkt!$A$2:$B$5,2,FALSE)</f>
        <v>C</v>
      </c>
      <c r="H117">
        <v>3</v>
      </c>
      <c r="I117">
        <v>0.13844907407407406</v>
      </c>
      <c r="J117">
        <v>44789</v>
      </c>
    </row>
    <row r="118" spans="1:10" x14ac:dyDescent="0.35">
      <c r="A118" s="2">
        <v>44774</v>
      </c>
      <c r="B118" s="3">
        <v>0.18174768518518516</v>
      </c>
      <c r="C118">
        <v>4015</v>
      </c>
      <c r="D118" t="str">
        <f>VLOOKUP(H118,Produkt!$A$2:$B$5,2,FALSE)</f>
        <v>D</v>
      </c>
      <c r="H118">
        <v>4</v>
      </c>
      <c r="I118">
        <v>0.28424768518518517</v>
      </c>
      <c r="J118">
        <v>44792</v>
      </c>
    </row>
    <row r="119" spans="1:10" x14ac:dyDescent="0.35">
      <c r="A119" s="2">
        <v>44774</v>
      </c>
      <c r="B119" s="3">
        <v>0.1529513888888889</v>
      </c>
      <c r="C119">
        <v>4072</v>
      </c>
      <c r="D119" t="str">
        <f>VLOOKUP(H119,Produkt!$A$2:$B$5,2,FALSE)</f>
        <v>A</v>
      </c>
      <c r="H119">
        <v>1</v>
      </c>
      <c r="I119">
        <v>0.44475694444444441</v>
      </c>
      <c r="J119">
        <v>44791</v>
      </c>
    </row>
    <row r="120" spans="1:10" x14ac:dyDescent="0.35">
      <c r="A120" s="2">
        <v>44774</v>
      </c>
      <c r="B120" s="3">
        <v>0.6841666666666667</v>
      </c>
      <c r="C120">
        <v>4167</v>
      </c>
      <c r="D120" t="str">
        <f>VLOOKUP(H120,Produkt!$A$2:$B$5,2,FALSE)</f>
        <v>A</v>
      </c>
      <c r="H120">
        <v>1</v>
      </c>
      <c r="I120">
        <v>0.45200231481481484</v>
      </c>
      <c r="J120">
        <v>44775</v>
      </c>
    </row>
    <row r="121" spans="1:10" x14ac:dyDescent="0.35">
      <c r="A121" s="2">
        <v>44774</v>
      </c>
      <c r="B121" s="3">
        <v>0.96098379629629627</v>
      </c>
      <c r="C121">
        <v>4205</v>
      </c>
      <c r="D121" t="str">
        <f>VLOOKUP(H121,Produkt!$A$2:$B$5,2,FALSE)</f>
        <v>A</v>
      </c>
      <c r="H121">
        <v>1</v>
      </c>
      <c r="I121">
        <v>7.1875000000000008E-2</v>
      </c>
      <c r="J121">
        <v>44796</v>
      </c>
    </row>
    <row r="122" spans="1:10" x14ac:dyDescent="0.35">
      <c r="A122" s="2">
        <v>44774</v>
      </c>
      <c r="B122" s="3">
        <v>0.78328703703703706</v>
      </c>
      <c r="C122">
        <v>4216</v>
      </c>
      <c r="D122" t="str">
        <f>VLOOKUP(H122,Produkt!$A$2:$B$5,2,FALSE)</f>
        <v>C</v>
      </c>
      <c r="H122">
        <v>3</v>
      </c>
      <c r="I122">
        <v>7.5925925925925938E-2</v>
      </c>
      <c r="J122">
        <v>44796</v>
      </c>
    </row>
    <row r="123" spans="1:10" x14ac:dyDescent="0.35">
      <c r="A123" s="2">
        <v>44774</v>
      </c>
      <c r="B123" s="3">
        <v>0.65881944444444451</v>
      </c>
      <c r="C123">
        <v>4240</v>
      </c>
      <c r="D123" t="str">
        <f>VLOOKUP(H123,Produkt!$A$2:$B$5,2,FALSE)</f>
        <v>D</v>
      </c>
      <c r="H123">
        <v>4</v>
      </c>
      <c r="I123">
        <v>0.61626157407407411</v>
      </c>
      <c r="J123">
        <v>44787</v>
      </c>
    </row>
    <row r="124" spans="1:10" x14ac:dyDescent="0.35">
      <c r="A124" s="2">
        <v>44774</v>
      </c>
      <c r="B124" s="3">
        <v>0.7163425925925927</v>
      </c>
      <c r="C124">
        <v>4244</v>
      </c>
      <c r="D124" t="str">
        <f>VLOOKUP(H124,Produkt!$A$2:$B$5,2,FALSE)</f>
        <v>A</v>
      </c>
      <c r="H124">
        <v>1</v>
      </c>
      <c r="I124">
        <v>0.34459490740740745</v>
      </c>
      <c r="J124">
        <v>44802</v>
      </c>
    </row>
    <row r="125" spans="1:10" x14ac:dyDescent="0.35">
      <c r="A125" s="2">
        <v>44774</v>
      </c>
      <c r="B125" s="3">
        <v>2.0138888888888928E-2</v>
      </c>
      <c r="C125">
        <v>4247</v>
      </c>
      <c r="D125" t="str">
        <f>VLOOKUP(H125,Produkt!$A$2:$B$5,2,FALSE)</f>
        <v>B</v>
      </c>
      <c r="H125">
        <v>2</v>
      </c>
      <c r="I125">
        <v>0.2023611111111111</v>
      </c>
      <c r="J125">
        <v>44789</v>
      </c>
    </row>
    <row r="126" spans="1:10" x14ac:dyDescent="0.35">
      <c r="A126" s="2">
        <v>44774</v>
      </c>
      <c r="B126" s="3">
        <v>0.72298611111111111</v>
      </c>
      <c r="C126">
        <v>4271</v>
      </c>
      <c r="D126" t="str">
        <f>VLOOKUP(H126,Produkt!$A$2:$B$5,2,FALSE)</f>
        <v>A</v>
      </c>
      <c r="H126">
        <v>1</v>
      </c>
      <c r="I126">
        <v>0.5197222222222222</v>
      </c>
      <c r="J126">
        <v>44799</v>
      </c>
    </row>
    <row r="127" spans="1:10" x14ac:dyDescent="0.35">
      <c r="A127" s="2">
        <v>44774</v>
      </c>
      <c r="B127" s="3">
        <v>0.37944444444444447</v>
      </c>
      <c r="C127">
        <v>4283</v>
      </c>
      <c r="D127" t="str">
        <f>VLOOKUP(H127,Produkt!$A$2:$B$5,2,FALSE)</f>
        <v>A</v>
      </c>
      <c r="H127">
        <v>1</v>
      </c>
      <c r="I127">
        <v>0.80335648148148142</v>
      </c>
      <c r="J127">
        <v>44789</v>
      </c>
    </row>
    <row r="128" spans="1:10" x14ac:dyDescent="0.35">
      <c r="A128" s="2">
        <v>44774</v>
      </c>
      <c r="B128" s="3">
        <v>0.7818518518518518</v>
      </c>
      <c r="C128">
        <v>4306</v>
      </c>
      <c r="D128" t="str">
        <f>VLOOKUP(H128,Produkt!$A$2:$B$5,2,FALSE)</f>
        <v>A</v>
      </c>
      <c r="H128">
        <v>1</v>
      </c>
      <c r="I128">
        <v>0.13924768518518518</v>
      </c>
      <c r="J128">
        <v>44791</v>
      </c>
    </row>
    <row r="129" spans="1:10" x14ac:dyDescent="0.35">
      <c r="A129" s="2">
        <v>44774</v>
      </c>
      <c r="B129" s="3">
        <v>0.12465277777777778</v>
      </c>
      <c r="C129">
        <v>4340</v>
      </c>
      <c r="D129" t="str">
        <f>VLOOKUP(H129,Produkt!$A$2:$B$5,2,FALSE)</f>
        <v>A</v>
      </c>
      <c r="H129">
        <v>1</v>
      </c>
      <c r="I129">
        <v>0.67653935185185177</v>
      </c>
      <c r="J129">
        <v>44779</v>
      </c>
    </row>
    <row r="130" spans="1:10" x14ac:dyDescent="0.35">
      <c r="A130" s="2">
        <v>44774</v>
      </c>
      <c r="B130" s="3">
        <v>0.51569444444444446</v>
      </c>
      <c r="C130">
        <v>4391</v>
      </c>
      <c r="D130" t="str">
        <f>VLOOKUP(H130,Produkt!$A$2:$B$5,2,FALSE)</f>
        <v>B</v>
      </c>
      <c r="H130">
        <v>2</v>
      </c>
      <c r="I130">
        <v>0.12539351851851852</v>
      </c>
      <c r="J130">
        <v>44792</v>
      </c>
    </row>
    <row r="131" spans="1:10" x14ac:dyDescent="0.35">
      <c r="A131" s="2">
        <v>44774</v>
      </c>
      <c r="B131" s="3">
        <v>0.71152777777777787</v>
      </c>
      <c r="C131">
        <v>4413</v>
      </c>
      <c r="D131" t="str">
        <f>VLOOKUP(H131,Produkt!$A$2:$B$5,2,FALSE)</f>
        <v>D</v>
      </c>
      <c r="H131">
        <v>4</v>
      </c>
      <c r="I131">
        <v>0.96452546296296304</v>
      </c>
      <c r="J131">
        <v>44792</v>
      </c>
    </row>
    <row r="132" spans="1:10" x14ac:dyDescent="0.35">
      <c r="A132" s="2">
        <v>44774</v>
      </c>
      <c r="B132" s="3">
        <v>0.78297453703703701</v>
      </c>
      <c r="C132">
        <v>4425</v>
      </c>
      <c r="D132" t="str">
        <f>VLOOKUP(H132,Produkt!$A$2:$B$5,2,FALSE)</f>
        <v>C</v>
      </c>
      <c r="H132">
        <v>3</v>
      </c>
      <c r="I132">
        <v>0.96392361111111102</v>
      </c>
      <c r="J132">
        <v>44794</v>
      </c>
    </row>
    <row r="133" spans="1:10" x14ac:dyDescent="0.35">
      <c r="A133" s="2">
        <v>44774</v>
      </c>
      <c r="B133" s="3">
        <v>0.43695601851851856</v>
      </c>
      <c r="C133">
        <v>4491</v>
      </c>
      <c r="D133" t="str">
        <f>VLOOKUP(H133,Produkt!$A$2:$B$5,2,FALSE)</f>
        <v>D</v>
      </c>
      <c r="H133">
        <v>4</v>
      </c>
      <c r="I133">
        <v>0.14469907407407409</v>
      </c>
      <c r="J133">
        <v>44795</v>
      </c>
    </row>
    <row r="134" spans="1:10" x14ac:dyDescent="0.35">
      <c r="A134" s="2">
        <v>44774</v>
      </c>
      <c r="B134" s="3">
        <v>0.2600925925925926</v>
      </c>
      <c r="C134">
        <v>4520</v>
      </c>
      <c r="D134" t="str">
        <f>VLOOKUP(H134,Produkt!$A$2:$B$5,2,FALSE)</f>
        <v>A</v>
      </c>
      <c r="H134">
        <v>1</v>
      </c>
      <c r="I134">
        <v>0.66732638888888884</v>
      </c>
      <c r="J134">
        <v>44802</v>
      </c>
    </row>
    <row r="135" spans="1:10" x14ac:dyDescent="0.35">
      <c r="A135" s="2">
        <v>44774</v>
      </c>
      <c r="B135" s="3">
        <v>0.6937268518518519</v>
      </c>
      <c r="C135">
        <v>4605</v>
      </c>
      <c r="D135" t="str">
        <f>VLOOKUP(H135,Produkt!$A$2:$B$5,2,FALSE)</f>
        <v>A</v>
      </c>
      <c r="H135">
        <v>1</v>
      </c>
      <c r="I135">
        <v>6.6030092592592585E-2</v>
      </c>
      <c r="J135">
        <v>44794</v>
      </c>
    </row>
    <row r="136" spans="1:10" x14ac:dyDescent="0.35">
      <c r="A136" s="2">
        <v>44774</v>
      </c>
      <c r="B136" s="3">
        <v>7.5787037037037042E-2</v>
      </c>
      <c r="C136">
        <v>4617</v>
      </c>
      <c r="D136" t="str">
        <f>VLOOKUP(H136,Produkt!$A$2:$B$5,2,FALSE)</f>
        <v>B</v>
      </c>
      <c r="H136">
        <v>2</v>
      </c>
      <c r="I136">
        <v>2.4259259259259258E-2</v>
      </c>
      <c r="J136">
        <v>44792</v>
      </c>
    </row>
    <row r="137" spans="1:10" x14ac:dyDescent="0.35">
      <c r="A137" s="2">
        <v>44774</v>
      </c>
      <c r="B137" s="3">
        <v>0.44068287037037041</v>
      </c>
      <c r="C137">
        <v>4628</v>
      </c>
      <c r="D137" t="str">
        <f>VLOOKUP(H137,Produkt!$A$2:$B$5,2,FALSE)</f>
        <v>C</v>
      </c>
      <c r="H137">
        <v>3</v>
      </c>
      <c r="I137">
        <v>0.44788194444444446</v>
      </c>
      <c r="J137">
        <v>44788</v>
      </c>
    </row>
    <row r="138" spans="1:10" x14ac:dyDescent="0.35">
      <c r="A138" s="2">
        <v>44774</v>
      </c>
      <c r="B138" s="3">
        <v>0.75390046296296298</v>
      </c>
      <c r="C138">
        <v>4631</v>
      </c>
      <c r="D138" t="str">
        <f>VLOOKUP(H138,Produkt!$A$2:$B$5,2,FALSE)</f>
        <v>C</v>
      </c>
      <c r="H138">
        <v>3</v>
      </c>
      <c r="I138">
        <v>0.5788078703703704</v>
      </c>
      <c r="J138">
        <v>44794</v>
      </c>
    </row>
    <row r="139" spans="1:10" x14ac:dyDescent="0.35">
      <c r="A139" s="2">
        <v>44774</v>
      </c>
      <c r="B139" s="3">
        <v>0.48300925925925925</v>
      </c>
      <c r="C139">
        <v>4668</v>
      </c>
      <c r="D139" t="str">
        <f>VLOOKUP(H139,Produkt!$A$2:$B$5,2,FALSE)</f>
        <v>D</v>
      </c>
      <c r="H139">
        <v>4</v>
      </c>
      <c r="I139">
        <v>0.47730324074074071</v>
      </c>
      <c r="J139">
        <v>44797</v>
      </c>
    </row>
    <row r="140" spans="1:10" x14ac:dyDescent="0.35">
      <c r="A140" s="2">
        <v>44774</v>
      </c>
      <c r="B140" s="3">
        <v>0.98762731481481481</v>
      </c>
      <c r="C140">
        <v>4671</v>
      </c>
      <c r="D140" t="str">
        <f>VLOOKUP(H140,Produkt!$A$2:$B$5,2,FALSE)</f>
        <v>B</v>
      </c>
      <c r="H140">
        <v>2</v>
      </c>
      <c r="I140">
        <v>0.10428240740740741</v>
      </c>
      <c r="J140">
        <v>44800</v>
      </c>
    </row>
    <row r="141" spans="1:10" x14ac:dyDescent="0.35">
      <c r="A141" s="2">
        <v>44774</v>
      </c>
      <c r="B141" s="3">
        <v>0.76059027777777777</v>
      </c>
      <c r="C141">
        <v>4687</v>
      </c>
      <c r="D141" t="str">
        <f>VLOOKUP(H141,Produkt!$A$2:$B$5,2,FALSE)</f>
        <v>C</v>
      </c>
      <c r="H141">
        <v>3</v>
      </c>
      <c r="I141">
        <v>0.33652777777777776</v>
      </c>
      <c r="J141">
        <v>44782</v>
      </c>
    </row>
    <row r="142" spans="1:10" x14ac:dyDescent="0.35">
      <c r="A142" s="2">
        <v>44774</v>
      </c>
      <c r="B142" s="3">
        <v>0.93459490740740747</v>
      </c>
      <c r="C142">
        <v>4696</v>
      </c>
      <c r="D142" t="str">
        <f>VLOOKUP(H142,Produkt!$A$2:$B$5,2,FALSE)</f>
        <v>C</v>
      </c>
      <c r="H142">
        <v>3</v>
      </c>
      <c r="I142">
        <v>0.65178240740740734</v>
      </c>
      <c r="J142">
        <v>44789</v>
      </c>
    </row>
    <row r="143" spans="1:10" x14ac:dyDescent="0.35">
      <c r="A143" s="2">
        <v>44774</v>
      </c>
      <c r="B143" s="3">
        <v>0.75822916666666673</v>
      </c>
      <c r="C143">
        <v>4702</v>
      </c>
      <c r="D143" t="str">
        <f>VLOOKUP(H143,Produkt!$A$2:$B$5,2,FALSE)</f>
        <v>A</v>
      </c>
      <c r="H143">
        <v>1</v>
      </c>
      <c r="I143">
        <v>0.5625</v>
      </c>
      <c r="J143">
        <v>44775</v>
      </c>
    </row>
    <row r="144" spans="1:10" x14ac:dyDescent="0.35">
      <c r="A144" s="2">
        <v>44774</v>
      </c>
      <c r="B144" s="3">
        <v>0.24717592592592594</v>
      </c>
      <c r="C144">
        <v>4719</v>
      </c>
      <c r="D144" t="str">
        <f>VLOOKUP(H144,Produkt!$A$2:$B$5,2,FALSE)</f>
        <v>A</v>
      </c>
      <c r="H144">
        <v>1</v>
      </c>
      <c r="I144">
        <v>0.68609953703703708</v>
      </c>
      <c r="J144">
        <v>44783</v>
      </c>
    </row>
    <row r="145" spans="1:10" x14ac:dyDescent="0.35">
      <c r="A145" s="2">
        <v>44774</v>
      </c>
      <c r="B145" s="3">
        <v>5.4421296296296294E-2</v>
      </c>
      <c r="C145">
        <v>4730</v>
      </c>
      <c r="D145" t="str">
        <f>VLOOKUP(H145,Produkt!$A$2:$B$5,2,FALSE)</f>
        <v>C</v>
      </c>
      <c r="H145">
        <v>3</v>
      </c>
      <c r="I145">
        <v>0.79304398148148147</v>
      </c>
      <c r="J145">
        <v>44791</v>
      </c>
    </row>
    <row r="146" spans="1:10" x14ac:dyDescent="0.35">
      <c r="A146" s="2">
        <v>44774</v>
      </c>
      <c r="B146" s="3">
        <v>0.78653935185185186</v>
      </c>
      <c r="C146">
        <v>4739</v>
      </c>
      <c r="D146" t="str">
        <f>VLOOKUP(H146,Produkt!$A$2:$B$5,2,FALSE)</f>
        <v>A</v>
      </c>
      <c r="H146">
        <v>1</v>
      </c>
      <c r="I146">
        <v>0.90653935185185175</v>
      </c>
      <c r="J146">
        <v>44796</v>
      </c>
    </row>
    <row r="147" spans="1:10" x14ac:dyDescent="0.35">
      <c r="A147" s="2">
        <v>44774</v>
      </c>
      <c r="B147" s="3">
        <v>6.6180555555555562E-2</v>
      </c>
      <c r="C147">
        <v>4763</v>
      </c>
      <c r="D147" t="str">
        <f>VLOOKUP(H147,Produkt!$A$2:$B$5,2,FALSE)</f>
        <v>D</v>
      </c>
      <c r="H147">
        <v>4</v>
      </c>
      <c r="I147">
        <v>0.21244212962962963</v>
      </c>
      <c r="J147">
        <v>44801</v>
      </c>
    </row>
    <row r="148" spans="1:10" x14ac:dyDescent="0.35">
      <c r="A148" s="2">
        <v>44774</v>
      </c>
      <c r="B148" s="3">
        <v>5.4004629629629632E-2</v>
      </c>
      <c r="C148">
        <v>4799</v>
      </c>
      <c r="D148" t="str">
        <f>VLOOKUP(H148,Produkt!$A$2:$B$5,2,FALSE)</f>
        <v>D</v>
      </c>
      <c r="H148">
        <v>4</v>
      </c>
      <c r="I148">
        <v>0.61393518518518519</v>
      </c>
      <c r="J148">
        <v>44795</v>
      </c>
    </row>
    <row r="149" spans="1:10" x14ac:dyDescent="0.35">
      <c r="A149" s="2">
        <v>44774</v>
      </c>
      <c r="B149" s="3">
        <v>0.2326273148148148</v>
      </c>
      <c r="C149">
        <v>4850</v>
      </c>
      <c r="D149" t="str">
        <f>VLOOKUP(H149,Produkt!$A$2:$B$5,2,FALSE)</f>
        <v>B</v>
      </c>
      <c r="H149">
        <v>2</v>
      </c>
      <c r="I149">
        <v>0.69438657407407411</v>
      </c>
      <c r="J149">
        <v>44783</v>
      </c>
    </row>
    <row r="150" spans="1:10" x14ac:dyDescent="0.35">
      <c r="A150" s="2">
        <v>44774</v>
      </c>
      <c r="B150" s="3">
        <v>0.43665509259259255</v>
      </c>
      <c r="C150">
        <v>4854</v>
      </c>
      <c r="D150" t="str">
        <f>VLOOKUP(H150,Produkt!$A$2:$B$5,2,FALSE)</f>
        <v>B</v>
      </c>
      <c r="H150">
        <v>2</v>
      </c>
      <c r="I150">
        <v>0.33883101851851855</v>
      </c>
      <c r="J150">
        <v>44793</v>
      </c>
    </row>
    <row r="151" spans="1:10" x14ac:dyDescent="0.35">
      <c r="A151" s="2">
        <v>44774</v>
      </c>
      <c r="B151" s="3">
        <v>0.2547800925925926</v>
      </c>
      <c r="C151">
        <v>4863</v>
      </c>
      <c r="D151" t="str">
        <f>VLOOKUP(H151,Produkt!$A$2:$B$5,2,FALSE)</f>
        <v>A</v>
      </c>
      <c r="H151">
        <v>1</v>
      </c>
      <c r="I151">
        <v>0.27657407407407408</v>
      </c>
      <c r="J151">
        <v>44798</v>
      </c>
    </row>
    <row r="152" spans="1:10" x14ac:dyDescent="0.35">
      <c r="A152" s="2">
        <v>44774</v>
      </c>
      <c r="B152" s="3">
        <v>0.87131944444444442</v>
      </c>
      <c r="C152">
        <v>4878</v>
      </c>
      <c r="D152" t="str">
        <f>VLOOKUP(H152,Produkt!$A$2:$B$5,2,FALSE)</f>
        <v>C</v>
      </c>
      <c r="H152">
        <v>3</v>
      </c>
      <c r="I152">
        <v>0.67090277777777774</v>
      </c>
      <c r="J152">
        <v>44801</v>
      </c>
    </row>
    <row r="153" spans="1:10" x14ac:dyDescent="0.35">
      <c r="A153" s="2">
        <v>44774</v>
      </c>
      <c r="B153" s="3">
        <v>0.11450231481481482</v>
      </c>
      <c r="C153">
        <v>4937</v>
      </c>
      <c r="D153" t="str">
        <f>VLOOKUP(H153,Produkt!$A$2:$B$5,2,FALSE)</f>
        <v>C</v>
      </c>
      <c r="H153">
        <v>3</v>
      </c>
      <c r="I153">
        <v>0.48185185185185181</v>
      </c>
      <c r="J153">
        <v>44801</v>
      </c>
    </row>
    <row r="154" spans="1:10" x14ac:dyDescent="0.35">
      <c r="A154" s="2">
        <v>44774</v>
      </c>
      <c r="B154" s="3">
        <v>0.62015046296296295</v>
      </c>
      <c r="C154">
        <v>4938</v>
      </c>
      <c r="D154" t="str">
        <f>VLOOKUP(H154,Produkt!$A$2:$B$5,2,FALSE)</f>
        <v>B</v>
      </c>
      <c r="H154">
        <v>2</v>
      </c>
      <c r="I154">
        <v>0.21414351851851851</v>
      </c>
      <c r="J154">
        <v>44791</v>
      </c>
    </row>
    <row r="155" spans="1:10" x14ac:dyDescent="0.35">
      <c r="A155" s="2">
        <v>44774</v>
      </c>
      <c r="B155" s="3">
        <v>0.21432870370370372</v>
      </c>
      <c r="C155">
        <v>4947</v>
      </c>
      <c r="D155" t="str">
        <f>VLOOKUP(H155,Produkt!$A$2:$B$5,2,FALSE)</f>
        <v>D</v>
      </c>
      <c r="H155">
        <v>4</v>
      </c>
      <c r="I155">
        <v>0.98162037037037031</v>
      </c>
      <c r="J155">
        <v>44775</v>
      </c>
    </row>
    <row r="156" spans="1:10" x14ac:dyDescent="0.35">
      <c r="A156" s="2">
        <v>44774</v>
      </c>
      <c r="B156" s="3">
        <v>0.21626157407407409</v>
      </c>
      <c r="C156">
        <v>4954</v>
      </c>
      <c r="D156" t="str">
        <f>VLOOKUP(H156,Produkt!$A$2:$B$5,2,FALSE)</f>
        <v>C</v>
      </c>
      <c r="H156">
        <v>3</v>
      </c>
      <c r="I156">
        <v>0.1125</v>
      </c>
      <c r="J156">
        <v>44798</v>
      </c>
    </row>
    <row r="157" spans="1:10" x14ac:dyDescent="0.35">
      <c r="A157" s="2">
        <v>44774</v>
      </c>
      <c r="B157" s="3">
        <v>0.25273148148148145</v>
      </c>
      <c r="C157">
        <v>4962</v>
      </c>
      <c r="D157" t="str">
        <f>VLOOKUP(H157,Produkt!$A$2:$B$5,2,FALSE)</f>
        <v>B</v>
      </c>
      <c r="H157">
        <v>2</v>
      </c>
      <c r="I157">
        <v>0.33152777777777781</v>
      </c>
      <c r="J157">
        <v>44788</v>
      </c>
    </row>
    <row r="158" spans="1:10" x14ac:dyDescent="0.35">
      <c r="A158" s="2">
        <v>44774</v>
      </c>
      <c r="B158" s="3">
        <v>0.80841435185185195</v>
      </c>
      <c r="C158">
        <v>5005</v>
      </c>
      <c r="D158" t="str">
        <f>VLOOKUP(H158,Produkt!$A$2:$B$5,2,FALSE)</f>
        <v>A</v>
      </c>
      <c r="H158">
        <v>1</v>
      </c>
      <c r="I158">
        <v>0.77776620370370375</v>
      </c>
      <c r="J158">
        <v>44788</v>
      </c>
    </row>
    <row r="159" spans="1:10" x14ac:dyDescent="0.35">
      <c r="A159" s="2">
        <v>44774</v>
      </c>
      <c r="B159" s="3">
        <v>0.44978009259259261</v>
      </c>
      <c r="C159">
        <v>5041</v>
      </c>
      <c r="D159" t="str">
        <f>VLOOKUP(H159,Produkt!$A$2:$B$5,2,FALSE)</f>
        <v>D</v>
      </c>
      <c r="H159">
        <v>4</v>
      </c>
      <c r="I159">
        <v>6.083333333333333E-2</v>
      </c>
      <c r="J159">
        <v>44778</v>
      </c>
    </row>
    <row r="160" spans="1:10" x14ac:dyDescent="0.35">
      <c r="A160" s="2">
        <v>44774</v>
      </c>
      <c r="B160" s="3">
        <v>0.88444444444444448</v>
      </c>
      <c r="C160">
        <v>5097</v>
      </c>
      <c r="D160" t="str">
        <f>VLOOKUP(H160,Produkt!$A$2:$B$5,2,FALSE)</f>
        <v>C</v>
      </c>
      <c r="H160">
        <v>3</v>
      </c>
      <c r="I160">
        <v>4.5706018518518521E-2</v>
      </c>
      <c r="J160">
        <v>44777</v>
      </c>
    </row>
    <row r="161" spans="1:10" x14ac:dyDescent="0.35">
      <c r="A161" s="2">
        <v>44774</v>
      </c>
      <c r="B161" s="3">
        <v>0.23648148148148149</v>
      </c>
      <c r="C161">
        <v>5099</v>
      </c>
      <c r="D161" t="str">
        <f>VLOOKUP(H161,Produkt!$A$2:$B$5,2,FALSE)</f>
        <v>C</v>
      </c>
      <c r="H161">
        <v>3</v>
      </c>
      <c r="I161">
        <v>0.27355324074074078</v>
      </c>
      <c r="J161">
        <v>44784</v>
      </c>
    </row>
    <row r="162" spans="1:10" x14ac:dyDescent="0.35">
      <c r="A162" s="2">
        <v>44774</v>
      </c>
      <c r="B162" s="3">
        <v>8.4722222222222143E-3</v>
      </c>
      <c r="C162">
        <v>5101</v>
      </c>
      <c r="D162" t="str">
        <f>VLOOKUP(H162,Produkt!$A$2:$B$5,2,FALSE)</f>
        <v>D</v>
      </c>
      <c r="H162">
        <v>4</v>
      </c>
      <c r="I162">
        <v>0.53912037037037031</v>
      </c>
      <c r="J162">
        <v>44781</v>
      </c>
    </row>
    <row r="163" spans="1:10" x14ac:dyDescent="0.35">
      <c r="A163" s="2">
        <v>44774</v>
      </c>
      <c r="B163" s="3">
        <v>0.55208333333333337</v>
      </c>
      <c r="C163">
        <v>5117</v>
      </c>
      <c r="D163" t="str">
        <f>VLOOKUP(H163,Produkt!$A$2:$B$5,2,FALSE)</f>
        <v>B</v>
      </c>
      <c r="H163">
        <v>2</v>
      </c>
      <c r="I163">
        <v>0.45556712962962959</v>
      </c>
      <c r="J163">
        <v>44798</v>
      </c>
    </row>
    <row r="164" spans="1:10" x14ac:dyDescent="0.35">
      <c r="A164" s="2">
        <v>44774</v>
      </c>
      <c r="B164" s="3">
        <v>0.20795138888888889</v>
      </c>
      <c r="C164">
        <v>5131</v>
      </c>
      <c r="D164" t="str">
        <f>VLOOKUP(H164,Produkt!$A$2:$B$5,2,FALSE)</f>
        <v>B</v>
      </c>
      <c r="H164">
        <v>2</v>
      </c>
      <c r="I164">
        <v>0.44047453703703704</v>
      </c>
      <c r="J164">
        <v>44786</v>
      </c>
    </row>
    <row r="165" spans="1:10" x14ac:dyDescent="0.35">
      <c r="A165" s="2">
        <v>44774</v>
      </c>
      <c r="B165" s="3">
        <v>0.46834490740740736</v>
      </c>
      <c r="C165">
        <v>5161</v>
      </c>
      <c r="D165" t="str">
        <f>VLOOKUP(H165,Produkt!$A$2:$B$5,2,FALSE)</f>
        <v>A</v>
      </c>
      <c r="H165">
        <v>1</v>
      </c>
      <c r="I165">
        <v>0.76541666666666675</v>
      </c>
      <c r="J165">
        <v>44794</v>
      </c>
    </row>
    <row r="166" spans="1:10" x14ac:dyDescent="0.35">
      <c r="A166" s="2">
        <v>44774</v>
      </c>
      <c r="B166" s="3">
        <v>0.89571759259259265</v>
      </c>
      <c r="C166">
        <v>5162</v>
      </c>
      <c r="D166" t="str">
        <f>VLOOKUP(H166,Produkt!$A$2:$B$5,2,FALSE)</f>
        <v>D</v>
      </c>
      <c r="H166">
        <v>4</v>
      </c>
      <c r="I166">
        <v>0.10090277777777779</v>
      </c>
      <c r="J166">
        <v>44801</v>
      </c>
    </row>
    <row r="167" spans="1:10" x14ac:dyDescent="0.35">
      <c r="A167" s="2">
        <v>44774</v>
      </c>
      <c r="B167" s="3">
        <v>0.28578703703703706</v>
      </c>
      <c r="C167">
        <v>5172</v>
      </c>
      <c r="D167" t="str">
        <f>VLOOKUP(H167,Produkt!$A$2:$B$5,2,FALSE)</f>
        <v>C</v>
      </c>
      <c r="H167">
        <v>3</v>
      </c>
      <c r="I167">
        <v>0.21407407407407408</v>
      </c>
      <c r="J167">
        <v>44792</v>
      </c>
    </row>
    <row r="168" spans="1:10" x14ac:dyDescent="0.35">
      <c r="A168" s="2">
        <v>44774</v>
      </c>
      <c r="B168" s="3">
        <v>5.5393518518518516E-2</v>
      </c>
      <c r="C168">
        <v>5183</v>
      </c>
      <c r="D168" t="str">
        <f>VLOOKUP(H168,Produkt!$A$2:$B$5,2,FALSE)</f>
        <v>B</v>
      </c>
      <c r="H168">
        <v>2</v>
      </c>
      <c r="I168">
        <v>0.61644675925925929</v>
      </c>
      <c r="J168">
        <v>44794</v>
      </c>
    </row>
    <row r="169" spans="1:10" x14ac:dyDescent="0.35">
      <c r="A169" s="2">
        <v>44774</v>
      </c>
      <c r="B169" s="3">
        <v>8.818287037037037E-2</v>
      </c>
      <c r="C169">
        <v>5204</v>
      </c>
      <c r="D169" t="str">
        <f>VLOOKUP(H169,Produkt!$A$2:$B$5,2,FALSE)</f>
        <v>B</v>
      </c>
      <c r="H169">
        <v>2</v>
      </c>
      <c r="I169">
        <v>0.26537037037037037</v>
      </c>
      <c r="J169">
        <v>44780</v>
      </c>
    </row>
    <row r="170" spans="1:10" x14ac:dyDescent="0.35">
      <c r="A170" s="2">
        <v>44774</v>
      </c>
      <c r="B170" s="3">
        <v>0.60856481481481484</v>
      </c>
      <c r="C170">
        <v>5222</v>
      </c>
      <c r="D170" t="str">
        <f>VLOOKUP(H170,Produkt!$A$2:$B$5,2,FALSE)</f>
        <v>B</v>
      </c>
      <c r="H170">
        <v>2</v>
      </c>
      <c r="I170">
        <v>0.76326388888888896</v>
      </c>
      <c r="J170">
        <v>44793</v>
      </c>
    </row>
    <row r="171" spans="1:10" x14ac:dyDescent="0.35">
      <c r="A171" s="2">
        <v>44774</v>
      </c>
      <c r="B171" s="3">
        <v>0.10563657407407408</v>
      </c>
      <c r="C171">
        <v>5226</v>
      </c>
      <c r="D171" t="str">
        <f>VLOOKUP(H171,Produkt!$A$2:$B$5,2,FALSE)</f>
        <v>A</v>
      </c>
      <c r="H171">
        <v>1</v>
      </c>
      <c r="I171">
        <v>0.43640046296296298</v>
      </c>
      <c r="J171">
        <v>44794</v>
      </c>
    </row>
    <row r="172" spans="1:10" x14ac:dyDescent="0.35">
      <c r="A172" s="2">
        <v>44774</v>
      </c>
      <c r="B172" s="3">
        <v>0.32418981481481485</v>
      </c>
      <c r="C172">
        <v>5265</v>
      </c>
      <c r="D172" t="str">
        <f>VLOOKUP(H172,Produkt!$A$2:$B$5,2,FALSE)</f>
        <v>A</v>
      </c>
      <c r="H172">
        <v>1</v>
      </c>
      <c r="I172">
        <v>7.0717592592592596E-2</v>
      </c>
      <c r="J172">
        <v>44777</v>
      </c>
    </row>
    <row r="173" spans="1:10" x14ac:dyDescent="0.35">
      <c r="A173" s="2">
        <v>44774</v>
      </c>
      <c r="B173" s="3">
        <v>0.12646990740740741</v>
      </c>
      <c r="C173">
        <v>5272</v>
      </c>
      <c r="D173" t="str">
        <f>VLOOKUP(H173,Produkt!$A$2:$B$5,2,FALSE)</f>
        <v>C</v>
      </c>
      <c r="H173">
        <v>3</v>
      </c>
      <c r="I173">
        <v>0.37917824074074075</v>
      </c>
      <c r="J173">
        <v>44774</v>
      </c>
    </row>
    <row r="174" spans="1:10" x14ac:dyDescent="0.35">
      <c r="A174" s="2">
        <v>44774</v>
      </c>
      <c r="B174" s="3">
        <v>0.38721064814814815</v>
      </c>
      <c r="C174">
        <v>5291</v>
      </c>
      <c r="D174" t="str">
        <f>VLOOKUP(H174,Produkt!$A$2:$B$5,2,FALSE)</f>
        <v>C</v>
      </c>
      <c r="H174">
        <v>3</v>
      </c>
      <c r="I174">
        <v>0.13606481481481481</v>
      </c>
      <c r="J174">
        <v>44774</v>
      </c>
    </row>
    <row r="175" spans="1:10" x14ac:dyDescent="0.35">
      <c r="A175" s="2">
        <v>44774</v>
      </c>
      <c r="B175" s="3">
        <v>0.77223379629629629</v>
      </c>
      <c r="C175">
        <v>5297</v>
      </c>
      <c r="D175" t="str">
        <f>VLOOKUP(H175,Produkt!$A$2:$B$5,2,FALSE)</f>
        <v>C</v>
      </c>
      <c r="H175">
        <v>3</v>
      </c>
      <c r="I175">
        <v>0.53809027777777774</v>
      </c>
      <c r="J175">
        <v>44791</v>
      </c>
    </row>
    <row r="176" spans="1:10" x14ac:dyDescent="0.35">
      <c r="A176" s="2">
        <v>44774</v>
      </c>
      <c r="B176" s="3">
        <v>0.96741898148148142</v>
      </c>
      <c r="C176">
        <v>5310</v>
      </c>
      <c r="D176" t="str">
        <f>VLOOKUP(H176,Produkt!$A$2:$B$5,2,FALSE)</f>
        <v>C</v>
      </c>
      <c r="H176">
        <v>3</v>
      </c>
      <c r="I176">
        <v>0.69827546296296295</v>
      </c>
      <c r="J176">
        <v>44774</v>
      </c>
    </row>
    <row r="177" spans="1:10" x14ac:dyDescent="0.35">
      <c r="A177" s="2">
        <v>44774</v>
      </c>
      <c r="B177" s="3">
        <v>6.1944444444444441E-2</v>
      </c>
      <c r="C177">
        <v>5313</v>
      </c>
      <c r="D177" t="str">
        <f>VLOOKUP(H177,Produkt!$A$2:$B$5,2,FALSE)</f>
        <v>C</v>
      </c>
      <c r="H177">
        <v>3</v>
      </c>
      <c r="I177">
        <v>0.81481481481481488</v>
      </c>
      <c r="J177">
        <v>44781</v>
      </c>
    </row>
    <row r="178" spans="1:10" x14ac:dyDescent="0.35">
      <c r="A178" s="2">
        <v>44774</v>
      </c>
      <c r="B178" s="3">
        <v>3.201388888888889E-2</v>
      </c>
      <c r="C178">
        <v>5326</v>
      </c>
      <c r="D178" t="str">
        <f>VLOOKUP(H178,Produkt!$A$2:$B$5,2,FALSE)</f>
        <v>C</v>
      </c>
      <c r="H178">
        <v>3</v>
      </c>
      <c r="I178">
        <v>0.28695601851851854</v>
      </c>
      <c r="J178">
        <v>44790</v>
      </c>
    </row>
    <row r="179" spans="1:10" x14ac:dyDescent="0.35">
      <c r="A179" s="2">
        <v>44774</v>
      </c>
      <c r="B179" s="3">
        <v>5.1423611111111107E-2</v>
      </c>
      <c r="C179">
        <v>5392</v>
      </c>
      <c r="D179" t="str">
        <f>VLOOKUP(H179,Produkt!$A$2:$B$5,2,FALSE)</f>
        <v>D</v>
      </c>
      <c r="H179">
        <v>4</v>
      </c>
      <c r="I179">
        <v>1.88194444444445E-2</v>
      </c>
      <c r="J179">
        <v>44800</v>
      </c>
    </row>
    <row r="180" spans="1:10" x14ac:dyDescent="0.35">
      <c r="A180" s="2">
        <v>44774</v>
      </c>
      <c r="B180" s="3">
        <v>0.8793981481481481</v>
      </c>
      <c r="C180">
        <v>5436</v>
      </c>
      <c r="D180" t="str">
        <f>VLOOKUP(H180,Produkt!$A$2:$B$5,2,FALSE)</f>
        <v>D</v>
      </c>
      <c r="H180">
        <v>4</v>
      </c>
      <c r="I180">
        <v>0.49416666666666664</v>
      </c>
      <c r="J180">
        <v>44785</v>
      </c>
    </row>
    <row r="181" spans="1:10" x14ac:dyDescent="0.35">
      <c r="A181" s="2">
        <v>44774</v>
      </c>
      <c r="B181" s="3">
        <v>0.88962962962962966</v>
      </c>
      <c r="C181">
        <v>5469</v>
      </c>
      <c r="D181" t="str">
        <f>VLOOKUP(H181,Produkt!$A$2:$B$5,2,FALSE)</f>
        <v>B</v>
      </c>
      <c r="H181">
        <v>2</v>
      </c>
      <c r="I181">
        <v>0.79182870370370362</v>
      </c>
      <c r="J181">
        <v>44804</v>
      </c>
    </row>
    <row r="182" spans="1:10" x14ac:dyDescent="0.35">
      <c r="A182" s="2">
        <v>44774</v>
      </c>
      <c r="B182" s="3">
        <v>0.54805555555555552</v>
      </c>
      <c r="C182">
        <v>5503</v>
      </c>
      <c r="D182" t="str">
        <f>VLOOKUP(H182,Produkt!$A$2:$B$5,2,FALSE)</f>
        <v>C</v>
      </c>
      <c r="H182">
        <v>3</v>
      </c>
      <c r="I182">
        <v>0.61267361111111118</v>
      </c>
      <c r="J182">
        <v>44799</v>
      </c>
    </row>
    <row r="183" spans="1:10" x14ac:dyDescent="0.35">
      <c r="A183" s="2">
        <v>44774</v>
      </c>
      <c r="B183" s="3">
        <v>0.45332175925925927</v>
      </c>
      <c r="C183">
        <v>5504</v>
      </c>
      <c r="D183" t="str">
        <f>VLOOKUP(H183,Produkt!$A$2:$B$5,2,FALSE)</f>
        <v>C</v>
      </c>
      <c r="H183">
        <v>3</v>
      </c>
      <c r="I183">
        <v>0.75278935185185192</v>
      </c>
      <c r="J183">
        <v>44797</v>
      </c>
    </row>
    <row r="184" spans="1:10" x14ac:dyDescent="0.35">
      <c r="A184" s="2">
        <v>44774</v>
      </c>
      <c r="B184" s="3">
        <v>0.32696759259259262</v>
      </c>
      <c r="C184">
        <v>5510</v>
      </c>
      <c r="D184" t="str">
        <f>VLOOKUP(H184,Produkt!$A$2:$B$5,2,FALSE)</f>
        <v>A</v>
      </c>
      <c r="H184">
        <v>1</v>
      </c>
      <c r="I184">
        <v>0.26873842592592595</v>
      </c>
      <c r="J184">
        <v>44785</v>
      </c>
    </row>
    <row r="185" spans="1:10" x14ac:dyDescent="0.35">
      <c r="A185" s="2">
        <v>44774</v>
      </c>
      <c r="B185" s="3">
        <v>0.73842592592592593</v>
      </c>
      <c r="C185">
        <v>5603</v>
      </c>
      <c r="D185" t="str">
        <f>VLOOKUP(H185,Produkt!$A$2:$B$5,2,FALSE)</f>
        <v>C</v>
      </c>
      <c r="H185">
        <v>3</v>
      </c>
      <c r="I185">
        <v>0.18681712962962962</v>
      </c>
      <c r="J185">
        <v>44783</v>
      </c>
    </row>
    <row r="186" spans="1:10" x14ac:dyDescent="0.35">
      <c r="A186" s="2">
        <v>44774</v>
      </c>
      <c r="B186" s="3">
        <v>0.69968750000000002</v>
      </c>
      <c r="C186">
        <v>5609</v>
      </c>
      <c r="D186" t="str">
        <f>VLOOKUP(H186,Produkt!$A$2:$B$5,2,FALSE)</f>
        <v>D</v>
      </c>
      <c r="H186">
        <v>4</v>
      </c>
      <c r="I186">
        <v>0.84445601851851848</v>
      </c>
      <c r="J186">
        <v>44797</v>
      </c>
    </row>
    <row r="187" spans="1:10" x14ac:dyDescent="0.35">
      <c r="A187" s="2">
        <v>44774</v>
      </c>
      <c r="B187" s="3">
        <v>0.71056712962962953</v>
      </c>
      <c r="C187">
        <v>5711</v>
      </c>
      <c r="D187" t="str">
        <f>VLOOKUP(H187,Produkt!$A$2:$B$5,2,FALSE)</f>
        <v>B</v>
      </c>
      <c r="H187">
        <v>2</v>
      </c>
      <c r="I187">
        <v>0.69401620370370365</v>
      </c>
      <c r="J187">
        <v>44777</v>
      </c>
    </row>
    <row r="188" spans="1:10" x14ac:dyDescent="0.35">
      <c r="A188" s="2">
        <v>44774</v>
      </c>
      <c r="B188" s="3">
        <v>9.003472222222221E-2</v>
      </c>
      <c r="C188">
        <v>5712</v>
      </c>
      <c r="D188" t="str">
        <f>VLOOKUP(H188,Produkt!$A$2:$B$5,2,FALSE)</f>
        <v>C</v>
      </c>
      <c r="H188">
        <v>3</v>
      </c>
      <c r="I188">
        <v>0.94072916666666673</v>
      </c>
      <c r="J188">
        <v>44797</v>
      </c>
    </row>
    <row r="189" spans="1:10" x14ac:dyDescent="0.35">
      <c r="A189" s="2">
        <v>44774</v>
      </c>
      <c r="B189" s="3">
        <v>0.77515046296296297</v>
      </c>
      <c r="C189">
        <v>5740</v>
      </c>
      <c r="D189" t="str">
        <f>VLOOKUP(H189,Produkt!$A$2:$B$5,2,FALSE)</f>
        <v>D</v>
      </c>
      <c r="H189">
        <v>4</v>
      </c>
      <c r="I189">
        <v>0.54151620370370368</v>
      </c>
      <c r="J189">
        <v>44783</v>
      </c>
    </row>
    <row r="190" spans="1:10" x14ac:dyDescent="0.35">
      <c r="A190" s="2">
        <v>44774</v>
      </c>
      <c r="B190" s="3">
        <v>0.15686342592592592</v>
      </c>
      <c r="C190">
        <v>5747</v>
      </c>
      <c r="D190" t="str">
        <f>VLOOKUP(H190,Produkt!$A$2:$B$5,2,FALSE)</f>
        <v>C</v>
      </c>
      <c r="H190">
        <v>3</v>
      </c>
      <c r="I190">
        <v>0.26893518518518517</v>
      </c>
      <c r="J190">
        <v>44774</v>
      </c>
    </row>
    <row r="191" spans="1:10" x14ac:dyDescent="0.35">
      <c r="A191" s="2">
        <v>44774</v>
      </c>
      <c r="B191" s="3">
        <v>0.10956018518518518</v>
      </c>
      <c r="C191">
        <v>5768</v>
      </c>
      <c r="D191" t="str">
        <f>VLOOKUP(H191,Produkt!$A$2:$B$5,2,FALSE)</f>
        <v>C</v>
      </c>
      <c r="H191">
        <v>3</v>
      </c>
      <c r="I191">
        <v>8.7083333333333332E-2</v>
      </c>
      <c r="J191">
        <v>44802</v>
      </c>
    </row>
    <row r="192" spans="1:10" x14ac:dyDescent="0.35">
      <c r="A192" s="2">
        <v>44774</v>
      </c>
      <c r="B192" s="3">
        <v>0.93562499999999993</v>
      </c>
      <c r="C192">
        <v>5770</v>
      </c>
      <c r="D192" t="str">
        <f>VLOOKUP(H192,Produkt!$A$2:$B$5,2,FALSE)</f>
        <v>A</v>
      </c>
      <c r="H192">
        <v>1</v>
      </c>
      <c r="I192">
        <v>1.6793981481481483E-2</v>
      </c>
      <c r="J192">
        <v>44797</v>
      </c>
    </row>
    <row r="193" spans="1:10" x14ac:dyDescent="0.35">
      <c r="A193" s="2">
        <v>44774</v>
      </c>
      <c r="B193" s="3">
        <v>0.90959490740740734</v>
      </c>
      <c r="C193">
        <v>5810</v>
      </c>
      <c r="D193" t="str">
        <f>VLOOKUP(H193,Produkt!$A$2:$B$5,2,FALSE)</f>
        <v>A</v>
      </c>
      <c r="H193">
        <v>1</v>
      </c>
      <c r="I193">
        <v>0.99337962962962967</v>
      </c>
      <c r="J193">
        <v>44802</v>
      </c>
    </row>
    <row r="194" spans="1:10" x14ac:dyDescent="0.35">
      <c r="A194" s="2">
        <v>44774</v>
      </c>
      <c r="B194" s="3">
        <v>0.18339120370370368</v>
      </c>
      <c r="C194">
        <v>5829</v>
      </c>
      <c r="D194" t="str">
        <f>VLOOKUP(H194,Produkt!$A$2:$B$5,2,FALSE)</f>
        <v>A</v>
      </c>
      <c r="H194">
        <v>1</v>
      </c>
      <c r="I194">
        <v>0.9715625</v>
      </c>
      <c r="J194">
        <v>44788</v>
      </c>
    </row>
    <row r="195" spans="1:10" x14ac:dyDescent="0.35">
      <c r="A195" s="2">
        <v>44774</v>
      </c>
      <c r="B195" s="3">
        <v>0.5582407407407407</v>
      </c>
      <c r="C195">
        <v>5996</v>
      </c>
      <c r="D195" t="str">
        <f>VLOOKUP(H195,Produkt!$A$2:$B$5,2,FALSE)</f>
        <v>D</v>
      </c>
      <c r="H195">
        <v>4</v>
      </c>
      <c r="I195">
        <v>4.1157407407407406E-2</v>
      </c>
      <c r="J195">
        <v>44804</v>
      </c>
    </row>
    <row r="196" spans="1:10" x14ac:dyDescent="0.35">
      <c r="A196" s="2">
        <v>44774</v>
      </c>
      <c r="B196" s="3">
        <v>0.52409722222222221</v>
      </c>
      <c r="C196">
        <v>6005</v>
      </c>
      <c r="D196" t="str">
        <f>VLOOKUP(H196,Produkt!$A$2:$B$5,2,FALSE)</f>
        <v>A</v>
      </c>
      <c r="H196">
        <v>1</v>
      </c>
      <c r="I196">
        <v>0.16383101851851853</v>
      </c>
      <c r="J196">
        <v>44798</v>
      </c>
    </row>
    <row r="197" spans="1:10" x14ac:dyDescent="0.35">
      <c r="A197" s="2">
        <v>44774</v>
      </c>
      <c r="B197" s="3">
        <v>1.9560185185185652E-3</v>
      </c>
      <c r="C197">
        <v>6039</v>
      </c>
      <c r="D197" t="str">
        <f>VLOOKUP(H197,Produkt!$A$2:$B$5,2,FALSE)</f>
        <v>C</v>
      </c>
      <c r="H197">
        <v>3</v>
      </c>
      <c r="I197">
        <v>0.97854166666666664</v>
      </c>
      <c r="J197">
        <v>44791</v>
      </c>
    </row>
    <row r="198" spans="1:10" x14ac:dyDescent="0.35">
      <c r="A198" s="2">
        <v>44774</v>
      </c>
      <c r="B198" s="3">
        <v>5.6851851851851855E-2</v>
      </c>
      <c r="C198">
        <v>6081</v>
      </c>
      <c r="D198" t="str">
        <f>VLOOKUP(H198,Produkt!$A$2:$B$5,2,FALSE)</f>
        <v>C</v>
      </c>
      <c r="H198">
        <v>3</v>
      </c>
      <c r="I198">
        <v>0.40807870370370369</v>
      </c>
      <c r="J198">
        <v>44774</v>
      </c>
    </row>
    <row r="199" spans="1:10" x14ac:dyDescent="0.35">
      <c r="A199" s="2">
        <v>44774</v>
      </c>
      <c r="B199" s="3">
        <v>0.86450231481481488</v>
      </c>
      <c r="C199">
        <v>6084</v>
      </c>
      <c r="D199" t="str">
        <f>VLOOKUP(H199,Produkt!$A$2:$B$5,2,FALSE)</f>
        <v>A</v>
      </c>
      <c r="H199">
        <v>1</v>
      </c>
      <c r="I199">
        <v>0.37001157407407409</v>
      </c>
      <c r="J199">
        <v>44789</v>
      </c>
    </row>
    <row r="200" spans="1:10" x14ac:dyDescent="0.35">
      <c r="A200" s="2">
        <v>44774</v>
      </c>
      <c r="B200" s="3">
        <v>0.33444444444444449</v>
      </c>
      <c r="C200">
        <v>6086</v>
      </c>
      <c r="D200" t="str">
        <f>VLOOKUP(H200,Produkt!$A$2:$B$5,2,FALSE)</f>
        <v>C</v>
      </c>
      <c r="H200">
        <v>3</v>
      </c>
      <c r="I200">
        <v>6.9548611111111117E-2</v>
      </c>
      <c r="J200">
        <v>44787</v>
      </c>
    </row>
    <row r="201" spans="1:10" x14ac:dyDescent="0.35">
      <c r="A201" s="2">
        <v>44774</v>
      </c>
      <c r="B201" s="3">
        <v>0.72924768518518512</v>
      </c>
      <c r="C201">
        <v>6093</v>
      </c>
      <c r="D201" t="str">
        <f>VLOOKUP(H201,Produkt!$A$2:$B$5,2,FALSE)</f>
        <v>B</v>
      </c>
      <c r="H201">
        <v>2</v>
      </c>
      <c r="I201">
        <v>0.18155092592592592</v>
      </c>
      <c r="J201">
        <v>44804</v>
      </c>
    </row>
    <row r="202" spans="1:10" x14ac:dyDescent="0.35">
      <c r="A202" s="2">
        <v>44774</v>
      </c>
      <c r="B202" s="3">
        <v>7.0092592592592595E-2</v>
      </c>
      <c r="C202">
        <v>6125</v>
      </c>
      <c r="D202" t="str">
        <f>VLOOKUP(H202,Produkt!$A$2:$B$5,2,FALSE)</f>
        <v>D</v>
      </c>
      <c r="H202">
        <v>4</v>
      </c>
      <c r="I202">
        <v>0.3663541666666667</v>
      </c>
      <c r="J202">
        <v>44789</v>
      </c>
    </row>
    <row r="203" spans="1:10" x14ac:dyDescent="0.35">
      <c r="A203" s="2">
        <v>44774</v>
      </c>
      <c r="B203" s="3">
        <v>0.25486111111111109</v>
      </c>
      <c r="C203">
        <v>6142</v>
      </c>
      <c r="D203" t="str">
        <f>VLOOKUP(H203,Produkt!$A$2:$B$5,2,FALSE)</f>
        <v>A</v>
      </c>
      <c r="H203">
        <v>1</v>
      </c>
      <c r="I203">
        <v>0.98160879629629638</v>
      </c>
      <c r="J203">
        <v>44802</v>
      </c>
    </row>
    <row r="204" spans="1:10" x14ac:dyDescent="0.35">
      <c r="A204" s="2">
        <v>44774</v>
      </c>
      <c r="B204" s="3">
        <v>0.91297453703703713</v>
      </c>
      <c r="C204">
        <v>6201</v>
      </c>
      <c r="D204" t="str">
        <f>VLOOKUP(H204,Produkt!$A$2:$B$5,2,FALSE)</f>
        <v>C</v>
      </c>
      <c r="H204">
        <v>3</v>
      </c>
      <c r="I204">
        <v>0.14197916666666666</v>
      </c>
      <c r="J204">
        <v>44785</v>
      </c>
    </row>
    <row r="205" spans="1:10" x14ac:dyDescent="0.35">
      <c r="A205" s="2">
        <v>44774</v>
      </c>
      <c r="B205" s="3">
        <v>0.32862268518518517</v>
      </c>
      <c r="C205">
        <v>6207</v>
      </c>
      <c r="D205" t="str">
        <f>VLOOKUP(H205,Produkt!$A$2:$B$5,2,FALSE)</f>
        <v>C</v>
      </c>
      <c r="H205">
        <v>3</v>
      </c>
      <c r="I205">
        <v>0.7073842592592593</v>
      </c>
      <c r="J205">
        <v>44793</v>
      </c>
    </row>
    <row r="206" spans="1:10" x14ac:dyDescent="0.35">
      <c r="A206" s="2">
        <v>44774</v>
      </c>
      <c r="B206" s="3">
        <v>0.42193287037037036</v>
      </c>
      <c r="C206">
        <v>6258</v>
      </c>
      <c r="D206" t="str">
        <f>VLOOKUP(H206,Produkt!$A$2:$B$5,2,FALSE)</f>
        <v>B</v>
      </c>
      <c r="H206">
        <v>2</v>
      </c>
      <c r="I206">
        <v>0.72159722222222233</v>
      </c>
      <c r="J206">
        <v>44785</v>
      </c>
    </row>
    <row r="207" spans="1:10" x14ac:dyDescent="0.35">
      <c r="A207" s="2">
        <v>44774</v>
      </c>
      <c r="B207" s="3">
        <v>0.70836805555555549</v>
      </c>
      <c r="C207">
        <v>6262</v>
      </c>
      <c r="D207" t="str">
        <f>VLOOKUP(H207,Produkt!$A$2:$B$5,2,FALSE)</f>
        <v>A</v>
      </c>
      <c r="H207">
        <v>1</v>
      </c>
      <c r="I207">
        <v>7.3726851851851861E-3</v>
      </c>
      <c r="J207">
        <v>44796</v>
      </c>
    </row>
    <row r="208" spans="1:10" x14ac:dyDescent="0.35">
      <c r="A208" s="2">
        <v>44774</v>
      </c>
      <c r="B208" s="3">
        <v>0.78832175925925929</v>
      </c>
      <c r="C208">
        <v>6303</v>
      </c>
      <c r="D208" t="str">
        <f>VLOOKUP(H208,Produkt!$A$2:$B$5,2,FALSE)</f>
        <v>A</v>
      </c>
      <c r="H208">
        <v>1</v>
      </c>
      <c r="I208">
        <v>0.76561342592592585</v>
      </c>
      <c r="J208">
        <v>44792</v>
      </c>
    </row>
    <row r="209" spans="1:10" x14ac:dyDescent="0.35">
      <c r="A209" s="2">
        <v>44774</v>
      </c>
      <c r="B209" s="3">
        <v>0.56574074074074077</v>
      </c>
      <c r="C209">
        <v>6336</v>
      </c>
      <c r="D209" t="str">
        <f>VLOOKUP(H209,Produkt!$A$2:$B$5,2,FALSE)</f>
        <v>C</v>
      </c>
      <c r="H209">
        <v>3</v>
      </c>
      <c r="I209">
        <v>0.51818287037037036</v>
      </c>
      <c r="J209">
        <v>44774</v>
      </c>
    </row>
    <row r="210" spans="1:10" x14ac:dyDescent="0.35">
      <c r="A210" s="2">
        <v>44774</v>
      </c>
      <c r="B210" s="3">
        <v>0.20797453703703703</v>
      </c>
      <c r="C210">
        <v>6346</v>
      </c>
      <c r="D210" t="str">
        <f>VLOOKUP(H210,Produkt!$A$2:$B$5,2,FALSE)</f>
        <v>A</v>
      </c>
      <c r="H210">
        <v>1</v>
      </c>
      <c r="I210">
        <v>0.11104166666666666</v>
      </c>
      <c r="J210">
        <v>44774</v>
      </c>
    </row>
    <row r="211" spans="1:10" x14ac:dyDescent="0.35">
      <c r="A211" s="2">
        <v>44774</v>
      </c>
      <c r="B211" s="3">
        <v>0.45532407407407405</v>
      </c>
      <c r="C211">
        <v>6350</v>
      </c>
      <c r="D211" t="str">
        <f>VLOOKUP(H211,Produkt!$A$2:$B$5,2,FALSE)</f>
        <v>B</v>
      </c>
      <c r="H211">
        <v>2</v>
      </c>
      <c r="I211">
        <v>0.92517361111111107</v>
      </c>
      <c r="J211">
        <v>44784</v>
      </c>
    </row>
    <row r="212" spans="1:10" x14ac:dyDescent="0.35">
      <c r="A212" s="2">
        <v>44774</v>
      </c>
      <c r="B212" s="3">
        <v>0.40964120370370366</v>
      </c>
      <c r="C212">
        <v>6384</v>
      </c>
      <c r="D212" t="str">
        <f>VLOOKUP(H212,Produkt!$A$2:$B$5,2,FALSE)</f>
        <v>C</v>
      </c>
      <c r="H212">
        <v>3</v>
      </c>
      <c r="I212">
        <v>0.50496527777777778</v>
      </c>
      <c r="J212">
        <v>44783</v>
      </c>
    </row>
    <row r="213" spans="1:10" x14ac:dyDescent="0.35">
      <c r="A213" s="2">
        <v>44774</v>
      </c>
      <c r="B213" s="3">
        <v>0.65550925925925929</v>
      </c>
      <c r="C213">
        <v>6425</v>
      </c>
      <c r="D213" t="str">
        <f>VLOOKUP(H213,Produkt!$A$2:$B$5,2,FALSE)</f>
        <v>D</v>
      </c>
      <c r="H213">
        <v>4</v>
      </c>
      <c r="I213">
        <v>0.49640046296296297</v>
      </c>
      <c r="J213">
        <v>44776</v>
      </c>
    </row>
    <row r="214" spans="1:10" x14ac:dyDescent="0.35">
      <c r="A214" s="2">
        <v>44774</v>
      </c>
      <c r="B214" s="3">
        <v>0.37119212962962966</v>
      </c>
      <c r="C214">
        <v>6496</v>
      </c>
      <c r="D214" t="str">
        <f>VLOOKUP(H214,Produkt!$A$2:$B$5,2,FALSE)</f>
        <v>B</v>
      </c>
      <c r="H214">
        <v>2</v>
      </c>
      <c r="I214">
        <v>0.46511574074074075</v>
      </c>
      <c r="J214">
        <v>44794</v>
      </c>
    </row>
    <row r="215" spans="1:10" x14ac:dyDescent="0.35">
      <c r="A215" s="2">
        <v>44774</v>
      </c>
      <c r="B215" s="3">
        <v>0.84219907407407402</v>
      </c>
      <c r="C215">
        <v>6661</v>
      </c>
      <c r="D215" t="str">
        <f>VLOOKUP(H215,Produkt!$A$2:$B$5,2,FALSE)</f>
        <v>B</v>
      </c>
      <c r="H215">
        <v>2</v>
      </c>
      <c r="I215">
        <v>0.28753472222222221</v>
      </c>
      <c r="J215">
        <v>44799</v>
      </c>
    </row>
    <row r="216" spans="1:10" x14ac:dyDescent="0.35">
      <c r="A216" s="2">
        <v>44774</v>
      </c>
      <c r="B216" s="3">
        <v>0.51031250000000006</v>
      </c>
      <c r="C216">
        <v>6666</v>
      </c>
      <c r="D216" t="str">
        <f>VLOOKUP(H216,Produkt!$A$2:$B$5,2,FALSE)</f>
        <v>A</v>
      </c>
      <c r="H216">
        <v>1</v>
      </c>
      <c r="I216">
        <v>0.55703703703703711</v>
      </c>
      <c r="J216">
        <v>44800</v>
      </c>
    </row>
    <row r="217" spans="1:10" x14ac:dyDescent="0.35">
      <c r="A217" s="2">
        <v>44774</v>
      </c>
      <c r="B217" s="3">
        <v>0.84561342592592592</v>
      </c>
      <c r="C217">
        <v>6735</v>
      </c>
      <c r="D217" t="str">
        <f>VLOOKUP(H217,Produkt!$A$2:$B$5,2,FALSE)</f>
        <v>C</v>
      </c>
      <c r="H217">
        <v>3</v>
      </c>
      <c r="I217">
        <v>0.5612152777777778</v>
      </c>
      <c r="J217">
        <v>44783</v>
      </c>
    </row>
    <row r="218" spans="1:10" x14ac:dyDescent="0.35">
      <c r="A218" s="2">
        <v>44774</v>
      </c>
      <c r="B218" s="3">
        <v>2.8831018518518547E-2</v>
      </c>
      <c r="C218">
        <v>6797</v>
      </c>
      <c r="D218" t="str">
        <f>VLOOKUP(H218,Produkt!$A$2:$B$5,2,FALSE)</f>
        <v>C</v>
      </c>
      <c r="H218">
        <v>3</v>
      </c>
      <c r="I218">
        <v>0.86443287037037031</v>
      </c>
      <c r="J218">
        <v>44800</v>
      </c>
    </row>
    <row r="219" spans="1:10" x14ac:dyDescent="0.35">
      <c r="A219" s="2">
        <v>44774</v>
      </c>
      <c r="B219" s="3">
        <v>0.33101851851851855</v>
      </c>
      <c r="C219">
        <v>6804</v>
      </c>
      <c r="D219" t="str">
        <f>VLOOKUP(H219,Produkt!$A$2:$B$5,2,FALSE)</f>
        <v>D</v>
      </c>
      <c r="H219">
        <v>4</v>
      </c>
      <c r="I219">
        <v>0.86355324074074069</v>
      </c>
      <c r="J219">
        <v>44789</v>
      </c>
    </row>
    <row r="220" spans="1:10" x14ac:dyDescent="0.35">
      <c r="A220" s="2">
        <v>44774</v>
      </c>
      <c r="B220" s="3">
        <v>0.11582175925925926</v>
      </c>
      <c r="C220">
        <v>6808</v>
      </c>
      <c r="D220" t="str">
        <f>VLOOKUP(H220,Produkt!$A$2:$B$5,2,FALSE)</f>
        <v>A</v>
      </c>
      <c r="H220">
        <v>1</v>
      </c>
      <c r="I220">
        <v>7.2476851851851862E-2</v>
      </c>
      <c r="J220">
        <v>44800</v>
      </c>
    </row>
    <row r="221" spans="1:10" x14ac:dyDescent="0.35">
      <c r="A221" s="2">
        <v>44774</v>
      </c>
      <c r="B221" s="3">
        <v>0.12793981481481481</v>
      </c>
      <c r="C221">
        <v>6816</v>
      </c>
      <c r="D221" t="str">
        <f>VLOOKUP(H221,Produkt!$A$2:$B$5,2,FALSE)</f>
        <v>D</v>
      </c>
      <c r="H221">
        <v>4</v>
      </c>
      <c r="I221">
        <v>7.3958333333332682E-3</v>
      </c>
      <c r="J221">
        <v>44803</v>
      </c>
    </row>
    <row r="222" spans="1:10" x14ac:dyDescent="0.35">
      <c r="A222" s="2">
        <v>44774</v>
      </c>
      <c r="B222" s="3">
        <v>2.6562499999999999E-2</v>
      </c>
      <c r="C222">
        <v>6819</v>
      </c>
      <c r="D222" t="str">
        <f>VLOOKUP(H222,Produkt!$A$2:$B$5,2,FALSE)</f>
        <v>A</v>
      </c>
      <c r="H222">
        <v>1</v>
      </c>
      <c r="I222">
        <v>0.73729166666666668</v>
      </c>
      <c r="J222">
        <v>44777</v>
      </c>
    </row>
    <row r="223" spans="1:10" x14ac:dyDescent="0.35">
      <c r="A223" s="2">
        <v>44774</v>
      </c>
      <c r="B223" s="3">
        <v>0.65668981481481481</v>
      </c>
      <c r="C223">
        <v>6829</v>
      </c>
      <c r="D223" t="str">
        <f>VLOOKUP(H223,Produkt!$A$2:$B$5,2,FALSE)</f>
        <v>B</v>
      </c>
      <c r="H223">
        <v>2</v>
      </c>
      <c r="I223">
        <v>0.20652777777777778</v>
      </c>
      <c r="J223">
        <v>44792</v>
      </c>
    </row>
    <row r="224" spans="1:10" x14ac:dyDescent="0.35">
      <c r="A224" s="2">
        <v>44774</v>
      </c>
      <c r="B224" s="3">
        <v>0.48128472222222224</v>
      </c>
      <c r="C224">
        <v>6837</v>
      </c>
      <c r="D224" t="str">
        <f>VLOOKUP(H224,Produkt!$A$2:$B$5,2,FALSE)</f>
        <v>B</v>
      </c>
      <c r="H224">
        <v>2</v>
      </c>
      <c r="I224">
        <v>0.40069444444444446</v>
      </c>
      <c r="J224">
        <v>44787</v>
      </c>
    </row>
    <row r="225" spans="1:10" x14ac:dyDescent="0.35">
      <c r="A225" s="2">
        <v>44774</v>
      </c>
      <c r="B225" s="3">
        <v>0.11458333333333333</v>
      </c>
      <c r="C225">
        <v>6838</v>
      </c>
      <c r="D225" t="str">
        <f>VLOOKUP(H225,Produkt!$A$2:$B$5,2,FALSE)</f>
        <v>D</v>
      </c>
      <c r="H225">
        <v>4</v>
      </c>
      <c r="I225">
        <v>0.9002430555555555</v>
      </c>
      <c r="J225">
        <v>44776</v>
      </c>
    </row>
    <row r="226" spans="1:10" x14ac:dyDescent="0.35">
      <c r="A226" s="2">
        <v>44774</v>
      </c>
      <c r="B226" s="3">
        <v>0.42061342592592593</v>
      </c>
      <c r="C226">
        <v>6882</v>
      </c>
      <c r="D226" t="str">
        <f>VLOOKUP(H226,Produkt!$A$2:$B$5,2,FALSE)</f>
        <v>A</v>
      </c>
      <c r="H226">
        <v>1</v>
      </c>
      <c r="I226">
        <v>0.26950231481481485</v>
      </c>
      <c r="J226">
        <v>44793</v>
      </c>
    </row>
    <row r="227" spans="1:10" x14ac:dyDescent="0.35">
      <c r="A227" s="2">
        <v>44774</v>
      </c>
      <c r="B227" s="3">
        <v>0.65394675925925927</v>
      </c>
      <c r="C227">
        <v>6885</v>
      </c>
      <c r="D227" t="str">
        <f>VLOOKUP(H227,Produkt!$A$2:$B$5,2,FALSE)</f>
        <v>C</v>
      </c>
      <c r="H227">
        <v>3</v>
      </c>
      <c r="I227">
        <v>0.10075231481481482</v>
      </c>
      <c r="J227">
        <v>44778</v>
      </c>
    </row>
    <row r="228" spans="1:10" x14ac:dyDescent="0.35">
      <c r="A228" s="2">
        <v>44774</v>
      </c>
      <c r="B228" s="3">
        <v>0.45521990740740742</v>
      </c>
      <c r="C228">
        <v>6919</v>
      </c>
      <c r="D228" t="str">
        <f>VLOOKUP(H228,Produkt!$A$2:$B$5,2,FALSE)</f>
        <v>D</v>
      </c>
      <c r="H228">
        <v>4</v>
      </c>
      <c r="I228">
        <v>0.60981481481481481</v>
      </c>
      <c r="J228">
        <v>44799</v>
      </c>
    </row>
    <row r="229" spans="1:10" x14ac:dyDescent="0.35">
      <c r="A229" s="2">
        <v>44774</v>
      </c>
      <c r="B229" s="3">
        <v>0.30863425925925925</v>
      </c>
      <c r="C229">
        <v>6923</v>
      </c>
      <c r="D229" t="str">
        <f>VLOOKUP(H229,Produkt!$A$2:$B$5,2,FALSE)</f>
        <v>D</v>
      </c>
      <c r="H229">
        <v>4</v>
      </c>
      <c r="I229">
        <v>0.54052083333333334</v>
      </c>
      <c r="J229">
        <v>44801</v>
      </c>
    </row>
    <row r="230" spans="1:10" x14ac:dyDescent="0.35">
      <c r="A230" s="2">
        <v>44774</v>
      </c>
      <c r="B230" s="3">
        <v>0.71751157407407407</v>
      </c>
      <c r="C230">
        <v>6956</v>
      </c>
      <c r="D230" t="str">
        <f>VLOOKUP(H230,Produkt!$A$2:$B$5,2,FALSE)</f>
        <v>C</v>
      </c>
      <c r="H230">
        <v>3</v>
      </c>
      <c r="I230">
        <v>0.57006944444444441</v>
      </c>
      <c r="J230">
        <v>44787</v>
      </c>
    </row>
    <row r="231" spans="1:10" x14ac:dyDescent="0.35">
      <c r="A231" s="2">
        <v>44774</v>
      </c>
      <c r="B231" s="3">
        <v>0.26859953703703704</v>
      </c>
      <c r="C231">
        <v>7004</v>
      </c>
      <c r="D231" t="str">
        <f>VLOOKUP(H231,Produkt!$A$2:$B$5,2,FALSE)</f>
        <v>D</v>
      </c>
      <c r="H231">
        <v>4</v>
      </c>
      <c r="I231">
        <v>0.875</v>
      </c>
      <c r="J231">
        <v>44798</v>
      </c>
    </row>
    <row r="232" spans="1:10" x14ac:dyDescent="0.35">
      <c r="A232" s="2">
        <v>44774</v>
      </c>
      <c r="B232" s="3">
        <v>0.28753472222222221</v>
      </c>
      <c r="C232">
        <v>7034</v>
      </c>
      <c r="D232" t="str">
        <f>VLOOKUP(H232,Produkt!$A$2:$B$5,2,FALSE)</f>
        <v>B</v>
      </c>
      <c r="H232">
        <v>2</v>
      </c>
      <c r="I232">
        <v>4.2569444444444444E-2</v>
      </c>
      <c r="J232">
        <v>44800</v>
      </c>
    </row>
    <row r="233" spans="1:10" x14ac:dyDescent="0.35">
      <c r="A233" s="2">
        <v>44774</v>
      </c>
      <c r="B233" s="3">
        <v>0.88253472222222218</v>
      </c>
      <c r="C233">
        <v>7071</v>
      </c>
      <c r="D233" t="str">
        <f>VLOOKUP(H233,Produkt!$A$2:$B$5,2,FALSE)</f>
        <v>C</v>
      </c>
      <c r="H233">
        <v>3</v>
      </c>
      <c r="I233">
        <v>0.10559027777777778</v>
      </c>
      <c r="J233">
        <v>44801</v>
      </c>
    </row>
    <row r="234" spans="1:10" x14ac:dyDescent="0.35">
      <c r="A234" s="2">
        <v>44774</v>
      </c>
      <c r="B234" s="3">
        <v>7.3055555555555554E-2</v>
      </c>
      <c r="C234">
        <v>7088</v>
      </c>
      <c r="D234" t="str">
        <f>VLOOKUP(H234,Produkt!$A$2:$B$5,2,FALSE)</f>
        <v>C</v>
      </c>
      <c r="H234">
        <v>3</v>
      </c>
      <c r="I234">
        <v>0.90028935185185188</v>
      </c>
      <c r="J234">
        <v>44804</v>
      </c>
    </row>
    <row r="235" spans="1:10" x14ac:dyDescent="0.35">
      <c r="A235" s="2">
        <v>44774</v>
      </c>
      <c r="B235" s="3">
        <v>0.31928240740740738</v>
      </c>
      <c r="C235">
        <v>7131</v>
      </c>
      <c r="D235" t="str">
        <f>VLOOKUP(H235,Produkt!$A$2:$B$5,2,FALSE)</f>
        <v>D</v>
      </c>
      <c r="H235">
        <v>4</v>
      </c>
      <c r="I235">
        <v>6.3657407407407404E-3</v>
      </c>
      <c r="J235">
        <v>44795</v>
      </c>
    </row>
    <row r="236" spans="1:10" x14ac:dyDescent="0.35">
      <c r="A236" s="2">
        <v>44774</v>
      </c>
      <c r="B236" s="3">
        <v>0.3271296296296296</v>
      </c>
      <c r="C236">
        <v>7155</v>
      </c>
      <c r="D236" t="str">
        <f>VLOOKUP(H236,Produkt!$A$2:$B$5,2,FALSE)</f>
        <v>B</v>
      </c>
      <c r="H236">
        <v>2</v>
      </c>
      <c r="I236">
        <v>0.68283564814814823</v>
      </c>
      <c r="J236">
        <v>44786</v>
      </c>
    </row>
    <row r="237" spans="1:10" x14ac:dyDescent="0.35">
      <c r="A237" s="2">
        <v>44774</v>
      </c>
      <c r="B237" s="3">
        <v>2.967592592592605E-2</v>
      </c>
      <c r="C237">
        <v>7157</v>
      </c>
      <c r="D237" t="str">
        <f>VLOOKUP(H237,Produkt!$A$2:$B$5,2,FALSE)</f>
        <v>A</v>
      </c>
      <c r="H237">
        <v>1</v>
      </c>
      <c r="I237">
        <v>4.7916666666666663E-2</v>
      </c>
      <c r="J237">
        <v>44785</v>
      </c>
    </row>
    <row r="238" spans="1:10" x14ac:dyDescent="0.35">
      <c r="A238" s="2">
        <v>44774</v>
      </c>
      <c r="B238" s="3">
        <v>3.3518518518518517E-2</v>
      </c>
      <c r="C238">
        <v>7162</v>
      </c>
      <c r="D238" t="str">
        <f>VLOOKUP(H238,Produkt!$A$2:$B$5,2,FALSE)</f>
        <v>B</v>
      </c>
      <c r="H238">
        <v>2</v>
      </c>
      <c r="I238">
        <v>0.18460648148148148</v>
      </c>
      <c r="J238">
        <v>44800</v>
      </c>
    </row>
    <row r="239" spans="1:10" x14ac:dyDescent="0.35">
      <c r="A239" s="2">
        <v>44774</v>
      </c>
      <c r="B239" s="3">
        <v>0.18181712962962962</v>
      </c>
      <c r="C239">
        <v>7176</v>
      </c>
      <c r="D239" t="str">
        <f>VLOOKUP(H239,Produkt!$A$2:$B$5,2,FALSE)</f>
        <v>C</v>
      </c>
      <c r="H239">
        <v>3</v>
      </c>
      <c r="I239">
        <v>0.86403935185185177</v>
      </c>
      <c r="J239">
        <v>44776</v>
      </c>
    </row>
    <row r="240" spans="1:10" x14ac:dyDescent="0.35">
      <c r="A240" s="2">
        <v>44774</v>
      </c>
      <c r="B240" s="3">
        <v>0.32376157407407408</v>
      </c>
      <c r="C240">
        <v>7202</v>
      </c>
      <c r="D240" t="str">
        <f>VLOOKUP(H240,Produkt!$A$2:$B$5,2,FALSE)</f>
        <v>C</v>
      </c>
      <c r="H240">
        <v>3</v>
      </c>
      <c r="I240">
        <v>0.29233796296296294</v>
      </c>
      <c r="J240">
        <v>44777</v>
      </c>
    </row>
    <row r="241" spans="1:10" x14ac:dyDescent="0.35">
      <c r="A241" s="2">
        <v>44774</v>
      </c>
      <c r="B241" s="3">
        <v>8.8657407407407417E-3</v>
      </c>
      <c r="C241">
        <v>7203</v>
      </c>
      <c r="D241" t="str">
        <f>VLOOKUP(H241,Produkt!$A$2:$B$5,2,FALSE)</f>
        <v>A</v>
      </c>
      <c r="H241">
        <v>1</v>
      </c>
      <c r="I241">
        <v>0.2822337962962963</v>
      </c>
      <c r="J241">
        <v>44797</v>
      </c>
    </row>
    <row r="242" spans="1:10" x14ac:dyDescent="0.35">
      <c r="A242" s="2">
        <v>44774</v>
      </c>
      <c r="B242" s="3">
        <v>9.178240740740741E-2</v>
      </c>
      <c r="C242">
        <v>7216</v>
      </c>
      <c r="D242" t="str">
        <f>VLOOKUP(H242,Produkt!$A$2:$B$5,2,FALSE)</f>
        <v>D</v>
      </c>
      <c r="H242">
        <v>4</v>
      </c>
      <c r="I242">
        <v>0.88972222222222219</v>
      </c>
      <c r="J242">
        <v>44777</v>
      </c>
    </row>
    <row r="243" spans="1:10" x14ac:dyDescent="0.35">
      <c r="A243" s="2">
        <v>44774</v>
      </c>
      <c r="B243" s="3">
        <v>0.34180555555555553</v>
      </c>
      <c r="C243">
        <v>7236</v>
      </c>
      <c r="D243" t="str">
        <f>VLOOKUP(H243,Produkt!$A$2:$B$5,2,FALSE)</f>
        <v>D</v>
      </c>
      <c r="H243">
        <v>4</v>
      </c>
      <c r="I243">
        <v>0.66127314814814808</v>
      </c>
      <c r="J243">
        <v>44786</v>
      </c>
    </row>
    <row r="244" spans="1:10" x14ac:dyDescent="0.35">
      <c r="A244" s="2">
        <v>44774</v>
      </c>
      <c r="B244" s="3">
        <v>0.82015046296296301</v>
      </c>
      <c r="C244">
        <v>7275</v>
      </c>
      <c r="D244" t="str">
        <f>VLOOKUP(H244,Produkt!$A$2:$B$5,2,FALSE)</f>
        <v>D</v>
      </c>
      <c r="H244">
        <v>4</v>
      </c>
      <c r="I244">
        <v>0.72202546296296299</v>
      </c>
      <c r="J244">
        <v>44781</v>
      </c>
    </row>
    <row r="245" spans="1:10" x14ac:dyDescent="0.35">
      <c r="A245" s="2">
        <v>44774</v>
      </c>
      <c r="B245" s="3">
        <v>0.18097222222222223</v>
      </c>
      <c r="C245">
        <v>7278</v>
      </c>
      <c r="D245" t="str">
        <f>VLOOKUP(H245,Produkt!$A$2:$B$5,2,FALSE)</f>
        <v>D</v>
      </c>
      <c r="H245">
        <v>4</v>
      </c>
      <c r="I245">
        <v>0.15936342592592592</v>
      </c>
      <c r="J245">
        <v>44788</v>
      </c>
    </row>
    <row r="246" spans="1:10" x14ac:dyDescent="0.35">
      <c r="A246" s="2">
        <v>44774</v>
      </c>
      <c r="B246" s="3">
        <v>0.28202546296296299</v>
      </c>
      <c r="C246">
        <v>7349</v>
      </c>
      <c r="D246" t="str">
        <f>VLOOKUP(H246,Produkt!$A$2:$B$5,2,FALSE)</f>
        <v>B</v>
      </c>
      <c r="H246">
        <v>2</v>
      </c>
      <c r="I246">
        <v>0.5904166666666667</v>
      </c>
      <c r="J246">
        <v>44791</v>
      </c>
    </row>
    <row r="247" spans="1:10" x14ac:dyDescent="0.35">
      <c r="A247" s="2">
        <v>44774</v>
      </c>
      <c r="B247" s="3">
        <v>0.88061342592592595</v>
      </c>
      <c r="C247">
        <v>7371</v>
      </c>
      <c r="D247" t="str">
        <f>VLOOKUP(H247,Produkt!$A$2:$B$5,2,FALSE)</f>
        <v>B</v>
      </c>
      <c r="H247">
        <v>2</v>
      </c>
      <c r="I247">
        <v>0.58857638888888886</v>
      </c>
      <c r="J247">
        <v>44796</v>
      </c>
    </row>
    <row r="248" spans="1:10" x14ac:dyDescent="0.35">
      <c r="A248" s="2">
        <v>44774</v>
      </c>
      <c r="B248" s="3">
        <v>0.8930324074074073</v>
      </c>
      <c r="C248">
        <v>7398</v>
      </c>
      <c r="D248" t="str">
        <f>VLOOKUP(H248,Produkt!$A$2:$B$5,2,FALSE)</f>
        <v>A</v>
      </c>
      <c r="H248">
        <v>1</v>
      </c>
      <c r="I248">
        <v>0.96953703703703698</v>
      </c>
      <c r="J248">
        <v>44783</v>
      </c>
    </row>
    <row r="249" spans="1:10" x14ac:dyDescent="0.35">
      <c r="A249" s="2">
        <v>44774</v>
      </c>
      <c r="B249" s="3">
        <v>0.53064814814814809</v>
      </c>
      <c r="C249">
        <v>7409</v>
      </c>
      <c r="D249" t="str">
        <f>VLOOKUP(H249,Produkt!$A$2:$B$5,2,FALSE)</f>
        <v>A</v>
      </c>
      <c r="H249">
        <v>1</v>
      </c>
      <c r="I249">
        <v>0.31063657407407408</v>
      </c>
      <c r="J249">
        <v>44779</v>
      </c>
    </row>
    <row r="250" spans="1:10" x14ac:dyDescent="0.35">
      <c r="A250" s="2">
        <v>44774</v>
      </c>
      <c r="B250" s="3">
        <v>0.77891203703703704</v>
      </c>
      <c r="C250">
        <v>7419</v>
      </c>
      <c r="D250" t="str">
        <f>VLOOKUP(H250,Produkt!$A$2:$B$5,2,FALSE)</f>
        <v>D</v>
      </c>
      <c r="H250">
        <v>4</v>
      </c>
      <c r="I250">
        <v>0.62980324074074068</v>
      </c>
      <c r="J250">
        <v>44784</v>
      </c>
    </row>
    <row r="251" spans="1:10" x14ac:dyDescent="0.35">
      <c r="A251" s="2">
        <v>44774</v>
      </c>
      <c r="B251" s="3">
        <v>0.69016203703703705</v>
      </c>
      <c r="C251">
        <v>7423</v>
      </c>
      <c r="D251" t="str">
        <f>VLOOKUP(H251,Produkt!$A$2:$B$5,2,FALSE)</f>
        <v>A</v>
      </c>
      <c r="H251">
        <v>1</v>
      </c>
      <c r="I251">
        <v>0.73858796296296303</v>
      </c>
      <c r="J251">
        <v>44798</v>
      </c>
    </row>
    <row r="252" spans="1:10" x14ac:dyDescent="0.35">
      <c r="A252" s="2">
        <v>44774</v>
      </c>
      <c r="B252" s="3">
        <v>0.68793981481481481</v>
      </c>
      <c r="C252">
        <v>7489</v>
      </c>
      <c r="D252" t="str">
        <f>VLOOKUP(H252,Produkt!$A$2:$B$5,2,FALSE)</f>
        <v>D</v>
      </c>
      <c r="H252">
        <v>4</v>
      </c>
      <c r="I252">
        <v>0.54505787037037035</v>
      </c>
      <c r="J252">
        <v>44798</v>
      </c>
    </row>
    <row r="253" spans="1:10" x14ac:dyDescent="0.35">
      <c r="A253" s="2">
        <v>44774</v>
      </c>
      <c r="B253" s="3">
        <v>0.98857638888888888</v>
      </c>
      <c r="C253">
        <v>7514</v>
      </c>
      <c r="D253" t="str">
        <f>VLOOKUP(H253,Produkt!$A$2:$B$5,2,FALSE)</f>
        <v>D</v>
      </c>
      <c r="H253">
        <v>4</v>
      </c>
      <c r="I253">
        <v>3.0578703703703747E-2</v>
      </c>
      <c r="J253">
        <v>44789</v>
      </c>
    </row>
    <row r="254" spans="1:10" x14ac:dyDescent="0.35">
      <c r="A254" s="2">
        <v>44774</v>
      </c>
      <c r="B254" s="3">
        <v>0.26549768518518518</v>
      </c>
      <c r="C254">
        <v>7569</v>
      </c>
      <c r="D254" t="str">
        <f>VLOOKUP(H254,Produkt!$A$2:$B$5,2,FALSE)</f>
        <v>D</v>
      </c>
      <c r="H254">
        <v>4</v>
      </c>
      <c r="I254">
        <v>0.43484953703703705</v>
      </c>
      <c r="J254">
        <v>44789</v>
      </c>
    </row>
    <row r="255" spans="1:10" x14ac:dyDescent="0.35">
      <c r="A255" s="2">
        <v>44774</v>
      </c>
      <c r="B255" s="3">
        <v>0.98261574074074076</v>
      </c>
      <c r="C255">
        <v>7619</v>
      </c>
      <c r="D255" t="str">
        <f>VLOOKUP(H255,Produkt!$A$2:$B$5,2,FALSE)</f>
        <v>A</v>
      </c>
      <c r="H255">
        <v>1</v>
      </c>
      <c r="I255">
        <v>0.57113425925925931</v>
      </c>
      <c r="J255">
        <v>44778</v>
      </c>
    </row>
    <row r="256" spans="1:10" x14ac:dyDescent="0.35">
      <c r="A256" s="2">
        <v>44774</v>
      </c>
      <c r="B256" s="3">
        <v>0.96821759259259255</v>
      </c>
      <c r="C256">
        <v>7637</v>
      </c>
      <c r="D256" t="str">
        <f>VLOOKUP(H256,Produkt!$A$2:$B$5,2,FALSE)</f>
        <v>A</v>
      </c>
      <c r="H256">
        <v>1</v>
      </c>
      <c r="I256">
        <v>1.3333333333333419E-2</v>
      </c>
      <c r="J256">
        <v>44799</v>
      </c>
    </row>
    <row r="257" spans="1:10" x14ac:dyDescent="0.35">
      <c r="A257" s="2">
        <v>44774</v>
      </c>
      <c r="B257" s="3">
        <v>0.85457175925925932</v>
      </c>
      <c r="C257">
        <v>7689</v>
      </c>
      <c r="D257" t="str">
        <f>VLOOKUP(H257,Produkt!$A$2:$B$5,2,FALSE)</f>
        <v>A</v>
      </c>
      <c r="H257">
        <v>1</v>
      </c>
      <c r="I257">
        <v>0.22741898148148146</v>
      </c>
      <c r="J257">
        <v>44780</v>
      </c>
    </row>
    <row r="258" spans="1:10" x14ac:dyDescent="0.35">
      <c r="A258" s="2">
        <v>44774</v>
      </c>
      <c r="B258" s="3">
        <v>0.7255787037037037</v>
      </c>
      <c r="C258">
        <v>7763</v>
      </c>
      <c r="D258" t="str">
        <f>VLOOKUP(H258,Produkt!$A$2:$B$5,2,FALSE)</f>
        <v>B</v>
      </c>
      <c r="H258">
        <v>2</v>
      </c>
      <c r="I258">
        <v>0.60093750000000001</v>
      </c>
      <c r="J258">
        <v>44795</v>
      </c>
    </row>
    <row r="259" spans="1:10" x14ac:dyDescent="0.35">
      <c r="A259" s="2">
        <v>44774</v>
      </c>
      <c r="B259" s="3">
        <v>0.84089120370370374</v>
      </c>
      <c r="C259">
        <v>7770</v>
      </c>
      <c r="D259" t="str">
        <f>VLOOKUP(H259,Produkt!$A$2:$B$5,2,FALSE)</f>
        <v>A</v>
      </c>
      <c r="H259">
        <v>1</v>
      </c>
      <c r="I259">
        <v>0.21215277777777777</v>
      </c>
      <c r="J259">
        <v>44799</v>
      </c>
    </row>
    <row r="260" spans="1:10" x14ac:dyDescent="0.35">
      <c r="A260" s="2">
        <v>44774</v>
      </c>
      <c r="B260" s="3">
        <v>0.6192361111111111</v>
      </c>
      <c r="C260">
        <v>7805</v>
      </c>
      <c r="D260" t="str">
        <f>VLOOKUP(H260,Produkt!$A$2:$B$5,2,FALSE)</f>
        <v>A</v>
      </c>
      <c r="H260">
        <v>1</v>
      </c>
      <c r="I260">
        <v>0.4305208333333333</v>
      </c>
      <c r="J260">
        <v>44791</v>
      </c>
    </row>
    <row r="261" spans="1:10" x14ac:dyDescent="0.35">
      <c r="A261" s="2">
        <v>44774</v>
      </c>
      <c r="B261" s="3">
        <v>0.92472222222222211</v>
      </c>
      <c r="C261">
        <v>7817</v>
      </c>
      <c r="D261" t="str">
        <f>VLOOKUP(H261,Produkt!$A$2:$B$5,2,FALSE)</f>
        <v>C</v>
      </c>
      <c r="H261">
        <v>3</v>
      </c>
      <c r="I261">
        <v>0.85673611111111114</v>
      </c>
      <c r="J261">
        <v>44782</v>
      </c>
    </row>
    <row r="262" spans="1:10" x14ac:dyDescent="0.35">
      <c r="A262" s="2">
        <v>44774</v>
      </c>
      <c r="B262" s="3">
        <v>0.40173611111111113</v>
      </c>
      <c r="C262">
        <v>7828</v>
      </c>
      <c r="D262" t="str">
        <f>VLOOKUP(H262,Produkt!$A$2:$B$5,2,FALSE)</f>
        <v>A</v>
      </c>
      <c r="H262">
        <v>1</v>
      </c>
      <c r="I262">
        <v>0.4166435185185185</v>
      </c>
      <c r="J262">
        <v>44794</v>
      </c>
    </row>
    <row r="263" spans="1:10" x14ac:dyDescent="0.35">
      <c r="A263" s="2">
        <v>44774</v>
      </c>
      <c r="B263" s="3">
        <v>0.88402777777777775</v>
      </c>
      <c r="C263">
        <v>7928</v>
      </c>
      <c r="D263" t="str">
        <f>VLOOKUP(H263,Produkt!$A$2:$B$5,2,FALSE)</f>
        <v>B</v>
      </c>
      <c r="H263">
        <v>2</v>
      </c>
      <c r="I263">
        <v>0.47613425925925923</v>
      </c>
      <c r="J263">
        <v>44781</v>
      </c>
    </row>
    <row r="264" spans="1:10" x14ac:dyDescent="0.35">
      <c r="A264" s="2">
        <v>44774</v>
      </c>
      <c r="B264" s="3">
        <v>3.3414351851851931E-2</v>
      </c>
      <c r="C264">
        <v>7937</v>
      </c>
      <c r="D264" t="str">
        <f>VLOOKUP(H264,Produkt!$A$2:$B$5,2,FALSE)</f>
        <v>C</v>
      </c>
      <c r="H264">
        <v>3</v>
      </c>
      <c r="I264">
        <v>0.33707175925925931</v>
      </c>
      <c r="J264">
        <v>44779</v>
      </c>
    </row>
    <row r="265" spans="1:10" x14ac:dyDescent="0.35">
      <c r="A265" s="2">
        <v>44774</v>
      </c>
      <c r="B265" s="3">
        <v>0.39534722222222224</v>
      </c>
      <c r="C265">
        <v>7942</v>
      </c>
      <c r="D265" t="str">
        <f>VLOOKUP(H265,Produkt!$A$2:$B$5,2,FALSE)</f>
        <v>C</v>
      </c>
      <c r="H265">
        <v>3</v>
      </c>
      <c r="I265">
        <v>0.7171643518518519</v>
      </c>
      <c r="J265">
        <v>44778</v>
      </c>
    </row>
    <row r="266" spans="1:10" x14ac:dyDescent="0.35">
      <c r="A266" s="2">
        <v>44774</v>
      </c>
      <c r="B266" s="3">
        <v>0.19525462962962961</v>
      </c>
      <c r="C266">
        <v>7956</v>
      </c>
      <c r="D266" t="str">
        <f>VLOOKUP(H266,Produkt!$A$2:$B$5,2,FALSE)</f>
        <v>D</v>
      </c>
      <c r="H266">
        <v>4</v>
      </c>
      <c r="I266">
        <v>0.42870370370370375</v>
      </c>
      <c r="J266">
        <v>44774</v>
      </c>
    </row>
    <row r="267" spans="1:10" x14ac:dyDescent="0.35">
      <c r="A267" s="2">
        <v>44774</v>
      </c>
      <c r="B267" s="3">
        <v>0.10833333333333334</v>
      </c>
      <c r="C267">
        <v>7992</v>
      </c>
      <c r="D267" t="str">
        <f>VLOOKUP(H267,Produkt!$A$2:$B$5,2,FALSE)</f>
        <v>D</v>
      </c>
      <c r="H267">
        <v>4</v>
      </c>
      <c r="I267">
        <v>0.99444444444444446</v>
      </c>
      <c r="J267">
        <v>44794</v>
      </c>
    </row>
    <row r="268" spans="1:10" x14ac:dyDescent="0.35">
      <c r="A268" s="2">
        <v>44774</v>
      </c>
      <c r="B268" s="3">
        <v>0.5074305555555555</v>
      </c>
      <c r="C268">
        <v>8048</v>
      </c>
      <c r="D268" t="str">
        <f>VLOOKUP(H268,Produkt!$A$2:$B$5,2,FALSE)</f>
        <v>D</v>
      </c>
      <c r="H268">
        <v>4</v>
      </c>
      <c r="I268">
        <v>0.22756944444444446</v>
      </c>
      <c r="J268">
        <v>44778</v>
      </c>
    </row>
    <row r="269" spans="1:10" x14ac:dyDescent="0.35">
      <c r="A269" s="2">
        <v>44774</v>
      </c>
      <c r="B269" s="3">
        <v>0.87745370370370368</v>
      </c>
      <c r="C269">
        <v>8053</v>
      </c>
      <c r="D269" t="str">
        <f>VLOOKUP(H269,Produkt!$A$2:$B$5,2,FALSE)</f>
        <v>A</v>
      </c>
      <c r="H269">
        <v>1</v>
      </c>
      <c r="I269">
        <v>0.87543981481481481</v>
      </c>
      <c r="J269">
        <v>44784</v>
      </c>
    </row>
    <row r="270" spans="1:10" x14ac:dyDescent="0.35">
      <c r="A270" s="2">
        <v>44774</v>
      </c>
      <c r="B270" s="3">
        <v>0.15138888888888888</v>
      </c>
      <c r="C270">
        <v>8058</v>
      </c>
      <c r="D270" t="str">
        <f>VLOOKUP(H270,Produkt!$A$2:$B$5,2,FALSE)</f>
        <v>B</v>
      </c>
      <c r="H270">
        <v>2</v>
      </c>
      <c r="I270">
        <v>0.26734953703703707</v>
      </c>
      <c r="J270">
        <v>44775</v>
      </c>
    </row>
    <row r="271" spans="1:10" x14ac:dyDescent="0.35">
      <c r="A271" s="2">
        <v>44774</v>
      </c>
      <c r="B271" s="3">
        <v>0.24416666666666667</v>
      </c>
      <c r="C271">
        <v>8087</v>
      </c>
      <c r="D271" t="str">
        <f>VLOOKUP(H271,Produkt!$A$2:$B$5,2,FALSE)</f>
        <v>A</v>
      </c>
      <c r="H271">
        <v>1</v>
      </c>
      <c r="I271">
        <v>0.9733680555555555</v>
      </c>
      <c r="J271">
        <v>44792</v>
      </c>
    </row>
    <row r="272" spans="1:10" x14ac:dyDescent="0.35">
      <c r="A272" s="2">
        <v>44774</v>
      </c>
      <c r="B272" s="3">
        <v>0.76736111111111116</v>
      </c>
      <c r="C272">
        <v>8163</v>
      </c>
      <c r="D272" t="str">
        <f>VLOOKUP(H272,Produkt!$A$2:$B$5,2,FALSE)</f>
        <v>C</v>
      </c>
      <c r="H272">
        <v>3</v>
      </c>
      <c r="I272">
        <v>0.73547453703703702</v>
      </c>
      <c r="J272">
        <v>44783</v>
      </c>
    </row>
    <row r="273" spans="1:10" x14ac:dyDescent="0.35">
      <c r="A273" s="2">
        <v>44774</v>
      </c>
      <c r="B273" s="3">
        <v>0.35528935185185184</v>
      </c>
      <c r="C273">
        <v>8171</v>
      </c>
      <c r="D273" t="str">
        <f>VLOOKUP(H273,Produkt!$A$2:$B$5,2,FALSE)</f>
        <v>B</v>
      </c>
      <c r="H273">
        <v>2</v>
      </c>
      <c r="I273">
        <v>9.7164351851851849E-2</v>
      </c>
      <c r="J273">
        <v>44803</v>
      </c>
    </row>
    <row r="274" spans="1:10" x14ac:dyDescent="0.35">
      <c r="A274" s="2">
        <v>44774</v>
      </c>
      <c r="B274" s="3">
        <v>2.462962962962963E-2</v>
      </c>
      <c r="C274">
        <v>8241</v>
      </c>
      <c r="D274" t="str">
        <f>VLOOKUP(H274,Produkt!$A$2:$B$5,2,FALSE)</f>
        <v>C</v>
      </c>
      <c r="H274">
        <v>3</v>
      </c>
      <c r="I274">
        <v>0.20673611111111112</v>
      </c>
      <c r="J274">
        <v>44783</v>
      </c>
    </row>
    <row r="275" spans="1:10" x14ac:dyDescent="0.35">
      <c r="A275" s="2">
        <v>44774</v>
      </c>
      <c r="B275" s="3">
        <v>0.7996064814814815</v>
      </c>
      <c r="C275">
        <v>8245</v>
      </c>
      <c r="D275" t="str">
        <f>VLOOKUP(H275,Produkt!$A$2:$B$5,2,FALSE)</f>
        <v>A</v>
      </c>
      <c r="H275">
        <v>1</v>
      </c>
      <c r="I275">
        <v>0.36719907407407404</v>
      </c>
      <c r="J275">
        <v>44783</v>
      </c>
    </row>
    <row r="276" spans="1:10" x14ac:dyDescent="0.35">
      <c r="A276" s="2">
        <v>44774</v>
      </c>
      <c r="B276" s="3">
        <v>0.65152777777777782</v>
      </c>
      <c r="C276">
        <v>8264</v>
      </c>
      <c r="D276" t="str">
        <f>VLOOKUP(H276,Produkt!$A$2:$B$5,2,FALSE)</f>
        <v>C</v>
      </c>
      <c r="H276">
        <v>3</v>
      </c>
      <c r="I276">
        <v>0.39446759259259262</v>
      </c>
      <c r="J276">
        <v>44778</v>
      </c>
    </row>
    <row r="277" spans="1:10" x14ac:dyDescent="0.35">
      <c r="A277" s="2">
        <v>44774</v>
      </c>
      <c r="B277" s="3">
        <v>0.25934027777777779</v>
      </c>
      <c r="C277">
        <v>8365</v>
      </c>
      <c r="D277" t="str">
        <f>VLOOKUP(H277,Produkt!$A$2:$B$5,2,FALSE)</f>
        <v>A</v>
      </c>
      <c r="H277">
        <v>1</v>
      </c>
      <c r="I277">
        <v>0.48133101851851851</v>
      </c>
      <c r="J277">
        <v>44785</v>
      </c>
    </row>
    <row r="278" spans="1:10" x14ac:dyDescent="0.35">
      <c r="A278" s="2">
        <v>44774</v>
      </c>
      <c r="B278" s="3">
        <v>0.74146990740740737</v>
      </c>
      <c r="C278">
        <v>8378</v>
      </c>
      <c r="D278" t="str">
        <f>VLOOKUP(H278,Produkt!$A$2:$B$5,2,FALSE)</f>
        <v>C</v>
      </c>
      <c r="H278">
        <v>3</v>
      </c>
      <c r="I278">
        <v>0.80959490740740747</v>
      </c>
      <c r="J278">
        <v>44775</v>
      </c>
    </row>
    <row r="279" spans="1:10" x14ac:dyDescent="0.35">
      <c r="A279" s="2">
        <v>44774</v>
      </c>
      <c r="B279" s="3">
        <v>0.7721527777777778</v>
      </c>
      <c r="C279">
        <v>8427</v>
      </c>
      <c r="D279" t="str">
        <f>VLOOKUP(H279,Produkt!$A$2:$B$5,2,FALSE)</f>
        <v>A</v>
      </c>
      <c r="H279">
        <v>1</v>
      </c>
      <c r="I279">
        <v>0.50329861111111118</v>
      </c>
      <c r="J279">
        <v>44790</v>
      </c>
    </row>
    <row r="280" spans="1:10" x14ac:dyDescent="0.35">
      <c r="A280" s="2">
        <v>44774</v>
      </c>
      <c r="B280" s="3">
        <v>0.39244212962962965</v>
      </c>
      <c r="C280">
        <v>8460</v>
      </c>
      <c r="D280" t="str">
        <f>VLOOKUP(H280,Produkt!$A$2:$B$5,2,FALSE)</f>
        <v>A</v>
      </c>
      <c r="H280">
        <v>1</v>
      </c>
      <c r="I280">
        <v>0.70271990740740742</v>
      </c>
      <c r="J280">
        <v>44779</v>
      </c>
    </row>
    <row r="281" spans="1:10" x14ac:dyDescent="0.35">
      <c r="A281" s="2">
        <v>44774</v>
      </c>
      <c r="B281" s="3">
        <v>0.47894675925925928</v>
      </c>
      <c r="C281">
        <v>8490</v>
      </c>
      <c r="D281" t="str">
        <f>VLOOKUP(H281,Produkt!$A$2:$B$5,2,FALSE)</f>
        <v>D</v>
      </c>
      <c r="H281">
        <v>4</v>
      </c>
      <c r="I281">
        <v>0.47819444444444442</v>
      </c>
      <c r="J281">
        <v>44774</v>
      </c>
    </row>
    <row r="282" spans="1:10" x14ac:dyDescent="0.35">
      <c r="A282" s="2">
        <v>44774</v>
      </c>
      <c r="B282" s="3">
        <v>0.90755787037037028</v>
      </c>
      <c r="C282">
        <v>8513</v>
      </c>
      <c r="D282" t="str">
        <f>VLOOKUP(H282,Produkt!$A$2:$B$5,2,FALSE)</f>
        <v>C</v>
      </c>
      <c r="H282">
        <v>3</v>
      </c>
      <c r="I282">
        <v>0.52462962962962967</v>
      </c>
      <c r="J282">
        <v>44800</v>
      </c>
    </row>
    <row r="283" spans="1:10" x14ac:dyDescent="0.35">
      <c r="A283" s="2">
        <v>44774</v>
      </c>
      <c r="B283" s="3">
        <v>0.69172453703703696</v>
      </c>
      <c r="C283">
        <v>8579</v>
      </c>
      <c r="D283" t="str">
        <f>VLOOKUP(H283,Produkt!$A$2:$B$5,2,FALSE)</f>
        <v>B</v>
      </c>
      <c r="H283">
        <v>2</v>
      </c>
      <c r="I283">
        <v>0.88792824074074073</v>
      </c>
      <c r="J283">
        <v>44794</v>
      </c>
    </row>
    <row r="284" spans="1:10" x14ac:dyDescent="0.35">
      <c r="A284" s="2">
        <v>44774</v>
      </c>
      <c r="B284" s="3">
        <v>0.26082175925925927</v>
      </c>
      <c r="C284">
        <v>8612</v>
      </c>
      <c r="D284" t="str">
        <f>VLOOKUP(H284,Produkt!$A$2:$B$5,2,FALSE)</f>
        <v>C</v>
      </c>
      <c r="H284">
        <v>3</v>
      </c>
      <c r="I284">
        <v>0.31868055555555558</v>
      </c>
      <c r="J284">
        <v>44794</v>
      </c>
    </row>
    <row r="285" spans="1:10" x14ac:dyDescent="0.35">
      <c r="A285" s="2">
        <v>44774</v>
      </c>
      <c r="B285" s="3">
        <v>0.41163194444444445</v>
      </c>
      <c r="C285">
        <v>8616</v>
      </c>
      <c r="D285" t="str">
        <f>VLOOKUP(H285,Produkt!$A$2:$B$5,2,FALSE)</f>
        <v>A</v>
      </c>
      <c r="H285">
        <v>1</v>
      </c>
      <c r="I285">
        <v>0.76503472222222213</v>
      </c>
      <c r="J285">
        <v>44776</v>
      </c>
    </row>
    <row r="286" spans="1:10" x14ac:dyDescent="0.35">
      <c r="A286" s="2">
        <v>44774</v>
      </c>
      <c r="B286" s="3">
        <v>0.3600694444444445</v>
      </c>
      <c r="C286">
        <v>8644</v>
      </c>
      <c r="D286" t="str">
        <f>VLOOKUP(H286,Produkt!$A$2:$B$5,2,FALSE)</f>
        <v>A</v>
      </c>
      <c r="H286">
        <v>1</v>
      </c>
      <c r="I286">
        <v>9.5324074074074075E-2</v>
      </c>
      <c r="J286">
        <v>44804</v>
      </c>
    </row>
    <row r="287" spans="1:10" x14ac:dyDescent="0.35">
      <c r="A287" s="2">
        <v>44774</v>
      </c>
      <c r="B287" s="3">
        <v>0.94640046296296287</v>
      </c>
      <c r="C287">
        <v>8718</v>
      </c>
      <c r="D287" t="str">
        <f>VLOOKUP(H287,Produkt!$A$2:$B$5,2,FALSE)</f>
        <v>D</v>
      </c>
      <c r="H287">
        <v>4</v>
      </c>
      <c r="I287">
        <v>4.4675925925925924E-2</v>
      </c>
      <c r="J287">
        <v>44793</v>
      </c>
    </row>
    <row r="288" spans="1:10" x14ac:dyDescent="0.35">
      <c r="A288" s="2">
        <v>44774</v>
      </c>
      <c r="B288" s="3">
        <v>0.5406481481481481</v>
      </c>
      <c r="C288">
        <v>8729</v>
      </c>
      <c r="D288" t="str">
        <f>VLOOKUP(H288,Produkt!$A$2:$B$5,2,FALSE)</f>
        <v>B</v>
      </c>
      <c r="H288">
        <v>2</v>
      </c>
      <c r="I288">
        <v>0.53692129629629626</v>
      </c>
      <c r="J288">
        <v>44796</v>
      </c>
    </row>
    <row r="289" spans="1:10" x14ac:dyDescent="0.35">
      <c r="A289" s="2">
        <v>44774</v>
      </c>
      <c r="B289" s="3">
        <v>0.2424074074074074</v>
      </c>
      <c r="C289">
        <v>8734</v>
      </c>
      <c r="D289" t="str">
        <f>VLOOKUP(H289,Produkt!$A$2:$B$5,2,FALSE)</f>
        <v>D</v>
      </c>
      <c r="H289">
        <v>4</v>
      </c>
      <c r="I289">
        <v>0.53476851851851859</v>
      </c>
      <c r="J289">
        <v>44780</v>
      </c>
    </row>
    <row r="290" spans="1:10" x14ac:dyDescent="0.35">
      <c r="A290" s="2">
        <v>44774</v>
      </c>
      <c r="B290" s="3">
        <v>4.8252314814814817E-2</v>
      </c>
      <c r="C290">
        <v>8740</v>
      </c>
      <c r="D290" t="str">
        <f>VLOOKUP(H290,Produkt!$A$2:$B$5,2,FALSE)</f>
        <v>B</v>
      </c>
      <c r="H290">
        <v>2</v>
      </c>
      <c r="I290">
        <v>0.3181134259259259</v>
      </c>
      <c r="J290">
        <v>44786</v>
      </c>
    </row>
    <row r="291" spans="1:10" x14ac:dyDescent="0.35">
      <c r="A291" s="2">
        <v>44774</v>
      </c>
      <c r="B291" s="3">
        <v>3.2731481481481479E-2</v>
      </c>
      <c r="C291">
        <v>8746</v>
      </c>
      <c r="D291" t="str">
        <f>VLOOKUP(H291,Produkt!$A$2:$B$5,2,FALSE)</f>
        <v>A</v>
      </c>
      <c r="H291">
        <v>1</v>
      </c>
      <c r="I291">
        <v>2.8009259259259259E-3</v>
      </c>
      <c r="J291">
        <v>44785</v>
      </c>
    </row>
    <row r="292" spans="1:10" x14ac:dyDescent="0.35">
      <c r="A292" s="2">
        <v>44774</v>
      </c>
      <c r="B292" s="3">
        <v>0.2986921296296296</v>
      </c>
      <c r="C292">
        <v>8768</v>
      </c>
      <c r="D292" t="str">
        <f>VLOOKUP(H292,Produkt!$A$2:$B$5,2,FALSE)</f>
        <v>A</v>
      </c>
      <c r="H292">
        <v>1</v>
      </c>
      <c r="I292">
        <v>0.66971064814814818</v>
      </c>
      <c r="J292">
        <v>44775</v>
      </c>
    </row>
    <row r="293" spans="1:10" x14ac:dyDescent="0.35">
      <c r="A293" s="2">
        <v>44774</v>
      </c>
      <c r="B293" s="3">
        <v>0.75962962962962965</v>
      </c>
      <c r="C293">
        <v>8785</v>
      </c>
      <c r="D293" t="str">
        <f>VLOOKUP(H293,Produkt!$A$2:$B$5,2,FALSE)</f>
        <v>A</v>
      </c>
      <c r="H293">
        <v>1</v>
      </c>
      <c r="I293">
        <v>0.12043981481481481</v>
      </c>
      <c r="J293">
        <v>44799</v>
      </c>
    </row>
    <row r="294" spans="1:10" x14ac:dyDescent="0.35">
      <c r="A294" s="2">
        <v>44774</v>
      </c>
      <c r="B294" s="3">
        <v>0.47467592592592595</v>
      </c>
      <c r="C294">
        <v>8791</v>
      </c>
      <c r="D294" t="str">
        <f>VLOOKUP(H294,Produkt!$A$2:$B$5,2,FALSE)</f>
        <v>D</v>
      </c>
      <c r="H294">
        <v>4</v>
      </c>
      <c r="I294">
        <v>0.46263888888888888</v>
      </c>
      <c r="J294">
        <v>44799</v>
      </c>
    </row>
    <row r="295" spans="1:10" x14ac:dyDescent="0.35">
      <c r="A295" s="2">
        <v>44774</v>
      </c>
      <c r="B295" s="3">
        <v>0.38884259259259263</v>
      </c>
      <c r="C295">
        <v>8803</v>
      </c>
      <c r="D295" t="str">
        <f>VLOOKUP(H295,Produkt!$A$2:$B$5,2,FALSE)</f>
        <v>D</v>
      </c>
      <c r="H295">
        <v>4</v>
      </c>
      <c r="I295">
        <v>0.3253819444444444</v>
      </c>
      <c r="J295">
        <v>44775</v>
      </c>
    </row>
    <row r="296" spans="1:10" x14ac:dyDescent="0.35">
      <c r="A296" s="2">
        <v>44774</v>
      </c>
      <c r="B296" s="3">
        <v>0.57094907407407403</v>
      </c>
      <c r="C296">
        <v>8841</v>
      </c>
      <c r="D296" t="str">
        <f>VLOOKUP(H296,Produkt!$A$2:$B$5,2,FALSE)</f>
        <v>C</v>
      </c>
      <c r="H296">
        <v>3</v>
      </c>
      <c r="I296">
        <v>0.47204861111111113</v>
      </c>
      <c r="J296">
        <v>44787</v>
      </c>
    </row>
    <row r="297" spans="1:10" x14ac:dyDescent="0.35">
      <c r="A297" s="2">
        <v>44774</v>
      </c>
      <c r="B297" s="3">
        <v>0.90400462962962969</v>
      </c>
      <c r="C297">
        <v>8854</v>
      </c>
      <c r="D297" t="str">
        <f>VLOOKUP(H297,Produkt!$A$2:$B$5,2,FALSE)</f>
        <v>A</v>
      </c>
      <c r="H297">
        <v>1</v>
      </c>
      <c r="I297">
        <v>0.58587962962962969</v>
      </c>
      <c r="J297">
        <v>44795</v>
      </c>
    </row>
    <row r="298" spans="1:10" x14ac:dyDescent="0.35">
      <c r="A298" s="2">
        <v>44774</v>
      </c>
      <c r="B298" s="3">
        <v>0.2167013888888889</v>
      </c>
      <c r="C298">
        <v>8864</v>
      </c>
      <c r="D298" t="str">
        <f>VLOOKUP(H298,Produkt!$A$2:$B$5,2,FALSE)</f>
        <v>C</v>
      </c>
      <c r="H298">
        <v>3</v>
      </c>
      <c r="I298">
        <v>0.91283564814814822</v>
      </c>
      <c r="J298">
        <v>44790</v>
      </c>
    </row>
    <row r="299" spans="1:10" x14ac:dyDescent="0.35">
      <c r="A299" s="2">
        <v>44774</v>
      </c>
      <c r="B299" s="3">
        <v>7.4780092592592592E-2</v>
      </c>
      <c r="C299">
        <v>8867</v>
      </c>
      <c r="D299" t="str">
        <f>VLOOKUP(H299,Produkt!$A$2:$B$5,2,FALSE)</f>
        <v>A</v>
      </c>
      <c r="H299">
        <v>1</v>
      </c>
      <c r="I299">
        <v>2.6284722222222223E-2</v>
      </c>
      <c r="J299">
        <v>44779</v>
      </c>
    </row>
    <row r="300" spans="1:10" x14ac:dyDescent="0.35">
      <c r="A300" s="2">
        <v>44774</v>
      </c>
      <c r="B300" s="3">
        <v>0.2512152777777778</v>
      </c>
      <c r="C300">
        <v>8875</v>
      </c>
      <c r="D300" t="str">
        <f>VLOOKUP(H300,Produkt!$A$2:$B$5,2,FALSE)</f>
        <v>A</v>
      </c>
      <c r="H300">
        <v>1</v>
      </c>
      <c r="I300">
        <v>0.13789351851851853</v>
      </c>
      <c r="J300">
        <v>44790</v>
      </c>
    </row>
    <row r="301" spans="1:10" x14ac:dyDescent="0.35">
      <c r="A301" s="2">
        <v>44774</v>
      </c>
      <c r="B301" s="3">
        <v>0.43100694444444443</v>
      </c>
      <c r="C301">
        <v>8892</v>
      </c>
      <c r="D301" t="str">
        <f>VLOOKUP(H301,Produkt!$A$2:$B$5,2,FALSE)</f>
        <v>C</v>
      </c>
      <c r="H301">
        <v>3</v>
      </c>
      <c r="I301">
        <v>2.2499999999999996E-2</v>
      </c>
      <c r="J301">
        <v>44792</v>
      </c>
    </row>
    <row r="302" spans="1:10" x14ac:dyDescent="0.35">
      <c r="A302" s="2">
        <v>44774</v>
      </c>
      <c r="B302" s="3">
        <v>0.49156249999999996</v>
      </c>
      <c r="C302">
        <v>8918</v>
      </c>
      <c r="D302" t="str">
        <f>VLOOKUP(H302,Produkt!$A$2:$B$5,2,FALSE)</f>
        <v>C</v>
      </c>
      <c r="H302">
        <v>3</v>
      </c>
      <c r="I302">
        <v>0.19090277777777778</v>
      </c>
      <c r="J302">
        <v>44783</v>
      </c>
    </row>
    <row r="303" spans="1:10" x14ac:dyDescent="0.35">
      <c r="A303" s="2">
        <v>44774</v>
      </c>
      <c r="B303" s="3">
        <v>0.43206018518518513</v>
      </c>
      <c r="C303">
        <v>8947</v>
      </c>
      <c r="D303" t="str">
        <f>VLOOKUP(H303,Produkt!$A$2:$B$5,2,FALSE)</f>
        <v>C</v>
      </c>
      <c r="H303">
        <v>3</v>
      </c>
      <c r="I303">
        <v>0.9240624999999999</v>
      </c>
      <c r="J303">
        <v>44795</v>
      </c>
    </row>
    <row r="304" spans="1:10" x14ac:dyDescent="0.35">
      <c r="A304" s="2">
        <v>44774</v>
      </c>
      <c r="B304" s="3">
        <v>0.37329861111111112</v>
      </c>
      <c r="C304">
        <v>8949</v>
      </c>
      <c r="D304" t="str">
        <f>VLOOKUP(H304,Produkt!$A$2:$B$5,2,FALSE)</f>
        <v>D</v>
      </c>
      <c r="H304">
        <v>4</v>
      </c>
      <c r="I304">
        <v>0.56157407407407411</v>
      </c>
      <c r="J304">
        <v>44784</v>
      </c>
    </row>
    <row r="305" spans="1:10" x14ac:dyDescent="0.35">
      <c r="A305" s="2">
        <v>44774</v>
      </c>
      <c r="B305" s="3">
        <v>0.6708912037037037</v>
      </c>
      <c r="C305">
        <v>8963</v>
      </c>
      <c r="D305" t="str">
        <f>VLOOKUP(H305,Produkt!$A$2:$B$5,2,FALSE)</f>
        <v>D</v>
      </c>
      <c r="H305">
        <v>4</v>
      </c>
      <c r="I305">
        <v>0.79766203703703698</v>
      </c>
      <c r="J305">
        <v>44776</v>
      </c>
    </row>
    <row r="306" spans="1:10" x14ac:dyDescent="0.35">
      <c r="A306" s="2">
        <v>44774</v>
      </c>
      <c r="B306" s="3">
        <v>0.44233796296296296</v>
      </c>
      <c r="C306">
        <v>8976</v>
      </c>
      <c r="D306" t="str">
        <f>VLOOKUP(H306,Produkt!$A$2:$B$5,2,FALSE)</f>
        <v>B</v>
      </c>
      <c r="H306">
        <v>2</v>
      </c>
      <c r="I306">
        <v>0.61575231481481485</v>
      </c>
      <c r="J306">
        <v>44794</v>
      </c>
    </row>
    <row r="307" spans="1:10" x14ac:dyDescent="0.35">
      <c r="A307" s="2">
        <v>44774</v>
      </c>
      <c r="B307" s="3">
        <v>0.82428240740740744</v>
      </c>
      <c r="C307">
        <v>8985</v>
      </c>
      <c r="D307" t="str">
        <f>VLOOKUP(H307,Produkt!$A$2:$B$5,2,FALSE)</f>
        <v>B</v>
      </c>
      <c r="H307">
        <v>2</v>
      </c>
      <c r="I307">
        <v>0.20769675925925926</v>
      </c>
      <c r="J307">
        <v>44793</v>
      </c>
    </row>
    <row r="308" spans="1:10" x14ac:dyDescent="0.35">
      <c r="A308" s="2">
        <v>44774</v>
      </c>
      <c r="B308" s="3">
        <v>0.24975694444444443</v>
      </c>
      <c r="C308">
        <v>9041</v>
      </c>
      <c r="D308" t="str">
        <f>VLOOKUP(H308,Produkt!$A$2:$B$5,2,FALSE)</f>
        <v>C</v>
      </c>
      <c r="H308">
        <v>3</v>
      </c>
      <c r="I308">
        <v>0.90476851851851858</v>
      </c>
      <c r="J308">
        <v>44788</v>
      </c>
    </row>
    <row r="309" spans="1:10" x14ac:dyDescent="0.35">
      <c r="A309" s="2">
        <v>44774</v>
      </c>
      <c r="B309" s="3">
        <v>0.59712962962962968</v>
      </c>
      <c r="C309">
        <v>9056</v>
      </c>
      <c r="D309" t="str">
        <f>VLOOKUP(H309,Produkt!$A$2:$B$5,2,FALSE)</f>
        <v>D</v>
      </c>
      <c r="H309">
        <v>4</v>
      </c>
      <c r="I309">
        <v>0.76738425925925924</v>
      </c>
      <c r="J309">
        <v>44795</v>
      </c>
    </row>
    <row r="310" spans="1:10" x14ac:dyDescent="0.35">
      <c r="A310" s="2">
        <v>44774</v>
      </c>
      <c r="B310" s="3">
        <v>0.42770833333333336</v>
      </c>
      <c r="C310">
        <v>9074</v>
      </c>
      <c r="D310" t="str">
        <f>VLOOKUP(H310,Produkt!$A$2:$B$5,2,FALSE)</f>
        <v>B</v>
      </c>
      <c r="H310">
        <v>2</v>
      </c>
      <c r="I310">
        <v>8.3888888888888888E-2</v>
      </c>
      <c r="J310">
        <v>44797</v>
      </c>
    </row>
    <row r="311" spans="1:10" x14ac:dyDescent="0.35">
      <c r="A311" s="2">
        <v>44774</v>
      </c>
      <c r="B311" s="3">
        <v>0.32048611111111108</v>
      </c>
      <c r="C311">
        <v>9119</v>
      </c>
      <c r="D311" t="str">
        <f>VLOOKUP(H311,Produkt!$A$2:$B$5,2,FALSE)</f>
        <v>C</v>
      </c>
      <c r="H311">
        <v>3</v>
      </c>
      <c r="I311">
        <v>0.46379629629629626</v>
      </c>
      <c r="J311">
        <v>44791</v>
      </c>
    </row>
    <row r="312" spans="1:10" x14ac:dyDescent="0.35">
      <c r="A312" s="2">
        <v>44774</v>
      </c>
      <c r="B312" s="3">
        <v>4.3981481481480955E-4</v>
      </c>
      <c r="C312">
        <v>9124</v>
      </c>
      <c r="D312" t="str">
        <f>VLOOKUP(H312,Produkt!$A$2:$B$5,2,FALSE)</f>
        <v>D</v>
      </c>
      <c r="H312">
        <v>4</v>
      </c>
      <c r="I312">
        <v>0.6141550925925926</v>
      </c>
      <c r="J312">
        <v>44778</v>
      </c>
    </row>
    <row r="313" spans="1:10" x14ac:dyDescent="0.35">
      <c r="A313" s="2">
        <v>44774</v>
      </c>
      <c r="B313" s="3">
        <v>0.64033564814814814</v>
      </c>
      <c r="C313">
        <v>9154</v>
      </c>
      <c r="D313" t="str">
        <f>VLOOKUP(H313,Produkt!$A$2:$B$5,2,FALSE)</f>
        <v>A</v>
      </c>
      <c r="H313">
        <v>1</v>
      </c>
      <c r="I313">
        <v>0.55012731481481481</v>
      </c>
      <c r="J313">
        <v>44788</v>
      </c>
    </row>
    <row r="314" spans="1:10" x14ac:dyDescent="0.35">
      <c r="A314" s="2">
        <v>44774</v>
      </c>
      <c r="B314" s="3">
        <v>0.35019675925925925</v>
      </c>
      <c r="C314">
        <v>9163</v>
      </c>
      <c r="D314" t="str">
        <f>VLOOKUP(H314,Produkt!$A$2:$B$5,2,FALSE)</f>
        <v>C</v>
      </c>
      <c r="H314">
        <v>3</v>
      </c>
      <c r="I314">
        <v>0.94578703703703704</v>
      </c>
      <c r="J314">
        <v>44796</v>
      </c>
    </row>
    <row r="315" spans="1:10" x14ac:dyDescent="0.35">
      <c r="A315" s="2">
        <v>44774</v>
      </c>
      <c r="B315" s="3">
        <v>0.58605324074074072</v>
      </c>
      <c r="C315">
        <v>9236</v>
      </c>
      <c r="D315" t="str">
        <f>VLOOKUP(H315,Produkt!$A$2:$B$5,2,FALSE)</f>
        <v>B</v>
      </c>
      <c r="H315">
        <v>2</v>
      </c>
      <c r="I315">
        <v>1.6597222222222152E-2</v>
      </c>
      <c r="J315">
        <v>44792</v>
      </c>
    </row>
    <row r="316" spans="1:10" x14ac:dyDescent="0.35">
      <c r="A316" s="2">
        <v>44774</v>
      </c>
      <c r="B316" s="3">
        <v>0.51193287037037039</v>
      </c>
      <c r="C316">
        <v>9357</v>
      </c>
      <c r="D316" t="str">
        <f>VLOOKUP(H316,Produkt!$A$2:$B$5,2,FALSE)</f>
        <v>B</v>
      </c>
      <c r="H316">
        <v>2</v>
      </c>
      <c r="I316">
        <v>0.60744212962962962</v>
      </c>
      <c r="J316">
        <v>44786</v>
      </c>
    </row>
    <row r="317" spans="1:10" x14ac:dyDescent="0.35">
      <c r="A317" s="2">
        <v>44774</v>
      </c>
      <c r="B317" s="3">
        <v>0.90895833333333342</v>
      </c>
      <c r="C317">
        <v>9444</v>
      </c>
      <c r="D317" t="str">
        <f>VLOOKUP(H317,Produkt!$A$2:$B$5,2,FALSE)</f>
        <v>D</v>
      </c>
      <c r="H317">
        <v>4</v>
      </c>
      <c r="I317">
        <v>0.32209490740740737</v>
      </c>
      <c r="J317">
        <v>44792</v>
      </c>
    </row>
    <row r="318" spans="1:10" x14ac:dyDescent="0.35">
      <c r="A318" s="2">
        <v>44774</v>
      </c>
      <c r="B318" s="3">
        <v>0.25851851851851854</v>
      </c>
      <c r="C318">
        <v>9481</v>
      </c>
      <c r="D318" t="str">
        <f>VLOOKUP(H318,Produkt!$A$2:$B$5,2,FALSE)</f>
        <v>C</v>
      </c>
      <c r="H318">
        <v>3</v>
      </c>
      <c r="I318">
        <v>0.66420138888888891</v>
      </c>
      <c r="J318">
        <v>44794</v>
      </c>
    </row>
    <row r="319" spans="1:10" x14ac:dyDescent="0.35">
      <c r="A319" s="2">
        <v>44774</v>
      </c>
      <c r="B319" s="3">
        <v>0.11172453703703704</v>
      </c>
      <c r="C319">
        <v>9551</v>
      </c>
      <c r="D319" t="str">
        <f>VLOOKUP(H319,Produkt!$A$2:$B$5,2,FALSE)</f>
        <v>D</v>
      </c>
      <c r="H319">
        <v>4</v>
      </c>
      <c r="I319">
        <v>0.62031249999999993</v>
      </c>
      <c r="J319">
        <v>44788</v>
      </c>
    </row>
    <row r="320" spans="1:10" x14ac:dyDescent="0.35">
      <c r="A320" s="2">
        <v>44774</v>
      </c>
      <c r="B320" s="3">
        <v>0.45642361111111113</v>
      </c>
      <c r="C320">
        <v>9566</v>
      </c>
      <c r="D320" t="str">
        <f>VLOOKUP(H320,Produkt!$A$2:$B$5,2,FALSE)</f>
        <v>A</v>
      </c>
      <c r="H320">
        <v>1</v>
      </c>
      <c r="I320">
        <v>0.66675925925925927</v>
      </c>
      <c r="J320">
        <v>44800</v>
      </c>
    </row>
    <row r="321" spans="1:10" x14ac:dyDescent="0.35">
      <c r="A321" s="2">
        <v>44774</v>
      </c>
      <c r="B321" s="3">
        <v>0.8253125</v>
      </c>
      <c r="C321">
        <v>9609</v>
      </c>
      <c r="D321" t="str">
        <f>VLOOKUP(H321,Produkt!$A$2:$B$5,2,FALSE)</f>
        <v>D</v>
      </c>
      <c r="H321">
        <v>4</v>
      </c>
      <c r="I321">
        <v>0.74252314814814813</v>
      </c>
      <c r="J321">
        <v>44781</v>
      </c>
    </row>
    <row r="322" spans="1:10" x14ac:dyDescent="0.35">
      <c r="A322" s="2">
        <v>44774</v>
      </c>
      <c r="B322" s="3">
        <v>0.52179398148148148</v>
      </c>
      <c r="C322">
        <v>9611</v>
      </c>
      <c r="D322" t="str">
        <f>VLOOKUP(H322,Produkt!$A$2:$B$5,2,FALSE)</f>
        <v>B</v>
      </c>
      <c r="H322">
        <v>2</v>
      </c>
      <c r="I322">
        <v>0.12159722222222223</v>
      </c>
      <c r="J322">
        <v>44800</v>
      </c>
    </row>
    <row r="323" spans="1:10" x14ac:dyDescent="0.35">
      <c r="A323" s="2">
        <v>44774</v>
      </c>
      <c r="B323" s="3">
        <v>0.90660879629629632</v>
      </c>
      <c r="C323">
        <v>9636</v>
      </c>
      <c r="D323" t="str">
        <f>VLOOKUP(H323,Produkt!$A$2:$B$5,2,FALSE)</f>
        <v>B</v>
      </c>
      <c r="H323">
        <v>2</v>
      </c>
      <c r="I323">
        <v>8.3645833333333322E-2</v>
      </c>
      <c r="J323">
        <v>44782</v>
      </c>
    </row>
    <row r="324" spans="1:10" x14ac:dyDescent="0.35">
      <c r="A324" s="2">
        <v>44774</v>
      </c>
      <c r="B324" s="3">
        <v>0.52958333333333341</v>
      </c>
      <c r="C324">
        <v>9647</v>
      </c>
      <c r="D324" t="str">
        <f>VLOOKUP(H324,Produkt!$A$2:$B$5,2,FALSE)</f>
        <v>A</v>
      </c>
      <c r="H324">
        <v>1</v>
      </c>
      <c r="I324">
        <v>0.5244212962962963</v>
      </c>
      <c r="J324">
        <v>44788</v>
      </c>
    </row>
    <row r="325" spans="1:10" x14ac:dyDescent="0.35">
      <c r="A325" s="2">
        <v>44774</v>
      </c>
      <c r="B325" s="3">
        <v>0.37171296296296297</v>
      </c>
      <c r="C325">
        <v>9663</v>
      </c>
      <c r="D325" t="str">
        <f>VLOOKUP(H325,Produkt!$A$2:$B$5,2,FALSE)</f>
        <v>C</v>
      </c>
      <c r="H325">
        <v>3</v>
      </c>
      <c r="I325">
        <v>0.60290509259259262</v>
      </c>
      <c r="J325">
        <v>44785</v>
      </c>
    </row>
    <row r="326" spans="1:10" x14ac:dyDescent="0.35">
      <c r="A326" s="2">
        <v>44774</v>
      </c>
      <c r="B326" s="3">
        <v>0.32555555555555554</v>
      </c>
      <c r="C326">
        <v>9687</v>
      </c>
      <c r="D326" t="str">
        <f>VLOOKUP(H326,Produkt!$A$2:$B$5,2,FALSE)</f>
        <v>D</v>
      </c>
      <c r="H326">
        <v>4</v>
      </c>
      <c r="I326">
        <v>0.9809606481481481</v>
      </c>
      <c r="J326">
        <v>44783</v>
      </c>
    </row>
    <row r="327" spans="1:10" x14ac:dyDescent="0.35">
      <c r="A327" s="2">
        <v>44774</v>
      </c>
      <c r="B327" s="3">
        <v>0.41388888888888892</v>
      </c>
      <c r="C327">
        <v>9698</v>
      </c>
      <c r="D327" t="str">
        <f>VLOOKUP(H327,Produkt!$A$2:$B$5,2,FALSE)</f>
        <v>B</v>
      </c>
      <c r="H327">
        <v>2</v>
      </c>
      <c r="I327">
        <v>4.207175925925926E-2</v>
      </c>
      <c r="J327">
        <v>44785</v>
      </c>
    </row>
    <row r="328" spans="1:10" x14ac:dyDescent="0.35">
      <c r="A328" s="2">
        <v>44774</v>
      </c>
      <c r="B328" s="3">
        <v>2.2731481481481408E-2</v>
      </c>
      <c r="C328">
        <v>9738</v>
      </c>
      <c r="D328" t="str">
        <f>VLOOKUP(H328,Produkt!$A$2:$B$5,2,FALSE)</f>
        <v>B</v>
      </c>
      <c r="H328">
        <v>2</v>
      </c>
      <c r="I328">
        <v>0.75037037037037047</v>
      </c>
      <c r="J328">
        <v>44797</v>
      </c>
    </row>
    <row r="329" spans="1:10" x14ac:dyDescent="0.35">
      <c r="A329" s="2">
        <v>44774</v>
      </c>
      <c r="B329" s="3">
        <v>0.694849537037037</v>
      </c>
      <c r="C329">
        <v>9742</v>
      </c>
      <c r="D329" t="str">
        <f>VLOOKUP(H329,Produkt!$A$2:$B$5,2,FALSE)</f>
        <v>B</v>
      </c>
      <c r="H329">
        <v>2</v>
      </c>
      <c r="I329">
        <v>0.46126157407407403</v>
      </c>
      <c r="J329">
        <v>44790</v>
      </c>
    </row>
    <row r="330" spans="1:10" x14ac:dyDescent="0.35">
      <c r="A330" s="2">
        <v>44774</v>
      </c>
      <c r="B330" s="3">
        <v>0.24270833333333333</v>
      </c>
      <c r="C330">
        <v>9783</v>
      </c>
      <c r="D330" t="str">
        <f>VLOOKUP(H330,Produkt!$A$2:$B$5,2,FALSE)</f>
        <v>D</v>
      </c>
      <c r="H330">
        <v>4</v>
      </c>
      <c r="I330">
        <v>0.8453356481481481</v>
      </c>
      <c r="J330">
        <v>44796</v>
      </c>
    </row>
    <row r="331" spans="1:10" x14ac:dyDescent="0.35">
      <c r="A331" s="2">
        <v>44774</v>
      </c>
      <c r="B331" s="3">
        <v>0.37309027777777781</v>
      </c>
      <c r="C331">
        <v>9795</v>
      </c>
      <c r="D331" t="str">
        <f>VLOOKUP(H331,Produkt!$A$2:$B$5,2,FALSE)</f>
        <v>D</v>
      </c>
      <c r="H331">
        <v>4</v>
      </c>
      <c r="I331">
        <v>7.6342592592592587E-2</v>
      </c>
      <c r="J331">
        <v>44778</v>
      </c>
    </row>
    <row r="332" spans="1:10" x14ac:dyDescent="0.35">
      <c r="A332" s="2">
        <v>44774</v>
      </c>
      <c r="B332" s="3">
        <v>0.57886574074074071</v>
      </c>
      <c r="C332">
        <v>9948</v>
      </c>
      <c r="D332" t="str">
        <f>VLOOKUP(H332,Produkt!$A$2:$B$5,2,FALSE)</f>
        <v>A</v>
      </c>
      <c r="H332">
        <v>1</v>
      </c>
      <c r="I332">
        <v>0.18670138888888888</v>
      </c>
      <c r="J332">
        <v>44798</v>
      </c>
    </row>
    <row r="333" spans="1:10" x14ac:dyDescent="0.35">
      <c r="A333" s="2">
        <v>44774</v>
      </c>
      <c r="B333" s="3">
        <v>0.69950231481481484</v>
      </c>
      <c r="C333">
        <v>9984</v>
      </c>
      <c r="D333" t="str">
        <f>VLOOKUP(H333,Produkt!$A$2:$B$5,2,FALSE)</f>
        <v>A</v>
      </c>
      <c r="H333">
        <v>1</v>
      </c>
      <c r="I333">
        <v>0.16854166666666667</v>
      </c>
      <c r="J333">
        <v>44778</v>
      </c>
    </row>
    <row r="334" spans="1:10" x14ac:dyDescent="0.35">
      <c r="A334" s="2">
        <v>44775</v>
      </c>
      <c r="B334" s="3">
        <v>3.9618055555555552E-2</v>
      </c>
      <c r="C334">
        <v>53</v>
      </c>
      <c r="D334" t="str">
        <f>VLOOKUP(H334,Produkt!$A$2:$B$5,2,FALSE)</f>
        <v>B</v>
      </c>
      <c r="H334">
        <v>2</v>
      </c>
      <c r="I334">
        <v>0.7115393518518518</v>
      </c>
      <c r="J334">
        <v>44780</v>
      </c>
    </row>
    <row r="335" spans="1:10" x14ac:dyDescent="0.35">
      <c r="A335" s="2">
        <v>44775</v>
      </c>
      <c r="B335" s="3">
        <v>0.5197222222222222</v>
      </c>
      <c r="C335">
        <v>125</v>
      </c>
      <c r="D335" t="str">
        <f>VLOOKUP(H335,Produkt!$A$2:$B$5,2,FALSE)</f>
        <v>D</v>
      </c>
      <c r="H335">
        <v>4</v>
      </c>
      <c r="I335">
        <v>0.58105324074074072</v>
      </c>
      <c r="J335">
        <v>44804</v>
      </c>
    </row>
    <row r="336" spans="1:10" x14ac:dyDescent="0.35">
      <c r="A336" s="2">
        <v>44775</v>
      </c>
      <c r="B336" s="3">
        <v>0.5625</v>
      </c>
      <c r="C336">
        <v>142</v>
      </c>
      <c r="D336" t="str">
        <f>VLOOKUP(H336,Produkt!$A$2:$B$5,2,FALSE)</f>
        <v>C</v>
      </c>
      <c r="H336">
        <v>3</v>
      </c>
      <c r="I336">
        <v>0.27929398148148149</v>
      </c>
      <c r="J336">
        <v>44782</v>
      </c>
    </row>
    <row r="337" spans="1:10" x14ac:dyDescent="0.35">
      <c r="A337" s="2">
        <v>44775</v>
      </c>
      <c r="B337" s="3">
        <v>0.21244212962962963</v>
      </c>
      <c r="C337">
        <v>146</v>
      </c>
      <c r="D337" t="str">
        <f>VLOOKUP(H337,Produkt!$A$2:$B$5,2,FALSE)</f>
        <v>B</v>
      </c>
      <c r="H337">
        <v>2</v>
      </c>
      <c r="I337">
        <v>0.41435185185185186</v>
      </c>
      <c r="J337">
        <v>44795</v>
      </c>
    </row>
    <row r="338" spans="1:10" x14ac:dyDescent="0.35">
      <c r="A338" s="2">
        <v>44775</v>
      </c>
      <c r="B338" s="3">
        <v>0.48185185185185181</v>
      </c>
      <c r="C338">
        <v>152</v>
      </c>
      <c r="D338" t="str">
        <f>VLOOKUP(H338,Produkt!$A$2:$B$5,2,FALSE)</f>
        <v>D</v>
      </c>
      <c r="H338">
        <v>4</v>
      </c>
      <c r="I338">
        <v>6.5717592592592591E-2</v>
      </c>
      <c r="J338">
        <v>44795</v>
      </c>
    </row>
    <row r="339" spans="1:10" x14ac:dyDescent="0.35">
      <c r="A339" s="2">
        <v>44775</v>
      </c>
      <c r="B339" s="3">
        <v>0.84445601851851848</v>
      </c>
      <c r="C339">
        <v>185</v>
      </c>
      <c r="D339" t="str">
        <f>VLOOKUP(H339,Produkt!$A$2:$B$5,2,FALSE)</f>
        <v>A</v>
      </c>
      <c r="H339">
        <v>1</v>
      </c>
      <c r="I339">
        <v>0.99343750000000008</v>
      </c>
      <c r="J339">
        <v>44786</v>
      </c>
    </row>
    <row r="340" spans="1:10" x14ac:dyDescent="0.35">
      <c r="A340" s="2">
        <v>44775</v>
      </c>
      <c r="B340" s="3">
        <v>0.97854166666666664</v>
      </c>
      <c r="C340">
        <v>196</v>
      </c>
      <c r="D340" t="str">
        <f>VLOOKUP(H340,Produkt!$A$2:$B$5,2,FALSE)</f>
        <v>D</v>
      </c>
      <c r="H340">
        <v>4</v>
      </c>
      <c r="I340">
        <v>2.0625000000000115E-2</v>
      </c>
      <c r="J340">
        <v>44782</v>
      </c>
    </row>
    <row r="341" spans="1:10" x14ac:dyDescent="0.35">
      <c r="A341" s="2">
        <v>44775</v>
      </c>
      <c r="B341" s="3">
        <v>0.15936342592592592</v>
      </c>
      <c r="C341">
        <v>244</v>
      </c>
      <c r="D341" t="str">
        <f>VLOOKUP(H341,Produkt!$A$2:$B$5,2,FALSE)</f>
        <v>B</v>
      </c>
      <c r="H341">
        <v>2</v>
      </c>
      <c r="I341">
        <v>0.97652777777777777</v>
      </c>
      <c r="J341">
        <v>44777</v>
      </c>
    </row>
    <row r="342" spans="1:10" x14ac:dyDescent="0.35">
      <c r="A342" s="2">
        <v>44775</v>
      </c>
      <c r="B342" s="3">
        <v>0.73858796296296303</v>
      </c>
      <c r="C342">
        <v>250</v>
      </c>
      <c r="D342" t="str">
        <f>VLOOKUP(H342,Produkt!$A$2:$B$5,2,FALSE)</f>
        <v>B</v>
      </c>
      <c r="H342">
        <v>2</v>
      </c>
      <c r="I342">
        <v>0.37936342592592592</v>
      </c>
      <c r="J342">
        <v>44784</v>
      </c>
    </row>
    <row r="343" spans="1:10" x14ac:dyDescent="0.35">
      <c r="A343" s="2">
        <v>44775</v>
      </c>
      <c r="B343" s="3">
        <v>0.31868055555555558</v>
      </c>
      <c r="C343">
        <v>283</v>
      </c>
      <c r="D343" t="str">
        <f>VLOOKUP(H343,Produkt!$A$2:$B$5,2,FALSE)</f>
        <v>A</v>
      </c>
      <c r="H343">
        <v>1</v>
      </c>
      <c r="I343">
        <v>0.13719907407407408</v>
      </c>
      <c r="J343">
        <v>44800</v>
      </c>
    </row>
    <row r="344" spans="1:10" x14ac:dyDescent="0.35">
      <c r="A344" s="2">
        <v>44775</v>
      </c>
      <c r="B344" s="3">
        <v>0.88638888888888889</v>
      </c>
      <c r="C344">
        <v>401</v>
      </c>
      <c r="D344" t="str">
        <f>VLOOKUP(H344,Produkt!$A$2:$B$5,2,FALSE)</f>
        <v>B</v>
      </c>
      <c r="H344">
        <v>2</v>
      </c>
      <c r="I344">
        <v>5.9814814814814814E-2</v>
      </c>
      <c r="J344">
        <v>44783</v>
      </c>
    </row>
    <row r="345" spans="1:10" x14ac:dyDescent="0.35">
      <c r="A345" s="2">
        <v>44775</v>
      </c>
      <c r="B345" s="3">
        <v>0.61771990740740745</v>
      </c>
      <c r="C345">
        <v>403</v>
      </c>
      <c r="D345" t="str">
        <f>VLOOKUP(H345,Produkt!$A$2:$B$5,2,FALSE)</f>
        <v>B</v>
      </c>
      <c r="H345">
        <v>2</v>
      </c>
      <c r="I345">
        <v>0.61484953703703704</v>
      </c>
      <c r="J345">
        <v>44793</v>
      </c>
    </row>
    <row r="346" spans="1:10" x14ac:dyDescent="0.35">
      <c r="A346" s="2">
        <v>44775</v>
      </c>
      <c r="B346" s="3">
        <v>0.48635416666666664</v>
      </c>
      <c r="C346">
        <v>411</v>
      </c>
      <c r="D346" t="str">
        <f>VLOOKUP(H346,Produkt!$A$2:$B$5,2,FALSE)</f>
        <v>A</v>
      </c>
      <c r="H346">
        <v>1</v>
      </c>
      <c r="I346">
        <v>1.9456018518518414E-2</v>
      </c>
      <c r="J346">
        <v>44784</v>
      </c>
    </row>
    <row r="347" spans="1:10" x14ac:dyDescent="0.35">
      <c r="A347" s="2">
        <v>44775</v>
      </c>
      <c r="B347" s="3">
        <v>0.3056712962962963</v>
      </c>
      <c r="C347">
        <v>456</v>
      </c>
      <c r="D347" t="str">
        <f>VLOOKUP(H347,Produkt!$A$2:$B$5,2,FALSE)</f>
        <v>A</v>
      </c>
      <c r="H347">
        <v>1</v>
      </c>
      <c r="I347">
        <v>1.0243055555555556E-2</v>
      </c>
      <c r="J347">
        <v>44785</v>
      </c>
    </row>
    <row r="348" spans="1:10" x14ac:dyDescent="0.35">
      <c r="A348" s="2">
        <v>44775</v>
      </c>
      <c r="B348" s="3">
        <v>0.3064236111111111</v>
      </c>
      <c r="C348">
        <v>470</v>
      </c>
      <c r="D348" t="str">
        <f>VLOOKUP(H348,Produkt!$A$2:$B$5,2,FALSE)</f>
        <v>A</v>
      </c>
      <c r="H348">
        <v>1</v>
      </c>
      <c r="I348">
        <v>0.31435185185185183</v>
      </c>
      <c r="J348">
        <v>44792</v>
      </c>
    </row>
    <row r="349" spans="1:10" x14ac:dyDescent="0.35">
      <c r="A349" s="2">
        <v>44775</v>
      </c>
      <c r="B349" s="3">
        <v>0.35833333333333334</v>
      </c>
      <c r="C349">
        <v>494</v>
      </c>
      <c r="D349" t="str">
        <f>VLOOKUP(H349,Produkt!$A$2:$B$5,2,FALSE)</f>
        <v>B</v>
      </c>
      <c r="H349">
        <v>2</v>
      </c>
      <c r="I349">
        <v>5.8321759259259261E-2</v>
      </c>
      <c r="J349">
        <v>44786</v>
      </c>
    </row>
    <row r="350" spans="1:10" x14ac:dyDescent="0.35">
      <c r="A350" s="2">
        <v>44775</v>
      </c>
      <c r="B350" s="3">
        <v>8.1053240740740731E-2</v>
      </c>
      <c r="C350">
        <v>543</v>
      </c>
      <c r="D350" t="str">
        <f>VLOOKUP(H350,Produkt!$A$2:$B$5,2,FALSE)</f>
        <v>A</v>
      </c>
      <c r="H350">
        <v>1</v>
      </c>
      <c r="I350">
        <v>4.2129629629629626E-3</v>
      </c>
      <c r="J350">
        <v>44792</v>
      </c>
    </row>
    <row r="351" spans="1:10" x14ac:dyDescent="0.35">
      <c r="A351" s="2">
        <v>44775</v>
      </c>
      <c r="B351" s="3">
        <v>0.66005787037037034</v>
      </c>
      <c r="C351">
        <v>572</v>
      </c>
      <c r="D351" t="str">
        <f>VLOOKUP(H351,Produkt!$A$2:$B$5,2,FALSE)</f>
        <v>B</v>
      </c>
      <c r="H351">
        <v>2</v>
      </c>
      <c r="I351">
        <v>0.94104166666666667</v>
      </c>
      <c r="J351">
        <v>44777</v>
      </c>
    </row>
    <row r="352" spans="1:10" x14ac:dyDescent="0.35">
      <c r="A352" s="2">
        <v>44775</v>
      </c>
      <c r="B352" s="3">
        <v>2.6493055555555589E-2</v>
      </c>
      <c r="C352">
        <v>639</v>
      </c>
      <c r="D352" t="str">
        <f>VLOOKUP(H352,Produkt!$A$2:$B$5,2,FALSE)</f>
        <v>A</v>
      </c>
      <c r="H352">
        <v>1</v>
      </c>
      <c r="I352">
        <v>0.51103009259259258</v>
      </c>
      <c r="J352">
        <v>44779</v>
      </c>
    </row>
    <row r="353" spans="1:10" x14ac:dyDescent="0.35">
      <c r="A353" s="2">
        <v>44775</v>
      </c>
      <c r="B353" s="3">
        <v>0.5901157407407408</v>
      </c>
      <c r="C353">
        <v>870</v>
      </c>
      <c r="D353" t="str">
        <f>VLOOKUP(H353,Produkt!$A$2:$B$5,2,FALSE)</f>
        <v>C</v>
      </c>
      <c r="H353">
        <v>3</v>
      </c>
      <c r="I353">
        <v>8.8842592592592584E-2</v>
      </c>
      <c r="J353">
        <v>44794</v>
      </c>
    </row>
    <row r="354" spans="1:10" x14ac:dyDescent="0.35">
      <c r="A354" s="2">
        <v>44775</v>
      </c>
      <c r="B354" s="3">
        <v>0.70578703703703705</v>
      </c>
      <c r="C354">
        <v>944</v>
      </c>
      <c r="D354" t="str">
        <f>VLOOKUP(H354,Produkt!$A$2:$B$5,2,FALSE)</f>
        <v>A</v>
      </c>
      <c r="H354">
        <v>1</v>
      </c>
      <c r="I354">
        <v>2.9594907407407407E-2</v>
      </c>
      <c r="J354">
        <v>44781</v>
      </c>
    </row>
    <row r="355" spans="1:10" x14ac:dyDescent="0.35">
      <c r="A355" s="2">
        <v>44775</v>
      </c>
      <c r="B355" s="3">
        <v>5.2905092592592594E-2</v>
      </c>
      <c r="C355">
        <v>990</v>
      </c>
      <c r="D355" t="str">
        <f>VLOOKUP(H355,Produkt!$A$2:$B$5,2,FALSE)</f>
        <v>D</v>
      </c>
      <c r="H355">
        <v>4</v>
      </c>
      <c r="I355">
        <v>0.42167824074074073</v>
      </c>
      <c r="J355">
        <v>44790</v>
      </c>
    </row>
    <row r="356" spans="1:10" x14ac:dyDescent="0.35">
      <c r="A356" s="2">
        <v>44775</v>
      </c>
      <c r="B356" s="3">
        <v>0.82526620370370374</v>
      </c>
      <c r="C356">
        <v>1043</v>
      </c>
      <c r="D356" t="str">
        <f>VLOOKUP(H356,Produkt!$A$2:$B$5,2,FALSE)</f>
        <v>A</v>
      </c>
      <c r="H356">
        <v>1</v>
      </c>
      <c r="I356">
        <v>4.2638888888888893E-2</v>
      </c>
      <c r="J356">
        <v>44790</v>
      </c>
    </row>
    <row r="357" spans="1:10" x14ac:dyDescent="0.35">
      <c r="A357" s="2">
        <v>44775</v>
      </c>
      <c r="B357" s="3">
        <v>0.91768518518518516</v>
      </c>
      <c r="C357">
        <v>1099</v>
      </c>
      <c r="D357" t="str">
        <f>VLOOKUP(H357,Produkt!$A$2:$B$5,2,FALSE)</f>
        <v>D</v>
      </c>
      <c r="H357">
        <v>4</v>
      </c>
      <c r="I357">
        <v>0.31207175925925928</v>
      </c>
      <c r="J357">
        <v>44794</v>
      </c>
    </row>
    <row r="358" spans="1:10" x14ac:dyDescent="0.35">
      <c r="A358" s="2">
        <v>44775</v>
      </c>
      <c r="B358" s="3">
        <v>0.49820601851851848</v>
      </c>
      <c r="C358">
        <v>1168</v>
      </c>
      <c r="D358" t="str">
        <f>VLOOKUP(H358,Produkt!$A$2:$B$5,2,FALSE)</f>
        <v>D</v>
      </c>
      <c r="H358">
        <v>4</v>
      </c>
      <c r="I358">
        <v>6.5925925925925929E-2</v>
      </c>
      <c r="J358">
        <v>44790</v>
      </c>
    </row>
    <row r="359" spans="1:10" x14ac:dyDescent="0.35">
      <c r="A359" s="2">
        <v>44775</v>
      </c>
      <c r="B359" s="3">
        <v>0.48879629629629634</v>
      </c>
      <c r="C359">
        <v>1175</v>
      </c>
      <c r="D359" t="str">
        <f>VLOOKUP(H359,Produkt!$A$2:$B$5,2,FALSE)</f>
        <v>C</v>
      </c>
      <c r="H359">
        <v>3</v>
      </c>
      <c r="I359">
        <v>0.79478009259259252</v>
      </c>
      <c r="J359">
        <v>44789</v>
      </c>
    </row>
    <row r="360" spans="1:10" x14ac:dyDescent="0.35">
      <c r="A360" s="2">
        <v>44775</v>
      </c>
      <c r="B360" s="3">
        <v>0.70773148148148157</v>
      </c>
      <c r="C360">
        <v>1240</v>
      </c>
      <c r="D360" t="str">
        <f>VLOOKUP(H360,Produkt!$A$2:$B$5,2,FALSE)</f>
        <v>C</v>
      </c>
      <c r="H360">
        <v>3</v>
      </c>
      <c r="I360">
        <v>0.55146990740740742</v>
      </c>
      <c r="J360">
        <v>44793</v>
      </c>
    </row>
    <row r="361" spans="1:10" x14ac:dyDescent="0.35">
      <c r="A361" s="2">
        <v>44775</v>
      </c>
      <c r="B361" s="3">
        <v>0.96475694444444438</v>
      </c>
      <c r="C361">
        <v>1277</v>
      </c>
      <c r="D361" t="str">
        <f>VLOOKUP(H361,Produkt!$A$2:$B$5,2,FALSE)</f>
        <v>A</v>
      </c>
      <c r="H361">
        <v>1</v>
      </c>
      <c r="I361">
        <v>0.64597222222222228</v>
      </c>
      <c r="J361">
        <v>44789</v>
      </c>
    </row>
    <row r="362" spans="1:10" x14ac:dyDescent="0.35">
      <c r="A362" s="2">
        <v>44775</v>
      </c>
      <c r="B362" s="3">
        <v>0.65049768518518525</v>
      </c>
      <c r="C362">
        <v>1316</v>
      </c>
      <c r="D362" t="str">
        <f>VLOOKUP(H362,Produkt!$A$2:$B$5,2,FALSE)</f>
        <v>B</v>
      </c>
      <c r="H362">
        <v>2</v>
      </c>
      <c r="I362">
        <v>0.69451388888888888</v>
      </c>
      <c r="J362">
        <v>44776</v>
      </c>
    </row>
    <row r="363" spans="1:10" x14ac:dyDescent="0.35">
      <c r="A363" s="2">
        <v>44775</v>
      </c>
      <c r="B363" s="3">
        <v>0.24513888888888888</v>
      </c>
      <c r="C363">
        <v>1360</v>
      </c>
      <c r="D363" t="str">
        <f>VLOOKUP(H363,Produkt!$A$2:$B$5,2,FALSE)</f>
        <v>B</v>
      </c>
      <c r="H363">
        <v>2</v>
      </c>
      <c r="I363">
        <v>0.71070601851851845</v>
      </c>
      <c r="J363">
        <v>44790</v>
      </c>
    </row>
    <row r="364" spans="1:10" x14ac:dyDescent="0.35">
      <c r="A364" s="2">
        <v>44775</v>
      </c>
      <c r="B364" s="3">
        <v>0.31938657407407406</v>
      </c>
      <c r="C364">
        <v>1373</v>
      </c>
      <c r="D364" t="str">
        <f>VLOOKUP(H364,Produkt!$A$2:$B$5,2,FALSE)</f>
        <v>C</v>
      </c>
      <c r="H364">
        <v>3</v>
      </c>
      <c r="I364">
        <v>0.90001157407407406</v>
      </c>
      <c r="J364">
        <v>44789</v>
      </c>
    </row>
    <row r="365" spans="1:10" x14ac:dyDescent="0.35">
      <c r="A365" s="2">
        <v>44775</v>
      </c>
      <c r="B365" s="3">
        <v>0.98909722222222218</v>
      </c>
      <c r="C365">
        <v>1384</v>
      </c>
      <c r="D365" t="str">
        <f>VLOOKUP(H365,Produkt!$A$2:$B$5,2,FALSE)</f>
        <v>B</v>
      </c>
      <c r="H365">
        <v>2</v>
      </c>
      <c r="I365">
        <v>2.9282407407407406E-2</v>
      </c>
      <c r="J365">
        <v>44779</v>
      </c>
    </row>
    <row r="366" spans="1:10" x14ac:dyDescent="0.35">
      <c r="A366" s="2">
        <v>44775</v>
      </c>
      <c r="B366" s="3">
        <v>0.52335648148148151</v>
      </c>
      <c r="C366">
        <v>1424</v>
      </c>
      <c r="D366" t="str">
        <f>VLOOKUP(H366,Produkt!$A$2:$B$5,2,FALSE)</f>
        <v>B</v>
      </c>
      <c r="H366">
        <v>2</v>
      </c>
      <c r="I366">
        <v>0.82476851851851851</v>
      </c>
      <c r="J366">
        <v>44796</v>
      </c>
    </row>
    <row r="367" spans="1:10" x14ac:dyDescent="0.35">
      <c r="A367" s="2">
        <v>44775</v>
      </c>
      <c r="B367" s="3">
        <v>0.81083333333333341</v>
      </c>
      <c r="C367">
        <v>1448</v>
      </c>
      <c r="D367" t="str">
        <f>VLOOKUP(H367,Produkt!$A$2:$B$5,2,FALSE)</f>
        <v>C</v>
      </c>
      <c r="H367">
        <v>3</v>
      </c>
      <c r="I367">
        <v>0.36350694444444448</v>
      </c>
      <c r="J367">
        <v>44797</v>
      </c>
    </row>
    <row r="368" spans="1:10" x14ac:dyDescent="0.35">
      <c r="A368" s="2">
        <v>44775</v>
      </c>
      <c r="B368" s="3">
        <v>0.79160879629629621</v>
      </c>
      <c r="C368">
        <v>1474</v>
      </c>
      <c r="D368" t="str">
        <f>VLOOKUP(H368,Produkt!$A$2:$B$5,2,FALSE)</f>
        <v>C</v>
      </c>
      <c r="H368">
        <v>3</v>
      </c>
      <c r="I368">
        <v>0.75159722222222225</v>
      </c>
      <c r="J368">
        <v>44797</v>
      </c>
    </row>
    <row r="369" spans="1:10" x14ac:dyDescent="0.35">
      <c r="A369" s="2">
        <v>44775</v>
      </c>
      <c r="B369" s="3">
        <v>0.44244212962962964</v>
      </c>
      <c r="C369">
        <v>1509</v>
      </c>
      <c r="D369" t="str">
        <f>VLOOKUP(H369,Produkt!$A$2:$B$5,2,FALSE)</f>
        <v>C</v>
      </c>
      <c r="H369">
        <v>3</v>
      </c>
      <c r="I369">
        <v>0.65371527777777783</v>
      </c>
      <c r="J369">
        <v>44793</v>
      </c>
    </row>
    <row r="370" spans="1:10" x14ac:dyDescent="0.35">
      <c r="A370" s="2">
        <v>44775</v>
      </c>
      <c r="B370" s="3">
        <v>0.29935185185185187</v>
      </c>
      <c r="C370">
        <v>1555</v>
      </c>
      <c r="D370" t="str">
        <f>VLOOKUP(H370,Produkt!$A$2:$B$5,2,FALSE)</f>
        <v>B</v>
      </c>
      <c r="H370">
        <v>2</v>
      </c>
      <c r="I370">
        <v>0.21899305555555557</v>
      </c>
      <c r="J370">
        <v>44776</v>
      </c>
    </row>
    <row r="371" spans="1:10" x14ac:dyDescent="0.35">
      <c r="A371" s="2">
        <v>44775</v>
      </c>
      <c r="B371" s="3">
        <v>0.75016203703703699</v>
      </c>
      <c r="C371">
        <v>1696</v>
      </c>
      <c r="D371" t="str">
        <f>VLOOKUP(H371,Produkt!$A$2:$B$5,2,FALSE)</f>
        <v>C</v>
      </c>
      <c r="H371">
        <v>3</v>
      </c>
      <c r="I371">
        <v>0.34136574074074072</v>
      </c>
      <c r="J371">
        <v>44798</v>
      </c>
    </row>
    <row r="372" spans="1:10" x14ac:dyDescent="0.35">
      <c r="A372" s="2">
        <v>44775</v>
      </c>
      <c r="B372" s="3">
        <v>0.15189814814814814</v>
      </c>
      <c r="C372">
        <v>1750</v>
      </c>
      <c r="D372" t="str">
        <f>VLOOKUP(H372,Produkt!$A$2:$B$5,2,FALSE)</f>
        <v>B</v>
      </c>
      <c r="H372">
        <v>2</v>
      </c>
      <c r="I372">
        <v>0.62621527777777775</v>
      </c>
      <c r="J372">
        <v>44795</v>
      </c>
    </row>
    <row r="373" spans="1:10" x14ac:dyDescent="0.35">
      <c r="A373" s="2">
        <v>44775</v>
      </c>
      <c r="B373" s="3">
        <v>0.49548611111111113</v>
      </c>
      <c r="C373">
        <v>1775</v>
      </c>
      <c r="D373" t="str">
        <f>VLOOKUP(H373,Produkt!$A$2:$B$5,2,FALSE)</f>
        <v>B</v>
      </c>
      <c r="H373">
        <v>2</v>
      </c>
      <c r="I373">
        <v>0.78518518518518521</v>
      </c>
      <c r="J373">
        <v>44798</v>
      </c>
    </row>
    <row r="374" spans="1:10" x14ac:dyDescent="0.35">
      <c r="A374" s="2">
        <v>44775</v>
      </c>
      <c r="B374" s="3">
        <v>0.38556712962962963</v>
      </c>
      <c r="C374">
        <v>1781</v>
      </c>
      <c r="D374" t="str">
        <f>VLOOKUP(H374,Produkt!$A$2:$B$5,2,FALSE)</f>
        <v>B</v>
      </c>
      <c r="H374">
        <v>2</v>
      </c>
      <c r="I374">
        <v>0.83347222222222228</v>
      </c>
      <c r="J374">
        <v>44800</v>
      </c>
    </row>
    <row r="375" spans="1:10" x14ac:dyDescent="0.35">
      <c r="A375" s="2">
        <v>44775</v>
      </c>
      <c r="B375" s="3">
        <v>0.56344907407407407</v>
      </c>
      <c r="C375">
        <v>1839</v>
      </c>
      <c r="D375" t="str">
        <f>VLOOKUP(H375,Produkt!$A$2:$B$5,2,FALSE)</f>
        <v>A</v>
      </c>
      <c r="H375">
        <v>1</v>
      </c>
      <c r="I375">
        <v>1.0925925925925924E-2</v>
      </c>
      <c r="J375">
        <v>44778</v>
      </c>
    </row>
    <row r="376" spans="1:10" x14ac:dyDescent="0.35">
      <c r="A376" s="2">
        <v>44775</v>
      </c>
      <c r="B376" s="3">
        <v>0.53907407407407404</v>
      </c>
      <c r="C376">
        <v>1847</v>
      </c>
      <c r="D376" t="str">
        <f>VLOOKUP(H376,Produkt!$A$2:$B$5,2,FALSE)</f>
        <v>A</v>
      </c>
      <c r="H376">
        <v>1</v>
      </c>
      <c r="I376">
        <v>0.88568287037037041</v>
      </c>
      <c r="J376">
        <v>44781</v>
      </c>
    </row>
    <row r="377" spans="1:10" x14ac:dyDescent="0.35">
      <c r="A377" s="2">
        <v>44775</v>
      </c>
      <c r="B377" s="3">
        <v>4.8506944444444443E-2</v>
      </c>
      <c r="C377">
        <v>1870</v>
      </c>
      <c r="D377" t="str">
        <f>VLOOKUP(H377,Produkt!$A$2:$B$5,2,FALSE)</f>
        <v>B</v>
      </c>
      <c r="H377">
        <v>2</v>
      </c>
      <c r="I377">
        <v>0.83174768518518516</v>
      </c>
      <c r="J377">
        <v>44790</v>
      </c>
    </row>
    <row r="378" spans="1:10" x14ac:dyDescent="0.35">
      <c r="A378" s="2">
        <v>44775</v>
      </c>
      <c r="B378" s="3">
        <v>0.86645833333333344</v>
      </c>
      <c r="C378">
        <v>1938</v>
      </c>
      <c r="D378" t="str">
        <f>VLOOKUP(H378,Produkt!$A$2:$B$5,2,FALSE)</f>
        <v>B</v>
      </c>
      <c r="H378">
        <v>2</v>
      </c>
      <c r="I378">
        <v>0.76874999999999993</v>
      </c>
      <c r="J378">
        <v>44793</v>
      </c>
    </row>
    <row r="379" spans="1:10" x14ac:dyDescent="0.35">
      <c r="A379" s="2">
        <v>44775</v>
      </c>
      <c r="B379" s="3">
        <v>0.10888888888888888</v>
      </c>
      <c r="C379">
        <v>1941</v>
      </c>
      <c r="D379" t="str">
        <f>VLOOKUP(H379,Produkt!$A$2:$B$5,2,FALSE)</f>
        <v>A</v>
      </c>
      <c r="H379">
        <v>1</v>
      </c>
      <c r="I379">
        <v>0.64866898148148155</v>
      </c>
      <c r="J379">
        <v>44793</v>
      </c>
    </row>
    <row r="380" spans="1:10" x14ac:dyDescent="0.35">
      <c r="A380" s="2">
        <v>44775</v>
      </c>
      <c r="B380" s="3">
        <v>0.94582175925925915</v>
      </c>
      <c r="C380">
        <v>1963</v>
      </c>
      <c r="D380" t="str">
        <f>VLOOKUP(H380,Produkt!$A$2:$B$5,2,FALSE)</f>
        <v>C</v>
      </c>
      <c r="H380">
        <v>3</v>
      </c>
      <c r="I380">
        <v>0.35464120370370367</v>
      </c>
      <c r="J380">
        <v>44800</v>
      </c>
    </row>
    <row r="381" spans="1:10" x14ac:dyDescent="0.35">
      <c r="A381" s="2">
        <v>44775</v>
      </c>
      <c r="B381" s="3">
        <v>0.15998842592592591</v>
      </c>
      <c r="C381">
        <v>1971</v>
      </c>
      <c r="D381" t="str">
        <f>VLOOKUP(H381,Produkt!$A$2:$B$5,2,FALSE)</f>
        <v>A</v>
      </c>
      <c r="H381">
        <v>1</v>
      </c>
      <c r="I381">
        <v>0.2910416666666667</v>
      </c>
      <c r="J381">
        <v>44788</v>
      </c>
    </row>
    <row r="382" spans="1:10" x14ac:dyDescent="0.35">
      <c r="A382" s="2">
        <v>44775</v>
      </c>
      <c r="B382" s="3">
        <v>0.2354050925925926</v>
      </c>
      <c r="C382">
        <v>1992</v>
      </c>
      <c r="D382" t="str">
        <f>VLOOKUP(H382,Produkt!$A$2:$B$5,2,FALSE)</f>
        <v>A</v>
      </c>
      <c r="H382">
        <v>1</v>
      </c>
      <c r="I382">
        <v>8.6122685185185177E-2</v>
      </c>
      <c r="J382">
        <v>44778</v>
      </c>
    </row>
    <row r="383" spans="1:10" x14ac:dyDescent="0.35">
      <c r="A383" s="2">
        <v>44775</v>
      </c>
      <c r="B383" s="3">
        <v>0.79662037037037037</v>
      </c>
      <c r="C383">
        <v>2018</v>
      </c>
      <c r="D383" t="str">
        <f>VLOOKUP(H383,Produkt!$A$2:$B$5,2,FALSE)</f>
        <v>D</v>
      </c>
      <c r="H383">
        <v>4</v>
      </c>
      <c r="I383">
        <v>0.34697916666666667</v>
      </c>
      <c r="J383">
        <v>44776</v>
      </c>
    </row>
    <row r="384" spans="1:10" x14ac:dyDescent="0.35">
      <c r="A384" s="2">
        <v>44775</v>
      </c>
      <c r="B384" s="3">
        <v>8.2500000000000004E-2</v>
      </c>
      <c r="C384">
        <v>2075</v>
      </c>
      <c r="D384" t="str">
        <f>VLOOKUP(H384,Produkt!$A$2:$B$5,2,FALSE)</f>
        <v>A</v>
      </c>
      <c r="H384">
        <v>1</v>
      </c>
      <c r="I384">
        <v>0.21965277777777778</v>
      </c>
      <c r="J384">
        <v>44788</v>
      </c>
    </row>
    <row r="385" spans="1:10" x14ac:dyDescent="0.35">
      <c r="A385" s="2">
        <v>44775</v>
      </c>
      <c r="B385" s="3">
        <v>0.26040509259259259</v>
      </c>
      <c r="C385">
        <v>2088</v>
      </c>
      <c r="D385" t="str">
        <f>VLOOKUP(H385,Produkt!$A$2:$B$5,2,FALSE)</f>
        <v>A</v>
      </c>
      <c r="H385">
        <v>1</v>
      </c>
      <c r="I385">
        <v>0.35744212962962968</v>
      </c>
      <c r="J385">
        <v>44780</v>
      </c>
    </row>
    <row r="386" spans="1:10" x14ac:dyDescent="0.35">
      <c r="A386" s="2">
        <v>44775</v>
      </c>
      <c r="B386" s="3">
        <v>0.53577546296296297</v>
      </c>
      <c r="C386">
        <v>2132</v>
      </c>
      <c r="D386" t="str">
        <f>VLOOKUP(H386,Produkt!$A$2:$B$5,2,FALSE)</f>
        <v>C</v>
      </c>
      <c r="H386">
        <v>3</v>
      </c>
      <c r="I386">
        <v>0.90575231481481477</v>
      </c>
      <c r="J386">
        <v>44786</v>
      </c>
    </row>
    <row r="387" spans="1:10" x14ac:dyDescent="0.35">
      <c r="A387" s="2">
        <v>44775</v>
      </c>
      <c r="B387" s="3">
        <v>0.39444444444444443</v>
      </c>
      <c r="C387">
        <v>2143</v>
      </c>
      <c r="D387" t="str">
        <f>VLOOKUP(H387,Produkt!$A$2:$B$5,2,FALSE)</f>
        <v>A</v>
      </c>
      <c r="H387">
        <v>1</v>
      </c>
      <c r="I387">
        <v>0.29366898148148152</v>
      </c>
      <c r="J387">
        <v>44796</v>
      </c>
    </row>
    <row r="388" spans="1:10" x14ac:dyDescent="0.35">
      <c r="A388" s="2">
        <v>44775</v>
      </c>
      <c r="B388" s="3">
        <v>0.61203703703703705</v>
      </c>
      <c r="C388">
        <v>2150</v>
      </c>
      <c r="D388" t="str">
        <f>VLOOKUP(H388,Produkt!$A$2:$B$5,2,FALSE)</f>
        <v>B</v>
      </c>
      <c r="H388">
        <v>2</v>
      </c>
      <c r="I388">
        <v>0.44032407407407409</v>
      </c>
      <c r="J388">
        <v>44777</v>
      </c>
    </row>
    <row r="389" spans="1:10" x14ac:dyDescent="0.35">
      <c r="A389" s="2">
        <v>44775</v>
      </c>
      <c r="B389" s="3">
        <v>2.1793981481481373E-2</v>
      </c>
      <c r="C389">
        <v>2240</v>
      </c>
      <c r="D389" t="str">
        <f>VLOOKUP(H389,Produkt!$A$2:$B$5,2,FALSE)</f>
        <v>D</v>
      </c>
      <c r="H389">
        <v>4</v>
      </c>
      <c r="I389">
        <v>0.28762731481481479</v>
      </c>
      <c r="J389">
        <v>44779</v>
      </c>
    </row>
    <row r="390" spans="1:10" x14ac:dyDescent="0.35">
      <c r="A390" s="2">
        <v>44775</v>
      </c>
      <c r="B390" s="3">
        <v>0.36056712962962961</v>
      </c>
      <c r="C390">
        <v>2307</v>
      </c>
      <c r="D390" t="str">
        <f>VLOOKUP(H390,Produkt!$A$2:$B$5,2,FALSE)</f>
        <v>D</v>
      </c>
      <c r="H390">
        <v>4</v>
      </c>
      <c r="I390">
        <v>0.17387731481481483</v>
      </c>
      <c r="J390">
        <v>44792</v>
      </c>
    </row>
    <row r="391" spans="1:10" x14ac:dyDescent="0.35">
      <c r="A391" s="2">
        <v>44775</v>
      </c>
      <c r="B391" s="3">
        <v>0.6667939814814815</v>
      </c>
      <c r="C391">
        <v>2349</v>
      </c>
      <c r="D391" t="str">
        <f>VLOOKUP(H391,Produkt!$A$2:$B$5,2,FALSE)</f>
        <v>B</v>
      </c>
      <c r="H391">
        <v>2</v>
      </c>
      <c r="I391">
        <v>0.2940625</v>
      </c>
      <c r="J391">
        <v>44796</v>
      </c>
    </row>
    <row r="392" spans="1:10" x14ac:dyDescent="0.35">
      <c r="A392" s="2">
        <v>44775</v>
      </c>
      <c r="B392" s="3">
        <v>0.59398148148148155</v>
      </c>
      <c r="C392">
        <v>2457</v>
      </c>
      <c r="D392" t="str">
        <f>VLOOKUP(H392,Produkt!$A$2:$B$5,2,FALSE)</f>
        <v>C</v>
      </c>
      <c r="H392">
        <v>3</v>
      </c>
      <c r="I392">
        <v>0.67724537037037036</v>
      </c>
      <c r="J392">
        <v>44799</v>
      </c>
    </row>
    <row r="393" spans="1:10" x14ac:dyDescent="0.35">
      <c r="A393" s="2">
        <v>44775</v>
      </c>
      <c r="B393" s="3">
        <v>0.80950231481481483</v>
      </c>
      <c r="C393">
        <v>2484</v>
      </c>
      <c r="D393" t="str">
        <f>VLOOKUP(H393,Produkt!$A$2:$B$5,2,FALSE)</f>
        <v>A</v>
      </c>
      <c r="H393">
        <v>1</v>
      </c>
      <c r="I393">
        <v>0.79269675925925931</v>
      </c>
      <c r="J393">
        <v>44788</v>
      </c>
    </row>
    <row r="394" spans="1:10" x14ac:dyDescent="0.35">
      <c r="A394" s="2">
        <v>44775</v>
      </c>
      <c r="B394" s="3">
        <v>0.58526620370370364</v>
      </c>
      <c r="C394">
        <v>2553</v>
      </c>
      <c r="D394" t="str">
        <f>VLOOKUP(H394,Produkt!$A$2:$B$5,2,FALSE)</f>
        <v>D</v>
      </c>
      <c r="H394">
        <v>4</v>
      </c>
      <c r="I394">
        <v>0.80962962962962959</v>
      </c>
      <c r="J394">
        <v>44803</v>
      </c>
    </row>
    <row r="395" spans="1:10" x14ac:dyDescent="0.35">
      <c r="A395" s="2">
        <v>44775</v>
      </c>
      <c r="B395" s="3">
        <v>0.47222222222222227</v>
      </c>
      <c r="C395">
        <v>2568</v>
      </c>
      <c r="D395" t="str">
        <f>VLOOKUP(H395,Produkt!$A$2:$B$5,2,FALSE)</f>
        <v>B</v>
      </c>
      <c r="H395">
        <v>2</v>
      </c>
      <c r="I395">
        <v>0.31615740740740739</v>
      </c>
      <c r="J395">
        <v>44804</v>
      </c>
    </row>
    <row r="396" spans="1:10" x14ac:dyDescent="0.35">
      <c r="A396" s="2">
        <v>44775</v>
      </c>
      <c r="B396" s="3">
        <v>0.3818171296296296</v>
      </c>
      <c r="C396">
        <v>2582</v>
      </c>
      <c r="D396" t="str">
        <f>VLOOKUP(H396,Produkt!$A$2:$B$5,2,FALSE)</f>
        <v>A</v>
      </c>
      <c r="H396">
        <v>1</v>
      </c>
      <c r="I396">
        <v>0.49935185185185182</v>
      </c>
      <c r="J396">
        <v>44775</v>
      </c>
    </row>
    <row r="397" spans="1:10" x14ac:dyDescent="0.35">
      <c r="A397" s="2">
        <v>44775</v>
      </c>
      <c r="B397" s="3">
        <v>6.5509259259259267E-2</v>
      </c>
      <c r="C397">
        <v>2669</v>
      </c>
      <c r="D397" t="str">
        <f>VLOOKUP(H397,Produkt!$A$2:$B$5,2,FALSE)</f>
        <v>D</v>
      </c>
      <c r="H397">
        <v>4</v>
      </c>
      <c r="I397">
        <v>0.14346064814814816</v>
      </c>
      <c r="J397">
        <v>44794</v>
      </c>
    </row>
    <row r="398" spans="1:10" x14ac:dyDescent="0.35">
      <c r="A398" s="2">
        <v>44775</v>
      </c>
      <c r="B398" s="3">
        <v>0.60445601851851849</v>
      </c>
      <c r="C398">
        <v>2694</v>
      </c>
      <c r="D398" t="str">
        <f>VLOOKUP(H398,Produkt!$A$2:$B$5,2,FALSE)</f>
        <v>B</v>
      </c>
      <c r="H398">
        <v>2</v>
      </c>
      <c r="I398">
        <v>0.35413194444444446</v>
      </c>
      <c r="J398">
        <v>44777</v>
      </c>
    </row>
    <row r="399" spans="1:10" x14ac:dyDescent="0.35">
      <c r="A399" s="2">
        <v>44775</v>
      </c>
      <c r="B399" s="3">
        <v>0.88505787037037031</v>
      </c>
      <c r="C399">
        <v>2705</v>
      </c>
      <c r="D399" t="str">
        <f>VLOOKUP(H399,Produkt!$A$2:$B$5,2,FALSE)</f>
        <v>A</v>
      </c>
      <c r="H399">
        <v>1</v>
      </c>
      <c r="I399">
        <v>0.44951388888888894</v>
      </c>
      <c r="J399">
        <v>44799</v>
      </c>
    </row>
    <row r="400" spans="1:10" x14ac:dyDescent="0.35">
      <c r="A400" s="2">
        <v>44775</v>
      </c>
      <c r="B400" s="3">
        <v>0.85972222222222217</v>
      </c>
      <c r="C400">
        <v>2714</v>
      </c>
      <c r="D400" t="str">
        <f>VLOOKUP(H400,Produkt!$A$2:$B$5,2,FALSE)</f>
        <v>C</v>
      </c>
      <c r="H400">
        <v>3</v>
      </c>
      <c r="I400">
        <v>0.73429398148148151</v>
      </c>
      <c r="J400">
        <v>44792</v>
      </c>
    </row>
    <row r="401" spans="1:10" x14ac:dyDescent="0.35">
      <c r="A401" s="2">
        <v>44775</v>
      </c>
      <c r="B401" s="3">
        <v>0.43562499999999998</v>
      </c>
      <c r="C401">
        <v>2828</v>
      </c>
      <c r="D401" t="str">
        <f>VLOOKUP(H401,Produkt!$A$2:$B$5,2,FALSE)</f>
        <v>C</v>
      </c>
      <c r="H401">
        <v>3</v>
      </c>
      <c r="I401">
        <v>0.71208333333333329</v>
      </c>
      <c r="J401">
        <v>44785</v>
      </c>
    </row>
    <row r="402" spans="1:10" x14ac:dyDescent="0.35">
      <c r="A402" s="2">
        <v>44775</v>
      </c>
      <c r="B402" s="3">
        <v>0.99045138888888884</v>
      </c>
      <c r="C402">
        <v>2835</v>
      </c>
      <c r="D402" t="str">
        <f>VLOOKUP(H402,Produkt!$A$2:$B$5,2,FALSE)</f>
        <v>D</v>
      </c>
      <c r="H402">
        <v>4</v>
      </c>
      <c r="I402">
        <v>0.88638888888888889</v>
      </c>
      <c r="J402">
        <v>44790</v>
      </c>
    </row>
    <row r="403" spans="1:10" x14ac:dyDescent="0.35">
      <c r="A403" s="2">
        <v>44775</v>
      </c>
      <c r="B403" s="3">
        <v>0.36839120370370365</v>
      </c>
      <c r="C403">
        <v>2874</v>
      </c>
      <c r="D403" t="str">
        <f>VLOOKUP(H403,Produkt!$A$2:$B$5,2,FALSE)</f>
        <v>A</v>
      </c>
      <c r="H403">
        <v>1</v>
      </c>
      <c r="I403">
        <v>0.79013888888888895</v>
      </c>
      <c r="J403">
        <v>44796</v>
      </c>
    </row>
    <row r="404" spans="1:10" x14ac:dyDescent="0.35">
      <c r="A404" s="2">
        <v>44775</v>
      </c>
      <c r="B404" s="3">
        <v>0.15046296296296297</v>
      </c>
      <c r="C404">
        <v>2884</v>
      </c>
      <c r="D404" t="str">
        <f>VLOOKUP(H404,Produkt!$A$2:$B$5,2,FALSE)</f>
        <v>D</v>
      </c>
      <c r="H404">
        <v>4</v>
      </c>
      <c r="I404">
        <v>0.61771990740740745</v>
      </c>
      <c r="J404">
        <v>44780</v>
      </c>
    </row>
    <row r="405" spans="1:10" x14ac:dyDescent="0.35">
      <c r="A405" s="2">
        <v>44775</v>
      </c>
      <c r="B405" s="3">
        <v>0.53965277777777776</v>
      </c>
      <c r="C405">
        <v>2886</v>
      </c>
      <c r="D405" t="str">
        <f>VLOOKUP(H405,Produkt!$A$2:$B$5,2,FALSE)</f>
        <v>A</v>
      </c>
      <c r="H405">
        <v>1</v>
      </c>
      <c r="I405">
        <v>0.98413194444444441</v>
      </c>
      <c r="J405">
        <v>44791</v>
      </c>
    </row>
    <row r="406" spans="1:10" x14ac:dyDescent="0.35">
      <c r="A406" s="2">
        <v>44775</v>
      </c>
      <c r="B406" s="3">
        <v>0.43292824074074071</v>
      </c>
      <c r="C406">
        <v>2892</v>
      </c>
      <c r="D406" t="str">
        <f>VLOOKUP(H406,Produkt!$A$2:$B$5,2,FALSE)</f>
        <v>D</v>
      </c>
      <c r="H406">
        <v>4</v>
      </c>
      <c r="I406">
        <v>0.16439814814814815</v>
      </c>
      <c r="J406">
        <v>44778</v>
      </c>
    </row>
    <row r="407" spans="1:10" x14ac:dyDescent="0.35">
      <c r="A407" s="2">
        <v>44775</v>
      </c>
      <c r="B407" s="3">
        <v>6.5254629629629635E-2</v>
      </c>
      <c r="C407">
        <v>2900</v>
      </c>
      <c r="D407" t="str">
        <f>VLOOKUP(H407,Produkt!$A$2:$B$5,2,FALSE)</f>
        <v>A</v>
      </c>
      <c r="H407">
        <v>1</v>
      </c>
      <c r="I407">
        <v>0.40797453703703707</v>
      </c>
      <c r="J407">
        <v>44790</v>
      </c>
    </row>
    <row r="408" spans="1:10" x14ac:dyDescent="0.35">
      <c r="A408" s="2">
        <v>44775</v>
      </c>
      <c r="B408" s="3">
        <v>0.74454861111111104</v>
      </c>
      <c r="C408">
        <v>2970</v>
      </c>
      <c r="D408" t="str">
        <f>VLOOKUP(H408,Produkt!$A$2:$B$5,2,FALSE)</f>
        <v>A</v>
      </c>
      <c r="H408">
        <v>1</v>
      </c>
      <c r="I408">
        <v>3.9537037037036926E-2</v>
      </c>
      <c r="J408">
        <v>44798</v>
      </c>
    </row>
    <row r="409" spans="1:10" x14ac:dyDescent="0.35">
      <c r="A409" s="2">
        <v>44775</v>
      </c>
      <c r="B409" s="3">
        <v>0.93407407407407417</v>
      </c>
      <c r="C409">
        <v>2989</v>
      </c>
      <c r="D409" t="str">
        <f>VLOOKUP(H409,Produkt!$A$2:$B$5,2,FALSE)</f>
        <v>A</v>
      </c>
      <c r="H409">
        <v>1</v>
      </c>
      <c r="I409">
        <v>0.48603009259259261</v>
      </c>
      <c r="J409">
        <v>44787</v>
      </c>
    </row>
    <row r="410" spans="1:10" x14ac:dyDescent="0.35">
      <c r="A410" s="2">
        <v>44775</v>
      </c>
      <c r="B410" s="3">
        <v>0.37065972222222227</v>
      </c>
      <c r="C410">
        <v>3042</v>
      </c>
      <c r="D410" t="str">
        <f>VLOOKUP(H410,Produkt!$A$2:$B$5,2,FALSE)</f>
        <v>A</v>
      </c>
      <c r="H410">
        <v>1</v>
      </c>
      <c r="I410">
        <v>0.37778935185185186</v>
      </c>
      <c r="J410">
        <v>44799</v>
      </c>
    </row>
    <row r="411" spans="1:10" x14ac:dyDescent="0.35">
      <c r="A411" s="2">
        <v>44775</v>
      </c>
      <c r="B411" s="3">
        <v>0.68464120370370374</v>
      </c>
      <c r="C411">
        <v>3058</v>
      </c>
      <c r="D411" t="str">
        <f>VLOOKUP(H411,Produkt!$A$2:$B$5,2,FALSE)</f>
        <v>A</v>
      </c>
      <c r="H411">
        <v>1</v>
      </c>
      <c r="I411">
        <v>0.29451388888888891</v>
      </c>
      <c r="J411">
        <v>44800</v>
      </c>
    </row>
    <row r="412" spans="1:10" x14ac:dyDescent="0.35">
      <c r="A412" s="2">
        <v>44775</v>
      </c>
      <c r="B412" s="3">
        <v>0.73998842592592595</v>
      </c>
      <c r="C412">
        <v>3159</v>
      </c>
      <c r="D412" t="str">
        <f>VLOOKUP(H412,Produkt!$A$2:$B$5,2,FALSE)</f>
        <v>C</v>
      </c>
      <c r="H412">
        <v>3</v>
      </c>
      <c r="I412">
        <v>0.48635416666666664</v>
      </c>
      <c r="J412">
        <v>44801</v>
      </c>
    </row>
    <row r="413" spans="1:10" x14ac:dyDescent="0.35">
      <c r="A413" s="2">
        <v>44775</v>
      </c>
      <c r="B413" s="3">
        <v>0.5377777777777778</v>
      </c>
      <c r="C413">
        <v>3216</v>
      </c>
      <c r="D413" t="str">
        <f>VLOOKUP(H413,Produkt!$A$2:$B$5,2,FALSE)</f>
        <v>A</v>
      </c>
      <c r="H413">
        <v>1</v>
      </c>
      <c r="I413">
        <v>0.99383101851851852</v>
      </c>
      <c r="J413">
        <v>44784</v>
      </c>
    </row>
    <row r="414" spans="1:10" x14ac:dyDescent="0.35">
      <c r="A414" s="2">
        <v>44775</v>
      </c>
      <c r="B414" s="3">
        <v>0.79821759259259262</v>
      </c>
      <c r="C414">
        <v>3223</v>
      </c>
      <c r="D414" t="str">
        <f>VLOOKUP(H414,Produkt!$A$2:$B$5,2,FALSE)</f>
        <v>C</v>
      </c>
      <c r="H414">
        <v>3</v>
      </c>
      <c r="I414">
        <v>0.58527777777777779</v>
      </c>
      <c r="J414">
        <v>44802</v>
      </c>
    </row>
    <row r="415" spans="1:10" x14ac:dyDescent="0.35">
      <c r="A415" s="2">
        <v>44775</v>
      </c>
      <c r="B415" s="3">
        <v>0.14070601851851852</v>
      </c>
      <c r="C415">
        <v>3252</v>
      </c>
      <c r="D415" t="str">
        <f>VLOOKUP(H415,Produkt!$A$2:$B$5,2,FALSE)</f>
        <v>B</v>
      </c>
      <c r="H415">
        <v>2</v>
      </c>
      <c r="I415">
        <v>0.98202546296296289</v>
      </c>
      <c r="J415">
        <v>44778</v>
      </c>
    </row>
    <row r="416" spans="1:10" x14ac:dyDescent="0.35">
      <c r="A416" s="2">
        <v>44775</v>
      </c>
      <c r="B416" s="3">
        <v>0.43434027777777778</v>
      </c>
      <c r="C416">
        <v>3317</v>
      </c>
      <c r="D416" t="str">
        <f>VLOOKUP(H416,Produkt!$A$2:$B$5,2,FALSE)</f>
        <v>B</v>
      </c>
      <c r="H416">
        <v>2</v>
      </c>
      <c r="I416">
        <v>9.0092592592592599E-2</v>
      </c>
      <c r="J416">
        <v>44792</v>
      </c>
    </row>
    <row r="417" spans="1:10" x14ac:dyDescent="0.35">
      <c r="A417" s="2">
        <v>44775</v>
      </c>
      <c r="B417" s="3">
        <v>0.6559490740740741</v>
      </c>
      <c r="C417">
        <v>3340</v>
      </c>
      <c r="D417" t="str">
        <f>VLOOKUP(H417,Produkt!$A$2:$B$5,2,FALSE)</f>
        <v>C</v>
      </c>
      <c r="H417">
        <v>3</v>
      </c>
      <c r="I417">
        <v>0.51968749999999997</v>
      </c>
      <c r="J417">
        <v>44804</v>
      </c>
    </row>
    <row r="418" spans="1:10" x14ac:dyDescent="0.35">
      <c r="A418" s="2">
        <v>44775</v>
      </c>
      <c r="B418" s="3">
        <v>0.53099537037037037</v>
      </c>
      <c r="C418">
        <v>3359</v>
      </c>
      <c r="D418" t="str">
        <f>VLOOKUP(H418,Produkt!$A$2:$B$5,2,FALSE)</f>
        <v>B</v>
      </c>
      <c r="H418">
        <v>2</v>
      </c>
      <c r="I418">
        <v>0.53754629629629636</v>
      </c>
      <c r="J418">
        <v>44776</v>
      </c>
    </row>
    <row r="419" spans="1:10" x14ac:dyDescent="0.35">
      <c r="A419" s="2">
        <v>44775</v>
      </c>
      <c r="B419" s="3">
        <v>0.39402777777777781</v>
      </c>
      <c r="C419">
        <v>3382</v>
      </c>
      <c r="D419" t="str">
        <f>VLOOKUP(H419,Produkt!$A$2:$B$5,2,FALSE)</f>
        <v>A</v>
      </c>
      <c r="H419">
        <v>1</v>
      </c>
      <c r="I419">
        <v>0.37266203703703704</v>
      </c>
      <c r="J419">
        <v>44797</v>
      </c>
    </row>
    <row r="420" spans="1:10" x14ac:dyDescent="0.35">
      <c r="A420" s="2">
        <v>44775</v>
      </c>
      <c r="B420" s="3">
        <v>0.48628472222222219</v>
      </c>
      <c r="C420">
        <v>3394</v>
      </c>
      <c r="D420" t="str">
        <f>VLOOKUP(H420,Produkt!$A$2:$B$5,2,FALSE)</f>
        <v>C</v>
      </c>
      <c r="H420">
        <v>3</v>
      </c>
      <c r="I420">
        <v>0.54071759259259256</v>
      </c>
      <c r="J420">
        <v>44799</v>
      </c>
    </row>
    <row r="421" spans="1:10" x14ac:dyDescent="0.35">
      <c r="A421" s="2">
        <v>44775</v>
      </c>
      <c r="B421" s="3">
        <v>5.0694444444444452E-2</v>
      </c>
      <c r="C421">
        <v>3396</v>
      </c>
      <c r="D421" t="str">
        <f>VLOOKUP(H421,Produkt!$A$2:$B$5,2,FALSE)</f>
        <v>A</v>
      </c>
      <c r="H421">
        <v>1</v>
      </c>
      <c r="I421">
        <v>0.16057870370370372</v>
      </c>
      <c r="J421">
        <v>44802</v>
      </c>
    </row>
    <row r="422" spans="1:10" x14ac:dyDescent="0.35">
      <c r="A422" s="2">
        <v>44775</v>
      </c>
      <c r="B422" s="3">
        <v>0.17067129629629629</v>
      </c>
      <c r="C422">
        <v>3400</v>
      </c>
      <c r="D422" t="str">
        <f>VLOOKUP(H422,Produkt!$A$2:$B$5,2,FALSE)</f>
        <v>C</v>
      </c>
      <c r="H422">
        <v>3</v>
      </c>
      <c r="I422">
        <v>0.99354166666666666</v>
      </c>
      <c r="J422">
        <v>44797</v>
      </c>
    </row>
    <row r="423" spans="1:10" x14ac:dyDescent="0.35">
      <c r="A423" s="2">
        <v>44775</v>
      </c>
      <c r="B423" s="3">
        <v>0.982488425925926</v>
      </c>
      <c r="C423">
        <v>3407</v>
      </c>
      <c r="D423" t="str">
        <f>VLOOKUP(H423,Produkt!$A$2:$B$5,2,FALSE)</f>
        <v>B</v>
      </c>
      <c r="H423">
        <v>2</v>
      </c>
      <c r="I423">
        <v>0.93783564814814813</v>
      </c>
      <c r="J423">
        <v>44787</v>
      </c>
    </row>
    <row r="424" spans="1:10" x14ac:dyDescent="0.35">
      <c r="A424" s="2">
        <v>44775</v>
      </c>
      <c r="B424" s="3">
        <v>0.45498842592592598</v>
      </c>
      <c r="C424">
        <v>3414</v>
      </c>
      <c r="D424" t="str">
        <f>VLOOKUP(H424,Produkt!$A$2:$B$5,2,FALSE)</f>
        <v>A</v>
      </c>
      <c r="H424">
        <v>1</v>
      </c>
      <c r="I424">
        <v>0.65075231481481477</v>
      </c>
      <c r="J424">
        <v>44785</v>
      </c>
    </row>
    <row r="425" spans="1:10" x14ac:dyDescent="0.35">
      <c r="A425" s="2">
        <v>44775</v>
      </c>
      <c r="B425" s="3">
        <v>0.23743055555555556</v>
      </c>
      <c r="C425">
        <v>3420</v>
      </c>
      <c r="D425" t="str">
        <f>VLOOKUP(H425,Produkt!$A$2:$B$5,2,FALSE)</f>
        <v>D</v>
      </c>
      <c r="H425">
        <v>4</v>
      </c>
      <c r="I425">
        <v>0.43292824074074071</v>
      </c>
      <c r="J425">
        <v>44801</v>
      </c>
    </row>
    <row r="426" spans="1:10" x14ac:dyDescent="0.35">
      <c r="A426" s="2">
        <v>44775</v>
      </c>
      <c r="B426" s="3">
        <v>0.7147337962962963</v>
      </c>
      <c r="C426">
        <v>3422</v>
      </c>
      <c r="D426" t="str">
        <f>VLOOKUP(H426,Produkt!$A$2:$B$5,2,FALSE)</f>
        <v>C</v>
      </c>
      <c r="H426">
        <v>3</v>
      </c>
      <c r="I426">
        <v>0.65019675925925924</v>
      </c>
      <c r="J426">
        <v>44796</v>
      </c>
    </row>
    <row r="427" spans="1:10" x14ac:dyDescent="0.35">
      <c r="A427" s="2">
        <v>44775</v>
      </c>
      <c r="B427" s="3">
        <v>0.90138888888888891</v>
      </c>
      <c r="C427">
        <v>3431</v>
      </c>
      <c r="D427" t="str">
        <f>VLOOKUP(H427,Produkt!$A$2:$B$5,2,FALSE)</f>
        <v>D</v>
      </c>
      <c r="H427">
        <v>4</v>
      </c>
      <c r="I427">
        <v>0.5488425925925926</v>
      </c>
      <c r="J427">
        <v>44785</v>
      </c>
    </row>
    <row r="428" spans="1:10" x14ac:dyDescent="0.35">
      <c r="A428" s="2">
        <v>44775</v>
      </c>
      <c r="B428" s="3">
        <v>2.9282407407407396E-2</v>
      </c>
      <c r="C428">
        <v>3459</v>
      </c>
      <c r="D428" t="str">
        <f>VLOOKUP(H428,Produkt!$A$2:$B$5,2,FALSE)</f>
        <v>A</v>
      </c>
      <c r="H428">
        <v>1</v>
      </c>
      <c r="I428">
        <v>0.84430555555555553</v>
      </c>
      <c r="J428">
        <v>44775</v>
      </c>
    </row>
    <row r="429" spans="1:10" x14ac:dyDescent="0.35">
      <c r="A429" s="2">
        <v>44775</v>
      </c>
      <c r="B429" s="3">
        <v>5.7881944444444444E-2</v>
      </c>
      <c r="C429">
        <v>3518</v>
      </c>
      <c r="D429" t="str">
        <f>VLOOKUP(H429,Produkt!$A$2:$B$5,2,FALSE)</f>
        <v>D</v>
      </c>
      <c r="H429">
        <v>4</v>
      </c>
      <c r="I429">
        <v>0.5529398148148148</v>
      </c>
      <c r="J429">
        <v>44779</v>
      </c>
    </row>
    <row r="430" spans="1:10" x14ac:dyDescent="0.35">
      <c r="A430" s="2">
        <v>44775</v>
      </c>
      <c r="B430" s="3">
        <v>0.64223379629629629</v>
      </c>
      <c r="C430">
        <v>3519</v>
      </c>
      <c r="D430" t="str">
        <f>VLOOKUP(H430,Produkt!$A$2:$B$5,2,FALSE)</f>
        <v>A</v>
      </c>
      <c r="H430">
        <v>1</v>
      </c>
      <c r="I430">
        <v>0.10956018518518518</v>
      </c>
      <c r="J430">
        <v>44785</v>
      </c>
    </row>
    <row r="431" spans="1:10" x14ac:dyDescent="0.35">
      <c r="A431" s="2">
        <v>44775</v>
      </c>
      <c r="B431" s="3">
        <v>0.84505787037037028</v>
      </c>
      <c r="C431">
        <v>3520</v>
      </c>
      <c r="D431" t="str">
        <f>VLOOKUP(H431,Produkt!$A$2:$B$5,2,FALSE)</f>
        <v>A</v>
      </c>
      <c r="H431">
        <v>1</v>
      </c>
      <c r="I431">
        <v>0.34210648148148143</v>
      </c>
      <c r="J431">
        <v>44793</v>
      </c>
    </row>
    <row r="432" spans="1:10" x14ac:dyDescent="0.35">
      <c r="A432" s="2">
        <v>44775</v>
      </c>
      <c r="B432" s="3">
        <v>0.2424074074074074</v>
      </c>
      <c r="C432">
        <v>3539</v>
      </c>
      <c r="D432" t="str">
        <f>VLOOKUP(H432,Produkt!$A$2:$B$5,2,FALSE)</f>
        <v>D</v>
      </c>
      <c r="H432">
        <v>4</v>
      </c>
      <c r="I432">
        <v>0.3369907407407407</v>
      </c>
      <c r="J432">
        <v>44776</v>
      </c>
    </row>
    <row r="433" spans="1:10" x14ac:dyDescent="0.35">
      <c r="A433" s="2">
        <v>44775</v>
      </c>
      <c r="B433" s="3">
        <v>0.80902777777777779</v>
      </c>
      <c r="C433">
        <v>3600</v>
      </c>
      <c r="D433" t="str">
        <f>VLOOKUP(H433,Produkt!$A$2:$B$5,2,FALSE)</f>
        <v>A</v>
      </c>
      <c r="H433">
        <v>1</v>
      </c>
      <c r="I433">
        <v>0.31815972222222222</v>
      </c>
      <c r="J433">
        <v>44799</v>
      </c>
    </row>
    <row r="434" spans="1:10" x14ac:dyDescent="0.35">
      <c r="A434" s="2">
        <v>44775</v>
      </c>
      <c r="B434" s="3">
        <v>0.58766203703703701</v>
      </c>
      <c r="C434">
        <v>3615</v>
      </c>
      <c r="D434" t="str">
        <f>VLOOKUP(H434,Produkt!$A$2:$B$5,2,FALSE)</f>
        <v>D</v>
      </c>
      <c r="H434">
        <v>4</v>
      </c>
      <c r="I434">
        <v>0.24293981481481483</v>
      </c>
      <c r="J434">
        <v>44778</v>
      </c>
    </row>
    <row r="435" spans="1:10" x14ac:dyDescent="0.35">
      <c r="A435" s="2">
        <v>44775</v>
      </c>
      <c r="B435" s="3">
        <v>0.96248842592592598</v>
      </c>
      <c r="C435">
        <v>3621</v>
      </c>
      <c r="D435" t="str">
        <f>VLOOKUP(H435,Produkt!$A$2:$B$5,2,FALSE)</f>
        <v>C</v>
      </c>
      <c r="H435">
        <v>3</v>
      </c>
      <c r="I435">
        <v>0.92252314814814806</v>
      </c>
      <c r="J435">
        <v>44784</v>
      </c>
    </row>
    <row r="436" spans="1:10" x14ac:dyDescent="0.35">
      <c r="A436" s="2">
        <v>44775</v>
      </c>
      <c r="B436" s="3">
        <v>0.20844907407407409</v>
      </c>
      <c r="C436">
        <v>3645</v>
      </c>
      <c r="D436" t="str">
        <f>VLOOKUP(H436,Produkt!$A$2:$B$5,2,FALSE)</f>
        <v>D</v>
      </c>
      <c r="H436">
        <v>4</v>
      </c>
      <c r="I436">
        <v>0.46869212962962964</v>
      </c>
      <c r="J436">
        <v>44779</v>
      </c>
    </row>
    <row r="437" spans="1:10" x14ac:dyDescent="0.35">
      <c r="A437" s="2">
        <v>44775</v>
      </c>
      <c r="B437" s="3">
        <v>0.15672453703703704</v>
      </c>
      <c r="C437">
        <v>3660</v>
      </c>
      <c r="D437" t="str">
        <f>VLOOKUP(H437,Produkt!$A$2:$B$5,2,FALSE)</f>
        <v>B</v>
      </c>
      <c r="H437">
        <v>2</v>
      </c>
      <c r="I437">
        <v>0.47403935185185181</v>
      </c>
      <c r="J437">
        <v>44789</v>
      </c>
    </row>
    <row r="438" spans="1:10" x14ac:dyDescent="0.35">
      <c r="A438" s="2">
        <v>44775</v>
      </c>
      <c r="B438" s="3">
        <v>0.67414351851851861</v>
      </c>
      <c r="C438">
        <v>3669</v>
      </c>
      <c r="D438" t="str">
        <f>VLOOKUP(H438,Produkt!$A$2:$B$5,2,FALSE)</f>
        <v>D</v>
      </c>
      <c r="H438">
        <v>4</v>
      </c>
      <c r="I438">
        <v>0.6182523148148148</v>
      </c>
      <c r="J438">
        <v>44785</v>
      </c>
    </row>
    <row r="439" spans="1:10" x14ac:dyDescent="0.35">
      <c r="A439" s="2">
        <v>44775</v>
      </c>
      <c r="B439" s="3">
        <v>0.96325231481481488</v>
      </c>
      <c r="C439">
        <v>3674</v>
      </c>
      <c r="D439" t="str">
        <f>VLOOKUP(H439,Produkt!$A$2:$B$5,2,FALSE)</f>
        <v>A</v>
      </c>
      <c r="H439">
        <v>1</v>
      </c>
      <c r="I439">
        <v>0.76563657407407415</v>
      </c>
      <c r="J439">
        <v>44783</v>
      </c>
    </row>
    <row r="440" spans="1:10" x14ac:dyDescent="0.35">
      <c r="A440" s="2">
        <v>44775</v>
      </c>
      <c r="B440" s="3">
        <v>0.17334490740740741</v>
      </c>
      <c r="C440">
        <v>3716</v>
      </c>
      <c r="D440" t="str">
        <f>VLOOKUP(H440,Produkt!$A$2:$B$5,2,FALSE)</f>
        <v>B</v>
      </c>
      <c r="H440">
        <v>2</v>
      </c>
      <c r="I440">
        <v>2.9861111111111113E-2</v>
      </c>
      <c r="J440">
        <v>44784</v>
      </c>
    </row>
    <row r="441" spans="1:10" x14ac:dyDescent="0.35">
      <c r="A441" s="2">
        <v>44775</v>
      </c>
      <c r="B441" s="3">
        <v>0.93646990740740732</v>
      </c>
      <c r="C441">
        <v>3753</v>
      </c>
      <c r="D441" t="str">
        <f>VLOOKUP(H441,Produkt!$A$2:$B$5,2,FALSE)</f>
        <v>D</v>
      </c>
      <c r="H441">
        <v>4</v>
      </c>
      <c r="I441">
        <v>0.4646527777777778</v>
      </c>
      <c r="J441">
        <v>44796</v>
      </c>
    </row>
    <row r="442" spans="1:10" x14ac:dyDescent="0.35">
      <c r="A442" s="2">
        <v>44775</v>
      </c>
      <c r="B442" s="3">
        <v>0.10871527777777779</v>
      </c>
      <c r="C442">
        <v>3779</v>
      </c>
      <c r="D442" t="str">
        <f>VLOOKUP(H442,Produkt!$A$2:$B$5,2,FALSE)</f>
        <v>D</v>
      </c>
      <c r="H442">
        <v>4</v>
      </c>
      <c r="I442">
        <v>0.33049768518518519</v>
      </c>
      <c r="J442">
        <v>44792</v>
      </c>
    </row>
    <row r="443" spans="1:10" x14ac:dyDescent="0.35">
      <c r="A443" s="2">
        <v>44775</v>
      </c>
      <c r="B443" s="3">
        <v>0.29993055555555553</v>
      </c>
      <c r="C443">
        <v>3793</v>
      </c>
      <c r="D443" t="str">
        <f>VLOOKUP(H443,Produkt!$A$2:$B$5,2,FALSE)</f>
        <v>D</v>
      </c>
      <c r="H443">
        <v>4</v>
      </c>
      <c r="I443">
        <v>0.83898148148148144</v>
      </c>
      <c r="J443">
        <v>44780</v>
      </c>
    </row>
    <row r="444" spans="1:10" x14ac:dyDescent="0.35">
      <c r="A444" s="2">
        <v>44775</v>
      </c>
      <c r="B444" s="3">
        <v>0.52195601851851847</v>
      </c>
      <c r="C444">
        <v>3810</v>
      </c>
      <c r="D444" t="str">
        <f>VLOOKUP(H444,Produkt!$A$2:$B$5,2,FALSE)</f>
        <v>B</v>
      </c>
      <c r="H444">
        <v>2</v>
      </c>
      <c r="I444">
        <v>0.77721064814814811</v>
      </c>
      <c r="J444">
        <v>44802</v>
      </c>
    </row>
    <row r="445" spans="1:10" x14ac:dyDescent="0.35">
      <c r="A445" s="2">
        <v>44775</v>
      </c>
      <c r="B445" s="3">
        <v>6.7280092592592586E-2</v>
      </c>
      <c r="C445">
        <v>3819</v>
      </c>
      <c r="D445" t="str">
        <f>VLOOKUP(H445,Produkt!$A$2:$B$5,2,FALSE)</f>
        <v>D</v>
      </c>
      <c r="H445">
        <v>4</v>
      </c>
      <c r="I445">
        <v>0.8040046296296296</v>
      </c>
      <c r="J445">
        <v>44777</v>
      </c>
    </row>
    <row r="446" spans="1:10" x14ac:dyDescent="0.35">
      <c r="A446" s="2">
        <v>44775</v>
      </c>
      <c r="B446" s="3">
        <v>0.92615740740740737</v>
      </c>
      <c r="C446">
        <v>3839</v>
      </c>
      <c r="D446" t="str">
        <f>VLOOKUP(H446,Produkt!$A$2:$B$5,2,FALSE)</f>
        <v>D</v>
      </c>
      <c r="H446">
        <v>4</v>
      </c>
      <c r="I446">
        <v>0.63197916666666665</v>
      </c>
      <c r="J446">
        <v>44793</v>
      </c>
    </row>
    <row r="447" spans="1:10" x14ac:dyDescent="0.35">
      <c r="A447" s="2">
        <v>44775</v>
      </c>
      <c r="B447" s="3">
        <v>0.35572916666666665</v>
      </c>
      <c r="C447">
        <v>3853</v>
      </c>
      <c r="D447" t="str">
        <f>VLOOKUP(H447,Produkt!$A$2:$B$5,2,FALSE)</f>
        <v>B</v>
      </c>
      <c r="H447">
        <v>2</v>
      </c>
      <c r="I447">
        <v>0.34489583333333335</v>
      </c>
      <c r="J447">
        <v>44786</v>
      </c>
    </row>
    <row r="448" spans="1:10" x14ac:dyDescent="0.35">
      <c r="A448" s="2">
        <v>44775</v>
      </c>
      <c r="B448" s="3">
        <v>0.32197916666666665</v>
      </c>
      <c r="C448">
        <v>3875</v>
      </c>
      <c r="D448" t="str">
        <f>VLOOKUP(H448,Produkt!$A$2:$B$5,2,FALSE)</f>
        <v>B</v>
      </c>
      <c r="H448">
        <v>2</v>
      </c>
      <c r="I448">
        <v>0.22755787037037037</v>
      </c>
      <c r="J448">
        <v>44801</v>
      </c>
    </row>
    <row r="449" spans="1:10" x14ac:dyDescent="0.35">
      <c r="A449" s="2">
        <v>44775</v>
      </c>
      <c r="B449" s="3">
        <v>0.41038194444444448</v>
      </c>
      <c r="C449">
        <v>3881</v>
      </c>
      <c r="D449" t="str">
        <f>VLOOKUP(H449,Produkt!$A$2:$B$5,2,FALSE)</f>
        <v>C</v>
      </c>
      <c r="H449">
        <v>3</v>
      </c>
      <c r="I449">
        <v>9.347222222222222E-2</v>
      </c>
      <c r="J449">
        <v>44786</v>
      </c>
    </row>
    <row r="450" spans="1:10" x14ac:dyDescent="0.35">
      <c r="A450" s="2">
        <v>44775</v>
      </c>
      <c r="B450" s="3">
        <v>0.59675925925925932</v>
      </c>
      <c r="C450">
        <v>3902</v>
      </c>
      <c r="D450" t="str">
        <f>VLOOKUP(H450,Produkt!$A$2:$B$5,2,FALSE)</f>
        <v>D</v>
      </c>
      <c r="H450">
        <v>4</v>
      </c>
      <c r="I450">
        <v>0.94777777777777772</v>
      </c>
      <c r="J450">
        <v>44789</v>
      </c>
    </row>
    <row r="451" spans="1:10" x14ac:dyDescent="0.35">
      <c r="A451" s="2">
        <v>44775</v>
      </c>
      <c r="B451" s="3">
        <v>6.8530092592592587E-2</v>
      </c>
      <c r="C451">
        <v>3921</v>
      </c>
      <c r="D451" t="str">
        <f>VLOOKUP(H451,Produkt!$A$2:$B$5,2,FALSE)</f>
        <v>D</v>
      </c>
      <c r="H451">
        <v>4</v>
      </c>
      <c r="I451">
        <v>0.47875000000000001</v>
      </c>
      <c r="J451">
        <v>44796</v>
      </c>
    </row>
    <row r="452" spans="1:10" x14ac:dyDescent="0.35">
      <c r="A452" s="2">
        <v>44775</v>
      </c>
      <c r="B452" s="3">
        <v>0.2651736111111111</v>
      </c>
      <c r="C452">
        <v>3923</v>
      </c>
      <c r="D452" t="str">
        <f>VLOOKUP(H452,Produkt!$A$2:$B$5,2,FALSE)</f>
        <v>D</v>
      </c>
      <c r="H452">
        <v>4</v>
      </c>
      <c r="I452">
        <v>0.5314699074074074</v>
      </c>
      <c r="J452">
        <v>44787</v>
      </c>
    </row>
    <row r="453" spans="1:10" x14ac:dyDescent="0.35">
      <c r="A453" s="2">
        <v>44775</v>
      </c>
      <c r="B453" s="3">
        <v>1.7534722222222188E-2</v>
      </c>
      <c r="C453">
        <v>3926</v>
      </c>
      <c r="D453" t="str">
        <f>VLOOKUP(H453,Produkt!$A$2:$B$5,2,FALSE)</f>
        <v>D</v>
      </c>
      <c r="H453">
        <v>4</v>
      </c>
      <c r="I453">
        <v>1.6018518518518519E-2</v>
      </c>
      <c r="J453">
        <v>44776</v>
      </c>
    </row>
    <row r="454" spans="1:10" x14ac:dyDescent="0.35">
      <c r="A454" s="2">
        <v>44775</v>
      </c>
      <c r="B454" s="3">
        <v>0.18781250000000002</v>
      </c>
      <c r="C454">
        <v>3949</v>
      </c>
      <c r="D454" t="str">
        <f>VLOOKUP(H454,Produkt!$A$2:$B$5,2,FALSE)</f>
        <v>D</v>
      </c>
      <c r="H454">
        <v>4</v>
      </c>
      <c r="I454">
        <v>0.22651620370370371</v>
      </c>
      <c r="J454">
        <v>44774</v>
      </c>
    </row>
    <row r="455" spans="1:10" x14ac:dyDescent="0.35">
      <c r="A455" s="2">
        <v>44775</v>
      </c>
      <c r="B455" s="3">
        <v>5.3125000000000533E-3</v>
      </c>
      <c r="C455">
        <v>3988</v>
      </c>
      <c r="D455" t="str">
        <f>VLOOKUP(H455,Produkt!$A$2:$B$5,2,FALSE)</f>
        <v>D</v>
      </c>
      <c r="H455">
        <v>4</v>
      </c>
      <c r="I455">
        <v>0.9362152777777778</v>
      </c>
      <c r="J455">
        <v>44778</v>
      </c>
    </row>
    <row r="456" spans="1:10" x14ac:dyDescent="0.35">
      <c r="A456" s="2">
        <v>44775</v>
      </c>
      <c r="B456" s="3">
        <v>0.87915509259259261</v>
      </c>
      <c r="C456">
        <v>4011</v>
      </c>
      <c r="D456" t="str">
        <f>VLOOKUP(H456,Produkt!$A$2:$B$5,2,FALSE)</f>
        <v>C</v>
      </c>
      <c r="H456">
        <v>3</v>
      </c>
      <c r="I456">
        <v>0.73583333333333334</v>
      </c>
      <c r="J456">
        <v>44784</v>
      </c>
    </row>
    <row r="457" spans="1:10" x14ac:dyDescent="0.35">
      <c r="A457" s="2">
        <v>44775</v>
      </c>
      <c r="B457" s="3">
        <v>0.34087962962962964</v>
      </c>
      <c r="C457">
        <v>4052</v>
      </c>
      <c r="D457" t="str">
        <f>VLOOKUP(H457,Produkt!$A$2:$B$5,2,FALSE)</f>
        <v>A</v>
      </c>
      <c r="H457">
        <v>1</v>
      </c>
      <c r="I457">
        <v>0.3056712962962963</v>
      </c>
      <c r="J457">
        <v>44801</v>
      </c>
    </row>
    <row r="458" spans="1:10" x14ac:dyDescent="0.35">
      <c r="A458" s="2">
        <v>44775</v>
      </c>
      <c r="B458" s="3">
        <v>0.81744212962962959</v>
      </c>
      <c r="C458">
        <v>4154</v>
      </c>
      <c r="D458" t="str">
        <f>VLOOKUP(H458,Produkt!$A$2:$B$5,2,FALSE)</f>
        <v>D</v>
      </c>
      <c r="H458">
        <v>4</v>
      </c>
      <c r="I458">
        <v>0.93837962962962962</v>
      </c>
      <c r="J458">
        <v>44783</v>
      </c>
    </row>
    <row r="459" spans="1:10" x14ac:dyDescent="0.35">
      <c r="A459" s="2">
        <v>44775</v>
      </c>
      <c r="B459" s="3">
        <v>0.34190972222222221</v>
      </c>
      <c r="C459">
        <v>4155</v>
      </c>
      <c r="D459" t="str">
        <f>VLOOKUP(H459,Produkt!$A$2:$B$5,2,FALSE)</f>
        <v>B</v>
      </c>
      <c r="H459">
        <v>2</v>
      </c>
      <c r="I459">
        <v>0.15203703703703705</v>
      </c>
      <c r="J459">
        <v>44795</v>
      </c>
    </row>
    <row r="460" spans="1:10" x14ac:dyDescent="0.35">
      <c r="A460" s="2">
        <v>44775</v>
      </c>
      <c r="B460" s="3">
        <v>0.7235300925925926</v>
      </c>
      <c r="C460">
        <v>4194</v>
      </c>
      <c r="D460" t="str">
        <f>VLOOKUP(H460,Produkt!$A$2:$B$5,2,FALSE)</f>
        <v>D</v>
      </c>
      <c r="H460">
        <v>4</v>
      </c>
      <c r="I460">
        <v>0.31937500000000002</v>
      </c>
      <c r="J460">
        <v>44783</v>
      </c>
    </row>
    <row r="461" spans="1:10" x14ac:dyDescent="0.35">
      <c r="A461" s="2">
        <v>44775</v>
      </c>
      <c r="B461" s="3">
        <v>6.0752314814814821E-2</v>
      </c>
      <c r="C461">
        <v>4207</v>
      </c>
      <c r="D461" t="str">
        <f>VLOOKUP(H461,Produkt!$A$2:$B$5,2,FALSE)</f>
        <v>A</v>
      </c>
      <c r="H461">
        <v>1</v>
      </c>
      <c r="I461">
        <v>0.75968750000000007</v>
      </c>
      <c r="J461">
        <v>44794</v>
      </c>
    </row>
    <row r="462" spans="1:10" x14ac:dyDescent="0.35">
      <c r="A462" s="2">
        <v>44775</v>
      </c>
      <c r="B462" s="3">
        <v>5.3935185185185475E-3</v>
      </c>
      <c r="C462">
        <v>4224</v>
      </c>
      <c r="D462" t="str">
        <f>VLOOKUP(H462,Produkt!$A$2:$B$5,2,FALSE)</f>
        <v>B</v>
      </c>
      <c r="H462">
        <v>2</v>
      </c>
      <c r="I462">
        <v>0.87164351851851851</v>
      </c>
      <c r="J462">
        <v>44799</v>
      </c>
    </row>
    <row r="463" spans="1:10" x14ac:dyDescent="0.35">
      <c r="A463" s="2">
        <v>44775</v>
      </c>
      <c r="B463" s="3">
        <v>0.82850694444444439</v>
      </c>
      <c r="C463">
        <v>4243</v>
      </c>
      <c r="D463" t="str">
        <f>VLOOKUP(H463,Produkt!$A$2:$B$5,2,FALSE)</f>
        <v>D</v>
      </c>
      <c r="H463">
        <v>4</v>
      </c>
      <c r="I463">
        <v>2.7974537037037006E-2</v>
      </c>
      <c r="J463">
        <v>44782</v>
      </c>
    </row>
    <row r="464" spans="1:10" x14ac:dyDescent="0.35">
      <c r="A464" s="2">
        <v>44775</v>
      </c>
      <c r="B464" s="3">
        <v>0.82097222222222221</v>
      </c>
      <c r="C464">
        <v>4248</v>
      </c>
      <c r="D464" t="str">
        <f>VLOOKUP(H464,Produkt!$A$2:$B$5,2,FALSE)</f>
        <v>B</v>
      </c>
      <c r="H464">
        <v>2</v>
      </c>
      <c r="I464">
        <v>0.21674768518518517</v>
      </c>
      <c r="J464">
        <v>44795</v>
      </c>
    </row>
    <row r="465" spans="1:10" x14ac:dyDescent="0.35">
      <c r="A465" s="2">
        <v>44775</v>
      </c>
      <c r="B465" s="3">
        <v>0.13472222222222222</v>
      </c>
      <c r="C465">
        <v>4317</v>
      </c>
      <c r="D465" t="str">
        <f>VLOOKUP(H465,Produkt!$A$2:$B$5,2,FALSE)</f>
        <v>A</v>
      </c>
      <c r="H465">
        <v>1</v>
      </c>
      <c r="I465">
        <v>0.50387731481481479</v>
      </c>
      <c r="J465">
        <v>44785</v>
      </c>
    </row>
    <row r="466" spans="1:10" x14ac:dyDescent="0.35">
      <c r="A466" s="2">
        <v>44775</v>
      </c>
      <c r="B466" s="3">
        <v>3.5219907407407408E-2</v>
      </c>
      <c r="C466">
        <v>4328</v>
      </c>
      <c r="D466" t="str">
        <f>VLOOKUP(H466,Produkt!$A$2:$B$5,2,FALSE)</f>
        <v>C</v>
      </c>
      <c r="H466">
        <v>3</v>
      </c>
      <c r="I466">
        <v>0.38828703703703704</v>
      </c>
      <c r="J466">
        <v>44783</v>
      </c>
    </row>
    <row r="467" spans="1:10" x14ac:dyDescent="0.35">
      <c r="A467" s="2">
        <v>44775</v>
      </c>
      <c r="B467" s="3">
        <v>0.79386574074074068</v>
      </c>
      <c r="C467">
        <v>4350</v>
      </c>
      <c r="D467" t="str">
        <f>VLOOKUP(H467,Produkt!$A$2:$B$5,2,FALSE)</f>
        <v>B</v>
      </c>
      <c r="H467">
        <v>2</v>
      </c>
      <c r="I467">
        <v>0.29518518518518516</v>
      </c>
      <c r="J467">
        <v>44774</v>
      </c>
    </row>
    <row r="468" spans="1:10" x14ac:dyDescent="0.35">
      <c r="A468" s="2">
        <v>44775</v>
      </c>
      <c r="B468" s="3">
        <v>0.45697916666666666</v>
      </c>
      <c r="C468">
        <v>4375</v>
      </c>
      <c r="D468" t="str">
        <f>VLOOKUP(H468,Produkt!$A$2:$B$5,2,FALSE)</f>
        <v>D</v>
      </c>
      <c r="H468">
        <v>4</v>
      </c>
      <c r="I468">
        <v>0.36731481481481482</v>
      </c>
      <c r="J468">
        <v>44775</v>
      </c>
    </row>
    <row r="469" spans="1:10" x14ac:dyDescent="0.35">
      <c r="A469" s="2">
        <v>44775</v>
      </c>
      <c r="B469" s="3">
        <v>0.54214120370370367</v>
      </c>
      <c r="C469">
        <v>4380</v>
      </c>
      <c r="D469" t="str">
        <f>VLOOKUP(H469,Produkt!$A$2:$B$5,2,FALSE)</f>
        <v>B</v>
      </c>
      <c r="H469">
        <v>2</v>
      </c>
      <c r="I469">
        <v>0.46180555555555558</v>
      </c>
      <c r="J469">
        <v>44784</v>
      </c>
    </row>
    <row r="470" spans="1:10" x14ac:dyDescent="0.35">
      <c r="A470" s="2">
        <v>44775</v>
      </c>
      <c r="B470" s="3">
        <v>1.2893518518518519E-2</v>
      </c>
      <c r="C470">
        <v>4392</v>
      </c>
      <c r="D470" t="str">
        <f>VLOOKUP(H470,Produkt!$A$2:$B$5,2,FALSE)</f>
        <v>D</v>
      </c>
      <c r="H470">
        <v>4</v>
      </c>
      <c r="I470">
        <v>0.3460300925925926</v>
      </c>
      <c r="J470">
        <v>44795</v>
      </c>
    </row>
    <row r="471" spans="1:10" x14ac:dyDescent="0.35">
      <c r="A471" s="2">
        <v>44775</v>
      </c>
      <c r="B471" s="3">
        <v>0.27886574074074072</v>
      </c>
      <c r="C471">
        <v>4459</v>
      </c>
      <c r="D471" t="str">
        <f>VLOOKUP(H471,Produkt!$A$2:$B$5,2,FALSE)</f>
        <v>D</v>
      </c>
      <c r="H471">
        <v>4</v>
      </c>
      <c r="I471">
        <v>0.3064236111111111</v>
      </c>
      <c r="J471">
        <v>44789</v>
      </c>
    </row>
    <row r="472" spans="1:10" x14ac:dyDescent="0.35">
      <c r="A472" s="2">
        <v>44775</v>
      </c>
      <c r="B472" s="3">
        <v>0.55872685185185189</v>
      </c>
      <c r="C472">
        <v>4473</v>
      </c>
      <c r="D472" t="str">
        <f>VLOOKUP(H472,Produkt!$A$2:$B$5,2,FALSE)</f>
        <v>C</v>
      </c>
      <c r="H472">
        <v>3</v>
      </c>
      <c r="I472">
        <v>0.14341435185185183</v>
      </c>
      <c r="J472">
        <v>44798</v>
      </c>
    </row>
    <row r="473" spans="1:10" x14ac:dyDescent="0.35">
      <c r="A473" s="2">
        <v>44775</v>
      </c>
      <c r="B473" s="3">
        <v>0.97721064814814806</v>
      </c>
      <c r="C473">
        <v>4519</v>
      </c>
      <c r="D473" t="str">
        <f>VLOOKUP(H473,Produkt!$A$2:$B$5,2,FALSE)</f>
        <v>A</v>
      </c>
      <c r="H473">
        <v>1</v>
      </c>
      <c r="I473">
        <v>0.28355324074074073</v>
      </c>
      <c r="J473">
        <v>44777</v>
      </c>
    </row>
    <row r="474" spans="1:10" x14ac:dyDescent="0.35">
      <c r="A474" s="2">
        <v>44775</v>
      </c>
      <c r="B474" s="3">
        <v>0.2557638888888889</v>
      </c>
      <c r="C474">
        <v>4549</v>
      </c>
      <c r="D474" t="str">
        <f>VLOOKUP(H474,Produkt!$A$2:$B$5,2,FALSE)</f>
        <v>A</v>
      </c>
      <c r="H474">
        <v>1</v>
      </c>
      <c r="I474">
        <v>0.53864583333333338</v>
      </c>
      <c r="J474">
        <v>44786</v>
      </c>
    </row>
    <row r="475" spans="1:10" x14ac:dyDescent="0.35">
      <c r="A475" s="2">
        <v>44775</v>
      </c>
      <c r="B475" s="3">
        <v>0.90396990740740746</v>
      </c>
      <c r="C475">
        <v>4581</v>
      </c>
      <c r="D475" t="str">
        <f>VLOOKUP(H475,Produkt!$A$2:$B$5,2,FALSE)</f>
        <v>C</v>
      </c>
      <c r="H475">
        <v>3</v>
      </c>
      <c r="I475">
        <v>0.92623842592592587</v>
      </c>
      <c r="J475">
        <v>44790</v>
      </c>
    </row>
    <row r="476" spans="1:10" x14ac:dyDescent="0.35">
      <c r="A476" s="2">
        <v>44775</v>
      </c>
      <c r="B476" s="3">
        <v>0.46429398148148149</v>
      </c>
      <c r="C476">
        <v>4597</v>
      </c>
      <c r="D476" t="str">
        <f>VLOOKUP(H476,Produkt!$A$2:$B$5,2,FALSE)</f>
        <v>C</v>
      </c>
      <c r="H476">
        <v>3</v>
      </c>
      <c r="I476">
        <v>0.29822916666666666</v>
      </c>
      <c r="J476">
        <v>44804</v>
      </c>
    </row>
    <row r="477" spans="1:10" x14ac:dyDescent="0.35">
      <c r="A477" s="2">
        <v>44775</v>
      </c>
      <c r="B477" s="3">
        <v>4.0636574074074075E-2</v>
      </c>
      <c r="C477">
        <v>4602</v>
      </c>
      <c r="D477" t="str">
        <f>VLOOKUP(H477,Produkt!$A$2:$B$5,2,FALSE)</f>
        <v>A</v>
      </c>
      <c r="H477">
        <v>1</v>
      </c>
      <c r="I477">
        <v>0.64935185185185185</v>
      </c>
      <c r="J477">
        <v>44781</v>
      </c>
    </row>
    <row r="478" spans="1:10" x14ac:dyDescent="0.35">
      <c r="A478" s="2">
        <v>44775</v>
      </c>
      <c r="B478" s="3">
        <v>0.93905092592592598</v>
      </c>
      <c r="C478">
        <v>4637</v>
      </c>
      <c r="D478" t="str">
        <f>VLOOKUP(H478,Produkt!$A$2:$B$5,2,FALSE)</f>
        <v>D</v>
      </c>
      <c r="H478">
        <v>4</v>
      </c>
      <c r="I478">
        <v>0.37215277777777778</v>
      </c>
      <c r="J478">
        <v>44776</v>
      </c>
    </row>
    <row r="479" spans="1:10" x14ac:dyDescent="0.35">
      <c r="A479" s="2">
        <v>44775</v>
      </c>
      <c r="B479" s="3">
        <v>0.41082175925925929</v>
      </c>
      <c r="C479">
        <v>4656</v>
      </c>
      <c r="D479" t="str">
        <f>VLOOKUP(H479,Produkt!$A$2:$B$5,2,FALSE)</f>
        <v>A</v>
      </c>
      <c r="H479">
        <v>1</v>
      </c>
      <c r="I479">
        <v>0.75599537037037035</v>
      </c>
      <c r="J479">
        <v>44801</v>
      </c>
    </row>
    <row r="480" spans="1:10" x14ac:dyDescent="0.35">
      <c r="A480" s="2">
        <v>44775</v>
      </c>
      <c r="B480" s="3">
        <v>0.62203703703703705</v>
      </c>
      <c r="C480">
        <v>4720</v>
      </c>
      <c r="D480" t="str">
        <f>VLOOKUP(H480,Produkt!$A$2:$B$5,2,FALSE)</f>
        <v>D</v>
      </c>
      <c r="H480">
        <v>4</v>
      </c>
      <c r="I480">
        <v>3.4849537037037033E-2</v>
      </c>
      <c r="J480">
        <v>44783</v>
      </c>
    </row>
    <row r="481" spans="1:10" x14ac:dyDescent="0.35">
      <c r="A481" s="2">
        <v>44775</v>
      </c>
      <c r="B481" s="3">
        <v>0.32811342592592591</v>
      </c>
      <c r="C481">
        <v>4726</v>
      </c>
      <c r="D481" t="str">
        <f>VLOOKUP(H481,Produkt!$A$2:$B$5,2,FALSE)</f>
        <v>C</v>
      </c>
      <c r="H481">
        <v>3</v>
      </c>
      <c r="I481">
        <v>0.15851851851851853</v>
      </c>
      <c r="J481">
        <v>44778</v>
      </c>
    </row>
    <row r="482" spans="1:10" x14ac:dyDescent="0.35">
      <c r="A482" s="2">
        <v>44775</v>
      </c>
      <c r="B482" s="3">
        <v>0.94534722222222223</v>
      </c>
      <c r="C482">
        <v>4727</v>
      </c>
      <c r="D482" t="str">
        <f>VLOOKUP(H482,Produkt!$A$2:$B$5,2,FALSE)</f>
        <v>C</v>
      </c>
      <c r="H482">
        <v>3</v>
      </c>
      <c r="I482">
        <v>0.14166666666666666</v>
      </c>
      <c r="J482">
        <v>44797</v>
      </c>
    </row>
    <row r="483" spans="1:10" x14ac:dyDescent="0.35">
      <c r="A483" s="2">
        <v>44775</v>
      </c>
      <c r="B483" s="3">
        <v>0.82843750000000005</v>
      </c>
      <c r="C483">
        <v>4744</v>
      </c>
      <c r="D483" t="str">
        <f>VLOOKUP(H483,Produkt!$A$2:$B$5,2,FALSE)</f>
        <v>A</v>
      </c>
      <c r="H483">
        <v>1</v>
      </c>
      <c r="I483">
        <v>3.6574074074074074E-3</v>
      </c>
      <c r="J483">
        <v>44786</v>
      </c>
    </row>
    <row r="484" spans="1:10" x14ac:dyDescent="0.35">
      <c r="A484" s="2">
        <v>44775</v>
      </c>
      <c r="B484" s="3">
        <v>0.71142361111111108</v>
      </c>
      <c r="C484">
        <v>4750</v>
      </c>
      <c r="D484" t="str">
        <f>VLOOKUP(H484,Produkt!$A$2:$B$5,2,FALSE)</f>
        <v>B</v>
      </c>
      <c r="H484">
        <v>2</v>
      </c>
      <c r="I484">
        <v>9.8136574074074071E-2</v>
      </c>
      <c r="J484">
        <v>44780</v>
      </c>
    </row>
    <row r="485" spans="1:10" x14ac:dyDescent="0.35">
      <c r="A485" s="2">
        <v>44775</v>
      </c>
      <c r="B485" s="3">
        <v>0.78123842592592585</v>
      </c>
      <c r="C485">
        <v>4819</v>
      </c>
      <c r="D485" t="str">
        <f>VLOOKUP(H485,Produkt!$A$2:$B$5,2,FALSE)</f>
        <v>B</v>
      </c>
      <c r="H485">
        <v>2</v>
      </c>
      <c r="I485">
        <v>0.32354166666666667</v>
      </c>
      <c r="J485">
        <v>44775</v>
      </c>
    </row>
    <row r="486" spans="1:10" x14ac:dyDescent="0.35">
      <c r="A486" s="2">
        <v>44775</v>
      </c>
      <c r="B486" s="3">
        <v>8.1979166666666659E-2</v>
      </c>
      <c r="C486">
        <v>4844</v>
      </c>
      <c r="D486" t="str">
        <f>VLOOKUP(H486,Produkt!$A$2:$B$5,2,FALSE)</f>
        <v>D</v>
      </c>
      <c r="H486">
        <v>4</v>
      </c>
      <c r="I486">
        <v>7.8240740740740736E-2</v>
      </c>
      <c r="J486">
        <v>44779</v>
      </c>
    </row>
    <row r="487" spans="1:10" x14ac:dyDescent="0.35">
      <c r="A487" s="2">
        <v>44775</v>
      </c>
      <c r="B487" s="3">
        <v>0.93511574074074078</v>
      </c>
      <c r="C487">
        <v>4851</v>
      </c>
      <c r="D487" t="str">
        <f>VLOOKUP(H487,Produkt!$A$2:$B$5,2,FALSE)</f>
        <v>D</v>
      </c>
      <c r="H487">
        <v>4</v>
      </c>
      <c r="I487">
        <v>6.4942129629629627E-2</v>
      </c>
      <c r="J487">
        <v>44776</v>
      </c>
    </row>
    <row r="488" spans="1:10" x14ac:dyDescent="0.35">
      <c r="A488" s="2">
        <v>44775</v>
      </c>
      <c r="B488" s="3">
        <v>0.29099537037037038</v>
      </c>
      <c r="C488">
        <v>4874</v>
      </c>
      <c r="D488" t="str">
        <f>VLOOKUP(H488,Produkt!$A$2:$B$5,2,FALSE)</f>
        <v>B</v>
      </c>
      <c r="H488">
        <v>2</v>
      </c>
      <c r="I488">
        <v>0.99096064814814822</v>
      </c>
      <c r="J488">
        <v>44777</v>
      </c>
    </row>
    <row r="489" spans="1:10" x14ac:dyDescent="0.35">
      <c r="A489" s="2">
        <v>44775</v>
      </c>
      <c r="B489" s="3">
        <v>0.38921296296296298</v>
      </c>
      <c r="C489">
        <v>4880</v>
      </c>
      <c r="D489" t="str">
        <f>VLOOKUP(H489,Produkt!$A$2:$B$5,2,FALSE)</f>
        <v>B</v>
      </c>
      <c r="H489">
        <v>2</v>
      </c>
      <c r="I489">
        <v>8.8900462962962959E-2</v>
      </c>
      <c r="J489">
        <v>44798</v>
      </c>
    </row>
    <row r="490" spans="1:10" x14ac:dyDescent="0.35">
      <c r="A490" s="2">
        <v>44775</v>
      </c>
      <c r="B490" s="3">
        <v>0.50320601851851854</v>
      </c>
      <c r="C490">
        <v>4911</v>
      </c>
      <c r="D490" t="str">
        <f>VLOOKUP(H490,Produkt!$A$2:$B$5,2,FALSE)</f>
        <v>A</v>
      </c>
      <c r="H490">
        <v>1</v>
      </c>
      <c r="I490">
        <v>0.69697916666666659</v>
      </c>
      <c r="J490">
        <v>44800</v>
      </c>
    </row>
    <row r="491" spans="1:10" x14ac:dyDescent="0.35">
      <c r="A491" s="2">
        <v>44775</v>
      </c>
      <c r="B491" s="3">
        <v>0.33648148148148144</v>
      </c>
      <c r="C491">
        <v>4951</v>
      </c>
      <c r="D491" t="str">
        <f>VLOOKUP(H491,Produkt!$A$2:$B$5,2,FALSE)</f>
        <v>B</v>
      </c>
      <c r="H491">
        <v>2</v>
      </c>
      <c r="I491">
        <v>0.45465277777777779</v>
      </c>
      <c r="J491">
        <v>44776</v>
      </c>
    </row>
    <row r="492" spans="1:10" x14ac:dyDescent="0.35">
      <c r="A492" s="2">
        <v>44775</v>
      </c>
      <c r="B492" s="3">
        <v>0.26111111111111113</v>
      </c>
      <c r="C492">
        <v>4994</v>
      </c>
      <c r="D492" t="str">
        <f>VLOOKUP(H492,Produkt!$A$2:$B$5,2,FALSE)</f>
        <v>A</v>
      </c>
      <c r="H492">
        <v>1</v>
      </c>
      <c r="I492">
        <v>0.80912037037037043</v>
      </c>
      <c r="J492">
        <v>44802</v>
      </c>
    </row>
    <row r="493" spans="1:10" x14ac:dyDescent="0.35">
      <c r="A493" s="2">
        <v>44775</v>
      </c>
      <c r="B493" s="3">
        <v>0.89289351851851861</v>
      </c>
      <c r="C493">
        <v>5048</v>
      </c>
      <c r="D493" t="str">
        <f>VLOOKUP(H493,Produkt!$A$2:$B$5,2,FALSE)</f>
        <v>D</v>
      </c>
      <c r="H493">
        <v>4</v>
      </c>
      <c r="I493">
        <v>0.99468749999999995</v>
      </c>
      <c r="J493">
        <v>44798</v>
      </c>
    </row>
    <row r="494" spans="1:10" x14ac:dyDescent="0.35">
      <c r="A494" s="2">
        <v>44775</v>
      </c>
      <c r="B494" s="3">
        <v>0.96748842592592599</v>
      </c>
      <c r="C494">
        <v>5050</v>
      </c>
      <c r="D494" t="str">
        <f>VLOOKUP(H494,Produkt!$A$2:$B$5,2,FALSE)</f>
        <v>C</v>
      </c>
      <c r="H494">
        <v>3</v>
      </c>
      <c r="I494">
        <v>3.9699074074074074E-2</v>
      </c>
      <c r="J494">
        <v>44779</v>
      </c>
    </row>
    <row r="495" spans="1:10" x14ac:dyDescent="0.35">
      <c r="A495" s="2">
        <v>44775</v>
      </c>
      <c r="B495" s="3">
        <v>0.18280092592592592</v>
      </c>
      <c r="C495">
        <v>5066</v>
      </c>
      <c r="D495" t="str">
        <f>VLOOKUP(H495,Produkt!$A$2:$B$5,2,FALSE)</f>
        <v>C</v>
      </c>
      <c r="H495">
        <v>3</v>
      </c>
      <c r="I495">
        <v>0.35833333333333334</v>
      </c>
      <c r="J495">
        <v>44791</v>
      </c>
    </row>
    <row r="496" spans="1:10" x14ac:dyDescent="0.35">
      <c r="A496" s="2">
        <v>44775</v>
      </c>
      <c r="B496" s="3">
        <v>0.65942129629629631</v>
      </c>
      <c r="C496">
        <v>5085</v>
      </c>
      <c r="D496" t="str">
        <f>VLOOKUP(H496,Produkt!$A$2:$B$5,2,FALSE)</f>
        <v>D</v>
      </c>
      <c r="H496">
        <v>4</v>
      </c>
      <c r="I496">
        <v>0.47466435185185185</v>
      </c>
      <c r="J496">
        <v>44797</v>
      </c>
    </row>
    <row r="497" spans="1:10" x14ac:dyDescent="0.35">
      <c r="A497" s="2">
        <v>44775</v>
      </c>
      <c r="B497" s="3">
        <v>0.67402777777777778</v>
      </c>
      <c r="C497">
        <v>5100</v>
      </c>
      <c r="D497" t="str">
        <f>VLOOKUP(H497,Produkt!$A$2:$B$5,2,FALSE)</f>
        <v>C</v>
      </c>
      <c r="H497">
        <v>3</v>
      </c>
      <c r="I497">
        <v>0.74318287037037034</v>
      </c>
      <c r="J497">
        <v>44798</v>
      </c>
    </row>
    <row r="498" spans="1:10" x14ac:dyDescent="0.35">
      <c r="A498" s="2">
        <v>44775</v>
      </c>
      <c r="B498" s="3">
        <v>0.73380787037037043</v>
      </c>
      <c r="C498">
        <v>5123</v>
      </c>
      <c r="D498" t="str">
        <f>VLOOKUP(H498,Produkt!$A$2:$B$5,2,FALSE)</f>
        <v>C</v>
      </c>
      <c r="H498">
        <v>3</v>
      </c>
      <c r="I498">
        <v>0.12534722222222222</v>
      </c>
      <c r="J498">
        <v>44797</v>
      </c>
    </row>
    <row r="499" spans="1:10" x14ac:dyDescent="0.35">
      <c r="A499" s="2">
        <v>44775</v>
      </c>
      <c r="B499" s="3">
        <v>0.4060185185185185</v>
      </c>
      <c r="C499">
        <v>5174</v>
      </c>
      <c r="D499" t="str">
        <f>VLOOKUP(H499,Produkt!$A$2:$B$5,2,FALSE)</f>
        <v>B</v>
      </c>
      <c r="H499">
        <v>2</v>
      </c>
      <c r="I499">
        <v>0.22035879629629629</v>
      </c>
      <c r="J499">
        <v>44789</v>
      </c>
    </row>
    <row r="500" spans="1:10" x14ac:dyDescent="0.35">
      <c r="A500" s="2">
        <v>44775</v>
      </c>
      <c r="B500" s="3">
        <v>0.41493055555555558</v>
      </c>
      <c r="C500">
        <v>5242</v>
      </c>
      <c r="D500" t="str">
        <f>VLOOKUP(H500,Produkt!$A$2:$B$5,2,FALSE)</f>
        <v>B</v>
      </c>
      <c r="H500">
        <v>2</v>
      </c>
      <c r="I500">
        <v>0.81199074074074085</v>
      </c>
      <c r="J500">
        <v>44799</v>
      </c>
    </row>
    <row r="501" spans="1:10" x14ac:dyDescent="0.35">
      <c r="A501" s="2">
        <v>44775</v>
      </c>
      <c r="B501" s="3">
        <v>0.4879398148148148</v>
      </c>
      <c r="C501">
        <v>5330</v>
      </c>
      <c r="D501" t="str">
        <f>VLOOKUP(H501,Produkt!$A$2:$B$5,2,FALSE)</f>
        <v>B</v>
      </c>
      <c r="H501">
        <v>2</v>
      </c>
      <c r="I501">
        <v>0.71026620370370364</v>
      </c>
      <c r="J501">
        <v>44787</v>
      </c>
    </row>
    <row r="502" spans="1:10" x14ac:dyDescent="0.35">
      <c r="A502" s="2">
        <v>44775</v>
      </c>
      <c r="B502" s="3">
        <v>0.73274305555555552</v>
      </c>
      <c r="C502">
        <v>5354</v>
      </c>
      <c r="D502" t="str">
        <f>VLOOKUP(H502,Produkt!$A$2:$B$5,2,FALSE)</f>
        <v>D</v>
      </c>
      <c r="H502">
        <v>4</v>
      </c>
      <c r="I502">
        <v>0.39696759259259262</v>
      </c>
      <c r="J502">
        <v>44776</v>
      </c>
    </row>
    <row r="503" spans="1:10" x14ac:dyDescent="0.35">
      <c r="A503" s="2">
        <v>44775</v>
      </c>
      <c r="B503" s="3">
        <v>0.94784722222222229</v>
      </c>
      <c r="C503">
        <v>5368</v>
      </c>
      <c r="D503" t="str">
        <f>VLOOKUP(H503,Produkt!$A$2:$B$5,2,FALSE)</f>
        <v>C</v>
      </c>
      <c r="H503">
        <v>3</v>
      </c>
      <c r="I503">
        <v>0.22295138888888888</v>
      </c>
      <c r="J503">
        <v>44800</v>
      </c>
    </row>
    <row r="504" spans="1:10" x14ac:dyDescent="0.35">
      <c r="A504" s="2">
        <v>44775</v>
      </c>
      <c r="B504" s="3">
        <v>0.3868287037037037</v>
      </c>
      <c r="C504">
        <v>5375</v>
      </c>
      <c r="D504" t="str">
        <f>VLOOKUP(H504,Produkt!$A$2:$B$5,2,FALSE)</f>
        <v>C</v>
      </c>
      <c r="H504">
        <v>3</v>
      </c>
      <c r="I504">
        <v>0.56805555555555554</v>
      </c>
      <c r="J504">
        <v>44802</v>
      </c>
    </row>
    <row r="505" spans="1:10" x14ac:dyDescent="0.35">
      <c r="A505" s="2">
        <v>44775</v>
      </c>
      <c r="B505" s="3">
        <v>4.9317129629629634E-2</v>
      </c>
      <c r="C505">
        <v>5423</v>
      </c>
      <c r="D505" t="str">
        <f>VLOOKUP(H505,Produkt!$A$2:$B$5,2,FALSE)</f>
        <v>B</v>
      </c>
      <c r="H505">
        <v>2</v>
      </c>
      <c r="I505">
        <v>0.62361111111111112</v>
      </c>
      <c r="J505">
        <v>44774</v>
      </c>
    </row>
    <row r="506" spans="1:10" x14ac:dyDescent="0.35">
      <c r="A506" s="2">
        <v>44775</v>
      </c>
      <c r="B506" s="3">
        <v>5.347222222222222E-2</v>
      </c>
      <c r="C506">
        <v>5428</v>
      </c>
      <c r="D506" t="str">
        <f>VLOOKUP(H506,Produkt!$A$2:$B$5,2,FALSE)</f>
        <v>D</v>
      </c>
      <c r="H506">
        <v>4</v>
      </c>
      <c r="I506">
        <v>0.40457175925925926</v>
      </c>
      <c r="J506">
        <v>44774</v>
      </c>
    </row>
    <row r="507" spans="1:10" x14ac:dyDescent="0.35">
      <c r="A507" s="2">
        <v>44775</v>
      </c>
      <c r="B507" s="3">
        <v>0.98184027777777771</v>
      </c>
      <c r="C507">
        <v>5447</v>
      </c>
      <c r="D507" t="str">
        <f>VLOOKUP(H507,Produkt!$A$2:$B$5,2,FALSE)</f>
        <v>C</v>
      </c>
      <c r="H507">
        <v>3</v>
      </c>
      <c r="I507">
        <v>0.73509259259259263</v>
      </c>
      <c r="J507">
        <v>44804</v>
      </c>
    </row>
    <row r="508" spans="1:10" x14ac:dyDescent="0.35">
      <c r="A508" s="2">
        <v>44775</v>
      </c>
      <c r="B508" s="3">
        <v>0.15327546296296296</v>
      </c>
      <c r="C508">
        <v>5494</v>
      </c>
      <c r="D508" t="str">
        <f>VLOOKUP(H508,Produkt!$A$2:$B$5,2,FALSE)</f>
        <v>D</v>
      </c>
      <c r="H508">
        <v>4</v>
      </c>
      <c r="I508">
        <v>7.4537037037036846E-3</v>
      </c>
      <c r="J508">
        <v>44799</v>
      </c>
    </row>
    <row r="509" spans="1:10" x14ac:dyDescent="0.35">
      <c r="A509" s="2">
        <v>44775</v>
      </c>
      <c r="B509" s="3">
        <v>0.10090277777777779</v>
      </c>
      <c r="C509">
        <v>5512</v>
      </c>
      <c r="D509" t="str">
        <f>VLOOKUP(H509,Produkt!$A$2:$B$5,2,FALSE)</f>
        <v>B</v>
      </c>
      <c r="H509">
        <v>2</v>
      </c>
      <c r="I509">
        <v>0.40687500000000004</v>
      </c>
      <c r="J509">
        <v>44793</v>
      </c>
    </row>
    <row r="510" spans="1:10" x14ac:dyDescent="0.35">
      <c r="A510" s="2">
        <v>44775</v>
      </c>
      <c r="B510" s="3">
        <v>0.67947916666666675</v>
      </c>
      <c r="C510">
        <v>5520</v>
      </c>
      <c r="D510" t="str">
        <f>VLOOKUP(H510,Produkt!$A$2:$B$5,2,FALSE)</f>
        <v>A</v>
      </c>
      <c r="H510">
        <v>1</v>
      </c>
      <c r="I510">
        <v>0.32728009259259255</v>
      </c>
      <c r="J510">
        <v>44780</v>
      </c>
    </row>
    <row r="511" spans="1:10" x14ac:dyDescent="0.35">
      <c r="A511" s="2">
        <v>44775</v>
      </c>
      <c r="B511" s="3">
        <v>0.4576157407407408</v>
      </c>
      <c r="C511">
        <v>5540</v>
      </c>
      <c r="D511" t="str">
        <f>VLOOKUP(H511,Produkt!$A$2:$B$5,2,FALSE)</f>
        <v>B</v>
      </c>
      <c r="H511">
        <v>2</v>
      </c>
      <c r="I511">
        <v>0.50443287037037032</v>
      </c>
      <c r="J511">
        <v>44776</v>
      </c>
    </row>
    <row r="512" spans="1:10" x14ac:dyDescent="0.35">
      <c r="A512" s="2">
        <v>44775</v>
      </c>
      <c r="B512" s="3">
        <v>0.96042824074074085</v>
      </c>
      <c r="C512">
        <v>5545</v>
      </c>
      <c r="D512" t="str">
        <f>VLOOKUP(H512,Produkt!$A$2:$B$5,2,FALSE)</f>
        <v>A</v>
      </c>
      <c r="H512">
        <v>1</v>
      </c>
      <c r="I512">
        <v>0.78809027777777774</v>
      </c>
      <c r="J512">
        <v>44787</v>
      </c>
    </row>
    <row r="513" spans="1:10" x14ac:dyDescent="0.35">
      <c r="A513" s="2">
        <v>44775</v>
      </c>
      <c r="B513" s="3">
        <v>0.30782407407407408</v>
      </c>
      <c r="C513">
        <v>5611</v>
      </c>
      <c r="D513" t="str">
        <f>VLOOKUP(H513,Produkt!$A$2:$B$5,2,FALSE)</f>
        <v>D</v>
      </c>
      <c r="H513">
        <v>4</v>
      </c>
      <c r="I513">
        <v>0.16163194444444443</v>
      </c>
      <c r="J513">
        <v>44788</v>
      </c>
    </row>
    <row r="514" spans="1:10" x14ac:dyDescent="0.35">
      <c r="A514" s="2">
        <v>44775</v>
      </c>
      <c r="B514" s="3">
        <v>0.12083333333333333</v>
      </c>
      <c r="C514">
        <v>5654</v>
      </c>
      <c r="D514" t="str">
        <f>VLOOKUP(H514,Produkt!$A$2:$B$5,2,FALSE)</f>
        <v>C</v>
      </c>
      <c r="H514">
        <v>3</v>
      </c>
      <c r="I514">
        <v>0.81266203703703699</v>
      </c>
      <c r="J514">
        <v>44799</v>
      </c>
    </row>
    <row r="515" spans="1:10" x14ac:dyDescent="0.35">
      <c r="A515" s="2">
        <v>44775</v>
      </c>
      <c r="B515" s="3">
        <v>0.2124884259259259</v>
      </c>
      <c r="C515">
        <v>5656</v>
      </c>
      <c r="D515" t="str">
        <f>VLOOKUP(H515,Produkt!$A$2:$B$5,2,FALSE)</f>
        <v>C</v>
      </c>
      <c r="H515">
        <v>3</v>
      </c>
      <c r="I515">
        <v>0.54186342592592596</v>
      </c>
      <c r="J515">
        <v>44782</v>
      </c>
    </row>
    <row r="516" spans="1:10" x14ac:dyDescent="0.35">
      <c r="A516" s="2">
        <v>44775</v>
      </c>
      <c r="B516" s="3">
        <v>0.54721064814814813</v>
      </c>
      <c r="C516">
        <v>5675</v>
      </c>
      <c r="D516" t="str">
        <f>VLOOKUP(H516,Produkt!$A$2:$B$5,2,FALSE)</f>
        <v>A</v>
      </c>
      <c r="H516">
        <v>1</v>
      </c>
      <c r="I516">
        <v>0.1458912037037037</v>
      </c>
      <c r="J516">
        <v>44798</v>
      </c>
    </row>
    <row r="517" spans="1:10" x14ac:dyDescent="0.35">
      <c r="A517" s="2">
        <v>44775</v>
      </c>
      <c r="B517" s="3">
        <v>0.15299768518518519</v>
      </c>
      <c r="C517">
        <v>5751</v>
      </c>
      <c r="D517" t="str">
        <f>VLOOKUP(H517,Produkt!$A$2:$B$5,2,FALSE)</f>
        <v>D</v>
      </c>
      <c r="H517">
        <v>4</v>
      </c>
      <c r="I517">
        <v>0.97496527777777775</v>
      </c>
      <c r="J517">
        <v>44794</v>
      </c>
    </row>
    <row r="518" spans="1:10" x14ac:dyDescent="0.35">
      <c r="A518" s="2">
        <v>44775</v>
      </c>
      <c r="B518" s="3">
        <v>0.5257060185185185</v>
      </c>
      <c r="C518">
        <v>5752</v>
      </c>
      <c r="D518" t="str">
        <f>VLOOKUP(H518,Produkt!$A$2:$B$5,2,FALSE)</f>
        <v>D</v>
      </c>
      <c r="H518">
        <v>4</v>
      </c>
      <c r="I518">
        <v>1.3194444444444444E-2</v>
      </c>
      <c r="J518">
        <v>44787</v>
      </c>
    </row>
    <row r="519" spans="1:10" x14ac:dyDescent="0.35">
      <c r="A519" s="2">
        <v>44775</v>
      </c>
      <c r="B519" s="3">
        <v>0.92834490740740738</v>
      </c>
      <c r="C519">
        <v>5789</v>
      </c>
      <c r="D519" t="str">
        <f>VLOOKUP(H519,Produkt!$A$2:$B$5,2,FALSE)</f>
        <v>B</v>
      </c>
      <c r="H519">
        <v>2</v>
      </c>
      <c r="I519">
        <v>0.94884259259259263</v>
      </c>
      <c r="J519">
        <v>44785</v>
      </c>
    </row>
    <row r="520" spans="1:10" x14ac:dyDescent="0.35">
      <c r="A520" s="2">
        <v>44775</v>
      </c>
      <c r="B520" s="3">
        <v>0.52379629629629632</v>
      </c>
      <c r="C520">
        <v>5805</v>
      </c>
      <c r="D520" t="str">
        <f>VLOOKUP(H520,Produkt!$A$2:$B$5,2,FALSE)</f>
        <v>B</v>
      </c>
      <c r="H520">
        <v>2</v>
      </c>
      <c r="I520">
        <v>0.11277777777777777</v>
      </c>
      <c r="J520">
        <v>44802</v>
      </c>
    </row>
    <row r="521" spans="1:10" x14ac:dyDescent="0.35">
      <c r="A521" s="2">
        <v>44775</v>
      </c>
      <c r="B521" s="3">
        <v>0.10230324074074075</v>
      </c>
      <c r="C521">
        <v>5838</v>
      </c>
      <c r="D521" t="str">
        <f>VLOOKUP(H521,Produkt!$A$2:$B$5,2,FALSE)</f>
        <v>A</v>
      </c>
      <c r="H521">
        <v>1</v>
      </c>
      <c r="I521">
        <v>0.15042824074074074</v>
      </c>
      <c r="J521">
        <v>44780</v>
      </c>
    </row>
    <row r="522" spans="1:10" x14ac:dyDescent="0.35">
      <c r="A522" s="2">
        <v>44775</v>
      </c>
      <c r="B522" s="3">
        <v>0.33302083333333332</v>
      </c>
      <c r="C522">
        <v>5901</v>
      </c>
      <c r="D522" t="str">
        <f>VLOOKUP(H522,Produkt!$A$2:$B$5,2,FALSE)</f>
        <v>A</v>
      </c>
      <c r="H522">
        <v>1</v>
      </c>
      <c r="I522">
        <v>0.17052083333333334</v>
      </c>
      <c r="J522">
        <v>44794</v>
      </c>
    </row>
    <row r="523" spans="1:10" x14ac:dyDescent="0.35">
      <c r="A523" s="2">
        <v>44775</v>
      </c>
      <c r="B523" s="3">
        <v>0.79336805555555545</v>
      </c>
      <c r="C523">
        <v>5916</v>
      </c>
      <c r="D523" t="str">
        <f>VLOOKUP(H523,Produkt!$A$2:$B$5,2,FALSE)</f>
        <v>C</v>
      </c>
      <c r="H523">
        <v>3</v>
      </c>
      <c r="I523">
        <v>0.18427083333333336</v>
      </c>
      <c r="J523">
        <v>44786</v>
      </c>
    </row>
    <row r="524" spans="1:10" x14ac:dyDescent="0.35">
      <c r="A524" s="2">
        <v>44775</v>
      </c>
      <c r="B524" s="3">
        <v>0.54230324074074077</v>
      </c>
      <c r="C524">
        <v>5920</v>
      </c>
      <c r="D524" t="str">
        <f>VLOOKUP(H524,Produkt!$A$2:$B$5,2,FALSE)</f>
        <v>B</v>
      </c>
      <c r="H524">
        <v>2</v>
      </c>
      <c r="I524">
        <v>0.38900462962962962</v>
      </c>
      <c r="J524">
        <v>44778</v>
      </c>
    </row>
    <row r="525" spans="1:10" x14ac:dyDescent="0.35">
      <c r="A525" s="2">
        <v>44775</v>
      </c>
      <c r="B525" s="3">
        <v>0.94795138888888886</v>
      </c>
      <c r="C525">
        <v>5952</v>
      </c>
      <c r="D525" t="str">
        <f>VLOOKUP(H525,Produkt!$A$2:$B$5,2,FALSE)</f>
        <v>C</v>
      </c>
      <c r="H525">
        <v>3</v>
      </c>
      <c r="I525">
        <v>0.81636574074074064</v>
      </c>
      <c r="J525">
        <v>44776</v>
      </c>
    </row>
    <row r="526" spans="1:10" x14ac:dyDescent="0.35">
      <c r="A526" s="2">
        <v>44775</v>
      </c>
      <c r="B526" s="3">
        <v>0.30582175925925925</v>
      </c>
      <c r="C526">
        <v>5963</v>
      </c>
      <c r="D526" t="str">
        <f>VLOOKUP(H526,Produkt!$A$2:$B$5,2,FALSE)</f>
        <v>B</v>
      </c>
      <c r="H526">
        <v>2</v>
      </c>
      <c r="I526">
        <v>5.0069444444444444E-2</v>
      </c>
      <c r="J526">
        <v>44775</v>
      </c>
    </row>
    <row r="527" spans="1:10" x14ac:dyDescent="0.35">
      <c r="A527" s="2">
        <v>44775</v>
      </c>
      <c r="B527" s="3">
        <v>0.27935185185185185</v>
      </c>
      <c r="C527">
        <v>5966</v>
      </c>
      <c r="D527" t="str">
        <f>VLOOKUP(H527,Produkt!$A$2:$B$5,2,FALSE)</f>
        <v>B</v>
      </c>
      <c r="H527">
        <v>2</v>
      </c>
      <c r="I527">
        <v>0.20854166666666665</v>
      </c>
      <c r="J527">
        <v>44782</v>
      </c>
    </row>
    <row r="528" spans="1:10" x14ac:dyDescent="0.35">
      <c r="A528" s="2">
        <v>44775</v>
      </c>
      <c r="B528" s="3">
        <v>0.16748842592592594</v>
      </c>
      <c r="C528">
        <v>6007</v>
      </c>
      <c r="D528" t="str">
        <f>VLOOKUP(H528,Produkt!$A$2:$B$5,2,FALSE)</f>
        <v>D</v>
      </c>
      <c r="H528">
        <v>4</v>
      </c>
      <c r="I528">
        <v>0.29603009259259261</v>
      </c>
      <c r="J528">
        <v>44789</v>
      </c>
    </row>
    <row r="529" spans="1:10" x14ac:dyDescent="0.35">
      <c r="A529" s="2">
        <v>44775</v>
      </c>
      <c r="B529" s="3">
        <v>0.62792824074074072</v>
      </c>
      <c r="C529">
        <v>6011</v>
      </c>
      <c r="D529" t="str">
        <f>VLOOKUP(H529,Produkt!$A$2:$B$5,2,FALSE)</f>
        <v>C</v>
      </c>
      <c r="H529">
        <v>3</v>
      </c>
      <c r="I529">
        <v>0.34386574074074078</v>
      </c>
      <c r="J529">
        <v>44778</v>
      </c>
    </row>
    <row r="530" spans="1:10" x14ac:dyDescent="0.35">
      <c r="A530" s="2">
        <v>44775</v>
      </c>
      <c r="B530" s="3">
        <v>0.9775462962962963</v>
      </c>
      <c r="C530">
        <v>6117</v>
      </c>
      <c r="D530" t="str">
        <f>VLOOKUP(H530,Produkt!$A$2:$B$5,2,FALSE)</f>
        <v>C</v>
      </c>
      <c r="H530">
        <v>3</v>
      </c>
      <c r="I530">
        <v>0.76959490740740744</v>
      </c>
      <c r="J530">
        <v>44798</v>
      </c>
    </row>
    <row r="531" spans="1:10" x14ac:dyDescent="0.35">
      <c r="A531" s="2">
        <v>44775</v>
      </c>
      <c r="B531" s="3">
        <v>0.2197337962962963</v>
      </c>
      <c r="C531">
        <v>6118</v>
      </c>
      <c r="D531" t="str">
        <f>VLOOKUP(H531,Produkt!$A$2:$B$5,2,FALSE)</f>
        <v>D</v>
      </c>
      <c r="H531">
        <v>4</v>
      </c>
      <c r="I531">
        <v>8.2916666666666666E-2</v>
      </c>
      <c r="J531">
        <v>44803</v>
      </c>
    </row>
    <row r="532" spans="1:10" x14ac:dyDescent="0.35">
      <c r="A532" s="2">
        <v>44775</v>
      </c>
      <c r="B532" s="3">
        <v>0.47356481481481483</v>
      </c>
      <c r="C532">
        <v>6182</v>
      </c>
      <c r="D532" t="str">
        <f>VLOOKUP(H532,Produkt!$A$2:$B$5,2,FALSE)</f>
        <v>A</v>
      </c>
      <c r="H532">
        <v>1</v>
      </c>
      <c r="I532">
        <v>0.1877199074074074</v>
      </c>
      <c r="J532">
        <v>44786</v>
      </c>
    </row>
    <row r="533" spans="1:10" x14ac:dyDescent="0.35">
      <c r="A533" s="2">
        <v>44775</v>
      </c>
      <c r="B533" s="3">
        <v>0.82806712962962958</v>
      </c>
      <c r="C533">
        <v>6189</v>
      </c>
      <c r="D533" t="str">
        <f>VLOOKUP(H533,Produkt!$A$2:$B$5,2,FALSE)</f>
        <v>B</v>
      </c>
      <c r="H533">
        <v>2</v>
      </c>
      <c r="I533">
        <v>0.64408564814814817</v>
      </c>
      <c r="J533">
        <v>44800</v>
      </c>
    </row>
    <row r="534" spans="1:10" x14ac:dyDescent="0.35">
      <c r="A534" s="2">
        <v>44775</v>
      </c>
      <c r="B534" s="3">
        <v>0.87565972222222221</v>
      </c>
      <c r="C534">
        <v>6268</v>
      </c>
      <c r="D534" t="str">
        <f>VLOOKUP(H534,Produkt!$A$2:$B$5,2,FALSE)</f>
        <v>C</v>
      </c>
      <c r="H534">
        <v>3</v>
      </c>
      <c r="I534">
        <v>0.95885416666666667</v>
      </c>
      <c r="J534">
        <v>44796</v>
      </c>
    </row>
    <row r="535" spans="1:10" x14ac:dyDescent="0.35">
      <c r="A535" s="2">
        <v>44775</v>
      </c>
      <c r="B535" s="3">
        <v>0.33087962962962963</v>
      </c>
      <c r="C535">
        <v>6319</v>
      </c>
      <c r="D535" t="str">
        <f>VLOOKUP(H535,Produkt!$A$2:$B$5,2,FALSE)</f>
        <v>D</v>
      </c>
      <c r="H535">
        <v>4</v>
      </c>
      <c r="I535">
        <v>0.41623842592592591</v>
      </c>
      <c r="J535">
        <v>44778</v>
      </c>
    </row>
    <row r="536" spans="1:10" x14ac:dyDescent="0.35">
      <c r="A536" s="2">
        <v>44775</v>
      </c>
      <c r="B536" s="3">
        <v>0.67509259259259258</v>
      </c>
      <c r="C536">
        <v>6335</v>
      </c>
      <c r="D536" t="str">
        <f>VLOOKUP(H536,Produkt!$A$2:$B$5,2,FALSE)</f>
        <v>D</v>
      </c>
      <c r="H536">
        <v>4</v>
      </c>
      <c r="I536">
        <v>7.5787037037037042E-2</v>
      </c>
      <c r="J536">
        <v>44794</v>
      </c>
    </row>
    <row r="537" spans="1:10" x14ac:dyDescent="0.35">
      <c r="A537" s="2">
        <v>44775</v>
      </c>
      <c r="B537" s="3">
        <v>0.2802662037037037</v>
      </c>
      <c r="C537">
        <v>6337</v>
      </c>
      <c r="D537" t="str">
        <f>VLOOKUP(H537,Produkt!$A$2:$B$5,2,FALSE)</f>
        <v>B</v>
      </c>
      <c r="H537">
        <v>2</v>
      </c>
      <c r="I537">
        <v>0.71032407407407405</v>
      </c>
      <c r="J537">
        <v>44795</v>
      </c>
    </row>
    <row r="538" spans="1:10" x14ac:dyDescent="0.35">
      <c r="A538" s="2">
        <v>44775</v>
      </c>
      <c r="B538" s="3">
        <v>0.12612268518518518</v>
      </c>
      <c r="C538">
        <v>6368</v>
      </c>
      <c r="D538" t="str">
        <f>VLOOKUP(H538,Produkt!$A$2:$B$5,2,FALSE)</f>
        <v>C</v>
      </c>
      <c r="H538">
        <v>3</v>
      </c>
      <c r="I538">
        <v>0.54475694444444445</v>
      </c>
      <c r="J538">
        <v>44781</v>
      </c>
    </row>
    <row r="539" spans="1:10" x14ac:dyDescent="0.35">
      <c r="A539" s="2">
        <v>44775</v>
      </c>
      <c r="B539" s="3">
        <v>0.3425347222222222</v>
      </c>
      <c r="C539">
        <v>6369</v>
      </c>
      <c r="D539" t="str">
        <f>VLOOKUP(H539,Produkt!$A$2:$B$5,2,FALSE)</f>
        <v>C</v>
      </c>
      <c r="H539">
        <v>3</v>
      </c>
      <c r="I539">
        <v>0.98093750000000002</v>
      </c>
      <c r="J539">
        <v>44775</v>
      </c>
    </row>
    <row r="540" spans="1:10" x14ac:dyDescent="0.35">
      <c r="A540" s="2">
        <v>44775</v>
      </c>
      <c r="B540" s="3">
        <v>0.21894675925925924</v>
      </c>
      <c r="C540">
        <v>6404</v>
      </c>
      <c r="D540" t="str">
        <f>VLOOKUP(H540,Produkt!$A$2:$B$5,2,FALSE)</f>
        <v>C</v>
      </c>
      <c r="H540">
        <v>3</v>
      </c>
      <c r="I540">
        <v>0.10249999999999999</v>
      </c>
      <c r="J540">
        <v>44797</v>
      </c>
    </row>
    <row r="541" spans="1:10" x14ac:dyDescent="0.35">
      <c r="A541" s="2">
        <v>44775</v>
      </c>
      <c r="B541" s="3">
        <v>0.98348379629629623</v>
      </c>
      <c r="C541">
        <v>6434</v>
      </c>
      <c r="D541" t="str">
        <f>VLOOKUP(H541,Produkt!$A$2:$B$5,2,FALSE)</f>
        <v>C</v>
      </c>
      <c r="H541">
        <v>3</v>
      </c>
      <c r="I541">
        <v>0.59817129629629628</v>
      </c>
      <c r="J541">
        <v>44777</v>
      </c>
    </row>
    <row r="542" spans="1:10" x14ac:dyDescent="0.35">
      <c r="A542" s="2">
        <v>44775</v>
      </c>
      <c r="B542" s="3">
        <v>0.57964120370370364</v>
      </c>
      <c r="C542">
        <v>6471</v>
      </c>
      <c r="D542" t="str">
        <f>VLOOKUP(H542,Produkt!$A$2:$B$5,2,FALSE)</f>
        <v>A</v>
      </c>
      <c r="H542">
        <v>1</v>
      </c>
      <c r="I542">
        <v>0.76086805555555559</v>
      </c>
      <c r="J542">
        <v>44800</v>
      </c>
    </row>
    <row r="543" spans="1:10" x14ac:dyDescent="0.35">
      <c r="A543" s="2">
        <v>44775</v>
      </c>
      <c r="B543" s="3">
        <v>0.53143518518518518</v>
      </c>
      <c r="C543">
        <v>6474</v>
      </c>
      <c r="D543" t="str">
        <f>VLOOKUP(H543,Produkt!$A$2:$B$5,2,FALSE)</f>
        <v>C</v>
      </c>
      <c r="H543">
        <v>3</v>
      </c>
      <c r="I543">
        <v>0.26471064814814815</v>
      </c>
      <c r="J543">
        <v>44804</v>
      </c>
    </row>
    <row r="544" spans="1:10" x14ac:dyDescent="0.35">
      <c r="A544" s="2">
        <v>44775</v>
      </c>
      <c r="B544" s="3">
        <v>0.41734953703703703</v>
      </c>
      <c r="C544">
        <v>6481</v>
      </c>
      <c r="D544" t="str">
        <f>VLOOKUP(H544,Produkt!$A$2:$B$5,2,FALSE)</f>
        <v>C</v>
      </c>
      <c r="H544">
        <v>3</v>
      </c>
      <c r="I544">
        <v>8.1053240740740731E-2</v>
      </c>
      <c r="J544">
        <v>44778</v>
      </c>
    </row>
    <row r="545" spans="1:10" x14ac:dyDescent="0.35">
      <c r="A545" s="2">
        <v>44775</v>
      </c>
      <c r="B545" s="3">
        <v>0.62010416666666668</v>
      </c>
      <c r="C545">
        <v>6490</v>
      </c>
      <c r="D545" t="str">
        <f>VLOOKUP(H545,Produkt!$A$2:$B$5,2,FALSE)</f>
        <v>D</v>
      </c>
      <c r="H545">
        <v>4</v>
      </c>
      <c r="I545">
        <v>0.14990740740740741</v>
      </c>
      <c r="J545">
        <v>44792</v>
      </c>
    </row>
    <row r="546" spans="1:10" x14ac:dyDescent="0.35">
      <c r="A546" s="2">
        <v>44775</v>
      </c>
      <c r="B546" s="3">
        <v>0.67975694444444434</v>
      </c>
      <c r="C546">
        <v>6519</v>
      </c>
      <c r="D546" t="str">
        <f>VLOOKUP(H546,Produkt!$A$2:$B$5,2,FALSE)</f>
        <v>A</v>
      </c>
      <c r="H546">
        <v>1</v>
      </c>
      <c r="I546">
        <v>0.97219907407407413</v>
      </c>
      <c r="J546">
        <v>44790</v>
      </c>
    </row>
    <row r="547" spans="1:10" x14ac:dyDescent="0.35">
      <c r="A547" s="2">
        <v>44775</v>
      </c>
      <c r="B547" s="3">
        <v>0.23193287037037036</v>
      </c>
      <c r="C547">
        <v>6526</v>
      </c>
      <c r="D547" t="str">
        <f>VLOOKUP(H547,Produkt!$A$2:$B$5,2,FALSE)</f>
        <v>C</v>
      </c>
      <c r="H547">
        <v>3</v>
      </c>
      <c r="I547">
        <v>0.60934027777777777</v>
      </c>
      <c r="J547">
        <v>44803</v>
      </c>
    </row>
    <row r="548" spans="1:10" x14ac:dyDescent="0.35">
      <c r="A548" s="2">
        <v>44775</v>
      </c>
      <c r="B548" s="3">
        <v>0.51597222222222217</v>
      </c>
      <c r="C548">
        <v>6547</v>
      </c>
      <c r="D548" t="str">
        <f>VLOOKUP(H548,Produkt!$A$2:$B$5,2,FALSE)</f>
        <v>C</v>
      </c>
      <c r="H548">
        <v>3</v>
      </c>
      <c r="I548">
        <v>0.91825231481481484</v>
      </c>
      <c r="J548">
        <v>44796</v>
      </c>
    </row>
    <row r="549" spans="1:10" x14ac:dyDescent="0.35">
      <c r="A549" s="2">
        <v>44775</v>
      </c>
      <c r="B549" s="3">
        <v>0.72722222222222221</v>
      </c>
      <c r="C549">
        <v>6567</v>
      </c>
      <c r="D549" t="str">
        <f>VLOOKUP(H549,Produkt!$A$2:$B$5,2,FALSE)</f>
        <v>D</v>
      </c>
      <c r="H549">
        <v>4</v>
      </c>
      <c r="I549">
        <v>0.14586805555555557</v>
      </c>
      <c r="J549">
        <v>44797</v>
      </c>
    </row>
    <row r="550" spans="1:10" x14ac:dyDescent="0.35">
      <c r="A550" s="2">
        <v>44775</v>
      </c>
      <c r="B550" s="3">
        <v>7.3969907407407401E-2</v>
      </c>
      <c r="C550">
        <v>6574</v>
      </c>
      <c r="D550" t="str">
        <f>VLOOKUP(H550,Produkt!$A$2:$B$5,2,FALSE)</f>
        <v>B</v>
      </c>
      <c r="H550">
        <v>2</v>
      </c>
      <c r="I550">
        <v>0.26818287037037036</v>
      </c>
      <c r="J550">
        <v>44775</v>
      </c>
    </row>
    <row r="551" spans="1:10" x14ac:dyDescent="0.35">
      <c r="A551" s="2">
        <v>44775</v>
      </c>
      <c r="B551" s="3">
        <v>0.49121527777777779</v>
      </c>
      <c r="C551">
        <v>6582</v>
      </c>
      <c r="D551" t="str">
        <f>VLOOKUP(H551,Produkt!$A$2:$B$5,2,FALSE)</f>
        <v>B</v>
      </c>
      <c r="H551">
        <v>2</v>
      </c>
      <c r="I551">
        <v>2.9166666666666664E-2</v>
      </c>
      <c r="J551">
        <v>44779</v>
      </c>
    </row>
    <row r="552" spans="1:10" x14ac:dyDescent="0.35">
      <c r="A552" s="2">
        <v>44775</v>
      </c>
      <c r="B552" s="3">
        <v>0.90806712962962965</v>
      </c>
      <c r="C552">
        <v>6662</v>
      </c>
      <c r="D552" t="str">
        <f>VLOOKUP(H552,Produkt!$A$2:$B$5,2,FALSE)</f>
        <v>A</v>
      </c>
      <c r="H552">
        <v>1</v>
      </c>
      <c r="I552">
        <v>3.7256944444444447E-2</v>
      </c>
      <c r="J552">
        <v>44780</v>
      </c>
    </row>
    <row r="553" spans="1:10" x14ac:dyDescent="0.35">
      <c r="A553" s="2">
        <v>44775</v>
      </c>
      <c r="B553" s="3">
        <v>0.96052083333333327</v>
      </c>
      <c r="C553">
        <v>6670</v>
      </c>
      <c r="D553" t="str">
        <f>VLOOKUP(H553,Produkt!$A$2:$B$5,2,FALSE)</f>
        <v>B</v>
      </c>
      <c r="H553">
        <v>2</v>
      </c>
      <c r="I553">
        <v>0.13988425925925926</v>
      </c>
      <c r="J553">
        <v>44785</v>
      </c>
    </row>
    <row r="554" spans="1:10" x14ac:dyDescent="0.35">
      <c r="A554" s="2">
        <v>44775</v>
      </c>
      <c r="B554" s="3">
        <v>0.48577546296296298</v>
      </c>
      <c r="C554">
        <v>6685</v>
      </c>
      <c r="D554" t="str">
        <f>VLOOKUP(H554,Produkt!$A$2:$B$5,2,FALSE)</f>
        <v>A</v>
      </c>
      <c r="H554">
        <v>1</v>
      </c>
      <c r="I554">
        <v>0.52353009259259264</v>
      </c>
      <c r="J554">
        <v>44774</v>
      </c>
    </row>
    <row r="555" spans="1:10" x14ac:dyDescent="0.35">
      <c r="A555" s="2">
        <v>44775</v>
      </c>
      <c r="B555" s="3">
        <v>0.1393287037037037</v>
      </c>
      <c r="C555">
        <v>6689</v>
      </c>
      <c r="D555" t="str">
        <f>VLOOKUP(H555,Produkt!$A$2:$B$5,2,FALSE)</f>
        <v>B</v>
      </c>
      <c r="H555">
        <v>2</v>
      </c>
      <c r="I555">
        <v>0.65460648148148148</v>
      </c>
      <c r="J555">
        <v>44785</v>
      </c>
    </row>
    <row r="556" spans="1:10" x14ac:dyDescent="0.35">
      <c r="A556" s="2">
        <v>44775</v>
      </c>
      <c r="B556" s="3">
        <v>0.57618055555555558</v>
      </c>
      <c r="C556">
        <v>6775</v>
      </c>
      <c r="D556" t="str">
        <f>VLOOKUP(H556,Produkt!$A$2:$B$5,2,FALSE)</f>
        <v>C</v>
      </c>
      <c r="H556">
        <v>3</v>
      </c>
      <c r="I556">
        <v>0.69523148148148151</v>
      </c>
      <c r="J556">
        <v>44801</v>
      </c>
    </row>
    <row r="557" spans="1:10" x14ac:dyDescent="0.35">
      <c r="A557" s="2">
        <v>44775</v>
      </c>
      <c r="B557" s="3">
        <v>0.21469907407407407</v>
      </c>
      <c r="C557">
        <v>6856</v>
      </c>
      <c r="D557" t="str">
        <f>VLOOKUP(H557,Produkt!$A$2:$B$5,2,FALSE)</f>
        <v>A</v>
      </c>
      <c r="H557">
        <v>1</v>
      </c>
      <c r="I557">
        <v>0.88453703703703701</v>
      </c>
      <c r="J557">
        <v>44789</v>
      </c>
    </row>
    <row r="558" spans="1:10" x14ac:dyDescent="0.35">
      <c r="A558" s="2">
        <v>44775</v>
      </c>
      <c r="B558" s="3">
        <v>0.12883101851851853</v>
      </c>
      <c r="C558">
        <v>6867</v>
      </c>
      <c r="D558" t="str">
        <f>VLOOKUP(H558,Produkt!$A$2:$B$5,2,FALSE)</f>
        <v>C</v>
      </c>
      <c r="H558">
        <v>3</v>
      </c>
      <c r="I558">
        <v>0.51785879629629628</v>
      </c>
      <c r="J558">
        <v>44782</v>
      </c>
    </row>
    <row r="559" spans="1:10" x14ac:dyDescent="0.35">
      <c r="A559" s="2">
        <v>44775</v>
      </c>
      <c r="B559" s="3">
        <v>0.85833333333333339</v>
      </c>
      <c r="C559">
        <v>6889</v>
      </c>
      <c r="D559" t="str">
        <f>VLOOKUP(H559,Produkt!$A$2:$B$5,2,FALSE)</f>
        <v>A</v>
      </c>
      <c r="H559">
        <v>1</v>
      </c>
      <c r="I559">
        <v>0.55344907407407407</v>
      </c>
      <c r="J559">
        <v>44786</v>
      </c>
    </row>
    <row r="560" spans="1:10" x14ac:dyDescent="0.35">
      <c r="A560" s="2">
        <v>44775</v>
      </c>
      <c r="B560" s="3">
        <v>6.7303240740740733E-2</v>
      </c>
      <c r="C560">
        <v>6894</v>
      </c>
      <c r="D560" t="str">
        <f>VLOOKUP(H560,Produkt!$A$2:$B$5,2,FALSE)</f>
        <v>B</v>
      </c>
      <c r="H560">
        <v>2</v>
      </c>
      <c r="I560">
        <v>0.74653935185185183</v>
      </c>
      <c r="J560">
        <v>44795</v>
      </c>
    </row>
    <row r="561" spans="1:10" x14ac:dyDescent="0.35">
      <c r="A561" s="2">
        <v>44775</v>
      </c>
      <c r="B561" s="3">
        <v>0.80406250000000001</v>
      </c>
      <c r="C561">
        <v>6901</v>
      </c>
      <c r="D561" t="str">
        <f>VLOOKUP(H561,Produkt!$A$2:$B$5,2,FALSE)</f>
        <v>A</v>
      </c>
      <c r="H561">
        <v>1</v>
      </c>
      <c r="I561">
        <v>0.93825231481481486</v>
      </c>
      <c r="J561">
        <v>44778</v>
      </c>
    </row>
    <row r="562" spans="1:10" x14ac:dyDescent="0.35">
      <c r="A562" s="2">
        <v>44775</v>
      </c>
      <c r="B562" s="3">
        <v>0.42805555555555558</v>
      </c>
      <c r="C562">
        <v>6930</v>
      </c>
      <c r="D562" t="str">
        <f>VLOOKUP(H562,Produkt!$A$2:$B$5,2,FALSE)</f>
        <v>B</v>
      </c>
      <c r="H562">
        <v>2</v>
      </c>
      <c r="I562">
        <v>0.53128472222222223</v>
      </c>
      <c r="J562">
        <v>44787</v>
      </c>
    </row>
    <row r="563" spans="1:10" x14ac:dyDescent="0.35">
      <c r="A563" s="2">
        <v>44775</v>
      </c>
      <c r="B563" s="3">
        <v>0.79916666666666669</v>
      </c>
      <c r="C563">
        <v>6945</v>
      </c>
      <c r="D563" t="str">
        <f>VLOOKUP(H563,Produkt!$A$2:$B$5,2,FALSE)</f>
        <v>C</v>
      </c>
      <c r="H563">
        <v>3</v>
      </c>
      <c r="I563">
        <v>0.82265046296296296</v>
      </c>
      <c r="J563">
        <v>44774</v>
      </c>
    </row>
    <row r="564" spans="1:10" x14ac:dyDescent="0.35">
      <c r="A564" s="2">
        <v>44775</v>
      </c>
      <c r="B564" s="3">
        <v>0.3140162037037037</v>
      </c>
      <c r="C564">
        <v>6999</v>
      </c>
      <c r="D564" t="str">
        <f>VLOOKUP(H564,Produkt!$A$2:$B$5,2,FALSE)</f>
        <v>C</v>
      </c>
      <c r="H564">
        <v>3</v>
      </c>
      <c r="I564">
        <v>0.35371527777777773</v>
      </c>
      <c r="J564">
        <v>44784</v>
      </c>
    </row>
    <row r="565" spans="1:10" x14ac:dyDescent="0.35">
      <c r="A565" s="2">
        <v>44775</v>
      </c>
      <c r="B565" s="3">
        <v>1.1481481481481483E-2</v>
      </c>
      <c r="C565">
        <v>7024</v>
      </c>
      <c r="D565" t="str">
        <f>VLOOKUP(H565,Produkt!$A$2:$B$5,2,FALSE)</f>
        <v>D</v>
      </c>
      <c r="H565">
        <v>4</v>
      </c>
      <c r="I565">
        <v>0.59894675925925933</v>
      </c>
      <c r="J565">
        <v>44793</v>
      </c>
    </row>
    <row r="566" spans="1:10" x14ac:dyDescent="0.35">
      <c r="A566" s="2">
        <v>44775</v>
      </c>
      <c r="B566" s="3">
        <v>6.21875E-2</v>
      </c>
      <c r="C566">
        <v>7095</v>
      </c>
      <c r="D566" t="str">
        <f>VLOOKUP(H566,Produkt!$A$2:$B$5,2,FALSE)</f>
        <v>A</v>
      </c>
      <c r="H566">
        <v>1</v>
      </c>
      <c r="I566">
        <v>0.40387731481481487</v>
      </c>
      <c r="J566">
        <v>44796</v>
      </c>
    </row>
    <row r="567" spans="1:10" x14ac:dyDescent="0.35">
      <c r="A567" s="2">
        <v>44775</v>
      </c>
      <c r="B567" s="3">
        <v>0.68052083333333335</v>
      </c>
      <c r="C567">
        <v>7125</v>
      </c>
      <c r="D567" t="str">
        <f>VLOOKUP(H567,Produkt!$A$2:$B$5,2,FALSE)</f>
        <v>C</v>
      </c>
      <c r="H567">
        <v>3</v>
      </c>
      <c r="I567">
        <v>6.6342592592592592E-2</v>
      </c>
      <c r="J567">
        <v>44775</v>
      </c>
    </row>
    <row r="568" spans="1:10" x14ac:dyDescent="0.35">
      <c r="A568" s="2">
        <v>44775</v>
      </c>
      <c r="B568" s="3">
        <v>0.19452546296296294</v>
      </c>
      <c r="C568">
        <v>7129</v>
      </c>
      <c r="D568" t="str">
        <f>VLOOKUP(H568,Produkt!$A$2:$B$5,2,FALSE)</f>
        <v>B</v>
      </c>
      <c r="H568">
        <v>2</v>
      </c>
      <c r="I568">
        <v>0.72811342592592598</v>
      </c>
      <c r="J568">
        <v>44793</v>
      </c>
    </row>
    <row r="569" spans="1:10" x14ac:dyDescent="0.35">
      <c r="A569" s="2">
        <v>44775</v>
      </c>
      <c r="B569" s="3">
        <v>0.90390046296296289</v>
      </c>
      <c r="C569">
        <v>7142</v>
      </c>
      <c r="D569" t="str">
        <f>VLOOKUP(H569,Produkt!$A$2:$B$5,2,FALSE)</f>
        <v>D</v>
      </c>
      <c r="H569">
        <v>4</v>
      </c>
      <c r="I569">
        <v>0.8482291666666667</v>
      </c>
      <c r="J569">
        <v>44800</v>
      </c>
    </row>
    <row r="570" spans="1:10" x14ac:dyDescent="0.35">
      <c r="A570" s="2">
        <v>44775</v>
      </c>
      <c r="B570" s="3">
        <v>0.14182870370370371</v>
      </c>
      <c r="C570">
        <v>7222</v>
      </c>
      <c r="D570" t="str">
        <f>VLOOKUP(H570,Produkt!$A$2:$B$5,2,FALSE)</f>
        <v>B</v>
      </c>
      <c r="H570">
        <v>2</v>
      </c>
      <c r="I570">
        <v>0.19078703703703703</v>
      </c>
      <c r="J570">
        <v>44800</v>
      </c>
    </row>
    <row r="571" spans="1:10" x14ac:dyDescent="0.35">
      <c r="A571" s="2">
        <v>44775</v>
      </c>
      <c r="B571" s="3">
        <v>0.73295138888888889</v>
      </c>
      <c r="C571">
        <v>7298</v>
      </c>
      <c r="D571" t="str">
        <f>VLOOKUP(H571,Produkt!$A$2:$B$5,2,FALSE)</f>
        <v>D</v>
      </c>
      <c r="H571">
        <v>4</v>
      </c>
      <c r="I571">
        <v>0.87461805555555561</v>
      </c>
      <c r="J571">
        <v>44802</v>
      </c>
    </row>
    <row r="572" spans="1:10" x14ac:dyDescent="0.35">
      <c r="A572" s="2">
        <v>44775</v>
      </c>
      <c r="B572" s="3">
        <v>0.97947916666666668</v>
      </c>
      <c r="C572">
        <v>7364</v>
      </c>
      <c r="D572" t="str">
        <f>VLOOKUP(H572,Produkt!$A$2:$B$5,2,FALSE)</f>
        <v>D</v>
      </c>
      <c r="H572">
        <v>4</v>
      </c>
      <c r="I572">
        <v>0.93392361111111111</v>
      </c>
      <c r="J572">
        <v>44778</v>
      </c>
    </row>
    <row r="573" spans="1:10" x14ac:dyDescent="0.35">
      <c r="A573" s="2">
        <v>44775</v>
      </c>
      <c r="B573" s="3">
        <v>0.61473379629629632</v>
      </c>
      <c r="C573">
        <v>7390</v>
      </c>
      <c r="D573" t="str">
        <f>VLOOKUP(H573,Produkt!$A$2:$B$5,2,FALSE)</f>
        <v>D</v>
      </c>
      <c r="H573">
        <v>4</v>
      </c>
      <c r="I573">
        <v>0.66005787037037034</v>
      </c>
      <c r="J573">
        <v>44781</v>
      </c>
    </row>
    <row r="574" spans="1:10" x14ac:dyDescent="0.35">
      <c r="A574" s="2">
        <v>44775</v>
      </c>
      <c r="B574" s="3">
        <v>0.30296296296296293</v>
      </c>
      <c r="C574">
        <v>7395</v>
      </c>
      <c r="D574" t="str">
        <f>VLOOKUP(H574,Produkt!$A$2:$B$5,2,FALSE)</f>
        <v>B</v>
      </c>
      <c r="H574">
        <v>2</v>
      </c>
      <c r="I574">
        <v>0.42872685185185189</v>
      </c>
      <c r="J574">
        <v>44801</v>
      </c>
    </row>
    <row r="575" spans="1:10" x14ac:dyDescent="0.35">
      <c r="A575" s="2">
        <v>44775</v>
      </c>
      <c r="B575" s="3">
        <v>0.80034722222222221</v>
      </c>
      <c r="C575">
        <v>7402</v>
      </c>
      <c r="D575" t="str">
        <f>VLOOKUP(H575,Produkt!$A$2:$B$5,2,FALSE)</f>
        <v>A</v>
      </c>
      <c r="H575">
        <v>1</v>
      </c>
      <c r="I575">
        <v>0.60545138888888894</v>
      </c>
      <c r="J575">
        <v>44790</v>
      </c>
    </row>
    <row r="576" spans="1:10" x14ac:dyDescent="0.35">
      <c r="A576" s="2">
        <v>44775</v>
      </c>
      <c r="B576" s="3">
        <v>0.94537037037037042</v>
      </c>
      <c r="C576">
        <v>7424</v>
      </c>
      <c r="D576" t="str">
        <f>VLOOKUP(H576,Produkt!$A$2:$B$5,2,FALSE)</f>
        <v>D</v>
      </c>
      <c r="H576">
        <v>4</v>
      </c>
      <c r="I576">
        <v>4.6469907407407411E-2</v>
      </c>
      <c r="J576">
        <v>44775</v>
      </c>
    </row>
    <row r="577" spans="1:10" x14ac:dyDescent="0.35">
      <c r="A577" s="2">
        <v>44775</v>
      </c>
      <c r="B577" s="3">
        <v>0.34715277777777781</v>
      </c>
      <c r="C577">
        <v>7499</v>
      </c>
      <c r="D577" t="str">
        <f>VLOOKUP(H577,Produkt!$A$2:$B$5,2,FALSE)</f>
        <v>A</v>
      </c>
      <c r="H577">
        <v>1</v>
      </c>
      <c r="I577">
        <v>3.7442129629629672E-2</v>
      </c>
      <c r="J577">
        <v>44785</v>
      </c>
    </row>
    <row r="578" spans="1:10" x14ac:dyDescent="0.35">
      <c r="A578" s="2">
        <v>44775</v>
      </c>
      <c r="B578" s="3">
        <v>9.4224537037037037E-2</v>
      </c>
      <c r="C578">
        <v>7522</v>
      </c>
      <c r="D578" t="str">
        <f>VLOOKUP(H578,Produkt!$A$2:$B$5,2,FALSE)</f>
        <v>C</v>
      </c>
      <c r="H578">
        <v>3</v>
      </c>
      <c r="I578">
        <v>0.66770833333333324</v>
      </c>
      <c r="J578">
        <v>44779</v>
      </c>
    </row>
    <row r="579" spans="1:10" x14ac:dyDescent="0.35">
      <c r="A579" s="2">
        <v>44775</v>
      </c>
      <c r="B579" s="3">
        <v>0.275474537037037</v>
      </c>
      <c r="C579">
        <v>7598</v>
      </c>
      <c r="D579" t="str">
        <f>VLOOKUP(H579,Produkt!$A$2:$B$5,2,FALSE)</f>
        <v>C</v>
      </c>
      <c r="H579">
        <v>3</v>
      </c>
      <c r="I579">
        <v>4.1250000000000009E-2</v>
      </c>
      <c r="J579">
        <v>44803</v>
      </c>
    </row>
    <row r="580" spans="1:10" x14ac:dyDescent="0.35">
      <c r="A580" s="2">
        <v>44775</v>
      </c>
      <c r="B580" s="3">
        <v>0.31192129629629628</v>
      </c>
      <c r="C580">
        <v>7676</v>
      </c>
      <c r="D580" t="str">
        <f>VLOOKUP(H580,Produkt!$A$2:$B$5,2,FALSE)</f>
        <v>D</v>
      </c>
      <c r="H580">
        <v>4</v>
      </c>
      <c r="I580">
        <v>0.3818171296296296</v>
      </c>
      <c r="J580">
        <v>44795</v>
      </c>
    </row>
    <row r="581" spans="1:10" x14ac:dyDescent="0.35">
      <c r="A581" s="2">
        <v>44775</v>
      </c>
      <c r="B581" s="3">
        <v>5.8645833333333335E-2</v>
      </c>
      <c r="C581">
        <v>7686</v>
      </c>
      <c r="D581" t="str">
        <f>VLOOKUP(H581,Produkt!$A$2:$B$5,2,FALSE)</f>
        <v>D</v>
      </c>
      <c r="H581">
        <v>4</v>
      </c>
      <c r="I581">
        <v>0.29662037037037037</v>
      </c>
      <c r="J581">
        <v>44776</v>
      </c>
    </row>
    <row r="582" spans="1:10" x14ac:dyDescent="0.35">
      <c r="A582" s="2">
        <v>44775</v>
      </c>
      <c r="B582" s="3">
        <v>0.12877314814814814</v>
      </c>
      <c r="C582">
        <v>7846</v>
      </c>
      <c r="D582" t="str">
        <f>VLOOKUP(H582,Produkt!$A$2:$B$5,2,FALSE)</f>
        <v>B</v>
      </c>
      <c r="H582">
        <v>2</v>
      </c>
      <c r="I582">
        <v>7.1226851851851861E-2</v>
      </c>
      <c r="J582">
        <v>44789</v>
      </c>
    </row>
    <row r="583" spans="1:10" x14ac:dyDescent="0.35">
      <c r="A583" s="2">
        <v>44775</v>
      </c>
      <c r="B583" s="3">
        <v>0.96026620370370364</v>
      </c>
      <c r="C583">
        <v>7873</v>
      </c>
      <c r="D583" t="str">
        <f>VLOOKUP(H583,Produkt!$A$2:$B$5,2,FALSE)</f>
        <v>B</v>
      </c>
      <c r="H583">
        <v>2</v>
      </c>
      <c r="I583">
        <v>0.36601851851851852</v>
      </c>
      <c r="J583">
        <v>44802</v>
      </c>
    </row>
    <row r="584" spans="1:10" x14ac:dyDescent="0.35">
      <c r="A584" s="2">
        <v>44775</v>
      </c>
      <c r="B584" s="3">
        <v>0.96129629629629632</v>
      </c>
      <c r="C584">
        <v>7883</v>
      </c>
      <c r="D584" t="str">
        <f>VLOOKUP(H584,Produkt!$A$2:$B$5,2,FALSE)</f>
        <v>D</v>
      </c>
      <c r="H584">
        <v>4</v>
      </c>
      <c r="I584">
        <v>0.1925</v>
      </c>
      <c r="J584">
        <v>44792</v>
      </c>
    </row>
    <row r="585" spans="1:10" x14ac:dyDescent="0.35">
      <c r="A585" s="2">
        <v>44775</v>
      </c>
      <c r="B585" s="3">
        <v>0.16546296296296295</v>
      </c>
      <c r="C585">
        <v>7906</v>
      </c>
      <c r="D585" t="str">
        <f>VLOOKUP(H585,Produkt!$A$2:$B$5,2,FALSE)</f>
        <v>A</v>
      </c>
      <c r="H585">
        <v>1</v>
      </c>
      <c r="I585">
        <v>0.2895949074074074</v>
      </c>
      <c r="J585">
        <v>44782</v>
      </c>
    </row>
    <row r="586" spans="1:10" x14ac:dyDescent="0.35">
      <c r="A586" s="2">
        <v>44775</v>
      </c>
      <c r="B586" s="3">
        <v>0.51013888888888892</v>
      </c>
      <c r="C586">
        <v>7929</v>
      </c>
      <c r="D586" t="str">
        <f>VLOOKUP(H586,Produkt!$A$2:$B$5,2,FALSE)</f>
        <v>C</v>
      </c>
      <c r="H586">
        <v>3</v>
      </c>
      <c r="I586">
        <v>0.31063657407407408</v>
      </c>
      <c r="J586">
        <v>44782</v>
      </c>
    </row>
    <row r="587" spans="1:10" x14ac:dyDescent="0.35">
      <c r="A587" s="2">
        <v>44775</v>
      </c>
      <c r="B587" s="3">
        <v>0.78795138888888883</v>
      </c>
      <c r="C587">
        <v>7953</v>
      </c>
      <c r="D587" t="str">
        <f>VLOOKUP(H587,Produkt!$A$2:$B$5,2,FALSE)</f>
        <v>C</v>
      </c>
      <c r="H587">
        <v>3</v>
      </c>
      <c r="I587">
        <v>0.83857638888888886</v>
      </c>
      <c r="J587">
        <v>44774</v>
      </c>
    </row>
    <row r="588" spans="1:10" x14ac:dyDescent="0.35">
      <c r="A588" s="2">
        <v>44775</v>
      </c>
      <c r="B588" s="3">
        <v>0.27957175925925926</v>
      </c>
      <c r="C588">
        <v>7970</v>
      </c>
      <c r="D588" t="str">
        <f>VLOOKUP(H588,Produkt!$A$2:$B$5,2,FALSE)</f>
        <v>A</v>
      </c>
      <c r="H588">
        <v>1</v>
      </c>
      <c r="I588">
        <v>4.8252314814814817E-2</v>
      </c>
      <c r="J588">
        <v>44788</v>
      </c>
    </row>
    <row r="589" spans="1:10" x14ac:dyDescent="0.35">
      <c r="A589" s="2">
        <v>44775</v>
      </c>
      <c r="B589" s="3">
        <v>0.70659722222222221</v>
      </c>
      <c r="C589">
        <v>8093</v>
      </c>
      <c r="D589" t="str">
        <f>VLOOKUP(H589,Produkt!$A$2:$B$5,2,FALSE)</f>
        <v>B</v>
      </c>
      <c r="H589">
        <v>2</v>
      </c>
      <c r="I589">
        <v>0.29821759259259256</v>
      </c>
      <c r="J589">
        <v>44800</v>
      </c>
    </row>
    <row r="590" spans="1:10" x14ac:dyDescent="0.35">
      <c r="A590" s="2">
        <v>44775</v>
      </c>
      <c r="B590" s="3">
        <v>0.57229166666666664</v>
      </c>
      <c r="C590">
        <v>8120</v>
      </c>
      <c r="D590" t="str">
        <f>VLOOKUP(H590,Produkt!$A$2:$B$5,2,FALSE)</f>
        <v>C</v>
      </c>
      <c r="H590">
        <v>3</v>
      </c>
      <c r="I590">
        <v>0.22406250000000003</v>
      </c>
      <c r="J590">
        <v>44797</v>
      </c>
    </row>
    <row r="591" spans="1:10" x14ac:dyDescent="0.35">
      <c r="A591" s="2">
        <v>44775</v>
      </c>
      <c r="B591" s="3">
        <v>0.84223379629629624</v>
      </c>
      <c r="C591">
        <v>8125</v>
      </c>
      <c r="D591" t="str">
        <f>VLOOKUP(H591,Produkt!$A$2:$B$5,2,FALSE)</f>
        <v>D</v>
      </c>
      <c r="H591">
        <v>4</v>
      </c>
      <c r="I591">
        <v>0.88054398148148139</v>
      </c>
      <c r="J591">
        <v>44797</v>
      </c>
    </row>
    <row r="592" spans="1:10" x14ac:dyDescent="0.35">
      <c r="A592" s="2">
        <v>44775</v>
      </c>
      <c r="B592" s="3">
        <v>3.394675925925926E-2</v>
      </c>
      <c r="C592">
        <v>8129</v>
      </c>
      <c r="D592" t="str">
        <f>VLOOKUP(H592,Produkt!$A$2:$B$5,2,FALSE)</f>
        <v>B</v>
      </c>
      <c r="H592">
        <v>2</v>
      </c>
      <c r="I592">
        <v>0.82019675925925928</v>
      </c>
      <c r="J592">
        <v>44787</v>
      </c>
    </row>
    <row r="593" spans="1:10" x14ac:dyDescent="0.35">
      <c r="A593" s="2">
        <v>44775</v>
      </c>
      <c r="B593" s="3">
        <v>0.26508101851851851</v>
      </c>
      <c r="C593">
        <v>8180</v>
      </c>
      <c r="D593" t="str">
        <f>VLOOKUP(H593,Produkt!$A$2:$B$5,2,FALSE)</f>
        <v>C</v>
      </c>
      <c r="H593">
        <v>3</v>
      </c>
      <c r="I593">
        <v>0.32425925925925925</v>
      </c>
      <c r="J593">
        <v>44786</v>
      </c>
    </row>
    <row r="594" spans="1:10" x14ac:dyDescent="0.35">
      <c r="A594" s="2">
        <v>44775</v>
      </c>
      <c r="B594" s="3">
        <v>0.76061342592592596</v>
      </c>
      <c r="C594">
        <v>8259</v>
      </c>
      <c r="D594" t="str">
        <f>VLOOKUP(H594,Produkt!$A$2:$B$5,2,FALSE)</f>
        <v>A</v>
      </c>
      <c r="H594">
        <v>1</v>
      </c>
      <c r="I594">
        <v>0.63136574074074081</v>
      </c>
      <c r="J594">
        <v>44788</v>
      </c>
    </row>
    <row r="595" spans="1:10" x14ac:dyDescent="0.35">
      <c r="A595" s="2">
        <v>44775</v>
      </c>
      <c r="B595" s="3">
        <v>2.2384259259259354E-2</v>
      </c>
      <c r="C595">
        <v>8394</v>
      </c>
      <c r="D595" t="str">
        <f>VLOOKUP(H595,Produkt!$A$2:$B$5,2,FALSE)</f>
        <v>D</v>
      </c>
      <c r="H595">
        <v>4</v>
      </c>
      <c r="I595">
        <v>0.40207175925925925</v>
      </c>
      <c r="J595">
        <v>44788</v>
      </c>
    </row>
    <row r="596" spans="1:10" x14ac:dyDescent="0.35">
      <c r="A596" s="2">
        <v>44775</v>
      </c>
      <c r="B596" s="3">
        <v>0.15365740740740741</v>
      </c>
      <c r="C596">
        <v>8414</v>
      </c>
      <c r="D596" t="str">
        <f>VLOOKUP(H596,Produkt!$A$2:$B$5,2,FALSE)</f>
        <v>B</v>
      </c>
      <c r="H596">
        <v>2</v>
      </c>
      <c r="I596">
        <v>0.62961805555555561</v>
      </c>
      <c r="J596">
        <v>44780</v>
      </c>
    </row>
    <row r="597" spans="1:10" x14ac:dyDescent="0.35">
      <c r="A597" s="2">
        <v>44775</v>
      </c>
      <c r="B597" s="3">
        <v>0.71280092592592592</v>
      </c>
      <c r="C597">
        <v>8540</v>
      </c>
      <c r="D597" t="str">
        <f>VLOOKUP(H597,Produkt!$A$2:$B$5,2,FALSE)</f>
        <v>B</v>
      </c>
      <c r="H597">
        <v>2</v>
      </c>
      <c r="I597">
        <v>0.43788194444444445</v>
      </c>
      <c r="J597">
        <v>44775</v>
      </c>
    </row>
    <row r="598" spans="1:10" x14ac:dyDescent="0.35">
      <c r="A598" s="2">
        <v>44775</v>
      </c>
      <c r="B598" s="3">
        <v>0.33244212962962966</v>
      </c>
      <c r="C598">
        <v>8573</v>
      </c>
      <c r="D598" t="str">
        <f>VLOOKUP(H598,Produkt!$A$2:$B$5,2,FALSE)</f>
        <v>B</v>
      </c>
      <c r="H598">
        <v>2</v>
      </c>
      <c r="I598">
        <v>0.34960648148148149</v>
      </c>
      <c r="J598">
        <v>44797</v>
      </c>
    </row>
    <row r="599" spans="1:10" x14ac:dyDescent="0.35">
      <c r="A599" s="2">
        <v>44775</v>
      </c>
      <c r="B599" s="3">
        <v>0.35459490740740746</v>
      </c>
      <c r="C599">
        <v>8588</v>
      </c>
      <c r="D599" t="str">
        <f>VLOOKUP(H599,Produkt!$A$2:$B$5,2,FALSE)</f>
        <v>C</v>
      </c>
      <c r="H599">
        <v>3</v>
      </c>
      <c r="I599">
        <v>0.84385416666666668</v>
      </c>
      <c r="J599">
        <v>44789</v>
      </c>
    </row>
    <row r="600" spans="1:10" x14ac:dyDescent="0.35">
      <c r="A600" s="2">
        <v>44775</v>
      </c>
      <c r="B600" s="3">
        <v>0.85932870370370373</v>
      </c>
      <c r="C600">
        <v>8603</v>
      </c>
      <c r="D600" t="str">
        <f>VLOOKUP(H600,Produkt!$A$2:$B$5,2,FALSE)</f>
        <v>D</v>
      </c>
      <c r="H600">
        <v>4</v>
      </c>
      <c r="I600">
        <v>0.13614583333333333</v>
      </c>
      <c r="J600">
        <v>44794</v>
      </c>
    </row>
    <row r="601" spans="1:10" x14ac:dyDescent="0.35">
      <c r="A601" s="2">
        <v>44775</v>
      </c>
      <c r="B601" s="3">
        <v>0.84458333333333335</v>
      </c>
      <c r="C601">
        <v>8607</v>
      </c>
      <c r="D601" t="str">
        <f>VLOOKUP(H601,Produkt!$A$2:$B$5,2,FALSE)</f>
        <v>A</v>
      </c>
      <c r="H601">
        <v>1</v>
      </c>
      <c r="I601">
        <v>0.17524305555555555</v>
      </c>
      <c r="J601">
        <v>44786</v>
      </c>
    </row>
    <row r="602" spans="1:10" x14ac:dyDescent="0.35">
      <c r="A602" s="2">
        <v>44775</v>
      </c>
      <c r="B602" s="3">
        <v>0.98534722222222226</v>
      </c>
      <c r="C602">
        <v>8631</v>
      </c>
      <c r="D602" t="str">
        <f>VLOOKUP(H602,Produkt!$A$2:$B$5,2,FALSE)</f>
        <v>D</v>
      </c>
      <c r="H602">
        <v>4</v>
      </c>
      <c r="I602">
        <v>0.24077546296296296</v>
      </c>
      <c r="J602">
        <v>44779</v>
      </c>
    </row>
    <row r="603" spans="1:10" x14ac:dyDescent="0.35">
      <c r="A603" s="2">
        <v>44775</v>
      </c>
      <c r="B603" s="3">
        <v>0.10769675925925926</v>
      </c>
      <c r="C603">
        <v>8634</v>
      </c>
      <c r="D603" t="str">
        <f>VLOOKUP(H603,Produkt!$A$2:$B$5,2,FALSE)</f>
        <v>D</v>
      </c>
      <c r="H603">
        <v>4</v>
      </c>
      <c r="I603">
        <v>0.59453703703703698</v>
      </c>
      <c r="J603">
        <v>44801</v>
      </c>
    </row>
    <row r="604" spans="1:10" x14ac:dyDescent="0.35">
      <c r="A604" s="2">
        <v>44775</v>
      </c>
      <c r="B604" s="3">
        <v>0.39400462962962962</v>
      </c>
      <c r="C604">
        <v>8637</v>
      </c>
      <c r="D604" t="str">
        <f>VLOOKUP(H604,Produkt!$A$2:$B$5,2,FALSE)</f>
        <v>A</v>
      </c>
      <c r="H604">
        <v>1</v>
      </c>
      <c r="I604">
        <v>0.51671296296296299</v>
      </c>
      <c r="J604">
        <v>44798</v>
      </c>
    </row>
    <row r="605" spans="1:10" x14ac:dyDescent="0.35">
      <c r="A605" s="2">
        <v>44775</v>
      </c>
      <c r="B605" s="3">
        <v>3.8912037037037037E-2</v>
      </c>
      <c r="C605">
        <v>8648</v>
      </c>
      <c r="D605" t="str">
        <f>VLOOKUP(H605,Produkt!$A$2:$B$5,2,FALSE)</f>
        <v>C</v>
      </c>
      <c r="H605">
        <v>3</v>
      </c>
      <c r="I605">
        <v>0.93427083333333327</v>
      </c>
      <c r="J605">
        <v>44801</v>
      </c>
    </row>
    <row r="606" spans="1:10" x14ac:dyDescent="0.35">
      <c r="A606" s="2">
        <v>44775</v>
      </c>
      <c r="B606" s="3">
        <v>0.45503472222222219</v>
      </c>
      <c r="C606">
        <v>8653</v>
      </c>
      <c r="D606" t="str">
        <f>VLOOKUP(H606,Produkt!$A$2:$B$5,2,FALSE)</f>
        <v>A</v>
      </c>
      <c r="H606">
        <v>1</v>
      </c>
      <c r="I606">
        <v>0.89582175925925922</v>
      </c>
      <c r="J606">
        <v>44796</v>
      </c>
    </row>
    <row r="607" spans="1:10" x14ac:dyDescent="0.35">
      <c r="A607" s="2">
        <v>44775</v>
      </c>
      <c r="B607" s="3">
        <v>0.58690972222222226</v>
      </c>
      <c r="C607">
        <v>8665</v>
      </c>
      <c r="D607" t="str">
        <f>VLOOKUP(H607,Produkt!$A$2:$B$5,2,FALSE)</f>
        <v>B</v>
      </c>
      <c r="H607">
        <v>2</v>
      </c>
      <c r="I607">
        <v>0.50056712962962957</v>
      </c>
      <c r="J607">
        <v>44785</v>
      </c>
    </row>
    <row r="608" spans="1:10" x14ac:dyDescent="0.35">
      <c r="A608" s="2">
        <v>44775</v>
      </c>
      <c r="B608" s="3">
        <v>1.1585648148148149E-2</v>
      </c>
      <c r="C608">
        <v>8681</v>
      </c>
      <c r="D608" t="str">
        <f>VLOOKUP(H608,Produkt!$A$2:$B$5,2,FALSE)</f>
        <v>D</v>
      </c>
      <c r="H608">
        <v>4</v>
      </c>
      <c r="I608">
        <v>0.63491898148148151</v>
      </c>
      <c r="J608">
        <v>44787</v>
      </c>
    </row>
    <row r="609" spans="1:10" x14ac:dyDescent="0.35">
      <c r="A609" s="2">
        <v>44775</v>
      </c>
      <c r="B609" s="3">
        <v>0.43163194444444447</v>
      </c>
      <c r="C609">
        <v>8688</v>
      </c>
      <c r="D609" t="str">
        <f>VLOOKUP(H609,Produkt!$A$2:$B$5,2,FALSE)</f>
        <v>A</v>
      </c>
      <c r="H609">
        <v>1</v>
      </c>
      <c r="I609">
        <v>3.9074074074074039E-2</v>
      </c>
      <c r="J609">
        <v>44789</v>
      </c>
    </row>
    <row r="610" spans="1:10" x14ac:dyDescent="0.35">
      <c r="A610" s="2">
        <v>44775</v>
      </c>
      <c r="B610" s="3">
        <v>0.35805555555555557</v>
      </c>
      <c r="C610">
        <v>8690</v>
      </c>
      <c r="D610" t="str">
        <f>VLOOKUP(H610,Produkt!$A$2:$B$5,2,FALSE)</f>
        <v>B</v>
      </c>
      <c r="H610">
        <v>2</v>
      </c>
      <c r="I610">
        <v>4.8668981481481487E-2</v>
      </c>
      <c r="J610">
        <v>44782</v>
      </c>
    </row>
    <row r="611" spans="1:10" x14ac:dyDescent="0.35">
      <c r="A611" s="2">
        <v>44775</v>
      </c>
      <c r="B611" s="3">
        <v>0.65186342592592594</v>
      </c>
      <c r="C611">
        <v>8751</v>
      </c>
      <c r="D611" t="str">
        <f>VLOOKUP(H611,Produkt!$A$2:$B$5,2,FALSE)</f>
        <v>A</v>
      </c>
      <c r="H611">
        <v>1</v>
      </c>
      <c r="I611">
        <v>0.6790046296296296</v>
      </c>
      <c r="J611">
        <v>44778</v>
      </c>
    </row>
    <row r="612" spans="1:10" x14ac:dyDescent="0.35">
      <c r="A612" s="2">
        <v>44775</v>
      </c>
      <c r="B612" s="3">
        <v>0.99670138888888893</v>
      </c>
      <c r="C612">
        <v>8759</v>
      </c>
      <c r="D612" t="str">
        <f>VLOOKUP(H612,Produkt!$A$2:$B$5,2,FALSE)</f>
        <v>D</v>
      </c>
      <c r="H612">
        <v>4</v>
      </c>
      <c r="I612">
        <v>0.37099537037037034</v>
      </c>
      <c r="J612">
        <v>44797</v>
      </c>
    </row>
    <row r="613" spans="1:10" x14ac:dyDescent="0.35">
      <c r="A613" s="2">
        <v>44775</v>
      </c>
      <c r="B613" s="3">
        <v>0.48178240740740735</v>
      </c>
      <c r="C613">
        <v>8808</v>
      </c>
      <c r="D613" t="str">
        <f>VLOOKUP(H613,Produkt!$A$2:$B$5,2,FALSE)</f>
        <v>B</v>
      </c>
      <c r="H613">
        <v>2</v>
      </c>
      <c r="I613">
        <v>4.1041666666666664E-2</v>
      </c>
      <c r="J613">
        <v>44796</v>
      </c>
    </row>
    <row r="614" spans="1:10" x14ac:dyDescent="0.35">
      <c r="A614" s="2">
        <v>44775</v>
      </c>
      <c r="B614" s="3">
        <v>0.68655092592592604</v>
      </c>
      <c r="C614">
        <v>8837</v>
      </c>
      <c r="D614" t="str">
        <f>VLOOKUP(H614,Produkt!$A$2:$B$5,2,FALSE)</f>
        <v>D</v>
      </c>
      <c r="H614">
        <v>4</v>
      </c>
      <c r="I614">
        <v>0.81210648148148146</v>
      </c>
      <c r="J614">
        <v>44797</v>
      </c>
    </row>
    <row r="615" spans="1:10" x14ac:dyDescent="0.35">
      <c r="A615" s="2">
        <v>44775</v>
      </c>
      <c r="B615" s="3">
        <v>0.85035879629629629</v>
      </c>
      <c r="C615">
        <v>8851</v>
      </c>
      <c r="D615" t="str">
        <f>VLOOKUP(H615,Produkt!$A$2:$B$5,2,FALSE)</f>
        <v>A</v>
      </c>
      <c r="H615">
        <v>1</v>
      </c>
      <c r="I615">
        <v>0.96464120370370365</v>
      </c>
      <c r="J615">
        <v>44803</v>
      </c>
    </row>
    <row r="616" spans="1:10" x14ac:dyDescent="0.35">
      <c r="A616" s="2">
        <v>44775</v>
      </c>
      <c r="B616" s="3">
        <v>4.0439814814814845E-2</v>
      </c>
      <c r="C616">
        <v>8855</v>
      </c>
      <c r="D616" t="str">
        <f>VLOOKUP(H616,Produkt!$A$2:$B$5,2,FALSE)</f>
        <v>B</v>
      </c>
      <c r="H616">
        <v>2</v>
      </c>
      <c r="I616">
        <v>0.65159722222222227</v>
      </c>
      <c r="J616">
        <v>44802</v>
      </c>
    </row>
    <row r="617" spans="1:10" x14ac:dyDescent="0.35">
      <c r="A617" s="2">
        <v>44775</v>
      </c>
      <c r="B617" s="3">
        <v>0.90438657407407408</v>
      </c>
      <c r="C617">
        <v>8860</v>
      </c>
      <c r="D617" t="str">
        <f>VLOOKUP(H617,Produkt!$A$2:$B$5,2,FALSE)</f>
        <v>A</v>
      </c>
      <c r="H617">
        <v>1</v>
      </c>
      <c r="I617">
        <v>0.65383101851851855</v>
      </c>
      <c r="J617">
        <v>44796</v>
      </c>
    </row>
    <row r="618" spans="1:10" x14ac:dyDescent="0.35">
      <c r="A618" s="2">
        <v>44775</v>
      </c>
      <c r="B618" s="3">
        <v>0.306724537037037</v>
      </c>
      <c r="C618">
        <v>8928</v>
      </c>
      <c r="D618" t="str">
        <f>VLOOKUP(H618,Produkt!$A$2:$B$5,2,FALSE)</f>
        <v>A</v>
      </c>
      <c r="H618">
        <v>1</v>
      </c>
      <c r="I618">
        <v>0.11559027777777779</v>
      </c>
      <c r="J618">
        <v>44776</v>
      </c>
    </row>
    <row r="619" spans="1:10" x14ac:dyDescent="0.35">
      <c r="A619" s="2">
        <v>44775</v>
      </c>
      <c r="B619" s="3">
        <v>8.3599537037037042E-2</v>
      </c>
      <c r="C619">
        <v>8957</v>
      </c>
      <c r="D619" t="str">
        <f>VLOOKUP(H619,Produkt!$A$2:$B$5,2,FALSE)</f>
        <v>B</v>
      </c>
      <c r="H619">
        <v>2</v>
      </c>
      <c r="I619">
        <v>8.9212962962962952E-2</v>
      </c>
      <c r="J619">
        <v>44783</v>
      </c>
    </row>
    <row r="620" spans="1:10" x14ac:dyDescent="0.35">
      <c r="A620" s="2">
        <v>44775</v>
      </c>
      <c r="B620" s="3">
        <v>0.3447453703703704</v>
      </c>
      <c r="C620">
        <v>9040</v>
      </c>
      <c r="D620" t="str">
        <f>VLOOKUP(H620,Produkt!$A$2:$B$5,2,FALSE)</f>
        <v>C</v>
      </c>
      <c r="H620">
        <v>3</v>
      </c>
      <c r="I620">
        <v>0.40770833333333334</v>
      </c>
      <c r="J620">
        <v>44795</v>
      </c>
    </row>
    <row r="621" spans="1:10" x14ac:dyDescent="0.35">
      <c r="A621" s="2">
        <v>44775</v>
      </c>
      <c r="B621" s="3">
        <v>0.44045138888888885</v>
      </c>
      <c r="C621">
        <v>9052</v>
      </c>
      <c r="D621" t="str">
        <f>VLOOKUP(H621,Produkt!$A$2:$B$5,2,FALSE)</f>
        <v>A</v>
      </c>
      <c r="H621">
        <v>1</v>
      </c>
      <c r="I621">
        <v>0.56043981481481475</v>
      </c>
      <c r="J621">
        <v>44791</v>
      </c>
    </row>
    <row r="622" spans="1:10" x14ac:dyDescent="0.35">
      <c r="A622" s="2">
        <v>44775</v>
      </c>
      <c r="B622" s="3">
        <v>0.47140046296296295</v>
      </c>
      <c r="C622">
        <v>9065</v>
      </c>
      <c r="D622" t="str">
        <f>VLOOKUP(H622,Produkt!$A$2:$B$5,2,FALSE)</f>
        <v>B</v>
      </c>
      <c r="H622">
        <v>2</v>
      </c>
      <c r="I622">
        <v>0.54</v>
      </c>
      <c r="J622">
        <v>44781</v>
      </c>
    </row>
    <row r="623" spans="1:10" x14ac:dyDescent="0.35">
      <c r="A623" s="2">
        <v>44775</v>
      </c>
      <c r="B623" s="3">
        <v>0.17785879629629631</v>
      </c>
      <c r="C623">
        <v>9139</v>
      </c>
      <c r="D623" t="str">
        <f>VLOOKUP(H623,Produkt!$A$2:$B$5,2,FALSE)</f>
        <v>B</v>
      </c>
      <c r="H623">
        <v>2</v>
      </c>
      <c r="I623">
        <v>0.26226851851851851</v>
      </c>
      <c r="J623">
        <v>44784</v>
      </c>
    </row>
    <row r="624" spans="1:10" x14ac:dyDescent="0.35">
      <c r="A624" s="2">
        <v>44775</v>
      </c>
      <c r="B624" s="3">
        <v>0.93285879629629631</v>
      </c>
      <c r="C624">
        <v>9171</v>
      </c>
      <c r="D624" t="str">
        <f>VLOOKUP(H624,Produkt!$A$2:$B$5,2,FALSE)</f>
        <v>D</v>
      </c>
      <c r="H624">
        <v>4</v>
      </c>
      <c r="I624">
        <v>0.99674768518518519</v>
      </c>
      <c r="J624">
        <v>44786</v>
      </c>
    </row>
    <row r="625" spans="1:10" x14ac:dyDescent="0.35">
      <c r="A625" s="2">
        <v>44775</v>
      </c>
      <c r="B625" s="3">
        <v>0.80635416666666659</v>
      </c>
      <c r="C625">
        <v>9231</v>
      </c>
      <c r="D625" t="str">
        <f>VLOOKUP(H625,Produkt!$A$2:$B$5,2,FALSE)</f>
        <v>B</v>
      </c>
      <c r="H625">
        <v>2</v>
      </c>
      <c r="I625">
        <v>0.81995370370370368</v>
      </c>
      <c r="J625">
        <v>44794</v>
      </c>
    </row>
    <row r="626" spans="1:10" x14ac:dyDescent="0.35">
      <c r="A626" s="2">
        <v>44775</v>
      </c>
      <c r="B626" s="3">
        <v>0.65482638888888889</v>
      </c>
      <c r="C626">
        <v>9257</v>
      </c>
      <c r="D626" t="str">
        <f>VLOOKUP(H626,Produkt!$A$2:$B$5,2,FALSE)</f>
        <v>A</v>
      </c>
      <c r="H626">
        <v>1</v>
      </c>
      <c r="I626">
        <v>0.49167824074074074</v>
      </c>
      <c r="J626">
        <v>44783</v>
      </c>
    </row>
    <row r="627" spans="1:10" x14ac:dyDescent="0.35">
      <c r="A627" s="2">
        <v>44775</v>
      </c>
      <c r="B627" s="3">
        <v>0.92174768518518524</v>
      </c>
      <c r="C627">
        <v>9274</v>
      </c>
      <c r="D627" t="str">
        <f>VLOOKUP(H627,Produkt!$A$2:$B$5,2,FALSE)</f>
        <v>B</v>
      </c>
      <c r="H627">
        <v>2</v>
      </c>
      <c r="I627">
        <v>0.79254629629629625</v>
      </c>
      <c r="J627">
        <v>44803</v>
      </c>
    </row>
    <row r="628" spans="1:10" x14ac:dyDescent="0.35">
      <c r="A628" s="2">
        <v>44775</v>
      </c>
      <c r="B628" s="3">
        <v>0.11265046296296295</v>
      </c>
      <c r="C628">
        <v>9277</v>
      </c>
      <c r="D628" t="str">
        <f>VLOOKUP(H628,Produkt!$A$2:$B$5,2,FALSE)</f>
        <v>B</v>
      </c>
      <c r="H628">
        <v>2</v>
      </c>
      <c r="I628">
        <v>0.1120138888888889</v>
      </c>
      <c r="J628">
        <v>44774</v>
      </c>
    </row>
    <row r="629" spans="1:10" x14ac:dyDescent="0.35">
      <c r="A629" s="2">
        <v>44775</v>
      </c>
      <c r="B629" s="3">
        <v>0.78806712962962966</v>
      </c>
      <c r="C629">
        <v>9291</v>
      </c>
      <c r="D629" t="str">
        <f>VLOOKUP(H629,Produkt!$A$2:$B$5,2,FALSE)</f>
        <v>D</v>
      </c>
      <c r="H629">
        <v>4</v>
      </c>
      <c r="I629">
        <v>3.7083333333333357E-2</v>
      </c>
      <c r="J629">
        <v>44788</v>
      </c>
    </row>
    <row r="630" spans="1:10" x14ac:dyDescent="0.35">
      <c r="A630" s="2">
        <v>44775</v>
      </c>
      <c r="B630" s="3">
        <v>0.20435185185185187</v>
      </c>
      <c r="C630">
        <v>9349</v>
      </c>
      <c r="D630" t="str">
        <f>VLOOKUP(H630,Produkt!$A$2:$B$5,2,FALSE)</f>
        <v>A</v>
      </c>
      <c r="H630">
        <v>1</v>
      </c>
      <c r="I630">
        <v>0.83939814814814817</v>
      </c>
      <c r="J630">
        <v>44803</v>
      </c>
    </row>
    <row r="631" spans="1:10" x14ac:dyDescent="0.35">
      <c r="A631" s="2">
        <v>44775</v>
      </c>
      <c r="B631" s="3">
        <v>0.23129629629629631</v>
      </c>
      <c r="C631">
        <v>9373</v>
      </c>
      <c r="D631" t="str">
        <f>VLOOKUP(H631,Produkt!$A$2:$B$5,2,FALSE)</f>
        <v>B</v>
      </c>
      <c r="H631">
        <v>2</v>
      </c>
      <c r="I631">
        <v>0.90282407407407417</v>
      </c>
      <c r="J631">
        <v>44800</v>
      </c>
    </row>
    <row r="632" spans="1:10" x14ac:dyDescent="0.35">
      <c r="A632" s="2">
        <v>44775</v>
      </c>
      <c r="B632" s="3">
        <v>0.2668402777777778</v>
      </c>
      <c r="C632">
        <v>9375</v>
      </c>
      <c r="D632" t="str">
        <f>VLOOKUP(H632,Produkt!$A$2:$B$5,2,FALSE)</f>
        <v>B</v>
      </c>
      <c r="H632">
        <v>2</v>
      </c>
      <c r="I632">
        <v>0.58840277777777772</v>
      </c>
      <c r="J632">
        <v>44787</v>
      </c>
    </row>
    <row r="633" spans="1:10" x14ac:dyDescent="0.35">
      <c r="A633" s="2">
        <v>44775</v>
      </c>
      <c r="B633" s="3">
        <v>0.40142361111111113</v>
      </c>
      <c r="C633">
        <v>9397</v>
      </c>
      <c r="D633" t="str">
        <f>VLOOKUP(H633,Produkt!$A$2:$B$5,2,FALSE)</f>
        <v>B</v>
      </c>
      <c r="H633">
        <v>2</v>
      </c>
      <c r="I633">
        <v>0.84410879629629632</v>
      </c>
      <c r="J633">
        <v>44786</v>
      </c>
    </row>
    <row r="634" spans="1:10" x14ac:dyDescent="0.35">
      <c r="A634" s="2">
        <v>44775</v>
      </c>
      <c r="B634" s="3">
        <v>8.2442129629629629E-2</v>
      </c>
      <c r="C634">
        <v>9405</v>
      </c>
      <c r="D634" t="str">
        <f>VLOOKUP(H634,Produkt!$A$2:$B$5,2,FALSE)</f>
        <v>B</v>
      </c>
      <c r="H634">
        <v>2</v>
      </c>
      <c r="I634">
        <v>0.20421296296296299</v>
      </c>
      <c r="J634">
        <v>44793</v>
      </c>
    </row>
    <row r="635" spans="1:10" x14ac:dyDescent="0.35">
      <c r="A635" s="2">
        <v>44775</v>
      </c>
      <c r="B635" s="3">
        <v>0.16556712962962963</v>
      </c>
      <c r="C635">
        <v>9422</v>
      </c>
      <c r="D635" t="str">
        <f>VLOOKUP(H635,Produkt!$A$2:$B$5,2,FALSE)</f>
        <v>A</v>
      </c>
      <c r="H635">
        <v>1</v>
      </c>
      <c r="I635">
        <v>0.18285879629629631</v>
      </c>
      <c r="J635">
        <v>44796</v>
      </c>
    </row>
    <row r="636" spans="1:10" x14ac:dyDescent="0.35">
      <c r="A636" s="2">
        <v>44775</v>
      </c>
      <c r="B636" s="3">
        <v>0.4704861111111111</v>
      </c>
      <c r="C636">
        <v>9441</v>
      </c>
      <c r="D636" t="str">
        <f>VLOOKUP(H636,Produkt!$A$2:$B$5,2,FALSE)</f>
        <v>D</v>
      </c>
      <c r="H636">
        <v>4</v>
      </c>
      <c r="I636">
        <v>0.36072916666666671</v>
      </c>
      <c r="J636">
        <v>44781</v>
      </c>
    </row>
    <row r="637" spans="1:10" x14ac:dyDescent="0.35">
      <c r="A637" s="2">
        <v>44775</v>
      </c>
      <c r="B637" s="3">
        <v>0.21113425925925924</v>
      </c>
      <c r="C637">
        <v>9528</v>
      </c>
      <c r="D637" t="str">
        <f>VLOOKUP(H637,Produkt!$A$2:$B$5,2,FALSE)</f>
        <v>D</v>
      </c>
      <c r="H637">
        <v>4</v>
      </c>
      <c r="I637">
        <v>0.20093749999999999</v>
      </c>
      <c r="J637">
        <v>44792</v>
      </c>
    </row>
    <row r="638" spans="1:10" x14ac:dyDescent="0.35">
      <c r="A638" s="2">
        <v>44775</v>
      </c>
      <c r="B638" s="3">
        <v>0.42089120370370375</v>
      </c>
      <c r="C638">
        <v>9565</v>
      </c>
      <c r="D638" t="str">
        <f>VLOOKUP(H638,Produkt!$A$2:$B$5,2,FALSE)</f>
        <v>C</v>
      </c>
      <c r="H638">
        <v>3</v>
      </c>
      <c r="I638">
        <v>0.75067129629629636</v>
      </c>
      <c r="J638">
        <v>44775</v>
      </c>
    </row>
    <row r="639" spans="1:10" x14ac:dyDescent="0.35">
      <c r="A639" s="2">
        <v>44775</v>
      </c>
      <c r="B639" s="3">
        <v>0.86758101851851854</v>
      </c>
      <c r="C639">
        <v>9574</v>
      </c>
      <c r="D639" t="str">
        <f>VLOOKUP(H639,Produkt!$A$2:$B$5,2,FALSE)</f>
        <v>A</v>
      </c>
      <c r="H639">
        <v>1</v>
      </c>
      <c r="I639">
        <v>0.43634259259259256</v>
      </c>
      <c r="J639">
        <v>44791</v>
      </c>
    </row>
    <row r="640" spans="1:10" x14ac:dyDescent="0.35">
      <c r="A640" s="2">
        <v>44775</v>
      </c>
      <c r="B640" s="3">
        <v>0.18856481481481482</v>
      </c>
      <c r="C640">
        <v>9638</v>
      </c>
      <c r="D640" t="str">
        <f>VLOOKUP(H640,Produkt!$A$2:$B$5,2,FALSE)</f>
        <v>C</v>
      </c>
      <c r="H640">
        <v>3</v>
      </c>
      <c r="I640">
        <v>2.6493055555555589E-2</v>
      </c>
      <c r="J640">
        <v>44804</v>
      </c>
    </row>
    <row r="641" spans="1:10" x14ac:dyDescent="0.35">
      <c r="A641" s="2">
        <v>44775</v>
      </c>
      <c r="B641" s="3">
        <v>0.85648148148148151</v>
      </c>
      <c r="C641">
        <v>9680</v>
      </c>
      <c r="D641" t="str">
        <f>VLOOKUP(H641,Produkt!$A$2:$B$5,2,FALSE)</f>
        <v>D</v>
      </c>
      <c r="H641">
        <v>4</v>
      </c>
      <c r="I641">
        <v>0.39527777777777778</v>
      </c>
      <c r="J641">
        <v>44799</v>
      </c>
    </row>
    <row r="642" spans="1:10" x14ac:dyDescent="0.35">
      <c r="A642" s="2">
        <v>44775</v>
      </c>
      <c r="B642" s="3">
        <v>4.0231481481481479E-2</v>
      </c>
      <c r="C642">
        <v>9689</v>
      </c>
      <c r="D642" t="str">
        <f>VLOOKUP(H642,Produkt!$A$2:$B$5,2,FALSE)</f>
        <v>B</v>
      </c>
      <c r="H642">
        <v>2</v>
      </c>
      <c r="I642">
        <v>3.9641203703703706E-2</v>
      </c>
      <c r="J642">
        <v>44791</v>
      </c>
    </row>
    <row r="643" spans="1:10" x14ac:dyDescent="0.35">
      <c r="A643" s="2">
        <v>44775</v>
      </c>
      <c r="B643" s="3">
        <v>0.74940972222222213</v>
      </c>
      <c r="C643">
        <v>9712</v>
      </c>
      <c r="D643" t="str">
        <f>VLOOKUP(H643,Produkt!$A$2:$B$5,2,FALSE)</f>
        <v>A</v>
      </c>
      <c r="H643">
        <v>1</v>
      </c>
      <c r="I643">
        <v>0.63031249999999994</v>
      </c>
      <c r="J643">
        <v>44785</v>
      </c>
    </row>
    <row r="644" spans="1:10" x14ac:dyDescent="0.35">
      <c r="A644" s="2">
        <v>44775</v>
      </c>
      <c r="B644" s="3">
        <v>9.8796296296296285E-2</v>
      </c>
      <c r="C644">
        <v>9716</v>
      </c>
      <c r="D644" t="str">
        <f>VLOOKUP(H644,Produkt!$A$2:$B$5,2,FALSE)</f>
        <v>A</v>
      </c>
      <c r="H644">
        <v>1</v>
      </c>
      <c r="I644">
        <v>0.94994212962962965</v>
      </c>
      <c r="J644">
        <v>44803</v>
      </c>
    </row>
    <row r="645" spans="1:10" x14ac:dyDescent="0.35">
      <c r="A645" s="2">
        <v>44775</v>
      </c>
      <c r="B645" s="3">
        <v>0.68130787037037033</v>
      </c>
      <c r="C645">
        <v>9741</v>
      </c>
      <c r="D645" t="str">
        <f>VLOOKUP(H645,Produkt!$A$2:$B$5,2,FALSE)</f>
        <v>D</v>
      </c>
      <c r="H645">
        <v>4</v>
      </c>
      <c r="I645">
        <v>0.9937731481481481</v>
      </c>
      <c r="J645">
        <v>44801</v>
      </c>
    </row>
    <row r="646" spans="1:10" x14ac:dyDescent="0.35">
      <c r="A646" s="2">
        <v>44775</v>
      </c>
      <c r="B646" s="3">
        <v>0.27824074074074073</v>
      </c>
      <c r="C646">
        <v>9772</v>
      </c>
      <c r="D646" t="str">
        <f>VLOOKUP(H646,Produkt!$A$2:$B$5,2,FALSE)</f>
        <v>C</v>
      </c>
      <c r="H646">
        <v>3</v>
      </c>
      <c r="I646">
        <v>0.88346064814814806</v>
      </c>
      <c r="J646">
        <v>44789</v>
      </c>
    </row>
    <row r="647" spans="1:10" x14ac:dyDescent="0.35">
      <c r="A647" s="2">
        <v>44775</v>
      </c>
      <c r="B647" s="3">
        <v>0.45952546296296298</v>
      </c>
      <c r="C647">
        <v>9785</v>
      </c>
      <c r="D647" t="str">
        <f>VLOOKUP(H647,Produkt!$A$2:$B$5,2,FALSE)</f>
        <v>C</v>
      </c>
      <c r="H647">
        <v>3</v>
      </c>
      <c r="I647">
        <v>0.81160879629629623</v>
      </c>
      <c r="J647">
        <v>44778</v>
      </c>
    </row>
    <row r="648" spans="1:10" x14ac:dyDescent="0.35">
      <c r="A648" s="2">
        <v>44775</v>
      </c>
      <c r="B648" s="3">
        <v>0.16052083333333333</v>
      </c>
      <c r="C648">
        <v>9791</v>
      </c>
      <c r="D648" t="str">
        <f>VLOOKUP(H648,Produkt!$A$2:$B$5,2,FALSE)</f>
        <v>C</v>
      </c>
      <c r="H648">
        <v>3</v>
      </c>
      <c r="I648">
        <v>0.29415509259259259</v>
      </c>
      <c r="J648">
        <v>44798</v>
      </c>
    </row>
    <row r="649" spans="1:10" x14ac:dyDescent="0.35">
      <c r="A649" s="2">
        <v>44775</v>
      </c>
      <c r="B649" s="3">
        <v>0.16192129629629629</v>
      </c>
      <c r="C649">
        <v>9807</v>
      </c>
      <c r="D649" t="str">
        <f>VLOOKUP(H649,Produkt!$A$2:$B$5,2,FALSE)</f>
        <v>A</v>
      </c>
      <c r="H649">
        <v>1</v>
      </c>
      <c r="I649">
        <v>0.3747800925925926</v>
      </c>
      <c r="J649">
        <v>44780</v>
      </c>
    </row>
    <row r="650" spans="1:10" x14ac:dyDescent="0.35">
      <c r="A650" s="2">
        <v>44775</v>
      </c>
      <c r="B650" s="3">
        <v>0.42311342592592593</v>
      </c>
      <c r="C650">
        <v>9809</v>
      </c>
      <c r="D650" t="str">
        <f>VLOOKUP(H650,Produkt!$A$2:$B$5,2,FALSE)</f>
        <v>D</v>
      </c>
      <c r="H650">
        <v>4</v>
      </c>
      <c r="I650">
        <v>0.72646990740740736</v>
      </c>
      <c r="J650">
        <v>44789</v>
      </c>
    </row>
    <row r="651" spans="1:10" x14ac:dyDescent="0.35">
      <c r="A651" s="2">
        <v>44775</v>
      </c>
      <c r="B651" s="3">
        <v>0.85951388888888891</v>
      </c>
      <c r="C651">
        <v>9869</v>
      </c>
      <c r="D651" t="str">
        <f>VLOOKUP(H651,Produkt!$A$2:$B$5,2,FALSE)</f>
        <v>C</v>
      </c>
      <c r="H651">
        <v>3</v>
      </c>
      <c r="I651">
        <v>0.93396990740740737</v>
      </c>
      <c r="J651">
        <v>44779</v>
      </c>
    </row>
    <row r="652" spans="1:10" x14ac:dyDescent="0.35">
      <c r="A652" s="2">
        <v>44775</v>
      </c>
      <c r="B652" s="3">
        <v>0.99624999999999997</v>
      </c>
      <c r="C652">
        <v>9875</v>
      </c>
      <c r="D652" t="str">
        <f>VLOOKUP(H652,Produkt!$A$2:$B$5,2,FALSE)</f>
        <v>A</v>
      </c>
      <c r="H652">
        <v>1</v>
      </c>
      <c r="I652">
        <v>0.79909722222222224</v>
      </c>
      <c r="J652">
        <v>44798</v>
      </c>
    </row>
    <row r="653" spans="1:10" x14ac:dyDescent="0.35">
      <c r="A653" s="2">
        <v>44775</v>
      </c>
      <c r="B653" s="3">
        <v>3.1226851851851853E-2</v>
      </c>
      <c r="C653">
        <v>9907</v>
      </c>
      <c r="D653" t="str">
        <f>VLOOKUP(H653,Produkt!$A$2:$B$5,2,FALSE)</f>
        <v>B</v>
      </c>
      <c r="H653">
        <v>2</v>
      </c>
      <c r="I653">
        <v>0.61565972222222221</v>
      </c>
      <c r="J653">
        <v>44797</v>
      </c>
    </row>
    <row r="654" spans="1:10" x14ac:dyDescent="0.35">
      <c r="A654" s="2">
        <v>44775</v>
      </c>
      <c r="B654" s="3">
        <v>0.4418171296296296</v>
      </c>
      <c r="C654">
        <v>9979</v>
      </c>
      <c r="D654" t="str">
        <f>VLOOKUP(H654,Produkt!$A$2:$B$5,2,FALSE)</f>
        <v>C</v>
      </c>
      <c r="H654">
        <v>3</v>
      </c>
      <c r="I654">
        <v>6.2974537037037037E-2</v>
      </c>
      <c r="J654">
        <v>44780</v>
      </c>
    </row>
    <row r="655" spans="1:10" x14ac:dyDescent="0.35">
      <c r="A655" s="2">
        <v>44776</v>
      </c>
      <c r="B655" s="3">
        <v>0.85355324074074079</v>
      </c>
      <c r="C655">
        <v>17</v>
      </c>
      <c r="D655" t="str">
        <f>VLOOKUP(H655,Produkt!$A$2:$B$5,2,FALSE)</f>
        <v>B</v>
      </c>
      <c r="H655">
        <v>2</v>
      </c>
      <c r="I655">
        <v>0.33731481481481485</v>
      </c>
      <c r="J655">
        <v>44788</v>
      </c>
    </row>
    <row r="656" spans="1:10" x14ac:dyDescent="0.35">
      <c r="A656" s="2">
        <v>44776</v>
      </c>
      <c r="B656" s="3">
        <v>0.45200231481481484</v>
      </c>
      <c r="C656">
        <v>119</v>
      </c>
      <c r="D656" t="str">
        <f>VLOOKUP(H656,Produkt!$A$2:$B$5,2,FALSE)</f>
        <v>D</v>
      </c>
      <c r="H656">
        <v>4</v>
      </c>
      <c r="I656">
        <v>0.71556712962962965</v>
      </c>
      <c r="J656">
        <v>44783</v>
      </c>
    </row>
    <row r="657" spans="1:10" x14ac:dyDescent="0.35">
      <c r="A657" s="2">
        <v>44776</v>
      </c>
      <c r="B657" s="3">
        <v>0.18460648148148148</v>
      </c>
      <c r="C657">
        <v>237</v>
      </c>
      <c r="D657" t="str">
        <f>VLOOKUP(H657,Produkt!$A$2:$B$5,2,FALSE)</f>
        <v>A</v>
      </c>
      <c r="H657">
        <v>1</v>
      </c>
      <c r="I657">
        <v>9.3425925925925926E-2</v>
      </c>
      <c r="J657">
        <v>44786</v>
      </c>
    </row>
    <row r="658" spans="1:10" x14ac:dyDescent="0.35">
      <c r="A658" s="2">
        <v>44776</v>
      </c>
      <c r="B658" s="3">
        <v>0.86403935185185177</v>
      </c>
      <c r="C658">
        <v>238</v>
      </c>
      <c r="D658" t="str">
        <f>VLOOKUP(H658,Produkt!$A$2:$B$5,2,FALSE)</f>
        <v>C</v>
      </c>
      <c r="H658">
        <v>3</v>
      </c>
      <c r="I658">
        <v>0.49071759259259262</v>
      </c>
      <c r="J658">
        <v>44789</v>
      </c>
    </row>
    <row r="659" spans="1:10" x14ac:dyDescent="0.35">
      <c r="A659" s="2">
        <v>44776</v>
      </c>
      <c r="B659" s="3">
        <v>0.22741898148148146</v>
      </c>
      <c r="C659">
        <v>256</v>
      </c>
      <c r="D659" t="str">
        <f>VLOOKUP(H659,Produkt!$A$2:$B$5,2,FALSE)</f>
        <v>C</v>
      </c>
      <c r="H659">
        <v>3</v>
      </c>
      <c r="I659">
        <v>0.79378472222222218</v>
      </c>
      <c r="J659">
        <v>44790</v>
      </c>
    </row>
    <row r="660" spans="1:10" x14ac:dyDescent="0.35">
      <c r="A660" s="2">
        <v>44776</v>
      </c>
      <c r="B660" s="3">
        <v>0.88792824074074073</v>
      </c>
      <c r="C660">
        <v>282</v>
      </c>
      <c r="D660" t="str">
        <f>VLOOKUP(H660,Produkt!$A$2:$B$5,2,FALSE)</f>
        <v>C</v>
      </c>
      <c r="H660">
        <v>3</v>
      </c>
      <c r="I660">
        <v>0.51817129629629632</v>
      </c>
      <c r="J660">
        <v>44804</v>
      </c>
    </row>
    <row r="661" spans="1:10" x14ac:dyDescent="0.35">
      <c r="A661" s="2">
        <v>44776</v>
      </c>
      <c r="B661" s="3">
        <v>0.97652777777777777</v>
      </c>
      <c r="C661">
        <v>340</v>
      </c>
      <c r="D661" t="str">
        <f>VLOOKUP(H661,Produkt!$A$2:$B$5,2,FALSE)</f>
        <v>D</v>
      </c>
      <c r="H661">
        <v>4</v>
      </c>
      <c r="I661">
        <v>0.53847222222222224</v>
      </c>
      <c r="J661">
        <v>44786</v>
      </c>
    </row>
    <row r="662" spans="1:10" x14ac:dyDescent="0.35">
      <c r="A662" s="2">
        <v>44776</v>
      </c>
      <c r="B662" s="3">
        <v>6.5925925925925929E-2</v>
      </c>
      <c r="C662">
        <v>357</v>
      </c>
      <c r="D662" t="str">
        <f>VLOOKUP(H662,Produkt!$A$2:$B$5,2,FALSE)</f>
        <v>B</v>
      </c>
      <c r="H662">
        <v>2</v>
      </c>
      <c r="I662">
        <v>0.16596064814814815</v>
      </c>
      <c r="J662">
        <v>44799</v>
      </c>
    </row>
    <row r="663" spans="1:10" x14ac:dyDescent="0.35">
      <c r="A663" s="2">
        <v>44776</v>
      </c>
      <c r="B663" s="3">
        <v>0.14166666666666666</v>
      </c>
      <c r="C663">
        <v>481</v>
      </c>
      <c r="D663" t="str">
        <f>VLOOKUP(H663,Produkt!$A$2:$B$5,2,FALSE)</f>
        <v>C</v>
      </c>
      <c r="H663">
        <v>3</v>
      </c>
      <c r="I663">
        <v>0.68357638888888894</v>
      </c>
      <c r="J663">
        <v>44774</v>
      </c>
    </row>
    <row r="664" spans="1:10" x14ac:dyDescent="0.35">
      <c r="A664" s="2">
        <v>44776</v>
      </c>
      <c r="B664" s="3">
        <v>3.9699074074074074E-2</v>
      </c>
      <c r="C664">
        <v>493</v>
      </c>
      <c r="D664" t="str">
        <f>VLOOKUP(H664,Produkt!$A$2:$B$5,2,FALSE)</f>
        <v>B</v>
      </c>
      <c r="H664">
        <v>2</v>
      </c>
      <c r="I664">
        <v>1.4560185185185093E-2</v>
      </c>
      <c r="J664">
        <v>44801</v>
      </c>
    </row>
    <row r="665" spans="1:10" x14ac:dyDescent="0.35">
      <c r="A665" s="2">
        <v>44776</v>
      </c>
      <c r="B665" s="3">
        <v>0.71032407407407405</v>
      </c>
      <c r="C665">
        <v>536</v>
      </c>
      <c r="D665" t="str">
        <f>VLOOKUP(H665,Produkt!$A$2:$B$5,2,FALSE)</f>
        <v>B</v>
      </c>
      <c r="H665">
        <v>2</v>
      </c>
      <c r="I665">
        <v>0.78528935185185189</v>
      </c>
      <c r="J665">
        <v>44802</v>
      </c>
    </row>
    <row r="666" spans="1:10" x14ac:dyDescent="0.35">
      <c r="A666" s="2">
        <v>44776</v>
      </c>
      <c r="B666" s="3">
        <v>0.31063657407407408</v>
      </c>
      <c r="C666">
        <v>585</v>
      </c>
      <c r="D666" t="str">
        <f>VLOOKUP(H666,Produkt!$A$2:$B$5,2,FALSE)</f>
        <v>B</v>
      </c>
      <c r="H666">
        <v>2</v>
      </c>
      <c r="I666">
        <v>4.7673611111111104E-2</v>
      </c>
      <c r="J666">
        <v>44801</v>
      </c>
    </row>
    <row r="667" spans="1:10" x14ac:dyDescent="0.35">
      <c r="A667" s="2">
        <v>44776</v>
      </c>
      <c r="B667" s="3">
        <v>0.88054398148148139</v>
      </c>
      <c r="C667">
        <v>590</v>
      </c>
      <c r="D667" t="str">
        <f>VLOOKUP(H667,Produkt!$A$2:$B$5,2,FALSE)</f>
        <v>D</v>
      </c>
      <c r="H667">
        <v>4</v>
      </c>
      <c r="I667">
        <v>0.12740740740740741</v>
      </c>
      <c r="J667">
        <v>44785</v>
      </c>
    </row>
    <row r="668" spans="1:10" x14ac:dyDescent="0.35">
      <c r="A668" s="2">
        <v>44776</v>
      </c>
      <c r="B668" s="3">
        <v>0.34960648148148149</v>
      </c>
      <c r="C668">
        <v>597</v>
      </c>
      <c r="D668" t="str">
        <f>VLOOKUP(H668,Produkt!$A$2:$B$5,2,FALSE)</f>
        <v>A</v>
      </c>
      <c r="H668">
        <v>1</v>
      </c>
      <c r="I668">
        <v>0.10100694444444445</v>
      </c>
      <c r="J668">
        <v>44796</v>
      </c>
    </row>
    <row r="669" spans="1:10" x14ac:dyDescent="0.35">
      <c r="A669" s="2">
        <v>44776</v>
      </c>
      <c r="B669" s="3">
        <v>0.50056712962962957</v>
      </c>
      <c r="C669">
        <v>606</v>
      </c>
      <c r="D669" t="str">
        <f>VLOOKUP(H669,Produkt!$A$2:$B$5,2,FALSE)</f>
        <v>B</v>
      </c>
      <c r="H669">
        <v>2</v>
      </c>
      <c r="I669">
        <v>0.75726851851851851</v>
      </c>
      <c r="J669">
        <v>44783</v>
      </c>
    </row>
    <row r="670" spans="1:10" x14ac:dyDescent="0.35">
      <c r="A670" s="2">
        <v>44776</v>
      </c>
      <c r="B670" s="3">
        <v>0.29415509259259259</v>
      </c>
      <c r="C670">
        <v>647</v>
      </c>
      <c r="D670" t="str">
        <f>VLOOKUP(H670,Produkt!$A$2:$B$5,2,FALSE)</f>
        <v>D</v>
      </c>
      <c r="H670">
        <v>4</v>
      </c>
      <c r="I670">
        <v>0.29567129629629629</v>
      </c>
      <c r="J670">
        <v>44789</v>
      </c>
    </row>
    <row r="671" spans="1:10" x14ac:dyDescent="0.35">
      <c r="A671" s="2">
        <v>44776</v>
      </c>
      <c r="B671" s="3">
        <v>0.13343750000000001</v>
      </c>
      <c r="C671">
        <v>746</v>
      </c>
      <c r="D671" t="str">
        <f>VLOOKUP(H671,Produkt!$A$2:$B$5,2,FALSE)</f>
        <v>A</v>
      </c>
      <c r="H671">
        <v>1</v>
      </c>
      <c r="I671">
        <v>0.52270833333333333</v>
      </c>
      <c r="J671">
        <v>44796</v>
      </c>
    </row>
    <row r="672" spans="1:10" x14ac:dyDescent="0.35">
      <c r="A672" s="2">
        <v>44776</v>
      </c>
      <c r="B672" s="3">
        <v>0.35440972222222222</v>
      </c>
      <c r="C672">
        <v>898</v>
      </c>
      <c r="D672" t="str">
        <f>VLOOKUP(H672,Produkt!$A$2:$B$5,2,FALSE)</f>
        <v>C</v>
      </c>
      <c r="H672">
        <v>3</v>
      </c>
      <c r="I672">
        <v>0.99092592592592599</v>
      </c>
      <c r="J672">
        <v>44780</v>
      </c>
    </row>
    <row r="673" spans="1:10" x14ac:dyDescent="0.35">
      <c r="A673" s="2">
        <v>44776</v>
      </c>
      <c r="B673" s="3">
        <v>0.62376157407407407</v>
      </c>
      <c r="C673">
        <v>942</v>
      </c>
      <c r="D673" t="str">
        <f>VLOOKUP(H673,Produkt!$A$2:$B$5,2,FALSE)</f>
        <v>A</v>
      </c>
      <c r="H673">
        <v>1</v>
      </c>
      <c r="I673">
        <v>0.11803240740740741</v>
      </c>
      <c r="J673">
        <v>44788</v>
      </c>
    </row>
    <row r="674" spans="1:10" x14ac:dyDescent="0.35">
      <c r="A674" s="2">
        <v>44776</v>
      </c>
      <c r="B674" s="3">
        <v>0.4982523148148148</v>
      </c>
      <c r="C674">
        <v>951</v>
      </c>
      <c r="D674" t="str">
        <f>VLOOKUP(H674,Produkt!$A$2:$B$5,2,FALSE)</f>
        <v>A</v>
      </c>
      <c r="H674">
        <v>1</v>
      </c>
      <c r="I674">
        <v>0.72099537037037031</v>
      </c>
      <c r="J674">
        <v>44778</v>
      </c>
    </row>
    <row r="675" spans="1:10" x14ac:dyDescent="0.35">
      <c r="A675" s="2">
        <v>44776</v>
      </c>
      <c r="B675" s="3">
        <v>0.30511574074074072</v>
      </c>
      <c r="C675">
        <v>976</v>
      </c>
      <c r="D675" t="str">
        <f>VLOOKUP(H675,Produkt!$A$2:$B$5,2,FALSE)</f>
        <v>B</v>
      </c>
      <c r="H675">
        <v>2</v>
      </c>
      <c r="I675">
        <v>0.75344907407407413</v>
      </c>
      <c r="J675">
        <v>44789</v>
      </c>
    </row>
    <row r="676" spans="1:10" x14ac:dyDescent="0.35">
      <c r="A676" s="2">
        <v>44776</v>
      </c>
      <c r="B676" s="3">
        <v>0.32929398148148148</v>
      </c>
      <c r="C676">
        <v>1011</v>
      </c>
      <c r="D676" t="str">
        <f>VLOOKUP(H676,Produkt!$A$2:$B$5,2,FALSE)</f>
        <v>B</v>
      </c>
      <c r="H676">
        <v>2</v>
      </c>
      <c r="I676">
        <v>0.22096064814814817</v>
      </c>
      <c r="J676">
        <v>44777</v>
      </c>
    </row>
    <row r="677" spans="1:10" x14ac:dyDescent="0.35">
      <c r="A677" s="2">
        <v>44776</v>
      </c>
      <c r="B677" s="3">
        <v>0.54861111111111105</v>
      </c>
      <c r="C677">
        <v>1032</v>
      </c>
      <c r="D677" t="str">
        <f>VLOOKUP(H677,Produkt!$A$2:$B$5,2,FALSE)</f>
        <v>A</v>
      </c>
      <c r="H677">
        <v>1</v>
      </c>
      <c r="I677">
        <v>0.97424768518518512</v>
      </c>
      <c r="J677">
        <v>44794</v>
      </c>
    </row>
    <row r="678" spans="1:10" x14ac:dyDescent="0.35">
      <c r="A678" s="2">
        <v>44776</v>
      </c>
      <c r="B678" s="3">
        <v>0.80899305555555545</v>
      </c>
      <c r="C678">
        <v>1110</v>
      </c>
      <c r="D678" t="str">
        <f>VLOOKUP(H678,Produkt!$A$2:$B$5,2,FALSE)</f>
        <v>B</v>
      </c>
      <c r="H678">
        <v>2</v>
      </c>
      <c r="I678">
        <v>5.4189814814814809E-2</v>
      </c>
      <c r="J678">
        <v>44781</v>
      </c>
    </row>
    <row r="679" spans="1:10" x14ac:dyDescent="0.35">
      <c r="A679" s="2">
        <v>44776</v>
      </c>
      <c r="B679" s="3">
        <v>0.3877430555555556</v>
      </c>
      <c r="C679">
        <v>1114</v>
      </c>
      <c r="D679" t="str">
        <f>VLOOKUP(H679,Produkt!$A$2:$B$5,2,FALSE)</f>
        <v>A</v>
      </c>
      <c r="H679">
        <v>1</v>
      </c>
      <c r="I679">
        <v>3.340277777777767E-2</v>
      </c>
      <c r="J679">
        <v>44789</v>
      </c>
    </row>
    <row r="680" spans="1:10" x14ac:dyDescent="0.35">
      <c r="A680" s="2">
        <v>44776</v>
      </c>
      <c r="B680" s="3">
        <v>0.28489583333333335</v>
      </c>
      <c r="C680">
        <v>1134</v>
      </c>
      <c r="D680" t="str">
        <f>VLOOKUP(H680,Produkt!$A$2:$B$5,2,FALSE)</f>
        <v>C</v>
      </c>
      <c r="H680">
        <v>3</v>
      </c>
      <c r="I680">
        <v>0.641087962962963</v>
      </c>
      <c r="J680">
        <v>44775</v>
      </c>
    </row>
    <row r="681" spans="1:10" x14ac:dyDescent="0.35">
      <c r="A681" s="2">
        <v>44776</v>
      </c>
      <c r="B681" s="3">
        <v>0.14650462962962962</v>
      </c>
      <c r="C681">
        <v>1136</v>
      </c>
      <c r="D681" t="str">
        <f>VLOOKUP(H681,Produkt!$A$2:$B$5,2,FALSE)</f>
        <v>B</v>
      </c>
      <c r="H681">
        <v>2</v>
      </c>
      <c r="I681">
        <v>0.7753472222222223</v>
      </c>
      <c r="J681">
        <v>44800</v>
      </c>
    </row>
    <row r="682" spans="1:10" x14ac:dyDescent="0.35">
      <c r="A682" s="2">
        <v>44776</v>
      </c>
      <c r="B682" s="3">
        <v>0.68215277777777772</v>
      </c>
      <c r="C682">
        <v>1141</v>
      </c>
      <c r="D682" t="str">
        <f>VLOOKUP(H682,Produkt!$A$2:$B$5,2,FALSE)</f>
        <v>C</v>
      </c>
      <c r="H682">
        <v>3</v>
      </c>
      <c r="I682">
        <v>0.42937500000000001</v>
      </c>
      <c r="J682">
        <v>44774</v>
      </c>
    </row>
    <row r="683" spans="1:10" x14ac:dyDescent="0.35">
      <c r="A683" s="2">
        <v>44776</v>
      </c>
      <c r="B683" s="3">
        <v>1.3993055555555555E-2</v>
      </c>
      <c r="C683">
        <v>1158</v>
      </c>
      <c r="D683" t="str">
        <f>VLOOKUP(H683,Produkt!$A$2:$B$5,2,FALSE)</f>
        <v>C</v>
      </c>
      <c r="H683">
        <v>3</v>
      </c>
      <c r="I683">
        <v>2.7824074074074074E-2</v>
      </c>
      <c r="J683">
        <v>44784</v>
      </c>
    </row>
    <row r="684" spans="1:10" x14ac:dyDescent="0.35">
      <c r="A684" s="2">
        <v>44776</v>
      </c>
      <c r="B684" s="3">
        <v>0.34471064814814811</v>
      </c>
      <c r="C684">
        <v>1172</v>
      </c>
      <c r="D684" t="str">
        <f>VLOOKUP(H684,Produkt!$A$2:$B$5,2,FALSE)</f>
        <v>D</v>
      </c>
      <c r="H684">
        <v>4</v>
      </c>
      <c r="I684">
        <v>0.31396990740740743</v>
      </c>
      <c r="J684">
        <v>44804</v>
      </c>
    </row>
    <row r="685" spans="1:10" x14ac:dyDescent="0.35">
      <c r="A685" s="2">
        <v>44776</v>
      </c>
      <c r="B685" s="3">
        <v>3.2870370370370367E-3</v>
      </c>
      <c r="C685">
        <v>1231</v>
      </c>
      <c r="D685" t="str">
        <f>VLOOKUP(H685,Produkt!$A$2:$B$5,2,FALSE)</f>
        <v>D</v>
      </c>
      <c r="H685">
        <v>4</v>
      </c>
      <c r="I685">
        <v>0.31969907407407411</v>
      </c>
      <c r="J685">
        <v>44797</v>
      </c>
    </row>
    <row r="686" spans="1:10" x14ac:dyDescent="0.35">
      <c r="A686" s="2">
        <v>44776</v>
      </c>
      <c r="B686" s="3">
        <v>5.1574074074074078E-2</v>
      </c>
      <c r="C686">
        <v>1234</v>
      </c>
      <c r="D686" t="str">
        <f>VLOOKUP(H686,Produkt!$A$2:$B$5,2,FALSE)</f>
        <v>C</v>
      </c>
      <c r="H686">
        <v>3</v>
      </c>
      <c r="I686">
        <v>0.46651620370370367</v>
      </c>
      <c r="J686">
        <v>44786</v>
      </c>
    </row>
    <row r="687" spans="1:10" x14ac:dyDescent="0.35">
      <c r="A687" s="2">
        <v>44776</v>
      </c>
      <c r="B687" s="3">
        <v>0.65442129629629631</v>
      </c>
      <c r="C687">
        <v>1247</v>
      </c>
      <c r="D687" t="str">
        <f>VLOOKUP(H687,Produkt!$A$2:$B$5,2,FALSE)</f>
        <v>A</v>
      </c>
      <c r="H687">
        <v>1</v>
      </c>
      <c r="I687">
        <v>0.90071759259259254</v>
      </c>
      <c r="J687">
        <v>44804</v>
      </c>
    </row>
    <row r="688" spans="1:10" x14ac:dyDescent="0.35">
      <c r="A688" s="2">
        <v>44776</v>
      </c>
      <c r="B688" s="3">
        <v>0.44289351851851855</v>
      </c>
      <c r="C688">
        <v>1248</v>
      </c>
      <c r="D688" t="str">
        <f>VLOOKUP(H688,Produkt!$A$2:$B$5,2,FALSE)</f>
        <v>B</v>
      </c>
      <c r="H688">
        <v>2</v>
      </c>
      <c r="I688">
        <v>0.66857638888888893</v>
      </c>
      <c r="J688">
        <v>44796</v>
      </c>
    </row>
    <row r="689" spans="1:10" x14ac:dyDescent="0.35">
      <c r="A689" s="2">
        <v>44776</v>
      </c>
      <c r="B689" s="3">
        <v>0.52773148148148141</v>
      </c>
      <c r="C689">
        <v>1312</v>
      </c>
      <c r="D689" t="str">
        <f>VLOOKUP(H689,Produkt!$A$2:$B$5,2,FALSE)</f>
        <v>C</v>
      </c>
      <c r="H689">
        <v>3</v>
      </c>
      <c r="I689">
        <v>0.61502314814814818</v>
      </c>
      <c r="J689">
        <v>44782</v>
      </c>
    </row>
    <row r="690" spans="1:10" x14ac:dyDescent="0.35">
      <c r="A690" s="2">
        <v>44776</v>
      </c>
      <c r="B690" s="3">
        <v>0.38686342592592587</v>
      </c>
      <c r="C690">
        <v>1334</v>
      </c>
      <c r="D690" t="str">
        <f>VLOOKUP(H690,Produkt!$A$2:$B$5,2,FALSE)</f>
        <v>B</v>
      </c>
      <c r="H690">
        <v>2</v>
      </c>
      <c r="I690">
        <v>0.58696759259259257</v>
      </c>
      <c r="J690">
        <v>44783</v>
      </c>
    </row>
    <row r="691" spans="1:10" x14ac:dyDescent="0.35">
      <c r="A691" s="2">
        <v>44776</v>
      </c>
      <c r="B691" s="3">
        <v>9.1724537037037035E-2</v>
      </c>
      <c r="C691">
        <v>1343</v>
      </c>
      <c r="D691" t="str">
        <f>VLOOKUP(H691,Produkt!$A$2:$B$5,2,FALSE)</f>
        <v>A</v>
      </c>
      <c r="H691">
        <v>1</v>
      </c>
      <c r="I691">
        <v>0.32939814814814816</v>
      </c>
      <c r="J691">
        <v>44799</v>
      </c>
    </row>
    <row r="692" spans="1:10" x14ac:dyDescent="0.35">
      <c r="A692" s="2">
        <v>44776</v>
      </c>
      <c r="B692" s="3">
        <v>0.17247685185185183</v>
      </c>
      <c r="C692">
        <v>1433</v>
      </c>
      <c r="D692" t="str">
        <f>VLOOKUP(H692,Produkt!$A$2:$B$5,2,FALSE)</f>
        <v>C</v>
      </c>
      <c r="H692">
        <v>3</v>
      </c>
      <c r="I692">
        <v>0.4600231481481481</v>
      </c>
      <c r="J692">
        <v>44778</v>
      </c>
    </row>
    <row r="693" spans="1:10" x14ac:dyDescent="0.35">
      <c r="A693" s="2">
        <v>44776</v>
      </c>
      <c r="B693" s="3">
        <v>0.78711805555555558</v>
      </c>
      <c r="C693">
        <v>1446</v>
      </c>
      <c r="D693" t="str">
        <f>VLOOKUP(H693,Produkt!$A$2:$B$5,2,FALSE)</f>
        <v>B</v>
      </c>
      <c r="H693">
        <v>2</v>
      </c>
      <c r="I693">
        <v>0.63526620370370368</v>
      </c>
      <c r="J693">
        <v>44789</v>
      </c>
    </row>
    <row r="694" spans="1:10" x14ac:dyDescent="0.35">
      <c r="A694" s="2">
        <v>44776</v>
      </c>
      <c r="B694" s="3">
        <v>0.96034722222222213</v>
      </c>
      <c r="C694">
        <v>1496</v>
      </c>
      <c r="D694" t="str">
        <f>VLOOKUP(H694,Produkt!$A$2:$B$5,2,FALSE)</f>
        <v>B</v>
      </c>
      <c r="H694">
        <v>2</v>
      </c>
      <c r="I694">
        <v>7.0879629629629626E-2</v>
      </c>
      <c r="J694">
        <v>44792</v>
      </c>
    </row>
    <row r="695" spans="1:10" x14ac:dyDescent="0.35">
      <c r="A695" s="2">
        <v>44776</v>
      </c>
      <c r="B695" s="3">
        <v>0.13532407407407407</v>
      </c>
      <c r="C695">
        <v>1510</v>
      </c>
      <c r="D695" t="str">
        <f>VLOOKUP(H695,Produkt!$A$2:$B$5,2,FALSE)</f>
        <v>A</v>
      </c>
      <c r="H695">
        <v>1</v>
      </c>
      <c r="I695">
        <v>0.35159722222222217</v>
      </c>
      <c r="J695">
        <v>44776</v>
      </c>
    </row>
    <row r="696" spans="1:10" x14ac:dyDescent="0.35">
      <c r="A696" s="2">
        <v>44776</v>
      </c>
      <c r="B696" s="3">
        <v>0.37258101851851855</v>
      </c>
      <c r="C696">
        <v>1531</v>
      </c>
      <c r="D696" t="str">
        <f>VLOOKUP(H696,Produkt!$A$2:$B$5,2,FALSE)</f>
        <v>D</v>
      </c>
      <c r="H696">
        <v>4</v>
      </c>
      <c r="I696">
        <v>0.69793981481481471</v>
      </c>
      <c r="J696">
        <v>44803</v>
      </c>
    </row>
    <row r="697" spans="1:10" x14ac:dyDescent="0.35">
      <c r="A697" s="2">
        <v>44776</v>
      </c>
      <c r="B697" s="3">
        <v>0.43518518518518517</v>
      </c>
      <c r="C697">
        <v>1592</v>
      </c>
      <c r="D697" t="str">
        <f>VLOOKUP(H697,Produkt!$A$2:$B$5,2,FALSE)</f>
        <v>C</v>
      </c>
      <c r="H697">
        <v>3</v>
      </c>
      <c r="I697">
        <v>0.51090277777777782</v>
      </c>
      <c r="J697">
        <v>44804</v>
      </c>
    </row>
    <row r="698" spans="1:10" x14ac:dyDescent="0.35">
      <c r="A698" s="2">
        <v>44776</v>
      </c>
      <c r="B698" s="3">
        <v>0.47148148148148145</v>
      </c>
      <c r="C698">
        <v>1602</v>
      </c>
      <c r="D698" t="str">
        <f>VLOOKUP(H698,Produkt!$A$2:$B$5,2,FALSE)</f>
        <v>B</v>
      </c>
      <c r="H698">
        <v>2</v>
      </c>
      <c r="I698">
        <v>2.2199074074074066E-2</v>
      </c>
      <c r="J698">
        <v>44780</v>
      </c>
    </row>
    <row r="699" spans="1:10" x14ac:dyDescent="0.35">
      <c r="A699" s="2">
        <v>44776</v>
      </c>
      <c r="B699" s="3">
        <v>0.19674768518518518</v>
      </c>
      <c r="C699">
        <v>1634</v>
      </c>
      <c r="D699" t="str">
        <f>VLOOKUP(H699,Produkt!$A$2:$B$5,2,FALSE)</f>
        <v>C</v>
      </c>
      <c r="H699">
        <v>3</v>
      </c>
      <c r="I699">
        <v>0.14906250000000001</v>
      </c>
      <c r="J699">
        <v>44796</v>
      </c>
    </row>
    <row r="700" spans="1:10" x14ac:dyDescent="0.35">
      <c r="A700" s="2">
        <v>44776</v>
      </c>
      <c r="B700" s="3">
        <v>8.4803240740740748E-2</v>
      </c>
      <c r="C700">
        <v>1635</v>
      </c>
      <c r="D700" t="str">
        <f>VLOOKUP(H700,Produkt!$A$2:$B$5,2,FALSE)</f>
        <v>A</v>
      </c>
      <c r="H700">
        <v>1</v>
      </c>
      <c r="I700">
        <v>0.62629629629629624</v>
      </c>
      <c r="J700">
        <v>44804</v>
      </c>
    </row>
    <row r="701" spans="1:10" x14ac:dyDescent="0.35">
      <c r="A701" s="2">
        <v>44776</v>
      </c>
      <c r="B701" s="3">
        <v>0.60685185185185186</v>
      </c>
      <c r="C701">
        <v>1691</v>
      </c>
      <c r="D701" t="str">
        <f>VLOOKUP(H701,Produkt!$A$2:$B$5,2,FALSE)</f>
        <v>A</v>
      </c>
      <c r="H701">
        <v>1</v>
      </c>
      <c r="I701">
        <v>0.54025462962962967</v>
      </c>
      <c r="J701">
        <v>44779</v>
      </c>
    </row>
    <row r="702" spans="1:10" x14ac:dyDescent="0.35">
      <c r="A702" s="2">
        <v>44776</v>
      </c>
      <c r="B702" s="3">
        <v>0.43084490740740744</v>
      </c>
      <c r="C702">
        <v>1724</v>
      </c>
      <c r="D702" t="str">
        <f>VLOOKUP(H702,Produkt!$A$2:$B$5,2,FALSE)</f>
        <v>A</v>
      </c>
      <c r="H702">
        <v>1</v>
      </c>
      <c r="I702">
        <v>0.14619212962962963</v>
      </c>
      <c r="J702">
        <v>44795</v>
      </c>
    </row>
    <row r="703" spans="1:10" x14ac:dyDescent="0.35">
      <c r="A703" s="2">
        <v>44776</v>
      </c>
      <c r="B703" s="3">
        <v>0.27673611111111113</v>
      </c>
      <c r="C703">
        <v>1796</v>
      </c>
      <c r="D703" t="str">
        <f>VLOOKUP(H703,Produkt!$A$2:$B$5,2,FALSE)</f>
        <v>A</v>
      </c>
      <c r="H703">
        <v>1</v>
      </c>
      <c r="I703">
        <v>1.9201388888888893E-2</v>
      </c>
      <c r="J703">
        <v>44779</v>
      </c>
    </row>
    <row r="704" spans="1:10" x14ac:dyDescent="0.35">
      <c r="A704" s="2">
        <v>44776</v>
      </c>
      <c r="B704" s="3">
        <v>0.96560185185185177</v>
      </c>
      <c r="C704">
        <v>1821</v>
      </c>
      <c r="D704" t="str">
        <f>VLOOKUP(H704,Produkt!$A$2:$B$5,2,FALSE)</f>
        <v>B</v>
      </c>
      <c r="H704">
        <v>2</v>
      </c>
      <c r="I704">
        <v>0.67969907407407415</v>
      </c>
      <c r="J704">
        <v>44781</v>
      </c>
    </row>
    <row r="705" spans="1:10" x14ac:dyDescent="0.35">
      <c r="A705" s="2">
        <v>44776</v>
      </c>
      <c r="B705" s="3">
        <v>0.28376157407407404</v>
      </c>
      <c r="C705">
        <v>1826</v>
      </c>
      <c r="D705" t="str">
        <f>VLOOKUP(H705,Produkt!$A$2:$B$5,2,FALSE)</f>
        <v>D</v>
      </c>
      <c r="H705">
        <v>4</v>
      </c>
      <c r="I705">
        <v>0.33124999999999999</v>
      </c>
      <c r="J705">
        <v>44797</v>
      </c>
    </row>
    <row r="706" spans="1:10" x14ac:dyDescent="0.35">
      <c r="A706" s="2">
        <v>44776</v>
      </c>
      <c r="B706" s="3">
        <v>0.77097222222222228</v>
      </c>
      <c r="C706">
        <v>1843</v>
      </c>
      <c r="D706" t="str">
        <f>VLOOKUP(H706,Produkt!$A$2:$B$5,2,FALSE)</f>
        <v>A</v>
      </c>
      <c r="H706">
        <v>1</v>
      </c>
      <c r="I706">
        <v>8.8159722222222223E-2</v>
      </c>
      <c r="J706">
        <v>44789</v>
      </c>
    </row>
    <row r="707" spans="1:10" x14ac:dyDescent="0.35">
      <c r="A707" s="2">
        <v>44776</v>
      </c>
      <c r="B707" s="3">
        <v>0.25641203703703702</v>
      </c>
      <c r="C707">
        <v>1871</v>
      </c>
      <c r="D707" t="str">
        <f>VLOOKUP(H707,Produkt!$A$2:$B$5,2,FALSE)</f>
        <v>D</v>
      </c>
      <c r="H707">
        <v>4</v>
      </c>
      <c r="I707">
        <v>2.9409722222222268E-2</v>
      </c>
      <c r="J707">
        <v>44794</v>
      </c>
    </row>
    <row r="708" spans="1:10" x14ac:dyDescent="0.35">
      <c r="A708" s="2">
        <v>44776</v>
      </c>
      <c r="B708" s="3">
        <v>0.20560185185185187</v>
      </c>
      <c r="C708">
        <v>1897</v>
      </c>
      <c r="D708" t="str">
        <f>VLOOKUP(H708,Produkt!$A$2:$B$5,2,FALSE)</f>
        <v>A</v>
      </c>
      <c r="H708">
        <v>1</v>
      </c>
      <c r="I708">
        <v>0.42767361111111107</v>
      </c>
      <c r="J708">
        <v>44799</v>
      </c>
    </row>
    <row r="709" spans="1:10" x14ac:dyDescent="0.35">
      <c r="A709" s="2">
        <v>44776</v>
      </c>
      <c r="B709" s="3">
        <v>7.0694444444444449E-2</v>
      </c>
      <c r="C709">
        <v>1910</v>
      </c>
      <c r="D709" t="str">
        <f>VLOOKUP(H709,Produkt!$A$2:$B$5,2,FALSE)</f>
        <v>B</v>
      </c>
      <c r="H709">
        <v>2</v>
      </c>
      <c r="I709">
        <v>2.1388888888888902E-2</v>
      </c>
      <c r="J709">
        <v>44800</v>
      </c>
    </row>
    <row r="710" spans="1:10" x14ac:dyDescent="0.35">
      <c r="A710" s="2">
        <v>44776</v>
      </c>
      <c r="B710" s="3">
        <v>0.41575231481481478</v>
      </c>
      <c r="C710">
        <v>1918</v>
      </c>
      <c r="D710" t="str">
        <f>VLOOKUP(H710,Produkt!$A$2:$B$5,2,FALSE)</f>
        <v>A</v>
      </c>
      <c r="H710">
        <v>1</v>
      </c>
      <c r="I710">
        <v>0.40612268518518518</v>
      </c>
      <c r="J710">
        <v>44777</v>
      </c>
    </row>
    <row r="711" spans="1:10" x14ac:dyDescent="0.35">
      <c r="A711" s="2">
        <v>44776</v>
      </c>
      <c r="B711" s="3">
        <v>0.70487268518518509</v>
      </c>
      <c r="C711">
        <v>1919</v>
      </c>
      <c r="D711" t="str">
        <f>VLOOKUP(H711,Produkt!$A$2:$B$5,2,FALSE)</f>
        <v>C</v>
      </c>
      <c r="H711">
        <v>3</v>
      </c>
      <c r="I711">
        <v>0.73383101851851851</v>
      </c>
      <c r="J711">
        <v>44788</v>
      </c>
    </row>
    <row r="712" spans="1:10" x14ac:dyDescent="0.35">
      <c r="A712" s="2">
        <v>44776</v>
      </c>
      <c r="B712" s="3">
        <v>0.27189814814814817</v>
      </c>
      <c r="C712">
        <v>1931</v>
      </c>
      <c r="D712" t="str">
        <f>VLOOKUP(H712,Produkt!$A$2:$B$5,2,FALSE)</f>
        <v>A</v>
      </c>
      <c r="H712">
        <v>1</v>
      </c>
      <c r="I712">
        <v>0.33136574074074071</v>
      </c>
      <c r="J712">
        <v>44804</v>
      </c>
    </row>
    <row r="713" spans="1:10" x14ac:dyDescent="0.35">
      <c r="A713" s="2">
        <v>44776</v>
      </c>
      <c r="B713" s="3">
        <v>0.95361111111111108</v>
      </c>
      <c r="C713">
        <v>2005</v>
      </c>
      <c r="D713" t="str">
        <f>VLOOKUP(H713,Produkt!$A$2:$B$5,2,FALSE)</f>
        <v>A</v>
      </c>
      <c r="H713">
        <v>1</v>
      </c>
      <c r="I713">
        <v>0.91145833333333337</v>
      </c>
      <c r="J713">
        <v>44789</v>
      </c>
    </row>
    <row r="714" spans="1:10" x14ac:dyDescent="0.35">
      <c r="A714" s="2">
        <v>44776</v>
      </c>
      <c r="B714" s="3">
        <v>0.66892361111111109</v>
      </c>
      <c r="C714">
        <v>2006</v>
      </c>
      <c r="D714" t="str">
        <f>VLOOKUP(H714,Produkt!$A$2:$B$5,2,FALSE)</f>
        <v>A</v>
      </c>
      <c r="H714">
        <v>1</v>
      </c>
      <c r="I714">
        <v>0.41500000000000004</v>
      </c>
      <c r="J714">
        <v>44794</v>
      </c>
    </row>
    <row r="715" spans="1:10" x14ac:dyDescent="0.35">
      <c r="A715" s="2">
        <v>44776</v>
      </c>
      <c r="B715" s="3">
        <v>0.89778935185185194</v>
      </c>
      <c r="C715">
        <v>2011</v>
      </c>
      <c r="D715" t="str">
        <f>VLOOKUP(H715,Produkt!$A$2:$B$5,2,FALSE)</f>
        <v>D</v>
      </c>
      <c r="H715">
        <v>4</v>
      </c>
      <c r="I715">
        <v>1.6712962962962961E-2</v>
      </c>
      <c r="J715">
        <v>44797</v>
      </c>
    </row>
    <row r="716" spans="1:10" x14ac:dyDescent="0.35">
      <c r="A716" s="2">
        <v>44776</v>
      </c>
      <c r="B716" s="3">
        <v>0.14369212962962963</v>
      </c>
      <c r="C716">
        <v>2127</v>
      </c>
      <c r="D716" t="str">
        <f>VLOOKUP(H716,Produkt!$A$2:$B$5,2,FALSE)</f>
        <v>C</v>
      </c>
      <c r="H716">
        <v>3</v>
      </c>
      <c r="I716">
        <v>0.50965277777777784</v>
      </c>
      <c r="J716">
        <v>44781</v>
      </c>
    </row>
    <row r="717" spans="1:10" x14ac:dyDescent="0.35">
      <c r="A717" s="2">
        <v>44776</v>
      </c>
      <c r="B717" s="3">
        <v>0.51284722222222223</v>
      </c>
      <c r="C717">
        <v>2177</v>
      </c>
      <c r="D717" t="str">
        <f>VLOOKUP(H717,Produkt!$A$2:$B$5,2,FALSE)</f>
        <v>D</v>
      </c>
      <c r="H717">
        <v>4</v>
      </c>
      <c r="I717">
        <v>0.25355324074074076</v>
      </c>
      <c r="J717">
        <v>44797</v>
      </c>
    </row>
    <row r="718" spans="1:10" x14ac:dyDescent="0.35">
      <c r="A718" s="2">
        <v>44776</v>
      </c>
      <c r="B718" s="3">
        <v>0.63563657407407403</v>
      </c>
      <c r="C718">
        <v>2221</v>
      </c>
      <c r="D718" t="str">
        <f>VLOOKUP(H718,Produkt!$A$2:$B$5,2,FALSE)</f>
        <v>D</v>
      </c>
      <c r="H718">
        <v>4</v>
      </c>
      <c r="I718">
        <v>0.61053240740740744</v>
      </c>
      <c r="J718">
        <v>44800</v>
      </c>
    </row>
    <row r="719" spans="1:10" x14ac:dyDescent="0.35">
      <c r="A719" s="2">
        <v>44776</v>
      </c>
      <c r="B719" s="3">
        <v>0.40769675925925924</v>
      </c>
      <c r="C719">
        <v>2325</v>
      </c>
      <c r="D719" t="str">
        <f>VLOOKUP(H719,Produkt!$A$2:$B$5,2,FALSE)</f>
        <v>D</v>
      </c>
      <c r="H719">
        <v>4</v>
      </c>
      <c r="I719">
        <v>0.36854166666666671</v>
      </c>
      <c r="J719">
        <v>44802</v>
      </c>
    </row>
    <row r="720" spans="1:10" x14ac:dyDescent="0.35">
      <c r="A720" s="2">
        <v>44776</v>
      </c>
      <c r="B720" s="3">
        <v>0.70856481481481481</v>
      </c>
      <c r="C720">
        <v>2373</v>
      </c>
      <c r="D720" t="str">
        <f>VLOOKUP(H720,Produkt!$A$2:$B$5,2,FALSE)</f>
        <v>C</v>
      </c>
      <c r="H720">
        <v>3</v>
      </c>
      <c r="I720">
        <v>0.31074074074074071</v>
      </c>
      <c r="J720">
        <v>44794</v>
      </c>
    </row>
    <row r="721" spans="1:10" x14ac:dyDescent="0.35">
      <c r="A721" s="2">
        <v>44776</v>
      </c>
      <c r="B721" s="3">
        <v>0.84326388888888892</v>
      </c>
      <c r="C721">
        <v>2380</v>
      </c>
      <c r="D721" t="str">
        <f>VLOOKUP(H721,Produkt!$A$2:$B$5,2,FALSE)</f>
        <v>B</v>
      </c>
      <c r="H721">
        <v>2</v>
      </c>
      <c r="I721">
        <v>0.59450231481481486</v>
      </c>
      <c r="J721">
        <v>44774</v>
      </c>
    </row>
    <row r="722" spans="1:10" x14ac:dyDescent="0.35">
      <c r="A722" s="2">
        <v>44776</v>
      </c>
      <c r="B722" s="3">
        <v>0.35628472222222224</v>
      </c>
      <c r="C722">
        <v>2383</v>
      </c>
      <c r="D722" t="str">
        <f>VLOOKUP(H722,Produkt!$A$2:$B$5,2,FALSE)</f>
        <v>C</v>
      </c>
      <c r="H722">
        <v>3</v>
      </c>
      <c r="I722">
        <v>0.54225694444444439</v>
      </c>
      <c r="J722">
        <v>44804</v>
      </c>
    </row>
    <row r="723" spans="1:10" x14ac:dyDescent="0.35">
      <c r="A723" s="2">
        <v>44776</v>
      </c>
      <c r="B723" s="3">
        <v>0.77910879629629637</v>
      </c>
      <c r="C723">
        <v>2386</v>
      </c>
      <c r="D723" t="str">
        <f>VLOOKUP(H723,Produkt!$A$2:$B$5,2,FALSE)</f>
        <v>A</v>
      </c>
      <c r="H723">
        <v>1</v>
      </c>
      <c r="I723">
        <v>0.61383101851851851</v>
      </c>
      <c r="J723">
        <v>44789</v>
      </c>
    </row>
    <row r="724" spans="1:10" x14ac:dyDescent="0.35">
      <c r="A724" s="2">
        <v>44776</v>
      </c>
      <c r="B724" s="3">
        <v>0.29072916666666665</v>
      </c>
      <c r="C724">
        <v>2403</v>
      </c>
      <c r="D724" t="str">
        <f>VLOOKUP(H724,Produkt!$A$2:$B$5,2,FALSE)</f>
        <v>D</v>
      </c>
      <c r="H724">
        <v>4</v>
      </c>
      <c r="I724">
        <v>0.53116898148148151</v>
      </c>
      <c r="J724">
        <v>44799</v>
      </c>
    </row>
    <row r="725" spans="1:10" x14ac:dyDescent="0.35">
      <c r="A725" s="2">
        <v>44776</v>
      </c>
      <c r="B725" s="3">
        <v>0.25009259259259259</v>
      </c>
      <c r="C725">
        <v>2413</v>
      </c>
      <c r="D725" t="str">
        <f>VLOOKUP(H725,Produkt!$A$2:$B$5,2,FALSE)</f>
        <v>A</v>
      </c>
      <c r="H725">
        <v>1</v>
      </c>
      <c r="I725">
        <v>0.63737268518518519</v>
      </c>
      <c r="J725">
        <v>44791</v>
      </c>
    </row>
    <row r="726" spans="1:10" x14ac:dyDescent="0.35">
      <c r="A726" s="2">
        <v>44776</v>
      </c>
      <c r="B726" s="3">
        <v>0.43863425925925931</v>
      </c>
      <c r="C726">
        <v>2420</v>
      </c>
      <c r="D726" t="str">
        <f>VLOOKUP(H726,Produkt!$A$2:$B$5,2,FALSE)</f>
        <v>B</v>
      </c>
      <c r="H726">
        <v>2</v>
      </c>
      <c r="I726">
        <v>0.83431712962962967</v>
      </c>
      <c r="J726">
        <v>44775</v>
      </c>
    </row>
    <row r="727" spans="1:10" x14ac:dyDescent="0.35">
      <c r="A727" s="2">
        <v>44776</v>
      </c>
      <c r="B727" s="3">
        <v>0.94127314814814811</v>
      </c>
      <c r="C727">
        <v>2434</v>
      </c>
      <c r="D727" t="str">
        <f>VLOOKUP(H727,Produkt!$A$2:$B$5,2,FALSE)</f>
        <v>B</v>
      </c>
      <c r="H727">
        <v>2</v>
      </c>
      <c r="I727">
        <v>0.6308449074074074</v>
      </c>
      <c r="J727">
        <v>44781</v>
      </c>
    </row>
    <row r="728" spans="1:10" x14ac:dyDescent="0.35">
      <c r="A728" s="2">
        <v>44776</v>
      </c>
      <c r="B728" s="3">
        <v>0.92608796296296303</v>
      </c>
      <c r="C728">
        <v>2440</v>
      </c>
      <c r="D728" t="str">
        <f>VLOOKUP(H728,Produkt!$A$2:$B$5,2,FALSE)</f>
        <v>C</v>
      </c>
      <c r="H728">
        <v>3</v>
      </c>
      <c r="I728">
        <v>0.69918981481481479</v>
      </c>
      <c r="J728">
        <v>44783</v>
      </c>
    </row>
    <row r="729" spans="1:10" x14ac:dyDescent="0.35">
      <c r="A729" s="2">
        <v>44776</v>
      </c>
      <c r="B729" s="3">
        <v>0.4381944444444445</v>
      </c>
      <c r="C729">
        <v>2476</v>
      </c>
      <c r="D729" t="str">
        <f>VLOOKUP(H729,Produkt!$A$2:$B$5,2,FALSE)</f>
        <v>A</v>
      </c>
      <c r="H729">
        <v>1</v>
      </c>
      <c r="I729">
        <v>0.10380787037037037</v>
      </c>
      <c r="J729">
        <v>44801</v>
      </c>
    </row>
    <row r="730" spans="1:10" x14ac:dyDescent="0.35">
      <c r="A730" s="2">
        <v>44776</v>
      </c>
      <c r="B730" s="3">
        <v>2.1990740740740741E-2</v>
      </c>
      <c r="C730">
        <v>2478</v>
      </c>
      <c r="D730" t="str">
        <f>VLOOKUP(H730,Produkt!$A$2:$B$5,2,FALSE)</f>
        <v>D</v>
      </c>
      <c r="H730">
        <v>4</v>
      </c>
      <c r="I730">
        <v>0.78731481481481491</v>
      </c>
      <c r="J730">
        <v>44788</v>
      </c>
    </row>
    <row r="731" spans="1:10" x14ac:dyDescent="0.35">
      <c r="A731" s="2">
        <v>44776</v>
      </c>
      <c r="B731" s="3">
        <v>0.44187500000000002</v>
      </c>
      <c r="C731">
        <v>2495</v>
      </c>
      <c r="D731" t="str">
        <f>VLOOKUP(H731,Produkt!$A$2:$B$5,2,FALSE)</f>
        <v>B</v>
      </c>
      <c r="H731">
        <v>2</v>
      </c>
      <c r="I731">
        <v>0.92326388888888899</v>
      </c>
      <c r="J731">
        <v>44777</v>
      </c>
    </row>
    <row r="732" spans="1:10" x14ac:dyDescent="0.35">
      <c r="A732" s="2">
        <v>44776</v>
      </c>
      <c r="B732" s="3">
        <v>0.1254976851851852</v>
      </c>
      <c r="C732">
        <v>2563</v>
      </c>
      <c r="D732" t="str">
        <f>VLOOKUP(H732,Produkt!$A$2:$B$5,2,FALSE)</f>
        <v>B</v>
      </c>
      <c r="H732">
        <v>2</v>
      </c>
      <c r="I732">
        <v>0.67416666666666669</v>
      </c>
      <c r="J732">
        <v>44798</v>
      </c>
    </row>
    <row r="733" spans="1:10" x14ac:dyDescent="0.35">
      <c r="A733" s="2">
        <v>44776</v>
      </c>
      <c r="B733" s="3">
        <v>0.2873148148148148</v>
      </c>
      <c r="C733">
        <v>2633</v>
      </c>
      <c r="D733" t="str">
        <f>VLOOKUP(H733,Produkt!$A$2:$B$5,2,FALSE)</f>
        <v>B</v>
      </c>
      <c r="H733">
        <v>2</v>
      </c>
      <c r="I733">
        <v>0.2131712962962963</v>
      </c>
      <c r="J733">
        <v>44783</v>
      </c>
    </row>
    <row r="734" spans="1:10" x14ac:dyDescent="0.35">
      <c r="A734" s="2">
        <v>44776</v>
      </c>
      <c r="B734" s="3">
        <v>0.67539351851851848</v>
      </c>
      <c r="C734">
        <v>2687</v>
      </c>
      <c r="D734" t="str">
        <f>VLOOKUP(H734,Produkt!$A$2:$B$5,2,FALSE)</f>
        <v>D</v>
      </c>
      <c r="H734">
        <v>4</v>
      </c>
      <c r="I734">
        <v>0.42079861111111111</v>
      </c>
      <c r="J734">
        <v>44796</v>
      </c>
    </row>
    <row r="735" spans="1:10" x14ac:dyDescent="0.35">
      <c r="A735" s="2">
        <v>44776</v>
      </c>
      <c r="B735" s="3">
        <v>0.71030092592592586</v>
      </c>
      <c r="C735">
        <v>2736</v>
      </c>
      <c r="D735" t="str">
        <f>VLOOKUP(H735,Produkt!$A$2:$B$5,2,FALSE)</f>
        <v>A</v>
      </c>
      <c r="H735">
        <v>1</v>
      </c>
      <c r="I735">
        <v>3.4085648148148184E-2</v>
      </c>
      <c r="J735">
        <v>44796</v>
      </c>
    </row>
    <row r="736" spans="1:10" x14ac:dyDescent="0.35">
      <c r="A736" s="2">
        <v>44776</v>
      </c>
      <c r="B736" s="3">
        <v>0.20954861111111112</v>
      </c>
      <c r="C736">
        <v>2743</v>
      </c>
      <c r="D736" t="str">
        <f>VLOOKUP(H736,Produkt!$A$2:$B$5,2,FALSE)</f>
        <v>D</v>
      </c>
      <c r="H736">
        <v>4</v>
      </c>
      <c r="I736">
        <v>7.4629629629629629E-2</v>
      </c>
      <c r="J736">
        <v>44796</v>
      </c>
    </row>
    <row r="737" spans="1:10" x14ac:dyDescent="0.35">
      <c r="A737" s="2">
        <v>44776</v>
      </c>
      <c r="B737" s="3">
        <v>0.59833333333333327</v>
      </c>
      <c r="C737">
        <v>2750</v>
      </c>
      <c r="D737" t="str">
        <f>VLOOKUP(H737,Produkt!$A$2:$B$5,2,FALSE)</f>
        <v>B</v>
      </c>
      <c r="H737">
        <v>2</v>
      </c>
      <c r="I737">
        <v>0.50945601851851852</v>
      </c>
      <c r="J737">
        <v>44794</v>
      </c>
    </row>
    <row r="738" spans="1:10" x14ac:dyDescent="0.35">
      <c r="A738" s="2">
        <v>44776</v>
      </c>
      <c r="B738" s="3">
        <v>0.93983796296296296</v>
      </c>
      <c r="C738">
        <v>2773</v>
      </c>
      <c r="D738" t="str">
        <f>VLOOKUP(H738,Produkt!$A$2:$B$5,2,FALSE)</f>
        <v>A</v>
      </c>
      <c r="H738">
        <v>1</v>
      </c>
      <c r="I738">
        <v>0.13065972222222222</v>
      </c>
      <c r="J738">
        <v>44794</v>
      </c>
    </row>
    <row r="739" spans="1:10" x14ac:dyDescent="0.35">
      <c r="A739" s="2">
        <v>44776</v>
      </c>
      <c r="B739" s="3">
        <v>2.9502314814814815E-2</v>
      </c>
      <c r="C739">
        <v>2817</v>
      </c>
      <c r="D739" t="str">
        <f>VLOOKUP(H739,Produkt!$A$2:$B$5,2,FALSE)</f>
        <v>D</v>
      </c>
      <c r="H739">
        <v>4</v>
      </c>
      <c r="I739">
        <v>0.57848379629629632</v>
      </c>
      <c r="J739">
        <v>44779</v>
      </c>
    </row>
    <row r="740" spans="1:10" x14ac:dyDescent="0.35">
      <c r="A740" s="2">
        <v>44776</v>
      </c>
      <c r="B740" s="3">
        <v>0.55618055555555557</v>
      </c>
      <c r="C740">
        <v>2868</v>
      </c>
      <c r="D740" t="str">
        <f>VLOOKUP(H740,Produkt!$A$2:$B$5,2,FALSE)</f>
        <v>C</v>
      </c>
      <c r="H740">
        <v>3</v>
      </c>
      <c r="I740">
        <v>0.78215277777777781</v>
      </c>
      <c r="J740">
        <v>44787</v>
      </c>
    </row>
    <row r="741" spans="1:10" x14ac:dyDescent="0.35">
      <c r="A741" s="2">
        <v>44776</v>
      </c>
      <c r="B741" s="3">
        <v>0.97207175925925926</v>
      </c>
      <c r="C741">
        <v>2872</v>
      </c>
      <c r="D741" t="str">
        <f>VLOOKUP(H741,Produkt!$A$2:$B$5,2,FALSE)</f>
        <v>C</v>
      </c>
      <c r="H741">
        <v>3</v>
      </c>
      <c r="I741">
        <v>0.87297453703703709</v>
      </c>
      <c r="J741">
        <v>44781</v>
      </c>
    </row>
    <row r="742" spans="1:10" x14ac:dyDescent="0.35">
      <c r="A742" s="2">
        <v>44776</v>
      </c>
      <c r="B742" s="3">
        <v>0.76052083333333342</v>
      </c>
      <c r="C742">
        <v>2945</v>
      </c>
      <c r="D742" t="str">
        <f>VLOOKUP(H742,Produkt!$A$2:$B$5,2,FALSE)</f>
        <v>B</v>
      </c>
      <c r="H742">
        <v>2</v>
      </c>
      <c r="I742">
        <v>0.40906250000000005</v>
      </c>
      <c r="J742">
        <v>44784</v>
      </c>
    </row>
    <row r="743" spans="1:10" x14ac:dyDescent="0.35">
      <c r="A743" s="2">
        <v>44776</v>
      </c>
      <c r="B743" s="3">
        <v>0.87641203703703707</v>
      </c>
      <c r="C743">
        <v>3010</v>
      </c>
      <c r="D743" t="str">
        <f>VLOOKUP(H743,Produkt!$A$2:$B$5,2,FALSE)</f>
        <v>C</v>
      </c>
      <c r="H743">
        <v>3</v>
      </c>
      <c r="I743">
        <v>0.61622685185185189</v>
      </c>
      <c r="J743">
        <v>44778</v>
      </c>
    </row>
    <row r="744" spans="1:10" x14ac:dyDescent="0.35">
      <c r="A744" s="2">
        <v>44776</v>
      </c>
      <c r="B744" s="3">
        <v>2.8136574074074217E-2</v>
      </c>
      <c r="C744">
        <v>3026</v>
      </c>
      <c r="D744" t="str">
        <f>VLOOKUP(H744,Produkt!$A$2:$B$5,2,FALSE)</f>
        <v>B</v>
      </c>
      <c r="H744">
        <v>2</v>
      </c>
      <c r="I744">
        <v>0.28837962962962965</v>
      </c>
      <c r="J744">
        <v>44786</v>
      </c>
    </row>
    <row r="745" spans="1:10" x14ac:dyDescent="0.35">
      <c r="A745" s="2">
        <v>44776</v>
      </c>
      <c r="B745" s="3">
        <v>0.81505787037037036</v>
      </c>
      <c r="C745">
        <v>3036</v>
      </c>
      <c r="D745" t="str">
        <f>VLOOKUP(H745,Produkt!$A$2:$B$5,2,FALSE)</f>
        <v>B</v>
      </c>
      <c r="H745">
        <v>2</v>
      </c>
      <c r="I745">
        <v>0.57546296296296295</v>
      </c>
      <c r="J745">
        <v>44800</v>
      </c>
    </row>
    <row r="746" spans="1:10" x14ac:dyDescent="0.35">
      <c r="A746" s="2">
        <v>44776</v>
      </c>
      <c r="B746" s="3">
        <v>0.88888888888888884</v>
      </c>
      <c r="C746">
        <v>3088</v>
      </c>
      <c r="D746" t="str">
        <f>VLOOKUP(H746,Produkt!$A$2:$B$5,2,FALSE)</f>
        <v>A</v>
      </c>
      <c r="H746">
        <v>1</v>
      </c>
      <c r="I746">
        <v>0.35638888888888887</v>
      </c>
      <c r="J746">
        <v>44777</v>
      </c>
    </row>
    <row r="747" spans="1:10" x14ac:dyDescent="0.35">
      <c r="A747" s="2">
        <v>44776</v>
      </c>
      <c r="B747" s="3">
        <v>0.72013888888888899</v>
      </c>
      <c r="C747">
        <v>3107</v>
      </c>
      <c r="D747" t="str">
        <f>VLOOKUP(H747,Produkt!$A$2:$B$5,2,FALSE)</f>
        <v>C</v>
      </c>
      <c r="H747">
        <v>3</v>
      </c>
      <c r="I747">
        <v>0.13343750000000001</v>
      </c>
      <c r="J747">
        <v>44797</v>
      </c>
    </row>
    <row r="748" spans="1:10" x14ac:dyDescent="0.35">
      <c r="A748" s="2">
        <v>44776</v>
      </c>
      <c r="B748" s="3">
        <v>0.86864583333333334</v>
      </c>
      <c r="C748">
        <v>3114</v>
      </c>
      <c r="D748" t="str">
        <f>VLOOKUP(H748,Produkt!$A$2:$B$5,2,FALSE)</f>
        <v>D</v>
      </c>
      <c r="H748">
        <v>4</v>
      </c>
      <c r="I748">
        <v>0.61128472222222219</v>
      </c>
      <c r="J748">
        <v>44781</v>
      </c>
    </row>
    <row r="749" spans="1:10" x14ac:dyDescent="0.35">
      <c r="A749" s="2">
        <v>44776</v>
      </c>
      <c r="B749" s="3">
        <v>4.7766203703703707E-2</v>
      </c>
      <c r="C749">
        <v>3116</v>
      </c>
      <c r="D749" t="str">
        <f>VLOOKUP(H749,Produkt!$A$2:$B$5,2,FALSE)</f>
        <v>D</v>
      </c>
      <c r="H749">
        <v>4</v>
      </c>
      <c r="I749">
        <v>0.69019675925925927</v>
      </c>
      <c r="J749">
        <v>44790</v>
      </c>
    </row>
    <row r="750" spans="1:10" x14ac:dyDescent="0.35">
      <c r="A750" s="2">
        <v>44776</v>
      </c>
      <c r="B750" s="3">
        <v>0.71793981481481473</v>
      </c>
      <c r="C750">
        <v>3145</v>
      </c>
      <c r="D750" t="str">
        <f>VLOOKUP(H750,Produkt!$A$2:$B$5,2,FALSE)</f>
        <v>A</v>
      </c>
      <c r="H750">
        <v>1</v>
      </c>
      <c r="I750">
        <v>0.50259259259259259</v>
      </c>
      <c r="J750">
        <v>44795</v>
      </c>
    </row>
    <row r="751" spans="1:10" x14ac:dyDescent="0.35">
      <c r="A751" s="2">
        <v>44776</v>
      </c>
      <c r="B751" s="3">
        <v>0.93354166666666671</v>
      </c>
      <c r="C751">
        <v>3155</v>
      </c>
      <c r="D751" t="str">
        <f>VLOOKUP(H751,Produkt!$A$2:$B$5,2,FALSE)</f>
        <v>A</v>
      </c>
      <c r="H751">
        <v>1</v>
      </c>
      <c r="I751">
        <v>0.97280092592592593</v>
      </c>
      <c r="J751">
        <v>44786</v>
      </c>
    </row>
    <row r="752" spans="1:10" x14ac:dyDescent="0.35">
      <c r="A752" s="2">
        <v>44776</v>
      </c>
      <c r="B752" s="3">
        <v>3.7418981481481373E-2</v>
      </c>
      <c r="C752">
        <v>3166</v>
      </c>
      <c r="D752" t="str">
        <f>VLOOKUP(H752,Produkt!$A$2:$B$5,2,FALSE)</f>
        <v>D</v>
      </c>
      <c r="H752">
        <v>4</v>
      </c>
      <c r="I752">
        <v>0.14796296296296296</v>
      </c>
      <c r="J752">
        <v>44790</v>
      </c>
    </row>
    <row r="753" spans="1:10" x14ac:dyDescent="0.35">
      <c r="A753" s="2">
        <v>44776</v>
      </c>
      <c r="B753" s="3">
        <v>0.45672453703703703</v>
      </c>
      <c r="C753">
        <v>3187</v>
      </c>
      <c r="D753" t="str">
        <f>VLOOKUP(H753,Produkt!$A$2:$B$5,2,FALSE)</f>
        <v>D</v>
      </c>
      <c r="H753">
        <v>4</v>
      </c>
      <c r="I753">
        <v>0.29381944444444447</v>
      </c>
      <c r="J753">
        <v>44788</v>
      </c>
    </row>
    <row r="754" spans="1:10" x14ac:dyDescent="0.35">
      <c r="A754" s="2">
        <v>44776</v>
      </c>
      <c r="B754" s="3">
        <v>0.20520833333333333</v>
      </c>
      <c r="C754">
        <v>3199</v>
      </c>
      <c r="D754" t="str">
        <f>VLOOKUP(H754,Produkt!$A$2:$B$5,2,FALSE)</f>
        <v>B</v>
      </c>
      <c r="H754">
        <v>2</v>
      </c>
      <c r="I754">
        <v>0.36248842592592595</v>
      </c>
      <c r="J754">
        <v>44784</v>
      </c>
    </row>
    <row r="755" spans="1:10" x14ac:dyDescent="0.35">
      <c r="A755" s="2">
        <v>44776</v>
      </c>
      <c r="B755" s="3">
        <v>0.82138888888888895</v>
      </c>
      <c r="C755">
        <v>3209</v>
      </c>
      <c r="D755" t="str">
        <f>VLOOKUP(H755,Produkt!$A$2:$B$5,2,FALSE)</f>
        <v>A</v>
      </c>
      <c r="H755">
        <v>1</v>
      </c>
      <c r="I755">
        <v>0.99865740740740738</v>
      </c>
      <c r="J755">
        <v>44802</v>
      </c>
    </row>
    <row r="756" spans="1:10" x14ac:dyDescent="0.35">
      <c r="A756" s="2">
        <v>44776</v>
      </c>
      <c r="B756" s="3">
        <v>0.48873842592592592</v>
      </c>
      <c r="C756">
        <v>3285</v>
      </c>
      <c r="D756" t="str">
        <f>VLOOKUP(H756,Produkt!$A$2:$B$5,2,FALSE)</f>
        <v>D</v>
      </c>
      <c r="H756">
        <v>4</v>
      </c>
      <c r="I756">
        <v>5.8935185185185181E-2</v>
      </c>
      <c r="J756">
        <v>44781</v>
      </c>
    </row>
    <row r="757" spans="1:10" x14ac:dyDescent="0.35">
      <c r="A757" s="2">
        <v>44776</v>
      </c>
      <c r="B757" s="3">
        <v>0.48552083333333335</v>
      </c>
      <c r="C757">
        <v>3351</v>
      </c>
      <c r="D757" t="str">
        <f>VLOOKUP(H757,Produkt!$A$2:$B$5,2,FALSE)</f>
        <v>C</v>
      </c>
      <c r="H757">
        <v>3</v>
      </c>
      <c r="I757">
        <v>0.54753472222222221</v>
      </c>
      <c r="J757">
        <v>44795</v>
      </c>
    </row>
    <row r="758" spans="1:10" x14ac:dyDescent="0.35">
      <c r="A758" s="2">
        <v>44776</v>
      </c>
      <c r="B758" s="3">
        <v>0.48996527777777782</v>
      </c>
      <c r="C758">
        <v>3442</v>
      </c>
      <c r="D758" t="str">
        <f>VLOOKUP(H758,Produkt!$A$2:$B$5,2,FALSE)</f>
        <v>B</v>
      </c>
      <c r="H758">
        <v>2</v>
      </c>
      <c r="I758">
        <v>0.62938657407407406</v>
      </c>
      <c r="J758">
        <v>44778</v>
      </c>
    </row>
    <row r="759" spans="1:10" x14ac:dyDescent="0.35">
      <c r="A759" s="2">
        <v>44776</v>
      </c>
      <c r="B759" s="3">
        <v>0.58141203703703703</v>
      </c>
      <c r="C759">
        <v>3500</v>
      </c>
      <c r="D759" t="str">
        <f>VLOOKUP(H759,Produkt!$A$2:$B$5,2,FALSE)</f>
        <v>B</v>
      </c>
      <c r="H759">
        <v>2</v>
      </c>
      <c r="I759">
        <v>0.22</v>
      </c>
      <c r="J759">
        <v>44801</v>
      </c>
    </row>
    <row r="760" spans="1:10" x14ac:dyDescent="0.35">
      <c r="A760" s="2">
        <v>44776</v>
      </c>
      <c r="B760" s="3">
        <v>0.88047453703703704</v>
      </c>
      <c r="C760">
        <v>3555</v>
      </c>
      <c r="D760" t="str">
        <f>VLOOKUP(H760,Produkt!$A$2:$B$5,2,FALSE)</f>
        <v>A</v>
      </c>
      <c r="H760">
        <v>1</v>
      </c>
      <c r="I760">
        <v>0.74851851851851858</v>
      </c>
      <c r="J760">
        <v>44785</v>
      </c>
    </row>
    <row r="761" spans="1:10" x14ac:dyDescent="0.35">
      <c r="A761" s="2">
        <v>44776</v>
      </c>
      <c r="B761" s="3">
        <v>0.98952546296296295</v>
      </c>
      <c r="C761">
        <v>3566</v>
      </c>
      <c r="D761" t="str">
        <f>VLOOKUP(H761,Produkt!$A$2:$B$5,2,FALSE)</f>
        <v>D</v>
      </c>
      <c r="H761">
        <v>4</v>
      </c>
      <c r="I761">
        <v>0.46302083333333338</v>
      </c>
      <c r="J761">
        <v>44795</v>
      </c>
    </row>
    <row r="762" spans="1:10" x14ac:dyDescent="0.35">
      <c r="A762" s="2">
        <v>44776</v>
      </c>
      <c r="B762" s="3">
        <v>0.76974537037037039</v>
      </c>
      <c r="C762">
        <v>3594</v>
      </c>
      <c r="D762" t="str">
        <f>VLOOKUP(H762,Produkt!$A$2:$B$5,2,FALSE)</f>
        <v>C</v>
      </c>
      <c r="H762">
        <v>3</v>
      </c>
      <c r="I762">
        <v>0.6325115740740741</v>
      </c>
      <c r="J762">
        <v>44794</v>
      </c>
    </row>
    <row r="763" spans="1:10" x14ac:dyDescent="0.35">
      <c r="A763" s="2">
        <v>44776</v>
      </c>
      <c r="B763" s="3">
        <v>0.53790509259259256</v>
      </c>
      <c r="C763">
        <v>3596</v>
      </c>
      <c r="D763" t="str">
        <f>VLOOKUP(H763,Produkt!$A$2:$B$5,2,FALSE)</f>
        <v>A</v>
      </c>
      <c r="H763">
        <v>1</v>
      </c>
      <c r="I763">
        <v>4.3981481481481483E-2</v>
      </c>
      <c r="J763">
        <v>44800</v>
      </c>
    </row>
    <row r="764" spans="1:10" x14ac:dyDescent="0.35">
      <c r="A764" s="2">
        <v>44776</v>
      </c>
      <c r="B764" s="3">
        <v>0.94119212962962961</v>
      </c>
      <c r="C764">
        <v>3603</v>
      </c>
      <c r="D764" t="str">
        <f>VLOOKUP(H764,Produkt!$A$2:$B$5,2,FALSE)</f>
        <v>C</v>
      </c>
      <c r="H764">
        <v>3</v>
      </c>
      <c r="I764">
        <v>9.7152777777777768E-2</v>
      </c>
      <c r="J764">
        <v>44784</v>
      </c>
    </row>
    <row r="765" spans="1:10" x14ac:dyDescent="0.35">
      <c r="A765" s="2">
        <v>44776</v>
      </c>
      <c r="B765" s="3">
        <v>0.94697916666666659</v>
      </c>
      <c r="C765">
        <v>3608</v>
      </c>
      <c r="D765" t="str">
        <f>VLOOKUP(H765,Produkt!$A$2:$B$5,2,FALSE)</f>
        <v>C</v>
      </c>
      <c r="H765">
        <v>3</v>
      </c>
      <c r="I765">
        <v>0.14159722222222224</v>
      </c>
      <c r="J765">
        <v>44778</v>
      </c>
    </row>
    <row r="766" spans="1:10" x14ac:dyDescent="0.35">
      <c r="A766" s="2">
        <v>44776</v>
      </c>
      <c r="B766" s="3">
        <v>7.8877314814814817E-2</v>
      </c>
      <c r="C766">
        <v>3655</v>
      </c>
      <c r="D766" t="str">
        <f>VLOOKUP(H766,Produkt!$A$2:$B$5,2,FALSE)</f>
        <v>A</v>
      </c>
      <c r="H766">
        <v>1</v>
      </c>
      <c r="I766">
        <v>0.47959490740740746</v>
      </c>
      <c r="J766">
        <v>44803</v>
      </c>
    </row>
    <row r="767" spans="1:10" x14ac:dyDescent="0.35">
      <c r="A767" s="2">
        <v>44776</v>
      </c>
      <c r="B767" s="3">
        <v>0.13879629629629631</v>
      </c>
      <c r="C767">
        <v>3685</v>
      </c>
      <c r="D767" t="str">
        <f>VLOOKUP(H767,Produkt!$A$2:$B$5,2,FALSE)</f>
        <v>B</v>
      </c>
      <c r="H767">
        <v>2</v>
      </c>
      <c r="I767">
        <v>0.75998842592592597</v>
      </c>
      <c r="J767">
        <v>44782</v>
      </c>
    </row>
    <row r="768" spans="1:10" x14ac:dyDescent="0.35">
      <c r="A768" s="2">
        <v>44776</v>
      </c>
      <c r="B768" s="3">
        <v>0.49192129629629627</v>
      </c>
      <c r="C768">
        <v>3687</v>
      </c>
      <c r="D768" t="str">
        <f>VLOOKUP(H768,Produkt!$A$2:$B$5,2,FALSE)</f>
        <v>B</v>
      </c>
      <c r="H768">
        <v>2</v>
      </c>
      <c r="I768">
        <v>0.49025462962962968</v>
      </c>
      <c r="J768">
        <v>44785</v>
      </c>
    </row>
    <row r="769" spans="1:10" x14ac:dyDescent="0.35">
      <c r="A769" s="2">
        <v>44776</v>
      </c>
      <c r="B769" s="3">
        <v>6.9467592592592595E-2</v>
      </c>
      <c r="C769">
        <v>3690</v>
      </c>
      <c r="D769" t="str">
        <f>VLOOKUP(H769,Produkt!$A$2:$B$5,2,FALSE)</f>
        <v>D</v>
      </c>
      <c r="H769">
        <v>4</v>
      </c>
      <c r="I769">
        <v>0.29744212962962963</v>
      </c>
      <c r="J769">
        <v>44791</v>
      </c>
    </row>
    <row r="770" spans="1:10" x14ac:dyDescent="0.35">
      <c r="A770" s="2">
        <v>44776</v>
      </c>
      <c r="B770" s="3">
        <v>0.82148148148148137</v>
      </c>
      <c r="C770">
        <v>3720</v>
      </c>
      <c r="D770" t="str">
        <f>VLOOKUP(H770,Produkt!$A$2:$B$5,2,FALSE)</f>
        <v>A</v>
      </c>
      <c r="H770">
        <v>1</v>
      </c>
      <c r="I770">
        <v>0.48156249999999995</v>
      </c>
      <c r="J770">
        <v>44785</v>
      </c>
    </row>
    <row r="771" spans="1:10" x14ac:dyDescent="0.35">
      <c r="A771" s="2">
        <v>44776</v>
      </c>
      <c r="B771" s="3">
        <v>0.86444444444444446</v>
      </c>
      <c r="C771">
        <v>3732</v>
      </c>
      <c r="D771" t="str">
        <f>VLOOKUP(H771,Produkt!$A$2:$B$5,2,FALSE)</f>
        <v>A</v>
      </c>
      <c r="H771">
        <v>1</v>
      </c>
      <c r="I771">
        <v>0.21510416666666665</v>
      </c>
      <c r="J771">
        <v>44798</v>
      </c>
    </row>
    <row r="772" spans="1:10" x14ac:dyDescent="0.35">
      <c r="A772" s="2">
        <v>44776</v>
      </c>
      <c r="B772" s="3">
        <v>0.87355324074074081</v>
      </c>
      <c r="C772">
        <v>3737</v>
      </c>
      <c r="D772" t="str">
        <f>VLOOKUP(H772,Produkt!$A$2:$B$5,2,FALSE)</f>
        <v>B</v>
      </c>
      <c r="H772">
        <v>2</v>
      </c>
      <c r="I772">
        <v>0.38309027777777777</v>
      </c>
      <c r="J772">
        <v>44787</v>
      </c>
    </row>
    <row r="773" spans="1:10" x14ac:dyDescent="0.35">
      <c r="A773" s="2">
        <v>44776</v>
      </c>
      <c r="B773" s="3">
        <v>0.43228009259259265</v>
      </c>
      <c r="C773">
        <v>3754</v>
      </c>
      <c r="D773" t="str">
        <f>VLOOKUP(H773,Produkt!$A$2:$B$5,2,FALSE)</f>
        <v>C</v>
      </c>
      <c r="H773">
        <v>3</v>
      </c>
      <c r="I773">
        <v>0.31687500000000002</v>
      </c>
      <c r="J773">
        <v>44800</v>
      </c>
    </row>
    <row r="774" spans="1:10" x14ac:dyDescent="0.35">
      <c r="A774" s="2">
        <v>44776</v>
      </c>
      <c r="B774" s="3">
        <v>0.58853009259259259</v>
      </c>
      <c r="C774">
        <v>3780</v>
      </c>
      <c r="D774" t="str">
        <f>VLOOKUP(H774,Produkt!$A$2:$B$5,2,FALSE)</f>
        <v>D</v>
      </c>
      <c r="H774">
        <v>4</v>
      </c>
      <c r="I774">
        <v>4.2638888888888893E-2</v>
      </c>
      <c r="J774">
        <v>44804</v>
      </c>
    </row>
    <row r="775" spans="1:10" x14ac:dyDescent="0.35">
      <c r="A775" s="2">
        <v>44776</v>
      </c>
      <c r="B775" s="3">
        <v>3.7303240740740762E-2</v>
      </c>
      <c r="C775">
        <v>3808</v>
      </c>
      <c r="D775" t="str">
        <f>VLOOKUP(H775,Produkt!$A$2:$B$5,2,FALSE)</f>
        <v>B</v>
      </c>
      <c r="H775">
        <v>2</v>
      </c>
      <c r="I775">
        <v>0.63445601851851852</v>
      </c>
      <c r="J775">
        <v>44799</v>
      </c>
    </row>
    <row r="776" spans="1:10" x14ac:dyDescent="0.35">
      <c r="A776" s="2">
        <v>44776</v>
      </c>
      <c r="B776" s="3">
        <v>0.20358796296296297</v>
      </c>
      <c r="C776">
        <v>3851</v>
      </c>
      <c r="D776" t="str">
        <f>VLOOKUP(H776,Produkt!$A$2:$B$5,2,FALSE)</f>
        <v>C</v>
      </c>
      <c r="H776">
        <v>3</v>
      </c>
      <c r="I776">
        <v>0.33802083333333338</v>
      </c>
      <c r="J776">
        <v>44786</v>
      </c>
    </row>
    <row r="777" spans="1:10" x14ac:dyDescent="0.35">
      <c r="A777" s="2">
        <v>44776</v>
      </c>
      <c r="B777" s="3">
        <v>0.48188657407407409</v>
      </c>
      <c r="C777">
        <v>3861</v>
      </c>
      <c r="D777" t="str">
        <f>VLOOKUP(H777,Produkt!$A$2:$B$5,2,FALSE)</f>
        <v>D</v>
      </c>
      <c r="H777">
        <v>4</v>
      </c>
      <c r="I777">
        <v>0.882349537037037</v>
      </c>
      <c r="J777">
        <v>44794</v>
      </c>
    </row>
    <row r="778" spans="1:10" x14ac:dyDescent="0.35">
      <c r="A778" s="2">
        <v>44776</v>
      </c>
      <c r="B778" s="3">
        <v>0.83299768518518524</v>
      </c>
      <c r="C778">
        <v>3870</v>
      </c>
      <c r="D778" t="str">
        <f>VLOOKUP(H778,Produkt!$A$2:$B$5,2,FALSE)</f>
        <v>D</v>
      </c>
      <c r="H778">
        <v>4</v>
      </c>
      <c r="I778">
        <v>1.6238425925925837E-2</v>
      </c>
      <c r="J778">
        <v>44791</v>
      </c>
    </row>
    <row r="779" spans="1:10" x14ac:dyDescent="0.35">
      <c r="A779" s="2">
        <v>44776</v>
      </c>
      <c r="B779" s="3">
        <v>0.25428240740740743</v>
      </c>
      <c r="C779">
        <v>3876</v>
      </c>
      <c r="D779" t="str">
        <f>VLOOKUP(H779,Produkt!$A$2:$B$5,2,FALSE)</f>
        <v>D</v>
      </c>
      <c r="H779">
        <v>4</v>
      </c>
      <c r="I779">
        <v>3.6145833333333321E-2</v>
      </c>
      <c r="J779">
        <v>44789</v>
      </c>
    </row>
    <row r="780" spans="1:10" x14ac:dyDescent="0.35">
      <c r="A780" s="2">
        <v>44776</v>
      </c>
      <c r="B780" s="3">
        <v>0.47438657407407409</v>
      </c>
      <c r="C780">
        <v>3890</v>
      </c>
      <c r="D780" t="str">
        <f>VLOOKUP(H780,Produkt!$A$2:$B$5,2,FALSE)</f>
        <v>B</v>
      </c>
      <c r="H780">
        <v>2</v>
      </c>
      <c r="I780">
        <v>0.39892361111111113</v>
      </c>
      <c r="J780">
        <v>44801</v>
      </c>
    </row>
    <row r="781" spans="1:10" x14ac:dyDescent="0.35">
      <c r="A781" s="2">
        <v>44776</v>
      </c>
      <c r="B781" s="3">
        <v>0.56325231481481486</v>
      </c>
      <c r="C781">
        <v>3908</v>
      </c>
      <c r="D781" t="str">
        <f>VLOOKUP(H781,Produkt!$A$2:$B$5,2,FALSE)</f>
        <v>C</v>
      </c>
      <c r="H781">
        <v>3</v>
      </c>
      <c r="I781">
        <v>0.13650462962962964</v>
      </c>
      <c r="J781">
        <v>44779</v>
      </c>
    </row>
    <row r="782" spans="1:10" x14ac:dyDescent="0.35">
      <c r="A782" s="2">
        <v>44776</v>
      </c>
      <c r="B782" s="3">
        <v>8.4143518518517979E-3</v>
      </c>
      <c r="C782">
        <v>3933</v>
      </c>
      <c r="D782" t="str">
        <f>VLOOKUP(H782,Produkt!$A$2:$B$5,2,FALSE)</f>
        <v>D</v>
      </c>
      <c r="H782">
        <v>4</v>
      </c>
      <c r="I782">
        <v>0.14206018518518518</v>
      </c>
      <c r="J782">
        <v>44790</v>
      </c>
    </row>
    <row r="783" spans="1:10" x14ac:dyDescent="0.35">
      <c r="A783" s="2">
        <v>44776</v>
      </c>
      <c r="B783" s="3">
        <v>9.8622685185185188E-2</v>
      </c>
      <c r="C783">
        <v>3955</v>
      </c>
      <c r="D783" t="str">
        <f>VLOOKUP(H783,Produkt!$A$2:$B$5,2,FALSE)</f>
        <v>B</v>
      </c>
      <c r="H783">
        <v>2</v>
      </c>
      <c r="I783">
        <v>0.87118055555555562</v>
      </c>
      <c r="J783">
        <v>44786</v>
      </c>
    </row>
    <row r="784" spans="1:10" x14ac:dyDescent="0.35">
      <c r="A784" s="2">
        <v>44776</v>
      </c>
      <c r="B784" s="3">
        <v>3.9189814814814872E-2</v>
      </c>
      <c r="C784">
        <v>3987</v>
      </c>
      <c r="D784" t="str">
        <f>VLOOKUP(H784,Produkt!$A$2:$B$5,2,FALSE)</f>
        <v>B</v>
      </c>
      <c r="H784">
        <v>2</v>
      </c>
      <c r="I784">
        <v>0.38464120370370369</v>
      </c>
      <c r="J784">
        <v>44780</v>
      </c>
    </row>
    <row r="785" spans="1:10" x14ac:dyDescent="0.35">
      <c r="A785" s="2">
        <v>44776</v>
      </c>
      <c r="B785" s="3">
        <v>0.40765046296296298</v>
      </c>
      <c r="C785">
        <v>4000</v>
      </c>
      <c r="D785" t="str">
        <f>VLOOKUP(H785,Produkt!$A$2:$B$5,2,FALSE)</f>
        <v>B</v>
      </c>
      <c r="H785">
        <v>2</v>
      </c>
      <c r="I785">
        <v>2.3611111111112582E-3</v>
      </c>
      <c r="J785">
        <v>44787</v>
      </c>
    </row>
    <row r="786" spans="1:10" x14ac:dyDescent="0.35">
      <c r="A786" s="2">
        <v>44776</v>
      </c>
      <c r="B786" s="3">
        <v>0.94016203703703705</v>
      </c>
      <c r="C786">
        <v>4069</v>
      </c>
      <c r="D786" t="str">
        <f>VLOOKUP(H786,Produkt!$A$2:$B$5,2,FALSE)</f>
        <v>C</v>
      </c>
      <c r="H786">
        <v>3</v>
      </c>
      <c r="I786">
        <v>3.6805555555555557E-2</v>
      </c>
      <c r="J786">
        <v>44775</v>
      </c>
    </row>
    <row r="787" spans="1:10" x14ac:dyDescent="0.35">
      <c r="A787" s="2">
        <v>44776</v>
      </c>
      <c r="B787" s="3">
        <v>0.97315972222222225</v>
      </c>
      <c r="C787">
        <v>4089</v>
      </c>
      <c r="D787" t="str">
        <f>VLOOKUP(H787,Produkt!$A$2:$B$5,2,FALSE)</f>
        <v>C</v>
      </c>
      <c r="H787">
        <v>3</v>
      </c>
      <c r="I787">
        <v>0.93393518518518526</v>
      </c>
      <c r="J787">
        <v>44778</v>
      </c>
    </row>
    <row r="788" spans="1:10" x14ac:dyDescent="0.35">
      <c r="A788" s="2">
        <v>44776</v>
      </c>
      <c r="B788" s="3">
        <v>0.88282407407407415</v>
      </c>
      <c r="C788">
        <v>4108</v>
      </c>
      <c r="D788" t="str">
        <f>VLOOKUP(H788,Produkt!$A$2:$B$5,2,FALSE)</f>
        <v>D</v>
      </c>
      <c r="H788">
        <v>4</v>
      </c>
      <c r="I788">
        <v>0.41910879629629627</v>
      </c>
      <c r="J788">
        <v>44796</v>
      </c>
    </row>
    <row r="789" spans="1:10" x14ac:dyDescent="0.35">
      <c r="A789" s="2">
        <v>44776</v>
      </c>
      <c r="B789" s="3">
        <v>0.78813657407407411</v>
      </c>
      <c r="C789">
        <v>4191</v>
      </c>
      <c r="D789" t="str">
        <f>VLOOKUP(H789,Produkt!$A$2:$B$5,2,FALSE)</f>
        <v>C</v>
      </c>
      <c r="H789">
        <v>3</v>
      </c>
      <c r="I789">
        <v>0.69166666666666676</v>
      </c>
      <c r="J789">
        <v>44783</v>
      </c>
    </row>
    <row r="790" spans="1:10" x14ac:dyDescent="0.35">
      <c r="A790" s="2">
        <v>44776</v>
      </c>
      <c r="B790" s="3">
        <v>0.39578703703703705</v>
      </c>
      <c r="C790">
        <v>4219</v>
      </c>
      <c r="D790" t="str">
        <f>VLOOKUP(H790,Produkt!$A$2:$B$5,2,FALSE)</f>
        <v>C</v>
      </c>
      <c r="H790">
        <v>3</v>
      </c>
      <c r="I790">
        <v>0.96005787037037038</v>
      </c>
      <c r="J790">
        <v>44802</v>
      </c>
    </row>
    <row r="791" spans="1:10" x14ac:dyDescent="0.35">
      <c r="A791" s="2">
        <v>44776</v>
      </c>
      <c r="B791" s="3">
        <v>0.47222222222222227</v>
      </c>
      <c r="C791">
        <v>4258</v>
      </c>
      <c r="D791" t="str">
        <f>VLOOKUP(H791,Produkt!$A$2:$B$5,2,FALSE)</f>
        <v>A</v>
      </c>
      <c r="H791">
        <v>1</v>
      </c>
      <c r="I791">
        <v>0.48302083333333329</v>
      </c>
      <c r="J791">
        <v>44791</v>
      </c>
    </row>
    <row r="792" spans="1:10" x14ac:dyDescent="0.35">
      <c r="A792" s="2">
        <v>44776</v>
      </c>
      <c r="B792" s="3">
        <v>0.14871527777777779</v>
      </c>
      <c r="C792">
        <v>4321</v>
      </c>
      <c r="D792" t="str">
        <f>VLOOKUP(H792,Produkt!$A$2:$B$5,2,FALSE)</f>
        <v>A</v>
      </c>
      <c r="H792">
        <v>1</v>
      </c>
      <c r="I792">
        <v>0.54769675925925931</v>
      </c>
      <c r="J792">
        <v>44779</v>
      </c>
    </row>
    <row r="793" spans="1:10" x14ac:dyDescent="0.35">
      <c r="A793" s="2">
        <v>44776</v>
      </c>
      <c r="B793" s="3">
        <v>0.24834490740740742</v>
      </c>
      <c r="C793">
        <v>4322</v>
      </c>
      <c r="D793" t="str">
        <f>VLOOKUP(H793,Produkt!$A$2:$B$5,2,FALSE)</f>
        <v>C</v>
      </c>
      <c r="H793">
        <v>3</v>
      </c>
      <c r="I793">
        <v>0.32336805555555553</v>
      </c>
      <c r="J793">
        <v>44802</v>
      </c>
    </row>
    <row r="794" spans="1:10" x14ac:dyDescent="0.35">
      <c r="A794" s="2">
        <v>44776</v>
      </c>
      <c r="B794" s="3">
        <v>0.70861111111111119</v>
      </c>
      <c r="C794">
        <v>4359</v>
      </c>
      <c r="D794" t="str">
        <f>VLOOKUP(H794,Produkt!$A$2:$B$5,2,FALSE)</f>
        <v>A</v>
      </c>
      <c r="H794">
        <v>1</v>
      </c>
      <c r="I794">
        <v>0.19944444444444445</v>
      </c>
      <c r="J794">
        <v>44789</v>
      </c>
    </row>
    <row r="795" spans="1:10" x14ac:dyDescent="0.35">
      <c r="A795" s="2">
        <v>44776</v>
      </c>
      <c r="B795" s="3">
        <v>0.20199074074074075</v>
      </c>
      <c r="C795">
        <v>4372</v>
      </c>
      <c r="D795" t="str">
        <f>VLOOKUP(H795,Produkt!$A$2:$B$5,2,FALSE)</f>
        <v>C</v>
      </c>
      <c r="H795">
        <v>3</v>
      </c>
      <c r="I795">
        <v>0.8558796296296296</v>
      </c>
      <c r="J795">
        <v>44779</v>
      </c>
    </row>
    <row r="796" spans="1:10" x14ac:dyDescent="0.35">
      <c r="A796" s="2">
        <v>44776</v>
      </c>
      <c r="B796" s="3">
        <v>0.42075231481481484</v>
      </c>
      <c r="C796">
        <v>4385</v>
      </c>
      <c r="D796" t="str">
        <f>VLOOKUP(H796,Produkt!$A$2:$B$5,2,FALSE)</f>
        <v>C</v>
      </c>
      <c r="H796">
        <v>3</v>
      </c>
      <c r="I796">
        <v>0.31597222222222221</v>
      </c>
      <c r="J796">
        <v>44776</v>
      </c>
    </row>
    <row r="797" spans="1:10" x14ac:dyDescent="0.35">
      <c r="A797" s="2">
        <v>44776</v>
      </c>
      <c r="B797" s="3">
        <v>1.5266203703703705E-2</v>
      </c>
      <c r="C797">
        <v>4394</v>
      </c>
      <c r="D797" t="str">
        <f>VLOOKUP(H797,Produkt!$A$2:$B$5,2,FALSE)</f>
        <v>C</v>
      </c>
      <c r="H797">
        <v>3</v>
      </c>
      <c r="I797">
        <v>0.66232638888888895</v>
      </c>
      <c r="J797">
        <v>44799</v>
      </c>
    </row>
    <row r="798" spans="1:10" x14ac:dyDescent="0.35">
      <c r="A798" s="2">
        <v>44776</v>
      </c>
      <c r="B798" s="3">
        <v>0.49494212962962963</v>
      </c>
      <c r="C798">
        <v>4469</v>
      </c>
      <c r="D798" t="str">
        <f>VLOOKUP(H798,Produkt!$A$2:$B$5,2,FALSE)</f>
        <v>B</v>
      </c>
      <c r="H798">
        <v>2</v>
      </c>
      <c r="I798">
        <v>0.79803240740740744</v>
      </c>
      <c r="J798">
        <v>44784</v>
      </c>
    </row>
    <row r="799" spans="1:10" x14ac:dyDescent="0.35">
      <c r="A799" s="2">
        <v>44776</v>
      </c>
      <c r="B799" s="3">
        <v>0.24519675925925924</v>
      </c>
      <c r="C799">
        <v>4561</v>
      </c>
      <c r="D799" t="str">
        <f>VLOOKUP(H799,Produkt!$A$2:$B$5,2,FALSE)</f>
        <v>C</v>
      </c>
      <c r="H799">
        <v>3</v>
      </c>
      <c r="I799">
        <v>0.84956018518518517</v>
      </c>
      <c r="J799">
        <v>44798</v>
      </c>
    </row>
    <row r="800" spans="1:10" x14ac:dyDescent="0.35">
      <c r="A800" s="2">
        <v>44776</v>
      </c>
      <c r="B800" s="3">
        <v>0.65605324074074078</v>
      </c>
      <c r="C800">
        <v>4575</v>
      </c>
      <c r="D800" t="str">
        <f>VLOOKUP(H800,Produkt!$A$2:$B$5,2,FALSE)</f>
        <v>D</v>
      </c>
      <c r="H800">
        <v>4</v>
      </c>
      <c r="I800">
        <v>0.6209027777777778</v>
      </c>
      <c r="J800">
        <v>44777</v>
      </c>
    </row>
    <row r="801" spans="1:10" x14ac:dyDescent="0.35">
      <c r="A801" s="2">
        <v>44776</v>
      </c>
      <c r="B801" s="3">
        <v>0.54843750000000002</v>
      </c>
      <c r="C801">
        <v>4624</v>
      </c>
      <c r="D801" t="str">
        <f>VLOOKUP(H801,Produkt!$A$2:$B$5,2,FALSE)</f>
        <v>A</v>
      </c>
      <c r="H801">
        <v>1</v>
      </c>
      <c r="I801">
        <v>0.29974537037037036</v>
      </c>
      <c r="J801">
        <v>44794</v>
      </c>
    </row>
    <row r="802" spans="1:10" x14ac:dyDescent="0.35">
      <c r="A802" s="2">
        <v>44776</v>
      </c>
      <c r="B802" s="3">
        <v>0.92109953703703706</v>
      </c>
      <c r="C802">
        <v>4636</v>
      </c>
      <c r="D802" t="str">
        <f>VLOOKUP(H802,Produkt!$A$2:$B$5,2,FALSE)</f>
        <v>C</v>
      </c>
      <c r="H802">
        <v>3</v>
      </c>
      <c r="I802">
        <v>0.44791666666666669</v>
      </c>
      <c r="J802">
        <v>44800</v>
      </c>
    </row>
    <row r="803" spans="1:10" x14ac:dyDescent="0.35">
      <c r="A803" s="2">
        <v>44776</v>
      </c>
      <c r="B803" s="3">
        <v>0.48292824074074076</v>
      </c>
      <c r="C803">
        <v>4641</v>
      </c>
      <c r="D803" t="str">
        <f>VLOOKUP(H803,Produkt!$A$2:$B$5,2,FALSE)</f>
        <v>A</v>
      </c>
      <c r="H803">
        <v>1</v>
      </c>
      <c r="I803">
        <v>0.10927083333333333</v>
      </c>
      <c r="J803">
        <v>44781</v>
      </c>
    </row>
    <row r="804" spans="1:10" x14ac:dyDescent="0.35">
      <c r="A804" s="2">
        <v>44776</v>
      </c>
      <c r="B804" s="3">
        <v>0.46747685185185189</v>
      </c>
      <c r="C804">
        <v>4655</v>
      </c>
      <c r="D804" t="str">
        <f>VLOOKUP(H804,Produkt!$A$2:$B$5,2,FALSE)</f>
        <v>D</v>
      </c>
      <c r="H804">
        <v>4</v>
      </c>
      <c r="I804">
        <v>0.62627314814814816</v>
      </c>
      <c r="J804">
        <v>44792</v>
      </c>
    </row>
    <row r="805" spans="1:10" x14ac:dyDescent="0.35">
      <c r="A805" s="2">
        <v>44776</v>
      </c>
      <c r="B805" s="3">
        <v>0.46846064814814814</v>
      </c>
      <c r="C805">
        <v>4676</v>
      </c>
      <c r="D805" t="str">
        <f>VLOOKUP(H805,Produkt!$A$2:$B$5,2,FALSE)</f>
        <v>C</v>
      </c>
      <c r="H805">
        <v>3</v>
      </c>
      <c r="I805">
        <v>0.22454861111111113</v>
      </c>
      <c r="J805">
        <v>44788</v>
      </c>
    </row>
    <row r="806" spans="1:10" x14ac:dyDescent="0.35">
      <c r="A806" s="2">
        <v>44776</v>
      </c>
      <c r="B806" s="3">
        <v>0.54843750000000002</v>
      </c>
      <c r="C806">
        <v>4689</v>
      </c>
      <c r="D806" t="str">
        <f>VLOOKUP(H806,Produkt!$A$2:$B$5,2,FALSE)</f>
        <v>D</v>
      </c>
      <c r="H806">
        <v>4</v>
      </c>
      <c r="I806">
        <v>0.60373842592592586</v>
      </c>
      <c r="J806">
        <v>44794</v>
      </c>
    </row>
    <row r="807" spans="1:10" x14ac:dyDescent="0.35">
      <c r="A807" s="2">
        <v>44776</v>
      </c>
      <c r="B807" s="3">
        <v>0.3430555555555555</v>
      </c>
      <c r="C807">
        <v>4704</v>
      </c>
      <c r="D807" t="str">
        <f>VLOOKUP(H807,Produkt!$A$2:$B$5,2,FALSE)</f>
        <v>D</v>
      </c>
      <c r="H807">
        <v>4</v>
      </c>
      <c r="I807">
        <v>0.83629629629629632</v>
      </c>
      <c r="J807">
        <v>44774</v>
      </c>
    </row>
    <row r="808" spans="1:10" x14ac:dyDescent="0.35">
      <c r="A808" s="2">
        <v>44776</v>
      </c>
      <c r="B808" s="3">
        <v>5.1481481481481482E-2</v>
      </c>
      <c r="C808">
        <v>4758</v>
      </c>
      <c r="D808" t="str">
        <f>VLOOKUP(H808,Produkt!$A$2:$B$5,2,FALSE)</f>
        <v>A</v>
      </c>
      <c r="H808">
        <v>1</v>
      </c>
      <c r="I808">
        <v>0.28167824074074072</v>
      </c>
      <c r="J808">
        <v>44798</v>
      </c>
    </row>
    <row r="809" spans="1:10" x14ac:dyDescent="0.35">
      <c r="A809" s="2">
        <v>44776</v>
      </c>
      <c r="B809" s="3">
        <v>0.33748842592592593</v>
      </c>
      <c r="C809">
        <v>4802</v>
      </c>
      <c r="D809" t="str">
        <f>VLOOKUP(H809,Produkt!$A$2:$B$5,2,FALSE)</f>
        <v>B</v>
      </c>
      <c r="H809">
        <v>2</v>
      </c>
      <c r="I809">
        <v>0.82024305555555566</v>
      </c>
      <c r="J809">
        <v>44781</v>
      </c>
    </row>
    <row r="810" spans="1:10" x14ac:dyDescent="0.35">
      <c r="A810" s="2">
        <v>44776</v>
      </c>
      <c r="B810" s="3">
        <v>0.62005787037037041</v>
      </c>
      <c r="C810">
        <v>4821</v>
      </c>
      <c r="D810" t="str">
        <f>VLOOKUP(H810,Produkt!$A$2:$B$5,2,FALSE)</f>
        <v>D</v>
      </c>
      <c r="H810">
        <v>4</v>
      </c>
      <c r="I810">
        <v>0.9523611111111111</v>
      </c>
      <c r="J810">
        <v>44782</v>
      </c>
    </row>
    <row r="811" spans="1:10" x14ac:dyDescent="0.35">
      <c r="A811" s="2">
        <v>44776</v>
      </c>
      <c r="B811" s="3">
        <v>0.52663194444444439</v>
      </c>
      <c r="C811">
        <v>4822</v>
      </c>
      <c r="D811" t="str">
        <f>VLOOKUP(H811,Produkt!$A$2:$B$5,2,FALSE)</f>
        <v>B</v>
      </c>
      <c r="H811">
        <v>2</v>
      </c>
      <c r="I811">
        <v>0.99351851851851858</v>
      </c>
      <c r="J811">
        <v>44781</v>
      </c>
    </row>
    <row r="812" spans="1:10" x14ac:dyDescent="0.35">
      <c r="A812" s="2">
        <v>44776</v>
      </c>
      <c r="B812" s="3">
        <v>5.1388888888888894E-2</v>
      </c>
      <c r="C812">
        <v>4823</v>
      </c>
      <c r="D812" t="str">
        <f>VLOOKUP(H812,Produkt!$A$2:$B$5,2,FALSE)</f>
        <v>C</v>
      </c>
      <c r="H812">
        <v>3</v>
      </c>
      <c r="I812">
        <v>6.4733796296296289E-2</v>
      </c>
      <c r="J812">
        <v>44789</v>
      </c>
    </row>
    <row r="813" spans="1:10" x14ac:dyDescent="0.35">
      <c r="A813" s="2">
        <v>44776</v>
      </c>
      <c r="B813" s="3">
        <v>0.78393518518518512</v>
      </c>
      <c r="C813">
        <v>4879</v>
      </c>
      <c r="D813" t="str">
        <f>VLOOKUP(H813,Produkt!$A$2:$B$5,2,FALSE)</f>
        <v>A</v>
      </c>
      <c r="H813">
        <v>1</v>
      </c>
      <c r="I813">
        <v>0.71322916666666669</v>
      </c>
      <c r="J813">
        <v>44784</v>
      </c>
    </row>
    <row r="814" spans="1:10" x14ac:dyDescent="0.35">
      <c r="A814" s="2">
        <v>44776</v>
      </c>
      <c r="B814" s="3">
        <v>0.56653935185185189</v>
      </c>
      <c r="C814">
        <v>4968</v>
      </c>
      <c r="D814" t="str">
        <f>VLOOKUP(H814,Produkt!$A$2:$B$5,2,FALSE)</f>
        <v>C</v>
      </c>
      <c r="H814">
        <v>3</v>
      </c>
      <c r="I814">
        <v>0.34422453703703698</v>
      </c>
      <c r="J814">
        <v>44783</v>
      </c>
    </row>
    <row r="815" spans="1:10" x14ac:dyDescent="0.35">
      <c r="A815" s="2">
        <v>44776</v>
      </c>
      <c r="B815" s="3">
        <v>0.82452546296296303</v>
      </c>
      <c r="C815">
        <v>5010</v>
      </c>
      <c r="D815" t="str">
        <f>VLOOKUP(H815,Produkt!$A$2:$B$5,2,FALSE)</f>
        <v>C</v>
      </c>
      <c r="H815">
        <v>3</v>
      </c>
      <c r="I815">
        <v>0.3352430555555555</v>
      </c>
      <c r="J815">
        <v>44791</v>
      </c>
    </row>
    <row r="816" spans="1:10" x14ac:dyDescent="0.35">
      <c r="A816" s="2">
        <v>44776</v>
      </c>
      <c r="B816" s="3">
        <v>0.9434027777777777</v>
      </c>
      <c r="C816">
        <v>5040</v>
      </c>
      <c r="D816" t="str">
        <f>VLOOKUP(H816,Produkt!$A$2:$B$5,2,FALSE)</f>
        <v>A</v>
      </c>
      <c r="H816">
        <v>1</v>
      </c>
      <c r="I816">
        <v>6.2650462962962963E-2</v>
      </c>
      <c r="J816">
        <v>44781</v>
      </c>
    </row>
    <row r="817" spans="1:10" x14ac:dyDescent="0.35">
      <c r="A817" s="2">
        <v>44776</v>
      </c>
      <c r="B817" s="3">
        <v>0.96277777777777773</v>
      </c>
      <c r="C817">
        <v>5216</v>
      </c>
      <c r="D817" t="str">
        <f>VLOOKUP(H817,Produkt!$A$2:$B$5,2,FALSE)</f>
        <v>A</v>
      </c>
      <c r="H817">
        <v>1</v>
      </c>
      <c r="I817">
        <v>0.69108796296296304</v>
      </c>
      <c r="J817">
        <v>44800</v>
      </c>
    </row>
    <row r="818" spans="1:10" x14ac:dyDescent="0.35">
      <c r="A818" s="2">
        <v>44776</v>
      </c>
      <c r="B818" s="3">
        <v>2.8437500000000001E-2</v>
      </c>
      <c r="C818">
        <v>5243</v>
      </c>
      <c r="D818" t="str">
        <f>VLOOKUP(H818,Produkt!$A$2:$B$5,2,FALSE)</f>
        <v>A</v>
      </c>
      <c r="H818">
        <v>1</v>
      </c>
      <c r="I818">
        <v>0.409212962962963</v>
      </c>
      <c r="J818">
        <v>44774</v>
      </c>
    </row>
    <row r="819" spans="1:10" x14ac:dyDescent="0.35">
      <c r="A819" s="2">
        <v>44776</v>
      </c>
      <c r="B819" s="3">
        <v>1.9942129629629601E-2</v>
      </c>
      <c r="C819">
        <v>5269</v>
      </c>
      <c r="D819" t="str">
        <f>VLOOKUP(H819,Produkt!$A$2:$B$5,2,FALSE)</f>
        <v>C</v>
      </c>
      <c r="H819">
        <v>3</v>
      </c>
      <c r="I819">
        <v>0.6466319444444445</v>
      </c>
      <c r="J819">
        <v>44785</v>
      </c>
    </row>
    <row r="820" spans="1:10" x14ac:dyDescent="0.35">
      <c r="A820" s="2">
        <v>44776</v>
      </c>
      <c r="B820" s="3">
        <v>0.70787037037037026</v>
      </c>
      <c r="C820">
        <v>5304</v>
      </c>
      <c r="D820" t="str">
        <f>VLOOKUP(H820,Produkt!$A$2:$B$5,2,FALSE)</f>
        <v>B</v>
      </c>
      <c r="H820">
        <v>2</v>
      </c>
      <c r="I820">
        <v>0.13130787037037037</v>
      </c>
      <c r="J820">
        <v>44801</v>
      </c>
    </row>
    <row r="821" spans="1:10" x14ac:dyDescent="0.35">
      <c r="A821" s="2">
        <v>44776</v>
      </c>
      <c r="B821" s="3">
        <v>6.627314814814815E-2</v>
      </c>
      <c r="C821">
        <v>5316</v>
      </c>
      <c r="D821" t="str">
        <f>VLOOKUP(H821,Produkt!$A$2:$B$5,2,FALSE)</f>
        <v>A</v>
      </c>
      <c r="H821">
        <v>1</v>
      </c>
      <c r="I821">
        <v>0.18070601851851853</v>
      </c>
      <c r="J821">
        <v>44776</v>
      </c>
    </row>
    <row r="822" spans="1:10" x14ac:dyDescent="0.35">
      <c r="A822" s="2">
        <v>44776</v>
      </c>
      <c r="B822" s="3">
        <v>0.80785879629629631</v>
      </c>
      <c r="C822">
        <v>5351</v>
      </c>
      <c r="D822" t="str">
        <f>VLOOKUP(H822,Produkt!$A$2:$B$5,2,FALSE)</f>
        <v>C</v>
      </c>
      <c r="H822">
        <v>3</v>
      </c>
      <c r="I822">
        <v>0.49030092592592589</v>
      </c>
      <c r="J822">
        <v>44797</v>
      </c>
    </row>
    <row r="823" spans="1:10" x14ac:dyDescent="0.35">
      <c r="A823" s="2">
        <v>44776</v>
      </c>
      <c r="B823" s="3">
        <v>0.53905092592592596</v>
      </c>
      <c r="C823">
        <v>5455</v>
      </c>
      <c r="D823" t="str">
        <f>VLOOKUP(H823,Produkt!$A$2:$B$5,2,FALSE)</f>
        <v>D</v>
      </c>
      <c r="H823">
        <v>4</v>
      </c>
      <c r="I823">
        <v>0.85745370370370377</v>
      </c>
      <c r="J823">
        <v>44782</v>
      </c>
    </row>
    <row r="824" spans="1:10" x14ac:dyDescent="0.35">
      <c r="A824" s="2">
        <v>44776</v>
      </c>
      <c r="B824" s="3">
        <v>0.79190972222222233</v>
      </c>
      <c r="C824">
        <v>5497</v>
      </c>
      <c r="D824" t="str">
        <f>VLOOKUP(H824,Produkt!$A$2:$B$5,2,FALSE)</f>
        <v>A</v>
      </c>
      <c r="H824">
        <v>1</v>
      </c>
      <c r="I824">
        <v>9.4212962962962957E-2</v>
      </c>
      <c r="J824">
        <v>44789</v>
      </c>
    </row>
    <row r="825" spans="1:10" x14ac:dyDescent="0.35">
      <c r="A825" s="2">
        <v>44776</v>
      </c>
      <c r="B825" s="3">
        <v>0.3336689814814815</v>
      </c>
      <c r="C825">
        <v>5565</v>
      </c>
      <c r="D825" t="str">
        <f>VLOOKUP(H825,Produkt!$A$2:$B$5,2,FALSE)</f>
        <v>D</v>
      </c>
      <c r="H825">
        <v>4</v>
      </c>
      <c r="I825">
        <v>0.92706018518518529</v>
      </c>
      <c r="J825">
        <v>44785</v>
      </c>
    </row>
    <row r="826" spans="1:10" x14ac:dyDescent="0.35">
      <c r="A826" s="2">
        <v>44776</v>
      </c>
      <c r="B826" s="3">
        <v>4.5636574074074072E-2</v>
      </c>
      <c r="C826">
        <v>5569</v>
      </c>
      <c r="D826" t="str">
        <f>VLOOKUP(H826,Produkt!$A$2:$B$5,2,FALSE)</f>
        <v>A</v>
      </c>
      <c r="H826">
        <v>1</v>
      </c>
      <c r="I826">
        <v>0.92277777777777781</v>
      </c>
      <c r="J826">
        <v>44795</v>
      </c>
    </row>
    <row r="827" spans="1:10" x14ac:dyDescent="0.35">
      <c r="A827" s="2">
        <v>44776</v>
      </c>
      <c r="B827" s="3">
        <v>0.31309027777777776</v>
      </c>
      <c r="C827">
        <v>5599</v>
      </c>
      <c r="D827" t="str">
        <f>VLOOKUP(H827,Produkt!$A$2:$B$5,2,FALSE)</f>
        <v>B</v>
      </c>
      <c r="H827">
        <v>2</v>
      </c>
      <c r="I827">
        <v>0.84530092592592598</v>
      </c>
      <c r="J827">
        <v>44783</v>
      </c>
    </row>
    <row r="828" spans="1:10" x14ac:dyDescent="0.35">
      <c r="A828" s="2">
        <v>44776</v>
      </c>
      <c r="B828" s="3">
        <v>0.34355324074074073</v>
      </c>
      <c r="C828">
        <v>5663</v>
      </c>
      <c r="D828" t="str">
        <f>VLOOKUP(H828,Produkt!$A$2:$B$5,2,FALSE)</f>
        <v>D</v>
      </c>
      <c r="H828">
        <v>4</v>
      </c>
      <c r="I828">
        <v>0.62886574074074075</v>
      </c>
      <c r="J828">
        <v>44799</v>
      </c>
    </row>
    <row r="829" spans="1:10" x14ac:dyDescent="0.35">
      <c r="A829" s="2">
        <v>44776</v>
      </c>
      <c r="B829" s="3">
        <v>0.33928240740740739</v>
      </c>
      <c r="C829">
        <v>5692</v>
      </c>
      <c r="D829" t="str">
        <f>VLOOKUP(H829,Produkt!$A$2:$B$5,2,FALSE)</f>
        <v>D</v>
      </c>
      <c r="H829">
        <v>4</v>
      </c>
      <c r="I829">
        <v>0.85828703703703713</v>
      </c>
      <c r="J829">
        <v>44803</v>
      </c>
    </row>
    <row r="830" spans="1:10" x14ac:dyDescent="0.35">
      <c r="A830" s="2">
        <v>44776</v>
      </c>
      <c r="B830" s="3">
        <v>0.1310763888888889</v>
      </c>
      <c r="C830">
        <v>5696</v>
      </c>
      <c r="D830" t="str">
        <f>VLOOKUP(H830,Produkt!$A$2:$B$5,2,FALSE)</f>
        <v>C</v>
      </c>
      <c r="H830">
        <v>3</v>
      </c>
      <c r="I830">
        <v>0.62556712962962957</v>
      </c>
      <c r="J830">
        <v>44801</v>
      </c>
    </row>
    <row r="831" spans="1:10" x14ac:dyDescent="0.35">
      <c r="A831" s="2">
        <v>44776</v>
      </c>
      <c r="B831" s="3">
        <v>0.43687499999999996</v>
      </c>
      <c r="C831">
        <v>5714</v>
      </c>
      <c r="D831" t="str">
        <f>VLOOKUP(H831,Produkt!$A$2:$B$5,2,FALSE)</f>
        <v>C</v>
      </c>
      <c r="H831">
        <v>3</v>
      </c>
      <c r="I831">
        <v>0.89586805555555549</v>
      </c>
      <c r="J831">
        <v>44781</v>
      </c>
    </row>
    <row r="832" spans="1:10" x14ac:dyDescent="0.35">
      <c r="A832" s="2">
        <v>44776</v>
      </c>
      <c r="B832" s="3">
        <v>3.9247685185185184E-2</v>
      </c>
      <c r="C832">
        <v>5715</v>
      </c>
      <c r="D832" t="str">
        <f>VLOOKUP(H832,Produkt!$A$2:$B$5,2,FALSE)</f>
        <v>C</v>
      </c>
      <c r="H832">
        <v>3</v>
      </c>
      <c r="I832">
        <v>0.87792824074074083</v>
      </c>
      <c r="J832">
        <v>44793</v>
      </c>
    </row>
    <row r="833" spans="1:10" x14ac:dyDescent="0.35">
      <c r="A833" s="2">
        <v>44776</v>
      </c>
      <c r="B833" s="3">
        <v>0.51527777777777783</v>
      </c>
      <c r="C833">
        <v>5728</v>
      </c>
      <c r="D833" t="str">
        <f>VLOOKUP(H833,Produkt!$A$2:$B$5,2,FALSE)</f>
        <v>A</v>
      </c>
      <c r="H833">
        <v>1</v>
      </c>
      <c r="I833">
        <v>0.70481481481481489</v>
      </c>
      <c r="J833">
        <v>44798</v>
      </c>
    </row>
    <row r="834" spans="1:10" x14ac:dyDescent="0.35">
      <c r="A834" s="2">
        <v>44776</v>
      </c>
      <c r="B834" s="3">
        <v>0.6658680555555555</v>
      </c>
      <c r="C834">
        <v>5732</v>
      </c>
      <c r="D834" t="str">
        <f>VLOOKUP(H834,Produkt!$A$2:$B$5,2,FALSE)</f>
        <v>A</v>
      </c>
      <c r="H834">
        <v>1</v>
      </c>
      <c r="I834">
        <v>0.76877314814814823</v>
      </c>
      <c r="J834">
        <v>44784</v>
      </c>
    </row>
    <row r="835" spans="1:10" x14ac:dyDescent="0.35">
      <c r="A835" s="2">
        <v>44776</v>
      </c>
      <c r="B835" s="3">
        <v>0.95016203703703705</v>
      </c>
      <c r="C835">
        <v>5736</v>
      </c>
      <c r="D835" t="str">
        <f>VLOOKUP(H835,Produkt!$A$2:$B$5,2,FALSE)</f>
        <v>D</v>
      </c>
      <c r="H835">
        <v>4</v>
      </c>
      <c r="I835">
        <v>0.15523148148148147</v>
      </c>
      <c r="J835">
        <v>44789</v>
      </c>
    </row>
    <row r="836" spans="1:10" x14ac:dyDescent="0.35">
      <c r="A836" s="2">
        <v>44776</v>
      </c>
      <c r="B836" s="3">
        <v>0.66704861111111102</v>
      </c>
      <c r="C836">
        <v>5793</v>
      </c>
      <c r="D836" t="str">
        <f>VLOOKUP(H836,Produkt!$A$2:$B$5,2,FALSE)</f>
        <v>A</v>
      </c>
      <c r="H836">
        <v>1</v>
      </c>
      <c r="I836">
        <v>0.68574074074074076</v>
      </c>
      <c r="J836">
        <v>44804</v>
      </c>
    </row>
    <row r="837" spans="1:10" x14ac:dyDescent="0.35">
      <c r="A837" s="2">
        <v>44776</v>
      </c>
      <c r="B837" s="3">
        <v>0.45461805555555551</v>
      </c>
      <c r="C837">
        <v>5799</v>
      </c>
      <c r="D837" t="str">
        <f>VLOOKUP(H837,Produkt!$A$2:$B$5,2,FALSE)</f>
        <v>A</v>
      </c>
      <c r="H837">
        <v>1</v>
      </c>
      <c r="I837">
        <v>0.82733796296296302</v>
      </c>
      <c r="J837">
        <v>44780</v>
      </c>
    </row>
    <row r="838" spans="1:10" x14ac:dyDescent="0.35">
      <c r="A838" s="2">
        <v>44776</v>
      </c>
      <c r="B838" s="3">
        <v>3.6724537037037042E-2</v>
      </c>
      <c r="C838">
        <v>5806</v>
      </c>
      <c r="D838" t="str">
        <f>VLOOKUP(H838,Produkt!$A$2:$B$5,2,FALSE)</f>
        <v>A</v>
      </c>
      <c r="H838">
        <v>1</v>
      </c>
      <c r="I838">
        <v>0.13969907407407409</v>
      </c>
      <c r="J838">
        <v>44787</v>
      </c>
    </row>
    <row r="839" spans="1:10" x14ac:dyDescent="0.35">
      <c r="A839" s="2">
        <v>44776</v>
      </c>
      <c r="B839" s="3">
        <v>0.42054398148148148</v>
      </c>
      <c r="C839">
        <v>5852</v>
      </c>
      <c r="D839" t="str">
        <f>VLOOKUP(H839,Produkt!$A$2:$B$5,2,FALSE)</f>
        <v>A</v>
      </c>
      <c r="H839">
        <v>1</v>
      </c>
      <c r="I839">
        <v>0.47540509259259256</v>
      </c>
      <c r="J839">
        <v>44787</v>
      </c>
    </row>
    <row r="840" spans="1:10" x14ac:dyDescent="0.35">
      <c r="A840" s="2">
        <v>44776</v>
      </c>
      <c r="B840" s="3">
        <v>0.1403587962962963</v>
      </c>
      <c r="C840">
        <v>5856</v>
      </c>
      <c r="D840" t="str">
        <f>VLOOKUP(H840,Produkt!$A$2:$B$5,2,FALSE)</f>
        <v>B</v>
      </c>
      <c r="H840">
        <v>2</v>
      </c>
      <c r="I840">
        <v>0.22708333333333333</v>
      </c>
      <c r="J840">
        <v>44799</v>
      </c>
    </row>
    <row r="841" spans="1:10" x14ac:dyDescent="0.35">
      <c r="A841" s="2">
        <v>44776</v>
      </c>
      <c r="B841" s="3">
        <v>0.53954861111111108</v>
      </c>
      <c r="C841">
        <v>5899</v>
      </c>
      <c r="D841" t="str">
        <f>VLOOKUP(H841,Produkt!$A$2:$B$5,2,FALSE)</f>
        <v>C</v>
      </c>
      <c r="H841">
        <v>3</v>
      </c>
      <c r="I841">
        <v>0.36070601851851852</v>
      </c>
      <c r="J841">
        <v>44782</v>
      </c>
    </row>
    <row r="842" spans="1:10" x14ac:dyDescent="0.35">
      <c r="A842" s="2">
        <v>44776</v>
      </c>
      <c r="B842" s="3">
        <v>0.91917824074074073</v>
      </c>
      <c r="C842">
        <v>5907</v>
      </c>
      <c r="D842" t="str">
        <f>VLOOKUP(H842,Produkt!$A$2:$B$5,2,FALSE)</f>
        <v>D</v>
      </c>
      <c r="H842">
        <v>4</v>
      </c>
      <c r="I842">
        <v>0.34087962962962964</v>
      </c>
      <c r="J842">
        <v>44796</v>
      </c>
    </row>
    <row r="843" spans="1:10" x14ac:dyDescent="0.35">
      <c r="A843" s="2">
        <v>44776</v>
      </c>
      <c r="B843" s="3">
        <v>0.67356481481481489</v>
      </c>
      <c r="C843">
        <v>5935</v>
      </c>
      <c r="D843" t="str">
        <f>VLOOKUP(H843,Produkt!$A$2:$B$5,2,FALSE)</f>
        <v>A</v>
      </c>
      <c r="H843">
        <v>1</v>
      </c>
      <c r="I843">
        <v>0.32201388888888888</v>
      </c>
      <c r="J843">
        <v>44794</v>
      </c>
    </row>
    <row r="844" spans="1:10" x14ac:dyDescent="0.35">
      <c r="A844" s="2">
        <v>44776</v>
      </c>
      <c r="B844" s="3">
        <v>0.80361111111111105</v>
      </c>
      <c r="C844">
        <v>5958</v>
      </c>
      <c r="D844" t="str">
        <f>VLOOKUP(H844,Produkt!$A$2:$B$5,2,FALSE)</f>
        <v>B</v>
      </c>
      <c r="H844">
        <v>2</v>
      </c>
      <c r="I844">
        <v>0.98651620370370363</v>
      </c>
      <c r="J844">
        <v>44793</v>
      </c>
    </row>
    <row r="845" spans="1:10" x14ac:dyDescent="0.35">
      <c r="A845" s="2">
        <v>44776</v>
      </c>
      <c r="B845" s="3">
        <v>0.29994212962962963</v>
      </c>
      <c r="C845">
        <v>5976</v>
      </c>
      <c r="D845" t="str">
        <f>VLOOKUP(H845,Produkt!$A$2:$B$5,2,FALSE)</f>
        <v>C</v>
      </c>
      <c r="H845">
        <v>3</v>
      </c>
      <c r="I845">
        <v>0.97282407407407412</v>
      </c>
      <c r="J845">
        <v>44776</v>
      </c>
    </row>
    <row r="846" spans="1:10" x14ac:dyDescent="0.35">
      <c r="A846" s="2">
        <v>44776</v>
      </c>
      <c r="B846" s="3">
        <v>2.9803240740740741E-2</v>
      </c>
      <c r="C846">
        <v>6009</v>
      </c>
      <c r="D846" t="str">
        <f>VLOOKUP(H846,Produkt!$A$2:$B$5,2,FALSE)</f>
        <v>D</v>
      </c>
      <c r="H846">
        <v>4</v>
      </c>
      <c r="I846">
        <v>0.60719907407407414</v>
      </c>
      <c r="J846">
        <v>44778</v>
      </c>
    </row>
    <row r="847" spans="1:10" x14ac:dyDescent="0.35">
      <c r="A847" s="2">
        <v>44776</v>
      </c>
      <c r="B847" s="3">
        <v>0.95300925925925928</v>
      </c>
      <c r="C847">
        <v>6032</v>
      </c>
      <c r="D847" t="str">
        <f>VLOOKUP(H847,Produkt!$A$2:$B$5,2,FALSE)</f>
        <v>B</v>
      </c>
      <c r="H847">
        <v>2</v>
      </c>
      <c r="I847">
        <v>0.33361111111111108</v>
      </c>
      <c r="J847">
        <v>44783</v>
      </c>
    </row>
    <row r="848" spans="1:10" x14ac:dyDescent="0.35">
      <c r="A848" s="2">
        <v>44776</v>
      </c>
      <c r="B848" s="3">
        <v>0.27229166666666665</v>
      </c>
      <c r="C848">
        <v>6034</v>
      </c>
      <c r="D848" t="str">
        <f>VLOOKUP(H848,Produkt!$A$2:$B$5,2,FALSE)</f>
        <v>B</v>
      </c>
      <c r="H848">
        <v>2</v>
      </c>
      <c r="I848">
        <v>0.88939814814814822</v>
      </c>
      <c r="J848">
        <v>44784</v>
      </c>
    </row>
    <row r="849" spans="1:10" x14ac:dyDescent="0.35">
      <c r="A849" s="2">
        <v>44776</v>
      </c>
      <c r="B849" s="3">
        <v>0.65733796296296299</v>
      </c>
      <c r="C849">
        <v>6046</v>
      </c>
      <c r="D849" t="str">
        <f>VLOOKUP(H849,Produkt!$A$2:$B$5,2,FALSE)</f>
        <v>B</v>
      </c>
      <c r="H849">
        <v>2</v>
      </c>
      <c r="I849">
        <v>0.47052083333333333</v>
      </c>
      <c r="J849">
        <v>44804</v>
      </c>
    </row>
    <row r="850" spans="1:10" x14ac:dyDescent="0.35">
      <c r="A850" s="2">
        <v>44776</v>
      </c>
      <c r="B850" s="3">
        <v>0.47539351851851852</v>
      </c>
      <c r="C850">
        <v>6161</v>
      </c>
      <c r="D850" t="str">
        <f>VLOOKUP(H850,Produkt!$A$2:$B$5,2,FALSE)</f>
        <v>B</v>
      </c>
      <c r="H850">
        <v>2</v>
      </c>
      <c r="I850">
        <v>0.33364583333333336</v>
      </c>
      <c r="J850">
        <v>44791</v>
      </c>
    </row>
    <row r="851" spans="1:10" x14ac:dyDescent="0.35">
      <c r="A851" s="2">
        <v>44776</v>
      </c>
      <c r="B851" s="3">
        <v>0.80923611111111116</v>
      </c>
      <c r="C851">
        <v>6217</v>
      </c>
      <c r="D851" t="str">
        <f>VLOOKUP(H851,Produkt!$A$2:$B$5,2,FALSE)</f>
        <v>D</v>
      </c>
      <c r="H851">
        <v>4</v>
      </c>
      <c r="I851">
        <v>0.96979166666666661</v>
      </c>
      <c r="J851">
        <v>44785</v>
      </c>
    </row>
    <row r="852" spans="1:10" x14ac:dyDescent="0.35">
      <c r="A852" s="2">
        <v>44776</v>
      </c>
      <c r="B852" s="3">
        <v>0.37503472222222217</v>
      </c>
      <c r="C852">
        <v>6244</v>
      </c>
      <c r="D852" t="str">
        <f>VLOOKUP(H852,Produkt!$A$2:$B$5,2,FALSE)</f>
        <v>B</v>
      </c>
      <c r="H852">
        <v>2</v>
      </c>
      <c r="I852">
        <v>0.88402777777777775</v>
      </c>
      <c r="J852">
        <v>44775</v>
      </c>
    </row>
    <row r="853" spans="1:10" x14ac:dyDescent="0.35">
      <c r="A853" s="2">
        <v>44776</v>
      </c>
      <c r="B853" s="3">
        <v>0.74241898148148155</v>
      </c>
      <c r="C853">
        <v>6254</v>
      </c>
      <c r="D853" t="str">
        <f>VLOOKUP(H853,Produkt!$A$2:$B$5,2,FALSE)</f>
        <v>D</v>
      </c>
      <c r="H853">
        <v>4</v>
      </c>
      <c r="I853">
        <v>0.93817129629629636</v>
      </c>
      <c r="J853">
        <v>44780</v>
      </c>
    </row>
    <row r="854" spans="1:10" x14ac:dyDescent="0.35">
      <c r="A854" s="2">
        <v>44776</v>
      </c>
      <c r="B854" s="3">
        <v>0.80358796296296298</v>
      </c>
      <c r="C854">
        <v>6286</v>
      </c>
      <c r="D854" t="str">
        <f>VLOOKUP(H854,Produkt!$A$2:$B$5,2,FALSE)</f>
        <v>C</v>
      </c>
      <c r="H854">
        <v>3</v>
      </c>
      <c r="I854">
        <v>0.83210648148148147</v>
      </c>
      <c r="J854">
        <v>44792</v>
      </c>
    </row>
    <row r="855" spans="1:10" x14ac:dyDescent="0.35">
      <c r="A855" s="2">
        <v>44776</v>
      </c>
      <c r="B855" s="3">
        <v>0.23734953703703701</v>
      </c>
      <c r="C855">
        <v>6288</v>
      </c>
      <c r="D855" t="str">
        <f>VLOOKUP(H855,Produkt!$A$2:$B$5,2,FALSE)</f>
        <v>D</v>
      </c>
      <c r="H855">
        <v>4</v>
      </c>
      <c r="I855">
        <v>0.16734953703703703</v>
      </c>
      <c r="J855">
        <v>44781</v>
      </c>
    </row>
    <row r="856" spans="1:10" x14ac:dyDescent="0.35">
      <c r="A856" s="2">
        <v>44776</v>
      </c>
      <c r="B856" s="3">
        <v>0.90270833333333333</v>
      </c>
      <c r="C856">
        <v>6370</v>
      </c>
      <c r="D856" t="str">
        <f>VLOOKUP(H856,Produkt!$A$2:$B$5,2,FALSE)</f>
        <v>A</v>
      </c>
      <c r="H856">
        <v>1</v>
      </c>
      <c r="I856">
        <v>0.5270717592592592</v>
      </c>
      <c r="J856">
        <v>44785</v>
      </c>
    </row>
    <row r="857" spans="1:10" x14ac:dyDescent="0.35">
      <c r="A857" s="2">
        <v>44776</v>
      </c>
      <c r="B857" s="3">
        <v>0.41003472222222226</v>
      </c>
      <c r="C857">
        <v>6379</v>
      </c>
      <c r="D857" t="str">
        <f>VLOOKUP(H857,Produkt!$A$2:$B$5,2,FALSE)</f>
        <v>A</v>
      </c>
      <c r="H857">
        <v>1</v>
      </c>
      <c r="I857">
        <v>0.22643518518518521</v>
      </c>
      <c r="J857">
        <v>44783</v>
      </c>
    </row>
    <row r="858" spans="1:10" x14ac:dyDescent="0.35">
      <c r="A858" s="2">
        <v>44776</v>
      </c>
      <c r="B858" s="3">
        <v>9.6759259259259264E-3</v>
      </c>
      <c r="C858">
        <v>6478</v>
      </c>
      <c r="D858" t="str">
        <f>VLOOKUP(H858,Produkt!$A$2:$B$5,2,FALSE)</f>
        <v>B</v>
      </c>
      <c r="H858">
        <v>2</v>
      </c>
      <c r="I858">
        <v>0.39730324074074069</v>
      </c>
      <c r="J858">
        <v>44804</v>
      </c>
    </row>
    <row r="859" spans="1:10" x14ac:dyDescent="0.35">
      <c r="A859" s="2">
        <v>44776</v>
      </c>
      <c r="B859" s="3">
        <v>0.64430555555555558</v>
      </c>
      <c r="C859">
        <v>6488</v>
      </c>
      <c r="D859" t="str">
        <f>VLOOKUP(H859,Produkt!$A$2:$B$5,2,FALSE)</f>
        <v>D</v>
      </c>
      <c r="H859">
        <v>4</v>
      </c>
      <c r="I859">
        <v>0.64380787037037035</v>
      </c>
      <c r="J859">
        <v>44801</v>
      </c>
    </row>
    <row r="860" spans="1:10" x14ac:dyDescent="0.35">
      <c r="A860" s="2">
        <v>44776</v>
      </c>
      <c r="B860" s="3">
        <v>0.88568287037037041</v>
      </c>
      <c r="C860">
        <v>6499</v>
      </c>
      <c r="D860" t="str">
        <f>VLOOKUP(H860,Produkt!$A$2:$B$5,2,FALSE)</f>
        <v>A</v>
      </c>
      <c r="H860">
        <v>1</v>
      </c>
      <c r="I860">
        <v>0.29245370370370372</v>
      </c>
      <c r="J860">
        <v>44793</v>
      </c>
    </row>
    <row r="861" spans="1:10" x14ac:dyDescent="0.35">
      <c r="A861" s="2">
        <v>44776</v>
      </c>
      <c r="B861" s="3">
        <v>0.49981481481481477</v>
      </c>
      <c r="C861">
        <v>6505</v>
      </c>
      <c r="D861" t="str">
        <f>VLOOKUP(H861,Produkt!$A$2:$B$5,2,FALSE)</f>
        <v>A</v>
      </c>
      <c r="H861">
        <v>1</v>
      </c>
      <c r="I861">
        <v>9.0740740740740733E-2</v>
      </c>
      <c r="J861">
        <v>44804</v>
      </c>
    </row>
    <row r="862" spans="1:10" x14ac:dyDescent="0.35">
      <c r="A862" s="2">
        <v>44776</v>
      </c>
      <c r="B862" s="3">
        <v>0.84745370370370365</v>
      </c>
      <c r="C862">
        <v>6556</v>
      </c>
      <c r="D862" t="str">
        <f>VLOOKUP(H862,Produkt!$A$2:$B$5,2,FALSE)</f>
        <v>C</v>
      </c>
      <c r="H862">
        <v>3</v>
      </c>
      <c r="I862">
        <v>0.49479166666666669</v>
      </c>
      <c r="J862">
        <v>44798</v>
      </c>
    </row>
    <row r="863" spans="1:10" x14ac:dyDescent="0.35">
      <c r="A863" s="2">
        <v>44776</v>
      </c>
      <c r="B863" s="3">
        <v>0.63473379629629634</v>
      </c>
      <c r="C863">
        <v>6565</v>
      </c>
      <c r="D863" t="str">
        <f>VLOOKUP(H863,Produkt!$A$2:$B$5,2,FALSE)</f>
        <v>C</v>
      </c>
      <c r="H863">
        <v>3</v>
      </c>
      <c r="I863">
        <v>0.76180555555555562</v>
      </c>
      <c r="J863">
        <v>44779</v>
      </c>
    </row>
    <row r="864" spans="1:10" x14ac:dyDescent="0.35">
      <c r="A864" s="2">
        <v>44776</v>
      </c>
      <c r="B864" s="3">
        <v>0.46784722222222225</v>
      </c>
      <c r="C864">
        <v>6587</v>
      </c>
      <c r="D864" t="str">
        <f>VLOOKUP(H864,Produkt!$A$2:$B$5,2,FALSE)</f>
        <v>C</v>
      </c>
      <c r="H864">
        <v>3</v>
      </c>
      <c r="I864">
        <v>0.17104166666666668</v>
      </c>
      <c r="J864">
        <v>44796</v>
      </c>
    </row>
    <row r="865" spans="1:10" x14ac:dyDescent="0.35">
      <c r="A865" s="2">
        <v>44776</v>
      </c>
      <c r="B865" s="3">
        <v>0.38377314814814811</v>
      </c>
      <c r="C865">
        <v>6593</v>
      </c>
      <c r="D865" t="str">
        <f>VLOOKUP(H865,Produkt!$A$2:$B$5,2,FALSE)</f>
        <v>C</v>
      </c>
      <c r="H865">
        <v>3</v>
      </c>
      <c r="I865">
        <v>0.18172453703703703</v>
      </c>
      <c r="J865">
        <v>44787</v>
      </c>
    </row>
    <row r="866" spans="1:10" x14ac:dyDescent="0.35">
      <c r="A866" s="2">
        <v>44776</v>
      </c>
      <c r="B866" s="3">
        <v>9.0868055555555549E-2</v>
      </c>
      <c r="C866">
        <v>6620</v>
      </c>
      <c r="D866" t="str">
        <f>VLOOKUP(H866,Produkt!$A$2:$B$5,2,FALSE)</f>
        <v>A</v>
      </c>
      <c r="H866">
        <v>1</v>
      </c>
      <c r="I866">
        <v>0.39395833333333335</v>
      </c>
      <c r="J866">
        <v>44776</v>
      </c>
    </row>
    <row r="867" spans="1:10" x14ac:dyDescent="0.35">
      <c r="A867" s="2">
        <v>44776</v>
      </c>
      <c r="B867" s="3">
        <v>0.37008101851851855</v>
      </c>
      <c r="C867">
        <v>6637</v>
      </c>
      <c r="D867" t="str">
        <f>VLOOKUP(H867,Produkt!$A$2:$B$5,2,FALSE)</f>
        <v>A</v>
      </c>
      <c r="H867">
        <v>1</v>
      </c>
      <c r="I867">
        <v>0.57033564814814819</v>
      </c>
      <c r="J867">
        <v>44793</v>
      </c>
    </row>
    <row r="868" spans="1:10" x14ac:dyDescent="0.35">
      <c r="A868" s="2">
        <v>44776</v>
      </c>
      <c r="B868" s="3">
        <v>0.17429398148148148</v>
      </c>
      <c r="C868">
        <v>6665</v>
      </c>
      <c r="D868" t="str">
        <f>VLOOKUP(H868,Produkt!$A$2:$B$5,2,FALSE)</f>
        <v>A</v>
      </c>
      <c r="H868">
        <v>1</v>
      </c>
      <c r="I868">
        <v>0.36192129629629632</v>
      </c>
      <c r="J868">
        <v>44795</v>
      </c>
    </row>
    <row r="869" spans="1:10" x14ac:dyDescent="0.35">
      <c r="A869" s="2">
        <v>44776</v>
      </c>
      <c r="B869" s="3">
        <v>0.95728009259259261</v>
      </c>
      <c r="C869">
        <v>6698</v>
      </c>
      <c r="D869" t="str">
        <f>VLOOKUP(H869,Produkt!$A$2:$B$5,2,FALSE)</f>
        <v>D</v>
      </c>
      <c r="H869">
        <v>4</v>
      </c>
      <c r="I869">
        <v>0.79954861111111108</v>
      </c>
      <c r="J869">
        <v>44801</v>
      </c>
    </row>
    <row r="870" spans="1:10" x14ac:dyDescent="0.35">
      <c r="A870" s="2">
        <v>44776</v>
      </c>
      <c r="B870" s="3">
        <v>0.23527777777777778</v>
      </c>
      <c r="C870">
        <v>6701</v>
      </c>
      <c r="D870" t="str">
        <f>VLOOKUP(H870,Produkt!$A$2:$B$5,2,FALSE)</f>
        <v>A</v>
      </c>
      <c r="H870">
        <v>1</v>
      </c>
      <c r="I870">
        <v>0.14783564814814815</v>
      </c>
      <c r="J870">
        <v>44778</v>
      </c>
    </row>
    <row r="871" spans="1:10" x14ac:dyDescent="0.35">
      <c r="A871" s="2">
        <v>44776</v>
      </c>
      <c r="B871" s="3">
        <v>0.67906250000000001</v>
      </c>
      <c r="C871">
        <v>6787</v>
      </c>
      <c r="D871" t="str">
        <f>VLOOKUP(H871,Produkt!$A$2:$B$5,2,FALSE)</f>
        <v>A</v>
      </c>
      <c r="H871">
        <v>1</v>
      </c>
      <c r="I871">
        <v>0.5901157407407408</v>
      </c>
      <c r="J871">
        <v>44777</v>
      </c>
    </row>
    <row r="872" spans="1:10" x14ac:dyDescent="0.35">
      <c r="A872" s="2">
        <v>44776</v>
      </c>
      <c r="B872" s="3">
        <v>0.1925</v>
      </c>
      <c r="C872">
        <v>6811</v>
      </c>
      <c r="D872" t="str">
        <f>VLOOKUP(H872,Produkt!$A$2:$B$5,2,FALSE)</f>
        <v>D</v>
      </c>
      <c r="H872">
        <v>4</v>
      </c>
      <c r="I872">
        <v>0.9041203703703703</v>
      </c>
      <c r="J872">
        <v>44802</v>
      </c>
    </row>
    <row r="873" spans="1:10" x14ac:dyDescent="0.35">
      <c r="A873" s="2">
        <v>44776</v>
      </c>
      <c r="B873" s="3">
        <v>0.43232638888888886</v>
      </c>
      <c r="C873">
        <v>6827</v>
      </c>
      <c r="D873" t="str">
        <f>VLOOKUP(H873,Produkt!$A$2:$B$5,2,FALSE)</f>
        <v>C</v>
      </c>
      <c r="H873">
        <v>3</v>
      </c>
      <c r="I873">
        <v>0.62353009259259262</v>
      </c>
      <c r="J873">
        <v>44784</v>
      </c>
    </row>
    <row r="874" spans="1:10" x14ac:dyDescent="0.35">
      <c r="A874" s="2">
        <v>44776</v>
      </c>
      <c r="B874" s="3">
        <v>0.77814814814814814</v>
      </c>
      <c r="C874">
        <v>6841</v>
      </c>
      <c r="D874" t="str">
        <f>VLOOKUP(H874,Produkt!$A$2:$B$5,2,FALSE)</f>
        <v>D</v>
      </c>
      <c r="H874">
        <v>4</v>
      </c>
      <c r="I874">
        <v>0.85641203703703705</v>
      </c>
      <c r="J874">
        <v>44793</v>
      </c>
    </row>
    <row r="875" spans="1:10" x14ac:dyDescent="0.35">
      <c r="A875" s="2">
        <v>44776</v>
      </c>
      <c r="B875" s="3">
        <v>0.88818287037037036</v>
      </c>
      <c r="C875">
        <v>6893</v>
      </c>
      <c r="D875" t="str">
        <f>VLOOKUP(H875,Produkt!$A$2:$B$5,2,FALSE)</f>
        <v>D</v>
      </c>
      <c r="H875">
        <v>4</v>
      </c>
      <c r="I875">
        <v>0.33184027777777775</v>
      </c>
      <c r="J875">
        <v>44782</v>
      </c>
    </row>
    <row r="876" spans="1:10" x14ac:dyDescent="0.35">
      <c r="A876" s="2">
        <v>44776</v>
      </c>
      <c r="B876" s="3">
        <v>0.34412037037037035</v>
      </c>
      <c r="C876">
        <v>7093</v>
      </c>
      <c r="D876" t="str">
        <f>VLOOKUP(H876,Produkt!$A$2:$B$5,2,FALSE)</f>
        <v>D</v>
      </c>
      <c r="H876">
        <v>4</v>
      </c>
      <c r="I876">
        <v>0.81015046296296289</v>
      </c>
      <c r="J876">
        <v>44788</v>
      </c>
    </row>
    <row r="877" spans="1:10" x14ac:dyDescent="0.35">
      <c r="A877" s="2">
        <v>44776</v>
      </c>
      <c r="B877" s="3">
        <v>0.57723379629629623</v>
      </c>
      <c r="C877">
        <v>7120</v>
      </c>
      <c r="D877" t="str">
        <f>VLOOKUP(H877,Produkt!$A$2:$B$5,2,FALSE)</f>
        <v>C</v>
      </c>
      <c r="H877">
        <v>3</v>
      </c>
      <c r="I877">
        <v>0.42530092592592594</v>
      </c>
      <c r="J877">
        <v>44794</v>
      </c>
    </row>
    <row r="878" spans="1:10" x14ac:dyDescent="0.35">
      <c r="A878" s="2">
        <v>44776</v>
      </c>
      <c r="B878" s="3">
        <v>0.33333333333333331</v>
      </c>
      <c r="C878">
        <v>7133</v>
      </c>
      <c r="D878" t="str">
        <f>VLOOKUP(H878,Produkt!$A$2:$B$5,2,FALSE)</f>
        <v>A</v>
      </c>
      <c r="H878">
        <v>1</v>
      </c>
      <c r="I878">
        <v>0.62282407407407414</v>
      </c>
      <c r="J878">
        <v>44789</v>
      </c>
    </row>
    <row r="879" spans="1:10" x14ac:dyDescent="0.35">
      <c r="A879" s="2">
        <v>44776</v>
      </c>
      <c r="B879" s="3">
        <v>0.13087962962962962</v>
      </c>
      <c r="C879">
        <v>7139</v>
      </c>
      <c r="D879" t="str">
        <f>VLOOKUP(H879,Produkt!$A$2:$B$5,2,FALSE)</f>
        <v>C</v>
      </c>
      <c r="H879">
        <v>3</v>
      </c>
      <c r="I879">
        <v>0.44493055555555555</v>
      </c>
      <c r="J879">
        <v>44804</v>
      </c>
    </row>
    <row r="880" spans="1:10" x14ac:dyDescent="0.35">
      <c r="A880" s="2">
        <v>44776</v>
      </c>
      <c r="B880" s="3">
        <v>0.46049768518518519</v>
      </c>
      <c r="C880">
        <v>7174</v>
      </c>
      <c r="D880" t="str">
        <f>VLOOKUP(H880,Produkt!$A$2:$B$5,2,FALSE)</f>
        <v>D</v>
      </c>
      <c r="H880">
        <v>4</v>
      </c>
      <c r="I880">
        <v>0.43581018518518522</v>
      </c>
      <c r="J880">
        <v>44799</v>
      </c>
    </row>
    <row r="881" spans="1:10" x14ac:dyDescent="0.35">
      <c r="A881" s="2">
        <v>44776</v>
      </c>
      <c r="B881" s="3">
        <v>0.10811342592592592</v>
      </c>
      <c r="C881">
        <v>7188</v>
      </c>
      <c r="D881" t="str">
        <f>VLOOKUP(H881,Produkt!$A$2:$B$5,2,FALSE)</f>
        <v>D</v>
      </c>
      <c r="H881">
        <v>4</v>
      </c>
      <c r="I881">
        <v>0.88540509259259259</v>
      </c>
      <c r="J881">
        <v>44799</v>
      </c>
    </row>
    <row r="882" spans="1:10" x14ac:dyDescent="0.35">
      <c r="A882" s="2">
        <v>44776</v>
      </c>
      <c r="B882" s="3">
        <v>0.21905092592592593</v>
      </c>
      <c r="C882">
        <v>7189</v>
      </c>
      <c r="D882" t="str">
        <f>VLOOKUP(H882,Produkt!$A$2:$B$5,2,FALSE)</f>
        <v>B</v>
      </c>
      <c r="H882">
        <v>2</v>
      </c>
      <c r="I882">
        <v>0.15200231481481483</v>
      </c>
      <c r="J882">
        <v>44783</v>
      </c>
    </row>
    <row r="883" spans="1:10" x14ac:dyDescent="0.35">
      <c r="A883" s="2">
        <v>44776</v>
      </c>
      <c r="B883" s="3">
        <v>0.78653935185185186</v>
      </c>
      <c r="C883">
        <v>7192</v>
      </c>
      <c r="D883" t="str">
        <f>VLOOKUP(H883,Produkt!$A$2:$B$5,2,FALSE)</f>
        <v>C</v>
      </c>
      <c r="H883">
        <v>3</v>
      </c>
      <c r="I883">
        <v>1.9305555555555555E-2</v>
      </c>
      <c r="J883">
        <v>44797</v>
      </c>
    </row>
    <row r="884" spans="1:10" x14ac:dyDescent="0.35">
      <c r="A884" s="2">
        <v>44776</v>
      </c>
      <c r="B884" s="3">
        <v>0.41667824074074072</v>
      </c>
      <c r="C884">
        <v>7247</v>
      </c>
      <c r="D884" t="str">
        <f>VLOOKUP(H884,Produkt!$A$2:$B$5,2,FALSE)</f>
        <v>A</v>
      </c>
      <c r="H884">
        <v>1</v>
      </c>
      <c r="I884">
        <v>4.5925925925925926E-2</v>
      </c>
      <c r="J884">
        <v>44779</v>
      </c>
    </row>
    <row r="885" spans="1:10" x14ac:dyDescent="0.35">
      <c r="A885" s="2">
        <v>44776</v>
      </c>
      <c r="B885" s="3">
        <v>0.69620370370370377</v>
      </c>
      <c r="C885">
        <v>7282</v>
      </c>
      <c r="D885" t="str">
        <f>VLOOKUP(H885,Produkt!$A$2:$B$5,2,FALSE)</f>
        <v>B</v>
      </c>
      <c r="H885">
        <v>2</v>
      </c>
      <c r="I885">
        <v>0.73931712962962959</v>
      </c>
      <c r="J885">
        <v>44792</v>
      </c>
    </row>
    <row r="886" spans="1:10" x14ac:dyDescent="0.35">
      <c r="A886" s="2">
        <v>44776</v>
      </c>
      <c r="B886" s="3">
        <v>0.25019675925925927</v>
      </c>
      <c r="C886">
        <v>7348</v>
      </c>
      <c r="D886" t="str">
        <f>VLOOKUP(H886,Produkt!$A$2:$B$5,2,FALSE)</f>
        <v>B</v>
      </c>
      <c r="H886">
        <v>2</v>
      </c>
      <c r="I886">
        <v>0.92065972222222225</v>
      </c>
      <c r="J886">
        <v>44796</v>
      </c>
    </row>
    <row r="887" spans="1:10" x14ac:dyDescent="0.35">
      <c r="A887" s="2">
        <v>44776</v>
      </c>
      <c r="B887" s="3">
        <v>2.4861111111111223E-2</v>
      </c>
      <c r="C887">
        <v>7353</v>
      </c>
      <c r="D887" t="str">
        <f>VLOOKUP(H887,Produkt!$A$2:$B$5,2,FALSE)</f>
        <v>A</v>
      </c>
      <c r="H887">
        <v>1</v>
      </c>
      <c r="I887">
        <v>0.96987268518518521</v>
      </c>
      <c r="J887">
        <v>44779</v>
      </c>
    </row>
    <row r="888" spans="1:10" x14ac:dyDescent="0.35">
      <c r="A888" s="2">
        <v>44776</v>
      </c>
      <c r="B888" s="3">
        <v>0.43964120370370369</v>
      </c>
      <c r="C888">
        <v>7367</v>
      </c>
      <c r="D888" t="str">
        <f>VLOOKUP(H888,Produkt!$A$2:$B$5,2,FALSE)</f>
        <v>C</v>
      </c>
      <c r="H888">
        <v>3</v>
      </c>
      <c r="I888">
        <v>0.19155092592592593</v>
      </c>
      <c r="J888">
        <v>44804</v>
      </c>
    </row>
    <row r="889" spans="1:10" x14ac:dyDescent="0.35">
      <c r="A889" s="2">
        <v>44776</v>
      </c>
      <c r="B889" s="3">
        <v>0.84201388888888884</v>
      </c>
      <c r="C889">
        <v>7383</v>
      </c>
      <c r="D889" t="str">
        <f>VLOOKUP(H889,Produkt!$A$2:$B$5,2,FALSE)</f>
        <v>B</v>
      </c>
      <c r="H889">
        <v>2</v>
      </c>
      <c r="I889">
        <v>0.12450231481481482</v>
      </c>
      <c r="J889">
        <v>44782</v>
      </c>
    </row>
    <row r="890" spans="1:10" x14ac:dyDescent="0.35">
      <c r="A890" s="2">
        <v>44776</v>
      </c>
      <c r="B890" s="3">
        <v>0.76493055555555556</v>
      </c>
      <c r="C890">
        <v>7457</v>
      </c>
      <c r="D890" t="str">
        <f>VLOOKUP(H890,Produkt!$A$2:$B$5,2,FALSE)</f>
        <v>C</v>
      </c>
      <c r="H890">
        <v>3</v>
      </c>
      <c r="I890">
        <v>0.67008101851851853</v>
      </c>
      <c r="J890">
        <v>44799</v>
      </c>
    </row>
    <row r="891" spans="1:10" x14ac:dyDescent="0.35">
      <c r="A891" s="2">
        <v>44776</v>
      </c>
      <c r="B891" s="3">
        <v>0.63496527777777778</v>
      </c>
      <c r="C891">
        <v>7500</v>
      </c>
      <c r="D891" t="str">
        <f>VLOOKUP(H891,Produkt!$A$2:$B$5,2,FALSE)</f>
        <v>A</v>
      </c>
      <c r="H891">
        <v>1</v>
      </c>
      <c r="I891">
        <v>0.88449074074074074</v>
      </c>
      <c r="J891">
        <v>44791</v>
      </c>
    </row>
    <row r="892" spans="1:10" x14ac:dyDescent="0.35">
      <c r="A892" s="2">
        <v>44776</v>
      </c>
      <c r="B892" s="3">
        <v>0.48061342592592587</v>
      </c>
      <c r="C892">
        <v>7612</v>
      </c>
      <c r="D892" t="str">
        <f>VLOOKUP(H892,Produkt!$A$2:$B$5,2,FALSE)</f>
        <v>D</v>
      </c>
      <c r="H892">
        <v>4</v>
      </c>
      <c r="I892">
        <v>0.94975694444444436</v>
      </c>
      <c r="J892">
        <v>44796</v>
      </c>
    </row>
    <row r="893" spans="1:10" x14ac:dyDescent="0.35">
      <c r="A893" s="2">
        <v>44776</v>
      </c>
      <c r="B893" s="3">
        <v>0.71537037037037043</v>
      </c>
      <c r="C893">
        <v>7634</v>
      </c>
      <c r="D893" t="str">
        <f>VLOOKUP(H893,Produkt!$A$2:$B$5,2,FALSE)</f>
        <v>A</v>
      </c>
      <c r="H893">
        <v>1</v>
      </c>
      <c r="I893">
        <v>0.25785879629629632</v>
      </c>
      <c r="J893">
        <v>44782</v>
      </c>
    </row>
    <row r="894" spans="1:10" x14ac:dyDescent="0.35">
      <c r="A894" s="2">
        <v>44776</v>
      </c>
      <c r="B894" s="3">
        <v>0.89949074074074076</v>
      </c>
      <c r="C894">
        <v>7651</v>
      </c>
      <c r="D894" t="str">
        <f>VLOOKUP(H894,Produkt!$A$2:$B$5,2,FALSE)</f>
        <v>C</v>
      </c>
      <c r="H894">
        <v>3</v>
      </c>
      <c r="I894">
        <v>0.9478240740740741</v>
      </c>
      <c r="J894">
        <v>44804</v>
      </c>
    </row>
    <row r="895" spans="1:10" x14ac:dyDescent="0.35">
      <c r="A895" s="2">
        <v>44776</v>
      </c>
      <c r="B895" s="3">
        <v>0.9978703703703703</v>
      </c>
      <c r="C895">
        <v>7675</v>
      </c>
      <c r="D895" t="str">
        <f>VLOOKUP(H895,Produkt!$A$2:$B$5,2,FALSE)</f>
        <v>C</v>
      </c>
      <c r="H895">
        <v>3</v>
      </c>
      <c r="I895">
        <v>0.49641203703703707</v>
      </c>
      <c r="J895">
        <v>44782</v>
      </c>
    </row>
    <row r="896" spans="1:10" x14ac:dyDescent="0.35">
      <c r="A896" s="2">
        <v>44776</v>
      </c>
      <c r="B896" s="3">
        <v>0.14027777777777778</v>
      </c>
      <c r="C896">
        <v>7690</v>
      </c>
      <c r="D896" t="str">
        <f>VLOOKUP(H896,Produkt!$A$2:$B$5,2,FALSE)</f>
        <v>B</v>
      </c>
      <c r="H896">
        <v>2</v>
      </c>
      <c r="I896">
        <v>0.66740740740740734</v>
      </c>
      <c r="J896">
        <v>44803</v>
      </c>
    </row>
    <row r="897" spans="1:10" x14ac:dyDescent="0.35">
      <c r="A897" s="2">
        <v>44776</v>
      </c>
      <c r="B897" s="3">
        <v>0.47501157407407407</v>
      </c>
      <c r="C897">
        <v>7705</v>
      </c>
      <c r="D897" t="str">
        <f>VLOOKUP(H897,Produkt!$A$2:$B$5,2,FALSE)</f>
        <v>C</v>
      </c>
      <c r="H897">
        <v>3</v>
      </c>
      <c r="I897">
        <v>0.96158564814814806</v>
      </c>
      <c r="J897">
        <v>44795</v>
      </c>
    </row>
    <row r="898" spans="1:10" x14ac:dyDescent="0.35">
      <c r="A898" s="2">
        <v>44776</v>
      </c>
      <c r="B898" s="3">
        <v>0.63325231481481481</v>
      </c>
      <c r="C898">
        <v>7767</v>
      </c>
      <c r="D898" t="str">
        <f>VLOOKUP(H898,Produkt!$A$2:$B$5,2,FALSE)</f>
        <v>B</v>
      </c>
      <c r="H898">
        <v>2</v>
      </c>
      <c r="I898">
        <v>0.62886574074074075</v>
      </c>
      <c r="J898">
        <v>44799</v>
      </c>
    </row>
    <row r="899" spans="1:10" x14ac:dyDescent="0.35">
      <c r="A899" s="2">
        <v>44776</v>
      </c>
      <c r="B899" s="3">
        <v>0.64152777777777781</v>
      </c>
      <c r="C899">
        <v>7797</v>
      </c>
      <c r="D899" t="str">
        <f>VLOOKUP(H899,Produkt!$A$2:$B$5,2,FALSE)</f>
        <v>B</v>
      </c>
      <c r="H899">
        <v>2</v>
      </c>
      <c r="I899">
        <v>0.35440972222222222</v>
      </c>
      <c r="J899">
        <v>44804</v>
      </c>
    </row>
    <row r="900" spans="1:10" x14ac:dyDescent="0.35">
      <c r="A900" s="2">
        <v>44776</v>
      </c>
      <c r="B900" s="3">
        <v>0.62528935185185186</v>
      </c>
      <c r="C900">
        <v>7798</v>
      </c>
      <c r="D900" t="str">
        <f>VLOOKUP(H900,Produkt!$A$2:$B$5,2,FALSE)</f>
        <v>C</v>
      </c>
      <c r="H900">
        <v>3</v>
      </c>
      <c r="I900">
        <v>0.42282407407407407</v>
      </c>
      <c r="J900">
        <v>44784</v>
      </c>
    </row>
    <row r="901" spans="1:10" x14ac:dyDescent="0.35">
      <c r="A901" s="2">
        <v>44776</v>
      </c>
      <c r="B901" s="3">
        <v>0.62305555555555558</v>
      </c>
      <c r="C901">
        <v>7826</v>
      </c>
      <c r="D901" t="str">
        <f>VLOOKUP(H901,Produkt!$A$2:$B$5,2,FALSE)</f>
        <v>A</v>
      </c>
      <c r="H901">
        <v>1</v>
      </c>
      <c r="I901">
        <v>0.77878472222222228</v>
      </c>
      <c r="J901">
        <v>44800</v>
      </c>
    </row>
    <row r="902" spans="1:10" x14ac:dyDescent="0.35">
      <c r="A902" s="2">
        <v>44776</v>
      </c>
      <c r="B902" s="3">
        <v>0.54660879629629633</v>
      </c>
      <c r="C902">
        <v>7834</v>
      </c>
      <c r="D902" t="str">
        <f>VLOOKUP(H902,Produkt!$A$2:$B$5,2,FALSE)</f>
        <v>C</v>
      </c>
      <c r="H902">
        <v>3</v>
      </c>
      <c r="I902">
        <v>0.8526273148148148</v>
      </c>
      <c r="J902">
        <v>44776</v>
      </c>
    </row>
    <row r="903" spans="1:10" x14ac:dyDescent="0.35">
      <c r="A903" s="2">
        <v>44776</v>
      </c>
      <c r="B903" s="3">
        <v>0.60731481481481475</v>
      </c>
      <c r="C903">
        <v>7852</v>
      </c>
      <c r="D903" t="str">
        <f>VLOOKUP(H903,Produkt!$A$2:$B$5,2,FALSE)</f>
        <v>A</v>
      </c>
      <c r="H903">
        <v>1</v>
      </c>
      <c r="I903">
        <v>0.83392361111111113</v>
      </c>
      <c r="J903">
        <v>44791</v>
      </c>
    </row>
    <row r="904" spans="1:10" x14ac:dyDescent="0.35">
      <c r="A904" s="2">
        <v>44776</v>
      </c>
      <c r="B904" s="3">
        <v>0.26372685185185185</v>
      </c>
      <c r="C904">
        <v>7898</v>
      </c>
      <c r="D904" t="str">
        <f>VLOOKUP(H904,Produkt!$A$2:$B$5,2,FALSE)</f>
        <v>D</v>
      </c>
      <c r="H904">
        <v>4</v>
      </c>
      <c r="I904">
        <v>0.36859953703703702</v>
      </c>
      <c r="J904">
        <v>44785</v>
      </c>
    </row>
    <row r="905" spans="1:10" x14ac:dyDescent="0.35">
      <c r="A905" s="2">
        <v>44776</v>
      </c>
      <c r="B905" s="3">
        <v>0.12840277777777778</v>
      </c>
      <c r="C905">
        <v>7962</v>
      </c>
      <c r="D905" t="str">
        <f>VLOOKUP(H905,Produkt!$A$2:$B$5,2,FALSE)</f>
        <v>D</v>
      </c>
      <c r="H905">
        <v>4</v>
      </c>
      <c r="I905">
        <v>0.5756944444444444</v>
      </c>
      <c r="J905">
        <v>44783</v>
      </c>
    </row>
    <row r="906" spans="1:10" x14ac:dyDescent="0.35">
      <c r="A906" s="2">
        <v>44776</v>
      </c>
      <c r="B906" s="3">
        <v>0.53717592592592589</v>
      </c>
      <c r="C906">
        <v>8014</v>
      </c>
      <c r="D906" t="str">
        <f>VLOOKUP(H906,Produkt!$A$2:$B$5,2,FALSE)</f>
        <v>A</v>
      </c>
      <c r="H906">
        <v>1</v>
      </c>
      <c r="I906">
        <v>0.31276620370370373</v>
      </c>
      <c r="J906">
        <v>44795</v>
      </c>
    </row>
    <row r="907" spans="1:10" x14ac:dyDescent="0.35">
      <c r="A907" s="2">
        <v>44776</v>
      </c>
      <c r="B907" s="3">
        <v>0.68601851851851858</v>
      </c>
      <c r="C907">
        <v>8031</v>
      </c>
      <c r="D907" t="str">
        <f>VLOOKUP(H907,Produkt!$A$2:$B$5,2,FALSE)</f>
        <v>A</v>
      </c>
      <c r="H907">
        <v>1</v>
      </c>
      <c r="I907">
        <v>0.47689814814814818</v>
      </c>
      <c r="J907">
        <v>44786</v>
      </c>
    </row>
    <row r="908" spans="1:10" x14ac:dyDescent="0.35">
      <c r="A908" s="2">
        <v>44776</v>
      </c>
      <c r="B908" s="3">
        <v>0.16093749999999998</v>
      </c>
      <c r="C908">
        <v>8051</v>
      </c>
      <c r="D908" t="str">
        <f>VLOOKUP(H908,Produkt!$A$2:$B$5,2,FALSE)</f>
        <v>A</v>
      </c>
      <c r="H908">
        <v>1</v>
      </c>
      <c r="I908">
        <v>0.82916666666666661</v>
      </c>
      <c r="J908">
        <v>44789</v>
      </c>
    </row>
    <row r="909" spans="1:10" x14ac:dyDescent="0.35">
      <c r="A909" s="2">
        <v>44776</v>
      </c>
      <c r="B909" s="3">
        <v>0.99425925925925929</v>
      </c>
      <c r="C909">
        <v>8067</v>
      </c>
      <c r="D909" t="str">
        <f>VLOOKUP(H909,Produkt!$A$2:$B$5,2,FALSE)</f>
        <v>B</v>
      </c>
      <c r="H909">
        <v>2</v>
      </c>
      <c r="I909">
        <v>0.88012731481481488</v>
      </c>
      <c r="J909">
        <v>44788</v>
      </c>
    </row>
    <row r="910" spans="1:10" x14ac:dyDescent="0.35">
      <c r="A910" s="2">
        <v>44776</v>
      </c>
      <c r="B910" s="3">
        <v>0.40807870370370369</v>
      </c>
      <c r="C910">
        <v>8073</v>
      </c>
      <c r="D910" t="str">
        <f>VLOOKUP(H910,Produkt!$A$2:$B$5,2,FALSE)</f>
        <v>A</v>
      </c>
      <c r="H910">
        <v>1</v>
      </c>
      <c r="I910">
        <v>0.90383101851851855</v>
      </c>
      <c r="J910">
        <v>44797</v>
      </c>
    </row>
    <row r="911" spans="1:10" x14ac:dyDescent="0.35">
      <c r="A911" s="2">
        <v>44776</v>
      </c>
      <c r="B911" s="3">
        <v>0.16298611111111111</v>
      </c>
      <c r="C911">
        <v>8080</v>
      </c>
      <c r="D911" t="str">
        <f>VLOOKUP(H911,Produkt!$A$2:$B$5,2,FALSE)</f>
        <v>D</v>
      </c>
      <c r="H911">
        <v>4</v>
      </c>
      <c r="I911">
        <v>0.47662037037037036</v>
      </c>
      <c r="J911">
        <v>44799</v>
      </c>
    </row>
    <row r="912" spans="1:10" x14ac:dyDescent="0.35">
      <c r="A912" s="2">
        <v>44776</v>
      </c>
      <c r="B912" s="3">
        <v>0.98101851851851851</v>
      </c>
      <c r="C912">
        <v>8081</v>
      </c>
      <c r="D912" t="str">
        <f>VLOOKUP(H912,Produkt!$A$2:$B$5,2,FALSE)</f>
        <v>D</v>
      </c>
      <c r="H912">
        <v>4</v>
      </c>
      <c r="I912">
        <v>0.64263888888888887</v>
      </c>
      <c r="J912">
        <v>44783</v>
      </c>
    </row>
    <row r="913" spans="1:10" x14ac:dyDescent="0.35">
      <c r="A913" s="2">
        <v>44776</v>
      </c>
      <c r="B913" s="3">
        <v>0.43228009259259265</v>
      </c>
      <c r="C913">
        <v>8091</v>
      </c>
      <c r="D913" t="str">
        <f>VLOOKUP(H913,Produkt!$A$2:$B$5,2,FALSE)</f>
        <v>D</v>
      </c>
      <c r="H913">
        <v>4</v>
      </c>
      <c r="I913">
        <v>0.48390046296296302</v>
      </c>
      <c r="J913">
        <v>44804</v>
      </c>
    </row>
    <row r="914" spans="1:10" x14ac:dyDescent="0.35">
      <c r="A914" s="2">
        <v>44776</v>
      </c>
      <c r="B914" s="3">
        <v>0.27246527777777779</v>
      </c>
      <c r="C914">
        <v>8124</v>
      </c>
      <c r="D914" t="str">
        <f>VLOOKUP(H914,Produkt!$A$2:$B$5,2,FALSE)</f>
        <v>C</v>
      </c>
      <c r="H914">
        <v>3</v>
      </c>
      <c r="I914">
        <v>0.9977893518518518</v>
      </c>
      <c r="J914">
        <v>44782</v>
      </c>
    </row>
    <row r="915" spans="1:10" x14ac:dyDescent="0.35">
      <c r="A915" s="2">
        <v>44776</v>
      </c>
      <c r="B915" s="3">
        <v>0.9052662037037037</v>
      </c>
      <c r="C915">
        <v>8165</v>
      </c>
      <c r="D915" t="str">
        <f>VLOOKUP(H915,Produkt!$A$2:$B$5,2,FALSE)</f>
        <v>A</v>
      </c>
      <c r="H915">
        <v>1</v>
      </c>
      <c r="I915">
        <v>0.64872685185185186</v>
      </c>
      <c r="J915">
        <v>44780</v>
      </c>
    </row>
    <row r="916" spans="1:10" x14ac:dyDescent="0.35">
      <c r="A916" s="2">
        <v>44776</v>
      </c>
      <c r="B916" s="3">
        <v>0.35630787037037037</v>
      </c>
      <c r="C916">
        <v>8194</v>
      </c>
      <c r="D916" t="str">
        <f>VLOOKUP(H916,Produkt!$A$2:$B$5,2,FALSE)</f>
        <v>C</v>
      </c>
      <c r="H916">
        <v>3</v>
      </c>
      <c r="I916">
        <v>0.41706018518518517</v>
      </c>
      <c r="J916">
        <v>44788</v>
      </c>
    </row>
    <row r="917" spans="1:10" x14ac:dyDescent="0.35">
      <c r="A917" s="2">
        <v>44776</v>
      </c>
      <c r="B917" s="3">
        <v>0.37999999999999995</v>
      </c>
      <c r="C917">
        <v>8268</v>
      </c>
      <c r="D917" t="str">
        <f>VLOOKUP(H917,Produkt!$A$2:$B$5,2,FALSE)</f>
        <v>C</v>
      </c>
      <c r="H917">
        <v>3</v>
      </c>
      <c r="I917">
        <v>8.3842592592592594E-2</v>
      </c>
      <c r="J917">
        <v>44795</v>
      </c>
    </row>
    <row r="918" spans="1:10" x14ac:dyDescent="0.35">
      <c r="A918" s="2">
        <v>44776</v>
      </c>
      <c r="B918" s="3">
        <v>9.6250000000000002E-2</v>
      </c>
      <c r="C918">
        <v>8273</v>
      </c>
      <c r="D918" t="str">
        <f>VLOOKUP(H918,Produkt!$A$2:$B$5,2,FALSE)</f>
        <v>A</v>
      </c>
      <c r="H918">
        <v>1</v>
      </c>
      <c r="I918">
        <v>0.88041666666666663</v>
      </c>
      <c r="J918">
        <v>44798</v>
      </c>
    </row>
    <row r="919" spans="1:10" x14ac:dyDescent="0.35">
      <c r="A919" s="2">
        <v>44776</v>
      </c>
      <c r="B919" s="3">
        <v>0.15609953703703702</v>
      </c>
      <c r="C919">
        <v>8296</v>
      </c>
      <c r="D919" t="str">
        <f>VLOOKUP(H919,Produkt!$A$2:$B$5,2,FALSE)</f>
        <v>C</v>
      </c>
      <c r="H919">
        <v>3</v>
      </c>
      <c r="I919">
        <v>0.56283564814814813</v>
      </c>
      <c r="J919">
        <v>44783</v>
      </c>
    </row>
    <row r="920" spans="1:10" x14ac:dyDescent="0.35">
      <c r="A920" s="2">
        <v>44776</v>
      </c>
      <c r="B920" s="3">
        <v>0.29996527777777776</v>
      </c>
      <c r="C920">
        <v>8300</v>
      </c>
      <c r="D920" t="str">
        <f>VLOOKUP(H920,Produkt!$A$2:$B$5,2,FALSE)</f>
        <v>B</v>
      </c>
      <c r="H920">
        <v>2</v>
      </c>
      <c r="I920">
        <v>4.3449074074074077E-2</v>
      </c>
      <c r="J920">
        <v>44789</v>
      </c>
    </row>
    <row r="921" spans="1:10" x14ac:dyDescent="0.35">
      <c r="A921" s="2">
        <v>44776</v>
      </c>
      <c r="B921" s="3">
        <v>0.14305555555555557</v>
      </c>
      <c r="C921">
        <v>8318</v>
      </c>
      <c r="D921" t="str">
        <f>VLOOKUP(H921,Produkt!$A$2:$B$5,2,FALSE)</f>
        <v>D</v>
      </c>
      <c r="H921">
        <v>4</v>
      </c>
      <c r="I921">
        <v>3.5289351851852002E-2</v>
      </c>
      <c r="J921">
        <v>44783</v>
      </c>
    </row>
    <row r="922" spans="1:10" x14ac:dyDescent="0.35">
      <c r="A922" s="2">
        <v>44776</v>
      </c>
      <c r="B922" s="3">
        <v>0.34567129629629628</v>
      </c>
      <c r="C922">
        <v>8333</v>
      </c>
      <c r="D922" t="str">
        <f>VLOOKUP(H922,Produkt!$A$2:$B$5,2,FALSE)</f>
        <v>A</v>
      </c>
      <c r="H922">
        <v>1</v>
      </c>
      <c r="I922">
        <v>0.43012731481481481</v>
      </c>
      <c r="J922">
        <v>44804</v>
      </c>
    </row>
    <row r="923" spans="1:10" x14ac:dyDescent="0.35">
      <c r="A923" s="2">
        <v>44776</v>
      </c>
      <c r="B923" s="3">
        <v>8.5682870370370368E-2</v>
      </c>
      <c r="C923">
        <v>8336</v>
      </c>
      <c r="D923" t="str">
        <f>VLOOKUP(H923,Produkt!$A$2:$B$5,2,FALSE)</f>
        <v>C</v>
      </c>
      <c r="H923">
        <v>3</v>
      </c>
      <c r="I923">
        <v>0.55181712962962959</v>
      </c>
      <c r="J923">
        <v>44775</v>
      </c>
    </row>
    <row r="924" spans="1:10" x14ac:dyDescent="0.35">
      <c r="A924" s="2">
        <v>44776</v>
      </c>
      <c r="B924" s="3">
        <v>0.40082175925925928</v>
      </c>
      <c r="C924">
        <v>8380</v>
      </c>
      <c r="D924" t="str">
        <f>VLOOKUP(H924,Produkt!$A$2:$B$5,2,FALSE)</f>
        <v>D</v>
      </c>
      <c r="H924">
        <v>4</v>
      </c>
      <c r="I924">
        <v>0.16108796296296296</v>
      </c>
      <c r="J924">
        <v>44790</v>
      </c>
    </row>
    <row r="925" spans="1:10" x14ac:dyDescent="0.35">
      <c r="A925" s="2">
        <v>44776</v>
      </c>
      <c r="B925" s="3">
        <v>0.951238425925926</v>
      </c>
      <c r="C925">
        <v>8393</v>
      </c>
      <c r="D925" t="str">
        <f>VLOOKUP(H925,Produkt!$A$2:$B$5,2,FALSE)</f>
        <v>A</v>
      </c>
      <c r="H925">
        <v>1</v>
      </c>
      <c r="I925">
        <v>0.47809027777777779</v>
      </c>
      <c r="J925">
        <v>44793</v>
      </c>
    </row>
    <row r="926" spans="1:10" x14ac:dyDescent="0.35">
      <c r="A926" s="2">
        <v>44776</v>
      </c>
      <c r="B926" s="3">
        <v>0.78895833333333332</v>
      </c>
      <c r="C926">
        <v>8429</v>
      </c>
      <c r="D926" t="str">
        <f>VLOOKUP(H926,Produkt!$A$2:$B$5,2,FALSE)</f>
        <v>B</v>
      </c>
      <c r="H926">
        <v>2</v>
      </c>
      <c r="I926">
        <v>0.42069444444444443</v>
      </c>
      <c r="J926">
        <v>44791</v>
      </c>
    </row>
    <row r="927" spans="1:10" x14ac:dyDescent="0.35">
      <c r="A927" s="2">
        <v>44776</v>
      </c>
      <c r="B927" s="3">
        <v>0.44054398148148149</v>
      </c>
      <c r="C927">
        <v>8454</v>
      </c>
      <c r="D927" t="str">
        <f>VLOOKUP(H927,Produkt!$A$2:$B$5,2,FALSE)</f>
        <v>B</v>
      </c>
      <c r="H927">
        <v>2</v>
      </c>
      <c r="I927">
        <v>0.91954861111111119</v>
      </c>
      <c r="J927">
        <v>44796</v>
      </c>
    </row>
    <row r="928" spans="1:10" x14ac:dyDescent="0.35">
      <c r="A928" s="2">
        <v>44776</v>
      </c>
      <c r="B928" s="3">
        <v>0.77503472222222225</v>
      </c>
      <c r="C928">
        <v>8496</v>
      </c>
      <c r="D928" t="str">
        <f>VLOOKUP(H928,Produkt!$A$2:$B$5,2,FALSE)</f>
        <v>A</v>
      </c>
      <c r="H928">
        <v>1</v>
      </c>
      <c r="I928">
        <v>0.42702546296296301</v>
      </c>
      <c r="J928">
        <v>44804</v>
      </c>
    </row>
    <row r="929" spans="1:10" x14ac:dyDescent="0.35">
      <c r="A929" s="2">
        <v>44776</v>
      </c>
      <c r="B929" s="3">
        <v>0.55324074074074081</v>
      </c>
      <c r="C929">
        <v>8539</v>
      </c>
      <c r="D929" t="str">
        <f>VLOOKUP(H929,Produkt!$A$2:$B$5,2,FALSE)</f>
        <v>B</v>
      </c>
      <c r="H929">
        <v>2</v>
      </c>
      <c r="I929">
        <v>6.4467592592591938E-3</v>
      </c>
      <c r="J929">
        <v>44785</v>
      </c>
    </row>
    <row r="930" spans="1:10" x14ac:dyDescent="0.35">
      <c r="A930" s="2">
        <v>44776</v>
      </c>
      <c r="B930" s="3">
        <v>0.55140046296296297</v>
      </c>
      <c r="C930">
        <v>8561</v>
      </c>
      <c r="D930" t="str">
        <f>VLOOKUP(H930,Produkt!$A$2:$B$5,2,FALSE)</f>
        <v>C</v>
      </c>
      <c r="H930">
        <v>3</v>
      </c>
      <c r="I930">
        <v>0.46017361111111116</v>
      </c>
      <c r="J930">
        <v>44777</v>
      </c>
    </row>
    <row r="931" spans="1:10" x14ac:dyDescent="0.35">
      <c r="A931" s="2">
        <v>44776</v>
      </c>
      <c r="B931" s="3">
        <v>0.70253472222222213</v>
      </c>
      <c r="C931">
        <v>8587</v>
      </c>
      <c r="D931" t="str">
        <f>VLOOKUP(H931,Produkt!$A$2:$B$5,2,FALSE)</f>
        <v>B</v>
      </c>
      <c r="H931">
        <v>2</v>
      </c>
      <c r="I931">
        <v>0.45864583333333336</v>
      </c>
      <c r="J931">
        <v>44789</v>
      </c>
    </row>
    <row r="932" spans="1:10" x14ac:dyDescent="0.35">
      <c r="A932" s="2">
        <v>44776</v>
      </c>
      <c r="B932" s="3">
        <v>0.10812500000000001</v>
      </c>
      <c r="C932">
        <v>8602</v>
      </c>
      <c r="D932" t="str">
        <f>VLOOKUP(H932,Produkt!$A$2:$B$5,2,FALSE)</f>
        <v>B</v>
      </c>
      <c r="H932">
        <v>2</v>
      </c>
      <c r="I932">
        <v>0.4107986111111111</v>
      </c>
      <c r="J932">
        <v>44801</v>
      </c>
    </row>
    <row r="933" spans="1:10" x14ac:dyDescent="0.35">
      <c r="A933" s="2">
        <v>44776</v>
      </c>
      <c r="B933" s="3">
        <v>0.87547453703703704</v>
      </c>
      <c r="C933">
        <v>8629</v>
      </c>
      <c r="D933" t="str">
        <f>VLOOKUP(H933,Produkt!$A$2:$B$5,2,FALSE)</f>
        <v>B</v>
      </c>
      <c r="H933">
        <v>2</v>
      </c>
      <c r="I933">
        <v>0.29201388888888885</v>
      </c>
      <c r="J933">
        <v>44789</v>
      </c>
    </row>
    <row r="934" spans="1:10" x14ac:dyDescent="0.35">
      <c r="A934" s="2">
        <v>44776</v>
      </c>
      <c r="B934" s="3">
        <v>0.31402777777777779</v>
      </c>
      <c r="C934">
        <v>8677</v>
      </c>
      <c r="D934" t="str">
        <f>VLOOKUP(H934,Produkt!$A$2:$B$5,2,FALSE)</f>
        <v>A</v>
      </c>
      <c r="H934">
        <v>1</v>
      </c>
      <c r="I934">
        <v>0.88711805555555545</v>
      </c>
      <c r="J934">
        <v>44804</v>
      </c>
    </row>
    <row r="935" spans="1:10" x14ac:dyDescent="0.35">
      <c r="A935" s="2">
        <v>44776</v>
      </c>
      <c r="B935" s="3">
        <v>0.44815972222222222</v>
      </c>
      <c r="C935">
        <v>8682</v>
      </c>
      <c r="D935" t="str">
        <f>VLOOKUP(H935,Produkt!$A$2:$B$5,2,FALSE)</f>
        <v>B</v>
      </c>
      <c r="H935">
        <v>2</v>
      </c>
      <c r="I935">
        <v>0.31418981481481484</v>
      </c>
      <c r="J935">
        <v>44802</v>
      </c>
    </row>
    <row r="936" spans="1:10" x14ac:dyDescent="0.35">
      <c r="A936" s="2">
        <v>44776</v>
      </c>
      <c r="B936" s="3">
        <v>0.3180439814814815</v>
      </c>
      <c r="C936">
        <v>8685</v>
      </c>
      <c r="D936" t="str">
        <f>VLOOKUP(H936,Produkt!$A$2:$B$5,2,FALSE)</f>
        <v>B</v>
      </c>
      <c r="H936">
        <v>2</v>
      </c>
      <c r="I936">
        <v>0.84269675925925924</v>
      </c>
      <c r="J936">
        <v>44796</v>
      </c>
    </row>
    <row r="937" spans="1:10" x14ac:dyDescent="0.35">
      <c r="A937" s="2">
        <v>44776</v>
      </c>
      <c r="B937" s="3">
        <v>0.27276620370370369</v>
      </c>
      <c r="C937">
        <v>8687</v>
      </c>
      <c r="D937" t="str">
        <f>VLOOKUP(H937,Produkt!$A$2:$B$5,2,FALSE)</f>
        <v>B</v>
      </c>
      <c r="H937">
        <v>2</v>
      </c>
      <c r="I937">
        <v>0.15349537037037037</v>
      </c>
      <c r="J937">
        <v>44779</v>
      </c>
    </row>
    <row r="938" spans="1:10" x14ac:dyDescent="0.35">
      <c r="A938" s="2">
        <v>44776</v>
      </c>
      <c r="B938" s="3">
        <v>0.88872685185185185</v>
      </c>
      <c r="C938">
        <v>8699</v>
      </c>
      <c r="D938" t="str">
        <f>VLOOKUP(H938,Produkt!$A$2:$B$5,2,FALSE)</f>
        <v>B</v>
      </c>
      <c r="H938">
        <v>2</v>
      </c>
      <c r="I938">
        <v>0.91109953703703705</v>
      </c>
      <c r="J938">
        <v>44792</v>
      </c>
    </row>
    <row r="939" spans="1:10" x14ac:dyDescent="0.35">
      <c r="A939" s="2">
        <v>44776</v>
      </c>
      <c r="B939" s="3">
        <v>0.22487268518518519</v>
      </c>
      <c r="C939">
        <v>8719</v>
      </c>
      <c r="D939" t="str">
        <f>VLOOKUP(H939,Produkt!$A$2:$B$5,2,FALSE)</f>
        <v>D</v>
      </c>
      <c r="H939">
        <v>4</v>
      </c>
      <c r="I939">
        <v>0.70357638888888896</v>
      </c>
      <c r="J939">
        <v>44780</v>
      </c>
    </row>
    <row r="940" spans="1:10" x14ac:dyDescent="0.35">
      <c r="A940" s="2">
        <v>44776</v>
      </c>
      <c r="B940" s="3">
        <v>0.86990740740740735</v>
      </c>
      <c r="C940">
        <v>8725</v>
      </c>
      <c r="D940" t="str">
        <f>VLOOKUP(H940,Produkt!$A$2:$B$5,2,FALSE)</f>
        <v>B</v>
      </c>
      <c r="H940">
        <v>2</v>
      </c>
      <c r="I940">
        <v>0.12365740740740742</v>
      </c>
      <c r="J940">
        <v>44795</v>
      </c>
    </row>
    <row r="941" spans="1:10" x14ac:dyDescent="0.35">
      <c r="A941" s="2">
        <v>44776</v>
      </c>
      <c r="B941" s="3">
        <v>0.44063657407407408</v>
      </c>
      <c r="C941">
        <v>8736</v>
      </c>
      <c r="D941" t="str">
        <f>VLOOKUP(H941,Produkt!$A$2:$B$5,2,FALSE)</f>
        <v>D</v>
      </c>
      <c r="H941">
        <v>4</v>
      </c>
      <c r="I941">
        <v>0.95923611111111118</v>
      </c>
      <c r="J941">
        <v>44801</v>
      </c>
    </row>
    <row r="942" spans="1:10" x14ac:dyDescent="0.35">
      <c r="A942" s="2">
        <v>44776</v>
      </c>
      <c r="B942" s="3">
        <v>0.26021990740740741</v>
      </c>
      <c r="C942">
        <v>8779</v>
      </c>
      <c r="D942" t="str">
        <f>VLOOKUP(H942,Produkt!$A$2:$B$5,2,FALSE)</f>
        <v>A</v>
      </c>
      <c r="H942">
        <v>1</v>
      </c>
      <c r="I942">
        <v>0.71083333333333332</v>
      </c>
      <c r="J942">
        <v>44803</v>
      </c>
    </row>
    <row r="943" spans="1:10" x14ac:dyDescent="0.35">
      <c r="A943" s="2">
        <v>44776</v>
      </c>
      <c r="B943" s="3">
        <v>7.9525462962962964E-2</v>
      </c>
      <c r="C943">
        <v>8783</v>
      </c>
      <c r="D943" t="str">
        <f>VLOOKUP(H943,Produkt!$A$2:$B$5,2,FALSE)</f>
        <v>B</v>
      </c>
      <c r="H943">
        <v>2</v>
      </c>
      <c r="I943">
        <v>0.62376157407407407</v>
      </c>
      <c r="J943">
        <v>44801</v>
      </c>
    </row>
    <row r="944" spans="1:10" x14ac:dyDescent="0.35">
      <c r="A944" s="2">
        <v>44776</v>
      </c>
      <c r="B944" s="3">
        <v>0.1892824074074074</v>
      </c>
      <c r="C944">
        <v>8814</v>
      </c>
      <c r="D944" t="str">
        <f>VLOOKUP(H944,Produkt!$A$2:$B$5,2,FALSE)</f>
        <v>B</v>
      </c>
      <c r="H944">
        <v>2</v>
      </c>
      <c r="I944">
        <v>0.48918981481481483</v>
      </c>
      <c r="J944">
        <v>44803</v>
      </c>
    </row>
    <row r="945" spans="1:10" x14ac:dyDescent="0.35">
      <c r="A945" s="2">
        <v>44776</v>
      </c>
      <c r="B945" s="3">
        <v>0.57291666666666663</v>
      </c>
      <c r="C945">
        <v>8818</v>
      </c>
      <c r="D945" t="str">
        <f>VLOOKUP(H945,Produkt!$A$2:$B$5,2,FALSE)</f>
        <v>C</v>
      </c>
      <c r="H945">
        <v>3</v>
      </c>
      <c r="I945">
        <v>0.70578703703703705</v>
      </c>
      <c r="J945">
        <v>44794</v>
      </c>
    </row>
    <row r="946" spans="1:10" x14ac:dyDescent="0.35">
      <c r="A946" s="2">
        <v>44776</v>
      </c>
      <c r="B946" s="3">
        <v>3.8541666666666696E-2</v>
      </c>
      <c r="C946">
        <v>8890</v>
      </c>
      <c r="D946" t="str">
        <f>VLOOKUP(H946,Produkt!$A$2:$B$5,2,FALSE)</f>
        <v>C</v>
      </c>
      <c r="H946">
        <v>3</v>
      </c>
      <c r="I946">
        <v>0.63971064814814815</v>
      </c>
      <c r="J946">
        <v>44792</v>
      </c>
    </row>
    <row r="947" spans="1:10" x14ac:dyDescent="0.35">
      <c r="A947" s="2">
        <v>44776</v>
      </c>
      <c r="B947" s="3">
        <v>0.61717592592592596</v>
      </c>
      <c r="C947">
        <v>8934</v>
      </c>
      <c r="D947" t="str">
        <f>VLOOKUP(H947,Produkt!$A$2:$B$5,2,FALSE)</f>
        <v>D</v>
      </c>
      <c r="H947">
        <v>4</v>
      </c>
      <c r="I947">
        <v>0.8804050925925927</v>
      </c>
      <c r="J947">
        <v>44789</v>
      </c>
    </row>
    <row r="948" spans="1:10" x14ac:dyDescent="0.35">
      <c r="A948" s="2">
        <v>44776</v>
      </c>
      <c r="B948" s="3">
        <v>0.84018518518518526</v>
      </c>
      <c r="C948">
        <v>8938</v>
      </c>
      <c r="D948" t="str">
        <f>VLOOKUP(H948,Produkt!$A$2:$B$5,2,FALSE)</f>
        <v>B</v>
      </c>
      <c r="H948">
        <v>2</v>
      </c>
      <c r="I948">
        <v>0.53942129629629632</v>
      </c>
      <c r="J948">
        <v>44778</v>
      </c>
    </row>
    <row r="949" spans="1:10" x14ac:dyDescent="0.35">
      <c r="A949" s="2">
        <v>44776</v>
      </c>
      <c r="B949" s="3">
        <v>0.15824074074074074</v>
      </c>
      <c r="C949">
        <v>8945</v>
      </c>
      <c r="D949" t="str">
        <f>VLOOKUP(H949,Produkt!$A$2:$B$5,2,FALSE)</f>
        <v>A</v>
      </c>
      <c r="H949">
        <v>1</v>
      </c>
      <c r="I949">
        <v>0.40423611111111107</v>
      </c>
      <c r="J949">
        <v>44778</v>
      </c>
    </row>
    <row r="950" spans="1:10" x14ac:dyDescent="0.35">
      <c r="A950" s="2">
        <v>44776</v>
      </c>
      <c r="B950" s="3">
        <v>0.40488425925925925</v>
      </c>
      <c r="C950">
        <v>8988</v>
      </c>
      <c r="D950" t="str">
        <f>VLOOKUP(H950,Produkt!$A$2:$B$5,2,FALSE)</f>
        <v>A</v>
      </c>
      <c r="H950">
        <v>1</v>
      </c>
      <c r="I950">
        <v>0.36777777777777776</v>
      </c>
      <c r="J950">
        <v>44774</v>
      </c>
    </row>
    <row r="951" spans="1:10" x14ac:dyDescent="0.35">
      <c r="A951" s="2">
        <v>44776</v>
      </c>
      <c r="B951" s="3">
        <v>0.25771990740740741</v>
      </c>
      <c r="C951">
        <v>8990</v>
      </c>
      <c r="D951" t="str">
        <f>VLOOKUP(H951,Produkt!$A$2:$B$5,2,FALSE)</f>
        <v>B</v>
      </c>
      <c r="H951">
        <v>2</v>
      </c>
      <c r="I951">
        <v>0.31200231481481483</v>
      </c>
      <c r="J951">
        <v>44774</v>
      </c>
    </row>
    <row r="952" spans="1:10" x14ac:dyDescent="0.35">
      <c r="A952" s="2">
        <v>44776</v>
      </c>
      <c r="B952" s="3">
        <v>0.97532407407407407</v>
      </c>
      <c r="C952">
        <v>9018</v>
      </c>
      <c r="D952" t="str">
        <f>VLOOKUP(H952,Produkt!$A$2:$B$5,2,FALSE)</f>
        <v>D</v>
      </c>
      <c r="H952">
        <v>4</v>
      </c>
      <c r="I952">
        <v>0.4982523148148148</v>
      </c>
      <c r="J952">
        <v>44796</v>
      </c>
    </row>
    <row r="953" spans="1:10" x14ac:dyDescent="0.35">
      <c r="A953" s="2">
        <v>44776</v>
      </c>
      <c r="B953" s="3">
        <v>2.5011574074074075E-2</v>
      </c>
      <c r="C953">
        <v>9026</v>
      </c>
      <c r="D953" t="str">
        <f>VLOOKUP(H953,Produkt!$A$2:$B$5,2,FALSE)</f>
        <v>D</v>
      </c>
      <c r="H953">
        <v>4</v>
      </c>
      <c r="I953">
        <v>0.61208333333333331</v>
      </c>
      <c r="J953">
        <v>44799</v>
      </c>
    </row>
    <row r="954" spans="1:10" x14ac:dyDescent="0.35">
      <c r="A954" s="2">
        <v>44776</v>
      </c>
      <c r="B954" s="3">
        <v>0.2164814814814815</v>
      </c>
      <c r="C954">
        <v>9062</v>
      </c>
      <c r="D954" t="str">
        <f>VLOOKUP(H954,Produkt!$A$2:$B$5,2,FALSE)</f>
        <v>B</v>
      </c>
      <c r="H954">
        <v>2</v>
      </c>
      <c r="I954">
        <v>0.8064930555555555</v>
      </c>
      <c r="J954">
        <v>44789</v>
      </c>
    </row>
    <row r="955" spans="1:10" x14ac:dyDescent="0.35">
      <c r="A955" s="2">
        <v>44776</v>
      </c>
      <c r="B955" s="3">
        <v>0.36833333333333335</v>
      </c>
      <c r="C955">
        <v>9088</v>
      </c>
      <c r="D955" t="str">
        <f>VLOOKUP(H955,Produkt!$A$2:$B$5,2,FALSE)</f>
        <v>B</v>
      </c>
      <c r="H955">
        <v>2</v>
      </c>
      <c r="I955">
        <v>1.7685185185185137E-2</v>
      </c>
      <c r="J955">
        <v>44775</v>
      </c>
    </row>
    <row r="956" spans="1:10" x14ac:dyDescent="0.35">
      <c r="A956" s="2">
        <v>44776</v>
      </c>
      <c r="B956" s="3">
        <v>0.95884259259259252</v>
      </c>
      <c r="C956">
        <v>9174</v>
      </c>
      <c r="D956" t="str">
        <f>VLOOKUP(H956,Produkt!$A$2:$B$5,2,FALSE)</f>
        <v>A</v>
      </c>
      <c r="H956">
        <v>1</v>
      </c>
      <c r="I956">
        <v>0.25020833333333331</v>
      </c>
      <c r="J956">
        <v>44783</v>
      </c>
    </row>
    <row r="957" spans="1:10" x14ac:dyDescent="0.35">
      <c r="A957" s="2">
        <v>44776</v>
      </c>
      <c r="B957" s="3">
        <v>9.7222222222222224E-3</v>
      </c>
      <c r="C957">
        <v>9186</v>
      </c>
      <c r="D957" t="str">
        <f>VLOOKUP(H957,Produkt!$A$2:$B$5,2,FALSE)</f>
        <v>A</v>
      </c>
      <c r="H957">
        <v>1</v>
      </c>
      <c r="I957">
        <v>0.72452546296296294</v>
      </c>
      <c r="J957">
        <v>44804</v>
      </c>
    </row>
    <row r="958" spans="1:10" x14ac:dyDescent="0.35">
      <c r="A958" s="2">
        <v>44776</v>
      </c>
      <c r="B958" s="3">
        <v>0.38145833333333329</v>
      </c>
      <c r="C958">
        <v>9208</v>
      </c>
      <c r="D958" t="str">
        <f>VLOOKUP(H958,Produkt!$A$2:$B$5,2,FALSE)</f>
        <v>A</v>
      </c>
      <c r="H958">
        <v>1</v>
      </c>
      <c r="I958">
        <v>5.1967592592592595E-3</v>
      </c>
      <c r="J958">
        <v>44792</v>
      </c>
    </row>
    <row r="959" spans="1:10" x14ac:dyDescent="0.35">
      <c r="A959" s="2">
        <v>44776</v>
      </c>
      <c r="B959" s="3">
        <v>0.50953703703703701</v>
      </c>
      <c r="C959">
        <v>9211</v>
      </c>
      <c r="D959" t="str">
        <f>VLOOKUP(H959,Produkt!$A$2:$B$5,2,FALSE)</f>
        <v>C</v>
      </c>
      <c r="H959">
        <v>3</v>
      </c>
      <c r="I959">
        <v>0.4901388888888889</v>
      </c>
      <c r="J959">
        <v>44787</v>
      </c>
    </row>
    <row r="960" spans="1:10" x14ac:dyDescent="0.35">
      <c r="A960" s="2">
        <v>44776</v>
      </c>
      <c r="B960" s="3">
        <v>0.38067129629629631</v>
      </c>
      <c r="C960">
        <v>9225</v>
      </c>
      <c r="D960" t="str">
        <f>VLOOKUP(H960,Produkt!$A$2:$B$5,2,FALSE)</f>
        <v>D</v>
      </c>
      <c r="H960">
        <v>4</v>
      </c>
      <c r="I960">
        <v>0.77755787037037039</v>
      </c>
      <c r="J960">
        <v>44803</v>
      </c>
    </row>
    <row r="961" spans="1:10" x14ac:dyDescent="0.35">
      <c r="A961" s="2">
        <v>44776</v>
      </c>
      <c r="B961" s="3">
        <v>7.4988425925925931E-2</v>
      </c>
      <c r="C961">
        <v>9281</v>
      </c>
      <c r="D961" t="str">
        <f>VLOOKUP(H961,Produkt!$A$2:$B$5,2,FALSE)</f>
        <v>C</v>
      </c>
      <c r="H961">
        <v>3</v>
      </c>
      <c r="I961">
        <v>0.88537037037037036</v>
      </c>
      <c r="J961">
        <v>44781</v>
      </c>
    </row>
    <row r="962" spans="1:10" x14ac:dyDescent="0.35">
      <c r="A962" s="2">
        <v>44776</v>
      </c>
      <c r="B962" s="3">
        <v>0.82586805555555554</v>
      </c>
      <c r="C962">
        <v>9329</v>
      </c>
      <c r="D962" t="str">
        <f>VLOOKUP(H962,Produkt!$A$2:$B$5,2,FALSE)</f>
        <v>C</v>
      </c>
      <c r="H962">
        <v>3</v>
      </c>
      <c r="I962">
        <v>0.70469907407407406</v>
      </c>
      <c r="J962">
        <v>44791</v>
      </c>
    </row>
    <row r="963" spans="1:10" x14ac:dyDescent="0.35">
      <c r="A963" s="2">
        <v>44776</v>
      </c>
      <c r="B963" s="3">
        <v>0.64556712962962959</v>
      </c>
      <c r="C963">
        <v>9339</v>
      </c>
      <c r="D963" t="str">
        <f>VLOOKUP(H963,Produkt!$A$2:$B$5,2,FALSE)</f>
        <v>D</v>
      </c>
      <c r="H963">
        <v>4</v>
      </c>
      <c r="I963">
        <v>0.17153935185185185</v>
      </c>
      <c r="J963">
        <v>44791</v>
      </c>
    </row>
    <row r="964" spans="1:10" x14ac:dyDescent="0.35">
      <c r="A964" s="2">
        <v>44776</v>
      </c>
      <c r="B964" s="3">
        <v>0.79230324074074077</v>
      </c>
      <c r="C964">
        <v>9341</v>
      </c>
      <c r="D964" t="str">
        <f>VLOOKUP(H964,Produkt!$A$2:$B$5,2,FALSE)</f>
        <v>C</v>
      </c>
      <c r="H964">
        <v>3</v>
      </c>
      <c r="I964">
        <v>0.4856712962962963</v>
      </c>
      <c r="J964">
        <v>44800</v>
      </c>
    </row>
    <row r="965" spans="1:10" x14ac:dyDescent="0.35">
      <c r="A965" s="2">
        <v>44776</v>
      </c>
      <c r="B965" s="3">
        <v>0.72677083333333325</v>
      </c>
      <c r="C965">
        <v>9353</v>
      </c>
      <c r="D965" t="str">
        <f>VLOOKUP(H965,Produkt!$A$2:$B$5,2,FALSE)</f>
        <v>D</v>
      </c>
      <c r="H965">
        <v>4</v>
      </c>
      <c r="I965">
        <v>0.24984953703703705</v>
      </c>
      <c r="J965">
        <v>44795</v>
      </c>
    </row>
    <row r="966" spans="1:10" x14ac:dyDescent="0.35">
      <c r="A966" s="2">
        <v>44776</v>
      </c>
      <c r="B966" s="3">
        <v>0.69074074074074077</v>
      </c>
      <c r="C966">
        <v>9376</v>
      </c>
      <c r="D966" t="str">
        <f>VLOOKUP(H966,Produkt!$A$2:$B$5,2,FALSE)</f>
        <v>C</v>
      </c>
      <c r="H966">
        <v>3</v>
      </c>
      <c r="I966">
        <v>0.43119212962962966</v>
      </c>
      <c r="J966">
        <v>44800</v>
      </c>
    </row>
    <row r="967" spans="1:10" x14ac:dyDescent="0.35">
      <c r="A967" s="2">
        <v>44776</v>
      </c>
      <c r="B967" s="3">
        <v>0.35074074074074074</v>
      </c>
      <c r="C967">
        <v>9436</v>
      </c>
      <c r="D967" t="str">
        <f>VLOOKUP(H967,Produkt!$A$2:$B$5,2,FALSE)</f>
        <v>B</v>
      </c>
      <c r="H967">
        <v>2</v>
      </c>
      <c r="I967">
        <v>0.37702546296296297</v>
      </c>
      <c r="J967">
        <v>44775</v>
      </c>
    </row>
    <row r="968" spans="1:10" x14ac:dyDescent="0.35">
      <c r="A968" s="2">
        <v>44776</v>
      </c>
      <c r="B968" s="3">
        <v>0.95640046296296299</v>
      </c>
      <c r="C968">
        <v>9440</v>
      </c>
      <c r="D968" t="str">
        <f>VLOOKUP(H968,Produkt!$A$2:$B$5,2,FALSE)</f>
        <v>B</v>
      </c>
      <c r="H968">
        <v>2</v>
      </c>
      <c r="I968">
        <v>0.83461805555555557</v>
      </c>
      <c r="J968">
        <v>44782</v>
      </c>
    </row>
    <row r="969" spans="1:10" x14ac:dyDescent="0.35">
      <c r="A969" s="2">
        <v>44776</v>
      </c>
      <c r="B969" s="3">
        <v>0.56508101851851855</v>
      </c>
      <c r="C969">
        <v>9458</v>
      </c>
      <c r="D969" t="str">
        <f>VLOOKUP(H969,Produkt!$A$2:$B$5,2,FALSE)</f>
        <v>C</v>
      </c>
      <c r="H969">
        <v>3</v>
      </c>
      <c r="I969">
        <v>0.72261574074074064</v>
      </c>
      <c r="J969">
        <v>44781</v>
      </c>
    </row>
    <row r="970" spans="1:10" x14ac:dyDescent="0.35">
      <c r="A970" s="2">
        <v>44776</v>
      </c>
      <c r="B970" s="3">
        <v>0.66780092592592588</v>
      </c>
      <c r="C970">
        <v>9463</v>
      </c>
      <c r="D970" t="str">
        <f>VLOOKUP(H970,Produkt!$A$2:$B$5,2,FALSE)</f>
        <v>D</v>
      </c>
      <c r="H970">
        <v>4</v>
      </c>
      <c r="I970">
        <v>0.20668981481481483</v>
      </c>
      <c r="J970">
        <v>44796</v>
      </c>
    </row>
    <row r="971" spans="1:10" x14ac:dyDescent="0.35">
      <c r="A971" s="2">
        <v>44776</v>
      </c>
      <c r="B971" s="3">
        <v>3.3541666666666664E-2</v>
      </c>
      <c r="C971">
        <v>9474</v>
      </c>
      <c r="D971" t="str">
        <f>VLOOKUP(H971,Produkt!$A$2:$B$5,2,FALSE)</f>
        <v>A</v>
      </c>
      <c r="H971">
        <v>1</v>
      </c>
      <c r="I971">
        <v>0.79281250000000003</v>
      </c>
      <c r="J971">
        <v>44790</v>
      </c>
    </row>
    <row r="972" spans="1:10" x14ac:dyDescent="0.35">
      <c r="A972" s="2">
        <v>44776</v>
      </c>
      <c r="B972" s="3">
        <v>4.6851851851851846E-2</v>
      </c>
      <c r="C972">
        <v>9507</v>
      </c>
      <c r="D972" t="str">
        <f>VLOOKUP(H972,Produkt!$A$2:$B$5,2,FALSE)</f>
        <v>C</v>
      </c>
      <c r="H972">
        <v>3</v>
      </c>
      <c r="I972">
        <v>0.18415509259259258</v>
      </c>
      <c r="J972">
        <v>44784</v>
      </c>
    </row>
    <row r="973" spans="1:10" x14ac:dyDescent="0.35">
      <c r="A973" s="2">
        <v>44776</v>
      </c>
      <c r="B973" s="3">
        <v>0.15342592592592594</v>
      </c>
      <c r="C973">
        <v>9518</v>
      </c>
      <c r="D973" t="str">
        <f>VLOOKUP(H973,Produkt!$A$2:$B$5,2,FALSE)</f>
        <v>A</v>
      </c>
      <c r="H973">
        <v>1</v>
      </c>
      <c r="I973">
        <v>0.56388888888888888</v>
      </c>
      <c r="J973">
        <v>44777</v>
      </c>
    </row>
    <row r="974" spans="1:10" x14ac:dyDescent="0.35">
      <c r="A974" s="2">
        <v>44776</v>
      </c>
      <c r="B974" s="3">
        <v>0.23331018518518518</v>
      </c>
      <c r="C974">
        <v>9545</v>
      </c>
      <c r="D974" t="str">
        <f>VLOOKUP(H974,Produkt!$A$2:$B$5,2,FALSE)</f>
        <v>A</v>
      </c>
      <c r="H974">
        <v>1</v>
      </c>
      <c r="I974">
        <v>0.35516203703703703</v>
      </c>
      <c r="J974">
        <v>44792</v>
      </c>
    </row>
    <row r="975" spans="1:10" x14ac:dyDescent="0.35">
      <c r="A975" s="2">
        <v>44776</v>
      </c>
      <c r="B975" s="3">
        <v>0.30704861111111109</v>
      </c>
      <c r="C975">
        <v>9562</v>
      </c>
      <c r="D975" t="str">
        <f>VLOOKUP(H975,Produkt!$A$2:$B$5,2,FALSE)</f>
        <v>A</v>
      </c>
      <c r="H975">
        <v>1</v>
      </c>
      <c r="I975">
        <v>0.97202546296296299</v>
      </c>
      <c r="J975">
        <v>44787</v>
      </c>
    </row>
    <row r="976" spans="1:10" x14ac:dyDescent="0.35">
      <c r="A976" s="2">
        <v>44776</v>
      </c>
      <c r="B976" s="3">
        <v>0.53023148148148147</v>
      </c>
      <c r="C976">
        <v>9579</v>
      </c>
      <c r="D976" t="str">
        <f>VLOOKUP(H976,Produkt!$A$2:$B$5,2,FALSE)</f>
        <v>A</v>
      </c>
      <c r="H976">
        <v>1</v>
      </c>
      <c r="I976">
        <v>8.564814814814815E-3</v>
      </c>
      <c r="J976">
        <v>44798</v>
      </c>
    </row>
    <row r="977" spans="1:10" x14ac:dyDescent="0.35">
      <c r="A977" s="2">
        <v>44776</v>
      </c>
      <c r="B977" s="3">
        <v>3.318287037037037E-2</v>
      </c>
      <c r="C977">
        <v>9589</v>
      </c>
      <c r="D977" t="str">
        <f>VLOOKUP(H977,Produkt!$A$2:$B$5,2,FALSE)</f>
        <v>C</v>
      </c>
      <c r="H977">
        <v>3</v>
      </c>
      <c r="I977">
        <v>0.30511574074074072</v>
      </c>
      <c r="J977">
        <v>44782</v>
      </c>
    </row>
    <row r="978" spans="1:10" x14ac:dyDescent="0.35">
      <c r="A978" s="2">
        <v>44776</v>
      </c>
      <c r="B978" s="3">
        <v>4.6226851851851852E-2</v>
      </c>
      <c r="C978">
        <v>9595</v>
      </c>
      <c r="D978" t="str">
        <f>VLOOKUP(H978,Produkt!$A$2:$B$5,2,FALSE)</f>
        <v>D</v>
      </c>
      <c r="H978">
        <v>4</v>
      </c>
      <c r="I978">
        <v>0.58159722222222221</v>
      </c>
      <c r="J978">
        <v>44789</v>
      </c>
    </row>
    <row r="979" spans="1:10" x14ac:dyDescent="0.35">
      <c r="A979" s="2">
        <v>44776</v>
      </c>
      <c r="B979" s="3">
        <v>0.12074074074074075</v>
      </c>
      <c r="C979">
        <v>9603</v>
      </c>
      <c r="D979" t="str">
        <f>VLOOKUP(H979,Produkt!$A$2:$B$5,2,FALSE)</f>
        <v>A</v>
      </c>
      <c r="H979">
        <v>1</v>
      </c>
      <c r="I979">
        <v>0.93936342592592592</v>
      </c>
      <c r="J979">
        <v>44781</v>
      </c>
    </row>
    <row r="980" spans="1:10" x14ac:dyDescent="0.35">
      <c r="A980" s="2">
        <v>44776</v>
      </c>
      <c r="B980" s="3">
        <v>0.14420138888888889</v>
      </c>
      <c r="C980">
        <v>9635</v>
      </c>
      <c r="D980" t="str">
        <f>VLOOKUP(H980,Produkt!$A$2:$B$5,2,FALSE)</f>
        <v>D</v>
      </c>
      <c r="H980">
        <v>4</v>
      </c>
      <c r="I980">
        <v>0.39945601851851853</v>
      </c>
      <c r="J980">
        <v>44788</v>
      </c>
    </row>
    <row r="981" spans="1:10" x14ac:dyDescent="0.35">
      <c r="A981" s="2">
        <v>44776</v>
      </c>
      <c r="B981" s="3">
        <v>0.82483796296296286</v>
      </c>
      <c r="C981">
        <v>9655</v>
      </c>
      <c r="D981" t="str">
        <f>VLOOKUP(H981,Produkt!$A$2:$B$5,2,FALSE)</f>
        <v>C</v>
      </c>
      <c r="H981">
        <v>3</v>
      </c>
      <c r="I981">
        <v>5.0995370370370365E-2</v>
      </c>
      <c r="J981">
        <v>44777</v>
      </c>
    </row>
    <row r="982" spans="1:10" x14ac:dyDescent="0.35">
      <c r="A982" s="2">
        <v>44776</v>
      </c>
      <c r="B982" s="3">
        <v>0.82564814814814813</v>
      </c>
      <c r="C982">
        <v>9673</v>
      </c>
      <c r="D982" t="str">
        <f>VLOOKUP(H982,Produkt!$A$2:$B$5,2,FALSE)</f>
        <v>D</v>
      </c>
      <c r="H982">
        <v>4</v>
      </c>
      <c r="I982">
        <v>0.52204861111111112</v>
      </c>
      <c r="J982">
        <v>44802</v>
      </c>
    </row>
    <row r="983" spans="1:10" x14ac:dyDescent="0.35">
      <c r="A983" s="2">
        <v>44776</v>
      </c>
      <c r="B983" s="3">
        <v>0.87359953703703708</v>
      </c>
      <c r="C983">
        <v>9694</v>
      </c>
      <c r="D983" t="str">
        <f>VLOOKUP(H983,Produkt!$A$2:$B$5,2,FALSE)</f>
        <v>D</v>
      </c>
      <c r="H983">
        <v>4</v>
      </c>
      <c r="I983">
        <v>0.86496527777777776</v>
      </c>
      <c r="J983">
        <v>44792</v>
      </c>
    </row>
    <row r="984" spans="1:10" x14ac:dyDescent="0.35">
      <c r="A984" s="2">
        <v>44776</v>
      </c>
      <c r="B984" s="3">
        <v>0.62813657407407408</v>
      </c>
      <c r="C984">
        <v>9707</v>
      </c>
      <c r="D984" t="str">
        <f>VLOOKUP(H984,Produkt!$A$2:$B$5,2,FALSE)</f>
        <v>D</v>
      </c>
      <c r="H984">
        <v>4</v>
      </c>
      <c r="I984">
        <v>0.84189814814814812</v>
      </c>
      <c r="J984">
        <v>44778</v>
      </c>
    </row>
    <row r="985" spans="1:10" x14ac:dyDescent="0.35">
      <c r="A985" s="2">
        <v>44776</v>
      </c>
      <c r="B985" s="3">
        <v>4.4976851851851851E-2</v>
      </c>
      <c r="C985">
        <v>9745</v>
      </c>
      <c r="D985" t="str">
        <f>VLOOKUP(H985,Produkt!$A$2:$B$5,2,FALSE)</f>
        <v>B</v>
      </c>
      <c r="H985">
        <v>2</v>
      </c>
      <c r="I985">
        <v>0.3484606481481482</v>
      </c>
      <c r="J985">
        <v>44803</v>
      </c>
    </row>
    <row r="986" spans="1:10" x14ac:dyDescent="0.35">
      <c r="A986" s="2">
        <v>44776</v>
      </c>
      <c r="B986" s="3">
        <v>0.59402777777777771</v>
      </c>
      <c r="C986">
        <v>9752</v>
      </c>
      <c r="D986" t="str">
        <f>VLOOKUP(H986,Produkt!$A$2:$B$5,2,FALSE)</f>
        <v>B</v>
      </c>
      <c r="H986">
        <v>2</v>
      </c>
      <c r="I986">
        <v>0.62462962962962965</v>
      </c>
      <c r="J986">
        <v>44782</v>
      </c>
    </row>
    <row r="987" spans="1:10" x14ac:dyDescent="0.35">
      <c r="A987" s="2">
        <v>44776</v>
      </c>
      <c r="B987" s="3">
        <v>0.73649305555555555</v>
      </c>
      <c r="C987">
        <v>9768</v>
      </c>
      <c r="D987" t="str">
        <f>VLOOKUP(H987,Produkt!$A$2:$B$5,2,FALSE)</f>
        <v>B</v>
      </c>
      <c r="H987">
        <v>2</v>
      </c>
      <c r="I987">
        <v>0.2225</v>
      </c>
      <c r="J987">
        <v>44797</v>
      </c>
    </row>
    <row r="988" spans="1:10" x14ac:dyDescent="0.35">
      <c r="A988" s="2">
        <v>44776</v>
      </c>
      <c r="B988" s="3">
        <v>0.75391203703703702</v>
      </c>
      <c r="C988">
        <v>9777</v>
      </c>
      <c r="D988" t="str">
        <f>VLOOKUP(H988,Produkt!$A$2:$B$5,2,FALSE)</f>
        <v>C</v>
      </c>
      <c r="H988">
        <v>3</v>
      </c>
      <c r="I988">
        <v>0.46934027777777776</v>
      </c>
      <c r="J988">
        <v>44779</v>
      </c>
    </row>
    <row r="989" spans="1:10" x14ac:dyDescent="0.35">
      <c r="A989" s="2">
        <v>44776</v>
      </c>
      <c r="B989" s="3">
        <v>0.9668402777777777</v>
      </c>
      <c r="C989">
        <v>9804</v>
      </c>
      <c r="D989" t="str">
        <f>VLOOKUP(H989,Produkt!$A$2:$B$5,2,FALSE)</f>
        <v>C</v>
      </c>
      <c r="H989">
        <v>3</v>
      </c>
      <c r="I989">
        <v>0.55906250000000002</v>
      </c>
      <c r="J989">
        <v>44774</v>
      </c>
    </row>
    <row r="990" spans="1:10" x14ac:dyDescent="0.35">
      <c r="A990" s="2">
        <v>44776</v>
      </c>
      <c r="B990" s="3">
        <v>0.14987268518518518</v>
      </c>
      <c r="C990">
        <v>9816</v>
      </c>
      <c r="D990" t="str">
        <f>VLOOKUP(H990,Produkt!$A$2:$B$5,2,FALSE)</f>
        <v>A</v>
      </c>
      <c r="H990">
        <v>1</v>
      </c>
      <c r="I990">
        <v>0.14907407407407405</v>
      </c>
      <c r="J990">
        <v>44775</v>
      </c>
    </row>
    <row r="991" spans="1:10" x14ac:dyDescent="0.35">
      <c r="A991" s="2">
        <v>44776</v>
      </c>
      <c r="B991" s="3">
        <v>0.90251157407407412</v>
      </c>
      <c r="C991">
        <v>9838</v>
      </c>
      <c r="D991" t="str">
        <f>VLOOKUP(H991,Produkt!$A$2:$B$5,2,FALSE)</f>
        <v>C</v>
      </c>
      <c r="H991">
        <v>3</v>
      </c>
      <c r="I991">
        <v>5.2905092592592594E-2</v>
      </c>
      <c r="J991">
        <v>44784</v>
      </c>
    </row>
    <row r="992" spans="1:10" x14ac:dyDescent="0.35">
      <c r="A992" s="2">
        <v>44776</v>
      </c>
      <c r="B992" s="3">
        <v>9.9085648148148145E-2</v>
      </c>
      <c r="C992">
        <v>9863</v>
      </c>
      <c r="D992" t="str">
        <f>VLOOKUP(H992,Produkt!$A$2:$B$5,2,FALSE)</f>
        <v>A</v>
      </c>
      <c r="H992">
        <v>1</v>
      </c>
      <c r="I992">
        <v>0.69212962962962965</v>
      </c>
      <c r="J992">
        <v>44802</v>
      </c>
    </row>
    <row r="993" spans="1:10" x14ac:dyDescent="0.35">
      <c r="A993" s="2">
        <v>44776</v>
      </c>
      <c r="B993" s="3">
        <v>0.6721759259259259</v>
      </c>
      <c r="C993">
        <v>9890</v>
      </c>
      <c r="D993" t="str">
        <f>VLOOKUP(H993,Produkt!$A$2:$B$5,2,FALSE)</f>
        <v>A</v>
      </c>
      <c r="H993">
        <v>1</v>
      </c>
      <c r="I993">
        <v>0.69888888888888889</v>
      </c>
      <c r="J993">
        <v>44783</v>
      </c>
    </row>
    <row r="994" spans="1:10" x14ac:dyDescent="0.35">
      <c r="A994" s="2">
        <v>44776</v>
      </c>
      <c r="B994" s="3">
        <v>0.58537037037037043</v>
      </c>
      <c r="C994">
        <v>9891</v>
      </c>
      <c r="D994" t="str">
        <f>VLOOKUP(H994,Produkt!$A$2:$B$5,2,FALSE)</f>
        <v>C</v>
      </c>
      <c r="H994">
        <v>3</v>
      </c>
      <c r="I994">
        <v>0.59024305555555556</v>
      </c>
      <c r="J994">
        <v>44797</v>
      </c>
    </row>
    <row r="995" spans="1:10" x14ac:dyDescent="0.35">
      <c r="A995" s="2">
        <v>44776</v>
      </c>
      <c r="B995" s="3">
        <v>2.5451388888888888E-2</v>
      </c>
      <c r="C995">
        <v>9939</v>
      </c>
      <c r="D995" t="str">
        <f>VLOOKUP(H995,Produkt!$A$2:$B$5,2,FALSE)</f>
        <v>D</v>
      </c>
      <c r="H995">
        <v>4</v>
      </c>
      <c r="I995">
        <v>0.76733796296296297</v>
      </c>
      <c r="J995">
        <v>44795</v>
      </c>
    </row>
    <row r="996" spans="1:10" x14ac:dyDescent="0.35">
      <c r="A996" s="2">
        <v>44776</v>
      </c>
      <c r="B996" s="3">
        <v>0.67151620370370368</v>
      </c>
      <c r="C996">
        <v>9942</v>
      </c>
      <c r="D996" t="str">
        <f>VLOOKUP(H996,Produkt!$A$2:$B$5,2,FALSE)</f>
        <v>B</v>
      </c>
      <c r="H996">
        <v>2</v>
      </c>
      <c r="I996">
        <v>3.3043981481481487E-2</v>
      </c>
      <c r="J996">
        <v>44792</v>
      </c>
    </row>
    <row r="997" spans="1:10" x14ac:dyDescent="0.35">
      <c r="A997" s="2">
        <v>44776</v>
      </c>
      <c r="B997" s="3">
        <v>0.46105324074074078</v>
      </c>
      <c r="C997">
        <v>9954</v>
      </c>
      <c r="D997" t="str">
        <f>VLOOKUP(H997,Produkt!$A$2:$B$5,2,FALSE)</f>
        <v>C</v>
      </c>
      <c r="H997">
        <v>3</v>
      </c>
      <c r="I997">
        <v>0.42010416666666667</v>
      </c>
      <c r="J997">
        <v>44804</v>
      </c>
    </row>
    <row r="998" spans="1:10" x14ac:dyDescent="0.35">
      <c r="A998" s="2">
        <v>44776</v>
      </c>
      <c r="B998" s="3">
        <v>0.61107638888888893</v>
      </c>
      <c r="C998">
        <v>9964</v>
      </c>
      <c r="D998" t="str">
        <f>VLOOKUP(H998,Produkt!$A$2:$B$5,2,FALSE)</f>
        <v>C</v>
      </c>
      <c r="H998">
        <v>3</v>
      </c>
      <c r="I998">
        <v>0.86243055555555559</v>
      </c>
      <c r="J998">
        <v>44794</v>
      </c>
    </row>
    <row r="999" spans="1:10" x14ac:dyDescent="0.35">
      <c r="A999" s="2">
        <v>44776</v>
      </c>
      <c r="B999" s="3">
        <v>0.32743055555555556</v>
      </c>
      <c r="C999">
        <v>9974</v>
      </c>
      <c r="D999" t="str">
        <f>VLOOKUP(H999,Produkt!$A$2:$B$5,2,FALSE)</f>
        <v>C</v>
      </c>
      <c r="H999">
        <v>3</v>
      </c>
      <c r="I999">
        <v>0.41921296296296301</v>
      </c>
      <c r="J999">
        <v>44804</v>
      </c>
    </row>
    <row r="1000" spans="1:10" x14ac:dyDescent="0.35">
      <c r="A1000" s="2">
        <v>44777</v>
      </c>
      <c r="B1000" s="3">
        <v>0.94960648148148152</v>
      </c>
      <c r="C1000">
        <v>13</v>
      </c>
      <c r="D1000" t="str">
        <f>VLOOKUP(H1000,Produkt!$A$2:$B$5,2,FALSE)</f>
        <v>A</v>
      </c>
      <c r="H1000">
        <v>1</v>
      </c>
      <c r="I1000">
        <v>0.55003472222222227</v>
      </c>
      <c r="J1000">
        <v>44783</v>
      </c>
    </row>
    <row r="1001" spans="1:10" x14ac:dyDescent="0.35">
      <c r="A1001" s="2">
        <v>44777</v>
      </c>
      <c r="B1001" s="3">
        <v>0.62848379629629625</v>
      </c>
      <c r="C1001">
        <v>104</v>
      </c>
      <c r="D1001" t="str">
        <f>VLOOKUP(H1001,Produkt!$A$2:$B$5,2,FALSE)</f>
        <v>D</v>
      </c>
      <c r="H1001">
        <v>4</v>
      </c>
      <c r="I1001">
        <v>0.80510416666666673</v>
      </c>
      <c r="J1001">
        <v>44798</v>
      </c>
    </row>
    <row r="1002" spans="1:10" x14ac:dyDescent="0.35">
      <c r="A1002" s="2">
        <v>44777</v>
      </c>
      <c r="B1002" s="3">
        <v>8.7083333333333332E-2</v>
      </c>
      <c r="C1002">
        <v>190</v>
      </c>
      <c r="D1002" t="str">
        <f>VLOOKUP(H1002,Produkt!$A$2:$B$5,2,FALSE)</f>
        <v>A</v>
      </c>
      <c r="H1002">
        <v>1</v>
      </c>
      <c r="I1002">
        <v>0.56170138888888888</v>
      </c>
      <c r="J1002">
        <v>44792</v>
      </c>
    </row>
    <row r="1003" spans="1:10" x14ac:dyDescent="0.35">
      <c r="A1003" s="2">
        <v>44777</v>
      </c>
      <c r="B1003" s="3">
        <v>0.99337962962962967</v>
      </c>
      <c r="C1003">
        <v>192</v>
      </c>
      <c r="D1003" t="str">
        <f>VLOOKUP(H1003,Produkt!$A$2:$B$5,2,FALSE)</f>
        <v>D</v>
      </c>
      <c r="H1003">
        <v>4</v>
      </c>
      <c r="I1003">
        <v>0.69374999999999998</v>
      </c>
      <c r="J1003">
        <v>44801</v>
      </c>
    </row>
    <row r="1004" spans="1:10" x14ac:dyDescent="0.35">
      <c r="A1004" s="2">
        <v>44777</v>
      </c>
      <c r="B1004" s="3">
        <v>0.5612152777777778</v>
      </c>
      <c r="C1004">
        <v>216</v>
      </c>
      <c r="D1004" t="str">
        <f>VLOOKUP(H1004,Produkt!$A$2:$B$5,2,FALSE)</f>
        <v>D</v>
      </c>
      <c r="H1004">
        <v>4</v>
      </c>
      <c r="I1004">
        <v>2.4525462962962968E-2</v>
      </c>
      <c r="J1004">
        <v>44783</v>
      </c>
    </row>
    <row r="1005" spans="1:10" x14ac:dyDescent="0.35">
      <c r="A1005" s="2">
        <v>44777</v>
      </c>
      <c r="B1005" s="3">
        <v>0.85673611111111114</v>
      </c>
      <c r="C1005">
        <v>260</v>
      </c>
      <c r="D1005" t="str">
        <f>VLOOKUP(H1005,Produkt!$A$2:$B$5,2,FALSE)</f>
        <v>C</v>
      </c>
      <c r="H1005">
        <v>3</v>
      </c>
      <c r="I1005">
        <v>0.75952546296296297</v>
      </c>
      <c r="J1005">
        <v>44776</v>
      </c>
    </row>
    <row r="1006" spans="1:10" x14ac:dyDescent="0.35">
      <c r="A1006" s="2">
        <v>44777</v>
      </c>
      <c r="B1006" s="3">
        <v>8.3888888888888888E-2</v>
      </c>
      <c r="C1006">
        <v>309</v>
      </c>
      <c r="D1006" t="str">
        <f>VLOOKUP(H1006,Produkt!$A$2:$B$5,2,FALSE)</f>
        <v>C</v>
      </c>
      <c r="H1006">
        <v>3</v>
      </c>
      <c r="I1006">
        <v>0.77861111111111114</v>
      </c>
      <c r="J1006">
        <v>44777</v>
      </c>
    </row>
    <row r="1007" spans="1:10" x14ac:dyDescent="0.35">
      <c r="A1007" s="2">
        <v>44777</v>
      </c>
      <c r="B1007" s="3">
        <v>7.6342592592592587E-2</v>
      </c>
      <c r="C1007">
        <v>330</v>
      </c>
      <c r="D1007" t="str">
        <f>VLOOKUP(H1007,Produkt!$A$2:$B$5,2,FALSE)</f>
        <v>B</v>
      </c>
      <c r="H1007">
        <v>2</v>
      </c>
      <c r="I1007">
        <v>0.93096064814814816</v>
      </c>
      <c r="J1007">
        <v>44799</v>
      </c>
    </row>
    <row r="1008" spans="1:10" x14ac:dyDescent="0.35">
      <c r="A1008" s="2">
        <v>44777</v>
      </c>
      <c r="B1008" s="3">
        <v>0.7115393518518518</v>
      </c>
      <c r="C1008">
        <v>333</v>
      </c>
      <c r="D1008" t="str">
        <f>VLOOKUP(H1008,Produkt!$A$2:$B$5,2,FALSE)</f>
        <v>C</v>
      </c>
      <c r="H1008">
        <v>3</v>
      </c>
      <c r="I1008">
        <v>0.38347222222222221</v>
      </c>
      <c r="J1008">
        <v>44794</v>
      </c>
    </row>
    <row r="1009" spans="1:10" x14ac:dyDescent="0.35">
      <c r="A1009" s="2">
        <v>44777</v>
      </c>
      <c r="B1009" s="3">
        <v>1.9456018518518414E-2</v>
      </c>
      <c r="C1009">
        <v>345</v>
      </c>
      <c r="D1009" t="str">
        <f>VLOOKUP(H1009,Produkt!$A$2:$B$5,2,FALSE)</f>
        <v>A</v>
      </c>
      <c r="H1009">
        <v>1</v>
      </c>
      <c r="I1009">
        <v>0.32913194444444444</v>
      </c>
      <c r="J1009">
        <v>44795</v>
      </c>
    </row>
    <row r="1010" spans="1:10" x14ac:dyDescent="0.35">
      <c r="A1010" s="2">
        <v>44777</v>
      </c>
      <c r="B1010" s="3">
        <v>1.0243055555555556E-2</v>
      </c>
      <c r="C1010">
        <v>346</v>
      </c>
      <c r="D1010" t="str">
        <f>VLOOKUP(H1010,Produkt!$A$2:$B$5,2,FALSE)</f>
        <v>C</v>
      </c>
      <c r="H1010">
        <v>3</v>
      </c>
      <c r="I1010">
        <v>0.99476851851851855</v>
      </c>
      <c r="J1010">
        <v>44774</v>
      </c>
    </row>
    <row r="1011" spans="1:10" x14ac:dyDescent="0.35">
      <c r="A1011" s="2">
        <v>44777</v>
      </c>
      <c r="B1011" s="3">
        <v>0.88568287037037041</v>
      </c>
      <c r="C1011">
        <v>375</v>
      </c>
      <c r="D1011" t="str">
        <f>VLOOKUP(H1011,Produkt!$A$2:$B$5,2,FALSE)</f>
        <v>A</v>
      </c>
      <c r="H1011">
        <v>1</v>
      </c>
      <c r="I1011">
        <v>6.895833333333333E-2</v>
      </c>
      <c r="J1011">
        <v>44779</v>
      </c>
    </row>
    <row r="1012" spans="1:10" x14ac:dyDescent="0.35">
      <c r="A1012" s="2">
        <v>44777</v>
      </c>
      <c r="B1012" s="3">
        <v>0.99354166666666666</v>
      </c>
      <c r="C1012">
        <v>421</v>
      </c>
      <c r="D1012" t="str">
        <f>VLOOKUP(H1012,Produkt!$A$2:$B$5,2,FALSE)</f>
        <v>B</v>
      </c>
      <c r="H1012">
        <v>2</v>
      </c>
      <c r="I1012">
        <v>0.32929398148148148</v>
      </c>
      <c r="J1012">
        <v>44802</v>
      </c>
    </row>
    <row r="1013" spans="1:10" x14ac:dyDescent="0.35">
      <c r="A1013" s="2">
        <v>44777</v>
      </c>
      <c r="B1013" s="3">
        <v>0.36731481481481482</v>
      </c>
      <c r="C1013">
        <v>467</v>
      </c>
      <c r="D1013" t="str">
        <f>VLOOKUP(H1013,Produkt!$A$2:$B$5,2,FALSE)</f>
        <v>B</v>
      </c>
      <c r="H1013">
        <v>2</v>
      </c>
      <c r="I1013">
        <v>1.7407407407407538E-2</v>
      </c>
      <c r="J1013">
        <v>44784</v>
      </c>
    </row>
    <row r="1014" spans="1:10" x14ac:dyDescent="0.35">
      <c r="A1014" s="2">
        <v>44777</v>
      </c>
      <c r="B1014" s="3">
        <v>0.53864583333333338</v>
      </c>
      <c r="C1014">
        <v>473</v>
      </c>
      <c r="D1014" t="str">
        <f>VLOOKUP(H1014,Produkt!$A$2:$B$5,2,FALSE)</f>
        <v>D</v>
      </c>
      <c r="H1014">
        <v>4</v>
      </c>
      <c r="I1014">
        <v>0.28662037037037036</v>
      </c>
      <c r="J1014">
        <v>44779</v>
      </c>
    </row>
    <row r="1015" spans="1:10" x14ac:dyDescent="0.35">
      <c r="A1015" s="2">
        <v>44777</v>
      </c>
      <c r="B1015" s="3">
        <v>0.47466435185185185</v>
      </c>
      <c r="C1015">
        <v>495</v>
      </c>
      <c r="D1015" t="str">
        <f>VLOOKUP(H1015,Produkt!$A$2:$B$5,2,FALSE)</f>
        <v>B</v>
      </c>
      <c r="H1015">
        <v>2</v>
      </c>
      <c r="I1015">
        <v>0.41009259259259262</v>
      </c>
      <c r="J1015">
        <v>44781</v>
      </c>
    </row>
    <row r="1016" spans="1:10" x14ac:dyDescent="0.35">
      <c r="A1016" s="2">
        <v>44777</v>
      </c>
      <c r="B1016" s="3">
        <v>0.32728009259259255</v>
      </c>
      <c r="C1016">
        <v>509</v>
      </c>
      <c r="D1016" t="str">
        <f>VLOOKUP(H1016,Produkt!$A$2:$B$5,2,FALSE)</f>
        <v>A</v>
      </c>
      <c r="H1016">
        <v>1</v>
      </c>
      <c r="I1016">
        <v>0.30836805555555552</v>
      </c>
      <c r="J1016">
        <v>44786</v>
      </c>
    </row>
    <row r="1017" spans="1:10" x14ac:dyDescent="0.35">
      <c r="A1017" s="2">
        <v>44777</v>
      </c>
      <c r="B1017" s="3">
        <v>0.76959490740740744</v>
      </c>
      <c r="C1017">
        <v>529</v>
      </c>
      <c r="D1017" t="str">
        <f>VLOOKUP(H1017,Produkt!$A$2:$B$5,2,FALSE)</f>
        <v>B</v>
      </c>
      <c r="H1017">
        <v>2</v>
      </c>
      <c r="I1017">
        <v>0.4268055555555556</v>
      </c>
      <c r="J1017">
        <v>44787</v>
      </c>
    </row>
    <row r="1018" spans="1:10" x14ac:dyDescent="0.35">
      <c r="A1018" s="2">
        <v>44777</v>
      </c>
      <c r="B1018" s="3">
        <v>3.7256944444444447E-2</v>
      </c>
      <c r="C1018">
        <v>551</v>
      </c>
      <c r="D1018" t="str">
        <f>VLOOKUP(H1018,Produkt!$A$2:$B$5,2,FALSE)</f>
        <v>A</v>
      </c>
      <c r="H1018">
        <v>1</v>
      </c>
      <c r="I1018">
        <v>0.42894675925925929</v>
      </c>
      <c r="J1018">
        <v>44787</v>
      </c>
    </row>
    <row r="1019" spans="1:10" x14ac:dyDescent="0.35">
      <c r="A1019" s="2">
        <v>44777</v>
      </c>
      <c r="B1019" s="3">
        <v>0.65460648148148148</v>
      </c>
      <c r="C1019">
        <v>554</v>
      </c>
      <c r="D1019" t="str">
        <f>VLOOKUP(H1019,Produkt!$A$2:$B$5,2,FALSE)</f>
        <v>B</v>
      </c>
      <c r="H1019">
        <v>2</v>
      </c>
      <c r="I1019">
        <v>0.36506944444444445</v>
      </c>
      <c r="J1019">
        <v>44784</v>
      </c>
    </row>
    <row r="1020" spans="1:10" x14ac:dyDescent="0.35">
      <c r="A1020" s="2">
        <v>44777</v>
      </c>
      <c r="B1020" s="3">
        <v>0.43788194444444445</v>
      </c>
      <c r="C1020">
        <v>596</v>
      </c>
      <c r="D1020" t="str">
        <f>VLOOKUP(H1020,Produkt!$A$2:$B$5,2,FALSE)</f>
        <v>A</v>
      </c>
      <c r="H1020">
        <v>1</v>
      </c>
      <c r="I1020">
        <v>5.8449074074074072E-3</v>
      </c>
      <c r="J1020">
        <v>44784</v>
      </c>
    </row>
    <row r="1021" spans="1:10" x14ac:dyDescent="0.35">
      <c r="A1021" s="2">
        <v>44777</v>
      </c>
      <c r="B1021" s="3">
        <v>0.96464120370370365</v>
      </c>
      <c r="C1021">
        <v>614</v>
      </c>
      <c r="D1021" t="str">
        <f>VLOOKUP(H1021,Produkt!$A$2:$B$5,2,FALSE)</f>
        <v>C</v>
      </c>
      <c r="H1021">
        <v>3</v>
      </c>
      <c r="I1021">
        <v>0.44068287037037041</v>
      </c>
      <c r="J1021">
        <v>44791</v>
      </c>
    </row>
    <row r="1022" spans="1:10" x14ac:dyDescent="0.35">
      <c r="A1022" s="2">
        <v>44777</v>
      </c>
      <c r="B1022" s="3">
        <v>0.84410879629629632</v>
      </c>
      <c r="C1022">
        <v>632</v>
      </c>
      <c r="D1022" t="str">
        <f>VLOOKUP(H1022,Produkt!$A$2:$B$5,2,FALSE)</f>
        <v>D</v>
      </c>
      <c r="H1022">
        <v>4</v>
      </c>
      <c r="I1022">
        <v>5.7118055555555554E-2</v>
      </c>
      <c r="J1022">
        <v>44786</v>
      </c>
    </row>
    <row r="1023" spans="1:10" x14ac:dyDescent="0.35">
      <c r="A1023" s="2">
        <v>44777</v>
      </c>
      <c r="B1023" s="3">
        <v>0.32939814814814816</v>
      </c>
      <c r="C1023">
        <v>690</v>
      </c>
      <c r="D1023" t="str">
        <f>VLOOKUP(H1023,Produkt!$A$2:$B$5,2,FALSE)</f>
        <v>D</v>
      </c>
      <c r="H1023">
        <v>4</v>
      </c>
      <c r="I1023">
        <v>0.88949074074074075</v>
      </c>
      <c r="J1023">
        <v>44774</v>
      </c>
    </row>
    <row r="1024" spans="1:10" x14ac:dyDescent="0.35">
      <c r="A1024" s="2">
        <v>44777</v>
      </c>
      <c r="B1024" s="3">
        <v>0.54025462962962967</v>
      </c>
      <c r="C1024">
        <v>700</v>
      </c>
      <c r="D1024" t="str">
        <f>VLOOKUP(H1024,Produkt!$A$2:$B$5,2,FALSE)</f>
        <v>C</v>
      </c>
      <c r="H1024">
        <v>3</v>
      </c>
      <c r="I1024">
        <v>0.15892361111111111</v>
      </c>
      <c r="J1024">
        <v>44788</v>
      </c>
    </row>
    <row r="1025" spans="1:10" x14ac:dyDescent="0.35">
      <c r="A1025" s="2">
        <v>44777</v>
      </c>
      <c r="B1025" s="3">
        <v>0.33136574074074071</v>
      </c>
      <c r="C1025">
        <v>711</v>
      </c>
      <c r="D1025" t="str">
        <f>VLOOKUP(H1025,Produkt!$A$2:$B$5,2,FALSE)</f>
        <v>A</v>
      </c>
      <c r="H1025">
        <v>1</v>
      </c>
      <c r="I1025">
        <v>6.7361111111110539E-3</v>
      </c>
      <c r="J1025">
        <v>44793</v>
      </c>
    </row>
    <row r="1026" spans="1:10" x14ac:dyDescent="0.35">
      <c r="A1026" s="2">
        <v>44777</v>
      </c>
      <c r="B1026" s="3">
        <v>4.2638888888888893E-2</v>
      </c>
      <c r="C1026">
        <v>773</v>
      </c>
      <c r="D1026" t="str">
        <f>VLOOKUP(H1026,Produkt!$A$2:$B$5,2,FALSE)</f>
        <v>C</v>
      </c>
      <c r="H1026">
        <v>3</v>
      </c>
      <c r="I1026">
        <v>8.5868055555555559E-2</v>
      </c>
      <c r="J1026">
        <v>44783</v>
      </c>
    </row>
    <row r="1027" spans="1:10" x14ac:dyDescent="0.35">
      <c r="A1027" s="2">
        <v>44777</v>
      </c>
      <c r="B1027" s="3">
        <v>0.6209027777777778</v>
      </c>
      <c r="C1027">
        <v>799</v>
      </c>
      <c r="D1027" t="str">
        <f>VLOOKUP(H1027,Produkt!$A$2:$B$5,2,FALSE)</f>
        <v>C</v>
      </c>
      <c r="H1027">
        <v>3</v>
      </c>
      <c r="I1027">
        <v>0.16836805555555556</v>
      </c>
      <c r="J1027">
        <v>44775</v>
      </c>
    </row>
    <row r="1028" spans="1:10" x14ac:dyDescent="0.35">
      <c r="A1028" s="2">
        <v>44777</v>
      </c>
      <c r="B1028" s="3">
        <v>0.6466319444444445</v>
      </c>
      <c r="C1028">
        <v>818</v>
      </c>
      <c r="D1028" t="str">
        <f>VLOOKUP(H1028,Produkt!$A$2:$B$5,2,FALSE)</f>
        <v>D</v>
      </c>
      <c r="H1028">
        <v>4</v>
      </c>
      <c r="I1028">
        <v>0.75586805555555558</v>
      </c>
      <c r="J1028">
        <v>44787</v>
      </c>
    </row>
    <row r="1029" spans="1:10" x14ac:dyDescent="0.35">
      <c r="A1029" s="2">
        <v>44777</v>
      </c>
      <c r="B1029" s="3">
        <v>0.87792824074074083</v>
      </c>
      <c r="C1029">
        <v>831</v>
      </c>
      <c r="D1029" t="str">
        <f>VLOOKUP(H1029,Produkt!$A$2:$B$5,2,FALSE)</f>
        <v>D</v>
      </c>
      <c r="H1029">
        <v>4</v>
      </c>
      <c r="I1029">
        <v>8.335648148148149E-2</v>
      </c>
      <c r="J1029">
        <v>44786</v>
      </c>
    </row>
    <row r="1030" spans="1:10" x14ac:dyDescent="0.35">
      <c r="A1030" s="2">
        <v>44777</v>
      </c>
      <c r="B1030" s="3">
        <v>0.49479166666666669</v>
      </c>
      <c r="C1030">
        <v>861</v>
      </c>
      <c r="D1030" t="str">
        <f>VLOOKUP(H1030,Produkt!$A$2:$B$5,2,FALSE)</f>
        <v>C</v>
      </c>
      <c r="H1030">
        <v>3</v>
      </c>
      <c r="I1030">
        <v>0.18074074074074076</v>
      </c>
      <c r="J1030">
        <v>44780</v>
      </c>
    </row>
    <row r="1031" spans="1:10" x14ac:dyDescent="0.35">
      <c r="A1031" s="2">
        <v>44777</v>
      </c>
      <c r="B1031" s="3">
        <v>0.90383101851851855</v>
      </c>
      <c r="C1031">
        <v>909</v>
      </c>
      <c r="D1031" t="str">
        <f>VLOOKUP(H1031,Produkt!$A$2:$B$5,2,FALSE)</f>
        <v>A</v>
      </c>
      <c r="H1031">
        <v>1</v>
      </c>
      <c r="I1031">
        <v>0.77768518518518526</v>
      </c>
      <c r="J1031">
        <v>44779</v>
      </c>
    </row>
    <row r="1032" spans="1:10" x14ac:dyDescent="0.35">
      <c r="A1032" s="2">
        <v>44777</v>
      </c>
      <c r="B1032" s="3">
        <v>0.25020833333333331</v>
      </c>
      <c r="C1032">
        <v>955</v>
      </c>
      <c r="D1032" t="str">
        <f>VLOOKUP(H1032,Produkt!$A$2:$B$5,2,FALSE)</f>
        <v>B</v>
      </c>
      <c r="H1032">
        <v>2</v>
      </c>
      <c r="I1032">
        <v>0.78488425925925931</v>
      </c>
      <c r="J1032">
        <v>44787</v>
      </c>
    </row>
    <row r="1033" spans="1:10" x14ac:dyDescent="0.35">
      <c r="A1033" s="2">
        <v>44777</v>
      </c>
      <c r="B1033" s="3">
        <v>0.72261574074074064</v>
      </c>
      <c r="C1033">
        <v>968</v>
      </c>
      <c r="D1033" t="str">
        <f>VLOOKUP(H1033,Produkt!$A$2:$B$5,2,FALSE)</f>
        <v>B</v>
      </c>
      <c r="H1033">
        <v>2</v>
      </c>
      <c r="I1033">
        <v>0.54861111111111105</v>
      </c>
      <c r="J1033">
        <v>44790</v>
      </c>
    </row>
    <row r="1034" spans="1:10" x14ac:dyDescent="0.35">
      <c r="A1034" s="2">
        <v>44777</v>
      </c>
      <c r="B1034" s="3">
        <v>8.335648148148149E-2</v>
      </c>
      <c r="C1034">
        <v>1028</v>
      </c>
      <c r="D1034" t="str">
        <f>VLOOKUP(H1034,Produkt!$A$2:$B$5,2,FALSE)</f>
        <v>C</v>
      </c>
      <c r="H1034">
        <v>3</v>
      </c>
      <c r="I1034">
        <v>0.89958333333333329</v>
      </c>
      <c r="J1034">
        <v>44783</v>
      </c>
    </row>
    <row r="1035" spans="1:10" x14ac:dyDescent="0.35">
      <c r="A1035" s="2">
        <v>44777</v>
      </c>
      <c r="B1035" s="3">
        <v>0.82708333333333339</v>
      </c>
      <c r="C1035">
        <v>1044</v>
      </c>
      <c r="D1035" t="str">
        <f>VLOOKUP(H1035,Produkt!$A$2:$B$5,2,FALSE)</f>
        <v>D</v>
      </c>
      <c r="H1035">
        <v>4</v>
      </c>
      <c r="I1035">
        <v>0.21035879629629628</v>
      </c>
      <c r="J1035">
        <v>44803</v>
      </c>
    </row>
    <row r="1036" spans="1:10" x14ac:dyDescent="0.35">
      <c r="A1036" s="2">
        <v>44777</v>
      </c>
      <c r="B1036" s="3">
        <v>0.91490740740740739</v>
      </c>
      <c r="C1036">
        <v>1047</v>
      </c>
      <c r="D1036" t="str">
        <f>VLOOKUP(H1036,Produkt!$A$2:$B$5,2,FALSE)</f>
        <v>D</v>
      </c>
      <c r="H1036">
        <v>4</v>
      </c>
      <c r="I1036">
        <v>0.18887731481481482</v>
      </c>
      <c r="J1036">
        <v>44797</v>
      </c>
    </row>
    <row r="1037" spans="1:10" x14ac:dyDescent="0.35">
      <c r="A1037" s="2">
        <v>44777</v>
      </c>
      <c r="B1037" s="3">
        <v>0.50182870370370369</v>
      </c>
      <c r="C1037">
        <v>1062</v>
      </c>
      <c r="D1037" t="str">
        <f>VLOOKUP(H1037,Produkt!$A$2:$B$5,2,FALSE)</f>
        <v>D</v>
      </c>
      <c r="H1037">
        <v>4</v>
      </c>
      <c r="I1037">
        <v>0.20876157407407406</v>
      </c>
      <c r="J1037">
        <v>44788</v>
      </c>
    </row>
    <row r="1038" spans="1:10" x14ac:dyDescent="0.35">
      <c r="A1038" s="2">
        <v>44777</v>
      </c>
      <c r="B1038" s="3">
        <v>3.9212962962962963E-2</v>
      </c>
      <c r="C1038">
        <v>1067</v>
      </c>
      <c r="D1038" t="str">
        <f>VLOOKUP(H1038,Produkt!$A$2:$B$5,2,FALSE)</f>
        <v>B</v>
      </c>
      <c r="H1038">
        <v>2</v>
      </c>
      <c r="I1038">
        <v>0.70636574074074077</v>
      </c>
      <c r="J1038">
        <v>44783</v>
      </c>
    </row>
    <row r="1039" spans="1:10" x14ac:dyDescent="0.35">
      <c r="A1039" s="2">
        <v>44777</v>
      </c>
      <c r="B1039" s="3">
        <v>0.85659722222222223</v>
      </c>
      <c r="C1039">
        <v>1068</v>
      </c>
      <c r="D1039" t="str">
        <f>VLOOKUP(H1039,Produkt!$A$2:$B$5,2,FALSE)</f>
        <v>B</v>
      </c>
      <c r="H1039">
        <v>2</v>
      </c>
      <c r="I1039">
        <v>0.58498842592592593</v>
      </c>
      <c r="J1039">
        <v>44781</v>
      </c>
    </row>
    <row r="1040" spans="1:10" x14ac:dyDescent="0.35">
      <c r="A1040" s="2">
        <v>44777</v>
      </c>
      <c r="B1040" s="3">
        <v>4.363425925925926E-3</v>
      </c>
      <c r="C1040">
        <v>1151</v>
      </c>
      <c r="D1040" t="str">
        <f>VLOOKUP(H1040,Produkt!$A$2:$B$5,2,FALSE)</f>
        <v>D</v>
      </c>
      <c r="H1040">
        <v>4</v>
      </c>
      <c r="I1040">
        <v>0.56299768518518511</v>
      </c>
      <c r="J1040">
        <v>44776</v>
      </c>
    </row>
    <row r="1041" spans="1:10" x14ac:dyDescent="0.35">
      <c r="A1041" s="2">
        <v>44777</v>
      </c>
      <c r="B1041" s="3">
        <v>0.71567129629629633</v>
      </c>
      <c r="C1041">
        <v>1154</v>
      </c>
      <c r="D1041" t="str">
        <f>VLOOKUP(H1041,Produkt!$A$2:$B$5,2,FALSE)</f>
        <v>C</v>
      </c>
      <c r="H1041">
        <v>3</v>
      </c>
      <c r="I1041">
        <v>0.69068287037037035</v>
      </c>
      <c r="J1041">
        <v>44793</v>
      </c>
    </row>
    <row r="1042" spans="1:10" x14ac:dyDescent="0.35">
      <c r="A1042" s="2">
        <v>44777</v>
      </c>
      <c r="B1042" s="3">
        <v>0.3354166666666667</v>
      </c>
      <c r="C1042">
        <v>1173</v>
      </c>
      <c r="D1042" t="str">
        <f>VLOOKUP(H1042,Produkt!$A$2:$B$5,2,FALSE)</f>
        <v>B</v>
      </c>
      <c r="H1042">
        <v>2</v>
      </c>
      <c r="I1042">
        <v>0.38570601851851855</v>
      </c>
      <c r="J1042">
        <v>44781</v>
      </c>
    </row>
    <row r="1043" spans="1:10" x14ac:dyDescent="0.35">
      <c r="A1043" s="2">
        <v>44777</v>
      </c>
      <c r="B1043" s="3">
        <v>1.9432870370370336E-2</v>
      </c>
      <c r="C1043">
        <v>1270</v>
      </c>
      <c r="D1043" t="str">
        <f>VLOOKUP(H1043,Produkt!$A$2:$B$5,2,FALSE)</f>
        <v>C</v>
      </c>
      <c r="H1043">
        <v>3</v>
      </c>
      <c r="I1043">
        <v>0.84817129629629628</v>
      </c>
      <c r="J1043">
        <v>44793</v>
      </c>
    </row>
    <row r="1044" spans="1:10" x14ac:dyDescent="0.35">
      <c r="A1044" s="2">
        <v>44777</v>
      </c>
      <c r="B1044" s="3">
        <v>3.142361111111111E-2</v>
      </c>
      <c r="C1044">
        <v>1292</v>
      </c>
      <c r="D1044" t="str">
        <f>VLOOKUP(H1044,Produkt!$A$2:$B$5,2,FALSE)</f>
        <v>B</v>
      </c>
      <c r="H1044">
        <v>2</v>
      </c>
      <c r="I1044">
        <v>0.82526620370370374</v>
      </c>
      <c r="J1044">
        <v>44787</v>
      </c>
    </row>
    <row r="1045" spans="1:10" x14ac:dyDescent="0.35">
      <c r="A1045" s="2">
        <v>44777</v>
      </c>
      <c r="B1045" s="3">
        <v>0.75986111111111121</v>
      </c>
      <c r="C1045">
        <v>1301</v>
      </c>
      <c r="D1045" t="str">
        <f>VLOOKUP(H1045,Produkt!$A$2:$B$5,2,FALSE)</f>
        <v>D</v>
      </c>
      <c r="H1045">
        <v>4</v>
      </c>
      <c r="I1045">
        <v>0.82708333333333339</v>
      </c>
      <c r="J1045">
        <v>44798</v>
      </c>
    </row>
    <row r="1046" spans="1:10" x14ac:dyDescent="0.35">
      <c r="A1046" s="2">
        <v>44777</v>
      </c>
      <c r="B1046" s="3">
        <v>0.19237268518518516</v>
      </c>
      <c r="C1046">
        <v>1320</v>
      </c>
      <c r="D1046" t="str">
        <f>VLOOKUP(H1046,Produkt!$A$2:$B$5,2,FALSE)</f>
        <v>D</v>
      </c>
      <c r="H1046">
        <v>4</v>
      </c>
      <c r="I1046">
        <v>0.60123842592592591</v>
      </c>
      <c r="J1046">
        <v>44804</v>
      </c>
    </row>
    <row r="1047" spans="1:10" x14ac:dyDescent="0.35">
      <c r="A1047" s="2">
        <v>44777</v>
      </c>
      <c r="B1047" s="3">
        <v>0.12880787037037036</v>
      </c>
      <c r="C1047">
        <v>1399</v>
      </c>
      <c r="D1047" t="str">
        <f>VLOOKUP(H1047,Produkt!$A$2:$B$5,2,FALSE)</f>
        <v>D</v>
      </c>
      <c r="H1047">
        <v>4</v>
      </c>
      <c r="I1047">
        <v>0.42312499999999997</v>
      </c>
      <c r="J1047">
        <v>44797</v>
      </c>
    </row>
    <row r="1048" spans="1:10" x14ac:dyDescent="0.35">
      <c r="A1048" s="2">
        <v>44777</v>
      </c>
      <c r="B1048" s="3">
        <v>0.60649305555555555</v>
      </c>
      <c r="C1048">
        <v>1411</v>
      </c>
      <c r="D1048" t="str">
        <f>VLOOKUP(H1048,Produkt!$A$2:$B$5,2,FALSE)</f>
        <v>C</v>
      </c>
      <c r="H1048">
        <v>3</v>
      </c>
      <c r="I1048">
        <v>0.91490740740740739</v>
      </c>
      <c r="J1048">
        <v>44782</v>
      </c>
    </row>
    <row r="1049" spans="1:10" x14ac:dyDescent="0.35">
      <c r="A1049" s="2">
        <v>44777</v>
      </c>
      <c r="B1049" s="3">
        <v>0.37501157407407409</v>
      </c>
      <c r="C1049">
        <v>1425</v>
      </c>
      <c r="D1049" t="str">
        <f>VLOOKUP(H1049,Produkt!$A$2:$B$5,2,FALSE)</f>
        <v>B</v>
      </c>
      <c r="H1049">
        <v>2</v>
      </c>
      <c r="I1049">
        <v>0.6705902777777778</v>
      </c>
      <c r="J1049">
        <v>44789</v>
      </c>
    </row>
    <row r="1050" spans="1:10" x14ac:dyDescent="0.35">
      <c r="A1050" s="2">
        <v>44777</v>
      </c>
      <c r="B1050" s="3">
        <v>0.15682870370370369</v>
      </c>
      <c r="C1050">
        <v>1514</v>
      </c>
      <c r="D1050" t="str">
        <f>VLOOKUP(H1050,Produkt!$A$2:$B$5,2,FALSE)</f>
        <v>D</v>
      </c>
      <c r="H1050">
        <v>4</v>
      </c>
      <c r="I1050">
        <v>0.17712962962962964</v>
      </c>
      <c r="J1050">
        <v>44786</v>
      </c>
    </row>
    <row r="1051" spans="1:10" x14ac:dyDescent="0.35">
      <c r="A1051" s="2">
        <v>44777</v>
      </c>
      <c r="B1051" s="3">
        <v>0.29233796296296294</v>
      </c>
      <c r="C1051">
        <v>1674</v>
      </c>
      <c r="D1051" t="str">
        <f>VLOOKUP(H1051,Produkt!$A$2:$B$5,2,FALSE)</f>
        <v>C</v>
      </c>
      <c r="H1051">
        <v>3</v>
      </c>
      <c r="I1051">
        <v>0.19252314814814817</v>
      </c>
      <c r="J1051">
        <v>44789</v>
      </c>
    </row>
    <row r="1052" spans="1:10" x14ac:dyDescent="0.35">
      <c r="A1052" s="2">
        <v>44777</v>
      </c>
      <c r="B1052" s="3">
        <v>0.55471064814814819</v>
      </c>
      <c r="C1052">
        <v>1675</v>
      </c>
      <c r="D1052" t="str">
        <f>VLOOKUP(H1052,Produkt!$A$2:$B$5,2,FALSE)</f>
        <v>A</v>
      </c>
      <c r="H1052">
        <v>1</v>
      </c>
      <c r="I1052">
        <v>3.4548611111111072E-2</v>
      </c>
      <c r="J1052">
        <v>44793</v>
      </c>
    </row>
    <row r="1053" spans="1:10" x14ac:dyDescent="0.35">
      <c r="A1053" s="2">
        <v>44777</v>
      </c>
      <c r="B1053" s="3">
        <v>0.33670138888888884</v>
      </c>
      <c r="C1053">
        <v>1708</v>
      </c>
      <c r="D1053" t="str">
        <f>VLOOKUP(H1053,Produkt!$A$2:$B$5,2,FALSE)</f>
        <v>D</v>
      </c>
      <c r="H1053">
        <v>4</v>
      </c>
      <c r="I1053">
        <v>0.52765046296296292</v>
      </c>
      <c r="J1053">
        <v>44779</v>
      </c>
    </row>
    <row r="1054" spans="1:10" x14ac:dyDescent="0.35">
      <c r="A1054" s="2">
        <v>44777</v>
      </c>
      <c r="B1054" s="3">
        <v>8.4675925925925932E-2</v>
      </c>
      <c r="C1054">
        <v>1713</v>
      </c>
      <c r="D1054" t="str">
        <f>VLOOKUP(H1054,Produkt!$A$2:$B$5,2,FALSE)</f>
        <v>A</v>
      </c>
      <c r="H1054">
        <v>1</v>
      </c>
      <c r="I1054">
        <v>0.1014236111111111</v>
      </c>
      <c r="J1054">
        <v>44780</v>
      </c>
    </row>
    <row r="1055" spans="1:10" x14ac:dyDescent="0.35">
      <c r="A1055" s="2">
        <v>44777</v>
      </c>
      <c r="B1055" s="3">
        <v>0.84946759259259252</v>
      </c>
      <c r="C1055">
        <v>1734</v>
      </c>
      <c r="D1055" t="str">
        <f>VLOOKUP(H1055,Produkt!$A$2:$B$5,2,FALSE)</f>
        <v>A</v>
      </c>
      <c r="H1055">
        <v>1</v>
      </c>
      <c r="I1055">
        <v>0.34473379629629625</v>
      </c>
      <c r="J1055">
        <v>44774</v>
      </c>
    </row>
    <row r="1056" spans="1:10" x14ac:dyDescent="0.35">
      <c r="A1056" s="2">
        <v>44777</v>
      </c>
      <c r="B1056" s="3">
        <v>0.49041666666666667</v>
      </c>
      <c r="C1056">
        <v>1758</v>
      </c>
      <c r="D1056" t="str">
        <f>VLOOKUP(H1056,Produkt!$A$2:$B$5,2,FALSE)</f>
        <v>C</v>
      </c>
      <c r="H1056">
        <v>3</v>
      </c>
      <c r="I1056">
        <v>0.15332175925925925</v>
      </c>
      <c r="J1056">
        <v>44783</v>
      </c>
    </row>
    <row r="1057" spans="1:10" x14ac:dyDescent="0.35">
      <c r="A1057" s="2">
        <v>44777</v>
      </c>
      <c r="B1057" s="3">
        <v>0.32663194444444443</v>
      </c>
      <c r="C1057">
        <v>1803</v>
      </c>
      <c r="D1057" t="str">
        <f>VLOOKUP(H1057,Produkt!$A$2:$B$5,2,FALSE)</f>
        <v>B</v>
      </c>
      <c r="H1057">
        <v>2</v>
      </c>
      <c r="I1057">
        <v>0.68162037037037038</v>
      </c>
      <c r="J1057">
        <v>44784</v>
      </c>
    </row>
    <row r="1058" spans="1:10" x14ac:dyDescent="0.35">
      <c r="A1058" s="2">
        <v>44777</v>
      </c>
      <c r="B1058" s="3">
        <v>0.46481481481481479</v>
      </c>
      <c r="C1058">
        <v>1819</v>
      </c>
      <c r="D1058" t="str">
        <f>VLOOKUP(H1058,Produkt!$A$2:$B$5,2,FALSE)</f>
        <v>D</v>
      </c>
      <c r="H1058">
        <v>4</v>
      </c>
      <c r="I1058">
        <v>0.20982638888888891</v>
      </c>
      <c r="J1058">
        <v>44780</v>
      </c>
    </row>
    <row r="1059" spans="1:10" x14ac:dyDescent="0.35">
      <c r="A1059" s="2">
        <v>44777</v>
      </c>
      <c r="B1059" s="3">
        <v>0.96048611111111104</v>
      </c>
      <c r="C1059">
        <v>1822</v>
      </c>
      <c r="D1059" t="str">
        <f>VLOOKUP(H1059,Produkt!$A$2:$B$5,2,FALSE)</f>
        <v>C</v>
      </c>
      <c r="H1059">
        <v>3</v>
      </c>
      <c r="I1059">
        <v>0.48954861111111114</v>
      </c>
      <c r="J1059">
        <v>44778</v>
      </c>
    </row>
    <row r="1060" spans="1:10" x14ac:dyDescent="0.35">
      <c r="A1060" s="2">
        <v>44777</v>
      </c>
      <c r="B1060" s="3">
        <v>7.2916666666666659E-3</v>
      </c>
      <c r="C1060">
        <v>1840</v>
      </c>
      <c r="D1060" t="str">
        <f>VLOOKUP(H1060,Produkt!$A$2:$B$5,2,FALSE)</f>
        <v>A</v>
      </c>
      <c r="H1060">
        <v>1</v>
      </c>
      <c r="I1060">
        <v>0.44318287037037035</v>
      </c>
      <c r="J1060">
        <v>44794</v>
      </c>
    </row>
    <row r="1061" spans="1:10" x14ac:dyDescent="0.35">
      <c r="A1061" s="2">
        <v>44777</v>
      </c>
      <c r="B1061" s="3">
        <v>0.5549884259259259</v>
      </c>
      <c r="C1061">
        <v>1872</v>
      </c>
      <c r="D1061" t="str">
        <f>VLOOKUP(H1061,Produkt!$A$2:$B$5,2,FALSE)</f>
        <v>A</v>
      </c>
      <c r="H1061">
        <v>1</v>
      </c>
      <c r="I1061">
        <v>0.48570601851851852</v>
      </c>
      <c r="J1061">
        <v>44781</v>
      </c>
    </row>
    <row r="1062" spans="1:10" x14ac:dyDescent="0.35">
      <c r="A1062" s="2">
        <v>44777</v>
      </c>
      <c r="B1062" s="3">
        <v>0.70876157407407403</v>
      </c>
      <c r="C1062">
        <v>1881</v>
      </c>
      <c r="D1062" t="str">
        <f>VLOOKUP(H1062,Produkt!$A$2:$B$5,2,FALSE)</f>
        <v>D</v>
      </c>
      <c r="H1062">
        <v>4</v>
      </c>
      <c r="I1062">
        <v>0.57700231481481479</v>
      </c>
      <c r="J1062">
        <v>44780</v>
      </c>
    </row>
    <row r="1063" spans="1:10" x14ac:dyDescent="0.35">
      <c r="A1063" s="2">
        <v>44777</v>
      </c>
      <c r="B1063" s="3">
        <v>9.3981481481481485E-2</v>
      </c>
      <c r="C1063">
        <v>1886</v>
      </c>
      <c r="D1063" t="str">
        <f>VLOOKUP(H1063,Produkt!$A$2:$B$5,2,FALSE)</f>
        <v>D</v>
      </c>
      <c r="H1063">
        <v>4</v>
      </c>
      <c r="I1063">
        <v>0.50182870370370369</v>
      </c>
      <c r="J1063">
        <v>44780</v>
      </c>
    </row>
    <row r="1064" spans="1:10" x14ac:dyDescent="0.35">
      <c r="A1064" s="2">
        <v>44777</v>
      </c>
      <c r="B1064" s="3">
        <v>0.93038194444444444</v>
      </c>
      <c r="C1064">
        <v>1901</v>
      </c>
      <c r="D1064" t="str">
        <f>VLOOKUP(H1064,Produkt!$A$2:$B$5,2,FALSE)</f>
        <v>D</v>
      </c>
      <c r="H1064">
        <v>4</v>
      </c>
      <c r="I1064">
        <v>0.8618055555555556</v>
      </c>
      <c r="J1064">
        <v>44791</v>
      </c>
    </row>
    <row r="1065" spans="1:10" x14ac:dyDescent="0.35">
      <c r="A1065" s="2">
        <v>44777</v>
      </c>
      <c r="B1065" s="3">
        <v>0.90020833333333339</v>
      </c>
      <c r="C1065">
        <v>1925</v>
      </c>
      <c r="D1065" t="str">
        <f>VLOOKUP(H1065,Produkt!$A$2:$B$5,2,FALSE)</f>
        <v>D</v>
      </c>
      <c r="H1065">
        <v>4</v>
      </c>
      <c r="I1065">
        <v>0.92606481481481484</v>
      </c>
      <c r="J1065">
        <v>44784</v>
      </c>
    </row>
    <row r="1066" spans="1:10" x14ac:dyDescent="0.35">
      <c r="A1066" s="2">
        <v>44777</v>
      </c>
      <c r="B1066" s="3">
        <v>0.78839120370370364</v>
      </c>
      <c r="C1066">
        <v>1957</v>
      </c>
      <c r="D1066" t="str">
        <f>VLOOKUP(H1066,Produkt!$A$2:$B$5,2,FALSE)</f>
        <v>C</v>
      </c>
      <c r="H1066">
        <v>3</v>
      </c>
      <c r="I1066">
        <v>0.21590277777777778</v>
      </c>
      <c r="J1066">
        <v>44776</v>
      </c>
    </row>
    <row r="1067" spans="1:10" x14ac:dyDescent="0.35">
      <c r="A1067" s="2">
        <v>44777</v>
      </c>
      <c r="B1067" s="3">
        <v>2.1400462962962941E-2</v>
      </c>
      <c r="C1067">
        <v>1988</v>
      </c>
      <c r="D1067" t="str">
        <f>VLOOKUP(H1067,Produkt!$A$2:$B$5,2,FALSE)</f>
        <v>D</v>
      </c>
      <c r="H1067">
        <v>4</v>
      </c>
      <c r="I1067">
        <v>0.11846064814814815</v>
      </c>
      <c r="J1067">
        <v>44791</v>
      </c>
    </row>
    <row r="1068" spans="1:10" x14ac:dyDescent="0.35">
      <c r="A1068" s="2">
        <v>44777</v>
      </c>
      <c r="B1068" s="3">
        <v>0.49517361111111113</v>
      </c>
      <c r="C1068">
        <v>1996</v>
      </c>
      <c r="D1068" t="str">
        <f>VLOOKUP(H1068,Produkt!$A$2:$B$5,2,FALSE)</f>
        <v>D</v>
      </c>
      <c r="H1068">
        <v>4</v>
      </c>
      <c r="I1068">
        <v>3.9212962962962963E-2</v>
      </c>
      <c r="J1068">
        <v>44777</v>
      </c>
    </row>
    <row r="1069" spans="1:10" x14ac:dyDescent="0.35">
      <c r="A1069" s="2">
        <v>44777</v>
      </c>
      <c r="B1069" s="3">
        <v>0.75459490740740742</v>
      </c>
      <c r="C1069">
        <v>2047</v>
      </c>
      <c r="D1069" t="str">
        <f>VLOOKUP(H1069,Produkt!$A$2:$B$5,2,FALSE)</f>
        <v>B</v>
      </c>
      <c r="H1069">
        <v>2</v>
      </c>
      <c r="I1069">
        <v>0.85659722222222223</v>
      </c>
      <c r="J1069">
        <v>44800</v>
      </c>
    </row>
    <row r="1070" spans="1:10" x14ac:dyDescent="0.35">
      <c r="A1070" s="2">
        <v>44777</v>
      </c>
      <c r="B1070" s="3">
        <v>0.74950231481481477</v>
      </c>
      <c r="C1070">
        <v>2048</v>
      </c>
      <c r="D1070" t="str">
        <f>VLOOKUP(H1070,Produkt!$A$2:$B$5,2,FALSE)</f>
        <v>A</v>
      </c>
      <c r="H1070">
        <v>1</v>
      </c>
      <c r="I1070">
        <v>0.82650462962962967</v>
      </c>
      <c r="J1070">
        <v>44799</v>
      </c>
    </row>
    <row r="1071" spans="1:10" x14ac:dyDescent="0.35">
      <c r="A1071" s="2">
        <v>44777</v>
      </c>
      <c r="B1071" s="3">
        <v>0.48910879629629633</v>
      </c>
      <c r="C1071">
        <v>2101</v>
      </c>
      <c r="D1071" t="str">
        <f>VLOOKUP(H1071,Produkt!$A$2:$B$5,2,FALSE)</f>
        <v>A</v>
      </c>
      <c r="H1071">
        <v>1</v>
      </c>
      <c r="I1071">
        <v>7.9351851851851854E-2</v>
      </c>
      <c r="J1071">
        <v>44779</v>
      </c>
    </row>
    <row r="1072" spans="1:10" x14ac:dyDescent="0.35">
      <c r="A1072" s="2">
        <v>44777</v>
      </c>
      <c r="B1072" s="3">
        <v>0.79532407407407402</v>
      </c>
      <c r="C1072">
        <v>2139</v>
      </c>
      <c r="D1072" t="str">
        <f>VLOOKUP(H1072,Produkt!$A$2:$B$5,2,FALSE)</f>
        <v>C</v>
      </c>
      <c r="H1072">
        <v>3</v>
      </c>
      <c r="I1072">
        <v>0.16266203703703705</v>
      </c>
      <c r="J1072">
        <v>44777</v>
      </c>
    </row>
    <row r="1073" spans="1:10" x14ac:dyDescent="0.35">
      <c r="A1073" s="2">
        <v>44777</v>
      </c>
      <c r="B1073" s="3">
        <v>8.0405092592592597E-2</v>
      </c>
      <c r="C1073">
        <v>2162</v>
      </c>
      <c r="D1073" t="str">
        <f>VLOOKUP(H1073,Produkt!$A$2:$B$5,2,FALSE)</f>
        <v>C</v>
      </c>
      <c r="H1073">
        <v>3</v>
      </c>
      <c r="I1073">
        <v>7.1388888888888891E-2</v>
      </c>
      <c r="J1073">
        <v>44786</v>
      </c>
    </row>
    <row r="1074" spans="1:10" x14ac:dyDescent="0.35">
      <c r="A1074" s="2">
        <v>44777</v>
      </c>
      <c r="B1074" s="3">
        <v>0.68437500000000007</v>
      </c>
      <c r="C1074">
        <v>2163</v>
      </c>
      <c r="D1074" t="str">
        <f>VLOOKUP(H1074,Produkt!$A$2:$B$5,2,FALSE)</f>
        <v>A</v>
      </c>
      <c r="H1074">
        <v>1</v>
      </c>
      <c r="I1074">
        <v>0.77777777777777779</v>
      </c>
      <c r="J1074">
        <v>44789</v>
      </c>
    </row>
    <row r="1075" spans="1:10" x14ac:dyDescent="0.35">
      <c r="A1075" s="2">
        <v>44777</v>
      </c>
      <c r="B1075" s="3">
        <v>0.63231481481481489</v>
      </c>
      <c r="C1075">
        <v>2197</v>
      </c>
      <c r="D1075" t="str">
        <f>VLOOKUP(H1075,Produkt!$A$2:$B$5,2,FALSE)</f>
        <v>A</v>
      </c>
      <c r="H1075">
        <v>1</v>
      </c>
      <c r="I1075">
        <v>0.81909722222222225</v>
      </c>
      <c r="J1075">
        <v>44777</v>
      </c>
    </row>
    <row r="1076" spans="1:10" x14ac:dyDescent="0.35">
      <c r="A1076" s="2">
        <v>44777</v>
      </c>
      <c r="B1076" s="3">
        <v>8.627314814814814E-2</v>
      </c>
      <c r="C1076">
        <v>2206</v>
      </c>
      <c r="D1076" t="str">
        <f>VLOOKUP(H1076,Produkt!$A$2:$B$5,2,FALSE)</f>
        <v>D</v>
      </c>
      <c r="H1076">
        <v>4</v>
      </c>
      <c r="I1076">
        <v>4.2361111111111106E-2</v>
      </c>
      <c r="J1076">
        <v>44802</v>
      </c>
    </row>
    <row r="1077" spans="1:10" x14ac:dyDescent="0.35">
      <c r="A1077" s="2">
        <v>44777</v>
      </c>
      <c r="B1077" s="3">
        <v>5.1249999999999997E-2</v>
      </c>
      <c r="C1077">
        <v>2237</v>
      </c>
      <c r="D1077" t="str">
        <f>VLOOKUP(H1077,Produkt!$A$2:$B$5,2,FALSE)</f>
        <v>C</v>
      </c>
      <c r="H1077">
        <v>3</v>
      </c>
      <c r="I1077">
        <v>0.26449074074074075</v>
      </c>
      <c r="J1077">
        <v>44785</v>
      </c>
    </row>
    <row r="1078" spans="1:10" x14ac:dyDescent="0.35">
      <c r="A1078" s="2">
        <v>44777</v>
      </c>
      <c r="B1078" s="3">
        <v>0.67887731481481473</v>
      </c>
      <c r="C1078">
        <v>2253</v>
      </c>
      <c r="D1078" t="str">
        <f>VLOOKUP(H1078,Produkt!$A$2:$B$5,2,FALSE)</f>
        <v>C</v>
      </c>
      <c r="H1078">
        <v>3</v>
      </c>
      <c r="I1078">
        <v>0.4927083333333333</v>
      </c>
      <c r="J1078">
        <v>44796</v>
      </c>
    </row>
    <row r="1079" spans="1:10" x14ac:dyDescent="0.35">
      <c r="A1079" s="2">
        <v>44777</v>
      </c>
      <c r="B1079" s="3">
        <v>0.43339120370370371</v>
      </c>
      <c r="C1079">
        <v>2264</v>
      </c>
      <c r="D1079" t="str">
        <f>VLOOKUP(H1079,Produkt!$A$2:$B$5,2,FALSE)</f>
        <v>A</v>
      </c>
      <c r="H1079">
        <v>1</v>
      </c>
      <c r="I1079">
        <v>0.62798611111111113</v>
      </c>
      <c r="J1079">
        <v>44778</v>
      </c>
    </row>
    <row r="1080" spans="1:10" x14ac:dyDescent="0.35">
      <c r="A1080" s="2">
        <v>44777</v>
      </c>
      <c r="B1080" s="3">
        <v>0.78964120370370372</v>
      </c>
      <c r="C1080">
        <v>2274</v>
      </c>
      <c r="D1080" t="str">
        <f>VLOOKUP(H1080,Produkt!$A$2:$B$5,2,FALSE)</f>
        <v>A</v>
      </c>
      <c r="H1080">
        <v>1</v>
      </c>
      <c r="I1080">
        <v>0.9388657407407407</v>
      </c>
      <c r="J1080">
        <v>44780</v>
      </c>
    </row>
    <row r="1081" spans="1:10" x14ac:dyDescent="0.35">
      <c r="A1081" s="2">
        <v>44777</v>
      </c>
      <c r="B1081" s="3">
        <v>0.14943287037037037</v>
      </c>
      <c r="C1081">
        <v>2282</v>
      </c>
      <c r="D1081" t="str">
        <f>VLOOKUP(H1081,Produkt!$A$2:$B$5,2,FALSE)</f>
        <v>A</v>
      </c>
      <c r="H1081">
        <v>1</v>
      </c>
      <c r="I1081">
        <v>0.84296296296296302</v>
      </c>
      <c r="J1081">
        <v>44799</v>
      </c>
    </row>
    <row r="1082" spans="1:10" x14ac:dyDescent="0.35">
      <c r="A1082" s="2">
        <v>44777</v>
      </c>
      <c r="B1082" s="3">
        <v>0.63188657407407411</v>
      </c>
      <c r="C1082">
        <v>2292</v>
      </c>
      <c r="D1082" t="str">
        <f>VLOOKUP(H1082,Produkt!$A$2:$B$5,2,FALSE)</f>
        <v>A</v>
      </c>
      <c r="H1082">
        <v>1</v>
      </c>
      <c r="I1082">
        <v>0.48575231481481485</v>
      </c>
      <c r="J1082">
        <v>44796</v>
      </c>
    </row>
    <row r="1083" spans="1:10" x14ac:dyDescent="0.35">
      <c r="A1083" s="2">
        <v>44777</v>
      </c>
      <c r="B1083" s="3">
        <v>0.53621527777777778</v>
      </c>
      <c r="C1083">
        <v>2294</v>
      </c>
      <c r="D1083" t="str">
        <f>VLOOKUP(H1083,Produkt!$A$2:$B$5,2,FALSE)</f>
        <v>D</v>
      </c>
      <c r="H1083">
        <v>4</v>
      </c>
      <c r="I1083">
        <v>0.98174768518518529</v>
      </c>
      <c r="J1083">
        <v>44799</v>
      </c>
    </row>
    <row r="1084" spans="1:10" x14ac:dyDescent="0.35">
      <c r="A1084" s="2">
        <v>44777</v>
      </c>
      <c r="B1084" s="3">
        <v>2.1296296296296299E-2</v>
      </c>
      <c r="C1084">
        <v>2308</v>
      </c>
      <c r="D1084" t="str">
        <f>VLOOKUP(H1084,Produkt!$A$2:$B$5,2,FALSE)</f>
        <v>B</v>
      </c>
      <c r="H1084">
        <v>2</v>
      </c>
      <c r="I1084">
        <v>0.98078703703703696</v>
      </c>
      <c r="J1084">
        <v>44793</v>
      </c>
    </row>
    <row r="1085" spans="1:10" x14ac:dyDescent="0.35">
      <c r="A1085" s="2">
        <v>44777</v>
      </c>
      <c r="B1085" s="3">
        <v>0.78571759259259266</v>
      </c>
      <c r="C1085">
        <v>2317</v>
      </c>
      <c r="D1085" t="str">
        <f>VLOOKUP(H1085,Produkt!$A$2:$B$5,2,FALSE)</f>
        <v>D</v>
      </c>
      <c r="H1085">
        <v>4</v>
      </c>
      <c r="I1085">
        <v>0.76568287037037042</v>
      </c>
      <c r="J1085">
        <v>44774</v>
      </c>
    </row>
    <row r="1086" spans="1:10" x14ac:dyDescent="0.35">
      <c r="A1086" s="2">
        <v>44777</v>
      </c>
      <c r="B1086" s="3">
        <v>0.68276620370370367</v>
      </c>
      <c r="C1086">
        <v>2361</v>
      </c>
      <c r="D1086" t="str">
        <f>VLOOKUP(H1086,Produkt!$A$2:$B$5,2,FALSE)</f>
        <v>C</v>
      </c>
      <c r="H1086">
        <v>3</v>
      </c>
      <c r="I1086">
        <v>0.63047453703703704</v>
      </c>
      <c r="J1086">
        <v>44777</v>
      </c>
    </row>
    <row r="1087" spans="1:10" x14ac:dyDescent="0.35">
      <c r="A1087" s="2">
        <v>44777</v>
      </c>
      <c r="B1087" s="3">
        <v>0.66710648148148144</v>
      </c>
      <c r="C1087">
        <v>2364</v>
      </c>
      <c r="D1087" t="str">
        <f>VLOOKUP(H1087,Produkt!$A$2:$B$5,2,FALSE)</f>
        <v>C</v>
      </c>
      <c r="H1087">
        <v>3</v>
      </c>
      <c r="I1087">
        <v>0.27532407407407405</v>
      </c>
      <c r="J1087">
        <v>44779</v>
      </c>
    </row>
    <row r="1088" spans="1:10" x14ac:dyDescent="0.35">
      <c r="A1088" s="2">
        <v>44777</v>
      </c>
      <c r="B1088" s="3">
        <v>0.45874999999999999</v>
      </c>
      <c r="C1088">
        <v>2444</v>
      </c>
      <c r="D1088" t="str">
        <f>VLOOKUP(H1088,Produkt!$A$2:$B$5,2,FALSE)</f>
        <v>C</v>
      </c>
      <c r="H1088">
        <v>3</v>
      </c>
      <c r="I1088">
        <v>0.99384259259259267</v>
      </c>
      <c r="J1088">
        <v>44782</v>
      </c>
    </row>
    <row r="1089" spans="1:10" x14ac:dyDescent="0.35">
      <c r="A1089" s="2">
        <v>44777</v>
      </c>
      <c r="B1089" s="3">
        <v>0.75799768518518518</v>
      </c>
      <c r="C1089">
        <v>2447</v>
      </c>
      <c r="D1089" t="str">
        <f>VLOOKUP(H1089,Produkt!$A$2:$B$5,2,FALSE)</f>
        <v>C</v>
      </c>
      <c r="H1089">
        <v>3</v>
      </c>
      <c r="I1089">
        <v>0.89495370370370375</v>
      </c>
      <c r="J1089">
        <v>44779</v>
      </c>
    </row>
    <row r="1090" spans="1:10" x14ac:dyDescent="0.35">
      <c r="A1090" s="2">
        <v>44777</v>
      </c>
      <c r="B1090" s="3">
        <v>0.54959490740740746</v>
      </c>
      <c r="C1090">
        <v>2564</v>
      </c>
      <c r="D1090" t="str">
        <f>VLOOKUP(H1090,Produkt!$A$2:$B$5,2,FALSE)</f>
        <v>D</v>
      </c>
      <c r="H1090">
        <v>4</v>
      </c>
      <c r="I1090">
        <v>2.2199074074074076E-2</v>
      </c>
      <c r="J1090">
        <v>44776</v>
      </c>
    </row>
    <row r="1091" spans="1:10" x14ac:dyDescent="0.35">
      <c r="A1091" s="2">
        <v>44777</v>
      </c>
      <c r="B1091" s="3">
        <v>0.48554398148148148</v>
      </c>
      <c r="C1091">
        <v>2575</v>
      </c>
      <c r="D1091" t="str">
        <f>VLOOKUP(H1091,Produkt!$A$2:$B$5,2,FALSE)</f>
        <v>C</v>
      </c>
      <c r="H1091">
        <v>3</v>
      </c>
      <c r="I1091">
        <v>0.33307870370370368</v>
      </c>
      <c r="J1091">
        <v>44776</v>
      </c>
    </row>
    <row r="1092" spans="1:10" x14ac:dyDescent="0.35">
      <c r="A1092" s="2">
        <v>44777</v>
      </c>
      <c r="B1092" s="3">
        <v>0.84106481481481488</v>
      </c>
      <c r="C1092">
        <v>2596</v>
      </c>
      <c r="D1092" t="str">
        <f>VLOOKUP(H1092,Produkt!$A$2:$B$5,2,FALSE)</f>
        <v>B</v>
      </c>
      <c r="H1092">
        <v>2</v>
      </c>
      <c r="I1092">
        <v>0.2912615740740741</v>
      </c>
      <c r="J1092">
        <v>44779</v>
      </c>
    </row>
    <row r="1093" spans="1:10" x14ac:dyDescent="0.35">
      <c r="A1093" s="2">
        <v>44777</v>
      </c>
      <c r="B1093" s="3">
        <v>0.33196759259259262</v>
      </c>
      <c r="C1093">
        <v>2656</v>
      </c>
      <c r="D1093" t="str">
        <f>VLOOKUP(H1093,Produkt!$A$2:$B$5,2,FALSE)</f>
        <v>B</v>
      </c>
      <c r="H1093">
        <v>2</v>
      </c>
      <c r="I1093">
        <v>6.1921296296296724E-3</v>
      </c>
      <c r="J1093">
        <v>44796</v>
      </c>
    </row>
    <row r="1094" spans="1:10" x14ac:dyDescent="0.35">
      <c r="A1094" s="2">
        <v>44777</v>
      </c>
      <c r="B1094" s="3">
        <v>2.0659722222222232E-2</v>
      </c>
      <c r="C1094">
        <v>2667</v>
      </c>
      <c r="D1094" t="str">
        <f>VLOOKUP(H1094,Produkt!$A$2:$B$5,2,FALSE)</f>
        <v>B</v>
      </c>
      <c r="H1094">
        <v>2</v>
      </c>
      <c r="I1094">
        <v>0.9666203703703703</v>
      </c>
      <c r="J1094">
        <v>44789</v>
      </c>
    </row>
    <row r="1095" spans="1:10" x14ac:dyDescent="0.35">
      <c r="A1095" s="2">
        <v>44777</v>
      </c>
      <c r="B1095" s="3">
        <v>0.54175925925925927</v>
      </c>
      <c r="C1095">
        <v>2725</v>
      </c>
      <c r="D1095" t="str">
        <f>VLOOKUP(H1095,Produkt!$A$2:$B$5,2,FALSE)</f>
        <v>B</v>
      </c>
      <c r="H1095">
        <v>2</v>
      </c>
      <c r="I1095">
        <v>0.68298611111111107</v>
      </c>
      <c r="J1095">
        <v>44792</v>
      </c>
    </row>
    <row r="1096" spans="1:10" x14ac:dyDescent="0.35">
      <c r="A1096" s="2">
        <v>44777</v>
      </c>
      <c r="B1096" s="3">
        <v>0.33474537037037039</v>
      </c>
      <c r="C1096">
        <v>2734</v>
      </c>
      <c r="D1096" t="str">
        <f>VLOOKUP(H1096,Produkt!$A$2:$B$5,2,FALSE)</f>
        <v>C</v>
      </c>
      <c r="H1096">
        <v>3</v>
      </c>
      <c r="I1096">
        <v>0.29287037037037039</v>
      </c>
      <c r="J1096">
        <v>44783</v>
      </c>
    </row>
    <row r="1097" spans="1:10" x14ac:dyDescent="0.35">
      <c r="A1097" s="2">
        <v>44777</v>
      </c>
      <c r="B1097" s="3">
        <v>0.18717592592592591</v>
      </c>
      <c r="C1097">
        <v>2814</v>
      </c>
      <c r="D1097" t="str">
        <f>VLOOKUP(H1097,Produkt!$A$2:$B$5,2,FALSE)</f>
        <v>A</v>
      </c>
      <c r="H1097">
        <v>1</v>
      </c>
      <c r="I1097">
        <v>2.9826388888888777E-2</v>
      </c>
      <c r="J1097">
        <v>44801</v>
      </c>
    </row>
    <row r="1098" spans="1:10" x14ac:dyDescent="0.35">
      <c r="A1098" s="2">
        <v>44777</v>
      </c>
      <c r="B1098" s="3">
        <v>8.1597222222222224E-2</v>
      </c>
      <c r="C1098">
        <v>2849</v>
      </c>
      <c r="D1098" t="str">
        <f>VLOOKUP(H1098,Produkt!$A$2:$B$5,2,FALSE)</f>
        <v>B</v>
      </c>
      <c r="H1098">
        <v>2</v>
      </c>
      <c r="I1098">
        <v>6.5509259259259262E-3</v>
      </c>
      <c r="J1098">
        <v>44802</v>
      </c>
    </row>
    <row r="1099" spans="1:10" x14ac:dyDescent="0.35">
      <c r="A1099" s="2">
        <v>44777</v>
      </c>
      <c r="B1099" s="3">
        <v>0.22766203703703702</v>
      </c>
      <c r="C1099">
        <v>2857</v>
      </c>
      <c r="D1099" t="str">
        <f>VLOOKUP(H1099,Produkt!$A$2:$B$5,2,FALSE)</f>
        <v>D</v>
      </c>
      <c r="H1099">
        <v>4</v>
      </c>
      <c r="I1099">
        <v>0.74304398148148154</v>
      </c>
      <c r="J1099">
        <v>44798</v>
      </c>
    </row>
    <row r="1100" spans="1:10" x14ac:dyDescent="0.35">
      <c r="A1100" s="2">
        <v>44777</v>
      </c>
      <c r="B1100" s="3">
        <v>0.42366898148148152</v>
      </c>
      <c r="C1100">
        <v>2927</v>
      </c>
      <c r="D1100" t="str">
        <f>VLOOKUP(H1100,Produkt!$A$2:$B$5,2,FALSE)</f>
        <v>A</v>
      </c>
      <c r="H1100">
        <v>1</v>
      </c>
      <c r="I1100">
        <v>0.91768518518518516</v>
      </c>
      <c r="J1100">
        <v>44799</v>
      </c>
    </row>
    <row r="1101" spans="1:10" x14ac:dyDescent="0.35">
      <c r="A1101" s="2">
        <v>44777</v>
      </c>
      <c r="B1101" s="3">
        <v>0.31445601851851851</v>
      </c>
      <c r="C1101">
        <v>3071</v>
      </c>
      <c r="D1101" t="str">
        <f>VLOOKUP(H1101,Produkt!$A$2:$B$5,2,FALSE)</f>
        <v>C</v>
      </c>
      <c r="H1101">
        <v>3</v>
      </c>
      <c r="I1101">
        <v>0.61060185185185178</v>
      </c>
      <c r="J1101">
        <v>44794</v>
      </c>
    </row>
    <row r="1102" spans="1:10" x14ac:dyDescent="0.35">
      <c r="A1102" s="2">
        <v>44777</v>
      </c>
      <c r="B1102" s="3">
        <v>0.19922453703703705</v>
      </c>
      <c r="C1102">
        <v>3128</v>
      </c>
      <c r="D1102" t="str">
        <f>VLOOKUP(H1102,Produkt!$A$2:$B$5,2,FALSE)</f>
        <v>C</v>
      </c>
      <c r="H1102">
        <v>3</v>
      </c>
      <c r="I1102">
        <v>0.47179398148148149</v>
      </c>
      <c r="J1102">
        <v>44793</v>
      </c>
    </row>
    <row r="1103" spans="1:10" x14ac:dyDescent="0.35">
      <c r="A1103" s="2">
        <v>44777</v>
      </c>
      <c r="B1103" s="3">
        <v>0.12745370370370371</v>
      </c>
      <c r="C1103">
        <v>3164</v>
      </c>
      <c r="D1103" t="str">
        <f>VLOOKUP(H1103,Produkt!$A$2:$B$5,2,FALSE)</f>
        <v>A</v>
      </c>
      <c r="H1103">
        <v>1</v>
      </c>
      <c r="I1103">
        <v>0.69643518518518521</v>
      </c>
      <c r="J1103">
        <v>44780</v>
      </c>
    </row>
    <row r="1104" spans="1:10" x14ac:dyDescent="0.35">
      <c r="A1104" s="2">
        <v>44777</v>
      </c>
      <c r="B1104" s="3">
        <v>0.42259259259259258</v>
      </c>
      <c r="C1104">
        <v>3188</v>
      </c>
      <c r="D1104" t="str">
        <f>VLOOKUP(H1104,Produkt!$A$2:$B$5,2,FALSE)</f>
        <v>B</v>
      </c>
      <c r="H1104">
        <v>2</v>
      </c>
      <c r="I1104">
        <v>0.72369212962962959</v>
      </c>
      <c r="J1104">
        <v>44791</v>
      </c>
    </row>
    <row r="1105" spans="1:10" x14ac:dyDescent="0.35">
      <c r="A1105" s="2">
        <v>44777</v>
      </c>
      <c r="B1105" s="3">
        <v>3.6921296296296292E-2</v>
      </c>
      <c r="C1105">
        <v>3217</v>
      </c>
      <c r="D1105" t="str">
        <f>VLOOKUP(H1105,Produkt!$A$2:$B$5,2,FALSE)</f>
        <v>C</v>
      </c>
      <c r="H1105">
        <v>3</v>
      </c>
      <c r="I1105">
        <v>0.48939814814814814</v>
      </c>
      <c r="J1105">
        <v>44792</v>
      </c>
    </row>
    <row r="1106" spans="1:10" x14ac:dyDescent="0.35">
      <c r="A1106" s="2">
        <v>44777</v>
      </c>
      <c r="B1106" s="3">
        <v>0.93959490740740748</v>
      </c>
      <c r="C1106">
        <v>3306</v>
      </c>
      <c r="D1106" t="str">
        <f>VLOOKUP(H1106,Produkt!$A$2:$B$5,2,FALSE)</f>
        <v>B</v>
      </c>
      <c r="H1106">
        <v>2</v>
      </c>
      <c r="I1106">
        <v>0.97250000000000003</v>
      </c>
      <c r="J1106">
        <v>44798</v>
      </c>
    </row>
    <row r="1107" spans="1:10" x14ac:dyDescent="0.35">
      <c r="A1107" s="2">
        <v>44777</v>
      </c>
      <c r="B1107" s="3">
        <v>0.54037037037037039</v>
      </c>
      <c r="C1107">
        <v>3309</v>
      </c>
      <c r="D1107" t="str">
        <f>VLOOKUP(H1107,Produkt!$A$2:$B$5,2,FALSE)</f>
        <v>A</v>
      </c>
      <c r="H1107">
        <v>1</v>
      </c>
      <c r="I1107">
        <v>0.5372569444444445</v>
      </c>
      <c r="J1107">
        <v>44793</v>
      </c>
    </row>
    <row r="1108" spans="1:10" x14ac:dyDescent="0.35">
      <c r="A1108" s="2">
        <v>44777</v>
      </c>
      <c r="B1108" s="3">
        <v>2.1099537037037042E-2</v>
      </c>
      <c r="C1108">
        <v>3348</v>
      </c>
      <c r="D1108" t="str">
        <f>VLOOKUP(H1108,Produkt!$A$2:$B$5,2,FALSE)</f>
        <v>C</v>
      </c>
      <c r="H1108">
        <v>3</v>
      </c>
      <c r="I1108">
        <v>0.87834490740740734</v>
      </c>
      <c r="J1108">
        <v>44799</v>
      </c>
    </row>
    <row r="1109" spans="1:10" x14ac:dyDescent="0.35">
      <c r="A1109" s="2">
        <v>44777</v>
      </c>
      <c r="B1109" s="3">
        <v>1.5787037037037037E-2</v>
      </c>
      <c r="C1109">
        <v>3362</v>
      </c>
      <c r="D1109" t="str">
        <f>VLOOKUP(H1109,Produkt!$A$2:$B$5,2,FALSE)</f>
        <v>C</v>
      </c>
      <c r="H1109">
        <v>3</v>
      </c>
      <c r="I1109">
        <v>0.65968749999999998</v>
      </c>
      <c r="J1109">
        <v>44792</v>
      </c>
    </row>
    <row r="1110" spans="1:10" x14ac:dyDescent="0.35">
      <c r="A1110" s="2">
        <v>44777</v>
      </c>
      <c r="B1110" s="3">
        <v>0.72121527777777772</v>
      </c>
      <c r="C1110">
        <v>3390</v>
      </c>
      <c r="D1110" t="str">
        <f>VLOOKUP(H1110,Produkt!$A$2:$B$5,2,FALSE)</f>
        <v>B</v>
      </c>
      <c r="H1110">
        <v>2</v>
      </c>
      <c r="I1110">
        <v>0.14960648148148148</v>
      </c>
      <c r="J1110">
        <v>44789</v>
      </c>
    </row>
    <row r="1111" spans="1:10" x14ac:dyDescent="0.35">
      <c r="A1111" s="2">
        <v>44777</v>
      </c>
      <c r="B1111" s="3">
        <v>4.6192129629629632E-2</v>
      </c>
      <c r="C1111">
        <v>3503</v>
      </c>
      <c r="D1111" t="str">
        <f>VLOOKUP(H1111,Produkt!$A$2:$B$5,2,FALSE)</f>
        <v>C</v>
      </c>
      <c r="H1111">
        <v>3</v>
      </c>
      <c r="I1111">
        <v>0.80899305555555545</v>
      </c>
      <c r="J1111">
        <v>44804</v>
      </c>
    </row>
    <row r="1112" spans="1:10" x14ac:dyDescent="0.35">
      <c r="A1112" s="2">
        <v>44777</v>
      </c>
      <c r="B1112" s="3">
        <v>0.22582175925925926</v>
      </c>
      <c r="C1112">
        <v>3509</v>
      </c>
      <c r="D1112" t="str">
        <f>VLOOKUP(H1112,Produkt!$A$2:$B$5,2,FALSE)</f>
        <v>C</v>
      </c>
      <c r="H1112">
        <v>3</v>
      </c>
      <c r="I1112">
        <v>0.87100694444444438</v>
      </c>
      <c r="J1112">
        <v>44799</v>
      </c>
    </row>
    <row r="1113" spans="1:10" x14ac:dyDescent="0.35">
      <c r="A1113" s="2">
        <v>44777</v>
      </c>
      <c r="B1113" s="3">
        <v>0.34743055555555552</v>
      </c>
      <c r="C1113">
        <v>3558</v>
      </c>
      <c r="D1113" t="str">
        <f>VLOOKUP(H1113,Produkt!$A$2:$B$5,2,FALSE)</f>
        <v>D</v>
      </c>
      <c r="H1113">
        <v>4</v>
      </c>
      <c r="I1113">
        <v>0.70105324074074071</v>
      </c>
      <c r="J1113">
        <v>44792</v>
      </c>
    </row>
    <row r="1114" spans="1:10" x14ac:dyDescent="0.35">
      <c r="A1114" s="2">
        <v>44777</v>
      </c>
      <c r="B1114" s="3">
        <v>0.30150462962962959</v>
      </c>
      <c r="C1114">
        <v>3586</v>
      </c>
      <c r="D1114" t="str">
        <f>VLOOKUP(H1114,Produkt!$A$2:$B$5,2,FALSE)</f>
        <v>C</v>
      </c>
      <c r="H1114">
        <v>3</v>
      </c>
      <c r="I1114">
        <v>0.20880787037037038</v>
      </c>
      <c r="J1114">
        <v>44774</v>
      </c>
    </row>
    <row r="1115" spans="1:10" x14ac:dyDescent="0.35">
      <c r="A1115" s="2">
        <v>44777</v>
      </c>
      <c r="B1115" s="3">
        <v>0.35986111111111113</v>
      </c>
      <c r="C1115">
        <v>3591</v>
      </c>
      <c r="D1115" t="str">
        <f>VLOOKUP(H1115,Produkt!$A$2:$B$5,2,FALSE)</f>
        <v>B</v>
      </c>
      <c r="H1115">
        <v>2</v>
      </c>
      <c r="I1115">
        <v>0.3877430555555556</v>
      </c>
      <c r="J1115">
        <v>44785</v>
      </c>
    </row>
    <row r="1116" spans="1:10" x14ac:dyDescent="0.35">
      <c r="A1116" s="2">
        <v>44777</v>
      </c>
      <c r="B1116" s="3">
        <v>0.90797453703703701</v>
      </c>
      <c r="C1116">
        <v>3843</v>
      </c>
      <c r="D1116" t="str">
        <f>VLOOKUP(H1116,Produkt!$A$2:$B$5,2,FALSE)</f>
        <v>B</v>
      </c>
      <c r="H1116">
        <v>2</v>
      </c>
      <c r="I1116">
        <v>0.27450231481481485</v>
      </c>
      <c r="J1116">
        <v>44786</v>
      </c>
    </row>
    <row r="1117" spans="1:10" x14ac:dyDescent="0.35">
      <c r="A1117" s="2">
        <v>44777</v>
      </c>
      <c r="B1117" s="3">
        <v>0.80115740740740737</v>
      </c>
      <c r="C1117">
        <v>3859</v>
      </c>
      <c r="D1117" t="str">
        <f>VLOOKUP(H1117,Produkt!$A$2:$B$5,2,FALSE)</f>
        <v>A</v>
      </c>
      <c r="H1117">
        <v>1</v>
      </c>
      <c r="I1117">
        <v>0.23047453703703705</v>
      </c>
      <c r="J1117">
        <v>44787</v>
      </c>
    </row>
    <row r="1118" spans="1:10" x14ac:dyDescent="0.35">
      <c r="A1118" s="2">
        <v>44777</v>
      </c>
      <c r="B1118" s="3">
        <v>0.26961805555555557</v>
      </c>
      <c r="C1118">
        <v>3897</v>
      </c>
      <c r="D1118" t="str">
        <f>VLOOKUP(H1118,Produkt!$A$2:$B$5,2,FALSE)</f>
        <v>B</v>
      </c>
      <c r="H1118">
        <v>2</v>
      </c>
      <c r="I1118">
        <v>0.54642361111111104</v>
      </c>
      <c r="J1118">
        <v>44801</v>
      </c>
    </row>
    <row r="1119" spans="1:10" x14ac:dyDescent="0.35">
      <c r="A1119" s="2">
        <v>44777</v>
      </c>
      <c r="B1119" s="3">
        <v>4.2881944444444438E-2</v>
      </c>
      <c r="C1119">
        <v>3919</v>
      </c>
      <c r="D1119" t="str">
        <f>VLOOKUP(H1119,Produkt!$A$2:$B$5,2,FALSE)</f>
        <v>A</v>
      </c>
      <c r="H1119">
        <v>1</v>
      </c>
      <c r="I1119">
        <v>0.8834143518518518</v>
      </c>
      <c r="J1119">
        <v>44797</v>
      </c>
    </row>
    <row r="1120" spans="1:10" x14ac:dyDescent="0.35">
      <c r="A1120" s="2">
        <v>44777</v>
      </c>
      <c r="B1120" s="3">
        <v>0.96339120370370368</v>
      </c>
      <c r="C1120">
        <v>4075</v>
      </c>
      <c r="D1120" t="str">
        <f>VLOOKUP(H1120,Produkt!$A$2:$B$5,2,FALSE)</f>
        <v>D</v>
      </c>
      <c r="H1120">
        <v>4</v>
      </c>
      <c r="I1120">
        <v>0.72759259259259268</v>
      </c>
      <c r="J1120">
        <v>44782</v>
      </c>
    </row>
    <row r="1121" spans="1:10" x14ac:dyDescent="0.35">
      <c r="A1121" s="2">
        <v>44777</v>
      </c>
      <c r="B1121" s="3">
        <v>0.44949074074074075</v>
      </c>
      <c r="C1121">
        <v>4197</v>
      </c>
      <c r="D1121" t="str">
        <f>VLOOKUP(H1121,Produkt!$A$2:$B$5,2,FALSE)</f>
        <v>D</v>
      </c>
      <c r="H1121">
        <v>4</v>
      </c>
      <c r="I1121">
        <v>0.33231481481481479</v>
      </c>
      <c r="J1121">
        <v>44774</v>
      </c>
    </row>
    <row r="1122" spans="1:10" x14ac:dyDescent="0.35">
      <c r="A1122" s="2">
        <v>44777</v>
      </c>
      <c r="B1122" s="3">
        <v>0.17949074074074076</v>
      </c>
      <c r="C1122">
        <v>4199</v>
      </c>
      <c r="D1122" t="str">
        <f>VLOOKUP(H1122,Produkt!$A$2:$B$5,2,FALSE)</f>
        <v>A</v>
      </c>
      <c r="H1122">
        <v>1</v>
      </c>
      <c r="I1122">
        <v>0.58618055555555559</v>
      </c>
      <c r="J1122">
        <v>44781</v>
      </c>
    </row>
    <row r="1123" spans="1:10" x14ac:dyDescent="0.35">
      <c r="A1123" s="2">
        <v>44777</v>
      </c>
      <c r="B1123" s="3">
        <v>0.98702546296296301</v>
      </c>
      <c r="C1123">
        <v>4204</v>
      </c>
      <c r="D1123" t="str">
        <f>VLOOKUP(H1123,Produkt!$A$2:$B$5,2,FALSE)</f>
        <v>B</v>
      </c>
      <c r="H1123">
        <v>2</v>
      </c>
      <c r="I1123">
        <v>3.5937500000000004E-2</v>
      </c>
      <c r="J1123">
        <v>44788</v>
      </c>
    </row>
    <row r="1124" spans="1:10" x14ac:dyDescent="0.35">
      <c r="A1124" s="2">
        <v>44777</v>
      </c>
      <c r="B1124" s="3">
        <v>0.46762731481481484</v>
      </c>
      <c r="C1124">
        <v>4214</v>
      </c>
      <c r="D1124" t="str">
        <f>VLOOKUP(H1124,Produkt!$A$2:$B$5,2,FALSE)</f>
        <v>D</v>
      </c>
      <c r="H1124">
        <v>4</v>
      </c>
      <c r="I1124">
        <v>0.29798611111111112</v>
      </c>
      <c r="J1124">
        <v>44777</v>
      </c>
    </row>
    <row r="1125" spans="1:10" x14ac:dyDescent="0.35">
      <c r="A1125" s="2">
        <v>44777</v>
      </c>
      <c r="B1125" s="3">
        <v>0.64749999999999996</v>
      </c>
      <c r="C1125">
        <v>4222</v>
      </c>
      <c r="D1125" t="str">
        <f>VLOOKUP(H1125,Produkt!$A$2:$B$5,2,FALSE)</f>
        <v>A</v>
      </c>
      <c r="H1125">
        <v>1</v>
      </c>
      <c r="I1125">
        <v>0.77831018518518524</v>
      </c>
      <c r="J1125">
        <v>44789</v>
      </c>
    </row>
    <row r="1126" spans="1:10" x14ac:dyDescent="0.35">
      <c r="A1126" s="2">
        <v>44777</v>
      </c>
      <c r="B1126" s="3">
        <v>0.81396990740740749</v>
      </c>
      <c r="C1126">
        <v>4229</v>
      </c>
      <c r="D1126" t="str">
        <f>VLOOKUP(H1126,Produkt!$A$2:$B$5,2,FALSE)</f>
        <v>A</v>
      </c>
      <c r="H1126">
        <v>1</v>
      </c>
      <c r="I1126">
        <v>0.60964120370370367</v>
      </c>
      <c r="J1126">
        <v>44782</v>
      </c>
    </row>
    <row r="1127" spans="1:10" x14ac:dyDescent="0.35">
      <c r="A1127" s="2">
        <v>44777</v>
      </c>
      <c r="B1127" s="3">
        <v>0.83245370370370375</v>
      </c>
      <c r="C1127">
        <v>4268</v>
      </c>
      <c r="D1127" t="str">
        <f>VLOOKUP(H1127,Produkt!$A$2:$B$5,2,FALSE)</f>
        <v>B</v>
      </c>
      <c r="H1127">
        <v>2</v>
      </c>
      <c r="I1127">
        <v>0.31396990740740743</v>
      </c>
      <c r="J1127">
        <v>44783</v>
      </c>
    </row>
    <row r="1128" spans="1:10" x14ac:dyDescent="0.35">
      <c r="A1128" s="2">
        <v>44777</v>
      </c>
      <c r="B1128" s="3">
        <v>0.52244212962962966</v>
      </c>
      <c r="C1128">
        <v>4335</v>
      </c>
      <c r="D1128" t="str">
        <f>VLOOKUP(H1128,Produkt!$A$2:$B$5,2,FALSE)</f>
        <v>D</v>
      </c>
      <c r="H1128">
        <v>4</v>
      </c>
      <c r="I1128">
        <v>0.64265046296296291</v>
      </c>
      <c r="J1128">
        <v>44780</v>
      </c>
    </row>
    <row r="1129" spans="1:10" x14ac:dyDescent="0.35">
      <c r="A1129" s="2">
        <v>44777</v>
      </c>
      <c r="B1129" s="3">
        <v>0.25324074074074071</v>
      </c>
      <c r="C1129">
        <v>4387</v>
      </c>
      <c r="D1129" t="str">
        <f>VLOOKUP(H1129,Produkt!$A$2:$B$5,2,FALSE)</f>
        <v>D</v>
      </c>
      <c r="H1129">
        <v>4</v>
      </c>
      <c r="I1129">
        <v>0.87028935185185186</v>
      </c>
      <c r="J1129">
        <v>44786</v>
      </c>
    </row>
    <row r="1130" spans="1:10" x14ac:dyDescent="0.35">
      <c r="A1130" s="2">
        <v>44777</v>
      </c>
      <c r="B1130" s="3">
        <v>0.42041666666666666</v>
      </c>
      <c r="C1130">
        <v>4522</v>
      </c>
      <c r="D1130" t="str">
        <f>VLOOKUP(H1130,Produkt!$A$2:$B$5,2,FALSE)</f>
        <v>D</v>
      </c>
      <c r="H1130">
        <v>4</v>
      </c>
      <c r="I1130">
        <v>0.18168981481481483</v>
      </c>
      <c r="J1130">
        <v>44798</v>
      </c>
    </row>
    <row r="1131" spans="1:10" x14ac:dyDescent="0.35">
      <c r="A1131" s="2">
        <v>44777</v>
      </c>
      <c r="B1131" s="3">
        <v>0.72340277777777784</v>
      </c>
      <c r="C1131">
        <v>4529</v>
      </c>
      <c r="D1131" t="str">
        <f>VLOOKUP(H1131,Produkt!$A$2:$B$5,2,FALSE)</f>
        <v>D</v>
      </c>
      <c r="H1131">
        <v>4</v>
      </c>
      <c r="I1131">
        <v>0.40563657407407411</v>
      </c>
      <c r="J1131">
        <v>44781</v>
      </c>
    </row>
    <row r="1132" spans="1:10" x14ac:dyDescent="0.35">
      <c r="A1132" s="2">
        <v>44777</v>
      </c>
      <c r="B1132" s="3">
        <v>0.7638194444444445</v>
      </c>
      <c r="C1132">
        <v>4550</v>
      </c>
      <c r="D1132" t="str">
        <f>VLOOKUP(H1132,Produkt!$A$2:$B$5,2,FALSE)</f>
        <v>A</v>
      </c>
      <c r="H1132">
        <v>1</v>
      </c>
      <c r="I1132">
        <v>0.15155092592592592</v>
      </c>
      <c r="J1132">
        <v>44789</v>
      </c>
    </row>
    <row r="1133" spans="1:10" x14ac:dyDescent="0.35">
      <c r="A1133" s="2">
        <v>44777</v>
      </c>
      <c r="B1133" s="3">
        <v>1.9398148148148147E-2</v>
      </c>
      <c r="C1133">
        <v>4564</v>
      </c>
      <c r="D1133" t="str">
        <f>VLOOKUP(H1133,Produkt!$A$2:$B$5,2,FALSE)</f>
        <v>A</v>
      </c>
      <c r="H1133">
        <v>1</v>
      </c>
      <c r="I1133">
        <v>0.67120370370370364</v>
      </c>
      <c r="J1133">
        <v>44776</v>
      </c>
    </row>
    <row r="1134" spans="1:10" x14ac:dyDescent="0.35">
      <c r="A1134" s="2">
        <v>44777</v>
      </c>
      <c r="B1134" s="3">
        <v>0.88296296296296306</v>
      </c>
      <c r="C1134">
        <v>4592</v>
      </c>
      <c r="D1134" t="str">
        <f>VLOOKUP(H1134,Produkt!$A$2:$B$5,2,FALSE)</f>
        <v>B</v>
      </c>
      <c r="H1134">
        <v>2</v>
      </c>
      <c r="I1134">
        <v>0.73018518518518516</v>
      </c>
      <c r="J1134">
        <v>44774</v>
      </c>
    </row>
    <row r="1135" spans="1:10" x14ac:dyDescent="0.35">
      <c r="A1135" s="2">
        <v>44777</v>
      </c>
      <c r="B1135" s="3">
        <v>0.50817129629629632</v>
      </c>
      <c r="C1135">
        <v>4610</v>
      </c>
      <c r="D1135" t="str">
        <f>VLOOKUP(H1135,Produkt!$A$2:$B$5,2,FALSE)</f>
        <v>C</v>
      </c>
      <c r="H1135">
        <v>3</v>
      </c>
      <c r="I1135">
        <v>0.28489583333333335</v>
      </c>
      <c r="J1135">
        <v>44774</v>
      </c>
    </row>
    <row r="1136" spans="1:10" x14ac:dyDescent="0.35">
      <c r="A1136" s="2">
        <v>44777</v>
      </c>
      <c r="B1136" s="3">
        <v>0.69513888888888886</v>
      </c>
      <c r="C1136">
        <v>4698</v>
      </c>
      <c r="D1136" t="str">
        <f>VLOOKUP(H1136,Produkt!$A$2:$B$5,2,FALSE)</f>
        <v>C</v>
      </c>
      <c r="H1136">
        <v>3</v>
      </c>
      <c r="I1136">
        <v>0.66648148148148145</v>
      </c>
      <c r="J1136">
        <v>44776</v>
      </c>
    </row>
    <row r="1137" spans="1:10" x14ac:dyDescent="0.35">
      <c r="A1137" s="2">
        <v>44777</v>
      </c>
      <c r="B1137" s="3">
        <v>0.40273148148148147</v>
      </c>
      <c r="C1137">
        <v>4741</v>
      </c>
      <c r="D1137" t="str">
        <f>VLOOKUP(H1137,Produkt!$A$2:$B$5,2,FALSE)</f>
        <v>C</v>
      </c>
      <c r="H1137">
        <v>3</v>
      </c>
      <c r="I1137">
        <v>0.14650462962962962</v>
      </c>
      <c r="J1137">
        <v>44804</v>
      </c>
    </row>
    <row r="1138" spans="1:10" x14ac:dyDescent="0.35">
      <c r="A1138" s="2">
        <v>44777</v>
      </c>
      <c r="B1138" s="3">
        <v>0.2444212962962963</v>
      </c>
      <c r="C1138">
        <v>4768</v>
      </c>
      <c r="D1138" t="str">
        <f>VLOOKUP(H1138,Produkt!$A$2:$B$5,2,FALSE)</f>
        <v>A</v>
      </c>
      <c r="H1138">
        <v>1</v>
      </c>
      <c r="I1138">
        <v>0.43091435185185184</v>
      </c>
      <c r="J1138">
        <v>44803</v>
      </c>
    </row>
    <row r="1139" spans="1:10" x14ac:dyDescent="0.35">
      <c r="A1139" s="2">
        <v>44777</v>
      </c>
      <c r="B1139" s="3">
        <v>0.12484953703703704</v>
      </c>
      <c r="C1139">
        <v>4810</v>
      </c>
      <c r="D1139" t="str">
        <f>VLOOKUP(H1139,Produkt!$A$2:$B$5,2,FALSE)</f>
        <v>C</v>
      </c>
      <c r="H1139">
        <v>3</v>
      </c>
      <c r="I1139">
        <v>0.97059027777777773</v>
      </c>
      <c r="J1139">
        <v>44795</v>
      </c>
    </row>
    <row r="1140" spans="1:10" x14ac:dyDescent="0.35">
      <c r="A1140" s="2">
        <v>44777</v>
      </c>
      <c r="B1140" s="3">
        <v>0.52853009259259254</v>
      </c>
      <c r="C1140">
        <v>4828</v>
      </c>
      <c r="D1140" t="str">
        <f>VLOOKUP(H1140,Produkt!$A$2:$B$5,2,FALSE)</f>
        <v>C</v>
      </c>
      <c r="H1140">
        <v>3</v>
      </c>
      <c r="I1140">
        <v>6.9444444444444441E-3</v>
      </c>
      <c r="J1140">
        <v>44783</v>
      </c>
    </row>
    <row r="1141" spans="1:10" x14ac:dyDescent="0.35">
      <c r="A1141" s="2">
        <v>44777</v>
      </c>
      <c r="B1141" s="3">
        <v>0.59165509259259264</v>
      </c>
      <c r="C1141">
        <v>4858</v>
      </c>
      <c r="D1141" t="str">
        <f>VLOOKUP(H1141,Produkt!$A$2:$B$5,2,FALSE)</f>
        <v>C</v>
      </c>
      <c r="H1141">
        <v>3</v>
      </c>
      <c r="I1141">
        <v>0.31474537037037037</v>
      </c>
      <c r="J1141">
        <v>44788</v>
      </c>
    </row>
    <row r="1142" spans="1:10" x14ac:dyDescent="0.35">
      <c r="A1142" s="2">
        <v>44777</v>
      </c>
      <c r="B1142" s="3">
        <v>0.66401620370370373</v>
      </c>
      <c r="C1142">
        <v>4916</v>
      </c>
      <c r="D1142" t="str">
        <f>VLOOKUP(H1142,Produkt!$A$2:$B$5,2,FALSE)</f>
        <v>D</v>
      </c>
      <c r="H1142">
        <v>4</v>
      </c>
      <c r="I1142">
        <v>0.68215277777777772</v>
      </c>
      <c r="J1142">
        <v>44794</v>
      </c>
    </row>
    <row r="1143" spans="1:10" x14ac:dyDescent="0.35">
      <c r="A1143" s="2">
        <v>44777</v>
      </c>
      <c r="B1143" s="3">
        <v>0.43028935185185185</v>
      </c>
      <c r="C1143">
        <v>4986</v>
      </c>
      <c r="D1143" t="str">
        <f>VLOOKUP(H1143,Produkt!$A$2:$B$5,2,FALSE)</f>
        <v>B</v>
      </c>
      <c r="H1143">
        <v>2</v>
      </c>
      <c r="I1143">
        <v>0.23488425925925926</v>
      </c>
      <c r="J1143">
        <v>44792</v>
      </c>
    </row>
    <row r="1144" spans="1:10" x14ac:dyDescent="0.35">
      <c r="A1144" s="2">
        <v>44777</v>
      </c>
      <c r="B1144" s="3">
        <v>0.24479166666666666</v>
      </c>
      <c r="C1144">
        <v>5020</v>
      </c>
      <c r="D1144" t="str">
        <f>VLOOKUP(H1144,Produkt!$A$2:$B$5,2,FALSE)</f>
        <v>C</v>
      </c>
      <c r="H1144">
        <v>3</v>
      </c>
      <c r="I1144">
        <v>0.90407407407407403</v>
      </c>
      <c r="J1144">
        <v>44777</v>
      </c>
    </row>
    <row r="1145" spans="1:10" x14ac:dyDescent="0.35">
      <c r="A1145" s="2">
        <v>44777</v>
      </c>
      <c r="B1145" s="3">
        <v>6.4583333333334547E-3</v>
      </c>
      <c r="C1145">
        <v>5021</v>
      </c>
      <c r="D1145" t="str">
        <f>VLOOKUP(H1145,Produkt!$A$2:$B$5,2,FALSE)</f>
        <v>A</v>
      </c>
      <c r="H1145">
        <v>1</v>
      </c>
      <c r="I1145">
        <v>7.7303240740740742E-2</v>
      </c>
      <c r="J1145">
        <v>44776</v>
      </c>
    </row>
    <row r="1146" spans="1:10" x14ac:dyDescent="0.35">
      <c r="A1146" s="2">
        <v>44777</v>
      </c>
      <c r="B1146" s="3">
        <v>0.50015046296296295</v>
      </c>
      <c r="C1146">
        <v>5028</v>
      </c>
      <c r="D1146" t="str">
        <f>VLOOKUP(H1146,Produkt!$A$2:$B$5,2,FALSE)</f>
        <v>D</v>
      </c>
      <c r="H1146">
        <v>4</v>
      </c>
      <c r="I1146">
        <v>0.68218749999999995</v>
      </c>
      <c r="J1146">
        <v>44777</v>
      </c>
    </row>
    <row r="1147" spans="1:10" x14ac:dyDescent="0.35">
      <c r="A1147" s="2">
        <v>44777</v>
      </c>
      <c r="B1147" s="3">
        <v>0.1958101851851852</v>
      </c>
      <c r="C1147">
        <v>5045</v>
      </c>
      <c r="D1147" t="str">
        <f>VLOOKUP(H1147,Produkt!$A$2:$B$5,2,FALSE)</f>
        <v>A</v>
      </c>
      <c r="H1147">
        <v>1</v>
      </c>
      <c r="I1147">
        <v>1.1574074074038876E-5</v>
      </c>
      <c r="J1147">
        <v>44797</v>
      </c>
    </row>
    <row r="1148" spans="1:10" x14ac:dyDescent="0.35">
      <c r="A1148" s="2">
        <v>44777</v>
      </c>
      <c r="B1148" s="3">
        <v>0.41116898148148145</v>
      </c>
      <c r="C1148">
        <v>5052</v>
      </c>
      <c r="D1148" t="str">
        <f>VLOOKUP(H1148,Produkt!$A$2:$B$5,2,FALSE)</f>
        <v>B</v>
      </c>
      <c r="H1148">
        <v>2</v>
      </c>
      <c r="I1148">
        <v>0.92167824074074067</v>
      </c>
      <c r="J1148">
        <v>44793</v>
      </c>
    </row>
    <row r="1149" spans="1:10" x14ac:dyDescent="0.35">
      <c r="A1149" s="2">
        <v>44777</v>
      </c>
      <c r="B1149" s="3">
        <v>0.301724537037037</v>
      </c>
      <c r="C1149">
        <v>5061</v>
      </c>
      <c r="D1149" t="str">
        <f>VLOOKUP(H1149,Produkt!$A$2:$B$5,2,FALSE)</f>
        <v>B</v>
      </c>
      <c r="H1149">
        <v>2</v>
      </c>
      <c r="I1149">
        <v>0.47496527777777775</v>
      </c>
      <c r="J1149">
        <v>44797</v>
      </c>
    </row>
    <row r="1150" spans="1:10" x14ac:dyDescent="0.35">
      <c r="A1150" s="2">
        <v>44777</v>
      </c>
      <c r="B1150" s="3">
        <v>0.6968981481481481</v>
      </c>
      <c r="C1150">
        <v>5086</v>
      </c>
      <c r="D1150" t="str">
        <f>VLOOKUP(H1150,Produkt!$A$2:$B$5,2,FALSE)</f>
        <v>C</v>
      </c>
      <c r="H1150">
        <v>3</v>
      </c>
      <c r="I1150">
        <v>0.60461805555555559</v>
      </c>
      <c r="J1150">
        <v>44801</v>
      </c>
    </row>
    <row r="1151" spans="1:10" x14ac:dyDescent="0.35">
      <c r="A1151" s="2">
        <v>44777</v>
      </c>
      <c r="B1151" s="3">
        <v>4.9548611111111113E-2</v>
      </c>
      <c r="C1151">
        <v>5107</v>
      </c>
      <c r="D1151" t="str">
        <f>VLOOKUP(H1151,Produkt!$A$2:$B$5,2,FALSE)</f>
        <v>B</v>
      </c>
      <c r="H1151">
        <v>2</v>
      </c>
      <c r="I1151">
        <v>0.69317129629629637</v>
      </c>
      <c r="J1151">
        <v>44797</v>
      </c>
    </row>
    <row r="1152" spans="1:10" x14ac:dyDescent="0.35">
      <c r="A1152" s="2">
        <v>44777</v>
      </c>
      <c r="B1152" s="3">
        <v>0.10850694444444443</v>
      </c>
      <c r="C1152">
        <v>5148</v>
      </c>
      <c r="D1152" t="str">
        <f>VLOOKUP(H1152,Produkt!$A$2:$B$5,2,FALSE)</f>
        <v>B</v>
      </c>
      <c r="H1152">
        <v>2</v>
      </c>
      <c r="I1152">
        <v>4.363425925925926E-3</v>
      </c>
      <c r="J1152">
        <v>44777</v>
      </c>
    </row>
    <row r="1153" spans="1:10" x14ac:dyDescent="0.35">
      <c r="A1153" s="2">
        <v>44777</v>
      </c>
      <c r="B1153" s="3">
        <v>3.1365740740740833E-3</v>
      </c>
      <c r="C1153">
        <v>5150</v>
      </c>
      <c r="D1153" t="str">
        <f>VLOOKUP(H1153,Produkt!$A$2:$B$5,2,FALSE)</f>
        <v>D</v>
      </c>
      <c r="H1153">
        <v>4</v>
      </c>
      <c r="I1153">
        <v>0.95836805555555549</v>
      </c>
      <c r="J1153">
        <v>44795</v>
      </c>
    </row>
    <row r="1154" spans="1:10" x14ac:dyDescent="0.35">
      <c r="A1154" s="2">
        <v>44777</v>
      </c>
      <c r="B1154" s="3">
        <v>0.49685185185185188</v>
      </c>
      <c r="C1154">
        <v>5189</v>
      </c>
      <c r="D1154" t="str">
        <f>VLOOKUP(H1154,Produkt!$A$2:$B$5,2,FALSE)</f>
        <v>A</v>
      </c>
      <c r="H1154">
        <v>1</v>
      </c>
      <c r="I1154">
        <v>0.68717592592592591</v>
      </c>
      <c r="J1154">
        <v>44783</v>
      </c>
    </row>
    <row r="1155" spans="1:10" x14ac:dyDescent="0.35">
      <c r="A1155" s="2">
        <v>44777</v>
      </c>
      <c r="B1155" s="3">
        <v>0.51221064814814821</v>
      </c>
      <c r="C1155">
        <v>5229</v>
      </c>
      <c r="D1155" t="str">
        <f>VLOOKUP(H1155,Produkt!$A$2:$B$5,2,FALSE)</f>
        <v>C</v>
      </c>
      <c r="H1155">
        <v>3</v>
      </c>
      <c r="I1155">
        <v>0.71567129629629633</v>
      </c>
      <c r="J1155">
        <v>44781</v>
      </c>
    </row>
    <row r="1156" spans="1:10" x14ac:dyDescent="0.35">
      <c r="A1156" s="2">
        <v>44777</v>
      </c>
      <c r="B1156" s="3">
        <v>0.15016203703703704</v>
      </c>
      <c r="C1156">
        <v>5250</v>
      </c>
      <c r="D1156" t="str">
        <f>VLOOKUP(H1156,Produkt!$A$2:$B$5,2,FALSE)</f>
        <v>C</v>
      </c>
      <c r="H1156">
        <v>3</v>
      </c>
      <c r="I1156">
        <v>6.8287037037035869E-3</v>
      </c>
      <c r="J1156">
        <v>44796</v>
      </c>
    </row>
    <row r="1157" spans="1:10" x14ac:dyDescent="0.35">
      <c r="A1157" s="2">
        <v>44777</v>
      </c>
      <c r="B1157" s="3">
        <v>0.99597222222222215</v>
      </c>
      <c r="C1157">
        <v>5267</v>
      </c>
      <c r="D1157" t="str">
        <f>VLOOKUP(H1157,Produkt!$A$2:$B$5,2,FALSE)</f>
        <v>C</v>
      </c>
      <c r="H1157">
        <v>3</v>
      </c>
      <c r="I1157">
        <v>3.6226851851851816E-2</v>
      </c>
      <c r="J1157">
        <v>44804</v>
      </c>
    </row>
    <row r="1158" spans="1:10" x14ac:dyDescent="0.35">
      <c r="A1158" s="2">
        <v>44777</v>
      </c>
      <c r="B1158" s="3">
        <v>0.79035879629629635</v>
      </c>
      <c r="C1158">
        <v>5270</v>
      </c>
      <c r="D1158" t="str">
        <f>VLOOKUP(H1158,Produkt!$A$2:$B$5,2,FALSE)</f>
        <v>D</v>
      </c>
      <c r="H1158">
        <v>4</v>
      </c>
      <c r="I1158">
        <v>0.89326388888888886</v>
      </c>
      <c r="J1158">
        <v>44804</v>
      </c>
    </row>
    <row r="1159" spans="1:10" x14ac:dyDescent="0.35">
      <c r="A1159" s="2">
        <v>44777</v>
      </c>
      <c r="B1159" s="3">
        <v>0.28645833333333331</v>
      </c>
      <c r="C1159">
        <v>5305</v>
      </c>
      <c r="D1159" t="str">
        <f>VLOOKUP(H1159,Produkt!$A$2:$B$5,2,FALSE)</f>
        <v>C</v>
      </c>
      <c r="H1159">
        <v>3</v>
      </c>
      <c r="I1159">
        <v>1.3993055555555555E-2</v>
      </c>
      <c r="J1159">
        <v>44788</v>
      </c>
    </row>
    <row r="1160" spans="1:10" x14ac:dyDescent="0.35">
      <c r="A1160" s="2">
        <v>44777</v>
      </c>
      <c r="B1160" s="3">
        <v>0.56831018518518517</v>
      </c>
      <c r="C1160">
        <v>5311</v>
      </c>
      <c r="D1160" t="str">
        <f>VLOOKUP(H1160,Produkt!$A$2:$B$5,2,FALSE)</f>
        <v>B</v>
      </c>
      <c r="H1160">
        <v>2</v>
      </c>
      <c r="I1160">
        <v>0.51537037037037037</v>
      </c>
      <c r="J1160">
        <v>44789</v>
      </c>
    </row>
    <row r="1161" spans="1:10" x14ac:dyDescent="0.35">
      <c r="A1161" s="2">
        <v>44777</v>
      </c>
      <c r="B1161" s="3">
        <v>0.43594907407407407</v>
      </c>
      <c r="C1161">
        <v>5332</v>
      </c>
      <c r="D1161" t="str">
        <f>VLOOKUP(H1161,Produkt!$A$2:$B$5,2,FALSE)</f>
        <v>D</v>
      </c>
      <c r="H1161">
        <v>4</v>
      </c>
      <c r="I1161">
        <v>0.63033564814814813</v>
      </c>
      <c r="J1161">
        <v>44802</v>
      </c>
    </row>
    <row r="1162" spans="1:10" x14ac:dyDescent="0.35">
      <c r="A1162" s="2">
        <v>44777</v>
      </c>
      <c r="B1162" s="3">
        <v>0.62659722222222225</v>
      </c>
      <c r="C1162">
        <v>5343</v>
      </c>
      <c r="D1162" t="str">
        <f>VLOOKUP(H1162,Produkt!$A$2:$B$5,2,FALSE)</f>
        <v>C</v>
      </c>
      <c r="H1162">
        <v>3</v>
      </c>
      <c r="I1162">
        <v>0.94915509259259256</v>
      </c>
      <c r="J1162">
        <v>44784</v>
      </c>
    </row>
    <row r="1163" spans="1:10" x14ac:dyDescent="0.35">
      <c r="A1163" s="2">
        <v>44777</v>
      </c>
      <c r="B1163" s="3">
        <v>0.68690972222222213</v>
      </c>
      <c r="C1163">
        <v>5350</v>
      </c>
      <c r="D1163" t="str">
        <f>VLOOKUP(H1163,Produkt!$A$2:$B$5,2,FALSE)</f>
        <v>C</v>
      </c>
      <c r="H1163">
        <v>3</v>
      </c>
      <c r="I1163">
        <v>6.921296296296342E-3</v>
      </c>
      <c r="J1163">
        <v>44779</v>
      </c>
    </row>
    <row r="1164" spans="1:10" x14ac:dyDescent="0.35">
      <c r="A1164" s="2">
        <v>44777</v>
      </c>
      <c r="B1164" s="3">
        <v>0.42721064814814813</v>
      </c>
      <c r="C1164">
        <v>5356</v>
      </c>
      <c r="D1164" t="str">
        <f>VLOOKUP(H1164,Produkt!$A$2:$B$5,2,FALSE)</f>
        <v>B</v>
      </c>
      <c r="H1164">
        <v>2</v>
      </c>
      <c r="I1164">
        <v>0.19340277777777778</v>
      </c>
      <c r="J1164">
        <v>44803</v>
      </c>
    </row>
    <row r="1165" spans="1:10" x14ac:dyDescent="0.35">
      <c r="A1165" s="2">
        <v>44777</v>
      </c>
      <c r="B1165" s="3">
        <v>0.71119212962962963</v>
      </c>
      <c r="C1165">
        <v>5437</v>
      </c>
      <c r="D1165" t="str">
        <f>VLOOKUP(H1165,Produkt!$A$2:$B$5,2,FALSE)</f>
        <v>D</v>
      </c>
      <c r="H1165">
        <v>4</v>
      </c>
      <c r="I1165">
        <v>0.55511574074074077</v>
      </c>
      <c r="J1165">
        <v>44789</v>
      </c>
    </row>
    <row r="1166" spans="1:10" x14ac:dyDescent="0.35">
      <c r="A1166" s="2">
        <v>44777</v>
      </c>
      <c r="B1166" s="3">
        <v>0.67038194444444443</v>
      </c>
      <c r="C1166">
        <v>5490</v>
      </c>
      <c r="D1166" t="str">
        <f>VLOOKUP(H1166,Produkt!$A$2:$B$5,2,FALSE)</f>
        <v>A</v>
      </c>
      <c r="H1166">
        <v>1</v>
      </c>
      <c r="I1166">
        <v>0.85920138888888886</v>
      </c>
      <c r="J1166">
        <v>44791</v>
      </c>
    </row>
    <row r="1167" spans="1:10" x14ac:dyDescent="0.35">
      <c r="A1167" s="2">
        <v>44777</v>
      </c>
      <c r="B1167" s="3">
        <v>0.12083333333333333</v>
      </c>
      <c r="C1167">
        <v>5496</v>
      </c>
      <c r="D1167" t="str">
        <f>VLOOKUP(H1167,Produkt!$A$2:$B$5,2,FALSE)</f>
        <v>B</v>
      </c>
      <c r="H1167">
        <v>2</v>
      </c>
      <c r="I1167">
        <v>0.44651620370370365</v>
      </c>
      <c r="J1167">
        <v>44788</v>
      </c>
    </row>
    <row r="1168" spans="1:10" x14ac:dyDescent="0.35">
      <c r="A1168" s="2">
        <v>44777</v>
      </c>
      <c r="B1168" s="3">
        <v>1.4710648148148148E-2</v>
      </c>
      <c r="C1168">
        <v>5506</v>
      </c>
      <c r="D1168" t="str">
        <f>VLOOKUP(H1168,Produkt!$A$2:$B$5,2,FALSE)</f>
        <v>A</v>
      </c>
      <c r="H1168">
        <v>1</v>
      </c>
      <c r="I1168">
        <v>0.4070833333333333</v>
      </c>
      <c r="J1168">
        <v>44794</v>
      </c>
    </row>
    <row r="1169" spans="1:10" x14ac:dyDescent="0.35">
      <c r="A1169" s="2">
        <v>44777</v>
      </c>
      <c r="B1169" s="3">
        <v>0.61325231481481479</v>
      </c>
      <c r="C1169">
        <v>5515</v>
      </c>
      <c r="D1169" t="str">
        <f>VLOOKUP(H1169,Produkt!$A$2:$B$5,2,FALSE)</f>
        <v>B</v>
      </c>
      <c r="H1169">
        <v>2</v>
      </c>
      <c r="I1169">
        <v>0.49820601851851848</v>
      </c>
      <c r="J1169">
        <v>44777</v>
      </c>
    </row>
    <row r="1170" spans="1:10" x14ac:dyDescent="0.35">
      <c r="A1170" s="2">
        <v>44777</v>
      </c>
      <c r="B1170" s="3">
        <v>0.81295138888888896</v>
      </c>
      <c r="C1170">
        <v>5528</v>
      </c>
      <c r="D1170" t="str">
        <f>VLOOKUP(H1170,Produkt!$A$2:$B$5,2,FALSE)</f>
        <v>D</v>
      </c>
      <c r="H1170">
        <v>4</v>
      </c>
      <c r="I1170">
        <v>0.93957175925925929</v>
      </c>
      <c r="J1170">
        <v>44774</v>
      </c>
    </row>
    <row r="1171" spans="1:10" x14ac:dyDescent="0.35">
      <c r="A1171" s="2">
        <v>44777</v>
      </c>
      <c r="B1171" s="3">
        <v>6.6770833333333335E-2</v>
      </c>
      <c r="C1171">
        <v>5549</v>
      </c>
      <c r="D1171" t="str">
        <f>VLOOKUP(H1171,Produkt!$A$2:$B$5,2,FALSE)</f>
        <v>A</v>
      </c>
      <c r="H1171">
        <v>1</v>
      </c>
      <c r="I1171">
        <v>0.78834490740740737</v>
      </c>
      <c r="J1171">
        <v>44796</v>
      </c>
    </row>
    <row r="1172" spans="1:10" x14ac:dyDescent="0.35">
      <c r="A1172" s="2">
        <v>44777</v>
      </c>
      <c r="B1172" s="3">
        <v>0.11945601851851852</v>
      </c>
      <c r="C1172">
        <v>5568</v>
      </c>
      <c r="D1172" t="str">
        <f>VLOOKUP(H1172,Produkt!$A$2:$B$5,2,FALSE)</f>
        <v>A</v>
      </c>
      <c r="H1172">
        <v>1</v>
      </c>
      <c r="I1172">
        <v>0.57387731481481474</v>
      </c>
      <c r="J1172">
        <v>44804</v>
      </c>
    </row>
    <row r="1173" spans="1:10" x14ac:dyDescent="0.35">
      <c r="A1173" s="2">
        <v>44777</v>
      </c>
      <c r="B1173" s="3">
        <v>0.16561342592592593</v>
      </c>
      <c r="C1173">
        <v>5592</v>
      </c>
      <c r="D1173" t="str">
        <f>VLOOKUP(H1173,Produkt!$A$2:$B$5,2,FALSE)</f>
        <v>D</v>
      </c>
      <c r="H1173">
        <v>4</v>
      </c>
      <c r="I1173">
        <v>0.34471064814814811</v>
      </c>
      <c r="J1173">
        <v>44798</v>
      </c>
    </row>
    <row r="1174" spans="1:10" x14ac:dyDescent="0.35">
      <c r="A1174" s="2">
        <v>44777</v>
      </c>
      <c r="B1174" s="3">
        <v>4.5104166666666667E-2</v>
      </c>
      <c r="C1174">
        <v>5690</v>
      </c>
      <c r="D1174" t="str">
        <f>VLOOKUP(H1174,Produkt!$A$2:$B$5,2,FALSE)</f>
        <v>A</v>
      </c>
      <c r="H1174">
        <v>1</v>
      </c>
      <c r="I1174">
        <v>0.3354166666666667</v>
      </c>
      <c r="J1174">
        <v>44790</v>
      </c>
    </row>
    <row r="1175" spans="1:10" x14ac:dyDescent="0.35">
      <c r="A1175" s="2">
        <v>44777</v>
      </c>
      <c r="B1175" s="3">
        <v>0.94094907407407413</v>
      </c>
      <c r="C1175">
        <v>5709</v>
      </c>
      <c r="D1175" t="str">
        <f>VLOOKUP(H1175,Produkt!$A$2:$B$5,2,FALSE)</f>
        <v>A</v>
      </c>
      <c r="H1175">
        <v>1</v>
      </c>
      <c r="I1175">
        <v>0.2401388888888889</v>
      </c>
      <c r="J1175">
        <v>44786</v>
      </c>
    </row>
    <row r="1176" spans="1:10" x14ac:dyDescent="0.35">
      <c r="A1176" s="2">
        <v>44777</v>
      </c>
      <c r="B1176" s="3">
        <v>0.45021990740740742</v>
      </c>
      <c r="C1176">
        <v>5727</v>
      </c>
      <c r="D1176" t="str">
        <f>VLOOKUP(H1176,Produkt!$A$2:$B$5,2,FALSE)</f>
        <v>A</v>
      </c>
      <c r="H1176">
        <v>1</v>
      </c>
      <c r="I1176">
        <v>0.48879629629629634</v>
      </c>
      <c r="J1176">
        <v>44791</v>
      </c>
    </row>
    <row r="1177" spans="1:10" x14ac:dyDescent="0.35">
      <c r="A1177" s="2">
        <v>44777</v>
      </c>
      <c r="B1177" s="3">
        <v>0.30606481481481479</v>
      </c>
      <c r="C1177">
        <v>5755</v>
      </c>
      <c r="D1177" t="str">
        <f>VLOOKUP(H1177,Produkt!$A$2:$B$5,2,FALSE)</f>
        <v>D</v>
      </c>
      <c r="H1177">
        <v>4</v>
      </c>
      <c r="I1177">
        <v>0.52457175925925925</v>
      </c>
      <c r="J1177">
        <v>44774</v>
      </c>
    </row>
    <row r="1178" spans="1:10" x14ac:dyDescent="0.35">
      <c r="A1178" s="2">
        <v>44777</v>
      </c>
      <c r="B1178" s="3">
        <v>0.37803240740740746</v>
      </c>
      <c r="C1178">
        <v>5756</v>
      </c>
      <c r="D1178" t="str">
        <f>VLOOKUP(H1178,Produkt!$A$2:$B$5,2,FALSE)</f>
        <v>D</v>
      </c>
      <c r="H1178">
        <v>4</v>
      </c>
      <c r="I1178">
        <v>0.5982291666666667</v>
      </c>
      <c r="J1178">
        <v>44779</v>
      </c>
    </row>
    <row r="1179" spans="1:10" x14ac:dyDescent="0.35">
      <c r="A1179" s="2">
        <v>44777</v>
      </c>
      <c r="B1179" s="3">
        <v>0.61545138888888895</v>
      </c>
      <c r="C1179">
        <v>5775</v>
      </c>
      <c r="D1179" t="str">
        <f>VLOOKUP(H1179,Produkt!$A$2:$B$5,2,FALSE)</f>
        <v>C</v>
      </c>
      <c r="H1179">
        <v>3</v>
      </c>
      <c r="I1179">
        <v>0.25950231481481484</v>
      </c>
      <c r="J1179">
        <v>44800</v>
      </c>
    </row>
    <row r="1180" spans="1:10" x14ac:dyDescent="0.35">
      <c r="A1180" s="2">
        <v>44777</v>
      </c>
      <c r="B1180" s="3">
        <v>0.79383101851851856</v>
      </c>
      <c r="C1180">
        <v>5784</v>
      </c>
      <c r="D1180" t="str">
        <f>VLOOKUP(H1180,Produkt!$A$2:$B$5,2,FALSE)</f>
        <v>C</v>
      </c>
      <c r="H1180">
        <v>3</v>
      </c>
      <c r="I1180">
        <v>0.87565972222222221</v>
      </c>
      <c r="J1180">
        <v>44789</v>
      </c>
    </row>
    <row r="1181" spans="1:10" x14ac:dyDescent="0.35">
      <c r="A1181" s="2">
        <v>44777</v>
      </c>
      <c r="B1181" s="3">
        <v>0.44701388888888888</v>
      </c>
      <c r="C1181">
        <v>5791</v>
      </c>
      <c r="D1181" t="str">
        <f>VLOOKUP(H1181,Produkt!$A$2:$B$5,2,FALSE)</f>
        <v>A</v>
      </c>
      <c r="H1181">
        <v>1</v>
      </c>
      <c r="I1181">
        <v>0.10280092592592593</v>
      </c>
      <c r="J1181">
        <v>44778</v>
      </c>
    </row>
    <row r="1182" spans="1:10" x14ac:dyDescent="0.35">
      <c r="A1182" s="2">
        <v>44777</v>
      </c>
      <c r="B1182" s="3">
        <v>0.53118055555555554</v>
      </c>
      <c r="C1182">
        <v>5792</v>
      </c>
      <c r="D1182" t="str">
        <f>VLOOKUP(H1182,Produkt!$A$2:$B$5,2,FALSE)</f>
        <v>A</v>
      </c>
      <c r="H1182">
        <v>1</v>
      </c>
      <c r="I1182">
        <v>0.83761574074074074</v>
      </c>
      <c r="J1182">
        <v>44789</v>
      </c>
    </row>
    <row r="1183" spans="1:10" x14ac:dyDescent="0.35">
      <c r="A1183" s="2">
        <v>44777</v>
      </c>
      <c r="B1183" s="3">
        <v>0.85486111111111107</v>
      </c>
      <c r="C1183">
        <v>5812</v>
      </c>
      <c r="D1183" t="str">
        <f>VLOOKUP(H1183,Produkt!$A$2:$B$5,2,FALSE)</f>
        <v>A</v>
      </c>
      <c r="H1183">
        <v>1</v>
      </c>
      <c r="I1183">
        <v>9.8194444444444431E-2</v>
      </c>
      <c r="J1183">
        <v>44795</v>
      </c>
    </row>
    <row r="1184" spans="1:10" x14ac:dyDescent="0.35">
      <c r="A1184" s="2">
        <v>44777</v>
      </c>
      <c r="B1184" s="3">
        <v>0.51137731481481474</v>
      </c>
      <c r="C1184">
        <v>5877</v>
      </c>
      <c r="D1184" t="str">
        <f>VLOOKUP(H1184,Produkt!$A$2:$B$5,2,FALSE)</f>
        <v>C</v>
      </c>
      <c r="H1184">
        <v>3</v>
      </c>
      <c r="I1184">
        <v>0.1145486111111111</v>
      </c>
      <c r="J1184">
        <v>44798</v>
      </c>
    </row>
    <row r="1185" spans="1:10" x14ac:dyDescent="0.35">
      <c r="A1185" s="2">
        <v>44777</v>
      </c>
      <c r="B1185" s="3">
        <v>0.27129629629629631</v>
      </c>
      <c r="C1185">
        <v>5887</v>
      </c>
      <c r="D1185" t="str">
        <f>VLOOKUP(H1185,Produkt!$A$2:$B$5,2,FALSE)</f>
        <v>B</v>
      </c>
      <c r="H1185">
        <v>2</v>
      </c>
      <c r="I1185">
        <v>0.87792824074074083</v>
      </c>
      <c r="J1185">
        <v>44783</v>
      </c>
    </row>
    <row r="1186" spans="1:10" x14ac:dyDescent="0.35">
      <c r="A1186" s="2">
        <v>44777</v>
      </c>
      <c r="B1186" s="3">
        <v>0.51581018518518518</v>
      </c>
      <c r="C1186">
        <v>5912</v>
      </c>
      <c r="D1186" t="str">
        <f>VLOOKUP(H1186,Produkt!$A$2:$B$5,2,FALSE)</f>
        <v>A</v>
      </c>
      <c r="H1186">
        <v>1</v>
      </c>
      <c r="I1186">
        <v>0.82620370370370377</v>
      </c>
      <c r="J1186">
        <v>44800</v>
      </c>
    </row>
    <row r="1187" spans="1:10" x14ac:dyDescent="0.35">
      <c r="A1187" s="2">
        <v>44777</v>
      </c>
      <c r="B1187" s="3">
        <v>0.87484953703703694</v>
      </c>
      <c r="C1187">
        <v>5919</v>
      </c>
      <c r="D1187" t="str">
        <f>VLOOKUP(H1187,Produkt!$A$2:$B$5,2,FALSE)</f>
        <v>C</v>
      </c>
      <c r="H1187">
        <v>3</v>
      </c>
      <c r="I1187">
        <v>0.49819444444444444</v>
      </c>
      <c r="J1187">
        <v>44794</v>
      </c>
    </row>
    <row r="1188" spans="1:10" x14ac:dyDescent="0.35">
      <c r="A1188" s="2">
        <v>44777</v>
      </c>
      <c r="B1188" s="3">
        <v>0.79832175925925919</v>
      </c>
      <c r="C1188">
        <v>5939</v>
      </c>
      <c r="D1188" t="str">
        <f>VLOOKUP(H1188,Produkt!$A$2:$B$5,2,FALSE)</f>
        <v>B</v>
      </c>
      <c r="H1188">
        <v>2</v>
      </c>
      <c r="I1188">
        <v>0.33401620370370372</v>
      </c>
      <c r="J1188">
        <v>44777</v>
      </c>
    </row>
    <row r="1189" spans="1:10" x14ac:dyDescent="0.35">
      <c r="A1189" s="2">
        <v>44777</v>
      </c>
      <c r="B1189" s="3">
        <v>0.11938657407407406</v>
      </c>
      <c r="C1189">
        <v>5959</v>
      </c>
      <c r="D1189" t="str">
        <f>VLOOKUP(H1189,Produkt!$A$2:$B$5,2,FALSE)</f>
        <v>D</v>
      </c>
      <c r="H1189">
        <v>4</v>
      </c>
      <c r="I1189">
        <v>0.20413194444444446</v>
      </c>
      <c r="J1189">
        <v>44787</v>
      </c>
    </row>
    <row r="1190" spans="1:10" x14ac:dyDescent="0.35">
      <c r="A1190" s="2">
        <v>44777</v>
      </c>
      <c r="B1190" s="3">
        <v>0.55557870370370377</v>
      </c>
      <c r="C1190">
        <v>5962</v>
      </c>
      <c r="D1190" t="str">
        <f>VLOOKUP(H1190,Produkt!$A$2:$B$5,2,FALSE)</f>
        <v>C</v>
      </c>
      <c r="H1190">
        <v>3</v>
      </c>
      <c r="I1190">
        <v>8.1585648148148157E-2</v>
      </c>
      <c r="J1190">
        <v>44786</v>
      </c>
    </row>
    <row r="1191" spans="1:10" x14ac:dyDescent="0.35">
      <c r="A1191" s="2">
        <v>44777</v>
      </c>
      <c r="B1191" s="3">
        <v>0.41091435185185188</v>
      </c>
      <c r="C1191">
        <v>5969</v>
      </c>
      <c r="D1191" t="str">
        <f>VLOOKUP(H1191,Produkt!$A$2:$B$5,2,FALSE)</f>
        <v>A</v>
      </c>
      <c r="H1191">
        <v>1</v>
      </c>
      <c r="I1191">
        <v>0.46523148148148147</v>
      </c>
      <c r="J1191">
        <v>44804</v>
      </c>
    </row>
    <row r="1192" spans="1:10" x14ac:dyDescent="0.35">
      <c r="A1192" s="2">
        <v>44777</v>
      </c>
      <c r="B1192" s="3">
        <v>4.280092592592593E-2</v>
      </c>
      <c r="C1192">
        <v>6008</v>
      </c>
      <c r="D1192" t="str">
        <f>VLOOKUP(H1192,Produkt!$A$2:$B$5,2,FALSE)</f>
        <v>C</v>
      </c>
      <c r="H1192">
        <v>3</v>
      </c>
      <c r="I1192">
        <v>0.88626157407407413</v>
      </c>
      <c r="J1192">
        <v>44802</v>
      </c>
    </row>
    <row r="1193" spans="1:10" x14ac:dyDescent="0.35">
      <c r="A1193" s="2">
        <v>44777</v>
      </c>
      <c r="B1193" s="3">
        <v>1.5416666666666634E-2</v>
      </c>
      <c r="C1193">
        <v>6100</v>
      </c>
      <c r="D1193" t="str">
        <f>VLOOKUP(H1193,Produkt!$A$2:$B$5,2,FALSE)</f>
        <v>C</v>
      </c>
      <c r="H1193">
        <v>3</v>
      </c>
      <c r="I1193">
        <v>0.22733796296296296</v>
      </c>
      <c r="J1193">
        <v>44777</v>
      </c>
    </row>
    <row r="1194" spans="1:10" x14ac:dyDescent="0.35">
      <c r="A1194" s="2">
        <v>44777</v>
      </c>
      <c r="B1194" s="3">
        <v>0.27750000000000002</v>
      </c>
      <c r="C1194">
        <v>6157</v>
      </c>
      <c r="D1194" t="str">
        <f>VLOOKUP(H1194,Produkt!$A$2:$B$5,2,FALSE)</f>
        <v>C</v>
      </c>
      <c r="H1194">
        <v>3</v>
      </c>
      <c r="I1194">
        <v>0.81526620370370362</v>
      </c>
      <c r="J1194">
        <v>44795</v>
      </c>
    </row>
    <row r="1195" spans="1:10" x14ac:dyDescent="0.35">
      <c r="A1195" s="2">
        <v>44777</v>
      </c>
      <c r="B1195" s="3">
        <v>0.15652777777777779</v>
      </c>
      <c r="C1195">
        <v>6166</v>
      </c>
      <c r="D1195" t="str">
        <f>VLOOKUP(H1195,Produkt!$A$2:$B$5,2,FALSE)</f>
        <v>D</v>
      </c>
      <c r="H1195">
        <v>4</v>
      </c>
      <c r="I1195">
        <v>0.28763888888888889</v>
      </c>
      <c r="J1195">
        <v>44792</v>
      </c>
    </row>
    <row r="1196" spans="1:10" x14ac:dyDescent="0.35">
      <c r="A1196" s="2">
        <v>44777</v>
      </c>
      <c r="B1196" s="3">
        <v>0.74113425925925924</v>
      </c>
      <c r="C1196">
        <v>6191</v>
      </c>
      <c r="D1196" t="str">
        <f>VLOOKUP(H1196,Produkt!$A$2:$B$5,2,FALSE)</f>
        <v>D</v>
      </c>
      <c r="H1196">
        <v>4</v>
      </c>
      <c r="I1196">
        <v>0.38194444444444442</v>
      </c>
      <c r="J1196">
        <v>44804</v>
      </c>
    </row>
    <row r="1197" spans="1:10" x14ac:dyDescent="0.35">
      <c r="A1197" s="2">
        <v>44777</v>
      </c>
      <c r="B1197" s="3">
        <v>0.71953703703703698</v>
      </c>
      <c r="C1197">
        <v>6249</v>
      </c>
      <c r="D1197" t="str">
        <f>VLOOKUP(H1197,Produkt!$A$2:$B$5,2,FALSE)</f>
        <v>A</v>
      </c>
      <c r="H1197">
        <v>1</v>
      </c>
      <c r="I1197">
        <v>0.1482175925925926</v>
      </c>
      <c r="J1197">
        <v>44775</v>
      </c>
    </row>
    <row r="1198" spans="1:10" x14ac:dyDescent="0.35">
      <c r="A1198" s="2">
        <v>44777</v>
      </c>
      <c r="B1198" s="3">
        <v>0.56268518518518518</v>
      </c>
      <c r="C1198">
        <v>6260</v>
      </c>
      <c r="D1198" t="str">
        <f>VLOOKUP(H1198,Produkt!$A$2:$B$5,2,FALSE)</f>
        <v>B</v>
      </c>
      <c r="H1198">
        <v>2</v>
      </c>
      <c r="I1198">
        <v>0.50225694444444446</v>
      </c>
      <c r="J1198">
        <v>44781</v>
      </c>
    </row>
    <row r="1199" spans="1:10" x14ac:dyDescent="0.35">
      <c r="A1199" s="2">
        <v>44777</v>
      </c>
      <c r="B1199" s="3">
        <v>0.35848379629629629</v>
      </c>
      <c r="C1199">
        <v>6391</v>
      </c>
      <c r="D1199" t="str">
        <f>VLOOKUP(H1199,Produkt!$A$2:$B$5,2,FALSE)</f>
        <v>A</v>
      </c>
      <c r="H1199">
        <v>1</v>
      </c>
      <c r="I1199">
        <v>0.4302199074074074</v>
      </c>
      <c r="J1199">
        <v>44784</v>
      </c>
    </row>
    <row r="1200" spans="1:10" x14ac:dyDescent="0.35">
      <c r="A1200" s="2">
        <v>44777</v>
      </c>
      <c r="B1200" s="3">
        <v>7.5462962962962177E-3</v>
      </c>
      <c r="C1200">
        <v>6500</v>
      </c>
      <c r="D1200" t="str">
        <f>VLOOKUP(H1200,Produkt!$A$2:$B$5,2,FALSE)</f>
        <v>B</v>
      </c>
      <c r="H1200">
        <v>2</v>
      </c>
      <c r="I1200">
        <v>0.58793981481481483</v>
      </c>
      <c r="J1200">
        <v>44803</v>
      </c>
    </row>
    <row r="1201" spans="1:10" x14ac:dyDescent="0.35">
      <c r="A1201" s="2">
        <v>44777</v>
      </c>
      <c r="B1201" s="3">
        <v>0.6178703703703704</v>
      </c>
      <c r="C1201">
        <v>6564</v>
      </c>
      <c r="D1201" t="str">
        <f>VLOOKUP(H1201,Produkt!$A$2:$B$5,2,FALSE)</f>
        <v>B</v>
      </c>
      <c r="H1201">
        <v>2</v>
      </c>
      <c r="I1201">
        <v>0.36751157407407403</v>
      </c>
      <c r="J1201">
        <v>44785</v>
      </c>
    </row>
    <row r="1202" spans="1:10" x14ac:dyDescent="0.35">
      <c r="A1202" s="2">
        <v>44777</v>
      </c>
      <c r="B1202" s="3">
        <v>0.24412037037037038</v>
      </c>
      <c r="C1202">
        <v>6568</v>
      </c>
      <c r="D1202" t="str">
        <f>VLOOKUP(H1202,Produkt!$A$2:$B$5,2,FALSE)</f>
        <v>A</v>
      </c>
      <c r="H1202">
        <v>1</v>
      </c>
      <c r="I1202">
        <v>0.51871527777777782</v>
      </c>
      <c r="J1202">
        <v>44775</v>
      </c>
    </row>
    <row r="1203" spans="1:10" x14ac:dyDescent="0.35">
      <c r="A1203" s="2">
        <v>44777</v>
      </c>
      <c r="B1203" s="3">
        <v>0.47390046296296301</v>
      </c>
      <c r="C1203">
        <v>6607</v>
      </c>
      <c r="D1203" t="str">
        <f>VLOOKUP(H1203,Produkt!$A$2:$B$5,2,FALSE)</f>
        <v>C</v>
      </c>
      <c r="H1203">
        <v>3</v>
      </c>
      <c r="I1203">
        <v>0.89677083333333341</v>
      </c>
      <c r="J1203">
        <v>44801</v>
      </c>
    </row>
    <row r="1204" spans="1:10" x14ac:dyDescent="0.35">
      <c r="A1204" s="2">
        <v>44777</v>
      </c>
      <c r="B1204" s="3">
        <v>0.63475694444444442</v>
      </c>
      <c r="C1204">
        <v>6707</v>
      </c>
      <c r="D1204" t="str">
        <f>VLOOKUP(H1204,Produkt!$A$2:$B$5,2,FALSE)</f>
        <v>D</v>
      </c>
      <c r="H1204">
        <v>4</v>
      </c>
      <c r="I1204">
        <v>0.48025462962962967</v>
      </c>
      <c r="J1204">
        <v>44794</v>
      </c>
    </row>
    <row r="1205" spans="1:10" x14ac:dyDescent="0.35">
      <c r="A1205" s="2">
        <v>44777</v>
      </c>
      <c r="B1205" s="3">
        <v>0.47054398148148152</v>
      </c>
      <c r="C1205">
        <v>6709</v>
      </c>
      <c r="D1205" t="str">
        <f>VLOOKUP(H1205,Produkt!$A$2:$B$5,2,FALSE)</f>
        <v>C</v>
      </c>
      <c r="H1205">
        <v>3</v>
      </c>
      <c r="I1205">
        <v>0.1809490740740741</v>
      </c>
      <c r="J1205">
        <v>44776</v>
      </c>
    </row>
    <row r="1206" spans="1:10" x14ac:dyDescent="0.35">
      <c r="A1206" s="2">
        <v>44777</v>
      </c>
      <c r="B1206" s="3">
        <v>0.46614583333333331</v>
      </c>
      <c r="C1206">
        <v>6712</v>
      </c>
      <c r="D1206" t="str">
        <f>VLOOKUP(H1206,Produkt!$A$2:$B$5,2,FALSE)</f>
        <v>A</v>
      </c>
      <c r="H1206">
        <v>1</v>
      </c>
      <c r="I1206">
        <v>0.88893518518518511</v>
      </c>
      <c r="J1206">
        <v>44779</v>
      </c>
    </row>
    <row r="1207" spans="1:10" x14ac:dyDescent="0.35">
      <c r="A1207" s="2">
        <v>44777</v>
      </c>
      <c r="B1207" s="3">
        <v>0.32302083333333331</v>
      </c>
      <c r="C1207">
        <v>6737</v>
      </c>
      <c r="D1207" t="str">
        <f>VLOOKUP(H1207,Produkt!$A$2:$B$5,2,FALSE)</f>
        <v>A</v>
      </c>
      <c r="H1207">
        <v>1</v>
      </c>
      <c r="I1207">
        <v>0.24892361111111114</v>
      </c>
      <c r="J1207">
        <v>44801</v>
      </c>
    </row>
    <row r="1208" spans="1:10" x14ac:dyDescent="0.35">
      <c r="A1208" s="2">
        <v>44777</v>
      </c>
      <c r="B1208" s="3">
        <v>0.98032407407407407</v>
      </c>
      <c r="C1208">
        <v>6760</v>
      </c>
      <c r="D1208" t="str">
        <f>VLOOKUP(H1208,Produkt!$A$2:$B$5,2,FALSE)</f>
        <v>B</v>
      </c>
      <c r="H1208">
        <v>2</v>
      </c>
      <c r="I1208">
        <v>0.67858796296296298</v>
      </c>
      <c r="J1208">
        <v>44792</v>
      </c>
    </row>
    <row r="1209" spans="1:10" x14ac:dyDescent="0.35">
      <c r="A1209" s="2">
        <v>44777</v>
      </c>
      <c r="B1209" s="3">
        <v>0.74797453703703709</v>
      </c>
      <c r="C1209">
        <v>6817</v>
      </c>
      <c r="D1209" t="str">
        <f>VLOOKUP(H1209,Produkt!$A$2:$B$5,2,FALSE)</f>
        <v>A</v>
      </c>
      <c r="H1209">
        <v>1</v>
      </c>
      <c r="I1209">
        <v>0.22898148148148148</v>
      </c>
      <c r="J1209">
        <v>44803</v>
      </c>
    </row>
    <row r="1210" spans="1:10" x14ac:dyDescent="0.35">
      <c r="A1210" s="2">
        <v>44777</v>
      </c>
      <c r="B1210" s="3">
        <v>7.7256944444444434E-2</v>
      </c>
      <c r="C1210">
        <v>6906</v>
      </c>
      <c r="D1210" t="str">
        <f>VLOOKUP(H1210,Produkt!$A$2:$B$5,2,FALSE)</f>
        <v>A</v>
      </c>
      <c r="H1210">
        <v>1</v>
      </c>
      <c r="I1210">
        <v>0.27278935185185188</v>
      </c>
      <c r="J1210">
        <v>44796</v>
      </c>
    </row>
    <row r="1211" spans="1:10" x14ac:dyDescent="0.35">
      <c r="A1211" s="2">
        <v>44777</v>
      </c>
      <c r="B1211" s="3">
        <v>0.83195601851851853</v>
      </c>
      <c r="C1211">
        <v>6983</v>
      </c>
      <c r="D1211" t="str">
        <f>VLOOKUP(H1211,Produkt!$A$2:$B$5,2,FALSE)</f>
        <v>A</v>
      </c>
      <c r="H1211">
        <v>1</v>
      </c>
      <c r="I1211">
        <v>0.24158564814814812</v>
      </c>
      <c r="J1211">
        <v>44778</v>
      </c>
    </row>
    <row r="1212" spans="1:10" x14ac:dyDescent="0.35">
      <c r="A1212" s="2">
        <v>44777</v>
      </c>
      <c r="B1212" s="3">
        <v>0.8803009259259259</v>
      </c>
      <c r="C1212">
        <v>6988</v>
      </c>
      <c r="D1212" t="str">
        <f>VLOOKUP(H1212,Produkt!$A$2:$B$5,2,FALSE)</f>
        <v>B</v>
      </c>
      <c r="H1212">
        <v>2</v>
      </c>
      <c r="I1212">
        <v>0.55425925925925923</v>
      </c>
      <c r="J1212">
        <v>44782</v>
      </c>
    </row>
    <row r="1213" spans="1:10" x14ac:dyDescent="0.35">
      <c r="A1213" s="2">
        <v>44777</v>
      </c>
      <c r="B1213" s="3">
        <v>7.5266203703703696E-2</v>
      </c>
      <c r="C1213">
        <v>7000</v>
      </c>
      <c r="D1213" t="str">
        <f>VLOOKUP(H1213,Produkt!$A$2:$B$5,2,FALSE)</f>
        <v>C</v>
      </c>
      <c r="H1213">
        <v>3</v>
      </c>
      <c r="I1213">
        <v>7.7905092592592595E-2</v>
      </c>
      <c r="J1213">
        <v>44784</v>
      </c>
    </row>
    <row r="1214" spans="1:10" x14ac:dyDescent="0.35">
      <c r="A1214" s="2">
        <v>44777</v>
      </c>
      <c r="B1214" s="3">
        <v>1.2974537037037036E-2</v>
      </c>
      <c r="C1214">
        <v>7018</v>
      </c>
      <c r="D1214" t="str">
        <f>VLOOKUP(H1214,Produkt!$A$2:$B$5,2,FALSE)</f>
        <v>B</v>
      </c>
      <c r="H1214">
        <v>2</v>
      </c>
      <c r="I1214">
        <v>0.80447916666666675</v>
      </c>
      <c r="J1214">
        <v>44776</v>
      </c>
    </row>
    <row r="1215" spans="1:10" x14ac:dyDescent="0.35">
      <c r="A1215" s="2">
        <v>44777</v>
      </c>
      <c r="B1215" s="3">
        <v>0.28734953703703703</v>
      </c>
      <c r="C1215">
        <v>7048</v>
      </c>
      <c r="D1215" t="str">
        <f>VLOOKUP(H1215,Produkt!$A$2:$B$5,2,FALSE)</f>
        <v>C</v>
      </c>
      <c r="H1215">
        <v>3</v>
      </c>
      <c r="I1215">
        <v>7.0659722222222221E-2</v>
      </c>
      <c r="J1215">
        <v>44795</v>
      </c>
    </row>
    <row r="1216" spans="1:10" x14ac:dyDescent="0.35">
      <c r="A1216" s="2">
        <v>44777</v>
      </c>
      <c r="B1216" s="3">
        <v>0.26682870370370371</v>
      </c>
      <c r="C1216">
        <v>7052</v>
      </c>
      <c r="D1216" t="str">
        <f>VLOOKUP(H1216,Produkt!$A$2:$B$5,2,FALSE)</f>
        <v>D</v>
      </c>
      <c r="H1216">
        <v>4</v>
      </c>
      <c r="I1216">
        <v>0.86812500000000004</v>
      </c>
      <c r="J1216">
        <v>44780</v>
      </c>
    </row>
    <row r="1217" spans="1:10" x14ac:dyDescent="0.35">
      <c r="A1217" s="2">
        <v>44777</v>
      </c>
      <c r="B1217" s="3">
        <v>0.75343749999999998</v>
      </c>
      <c r="C1217">
        <v>7082</v>
      </c>
      <c r="D1217" t="str">
        <f>VLOOKUP(H1217,Produkt!$A$2:$B$5,2,FALSE)</f>
        <v>D</v>
      </c>
      <c r="H1217">
        <v>4</v>
      </c>
      <c r="I1217">
        <v>0.53855324074074074</v>
      </c>
      <c r="J1217">
        <v>44785</v>
      </c>
    </row>
    <row r="1218" spans="1:10" x14ac:dyDescent="0.35">
      <c r="A1218" s="2">
        <v>44777</v>
      </c>
      <c r="B1218" s="3">
        <v>0.41555555555555551</v>
      </c>
      <c r="C1218">
        <v>7083</v>
      </c>
      <c r="D1218" t="str">
        <f>VLOOKUP(H1218,Produkt!$A$2:$B$5,2,FALSE)</f>
        <v>A</v>
      </c>
      <c r="H1218">
        <v>1</v>
      </c>
      <c r="I1218">
        <v>0.95811342592592597</v>
      </c>
      <c r="J1218">
        <v>44800</v>
      </c>
    </row>
    <row r="1219" spans="1:10" x14ac:dyDescent="0.35">
      <c r="A1219" s="2">
        <v>44777</v>
      </c>
      <c r="B1219" s="3">
        <v>0.73312499999999992</v>
      </c>
      <c r="C1219">
        <v>7154</v>
      </c>
      <c r="D1219" t="str">
        <f>VLOOKUP(H1219,Produkt!$A$2:$B$5,2,FALSE)</f>
        <v>A</v>
      </c>
      <c r="H1219">
        <v>1</v>
      </c>
      <c r="I1219">
        <v>0.14840277777777777</v>
      </c>
      <c r="J1219">
        <v>44784</v>
      </c>
    </row>
    <row r="1220" spans="1:10" x14ac:dyDescent="0.35">
      <c r="A1220" s="2">
        <v>44777</v>
      </c>
      <c r="B1220" s="3">
        <v>0.98341435185185189</v>
      </c>
      <c r="C1220">
        <v>7201</v>
      </c>
      <c r="D1220" t="str">
        <f>VLOOKUP(H1220,Produkt!$A$2:$B$5,2,FALSE)</f>
        <v>B</v>
      </c>
      <c r="H1220">
        <v>2</v>
      </c>
      <c r="I1220">
        <v>0.42</v>
      </c>
      <c r="J1220">
        <v>44797</v>
      </c>
    </row>
    <row r="1221" spans="1:10" x14ac:dyDescent="0.35">
      <c r="A1221" s="2">
        <v>44777</v>
      </c>
      <c r="B1221" s="3">
        <v>0.82565972222222228</v>
      </c>
      <c r="C1221">
        <v>7215</v>
      </c>
      <c r="D1221" t="str">
        <f>VLOOKUP(H1221,Produkt!$A$2:$B$5,2,FALSE)</f>
        <v>B</v>
      </c>
      <c r="H1221">
        <v>2</v>
      </c>
      <c r="I1221">
        <v>5.5555555555555552E-2</v>
      </c>
      <c r="J1221">
        <v>44796</v>
      </c>
    </row>
    <row r="1222" spans="1:10" x14ac:dyDescent="0.35">
      <c r="A1222" s="2">
        <v>44777</v>
      </c>
      <c r="B1222" s="3">
        <v>0.67822916666666666</v>
      </c>
      <c r="C1222">
        <v>7233</v>
      </c>
      <c r="D1222" t="str">
        <f>VLOOKUP(H1222,Produkt!$A$2:$B$5,2,FALSE)</f>
        <v>C</v>
      </c>
      <c r="H1222">
        <v>3</v>
      </c>
      <c r="I1222">
        <v>0.95420138888888895</v>
      </c>
      <c r="J1222">
        <v>44797</v>
      </c>
    </row>
    <row r="1223" spans="1:10" x14ac:dyDescent="0.35">
      <c r="A1223" s="2">
        <v>44777</v>
      </c>
      <c r="B1223" s="3">
        <v>0.43388888888888894</v>
      </c>
      <c r="C1223">
        <v>7263</v>
      </c>
      <c r="D1223" t="str">
        <f>VLOOKUP(H1223,Produkt!$A$2:$B$5,2,FALSE)</f>
        <v>D</v>
      </c>
      <c r="H1223">
        <v>4</v>
      </c>
      <c r="I1223">
        <v>0.22370370370370371</v>
      </c>
      <c r="J1223">
        <v>44804</v>
      </c>
    </row>
    <row r="1224" spans="1:10" x14ac:dyDescent="0.35">
      <c r="A1224" s="2">
        <v>44777</v>
      </c>
      <c r="B1224" s="3">
        <v>0.37797453703703704</v>
      </c>
      <c r="C1224">
        <v>7315</v>
      </c>
      <c r="D1224" t="str">
        <f>VLOOKUP(H1224,Produkt!$A$2:$B$5,2,FALSE)</f>
        <v>C</v>
      </c>
      <c r="H1224">
        <v>3</v>
      </c>
      <c r="I1224">
        <v>0.53962962962962957</v>
      </c>
      <c r="J1224">
        <v>44779</v>
      </c>
    </row>
    <row r="1225" spans="1:10" x14ac:dyDescent="0.35">
      <c r="A1225" s="2">
        <v>44777</v>
      </c>
      <c r="B1225" s="3">
        <v>0.52925925925925921</v>
      </c>
      <c r="C1225">
        <v>7319</v>
      </c>
      <c r="D1225" t="str">
        <f>VLOOKUP(H1225,Produkt!$A$2:$B$5,2,FALSE)</f>
        <v>C</v>
      </c>
      <c r="H1225">
        <v>3</v>
      </c>
      <c r="I1225">
        <v>0.76134259259259263</v>
      </c>
      <c r="J1225">
        <v>44775</v>
      </c>
    </row>
    <row r="1226" spans="1:10" x14ac:dyDescent="0.35">
      <c r="A1226" s="2">
        <v>44777</v>
      </c>
      <c r="B1226" s="3">
        <v>0.50418981481481484</v>
      </c>
      <c r="C1226">
        <v>7321</v>
      </c>
      <c r="D1226" t="str">
        <f>VLOOKUP(H1226,Produkt!$A$2:$B$5,2,FALSE)</f>
        <v>A</v>
      </c>
      <c r="H1226">
        <v>1</v>
      </c>
      <c r="I1226">
        <v>0.93935185185185188</v>
      </c>
      <c r="J1226">
        <v>44796</v>
      </c>
    </row>
    <row r="1227" spans="1:10" x14ac:dyDescent="0.35">
      <c r="A1227" s="2">
        <v>44777</v>
      </c>
      <c r="B1227" s="3">
        <v>0.47859953703703706</v>
      </c>
      <c r="C1227">
        <v>7391</v>
      </c>
      <c r="D1227" t="str">
        <f>VLOOKUP(H1227,Produkt!$A$2:$B$5,2,FALSE)</f>
        <v>A</v>
      </c>
      <c r="H1227">
        <v>1</v>
      </c>
      <c r="I1227">
        <v>0.72409722222222228</v>
      </c>
      <c r="J1227">
        <v>44775</v>
      </c>
    </row>
    <row r="1228" spans="1:10" x14ac:dyDescent="0.35">
      <c r="A1228" s="2">
        <v>44777</v>
      </c>
      <c r="B1228" s="3">
        <v>0.16733796296296297</v>
      </c>
      <c r="C1228">
        <v>7446</v>
      </c>
      <c r="D1228" t="str">
        <f>VLOOKUP(H1228,Produkt!$A$2:$B$5,2,FALSE)</f>
        <v>B</v>
      </c>
      <c r="H1228">
        <v>2</v>
      </c>
      <c r="I1228">
        <v>0.32776620370370368</v>
      </c>
      <c r="J1228">
        <v>44800</v>
      </c>
    </row>
    <row r="1229" spans="1:10" x14ac:dyDescent="0.35">
      <c r="A1229" s="2">
        <v>44777</v>
      </c>
      <c r="B1229" s="3">
        <v>0.80846064814814822</v>
      </c>
      <c r="C1229">
        <v>7449</v>
      </c>
      <c r="D1229" t="str">
        <f>VLOOKUP(H1229,Produkt!$A$2:$B$5,2,FALSE)</f>
        <v>C</v>
      </c>
      <c r="H1229">
        <v>3</v>
      </c>
      <c r="I1229">
        <v>0.9680671296296296</v>
      </c>
      <c r="J1229">
        <v>44795</v>
      </c>
    </row>
    <row r="1230" spans="1:10" x14ac:dyDescent="0.35">
      <c r="A1230" s="2">
        <v>44777</v>
      </c>
      <c r="B1230" s="3">
        <v>0.93307870370370372</v>
      </c>
      <c r="C1230">
        <v>7525</v>
      </c>
      <c r="D1230" t="str">
        <f>VLOOKUP(H1230,Produkt!$A$2:$B$5,2,FALSE)</f>
        <v>B</v>
      </c>
      <c r="H1230">
        <v>2</v>
      </c>
      <c r="I1230">
        <v>2.9849537037037036E-2</v>
      </c>
      <c r="J1230">
        <v>44789</v>
      </c>
    </row>
    <row r="1231" spans="1:10" x14ac:dyDescent="0.35">
      <c r="A1231" s="2">
        <v>44777</v>
      </c>
      <c r="B1231" s="3">
        <v>2.1874999999999998E-3</v>
      </c>
      <c r="C1231">
        <v>7529</v>
      </c>
      <c r="D1231" t="str">
        <f>VLOOKUP(H1231,Produkt!$A$2:$B$5,2,FALSE)</f>
        <v>B</v>
      </c>
      <c r="H1231">
        <v>2</v>
      </c>
      <c r="I1231">
        <v>2.4629629629629557E-2</v>
      </c>
      <c r="J1231">
        <v>44781</v>
      </c>
    </row>
    <row r="1232" spans="1:10" x14ac:dyDescent="0.35">
      <c r="A1232" s="2">
        <v>44777</v>
      </c>
      <c r="B1232" s="3">
        <v>0.67326388888888899</v>
      </c>
      <c r="C1232">
        <v>7536</v>
      </c>
      <c r="D1232" t="str">
        <f>VLOOKUP(H1232,Produkt!$A$2:$B$5,2,FALSE)</f>
        <v>A</v>
      </c>
      <c r="H1232">
        <v>1</v>
      </c>
      <c r="I1232">
        <v>3.2870370370370367E-3</v>
      </c>
      <c r="J1232">
        <v>44784</v>
      </c>
    </row>
    <row r="1233" spans="1:10" x14ac:dyDescent="0.35">
      <c r="A1233" s="2">
        <v>44777</v>
      </c>
      <c r="B1233" s="3">
        <v>0.73159722222222223</v>
      </c>
      <c r="C1233">
        <v>7538</v>
      </c>
      <c r="D1233" t="str">
        <f>VLOOKUP(H1233,Produkt!$A$2:$B$5,2,FALSE)</f>
        <v>D</v>
      </c>
      <c r="H1233">
        <v>4</v>
      </c>
      <c r="I1233">
        <v>0.91983796296296294</v>
      </c>
      <c r="J1233">
        <v>44783</v>
      </c>
    </row>
    <row r="1234" spans="1:10" x14ac:dyDescent="0.35">
      <c r="A1234" s="2">
        <v>44777</v>
      </c>
      <c r="B1234" s="3">
        <v>3.8715277777777779E-2</v>
      </c>
      <c r="C1234">
        <v>7594</v>
      </c>
      <c r="D1234" t="str">
        <f>VLOOKUP(H1234,Produkt!$A$2:$B$5,2,FALSE)</f>
        <v>C</v>
      </c>
      <c r="H1234">
        <v>3</v>
      </c>
      <c r="I1234">
        <v>0.59748842592592599</v>
      </c>
      <c r="J1234">
        <v>44790</v>
      </c>
    </row>
    <row r="1235" spans="1:10" x14ac:dyDescent="0.35">
      <c r="A1235" s="2">
        <v>44777</v>
      </c>
      <c r="B1235" s="3">
        <v>0.47935185185185186</v>
      </c>
      <c r="C1235">
        <v>7611</v>
      </c>
      <c r="D1235" t="str">
        <f>VLOOKUP(H1235,Produkt!$A$2:$B$5,2,FALSE)</f>
        <v>A</v>
      </c>
      <c r="H1235">
        <v>1</v>
      </c>
      <c r="I1235">
        <v>5.1574074074074078E-2</v>
      </c>
      <c r="J1235">
        <v>44797</v>
      </c>
    </row>
    <row r="1236" spans="1:10" x14ac:dyDescent="0.35">
      <c r="A1236" s="2">
        <v>44777</v>
      </c>
      <c r="B1236" s="3">
        <v>0.27326388888888892</v>
      </c>
      <c r="C1236">
        <v>7641</v>
      </c>
      <c r="D1236" t="str">
        <f>VLOOKUP(H1236,Produkt!$A$2:$B$5,2,FALSE)</f>
        <v>B</v>
      </c>
      <c r="H1236">
        <v>2</v>
      </c>
      <c r="I1236">
        <v>0.24237268518518518</v>
      </c>
      <c r="J1236">
        <v>44779</v>
      </c>
    </row>
    <row r="1237" spans="1:10" x14ac:dyDescent="0.35">
      <c r="A1237" s="2">
        <v>44777</v>
      </c>
      <c r="B1237" s="3">
        <v>0.15804398148148149</v>
      </c>
      <c r="C1237">
        <v>7668</v>
      </c>
      <c r="D1237" t="str">
        <f>VLOOKUP(H1237,Produkt!$A$2:$B$5,2,FALSE)</f>
        <v>D</v>
      </c>
      <c r="H1237">
        <v>4</v>
      </c>
      <c r="I1237">
        <v>0.92555555555555558</v>
      </c>
      <c r="J1237">
        <v>44803</v>
      </c>
    </row>
    <row r="1238" spans="1:10" x14ac:dyDescent="0.35">
      <c r="A1238" s="2">
        <v>44777</v>
      </c>
      <c r="B1238" s="3">
        <v>0.4100462962962963</v>
      </c>
      <c r="C1238">
        <v>7683</v>
      </c>
      <c r="D1238" t="str">
        <f>VLOOKUP(H1238,Produkt!$A$2:$B$5,2,FALSE)</f>
        <v>C</v>
      </c>
      <c r="H1238">
        <v>3</v>
      </c>
      <c r="I1238">
        <v>0.5430787037037037</v>
      </c>
      <c r="J1238">
        <v>44794</v>
      </c>
    </row>
    <row r="1239" spans="1:10" x14ac:dyDescent="0.35">
      <c r="A1239" s="2">
        <v>44777</v>
      </c>
      <c r="B1239" s="3">
        <v>0.66059027777777779</v>
      </c>
      <c r="C1239">
        <v>7761</v>
      </c>
      <c r="D1239" t="str">
        <f>VLOOKUP(H1239,Produkt!$A$2:$B$5,2,FALSE)</f>
        <v>A</v>
      </c>
      <c r="H1239">
        <v>1</v>
      </c>
      <c r="I1239">
        <v>0.79215277777777782</v>
      </c>
      <c r="J1239">
        <v>44790</v>
      </c>
    </row>
    <row r="1240" spans="1:10" x14ac:dyDescent="0.35">
      <c r="A1240" s="2">
        <v>44777</v>
      </c>
      <c r="B1240" s="3">
        <v>0.15078703703703702</v>
      </c>
      <c r="C1240">
        <v>7775</v>
      </c>
      <c r="D1240" t="str">
        <f>VLOOKUP(H1240,Produkt!$A$2:$B$5,2,FALSE)</f>
        <v>B</v>
      </c>
      <c r="H1240">
        <v>2</v>
      </c>
      <c r="I1240">
        <v>0.8655787037037036</v>
      </c>
      <c r="J1240">
        <v>44782</v>
      </c>
    </row>
    <row r="1241" spans="1:10" x14ac:dyDescent="0.35">
      <c r="A1241" s="2">
        <v>44777</v>
      </c>
      <c r="B1241" s="3">
        <v>8.7129629629629626E-2</v>
      </c>
      <c r="C1241">
        <v>7776</v>
      </c>
      <c r="D1241" t="str">
        <f>VLOOKUP(H1241,Produkt!$A$2:$B$5,2,FALSE)</f>
        <v>D</v>
      </c>
      <c r="H1241">
        <v>4</v>
      </c>
      <c r="I1241">
        <v>0.70773148148148157</v>
      </c>
      <c r="J1241">
        <v>44801</v>
      </c>
    </row>
    <row r="1242" spans="1:10" x14ac:dyDescent="0.35">
      <c r="A1242" s="2">
        <v>44777</v>
      </c>
      <c r="B1242" s="3">
        <v>0.10313657407407407</v>
      </c>
      <c r="C1242">
        <v>7836</v>
      </c>
      <c r="D1242" t="str">
        <f>VLOOKUP(H1242,Produkt!$A$2:$B$5,2,FALSE)</f>
        <v>B</v>
      </c>
      <c r="H1242">
        <v>2</v>
      </c>
      <c r="I1242">
        <v>0.72349537037037026</v>
      </c>
      <c r="J1242">
        <v>44800</v>
      </c>
    </row>
    <row r="1243" spans="1:10" x14ac:dyDescent="0.35">
      <c r="A1243" s="2">
        <v>44777</v>
      </c>
      <c r="B1243" s="3">
        <v>0.93006944444444439</v>
      </c>
      <c r="C1243">
        <v>7839</v>
      </c>
      <c r="D1243" t="str">
        <f>VLOOKUP(H1243,Produkt!$A$2:$B$5,2,FALSE)</f>
        <v>D</v>
      </c>
      <c r="H1243">
        <v>4</v>
      </c>
      <c r="I1243">
        <v>0.33068287037037036</v>
      </c>
      <c r="J1243">
        <v>44790</v>
      </c>
    </row>
    <row r="1244" spans="1:10" x14ac:dyDescent="0.35">
      <c r="A1244" s="2">
        <v>44777</v>
      </c>
      <c r="B1244" s="3">
        <v>0.79553240740740738</v>
      </c>
      <c r="C1244">
        <v>7845</v>
      </c>
      <c r="D1244" t="str">
        <f>VLOOKUP(H1244,Produkt!$A$2:$B$5,2,FALSE)</f>
        <v>A</v>
      </c>
      <c r="H1244">
        <v>1</v>
      </c>
      <c r="I1244">
        <v>0.87488425925925928</v>
      </c>
      <c r="J1244">
        <v>44788</v>
      </c>
    </row>
    <row r="1245" spans="1:10" x14ac:dyDescent="0.35">
      <c r="A1245" s="2">
        <v>44777</v>
      </c>
      <c r="B1245" s="3">
        <v>1.1157407407407408E-2</v>
      </c>
      <c r="C1245">
        <v>7862</v>
      </c>
      <c r="D1245" t="str">
        <f>VLOOKUP(H1245,Produkt!$A$2:$B$5,2,FALSE)</f>
        <v>C</v>
      </c>
      <c r="H1245">
        <v>3</v>
      </c>
      <c r="I1245">
        <v>0.1265162037037037</v>
      </c>
      <c r="J1245">
        <v>44776</v>
      </c>
    </row>
    <row r="1246" spans="1:10" x14ac:dyDescent="0.35">
      <c r="A1246" s="2">
        <v>44777</v>
      </c>
      <c r="B1246" s="3">
        <v>0.67738425925925927</v>
      </c>
      <c r="C1246">
        <v>7890</v>
      </c>
      <c r="D1246" t="str">
        <f>VLOOKUP(H1246,Produkt!$A$2:$B$5,2,FALSE)</f>
        <v>C</v>
      </c>
      <c r="H1246">
        <v>3</v>
      </c>
      <c r="I1246">
        <v>9.7453703703703709E-2</v>
      </c>
      <c r="J1246">
        <v>44778</v>
      </c>
    </row>
    <row r="1247" spans="1:10" x14ac:dyDescent="0.35">
      <c r="A1247" s="2">
        <v>44777</v>
      </c>
      <c r="B1247" s="3">
        <v>0.22872685185185185</v>
      </c>
      <c r="C1247">
        <v>7967</v>
      </c>
      <c r="D1247" t="str">
        <f>VLOOKUP(H1247,Produkt!$A$2:$B$5,2,FALSE)</f>
        <v>A</v>
      </c>
      <c r="H1247">
        <v>1</v>
      </c>
      <c r="I1247">
        <v>0.93043981481481486</v>
      </c>
      <c r="J1247">
        <v>44777</v>
      </c>
    </row>
    <row r="1248" spans="1:10" x14ac:dyDescent="0.35">
      <c r="A1248" s="2">
        <v>44777</v>
      </c>
      <c r="B1248" s="3">
        <v>0.58008101851851845</v>
      </c>
      <c r="C1248">
        <v>7999</v>
      </c>
      <c r="D1248" t="str">
        <f>VLOOKUP(H1248,Produkt!$A$2:$B$5,2,FALSE)</f>
        <v>B</v>
      </c>
      <c r="H1248">
        <v>2</v>
      </c>
      <c r="I1248">
        <v>0.65442129629629631</v>
      </c>
      <c r="J1248">
        <v>44792</v>
      </c>
    </row>
    <row r="1249" spans="1:10" x14ac:dyDescent="0.35">
      <c r="A1249" s="2">
        <v>44777</v>
      </c>
      <c r="B1249" s="3">
        <v>0.47868055555555555</v>
      </c>
      <c r="C1249">
        <v>8027</v>
      </c>
      <c r="D1249" t="str">
        <f>VLOOKUP(H1249,Produkt!$A$2:$B$5,2,FALSE)</f>
        <v>C</v>
      </c>
      <c r="H1249">
        <v>3</v>
      </c>
      <c r="I1249">
        <v>0.44289351851851855</v>
      </c>
      <c r="J1249">
        <v>44777</v>
      </c>
    </row>
    <row r="1250" spans="1:10" x14ac:dyDescent="0.35">
      <c r="A1250" s="2">
        <v>44777</v>
      </c>
      <c r="B1250" s="3">
        <v>0.39002314814814815</v>
      </c>
      <c r="C1250">
        <v>8052</v>
      </c>
      <c r="D1250" t="str">
        <f>VLOOKUP(H1250,Produkt!$A$2:$B$5,2,FALSE)</f>
        <v>B</v>
      </c>
      <c r="H1250">
        <v>2</v>
      </c>
      <c r="I1250">
        <v>0.92680555555555555</v>
      </c>
      <c r="J1250">
        <v>44793</v>
      </c>
    </row>
    <row r="1251" spans="1:10" x14ac:dyDescent="0.35">
      <c r="A1251" s="2">
        <v>44777</v>
      </c>
      <c r="B1251" s="3">
        <v>0.72129629629629621</v>
      </c>
      <c r="C1251">
        <v>8055</v>
      </c>
      <c r="D1251" t="str">
        <f>VLOOKUP(H1251,Produkt!$A$2:$B$5,2,FALSE)</f>
        <v>D</v>
      </c>
      <c r="H1251">
        <v>4</v>
      </c>
      <c r="I1251">
        <v>0.66526620370370371</v>
      </c>
      <c r="J1251">
        <v>44799</v>
      </c>
    </row>
    <row r="1252" spans="1:10" x14ac:dyDescent="0.35">
      <c r="A1252" s="2">
        <v>44777</v>
      </c>
      <c r="B1252" s="3">
        <v>0.74400462962962965</v>
      </c>
      <c r="C1252">
        <v>8059</v>
      </c>
      <c r="D1252" t="str">
        <f>VLOOKUP(H1252,Produkt!$A$2:$B$5,2,FALSE)</f>
        <v>A</v>
      </c>
      <c r="H1252">
        <v>1</v>
      </c>
      <c r="I1252">
        <v>0.78493055555555558</v>
      </c>
      <c r="J1252">
        <v>44793</v>
      </c>
    </row>
    <row r="1253" spans="1:10" x14ac:dyDescent="0.35">
      <c r="A1253" s="2">
        <v>44777</v>
      </c>
      <c r="B1253" s="3">
        <v>0.63643518518518516</v>
      </c>
      <c r="C1253">
        <v>8063</v>
      </c>
      <c r="D1253" t="str">
        <f>VLOOKUP(H1253,Produkt!$A$2:$B$5,2,FALSE)</f>
        <v>B</v>
      </c>
      <c r="H1253">
        <v>2</v>
      </c>
      <c r="I1253">
        <v>0.49510416666666668</v>
      </c>
      <c r="J1253">
        <v>44799</v>
      </c>
    </row>
    <row r="1254" spans="1:10" x14ac:dyDescent="0.35">
      <c r="A1254" s="2">
        <v>44777</v>
      </c>
      <c r="B1254" s="3">
        <v>0.25968750000000002</v>
      </c>
      <c r="C1254">
        <v>8092</v>
      </c>
      <c r="D1254" t="str">
        <f>VLOOKUP(H1254,Produkt!$A$2:$B$5,2,FALSE)</f>
        <v>C</v>
      </c>
      <c r="H1254">
        <v>3</v>
      </c>
      <c r="I1254">
        <v>0.96133101851851854</v>
      </c>
      <c r="J1254">
        <v>44802</v>
      </c>
    </row>
    <row r="1255" spans="1:10" x14ac:dyDescent="0.35">
      <c r="A1255" s="2">
        <v>44777</v>
      </c>
      <c r="B1255" s="3">
        <v>0.31506944444444446</v>
      </c>
      <c r="C1255">
        <v>8096</v>
      </c>
      <c r="D1255" t="str">
        <f>VLOOKUP(H1255,Produkt!$A$2:$B$5,2,FALSE)</f>
        <v>B</v>
      </c>
      <c r="H1255">
        <v>2</v>
      </c>
      <c r="I1255">
        <v>7.8645833333333331E-2</v>
      </c>
      <c r="J1255">
        <v>44779</v>
      </c>
    </row>
    <row r="1256" spans="1:10" x14ac:dyDescent="0.35">
      <c r="A1256" s="2">
        <v>44777</v>
      </c>
      <c r="B1256" s="3">
        <v>0.25339120370370372</v>
      </c>
      <c r="C1256">
        <v>8137</v>
      </c>
      <c r="D1256" t="str">
        <f>VLOOKUP(H1256,Produkt!$A$2:$B$5,2,FALSE)</f>
        <v>B</v>
      </c>
      <c r="H1256">
        <v>2</v>
      </c>
      <c r="I1256">
        <v>0.22104166666666666</v>
      </c>
      <c r="J1256">
        <v>44792</v>
      </c>
    </row>
    <row r="1257" spans="1:10" x14ac:dyDescent="0.35">
      <c r="A1257" s="2">
        <v>44777</v>
      </c>
      <c r="B1257" s="3">
        <v>0.53414351851851849</v>
      </c>
      <c r="C1257">
        <v>8156</v>
      </c>
      <c r="D1257" t="str">
        <f>VLOOKUP(H1257,Produkt!$A$2:$B$5,2,FALSE)</f>
        <v>A</v>
      </c>
      <c r="H1257">
        <v>1</v>
      </c>
      <c r="I1257">
        <v>0.96089120370370373</v>
      </c>
      <c r="J1257">
        <v>44787</v>
      </c>
    </row>
    <row r="1258" spans="1:10" x14ac:dyDescent="0.35">
      <c r="A1258" s="2">
        <v>44777</v>
      </c>
      <c r="B1258" s="3">
        <v>0.23684027777777775</v>
      </c>
      <c r="C1258">
        <v>8205</v>
      </c>
      <c r="D1258" t="str">
        <f>VLOOKUP(H1258,Produkt!$A$2:$B$5,2,FALSE)</f>
        <v>B</v>
      </c>
      <c r="H1258">
        <v>2</v>
      </c>
      <c r="I1258">
        <v>0.17359953703703704</v>
      </c>
      <c r="J1258">
        <v>44783</v>
      </c>
    </row>
    <row r="1259" spans="1:10" x14ac:dyDescent="0.35">
      <c r="A1259" s="2">
        <v>44777</v>
      </c>
      <c r="B1259" s="3">
        <v>0.46299768518518519</v>
      </c>
      <c r="C1259">
        <v>8214</v>
      </c>
      <c r="D1259" t="str">
        <f>VLOOKUP(H1259,Produkt!$A$2:$B$5,2,FALSE)</f>
        <v>D</v>
      </c>
      <c r="H1259">
        <v>4</v>
      </c>
      <c r="I1259">
        <v>0.33353009259259259</v>
      </c>
      <c r="J1259">
        <v>44774</v>
      </c>
    </row>
    <row r="1260" spans="1:10" x14ac:dyDescent="0.35">
      <c r="A1260" s="2">
        <v>44777</v>
      </c>
      <c r="B1260" s="3">
        <v>0.11799768518518518</v>
      </c>
      <c r="C1260">
        <v>8240</v>
      </c>
      <c r="D1260" t="str">
        <f>VLOOKUP(H1260,Produkt!$A$2:$B$5,2,FALSE)</f>
        <v>A</v>
      </c>
      <c r="H1260">
        <v>1</v>
      </c>
      <c r="I1260">
        <v>0.21605324074074073</v>
      </c>
      <c r="J1260">
        <v>44794</v>
      </c>
    </row>
    <row r="1261" spans="1:10" x14ac:dyDescent="0.35">
      <c r="A1261" s="2">
        <v>44777</v>
      </c>
      <c r="B1261" s="3">
        <v>0.57171296296296303</v>
      </c>
      <c r="C1261">
        <v>8252</v>
      </c>
      <c r="D1261" t="str">
        <f>VLOOKUP(H1261,Produkt!$A$2:$B$5,2,FALSE)</f>
        <v>A</v>
      </c>
      <c r="H1261">
        <v>1</v>
      </c>
      <c r="I1261">
        <v>0.38361111111111112</v>
      </c>
      <c r="J1261">
        <v>44793</v>
      </c>
    </row>
    <row r="1262" spans="1:10" x14ac:dyDescent="0.35">
      <c r="A1262" s="2">
        <v>44777</v>
      </c>
      <c r="B1262" s="3">
        <v>5.800925925925926E-2</v>
      </c>
      <c r="C1262">
        <v>8263</v>
      </c>
      <c r="D1262" t="str">
        <f>VLOOKUP(H1262,Produkt!$A$2:$B$5,2,FALSE)</f>
        <v>D</v>
      </c>
      <c r="H1262">
        <v>4</v>
      </c>
      <c r="I1262">
        <v>0.52827546296296302</v>
      </c>
      <c r="J1262">
        <v>44787</v>
      </c>
    </row>
    <row r="1263" spans="1:10" x14ac:dyDescent="0.35">
      <c r="A1263" s="2">
        <v>44777</v>
      </c>
      <c r="B1263" s="3">
        <v>0.37457175925925923</v>
      </c>
      <c r="C1263">
        <v>8294</v>
      </c>
      <c r="D1263" t="str">
        <f>VLOOKUP(H1263,Produkt!$A$2:$B$5,2,FALSE)</f>
        <v>A</v>
      </c>
      <c r="H1263">
        <v>1</v>
      </c>
      <c r="I1263">
        <v>0.34125</v>
      </c>
      <c r="J1263">
        <v>44783</v>
      </c>
    </row>
    <row r="1264" spans="1:10" x14ac:dyDescent="0.35">
      <c r="A1264" s="2">
        <v>44777</v>
      </c>
      <c r="B1264" s="3">
        <v>0.45428240740740744</v>
      </c>
      <c r="C1264">
        <v>8335</v>
      </c>
      <c r="D1264" t="str">
        <f>VLOOKUP(H1264,Produkt!$A$2:$B$5,2,FALSE)</f>
        <v>D</v>
      </c>
      <c r="H1264">
        <v>4</v>
      </c>
      <c r="I1264">
        <v>0.53280092592592598</v>
      </c>
      <c r="J1264">
        <v>44783</v>
      </c>
    </row>
    <row r="1265" spans="1:10" x14ac:dyDescent="0.35">
      <c r="A1265" s="2">
        <v>44777</v>
      </c>
      <c r="B1265" s="3">
        <v>0.97813657407407406</v>
      </c>
      <c r="C1265">
        <v>8407</v>
      </c>
      <c r="D1265" t="str">
        <f>VLOOKUP(H1265,Produkt!$A$2:$B$5,2,FALSE)</f>
        <v>B</v>
      </c>
      <c r="H1265">
        <v>2</v>
      </c>
      <c r="I1265">
        <v>0.64004629629629628</v>
      </c>
      <c r="J1265">
        <v>44796</v>
      </c>
    </row>
    <row r="1266" spans="1:10" x14ac:dyDescent="0.35">
      <c r="A1266" s="2">
        <v>44777</v>
      </c>
      <c r="B1266" s="3">
        <v>0.9937731481481481</v>
      </c>
      <c r="C1266">
        <v>8423</v>
      </c>
      <c r="D1266" t="str">
        <f>VLOOKUP(H1266,Produkt!$A$2:$B$5,2,FALSE)</f>
        <v>C</v>
      </c>
      <c r="H1266">
        <v>3</v>
      </c>
      <c r="I1266">
        <v>0.12413194444444443</v>
      </c>
      <c r="J1266">
        <v>44791</v>
      </c>
    </row>
    <row r="1267" spans="1:10" x14ac:dyDescent="0.35">
      <c r="A1267" s="2">
        <v>44777</v>
      </c>
      <c r="B1267" s="3">
        <v>8.8981481481481481E-2</v>
      </c>
      <c r="C1267">
        <v>8433</v>
      </c>
      <c r="D1267" t="str">
        <f>VLOOKUP(H1267,Produkt!$A$2:$B$5,2,FALSE)</f>
        <v>A</v>
      </c>
      <c r="H1267">
        <v>1</v>
      </c>
      <c r="I1267">
        <v>1.8148148148148146E-2</v>
      </c>
      <c r="J1267">
        <v>44782</v>
      </c>
    </row>
    <row r="1268" spans="1:10" x14ac:dyDescent="0.35">
      <c r="A1268" s="2">
        <v>44777</v>
      </c>
      <c r="B1268" s="3">
        <v>0.13247685185185185</v>
      </c>
      <c r="C1268">
        <v>8493</v>
      </c>
      <c r="D1268" t="str">
        <f>VLOOKUP(H1268,Produkt!$A$2:$B$5,2,FALSE)</f>
        <v>C</v>
      </c>
      <c r="H1268">
        <v>3</v>
      </c>
      <c r="I1268">
        <v>9.9537037037022991E-4</v>
      </c>
      <c r="J1268">
        <v>44775</v>
      </c>
    </row>
    <row r="1269" spans="1:10" x14ac:dyDescent="0.35">
      <c r="A1269" s="2">
        <v>44777</v>
      </c>
      <c r="B1269" s="3">
        <v>0.93839120370370377</v>
      </c>
      <c r="C1269">
        <v>8511</v>
      </c>
      <c r="D1269" t="str">
        <f>VLOOKUP(H1269,Produkt!$A$2:$B$5,2,FALSE)</f>
        <v>C</v>
      </c>
      <c r="H1269">
        <v>3</v>
      </c>
      <c r="I1269">
        <v>0.62938657407407406</v>
      </c>
      <c r="J1269">
        <v>44802</v>
      </c>
    </row>
    <row r="1270" spans="1:10" x14ac:dyDescent="0.35">
      <c r="A1270" s="2">
        <v>44777</v>
      </c>
      <c r="B1270" s="3">
        <v>0.11309027777777779</v>
      </c>
      <c r="C1270">
        <v>8528</v>
      </c>
      <c r="D1270" t="str">
        <f>VLOOKUP(H1270,Produkt!$A$2:$B$5,2,FALSE)</f>
        <v>D</v>
      </c>
      <c r="H1270">
        <v>4</v>
      </c>
      <c r="I1270">
        <v>0.35518518518518521</v>
      </c>
      <c r="J1270">
        <v>44794</v>
      </c>
    </row>
    <row r="1271" spans="1:10" x14ac:dyDescent="0.35">
      <c r="A1271" s="2">
        <v>44777</v>
      </c>
      <c r="B1271" s="3">
        <v>0.37362268518518515</v>
      </c>
      <c r="C1271">
        <v>8604</v>
      </c>
      <c r="D1271" t="str">
        <f>VLOOKUP(H1271,Produkt!$A$2:$B$5,2,FALSE)</f>
        <v>B</v>
      </c>
      <c r="H1271">
        <v>2</v>
      </c>
      <c r="I1271">
        <v>1.9432870370370336E-2</v>
      </c>
      <c r="J1271">
        <v>44794</v>
      </c>
    </row>
    <row r="1272" spans="1:10" x14ac:dyDescent="0.35">
      <c r="A1272" s="2">
        <v>44777</v>
      </c>
      <c r="B1272" s="3">
        <v>0.54640046296296296</v>
      </c>
      <c r="C1272">
        <v>8606</v>
      </c>
      <c r="D1272" t="str">
        <f>VLOOKUP(H1272,Produkt!$A$2:$B$5,2,FALSE)</f>
        <v>D</v>
      </c>
      <c r="H1272">
        <v>4</v>
      </c>
      <c r="I1272">
        <v>0.63549768518518512</v>
      </c>
      <c r="J1272">
        <v>44791</v>
      </c>
    </row>
    <row r="1273" spans="1:10" x14ac:dyDescent="0.35">
      <c r="A1273" s="2">
        <v>44777</v>
      </c>
      <c r="B1273" s="3">
        <v>7.8032407407407411E-2</v>
      </c>
      <c r="C1273">
        <v>8625</v>
      </c>
      <c r="D1273" t="str">
        <f>VLOOKUP(H1273,Produkt!$A$2:$B$5,2,FALSE)</f>
        <v>C</v>
      </c>
      <c r="H1273">
        <v>3</v>
      </c>
      <c r="I1273">
        <v>0.34592592592592591</v>
      </c>
      <c r="J1273">
        <v>44796</v>
      </c>
    </row>
    <row r="1274" spans="1:10" x14ac:dyDescent="0.35">
      <c r="A1274" s="2">
        <v>44777</v>
      </c>
      <c r="B1274" s="3">
        <v>0.81768518518518529</v>
      </c>
      <c r="C1274">
        <v>8697</v>
      </c>
      <c r="D1274" t="str">
        <f>VLOOKUP(H1274,Produkt!$A$2:$B$5,2,FALSE)</f>
        <v>B</v>
      </c>
      <c r="H1274">
        <v>2</v>
      </c>
      <c r="I1274">
        <v>0.56723379629629633</v>
      </c>
      <c r="J1274">
        <v>44789</v>
      </c>
    </row>
    <row r="1275" spans="1:10" x14ac:dyDescent="0.35">
      <c r="A1275" s="2">
        <v>44777</v>
      </c>
      <c r="B1275" s="3">
        <v>0.99247685185185175</v>
      </c>
      <c r="C1275">
        <v>8738</v>
      </c>
      <c r="D1275" t="str">
        <f>VLOOKUP(H1275,Produkt!$A$2:$B$5,2,FALSE)</f>
        <v>B</v>
      </c>
      <c r="H1275">
        <v>2</v>
      </c>
      <c r="I1275">
        <v>0.45346064814814818</v>
      </c>
      <c r="J1275">
        <v>44775</v>
      </c>
    </row>
    <row r="1276" spans="1:10" x14ac:dyDescent="0.35">
      <c r="A1276" s="2">
        <v>44777</v>
      </c>
      <c r="B1276" s="3">
        <v>0.43261574074074072</v>
      </c>
      <c r="C1276">
        <v>8787</v>
      </c>
      <c r="D1276" t="str">
        <f>VLOOKUP(H1276,Produkt!$A$2:$B$5,2,FALSE)</f>
        <v>A</v>
      </c>
      <c r="H1276">
        <v>1</v>
      </c>
      <c r="I1276">
        <v>0.94236111111111109</v>
      </c>
      <c r="J1276">
        <v>44803</v>
      </c>
    </row>
    <row r="1277" spans="1:10" x14ac:dyDescent="0.35">
      <c r="A1277" s="2">
        <v>44777</v>
      </c>
      <c r="B1277" s="3">
        <v>0.28386574074074072</v>
      </c>
      <c r="C1277">
        <v>8868</v>
      </c>
      <c r="D1277" t="str">
        <f>VLOOKUP(H1277,Produkt!$A$2:$B$5,2,FALSE)</f>
        <v>A</v>
      </c>
      <c r="H1277">
        <v>1</v>
      </c>
      <c r="I1277">
        <v>0.33041666666666664</v>
      </c>
      <c r="J1277">
        <v>44774</v>
      </c>
    </row>
    <row r="1278" spans="1:10" x14ac:dyDescent="0.35">
      <c r="A1278" s="2">
        <v>44777</v>
      </c>
      <c r="B1278" s="3">
        <v>0.80417824074074085</v>
      </c>
      <c r="C1278">
        <v>8877</v>
      </c>
      <c r="D1278" t="str">
        <f>VLOOKUP(H1278,Produkt!$A$2:$B$5,2,FALSE)</f>
        <v>A</v>
      </c>
      <c r="H1278">
        <v>1</v>
      </c>
      <c r="I1278">
        <v>0.96475694444444438</v>
      </c>
      <c r="J1278">
        <v>44800</v>
      </c>
    </row>
    <row r="1279" spans="1:10" x14ac:dyDescent="0.35">
      <c r="A1279" s="2">
        <v>44777</v>
      </c>
      <c r="B1279" s="3">
        <v>0.36471064814814813</v>
      </c>
      <c r="C1279">
        <v>8912</v>
      </c>
      <c r="D1279" t="str">
        <f>VLOOKUP(H1279,Produkt!$A$2:$B$5,2,FALSE)</f>
        <v>A</v>
      </c>
      <c r="H1279">
        <v>1</v>
      </c>
      <c r="I1279">
        <v>0.3323726851851852</v>
      </c>
      <c r="J1279">
        <v>44786</v>
      </c>
    </row>
    <row r="1280" spans="1:10" x14ac:dyDescent="0.35">
      <c r="A1280" s="2">
        <v>44777</v>
      </c>
      <c r="B1280" s="3">
        <v>0.91202546296296294</v>
      </c>
      <c r="C1280">
        <v>8992</v>
      </c>
      <c r="D1280" t="str">
        <f>VLOOKUP(H1280,Produkt!$A$2:$B$5,2,FALSE)</f>
        <v>A</v>
      </c>
      <c r="H1280">
        <v>1</v>
      </c>
      <c r="I1280">
        <v>0.39665509259259263</v>
      </c>
      <c r="J1280">
        <v>44792</v>
      </c>
    </row>
    <row r="1281" spans="1:10" x14ac:dyDescent="0.35">
      <c r="A1281" s="2">
        <v>44777</v>
      </c>
      <c r="B1281" s="3">
        <v>0.33487268518518515</v>
      </c>
      <c r="C1281">
        <v>8995</v>
      </c>
      <c r="D1281" t="str">
        <f>VLOOKUP(H1281,Produkt!$A$2:$B$5,2,FALSE)</f>
        <v>A</v>
      </c>
      <c r="H1281">
        <v>1</v>
      </c>
      <c r="I1281">
        <v>3.5590277777777901E-2</v>
      </c>
      <c r="J1281">
        <v>44799</v>
      </c>
    </row>
    <row r="1282" spans="1:10" x14ac:dyDescent="0.35">
      <c r="A1282" s="2">
        <v>44777</v>
      </c>
      <c r="B1282" s="3">
        <v>0.28491898148148148</v>
      </c>
      <c r="C1282">
        <v>9013</v>
      </c>
      <c r="D1282" t="str">
        <f>VLOOKUP(H1282,Produkt!$A$2:$B$5,2,FALSE)</f>
        <v>C</v>
      </c>
      <c r="H1282">
        <v>3</v>
      </c>
      <c r="I1282">
        <v>0.73347222222222219</v>
      </c>
      <c r="J1282">
        <v>44804</v>
      </c>
    </row>
    <row r="1283" spans="1:10" x14ac:dyDescent="0.35">
      <c r="A1283" s="2">
        <v>44777</v>
      </c>
      <c r="B1283" s="3">
        <v>0.73251157407407408</v>
      </c>
      <c r="C1283">
        <v>9014</v>
      </c>
      <c r="D1283" t="str">
        <f>VLOOKUP(H1283,Produkt!$A$2:$B$5,2,FALSE)</f>
        <v>A</v>
      </c>
      <c r="H1283">
        <v>1</v>
      </c>
      <c r="I1283">
        <v>0.6605671296296296</v>
      </c>
      <c r="J1283">
        <v>44792</v>
      </c>
    </row>
    <row r="1284" spans="1:10" x14ac:dyDescent="0.35">
      <c r="A1284" s="2">
        <v>44777</v>
      </c>
      <c r="B1284" s="3">
        <v>0.2761805555555556</v>
      </c>
      <c r="C1284">
        <v>9079</v>
      </c>
      <c r="D1284" t="str">
        <f>VLOOKUP(H1284,Produkt!$A$2:$B$5,2,FALSE)</f>
        <v>B</v>
      </c>
      <c r="H1284">
        <v>2</v>
      </c>
      <c r="I1284">
        <v>0.81425925925925924</v>
      </c>
      <c r="J1284">
        <v>44776</v>
      </c>
    </row>
    <row r="1285" spans="1:10" x14ac:dyDescent="0.35">
      <c r="A1285" s="2">
        <v>44777</v>
      </c>
      <c r="B1285" s="3">
        <v>0.46807870370370369</v>
      </c>
      <c r="C1285">
        <v>9080</v>
      </c>
      <c r="D1285" t="str">
        <f>VLOOKUP(H1285,Produkt!$A$2:$B$5,2,FALSE)</f>
        <v>D</v>
      </c>
      <c r="H1285">
        <v>4</v>
      </c>
      <c r="I1285">
        <v>0.39696759259259262</v>
      </c>
      <c r="J1285">
        <v>44775</v>
      </c>
    </row>
    <row r="1286" spans="1:10" x14ac:dyDescent="0.35">
      <c r="A1286" s="2">
        <v>44777</v>
      </c>
      <c r="B1286" s="3">
        <v>0.72466435185185185</v>
      </c>
      <c r="C1286">
        <v>9081</v>
      </c>
      <c r="D1286" t="str">
        <f>VLOOKUP(H1286,Produkt!$A$2:$B$5,2,FALSE)</f>
        <v>B</v>
      </c>
      <c r="H1286">
        <v>2</v>
      </c>
      <c r="I1286">
        <v>0.48454861111111108</v>
      </c>
      <c r="J1286">
        <v>44798</v>
      </c>
    </row>
    <row r="1287" spans="1:10" x14ac:dyDescent="0.35">
      <c r="A1287" s="2">
        <v>44777</v>
      </c>
      <c r="B1287" s="3">
        <v>0.18813657407407405</v>
      </c>
      <c r="C1287">
        <v>9091</v>
      </c>
      <c r="D1287" t="str">
        <f>VLOOKUP(H1287,Produkt!$A$2:$B$5,2,FALSE)</f>
        <v>C</v>
      </c>
      <c r="H1287">
        <v>3</v>
      </c>
      <c r="I1287">
        <v>0.5615162037037037</v>
      </c>
      <c r="J1287">
        <v>44778</v>
      </c>
    </row>
    <row r="1288" spans="1:10" x14ac:dyDescent="0.35">
      <c r="A1288" s="2">
        <v>44777</v>
      </c>
      <c r="B1288" s="3">
        <v>0.74613425925925936</v>
      </c>
      <c r="C1288">
        <v>9146</v>
      </c>
      <c r="D1288" t="str">
        <f>VLOOKUP(H1288,Produkt!$A$2:$B$5,2,FALSE)</f>
        <v>D</v>
      </c>
      <c r="H1288">
        <v>4</v>
      </c>
      <c r="I1288">
        <v>0.26059027777777777</v>
      </c>
      <c r="J1288">
        <v>44791</v>
      </c>
    </row>
    <row r="1289" spans="1:10" x14ac:dyDescent="0.35">
      <c r="A1289" s="2">
        <v>44777</v>
      </c>
      <c r="B1289" s="3">
        <v>0.33182870370370371</v>
      </c>
      <c r="C1289">
        <v>9179</v>
      </c>
      <c r="D1289" t="str">
        <f>VLOOKUP(H1289,Produkt!$A$2:$B$5,2,FALSE)</f>
        <v>B</v>
      </c>
      <c r="H1289">
        <v>2</v>
      </c>
      <c r="I1289">
        <v>0.28638888888888886</v>
      </c>
      <c r="J1289">
        <v>44779</v>
      </c>
    </row>
    <row r="1290" spans="1:10" x14ac:dyDescent="0.35">
      <c r="A1290" s="2">
        <v>44777</v>
      </c>
      <c r="B1290" s="3">
        <v>0.14987268518518518</v>
      </c>
      <c r="C1290">
        <v>9279</v>
      </c>
      <c r="D1290" t="str">
        <f>VLOOKUP(H1290,Produkt!$A$2:$B$5,2,FALSE)</f>
        <v>A</v>
      </c>
      <c r="H1290">
        <v>1</v>
      </c>
      <c r="I1290">
        <v>0.4812731481481482</v>
      </c>
      <c r="J1290">
        <v>44780</v>
      </c>
    </row>
    <row r="1291" spans="1:10" x14ac:dyDescent="0.35">
      <c r="A1291" s="2">
        <v>44777</v>
      </c>
      <c r="B1291" s="3">
        <v>4.0289351851851847E-2</v>
      </c>
      <c r="C1291">
        <v>9385</v>
      </c>
      <c r="D1291" t="str">
        <f>VLOOKUP(H1291,Produkt!$A$2:$B$5,2,FALSE)</f>
        <v>C</v>
      </c>
      <c r="H1291">
        <v>3</v>
      </c>
      <c r="I1291">
        <v>0.49956018518518519</v>
      </c>
      <c r="J1291">
        <v>44789</v>
      </c>
    </row>
    <row r="1292" spans="1:10" x14ac:dyDescent="0.35">
      <c r="A1292" s="2">
        <v>44777</v>
      </c>
      <c r="B1292" s="3">
        <v>0.4324884259259259</v>
      </c>
      <c r="C1292">
        <v>9401</v>
      </c>
      <c r="D1292" t="str">
        <f>VLOOKUP(H1292,Produkt!$A$2:$B$5,2,FALSE)</f>
        <v>A</v>
      </c>
      <c r="H1292">
        <v>1</v>
      </c>
      <c r="I1292">
        <v>0.59005787037037039</v>
      </c>
      <c r="J1292">
        <v>44796</v>
      </c>
    </row>
    <row r="1293" spans="1:10" x14ac:dyDescent="0.35">
      <c r="A1293" s="2">
        <v>44777</v>
      </c>
      <c r="B1293" s="3">
        <v>0.66184027777777776</v>
      </c>
      <c r="C1293">
        <v>9413</v>
      </c>
      <c r="D1293" t="str">
        <f>VLOOKUP(H1293,Produkt!$A$2:$B$5,2,FALSE)</f>
        <v>C</v>
      </c>
      <c r="H1293">
        <v>3</v>
      </c>
      <c r="I1293">
        <v>3.142361111111111E-2</v>
      </c>
      <c r="J1293">
        <v>44790</v>
      </c>
    </row>
    <row r="1294" spans="1:10" x14ac:dyDescent="0.35">
      <c r="A1294" s="2">
        <v>44777</v>
      </c>
      <c r="B1294" s="3">
        <v>0.13097222222222224</v>
      </c>
      <c r="C1294">
        <v>9460</v>
      </c>
      <c r="D1294" t="str">
        <f>VLOOKUP(H1294,Produkt!$A$2:$B$5,2,FALSE)</f>
        <v>D</v>
      </c>
      <c r="H1294">
        <v>4</v>
      </c>
      <c r="I1294">
        <v>6.2569444444444441E-2</v>
      </c>
      <c r="J1294">
        <v>44787</v>
      </c>
    </row>
    <row r="1295" spans="1:10" x14ac:dyDescent="0.35">
      <c r="A1295" s="2">
        <v>44777</v>
      </c>
      <c r="B1295" s="3">
        <v>0.3677199074074074</v>
      </c>
      <c r="C1295">
        <v>9478</v>
      </c>
      <c r="D1295" t="str">
        <f>VLOOKUP(H1295,Produkt!$A$2:$B$5,2,FALSE)</f>
        <v>B</v>
      </c>
      <c r="H1295">
        <v>2</v>
      </c>
      <c r="I1295">
        <v>0.41084490740740742</v>
      </c>
      <c r="J1295">
        <v>44783</v>
      </c>
    </row>
    <row r="1296" spans="1:10" x14ac:dyDescent="0.35">
      <c r="A1296" s="2">
        <v>44777</v>
      </c>
      <c r="B1296" s="3">
        <v>0.39319444444444446</v>
      </c>
      <c r="C1296">
        <v>9495</v>
      </c>
      <c r="D1296" t="str">
        <f>VLOOKUP(H1296,Produkt!$A$2:$B$5,2,FALSE)</f>
        <v>A</v>
      </c>
      <c r="H1296">
        <v>1</v>
      </c>
      <c r="I1296">
        <v>0.73284722222222232</v>
      </c>
      <c r="J1296">
        <v>44786</v>
      </c>
    </row>
    <row r="1297" spans="1:10" x14ac:dyDescent="0.35">
      <c r="A1297" s="2">
        <v>44777</v>
      </c>
      <c r="B1297" s="3">
        <v>0.89056712962962958</v>
      </c>
      <c r="C1297">
        <v>9502</v>
      </c>
      <c r="D1297" t="str">
        <f>VLOOKUP(H1297,Produkt!$A$2:$B$5,2,FALSE)</f>
        <v>D</v>
      </c>
      <c r="H1297">
        <v>4</v>
      </c>
      <c r="I1297">
        <v>3.1261574074074039E-2</v>
      </c>
      <c r="J1297">
        <v>44780</v>
      </c>
    </row>
    <row r="1298" spans="1:10" x14ac:dyDescent="0.35">
      <c r="A1298" s="2">
        <v>44777</v>
      </c>
      <c r="B1298" s="3">
        <v>0.38893518518518522</v>
      </c>
      <c r="C1298">
        <v>9511</v>
      </c>
      <c r="D1298" t="str">
        <f>VLOOKUP(H1298,Produkt!$A$2:$B$5,2,FALSE)</f>
        <v>D</v>
      </c>
      <c r="H1298">
        <v>4</v>
      </c>
      <c r="I1298">
        <v>8.3796296296296813E-3</v>
      </c>
      <c r="J1298">
        <v>44788</v>
      </c>
    </row>
    <row r="1299" spans="1:10" x14ac:dyDescent="0.35">
      <c r="A1299" s="2">
        <v>44777</v>
      </c>
      <c r="B1299" s="3">
        <v>0.99180555555555561</v>
      </c>
      <c r="C1299">
        <v>9512</v>
      </c>
      <c r="D1299" t="str">
        <f>VLOOKUP(H1299,Produkt!$A$2:$B$5,2,FALSE)</f>
        <v>B</v>
      </c>
      <c r="H1299">
        <v>2</v>
      </c>
      <c r="I1299">
        <v>8.2592592592592592E-2</v>
      </c>
      <c r="J1299">
        <v>44789</v>
      </c>
    </row>
    <row r="1300" spans="1:10" x14ac:dyDescent="0.35">
      <c r="A1300" s="2">
        <v>44777</v>
      </c>
      <c r="B1300" s="3">
        <v>0.25427083333333333</v>
      </c>
      <c r="C1300">
        <v>9586</v>
      </c>
      <c r="D1300" t="str">
        <f>VLOOKUP(H1300,Produkt!$A$2:$B$5,2,FALSE)</f>
        <v>D</v>
      </c>
      <c r="H1300">
        <v>4</v>
      </c>
      <c r="I1300">
        <v>0.19822916666666668</v>
      </c>
      <c r="J1300">
        <v>44780</v>
      </c>
    </row>
    <row r="1301" spans="1:10" x14ac:dyDescent="0.35">
      <c r="A1301" s="2">
        <v>44777</v>
      </c>
      <c r="B1301" s="3">
        <v>2.2268518518518521E-2</v>
      </c>
      <c r="C1301">
        <v>9597</v>
      </c>
      <c r="D1301" t="str">
        <f>VLOOKUP(H1301,Produkt!$A$2:$B$5,2,FALSE)</f>
        <v>A</v>
      </c>
      <c r="H1301">
        <v>1</v>
      </c>
      <c r="I1301">
        <v>0.59782407407407401</v>
      </c>
      <c r="J1301">
        <v>44774</v>
      </c>
    </row>
    <row r="1302" spans="1:10" x14ac:dyDescent="0.35">
      <c r="A1302" s="2">
        <v>44777</v>
      </c>
      <c r="B1302" s="3">
        <v>0.94681712962962961</v>
      </c>
      <c r="C1302">
        <v>9598</v>
      </c>
      <c r="D1302" t="str">
        <f>VLOOKUP(H1302,Produkt!$A$2:$B$5,2,FALSE)</f>
        <v>A</v>
      </c>
      <c r="H1302">
        <v>1</v>
      </c>
      <c r="I1302">
        <v>0.75986111111111121</v>
      </c>
      <c r="J1302">
        <v>44779</v>
      </c>
    </row>
    <row r="1303" spans="1:10" x14ac:dyDescent="0.35">
      <c r="A1303" s="2">
        <v>44777</v>
      </c>
      <c r="B1303" s="3">
        <v>0.51761574074074079</v>
      </c>
      <c r="C1303">
        <v>9676</v>
      </c>
      <c r="D1303" t="str">
        <f>VLOOKUP(H1303,Produkt!$A$2:$B$5,2,FALSE)</f>
        <v>A</v>
      </c>
      <c r="H1303">
        <v>1</v>
      </c>
      <c r="I1303">
        <v>0.54956018518518512</v>
      </c>
      <c r="J1303">
        <v>44798</v>
      </c>
    </row>
    <row r="1304" spans="1:10" x14ac:dyDescent="0.35">
      <c r="A1304" s="2">
        <v>44777</v>
      </c>
      <c r="B1304" s="3">
        <v>0.81042824074074071</v>
      </c>
      <c r="C1304">
        <v>9681</v>
      </c>
      <c r="D1304" t="str">
        <f>VLOOKUP(H1304,Produkt!$A$2:$B$5,2,FALSE)</f>
        <v>B</v>
      </c>
      <c r="H1304">
        <v>2</v>
      </c>
      <c r="I1304">
        <v>0.47960648148148149</v>
      </c>
      <c r="J1304">
        <v>44777</v>
      </c>
    </row>
    <row r="1305" spans="1:10" x14ac:dyDescent="0.35">
      <c r="A1305" s="2">
        <v>44777</v>
      </c>
      <c r="B1305" s="3">
        <v>0.51302083333333337</v>
      </c>
      <c r="C1305">
        <v>9699</v>
      </c>
      <c r="D1305" t="str">
        <f>VLOOKUP(H1305,Produkt!$A$2:$B$5,2,FALSE)</f>
        <v>A</v>
      </c>
      <c r="H1305">
        <v>1</v>
      </c>
      <c r="I1305">
        <v>7.9050925925925331E-3</v>
      </c>
      <c r="J1305">
        <v>44784</v>
      </c>
    </row>
    <row r="1306" spans="1:10" x14ac:dyDescent="0.35">
      <c r="A1306" s="2">
        <v>44777</v>
      </c>
      <c r="B1306" s="3">
        <v>0.52320601851851845</v>
      </c>
      <c r="C1306">
        <v>9748</v>
      </c>
      <c r="D1306" t="str">
        <f>VLOOKUP(H1306,Produkt!$A$2:$B$5,2,FALSE)</f>
        <v>C</v>
      </c>
      <c r="H1306">
        <v>3</v>
      </c>
      <c r="I1306">
        <v>0.98692129629629621</v>
      </c>
      <c r="J1306">
        <v>44801</v>
      </c>
    </row>
    <row r="1307" spans="1:10" x14ac:dyDescent="0.35">
      <c r="A1307" s="2">
        <v>44777</v>
      </c>
      <c r="B1307" s="3">
        <v>0.4937037037037037</v>
      </c>
      <c r="C1307">
        <v>9824</v>
      </c>
      <c r="D1307" t="str">
        <f>VLOOKUP(H1307,Produkt!$A$2:$B$5,2,FALSE)</f>
        <v>B</v>
      </c>
      <c r="H1307">
        <v>2</v>
      </c>
      <c r="I1307">
        <v>0.17350694444444445</v>
      </c>
      <c r="J1307">
        <v>44795</v>
      </c>
    </row>
    <row r="1308" spans="1:10" x14ac:dyDescent="0.35">
      <c r="A1308" s="2">
        <v>44777</v>
      </c>
      <c r="B1308" s="3">
        <v>0.75724537037037043</v>
      </c>
      <c r="C1308">
        <v>9845</v>
      </c>
      <c r="D1308" t="str">
        <f>VLOOKUP(H1308,Produkt!$A$2:$B$5,2,FALSE)</f>
        <v>D</v>
      </c>
      <c r="H1308">
        <v>4</v>
      </c>
      <c r="I1308">
        <v>0.60273148148148148</v>
      </c>
      <c r="J1308">
        <v>44791</v>
      </c>
    </row>
    <row r="1309" spans="1:10" x14ac:dyDescent="0.35">
      <c r="A1309" s="2">
        <v>44777</v>
      </c>
      <c r="B1309" s="3">
        <v>0.46284722222222219</v>
      </c>
      <c r="C1309">
        <v>9945</v>
      </c>
      <c r="D1309" t="str">
        <f>VLOOKUP(H1309,Produkt!$A$2:$B$5,2,FALSE)</f>
        <v>C</v>
      </c>
      <c r="H1309">
        <v>3</v>
      </c>
      <c r="I1309">
        <v>0.84479166666666661</v>
      </c>
      <c r="J1309">
        <v>44794</v>
      </c>
    </row>
    <row r="1310" spans="1:10" x14ac:dyDescent="0.35">
      <c r="A1310" s="2">
        <v>44777</v>
      </c>
      <c r="B1310" s="3">
        <v>0.76305555555555549</v>
      </c>
      <c r="C1310">
        <v>9980</v>
      </c>
      <c r="D1310" t="str">
        <f>VLOOKUP(H1310,Produkt!$A$2:$B$5,2,FALSE)</f>
        <v>C</v>
      </c>
      <c r="H1310">
        <v>3</v>
      </c>
      <c r="I1310">
        <v>0.24628472222222222</v>
      </c>
      <c r="J1310">
        <v>44783</v>
      </c>
    </row>
    <row r="1311" spans="1:10" x14ac:dyDescent="0.35">
      <c r="A1311" s="2">
        <v>44778</v>
      </c>
      <c r="B1311" s="3">
        <v>0.78412037037037041</v>
      </c>
      <c r="C1311">
        <v>5</v>
      </c>
      <c r="D1311" t="str">
        <f>VLOOKUP(H1311,Produkt!$A$2:$B$5,2,FALSE)</f>
        <v>A</v>
      </c>
      <c r="H1311">
        <v>1</v>
      </c>
      <c r="I1311">
        <v>0.82041666666666668</v>
      </c>
      <c r="J1311">
        <v>44777</v>
      </c>
    </row>
    <row r="1312" spans="1:10" x14ac:dyDescent="0.35">
      <c r="A1312" s="2">
        <v>44778</v>
      </c>
      <c r="B1312" s="3">
        <v>0.9962037037037037</v>
      </c>
      <c r="C1312">
        <v>23</v>
      </c>
      <c r="D1312" t="str">
        <f>VLOOKUP(H1312,Produkt!$A$2:$B$5,2,FALSE)</f>
        <v>B</v>
      </c>
      <c r="H1312">
        <v>2</v>
      </c>
      <c r="I1312">
        <v>0.39074074074074078</v>
      </c>
      <c r="J1312">
        <v>44779</v>
      </c>
    </row>
    <row r="1313" spans="1:10" x14ac:dyDescent="0.35">
      <c r="A1313" s="2">
        <v>44778</v>
      </c>
      <c r="B1313" s="3">
        <v>2.4189814814814747E-2</v>
      </c>
      <c r="C1313">
        <v>36</v>
      </c>
      <c r="D1313" t="str">
        <f>VLOOKUP(H1313,Produkt!$A$2:$B$5,2,FALSE)</f>
        <v>C</v>
      </c>
      <c r="H1313">
        <v>3</v>
      </c>
      <c r="I1313">
        <v>0.52773148148148141</v>
      </c>
      <c r="J1313">
        <v>44781</v>
      </c>
    </row>
    <row r="1314" spans="1:10" x14ac:dyDescent="0.35">
      <c r="A1314" s="2">
        <v>44778</v>
      </c>
      <c r="B1314" s="3">
        <v>0.82512731481481483</v>
      </c>
      <c r="C1314">
        <v>80</v>
      </c>
      <c r="D1314" t="str">
        <f>VLOOKUP(H1314,Produkt!$A$2:$B$5,2,FALSE)</f>
        <v>B</v>
      </c>
      <c r="H1314">
        <v>2</v>
      </c>
      <c r="I1314">
        <v>0.4244560185185185</v>
      </c>
      <c r="J1314">
        <v>44792</v>
      </c>
    </row>
    <row r="1315" spans="1:10" x14ac:dyDescent="0.35">
      <c r="A1315" s="2">
        <v>44778</v>
      </c>
      <c r="B1315" s="3">
        <v>0.55103009259259261</v>
      </c>
      <c r="C1315">
        <v>98</v>
      </c>
      <c r="D1315" t="str">
        <f>VLOOKUP(H1315,Produkt!$A$2:$B$5,2,FALSE)</f>
        <v>D</v>
      </c>
      <c r="H1315">
        <v>4</v>
      </c>
      <c r="I1315">
        <v>0.59149305555555554</v>
      </c>
      <c r="J1315">
        <v>44783</v>
      </c>
    </row>
    <row r="1316" spans="1:10" x14ac:dyDescent="0.35">
      <c r="A1316" s="2">
        <v>44778</v>
      </c>
      <c r="B1316" s="3">
        <v>0.34459490740740745</v>
      </c>
      <c r="C1316">
        <v>123</v>
      </c>
      <c r="D1316" t="str">
        <f>VLOOKUP(H1316,Produkt!$A$2:$B$5,2,FALSE)</f>
        <v>D</v>
      </c>
      <c r="H1316">
        <v>4</v>
      </c>
      <c r="I1316">
        <v>0.68254629629629626</v>
      </c>
      <c r="J1316">
        <v>44778</v>
      </c>
    </row>
    <row r="1317" spans="1:10" x14ac:dyDescent="0.35">
      <c r="A1317" s="2">
        <v>44778</v>
      </c>
      <c r="B1317" s="3">
        <v>0.67653935185185177</v>
      </c>
      <c r="C1317">
        <v>128</v>
      </c>
      <c r="D1317" t="str">
        <f>VLOOKUP(H1317,Produkt!$A$2:$B$5,2,FALSE)</f>
        <v>B</v>
      </c>
      <c r="H1317">
        <v>2</v>
      </c>
      <c r="I1317">
        <v>0.65049768518518525</v>
      </c>
      <c r="J1317">
        <v>44788</v>
      </c>
    </row>
    <row r="1318" spans="1:10" x14ac:dyDescent="0.35">
      <c r="A1318" s="2">
        <v>44778</v>
      </c>
      <c r="B1318" s="3">
        <v>7.0717592592592596E-2</v>
      </c>
      <c r="C1318">
        <v>171</v>
      </c>
      <c r="D1318" t="str">
        <f>VLOOKUP(H1318,Produkt!$A$2:$B$5,2,FALSE)</f>
        <v>C</v>
      </c>
      <c r="H1318">
        <v>3</v>
      </c>
      <c r="I1318">
        <v>0.74773148148148139</v>
      </c>
      <c r="J1318">
        <v>44775</v>
      </c>
    </row>
    <row r="1319" spans="1:10" x14ac:dyDescent="0.35">
      <c r="A1319" s="2">
        <v>44778</v>
      </c>
      <c r="B1319" s="3">
        <v>0.69827546296296295</v>
      </c>
      <c r="C1319">
        <v>175</v>
      </c>
      <c r="D1319" t="str">
        <f>VLOOKUP(H1319,Produkt!$A$2:$B$5,2,FALSE)</f>
        <v>C</v>
      </c>
      <c r="H1319">
        <v>3</v>
      </c>
      <c r="I1319">
        <v>8.8495370370370363E-2</v>
      </c>
      <c r="J1319">
        <v>44797</v>
      </c>
    </row>
    <row r="1320" spans="1:10" x14ac:dyDescent="0.35">
      <c r="A1320" s="2">
        <v>44778</v>
      </c>
      <c r="B1320" s="3">
        <v>0.28753472222222221</v>
      </c>
      <c r="C1320">
        <v>214</v>
      </c>
      <c r="D1320" t="str">
        <f>VLOOKUP(H1320,Produkt!$A$2:$B$5,2,FALSE)</f>
        <v>A</v>
      </c>
      <c r="H1320">
        <v>1</v>
      </c>
      <c r="I1320">
        <v>0.98707175925925927</v>
      </c>
      <c r="J1320">
        <v>44783</v>
      </c>
    </row>
    <row r="1321" spans="1:10" x14ac:dyDescent="0.35">
      <c r="A1321" s="2">
        <v>44778</v>
      </c>
      <c r="B1321" s="3">
        <v>0.40069444444444446</v>
      </c>
      <c r="C1321">
        <v>223</v>
      </c>
      <c r="D1321" t="str">
        <f>VLOOKUP(H1321,Produkt!$A$2:$B$5,2,FALSE)</f>
        <v>D</v>
      </c>
      <c r="H1321">
        <v>4</v>
      </c>
      <c r="I1321">
        <v>0.19237268518518516</v>
      </c>
      <c r="J1321">
        <v>44797</v>
      </c>
    </row>
    <row r="1322" spans="1:10" x14ac:dyDescent="0.35">
      <c r="A1322" s="2">
        <v>44778</v>
      </c>
      <c r="B1322" s="3">
        <v>0.57006944444444441</v>
      </c>
      <c r="C1322">
        <v>229</v>
      </c>
      <c r="D1322" t="str">
        <f>VLOOKUP(H1322,Produkt!$A$2:$B$5,2,FALSE)</f>
        <v>B</v>
      </c>
      <c r="H1322">
        <v>2</v>
      </c>
      <c r="I1322">
        <v>0.38655092592592594</v>
      </c>
      <c r="J1322">
        <v>44797</v>
      </c>
    </row>
    <row r="1323" spans="1:10" x14ac:dyDescent="0.35">
      <c r="A1323" s="2">
        <v>44778</v>
      </c>
      <c r="B1323" s="3">
        <v>0.22756944444444446</v>
      </c>
      <c r="C1323">
        <v>267</v>
      </c>
      <c r="D1323" t="str">
        <f>VLOOKUP(H1323,Produkt!$A$2:$B$5,2,FALSE)</f>
        <v>A</v>
      </c>
      <c r="H1323">
        <v>1</v>
      </c>
      <c r="I1323">
        <v>0.44896990740740739</v>
      </c>
      <c r="J1323">
        <v>44798</v>
      </c>
    </row>
    <row r="1324" spans="1:10" x14ac:dyDescent="0.35">
      <c r="A1324" s="2">
        <v>44778</v>
      </c>
      <c r="B1324" s="3">
        <v>9.5324074074074075E-2</v>
      </c>
      <c r="C1324">
        <v>285</v>
      </c>
      <c r="D1324" t="str">
        <f>VLOOKUP(H1324,Produkt!$A$2:$B$5,2,FALSE)</f>
        <v>D</v>
      </c>
      <c r="H1324">
        <v>4</v>
      </c>
      <c r="I1324">
        <v>9.5034722222222215E-2</v>
      </c>
      <c r="J1324">
        <v>44774</v>
      </c>
    </row>
    <row r="1325" spans="1:10" x14ac:dyDescent="0.35">
      <c r="A1325" s="2">
        <v>44778</v>
      </c>
      <c r="B1325" s="3">
        <v>0.62031249999999993</v>
      </c>
      <c r="C1325">
        <v>318</v>
      </c>
      <c r="D1325" t="str">
        <f>VLOOKUP(H1325,Produkt!$A$2:$B$5,2,FALSE)</f>
        <v>A</v>
      </c>
      <c r="H1325">
        <v>1</v>
      </c>
      <c r="I1325">
        <v>0.24934027777777779</v>
      </c>
      <c r="J1325">
        <v>44801</v>
      </c>
    </row>
    <row r="1326" spans="1:10" x14ac:dyDescent="0.35">
      <c r="A1326" s="2">
        <v>44778</v>
      </c>
      <c r="B1326" s="3">
        <v>0.71070601851851845</v>
      </c>
      <c r="C1326">
        <v>362</v>
      </c>
      <c r="D1326" t="str">
        <f>VLOOKUP(H1326,Produkt!$A$2:$B$5,2,FALSE)</f>
        <v>B</v>
      </c>
      <c r="H1326">
        <v>2</v>
      </c>
      <c r="I1326">
        <v>0.53232638888888884</v>
      </c>
      <c r="J1326">
        <v>44778</v>
      </c>
    </row>
    <row r="1327" spans="1:10" x14ac:dyDescent="0.35">
      <c r="A1327" s="2">
        <v>44778</v>
      </c>
      <c r="B1327" s="3">
        <v>0.46869212962962964</v>
      </c>
      <c r="C1327">
        <v>435</v>
      </c>
      <c r="D1327" t="str">
        <f>VLOOKUP(H1327,Produkt!$A$2:$B$5,2,FALSE)</f>
        <v>A</v>
      </c>
      <c r="H1327">
        <v>1</v>
      </c>
      <c r="I1327">
        <v>0.64429398148148154</v>
      </c>
      <c r="J1327">
        <v>44779</v>
      </c>
    </row>
    <row r="1328" spans="1:10" x14ac:dyDescent="0.35">
      <c r="A1328" s="2">
        <v>44778</v>
      </c>
      <c r="B1328" s="3">
        <v>0.6182523148148148</v>
      </c>
      <c r="C1328">
        <v>437</v>
      </c>
      <c r="D1328" t="str">
        <f>VLOOKUP(H1328,Produkt!$A$2:$B$5,2,FALSE)</f>
        <v>A</v>
      </c>
      <c r="H1328">
        <v>1</v>
      </c>
      <c r="I1328">
        <v>9.8298611111111114E-2</v>
      </c>
      <c r="J1328">
        <v>44803</v>
      </c>
    </row>
    <row r="1329" spans="1:10" x14ac:dyDescent="0.35">
      <c r="A1329" s="2">
        <v>44778</v>
      </c>
      <c r="B1329" s="3">
        <v>0.20854166666666665</v>
      </c>
      <c r="C1329">
        <v>526</v>
      </c>
      <c r="D1329" t="str">
        <f>VLOOKUP(H1329,Produkt!$A$2:$B$5,2,FALSE)</f>
        <v>D</v>
      </c>
      <c r="H1329">
        <v>4</v>
      </c>
      <c r="I1329">
        <v>0.71657407407407403</v>
      </c>
      <c r="J1329">
        <v>44779</v>
      </c>
    </row>
    <row r="1330" spans="1:10" x14ac:dyDescent="0.35">
      <c r="A1330" s="2">
        <v>44778</v>
      </c>
      <c r="B1330" s="3">
        <v>0.97219907407407413</v>
      </c>
      <c r="C1330">
        <v>545</v>
      </c>
      <c r="D1330" t="str">
        <f>VLOOKUP(H1330,Produkt!$A$2:$B$5,2,FALSE)</f>
        <v>D</v>
      </c>
      <c r="H1330">
        <v>4</v>
      </c>
      <c r="I1330">
        <v>0.73722222222222233</v>
      </c>
      <c r="J1330">
        <v>44778</v>
      </c>
    </row>
    <row r="1331" spans="1:10" x14ac:dyDescent="0.35">
      <c r="A1331" s="2">
        <v>44778</v>
      </c>
      <c r="B1331" s="3">
        <v>0.14586805555555557</v>
      </c>
      <c r="C1331">
        <v>548</v>
      </c>
      <c r="D1331" t="str">
        <f>VLOOKUP(H1331,Produkt!$A$2:$B$5,2,FALSE)</f>
        <v>A</v>
      </c>
      <c r="H1331">
        <v>1</v>
      </c>
      <c r="I1331">
        <v>0.75940972222222225</v>
      </c>
      <c r="J1331">
        <v>44781</v>
      </c>
    </row>
    <row r="1332" spans="1:10" x14ac:dyDescent="0.35">
      <c r="A1332" s="2">
        <v>44778</v>
      </c>
      <c r="B1332" s="3">
        <v>0.13988425925925926</v>
      </c>
      <c r="C1332">
        <v>552</v>
      </c>
      <c r="D1332" t="str">
        <f>VLOOKUP(H1332,Produkt!$A$2:$B$5,2,FALSE)</f>
        <v>A</v>
      </c>
      <c r="H1332">
        <v>1</v>
      </c>
      <c r="I1332">
        <v>2.9131944444444446E-2</v>
      </c>
      <c r="J1332">
        <v>44785</v>
      </c>
    </row>
    <row r="1333" spans="1:10" x14ac:dyDescent="0.35">
      <c r="A1333" s="2">
        <v>44778</v>
      </c>
      <c r="B1333" s="3">
        <v>0.93825231481481486</v>
      </c>
      <c r="C1333">
        <v>560</v>
      </c>
      <c r="D1333" t="str">
        <f>VLOOKUP(H1333,Produkt!$A$2:$B$5,2,FALSE)</f>
        <v>D</v>
      </c>
      <c r="H1333">
        <v>4</v>
      </c>
      <c r="I1333">
        <v>0.23465277777777779</v>
      </c>
      <c r="J1333">
        <v>44781</v>
      </c>
    </row>
    <row r="1334" spans="1:10" x14ac:dyDescent="0.35">
      <c r="A1334" s="2">
        <v>44778</v>
      </c>
      <c r="B1334" s="3">
        <v>0.19078703703703703</v>
      </c>
      <c r="C1334">
        <v>569</v>
      </c>
      <c r="D1334" t="str">
        <f>VLOOKUP(H1334,Produkt!$A$2:$B$5,2,FALSE)</f>
        <v>C</v>
      </c>
      <c r="H1334">
        <v>3</v>
      </c>
      <c r="I1334">
        <v>1.2037037037037038E-3</v>
      </c>
      <c r="J1334">
        <v>44790</v>
      </c>
    </row>
    <row r="1335" spans="1:10" x14ac:dyDescent="0.35">
      <c r="A1335" s="2">
        <v>44778</v>
      </c>
      <c r="B1335" s="3">
        <v>4.6469907407407411E-2</v>
      </c>
      <c r="C1335">
        <v>575</v>
      </c>
      <c r="D1335" t="str">
        <f>VLOOKUP(H1335,Produkt!$A$2:$B$5,2,FALSE)</f>
        <v>D</v>
      </c>
      <c r="H1335">
        <v>4</v>
      </c>
      <c r="I1335">
        <v>0.38686342592592587</v>
      </c>
      <c r="J1335">
        <v>44779</v>
      </c>
    </row>
    <row r="1336" spans="1:10" x14ac:dyDescent="0.35">
      <c r="A1336" s="2">
        <v>44778</v>
      </c>
      <c r="B1336" s="3">
        <v>0.49071759259259262</v>
      </c>
      <c r="C1336">
        <v>657</v>
      </c>
      <c r="D1336" t="str">
        <f>VLOOKUP(H1336,Produkt!$A$2:$B$5,2,FALSE)</f>
        <v>A</v>
      </c>
      <c r="H1336">
        <v>1</v>
      </c>
      <c r="I1336">
        <v>0.81775462962962964</v>
      </c>
      <c r="J1336">
        <v>44792</v>
      </c>
    </row>
    <row r="1337" spans="1:10" x14ac:dyDescent="0.35">
      <c r="A1337" s="2">
        <v>44778</v>
      </c>
      <c r="B1337" s="3">
        <v>2.1388888888888902E-2</v>
      </c>
      <c r="C1337">
        <v>708</v>
      </c>
      <c r="D1337" t="str">
        <f>VLOOKUP(H1337,Produkt!$A$2:$B$5,2,FALSE)</f>
        <v>D</v>
      </c>
      <c r="H1337">
        <v>4</v>
      </c>
      <c r="I1337">
        <v>0.95178240740740738</v>
      </c>
      <c r="J1337">
        <v>44798</v>
      </c>
    </row>
    <row r="1338" spans="1:10" x14ac:dyDescent="0.35">
      <c r="A1338" s="2">
        <v>44778</v>
      </c>
      <c r="B1338" s="3">
        <v>0.83431712962962967</v>
      </c>
      <c r="C1338">
        <v>725</v>
      </c>
      <c r="D1338" t="str">
        <f>VLOOKUP(H1338,Produkt!$A$2:$B$5,2,FALSE)</f>
        <v>A</v>
      </c>
      <c r="H1338">
        <v>1</v>
      </c>
      <c r="I1338">
        <v>0.66521990740740744</v>
      </c>
      <c r="J1338">
        <v>44782</v>
      </c>
    </row>
    <row r="1339" spans="1:10" x14ac:dyDescent="0.35">
      <c r="A1339" s="2">
        <v>44778</v>
      </c>
      <c r="B1339" s="3">
        <v>0.19944444444444445</v>
      </c>
      <c r="C1339">
        <v>793</v>
      </c>
      <c r="D1339" t="str">
        <f>VLOOKUP(H1339,Produkt!$A$2:$B$5,2,FALSE)</f>
        <v>D</v>
      </c>
      <c r="H1339">
        <v>4</v>
      </c>
      <c r="I1339">
        <v>0.62592592592592589</v>
      </c>
      <c r="J1339">
        <v>44790</v>
      </c>
    </row>
    <row r="1340" spans="1:10" x14ac:dyDescent="0.35">
      <c r="A1340" s="2">
        <v>44778</v>
      </c>
      <c r="B1340" s="3">
        <v>0.66232638888888895</v>
      </c>
      <c r="C1340">
        <v>796</v>
      </c>
      <c r="D1340" t="str">
        <f>VLOOKUP(H1340,Produkt!$A$2:$B$5,2,FALSE)</f>
        <v>D</v>
      </c>
      <c r="H1340">
        <v>4</v>
      </c>
      <c r="I1340">
        <v>0.52726851851851853</v>
      </c>
      <c r="J1340">
        <v>44801</v>
      </c>
    </row>
    <row r="1341" spans="1:10" x14ac:dyDescent="0.35">
      <c r="A1341" s="2">
        <v>44778</v>
      </c>
      <c r="B1341" s="3">
        <v>0.9523611111111111</v>
      </c>
      <c r="C1341">
        <v>809</v>
      </c>
      <c r="D1341" t="str">
        <f>VLOOKUP(H1341,Produkt!$A$2:$B$5,2,FALSE)</f>
        <v>C</v>
      </c>
      <c r="H1341">
        <v>3</v>
      </c>
      <c r="I1341">
        <v>0.53590277777777773</v>
      </c>
      <c r="J1341">
        <v>44783</v>
      </c>
    </row>
    <row r="1342" spans="1:10" x14ac:dyDescent="0.35">
      <c r="A1342" s="2">
        <v>44778</v>
      </c>
      <c r="B1342" s="3">
        <v>0.33184027777777775</v>
      </c>
      <c r="C1342">
        <v>874</v>
      </c>
      <c r="D1342" t="str">
        <f>VLOOKUP(H1342,Produkt!$A$2:$B$5,2,FALSE)</f>
        <v>C</v>
      </c>
      <c r="H1342">
        <v>3</v>
      </c>
      <c r="I1342">
        <v>0.88512731481481488</v>
      </c>
      <c r="J1342">
        <v>44791</v>
      </c>
    </row>
    <row r="1343" spans="1:10" x14ac:dyDescent="0.35">
      <c r="A1343" s="2">
        <v>44778</v>
      </c>
      <c r="B1343" s="3">
        <v>0.64263888888888887</v>
      </c>
      <c r="C1343">
        <v>911</v>
      </c>
      <c r="D1343" t="str">
        <f>VLOOKUP(H1343,Produkt!$A$2:$B$5,2,FALSE)</f>
        <v>C</v>
      </c>
      <c r="H1343">
        <v>3</v>
      </c>
      <c r="I1343">
        <v>3.9236111111111027E-2</v>
      </c>
      <c r="J1343">
        <v>44775</v>
      </c>
    </row>
    <row r="1344" spans="1:10" x14ac:dyDescent="0.35">
      <c r="A1344" s="2">
        <v>44778</v>
      </c>
      <c r="B1344" s="3">
        <v>0.88711805555555545</v>
      </c>
      <c r="C1344">
        <v>933</v>
      </c>
      <c r="D1344" t="str">
        <f>VLOOKUP(H1344,Produkt!$A$2:$B$5,2,FALSE)</f>
        <v>D</v>
      </c>
      <c r="H1344">
        <v>4</v>
      </c>
      <c r="I1344">
        <v>9.1724537037037035E-2</v>
      </c>
      <c r="J1344">
        <v>44790</v>
      </c>
    </row>
    <row r="1345" spans="1:10" x14ac:dyDescent="0.35">
      <c r="A1345" s="2">
        <v>44778</v>
      </c>
      <c r="B1345" s="3">
        <v>0.63971064814814815</v>
      </c>
      <c r="C1345">
        <v>945</v>
      </c>
      <c r="D1345" t="str">
        <f>VLOOKUP(H1345,Produkt!$A$2:$B$5,2,FALSE)</f>
        <v>C</v>
      </c>
      <c r="H1345">
        <v>3</v>
      </c>
      <c r="I1345">
        <v>0.27799768518518519</v>
      </c>
      <c r="J1345">
        <v>44789</v>
      </c>
    </row>
    <row r="1346" spans="1:10" x14ac:dyDescent="0.35">
      <c r="A1346" s="2">
        <v>44778</v>
      </c>
      <c r="B1346" s="3">
        <v>0.42010416666666667</v>
      </c>
      <c r="C1346">
        <v>996</v>
      </c>
      <c r="D1346" t="str">
        <f>VLOOKUP(H1346,Produkt!$A$2:$B$5,2,FALSE)</f>
        <v>C</v>
      </c>
      <c r="H1346">
        <v>3</v>
      </c>
      <c r="I1346">
        <v>0.1638425925925926</v>
      </c>
      <c r="J1346">
        <v>44783</v>
      </c>
    </row>
    <row r="1347" spans="1:10" x14ac:dyDescent="0.35">
      <c r="A1347" s="2">
        <v>44778</v>
      </c>
      <c r="B1347" s="3">
        <v>0.99476851851851855</v>
      </c>
      <c r="C1347">
        <v>1009</v>
      </c>
      <c r="D1347" t="str">
        <f>VLOOKUP(H1347,Produkt!$A$2:$B$5,2,FALSE)</f>
        <v>C</v>
      </c>
      <c r="H1347">
        <v>3</v>
      </c>
      <c r="I1347">
        <v>0.93200231481481488</v>
      </c>
      <c r="J1347">
        <v>44794</v>
      </c>
    </row>
    <row r="1348" spans="1:10" x14ac:dyDescent="0.35">
      <c r="A1348" s="2">
        <v>44778</v>
      </c>
      <c r="B1348" s="3">
        <v>0.60123842592592591</v>
      </c>
      <c r="C1348">
        <v>1045</v>
      </c>
      <c r="D1348" t="str">
        <f>VLOOKUP(H1348,Produkt!$A$2:$B$5,2,FALSE)</f>
        <v>A</v>
      </c>
      <c r="H1348">
        <v>1</v>
      </c>
      <c r="I1348">
        <v>0.10354166666666666</v>
      </c>
      <c r="J1348">
        <v>44797</v>
      </c>
    </row>
    <row r="1349" spans="1:10" x14ac:dyDescent="0.35">
      <c r="A1349" s="2">
        <v>44778</v>
      </c>
      <c r="B1349" s="3">
        <v>0.52765046296296292</v>
      </c>
      <c r="C1349">
        <v>1052</v>
      </c>
      <c r="D1349" t="str">
        <f>VLOOKUP(H1349,Produkt!$A$2:$B$5,2,FALSE)</f>
        <v>A</v>
      </c>
      <c r="H1349">
        <v>1</v>
      </c>
      <c r="I1349">
        <v>7.7326388888888889E-2</v>
      </c>
      <c r="J1349">
        <v>44785</v>
      </c>
    </row>
    <row r="1350" spans="1:10" x14ac:dyDescent="0.35">
      <c r="A1350" s="2">
        <v>44778</v>
      </c>
      <c r="B1350" s="3">
        <v>0.34473379629629625</v>
      </c>
      <c r="C1350">
        <v>1054</v>
      </c>
      <c r="D1350" t="str">
        <f>VLOOKUP(H1350,Produkt!$A$2:$B$5,2,FALSE)</f>
        <v>A</v>
      </c>
      <c r="H1350">
        <v>1</v>
      </c>
      <c r="I1350">
        <v>0.90565972222222213</v>
      </c>
      <c r="J1350">
        <v>44796</v>
      </c>
    </row>
    <row r="1351" spans="1:10" x14ac:dyDescent="0.35">
      <c r="A1351" s="2">
        <v>44778</v>
      </c>
      <c r="B1351" s="3">
        <v>0.2912615740740741</v>
      </c>
      <c r="C1351">
        <v>1091</v>
      </c>
      <c r="D1351" t="str">
        <f>VLOOKUP(H1351,Produkt!$A$2:$B$5,2,FALSE)</f>
        <v>B</v>
      </c>
      <c r="H1351">
        <v>2</v>
      </c>
      <c r="I1351">
        <v>0.56996527777777783</v>
      </c>
      <c r="J1351">
        <v>44800</v>
      </c>
    </row>
    <row r="1352" spans="1:10" x14ac:dyDescent="0.35">
      <c r="A1352" s="2">
        <v>44778</v>
      </c>
      <c r="B1352" s="3">
        <v>0.20880787037037038</v>
      </c>
      <c r="C1352">
        <v>1113</v>
      </c>
      <c r="D1352" t="str">
        <f>VLOOKUP(H1352,Produkt!$A$2:$B$5,2,FALSE)</f>
        <v>C</v>
      </c>
      <c r="H1352">
        <v>3</v>
      </c>
      <c r="I1352">
        <v>0.65100694444444451</v>
      </c>
      <c r="J1352">
        <v>44790</v>
      </c>
    </row>
    <row r="1353" spans="1:10" x14ac:dyDescent="0.35">
      <c r="A1353" s="2">
        <v>44778</v>
      </c>
      <c r="B1353" s="3">
        <v>7.7303240740740742E-2</v>
      </c>
      <c r="C1353">
        <v>1144</v>
      </c>
      <c r="D1353" t="str">
        <f>VLOOKUP(H1353,Produkt!$A$2:$B$5,2,FALSE)</f>
        <v>C</v>
      </c>
      <c r="H1353">
        <v>3</v>
      </c>
      <c r="I1353">
        <v>0.93762731481481476</v>
      </c>
      <c r="J1353">
        <v>44795</v>
      </c>
    </row>
    <row r="1354" spans="1:10" x14ac:dyDescent="0.35">
      <c r="A1354" s="2">
        <v>44778</v>
      </c>
      <c r="B1354" s="3">
        <v>0.33068287037037036</v>
      </c>
      <c r="C1354">
        <v>1242</v>
      </c>
      <c r="D1354" t="str">
        <f>VLOOKUP(H1354,Produkt!$A$2:$B$5,2,FALSE)</f>
        <v>D</v>
      </c>
      <c r="H1354">
        <v>4</v>
      </c>
      <c r="I1354">
        <v>0.66738425925925926</v>
      </c>
      <c r="J1354">
        <v>44777</v>
      </c>
    </row>
    <row r="1355" spans="1:10" x14ac:dyDescent="0.35">
      <c r="A1355" s="2">
        <v>44778</v>
      </c>
      <c r="B1355" s="3">
        <v>0.87488425925925928</v>
      </c>
      <c r="C1355">
        <v>1243</v>
      </c>
      <c r="D1355" t="str">
        <f>VLOOKUP(H1355,Produkt!$A$2:$B$5,2,FALSE)</f>
        <v>D</v>
      </c>
      <c r="H1355">
        <v>4</v>
      </c>
      <c r="I1355">
        <v>0.31905092592592593</v>
      </c>
      <c r="J1355">
        <v>44774</v>
      </c>
    </row>
    <row r="1356" spans="1:10" x14ac:dyDescent="0.35">
      <c r="A1356" s="2">
        <v>44778</v>
      </c>
      <c r="B1356" s="3">
        <v>0.34125</v>
      </c>
      <c r="C1356">
        <v>1262</v>
      </c>
      <c r="D1356" t="str">
        <f>VLOOKUP(H1356,Produkt!$A$2:$B$5,2,FALSE)</f>
        <v>A</v>
      </c>
      <c r="H1356">
        <v>1</v>
      </c>
      <c r="I1356">
        <v>0.90214120370370365</v>
      </c>
      <c r="J1356">
        <v>44775</v>
      </c>
    </row>
    <row r="1357" spans="1:10" x14ac:dyDescent="0.35">
      <c r="A1357" s="2">
        <v>44778</v>
      </c>
      <c r="B1357" s="3">
        <v>0.98692129629629621</v>
      </c>
      <c r="C1357">
        <v>1305</v>
      </c>
      <c r="D1357" t="str">
        <f>VLOOKUP(H1357,Produkt!$A$2:$B$5,2,FALSE)</f>
        <v>D</v>
      </c>
      <c r="H1357">
        <v>4</v>
      </c>
      <c r="I1357">
        <v>0.44532407407407404</v>
      </c>
      <c r="J1357">
        <v>44784</v>
      </c>
    </row>
    <row r="1358" spans="1:10" x14ac:dyDescent="0.35">
      <c r="A1358" s="2">
        <v>44778</v>
      </c>
      <c r="B1358" s="3">
        <v>0.73722222222222233</v>
      </c>
      <c r="C1358">
        <v>1329</v>
      </c>
      <c r="D1358" t="str">
        <f>VLOOKUP(H1358,Produkt!$A$2:$B$5,2,FALSE)</f>
        <v>B</v>
      </c>
      <c r="H1358">
        <v>2</v>
      </c>
      <c r="I1358">
        <v>0.47783564814814811</v>
      </c>
      <c r="J1358">
        <v>44796</v>
      </c>
    </row>
    <row r="1359" spans="1:10" x14ac:dyDescent="0.35">
      <c r="A1359" s="2">
        <v>44778</v>
      </c>
      <c r="B1359" s="3">
        <v>0.10354166666666666</v>
      </c>
      <c r="C1359">
        <v>1347</v>
      </c>
      <c r="D1359" t="str">
        <f>VLOOKUP(H1359,Produkt!$A$2:$B$5,2,FALSE)</f>
        <v>B</v>
      </c>
      <c r="H1359">
        <v>2</v>
      </c>
      <c r="I1359">
        <v>0.6473726851851852</v>
      </c>
      <c r="J1359">
        <v>44785</v>
      </c>
    </row>
    <row r="1360" spans="1:10" x14ac:dyDescent="0.35">
      <c r="A1360" s="2">
        <v>44778</v>
      </c>
      <c r="B1360" s="3">
        <v>0.46598379629629627</v>
      </c>
      <c r="C1360">
        <v>1362</v>
      </c>
      <c r="D1360" t="str">
        <f>VLOOKUP(H1360,Produkt!$A$2:$B$5,2,FALSE)</f>
        <v>B</v>
      </c>
      <c r="H1360">
        <v>2</v>
      </c>
      <c r="I1360">
        <v>0.79168981481481471</v>
      </c>
      <c r="J1360">
        <v>44781</v>
      </c>
    </row>
    <row r="1361" spans="1:10" x14ac:dyDescent="0.35">
      <c r="A1361" s="2">
        <v>44778</v>
      </c>
      <c r="B1361" s="3">
        <v>0.11373842592592592</v>
      </c>
      <c r="C1361">
        <v>1388</v>
      </c>
      <c r="D1361" t="str">
        <f>VLOOKUP(H1361,Produkt!$A$2:$B$5,2,FALSE)</f>
        <v>B</v>
      </c>
      <c r="H1361">
        <v>2</v>
      </c>
      <c r="I1361">
        <v>0.24513888888888888</v>
      </c>
      <c r="J1361">
        <v>44789</v>
      </c>
    </row>
    <row r="1362" spans="1:10" x14ac:dyDescent="0.35">
      <c r="A1362" s="2">
        <v>44778</v>
      </c>
      <c r="B1362" s="3">
        <v>6.4224537037037038E-2</v>
      </c>
      <c r="C1362">
        <v>1513</v>
      </c>
      <c r="D1362" t="str">
        <f>VLOOKUP(H1362,Produkt!$A$2:$B$5,2,FALSE)</f>
        <v>D</v>
      </c>
      <c r="H1362">
        <v>4</v>
      </c>
      <c r="I1362">
        <v>0.68332175925925931</v>
      </c>
      <c r="J1362">
        <v>44784</v>
      </c>
    </row>
    <row r="1363" spans="1:10" x14ac:dyDescent="0.35">
      <c r="A1363" s="2">
        <v>44778</v>
      </c>
      <c r="B1363" s="3">
        <v>0.66454861111111108</v>
      </c>
      <c r="C1363">
        <v>1588</v>
      </c>
      <c r="D1363" t="str">
        <f>VLOOKUP(H1363,Produkt!$A$2:$B$5,2,FALSE)</f>
        <v>D</v>
      </c>
      <c r="H1363">
        <v>4</v>
      </c>
      <c r="I1363">
        <v>0.46598379629629627</v>
      </c>
      <c r="J1363">
        <v>44803</v>
      </c>
    </row>
    <row r="1364" spans="1:10" x14ac:dyDescent="0.35">
      <c r="A1364" s="2">
        <v>44778</v>
      </c>
      <c r="B1364" s="3">
        <v>0.82329861111111102</v>
      </c>
      <c r="C1364">
        <v>1629</v>
      </c>
      <c r="D1364" t="str">
        <f>VLOOKUP(H1364,Produkt!$A$2:$B$5,2,FALSE)</f>
        <v>A</v>
      </c>
      <c r="H1364">
        <v>1</v>
      </c>
      <c r="I1364">
        <v>0.79320601851851846</v>
      </c>
      <c r="J1364">
        <v>44778</v>
      </c>
    </row>
    <row r="1365" spans="1:10" x14ac:dyDescent="0.35">
      <c r="A1365" s="2">
        <v>44778</v>
      </c>
      <c r="B1365" s="3">
        <v>0.26696759259259256</v>
      </c>
      <c r="C1365">
        <v>1672</v>
      </c>
      <c r="D1365" t="str">
        <f>VLOOKUP(H1365,Produkt!$A$2:$B$5,2,FALSE)</f>
        <v>A</v>
      </c>
      <c r="H1365">
        <v>1</v>
      </c>
      <c r="I1365">
        <v>0.79844907407407406</v>
      </c>
      <c r="J1365">
        <v>44791</v>
      </c>
    </row>
    <row r="1366" spans="1:10" x14ac:dyDescent="0.35">
      <c r="A1366" s="2">
        <v>44778</v>
      </c>
      <c r="B1366" s="3">
        <v>0.31503472222222223</v>
      </c>
      <c r="C1366">
        <v>1702</v>
      </c>
      <c r="D1366" t="str">
        <f>VLOOKUP(H1366,Produkt!$A$2:$B$5,2,FALSE)</f>
        <v>D</v>
      </c>
      <c r="H1366">
        <v>4</v>
      </c>
      <c r="I1366">
        <v>3.8657407407407307E-2</v>
      </c>
      <c r="J1366">
        <v>44782</v>
      </c>
    </row>
    <row r="1367" spans="1:10" x14ac:dyDescent="0.35">
      <c r="A1367" s="2">
        <v>44778</v>
      </c>
      <c r="B1367" s="3">
        <v>0.26231481481481483</v>
      </c>
      <c r="C1367">
        <v>1709</v>
      </c>
      <c r="D1367" t="str">
        <f>VLOOKUP(H1367,Produkt!$A$2:$B$5,2,FALSE)</f>
        <v>C</v>
      </c>
      <c r="H1367">
        <v>3</v>
      </c>
      <c r="I1367">
        <v>0.21305555555555555</v>
      </c>
      <c r="J1367">
        <v>44802</v>
      </c>
    </row>
    <row r="1368" spans="1:10" x14ac:dyDescent="0.35">
      <c r="A1368" s="2">
        <v>44778</v>
      </c>
      <c r="B1368" s="3">
        <v>0.29466435185185186</v>
      </c>
      <c r="C1368">
        <v>1726</v>
      </c>
      <c r="D1368" t="str">
        <f>VLOOKUP(H1368,Produkt!$A$2:$B$5,2,FALSE)</f>
        <v>C</v>
      </c>
      <c r="H1368">
        <v>3</v>
      </c>
      <c r="I1368">
        <v>2.3182870370370479E-2</v>
      </c>
      <c r="J1368">
        <v>44788</v>
      </c>
    </row>
    <row r="1369" spans="1:10" x14ac:dyDescent="0.35">
      <c r="A1369" s="2">
        <v>44778</v>
      </c>
      <c r="B1369" s="3">
        <v>0.99702546296296291</v>
      </c>
      <c r="C1369">
        <v>1784</v>
      </c>
      <c r="D1369" t="str">
        <f>VLOOKUP(H1369,Produkt!$A$2:$B$5,2,FALSE)</f>
        <v>D</v>
      </c>
      <c r="H1369">
        <v>4</v>
      </c>
      <c r="I1369">
        <v>0.9254282407407407</v>
      </c>
      <c r="J1369">
        <v>44785</v>
      </c>
    </row>
    <row r="1370" spans="1:10" x14ac:dyDescent="0.35">
      <c r="A1370" s="2">
        <v>44778</v>
      </c>
      <c r="B1370" s="3">
        <v>0.15858796296296296</v>
      </c>
      <c r="C1370">
        <v>1804</v>
      </c>
      <c r="D1370" t="str">
        <f>VLOOKUP(H1370,Produkt!$A$2:$B$5,2,FALSE)</f>
        <v>D</v>
      </c>
      <c r="H1370">
        <v>4</v>
      </c>
      <c r="I1370">
        <v>0.72167824074074083</v>
      </c>
      <c r="J1370">
        <v>44799</v>
      </c>
    </row>
    <row r="1371" spans="1:10" x14ac:dyDescent="0.35">
      <c r="A1371" s="2">
        <v>44778</v>
      </c>
      <c r="B1371" s="3">
        <v>0.14189814814814813</v>
      </c>
      <c r="C1371">
        <v>1845</v>
      </c>
      <c r="D1371" t="str">
        <f>VLOOKUP(H1371,Produkt!$A$2:$B$5,2,FALSE)</f>
        <v>A</v>
      </c>
      <c r="H1371">
        <v>1</v>
      </c>
      <c r="I1371">
        <v>0.91052083333333333</v>
      </c>
      <c r="J1371">
        <v>44796</v>
      </c>
    </row>
    <row r="1372" spans="1:10" x14ac:dyDescent="0.35">
      <c r="A1372" s="2">
        <v>44778</v>
      </c>
      <c r="B1372" s="3">
        <v>0.65194444444444444</v>
      </c>
      <c r="C1372">
        <v>1903</v>
      </c>
      <c r="D1372" t="str">
        <f>VLOOKUP(H1372,Produkt!$A$2:$B$5,2,FALSE)</f>
        <v>C</v>
      </c>
      <c r="H1372">
        <v>3</v>
      </c>
      <c r="I1372">
        <v>0.31354166666666666</v>
      </c>
      <c r="J1372">
        <v>44803</v>
      </c>
    </row>
    <row r="1373" spans="1:10" x14ac:dyDescent="0.35">
      <c r="A1373" s="2">
        <v>44778</v>
      </c>
      <c r="B1373" s="3">
        <v>6.1527777777777772E-2</v>
      </c>
      <c r="C1373">
        <v>2004</v>
      </c>
      <c r="D1373" t="str">
        <f>VLOOKUP(H1373,Produkt!$A$2:$B$5,2,FALSE)</f>
        <v>D</v>
      </c>
      <c r="H1373">
        <v>4</v>
      </c>
      <c r="I1373">
        <v>0.5838078703703703</v>
      </c>
      <c r="J1373">
        <v>44802</v>
      </c>
    </row>
    <row r="1374" spans="1:10" x14ac:dyDescent="0.35">
      <c r="A1374" s="2">
        <v>44778</v>
      </c>
      <c r="B1374" s="3">
        <v>0.82984953703703701</v>
      </c>
      <c r="C1374">
        <v>2060</v>
      </c>
      <c r="D1374" t="str">
        <f>VLOOKUP(H1374,Produkt!$A$2:$B$5,2,FALSE)</f>
        <v>C</v>
      </c>
      <c r="H1374">
        <v>3</v>
      </c>
      <c r="I1374">
        <v>0.31938657407407406</v>
      </c>
      <c r="J1374">
        <v>44781</v>
      </c>
    </row>
    <row r="1375" spans="1:10" x14ac:dyDescent="0.35">
      <c r="A1375" s="2">
        <v>44778</v>
      </c>
      <c r="B1375" s="3">
        <v>0.69674768518518526</v>
      </c>
      <c r="C1375">
        <v>2097</v>
      </c>
      <c r="D1375" t="str">
        <f>VLOOKUP(H1375,Produkt!$A$2:$B$5,2,FALSE)</f>
        <v>B</v>
      </c>
      <c r="H1375">
        <v>2</v>
      </c>
      <c r="I1375">
        <v>0.31511574074074072</v>
      </c>
      <c r="J1375">
        <v>44778</v>
      </c>
    </row>
    <row r="1376" spans="1:10" x14ac:dyDescent="0.35">
      <c r="A1376" s="2">
        <v>44778</v>
      </c>
      <c r="B1376" s="3">
        <v>0.68981481481481488</v>
      </c>
      <c r="C1376">
        <v>2120</v>
      </c>
      <c r="D1376" t="str">
        <f>VLOOKUP(H1376,Produkt!$A$2:$B$5,2,FALSE)</f>
        <v>A</v>
      </c>
      <c r="H1376">
        <v>1</v>
      </c>
      <c r="I1376">
        <v>0.6312268518518519</v>
      </c>
      <c r="J1376">
        <v>44789</v>
      </c>
    </row>
    <row r="1377" spans="1:10" x14ac:dyDescent="0.35">
      <c r="A1377" s="2">
        <v>44778</v>
      </c>
      <c r="B1377" s="3">
        <v>0.40994212962962967</v>
      </c>
      <c r="C1377">
        <v>2153</v>
      </c>
      <c r="D1377" t="str">
        <f>VLOOKUP(H1377,Produkt!$A$2:$B$5,2,FALSE)</f>
        <v>A</v>
      </c>
      <c r="H1377">
        <v>1</v>
      </c>
      <c r="I1377">
        <v>0.81496527777777772</v>
      </c>
      <c r="J1377">
        <v>44774</v>
      </c>
    </row>
    <row r="1378" spans="1:10" x14ac:dyDescent="0.35">
      <c r="A1378" s="2">
        <v>44778</v>
      </c>
      <c r="B1378" s="3">
        <v>0.90487268518518515</v>
      </c>
      <c r="C1378">
        <v>2171</v>
      </c>
      <c r="D1378" t="str">
        <f>VLOOKUP(H1378,Produkt!$A$2:$B$5,2,FALSE)</f>
        <v>D</v>
      </c>
      <c r="H1378">
        <v>4</v>
      </c>
      <c r="I1378">
        <v>0.74920138888888888</v>
      </c>
      <c r="J1378">
        <v>44801</v>
      </c>
    </row>
    <row r="1379" spans="1:10" x14ac:dyDescent="0.35">
      <c r="A1379" s="2">
        <v>44778</v>
      </c>
      <c r="B1379" s="3">
        <v>0.37252314814814813</v>
      </c>
      <c r="C1379">
        <v>2212</v>
      </c>
      <c r="D1379" t="str">
        <f>VLOOKUP(H1379,Produkt!$A$2:$B$5,2,FALSE)</f>
        <v>A</v>
      </c>
      <c r="H1379">
        <v>1</v>
      </c>
      <c r="I1379">
        <v>0.453125</v>
      </c>
      <c r="J1379">
        <v>44785</v>
      </c>
    </row>
    <row r="1380" spans="1:10" x14ac:dyDescent="0.35">
      <c r="A1380" s="2">
        <v>44778</v>
      </c>
      <c r="B1380" s="3">
        <v>0.5397453703703704</v>
      </c>
      <c r="C1380">
        <v>2286</v>
      </c>
      <c r="D1380" t="str">
        <f>VLOOKUP(H1380,Produkt!$A$2:$B$5,2,FALSE)</f>
        <v>B</v>
      </c>
      <c r="H1380">
        <v>2</v>
      </c>
      <c r="I1380">
        <v>0.54491898148148155</v>
      </c>
      <c r="J1380">
        <v>44793</v>
      </c>
    </row>
    <row r="1381" spans="1:10" x14ac:dyDescent="0.35">
      <c r="A1381" s="2">
        <v>44778</v>
      </c>
      <c r="B1381" s="3">
        <v>4.8657407407407406E-2</v>
      </c>
      <c r="C1381">
        <v>2298</v>
      </c>
      <c r="D1381" t="str">
        <f>VLOOKUP(H1381,Produkt!$A$2:$B$5,2,FALSE)</f>
        <v>B</v>
      </c>
      <c r="H1381">
        <v>2</v>
      </c>
      <c r="I1381">
        <v>0.80987268518518529</v>
      </c>
      <c r="J1381">
        <v>44792</v>
      </c>
    </row>
    <row r="1382" spans="1:10" x14ac:dyDescent="0.35">
      <c r="A1382" s="2">
        <v>44778</v>
      </c>
      <c r="B1382" s="3">
        <v>0.54710648148148155</v>
      </c>
      <c r="C1382">
        <v>2303</v>
      </c>
      <c r="D1382" t="str">
        <f>VLOOKUP(H1382,Produkt!$A$2:$B$5,2,FALSE)</f>
        <v>A</v>
      </c>
      <c r="H1382">
        <v>1</v>
      </c>
      <c r="I1382">
        <v>9.2442129629629624E-2</v>
      </c>
      <c r="J1382">
        <v>44794</v>
      </c>
    </row>
    <row r="1383" spans="1:10" x14ac:dyDescent="0.35">
      <c r="A1383" s="2">
        <v>44778</v>
      </c>
      <c r="B1383" s="3">
        <v>0.3561111111111111</v>
      </c>
      <c r="C1383">
        <v>2306</v>
      </c>
      <c r="D1383" t="str">
        <f>VLOOKUP(H1383,Produkt!$A$2:$B$5,2,FALSE)</f>
        <v>B</v>
      </c>
      <c r="H1383">
        <v>2</v>
      </c>
      <c r="I1383">
        <v>0.65170138888888884</v>
      </c>
      <c r="J1383">
        <v>44783</v>
      </c>
    </row>
    <row r="1384" spans="1:10" x14ac:dyDescent="0.35">
      <c r="A1384" s="2">
        <v>44778</v>
      </c>
      <c r="B1384" s="3">
        <v>0.1338425925925926</v>
      </c>
      <c r="C1384">
        <v>2310</v>
      </c>
      <c r="D1384" t="str">
        <f>VLOOKUP(H1384,Produkt!$A$2:$B$5,2,FALSE)</f>
        <v>D</v>
      </c>
      <c r="H1384">
        <v>4</v>
      </c>
      <c r="I1384">
        <v>0.62155092592592587</v>
      </c>
      <c r="J1384">
        <v>44775</v>
      </c>
    </row>
    <row r="1385" spans="1:10" x14ac:dyDescent="0.35">
      <c r="A1385" s="2">
        <v>44778</v>
      </c>
      <c r="B1385" s="3">
        <v>0.23762731481481481</v>
      </c>
      <c r="C1385">
        <v>2316</v>
      </c>
      <c r="D1385" t="str">
        <f>VLOOKUP(H1385,Produkt!$A$2:$B$5,2,FALSE)</f>
        <v>A</v>
      </c>
      <c r="H1385">
        <v>1</v>
      </c>
      <c r="I1385">
        <v>0.98909722222222218</v>
      </c>
      <c r="J1385">
        <v>44783</v>
      </c>
    </row>
    <row r="1386" spans="1:10" x14ac:dyDescent="0.35">
      <c r="A1386" s="2">
        <v>44778</v>
      </c>
      <c r="B1386" s="3">
        <v>3.7152777777777778E-2</v>
      </c>
      <c r="C1386">
        <v>2374</v>
      </c>
      <c r="D1386" t="str">
        <f>VLOOKUP(H1386,Produkt!$A$2:$B$5,2,FALSE)</f>
        <v>B</v>
      </c>
      <c r="H1386">
        <v>2</v>
      </c>
      <c r="I1386">
        <v>0.16266203703703705</v>
      </c>
      <c r="J1386">
        <v>44775</v>
      </c>
    </row>
    <row r="1387" spans="1:10" x14ac:dyDescent="0.35">
      <c r="A1387" s="2">
        <v>44778</v>
      </c>
      <c r="B1387" s="3">
        <v>0.16100694444444444</v>
      </c>
      <c r="C1387">
        <v>2394</v>
      </c>
      <c r="D1387" t="str">
        <f>VLOOKUP(H1387,Produkt!$A$2:$B$5,2,FALSE)</f>
        <v>A</v>
      </c>
      <c r="H1387">
        <v>1</v>
      </c>
      <c r="I1387">
        <v>0.82255787037037031</v>
      </c>
      <c r="J1387">
        <v>44778</v>
      </c>
    </row>
    <row r="1388" spans="1:10" x14ac:dyDescent="0.35">
      <c r="A1388" s="2">
        <v>44778</v>
      </c>
      <c r="B1388" s="3">
        <v>0.89739583333333339</v>
      </c>
      <c r="C1388">
        <v>2482</v>
      </c>
      <c r="D1388" t="str">
        <f>VLOOKUP(H1388,Produkt!$A$2:$B$5,2,FALSE)</f>
        <v>C</v>
      </c>
      <c r="H1388">
        <v>3</v>
      </c>
      <c r="I1388">
        <v>0.58892361111111113</v>
      </c>
      <c r="J1388">
        <v>44778</v>
      </c>
    </row>
    <row r="1389" spans="1:10" x14ac:dyDescent="0.35">
      <c r="A1389" s="2">
        <v>44778</v>
      </c>
      <c r="B1389" s="3">
        <v>0.75140046296296292</v>
      </c>
      <c r="C1389">
        <v>2493</v>
      </c>
      <c r="D1389" t="str">
        <f>VLOOKUP(H1389,Produkt!$A$2:$B$5,2,FALSE)</f>
        <v>A</v>
      </c>
      <c r="H1389">
        <v>1</v>
      </c>
      <c r="I1389">
        <v>0.11373842592592592</v>
      </c>
      <c r="J1389">
        <v>44789</v>
      </c>
    </row>
    <row r="1390" spans="1:10" x14ac:dyDescent="0.35">
      <c r="A1390" s="2">
        <v>44778</v>
      </c>
      <c r="B1390" s="3">
        <v>0.15077546296296296</v>
      </c>
      <c r="C1390">
        <v>2500</v>
      </c>
      <c r="D1390" t="str">
        <f>VLOOKUP(H1390,Produkt!$A$2:$B$5,2,FALSE)</f>
        <v>D</v>
      </c>
      <c r="H1390">
        <v>4</v>
      </c>
      <c r="I1390">
        <v>0.49071759259259262</v>
      </c>
      <c r="J1390">
        <v>44799</v>
      </c>
    </row>
    <row r="1391" spans="1:10" x14ac:dyDescent="0.35">
      <c r="A1391" s="2">
        <v>44778</v>
      </c>
      <c r="B1391" s="3">
        <v>0.46848379629629627</v>
      </c>
      <c r="C1391">
        <v>2505</v>
      </c>
      <c r="D1391" t="str">
        <f>VLOOKUP(H1391,Produkt!$A$2:$B$5,2,FALSE)</f>
        <v>D</v>
      </c>
      <c r="H1391">
        <v>4</v>
      </c>
      <c r="I1391">
        <v>0.82400462962962961</v>
      </c>
      <c r="J1391">
        <v>44804</v>
      </c>
    </row>
    <row r="1392" spans="1:10" x14ac:dyDescent="0.35">
      <c r="A1392" s="2">
        <v>44778</v>
      </c>
      <c r="B1392" s="3">
        <v>0.26596064814814818</v>
      </c>
      <c r="C1392">
        <v>2535</v>
      </c>
      <c r="D1392" t="str">
        <f>VLOOKUP(H1392,Produkt!$A$2:$B$5,2,FALSE)</f>
        <v>D</v>
      </c>
      <c r="H1392">
        <v>4</v>
      </c>
      <c r="I1392">
        <v>8.2094907407407408E-2</v>
      </c>
      <c r="J1392">
        <v>44792</v>
      </c>
    </row>
    <row r="1393" spans="1:10" x14ac:dyDescent="0.35">
      <c r="A1393" s="2">
        <v>44778</v>
      </c>
      <c r="B1393" s="3">
        <v>0.14260416666666667</v>
      </c>
      <c r="C1393">
        <v>2560</v>
      </c>
      <c r="D1393" t="str">
        <f>VLOOKUP(H1393,Produkt!$A$2:$B$5,2,FALSE)</f>
        <v>C</v>
      </c>
      <c r="H1393">
        <v>3</v>
      </c>
      <c r="I1393">
        <v>0.64875000000000005</v>
      </c>
      <c r="J1393">
        <v>44788</v>
      </c>
    </row>
    <row r="1394" spans="1:10" x14ac:dyDescent="0.35">
      <c r="A1394" s="2">
        <v>44778</v>
      </c>
      <c r="B1394" s="3">
        <v>0.76648148148148154</v>
      </c>
      <c r="C1394">
        <v>2578</v>
      </c>
      <c r="D1394" t="str">
        <f>VLOOKUP(H1394,Produkt!$A$2:$B$5,2,FALSE)</f>
        <v>C</v>
      </c>
      <c r="H1394">
        <v>3</v>
      </c>
      <c r="I1394">
        <v>0.87921296296296303</v>
      </c>
      <c r="J1394">
        <v>44804</v>
      </c>
    </row>
    <row r="1395" spans="1:10" x14ac:dyDescent="0.35">
      <c r="A1395" s="2">
        <v>44778</v>
      </c>
      <c r="B1395" s="3">
        <v>0.53245370370370371</v>
      </c>
      <c r="C1395">
        <v>2643</v>
      </c>
      <c r="D1395" t="str">
        <f>VLOOKUP(H1395,Produkt!$A$2:$B$5,2,FALSE)</f>
        <v>B</v>
      </c>
      <c r="H1395">
        <v>2</v>
      </c>
      <c r="I1395">
        <v>2.5138888888888891E-2</v>
      </c>
      <c r="J1395">
        <v>44786</v>
      </c>
    </row>
    <row r="1396" spans="1:10" x14ac:dyDescent="0.35">
      <c r="A1396" s="2">
        <v>44778</v>
      </c>
      <c r="B1396" s="3">
        <v>0.81473379629629628</v>
      </c>
      <c r="C1396">
        <v>2651</v>
      </c>
      <c r="D1396" t="str">
        <f>VLOOKUP(H1396,Produkt!$A$2:$B$5,2,FALSE)</f>
        <v>A</v>
      </c>
      <c r="H1396">
        <v>1</v>
      </c>
      <c r="I1396">
        <v>0.52157407407407408</v>
      </c>
      <c r="J1396">
        <v>44802</v>
      </c>
    </row>
    <row r="1397" spans="1:10" x14ac:dyDescent="0.35">
      <c r="A1397" s="2">
        <v>44778</v>
      </c>
      <c r="B1397" s="3">
        <v>0.52017361111111116</v>
      </c>
      <c r="C1397">
        <v>2706</v>
      </c>
      <c r="D1397" t="str">
        <f>VLOOKUP(H1397,Produkt!$A$2:$B$5,2,FALSE)</f>
        <v>D</v>
      </c>
      <c r="H1397">
        <v>4</v>
      </c>
      <c r="I1397">
        <v>2.4953703703703756E-2</v>
      </c>
      <c r="J1397">
        <v>44777</v>
      </c>
    </row>
    <row r="1398" spans="1:10" x14ac:dyDescent="0.35">
      <c r="A1398" s="2">
        <v>44778</v>
      </c>
      <c r="B1398" s="3">
        <v>1.1284722222222099E-2</v>
      </c>
      <c r="C1398">
        <v>2709</v>
      </c>
      <c r="D1398" t="str">
        <f>VLOOKUP(H1398,Produkt!$A$2:$B$5,2,FALSE)</f>
        <v>B</v>
      </c>
      <c r="H1398">
        <v>2</v>
      </c>
      <c r="I1398">
        <v>0.8016550925925926</v>
      </c>
      <c r="J1398">
        <v>44785</v>
      </c>
    </row>
    <row r="1399" spans="1:10" x14ac:dyDescent="0.35">
      <c r="A1399" s="2">
        <v>44778</v>
      </c>
      <c r="B1399" s="3">
        <v>0.94791666666666663</v>
      </c>
      <c r="C1399">
        <v>2755</v>
      </c>
      <c r="D1399" t="str">
        <f>VLOOKUP(H1399,Produkt!$A$2:$B$5,2,FALSE)</f>
        <v>C</v>
      </c>
      <c r="H1399">
        <v>3</v>
      </c>
      <c r="I1399">
        <v>0.73892361111111116</v>
      </c>
      <c r="J1399">
        <v>44778</v>
      </c>
    </row>
    <row r="1400" spans="1:10" x14ac:dyDescent="0.35">
      <c r="A1400" s="2">
        <v>44778</v>
      </c>
      <c r="B1400" s="3">
        <v>3.7719907407407272E-2</v>
      </c>
      <c r="C1400">
        <v>2764</v>
      </c>
      <c r="D1400" t="str">
        <f>VLOOKUP(H1400,Produkt!$A$2:$B$5,2,FALSE)</f>
        <v>C</v>
      </c>
      <c r="H1400">
        <v>3</v>
      </c>
      <c r="I1400">
        <v>0.12880787037037036</v>
      </c>
      <c r="J1400">
        <v>44789</v>
      </c>
    </row>
    <row r="1401" spans="1:10" x14ac:dyDescent="0.35">
      <c r="A1401" s="2">
        <v>44778</v>
      </c>
      <c r="B1401" s="3">
        <v>2.6759259259259371E-2</v>
      </c>
      <c r="C1401">
        <v>2795</v>
      </c>
      <c r="D1401" t="str">
        <f>VLOOKUP(H1401,Produkt!$A$2:$B$5,2,FALSE)</f>
        <v>D</v>
      </c>
      <c r="H1401">
        <v>4</v>
      </c>
      <c r="I1401">
        <v>0.44648148148148148</v>
      </c>
      <c r="J1401">
        <v>44779</v>
      </c>
    </row>
    <row r="1402" spans="1:10" x14ac:dyDescent="0.35">
      <c r="A1402" s="2">
        <v>44778</v>
      </c>
      <c r="B1402" s="3">
        <v>0.38671296296296293</v>
      </c>
      <c r="C1402">
        <v>3008</v>
      </c>
      <c r="D1402" t="str">
        <f>VLOOKUP(H1402,Produkt!$A$2:$B$5,2,FALSE)</f>
        <v>B</v>
      </c>
      <c r="H1402">
        <v>2</v>
      </c>
      <c r="I1402">
        <v>0.17136574074074074</v>
      </c>
      <c r="J1402">
        <v>44776</v>
      </c>
    </row>
    <row r="1403" spans="1:10" x14ac:dyDescent="0.35">
      <c r="A1403" s="2">
        <v>44778</v>
      </c>
      <c r="B1403" s="3">
        <v>9.2708333333333393E-3</v>
      </c>
      <c r="C1403">
        <v>3015</v>
      </c>
      <c r="D1403" t="str">
        <f>VLOOKUP(H1403,Produkt!$A$2:$B$5,2,FALSE)</f>
        <v>A</v>
      </c>
      <c r="H1403">
        <v>1</v>
      </c>
      <c r="I1403">
        <v>9.7743055555555555E-2</v>
      </c>
      <c r="J1403">
        <v>44800</v>
      </c>
    </row>
    <row r="1404" spans="1:10" x14ac:dyDescent="0.35">
      <c r="A1404" s="2">
        <v>44778</v>
      </c>
      <c r="B1404" s="3">
        <v>2.9930555555555557E-2</v>
      </c>
      <c r="C1404">
        <v>3016</v>
      </c>
      <c r="D1404" t="str">
        <f>VLOOKUP(H1404,Produkt!$A$2:$B$5,2,FALSE)</f>
        <v>B</v>
      </c>
      <c r="H1404">
        <v>2</v>
      </c>
      <c r="I1404">
        <v>0.24680555555555558</v>
      </c>
      <c r="J1404">
        <v>44787</v>
      </c>
    </row>
    <row r="1405" spans="1:10" x14ac:dyDescent="0.35">
      <c r="A1405" s="2">
        <v>44778</v>
      </c>
      <c r="B1405" s="3">
        <v>0.3682407407407407</v>
      </c>
      <c r="C1405">
        <v>3207</v>
      </c>
      <c r="D1405" t="str">
        <f>VLOOKUP(H1405,Produkt!$A$2:$B$5,2,FALSE)</f>
        <v>D</v>
      </c>
      <c r="H1405">
        <v>4</v>
      </c>
      <c r="I1405">
        <v>0.48491898148148144</v>
      </c>
      <c r="J1405">
        <v>44797</v>
      </c>
    </row>
    <row r="1406" spans="1:10" x14ac:dyDescent="0.35">
      <c r="A1406" s="2">
        <v>44778</v>
      </c>
      <c r="B1406" s="3">
        <v>0.83086805555555554</v>
      </c>
      <c r="C1406">
        <v>3208</v>
      </c>
      <c r="D1406" t="str">
        <f>VLOOKUP(H1406,Produkt!$A$2:$B$5,2,FALSE)</f>
        <v>A</v>
      </c>
      <c r="H1406">
        <v>1</v>
      </c>
      <c r="I1406">
        <v>6.6435185185185194E-2</v>
      </c>
      <c r="J1406">
        <v>44790</v>
      </c>
    </row>
    <row r="1407" spans="1:10" x14ac:dyDescent="0.35">
      <c r="A1407" s="2">
        <v>44778</v>
      </c>
      <c r="B1407" s="3">
        <v>1.3923611111111178E-2</v>
      </c>
      <c r="C1407">
        <v>3214</v>
      </c>
      <c r="D1407" t="str">
        <f>VLOOKUP(H1407,Produkt!$A$2:$B$5,2,FALSE)</f>
        <v>C</v>
      </c>
      <c r="H1407">
        <v>3</v>
      </c>
      <c r="I1407">
        <v>0.29383101851851851</v>
      </c>
      <c r="J1407">
        <v>44804</v>
      </c>
    </row>
    <row r="1408" spans="1:10" x14ac:dyDescent="0.35">
      <c r="A1408" s="2">
        <v>44778</v>
      </c>
      <c r="B1408" s="3">
        <v>0.68791666666666673</v>
      </c>
      <c r="C1408">
        <v>3224</v>
      </c>
      <c r="D1408" t="str">
        <f>VLOOKUP(H1408,Produkt!$A$2:$B$5,2,FALSE)</f>
        <v>A</v>
      </c>
      <c r="H1408">
        <v>1</v>
      </c>
      <c r="I1408">
        <v>4.8148148148148152E-3</v>
      </c>
      <c r="J1408">
        <v>44797</v>
      </c>
    </row>
    <row r="1409" spans="1:10" x14ac:dyDescent="0.35">
      <c r="A1409" s="2">
        <v>44778</v>
      </c>
      <c r="B1409" s="3">
        <v>0.30576388888888889</v>
      </c>
      <c r="C1409">
        <v>3273</v>
      </c>
      <c r="D1409" t="str">
        <f>VLOOKUP(H1409,Produkt!$A$2:$B$5,2,FALSE)</f>
        <v>D</v>
      </c>
      <c r="H1409">
        <v>4</v>
      </c>
      <c r="I1409">
        <v>0.16111111111111112</v>
      </c>
      <c r="J1409">
        <v>44786</v>
      </c>
    </row>
    <row r="1410" spans="1:10" x14ac:dyDescent="0.35">
      <c r="A1410" s="2">
        <v>44778</v>
      </c>
      <c r="B1410" s="3">
        <v>7.5995370370370366E-2</v>
      </c>
      <c r="C1410">
        <v>3337</v>
      </c>
      <c r="D1410" t="str">
        <f>VLOOKUP(H1410,Produkt!$A$2:$B$5,2,FALSE)</f>
        <v>B</v>
      </c>
      <c r="H1410">
        <v>2</v>
      </c>
      <c r="I1410">
        <v>9.2708333333333337E-2</v>
      </c>
      <c r="J1410">
        <v>44776</v>
      </c>
    </row>
    <row r="1411" spans="1:10" x14ac:dyDescent="0.35">
      <c r="A1411" s="2">
        <v>44778</v>
      </c>
      <c r="B1411" s="3">
        <v>0.65461805555555552</v>
      </c>
      <c r="C1411">
        <v>3385</v>
      </c>
      <c r="D1411" t="str">
        <f>VLOOKUP(H1411,Produkt!$A$2:$B$5,2,FALSE)</f>
        <v>C</v>
      </c>
      <c r="H1411">
        <v>3</v>
      </c>
      <c r="I1411">
        <v>0.29670138888888892</v>
      </c>
      <c r="J1411">
        <v>44775</v>
      </c>
    </row>
    <row r="1412" spans="1:10" x14ac:dyDescent="0.35">
      <c r="A1412" s="2">
        <v>44778</v>
      </c>
      <c r="B1412" s="3">
        <v>0.1320486111111111</v>
      </c>
      <c r="C1412">
        <v>3401</v>
      </c>
      <c r="D1412" t="str">
        <f>VLOOKUP(H1412,Produkt!$A$2:$B$5,2,FALSE)</f>
        <v>A</v>
      </c>
      <c r="H1412">
        <v>1</v>
      </c>
      <c r="I1412">
        <v>0.60649305555555555</v>
      </c>
      <c r="J1412">
        <v>44797</v>
      </c>
    </row>
    <row r="1413" spans="1:10" x14ac:dyDescent="0.35">
      <c r="A1413" s="2">
        <v>44778</v>
      </c>
      <c r="B1413" s="3">
        <v>2.3842592592593359E-3</v>
      </c>
      <c r="C1413">
        <v>3408</v>
      </c>
      <c r="D1413" t="str">
        <f>VLOOKUP(H1413,Produkt!$A$2:$B$5,2,FALSE)</f>
        <v>A</v>
      </c>
      <c r="H1413">
        <v>1</v>
      </c>
      <c r="I1413">
        <v>0.58729166666666666</v>
      </c>
      <c r="J1413">
        <v>44804</v>
      </c>
    </row>
    <row r="1414" spans="1:10" x14ac:dyDescent="0.35">
      <c r="A1414" s="2">
        <v>44778</v>
      </c>
      <c r="B1414" s="3">
        <v>0.71122685185185175</v>
      </c>
      <c r="C1414">
        <v>3439</v>
      </c>
      <c r="D1414" t="str">
        <f>VLOOKUP(H1414,Produkt!$A$2:$B$5,2,FALSE)</f>
        <v>C</v>
      </c>
      <c r="H1414">
        <v>3</v>
      </c>
      <c r="I1414">
        <v>0.28371527777777777</v>
      </c>
      <c r="J1414">
        <v>44777</v>
      </c>
    </row>
    <row r="1415" spans="1:10" x14ac:dyDescent="0.35">
      <c r="A1415" s="2">
        <v>44778</v>
      </c>
      <c r="B1415" s="3">
        <v>0.23020833333333335</v>
      </c>
      <c r="C1415">
        <v>3547</v>
      </c>
      <c r="D1415" t="str">
        <f>VLOOKUP(H1415,Produkt!$A$2:$B$5,2,FALSE)</f>
        <v>B</v>
      </c>
      <c r="H1415">
        <v>2</v>
      </c>
      <c r="I1415">
        <v>0.49321759259259257</v>
      </c>
      <c r="J1415">
        <v>44791</v>
      </c>
    </row>
    <row r="1416" spans="1:10" x14ac:dyDescent="0.35">
      <c r="A1416" s="2">
        <v>44778</v>
      </c>
      <c r="B1416" s="3">
        <v>0.84082175925925917</v>
      </c>
      <c r="C1416">
        <v>3634</v>
      </c>
      <c r="D1416" t="str">
        <f>VLOOKUP(H1416,Produkt!$A$2:$B$5,2,FALSE)</f>
        <v>A</v>
      </c>
      <c r="H1416">
        <v>1</v>
      </c>
      <c r="I1416">
        <v>0.75962962962962965</v>
      </c>
      <c r="J1416">
        <v>44797</v>
      </c>
    </row>
    <row r="1417" spans="1:10" x14ac:dyDescent="0.35">
      <c r="A1417" s="2">
        <v>44778</v>
      </c>
      <c r="B1417" s="3">
        <v>0.9698148148148148</v>
      </c>
      <c r="C1417">
        <v>3650</v>
      </c>
      <c r="D1417" t="str">
        <f>VLOOKUP(H1417,Produkt!$A$2:$B$5,2,FALSE)</f>
        <v>C</v>
      </c>
      <c r="H1417">
        <v>3</v>
      </c>
      <c r="I1417">
        <v>0.37547453703703698</v>
      </c>
      <c r="J1417">
        <v>44786</v>
      </c>
    </row>
    <row r="1418" spans="1:10" x14ac:dyDescent="0.35">
      <c r="A1418" s="2">
        <v>44778</v>
      </c>
      <c r="B1418" s="3">
        <v>5.092592592592593E-2</v>
      </c>
      <c r="C1418">
        <v>3661</v>
      </c>
      <c r="D1418" t="str">
        <f>VLOOKUP(H1418,Produkt!$A$2:$B$5,2,FALSE)</f>
        <v>B</v>
      </c>
      <c r="H1418">
        <v>2</v>
      </c>
      <c r="I1418">
        <v>1.5983796296296315E-2</v>
      </c>
      <c r="J1418">
        <v>44781</v>
      </c>
    </row>
    <row r="1419" spans="1:10" x14ac:dyDescent="0.35">
      <c r="A1419" s="2">
        <v>44778</v>
      </c>
      <c r="B1419" s="3">
        <v>0.55500000000000005</v>
      </c>
      <c r="C1419">
        <v>3738</v>
      </c>
      <c r="D1419" t="str">
        <f>VLOOKUP(H1419,Produkt!$A$2:$B$5,2,FALSE)</f>
        <v>D</v>
      </c>
      <c r="H1419">
        <v>4</v>
      </c>
      <c r="I1419">
        <v>3.5833333333333335E-2</v>
      </c>
      <c r="J1419">
        <v>44792</v>
      </c>
    </row>
    <row r="1420" spans="1:10" x14ac:dyDescent="0.35">
      <c r="A1420" s="2">
        <v>44778</v>
      </c>
      <c r="B1420" s="3">
        <v>0.96732638888888889</v>
      </c>
      <c r="C1420">
        <v>3752</v>
      </c>
      <c r="D1420" t="str">
        <f>VLOOKUP(H1420,Produkt!$A$2:$B$5,2,FALSE)</f>
        <v>C</v>
      </c>
      <c r="H1420">
        <v>3</v>
      </c>
      <c r="I1420">
        <v>0.31232638888888892</v>
      </c>
      <c r="J1420">
        <v>44776</v>
      </c>
    </row>
    <row r="1421" spans="1:10" x14ac:dyDescent="0.35">
      <c r="A1421" s="2">
        <v>44778</v>
      </c>
      <c r="B1421" s="3">
        <v>0.79834490740740749</v>
      </c>
      <c r="C1421">
        <v>3761</v>
      </c>
      <c r="D1421" t="str">
        <f>VLOOKUP(H1421,Produkt!$A$2:$B$5,2,FALSE)</f>
        <v>D</v>
      </c>
      <c r="H1421">
        <v>4</v>
      </c>
      <c r="I1421">
        <v>0.96342592592592602</v>
      </c>
      <c r="J1421">
        <v>44782</v>
      </c>
    </row>
    <row r="1422" spans="1:10" x14ac:dyDescent="0.35">
      <c r="A1422" s="2">
        <v>44778</v>
      </c>
      <c r="B1422" s="3">
        <v>0.55425925925925923</v>
      </c>
      <c r="C1422">
        <v>3791</v>
      </c>
      <c r="D1422" t="str">
        <f>VLOOKUP(H1422,Produkt!$A$2:$B$5,2,FALSE)</f>
        <v>D</v>
      </c>
      <c r="H1422">
        <v>4</v>
      </c>
      <c r="I1422">
        <v>0.8351157407407408</v>
      </c>
      <c r="J1422">
        <v>44787</v>
      </c>
    </row>
    <row r="1423" spans="1:10" x14ac:dyDescent="0.35">
      <c r="A1423" s="2">
        <v>44778</v>
      </c>
      <c r="B1423" s="3">
        <v>0.82054398148148155</v>
      </c>
      <c r="C1423">
        <v>3802</v>
      </c>
      <c r="D1423" t="str">
        <f>VLOOKUP(H1423,Produkt!$A$2:$B$5,2,FALSE)</f>
        <v>A</v>
      </c>
      <c r="H1423">
        <v>1</v>
      </c>
      <c r="I1423">
        <v>0.36677083333333332</v>
      </c>
      <c r="J1423">
        <v>44781</v>
      </c>
    </row>
    <row r="1424" spans="1:10" x14ac:dyDescent="0.35">
      <c r="A1424" s="2">
        <v>44778</v>
      </c>
      <c r="B1424" s="3">
        <v>0.36780092592592589</v>
      </c>
      <c r="C1424">
        <v>3871</v>
      </c>
      <c r="D1424" t="str">
        <f>VLOOKUP(H1424,Produkt!$A$2:$B$5,2,FALSE)</f>
        <v>A</v>
      </c>
      <c r="H1424">
        <v>1</v>
      </c>
      <c r="I1424">
        <v>0.58641203703703704</v>
      </c>
      <c r="J1424">
        <v>44801</v>
      </c>
    </row>
    <row r="1425" spans="1:10" x14ac:dyDescent="0.35">
      <c r="A1425" s="2">
        <v>44778</v>
      </c>
      <c r="B1425" s="3">
        <v>0.62163194444444447</v>
      </c>
      <c r="C1425">
        <v>3896</v>
      </c>
      <c r="D1425" t="str">
        <f>VLOOKUP(H1425,Produkt!$A$2:$B$5,2,FALSE)</f>
        <v>D</v>
      </c>
      <c r="H1425">
        <v>4</v>
      </c>
      <c r="I1425">
        <v>0.52335648148148151</v>
      </c>
      <c r="J1425">
        <v>44795</v>
      </c>
    </row>
    <row r="1426" spans="1:10" x14ac:dyDescent="0.35">
      <c r="A1426" s="2">
        <v>44778</v>
      </c>
      <c r="B1426" s="3">
        <v>3.4884259259259261E-2</v>
      </c>
      <c r="C1426">
        <v>3917</v>
      </c>
      <c r="D1426" t="str">
        <f>VLOOKUP(H1426,Produkt!$A$2:$B$5,2,FALSE)</f>
        <v>B</v>
      </c>
      <c r="H1426">
        <v>2</v>
      </c>
      <c r="I1426">
        <v>0.37501157407407409</v>
      </c>
      <c r="J1426">
        <v>44779</v>
      </c>
    </row>
    <row r="1427" spans="1:10" x14ac:dyDescent="0.35">
      <c r="A1427" s="2">
        <v>44778</v>
      </c>
      <c r="B1427" s="3">
        <v>0.85357638888888887</v>
      </c>
      <c r="C1427">
        <v>3957</v>
      </c>
      <c r="D1427" t="str">
        <f>VLOOKUP(H1427,Produkt!$A$2:$B$5,2,FALSE)</f>
        <v>C</v>
      </c>
      <c r="H1427">
        <v>3</v>
      </c>
      <c r="I1427">
        <v>0.47841435185185183</v>
      </c>
      <c r="J1427">
        <v>44798</v>
      </c>
    </row>
    <row r="1428" spans="1:10" x14ac:dyDescent="0.35">
      <c r="A1428" s="2">
        <v>44778</v>
      </c>
      <c r="B1428" s="3">
        <v>0.75552083333333331</v>
      </c>
      <c r="C1428">
        <v>4021</v>
      </c>
      <c r="D1428" t="str">
        <f>VLOOKUP(H1428,Produkt!$A$2:$B$5,2,FALSE)</f>
        <v>B</v>
      </c>
      <c r="H1428">
        <v>2</v>
      </c>
      <c r="I1428">
        <v>1.1643518518518518E-2</v>
      </c>
      <c r="J1428">
        <v>44803</v>
      </c>
    </row>
    <row r="1429" spans="1:10" x14ac:dyDescent="0.35">
      <c r="A1429" s="2">
        <v>44778</v>
      </c>
      <c r="B1429" s="3">
        <v>0.44546296296296295</v>
      </c>
      <c r="C1429">
        <v>4024</v>
      </c>
      <c r="D1429" t="str">
        <f>VLOOKUP(H1429,Produkt!$A$2:$B$5,2,FALSE)</f>
        <v>D</v>
      </c>
      <c r="H1429">
        <v>4</v>
      </c>
      <c r="I1429">
        <v>0.95481481481481489</v>
      </c>
      <c r="J1429">
        <v>44781</v>
      </c>
    </row>
    <row r="1430" spans="1:10" x14ac:dyDescent="0.35">
      <c r="A1430" s="2">
        <v>44778</v>
      </c>
      <c r="B1430" s="3">
        <v>0.61833333333333329</v>
      </c>
      <c r="C1430">
        <v>4039</v>
      </c>
      <c r="D1430" t="str">
        <f>VLOOKUP(H1430,Produkt!$A$2:$B$5,2,FALSE)</f>
        <v>B</v>
      </c>
      <c r="H1430">
        <v>2</v>
      </c>
      <c r="I1430">
        <v>0.7847453703703704</v>
      </c>
      <c r="J1430">
        <v>44794</v>
      </c>
    </row>
    <row r="1431" spans="1:10" x14ac:dyDescent="0.35">
      <c r="A1431" s="2">
        <v>44778</v>
      </c>
      <c r="B1431" s="3">
        <v>0.85902777777777783</v>
      </c>
      <c r="C1431">
        <v>4061</v>
      </c>
      <c r="D1431" t="str">
        <f>VLOOKUP(H1431,Produkt!$A$2:$B$5,2,FALSE)</f>
        <v>A</v>
      </c>
      <c r="H1431">
        <v>1</v>
      </c>
      <c r="I1431">
        <v>0.17217592592592593</v>
      </c>
      <c r="J1431">
        <v>44798</v>
      </c>
    </row>
    <row r="1432" spans="1:10" x14ac:dyDescent="0.35">
      <c r="A1432" s="2">
        <v>44778</v>
      </c>
      <c r="B1432" s="3">
        <v>0.92975694444444434</v>
      </c>
      <c r="C1432">
        <v>4066</v>
      </c>
      <c r="D1432" t="str">
        <f>VLOOKUP(H1432,Produkt!$A$2:$B$5,2,FALSE)</f>
        <v>D</v>
      </c>
      <c r="H1432">
        <v>4</v>
      </c>
      <c r="I1432">
        <v>0.92521990740740734</v>
      </c>
      <c r="J1432">
        <v>44802</v>
      </c>
    </row>
    <row r="1433" spans="1:10" x14ac:dyDescent="0.35">
      <c r="A1433" s="2">
        <v>44778</v>
      </c>
      <c r="B1433" s="3">
        <v>0.90957175925925926</v>
      </c>
      <c r="C1433">
        <v>4067</v>
      </c>
      <c r="D1433" t="str">
        <f>VLOOKUP(H1433,Produkt!$A$2:$B$5,2,FALSE)</f>
        <v>D</v>
      </c>
      <c r="H1433">
        <v>4</v>
      </c>
      <c r="I1433">
        <v>0.75899305555555552</v>
      </c>
      <c r="J1433">
        <v>44802</v>
      </c>
    </row>
    <row r="1434" spans="1:10" x14ac:dyDescent="0.35">
      <c r="A1434" s="2">
        <v>44778</v>
      </c>
      <c r="B1434" s="3">
        <v>0.3740046296296296</v>
      </c>
      <c r="C1434">
        <v>4081</v>
      </c>
      <c r="D1434" t="str">
        <f>VLOOKUP(H1434,Produkt!$A$2:$B$5,2,FALSE)</f>
        <v>D</v>
      </c>
      <c r="H1434">
        <v>4</v>
      </c>
      <c r="I1434">
        <v>0.17247685185185183</v>
      </c>
      <c r="J1434">
        <v>44777</v>
      </c>
    </row>
    <row r="1435" spans="1:10" x14ac:dyDescent="0.35">
      <c r="A1435" s="2">
        <v>44778</v>
      </c>
      <c r="B1435" s="3">
        <v>0.92108796296296302</v>
      </c>
      <c r="C1435">
        <v>4094</v>
      </c>
      <c r="D1435" t="str">
        <f>VLOOKUP(H1435,Produkt!$A$2:$B$5,2,FALSE)</f>
        <v>A</v>
      </c>
      <c r="H1435">
        <v>1</v>
      </c>
      <c r="I1435">
        <v>0.40630787037037036</v>
      </c>
      <c r="J1435">
        <v>44788</v>
      </c>
    </row>
    <row r="1436" spans="1:10" x14ac:dyDescent="0.35">
      <c r="A1436" s="2">
        <v>44778</v>
      </c>
      <c r="B1436" s="3">
        <v>0.66008101851851853</v>
      </c>
      <c r="C1436">
        <v>4150</v>
      </c>
      <c r="D1436" t="str">
        <f>VLOOKUP(H1436,Produkt!$A$2:$B$5,2,FALSE)</f>
        <v>C</v>
      </c>
      <c r="H1436">
        <v>3</v>
      </c>
      <c r="I1436">
        <v>0.21679398148148146</v>
      </c>
      <c r="J1436">
        <v>44779</v>
      </c>
    </row>
    <row r="1437" spans="1:10" x14ac:dyDescent="0.35">
      <c r="A1437" s="2">
        <v>44778</v>
      </c>
      <c r="B1437" s="3">
        <v>0.97400462962962964</v>
      </c>
      <c r="C1437">
        <v>4165</v>
      </c>
      <c r="D1437" t="str">
        <f>VLOOKUP(H1437,Produkt!$A$2:$B$5,2,FALSE)</f>
        <v>D</v>
      </c>
      <c r="H1437">
        <v>4</v>
      </c>
      <c r="I1437">
        <v>0.4852083333333333</v>
      </c>
      <c r="J1437">
        <v>44804</v>
      </c>
    </row>
    <row r="1438" spans="1:10" x14ac:dyDescent="0.35">
      <c r="A1438" s="2">
        <v>44778</v>
      </c>
      <c r="B1438" s="3">
        <v>0.56969907407407405</v>
      </c>
      <c r="C1438">
        <v>4201</v>
      </c>
      <c r="D1438" t="str">
        <f>VLOOKUP(H1438,Produkt!$A$2:$B$5,2,FALSE)</f>
        <v>B</v>
      </c>
      <c r="H1438">
        <v>2</v>
      </c>
      <c r="I1438">
        <v>0.69931712962962955</v>
      </c>
      <c r="J1438">
        <v>44794</v>
      </c>
    </row>
    <row r="1439" spans="1:10" x14ac:dyDescent="0.35">
      <c r="A1439" s="2">
        <v>44778</v>
      </c>
      <c r="B1439" s="3">
        <v>0.36972222222222223</v>
      </c>
      <c r="C1439">
        <v>4208</v>
      </c>
      <c r="D1439" t="str">
        <f>VLOOKUP(H1439,Produkt!$A$2:$B$5,2,FALSE)</f>
        <v>D</v>
      </c>
      <c r="H1439">
        <v>4</v>
      </c>
      <c r="I1439">
        <v>0.851099537037037</v>
      </c>
      <c r="J1439">
        <v>44781</v>
      </c>
    </row>
    <row r="1440" spans="1:10" x14ac:dyDescent="0.35">
      <c r="A1440" s="2">
        <v>44778</v>
      </c>
      <c r="B1440" s="3">
        <v>0.8208333333333333</v>
      </c>
      <c r="C1440">
        <v>4253</v>
      </c>
      <c r="D1440" t="str">
        <f>VLOOKUP(H1440,Produkt!$A$2:$B$5,2,FALSE)</f>
        <v>D</v>
      </c>
      <c r="H1440">
        <v>4</v>
      </c>
      <c r="I1440">
        <v>0.17780092592592592</v>
      </c>
      <c r="J1440">
        <v>44787</v>
      </c>
    </row>
    <row r="1441" spans="1:10" x14ac:dyDescent="0.35">
      <c r="A1441" s="2">
        <v>44778</v>
      </c>
      <c r="B1441" s="3">
        <v>0.73121527777777784</v>
      </c>
      <c r="C1441">
        <v>4263</v>
      </c>
      <c r="D1441" t="str">
        <f>VLOOKUP(H1441,Produkt!$A$2:$B$5,2,FALSE)</f>
        <v>D</v>
      </c>
      <c r="H1441">
        <v>4</v>
      </c>
      <c r="I1441">
        <v>0.86253472222222216</v>
      </c>
      <c r="J1441">
        <v>44796</v>
      </c>
    </row>
    <row r="1442" spans="1:10" x14ac:dyDescent="0.35">
      <c r="A1442" s="2">
        <v>44778</v>
      </c>
      <c r="B1442" s="3">
        <v>0.74271990740740745</v>
      </c>
      <c r="C1442">
        <v>4265</v>
      </c>
      <c r="D1442" t="str">
        <f>VLOOKUP(H1442,Produkt!$A$2:$B$5,2,FALSE)</f>
        <v>B</v>
      </c>
      <c r="H1442">
        <v>2</v>
      </c>
      <c r="I1442">
        <v>0.40226851851851847</v>
      </c>
      <c r="J1442">
        <v>44798</v>
      </c>
    </row>
    <row r="1443" spans="1:10" x14ac:dyDescent="0.35">
      <c r="A1443" s="2">
        <v>44778</v>
      </c>
      <c r="B1443" s="3">
        <v>0.95884259259259252</v>
      </c>
      <c r="C1443">
        <v>4344</v>
      </c>
      <c r="D1443" t="str">
        <f>VLOOKUP(H1443,Produkt!$A$2:$B$5,2,FALSE)</f>
        <v>A</v>
      </c>
      <c r="H1443">
        <v>1</v>
      </c>
      <c r="I1443">
        <v>0.88192129629629623</v>
      </c>
      <c r="J1443">
        <v>44799</v>
      </c>
    </row>
    <row r="1444" spans="1:10" x14ac:dyDescent="0.35">
      <c r="A1444" s="2">
        <v>44778</v>
      </c>
      <c r="B1444" s="3">
        <v>0.25109953703703702</v>
      </c>
      <c r="C1444">
        <v>4347</v>
      </c>
      <c r="D1444" t="str">
        <f>VLOOKUP(H1444,Produkt!$A$2:$B$5,2,FALSE)</f>
        <v>C</v>
      </c>
      <c r="H1444">
        <v>3</v>
      </c>
      <c r="I1444">
        <v>0.36357638888888894</v>
      </c>
      <c r="J1444">
        <v>44783</v>
      </c>
    </row>
    <row r="1445" spans="1:10" x14ac:dyDescent="0.35">
      <c r="A1445" s="2">
        <v>44778</v>
      </c>
      <c r="B1445" s="3">
        <v>0.45059027777777777</v>
      </c>
      <c r="C1445">
        <v>4429</v>
      </c>
      <c r="D1445" t="str">
        <f>VLOOKUP(H1445,Produkt!$A$2:$B$5,2,FALSE)</f>
        <v>C</v>
      </c>
      <c r="H1445">
        <v>3</v>
      </c>
      <c r="I1445">
        <v>0.88508101851851861</v>
      </c>
      <c r="J1445">
        <v>44776</v>
      </c>
    </row>
    <row r="1446" spans="1:10" x14ac:dyDescent="0.35">
      <c r="A1446" s="2">
        <v>44778</v>
      </c>
      <c r="B1446" s="3">
        <v>0.8639930555555555</v>
      </c>
      <c r="C1446">
        <v>4464</v>
      </c>
      <c r="D1446" t="str">
        <f>VLOOKUP(H1446,Produkt!$A$2:$B$5,2,FALSE)</f>
        <v>B</v>
      </c>
      <c r="H1446">
        <v>2</v>
      </c>
      <c r="I1446">
        <v>0.25211805555555555</v>
      </c>
      <c r="J1446">
        <v>44799</v>
      </c>
    </row>
    <row r="1447" spans="1:10" x14ac:dyDescent="0.35">
      <c r="A1447" s="2">
        <v>44778</v>
      </c>
      <c r="B1447" s="3">
        <v>0.69814814814814818</v>
      </c>
      <c r="C1447">
        <v>4471</v>
      </c>
      <c r="D1447" t="str">
        <f>VLOOKUP(H1447,Produkt!$A$2:$B$5,2,FALSE)</f>
        <v>B</v>
      </c>
      <c r="H1447">
        <v>2</v>
      </c>
      <c r="I1447">
        <v>0.78711805555555558</v>
      </c>
      <c r="J1447">
        <v>44802</v>
      </c>
    </row>
    <row r="1448" spans="1:10" x14ac:dyDescent="0.35">
      <c r="A1448" s="2">
        <v>44778</v>
      </c>
      <c r="B1448" s="3">
        <v>0.11850694444444444</v>
      </c>
      <c r="C1448">
        <v>4543</v>
      </c>
      <c r="D1448" t="str">
        <f>VLOOKUP(H1448,Produkt!$A$2:$B$5,2,FALSE)</f>
        <v>A</v>
      </c>
      <c r="H1448">
        <v>1</v>
      </c>
      <c r="I1448">
        <v>0.34781250000000002</v>
      </c>
      <c r="J1448">
        <v>44793</v>
      </c>
    </row>
    <row r="1449" spans="1:10" x14ac:dyDescent="0.35">
      <c r="A1449" s="2">
        <v>44778</v>
      </c>
      <c r="B1449" s="3">
        <v>0.53880787037037037</v>
      </c>
      <c r="C1449">
        <v>4653</v>
      </c>
      <c r="D1449" t="str">
        <f>VLOOKUP(H1449,Produkt!$A$2:$B$5,2,FALSE)</f>
        <v>B</v>
      </c>
      <c r="H1449">
        <v>2</v>
      </c>
      <c r="I1449">
        <v>0.81083333333333341</v>
      </c>
      <c r="J1449">
        <v>44799</v>
      </c>
    </row>
    <row r="1450" spans="1:10" x14ac:dyDescent="0.35">
      <c r="A1450" s="2">
        <v>44778</v>
      </c>
      <c r="B1450" s="3">
        <v>0.16751157407407405</v>
      </c>
      <c r="C1450">
        <v>4674</v>
      </c>
      <c r="D1450" t="str">
        <f>VLOOKUP(H1450,Produkt!$A$2:$B$5,2,FALSE)</f>
        <v>A</v>
      </c>
      <c r="H1450">
        <v>1</v>
      </c>
      <c r="I1450">
        <v>0.84960648148148143</v>
      </c>
      <c r="J1450">
        <v>44789</v>
      </c>
    </row>
    <row r="1451" spans="1:10" x14ac:dyDescent="0.35">
      <c r="A1451" s="2">
        <v>44778</v>
      </c>
      <c r="B1451" s="3">
        <v>0.83831018518518519</v>
      </c>
      <c r="C1451">
        <v>4683</v>
      </c>
      <c r="D1451" t="str">
        <f>VLOOKUP(H1451,Produkt!$A$2:$B$5,2,FALSE)</f>
        <v>D</v>
      </c>
      <c r="H1451">
        <v>4</v>
      </c>
      <c r="I1451">
        <v>0.85585648148148152</v>
      </c>
      <c r="J1451">
        <v>44791</v>
      </c>
    </row>
    <row r="1452" spans="1:10" x14ac:dyDescent="0.35">
      <c r="A1452" s="2">
        <v>44778</v>
      </c>
      <c r="B1452" s="3">
        <v>0.29699074074074078</v>
      </c>
      <c r="C1452">
        <v>4690</v>
      </c>
      <c r="D1452" t="str">
        <f>VLOOKUP(H1452,Produkt!$A$2:$B$5,2,FALSE)</f>
        <v>D</v>
      </c>
      <c r="H1452">
        <v>4</v>
      </c>
      <c r="I1452">
        <v>0.75041666666666673</v>
      </c>
      <c r="J1452">
        <v>44791</v>
      </c>
    </row>
    <row r="1453" spans="1:10" x14ac:dyDescent="0.35">
      <c r="A1453" s="2">
        <v>44778</v>
      </c>
      <c r="B1453" s="3">
        <v>0.78686342592592595</v>
      </c>
      <c r="C1453">
        <v>4736</v>
      </c>
      <c r="D1453" t="str">
        <f>VLOOKUP(H1453,Produkt!$A$2:$B$5,2,FALSE)</f>
        <v>C</v>
      </c>
      <c r="H1453">
        <v>3</v>
      </c>
      <c r="I1453">
        <v>0.45255787037037037</v>
      </c>
      <c r="J1453">
        <v>44775</v>
      </c>
    </row>
    <row r="1454" spans="1:10" x14ac:dyDescent="0.35">
      <c r="A1454" s="2">
        <v>44778</v>
      </c>
      <c r="B1454" s="3">
        <v>0.50981481481481483</v>
      </c>
      <c r="C1454">
        <v>4785</v>
      </c>
      <c r="D1454" t="str">
        <f>VLOOKUP(H1454,Produkt!$A$2:$B$5,2,FALSE)</f>
        <v>C</v>
      </c>
      <c r="H1454">
        <v>3</v>
      </c>
      <c r="I1454">
        <v>0.94284722222222228</v>
      </c>
      <c r="J1454">
        <v>44778</v>
      </c>
    </row>
    <row r="1455" spans="1:10" x14ac:dyDescent="0.35">
      <c r="A1455" s="2">
        <v>44778</v>
      </c>
      <c r="B1455" s="3">
        <v>0.6830208333333333</v>
      </c>
      <c r="C1455">
        <v>4832</v>
      </c>
      <c r="D1455" t="str">
        <f>VLOOKUP(H1455,Produkt!$A$2:$B$5,2,FALSE)</f>
        <v>A</v>
      </c>
      <c r="H1455">
        <v>1</v>
      </c>
      <c r="I1455">
        <v>0.59756944444444449</v>
      </c>
      <c r="J1455">
        <v>44782</v>
      </c>
    </row>
    <row r="1456" spans="1:10" x14ac:dyDescent="0.35">
      <c r="A1456" s="2">
        <v>44778</v>
      </c>
      <c r="B1456" s="3">
        <v>0.15596064814814814</v>
      </c>
      <c r="C1456">
        <v>4841</v>
      </c>
      <c r="D1456" t="str">
        <f>VLOOKUP(H1456,Produkt!$A$2:$B$5,2,FALSE)</f>
        <v>C</v>
      </c>
      <c r="H1456">
        <v>3</v>
      </c>
      <c r="I1456">
        <v>0.83164351851851848</v>
      </c>
      <c r="J1456">
        <v>44794</v>
      </c>
    </row>
    <row r="1457" spans="1:10" x14ac:dyDescent="0.35">
      <c r="A1457" s="2">
        <v>44778</v>
      </c>
      <c r="B1457" s="3">
        <v>0.51237268518518519</v>
      </c>
      <c r="C1457">
        <v>4846</v>
      </c>
      <c r="D1457" t="str">
        <f>VLOOKUP(H1457,Produkt!$A$2:$B$5,2,FALSE)</f>
        <v>D</v>
      </c>
      <c r="H1457">
        <v>4</v>
      </c>
      <c r="I1457">
        <v>0.23539351851851853</v>
      </c>
      <c r="J1457">
        <v>44795</v>
      </c>
    </row>
    <row r="1458" spans="1:10" x14ac:dyDescent="0.35">
      <c r="A1458" s="2">
        <v>44778</v>
      </c>
      <c r="B1458" s="3">
        <v>2.4618055555555518E-2</v>
      </c>
      <c r="C1458">
        <v>4862</v>
      </c>
      <c r="D1458" t="str">
        <f>VLOOKUP(H1458,Produkt!$A$2:$B$5,2,FALSE)</f>
        <v>C</v>
      </c>
      <c r="H1458">
        <v>3</v>
      </c>
      <c r="I1458">
        <v>0.83351851851851855</v>
      </c>
      <c r="J1458">
        <v>44786</v>
      </c>
    </row>
    <row r="1459" spans="1:10" x14ac:dyDescent="0.35">
      <c r="A1459" s="2">
        <v>44778</v>
      </c>
      <c r="B1459" s="3">
        <v>0.90238425925925936</v>
      </c>
      <c r="C1459">
        <v>4881</v>
      </c>
      <c r="D1459" t="str">
        <f>VLOOKUP(H1459,Produkt!$A$2:$B$5,2,FALSE)</f>
        <v>B</v>
      </c>
      <c r="H1459">
        <v>2</v>
      </c>
      <c r="I1459">
        <v>9.2743055555555565E-2</v>
      </c>
      <c r="J1459">
        <v>44791</v>
      </c>
    </row>
    <row r="1460" spans="1:10" x14ac:dyDescent="0.35">
      <c r="A1460" s="2">
        <v>44778</v>
      </c>
      <c r="B1460" s="3">
        <v>0.59895833333333337</v>
      </c>
      <c r="C1460">
        <v>4899</v>
      </c>
      <c r="D1460" t="str">
        <f>VLOOKUP(H1460,Produkt!$A$2:$B$5,2,FALSE)</f>
        <v>A</v>
      </c>
      <c r="H1460">
        <v>1</v>
      </c>
      <c r="I1460">
        <v>0.9615393518518518</v>
      </c>
      <c r="J1460">
        <v>44801</v>
      </c>
    </row>
    <row r="1461" spans="1:10" x14ac:dyDescent="0.35">
      <c r="A1461" s="2">
        <v>44778</v>
      </c>
      <c r="B1461" s="3">
        <v>9.5486111111111101E-3</v>
      </c>
      <c r="C1461">
        <v>4945</v>
      </c>
      <c r="D1461" t="str">
        <f>VLOOKUP(H1461,Produkt!$A$2:$B$5,2,FALSE)</f>
        <v>C</v>
      </c>
      <c r="H1461">
        <v>3</v>
      </c>
      <c r="I1461">
        <v>0.98148148148148151</v>
      </c>
      <c r="J1461">
        <v>44787</v>
      </c>
    </row>
    <row r="1462" spans="1:10" x14ac:dyDescent="0.35">
      <c r="A1462" s="2">
        <v>44778</v>
      </c>
      <c r="B1462" s="3">
        <v>3.4571759259259371E-2</v>
      </c>
      <c r="C1462">
        <v>4957</v>
      </c>
      <c r="D1462" t="str">
        <f>VLOOKUP(H1462,Produkt!$A$2:$B$5,2,FALSE)</f>
        <v>D</v>
      </c>
      <c r="H1462">
        <v>4</v>
      </c>
      <c r="I1462">
        <v>0.33414351851851848</v>
      </c>
      <c r="J1462">
        <v>44784</v>
      </c>
    </row>
    <row r="1463" spans="1:10" x14ac:dyDescent="0.35">
      <c r="A1463" s="2">
        <v>44778</v>
      </c>
      <c r="B1463" s="3">
        <v>0.92993055555555559</v>
      </c>
      <c r="C1463">
        <v>5046</v>
      </c>
      <c r="D1463" t="str">
        <f>VLOOKUP(H1463,Produkt!$A$2:$B$5,2,FALSE)</f>
        <v>C</v>
      </c>
      <c r="H1463">
        <v>3</v>
      </c>
      <c r="I1463">
        <v>0.41491898148148149</v>
      </c>
      <c r="J1463">
        <v>44789</v>
      </c>
    </row>
    <row r="1464" spans="1:10" x14ac:dyDescent="0.35">
      <c r="A1464" s="2">
        <v>44778</v>
      </c>
      <c r="B1464" s="3">
        <v>0.94445601851851846</v>
      </c>
      <c r="C1464">
        <v>5109</v>
      </c>
      <c r="D1464" t="str">
        <f>VLOOKUP(H1464,Produkt!$A$2:$B$5,2,FALSE)</f>
        <v>A</v>
      </c>
      <c r="H1464">
        <v>1</v>
      </c>
      <c r="I1464">
        <v>0.59815972222222225</v>
      </c>
      <c r="J1464">
        <v>44779</v>
      </c>
    </row>
    <row r="1465" spans="1:10" x14ac:dyDescent="0.35">
      <c r="A1465" s="2">
        <v>44778</v>
      </c>
      <c r="B1465" s="3">
        <v>0.2942939814814815</v>
      </c>
      <c r="C1465">
        <v>5143</v>
      </c>
      <c r="D1465" t="str">
        <f>VLOOKUP(H1465,Produkt!$A$2:$B$5,2,FALSE)</f>
        <v>A</v>
      </c>
      <c r="H1465">
        <v>1</v>
      </c>
      <c r="I1465">
        <v>0.70724537037037039</v>
      </c>
      <c r="J1465">
        <v>44791</v>
      </c>
    </row>
    <row r="1466" spans="1:10" x14ac:dyDescent="0.35">
      <c r="A1466" s="2">
        <v>44778</v>
      </c>
      <c r="B1466" s="3">
        <v>0.53984953703703698</v>
      </c>
      <c r="C1466">
        <v>5170</v>
      </c>
      <c r="D1466" t="str">
        <f>VLOOKUP(H1466,Produkt!$A$2:$B$5,2,FALSE)</f>
        <v>B</v>
      </c>
      <c r="H1466">
        <v>2</v>
      </c>
      <c r="I1466">
        <v>0.73486111111111108</v>
      </c>
      <c r="J1466">
        <v>44781</v>
      </c>
    </row>
    <row r="1467" spans="1:10" x14ac:dyDescent="0.35">
      <c r="A1467" s="2">
        <v>44778</v>
      </c>
      <c r="B1467" s="3">
        <v>0.82613425925925921</v>
      </c>
      <c r="C1467">
        <v>5237</v>
      </c>
      <c r="D1467" t="str">
        <f>VLOOKUP(H1467,Produkt!$A$2:$B$5,2,FALSE)</f>
        <v>B</v>
      </c>
      <c r="H1467">
        <v>2</v>
      </c>
      <c r="I1467">
        <v>0.61002314814814818</v>
      </c>
      <c r="J1467">
        <v>44789</v>
      </c>
    </row>
    <row r="1468" spans="1:10" x14ac:dyDescent="0.35">
      <c r="A1468" s="2">
        <v>44778</v>
      </c>
      <c r="B1468" s="3">
        <v>0.12739583333333335</v>
      </c>
      <c r="C1468">
        <v>5287</v>
      </c>
      <c r="D1468" t="str">
        <f>VLOOKUP(H1468,Produkt!$A$2:$B$5,2,FALSE)</f>
        <v>D</v>
      </c>
      <c r="H1468">
        <v>4</v>
      </c>
      <c r="I1468">
        <v>0.17119212962962962</v>
      </c>
      <c r="J1468">
        <v>44780</v>
      </c>
    </row>
    <row r="1469" spans="1:10" x14ac:dyDescent="0.35">
      <c r="A1469" s="2">
        <v>44778</v>
      </c>
      <c r="B1469" s="3">
        <v>0.25458333333333333</v>
      </c>
      <c r="C1469">
        <v>5296</v>
      </c>
      <c r="D1469" t="str">
        <f>VLOOKUP(H1469,Produkt!$A$2:$B$5,2,FALSE)</f>
        <v>D</v>
      </c>
      <c r="H1469">
        <v>4</v>
      </c>
      <c r="I1469">
        <v>6.3541666666666668E-3</v>
      </c>
      <c r="J1469">
        <v>44784</v>
      </c>
    </row>
    <row r="1470" spans="1:10" x14ac:dyDescent="0.35">
      <c r="A1470" s="2">
        <v>44778</v>
      </c>
      <c r="B1470" s="3">
        <v>0.87495370370370373</v>
      </c>
      <c r="C1470">
        <v>5300</v>
      </c>
      <c r="D1470" t="str">
        <f>VLOOKUP(H1470,Produkt!$A$2:$B$5,2,FALSE)</f>
        <v>B</v>
      </c>
      <c r="H1470">
        <v>2</v>
      </c>
      <c r="I1470">
        <v>0.10097222222222223</v>
      </c>
      <c r="J1470">
        <v>44785</v>
      </c>
    </row>
    <row r="1471" spans="1:10" x14ac:dyDescent="0.35">
      <c r="A1471" s="2">
        <v>44778</v>
      </c>
      <c r="B1471" s="3">
        <v>0.29297453703703702</v>
      </c>
      <c r="C1471">
        <v>5339</v>
      </c>
      <c r="D1471" t="str">
        <f>VLOOKUP(H1471,Produkt!$A$2:$B$5,2,FALSE)</f>
        <v>B</v>
      </c>
      <c r="H1471">
        <v>2</v>
      </c>
      <c r="I1471">
        <v>0.48905092592592592</v>
      </c>
      <c r="J1471">
        <v>44797</v>
      </c>
    </row>
    <row r="1472" spans="1:10" x14ac:dyDescent="0.35">
      <c r="A1472" s="2">
        <v>44778</v>
      </c>
      <c r="B1472" s="3">
        <v>0.83315972222222223</v>
      </c>
      <c r="C1472">
        <v>5386</v>
      </c>
      <c r="D1472" t="str">
        <f>VLOOKUP(H1472,Produkt!$A$2:$B$5,2,FALSE)</f>
        <v>D</v>
      </c>
      <c r="H1472">
        <v>4</v>
      </c>
      <c r="I1472">
        <v>0.37516203703703704</v>
      </c>
      <c r="J1472">
        <v>44801</v>
      </c>
    </row>
    <row r="1473" spans="1:10" x14ac:dyDescent="0.35">
      <c r="A1473" s="2">
        <v>44778</v>
      </c>
      <c r="B1473" s="3">
        <v>0.72567129629629623</v>
      </c>
      <c r="C1473">
        <v>5435</v>
      </c>
      <c r="D1473" t="str">
        <f>VLOOKUP(H1473,Produkt!$A$2:$B$5,2,FALSE)</f>
        <v>A</v>
      </c>
      <c r="H1473">
        <v>1</v>
      </c>
      <c r="I1473">
        <v>0.75083333333333335</v>
      </c>
      <c r="J1473">
        <v>44783</v>
      </c>
    </row>
    <row r="1474" spans="1:10" x14ac:dyDescent="0.35">
      <c r="A1474" s="2">
        <v>44778</v>
      </c>
      <c r="B1474" s="3">
        <v>0.99418981481481483</v>
      </c>
      <c r="C1474">
        <v>5482</v>
      </c>
      <c r="D1474" t="str">
        <f>VLOOKUP(H1474,Produkt!$A$2:$B$5,2,FALSE)</f>
        <v>A</v>
      </c>
      <c r="H1474">
        <v>1</v>
      </c>
      <c r="I1474">
        <v>0.65886574074074067</v>
      </c>
      <c r="J1474">
        <v>44783</v>
      </c>
    </row>
    <row r="1475" spans="1:10" x14ac:dyDescent="0.35">
      <c r="A1475" s="2">
        <v>44778</v>
      </c>
      <c r="B1475" s="3">
        <v>0.26947916666666666</v>
      </c>
      <c r="C1475">
        <v>5488</v>
      </c>
      <c r="D1475" t="str">
        <f>VLOOKUP(H1475,Produkt!$A$2:$B$5,2,FALSE)</f>
        <v>D</v>
      </c>
      <c r="H1475">
        <v>4</v>
      </c>
      <c r="I1475">
        <v>0.79160879629629621</v>
      </c>
      <c r="J1475">
        <v>44799</v>
      </c>
    </row>
    <row r="1476" spans="1:10" x14ac:dyDescent="0.35">
      <c r="A1476" s="2">
        <v>44778</v>
      </c>
      <c r="B1476" s="3">
        <v>0.17458333333333334</v>
      </c>
      <c r="C1476">
        <v>5593</v>
      </c>
      <c r="D1476" t="str">
        <f>VLOOKUP(H1476,Produkt!$A$2:$B$5,2,FALSE)</f>
        <v>B</v>
      </c>
      <c r="H1476">
        <v>2</v>
      </c>
      <c r="I1476">
        <v>0.34164351851851849</v>
      </c>
      <c r="J1476">
        <v>44791</v>
      </c>
    </row>
    <row r="1477" spans="1:10" x14ac:dyDescent="0.35">
      <c r="A1477" s="2">
        <v>44778</v>
      </c>
      <c r="B1477" s="3">
        <v>0.53328703703703706</v>
      </c>
      <c r="C1477">
        <v>5660</v>
      </c>
      <c r="D1477" t="str">
        <f>VLOOKUP(H1477,Produkt!$A$2:$B$5,2,FALSE)</f>
        <v>D</v>
      </c>
      <c r="H1477">
        <v>4</v>
      </c>
      <c r="I1477">
        <v>0.35784722222222221</v>
      </c>
      <c r="J1477">
        <v>44786</v>
      </c>
    </row>
    <row r="1478" spans="1:10" x14ac:dyDescent="0.35">
      <c r="A1478" s="2">
        <v>44778</v>
      </c>
      <c r="B1478" s="3">
        <v>0.86864583333333334</v>
      </c>
      <c r="C1478">
        <v>5662</v>
      </c>
      <c r="D1478" t="str">
        <f>VLOOKUP(H1478,Produkt!$A$2:$B$5,2,FALSE)</f>
        <v>C</v>
      </c>
      <c r="H1478">
        <v>3</v>
      </c>
      <c r="I1478">
        <v>0.5038541666666666</v>
      </c>
      <c r="J1478">
        <v>44777</v>
      </c>
    </row>
    <row r="1479" spans="1:10" x14ac:dyDescent="0.35">
      <c r="A1479" s="2">
        <v>44778</v>
      </c>
      <c r="B1479" s="3">
        <v>0.10665509259259259</v>
      </c>
      <c r="C1479">
        <v>5725</v>
      </c>
      <c r="D1479" t="str">
        <f>VLOOKUP(H1479,Produkt!$A$2:$B$5,2,FALSE)</f>
        <v>C</v>
      </c>
      <c r="H1479">
        <v>3</v>
      </c>
      <c r="I1479">
        <v>0.33387731481481481</v>
      </c>
      <c r="J1479">
        <v>44779</v>
      </c>
    </row>
    <row r="1480" spans="1:10" x14ac:dyDescent="0.35">
      <c r="A1480" s="2">
        <v>44778</v>
      </c>
      <c r="B1480" s="3">
        <v>1.1932870370370496E-2</v>
      </c>
      <c r="C1480">
        <v>5731</v>
      </c>
      <c r="D1480" t="str">
        <f>VLOOKUP(H1480,Produkt!$A$2:$B$5,2,FALSE)</f>
        <v>B</v>
      </c>
      <c r="H1480">
        <v>2</v>
      </c>
      <c r="I1480">
        <v>0.18870370370370371</v>
      </c>
      <c r="J1480">
        <v>44801</v>
      </c>
    </row>
    <row r="1481" spans="1:10" x14ac:dyDescent="0.35">
      <c r="A1481" s="2">
        <v>44778</v>
      </c>
      <c r="B1481" s="3">
        <v>0.27664351851851854</v>
      </c>
      <c r="C1481">
        <v>5831</v>
      </c>
      <c r="D1481" t="str">
        <f>VLOOKUP(H1481,Produkt!$A$2:$B$5,2,FALSE)</f>
        <v>A</v>
      </c>
      <c r="H1481">
        <v>1</v>
      </c>
      <c r="I1481">
        <v>9.8726851851851857E-3</v>
      </c>
      <c r="J1481">
        <v>44785</v>
      </c>
    </row>
    <row r="1482" spans="1:10" x14ac:dyDescent="0.35">
      <c r="A1482" s="2">
        <v>44778</v>
      </c>
      <c r="B1482" s="3">
        <v>0.54347222222222225</v>
      </c>
      <c r="C1482">
        <v>5847</v>
      </c>
      <c r="D1482" t="str">
        <f>VLOOKUP(H1482,Produkt!$A$2:$B$5,2,FALSE)</f>
        <v>D</v>
      </c>
      <c r="H1482">
        <v>4</v>
      </c>
      <c r="I1482">
        <v>0.51388888888888895</v>
      </c>
      <c r="J1482">
        <v>44803</v>
      </c>
    </row>
    <row r="1483" spans="1:10" x14ac:dyDescent="0.35">
      <c r="A1483" s="2">
        <v>44778</v>
      </c>
      <c r="B1483" s="3">
        <v>0.26399305555555558</v>
      </c>
      <c r="C1483">
        <v>5848</v>
      </c>
      <c r="D1483" t="str">
        <f>VLOOKUP(H1483,Produkt!$A$2:$B$5,2,FALSE)</f>
        <v>B</v>
      </c>
      <c r="H1483">
        <v>2</v>
      </c>
      <c r="I1483">
        <v>0.49366898148148147</v>
      </c>
      <c r="J1483">
        <v>44789</v>
      </c>
    </row>
    <row r="1484" spans="1:10" x14ac:dyDescent="0.35">
      <c r="A1484" s="2">
        <v>44778</v>
      </c>
      <c r="B1484" s="3">
        <v>0.24484953703703705</v>
      </c>
      <c r="C1484">
        <v>5850</v>
      </c>
      <c r="D1484" t="str">
        <f>VLOOKUP(H1484,Produkt!$A$2:$B$5,2,FALSE)</f>
        <v>B</v>
      </c>
      <c r="H1484">
        <v>2</v>
      </c>
      <c r="I1484">
        <v>0.90069444444444446</v>
      </c>
      <c r="J1484">
        <v>44793</v>
      </c>
    </row>
    <row r="1485" spans="1:10" x14ac:dyDescent="0.35">
      <c r="A1485" s="2">
        <v>44778</v>
      </c>
      <c r="B1485" s="3">
        <v>0.96711805555555552</v>
      </c>
      <c r="C1485">
        <v>5871</v>
      </c>
      <c r="D1485" t="str">
        <f>VLOOKUP(H1485,Produkt!$A$2:$B$5,2,FALSE)</f>
        <v>A</v>
      </c>
      <c r="H1485">
        <v>1</v>
      </c>
      <c r="I1485">
        <v>0.89593750000000005</v>
      </c>
      <c r="J1485">
        <v>44780</v>
      </c>
    </row>
    <row r="1486" spans="1:10" x14ac:dyDescent="0.35">
      <c r="A1486" s="2">
        <v>44778</v>
      </c>
      <c r="B1486" s="3">
        <v>6.850694444444444E-2</v>
      </c>
      <c r="C1486">
        <v>5874</v>
      </c>
      <c r="D1486" t="str">
        <f>VLOOKUP(H1486,Produkt!$A$2:$B$5,2,FALSE)</f>
        <v>C</v>
      </c>
      <c r="H1486">
        <v>3</v>
      </c>
      <c r="I1486">
        <v>0.15812499999999999</v>
      </c>
      <c r="J1486">
        <v>44804</v>
      </c>
    </row>
    <row r="1487" spans="1:10" x14ac:dyDescent="0.35">
      <c r="A1487" s="2">
        <v>44778</v>
      </c>
      <c r="B1487" s="3">
        <v>0.39210648148148147</v>
      </c>
      <c r="C1487">
        <v>5879</v>
      </c>
      <c r="D1487" t="str">
        <f>VLOOKUP(H1487,Produkt!$A$2:$B$5,2,FALSE)</f>
        <v>C</v>
      </c>
      <c r="H1487">
        <v>3</v>
      </c>
      <c r="I1487">
        <v>0.31466435185185188</v>
      </c>
      <c r="J1487">
        <v>44792</v>
      </c>
    </row>
    <row r="1488" spans="1:10" x14ac:dyDescent="0.35">
      <c r="A1488" s="2">
        <v>44778</v>
      </c>
      <c r="B1488" s="3">
        <v>0.45869212962962963</v>
      </c>
      <c r="C1488">
        <v>5883</v>
      </c>
      <c r="D1488" t="str">
        <f>VLOOKUP(H1488,Produkt!$A$2:$B$5,2,FALSE)</f>
        <v>D</v>
      </c>
      <c r="H1488">
        <v>4</v>
      </c>
      <c r="I1488">
        <v>0.48322916666666665</v>
      </c>
      <c r="J1488">
        <v>44785</v>
      </c>
    </row>
    <row r="1489" spans="1:10" x14ac:dyDescent="0.35">
      <c r="A1489" s="2">
        <v>44778</v>
      </c>
      <c r="B1489" s="3">
        <v>1.9803240740740739E-2</v>
      </c>
      <c r="C1489">
        <v>5931</v>
      </c>
      <c r="D1489" t="str">
        <f>VLOOKUP(H1489,Produkt!$A$2:$B$5,2,FALSE)</f>
        <v>A</v>
      </c>
      <c r="H1489">
        <v>1</v>
      </c>
      <c r="I1489">
        <v>0.16</v>
      </c>
      <c r="J1489">
        <v>44804</v>
      </c>
    </row>
    <row r="1490" spans="1:10" x14ac:dyDescent="0.35">
      <c r="A1490" s="2">
        <v>44778</v>
      </c>
      <c r="B1490" s="3">
        <v>2.2083333333333455E-2</v>
      </c>
      <c r="C1490">
        <v>5933</v>
      </c>
      <c r="D1490" t="str">
        <f>VLOOKUP(H1490,Produkt!$A$2:$B$5,2,FALSE)</f>
        <v>D</v>
      </c>
      <c r="H1490">
        <v>4</v>
      </c>
      <c r="I1490">
        <v>0.29078703703703707</v>
      </c>
      <c r="J1490">
        <v>44782</v>
      </c>
    </row>
    <row r="1491" spans="1:10" x14ac:dyDescent="0.35">
      <c r="A1491" s="2">
        <v>44778</v>
      </c>
      <c r="B1491" s="3">
        <v>0.51208333333333333</v>
      </c>
      <c r="C1491">
        <v>6062</v>
      </c>
      <c r="D1491" t="str">
        <f>VLOOKUP(H1491,Produkt!$A$2:$B$5,2,FALSE)</f>
        <v>C</v>
      </c>
      <c r="H1491">
        <v>3</v>
      </c>
      <c r="I1491">
        <v>0.22989583333333333</v>
      </c>
      <c r="J1491">
        <v>44783</v>
      </c>
    </row>
    <row r="1492" spans="1:10" x14ac:dyDescent="0.35">
      <c r="A1492" s="2">
        <v>44778</v>
      </c>
      <c r="B1492" s="3">
        <v>2.3055555555555607E-2</v>
      </c>
      <c r="C1492">
        <v>6141</v>
      </c>
      <c r="D1492" t="str">
        <f>VLOOKUP(H1492,Produkt!$A$2:$B$5,2,FALSE)</f>
        <v>A</v>
      </c>
      <c r="H1492">
        <v>1</v>
      </c>
      <c r="I1492">
        <v>0.97228009259259263</v>
      </c>
      <c r="J1492">
        <v>44803</v>
      </c>
    </row>
    <row r="1493" spans="1:10" x14ac:dyDescent="0.35">
      <c r="A1493" s="2">
        <v>44778</v>
      </c>
      <c r="B1493" s="3">
        <v>0.16775462962962961</v>
      </c>
      <c r="C1493">
        <v>6148</v>
      </c>
      <c r="D1493" t="str">
        <f>VLOOKUP(H1493,Produkt!$A$2:$B$5,2,FALSE)</f>
        <v>C</v>
      </c>
      <c r="H1493">
        <v>3</v>
      </c>
      <c r="I1493">
        <v>0.85001157407407402</v>
      </c>
      <c r="J1493">
        <v>44801</v>
      </c>
    </row>
    <row r="1494" spans="1:10" x14ac:dyDescent="0.35">
      <c r="A1494" s="2">
        <v>44778</v>
      </c>
      <c r="B1494" s="3">
        <v>8.5555555555555551E-2</v>
      </c>
      <c r="C1494">
        <v>6164</v>
      </c>
      <c r="D1494" t="str">
        <f>VLOOKUP(H1494,Produkt!$A$2:$B$5,2,FALSE)</f>
        <v>D</v>
      </c>
      <c r="H1494">
        <v>4</v>
      </c>
      <c r="I1494">
        <v>0.10561342592592593</v>
      </c>
      <c r="J1494">
        <v>44792</v>
      </c>
    </row>
    <row r="1495" spans="1:10" x14ac:dyDescent="0.35">
      <c r="A1495" s="2">
        <v>44778</v>
      </c>
      <c r="B1495" s="3">
        <v>0.82836805555555559</v>
      </c>
      <c r="C1495">
        <v>6239</v>
      </c>
      <c r="D1495" t="str">
        <f>VLOOKUP(H1495,Produkt!$A$2:$B$5,2,FALSE)</f>
        <v>A</v>
      </c>
      <c r="H1495">
        <v>1</v>
      </c>
      <c r="I1495">
        <v>0.11109953703703705</v>
      </c>
      <c r="J1495">
        <v>44783</v>
      </c>
    </row>
    <row r="1496" spans="1:10" x14ac:dyDescent="0.35">
      <c r="A1496" s="2">
        <v>44778</v>
      </c>
      <c r="B1496" s="3">
        <v>0.94625000000000004</v>
      </c>
      <c r="C1496">
        <v>6255</v>
      </c>
      <c r="D1496" t="str">
        <f>VLOOKUP(H1496,Produkt!$A$2:$B$5,2,FALSE)</f>
        <v>D</v>
      </c>
      <c r="H1496">
        <v>4</v>
      </c>
      <c r="I1496">
        <v>0.15778935185185186</v>
      </c>
      <c r="J1496">
        <v>44786</v>
      </c>
    </row>
    <row r="1497" spans="1:10" x14ac:dyDescent="0.35">
      <c r="A1497" s="2">
        <v>44778</v>
      </c>
      <c r="B1497" s="3">
        <v>0.3795486111111111</v>
      </c>
      <c r="C1497">
        <v>6261</v>
      </c>
      <c r="D1497" t="str">
        <f>VLOOKUP(H1497,Produkt!$A$2:$B$5,2,FALSE)</f>
        <v>A</v>
      </c>
      <c r="H1497">
        <v>1</v>
      </c>
      <c r="I1497">
        <v>0.96034722222222213</v>
      </c>
      <c r="J1497">
        <v>44778</v>
      </c>
    </row>
    <row r="1498" spans="1:10" x14ac:dyDescent="0.35">
      <c r="A1498" s="2">
        <v>44778</v>
      </c>
      <c r="B1498" s="3">
        <v>0.45782407407407405</v>
      </c>
      <c r="C1498">
        <v>6333</v>
      </c>
      <c r="D1498" t="str">
        <f>VLOOKUP(H1498,Produkt!$A$2:$B$5,2,FALSE)</f>
        <v>D</v>
      </c>
      <c r="H1498">
        <v>4</v>
      </c>
      <c r="I1498">
        <v>0.5292013888888889</v>
      </c>
      <c r="J1498">
        <v>44783</v>
      </c>
    </row>
    <row r="1499" spans="1:10" x14ac:dyDescent="0.35">
      <c r="A1499" s="2">
        <v>44778</v>
      </c>
      <c r="B1499" s="3">
        <v>0.12708333333333333</v>
      </c>
      <c r="C1499">
        <v>6334</v>
      </c>
      <c r="D1499" t="str">
        <f>VLOOKUP(H1499,Produkt!$A$2:$B$5,2,FALSE)</f>
        <v>D</v>
      </c>
      <c r="H1499">
        <v>4</v>
      </c>
      <c r="I1499">
        <v>1.0787037037037095E-2</v>
      </c>
      <c r="J1499">
        <v>44801</v>
      </c>
    </row>
    <row r="1500" spans="1:10" x14ac:dyDescent="0.35">
      <c r="A1500" s="2">
        <v>44778</v>
      </c>
      <c r="B1500" s="3">
        <v>0.70444444444444443</v>
      </c>
      <c r="C1500">
        <v>6348</v>
      </c>
      <c r="D1500" t="str">
        <f>VLOOKUP(H1500,Produkt!$A$2:$B$5,2,FALSE)</f>
        <v>C</v>
      </c>
      <c r="H1500">
        <v>3</v>
      </c>
      <c r="I1500">
        <v>0.68304398148148149</v>
      </c>
      <c r="J1500">
        <v>44803</v>
      </c>
    </row>
    <row r="1501" spans="1:10" x14ac:dyDescent="0.35">
      <c r="A1501" s="2">
        <v>44778</v>
      </c>
      <c r="B1501" s="3">
        <v>0.73231481481481486</v>
      </c>
      <c r="C1501">
        <v>6366</v>
      </c>
      <c r="D1501" t="str">
        <f>VLOOKUP(H1501,Produkt!$A$2:$B$5,2,FALSE)</f>
        <v>A</v>
      </c>
      <c r="H1501">
        <v>1</v>
      </c>
      <c r="I1501">
        <v>0.71493055555555562</v>
      </c>
      <c r="J1501">
        <v>44784</v>
      </c>
    </row>
    <row r="1502" spans="1:10" x14ac:dyDescent="0.35">
      <c r="A1502" s="2">
        <v>44778</v>
      </c>
      <c r="B1502" s="3">
        <v>0.95990740740740732</v>
      </c>
      <c r="C1502">
        <v>6403</v>
      </c>
      <c r="D1502" t="str">
        <f>VLOOKUP(H1502,Produkt!$A$2:$B$5,2,FALSE)</f>
        <v>B</v>
      </c>
      <c r="H1502">
        <v>2</v>
      </c>
      <c r="I1502">
        <v>6.423611111111116E-3</v>
      </c>
      <c r="J1502">
        <v>44792</v>
      </c>
    </row>
    <row r="1503" spans="1:10" x14ac:dyDescent="0.35">
      <c r="A1503" s="2">
        <v>44778</v>
      </c>
      <c r="B1503" s="3">
        <v>0.49906249999999996</v>
      </c>
      <c r="C1503">
        <v>6411</v>
      </c>
      <c r="D1503" t="str">
        <f>VLOOKUP(H1503,Produkt!$A$2:$B$5,2,FALSE)</f>
        <v>B</v>
      </c>
      <c r="H1503">
        <v>2</v>
      </c>
      <c r="I1503">
        <v>0.98751157407407408</v>
      </c>
      <c r="J1503">
        <v>44802</v>
      </c>
    </row>
    <row r="1504" spans="1:10" x14ac:dyDescent="0.35">
      <c r="A1504" s="2">
        <v>44778</v>
      </c>
      <c r="B1504" s="3">
        <v>0.68245370370370362</v>
      </c>
      <c r="C1504">
        <v>6416</v>
      </c>
      <c r="D1504" t="str">
        <f>VLOOKUP(H1504,Produkt!$A$2:$B$5,2,FALSE)</f>
        <v>A</v>
      </c>
      <c r="H1504">
        <v>1</v>
      </c>
      <c r="I1504">
        <v>0.57385416666666667</v>
      </c>
      <c r="J1504">
        <v>44799</v>
      </c>
    </row>
    <row r="1505" spans="1:10" x14ac:dyDescent="0.35">
      <c r="A1505" s="2">
        <v>44778</v>
      </c>
      <c r="B1505" s="3">
        <v>0.49606481481481479</v>
      </c>
      <c r="C1505">
        <v>6420</v>
      </c>
      <c r="D1505" t="str">
        <f>VLOOKUP(H1505,Produkt!$A$2:$B$5,2,FALSE)</f>
        <v>C</v>
      </c>
      <c r="H1505">
        <v>3</v>
      </c>
      <c r="I1505">
        <v>0.99834490740740733</v>
      </c>
      <c r="J1505">
        <v>44779</v>
      </c>
    </row>
    <row r="1506" spans="1:10" x14ac:dyDescent="0.35">
      <c r="A1506" s="2">
        <v>44778</v>
      </c>
      <c r="B1506" s="3">
        <v>1.7905092592592594E-2</v>
      </c>
      <c r="C1506">
        <v>6428</v>
      </c>
      <c r="D1506" t="str">
        <f>VLOOKUP(H1506,Produkt!$A$2:$B$5,2,FALSE)</f>
        <v>D</v>
      </c>
      <c r="H1506">
        <v>4</v>
      </c>
      <c r="I1506">
        <v>0.17743055555555556</v>
      </c>
      <c r="J1506">
        <v>44782</v>
      </c>
    </row>
    <row r="1507" spans="1:10" x14ac:dyDescent="0.35">
      <c r="A1507" s="2">
        <v>44778</v>
      </c>
      <c r="B1507" s="3">
        <v>0.92781249999999993</v>
      </c>
      <c r="C1507">
        <v>6446</v>
      </c>
      <c r="D1507" t="str">
        <f>VLOOKUP(H1507,Produkt!$A$2:$B$5,2,FALSE)</f>
        <v>A</v>
      </c>
      <c r="H1507">
        <v>1</v>
      </c>
      <c r="I1507">
        <v>0.69820601851851849</v>
      </c>
      <c r="J1507">
        <v>44775</v>
      </c>
    </row>
    <row r="1508" spans="1:10" x14ac:dyDescent="0.35">
      <c r="A1508" s="2">
        <v>44778</v>
      </c>
      <c r="B1508" s="3">
        <v>0.68309027777777775</v>
      </c>
      <c r="C1508">
        <v>6486</v>
      </c>
      <c r="D1508" t="str">
        <f>VLOOKUP(H1508,Produkt!$A$2:$B$5,2,FALSE)</f>
        <v>A</v>
      </c>
      <c r="H1508">
        <v>1</v>
      </c>
      <c r="I1508">
        <v>0.72677083333333325</v>
      </c>
      <c r="J1508">
        <v>44777</v>
      </c>
    </row>
    <row r="1509" spans="1:10" x14ac:dyDescent="0.35">
      <c r="A1509" s="2">
        <v>44778</v>
      </c>
      <c r="B1509" s="3">
        <v>0.11947916666666665</v>
      </c>
      <c r="C1509">
        <v>6507</v>
      </c>
      <c r="D1509" t="str">
        <f>VLOOKUP(H1509,Produkt!$A$2:$B$5,2,FALSE)</f>
        <v>C</v>
      </c>
      <c r="H1509">
        <v>3</v>
      </c>
      <c r="I1509">
        <v>7.9710648148148142E-2</v>
      </c>
      <c r="J1509">
        <v>44779</v>
      </c>
    </row>
    <row r="1510" spans="1:10" x14ac:dyDescent="0.35">
      <c r="A1510" s="2">
        <v>44778</v>
      </c>
      <c r="B1510" s="3">
        <v>3.9421296296296295E-2</v>
      </c>
      <c r="C1510">
        <v>6535</v>
      </c>
      <c r="D1510" t="str">
        <f>VLOOKUP(H1510,Produkt!$A$2:$B$5,2,FALSE)</f>
        <v>B</v>
      </c>
      <c r="H1510">
        <v>2</v>
      </c>
      <c r="I1510">
        <v>0.44244212962962964</v>
      </c>
      <c r="J1510">
        <v>44804</v>
      </c>
    </row>
    <row r="1511" spans="1:10" x14ac:dyDescent="0.35">
      <c r="A1511" s="2">
        <v>44778</v>
      </c>
      <c r="B1511" s="3">
        <v>0.75927083333333334</v>
      </c>
      <c r="C1511">
        <v>6560</v>
      </c>
      <c r="D1511" t="str">
        <f>VLOOKUP(H1511,Produkt!$A$2:$B$5,2,FALSE)</f>
        <v>B</v>
      </c>
      <c r="H1511">
        <v>2</v>
      </c>
      <c r="I1511">
        <v>0.13532407407407407</v>
      </c>
      <c r="J1511">
        <v>44782</v>
      </c>
    </row>
    <row r="1512" spans="1:10" x14ac:dyDescent="0.35">
      <c r="A1512" s="2">
        <v>44778</v>
      </c>
      <c r="B1512" s="3">
        <v>0.97613425925925934</v>
      </c>
      <c r="C1512">
        <v>6615</v>
      </c>
      <c r="D1512" t="str">
        <f>VLOOKUP(H1512,Produkt!$A$2:$B$5,2,FALSE)</f>
        <v>A</v>
      </c>
      <c r="H1512">
        <v>1</v>
      </c>
      <c r="I1512">
        <v>0.54479166666666667</v>
      </c>
      <c r="J1512">
        <v>44786</v>
      </c>
    </row>
    <row r="1513" spans="1:10" x14ac:dyDescent="0.35">
      <c r="A1513" s="2">
        <v>44778</v>
      </c>
      <c r="B1513" s="3">
        <v>4.1018518518518517E-2</v>
      </c>
      <c r="C1513">
        <v>6633</v>
      </c>
      <c r="D1513" t="str">
        <f>VLOOKUP(H1513,Produkt!$A$2:$B$5,2,FALSE)</f>
        <v>A</v>
      </c>
      <c r="H1513">
        <v>1</v>
      </c>
      <c r="I1513">
        <v>7.6273148148147119E-3</v>
      </c>
      <c r="J1513">
        <v>44777</v>
      </c>
    </row>
    <row r="1514" spans="1:10" x14ac:dyDescent="0.35">
      <c r="A1514" s="2">
        <v>44778</v>
      </c>
      <c r="B1514" s="3">
        <v>0.12082175925925925</v>
      </c>
      <c r="C1514">
        <v>6635</v>
      </c>
      <c r="D1514" t="str">
        <f>VLOOKUP(H1514,Produkt!$A$2:$B$5,2,FALSE)</f>
        <v>B</v>
      </c>
      <c r="H1514">
        <v>2</v>
      </c>
      <c r="I1514">
        <v>6.4224537037037038E-2</v>
      </c>
      <c r="J1514">
        <v>44792</v>
      </c>
    </row>
    <row r="1515" spans="1:10" x14ac:dyDescent="0.35">
      <c r="A1515" s="2">
        <v>44778</v>
      </c>
      <c r="B1515" s="3">
        <v>0.56104166666666666</v>
      </c>
      <c r="C1515">
        <v>6652</v>
      </c>
      <c r="D1515" t="str">
        <f>VLOOKUP(H1515,Produkt!$A$2:$B$5,2,FALSE)</f>
        <v>B</v>
      </c>
      <c r="H1515">
        <v>2</v>
      </c>
      <c r="I1515">
        <v>0.15682870370370369</v>
      </c>
      <c r="J1515">
        <v>44798</v>
      </c>
    </row>
    <row r="1516" spans="1:10" x14ac:dyDescent="0.35">
      <c r="A1516" s="2">
        <v>44778</v>
      </c>
      <c r="B1516" s="3">
        <v>0.25479166666666669</v>
      </c>
      <c r="C1516">
        <v>6678</v>
      </c>
      <c r="D1516" t="str">
        <f>VLOOKUP(H1516,Produkt!$A$2:$B$5,2,FALSE)</f>
        <v>A</v>
      </c>
      <c r="H1516">
        <v>1</v>
      </c>
      <c r="I1516">
        <v>0.14019675925925926</v>
      </c>
      <c r="J1516">
        <v>44788</v>
      </c>
    </row>
    <row r="1517" spans="1:10" x14ac:dyDescent="0.35">
      <c r="A1517" s="2">
        <v>44778</v>
      </c>
      <c r="B1517" s="3">
        <v>0.8979166666666667</v>
      </c>
      <c r="C1517">
        <v>6771</v>
      </c>
      <c r="D1517" t="str">
        <f>VLOOKUP(H1517,Produkt!$A$2:$B$5,2,FALSE)</f>
        <v>B</v>
      </c>
      <c r="H1517">
        <v>2</v>
      </c>
      <c r="I1517">
        <v>0.44361111111111112</v>
      </c>
      <c r="J1517">
        <v>44802</v>
      </c>
    </row>
    <row r="1518" spans="1:10" x14ac:dyDescent="0.35">
      <c r="A1518" s="2">
        <v>44778</v>
      </c>
      <c r="B1518" s="3">
        <v>0.88187499999999996</v>
      </c>
      <c r="C1518">
        <v>6776</v>
      </c>
      <c r="D1518" t="str">
        <f>VLOOKUP(H1518,Produkt!$A$2:$B$5,2,FALSE)</f>
        <v>C</v>
      </c>
      <c r="H1518">
        <v>3</v>
      </c>
      <c r="I1518">
        <v>0.47937500000000005</v>
      </c>
      <c r="J1518">
        <v>44802</v>
      </c>
    </row>
    <row r="1519" spans="1:10" x14ac:dyDescent="0.35">
      <c r="A1519" s="2">
        <v>44778</v>
      </c>
      <c r="B1519" s="3">
        <v>0.9875694444444445</v>
      </c>
      <c r="C1519">
        <v>6780</v>
      </c>
      <c r="D1519" t="str">
        <f>VLOOKUP(H1519,Produkt!$A$2:$B$5,2,FALSE)</f>
        <v>D</v>
      </c>
      <c r="H1519">
        <v>4</v>
      </c>
      <c r="I1519">
        <v>3.2743055555555456E-2</v>
      </c>
      <c r="J1519">
        <v>44781</v>
      </c>
    </row>
    <row r="1520" spans="1:10" x14ac:dyDescent="0.35">
      <c r="A1520" s="2">
        <v>44778</v>
      </c>
      <c r="B1520" s="3">
        <v>4.6863425925925926E-2</v>
      </c>
      <c r="C1520">
        <v>6792</v>
      </c>
      <c r="D1520" t="str">
        <f>VLOOKUP(H1520,Produkt!$A$2:$B$5,2,FALSE)</f>
        <v>A</v>
      </c>
      <c r="H1520">
        <v>1</v>
      </c>
      <c r="I1520">
        <v>0.1423611111111111</v>
      </c>
      <c r="J1520">
        <v>44797</v>
      </c>
    </row>
    <row r="1521" spans="1:10" x14ac:dyDescent="0.35">
      <c r="A1521" s="2">
        <v>44778</v>
      </c>
      <c r="B1521" s="3">
        <v>0.5426967592592592</v>
      </c>
      <c r="C1521">
        <v>6807</v>
      </c>
      <c r="D1521" t="str">
        <f>VLOOKUP(H1521,Produkt!$A$2:$B$5,2,FALSE)</f>
        <v>A</v>
      </c>
      <c r="H1521">
        <v>1</v>
      </c>
      <c r="I1521">
        <v>0.51736111111111105</v>
      </c>
      <c r="J1521">
        <v>44803</v>
      </c>
    </row>
    <row r="1522" spans="1:10" x14ac:dyDescent="0.35">
      <c r="A1522" s="2">
        <v>44778</v>
      </c>
      <c r="B1522" s="3">
        <v>2.4814814814814817E-2</v>
      </c>
      <c r="C1522">
        <v>6928</v>
      </c>
      <c r="D1522" t="str">
        <f>VLOOKUP(H1522,Produkt!$A$2:$B$5,2,FALSE)</f>
        <v>B</v>
      </c>
      <c r="H1522">
        <v>2</v>
      </c>
      <c r="I1522">
        <v>1.1064814814814814E-2</v>
      </c>
      <c r="J1522">
        <v>44779</v>
      </c>
    </row>
    <row r="1523" spans="1:10" x14ac:dyDescent="0.35">
      <c r="A1523" s="2">
        <v>44778</v>
      </c>
      <c r="B1523" s="3">
        <v>0.49035879629629631</v>
      </c>
      <c r="C1523">
        <v>6933</v>
      </c>
      <c r="D1523" t="str">
        <f>VLOOKUP(H1523,Produkt!$A$2:$B$5,2,FALSE)</f>
        <v>B</v>
      </c>
      <c r="H1523">
        <v>2</v>
      </c>
      <c r="I1523">
        <v>0.45846064814814813</v>
      </c>
      <c r="J1523">
        <v>44777</v>
      </c>
    </row>
    <row r="1524" spans="1:10" x14ac:dyDescent="0.35">
      <c r="A1524" s="2">
        <v>44778</v>
      </c>
      <c r="B1524" s="3">
        <v>0.7521874999999999</v>
      </c>
      <c r="C1524">
        <v>6965</v>
      </c>
      <c r="D1524" t="str">
        <f>VLOOKUP(H1524,Produkt!$A$2:$B$5,2,FALSE)</f>
        <v>A</v>
      </c>
      <c r="H1524">
        <v>1</v>
      </c>
      <c r="I1524">
        <v>0.95172453703703708</v>
      </c>
      <c r="J1524">
        <v>44778</v>
      </c>
    </row>
    <row r="1525" spans="1:10" x14ac:dyDescent="0.35">
      <c r="A1525" s="2">
        <v>44778</v>
      </c>
      <c r="B1525" s="3">
        <v>0.41820601851851852</v>
      </c>
      <c r="C1525">
        <v>6981</v>
      </c>
      <c r="D1525" t="str">
        <f>VLOOKUP(H1525,Produkt!$A$2:$B$5,2,FALSE)</f>
        <v>A</v>
      </c>
      <c r="H1525">
        <v>1</v>
      </c>
      <c r="I1525">
        <v>0.1471412037037037</v>
      </c>
      <c r="J1525">
        <v>44796</v>
      </c>
    </row>
    <row r="1526" spans="1:10" x14ac:dyDescent="0.35">
      <c r="A1526" s="2">
        <v>44778</v>
      </c>
      <c r="B1526" s="3">
        <v>0.66434027777777771</v>
      </c>
      <c r="C1526">
        <v>7003</v>
      </c>
      <c r="D1526" t="str">
        <f>VLOOKUP(H1526,Produkt!$A$2:$B$5,2,FALSE)</f>
        <v>D</v>
      </c>
      <c r="H1526">
        <v>4</v>
      </c>
      <c r="I1526">
        <v>0.7322685185185186</v>
      </c>
      <c r="J1526">
        <v>44776</v>
      </c>
    </row>
    <row r="1527" spans="1:10" x14ac:dyDescent="0.35">
      <c r="A1527" s="2">
        <v>44778</v>
      </c>
      <c r="B1527" s="3">
        <v>0.75788194444444434</v>
      </c>
      <c r="C1527">
        <v>7019</v>
      </c>
      <c r="D1527" t="str">
        <f>VLOOKUP(H1527,Produkt!$A$2:$B$5,2,FALSE)</f>
        <v>C</v>
      </c>
      <c r="H1527">
        <v>3</v>
      </c>
      <c r="I1527">
        <v>6.5682870370370364E-2</v>
      </c>
      <c r="J1527">
        <v>44794</v>
      </c>
    </row>
    <row r="1528" spans="1:10" x14ac:dyDescent="0.35">
      <c r="A1528" s="2">
        <v>44778</v>
      </c>
      <c r="B1528" s="3">
        <v>1.1111111111111072E-2</v>
      </c>
      <c r="C1528">
        <v>7022</v>
      </c>
      <c r="D1528" t="str">
        <f>VLOOKUP(H1528,Produkt!$A$2:$B$5,2,FALSE)</f>
        <v>B</v>
      </c>
      <c r="H1528">
        <v>2</v>
      </c>
      <c r="I1528">
        <v>0.3084722222222222</v>
      </c>
      <c r="J1528">
        <v>44800</v>
      </c>
    </row>
    <row r="1529" spans="1:10" x14ac:dyDescent="0.35">
      <c r="A1529" s="2">
        <v>44778</v>
      </c>
      <c r="B1529" s="3">
        <v>0.8998032407407407</v>
      </c>
      <c r="C1529">
        <v>7026</v>
      </c>
      <c r="D1529" t="str">
        <f>VLOOKUP(H1529,Produkt!$A$2:$B$5,2,FALSE)</f>
        <v>B</v>
      </c>
      <c r="H1529">
        <v>2</v>
      </c>
      <c r="I1529">
        <v>0.7830787037037038</v>
      </c>
      <c r="J1529">
        <v>44781</v>
      </c>
    </row>
    <row r="1530" spans="1:10" x14ac:dyDescent="0.35">
      <c r="A1530" s="2">
        <v>44778</v>
      </c>
      <c r="B1530" s="3">
        <v>0.33958333333333335</v>
      </c>
      <c r="C1530">
        <v>7050</v>
      </c>
      <c r="D1530" t="str">
        <f>VLOOKUP(H1530,Produkt!$A$2:$B$5,2,FALSE)</f>
        <v>B</v>
      </c>
      <c r="H1530">
        <v>2</v>
      </c>
      <c r="I1530">
        <v>0.5347453703703704</v>
      </c>
      <c r="J1530">
        <v>44787</v>
      </c>
    </row>
    <row r="1531" spans="1:10" x14ac:dyDescent="0.35">
      <c r="A1531" s="2">
        <v>44778</v>
      </c>
      <c r="B1531" s="3">
        <v>0.89530092592592592</v>
      </c>
      <c r="C1531">
        <v>7066</v>
      </c>
      <c r="D1531" t="str">
        <f>VLOOKUP(H1531,Produkt!$A$2:$B$5,2,FALSE)</f>
        <v>B</v>
      </c>
      <c r="H1531">
        <v>2</v>
      </c>
      <c r="I1531">
        <v>0.12712962962962962</v>
      </c>
      <c r="J1531">
        <v>44777</v>
      </c>
    </row>
    <row r="1532" spans="1:10" x14ac:dyDescent="0.35">
      <c r="A1532" s="2">
        <v>44778</v>
      </c>
      <c r="B1532" s="3">
        <v>0.23314814814814813</v>
      </c>
      <c r="C1532">
        <v>7087</v>
      </c>
      <c r="D1532" t="str">
        <f>VLOOKUP(H1532,Produkt!$A$2:$B$5,2,FALSE)</f>
        <v>D</v>
      </c>
      <c r="H1532">
        <v>4</v>
      </c>
      <c r="I1532">
        <v>0.37258101851851855</v>
      </c>
      <c r="J1532">
        <v>44789</v>
      </c>
    </row>
    <row r="1533" spans="1:10" x14ac:dyDescent="0.35">
      <c r="A1533" s="2">
        <v>44778</v>
      </c>
      <c r="B1533" s="3">
        <v>0.73502314814814806</v>
      </c>
      <c r="C1533">
        <v>7156</v>
      </c>
      <c r="D1533" t="str">
        <f>VLOOKUP(H1533,Produkt!$A$2:$B$5,2,FALSE)</f>
        <v>B</v>
      </c>
      <c r="H1533">
        <v>2</v>
      </c>
      <c r="I1533">
        <v>0.96202546296296287</v>
      </c>
      <c r="J1533">
        <v>44780</v>
      </c>
    </row>
    <row r="1534" spans="1:10" x14ac:dyDescent="0.35">
      <c r="A1534" s="2">
        <v>44778</v>
      </c>
      <c r="B1534" s="3">
        <v>3.9247685185185184E-2</v>
      </c>
      <c r="C1534">
        <v>7169</v>
      </c>
      <c r="D1534" t="str">
        <f>VLOOKUP(H1534,Produkt!$A$2:$B$5,2,FALSE)</f>
        <v>B</v>
      </c>
      <c r="H1534">
        <v>2</v>
      </c>
      <c r="I1534">
        <v>0.4384953703703704</v>
      </c>
      <c r="J1534">
        <v>44799</v>
      </c>
    </row>
    <row r="1535" spans="1:10" x14ac:dyDescent="0.35">
      <c r="A1535" s="2">
        <v>44778</v>
      </c>
      <c r="B1535" s="3">
        <v>0.3366319444444445</v>
      </c>
      <c r="C1535">
        <v>7179</v>
      </c>
      <c r="D1535" t="str">
        <f>VLOOKUP(H1535,Produkt!$A$2:$B$5,2,FALSE)</f>
        <v>C</v>
      </c>
      <c r="H1535">
        <v>3</v>
      </c>
      <c r="I1535">
        <v>0.38207175925925929</v>
      </c>
      <c r="J1535">
        <v>44777</v>
      </c>
    </row>
    <row r="1536" spans="1:10" x14ac:dyDescent="0.35">
      <c r="A1536" s="2">
        <v>44778</v>
      </c>
      <c r="B1536" s="3">
        <v>0.69391203703703708</v>
      </c>
      <c r="C1536">
        <v>7187</v>
      </c>
      <c r="D1536" t="str">
        <f>VLOOKUP(H1536,Produkt!$A$2:$B$5,2,FALSE)</f>
        <v>A</v>
      </c>
      <c r="H1536">
        <v>1</v>
      </c>
      <c r="I1536">
        <v>0.40259259259259261</v>
      </c>
      <c r="J1536">
        <v>44779</v>
      </c>
    </row>
    <row r="1537" spans="1:10" x14ac:dyDescent="0.35">
      <c r="A1537" s="2">
        <v>44778</v>
      </c>
      <c r="B1537" s="3">
        <v>0.35394675925925928</v>
      </c>
      <c r="C1537">
        <v>7190</v>
      </c>
      <c r="D1537" t="str">
        <f>VLOOKUP(H1537,Produkt!$A$2:$B$5,2,FALSE)</f>
        <v>C</v>
      </c>
      <c r="H1537">
        <v>3</v>
      </c>
      <c r="I1537">
        <v>0.8443518518518518</v>
      </c>
      <c r="J1537">
        <v>44799</v>
      </c>
    </row>
    <row r="1538" spans="1:10" x14ac:dyDescent="0.35">
      <c r="A1538" s="2">
        <v>44778</v>
      </c>
      <c r="B1538" s="3">
        <v>0.34645833333333331</v>
      </c>
      <c r="C1538">
        <v>7194</v>
      </c>
      <c r="D1538" t="str">
        <f>VLOOKUP(H1538,Produkt!$A$2:$B$5,2,FALSE)</f>
        <v>A</v>
      </c>
      <c r="H1538">
        <v>1</v>
      </c>
      <c r="I1538">
        <v>0.3955555555555556</v>
      </c>
      <c r="J1538">
        <v>44783</v>
      </c>
    </row>
    <row r="1539" spans="1:10" x14ac:dyDescent="0.35">
      <c r="A1539" s="2">
        <v>44778</v>
      </c>
      <c r="B1539" s="3">
        <v>0.98263888888888884</v>
      </c>
      <c r="C1539">
        <v>7198</v>
      </c>
      <c r="D1539" t="str">
        <f>VLOOKUP(H1539,Produkt!$A$2:$B$5,2,FALSE)</f>
        <v>A</v>
      </c>
      <c r="H1539">
        <v>1</v>
      </c>
      <c r="I1539">
        <v>0.75064814814814806</v>
      </c>
      <c r="J1539">
        <v>44800</v>
      </c>
    </row>
    <row r="1540" spans="1:10" x14ac:dyDescent="0.35">
      <c r="A1540" s="2">
        <v>44778</v>
      </c>
      <c r="B1540" s="3">
        <v>6.9560185185185185E-3</v>
      </c>
      <c r="C1540">
        <v>7205</v>
      </c>
      <c r="D1540" t="str">
        <f>VLOOKUP(H1540,Produkt!$A$2:$B$5,2,FALSE)</f>
        <v>D</v>
      </c>
      <c r="H1540">
        <v>4</v>
      </c>
      <c r="I1540">
        <v>0.7587962962962963</v>
      </c>
      <c r="J1540">
        <v>44782</v>
      </c>
    </row>
    <row r="1541" spans="1:10" x14ac:dyDescent="0.35">
      <c r="A1541" s="2">
        <v>44778</v>
      </c>
      <c r="B1541" s="3">
        <v>0.70604166666666668</v>
      </c>
      <c r="C1541">
        <v>7213</v>
      </c>
      <c r="D1541" t="str">
        <f>VLOOKUP(H1541,Produkt!$A$2:$B$5,2,FALSE)</f>
        <v>B</v>
      </c>
      <c r="H1541">
        <v>2</v>
      </c>
      <c r="I1541">
        <v>0.91618055555555555</v>
      </c>
      <c r="J1541">
        <v>44777</v>
      </c>
    </row>
    <row r="1542" spans="1:10" x14ac:dyDescent="0.35">
      <c r="A1542" s="2">
        <v>44778</v>
      </c>
      <c r="B1542" s="3">
        <v>2.5555555555555554E-2</v>
      </c>
      <c r="C1542">
        <v>7260</v>
      </c>
      <c r="D1542" t="str">
        <f>VLOOKUP(H1542,Produkt!$A$2:$B$5,2,FALSE)</f>
        <v>B</v>
      </c>
      <c r="H1542">
        <v>2</v>
      </c>
      <c r="I1542">
        <v>0.91614583333333333</v>
      </c>
      <c r="J1542">
        <v>44787</v>
      </c>
    </row>
    <row r="1543" spans="1:10" x14ac:dyDescent="0.35">
      <c r="A1543" s="2">
        <v>44778</v>
      </c>
      <c r="B1543" s="3">
        <v>0.81207175925925934</v>
      </c>
      <c r="C1543">
        <v>7332</v>
      </c>
      <c r="D1543" t="str">
        <f>VLOOKUP(H1543,Produkt!$A$2:$B$5,2,FALSE)</f>
        <v>B</v>
      </c>
      <c r="H1543">
        <v>2</v>
      </c>
      <c r="I1543">
        <v>0.34163194444444445</v>
      </c>
      <c r="J1543">
        <v>44779</v>
      </c>
    </row>
    <row r="1544" spans="1:10" x14ac:dyDescent="0.35">
      <c r="A1544" s="2">
        <v>44778</v>
      </c>
      <c r="B1544" s="3">
        <v>0.15444444444444444</v>
      </c>
      <c r="C1544">
        <v>7337</v>
      </c>
      <c r="D1544" t="str">
        <f>VLOOKUP(H1544,Produkt!$A$2:$B$5,2,FALSE)</f>
        <v>A</v>
      </c>
      <c r="H1544">
        <v>1</v>
      </c>
      <c r="I1544">
        <v>0.84603009259259254</v>
      </c>
      <c r="J1544">
        <v>44795</v>
      </c>
    </row>
    <row r="1545" spans="1:10" x14ac:dyDescent="0.35">
      <c r="A1545" s="2">
        <v>44778</v>
      </c>
      <c r="B1545" s="3">
        <v>0.37170138888888887</v>
      </c>
      <c r="C1545">
        <v>7355</v>
      </c>
      <c r="D1545" t="str">
        <f>VLOOKUP(H1545,Produkt!$A$2:$B$5,2,FALSE)</f>
        <v>A</v>
      </c>
      <c r="H1545">
        <v>1</v>
      </c>
      <c r="I1545">
        <v>8.0254629629629634E-2</v>
      </c>
      <c r="J1545">
        <v>44787</v>
      </c>
    </row>
    <row r="1546" spans="1:10" x14ac:dyDescent="0.35">
      <c r="A1546" s="2">
        <v>44778</v>
      </c>
      <c r="B1546" s="3">
        <v>0.14624999999999999</v>
      </c>
      <c r="C1546">
        <v>7384</v>
      </c>
      <c r="D1546" t="str">
        <f>VLOOKUP(H1546,Produkt!$A$2:$B$5,2,FALSE)</f>
        <v>D</v>
      </c>
      <c r="H1546">
        <v>4</v>
      </c>
      <c r="I1546">
        <v>0.6393402777777778</v>
      </c>
      <c r="J1546">
        <v>44778</v>
      </c>
    </row>
    <row r="1547" spans="1:10" x14ac:dyDescent="0.35">
      <c r="A1547" s="2">
        <v>44778</v>
      </c>
      <c r="B1547" s="3">
        <v>1.8599537037037036E-2</v>
      </c>
      <c r="C1547">
        <v>7388</v>
      </c>
      <c r="D1547" t="str">
        <f>VLOOKUP(H1547,Produkt!$A$2:$B$5,2,FALSE)</f>
        <v>C</v>
      </c>
      <c r="H1547">
        <v>3</v>
      </c>
      <c r="I1547">
        <v>0.32728009259259255</v>
      </c>
      <c r="J1547">
        <v>44781</v>
      </c>
    </row>
    <row r="1548" spans="1:10" x14ac:dyDescent="0.35">
      <c r="A1548" s="2">
        <v>44778</v>
      </c>
      <c r="B1548" s="3">
        <v>0.46565972222222224</v>
      </c>
      <c r="C1548">
        <v>7440</v>
      </c>
      <c r="D1548" t="str">
        <f>VLOOKUP(H1548,Produkt!$A$2:$B$5,2,FALSE)</f>
        <v>D</v>
      </c>
      <c r="H1548">
        <v>4</v>
      </c>
      <c r="I1548">
        <v>0.45734953703703707</v>
      </c>
      <c r="J1548">
        <v>44784</v>
      </c>
    </row>
    <row r="1549" spans="1:10" x14ac:dyDescent="0.35">
      <c r="A1549" s="2">
        <v>44778</v>
      </c>
      <c r="B1549" s="3">
        <v>0.87083333333333324</v>
      </c>
      <c r="C1549">
        <v>7461</v>
      </c>
      <c r="D1549" t="str">
        <f>VLOOKUP(H1549,Produkt!$A$2:$B$5,2,FALSE)</f>
        <v>D</v>
      </c>
      <c r="H1549">
        <v>4</v>
      </c>
      <c r="I1549">
        <v>0.39075231481481482</v>
      </c>
      <c r="J1549">
        <v>44794</v>
      </c>
    </row>
    <row r="1550" spans="1:10" x14ac:dyDescent="0.35">
      <c r="A1550" s="2">
        <v>44778</v>
      </c>
      <c r="B1550" s="3">
        <v>0.97302083333333333</v>
      </c>
      <c r="C1550">
        <v>7493</v>
      </c>
      <c r="D1550" t="str">
        <f>VLOOKUP(H1550,Produkt!$A$2:$B$5,2,FALSE)</f>
        <v>A</v>
      </c>
      <c r="H1550">
        <v>1</v>
      </c>
      <c r="I1550">
        <v>3.8877314814814712E-2</v>
      </c>
      <c r="J1550">
        <v>44776</v>
      </c>
    </row>
    <row r="1551" spans="1:10" x14ac:dyDescent="0.35">
      <c r="A1551" s="2">
        <v>44778</v>
      </c>
      <c r="B1551" s="3">
        <v>0.20675925925925928</v>
      </c>
      <c r="C1551">
        <v>7501</v>
      </c>
      <c r="D1551" t="str">
        <f>VLOOKUP(H1551,Produkt!$A$2:$B$5,2,FALSE)</f>
        <v>A</v>
      </c>
      <c r="H1551">
        <v>1</v>
      </c>
      <c r="I1551">
        <v>0.73905092592592592</v>
      </c>
      <c r="J1551">
        <v>44796</v>
      </c>
    </row>
    <row r="1552" spans="1:10" x14ac:dyDescent="0.35">
      <c r="A1552" s="2">
        <v>44778</v>
      </c>
      <c r="B1552" s="3">
        <v>5.5266203703703699E-2</v>
      </c>
      <c r="C1552">
        <v>7504</v>
      </c>
      <c r="D1552" t="str">
        <f>VLOOKUP(H1552,Produkt!$A$2:$B$5,2,FALSE)</f>
        <v>D</v>
      </c>
      <c r="H1552">
        <v>4</v>
      </c>
      <c r="I1552">
        <v>0.22222222222222221</v>
      </c>
      <c r="J1552">
        <v>44776</v>
      </c>
    </row>
    <row r="1553" spans="1:10" x14ac:dyDescent="0.35">
      <c r="A1553" s="2">
        <v>44778</v>
      </c>
      <c r="B1553" s="3">
        <v>0.4440972222222222</v>
      </c>
      <c r="C1553">
        <v>7511</v>
      </c>
      <c r="D1553" t="str">
        <f>VLOOKUP(H1553,Produkt!$A$2:$B$5,2,FALSE)</f>
        <v>A</v>
      </c>
      <c r="H1553">
        <v>1</v>
      </c>
      <c r="I1553">
        <v>9.9479166666666674E-2</v>
      </c>
      <c r="J1553">
        <v>44796</v>
      </c>
    </row>
    <row r="1554" spans="1:10" x14ac:dyDescent="0.35">
      <c r="A1554" s="2">
        <v>44778</v>
      </c>
      <c r="B1554" s="3">
        <v>0.37589120370370371</v>
      </c>
      <c r="C1554">
        <v>7516</v>
      </c>
      <c r="D1554" t="str">
        <f>VLOOKUP(H1554,Produkt!$A$2:$B$5,2,FALSE)</f>
        <v>D</v>
      </c>
      <c r="H1554">
        <v>4</v>
      </c>
      <c r="I1554">
        <v>0.19574074074074074</v>
      </c>
      <c r="J1554">
        <v>44799</v>
      </c>
    </row>
    <row r="1555" spans="1:10" x14ac:dyDescent="0.35">
      <c r="A1555" s="2">
        <v>44778</v>
      </c>
      <c r="B1555" s="3">
        <v>0.4947685185185185</v>
      </c>
      <c r="C1555">
        <v>7572</v>
      </c>
      <c r="D1555" t="str">
        <f>VLOOKUP(H1555,Produkt!$A$2:$B$5,2,FALSE)</f>
        <v>B</v>
      </c>
      <c r="H1555">
        <v>2</v>
      </c>
      <c r="I1555">
        <v>0.25504629629629633</v>
      </c>
      <c r="J1555">
        <v>44780</v>
      </c>
    </row>
    <row r="1556" spans="1:10" x14ac:dyDescent="0.35">
      <c r="A1556" s="2">
        <v>44778</v>
      </c>
      <c r="B1556" s="3">
        <v>0.77655092592592589</v>
      </c>
      <c r="C1556">
        <v>7672</v>
      </c>
      <c r="D1556" t="str">
        <f>VLOOKUP(H1556,Produkt!$A$2:$B$5,2,FALSE)</f>
        <v>A</v>
      </c>
      <c r="H1556">
        <v>1</v>
      </c>
      <c r="I1556">
        <v>0.29935185185185187</v>
      </c>
      <c r="J1556">
        <v>44794</v>
      </c>
    </row>
    <row r="1557" spans="1:10" x14ac:dyDescent="0.35">
      <c r="A1557" s="2">
        <v>44778</v>
      </c>
      <c r="B1557" s="3">
        <v>0.45468749999999997</v>
      </c>
      <c r="C1557">
        <v>7680</v>
      </c>
      <c r="D1557" t="str">
        <f>VLOOKUP(H1557,Produkt!$A$2:$B$5,2,FALSE)</f>
        <v>C</v>
      </c>
      <c r="H1557">
        <v>3</v>
      </c>
      <c r="I1557">
        <v>0.71203703703703702</v>
      </c>
      <c r="J1557">
        <v>44787</v>
      </c>
    </row>
    <row r="1558" spans="1:10" x14ac:dyDescent="0.35">
      <c r="A1558" s="2">
        <v>44778</v>
      </c>
      <c r="B1558" s="3">
        <v>0.66880787037037026</v>
      </c>
      <c r="C1558">
        <v>7724</v>
      </c>
      <c r="D1558" t="str">
        <f>VLOOKUP(H1558,Produkt!$A$2:$B$5,2,FALSE)</f>
        <v>C</v>
      </c>
      <c r="H1558">
        <v>3</v>
      </c>
      <c r="I1558">
        <v>0.11436342592592592</v>
      </c>
      <c r="J1558">
        <v>44775</v>
      </c>
    </row>
    <row r="1559" spans="1:10" x14ac:dyDescent="0.35">
      <c r="A1559" s="2">
        <v>44778</v>
      </c>
      <c r="B1559" s="3">
        <v>0.86875000000000002</v>
      </c>
      <c r="C1559">
        <v>7739</v>
      </c>
      <c r="D1559" t="str">
        <f>VLOOKUP(H1559,Produkt!$A$2:$B$5,2,FALSE)</f>
        <v>C</v>
      </c>
      <c r="H1559">
        <v>3</v>
      </c>
      <c r="I1559">
        <v>0.88026620370370379</v>
      </c>
      <c r="J1559">
        <v>44804</v>
      </c>
    </row>
    <row r="1560" spans="1:10" x14ac:dyDescent="0.35">
      <c r="A1560" s="2">
        <v>44778</v>
      </c>
      <c r="B1560" s="3">
        <v>0.8325231481481481</v>
      </c>
      <c r="C1560">
        <v>7769</v>
      </c>
      <c r="D1560" t="str">
        <f>VLOOKUP(H1560,Produkt!$A$2:$B$5,2,FALSE)</f>
        <v>C</v>
      </c>
      <c r="H1560">
        <v>3</v>
      </c>
      <c r="I1560">
        <v>0.8016550925925926</v>
      </c>
      <c r="J1560">
        <v>44793</v>
      </c>
    </row>
    <row r="1561" spans="1:10" x14ac:dyDescent="0.35">
      <c r="A1561" s="2">
        <v>44778</v>
      </c>
      <c r="B1561" s="3">
        <v>0.25266203703703705</v>
      </c>
      <c r="C1561">
        <v>7772</v>
      </c>
      <c r="D1561" t="str">
        <f>VLOOKUP(H1561,Produkt!$A$2:$B$5,2,FALSE)</f>
        <v>B</v>
      </c>
      <c r="H1561">
        <v>2</v>
      </c>
      <c r="I1561">
        <v>0.98998842592592595</v>
      </c>
      <c r="J1561">
        <v>44790</v>
      </c>
    </row>
    <row r="1562" spans="1:10" x14ac:dyDescent="0.35">
      <c r="A1562" s="2">
        <v>44778</v>
      </c>
      <c r="B1562" s="3">
        <v>2.5335648148148149E-2</v>
      </c>
      <c r="C1562">
        <v>7819</v>
      </c>
      <c r="D1562" t="str">
        <f>VLOOKUP(H1562,Produkt!$A$2:$B$5,2,FALSE)</f>
        <v>D</v>
      </c>
      <c r="H1562">
        <v>4</v>
      </c>
      <c r="I1562">
        <v>0.18846064814814814</v>
      </c>
      <c r="J1562">
        <v>44779</v>
      </c>
    </row>
    <row r="1563" spans="1:10" x14ac:dyDescent="0.35">
      <c r="A1563" s="2">
        <v>44778</v>
      </c>
      <c r="B1563" s="3">
        <v>0.15839120370370371</v>
      </c>
      <c r="C1563">
        <v>7848</v>
      </c>
      <c r="D1563" t="str">
        <f>VLOOKUP(H1563,Produkt!$A$2:$B$5,2,FALSE)</f>
        <v>C</v>
      </c>
      <c r="H1563">
        <v>3</v>
      </c>
      <c r="I1563">
        <v>5.67824074074074E-2</v>
      </c>
      <c r="J1563">
        <v>44804</v>
      </c>
    </row>
    <row r="1564" spans="1:10" x14ac:dyDescent="0.35">
      <c r="A1564" s="2">
        <v>44778</v>
      </c>
      <c r="B1564" s="3">
        <v>0.66059027777777779</v>
      </c>
      <c r="C1564">
        <v>7854</v>
      </c>
      <c r="D1564" t="str">
        <f>VLOOKUP(H1564,Produkt!$A$2:$B$5,2,FALSE)</f>
        <v>A</v>
      </c>
      <c r="H1564">
        <v>1</v>
      </c>
      <c r="I1564">
        <v>0.29062499999999997</v>
      </c>
      <c r="J1564">
        <v>44787</v>
      </c>
    </row>
    <row r="1565" spans="1:10" x14ac:dyDescent="0.35">
      <c r="A1565" s="2">
        <v>44778</v>
      </c>
      <c r="B1565" s="3">
        <v>0.76570601851851849</v>
      </c>
      <c r="C1565">
        <v>7980</v>
      </c>
      <c r="D1565" t="str">
        <f>VLOOKUP(H1565,Produkt!$A$2:$B$5,2,FALSE)</f>
        <v>B</v>
      </c>
      <c r="H1565">
        <v>2</v>
      </c>
      <c r="I1565">
        <v>0.77991898148148142</v>
      </c>
      <c r="J1565">
        <v>44794</v>
      </c>
    </row>
    <row r="1566" spans="1:10" x14ac:dyDescent="0.35">
      <c r="A1566" s="2">
        <v>44778</v>
      </c>
      <c r="B1566" s="3">
        <v>0.21944444444444444</v>
      </c>
      <c r="C1566">
        <v>8050</v>
      </c>
      <c r="D1566" t="str">
        <f>VLOOKUP(H1566,Produkt!$A$2:$B$5,2,FALSE)</f>
        <v>A</v>
      </c>
      <c r="H1566">
        <v>1</v>
      </c>
      <c r="I1566">
        <v>0.92440972222222229</v>
      </c>
      <c r="J1566">
        <v>44794</v>
      </c>
    </row>
    <row r="1567" spans="1:10" x14ac:dyDescent="0.35">
      <c r="A1567" s="2">
        <v>44778</v>
      </c>
      <c r="B1567" s="3">
        <v>0.77414351851851848</v>
      </c>
      <c r="C1567">
        <v>8057</v>
      </c>
      <c r="D1567" t="str">
        <f>VLOOKUP(H1567,Produkt!$A$2:$B$5,2,FALSE)</f>
        <v>C</v>
      </c>
      <c r="H1567">
        <v>3</v>
      </c>
      <c r="I1567">
        <v>0.48623842592592598</v>
      </c>
      <c r="J1567">
        <v>44798</v>
      </c>
    </row>
    <row r="1568" spans="1:10" x14ac:dyDescent="0.35">
      <c r="A1568" s="2">
        <v>44778</v>
      </c>
      <c r="B1568" s="3">
        <v>0.10252314814814815</v>
      </c>
      <c r="C1568">
        <v>8065</v>
      </c>
      <c r="D1568" t="str">
        <f>VLOOKUP(H1568,Produkt!$A$2:$B$5,2,FALSE)</f>
        <v>B</v>
      </c>
      <c r="H1568">
        <v>2</v>
      </c>
      <c r="I1568">
        <v>1.9305555555555555E-2</v>
      </c>
      <c r="J1568">
        <v>44803</v>
      </c>
    </row>
    <row r="1569" spans="1:10" x14ac:dyDescent="0.35">
      <c r="A1569" s="2">
        <v>44778</v>
      </c>
      <c r="B1569" s="3">
        <v>0.83908564814814823</v>
      </c>
      <c r="C1569">
        <v>8071</v>
      </c>
      <c r="D1569" t="str">
        <f>VLOOKUP(H1569,Produkt!$A$2:$B$5,2,FALSE)</f>
        <v>D</v>
      </c>
      <c r="H1569">
        <v>4</v>
      </c>
      <c r="I1569">
        <v>0.32309027777777777</v>
      </c>
      <c r="J1569">
        <v>44798</v>
      </c>
    </row>
    <row r="1570" spans="1:10" x14ac:dyDescent="0.35">
      <c r="A1570" s="2">
        <v>44778</v>
      </c>
      <c r="B1570" s="3">
        <v>0.16714120370370369</v>
      </c>
      <c r="C1570">
        <v>8075</v>
      </c>
      <c r="D1570" t="str">
        <f>VLOOKUP(H1570,Produkt!$A$2:$B$5,2,FALSE)</f>
        <v>B</v>
      </c>
      <c r="H1570">
        <v>2</v>
      </c>
      <c r="I1570">
        <v>0.62240740740740741</v>
      </c>
      <c r="J1570">
        <v>44783</v>
      </c>
    </row>
    <row r="1571" spans="1:10" x14ac:dyDescent="0.35">
      <c r="A1571" s="2">
        <v>44778</v>
      </c>
      <c r="B1571" s="3">
        <v>0.25822916666666668</v>
      </c>
      <c r="C1571">
        <v>8115</v>
      </c>
      <c r="D1571" t="str">
        <f>VLOOKUP(H1571,Produkt!$A$2:$B$5,2,FALSE)</f>
        <v>A</v>
      </c>
      <c r="H1571">
        <v>1</v>
      </c>
      <c r="I1571">
        <v>0.58351851851851855</v>
      </c>
      <c r="J1571">
        <v>44804</v>
      </c>
    </row>
    <row r="1572" spans="1:10" x14ac:dyDescent="0.35">
      <c r="A1572" s="2">
        <v>44778</v>
      </c>
      <c r="B1572" s="3">
        <v>0.49503472222222222</v>
      </c>
      <c r="C1572">
        <v>8146</v>
      </c>
      <c r="D1572" t="str">
        <f>VLOOKUP(H1572,Produkt!$A$2:$B$5,2,FALSE)</f>
        <v>C</v>
      </c>
      <c r="H1572">
        <v>3</v>
      </c>
      <c r="I1572">
        <v>4.9768518518518157E-3</v>
      </c>
      <c r="J1572">
        <v>44780</v>
      </c>
    </row>
    <row r="1573" spans="1:10" x14ac:dyDescent="0.35">
      <c r="A1573" s="2">
        <v>44778</v>
      </c>
      <c r="B1573" s="3">
        <v>0.85773148148148148</v>
      </c>
      <c r="C1573">
        <v>8159</v>
      </c>
      <c r="D1573" t="str">
        <f>VLOOKUP(H1573,Produkt!$A$2:$B$5,2,FALSE)</f>
        <v>A</v>
      </c>
      <c r="H1573">
        <v>1</v>
      </c>
      <c r="I1573">
        <v>0.91184027777777776</v>
      </c>
      <c r="J1573">
        <v>44782</v>
      </c>
    </row>
    <row r="1574" spans="1:10" x14ac:dyDescent="0.35">
      <c r="A1574" s="2">
        <v>44778</v>
      </c>
      <c r="B1574" s="3">
        <v>0.22487268518518519</v>
      </c>
      <c r="C1574">
        <v>8170</v>
      </c>
      <c r="D1574" t="str">
        <f>VLOOKUP(H1574,Produkt!$A$2:$B$5,2,FALSE)</f>
        <v>D</v>
      </c>
      <c r="H1574">
        <v>4</v>
      </c>
      <c r="I1574">
        <v>0.61805555555555558</v>
      </c>
      <c r="J1574">
        <v>44774</v>
      </c>
    </row>
    <row r="1575" spans="1:10" x14ac:dyDescent="0.35">
      <c r="A1575" s="2">
        <v>44778</v>
      </c>
      <c r="B1575" s="3">
        <v>0.17874999999999999</v>
      </c>
      <c r="C1575">
        <v>8187</v>
      </c>
      <c r="D1575" t="str">
        <f>VLOOKUP(H1575,Produkt!$A$2:$B$5,2,FALSE)</f>
        <v>A</v>
      </c>
      <c r="H1575">
        <v>1</v>
      </c>
      <c r="I1575">
        <v>0.62450231481481489</v>
      </c>
      <c r="J1575">
        <v>44786</v>
      </c>
    </row>
    <row r="1576" spans="1:10" x14ac:dyDescent="0.35">
      <c r="A1576" s="2">
        <v>44778</v>
      </c>
      <c r="B1576" s="3">
        <v>0.78158564814814813</v>
      </c>
      <c r="C1576">
        <v>8199</v>
      </c>
      <c r="D1576" t="str">
        <f>VLOOKUP(H1576,Produkt!$A$2:$B$5,2,FALSE)</f>
        <v>B</v>
      </c>
      <c r="H1576">
        <v>2</v>
      </c>
      <c r="I1576">
        <v>0.48667824074074079</v>
      </c>
      <c r="J1576">
        <v>44789</v>
      </c>
    </row>
    <row r="1577" spans="1:10" x14ac:dyDescent="0.35">
      <c r="A1577" s="2">
        <v>44778</v>
      </c>
      <c r="B1577" s="3">
        <v>9.5486111111111101E-3</v>
      </c>
      <c r="C1577">
        <v>8201</v>
      </c>
      <c r="D1577" t="str">
        <f>VLOOKUP(H1577,Produkt!$A$2:$B$5,2,FALSE)</f>
        <v>D</v>
      </c>
      <c r="H1577">
        <v>4</v>
      </c>
      <c r="I1577">
        <v>0.20528935185185185</v>
      </c>
      <c r="J1577">
        <v>44779</v>
      </c>
    </row>
    <row r="1578" spans="1:10" x14ac:dyDescent="0.35">
      <c r="A1578" s="2">
        <v>44778</v>
      </c>
      <c r="B1578" s="3">
        <v>0.94431712962962966</v>
      </c>
      <c r="C1578">
        <v>8209</v>
      </c>
      <c r="D1578" t="str">
        <f>VLOOKUP(H1578,Produkt!$A$2:$B$5,2,FALSE)</f>
        <v>D</v>
      </c>
      <c r="H1578">
        <v>4</v>
      </c>
      <c r="I1578">
        <v>0.48158564814814814</v>
      </c>
      <c r="J1578">
        <v>44783</v>
      </c>
    </row>
    <row r="1579" spans="1:10" x14ac:dyDescent="0.35">
      <c r="A1579" s="2">
        <v>44778</v>
      </c>
      <c r="B1579" s="3">
        <v>0.77848379629629638</v>
      </c>
      <c r="C1579">
        <v>8219</v>
      </c>
      <c r="D1579" t="str">
        <f>VLOOKUP(H1579,Produkt!$A$2:$B$5,2,FALSE)</f>
        <v>B</v>
      </c>
      <c r="H1579">
        <v>2</v>
      </c>
      <c r="I1579">
        <v>0.93350694444444438</v>
      </c>
      <c r="J1579">
        <v>44797</v>
      </c>
    </row>
    <row r="1580" spans="1:10" x14ac:dyDescent="0.35">
      <c r="A1580" s="2">
        <v>44778</v>
      </c>
      <c r="B1580" s="3">
        <v>0.65219907407407407</v>
      </c>
      <c r="C1580">
        <v>8239</v>
      </c>
      <c r="D1580" t="str">
        <f>VLOOKUP(H1580,Produkt!$A$2:$B$5,2,FALSE)</f>
        <v>C</v>
      </c>
      <c r="H1580">
        <v>3</v>
      </c>
      <c r="I1580">
        <v>0.23212962962962966</v>
      </c>
      <c r="J1580">
        <v>44798</v>
      </c>
    </row>
    <row r="1581" spans="1:10" x14ac:dyDescent="0.35">
      <c r="A1581" s="2">
        <v>44778</v>
      </c>
      <c r="B1581" s="3">
        <v>0.32368055555555558</v>
      </c>
      <c r="C1581">
        <v>8265</v>
      </c>
      <c r="D1581" t="str">
        <f>VLOOKUP(H1581,Produkt!$A$2:$B$5,2,FALSE)</f>
        <v>B</v>
      </c>
      <c r="H1581">
        <v>2</v>
      </c>
      <c r="I1581">
        <v>0.45435185185185184</v>
      </c>
      <c r="J1581">
        <v>44784</v>
      </c>
    </row>
    <row r="1582" spans="1:10" x14ac:dyDescent="0.35">
      <c r="A1582" s="2">
        <v>44778</v>
      </c>
      <c r="B1582" s="3">
        <v>0.66640046296296296</v>
      </c>
      <c r="C1582">
        <v>8277</v>
      </c>
      <c r="D1582" t="str">
        <f>VLOOKUP(H1582,Produkt!$A$2:$B$5,2,FALSE)</f>
        <v>A</v>
      </c>
      <c r="H1582">
        <v>1</v>
      </c>
      <c r="I1582">
        <v>6.7939814814814816E-3</v>
      </c>
      <c r="J1582">
        <v>44782</v>
      </c>
    </row>
    <row r="1583" spans="1:10" x14ac:dyDescent="0.35">
      <c r="A1583" s="2">
        <v>44778</v>
      </c>
      <c r="B1583" s="3">
        <v>0.3336689814814815</v>
      </c>
      <c r="C1583">
        <v>8314</v>
      </c>
      <c r="D1583" t="str">
        <f>VLOOKUP(H1583,Produkt!$A$2:$B$5,2,FALSE)</f>
        <v>A</v>
      </c>
      <c r="H1583">
        <v>1</v>
      </c>
      <c r="I1583">
        <v>0.71972222222222226</v>
      </c>
      <c r="J1583">
        <v>44800</v>
      </c>
    </row>
    <row r="1584" spans="1:10" x14ac:dyDescent="0.35">
      <c r="A1584" s="2">
        <v>44778</v>
      </c>
      <c r="B1584" s="3">
        <v>6.2129629629629625E-2</v>
      </c>
      <c r="C1584">
        <v>8334</v>
      </c>
      <c r="D1584" t="str">
        <f>VLOOKUP(H1584,Produkt!$A$2:$B$5,2,FALSE)</f>
        <v>B</v>
      </c>
      <c r="H1584">
        <v>2</v>
      </c>
      <c r="I1584">
        <v>0.44254629629629627</v>
      </c>
      <c r="J1584">
        <v>44800</v>
      </c>
    </row>
    <row r="1585" spans="1:10" x14ac:dyDescent="0.35">
      <c r="A1585" s="2">
        <v>44778</v>
      </c>
      <c r="B1585" s="3">
        <v>0.10621527777777778</v>
      </c>
      <c r="C1585">
        <v>8348</v>
      </c>
      <c r="D1585" t="str">
        <f>VLOOKUP(H1585,Produkt!$A$2:$B$5,2,FALSE)</f>
        <v>A</v>
      </c>
      <c r="H1585">
        <v>1</v>
      </c>
      <c r="I1585">
        <v>0.26178240740740738</v>
      </c>
      <c r="J1585">
        <v>44790</v>
      </c>
    </row>
    <row r="1586" spans="1:10" x14ac:dyDescent="0.35">
      <c r="A1586" s="2">
        <v>44778</v>
      </c>
      <c r="B1586" s="3">
        <v>0.48626157407407411</v>
      </c>
      <c r="C1586">
        <v>8426</v>
      </c>
      <c r="D1586" t="str">
        <f>VLOOKUP(H1586,Produkt!$A$2:$B$5,2,FALSE)</f>
        <v>C</v>
      </c>
      <c r="H1586">
        <v>3</v>
      </c>
      <c r="I1586">
        <v>0.69943287037037039</v>
      </c>
      <c r="J1586">
        <v>44789</v>
      </c>
    </row>
    <row r="1587" spans="1:10" x14ac:dyDescent="0.35">
      <c r="A1587" s="2">
        <v>44778</v>
      </c>
      <c r="B1587" s="3">
        <v>0.81677083333333333</v>
      </c>
      <c r="C1587">
        <v>8487</v>
      </c>
      <c r="D1587" t="str">
        <f>VLOOKUP(H1587,Produkt!$A$2:$B$5,2,FALSE)</f>
        <v>D</v>
      </c>
      <c r="H1587">
        <v>4</v>
      </c>
      <c r="I1587">
        <v>0.64532407407407411</v>
      </c>
      <c r="J1587">
        <v>44777</v>
      </c>
    </row>
    <row r="1588" spans="1:10" x14ac:dyDescent="0.35">
      <c r="A1588" s="2">
        <v>44778</v>
      </c>
      <c r="B1588" s="3">
        <v>0.58677083333333335</v>
      </c>
      <c r="C1588">
        <v>8552</v>
      </c>
      <c r="D1588" t="str">
        <f>VLOOKUP(H1588,Produkt!$A$2:$B$5,2,FALSE)</f>
        <v>C</v>
      </c>
      <c r="H1588">
        <v>3</v>
      </c>
      <c r="I1588">
        <v>0.81005787037037036</v>
      </c>
      <c r="J1588">
        <v>44792</v>
      </c>
    </row>
    <row r="1589" spans="1:10" x14ac:dyDescent="0.35">
      <c r="A1589" s="2">
        <v>44778</v>
      </c>
      <c r="B1589" s="3">
        <v>0.54142361111111115</v>
      </c>
      <c r="C1589">
        <v>8661</v>
      </c>
      <c r="D1589" t="str">
        <f>VLOOKUP(H1589,Produkt!$A$2:$B$5,2,FALSE)</f>
        <v>D</v>
      </c>
      <c r="H1589">
        <v>4</v>
      </c>
      <c r="I1589">
        <v>0.66454861111111108</v>
      </c>
      <c r="J1589">
        <v>44804</v>
      </c>
    </row>
    <row r="1590" spans="1:10" x14ac:dyDescent="0.35">
      <c r="A1590" s="2">
        <v>44778</v>
      </c>
      <c r="B1590" s="3">
        <v>0.83363425925925927</v>
      </c>
      <c r="C1590">
        <v>8700</v>
      </c>
      <c r="D1590" t="str">
        <f>VLOOKUP(H1590,Produkt!$A$2:$B$5,2,FALSE)</f>
        <v>B</v>
      </c>
      <c r="H1590">
        <v>2</v>
      </c>
      <c r="I1590">
        <v>6.5439814814814812E-2</v>
      </c>
      <c r="J1590">
        <v>44803</v>
      </c>
    </row>
    <row r="1591" spans="1:10" x14ac:dyDescent="0.35">
      <c r="A1591" s="2">
        <v>44778</v>
      </c>
      <c r="B1591" s="3">
        <v>0.64287037037037031</v>
      </c>
      <c r="C1591">
        <v>8722</v>
      </c>
      <c r="D1591" t="str">
        <f>VLOOKUP(H1591,Produkt!$A$2:$B$5,2,FALSE)</f>
        <v>B</v>
      </c>
      <c r="H1591">
        <v>2</v>
      </c>
      <c r="I1591">
        <v>0.12608796296296296</v>
      </c>
      <c r="J1591">
        <v>44784</v>
      </c>
    </row>
    <row r="1592" spans="1:10" x14ac:dyDescent="0.35">
      <c r="A1592" s="2">
        <v>44778</v>
      </c>
      <c r="B1592" s="3">
        <v>0.46144675925925926</v>
      </c>
      <c r="C1592">
        <v>8743</v>
      </c>
      <c r="D1592" t="str">
        <f>VLOOKUP(H1592,Produkt!$A$2:$B$5,2,FALSE)</f>
        <v>B</v>
      </c>
      <c r="H1592">
        <v>2</v>
      </c>
      <c r="I1592">
        <v>0.60848379629629623</v>
      </c>
      <c r="J1592">
        <v>44798</v>
      </c>
    </row>
    <row r="1593" spans="1:10" x14ac:dyDescent="0.35">
      <c r="A1593" s="2">
        <v>44778</v>
      </c>
      <c r="B1593" s="3">
        <v>0.64184027777777775</v>
      </c>
      <c r="C1593">
        <v>8772</v>
      </c>
      <c r="D1593" t="str">
        <f>VLOOKUP(H1593,Produkt!$A$2:$B$5,2,FALSE)</f>
        <v>B</v>
      </c>
      <c r="H1593">
        <v>2</v>
      </c>
      <c r="I1593">
        <v>0.43518518518518517</v>
      </c>
      <c r="J1593">
        <v>44796</v>
      </c>
    </row>
    <row r="1594" spans="1:10" x14ac:dyDescent="0.35">
      <c r="A1594" s="2">
        <v>44778</v>
      </c>
      <c r="B1594" s="3">
        <v>0.2409375</v>
      </c>
      <c r="C1594">
        <v>8781</v>
      </c>
      <c r="D1594" t="str">
        <f>VLOOKUP(H1594,Produkt!$A$2:$B$5,2,FALSE)</f>
        <v>C</v>
      </c>
      <c r="H1594">
        <v>3</v>
      </c>
      <c r="I1594">
        <v>0.54270833333333335</v>
      </c>
      <c r="J1594">
        <v>44785</v>
      </c>
    </row>
    <row r="1595" spans="1:10" x14ac:dyDescent="0.35">
      <c r="A1595" s="2">
        <v>44778</v>
      </c>
      <c r="B1595" s="3">
        <v>0.56290509259259258</v>
      </c>
      <c r="C1595">
        <v>8786</v>
      </c>
      <c r="D1595" t="str">
        <f>VLOOKUP(H1595,Produkt!$A$2:$B$5,2,FALSE)</f>
        <v>B</v>
      </c>
      <c r="H1595">
        <v>2</v>
      </c>
      <c r="I1595">
        <v>5.9027777777777776E-3</v>
      </c>
      <c r="J1595">
        <v>44795</v>
      </c>
    </row>
    <row r="1596" spans="1:10" x14ac:dyDescent="0.35">
      <c r="A1596" s="2">
        <v>44778</v>
      </c>
      <c r="B1596" s="3">
        <v>0.38354166666666667</v>
      </c>
      <c r="C1596">
        <v>8821</v>
      </c>
      <c r="D1596" t="str">
        <f>VLOOKUP(H1596,Produkt!$A$2:$B$5,2,FALSE)</f>
        <v>A</v>
      </c>
      <c r="H1596">
        <v>1</v>
      </c>
      <c r="I1596">
        <v>0.28196759259259258</v>
      </c>
      <c r="J1596">
        <v>44804</v>
      </c>
    </row>
    <row r="1597" spans="1:10" x14ac:dyDescent="0.35">
      <c r="A1597" s="2">
        <v>44778</v>
      </c>
      <c r="B1597" s="3">
        <v>0.88162037037037033</v>
      </c>
      <c r="C1597">
        <v>8852</v>
      </c>
      <c r="D1597" t="str">
        <f>VLOOKUP(H1597,Produkt!$A$2:$B$5,2,FALSE)</f>
        <v>B</v>
      </c>
      <c r="H1597">
        <v>2</v>
      </c>
      <c r="I1597">
        <v>0.61234953703703698</v>
      </c>
      <c r="J1597">
        <v>44786</v>
      </c>
    </row>
    <row r="1598" spans="1:10" x14ac:dyDescent="0.35">
      <c r="A1598" s="2">
        <v>44778</v>
      </c>
      <c r="B1598" s="3">
        <v>0.68108796296296292</v>
      </c>
      <c r="C1598">
        <v>8853</v>
      </c>
      <c r="D1598" t="str">
        <f>VLOOKUP(H1598,Produkt!$A$2:$B$5,2,FALSE)</f>
        <v>D</v>
      </c>
      <c r="H1598">
        <v>4</v>
      </c>
      <c r="I1598">
        <v>0.86965277777777772</v>
      </c>
      <c r="J1598">
        <v>44787</v>
      </c>
    </row>
    <row r="1599" spans="1:10" x14ac:dyDescent="0.35">
      <c r="A1599" s="2">
        <v>44778</v>
      </c>
      <c r="B1599" s="3">
        <v>0.76787037037037031</v>
      </c>
      <c r="C1599">
        <v>8879</v>
      </c>
      <c r="D1599" t="str">
        <f>VLOOKUP(H1599,Produkt!$A$2:$B$5,2,FALSE)</f>
        <v>B</v>
      </c>
      <c r="H1599">
        <v>2</v>
      </c>
      <c r="I1599">
        <v>0.66706018518518517</v>
      </c>
      <c r="J1599">
        <v>44780</v>
      </c>
    </row>
    <row r="1600" spans="1:10" x14ac:dyDescent="0.35">
      <c r="A1600" s="2">
        <v>44778</v>
      </c>
      <c r="B1600" s="3">
        <v>0.71778935185185189</v>
      </c>
      <c r="C1600">
        <v>8887</v>
      </c>
      <c r="D1600" t="str">
        <f>VLOOKUP(H1600,Produkt!$A$2:$B$5,2,FALSE)</f>
        <v>B</v>
      </c>
      <c r="H1600">
        <v>2</v>
      </c>
      <c r="I1600">
        <v>0.11943287037037037</v>
      </c>
      <c r="J1600">
        <v>44796</v>
      </c>
    </row>
    <row r="1601" spans="1:10" x14ac:dyDescent="0.35">
      <c r="A1601" s="2">
        <v>44778</v>
      </c>
      <c r="B1601" s="3">
        <v>0.66057870370370375</v>
      </c>
      <c r="C1601">
        <v>8889</v>
      </c>
      <c r="D1601" t="str">
        <f>VLOOKUP(H1601,Produkt!$A$2:$B$5,2,FALSE)</f>
        <v>A</v>
      </c>
      <c r="H1601">
        <v>1</v>
      </c>
      <c r="I1601">
        <v>0.23807870370370368</v>
      </c>
      <c r="J1601">
        <v>44774</v>
      </c>
    </row>
    <row r="1602" spans="1:10" x14ac:dyDescent="0.35">
      <c r="A1602" s="2">
        <v>44778</v>
      </c>
      <c r="B1602" s="3">
        <v>4.2048611111111113E-2</v>
      </c>
      <c r="C1602">
        <v>8936</v>
      </c>
      <c r="D1602" t="str">
        <f>VLOOKUP(H1602,Produkt!$A$2:$B$5,2,FALSE)</f>
        <v>C</v>
      </c>
      <c r="H1602">
        <v>3</v>
      </c>
      <c r="I1602">
        <v>0.23811342592592591</v>
      </c>
      <c r="J1602">
        <v>44804</v>
      </c>
    </row>
    <row r="1603" spans="1:10" x14ac:dyDescent="0.35">
      <c r="A1603" s="2">
        <v>44778</v>
      </c>
      <c r="B1603" s="3">
        <v>0.61750000000000005</v>
      </c>
      <c r="C1603">
        <v>8999</v>
      </c>
      <c r="D1603" t="str">
        <f>VLOOKUP(H1603,Produkt!$A$2:$B$5,2,FALSE)</f>
        <v>B</v>
      </c>
      <c r="H1603">
        <v>2</v>
      </c>
      <c r="I1603">
        <v>0.47148148148148145</v>
      </c>
      <c r="J1603">
        <v>44787</v>
      </c>
    </row>
    <row r="1604" spans="1:10" x14ac:dyDescent="0.35">
      <c r="A1604" s="2">
        <v>44778</v>
      </c>
      <c r="B1604" s="3">
        <v>4.4363425925925924E-2</v>
      </c>
      <c r="C1604">
        <v>9009</v>
      </c>
      <c r="D1604" t="str">
        <f>VLOOKUP(H1604,Produkt!$A$2:$B$5,2,FALSE)</f>
        <v>B</v>
      </c>
      <c r="H1604">
        <v>2</v>
      </c>
      <c r="I1604">
        <v>0.1665625</v>
      </c>
      <c r="J1604">
        <v>44788</v>
      </c>
    </row>
    <row r="1605" spans="1:10" x14ac:dyDescent="0.35">
      <c r="A1605" s="2">
        <v>44778</v>
      </c>
      <c r="B1605" s="3">
        <v>0.84548611111111116</v>
      </c>
      <c r="C1605">
        <v>9012</v>
      </c>
      <c r="D1605" t="str">
        <f>VLOOKUP(H1605,Produkt!$A$2:$B$5,2,FALSE)</f>
        <v>A</v>
      </c>
      <c r="H1605">
        <v>1</v>
      </c>
      <c r="I1605">
        <v>0.37031249999999999</v>
      </c>
      <c r="J1605">
        <v>44776</v>
      </c>
    </row>
    <row r="1606" spans="1:10" x14ac:dyDescent="0.35">
      <c r="A1606" s="2">
        <v>44778</v>
      </c>
      <c r="B1606" s="3">
        <v>0.24679398148148146</v>
      </c>
      <c r="C1606">
        <v>9030</v>
      </c>
      <c r="D1606" t="str">
        <f>VLOOKUP(H1606,Produkt!$A$2:$B$5,2,FALSE)</f>
        <v>B</v>
      </c>
      <c r="H1606">
        <v>2</v>
      </c>
      <c r="I1606">
        <v>0.749537037037037</v>
      </c>
      <c r="J1606">
        <v>44777</v>
      </c>
    </row>
    <row r="1607" spans="1:10" x14ac:dyDescent="0.35">
      <c r="A1607" s="2">
        <v>44778</v>
      </c>
      <c r="B1607" s="3">
        <v>0.78025462962962966</v>
      </c>
      <c r="C1607">
        <v>9042</v>
      </c>
      <c r="D1607" t="str">
        <f>VLOOKUP(H1607,Produkt!$A$2:$B$5,2,FALSE)</f>
        <v>D</v>
      </c>
      <c r="H1607">
        <v>4</v>
      </c>
      <c r="I1607">
        <v>1.9803240740740691E-2</v>
      </c>
      <c r="J1607">
        <v>44799</v>
      </c>
    </row>
    <row r="1608" spans="1:10" x14ac:dyDescent="0.35">
      <c r="A1608" s="2">
        <v>44778</v>
      </c>
      <c r="B1608" s="3">
        <v>0.32473379629629628</v>
      </c>
      <c r="C1608">
        <v>9093</v>
      </c>
      <c r="D1608" t="str">
        <f>VLOOKUP(H1608,Produkt!$A$2:$B$5,2,FALSE)</f>
        <v>D</v>
      </c>
      <c r="H1608">
        <v>4</v>
      </c>
      <c r="I1608">
        <v>0.58603009259259264</v>
      </c>
      <c r="J1608">
        <v>44775</v>
      </c>
    </row>
    <row r="1609" spans="1:10" x14ac:dyDescent="0.35">
      <c r="A1609" s="2">
        <v>44778</v>
      </c>
      <c r="B1609" s="3">
        <v>0.3392592592592592</v>
      </c>
      <c r="C1609">
        <v>9101</v>
      </c>
      <c r="D1609" t="str">
        <f>VLOOKUP(H1609,Produkt!$A$2:$B$5,2,FALSE)</f>
        <v>C</v>
      </c>
      <c r="H1609">
        <v>3</v>
      </c>
      <c r="I1609">
        <v>0.4365046296296296</v>
      </c>
      <c r="J1609">
        <v>44803</v>
      </c>
    </row>
    <row r="1610" spans="1:10" x14ac:dyDescent="0.35">
      <c r="A1610" s="2">
        <v>44778</v>
      </c>
      <c r="B1610" s="3">
        <v>0.60954861111111114</v>
      </c>
      <c r="C1610">
        <v>9131</v>
      </c>
      <c r="D1610" t="str">
        <f>VLOOKUP(H1610,Produkt!$A$2:$B$5,2,FALSE)</f>
        <v>D</v>
      </c>
      <c r="H1610">
        <v>4</v>
      </c>
      <c r="I1610">
        <v>0.25284722222222222</v>
      </c>
      <c r="J1610">
        <v>44793</v>
      </c>
    </row>
    <row r="1611" spans="1:10" x14ac:dyDescent="0.35">
      <c r="A1611" s="2">
        <v>44778</v>
      </c>
      <c r="B1611" s="3">
        <v>0.2388888888888889</v>
      </c>
      <c r="C1611">
        <v>9148</v>
      </c>
      <c r="D1611" t="str">
        <f>VLOOKUP(H1611,Produkt!$A$2:$B$5,2,FALSE)</f>
        <v>A</v>
      </c>
      <c r="H1611">
        <v>1</v>
      </c>
      <c r="I1611">
        <v>0.39974537037037039</v>
      </c>
      <c r="J1611">
        <v>44793</v>
      </c>
    </row>
    <row r="1612" spans="1:10" x14ac:dyDescent="0.35">
      <c r="A1612" s="2">
        <v>44778</v>
      </c>
      <c r="B1612" s="3">
        <v>0.71297453703703706</v>
      </c>
      <c r="C1612">
        <v>9193</v>
      </c>
      <c r="D1612" t="str">
        <f>VLOOKUP(H1612,Produkt!$A$2:$B$5,2,FALSE)</f>
        <v>A</v>
      </c>
      <c r="H1612">
        <v>1</v>
      </c>
      <c r="I1612">
        <v>0.96114583333333325</v>
      </c>
      <c r="J1612">
        <v>44787</v>
      </c>
    </row>
    <row r="1613" spans="1:10" x14ac:dyDescent="0.35">
      <c r="A1613" s="2">
        <v>44778</v>
      </c>
      <c r="B1613" s="3">
        <v>0.50160879629629629</v>
      </c>
      <c r="C1613">
        <v>9201</v>
      </c>
      <c r="D1613" t="str">
        <f>VLOOKUP(H1613,Produkt!$A$2:$B$5,2,FALSE)</f>
        <v>D</v>
      </c>
      <c r="H1613">
        <v>4</v>
      </c>
      <c r="I1613">
        <v>0.27863425925925928</v>
      </c>
      <c r="J1613">
        <v>44799</v>
      </c>
    </row>
    <row r="1614" spans="1:10" x14ac:dyDescent="0.35">
      <c r="A1614" s="2">
        <v>44778</v>
      </c>
      <c r="B1614" s="3">
        <v>0.43835648148148149</v>
      </c>
      <c r="C1614">
        <v>9367</v>
      </c>
      <c r="D1614" t="str">
        <f>VLOOKUP(H1614,Produkt!$A$2:$B$5,2,FALSE)</f>
        <v>A</v>
      </c>
      <c r="H1614">
        <v>1</v>
      </c>
      <c r="I1614">
        <v>4.2824074074077068E-4</v>
      </c>
      <c r="J1614">
        <v>44800</v>
      </c>
    </row>
    <row r="1615" spans="1:10" x14ac:dyDescent="0.35">
      <c r="A1615" s="2">
        <v>44778</v>
      </c>
      <c r="B1615" s="3">
        <v>0.30038194444444444</v>
      </c>
      <c r="C1615">
        <v>9391</v>
      </c>
      <c r="D1615" t="str">
        <f>VLOOKUP(H1615,Produkt!$A$2:$B$5,2,FALSE)</f>
        <v>B</v>
      </c>
      <c r="H1615">
        <v>2</v>
      </c>
      <c r="I1615">
        <v>0.68386574074074069</v>
      </c>
      <c r="J1615">
        <v>44801</v>
      </c>
    </row>
    <row r="1616" spans="1:10" x14ac:dyDescent="0.35">
      <c r="A1616" s="2">
        <v>44778</v>
      </c>
      <c r="B1616" s="3">
        <v>0.43549768518518522</v>
      </c>
      <c r="C1616">
        <v>9398</v>
      </c>
      <c r="D1616" t="str">
        <f>VLOOKUP(H1616,Produkt!$A$2:$B$5,2,FALSE)</f>
        <v>B</v>
      </c>
      <c r="H1616">
        <v>2</v>
      </c>
      <c r="I1616">
        <v>0.12033564814814814</v>
      </c>
      <c r="J1616">
        <v>44785</v>
      </c>
    </row>
    <row r="1617" spans="1:10" x14ac:dyDescent="0.35">
      <c r="A1617" s="2">
        <v>44778</v>
      </c>
      <c r="B1617" s="3">
        <v>0.17574074074074075</v>
      </c>
      <c r="C1617">
        <v>9506</v>
      </c>
      <c r="D1617" t="str">
        <f>VLOOKUP(H1617,Produkt!$A$2:$B$5,2,FALSE)</f>
        <v>B</v>
      </c>
      <c r="H1617">
        <v>2</v>
      </c>
      <c r="I1617">
        <v>0.86496527777777776</v>
      </c>
      <c r="J1617">
        <v>44784</v>
      </c>
    </row>
    <row r="1618" spans="1:10" x14ac:dyDescent="0.35">
      <c r="A1618" s="2">
        <v>44778</v>
      </c>
      <c r="B1618" s="3">
        <v>0.94062499999999993</v>
      </c>
      <c r="C1618">
        <v>9527</v>
      </c>
      <c r="D1618" t="str">
        <f>VLOOKUP(H1618,Produkt!$A$2:$B$5,2,FALSE)</f>
        <v>A</v>
      </c>
      <c r="H1618">
        <v>1</v>
      </c>
      <c r="I1618">
        <v>0.70599537037037041</v>
      </c>
      <c r="J1618">
        <v>44787</v>
      </c>
    </row>
    <row r="1619" spans="1:10" x14ac:dyDescent="0.35">
      <c r="A1619" s="2">
        <v>44778</v>
      </c>
      <c r="B1619" s="3">
        <v>0.89930555555555547</v>
      </c>
      <c r="C1619">
        <v>9540</v>
      </c>
      <c r="D1619" t="str">
        <f>VLOOKUP(H1619,Produkt!$A$2:$B$5,2,FALSE)</f>
        <v>A</v>
      </c>
      <c r="H1619">
        <v>1</v>
      </c>
      <c r="I1619">
        <v>0.10065972222222223</v>
      </c>
      <c r="J1619">
        <v>44788</v>
      </c>
    </row>
    <row r="1620" spans="1:10" x14ac:dyDescent="0.35">
      <c r="A1620" s="2">
        <v>44778</v>
      </c>
      <c r="B1620" s="3">
        <v>0.15530092592592593</v>
      </c>
      <c r="C1620">
        <v>9576</v>
      </c>
      <c r="D1620" t="str">
        <f>VLOOKUP(H1620,Produkt!$A$2:$B$5,2,FALSE)</f>
        <v>C</v>
      </c>
      <c r="H1620">
        <v>3</v>
      </c>
      <c r="I1620">
        <v>0.70386574074074071</v>
      </c>
      <c r="J1620">
        <v>44800</v>
      </c>
    </row>
    <row r="1621" spans="1:10" x14ac:dyDescent="0.35">
      <c r="A1621" s="2">
        <v>44778</v>
      </c>
      <c r="B1621" s="3">
        <v>0.21380787037037038</v>
      </c>
      <c r="C1621">
        <v>9641</v>
      </c>
      <c r="D1621" t="str">
        <f>VLOOKUP(H1621,Produkt!$A$2:$B$5,2,FALSE)</f>
        <v>B</v>
      </c>
      <c r="H1621">
        <v>2</v>
      </c>
      <c r="I1621">
        <v>0.66605324074074079</v>
      </c>
      <c r="J1621">
        <v>44797</v>
      </c>
    </row>
    <row r="1622" spans="1:10" x14ac:dyDescent="0.35">
      <c r="A1622" s="2">
        <v>44778</v>
      </c>
      <c r="B1622" s="3">
        <v>0.74861111111111101</v>
      </c>
      <c r="C1622">
        <v>9651</v>
      </c>
      <c r="D1622" t="str">
        <f>VLOOKUP(H1622,Produkt!$A$2:$B$5,2,FALSE)</f>
        <v>C</v>
      </c>
      <c r="H1622">
        <v>3</v>
      </c>
      <c r="I1622">
        <v>0.6098958333333333</v>
      </c>
      <c r="J1622">
        <v>44800</v>
      </c>
    </row>
    <row r="1623" spans="1:10" x14ac:dyDescent="0.35">
      <c r="A1623" s="2">
        <v>44778</v>
      </c>
      <c r="B1623" s="3">
        <v>0.35583333333333328</v>
      </c>
      <c r="C1623">
        <v>9669</v>
      </c>
      <c r="D1623" t="str">
        <f>VLOOKUP(H1623,Produkt!$A$2:$B$5,2,FALSE)</f>
        <v>B</v>
      </c>
      <c r="H1623">
        <v>2</v>
      </c>
      <c r="I1623">
        <v>0.39240740740740737</v>
      </c>
      <c r="J1623">
        <v>44787</v>
      </c>
    </row>
    <row r="1624" spans="1:10" x14ac:dyDescent="0.35">
      <c r="A1624" s="2">
        <v>44778</v>
      </c>
      <c r="B1624" s="3">
        <v>5.65162037037037E-2</v>
      </c>
      <c r="C1624">
        <v>9710</v>
      </c>
      <c r="D1624" t="str">
        <f>VLOOKUP(H1624,Produkt!$A$2:$B$5,2,FALSE)</f>
        <v>C</v>
      </c>
      <c r="H1624">
        <v>3</v>
      </c>
      <c r="I1624">
        <v>0.61298611111111112</v>
      </c>
      <c r="J1624">
        <v>44781</v>
      </c>
    </row>
    <row r="1625" spans="1:10" x14ac:dyDescent="0.35">
      <c r="A1625" s="2">
        <v>44778</v>
      </c>
      <c r="B1625" s="3">
        <v>0.97396990740740741</v>
      </c>
      <c r="C1625">
        <v>9761</v>
      </c>
      <c r="D1625" t="str">
        <f>VLOOKUP(H1625,Produkt!$A$2:$B$5,2,FALSE)</f>
        <v>B</v>
      </c>
      <c r="H1625">
        <v>2</v>
      </c>
      <c r="I1625">
        <v>0.87570601851851848</v>
      </c>
      <c r="J1625">
        <v>44785</v>
      </c>
    </row>
    <row r="1626" spans="1:10" x14ac:dyDescent="0.35">
      <c r="A1626" s="2">
        <v>44778</v>
      </c>
      <c r="B1626" s="3">
        <v>7.3784722222222224E-2</v>
      </c>
      <c r="C1626">
        <v>9781</v>
      </c>
      <c r="D1626" t="str">
        <f>VLOOKUP(H1626,Produkt!$A$2:$B$5,2,FALSE)</f>
        <v>A</v>
      </c>
      <c r="H1626">
        <v>1</v>
      </c>
      <c r="I1626">
        <v>0.48228009259259258</v>
      </c>
      <c r="J1626">
        <v>44799</v>
      </c>
    </row>
    <row r="1627" spans="1:10" x14ac:dyDescent="0.35">
      <c r="A1627" s="2">
        <v>44778</v>
      </c>
      <c r="B1627" s="3">
        <v>0.88402777777777775</v>
      </c>
      <c r="C1627">
        <v>9801</v>
      </c>
      <c r="D1627" t="str">
        <f>VLOOKUP(H1627,Produkt!$A$2:$B$5,2,FALSE)</f>
        <v>A</v>
      </c>
      <c r="H1627">
        <v>1</v>
      </c>
      <c r="I1627">
        <v>0.62545138888888896</v>
      </c>
      <c r="J1627">
        <v>44781</v>
      </c>
    </row>
    <row r="1628" spans="1:10" x14ac:dyDescent="0.35">
      <c r="A1628" s="2">
        <v>44778</v>
      </c>
      <c r="B1628" s="3">
        <v>0.3596064814814815</v>
      </c>
      <c r="C1628">
        <v>9850</v>
      </c>
      <c r="D1628" t="str">
        <f>VLOOKUP(H1628,Produkt!$A$2:$B$5,2,FALSE)</f>
        <v>A</v>
      </c>
      <c r="H1628">
        <v>1</v>
      </c>
      <c r="I1628">
        <v>0.41491898148148149</v>
      </c>
      <c r="J1628">
        <v>44791</v>
      </c>
    </row>
    <row r="1629" spans="1:10" x14ac:dyDescent="0.35">
      <c r="A1629" s="2">
        <v>44778</v>
      </c>
      <c r="B1629" s="3">
        <v>0.72745370370370377</v>
      </c>
      <c r="C1629">
        <v>9921</v>
      </c>
      <c r="D1629" t="str">
        <f>VLOOKUP(H1629,Produkt!$A$2:$B$5,2,FALSE)</f>
        <v>B</v>
      </c>
      <c r="H1629">
        <v>2</v>
      </c>
      <c r="I1629">
        <v>0.12469907407407409</v>
      </c>
      <c r="J1629">
        <v>44796</v>
      </c>
    </row>
    <row r="1630" spans="1:10" x14ac:dyDescent="0.35">
      <c r="A1630" s="2">
        <v>44778</v>
      </c>
      <c r="B1630" s="3">
        <v>0.28196759259259258</v>
      </c>
      <c r="C1630">
        <v>9962</v>
      </c>
      <c r="D1630" t="str">
        <f>VLOOKUP(H1630,Produkt!$A$2:$B$5,2,FALSE)</f>
        <v>C</v>
      </c>
      <c r="H1630">
        <v>3</v>
      </c>
      <c r="I1630">
        <v>0.82329861111111102</v>
      </c>
      <c r="J1630">
        <v>44776</v>
      </c>
    </row>
    <row r="1631" spans="1:10" x14ac:dyDescent="0.35">
      <c r="A1631" s="2">
        <v>44778</v>
      </c>
      <c r="B1631" s="3">
        <v>3.2835648148148149E-2</v>
      </c>
      <c r="C1631">
        <v>9983</v>
      </c>
      <c r="D1631" t="str">
        <f>VLOOKUP(H1631,Produkt!$A$2:$B$5,2,FALSE)</f>
        <v>B</v>
      </c>
      <c r="H1631">
        <v>2</v>
      </c>
      <c r="I1631">
        <v>0.38354166666666667</v>
      </c>
      <c r="J1631">
        <v>44795</v>
      </c>
    </row>
    <row r="1632" spans="1:10" x14ac:dyDescent="0.35">
      <c r="A1632" s="2">
        <v>44779</v>
      </c>
      <c r="B1632" s="3">
        <v>0.18228009259259259</v>
      </c>
      <c r="C1632">
        <v>6</v>
      </c>
      <c r="D1632" t="str">
        <f>VLOOKUP(H1632,Produkt!$A$2:$B$5,2,FALSE)</f>
        <v>D</v>
      </c>
      <c r="H1632">
        <v>4</v>
      </c>
      <c r="I1632">
        <v>1.9166666666666669E-2</v>
      </c>
      <c r="J1632">
        <v>44790</v>
      </c>
    </row>
    <row r="1633" spans="1:10" x14ac:dyDescent="0.35">
      <c r="A1633" s="2">
        <v>44779</v>
      </c>
      <c r="B1633" s="3">
        <v>0.31513888888888891</v>
      </c>
      <c r="C1633">
        <v>38</v>
      </c>
      <c r="D1633" t="str">
        <f>VLOOKUP(H1633,Produkt!$A$2:$B$5,2,FALSE)</f>
        <v>A</v>
      </c>
      <c r="H1633">
        <v>1</v>
      </c>
      <c r="I1633">
        <v>0.45788194444444441</v>
      </c>
      <c r="J1633">
        <v>44801</v>
      </c>
    </row>
    <row r="1634" spans="1:10" x14ac:dyDescent="0.35">
      <c r="A1634" s="2">
        <v>44779</v>
      </c>
      <c r="B1634" s="3">
        <v>0.11564814814814815</v>
      </c>
      <c r="C1634">
        <v>41</v>
      </c>
      <c r="D1634" t="str">
        <f>VLOOKUP(H1634,Produkt!$A$2:$B$5,2,FALSE)</f>
        <v>A</v>
      </c>
      <c r="H1634">
        <v>1</v>
      </c>
      <c r="I1634">
        <v>0.20755787037037035</v>
      </c>
      <c r="J1634">
        <v>44781</v>
      </c>
    </row>
    <row r="1635" spans="1:10" x14ac:dyDescent="0.35">
      <c r="A1635" s="2">
        <v>44779</v>
      </c>
      <c r="B1635" s="3">
        <v>0.6058796296296296</v>
      </c>
      <c r="C1635">
        <v>60</v>
      </c>
      <c r="D1635" t="str">
        <f>VLOOKUP(H1635,Produkt!$A$2:$B$5,2,FALSE)</f>
        <v>C</v>
      </c>
      <c r="H1635">
        <v>3</v>
      </c>
      <c r="I1635">
        <v>0.19674768518518518</v>
      </c>
      <c r="J1635">
        <v>44783</v>
      </c>
    </row>
    <row r="1636" spans="1:10" x14ac:dyDescent="0.35">
      <c r="A1636" s="2">
        <v>44779</v>
      </c>
      <c r="B1636" s="3">
        <v>2.399305555555542E-2</v>
      </c>
      <c r="C1636">
        <v>63</v>
      </c>
      <c r="D1636" t="str">
        <f>VLOOKUP(H1636,Produkt!$A$2:$B$5,2,FALSE)</f>
        <v>D</v>
      </c>
      <c r="H1636">
        <v>4</v>
      </c>
      <c r="I1636">
        <v>8.4803240740740748E-2</v>
      </c>
      <c r="J1636">
        <v>44779</v>
      </c>
    </row>
    <row r="1637" spans="1:10" x14ac:dyDescent="0.35">
      <c r="A1637" s="2">
        <v>44779</v>
      </c>
      <c r="B1637" s="3">
        <v>0.61267361111111118</v>
      </c>
      <c r="C1637">
        <v>181</v>
      </c>
      <c r="D1637" t="str">
        <f>VLOOKUP(H1637,Produkt!$A$2:$B$5,2,FALSE)</f>
        <v>B</v>
      </c>
      <c r="H1637">
        <v>2</v>
      </c>
      <c r="I1637">
        <v>3.8263888888888889E-2</v>
      </c>
      <c r="J1637">
        <v>44789</v>
      </c>
    </row>
    <row r="1638" spans="1:10" x14ac:dyDescent="0.35">
      <c r="A1638" s="2">
        <v>44779</v>
      </c>
      <c r="B1638" s="3">
        <v>0.26893518518518517</v>
      </c>
      <c r="C1638">
        <v>189</v>
      </c>
      <c r="D1638" t="str">
        <f>VLOOKUP(H1638,Produkt!$A$2:$B$5,2,FALSE)</f>
        <v>B</v>
      </c>
      <c r="H1638">
        <v>2</v>
      </c>
      <c r="I1638">
        <v>2.5868055555555491E-2</v>
      </c>
      <c r="J1638">
        <v>44796</v>
      </c>
    </row>
    <row r="1639" spans="1:10" x14ac:dyDescent="0.35">
      <c r="A1639" s="2">
        <v>44779</v>
      </c>
      <c r="B1639" s="3">
        <v>0.96953703703703698</v>
      </c>
      <c r="C1639">
        <v>247</v>
      </c>
      <c r="D1639" t="str">
        <f>VLOOKUP(H1639,Produkt!$A$2:$B$5,2,FALSE)</f>
        <v>B</v>
      </c>
      <c r="H1639">
        <v>2</v>
      </c>
      <c r="I1639">
        <v>0.34082175925925928</v>
      </c>
      <c r="J1639">
        <v>44792</v>
      </c>
    </row>
    <row r="1640" spans="1:10" x14ac:dyDescent="0.35">
      <c r="A1640" s="2">
        <v>44779</v>
      </c>
      <c r="B1640" s="3">
        <v>0.56157407407407411</v>
      </c>
      <c r="C1640">
        <v>303</v>
      </c>
      <c r="D1640" t="str">
        <f>VLOOKUP(H1640,Produkt!$A$2:$B$5,2,FALSE)</f>
        <v>D</v>
      </c>
      <c r="H1640">
        <v>4</v>
      </c>
      <c r="I1640">
        <v>0.69006944444444451</v>
      </c>
      <c r="J1640">
        <v>44777</v>
      </c>
    </row>
    <row r="1641" spans="1:10" x14ac:dyDescent="0.35">
      <c r="A1641" s="2">
        <v>44779</v>
      </c>
      <c r="B1641" s="3">
        <v>0.27929398148148149</v>
      </c>
      <c r="C1641">
        <v>335</v>
      </c>
      <c r="D1641" t="str">
        <f>VLOOKUP(H1641,Produkt!$A$2:$B$5,2,FALSE)</f>
        <v>D</v>
      </c>
      <c r="H1641">
        <v>4</v>
      </c>
      <c r="I1641">
        <v>0.72763888888888895</v>
      </c>
      <c r="J1641">
        <v>44795</v>
      </c>
    </row>
    <row r="1642" spans="1:10" x14ac:dyDescent="0.35">
      <c r="A1642" s="2">
        <v>44779</v>
      </c>
      <c r="B1642" s="3">
        <v>4.2129629629629626E-3</v>
      </c>
      <c r="C1642">
        <v>349</v>
      </c>
      <c r="D1642" t="str">
        <f>VLOOKUP(H1642,Produkt!$A$2:$B$5,2,FALSE)</f>
        <v>D</v>
      </c>
      <c r="H1642">
        <v>4</v>
      </c>
      <c r="I1642">
        <v>4.7372685185185191E-2</v>
      </c>
      <c r="J1642">
        <v>44781</v>
      </c>
    </row>
    <row r="1643" spans="1:10" x14ac:dyDescent="0.35">
      <c r="A1643" s="2">
        <v>44779</v>
      </c>
      <c r="B1643" s="3">
        <v>0.55146990740740742</v>
      </c>
      <c r="C1643">
        <v>359</v>
      </c>
      <c r="D1643" t="str">
        <f>VLOOKUP(H1643,Produkt!$A$2:$B$5,2,FALSE)</f>
        <v>A</v>
      </c>
      <c r="H1643">
        <v>1</v>
      </c>
      <c r="I1643">
        <v>0.46460648148148148</v>
      </c>
      <c r="J1643">
        <v>44774</v>
      </c>
    </row>
    <row r="1644" spans="1:10" x14ac:dyDescent="0.35">
      <c r="A1644" s="2">
        <v>44779</v>
      </c>
      <c r="B1644" s="3">
        <v>0.79269675925925931</v>
      </c>
      <c r="C1644">
        <v>392</v>
      </c>
      <c r="D1644" t="str">
        <f>VLOOKUP(H1644,Produkt!$A$2:$B$5,2,FALSE)</f>
        <v>B</v>
      </c>
      <c r="H1644">
        <v>2</v>
      </c>
      <c r="I1644">
        <v>0.65763888888888888</v>
      </c>
      <c r="J1644">
        <v>44774</v>
      </c>
    </row>
    <row r="1645" spans="1:10" x14ac:dyDescent="0.35">
      <c r="A1645" s="2">
        <v>44779</v>
      </c>
      <c r="B1645" s="3">
        <v>0.24293981481481483</v>
      </c>
      <c r="C1645">
        <v>433</v>
      </c>
      <c r="D1645" t="str">
        <f>VLOOKUP(H1645,Produkt!$A$2:$B$5,2,FALSE)</f>
        <v>C</v>
      </c>
      <c r="H1645">
        <v>3</v>
      </c>
      <c r="I1645">
        <v>0.66346064814814809</v>
      </c>
      <c r="J1645">
        <v>44796</v>
      </c>
    </row>
    <row r="1646" spans="1:10" x14ac:dyDescent="0.35">
      <c r="A1646" s="2">
        <v>44779</v>
      </c>
      <c r="B1646" s="3">
        <v>0.76563657407407415</v>
      </c>
      <c r="C1646">
        <v>438</v>
      </c>
      <c r="D1646" t="str">
        <f>VLOOKUP(H1646,Produkt!$A$2:$B$5,2,FALSE)</f>
        <v>A</v>
      </c>
      <c r="H1646">
        <v>1</v>
      </c>
      <c r="I1646">
        <v>0.32222222222222224</v>
      </c>
      <c r="J1646">
        <v>44781</v>
      </c>
    </row>
    <row r="1647" spans="1:10" x14ac:dyDescent="0.35">
      <c r="A1647" s="2">
        <v>44779</v>
      </c>
      <c r="B1647" s="3">
        <v>0.77721064814814811</v>
      </c>
      <c r="C1647">
        <v>443</v>
      </c>
      <c r="D1647" t="str">
        <f>VLOOKUP(H1647,Produkt!$A$2:$B$5,2,FALSE)</f>
        <v>C</v>
      </c>
      <c r="H1647">
        <v>3</v>
      </c>
      <c r="I1647">
        <v>0.32268518518518519</v>
      </c>
      <c r="J1647">
        <v>44785</v>
      </c>
    </row>
    <row r="1648" spans="1:10" x14ac:dyDescent="0.35">
      <c r="A1648" s="2">
        <v>44779</v>
      </c>
      <c r="B1648" s="3">
        <v>0.97496527777777775</v>
      </c>
      <c r="C1648">
        <v>516</v>
      </c>
      <c r="D1648" t="str">
        <f>VLOOKUP(H1648,Produkt!$A$2:$B$5,2,FALSE)</f>
        <v>C</v>
      </c>
      <c r="H1648">
        <v>3</v>
      </c>
      <c r="I1648">
        <v>0.13438657407407409</v>
      </c>
      <c r="J1648">
        <v>44802</v>
      </c>
    </row>
    <row r="1649" spans="1:10" x14ac:dyDescent="0.35">
      <c r="A1649" s="2">
        <v>44779</v>
      </c>
      <c r="B1649" s="3">
        <v>8.2916666666666666E-2</v>
      </c>
      <c r="C1649">
        <v>530</v>
      </c>
      <c r="D1649" t="str">
        <f>VLOOKUP(H1649,Produkt!$A$2:$B$5,2,FALSE)</f>
        <v>B</v>
      </c>
      <c r="H1649">
        <v>2</v>
      </c>
      <c r="I1649">
        <v>1.1354166666666776E-2</v>
      </c>
      <c r="J1649">
        <v>44790</v>
      </c>
    </row>
    <row r="1650" spans="1:10" x14ac:dyDescent="0.35">
      <c r="A1650" s="2">
        <v>44779</v>
      </c>
      <c r="B1650" s="3">
        <v>0.88453703703703701</v>
      </c>
      <c r="C1650">
        <v>556</v>
      </c>
      <c r="D1650" t="str">
        <f>VLOOKUP(H1650,Produkt!$A$2:$B$5,2,FALSE)</f>
        <v>A</v>
      </c>
      <c r="H1650">
        <v>1</v>
      </c>
      <c r="I1650">
        <v>0.33861111111111114</v>
      </c>
      <c r="J1650">
        <v>44790</v>
      </c>
    </row>
    <row r="1651" spans="1:10" x14ac:dyDescent="0.35">
      <c r="A1651" s="2">
        <v>44779</v>
      </c>
      <c r="B1651" s="3">
        <v>0.63491898148148151</v>
      </c>
      <c r="C1651">
        <v>607</v>
      </c>
      <c r="D1651" t="str">
        <f>VLOOKUP(H1651,Produkt!$A$2:$B$5,2,FALSE)</f>
        <v>A</v>
      </c>
      <c r="H1651">
        <v>1</v>
      </c>
      <c r="I1651">
        <v>0.7082060185185185</v>
      </c>
      <c r="J1651">
        <v>44775</v>
      </c>
    </row>
    <row r="1652" spans="1:10" x14ac:dyDescent="0.35">
      <c r="A1652" s="2">
        <v>44779</v>
      </c>
      <c r="B1652" s="3">
        <v>0.58840277777777772</v>
      </c>
      <c r="C1652">
        <v>631</v>
      </c>
      <c r="D1652" t="str">
        <f>VLOOKUP(H1652,Produkt!$A$2:$B$5,2,FALSE)</f>
        <v>D</v>
      </c>
      <c r="H1652">
        <v>4</v>
      </c>
      <c r="I1652">
        <v>0.61097222222222225</v>
      </c>
      <c r="J1652">
        <v>44804</v>
      </c>
    </row>
    <row r="1653" spans="1:10" x14ac:dyDescent="0.35">
      <c r="A1653" s="2">
        <v>44779</v>
      </c>
      <c r="B1653" s="3">
        <v>0.79378472222222218</v>
      </c>
      <c r="C1653">
        <v>658</v>
      </c>
      <c r="D1653" t="str">
        <f>VLOOKUP(H1653,Produkt!$A$2:$B$5,2,FALSE)</f>
        <v>A</v>
      </c>
      <c r="H1653">
        <v>1</v>
      </c>
      <c r="I1653">
        <v>0.64236111111111105</v>
      </c>
      <c r="J1653">
        <v>44786</v>
      </c>
    </row>
    <row r="1654" spans="1:10" x14ac:dyDescent="0.35">
      <c r="A1654" s="2">
        <v>44779</v>
      </c>
      <c r="B1654" s="3">
        <v>0.78528935185185189</v>
      </c>
      <c r="C1654">
        <v>664</v>
      </c>
      <c r="D1654" t="str">
        <f>VLOOKUP(H1654,Produkt!$A$2:$B$5,2,FALSE)</f>
        <v>D</v>
      </c>
      <c r="H1654">
        <v>4</v>
      </c>
      <c r="I1654">
        <v>0.63868055555555558</v>
      </c>
      <c r="J1654">
        <v>44802</v>
      </c>
    </row>
    <row r="1655" spans="1:10" x14ac:dyDescent="0.35">
      <c r="A1655" s="2">
        <v>44779</v>
      </c>
      <c r="B1655" s="3">
        <v>0.22096064814814817</v>
      </c>
      <c r="C1655">
        <v>675</v>
      </c>
      <c r="D1655" t="str">
        <f>VLOOKUP(H1655,Produkt!$A$2:$B$5,2,FALSE)</f>
        <v>D</v>
      </c>
      <c r="H1655">
        <v>4</v>
      </c>
      <c r="I1655">
        <v>0.64181712962962967</v>
      </c>
      <c r="J1655">
        <v>44793</v>
      </c>
    </row>
    <row r="1656" spans="1:10" x14ac:dyDescent="0.35">
      <c r="A1656" s="2">
        <v>44779</v>
      </c>
      <c r="B1656" s="3">
        <v>0.46651620370370367</v>
      </c>
      <c r="C1656">
        <v>685</v>
      </c>
      <c r="D1656" t="str">
        <f>VLOOKUP(H1656,Produkt!$A$2:$B$5,2,FALSE)</f>
        <v>C</v>
      </c>
      <c r="H1656">
        <v>3</v>
      </c>
      <c r="I1656">
        <v>0.3197800925925926</v>
      </c>
      <c r="J1656">
        <v>44796</v>
      </c>
    </row>
    <row r="1657" spans="1:10" x14ac:dyDescent="0.35">
      <c r="A1657" s="2">
        <v>44779</v>
      </c>
      <c r="B1657" s="3">
        <v>0.6308449074074074</v>
      </c>
      <c r="C1657">
        <v>726</v>
      </c>
      <c r="D1657" t="str">
        <f>VLOOKUP(H1657,Produkt!$A$2:$B$5,2,FALSE)</f>
        <v>B</v>
      </c>
      <c r="H1657">
        <v>2</v>
      </c>
      <c r="I1657">
        <v>0.79043981481481485</v>
      </c>
      <c r="J1657">
        <v>44778</v>
      </c>
    </row>
    <row r="1658" spans="1:10" x14ac:dyDescent="0.35">
      <c r="A1658" s="2">
        <v>44779</v>
      </c>
      <c r="B1658" s="3">
        <v>0.36248842592592595</v>
      </c>
      <c r="C1658">
        <v>753</v>
      </c>
      <c r="D1658" t="str">
        <f>VLOOKUP(H1658,Produkt!$A$2:$B$5,2,FALSE)</f>
        <v>D</v>
      </c>
      <c r="H1658">
        <v>4</v>
      </c>
      <c r="I1658">
        <v>0.15945601851851851</v>
      </c>
      <c r="J1658">
        <v>44804</v>
      </c>
    </row>
    <row r="1659" spans="1:10" x14ac:dyDescent="0.35">
      <c r="A1659" s="2">
        <v>44779</v>
      </c>
      <c r="B1659" s="3">
        <v>0.93393518518518526</v>
      </c>
      <c r="C1659">
        <v>786</v>
      </c>
      <c r="D1659" t="str">
        <f>VLOOKUP(H1659,Produkt!$A$2:$B$5,2,FALSE)</f>
        <v>D</v>
      </c>
      <c r="H1659">
        <v>4</v>
      </c>
      <c r="I1659">
        <v>0.68631944444444448</v>
      </c>
      <c r="J1659">
        <v>44794</v>
      </c>
    </row>
    <row r="1660" spans="1:10" x14ac:dyDescent="0.35">
      <c r="A1660" s="2">
        <v>44779</v>
      </c>
      <c r="B1660" s="3">
        <v>0.44791666666666669</v>
      </c>
      <c r="C1660">
        <v>801</v>
      </c>
      <c r="D1660" t="str">
        <f>VLOOKUP(H1660,Produkt!$A$2:$B$5,2,FALSE)</f>
        <v>B</v>
      </c>
      <c r="H1660">
        <v>2</v>
      </c>
      <c r="I1660">
        <v>0.38668981481481479</v>
      </c>
      <c r="J1660">
        <v>44780</v>
      </c>
    </row>
    <row r="1661" spans="1:10" x14ac:dyDescent="0.35">
      <c r="A1661" s="2">
        <v>44779</v>
      </c>
      <c r="B1661" s="3">
        <v>9.4212962962962957E-2</v>
      </c>
      <c r="C1661">
        <v>823</v>
      </c>
      <c r="D1661" t="str">
        <f>VLOOKUP(H1661,Produkt!$A$2:$B$5,2,FALSE)</f>
        <v>C</v>
      </c>
      <c r="H1661">
        <v>3</v>
      </c>
      <c r="I1661">
        <v>0.94821759259259253</v>
      </c>
      <c r="J1661">
        <v>44774</v>
      </c>
    </row>
    <row r="1662" spans="1:10" x14ac:dyDescent="0.35">
      <c r="A1662" s="2">
        <v>44779</v>
      </c>
      <c r="B1662" s="3">
        <v>0.5270717592592592</v>
      </c>
      <c r="C1662">
        <v>855</v>
      </c>
      <c r="D1662" t="str">
        <f>VLOOKUP(H1662,Produkt!$A$2:$B$5,2,FALSE)</f>
        <v>A</v>
      </c>
      <c r="H1662">
        <v>1</v>
      </c>
      <c r="I1662">
        <v>0.51288194444444446</v>
      </c>
      <c r="J1662">
        <v>44794</v>
      </c>
    </row>
    <row r="1663" spans="1:10" x14ac:dyDescent="0.35">
      <c r="A1663" s="2">
        <v>44779</v>
      </c>
      <c r="B1663" s="3">
        <v>0.22643518518518521</v>
      </c>
      <c r="C1663">
        <v>856</v>
      </c>
      <c r="D1663" t="str">
        <f>VLOOKUP(H1663,Produkt!$A$2:$B$5,2,FALSE)</f>
        <v>C</v>
      </c>
      <c r="H1663">
        <v>3</v>
      </c>
      <c r="I1663">
        <v>0.10657407407407408</v>
      </c>
      <c r="J1663">
        <v>44793</v>
      </c>
    </row>
    <row r="1664" spans="1:10" x14ac:dyDescent="0.35">
      <c r="A1664" s="2">
        <v>44779</v>
      </c>
      <c r="B1664" s="3">
        <v>0.30836805555555552</v>
      </c>
      <c r="C1664">
        <v>1015</v>
      </c>
      <c r="D1664" t="str">
        <f>VLOOKUP(H1664,Produkt!$A$2:$B$5,2,FALSE)</f>
        <v>A</v>
      </c>
      <c r="H1664">
        <v>1</v>
      </c>
      <c r="I1664">
        <v>8.1030092592592584E-2</v>
      </c>
      <c r="J1664">
        <v>44801</v>
      </c>
    </row>
    <row r="1665" spans="1:10" x14ac:dyDescent="0.35">
      <c r="A1665" s="2">
        <v>44779</v>
      </c>
      <c r="B1665" s="3">
        <v>8.5868055555555559E-2</v>
      </c>
      <c r="C1665">
        <v>1025</v>
      </c>
      <c r="D1665" t="str">
        <f>VLOOKUP(H1665,Produkt!$A$2:$B$5,2,FALSE)</f>
        <v>A</v>
      </c>
      <c r="H1665">
        <v>1</v>
      </c>
      <c r="I1665">
        <v>0.24384259259259258</v>
      </c>
      <c r="J1665">
        <v>44775</v>
      </c>
    </row>
    <row r="1666" spans="1:10" x14ac:dyDescent="0.35">
      <c r="A1666" s="2">
        <v>44779</v>
      </c>
      <c r="B1666" s="3">
        <v>0.16836805555555556</v>
      </c>
      <c r="C1666">
        <v>1026</v>
      </c>
      <c r="D1666" t="str">
        <f>VLOOKUP(H1666,Produkt!$A$2:$B$5,2,FALSE)</f>
        <v>A</v>
      </c>
      <c r="H1666">
        <v>1</v>
      </c>
      <c r="I1666">
        <v>0.30062499999999998</v>
      </c>
      <c r="J1666">
        <v>44797</v>
      </c>
    </row>
    <row r="1667" spans="1:10" x14ac:dyDescent="0.35">
      <c r="A1667" s="2">
        <v>44779</v>
      </c>
      <c r="B1667" s="3">
        <v>0.98078703703703696</v>
      </c>
      <c r="C1667">
        <v>1083</v>
      </c>
      <c r="D1667" t="str">
        <f>VLOOKUP(H1667,Produkt!$A$2:$B$5,2,FALSE)</f>
        <v>B</v>
      </c>
      <c r="H1667">
        <v>2</v>
      </c>
      <c r="I1667">
        <v>0.29579861111111111</v>
      </c>
      <c r="J1667">
        <v>44789</v>
      </c>
    </row>
    <row r="1668" spans="1:10" x14ac:dyDescent="0.35">
      <c r="A1668" s="2">
        <v>44779</v>
      </c>
      <c r="B1668" s="3">
        <v>0.27450231481481485</v>
      </c>
      <c r="C1668">
        <v>1115</v>
      </c>
      <c r="D1668" t="str">
        <f>VLOOKUP(H1668,Produkt!$A$2:$B$5,2,FALSE)</f>
        <v>D</v>
      </c>
      <c r="H1668">
        <v>4</v>
      </c>
      <c r="I1668">
        <v>0.67949074074074067</v>
      </c>
      <c r="J1668">
        <v>44778</v>
      </c>
    </row>
    <row r="1669" spans="1:10" x14ac:dyDescent="0.35">
      <c r="A1669" s="2">
        <v>44779</v>
      </c>
      <c r="B1669" s="3">
        <v>0.97059027777777773</v>
      </c>
      <c r="C1669">
        <v>1138</v>
      </c>
      <c r="D1669" t="str">
        <f>VLOOKUP(H1669,Produkt!$A$2:$B$5,2,FALSE)</f>
        <v>B</v>
      </c>
      <c r="H1669">
        <v>2</v>
      </c>
      <c r="I1669">
        <v>0.14578703703703702</v>
      </c>
      <c r="J1669">
        <v>44795</v>
      </c>
    </row>
    <row r="1670" spans="1:10" x14ac:dyDescent="0.35">
      <c r="A1670" s="2">
        <v>44779</v>
      </c>
      <c r="B1670" s="3">
        <v>0.4302199074074074</v>
      </c>
      <c r="C1670">
        <v>1198</v>
      </c>
      <c r="D1670" t="str">
        <f>VLOOKUP(H1670,Produkt!$A$2:$B$5,2,FALSE)</f>
        <v>B</v>
      </c>
      <c r="H1670">
        <v>2</v>
      </c>
      <c r="I1670">
        <v>0.35803240740740744</v>
      </c>
      <c r="J1670">
        <v>44797</v>
      </c>
    </row>
    <row r="1671" spans="1:10" x14ac:dyDescent="0.35">
      <c r="A1671" s="2">
        <v>44779</v>
      </c>
      <c r="B1671" s="3">
        <v>0.42</v>
      </c>
      <c r="C1671">
        <v>1219</v>
      </c>
      <c r="D1671" t="str">
        <f>VLOOKUP(H1671,Produkt!$A$2:$B$5,2,FALSE)</f>
        <v>C</v>
      </c>
      <c r="H1671">
        <v>3</v>
      </c>
      <c r="I1671">
        <v>0.26412037037037034</v>
      </c>
      <c r="J1671">
        <v>44798</v>
      </c>
    </row>
    <row r="1672" spans="1:10" x14ac:dyDescent="0.35">
      <c r="A1672" s="2">
        <v>44779</v>
      </c>
      <c r="B1672" s="3">
        <v>0.64004629629629628</v>
      </c>
      <c r="C1672">
        <v>1264</v>
      </c>
      <c r="D1672" t="str">
        <f>VLOOKUP(H1672,Produkt!$A$2:$B$5,2,FALSE)</f>
        <v>A</v>
      </c>
      <c r="H1672">
        <v>1</v>
      </c>
      <c r="I1672">
        <v>0.32373842592592594</v>
      </c>
      <c r="J1672">
        <v>44800</v>
      </c>
    </row>
    <row r="1673" spans="1:10" x14ac:dyDescent="0.35">
      <c r="A1673" s="2">
        <v>44779</v>
      </c>
      <c r="B1673" s="3">
        <v>3.9236111111111027E-2</v>
      </c>
      <c r="C1673">
        <v>1342</v>
      </c>
      <c r="D1673" t="str">
        <f>VLOOKUP(H1673,Produkt!$A$2:$B$5,2,FALSE)</f>
        <v>B</v>
      </c>
      <c r="H1673">
        <v>2</v>
      </c>
      <c r="I1673">
        <v>0.26696759259259256</v>
      </c>
      <c r="J1673">
        <v>44801</v>
      </c>
    </row>
    <row r="1674" spans="1:10" x14ac:dyDescent="0.35">
      <c r="A1674" s="2">
        <v>44779</v>
      </c>
      <c r="B1674" s="3">
        <v>0.31905092592592593</v>
      </c>
      <c r="C1674">
        <v>1354</v>
      </c>
      <c r="D1674" t="str">
        <f>VLOOKUP(H1674,Produkt!$A$2:$B$5,2,FALSE)</f>
        <v>A</v>
      </c>
      <c r="H1674">
        <v>1</v>
      </c>
      <c r="I1674">
        <v>0.63364583333333335</v>
      </c>
      <c r="J1674">
        <v>44777</v>
      </c>
    </row>
    <row r="1675" spans="1:10" x14ac:dyDescent="0.35">
      <c r="A1675" s="2">
        <v>44779</v>
      </c>
      <c r="B1675" s="3">
        <v>0.87921296296296303</v>
      </c>
      <c r="C1675">
        <v>1393</v>
      </c>
      <c r="D1675" t="str">
        <f>VLOOKUP(H1675,Produkt!$A$2:$B$5,2,FALSE)</f>
        <v>B</v>
      </c>
      <c r="H1675">
        <v>2</v>
      </c>
      <c r="I1675">
        <v>0.29233796296296294</v>
      </c>
      <c r="J1675">
        <v>44783</v>
      </c>
    </row>
    <row r="1676" spans="1:10" x14ac:dyDescent="0.35">
      <c r="A1676" s="2">
        <v>44779</v>
      </c>
      <c r="B1676" s="3">
        <v>2.4953703703703756E-2</v>
      </c>
      <c r="C1676">
        <v>1396</v>
      </c>
      <c r="D1676" t="str">
        <f>VLOOKUP(H1676,Produkt!$A$2:$B$5,2,FALSE)</f>
        <v>D</v>
      </c>
      <c r="H1676">
        <v>4</v>
      </c>
      <c r="I1676">
        <v>0.55471064814814819</v>
      </c>
      <c r="J1676">
        <v>44795</v>
      </c>
    </row>
    <row r="1677" spans="1:10" x14ac:dyDescent="0.35">
      <c r="A1677" s="2">
        <v>44779</v>
      </c>
      <c r="B1677" s="3">
        <v>0.8016550925925926</v>
      </c>
      <c r="C1677">
        <v>1397</v>
      </c>
      <c r="D1677" t="str">
        <f>VLOOKUP(H1677,Produkt!$A$2:$B$5,2,FALSE)</f>
        <v>B</v>
      </c>
      <c r="H1677">
        <v>2</v>
      </c>
      <c r="I1677">
        <v>0.90716435185185185</v>
      </c>
      <c r="J1677">
        <v>44797</v>
      </c>
    </row>
    <row r="1678" spans="1:10" x14ac:dyDescent="0.35">
      <c r="A1678" s="2">
        <v>44779</v>
      </c>
      <c r="B1678" s="3">
        <v>0.25211805555555555</v>
      </c>
      <c r="C1678">
        <v>1445</v>
      </c>
      <c r="D1678" t="str">
        <f>VLOOKUP(H1678,Produkt!$A$2:$B$5,2,FALSE)</f>
        <v>A</v>
      </c>
      <c r="H1678">
        <v>1</v>
      </c>
      <c r="I1678">
        <v>0.26400462962962962</v>
      </c>
      <c r="J1678">
        <v>44803</v>
      </c>
    </row>
    <row r="1679" spans="1:10" x14ac:dyDescent="0.35">
      <c r="A1679" s="2">
        <v>44779</v>
      </c>
      <c r="B1679" s="3">
        <v>0.75041666666666673</v>
      </c>
      <c r="C1679">
        <v>1451</v>
      </c>
      <c r="D1679" t="str">
        <f>VLOOKUP(H1679,Produkt!$A$2:$B$5,2,FALSE)</f>
        <v>D</v>
      </c>
      <c r="H1679">
        <v>4</v>
      </c>
      <c r="I1679">
        <v>0.82807870370370373</v>
      </c>
      <c r="J1679">
        <v>44783</v>
      </c>
    </row>
    <row r="1680" spans="1:10" x14ac:dyDescent="0.35">
      <c r="A1680" s="2">
        <v>44779</v>
      </c>
      <c r="B1680" s="3">
        <v>0.48905092592592592</v>
      </c>
      <c r="C1680">
        <v>1470</v>
      </c>
      <c r="D1680" t="str">
        <f>VLOOKUP(H1680,Produkt!$A$2:$B$5,2,FALSE)</f>
        <v>D</v>
      </c>
      <c r="H1680">
        <v>4</v>
      </c>
      <c r="I1680">
        <v>4.3171296296296298E-2</v>
      </c>
      <c r="J1680">
        <v>44793</v>
      </c>
    </row>
    <row r="1681" spans="1:10" x14ac:dyDescent="0.35">
      <c r="A1681" s="2">
        <v>44779</v>
      </c>
      <c r="B1681" s="3">
        <v>0.72677083333333325</v>
      </c>
      <c r="C1681">
        <v>1507</v>
      </c>
      <c r="D1681" t="str">
        <f>VLOOKUP(H1681,Produkt!$A$2:$B$5,2,FALSE)</f>
        <v>D</v>
      </c>
      <c r="H1681">
        <v>4</v>
      </c>
      <c r="I1681">
        <v>0.96099537037037042</v>
      </c>
      <c r="J1681">
        <v>44779</v>
      </c>
    </row>
    <row r="1682" spans="1:10" x14ac:dyDescent="0.35">
      <c r="A1682" s="2">
        <v>44779</v>
      </c>
      <c r="B1682" s="3">
        <v>3.2743055555555456E-2</v>
      </c>
      <c r="C1682">
        <v>1518</v>
      </c>
      <c r="D1682" t="str">
        <f>VLOOKUP(H1682,Produkt!$A$2:$B$5,2,FALSE)</f>
        <v>B</v>
      </c>
      <c r="H1682">
        <v>2</v>
      </c>
      <c r="I1682">
        <v>0.62043981481481481</v>
      </c>
      <c r="J1682">
        <v>44776</v>
      </c>
    </row>
    <row r="1683" spans="1:10" x14ac:dyDescent="0.35">
      <c r="A1683" s="2">
        <v>44779</v>
      </c>
      <c r="B1683" s="3">
        <v>0.7587962962962963</v>
      </c>
      <c r="C1683">
        <v>1539</v>
      </c>
      <c r="D1683" t="str">
        <f>VLOOKUP(H1683,Produkt!$A$2:$B$5,2,FALSE)</f>
        <v>A</v>
      </c>
      <c r="H1683">
        <v>1</v>
      </c>
      <c r="I1683">
        <v>0.98056712962962955</v>
      </c>
      <c r="J1683">
        <v>44798</v>
      </c>
    </row>
    <row r="1684" spans="1:10" x14ac:dyDescent="0.35">
      <c r="A1684" s="2">
        <v>44779</v>
      </c>
      <c r="B1684" s="3">
        <v>5.67824074074074E-2</v>
      </c>
      <c r="C1684">
        <v>1562</v>
      </c>
      <c r="D1684" t="str">
        <f>VLOOKUP(H1684,Produkt!$A$2:$B$5,2,FALSE)</f>
        <v>A</v>
      </c>
      <c r="H1684">
        <v>1</v>
      </c>
      <c r="I1684">
        <v>0.92905092592592586</v>
      </c>
      <c r="J1684">
        <v>44784</v>
      </c>
    </row>
    <row r="1685" spans="1:10" x14ac:dyDescent="0.35">
      <c r="A1685" s="2">
        <v>44779</v>
      </c>
      <c r="B1685" s="3">
        <v>0.32309027777777777</v>
      </c>
      <c r="C1685">
        <v>1568</v>
      </c>
      <c r="D1685" t="str">
        <f>VLOOKUP(H1685,Produkt!$A$2:$B$5,2,FALSE)</f>
        <v>B</v>
      </c>
      <c r="H1685">
        <v>2</v>
      </c>
      <c r="I1685">
        <v>0.69</v>
      </c>
      <c r="J1685">
        <v>44782</v>
      </c>
    </row>
    <row r="1686" spans="1:10" x14ac:dyDescent="0.35">
      <c r="A1686" s="2">
        <v>44779</v>
      </c>
      <c r="B1686" s="3">
        <v>6.7939814814814816E-3</v>
      </c>
      <c r="C1686">
        <v>1581</v>
      </c>
      <c r="D1686" t="str">
        <f>VLOOKUP(H1686,Produkt!$A$2:$B$5,2,FALSE)</f>
        <v>A</v>
      </c>
      <c r="H1686">
        <v>1</v>
      </c>
      <c r="I1686">
        <v>0.47186342592592595</v>
      </c>
      <c r="J1686">
        <v>44789</v>
      </c>
    </row>
    <row r="1687" spans="1:10" x14ac:dyDescent="0.35">
      <c r="A1687" s="2">
        <v>44779</v>
      </c>
      <c r="B1687" s="3">
        <v>5.9027777777777776E-3</v>
      </c>
      <c r="C1687">
        <v>1594</v>
      </c>
      <c r="D1687" t="str">
        <f>VLOOKUP(H1687,Produkt!$A$2:$B$5,2,FALSE)</f>
        <v>D</v>
      </c>
      <c r="H1687">
        <v>4</v>
      </c>
      <c r="I1687">
        <v>0.73665509259259254</v>
      </c>
      <c r="J1687">
        <v>44793</v>
      </c>
    </row>
    <row r="1688" spans="1:10" x14ac:dyDescent="0.35">
      <c r="A1688" s="2">
        <v>44779</v>
      </c>
      <c r="B1688" s="3">
        <v>0.79043981481481485</v>
      </c>
      <c r="C1688">
        <v>1656</v>
      </c>
      <c r="D1688" t="str">
        <f>VLOOKUP(H1688,Produkt!$A$2:$B$5,2,FALSE)</f>
        <v>A</v>
      </c>
      <c r="H1688">
        <v>1</v>
      </c>
      <c r="I1688">
        <v>0.20118055555555556</v>
      </c>
      <c r="J1688">
        <v>44790</v>
      </c>
    </row>
    <row r="1689" spans="1:10" x14ac:dyDescent="0.35">
      <c r="A1689" s="2">
        <v>44779</v>
      </c>
      <c r="B1689" s="3">
        <v>7.3414351851851856E-2</v>
      </c>
      <c r="C1689">
        <v>1693</v>
      </c>
      <c r="D1689" t="str">
        <f>VLOOKUP(H1689,Produkt!$A$2:$B$5,2,FALSE)</f>
        <v>B</v>
      </c>
      <c r="H1689">
        <v>2</v>
      </c>
      <c r="I1689">
        <v>0.2678935185185185</v>
      </c>
      <c r="J1689">
        <v>44788</v>
      </c>
    </row>
    <row r="1690" spans="1:10" x14ac:dyDescent="0.35">
      <c r="A1690" s="2">
        <v>44779</v>
      </c>
      <c r="B1690" s="3">
        <v>5.3530092592592594E-2</v>
      </c>
      <c r="C1690">
        <v>1697</v>
      </c>
      <c r="D1690" t="str">
        <f>VLOOKUP(H1690,Produkt!$A$2:$B$5,2,FALSE)</f>
        <v>B</v>
      </c>
      <c r="H1690">
        <v>2</v>
      </c>
      <c r="I1690">
        <v>2.0138888888888928E-2</v>
      </c>
      <c r="J1690">
        <v>44800</v>
      </c>
    </row>
    <row r="1691" spans="1:10" x14ac:dyDescent="0.35">
      <c r="A1691" s="2">
        <v>44779</v>
      </c>
      <c r="B1691" s="3">
        <v>0.57932870370370371</v>
      </c>
      <c r="C1691">
        <v>1701</v>
      </c>
      <c r="D1691" t="str">
        <f>VLOOKUP(H1691,Produkt!$A$2:$B$5,2,FALSE)</f>
        <v>B</v>
      </c>
      <c r="H1691">
        <v>2</v>
      </c>
      <c r="I1691">
        <v>0.18234953703703705</v>
      </c>
      <c r="J1691">
        <v>44775</v>
      </c>
    </row>
    <row r="1692" spans="1:10" x14ac:dyDescent="0.35">
      <c r="A1692" s="2">
        <v>44779</v>
      </c>
      <c r="B1692" s="3">
        <v>5.1273148148147651E-3</v>
      </c>
      <c r="C1692">
        <v>1741</v>
      </c>
      <c r="D1692" t="str">
        <f>VLOOKUP(H1692,Produkt!$A$2:$B$5,2,FALSE)</f>
        <v>A</v>
      </c>
      <c r="H1692">
        <v>1</v>
      </c>
      <c r="I1692">
        <v>0.60685185185185186</v>
      </c>
      <c r="J1692">
        <v>44797</v>
      </c>
    </row>
    <row r="1693" spans="1:10" x14ac:dyDescent="0.35">
      <c r="A1693" s="2">
        <v>44779</v>
      </c>
      <c r="B1693" s="3">
        <v>0.41599537037037032</v>
      </c>
      <c r="C1693">
        <v>1762</v>
      </c>
      <c r="D1693" t="str">
        <f>VLOOKUP(H1693,Produkt!$A$2:$B$5,2,FALSE)</f>
        <v>D</v>
      </c>
      <c r="H1693">
        <v>4</v>
      </c>
      <c r="I1693">
        <v>0.84842592592592592</v>
      </c>
      <c r="J1693">
        <v>44779</v>
      </c>
    </row>
    <row r="1694" spans="1:10" x14ac:dyDescent="0.35">
      <c r="A1694" s="2">
        <v>44779</v>
      </c>
      <c r="B1694" s="3">
        <v>0.90440972222222227</v>
      </c>
      <c r="C1694">
        <v>1774</v>
      </c>
      <c r="D1694" t="str">
        <f>VLOOKUP(H1694,Produkt!$A$2:$B$5,2,FALSE)</f>
        <v>D</v>
      </c>
      <c r="H1694">
        <v>4</v>
      </c>
      <c r="I1694">
        <v>7.3414351851851856E-2</v>
      </c>
      <c r="J1694">
        <v>44779</v>
      </c>
    </row>
    <row r="1695" spans="1:10" x14ac:dyDescent="0.35">
      <c r="A1695" s="2">
        <v>44779</v>
      </c>
      <c r="B1695" s="3">
        <v>0.66122685185185182</v>
      </c>
      <c r="C1695">
        <v>1787</v>
      </c>
      <c r="D1695" t="str">
        <f>VLOOKUP(H1695,Produkt!$A$2:$B$5,2,FALSE)</f>
        <v>A</v>
      </c>
      <c r="H1695">
        <v>1</v>
      </c>
      <c r="I1695">
        <v>0.61252314814814812</v>
      </c>
      <c r="J1695">
        <v>44794</v>
      </c>
    </row>
    <row r="1696" spans="1:10" x14ac:dyDescent="0.35">
      <c r="A1696" s="2">
        <v>44779</v>
      </c>
      <c r="B1696" s="3">
        <v>0.37112268518518521</v>
      </c>
      <c r="C1696">
        <v>1883</v>
      </c>
      <c r="D1696" t="str">
        <f>VLOOKUP(H1696,Produkt!$A$2:$B$5,2,FALSE)</f>
        <v>A</v>
      </c>
      <c r="H1696">
        <v>1</v>
      </c>
      <c r="I1696">
        <v>9.6064814814813548E-3</v>
      </c>
      <c r="J1696">
        <v>44794</v>
      </c>
    </row>
    <row r="1697" spans="1:10" x14ac:dyDescent="0.35">
      <c r="A1697" s="2">
        <v>44779</v>
      </c>
      <c r="B1697" s="3">
        <v>0.57348379629629631</v>
      </c>
      <c r="C1697">
        <v>1902</v>
      </c>
      <c r="D1697" t="str">
        <f>VLOOKUP(H1697,Produkt!$A$2:$B$5,2,FALSE)</f>
        <v>B</v>
      </c>
      <c r="H1697">
        <v>2</v>
      </c>
      <c r="I1697">
        <v>0.75016203703703699</v>
      </c>
      <c r="J1697">
        <v>44777</v>
      </c>
    </row>
    <row r="1698" spans="1:10" x14ac:dyDescent="0.35">
      <c r="A1698" s="2">
        <v>44779</v>
      </c>
      <c r="B1698" s="3">
        <v>0.27849537037037037</v>
      </c>
      <c r="C1698">
        <v>1943</v>
      </c>
      <c r="D1698" t="str">
        <f>VLOOKUP(H1698,Produkt!$A$2:$B$5,2,FALSE)</f>
        <v>A</v>
      </c>
      <c r="H1698">
        <v>1</v>
      </c>
      <c r="I1698">
        <v>5.3530092592592594E-2</v>
      </c>
      <c r="J1698">
        <v>44802</v>
      </c>
    </row>
    <row r="1699" spans="1:10" x14ac:dyDescent="0.35">
      <c r="A1699" s="2">
        <v>44779</v>
      </c>
      <c r="B1699" s="3">
        <v>0.78863425925925934</v>
      </c>
      <c r="C1699">
        <v>1952</v>
      </c>
      <c r="D1699" t="str">
        <f>VLOOKUP(H1699,Produkt!$A$2:$B$5,2,FALSE)</f>
        <v>B</v>
      </c>
      <c r="H1699">
        <v>2</v>
      </c>
      <c r="I1699">
        <v>0.79049768518518526</v>
      </c>
      <c r="J1699">
        <v>44796</v>
      </c>
    </row>
    <row r="1700" spans="1:10" x14ac:dyDescent="0.35">
      <c r="A1700" s="2">
        <v>44779</v>
      </c>
      <c r="B1700" s="3">
        <v>1.8738425925925926E-2</v>
      </c>
      <c r="C1700">
        <v>1962</v>
      </c>
      <c r="D1700" t="str">
        <f>VLOOKUP(H1700,Produkt!$A$2:$B$5,2,FALSE)</f>
        <v>A</v>
      </c>
      <c r="H1700">
        <v>1</v>
      </c>
      <c r="I1700">
        <v>0.58614583333333337</v>
      </c>
      <c r="J1700">
        <v>44783</v>
      </c>
    </row>
    <row r="1701" spans="1:10" x14ac:dyDescent="0.35">
      <c r="A1701" s="2">
        <v>44779</v>
      </c>
      <c r="B1701" s="3">
        <v>0.59925925925925927</v>
      </c>
      <c r="C1701">
        <v>1969</v>
      </c>
      <c r="D1701" t="str">
        <f>VLOOKUP(H1701,Produkt!$A$2:$B$5,2,FALSE)</f>
        <v>D</v>
      </c>
      <c r="H1701">
        <v>4</v>
      </c>
      <c r="I1701">
        <v>0.19409722222222223</v>
      </c>
      <c r="J1701">
        <v>44800</v>
      </c>
    </row>
    <row r="1702" spans="1:10" x14ac:dyDescent="0.35">
      <c r="A1702" s="2">
        <v>44779</v>
      </c>
      <c r="B1702" s="3">
        <v>0.36825231481481485</v>
      </c>
      <c r="C1702">
        <v>2039</v>
      </c>
      <c r="D1702" t="str">
        <f>VLOOKUP(H1702,Produkt!$A$2:$B$5,2,FALSE)</f>
        <v>B</v>
      </c>
      <c r="H1702">
        <v>2</v>
      </c>
      <c r="I1702">
        <v>0.57932870370370371</v>
      </c>
      <c r="J1702">
        <v>44775</v>
      </c>
    </row>
    <row r="1703" spans="1:10" x14ac:dyDescent="0.35">
      <c r="A1703" s="2">
        <v>44779</v>
      </c>
      <c r="B1703" s="3">
        <v>0.33361111111111108</v>
      </c>
      <c r="C1703">
        <v>2077</v>
      </c>
      <c r="D1703" t="str">
        <f>VLOOKUP(H1703,Produkt!$A$2:$B$5,2,FALSE)</f>
        <v>A</v>
      </c>
      <c r="H1703">
        <v>1</v>
      </c>
      <c r="I1703">
        <v>0.31503472222222223</v>
      </c>
      <c r="J1703">
        <v>44789</v>
      </c>
    </row>
    <row r="1704" spans="1:10" x14ac:dyDescent="0.35">
      <c r="A1704" s="2">
        <v>44779</v>
      </c>
      <c r="B1704" s="3">
        <v>0.69339120370370377</v>
      </c>
      <c r="C1704">
        <v>2089</v>
      </c>
      <c r="D1704" t="str">
        <f>VLOOKUP(H1704,Produkt!$A$2:$B$5,2,FALSE)</f>
        <v>A</v>
      </c>
      <c r="H1704">
        <v>1</v>
      </c>
      <c r="I1704">
        <v>0.7440972222222223</v>
      </c>
      <c r="J1704">
        <v>44789</v>
      </c>
    </row>
    <row r="1705" spans="1:10" x14ac:dyDescent="0.35">
      <c r="A1705" s="2">
        <v>44779</v>
      </c>
      <c r="B1705" s="3">
        <v>0.58313657407407404</v>
      </c>
      <c r="C1705">
        <v>2102</v>
      </c>
      <c r="D1705" t="str">
        <f>VLOOKUP(H1705,Produkt!$A$2:$B$5,2,FALSE)</f>
        <v>D</v>
      </c>
      <c r="H1705">
        <v>4</v>
      </c>
      <c r="I1705">
        <v>4.8402777777777774E-2</v>
      </c>
      <c r="J1705">
        <v>44800</v>
      </c>
    </row>
    <row r="1706" spans="1:10" x14ac:dyDescent="0.35">
      <c r="A1706" s="2">
        <v>44779</v>
      </c>
      <c r="B1706" s="3">
        <v>0.29980324074074077</v>
      </c>
      <c r="C1706">
        <v>2124</v>
      </c>
      <c r="D1706" t="str">
        <f>VLOOKUP(H1706,Produkt!$A$2:$B$5,2,FALSE)</f>
        <v>C</v>
      </c>
      <c r="H1706">
        <v>3</v>
      </c>
      <c r="I1706">
        <v>0.23056712962962964</v>
      </c>
      <c r="J1706">
        <v>44791</v>
      </c>
    </row>
    <row r="1707" spans="1:10" x14ac:dyDescent="0.35">
      <c r="A1707" s="2">
        <v>44779</v>
      </c>
      <c r="B1707" s="3">
        <v>0.42717592592592596</v>
      </c>
      <c r="C1707">
        <v>2134</v>
      </c>
      <c r="D1707" t="str">
        <f>VLOOKUP(H1707,Produkt!$A$2:$B$5,2,FALSE)</f>
        <v>A</v>
      </c>
      <c r="H1707">
        <v>1</v>
      </c>
      <c r="I1707">
        <v>0.98800925925925931</v>
      </c>
      <c r="J1707">
        <v>44796</v>
      </c>
    </row>
    <row r="1708" spans="1:10" x14ac:dyDescent="0.35">
      <c r="A1708" s="2">
        <v>44779</v>
      </c>
      <c r="B1708" s="3">
        <v>0.62506944444444446</v>
      </c>
      <c r="C1708">
        <v>2191</v>
      </c>
      <c r="D1708" t="str">
        <f>VLOOKUP(H1708,Produkt!$A$2:$B$5,2,FALSE)</f>
        <v>A</v>
      </c>
      <c r="H1708">
        <v>1</v>
      </c>
      <c r="I1708">
        <v>0.27643518518518517</v>
      </c>
      <c r="J1708">
        <v>44783</v>
      </c>
    </row>
    <row r="1709" spans="1:10" x14ac:dyDescent="0.35">
      <c r="A1709" s="2">
        <v>44779</v>
      </c>
      <c r="B1709" s="3">
        <v>6.4398148148148149E-2</v>
      </c>
      <c r="C1709">
        <v>2209</v>
      </c>
      <c r="D1709" t="str">
        <f>VLOOKUP(H1709,Produkt!$A$2:$B$5,2,FALSE)</f>
        <v>D</v>
      </c>
      <c r="H1709">
        <v>4</v>
      </c>
      <c r="I1709">
        <v>0.33670138888888884</v>
      </c>
      <c r="J1709">
        <v>44774</v>
      </c>
    </row>
    <row r="1710" spans="1:10" x14ac:dyDescent="0.35">
      <c r="A1710" s="2">
        <v>44779</v>
      </c>
      <c r="B1710" s="3">
        <v>0.8089467592592593</v>
      </c>
      <c r="C1710">
        <v>2313</v>
      </c>
      <c r="D1710" t="str">
        <f>VLOOKUP(H1710,Produkt!$A$2:$B$5,2,FALSE)</f>
        <v>D</v>
      </c>
      <c r="H1710">
        <v>4</v>
      </c>
      <c r="I1710">
        <v>0.26231481481481483</v>
      </c>
      <c r="J1710">
        <v>44783</v>
      </c>
    </row>
    <row r="1711" spans="1:10" x14ac:dyDescent="0.35">
      <c r="A1711" s="2">
        <v>44779</v>
      </c>
      <c r="B1711" s="3">
        <v>0.1600462962962963</v>
      </c>
      <c r="C1711">
        <v>2337</v>
      </c>
      <c r="D1711" t="str">
        <f>VLOOKUP(H1711,Produkt!$A$2:$B$5,2,FALSE)</f>
        <v>C</v>
      </c>
      <c r="H1711">
        <v>3</v>
      </c>
      <c r="I1711">
        <v>0.9043402777777777</v>
      </c>
      <c r="J1711">
        <v>44787</v>
      </c>
    </row>
    <row r="1712" spans="1:10" x14ac:dyDescent="0.35">
      <c r="A1712" s="2">
        <v>44779</v>
      </c>
      <c r="B1712" s="3">
        <v>0.69541666666666668</v>
      </c>
      <c r="C1712">
        <v>2342</v>
      </c>
      <c r="D1712" t="str">
        <f>VLOOKUP(H1712,Produkt!$A$2:$B$5,2,FALSE)</f>
        <v>C</v>
      </c>
      <c r="H1712">
        <v>3</v>
      </c>
      <c r="I1712">
        <v>0.24184027777777781</v>
      </c>
      <c r="J1712">
        <v>44787</v>
      </c>
    </row>
    <row r="1713" spans="1:10" x14ac:dyDescent="0.35">
      <c r="A1713" s="2">
        <v>44779</v>
      </c>
      <c r="B1713" s="3">
        <v>4.4328703703703709E-3</v>
      </c>
      <c r="C1713">
        <v>2359</v>
      </c>
      <c r="D1713" t="str">
        <f>VLOOKUP(H1713,Produkt!$A$2:$B$5,2,FALSE)</f>
        <v>D</v>
      </c>
      <c r="H1713">
        <v>4</v>
      </c>
      <c r="I1713">
        <v>0.70381944444444444</v>
      </c>
      <c r="J1713">
        <v>44790</v>
      </c>
    </row>
    <row r="1714" spans="1:10" x14ac:dyDescent="0.35">
      <c r="A1714" s="2">
        <v>44779</v>
      </c>
      <c r="B1714" s="3">
        <v>0.60065972222222219</v>
      </c>
      <c r="C1714">
        <v>2422</v>
      </c>
      <c r="D1714" t="str">
        <f>VLOOKUP(H1714,Produkt!$A$2:$B$5,2,FALSE)</f>
        <v>B</v>
      </c>
      <c r="H1714">
        <v>2</v>
      </c>
      <c r="I1714">
        <v>8.4675925925925932E-2</v>
      </c>
      <c r="J1714">
        <v>44780</v>
      </c>
    </row>
    <row r="1715" spans="1:10" x14ac:dyDescent="0.35">
      <c r="A1715" s="2">
        <v>44779</v>
      </c>
      <c r="B1715" s="3">
        <v>0.95590277777777777</v>
      </c>
      <c r="C1715">
        <v>2504</v>
      </c>
      <c r="D1715" t="str">
        <f>VLOOKUP(H1715,Produkt!$A$2:$B$5,2,FALSE)</f>
        <v>D</v>
      </c>
      <c r="H1715">
        <v>4</v>
      </c>
      <c r="I1715">
        <v>0.18662037037037038</v>
      </c>
      <c r="J1715">
        <v>44777</v>
      </c>
    </row>
    <row r="1716" spans="1:10" x14ac:dyDescent="0.35">
      <c r="A1716" s="2">
        <v>44779</v>
      </c>
      <c r="B1716" s="3">
        <v>0.46608796296296301</v>
      </c>
      <c r="C1716">
        <v>2592</v>
      </c>
      <c r="D1716" t="str">
        <f>VLOOKUP(H1716,Produkt!$A$2:$B$5,2,FALSE)</f>
        <v>B</v>
      </c>
      <c r="H1716">
        <v>2</v>
      </c>
      <c r="I1716">
        <v>0.14391203703703703</v>
      </c>
      <c r="J1716">
        <v>44802</v>
      </c>
    </row>
    <row r="1717" spans="1:10" x14ac:dyDescent="0.35">
      <c r="A1717" s="2">
        <v>44779</v>
      </c>
      <c r="B1717" s="3">
        <v>0.74430555555555555</v>
      </c>
      <c r="C1717">
        <v>2616</v>
      </c>
      <c r="D1717" t="str">
        <f>VLOOKUP(H1717,Produkt!$A$2:$B$5,2,FALSE)</f>
        <v>D</v>
      </c>
      <c r="H1717">
        <v>4</v>
      </c>
      <c r="I1717">
        <v>0.49035879629629631</v>
      </c>
      <c r="J1717">
        <v>44802</v>
      </c>
    </row>
    <row r="1718" spans="1:10" x14ac:dyDescent="0.35">
      <c r="A1718" s="2">
        <v>44779</v>
      </c>
      <c r="B1718" s="3">
        <v>0.3031712962962963</v>
      </c>
      <c r="C1718">
        <v>2617</v>
      </c>
      <c r="D1718" t="str">
        <f>VLOOKUP(H1718,Produkt!$A$2:$B$5,2,FALSE)</f>
        <v>D</v>
      </c>
      <c r="H1718">
        <v>4</v>
      </c>
      <c r="I1718">
        <v>0.15069444444444444</v>
      </c>
      <c r="J1718">
        <v>44804</v>
      </c>
    </row>
    <row r="1719" spans="1:10" x14ac:dyDescent="0.35">
      <c r="A1719" s="2">
        <v>44779</v>
      </c>
      <c r="B1719" s="3">
        <v>0.6802083333333333</v>
      </c>
      <c r="C1719">
        <v>2670</v>
      </c>
      <c r="D1719" t="str">
        <f>VLOOKUP(H1719,Produkt!$A$2:$B$5,2,FALSE)</f>
        <v>A</v>
      </c>
      <c r="H1719">
        <v>1</v>
      </c>
      <c r="I1719">
        <v>0.62819444444444439</v>
      </c>
      <c r="J1719">
        <v>44780</v>
      </c>
    </row>
    <row r="1720" spans="1:10" x14ac:dyDescent="0.35">
      <c r="A1720" s="2">
        <v>44779</v>
      </c>
      <c r="B1720" s="3">
        <v>0.68751157407407415</v>
      </c>
      <c r="C1720">
        <v>2686</v>
      </c>
      <c r="D1720" t="str">
        <f>VLOOKUP(H1720,Produkt!$A$2:$B$5,2,FALSE)</f>
        <v>A</v>
      </c>
      <c r="H1720">
        <v>1</v>
      </c>
      <c r="I1720">
        <v>1.8506944444444562E-2</v>
      </c>
      <c r="J1720">
        <v>44802</v>
      </c>
    </row>
    <row r="1721" spans="1:10" x14ac:dyDescent="0.35">
      <c r="A1721" s="2">
        <v>44779</v>
      </c>
      <c r="B1721" s="3">
        <v>0.73306712962962972</v>
      </c>
      <c r="C1721">
        <v>2793</v>
      </c>
      <c r="D1721" t="str">
        <f>VLOOKUP(H1721,Produkt!$A$2:$B$5,2,FALSE)</f>
        <v>A</v>
      </c>
      <c r="H1721">
        <v>1</v>
      </c>
      <c r="I1721">
        <v>0.44449074074074074</v>
      </c>
      <c r="J1721">
        <v>44784</v>
      </c>
    </row>
    <row r="1722" spans="1:10" x14ac:dyDescent="0.35">
      <c r="A1722" s="2">
        <v>44779</v>
      </c>
      <c r="B1722" s="3">
        <v>0.17880787037037038</v>
      </c>
      <c r="C1722">
        <v>2794</v>
      </c>
      <c r="D1722" t="str">
        <f>VLOOKUP(H1722,Produkt!$A$2:$B$5,2,FALSE)</f>
        <v>D</v>
      </c>
      <c r="H1722">
        <v>4</v>
      </c>
      <c r="I1722">
        <v>0.20672453703703705</v>
      </c>
      <c r="J1722">
        <v>44792</v>
      </c>
    </row>
    <row r="1723" spans="1:10" x14ac:dyDescent="0.35">
      <c r="A1723" s="2">
        <v>44779</v>
      </c>
      <c r="B1723" s="3">
        <v>0.22715277777777779</v>
      </c>
      <c r="C1723">
        <v>2811</v>
      </c>
      <c r="D1723" t="str">
        <f>VLOOKUP(H1723,Produkt!$A$2:$B$5,2,FALSE)</f>
        <v>A</v>
      </c>
      <c r="H1723">
        <v>1</v>
      </c>
      <c r="I1723">
        <v>0.73644675925925929</v>
      </c>
      <c r="J1723">
        <v>44803</v>
      </c>
    </row>
    <row r="1724" spans="1:10" x14ac:dyDescent="0.35">
      <c r="A1724" s="2">
        <v>44779</v>
      </c>
      <c r="B1724" s="3">
        <v>0.12268518518518519</v>
      </c>
      <c r="C1724">
        <v>2831</v>
      </c>
      <c r="D1724" t="str">
        <f>VLOOKUP(H1724,Produkt!$A$2:$B$5,2,FALSE)</f>
        <v>B</v>
      </c>
      <c r="H1724">
        <v>2</v>
      </c>
      <c r="I1724">
        <v>0.7122222222222222</v>
      </c>
      <c r="J1724">
        <v>44787</v>
      </c>
    </row>
    <row r="1725" spans="1:10" x14ac:dyDescent="0.35">
      <c r="A1725" s="2">
        <v>44779</v>
      </c>
      <c r="B1725" s="3">
        <v>0.37603009259259257</v>
      </c>
      <c r="C1725">
        <v>2837</v>
      </c>
      <c r="D1725" t="str">
        <f>VLOOKUP(H1725,Produkt!$A$2:$B$5,2,FALSE)</f>
        <v>C</v>
      </c>
      <c r="H1725">
        <v>3</v>
      </c>
      <c r="I1725">
        <v>0.43084490740740744</v>
      </c>
      <c r="J1725">
        <v>44794</v>
      </c>
    </row>
    <row r="1726" spans="1:10" x14ac:dyDescent="0.35">
      <c r="A1726" s="2">
        <v>44779</v>
      </c>
      <c r="B1726" s="3">
        <v>0.52697916666666667</v>
      </c>
      <c r="C1726">
        <v>2847</v>
      </c>
      <c r="D1726" t="str">
        <f>VLOOKUP(H1726,Produkt!$A$2:$B$5,2,FALSE)</f>
        <v>C</v>
      </c>
      <c r="H1726">
        <v>3</v>
      </c>
      <c r="I1726">
        <v>0.84079861111111109</v>
      </c>
      <c r="J1726">
        <v>44793</v>
      </c>
    </row>
    <row r="1727" spans="1:10" x14ac:dyDescent="0.35">
      <c r="A1727" s="2">
        <v>44779</v>
      </c>
      <c r="B1727" s="3">
        <v>0.56863425925925926</v>
      </c>
      <c r="C1727">
        <v>2903</v>
      </c>
      <c r="D1727" t="str">
        <f>VLOOKUP(H1727,Produkt!$A$2:$B$5,2,FALSE)</f>
        <v>C</v>
      </c>
      <c r="H1727">
        <v>3</v>
      </c>
      <c r="I1727">
        <v>0.29466435185185186</v>
      </c>
      <c r="J1727">
        <v>44789</v>
      </c>
    </row>
    <row r="1728" spans="1:10" x14ac:dyDescent="0.35">
      <c r="A1728" s="2">
        <v>44779</v>
      </c>
      <c r="B1728" s="3">
        <v>0.33504629629629629</v>
      </c>
      <c r="C1728">
        <v>2921</v>
      </c>
      <c r="D1728" t="str">
        <f>VLOOKUP(H1728,Produkt!$A$2:$B$5,2,FALSE)</f>
        <v>A</v>
      </c>
      <c r="H1728">
        <v>1</v>
      </c>
      <c r="I1728">
        <v>0.75305555555555559</v>
      </c>
      <c r="J1728">
        <v>44797</v>
      </c>
    </row>
    <row r="1729" spans="1:10" x14ac:dyDescent="0.35">
      <c r="A1729" s="2">
        <v>44779</v>
      </c>
      <c r="B1729" s="3">
        <v>0.65689814814814818</v>
      </c>
      <c r="C1729">
        <v>3002</v>
      </c>
      <c r="D1729" t="str">
        <f>VLOOKUP(H1729,Produkt!$A$2:$B$5,2,FALSE)</f>
        <v>B</v>
      </c>
      <c r="H1729">
        <v>2</v>
      </c>
      <c r="I1729">
        <v>0.91721064814814823</v>
      </c>
      <c r="J1729">
        <v>44802</v>
      </c>
    </row>
    <row r="1730" spans="1:10" x14ac:dyDescent="0.35">
      <c r="A1730" s="2">
        <v>44779</v>
      </c>
      <c r="B1730" s="3">
        <v>0.30408564814814815</v>
      </c>
      <c r="C1730">
        <v>3011</v>
      </c>
      <c r="D1730" t="str">
        <f>VLOOKUP(H1730,Produkt!$A$2:$B$5,2,FALSE)</f>
        <v>B</v>
      </c>
      <c r="H1730">
        <v>2</v>
      </c>
      <c r="I1730">
        <v>0.42251157407407408</v>
      </c>
      <c r="J1730">
        <v>44788</v>
      </c>
    </row>
    <row r="1731" spans="1:10" x14ac:dyDescent="0.35">
      <c r="A1731" s="2">
        <v>44779</v>
      </c>
      <c r="B1731" s="3">
        <v>0.1772222222222222</v>
      </c>
      <c r="C1731">
        <v>3104</v>
      </c>
      <c r="D1731" t="str">
        <f>VLOOKUP(H1731,Produkt!$A$2:$B$5,2,FALSE)</f>
        <v>A</v>
      </c>
      <c r="H1731">
        <v>1</v>
      </c>
      <c r="I1731">
        <v>0.40709490740740745</v>
      </c>
      <c r="J1731">
        <v>44794</v>
      </c>
    </row>
    <row r="1732" spans="1:10" x14ac:dyDescent="0.35">
      <c r="A1732" s="2">
        <v>44779</v>
      </c>
      <c r="B1732" s="3">
        <v>0.89295138888888881</v>
      </c>
      <c r="C1732">
        <v>3105</v>
      </c>
      <c r="D1732" t="str">
        <f>VLOOKUP(H1732,Produkt!$A$2:$B$5,2,FALSE)</f>
        <v>B</v>
      </c>
      <c r="H1732">
        <v>2</v>
      </c>
      <c r="I1732">
        <v>0.48731481481481481</v>
      </c>
      <c r="J1732">
        <v>44780</v>
      </c>
    </row>
    <row r="1733" spans="1:10" x14ac:dyDescent="0.35">
      <c r="A1733" s="2">
        <v>44779</v>
      </c>
      <c r="B1733" s="3">
        <v>0.76679398148148159</v>
      </c>
      <c r="C1733">
        <v>3139</v>
      </c>
      <c r="D1733" t="str">
        <f>VLOOKUP(H1733,Produkt!$A$2:$B$5,2,FALSE)</f>
        <v>C</v>
      </c>
      <c r="H1733">
        <v>3</v>
      </c>
      <c r="I1733">
        <v>0.97265046296296298</v>
      </c>
      <c r="J1733">
        <v>44783</v>
      </c>
    </row>
    <row r="1734" spans="1:10" x14ac:dyDescent="0.35">
      <c r="A1734" s="2">
        <v>44779</v>
      </c>
      <c r="B1734" s="3">
        <v>0.23425925925925925</v>
      </c>
      <c r="C1734">
        <v>3141</v>
      </c>
      <c r="D1734" t="str">
        <f>VLOOKUP(H1734,Produkt!$A$2:$B$5,2,FALSE)</f>
        <v>B</v>
      </c>
      <c r="H1734">
        <v>2</v>
      </c>
      <c r="I1734">
        <v>0.59092592592592597</v>
      </c>
      <c r="J1734">
        <v>44787</v>
      </c>
    </row>
    <row r="1735" spans="1:10" x14ac:dyDescent="0.35">
      <c r="A1735" s="2">
        <v>44779</v>
      </c>
      <c r="B1735" s="3">
        <v>0.18640046296296298</v>
      </c>
      <c r="C1735">
        <v>3147</v>
      </c>
      <c r="D1735" t="str">
        <f>VLOOKUP(H1735,Produkt!$A$2:$B$5,2,FALSE)</f>
        <v>A</v>
      </c>
      <c r="H1735">
        <v>1</v>
      </c>
      <c r="I1735">
        <v>0.84946759259259252</v>
      </c>
      <c r="J1735">
        <v>44801</v>
      </c>
    </row>
    <row r="1736" spans="1:10" x14ac:dyDescent="0.35">
      <c r="A1736" s="2">
        <v>44779</v>
      </c>
      <c r="B1736" s="3">
        <v>0.3787962962962963</v>
      </c>
      <c r="C1736">
        <v>3172</v>
      </c>
      <c r="D1736" t="str">
        <f>VLOOKUP(H1736,Produkt!$A$2:$B$5,2,FALSE)</f>
        <v>B</v>
      </c>
      <c r="H1736">
        <v>2</v>
      </c>
      <c r="I1736">
        <v>0.8817476851851852</v>
      </c>
      <c r="J1736">
        <v>44797</v>
      </c>
    </row>
    <row r="1737" spans="1:10" x14ac:dyDescent="0.35">
      <c r="A1737" s="2">
        <v>44779</v>
      </c>
      <c r="B1737" s="3">
        <v>0.82871527777777787</v>
      </c>
      <c r="C1737">
        <v>3185</v>
      </c>
      <c r="D1737" t="str">
        <f>VLOOKUP(H1737,Produkt!$A$2:$B$5,2,FALSE)</f>
        <v>D</v>
      </c>
      <c r="H1737">
        <v>4</v>
      </c>
      <c r="I1737">
        <v>0.4458449074074074</v>
      </c>
      <c r="J1737">
        <v>44774</v>
      </c>
    </row>
    <row r="1738" spans="1:10" x14ac:dyDescent="0.35">
      <c r="A1738" s="2">
        <v>44779</v>
      </c>
      <c r="B1738" s="3">
        <v>0.56663194444444442</v>
      </c>
      <c r="C1738">
        <v>3200</v>
      </c>
      <c r="D1738" t="str">
        <f>VLOOKUP(H1738,Produkt!$A$2:$B$5,2,FALSE)</f>
        <v>C</v>
      </c>
      <c r="H1738">
        <v>3</v>
      </c>
      <c r="I1738">
        <v>0.65915509259259253</v>
      </c>
      <c r="J1738">
        <v>44802</v>
      </c>
    </row>
    <row r="1739" spans="1:10" x14ac:dyDescent="0.35">
      <c r="A1739" s="2">
        <v>44779</v>
      </c>
      <c r="B1739" s="3">
        <v>0.53987268518518516</v>
      </c>
      <c r="C1739">
        <v>3237</v>
      </c>
      <c r="D1739" t="str">
        <f>VLOOKUP(H1739,Produkt!$A$2:$B$5,2,FALSE)</f>
        <v>D</v>
      </c>
      <c r="H1739">
        <v>4</v>
      </c>
      <c r="I1739">
        <v>0.23357638888888888</v>
      </c>
      <c r="J1739">
        <v>44803</v>
      </c>
    </row>
    <row r="1740" spans="1:10" x14ac:dyDescent="0.35">
      <c r="A1740" s="2">
        <v>44779</v>
      </c>
      <c r="B1740" s="3">
        <v>0.14146990740740742</v>
      </c>
      <c r="C1740">
        <v>3243</v>
      </c>
      <c r="D1740" t="str">
        <f>VLOOKUP(H1740,Produkt!$A$2:$B$5,2,FALSE)</f>
        <v>C</v>
      </c>
      <c r="H1740">
        <v>3</v>
      </c>
      <c r="I1740">
        <v>0.48228009259259258</v>
      </c>
      <c r="J1740">
        <v>44776</v>
      </c>
    </row>
    <row r="1741" spans="1:10" x14ac:dyDescent="0.35">
      <c r="A1741" s="2">
        <v>44779</v>
      </c>
      <c r="B1741" s="3">
        <v>0.3502662037037037</v>
      </c>
      <c r="C1741">
        <v>3265</v>
      </c>
      <c r="D1741" t="str">
        <f>VLOOKUP(H1741,Produkt!$A$2:$B$5,2,FALSE)</f>
        <v>A</v>
      </c>
      <c r="H1741">
        <v>1</v>
      </c>
      <c r="I1741">
        <v>0.16625000000000001</v>
      </c>
      <c r="J1741">
        <v>44782</v>
      </c>
    </row>
    <row r="1742" spans="1:10" x14ac:dyDescent="0.35">
      <c r="A1742" s="2">
        <v>44779</v>
      </c>
      <c r="B1742" s="3">
        <v>0.91312499999999996</v>
      </c>
      <c r="C1742">
        <v>3269</v>
      </c>
      <c r="D1742" t="str">
        <f>VLOOKUP(H1742,Produkt!$A$2:$B$5,2,FALSE)</f>
        <v>C</v>
      </c>
      <c r="H1742">
        <v>3</v>
      </c>
      <c r="I1742">
        <v>5.1273148148147651E-3</v>
      </c>
      <c r="J1742">
        <v>44778</v>
      </c>
    </row>
    <row r="1743" spans="1:10" x14ac:dyDescent="0.35">
      <c r="A1743" s="2">
        <v>44779</v>
      </c>
      <c r="B1743" s="3">
        <v>7.440972222222221E-2</v>
      </c>
      <c r="C1743">
        <v>3289</v>
      </c>
      <c r="D1743" t="str">
        <f>VLOOKUP(H1743,Produkt!$A$2:$B$5,2,FALSE)</f>
        <v>A</v>
      </c>
      <c r="H1743">
        <v>1</v>
      </c>
      <c r="I1743">
        <v>0.40915509259259258</v>
      </c>
      <c r="J1743">
        <v>44791</v>
      </c>
    </row>
    <row r="1744" spans="1:10" x14ac:dyDescent="0.35">
      <c r="A1744" s="2">
        <v>44779</v>
      </c>
      <c r="B1744" s="3">
        <v>0.22188657407407408</v>
      </c>
      <c r="C1744">
        <v>3360</v>
      </c>
      <c r="D1744" t="str">
        <f>VLOOKUP(H1744,Produkt!$A$2:$B$5,2,FALSE)</f>
        <v>C</v>
      </c>
      <c r="H1744">
        <v>3</v>
      </c>
      <c r="I1744">
        <v>0.72250000000000003</v>
      </c>
      <c r="J1744">
        <v>44797</v>
      </c>
    </row>
    <row r="1745" spans="1:10" x14ac:dyDescent="0.35">
      <c r="A1745" s="2">
        <v>44779</v>
      </c>
      <c r="B1745" s="3">
        <v>0.41957175925925921</v>
      </c>
      <c r="C1745">
        <v>3371</v>
      </c>
      <c r="D1745" t="str">
        <f>VLOOKUP(H1745,Produkt!$A$2:$B$5,2,FALSE)</f>
        <v>C</v>
      </c>
      <c r="H1745">
        <v>3</v>
      </c>
      <c r="I1745">
        <v>0.84738425925925931</v>
      </c>
      <c r="J1745">
        <v>44775</v>
      </c>
    </row>
    <row r="1746" spans="1:10" x14ac:dyDescent="0.35">
      <c r="A1746" s="2">
        <v>44779</v>
      </c>
      <c r="B1746" s="3">
        <v>0.24650462962962963</v>
      </c>
      <c r="C1746">
        <v>3384</v>
      </c>
      <c r="D1746" t="str">
        <f>VLOOKUP(H1746,Produkt!$A$2:$B$5,2,FALSE)</f>
        <v>B</v>
      </c>
      <c r="H1746">
        <v>2</v>
      </c>
      <c r="I1746">
        <v>0.61975694444444451</v>
      </c>
      <c r="J1746">
        <v>44804</v>
      </c>
    </row>
    <row r="1747" spans="1:10" x14ac:dyDescent="0.35">
      <c r="A1747" s="2">
        <v>44779</v>
      </c>
      <c r="B1747" s="3">
        <v>0.69884259259259263</v>
      </c>
      <c r="C1747">
        <v>3409</v>
      </c>
      <c r="D1747" t="str">
        <f>VLOOKUP(H1747,Produkt!$A$2:$B$5,2,FALSE)</f>
        <v>D</v>
      </c>
      <c r="H1747">
        <v>4</v>
      </c>
      <c r="I1747">
        <v>0.9740509259259259</v>
      </c>
      <c r="J1747">
        <v>44784</v>
      </c>
    </row>
    <row r="1748" spans="1:10" x14ac:dyDescent="0.35">
      <c r="A1748" s="2">
        <v>44779</v>
      </c>
      <c r="B1748" s="3">
        <v>0.58215277777777774</v>
      </c>
      <c r="C1748">
        <v>3474</v>
      </c>
      <c r="D1748" t="str">
        <f>VLOOKUP(H1748,Produkt!$A$2:$B$5,2,FALSE)</f>
        <v>C</v>
      </c>
      <c r="H1748">
        <v>3</v>
      </c>
      <c r="I1748">
        <v>0.53240740740740744</v>
      </c>
      <c r="J1748">
        <v>44780</v>
      </c>
    </row>
    <row r="1749" spans="1:10" x14ac:dyDescent="0.35">
      <c r="A1749" s="2">
        <v>44779</v>
      </c>
      <c r="B1749" s="3">
        <v>0.66731481481481481</v>
      </c>
      <c r="C1749">
        <v>3524</v>
      </c>
      <c r="D1749" t="str">
        <f>VLOOKUP(H1749,Produkt!$A$2:$B$5,2,FALSE)</f>
        <v>D</v>
      </c>
      <c r="H1749">
        <v>4</v>
      </c>
      <c r="I1749">
        <v>0.17619212962962963</v>
      </c>
      <c r="J1749">
        <v>44780</v>
      </c>
    </row>
    <row r="1750" spans="1:10" x14ac:dyDescent="0.35">
      <c r="A1750" s="2">
        <v>44779</v>
      </c>
      <c r="B1750" s="3">
        <v>0.33856481481481482</v>
      </c>
      <c r="C1750">
        <v>3575</v>
      </c>
      <c r="D1750" t="str">
        <f>VLOOKUP(H1750,Produkt!$A$2:$B$5,2,FALSE)</f>
        <v>B</v>
      </c>
      <c r="H1750">
        <v>2</v>
      </c>
      <c r="I1750">
        <v>0.18069444444444446</v>
      </c>
      <c r="J1750">
        <v>44791</v>
      </c>
    </row>
    <row r="1751" spans="1:10" x14ac:dyDescent="0.35">
      <c r="A1751" s="2">
        <v>44779</v>
      </c>
      <c r="B1751" s="3">
        <v>0.96726851851851858</v>
      </c>
      <c r="C1751">
        <v>3583</v>
      </c>
      <c r="D1751" t="str">
        <f>VLOOKUP(H1751,Produkt!$A$2:$B$5,2,FALSE)</f>
        <v>A</v>
      </c>
      <c r="H1751">
        <v>1</v>
      </c>
      <c r="I1751">
        <v>0.15189814814814814</v>
      </c>
      <c r="J1751">
        <v>44788</v>
      </c>
    </row>
    <row r="1752" spans="1:10" x14ac:dyDescent="0.35">
      <c r="A1752" s="2">
        <v>44779</v>
      </c>
      <c r="B1752" s="3">
        <v>0.96231481481481485</v>
      </c>
      <c r="C1752">
        <v>3613</v>
      </c>
      <c r="D1752" t="str">
        <f>VLOOKUP(H1752,Produkt!$A$2:$B$5,2,FALSE)</f>
        <v>B</v>
      </c>
      <c r="H1752">
        <v>2</v>
      </c>
      <c r="I1752">
        <v>0.14947916666666666</v>
      </c>
      <c r="J1752">
        <v>44802</v>
      </c>
    </row>
    <row r="1753" spans="1:10" x14ac:dyDescent="0.35">
      <c r="A1753" s="2">
        <v>44779</v>
      </c>
      <c r="B1753" s="3">
        <v>0.81313657407407414</v>
      </c>
      <c r="C1753">
        <v>3614</v>
      </c>
      <c r="D1753" t="str">
        <f>VLOOKUP(H1753,Produkt!$A$2:$B$5,2,FALSE)</f>
        <v>A</v>
      </c>
      <c r="H1753">
        <v>1</v>
      </c>
      <c r="I1753">
        <v>0.10859953703703702</v>
      </c>
      <c r="J1753">
        <v>44799</v>
      </c>
    </row>
    <row r="1754" spans="1:10" x14ac:dyDescent="0.35">
      <c r="A1754" s="2">
        <v>44779</v>
      </c>
      <c r="B1754" s="3">
        <v>3.6134259259259283E-2</v>
      </c>
      <c r="C1754">
        <v>3622</v>
      </c>
      <c r="D1754" t="str">
        <f>VLOOKUP(H1754,Produkt!$A$2:$B$5,2,FALSE)</f>
        <v>C</v>
      </c>
      <c r="H1754">
        <v>3</v>
      </c>
      <c r="I1754">
        <v>0.97119212962962964</v>
      </c>
      <c r="J1754">
        <v>44804</v>
      </c>
    </row>
    <row r="1755" spans="1:10" x14ac:dyDescent="0.35">
      <c r="A1755" s="2">
        <v>44779</v>
      </c>
      <c r="B1755" s="3">
        <v>0.61652777777777779</v>
      </c>
      <c r="C1755">
        <v>3771</v>
      </c>
      <c r="D1755" t="str">
        <f>VLOOKUP(H1755,Produkt!$A$2:$B$5,2,FALSE)</f>
        <v>B</v>
      </c>
      <c r="H1755">
        <v>2</v>
      </c>
      <c r="I1755">
        <v>4.0393518518518468E-2</v>
      </c>
      <c r="J1755">
        <v>44796</v>
      </c>
    </row>
    <row r="1756" spans="1:10" x14ac:dyDescent="0.35">
      <c r="A1756" s="2">
        <v>44779</v>
      </c>
      <c r="B1756" s="3">
        <v>0.73071759259259261</v>
      </c>
      <c r="C1756">
        <v>3817</v>
      </c>
      <c r="D1756" t="str">
        <f>VLOOKUP(H1756,Produkt!$A$2:$B$5,2,FALSE)</f>
        <v>C</v>
      </c>
      <c r="H1756">
        <v>3</v>
      </c>
      <c r="I1756">
        <v>4.3229166666666673E-2</v>
      </c>
      <c r="J1756">
        <v>44800</v>
      </c>
    </row>
    <row r="1757" spans="1:10" x14ac:dyDescent="0.35">
      <c r="A1757" s="2">
        <v>44779</v>
      </c>
      <c r="B1757" s="3">
        <v>0.60005787037037039</v>
      </c>
      <c r="C1757">
        <v>3920</v>
      </c>
      <c r="D1757" t="str">
        <f>VLOOKUP(H1757,Produkt!$A$2:$B$5,2,FALSE)</f>
        <v>C</v>
      </c>
      <c r="H1757">
        <v>3</v>
      </c>
      <c r="I1757">
        <v>0.49494212962962963</v>
      </c>
      <c r="J1757">
        <v>44786</v>
      </c>
    </row>
    <row r="1758" spans="1:10" x14ac:dyDescent="0.35">
      <c r="A1758" s="2">
        <v>44779</v>
      </c>
      <c r="B1758" s="3">
        <v>0.65268518518518526</v>
      </c>
      <c r="C1758">
        <v>3922</v>
      </c>
      <c r="D1758" t="str">
        <f>VLOOKUP(H1758,Produkt!$A$2:$B$5,2,FALSE)</f>
        <v>C</v>
      </c>
      <c r="H1758">
        <v>3</v>
      </c>
      <c r="I1758">
        <v>0.41704861111111113</v>
      </c>
      <c r="J1758">
        <v>44800</v>
      </c>
    </row>
    <row r="1759" spans="1:10" x14ac:dyDescent="0.35">
      <c r="A1759" s="2">
        <v>44779</v>
      </c>
      <c r="B1759" s="3">
        <v>0.11024305555555557</v>
      </c>
      <c r="C1759">
        <v>3930</v>
      </c>
      <c r="D1759" t="str">
        <f>VLOOKUP(H1759,Produkt!$A$2:$B$5,2,FALSE)</f>
        <v>C</v>
      </c>
      <c r="H1759">
        <v>3</v>
      </c>
      <c r="I1759">
        <v>0.49041666666666667</v>
      </c>
      <c r="J1759">
        <v>44788</v>
      </c>
    </row>
    <row r="1760" spans="1:10" x14ac:dyDescent="0.35">
      <c r="A1760" s="2">
        <v>44779</v>
      </c>
      <c r="B1760" s="3">
        <v>0.95900462962962962</v>
      </c>
      <c r="C1760">
        <v>3946</v>
      </c>
      <c r="D1760" t="str">
        <f>VLOOKUP(H1760,Produkt!$A$2:$B$5,2,FALSE)</f>
        <v>B</v>
      </c>
      <c r="H1760">
        <v>2</v>
      </c>
      <c r="I1760">
        <v>0.21859953703703705</v>
      </c>
      <c r="J1760">
        <v>44780</v>
      </c>
    </row>
    <row r="1761" spans="1:10" x14ac:dyDescent="0.35">
      <c r="A1761" s="2">
        <v>44779</v>
      </c>
      <c r="B1761" s="3">
        <v>3.650462962962963E-2</v>
      </c>
      <c r="C1761">
        <v>3998</v>
      </c>
      <c r="D1761" t="str">
        <f>VLOOKUP(H1761,Produkt!$A$2:$B$5,2,FALSE)</f>
        <v>B</v>
      </c>
      <c r="H1761">
        <v>2</v>
      </c>
      <c r="I1761">
        <v>0.50770833333333332</v>
      </c>
      <c r="J1761">
        <v>44788</v>
      </c>
    </row>
    <row r="1762" spans="1:10" x14ac:dyDescent="0.35">
      <c r="A1762" s="2">
        <v>44779</v>
      </c>
      <c r="B1762" s="3">
        <v>0.59474537037037034</v>
      </c>
      <c r="C1762">
        <v>4029</v>
      </c>
      <c r="D1762" t="str">
        <f>VLOOKUP(H1762,Produkt!$A$2:$B$5,2,FALSE)</f>
        <v>A</v>
      </c>
      <c r="H1762">
        <v>1</v>
      </c>
      <c r="I1762">
        <v>0.14438657407407407</v>
      </c>
      <c r="J1762">
        <v>44790</v>
      </c>
    </row>
    <row r="1763" spans="1:10" x14ac:dyDescent="0.35">
      <c r="A1763" s="2">
        <v>44779</v>
      </c>
      <c r="B1763" s="3">
        <v>0.37156250000000002</v>
      </c>
      <c r="C1763">
        <v>4091</v>
      </c>
      <c r="D1763" t="str">
        <f>VLOOKUP(H1763,Produkt!$A$2:$B$5,2,FALSE)</f>
        <v>A</v>
      </c>
      <c r="H1763">
        <v>1</v>
      </c>
      <c r="I1763">
        <v>0.41599537037037032</v>
      </c>
      <c r="J1763">
        <v>44802</v>
      </c>
    </row>
    <row r="1764" spans="1:10" x14ac:dyDescent="0.35">
      <c r="A1764" s="2">
        <v>44779</v>
      </c>
      <c r="B1764" s="3">
        <v>0.41729166666666667</v>
      </c>
      <c r="C1764">
        <v>4099</v>
      </c>
      <c r="D1764" t="str">
        <f>VLOOKUP(H1764,Produkt!$A$2:$B$5,2,FALSE)</f>
        <v>D</v>
      </c>
      <c r="H1764">
        <v>4</v>
      </c>
      <c r="I1764">
        <v>0.48530092592592594</v>
      </c>
      <c r="J1764">
        <v>44780</v>
      </c>
    </row>
    <row r="1765" spans="1:10" x14ac:dyDescent="0.35">
      <c r="A1765" s="2">
        <v>44779</v>
      </c>
      <c r="B1765" s="3">
        <v>8.2361111111111107E-2</v>
      </c>
      <c r="C1765">
        <v>4107</v>
      </c>
      <c r="D1765" t="str">
        <f>VLOOKUP(H1765,Produkt!$A$2:$B$5,2,FALSE)</f>
        <v>D</v>
      </c>
      <c r="H1765">
        <v>4</v>
      </c>
      <c r="I1765">
        <v>0.88512731481481488</v>
      </c>
      <c r="J1765">
        <v>44782</v>
      </c>
    </row>
    <row r="1766" spans="1:10" x14ac:dyDescent="0.35">
      <c r="A1766" s="2">
        <v>44779</v>
      </c>
      <c r="B1766" s="3">
        <v>0.51273148148148151</v>
      </c>
      <c r="C1766">
        <v>4123</v>
      </c>
      <c r="D1766" t="str">
        <f>VLOOKUP(H1766,Produkt!$A$2:$B$5,2,FALSE)</f>
        <v>B</v>
      </c>
      <c r="H1766">
        <v>2</v>
      </c>
      <c r="I1766">
        <v>0.12946759259259258</v>
      </c>
      <c r="J1766">
        <v>44780</v>
      </c>
    </row>
    <row r="1767" spans="1:10" x14ac:dyDescent="0.35">
      <c r="A1767" s="2">
        <v>44779</v>
      </c>
      <c r="B1767" s="3">
        <v>0.35474537037037041</v>
      </c>
      <c r="C1767">
        <v>4141</v>
      </c>
      <c r="D1767" t="str">
        <f>VLOOKUP(H1767,Produkt!$A$2:$B$5,2,FALSE)</f>
        <v>C</v>
      </c>
      <c r="H1767">
        <v>3</v>
      </c>
      <c r="I1767">
        <v>3.5208333333333286E-2</v>
      </c>
      <c r="J1767">
        <v>44774</v>
      </c>
    </row>
    <row r="1768" spans="1:10" x14ac:dyDescent="0.35">
      <c r="A1768" s="2">
        <v>44779</v>
      </c>
      <c r="B1768" s="3">
        <v>0.20425925925925925</v>
      </c>
      <c r="C1768">
        <v>4145</v>
      </c>
      <c r="D1768" t="str">
        <f>VLOOKUP(H1768,Produkt!$A$2:$B$5,2,FALSE)</f>
        <v>A</v>
      </c>
      <c r="H1768">
        <v>1</v>
      </c>
      <c r="I1768">
        <v>0.70530092592592597</v>
      </c>
      <c r="J1768">
        <v>44774</v>
      </c>
    </row>
    <row r="1769" spans="1:10" x14ac:dyDescent="0.35">
      <c r="A1769" s="2">
        <v>44779</v>
      </c>
      <c r="B1769" s="3">
        <v>0.87910879629629635</v>
      </c>
      <c r="C1769">
        <v>4158</v>
      </c>
      <c r="D1769" t="str">
        <f>VLOOKUP(H1769,Produkt!$A$2:$B$5,2,FALSE)</f>
        <v>C</v>
      </c>
      <c r="H1769">
        <v>3</v>
      </c>
      <c r="I1769">
        <v>3.9837962962962825E-2</v>
      </c>
      <c r="J1769">
        <v>44803</v>
      </c>
    </row>
    <row r="1770" spans="1:10" x14ac:dyDescent="0.35">
      <c r="A1770" s="2">
        <v>44779</v>
      </c>
      <c r="B1770" s="3">
        <v>0.11027777777777777</v>
      </c>
      <c r="C1770">
        <v>4196</v>
      </c>
      <c r="D1770" t="str">
        <f>VLOOKUP(H1770,Produkt!$A$2:$B$5,2,FALSE)</f>
        <v>D</v>
      </c>
      <c r="H1770">
        <v>4</v>
      </c>
      <c r="I1770">
        <v>0.4455439814814815</v>
      </c>
      <c r="J1770">
        <v>44802</v>
      </c>
    </row>
    <row r="1771" spans="1:10" x14ac:dyDescent="0.35">
      <c r="A1771" s="2">
        <v>44779</v>
      </c>
      <c r="B1771" s="3">
        <v>0.11162037037037037</v>
      </c>
      <c r="C1771">
        <v>4239</v>
      </c>
      <c r="D1771" t="str">
        <f>VLOOKUP(H1771,Produkt!$A$2:$B$5,2,FALSE)</f>
        <v>C</v>
      </c>
      <c r="H1771">
        <v>3</v>
      </c>
      <c r="I1771">
        <v>0.32287037037037036</v>
      </c>
      <c r="J1771">
        <v>44776</v>
      </c>
    </row>
    <row r="1772" spans="1:10" x14ac:dyDescent="0.35">
      <c r="A1772" s="2">
        <v>44779</v>
      </c>
      <c r="B1772" s="3">
        <v>0.1645486111111111</v>
      </c>
      <c r="C1772">
        <v>4260</v>
      </c>
      <c r="D1772" t="str">
        <f>VLOOKUP(H1772,Produkt!$A$2:$B$5,2,FALSE)</f>
        <v>C</v>
      </c>
      <c r="H1772">
        <v>3</v>
      </c>
      <c r="I1772">
        <v>0.1479398148148148</v>
      </c>
      <c r="J1772">
        <v>44791</v>
      </c>
    </row>
    <row r="1773" spans="1:10" x14ac:dyDescent="0.35">
      <c r="A1773" s="2">
        <v>44779</v>
      </c>
      <c r="B1773" s="3">
        <v>0.62186342592592592</v>
      </c>
      <c r="C1773">
        <v>4264</v>
      </c>
      <c r="D1773" t="str">
        <f>VLOOKUP(H1773,Produkt!$A$2:$B$5,2,FALSE)</f>
        <v>C</v>
      </c>
      <c r="H1773">
        <v>3</v>
      </c>
      <c r="I1773">
        <v>0.31673611111111111</v>
      </c>
      <c r="J1773">
        <v>44800</v>
      </c>
    </row>
    <row r="1774" spans="1:10" x14ac:dyDescent="0.35">
      <c r="A1774" s="2">
        <v>44779</v>
      </c>
      <c r="B1774" s="3">
        <v>0.32993055555555556</v>
      </c>
      <c r="C1774">
        <v>4267</v>
      </c>
      <c r="D1774" t="str">
        <f>VLOOKUP(H1774,Produkt!$A$2:$B$5,2,FALSE)</f>
        <v>C</v>
      </c>
      <c r="H1774">
        <v>3</v>
      </c>
      <c r="I1774">
        <v>0.42099537037037038</v>
      </c>
      <c r="J1774">
        <v>44790</v>
      </c>
    </row>
    <row r="1775" spans="1:10" x14ac:dyDescent="0.35">
      <c r="A1775" s="2">
        <v>44779</v>
      </c>
      <c r="B1775" s="3">
        <v>0.34569444444444447</v>
      </c>
      <c r="C1775">
        <v>4389</v>
      </c>
      <c r="D1775" t="str">
        <f>VLOOKUP(H1775,Produkt!$A$2:$B$5,2,FALSE)</f>
        <v>D</v>
      </c>
      <c r="H1775">
        <v>4</v>
      </c>
      <c r="I1775">
        <v>0.90440972222222227</v>
      </c>
      <c r="J1775">
        <v>44803</v>
      </c>
    </row>
    <row r="1776" spans="1:10" x14ac:dyDescent="0.35">
      <c r="A1776" s="2">
        <v>44779</v>
      </c>
      <c r="B1776" s="3">
        <v>0.77567129629629628</v>
      </c>
      <c r="C1776">
        <v>4433</v>
      </c>
      <c r="D1776" t="str">
        <f>VLOOKUP(H1776,Produkt!$A$2:$B$5,2,FALSE)</f>
        <v>D</v>
      </c>
      <c r="H1776">
        <v>4</v>
      </c>
      <c r="I1776">
        <v>0.49548611111111113</v>
      </c>
      <c r="J1776">
        <v>44787</v>
      </c>
    </row>
    <row r="1777" spans="1:10" x14ac:dyDescent="0.35">
      <c r="A1777" s="2">
        <v>44779</v>
      </c>
      <c r="B1777" s="3">
        <v>0.45380787037037035</v>
      </c>
      <c r="C1777">
        <v>4443</v>
      </c>
      <c r="D1777" t="str">
        <f>VLOOKUP(H1777,Produkt!$A$2:$B$5,2,FALSE)</f>
        <v>A</v>
      </c>
      <c r="H1777">
        <v>1</v>
      </c>
      <c r="I1777">
        <v>0.90493055555555557</v>
      </c>
      <c r="J1777">
        <v>44781</v>
      </c>
    </row>
    <row r="1778" spans="1:10" x14ac:dyDescent="0.35">
      <c r="A1778" s="2">
        <v>44779</v>
      </c>
      <c r="B1778" s="3">
        <v>0.6705092592592593</v>
      </c>
      <c r="C1778">
        <v>4475</v>
      </c>
      <c r="D1778" t="str">
        <f>VLOOKUP(H1778,Produkt!$A$2:$B$5,2,FALSE)</f>
        <v>B</v>
      </c>
      <c r="H1778">
        <v>2</v>
      </c>
      <c r="I1778">
        <v>0.97916666666666663</v>
      </c>
      <c r="J1778">
        <v>44782</v>
      </c>
    </row>
    <row r="1779" spans="1:10" x14ac:dyDescent="0.35">
      <c r="A1779" s="2">
        <v>44779</v>
      </c>
      <c r="B1779" s="3">
        <v>0.3755324074074074</v>
      </c>
      <c r="C1779">
        <v>4634</v>
      </c>
      <c r="D1779" t="str">
        <f>VLOOKUP(H1779,Produkt!$A$2:$B$5,2,FALSE)</f>
        <v>C</v>
      </c>
      <c r="H1779">
        <v>3</v>
      </c>
      <c r="I1779">
        <v>0.54341435185185183</v>
      </c>
      <c r="J1779">
        <v>44786</v>
      </c>
    </row>
    <row r="1780" spans="1:10" x14ac:dyDescent="0.35">
      <c r="A1780" s="2">
        <v>44779</v>
      </c>
      <c r="B1780" s="3">
        <v>0.34730324074074076</v>
      </c>
      <c r="C1780">
        <v>4640</v>
      </c>
      <c r="D1780" t="str">
        <f>VLOOKUP(H1780,Produkt!$A$2:$B$5,2,FALSE)</f>
        <v>C</v>
      </c>
      <c r="H1780">
        <v>3</v>
      </c>
      <c r="I1780">
        <v>0.80210648148148145</v>
      </c>
      <c r="J1780">
        <v>44784</v>
      </c>
    </row>
    <row r="1781" spans="1:10" x14ac:dyDescent="0.35">
      <c r="A1781" s="2">
        <v>44779</v>
      </c>
      <c r="B1781" s="3">
        <v>0.44824074074074072</v>
      </c>
      <c r="C1781">
        <v>4657</v>
      </c>
      <c r="D1781" t="str">
        <f>VLOOKUP(H1781,Produkt!$A$2:$B$5,2,FALSE)</f>
        <v>C</v>
      </c>
      <c r="H1781">
        <v>3</v>
      </c>
      <c r="I1781">
        <v>0.71460648148148154</v>
      </c>
      <c r="J1781">
        <v>44799</v>
      </c>
    </row>
    <row r="1782" spans="1:10" x14ac:dyDescent="0.35">
      <c r="A1782" s="2">
        <v>44779</v>
      </c>
      <c r="B1782" s="3">
        <v>0.49626157407407406</v>
      </c>
      <c r="C1782">
        <v>4707</v>
      </c>
      <c r="D1782" t="str">
        <f>VLOOKUP(H1782,Produkt!$A$2:$B$5,2,FALSE)</f>
        <v>C</v>
      </c>
      <c r="H1782">
        <v>3</v>
      </c>
      <c r="I1782">
        <v>0.38556712962962963</v>
      </c>
      <c r="J1782">
        <v>44789</v>
      </c>
    </row>
    <row r="1783" spans="1:10" x14ac:dyDescent="0.35">
      <c r="A1783" s="2">
        <v>44779</v>
      </c>
      <c r="B1783" s="3">
        <v>0.48282407407407407</v>
      </c>
      <c r="C1783">
        <v>4718</v>
      </c>
      <c r="D1783" t="str">
        <f>VLOOKUP(H1783,Produkt!$A$2:$B$5,2,FALSE)</f>
        <v>B</v>
      </c>
      <c r="H1783">
        <v>2</v>
      </c>
      <c r="I1783">
        <v>0.39407407407407408</v>
      </c>
      <c r="J1783">
        <v>44780</v>
      </c>
    </row>
    <row r="1784" spans="1:10" x14ac:dyDescent="0.35">
      <c r="A1784" s="2">
        <v>44779</v>
      </c>
      <c r="B1784" s="3">
        <v>0.13894675925925926</v>
      </c>
      <c r="C1784">
        <v>4722</v>
      </c>
      <c r="D1784" t="str">
        <f>VLOOKUP(H1784,Produkt!$A$2:$B$5,2,FALSE)</f>
        <v>C</v>
      </c>
      <c r="H1784">
        <v>3</v>
      </c>
      <c r="I1784">
        <v>0.2457175925925926</v>
      </c>
      <c r="J1784">
        <v>44786</v>
      </c>
    </row>
    <row r="1785" spans="1:10" x14ac:dyDescent="0.35">
      <c r="A1785" s="2">
        <v>44779</v>
      </c>
      <c r="B1785" s="3">
        <v>2.4502314814814814E-2</v>
      </c>
      <c r="C1785">
        <v>4909</v>
      </c>
      <c r="D1785" t="str">
        <f>VLOOKUP(H1785,Produkt!$A$2:$B$5,2,FALSE)</f>
        <v>A</v>
      </c>
      <c r="H1785">
        <v>1</v>
      </c>
      <c r="I1785">
        <v>0.99702546296296291</v>
      </c>
      <c r="J1785">
        <v>44774</v>
      </c>
    </row>
    <row r="1786" spans="1:10" x14ac:dyDescent="0.35">
      <c r="A1786" s="2">
        <v>44779</v>
      </c>
      <c r="B1786" s="3">
        <v>0.57452546296296292</v>
      </c>
      <c r="C1786">
        <v>5036</v>
      </c>
      <c r="D1786" t="str">
        <f>VLOOKUP(H1786,Produkt!$A$2:$B$5,2,FALSE)</f>
        <v>C</v>
      </c>
      <c r="H1786">
        <v>3</v>
      </c>
      <c r="I1786">
        <v>0.52188657407407402</v>
      </c>
      <c r="J1786">
        <v>44793</v>
      </c>
    </row>
    <row r="1787" spans="1:10" x14ac:dyDescent="0.35">
      <c r="A1787" s="2">
        <v>44779</v>
      </c>
      <c r="B1787" s="3">
        <v>0.96887731481481476</v>
      </c>
      <c r="C1787">
        <v>5074</v>
      </c>
      <c r="D1787" t="str">
        <f>VLOOKUP(H1787,Produkt!$A$2:$B$5,2,FALSE)</f>
        <v>A</v>
      </c>
      <c r="H1787">
        <v>1</v>
      </c>
      <c r="I1787">
        <v>0.99537037037037035</v>
      </c>
      <c r="J1787">
        <v>44784</v>
      </c>
    </row>
    <row r="1788" spans="1:10" x14ac:dyDescent="0.35">
      <c r="A1788" s="2">
        <v>44779</v>
      </c>
      <c r="B1788" s="3">
        <v>2.503472222222225E-2</v>
      </c>
      <c r="C1788">
        <v>5127</v>
      </c>
      <c r="D1788" t="str">
        <f>VLOOKUP(H1788,Produkt!$A$2:$B$5,2,FALSE)</f>
        <v>D</v>
      </c>
      <c r="H1788">
        <v>4</v>
      </c>
      <c r="I1788">
        <v>0.66122685185185182</v>
      </c>
      <c r="J1788">
        <v>44798</v>
      </c>
    </row>
    <row r="1789" spans="1:10" x14ac:dyDescent="0.35">
      <c r="A1789" s="2">
        <v>44779</v>
      </c>
      <c r="B1789" s="3">
        <v>0.48931712962962964</v>
      </c>
      <c r="C1789">
        <v>5145</v>
      </c>
      <c r="D1789" t="str">
        <f>VLOOKUP(H1789,Produkt!$A$2:$B$5,2,FALSE)</f>
        <v>D</v>
      </c>
      <c r="H1789">
        <v>4</v>
      </c>
      <c r="I1789">
        <v>6.0231481481481476E-2</v>
      </c>
      <c r="J1789">
        <v>44783</v>
      </c>
    </row>
    <row r="1790" spans="1:10" x14ac:dyDescent="0.35">
      <c r="A1790" s="2">
        <v>44779</v>
      </c>
      <c r="B1790" s="3">
        <v>0.77979166666666666</v>
      </c>
      <c r="C1790">
        <v>5195</v>
      </c>
      <c r="D1790" t="str">
        <f>VLOOKUP(H1790,Produkt!$A$2:$B$5,2,FALSE)</f>
        <v>C</v>
      </c>
      <c r="H1790">
        <v>3</v>
      </c>
      <c r="I1790">
        <v>0.94648148148148137</v>
      </c>
      <c r="J1790">
        <v>44777</v>
      </c>
    </row>
    <row r="1791" spans="1:10" x14ac:dyDescent="0.35">
      <c r="A1791" s="2">
        <v>44779</v>
      </c>
      <c r="B1791" s="3">
        <v>0.62548611111111108</v>
      </c>
      <c r="C1791">
        <v>5219</v>
      </c>
      <c r="D1791" t="str">
        <f>VLOOKUP(H1791,Produkt!$A$2:$B$5,2,FALSE)</f>
        <v>B</v>
      </c>
      <c r="H1791">
        <v>2</v>
      </c>
      <c r="I1791">
        <v>0.54513888888888895</v>
      </c>
      <c r="J1791">
        <v>44786</v>
      </c>
    </row>
    <row r="1792" spans="1:10" x14ac:dyDescent="0.35">
      <c r="A1792" s="2">
        <v>44779</v>
      </c>
      <c r="B1792" s="3">
        <v>0.73101851851851851</v>
      </c>
      <c r="C1792">
        <v>5220</v>
      </c>
      <c r="D1792" t="str">
        <f>VLOOKUP(H1792,Produkt!$A$2:$B$5,2,FALSE)</f>
        <v>C</v>
      </c>
      <c r="H1792">
        <v>3</v>
      </c>
      <c r="I1792">
        <v>0.71841435185185187</v>
      </c>
      <c r="J1792">
        <v>44786</v>
      </c>
    </row>
    <row r="1793" spans="1:10" x14ac:dyDescent="0.35">
      <c r="A1793" s="2">
        <v>44779</v>
      </c>
      <c r="B1793" s="3">
        <v>2.9687500000000002E-2</v>
      </c>
      <c r="C1793">
        <v>5223</v>
      </c>
      <c r="D1793" t="str">
        <f>VLOOKUP(H1793,Produkt!$A$2:$B$5,2,FALSE)</f>
        <v>C</v>
      </c>
      <c r="H1793">
        <v>3</v>
      </c>
      <c r="I1793">
        <v>0.66707175925925932</v>
      </c>
      <c r="J1793">
        <v>44799</v>
      </c>
    </row>
    <row r="1794" spans="1:10" x14ac:dyDescent="0.35">
      <c r="A1794" s="2">
        <v>44779</v>
      </c>
      <c r="B1794" s="3">
        <v>0.8569444444444444</v>
      </c>
      <c r="C1794">
        <v>5245</v>
      </c>
      <c r="D1794" t="str">
        <f>VLOOKUP(H1794,Produkt!$A$2:$B$5,2,FALSE)</f>
        <v>B</v>
      </c>
      <c r="H1794">
        <v>2</v>
      </c>
      <c r="I1794">
        <v>0.50888888888888884</v>
      </c>
      <c r="J1794">
        <v>44774</v>
      </c>
    </row>
    <row r="1795" spans="1:10" x14ac:dyDescent="0.35">
      <c r="A1795" s="2">
        <v>44779</v>
      </c>
      <c r="B1795" s="3">
        <v>0.14636574074074074</v>
      </c>
      <c r="C1795">
        <v>5320</v>
      </c>
      <c r="D1795" t="str">
        <f>VLOOKUP(H1795,Produkt!$A$2:$B$5,2,FALSE)</f>
        <v>C</v>
      </c>
      <c r="H1795">
        <v>3</v>
      </c>
      <c r="I1795">
        <v>0.59252314814814822</v>
      </c>
      <c r="J1795">
        <v>44775</v>
      </c>
    </row>
    <row r="1796" spans="1:10" x14ac:dyDescent="0.35">
      <c r="A1796" s="2">
        <v>44779</v>
      </c>
      <c r="B1796" s="3">
        <v>0.98995370370370372</v>
      </c>
      <c r="C1796">
        <v>5363</v>
      </c>
      <c r="D1796" t="str">
        <f>VLOOKUP(H1796,Produkt!$A$2:$B$5,2,FALSE)</f>
        <v>C</v>
      </c>
      <c r="H1796">
        <v>3</v>
      </c>
      <c r="I1796">
        <v>0.91581018518518509</v>
      </c>
      <c r="J1796">
        <v>44802</v>
      </c>
    </row>
    <row r="1797" spans="1:10" x14ac:dyDescent="0.35">
      <c r="A1797" s="2">
        <v>44779</v>
      </c>
      <c r="B1797" s="3">
        <v>0.46677083333333336</v>
      </c>
      <c r="C1797">
        <v>5399</v>
      </c>
      <c r="D1797" t="str">
        <f>VLOOKUP(H1797,Produkt!$A$2:$B$5,2,FALSE)</f>
        <v>C</v>
      </c>
      <c r="H1797">
        <v>3</v>
      </c>
      <c r="I1797">
        <v>0.27673611111111113</v>
      </c>
      <c r="J1797">
        <v>44785</v>
      </c>
    </row>
    <row r="1798" spans="1:10" x14ac:dyDescent="0.35">
      <c r="A1798" s="2">
        <v>44779</v>
      </c>
      <c r="B1798" s="3">
        <v>0.89124999999999999</v>
      </c>
      <c r="C1798">
        <v>5474</v>
      </c>
      <c r="D1798" t="str">
        <f>VLOOKUP(H1798,Produkt!$A$2:$B$5,2,FALSE)</f>
        <v>C</v>
      </c>
      <c r="H1798">
        <v>3</v>
      </c>
      <c r="I1798">
        <v>0.6411458333333333</v>
      </c>
      <c r="J1798">
        <v>44800</v>
      </c>
    </row>
    <row r="1799" spans="1:10" x14ac:dyDescent="0.35">
      <c r="A1799" s="2">
        <v>44779</v>
      </c>
      <c r="B1799" s="3">
        <v>0.36554398148148143</v>
      </c>
      <c r="C1799">
        <v>5485</v>
      </c>
      <c r="D1799" t="str">
        <f>VLOOKUP(H1799,Produkt!$A$2:$B$5,2,FALSE)</f>
        <v>B</v>
      </c>
      <c r="H1799">
        <v>2</v>
      </c>
      <c r="I1799">
        <v>0.24841435185185187</v>
      </c>
      <c r="J1799">
        <v>44780</v>
      </c>
    </row>
    <row r="1800" spans="1:10" x14ac:dyDescent="0.35">
      <c r="A1800" s="2">
        <v>44779</v>
      </c>
      <c r="B1800" s="3">
        <v>0.83861111111111108</v>
      </c>
      <c r="C1800">
        <v>5556</v>
      </c>
      <c r="D1800" t="str">
        <f>VLOOKUP(H1800,Produkt!$A$2:$B$5,2,FALSE)</f>
        <v>A</v>
      </c>
      <c r="H1800">
        <v>1</v>
      </c>
      <c r="I1800">
        <v>0.32187499999999997</v>
      </c>
      <c r="J1800">
        <v>44803</v>
      </c>
    </row>
    <row r="1801" spans="1:10" x14ac:dyDescent="0.35">
      <c r="A1801" s="2">
        <v>44779</v>
      </c>
      <c r="B1801" s="3">
        <v>0.5672800925925926</v>
      </c>
      <c r="C1801">
        <v>5572</v>
      </c>
      <c r="D1801" t="str">
        <f>VLOOKUP(H1801,Produkt!$A$2:$B$5,2,FALSE)</f>
        <v>C</v>
      </c>
      <c r="H1801">
        <v>3</v>
      </c>
      <c r="I1801">
        <v>0.33493055555555556</v>
      </c>
      <c r="J1801">
        <v>44787</v>
      </c>
    </row>
    <row r="1802" spans="1:10" x14ac:dyDescent="0.35">
      <c r="A1802" s="2">
        <v>44779</v>
      </c>
      <c r="B1802" s="3">
        <v>0.32695601851851852</v>
      </c>
      <c r="C1802">
        <v>5586</v>
      </c>
      <c r="D1802" t="str">
        <f>VLOOKUP(H1802,Produkt!$A$2:$B$5,2,FALSE)</f>
        <v>B</v>
      </c>
      <c r="H1802">
        <v>2</v>
      </c>
      <c r="I1802">
        <v>0.67936342592592591</v>
      </c>
      <c r="J1802">
        <v>44790</v>
      </c>
    </row>
    <row r="1803" spans="1:10" x14ac:dyDescent="0.35">
      <c r="A1803" s="2">
        <v>44779</v>
      </c>
      <c r="B1803" s="3">
        <v>4.7256944444444449E-2</v>
      </c>
      <c r="C1803">
        <v>5621</v>
      </c>
      <c r="D1803" t="str">
        <f>VLOOKUP(H1803,Produkt!$A$2:$B$5,2,FALSE)</f>
        <v>C</v>
      </c>
      <c r="H1803">
        <v>3</v>
      </c>
      <c r="I1803">
        <v>0.13048611111111111</v>
      </c>
      <c r="J1803">
        <v>44775</v>
      </c>
    </row>
    <row r="1804" spans="1:10" x14ac:dyDescent="0.35">
      <c r="A1804" s="2">
        <v>44779</v>
      </c>
      <c r="B1804" s="3">
        <v>0.87987268518518524</v>
      </c>
      <c r="C1804">
        <v>5622</v>
      </c>
      <c r="D1804" t="str">
        <f>VLOOKUP(H1804,Produkt!$A$2:$B$5,2,FALSE)</f>
        <v>B</v>
      </c>
      <c r="H1804">
        <v>2</v>
      </c>
      <c r="I1804">
        <v>0.32663194444444443</v>
      </c>
      <c r="J1804">
        <v>44775</v>
      </c>
    </row>
    <row r="1805" spans="1:10" x14ac:dyDescent="0.35">
      <c r="A1805" s="2">
        <v>44779</v>
      </c>
      <c r="B1805" s="3">
        <v>0.64244212962962965</v>
      </c>
      <c r="C1805">
        <v>5631</v>
      </c>
      <c r="D1805" t="str">
        <f>VLOOKUP(H1805,Produkt!$A$2:$B$5,2,FALSE)</f>
        <v>D</v>
      </c>
      <c r="H1805">
        <v>4</v>
      </c>
      <c r="I1805">
        <v>0.15858796296296296</v>
      </c>
      <c r="J1805">
        <v>44797</v>
      </c>
    </row>
    <row r="1806" spans="1:10" x14ac:dyDescent="0.35">
      <c r="A1806" s="2">
        <v>44779</v>
      </c>
      <c r="B1806" s="3">
        <v>1.4930555555555556E-3</v>
      </c>
      <c r="C1806">
        <v>5650</v>
      </c>
      <c r="D1806" t="str">
        <f>VLOOKUP(H1806,Produkt!$A$2:$B$5,2,FALSE)</f>
        <v>C</v>
      </c>
      <c r="H1806">
        <v>3</v>
      </c>
      <c r="I1806">
        <v>0.45174768518518515</v>
      </c>
      <c r="J1806">
        <v>44804</v>
      </c>
    </row>
    <row r="1807" spans="1:10" x14ac:dyDescent="0.35">
      <c r="A1807" s="2">
        <v>44779</v>
      </c>
      <c r="B1807" s="3">
        <v>0.34266203703703701</v>
      </c>
      <c r="C1807">
        <v>5698</v>
      </c>
      <c r="D1807" t="str">
        <f>VLOOKUP(H1807,Produkt!$A$2:$B$5,2,FALSE)</f>
        <v>D</v>
      </c>
      <c r="H1807">
        <v>4</v>
      </c>
      <c r="I1807">
        <v>0.43692129629629628</v>
      </c>
      <c r="J1807">
        <v>44797</v>
      </c>
    </row>
    <row r="1808" spans="1:10" x14ac:dyDescent="0.35">
      <c r="A1808" s="2">
        <v>44779</v>
      </c>
      <c r="B1808" s="3">
        <v>0.43267361111111113</v>
      </c>
      <c r="C1808">
        <v>5701</v>
      </c>
      <c r="D1808" t="str">
        <f>VLOOKUP(H1808,Produkt!$A$2:$B$5,2,FALSE)</f>
        <v>D</v>
      </c>
      <c r="H1808">
        <v>4</v>
      </c>
      <c r="I1808">
        <v>0.54586805555555562</v>
      </c>
      <c r="J1808">
        <v>44795</v>
      </c>
    </row>
    <row r="1809" spans="1:10" x14ac:dyDescent="0.35">
      <c r="A1809" s="2">
        <v>44779</v>
      </c>
      <c r="B1809" s="3">
        <v>0.15983796296296296</v>
      </c>
      <c r="C1809">
        <v>5703</v>
      </c>
      <c r="D1809" t="str">
        <f>VLOOKUP(H1809,Produkt!$A$2:$B$5,2,FALSE)</f>
        <v>A</v>
      </c>
      <c r="H1809">
        <v>1</v>
      </c>
      <c r="I1809">
        <v>0.94858796296296299</v>
      </c>
      <c r="J1809">
        <v>44798</v>
      </c>
    </row>
    <row r="1810" spans="1:10" x14ac:dyDescent="0.35">
      <c r="A1810" s="2">
        <v>44779</v>
      </c>
      <c r="B1810" s="3">
        <v>0.65694444444444444</v>
      </c>
      <c r="C1810">
        <v>5708</v>
      </c>
      <c r="D1810" t="str">
        <f>VLOOKUP(H1810,Produkt!$A$2:$B$5,2,FALSE)</f>
        <v>D</v>
      </c>
      <c r="H1810">
        <v>4</v>
      </c>
      <c r="I1810">
        <v>0.17964120370370371</v>
      </c>
      <c r="J1810">
        <v>44790</v>
      </c>
    </row>
    <row r="1811" spans="1:10" x14ac:dyDescent="0.35">
      <c r="A1811" s="2">
        <v>44779</v>
      </c>
      <c r="B1811" s="3">
        <v>0.92236111111111108</v>
      </c>
      <c r="C1811">
        <v>5720</v>
      </c>
      <c r="D1811" t="str">
        <f>VLOOKUP(H1811,Produkt!$A$2:$B$5,2,FALSE)</f>
        <v>B</v>
      </c>
      <c r="H1811">
        <v>2</v>
      </c>
      <c r="I1811">
        <v>0.21532407407407406</v>
      </c>
      <c r="J1811">
        <v>44784</v>
      </c>
    </row>
    <row r="1812" spans="1:10" x14ac:dyDescent="0.35">
      <c r="A1812" s="2">
        <v>44779</v>
      </c>
      <c r="B1812" s="3">
        <v>0.6283333333333333</v>
      </c>
      <c r="C1812">
        <v>5730</v>
      </c>
      <c r="D1812" t="str">
        <f>VLOOKUP(H1812,Produkt!$A$2:$B$5,2,FALSE)</f>
        <v>C</v>
      </c>
      <c r="H1812">
        <v>3</v>
      </c>
      <c r="I1812">
        <v>0.1695601851851852</v>
      </c>
      <c r="J1812">
        <v>44790</v>
      </c>
    </row>
    <row r="1813" spans="1:10" x14ac:dyDescent="0.35">
      <c r="A1813" s="2">
        <v>44779</v>
      </c>
      <c r="B1813" s="3">
        <v>2.3425925925925961E-2</v>
      </c>
      <c r="C1813">
        <v>5788</v>
      </c>
      <c r="D1813" t="str">
        <f>VLOOKUP(H1813,Produkt!$A$2:$B$5,2,FALSE)</f>
        <v>D</v>
      </c>
      <c r="H1813">
        <v>4</v>
      </c>
      <c r="I1813">
        <v>0.92083333333333339</v>
      </c>
      <c r="J1813">
        <v>44790</v>
      </c>
    </row>
    <row r="1814" spans="1:10" x14ac:dyDescent="0.35">
      <c r="A1814" s="2">
        <v>44779</v>
      </c>
      <c r="B1814" s="3">
        <v>0.29847222222222219</v>
      </c>
      <c r="C1814">
        <v>5880</v>
      </c>
      <c r="D1814" t="str">
        <f>VLOOKUP(H1814,Produkt!$A$2:$B$5,2,FALSE)</f>
        <v>B</v>
      </c>
      <c r="H1814">
        <v>2</v>
      </c>
      <c r="I1814">
        <v>0.1910300925925926</v>
      </c>
      <c r="J1814">
        <v>44798</v>
      </c>
    </row>
    <row r="1815" spans="1:10" x14ac:dyDescent="0.35">
      <c r="A1815" s="2">
        <v>44779</v>
      </c>
      <c r="B1815" s="3">
        <v>0.98472222222222217</v>
      </c>
      <c r="C1815">
        <v>5896</v>
      </c>
      <c r="D1815" t="str">
        <f>VLOOKUP(H1815,Produkt!$A$2:$B$5,2,FALSE)</f>
        <v>C</v>
      </c>
      <c r="H1815">
        <v>3</v>
      </c>
      <c r="I1815">
        <v>0.82967592592592598</v>
      </c>
      <c r="J1815">
        <v>44801</v>
      </c>
    </row>
    <row r="1816" spans="1:10" x14ac:dyDescent="0.35">
      <c r="A1816" s="2">
        <v>44779</v>
      </c>
      <c r="B1816" s="3">
        <v>0.77631944444444445</v>
      </c>
      <c r="C1816">
        <v>5932</v>
      </c>
      <c r="D1816" t="str">
        <f>VLOOKUP(H1816,Produkt!$A$2:$B$5,2,FALSE)</f>
        <v>C</v>
      </c>
      <c r="H1816">
        <v>3</v>
      </c>
      <c r="I1816">
        <v>0.90268518518518526</v>
      </c>
      <c r="J1816">
        <v>44779</v>
      </c>
    </row>
    <row r="1817" spans="1:10" x14ac:dyDescent="0.35">
      <c r="A1817" s="2">
        <v>44779</v>
      </c>
      <c r="B1817" s="3">
        <v>0.50364583333333335</v>
      </c>
      <c r="C1817">
        <v>5957</v>
      </c>
      <c r="D1817" t="str">
        <f>VLOOKUP(H1817,Produkt!$A$2:$B$5,2,FALSE)</f>
        <v>D</v>
      </c>
      <c r="H1817">
        <v>4</v>
      </c>
      <c r="I1817">
        <v>0.9046412037037036</v>
      </c>
      <c r="J1817">
        <v>44802</v>
      </c>
    </row>
    <row r="1818" spans="1:10" x14ac:dyDescent="0.35">
      <c r="A1818" s="2">
        <v>44779</v>
      </c>
      <c r="B1818" s="3">
        <v>2.5115740740739856E-3</v>
      </c>
      <c r="C1818">
        <v>5964</v>
      </c>
      <c r="D1818" t="str">
        <f>VLOOKUP(H1818,Produkt!$A$2:$B$5,2,FALSE)</f>
        <v>A</v>
      </c>
      <c r="H1818">
        <v>1</v>
      </c>
      <c r="I1818">
        <v>0.58199074074074075</v>
      </c>
      <c r="J1818">
        <v>44786</v>
      </c>
    </row>
    <row r="1819" spans="1:10" x14ac:dyDescent="0.35">
      <c r="A1819" s="2">
        <v>44779</v>
      </c>
      <c r="B1819" s="3">
        <v>0.79995370370370367</v>
      </c>
      <c r="C1819">
        <v>6065</v>
      </c>
      <c r="D1819" t="str">
        <f>VLOOKUP(H1819,Produkt!$A$2:$B$5,2,FALSE)</f>
        <v>D</v>
      </c>
      <c r="H1819">
        <v>4</v>
      </c>
      <c r="I1819">
        <v>0.25003472222222223</v>
      </c>
      <c r="J1819">
        <v>44801</v>
      </c>
    </row>
    <row r="1820" spans="1:10" x14ac:dyDescent="0.35">
      <c r="A1820" s="2">
        <v>44779</v>
      </c>
      <c r="B1820" s="3">
        <v>0.79586805555555562</v>
      </c>
      <c r="C1820">
        <v>6073</v>
      </c>
      <c r="D1820" t="str">
        <f>VLOOKUP(H1820,Produkt!$A$2:$B$5,2,FALSE)</f>
        <v>C</v>
      </c>
      <c r="H1820">
        <v>3</v>
      </c>
      <c r="I1820">
        <v>0.46481481481481479</v>
      </c>
      <c r="J1820">
        <v>44793</v>
      </c>
    </row>
    <row r="1821" spans="1:10" x14ac:dyDescent="0.35">
      <c r="A1821" s="2">
        <v>44779</v>
      </c>
      <c r="B1821" s="3">
        <v>0.27002314814814815</v>
      </c>
      <c r="C1821">
        <v>6104</v>
      </c>
      <c r="D1821" t="str">
        <f>VLOOKUP(H1821,Produkt!$A$2:$B$5,2,FALSE)</f>
        <v>C</v>
      </c>
      <c r="H1821">
        <v>3</v>
      </c>
      <c r="I1821">
        <v>0.28077546296296296</v>
      </c>
      <c r="J1821">
        <v>44789</v>
      </c>
    </row>
    <row r="1822" spans="1:10" x14ac:dyDescent="0.35">
      <c r="A1822" s="2">
        <v>44779</v>
      </c>
      <c r="B1822" s="3">
        <v>0.46746527777777774</v>
      </c>
      <c r="C1822">
        <v>6113</v>
      </c>
      <c r="D1822" t="str">
        <f>VLOOKUP(H1822,Produkt!$A$2:$B$5,2,FALSE)</f>
        <v>D</v>
      </c>
      <c r="H1822">
        <v>4</v>
      </c>
      <c r="I1822">
        <v>0.96560185185185177</v>
      </c>
      <c r="J1822">
        <v>44774</v>
      </c>
    </row>
    <row r="1823" spans="1:10" x14ac:dyDescent="0.35">
      <c r="A1823" s="2">
        <v>44779</v>
      </c>
      <c r="B1823" s="3">
        <v>0.79932870370370368</v>
      </c>
      <c r="C1823">
        <v>6127</v>
      </c>
      <c r="D1823" t="str">
        <f>VLOOKUP(H1823,Produkt!$A$2:$B$5,2,FALSE)</f>
        <v>B</v>
      </c>
      <c r="H1823">
        <v>2</v>
      </c>
      <c r="I1823">
        <v>0.96048611111111104</v>
      </c>
      <c r="J1823">
        <v>44804</v>
      </c>
    </row>
    <row r="1824" spans="1:10" x14ac:dyDescent="0.35">
      <c r="A1824" s="2">
        <v>44779</v>
      </c>
      <c r="B1824" s="3">
        <v>0.75952546296296297</v>
      </c>
      <c r="C1824">
        <v>6130</v>
      </c>
      <c r="D1824" t="str">
        <f>VLOOKUP(H1824,Produkt!$A$2:$B$5,2,FALSE)</f>
        <v>D</v>
      </c>
      <c r="H1824">
        <v>4</v>
      </c>
      <c r="I1824">
        <v>0.53174768518518511</v>
      </c>
      <c r="J1824">
        <v>44801</v>
      </c>
    </row>
    <row r="1825" spans="1:10" x14ac:dyDescent="0.35">
      <c r="A1825" s="2">
        <v>44779</v>
      </c>
      <c r="B1825" s="3">
        <v>1.8275462962962896E-2</v>
      </c>
      <c r="C1825">
        <v>6132</v>
      </c>
      <c r="D1825" t="str">
        <f>VLOOKUP(H1825,Produkt!$A$2:$B$5,2,FALSE)</f>
        <v>A</v>
      </c>
      <c r="H1825">
        <v>1</v>
      </c>
      <c r="I1825">
        <v>6.1342592592592594E-2</v>
      </c>
      <c r="J1825">
        <v>44797</v>
      </c>
    </row>
    <row r="1826" spans="1:10" x14ac:dyDescent="0.35">
      <c r="A1826" s="2">
        <v>44779</v>
      </c>
      <c r="B1826" s="3">
        <v>0.97858796296296291</v>
      </c>
      <c r="C1826">
        <v>6170</v>
      </c>
      <c r="D1826" t="str">
        <f>VLOOKUP(H1826,Produkt!$A$2:$B$5,2,FALSE)</f>
        <v>B</v>
      </c>
      <c r="H1826">
        <v>2</v>
      </c>
      <c r="I1826">
        <v>4.2152777777777782E-2</v>
      </c>
      <c r="J1826">
        <v>44799</v>
      </c>
    </row>
    <row r="1827" spans="1:10" x14ac:dyDescent="0.35">
      <c r="A1827" s="2">
        <v>44779</v>
      </c>
      <c r="B1827" s="3">
        <v>7.9699074074074075E-2</v>
      </c>
      <c r="C1827">
        <v>6176</v>
      </c>
      <c r="D1827" t="str">
        <f>VLOOKUP(H1827,Produkt!$A$2:$B$5,2,FALSE)</f>
        <v>B</v>
      </c>
      <c r="H1827">
        <v>2</v>
      </c>
      <c r="I1827">
        <v>0.28376157407407404</v>
      </c>
      <c r="J1827">
        <v>44781</v>
      </c>
    </row>
    <row r="1828" spans="1:10" x14ac:dyDescent="0.35">
      <c r="A1828" s="2">
        <v>44779</v>
      </c>
      <c r="B1828" s="3">
        <v>6.548611111111112E-2</v>
      </c>
      <c r="C1828">
        <v>6195</v>
      </c>
      <c r="D1828" t="str">
        <f>VLOOKUP(H1828,Produkt!$A$2:$B$5,2,FALSE)</f>
        <v>C</v>
      </c>
      <c r="H1828">
        <v>3</v>
      </c>
      <c r="I1828">
        <v>0.15615740740740741</v>
      </c>
      <c r="J1828">
        <v>44786</v>
      </c>
    </row>
    <row r="1829" spans="1:10" x14ac:dyDescent="0.35">
      <c r="A1829" s="2">
        <v>44779</v>
      </c>
      <c r="B1829" s="3">
        <v>0.68096064814814816</v>
      </c>
      <c r="C1829">
        <v>6202</v>
      </c>
      <c r="D1829" t="str">
        <f>VLOOKUP(H1829,Produkt!$A$2:$B$5,2,FALSE)</f>
        <v>D</v>
      </c>
      <c r="H1829">
        <v>4</v>
      </c>
      <c r="I1829">
        <v>0.6289583333333334</v>
      </c>
      <c r="J1829">
        <v>44784</v>
      </c>
    </row>
    <row r="1830" spans="1:10" x14ac:dyDescent="0.35">
      <c r="A1830" s="2">
        <v>44779</v>
      </c>
      <c r="B1830" s="3">
        <v>0.16320601851851851</v>
      </c>
      <c r="C1830">
        <v>6209</v>
      </c>
      <c r="D1830" t="str">
        <f>VLOOKUP(H1830,Produkt!$A$2:$B$5,2,FALSE)</f>
        <v>B</v>
      </c>
      <c r="H1830">
        <v>2</v>
      </c>
      <c r="I1830">
        <v>0.73479166666666673</v>
      </c>
      <c r="J1830">
        <v>44794</v>
      </c>
    </row>
    <row r="1831" spans="1:10" x14ac:dyDescent="0.35">
      <c r="A1831" s="2">
        <v>44779</v>
      </c>
      <c r="B1831" s="3">
        <v>0.38173611111111111</v>
      </c>
      <c r="C1831">
        <v>6219</v>
      </c>
      <c r="D1831" t="str">
        <f>VLOOKUP(H1831,Produkt!$A$2:$B$5,2,FALSE)</f>
        <v>D</v>
      </c>
      <c r="H1831">
        <v>4</v>
      </c>
      <c r="I1831">
        <v>0.46222222222222226</v>
      </c>
      <c r="J1831">
        <v>44778</v>
      </c>
    </row>
    <row r="1832" spans="1:10" x14ac:dyDescent="0.35">
      <c r="A1832" s="2">
        <v>44779</v>
      </c>
      <c r="B1832" s="3">
        <v>0.71965277777777781</v>
      </c>
      <c r="C1832">
        <v>6225</v>
      </c>
      <c r="D1832" t="str">
        <f>VLOOKUP(H1832,Produkt!$A$2:$B$5,2,FALSE)</f>
        <v>A</v>
      </c>
      <c r="H1832">
        <v>1</v>
      </c>
      <c r="I1832">
        <v>0.30175925925925923</v>
      </c>
      <c r="J1832">
        <v>44781</v>
      </c>
    </row>
    <row r="1833" spans="1:10" x14ac:dyDescent="0.35">
      <c r="A1833" s="2">
        <v>44779</v>
      </c>
      <c r="B1833" s="3">
        <v>0.47923611111111114</v>
      </c>
      <c r="C1833">
        <v>6231</v>
      </c>
      <c r="D1833" t="str">
        <f>VLOOKUP(H1833,Produkt!$A$2:$B$5,2,FALSE)</f>
        <v>C</v>
      </c>
      <c r="H1833">
        <v>3</v>
      </c>
      <c r="I1833">
        <v>0.37459490740740736</v>
      </c>
      <c r="J1833">
        <v>44780</v>
      </c>
    </row>
    <row r="1834" spans="1:10" x14ac:dyDescent="0.35">
      <c r="A1834" s="2">
        <v>44779</v>
      </c>
      <c r="B1834" s="3">
        <v>0.52377314814814813</v>
      </c>
      <c r="C1834">
        <v>6242</v>
      </c>
      <c r="D1834" t="str">
        <f>VLOOKUP(H1834,Produkt!$A$2:$B$5,2,FALSE)</f>
        <v>D</v>
      </c>
      <c r="H1834">
        <v>4</v>
      </c>
      <c r="I1834">
        <v>0.82150462962962967</v>
      </c>
      <c r="J1834">
        <v>44800</v>
      </c>
    </row>
    <row r="1835" spans="1:10" x14ac:dyDescent="0.35">
      <c r="A1835" s="2">
        <v>44779</v>
      </c>
      <c r="B1835" s="3">
        <v>6.7627314814814821E-2</v>
      </c>
      <c r="C1835">
        <v>6243</v>
      </c>
      <c r="D1835" t="str">
        <f>VLOOKUP(H1835,Produkt!$A$2:$B$5,2,FALSE)</f>
        <v>A</v>
      </c>
      <c r="H1835">
        <v>1</v>
      </c>
      <c r="I1835">
        <v>0.72696759259259258</v>
      </c>
      <c r="J1835">
        <v>44779</v>
      </c>
    </row>
    <row r="1836" spans="1:10" x14ac:dyDescent="0.35">
      <c r="A1836" s="2">
        <v>44779</v>
      </c>
      <c r="B1836" s="3">
        <v>0.83327546296296295</v>
      </c>
      <c r="C1836">
        <v>6275</v>
      </c>
      <c r="D1836" t="str">
        <f>VLOOKUP(H1836,Produkt!$A$2:$B$5,2,FALSE)</f>
        <v>D</v>
      </c>
      <c r="H1836">
        <v>4</v>
      </c>
      <c r="I1836">
        <v>2.2175925925925929E-2</v>
      </c>
      <c r="J1836">
        <v>44785</v>
      </c>
    </row>
    <row r="1837" spans="1:10" x14ac:dyDescent="0.35">
      <c r="A1837" s="2">
        <v>44779</v>
      </c>
      <c r="B1837" s="3">
        <v>0.26861111111111108</v>
      </c>
      <c r="C1837">
        <v>6349</v>
      </c>
      <c r="D1837" t="str">
        <f>VLOOKUP(H1837,Produkt!$A$2:$B$5,2,FALSE)</f>
        <v>D</v>
      </c>
      <c r="H1837">
        <v>4</v>
      </c>
      <c r="I1837">
        <v>0.7402777777777777</v>
      </c>
      <c r="J1837">
        <v>44781</v>
      </c>
    </row>
    <row r="1838" spans="1:10" x14ac:dyDescent="0.35">
      <c r="A1838" s="2">
        <v>44779</v>
      </c>
      <c r="B1838" s="3">
        <v>0.37495370370370368</v>
      </c>
      <c r="C1838">
        <v>6372</v>
      </c>
      <c r="D1838" t="str">
        <f>VLOOKUP(H1838,Produkt!$A$2:$B$5,2,FALSE)</f>
        <v>B</v>
      </c>
      <c r="H1838">
        <v>2</v>
      </c>
      <c r="I1838">
        <v>0.97756944444444438</v>
      </c>
      <c r="J1838">
        <v>44783</v>
      </c>
    </row>
    <row r="1839" spans="1:10" x14ac:dyDescent="0.35">
      <c r="A1839" s="2">
        <v>44779</v>
      </c>
      <c r="B1839" s="3">
        <v>0.30959490740740742</v>
      </c>
      <c r="C1839">
        <v>6378</v>
      </c>
      <c r="D1839" t="str">
        <f>VLOOKUP(H1839,Produkt!$A$2:$B$5,2,FALSE)</f>
        <v>C</v>
      </c>
      <c r="H1839">
        <v>3</v>
      </c>
      <c r="I1839">
        <v>0.66013888888888894</v>
      </c>
      <c r="J1839">
        <v>44795</v>
      </c>
    </row>
    <row r="1840" spans="1:10" x14ac:dyDescent="0.35">
      <c r="A1840" s="2">
        <v>44779</v>
      </c>
      <c r="B1840" s="3">
        <v>4.7997685185185185E-2</v>
      </c>
      <c r="C1840">
        <v>6387</v>
      </c>
      <c r="D1840" t="str">
        <f>VLOOKUP(H1840,Produkt!$A$2:$B$5,2,FALSE)</f>
        <v>C</v>
      </c>
      <c r="H1840">
        <v>3</v>
      </c>
      <c r="I1840">
        <v>0.56344907407407407</v>
      </c>
      <c r="J1840">
        <v>44799</v>
      </c>
    </row>
    <row r="1841" spans="1:10" x14ac:dyDescent="0.35">
      <c r="A1841" s="2">
        <v>44779</v>
      </c>
      <c r="B1841" s="3">
        <v>7.9398148148148717E-3</v>
      </c>
      <c r="C1841">
        <v>6424</v>
      </c>
      <c r="D1841" t="str">
        <f>VLOOKUP(H1841,Produkt!$A$2:$B$5,2,FALSE)</f>
        <v>C</v>
      </c>
      <c r="H1841">
        <v>3</v>
      </c>
      <c r="I1841">
        <v>7.2916666666666659E-3</v>
      </c>
      <c r="J1841">
        <v>44798</v>
      </c>
    </row>
    <row r="1842" spans="1:10" x14ac:dyDescent="0.35">
      <c r="A1842" s="2">
        <v>44779</v>
      </c>
      <c r="B1842" s="3">
        <v>0.80415509259259255</v>
      </c>
      <c r="C1842">
        <v>6514</v>
      </c>
      <c r="D1842" t="str">
        <f>VLOOKUP(H1842,Produkt!$A$2:$B$5,2,FALSE)</f>
        <v>A</v>
      </c>
      <c r="H1842">
        <v>1</v>
      </c>
      <c r="I1842">
        <v>0.11434027777777778</v>
      </c>
      <c r="J1842">
        <v>44787</v>
      </c>
    </row>
    <row r="1843" spans="1:10" x14ac:dyDescent="0.35">
      <c r="A1843" s="2">
        <v>44779</v>
      </c>
      <c r="B1843" s="3">
        <v>0.53467592592592594</v>
      </c>
      <c r="C1843">
        <v>6521</v>
      </c>
      <c r="D1843" t="str">
        <f>VLOOKUP(H1843,Produkt!$A$2:$B$5,2,FALSE)</f>
        <v>A</v>
      </c>
      <c r="H1843">
        <v>1</v>
      </c>
      <c r="I1843">
        <v>0.37170138888888887</v>
      </c>
      <c r="J1843">
        <v>44779</v>
      </c>
    </row>
    <row r="1844" spans="1:10" x14ac:dyDescent="0.35">
      <c r="A1844" s="2">
        <v>44779</v>
      </c>
      <c r="B1844" s="3">
        <v>0.44081018518518517</v>
      </c>
      <c r="C1844">
        <v>6543</v>
      </c>
      <c r="D1844" t="str">
        <f>VLOOKUP(H1844,Produkt!$A$2:$B$5,2,FALSE)</f>
        <v>C</v>
      </c>
      <c r="H1844">
        <v>3</v>
      </c>
      <c r="I1844">
        <v>0.77097222222222228</v>
      </c>
      <c r="J1844">
        <v>44779</v>
      </c>
    </row>
    <row r="1845" spans="1:10" x14ac:dyDescent="0.35">
      <c r="A1845" s="2">
        <v>44779</v>
      </c>
      <c r="B1845" s="3">
        <v>0.77880787037037036</v>
      </c>
      <c r="C1845">
        <v>6551</v>
      </c>
      <c r="D1845" t="str">
        <f>VLOOKUP(H1845,Produkt!$A$2:$B$5,2,FALSE)</f>
        <v>A</v>
      </c>
      <c r="H1845">
        <v>1</v>
      </c>
      <c r="I1845">
        <v>0.10129629629629629</v>
      </c>
      <c r="J1845">
        <v>44787</v>
      </c>
    </row>
    <row r="1846" spans="1:10" x14ac:dyDescent="0.35">
      <c r="A1846" s="2">
        <v>44779</v>
      </c>
      <c r="B1846" s="3">
        <v>0.78046296296296302</v>
      </c>
      <c r="C1846">
        <v>6552</v>
      </c>
      <c r="D1846" t="str">
        <f>VLOOKUP(H1846,Produkt!$A$2:$B$5,2,FALSE)</f>
        <v>A</v>
      </c>
      <c r="H1846">
        <v>1</v>
      </c>
      <c r="I1846">
        <v>0.14189814814814813</v>
      </c>
      <c r="J1846">
        <v>44790</v>
      </c>
    </row>
    <row r="1847" spans="1:10" x14ac:dyDescent="0.35">
      <c r="A1847" s="2">
        <v>44779</v>
      </c>
      <c r="B1847" s="3">
        <v>0.91872685185185177</v>
      </c>
      <c r="C1847">
        <v>6606</v>
      </c>
      <c r="D1847" t="str">
        <f>VLOOKUP(H1847,Produkt!$A$2:$B$5,2,FALSE)</f>
        <v>D</v>
      </c>
      <c r="H1847">
        <v>4</v>
      </c>
      <c r="I1847">
        <v>6.8981481481481477E-2</v>
      </c>
      <c r="J1847">
        <v>44789</v>
      </c>
    </row>
    <row r="1848" spans="1:10" x14ac:dyDescent="0.35">
      <c r="A1848" s="2">
        <v>44779</v>
      </c>
      <c r="B1848" s="3">
        <v>0.15494212962962964</v>
      </c>
      <c r="C1848">
        <v>6628</v>
      </c>
      <c r="D1848" t="str">
        <f>VLOOKUP(H1848,Produkt!$A$2:$B$5,2,FALSE)</f>
        <v>C</v>
      </c>
      <c r="H1848">
        <v>3</v>
      </c>
      <c r="I1848">
        <v>0.53907407407407404</v>
      </c>
      <c r="J1848">
        <v>44794</v>
      </c>
    </row>
    <row r="1849" spans="1:10" x14ac:dyDescent="0.35">
      <c r="A1849" s="2">
        <v>44779</v>
      </c>
      <c r="B1849" s="3">
        <v>0.77105324074074078</v>
      </c>
      <c r="C1849">
        <v>6647</v>
      </c>
      <c r="D1849" t="str">
        <f>VLOOKUP(H1849,Produkt!$A$2:$B$5,2,FALSE)</f>
        <v>A</v>
      </c>
      <c r="H1849">
        <v>1</v>
      </c>
      <c r="I1849">
        <v>0.45969907407407407</v>
      </c>
      <c r="J1849">
        <v>44803</v>
      </c>
    </row>
    <row r="1850" spans="1:10" x14ac:dyDescent="0.35">
      <c r="A1850" s="2">
        <v>44779</v>
      </c>
      <c r="B1850" s="3">
        <v>0.13282407407407407</v>
      </c>
      <c r="C1850">
        <v>6694</v>
      </c>
      <c r="D1850" t="str">
        <f>VLOOKUP(H1850,Produkt!$A$2:$B$5,2,FALSE)</f>
        <v>C</v>
      </c>
      <c r="H1850">
        <v>3</v>
      </c>
      <c r="I1850">
        <v>0.86127314814814815</v>
      </c>
      <c r="J1850">
        <v>44790</v>
      </c>
    </row>
    <row r="1851" spans="1:10" x14ac:dyDescent="0.35">
      <c r="A1851" s="2">
        <v>44779</v>
      </c>
      <c r="B1851" s="3">
        <v>5.7233796296296297E-2</v>
      </c>
      <c r="C1851">
        <v>6736</v>
      </c>
      <c r="D1851" t="str">
        <f>VLOOKUP(H1851,Produkt!$A$2:$B$5,2,FALSE)</f>
        <v>D</v>
      </c>
      <c r="H1851">
        <v>4</v>
      </c>
      <c r="I1851">
        <v>0.50875000000000004</v>
      </c>
      <c r="J1851">
        <v>44802</v>
      </c>
    </row>
    <row r="1852" spans="1:10" x14ac:dyDescent="0.35">
      <c r="A1852" s="2">
        <v>44779</v>
      </c>
      <c r="B1852" s="3">
        <v>0.58280092592592592</v>
      </c>
      <c r="C1852">
        <v>6751</v>
      </c>
      <c r="D1852" t="str">
        <f>VLOOKUP(H1852,Produkt!$A$2:$B$5,2,FALSE)</f>
        <v>A</v>
      </c>
      <c r="H1852">
        <v>1</v>
      </c>
      <c r="I1852">
        <v>0.74753472222222228</v>
      </c>
      <c r="J1852">
        <v>44786</v>
      </c>
    </row>
    <row r="1853" spans="1:10" x14ac:dyDescent="0.35">
      <c r="A1853" s="2">
        <v>44779</v>
      </c>
      <c r="B1853" s="3">
        <v>0.76659722222222226</v>
      </c>
      <c r="C1853">
        <v>6752</v>
      </c>
      <c r="D1853" t="str">
        <f>VLOOKUP(H1853,Produkt!$A$2:$B$5,2,FALSE)</f>
        <v>A</v>
      </c>
      <c r="H1853">
        <v>1</v>
      </c>
      <c r="I1853">
        <v>8.8437500000000002E-2</v>
      </c>
      <c r="J1853">
        <v>44802</v>
      </c>
    </row>
    <row r="1854" spans="1:10" x14ac:dyDescent="0.35">
      <c r="A1854" s="2">
        <v>44779</v>
      </c>
      <c r="B1854" s="3">
        <v>0.30728009259259259</v>
      </c>
      <c r="C1854">
        <v>6788</v>
      </c>
      <c r="D1854" t="str">
        <f>VLOOKUP(H1854,Produkt!$A$2:$B$5,2,FALSE)</f>
        <v>A</v>
      </c>
      <c r="H1854">
        <v>1</v>
      </c>
      <c r="I1854">
        <v>9.0578703703703703E-2</v>
      </c>
      <c r="J1854">
        <v>44791</v>
      </c>
    </row>
    <row r="1855" spans="1:10" x14ac:dyDescent="0.35">
      <c r="A1855" s="2">
        <v>44779</v>
      </c>
      <c r="B1855" s="3">
        <v>0.99024305555555558</v>
      </c>
      <c r="C1855">
        <v>6818</v>
      </c>
      <c r="D1855" t="str">
        <f>VLOOKUP(H1855,Produkt!$A$2:$B$5,2,FALSE)</f>
        <v>C</v>
      </c>
      <c r="H1855">
        <v>3</v>
      </c>
      <c r="I1855">
        <v>0.77731481481481479</v>
      </c>
      <c r="J1855">
        <v>44777</v>
      </c>
    </row>
    <row r="1856" spans="1:10" x14ac:dyDescent="0.35">
      <c r="A1856" s="2">
        <v>44779</v>
      </c>
      <c r="B1856" s="3">
        <v>0.57732638888888888</v>
      </c>
      <c r="C1856">
        <v>6823</v>
      </c>
      <c r="D1856" t="str">
        <f>VLOOKUP(H1856,Produkt!$A$2:$B$5,2,FALSE)</f>
        <v>B</v>
      </c>
      <c r="H1856">
        <v>2</v>
      </c>
      <c r="I1856">
        <v>0.75733796296296296</v>
      </c>
      <c r="J1856">
        <v>44804</v>
      </c>
    </row>
    <row r="1857" spans="1:10" x14ac:dyDescent="0.35">
      <c r="A1857" s="2">
        <v>44779</v>
      </c>
      <c r="B1857" s="3">
        <v>0.94870370370370372</v>
      </c>
      <c r="C1857">
        <v>6824</v>
      </c>
      <c r="D1857" t="str">
        <f>VLOOKUP(H1857,Produkt!$A$2:$B$5,2,FALSE)</f>
        <v>D</v>
      </c>
      <c r="H1857">
        <v>4</v>
      </c>
      <c r="I1857">
        <v>1.0416666666666741E-2</v>
      </c>
      <c r="J1857">
        <v>44784</v>
      </c>
    </row>
    <row r="1858" spans="1:10" x14ac:dyDescent="0.35">
      <c r="A1858" s="2">
        <v>44779</v>
      </c>
      <c r="B1858" s="3">
        <v>0.64864583333333337</v>
      </c>
      <c r="C1858">
        <v>6850</v>
      </c>
      <c r="D1858" t="str">
        <f>VLOOKUP(H1858,Produkt!$A$2:$B$5,2,FALSE)</f>
        <v>D</v>
      </c>
      <c r="H1858">
        <v>4</v>
      </c>
      <c r="I1858">
        <v>0.17938657407407407</v>
      </c>
      <c r="J1858">
        <v>44788</v>
      </c>
    </row>
    <row r="1859" spans="1:10" x14ac:dyDescent="0.35">
      <c r="A1859" s="2">
        <v>44779</v>
      </c>
      <c r="B1859" s="3">
        <v>2.7175925925925926E-2</v>
      </c>
      <c r="C1859">
        <v>6857</v>
      </c>
      <c r="D1859" t="str">
        <f>VLOOKUP(H1859,Produkt!$A$2:$B$5,2,FALSE)</f>
        <v>C</v>
      </c>
      <c r="H1859">
        <v>3</v>
      </c>
      <c r="I1859">
        <v>0.9746527777777777</v>
      </c>
      <c r="J1859">
        <v>44800</v>
      </c>
    </row>
    <row r="1860" spans="1:10" x14ac:dyDescent="0.35">
      <c r="A1860" s="2">
        <v>44779</v>
      </c>
      <c r="B1860" s="3">
        <v>0.913599537037037</v>
      </c>
      <c r="C1860">
        <v>6884</v>
      </c>
      <c r="D1860" t="str">
        <f>VLOOKUP(H1860,Produkt!$A$2:$B$5,2,FALSE)</f>
        <v>A</v>
      </c>
      <c r="H1860">
        <v>1</v>
      </c>
      <c r="I1860">
        <v>0.80982638888888892</v>
      </c>
      <c r="J1860">
        <v>44780</v>
      </c>
    </row>
    <row r="1861" spans="1:10" x14ac:dyDescent="0.35">
      <c r="A1861" s="2">
        <v>44779</v>
      </c>
      <c r="B1861" s="3">
        <v>3.2812500000000133E-2</v>
      </c>
      <c r="C1861">
        <v>6891</v>
      </c>
      <c r="D1861" t="str">
        <f>VLOOKUP(H1861,Produkt!$A$2:$B$5,2,FALSE)</f>
        <v>A</v>
      </c>
      <c r="H1861">
        <v>1</v>
      </c>
      <c r="I1861">
        <v>2.3472222222222117E-2</v>
      </c>
      <c r="J1861">
        <v>44800</v>
      </c>
    </row>
    <row r="1862" spans="1:10" x14ac:dyDescent="0.35">
      <c r="A1862" s="2">
        <v>44779</v>
      </c>
      <c r="B1862" s="3">
        <v>0.54770833333333335</v>
      </c>
      <c r="C1862">
        <v>6907</v>
      </c>
      <c r="D1862" t="str">
        <f>VLOOKUP(H1862,Produkt!$A$2:$B$5,2,FALSE)</f>
        <v>D</v>
      </c>
      <c r="H1862">
        <v>4</v>
      </c>
      <c r="I1862">
        <v>0.82405092592592588</v>
      </c>
      <c r="J1862">
        <v>44786</v>
      </c>
    </row>
    <row r="1863" spans="1:10" x14ac:dyDescent="0.35">
      <c r="A1863" s="2">
        <v>44779</v>
      </c>
      <c r="B1863" s="3">
        <v>0.2600925925925926</v>
      </c>
      <c r="C1863">
        <v>6979</v>
      </c>
      <c r="D1863" t="str">
        <f>VLOOKUP(H1863,Produkt!$A$2:$B$5,2,FALSE)</f>
        <v>A</v>
      </c>
      <c r="H1863">
        <v>1</v>
      </c>
      <c r="I1863">
        <v>0.87217592592592597</v>
      </c>
      <c r="J1863">
        <v>44804</v>
      </c>
    </row>
    <row r="1864" spans="1:10" x14ac:dyDescent="0.35">
      <c r="A1864" s="2">
        <v>44779</v>
      </c>
      <c r="B1864" s="3">
        <v>0.70491898148148147</v>
      </c>
      <c r="C1864">
        <v>7008</v>
      </c>
      <c r="D1864" t="str">
        <f>VLOOKUP(H1864,Produkt!$A$2:$B$5,2,FALSE)</f>
        <v>B</v>
      </c>
      <c r="H1864">
        <v>2</v>
      </c>
      <c r="I1864">
        <v>4.0648148148148149E-2</v>
      </c>
      <c r="J1864">
        <v>44802</v>
      </c>
    </row>
    <row r="1865" spans="1:10" x14ac:dyDescent="0.35">
      <c r="A1865" s="2">
        <v>44779</v>
      </c>
      <c r="B1865" s="3">
        <v>0.21136574074074074</v>
      </c>
      <c r="C1865">
        <v>7119</v>
      </c>
      <c r="D1865" t="str">
        <f>VLOOKUP(H1865,Produkt!$A$2:$B$5,2,FALSE)</f>
        <v>C</v>
      </c>
      <c r="H1865">
        <v>3</v>
      </c>
      <c r="I1865">
        <v>0.58188657407407407</v>
      </c>
      <c r="J1865">
        <v>44776</v>
      </c>
    </row>
    <row r="1866" spans="1:10" x14ac:dyDescent="0.35">
      <c r="A1866" s="2">
        <v>44779</v>
      </c>
      <c r="B1866" s="3">
        <v>0.11623842592592593</v>
      </c>
      <c r="C1866">
        <v>7126</v>
      </c>
      <c r="D1866" t="str">
        <f>VLOOKUP(H1866,Produkt!$A$2:$B$5,2,FALSE)</f>
        <v>A</v>
      </c>
      <c r="H1866">
        <v>1</v>
      </c>
      <c r="I1866">
        <v>0.41270833333333329</v>
      </c>
      <c r="J1866">
        <v>44786</v>
      </c>
    </row>
    <row r="1867" spans="1:10" x14ac:dyDescent="0.35">
      <c r="A1867" s="2">
        <v>44779</v>
      </c>
      <c r="B1867" s="3">
        <v>0.1630787037037037</v>
      </c>
      <c r="C1867">
        <v>7182</v>
      </c>
      <c r="D1867" t="str">
        <f>VLOOKUP(H1867,Produkt!$A$2:$B$5,2,FALSE)</f>
        <v>D</v>
      </c>
      <c r="H1867">
        <v>4</v>
      </c>
      <c r="I1867">
        <v>0.23086805555555556</v>
      </c>
      <c r="J1867">
        <v>44788</v>
      </c>
    </row>
    <row r="1868" spans="1:10" x14ac:dyDescent="0.35">
      <c r="A1868" s="2">
        <v>44779</v>
      </c>
      <c r="B1868" s="3">
        <v>0.54509259259259257</v>
      </c>
      <c r="C1868">
        <v>7183</v>
      </c>
      <c r="D1868" t="str">
        <f>VLOOKUP(H1868,Produkt!$A$2:$B$5,2,FALSE)</f>
        <v>A</v>
      </c>
      <c r="H1868">
        <v>1</v>
      </c>
      <c r="I1868">
        <v>0.26394675925925926</v>
      </c>
      <c r="J1868">
        <v>44804</v>
      </c>
    </row>
    <row r="1869" spans="1:10" x14ac:dyDescent="0.35">
      <c r="A1869" s="2">
        <v>44779</v>
      </c>
      <c r="B1869" s="3">
        <v>7.4942129629629636E-2</v>
      </c>
      <c r="C1869">
        <v>7235</v>
      </c>
      <c r="D1869" t="str">
        <f>VLOOKUP(H1869,Produkt!$A$2:$B$5,2,FALSE)</f>
        <v>A</v>
      </c>
      <c r="H1869">
        <v>1</v>
      </c>
      <c r="I1869">
        <v>0.58468750000000003</v>
      </c>
      <c r="J1869">
        <v>44779</v>
      </c>
    </row>
    <row r="1870" spans="1:10" x14ac:dyDescent="0.35">
      <c r="A1870" s="2">
        <v>44779</v>
      </c>
      <c r="B1870" s="3">
        <v>0.83077546296296301</v>
      </c>
      <c r="C1870">
        <v>7241</v>
      </c>
      <c r="D1870" t="str">
        <f>VLOOKUP(H1870,Produkt!$A$2:$B$5,2,FALSE)</f>
        <v>C</v>
      </c>
      <c r="H1870">
        <v>3</v>
      </c>
      <c r="I1870">
        <v>0.56913194444444437</v>
      </c>
      <c r="J1870">
        <v>44785</v>
      </c>
    </row>
    <row r="1871" spans="1:10" x14ac:dyDescent="0.35">
      <c r="A1871" s="2">
        <v>44779</v>
      </c>
      <c r="B1871" s="3">
        <v>0.21585648148148148</v>
      </c>
      <c r="C1871">
        <v>7293</v>
      </c>
      <c r="D1871" t="str">
        <f>VLOOKUP(H1871,Produkt!$A$2:$B$5,2,FALSE)</f>
        <v>A</v>
      </c>
      <c r="H1871">
        <v>1</v>
      </c>
      <c r="I1871">
        <v>4.8506944444444443E-2</v>
      </c>
      <c r="J1871">
        <v>44796</v>
      </c>
    </row>
    <row r="1872" spans="1:10" x14ac:dyDescent="0.35">
      <c r="A1872" s="2">
        <v>44779</v>
      </c>
      <c r="B1872" s="3">
        <v>0.20215277777777776</v>
      </c>
      <c r="C1872">
        <v>7314</v>
      </c>
      <c r="D1872" t="str">
        <f>VLOOKUP(H1872,Produkt!$A$2:$B$5,2,FALSE)</f>
        <v>A</v>
      </c>
      <c r="H1872">
        <v>1</v>
      </c>
      <c r="I1872">
        <v>0.25641203703703702</v>
      </c>
      <c r="J1872">
        <v>44788</v>
      </c>
    </row>
    <row r="1873" spans="1:10" x14ac:dyDescent="0.35">
      <c r="A1873" s="2">
        <v>44779</v>
      </c>
      <c r="B1873" s="3">
        <v>0.92976851851851849</v>
      </c>
      <c r="C1873">
        <v>7325</v>
      </c>
      <c r="D1873" t="str">
        <f>VLOOKUP(H1873,Produkt!$A$2:$B$5,2,FALSE)</f>
        <v>A</v>
      </c>
      <c r="H1873">
        <v>1</v>
      </c>
      <c r="I1873">
        <v>0.5549884259259259</v>
      </c>
      <c r="J1873">
        <v>44793</v>
      </c>
    </row>
    <row r="1874" spans="1:10" x14ac:dyDescent="0.35">
      <c r="A1874" s="2">
        <v>44779</v>
      </c>
      <c r="B1874" s="3">
        <v>0.19087962962962965</v>
      </c>
      <c r="C1874">
        <v>7357</v>
      </c>
      <c r="D1874" t="str">
        <f>VLOOKUP(H1874,Produkt!$A$2:$B$5,2,FALSE)</f>
        <v>A</v>
      </c>
      <c r="H1874">
        <v>1</v>
      </c>
      <c r="I1874">
        <v>0.28502314814814816</v>
      </c>
      <c r="J1874">
        <v>44777</v>
      </c>
    </row>
    <row r="1875" spans="1:10" x14ac:dyDescent="0.35">
      <c r="A1875" s="2">
        <v>44779</v>
      </c>
      <c r="B1875" s="3">
        <v>0.30765046296296295</v>
      </c>
      <c r="C1875">
        <v>7368</v>
      </c>
      <c r="D1875" t="str">
        <f>VLOOKUP(H1875,Produkt!$A$2:$B$5,2,FALSE)</f>
        <v>D</v>
      </c>
      <c r="H1875">
        <v>4</v>
      </c>
      <c r="I1875">
        <v>0.21111111111111111</v>
      </c>
      <c r="J1875">
        <v>44798</v>
      </c>
    </row>
    <row r="1876" spans="1:10" x14ac:dyDescent="0.35">
      <c r="A1876" s="2">
        <v>44779</v>
      </c>
      <c r="B1876" s="3">
        <v>0.65150462962962963</v>
      </c>
      <c r="C1876">
        <v>7427</v>
      </c>
      <c r="D1876" t="str">
        <f>VLOOKUP(H1876,Produkt!$A$2:$B$5,2,FALSE)</f>
        <v>D</v>
      </c>
      <c r="H1876">
        <v>4</v>
      </c>
      <c r="I1876">
        <v>0.22844907407407408</v>
      </c>
      <c r="J1876">
        <v>44801</v>
      </c>
    </row>
    <row r="1877" spans="1:10" x14ac:dyDescent="0.35">
      <c r="A1877" s="2">
        <v>44779</v>
      </c>
      <c r="B1877" s="3">
        <v>0.25626157407407407</v>
      </c>
      <c r="C1877">
        <v>7431</v>
      </c>
      <c r="D1877" t="str">
        <f>VLOOKUP(H1877,Produkt!$A$2:$B$5,2,FALSE)</f>
        <v>A</v>
      </c>
      <c r="H1877">
        <v>1</v>
      </c>
      <c r="I1877">
        <v>0.46348379629629632</v>
      </c>
      <c r="J1877">
        <v>44793</v>
      </c>
    </row>
    <row r="1878" spans="1:10" x14ac:dyDescent="0.35">
      <c r="A1878" s="2">
        <v>44779</v>
      </c>
      <c r="B1878" s="3">
        <v>3.2326388888888946E-2</v>
      </c>
      <c r="C1878">
        <v>7475</v>
      </c>
      <c r="D1878" t="str">
        <f>VLOOKUP(H1878,Produkt!$A$2:$B$5,2,FALSE)</f>
        <v>C</v>
      </c>
      <c r="H1878">
        <v>3</v>
      </c>
      <c r="I1878">
        <v>8.8530092592592591E-2</v>
      </c>
      <c r="J1878">
        <v>44792</v>
      </c>
    </row>
    <row r="1879" spans="1:10" x14ac:dyDescent="0.35">
      <c r="A1879" s="2">
        <v>44779</v>
      </c>
      <c r="B1879" s="3">
        <v>0.90165509259259258</v>
      </c>
      <c r="C1879">
        <v>7478</v>
      </c>
      <c r="D1879" t="str">
        <f>VLOOKUP(H1879,Produkt!$A$2:$B$5,2,FALSE)</f>
        <v>B</v>
      </c>
      <c r="H1879">
        <v>2</v>
      </c>
      <c r="I1879">
        <v>3.1192129629629584E-2</v>
      </c>
      <c r="J1879">
        <v>44792</v>
      </c>
    </row>
    <row r="1880" spans="1:10" x14ac:dyDescent="0.35">
      <c r="A1880" s="2">
        <v>44779</v>
      </c>
      <c r="B1880" s="3">
        <v>0.94313657407407403</v>
      </c>
      <c r="C1880">
        <v>7513</v>
      </c>
      <c r="D1880" t="str">
        <f>VLOOKUP(H1880,Produkt!$A$2:$B$5,2,FALSE)</f>
        <v>D</v>
      </c>
      <c r="H1880">
        <v>4</v>
      </c>
      <c r="I1880">
        <v>0.52370370370370367</v>
      </c>
      <c r="J1880">
        <v>44777</v>
      </c>
    </row>
    <row r="1881" spans="1:10" x14ac:dyDescent="0.35">
      <c r="A1881" s="2">
        <v>44779</v>
      </c>
      <c r="B1881" s="3">
        <v>0.28162037037037035</v>
      </c>
      <c r="C1881">
        <v>7540</v>
      </c>
      <c r="D1881" t="str">
        <f>VLOOKUP(H1881,Produkt!$A$2:$B$5,2,FALSE)</f>
        <v>D</v>
      </c>
      <c r="H1881">
        <v>4</v>
      </c>
      <c r="I1881">
        <v>0.99319444444444438</v>
      </c>
      <c r="J1881">
        <v>44792</v>
      </c>
    </row>
    <row r="1882" spans="1:10" x14ac:dyDescent="0.35">
      <c r="A1882" s="2">
        <v>44779</v>
      </c>
      <c r="B1882" s="3">
        <v>0.84407407407407409</v>
      </c>
      <c r="C1882">
        <v>7545</v>
      </c>
      <c r="D1882" t="str">
        <f>VLOOKUP(H1882,Produkt!$A$2:$B$5,2,FALSE)</f>
        <v>B</v>
      </c>
      <c r="H1882">
        <v>2</v>
      </c>
      <c r="I1882">
        <v>0.70876157407407403</v>
      </c>
      <c r="J1882">
        <v>44781</v>
      </c>
    </row>
    <row r="1883" spans="1:10" x14ac:dyDescent="0.35">
      <c r="A1883" s="2">
        <v>44779</v>
      </c>
      <c r="B1883" s="3">
        <v>0.25152777777777779</v>
      </c>
      <c r="C1883">
        <v>7673</v>
      </c>
      <c r="D1883" t="str">
        <f>VLOOKUP(H1883,Produkt!$A$2:$B$5,2,FALSE)</f>
        <v>A</v>
      </c>
      <c r="H1883">
        <v>1</v>
      </c>
      <c r="I1883">
        <v>0.94545138888888891</v>
      </c>
      <c r="J1883">
        <v>44793</v>
      </c>
    </row>
    <row r="1884" spans="1:10" x14ac:dyDescent="0.35">
      <c r="A1884" s="2">
        <v>44779</v>
      </c>
      <c r="B1884" s="3">
        <v>0.26247685185185182</v>
      </c>
      <c r="C1884">
        <v>7746</v>
      </c>
      <c r="D1884" t="str">
        <f>VLOOKUP(H1884,Produkt!$A$2:$B$5,2,FALSE)</f>
        <v>A</v>
      </c>
      <c r="H1884">
        <v>1</v>
      </c>
      <c r="I1884">
        <v>0.37112268518518521</v>
      </c>
      <c r="J1884">
        <v>44776</v>
      </c>
    </row>
    <row r="1885" spans="1:10" x14ac:dyDescent="0.35">
      <c r="A1885" s="2">
        <v>44779</v>
      </c>
      <c r="B1885" s="3">
        <v>0.45729166666666665</v>
      </c>
      <c r="C1885">
        <v>7802</v>
      </c>
      <c r="D1885" t="str">
        <f>VLOOKUP(H1885,Produkt!$A$2:$B$5,2,FALSE)</f>
        <v>A</v>
      </c>
      <c r="H1885">
        <v>1</v>
      </c>
      <c r="I1885">
        <v>0.51383101851851853</v>
      </c>
      <c r="J1885">
        <v>44778</v>
      </c>
    </row>
    <row r="1886" spans="1:10" x14ac:dyDescent="0.35">
      <c r="A1886" s="2">
        <v>44779</v>
      </c>
      <c r="B1886" s="3">
        <v>0.43729166666666663</v>
      </c>
      <c r="C1886">
        <v>7806</v>
      </c>
      <c r="D1886" t="str">
        <f>VLOOKUP(H1886,Produkt!$A$2:$B$5,2,FALSE)</f>
        <v>B</v>
      </c>
      <c r="H1886">
        <v>2</v>
      </c>
      <c r="I1886">
        <v>0.57776620370370368</v>
      </c>
      <c r="J1886">
        <v>44783</v>
      </c>
    </row>
    <row r="1887" spans="1:10" x14ac:dyDescent="0.35">
      <c r="A1887" s="2">
        <v>44779</v>
      </c>
      <c r="B1887" s="3">
        <v>1.4444444444444482E-2</v>
      </c>
      <c r="C1887">
        <v>7841</v>
      </c>
      <c r="D1887" t="str">
        <f>VLOOKUP(H1887,Produkt!$A$2:$B$5,2,FALSE)</f>
        <v>D</v>
      </c>
      <c r="H1887">
        <v>4</v>
      </c>
      <c r="I1887">
        <v>9.3981481481481485E-2</v>
      </c>
      <c r="J1887">
        <v>44780</v>
      </c>
    </row>
    <row r="1888" spans="1:10" x14ac:dyDescent="0.35">
      <c r="A1888" s="2">
        <v>44779</v>
      </c>
      <c r="B1888" s="3">
        <v>0.81396990740740749</v>
      </c>
      <c r="C1888">
        <v>7879</v>
      </c>
      <c r="D1888" t="str">
        <f>VLOOKUP(H1888,Produkt!$A$2:$B$5,2,FALSE)</f>
        <v>D</v>
      </c>
      <c r="H1888">
        <v>4</v>
      </c>
      <c r="I1888">
        <v>0.12628472222222223</v>
      </c>
      <c r="J1888">
        <v>44776</v>
      </c>
    </row>
    <row r="1889" spans="1:10" x14ac:dyDescent="0.35">
      <c r="A1889" s="2">
        <v>44779</v>
      </c>
      <c r="B1889" s="3">
        <v>0.52678240740740734</v>
      </c>
      <c r="C1889">
        <v>7882</v>
      </c>
      <c r="D1889" t="str">
        <f>VLOOKUP(H1889,Produkt!$A$2:$B$5,2,FALSE)</f>
        <v>C</v>
      </c>
      <c r="H1889">
        <v>3</v>
      </c>
      <c r="I1889">
        <v>0.36053240740740744</v>
      </c>
      <c r="J1889">
        <v>44790</v>
      </c>
    </row>
    <row r="1890" spans="1:10" x14ac:dyDescent="0.35">
      <c r="A1890" s="2">
        <v>44779</v>
      </c>
      <c r="B1890" s="3">
        <v>0.57010416666666663</v>
      </c>
      <c r="C1890">
        <v>7977</v>
      </c>
      <c r="D1890" t="str">
        <f>VLOOKUP(H1890,Produkt!$A$2:$B$5,2,FALSE)</f>
        <v>C</v>
      </c>
      <c r="H1890">
        <v>3</v>
      </c>
      <c r="I1890">
        <v>0.84980324074074076</v>
      </c>
      <c r="J1890">
        <v>44784</v>
      </c>
    </row>
    <row r="1891" spans="1:10" x14ac:dyDescent="0.35">
      <c r="A1891" s="2">
        <v>44779</v>
      </c>
      <c r="B1891" s="3">
        <v>0.68806712962962957</v>
      </c>
      <c r="C1891">
        <v>8009</v>
      </c>
      <c r="D1891" t="str">
        <f>VLOOKUP(H1891,Produkt!$A$2:$B$5,2,FALSE)</f>
        <v>A</v>
      </c>
      <c r="H1891">
        <v>1</v>
      </c>
      <c r="I1891">
        <v>0.8165972222222222</v>
      </c>
      <c r="J1891">
        <v>44796</v>
      </c>
    </row>
    <row r="1892" spans="1:10" x14ac:dyDescent="0.35">
      <c r="A1892" s="2">
        <v>44779</v>
      </c>
      <c r="B1892" s="3">
        <v>0.40365740740740735</v>
      </c>
      <c r="C1892">
        <v>8105</v>
      </c>
      <c r="D1892" t="str">
        <f>VLOOKUP(H1892,Produkt!$A$2:$B$5,2,FALSE)</f>
        <v>C</v>
      </c>
      <c r="H1892">
        <v>3</v>
      </c>
      <c r="I1892">
        <v>0.47092592592592591</v>
      </c>
      <c r="J1892">
        <v>44777</v>
      </c>
    </row>
    <row r="1893" spans="1:10" x14ac:dyDescent="0.35">
      <c r="A1893" s="2">
        <v>44779</v>
      </c>
      <c r="B1893" s="3">
        <v>0.44707175925925924</v>
      </c>
      <c r="C1893">
        <v>8108</v>
      </c>
      <c r="D1893" t="str">
        <f>VLOOKUP(H1893,Produkt!$A$2:$B$5,2,FALSE)</f>
        <v>B</v>
      </c>
      <c r="H1893">
        <v>2</v>
      </c>
      <c r="I1893">
        <v>0.19206018518518519</v>
      </c>
      <c r="J1893">
        <v>44788</v>
      </c>
    </row>
    <row r="1894" spans="1:10" x14ac:dyDescent="0.35">
      <c r="A1894" s="2">
        <v>44779</v>
      </c>
      <c r="B1894" s="3">
        <v>0.29310185185185184</v>
      </c>
      <c r="C1894">
        <v>8109</v>
      </c>
      <c r="D1894" t="str">
        <f>VLOOKUP(H1894,Produkt!$A$2:$B$5,2,FALSE)</f>
        <v>B</v>
      </c>
      <c r="H1894">
        <v>2</v>
      </c>
      <c r="I1894">
        <v>0.53625</v>
      </c>
      <c r="J1894">
        <v>44804</v>
      </c>
    </row>
    <row r="1895" spans="1:10" x14ac:dyDescent="0.35">
      <c r="A1895" s="2">
        <v>44779</v>
      </c>
      <c r="B1895" s="3">
        <v>0.4145138888888889</v>
      </c>
      <c r="C1895">
        <v>8121</v>
      </c>
      <c r="D1895" t="str">
        <f>VLOOKUP(H1895,Produkt!$A$2:$B$5,2,FALSE)</f>
        <v>C</v>
      </c>
      <c r="H1895">
        <v>3</v>
      </c>
      <c r="I1895">
        <v>0.85956018518518518</v>
      </c>
      <c r="J1895">
        <v>44793</v>
      </c>
    </row>
    <row r="1896" spans="1:10" x14ac:dyDescent="0.35">
      <c r="A1896" s="2">
        <v>44779</v>
      </c>
      <c r="B1896" s="3">
        <v>0.42149305555555555</v>
      </c>
      <c r="C1896">
        <v>8166</v>
      </c>
      <c r="D1896" t="str">
        <f>VLOOKUP(H1896,Produkt!$A$2:$B$5,2,FALSE)</f>
        <v>A</v>
      </c>
      <c r="H1896">
        <v>1</v>
      </c>
      <c r="I1896">
        <v>0.48202546296296295</v>
      </c>
      <c r="J1896">
        <v>44802</v>
      </c>
    </row>
    <row r="1897" spans="1:10" x14ac:dyDescent="0.35">
      <c r="A1897" s="2">
        <v>44779</v>
      </c>
      <c r="B1897" s="3">
        <v>0.72717592592592595</v>
      </c>
      <c r="C1897">
        <v>8172</v>
      </c>
      <c r="D1897" t="str">
        <f>VLOOKUP(H1897,Produkt!$A$2:$B$5,2,FALSE)</f>
        <v>A</v>
      </c>
      <c r="H1897">
        <v>1</v>
      </c>
      <c r="I1897">
        <v>0.50855324074074071</v>
      </c>
      <c r="J1897">
        <v>44792</v>
      </c>
    </row>
    <row r="1898" spans="1:10" x14ac:dyDescent="0.35">
      <c r="A1898" s="2">
        <v>44779</v>
      </c>
      <c r="B1898" s="3">
        <v>0.90141203703703709</v>
      </c>
      <c r="C1898">
        <v>8258</v>
      </c>
      <c r="D1898" t="str">
        <f>VLOOKUP(H1898,Produkt!$A$2:$B$5,2,FALSE)</f>
        <v>C</v>
      </c>
      <c r="H1898">
        <v>3</v>
      </c>
      <c r="I1898">
        <v>0.20560185185185187</v>
      </c>
      <c r="J1898">
        <v>44791</v>
      </c>
    </row>
    <row r="1899" spans="1:10" x14ac:dyDescent="0.35">
      <c r="A1899" s="2">
        <v>44779</v>
      </c>
      <c r="B1899" s="3">
        <v>0.86223379629629626</v>
      </c>
      <c r="C1899">
        <v>8288</v>
      </c>
      <c r="D1899" t="str">
        <f>VLOOKUP(H1899,Produkt!$A$2:$B$5,2,FALSE)</f>
        <v>C</v>
      </c>
      <c r="H1899">
        <v>3</v>
      </c>
      <c r="I1899">
        <v>0.44471064814814815</v>
      </c>
      <c r="J1899">
        <v>44790</v>
      </c>
    </row>
    <row r="1900" spans="1:10" x14ac:dyDescent="0.35">
      <c r="A1900" s="2">
        <v>44779</v>
      </c>
      <c r="B1900" s="3">
        <v>0.18725694444444443</v>
      </c>
      <c r="C1900">
        <v>8339</v>
      </c>
      <c r="D1900" t="str">
        <f>VLOOKUP(H1900,Produkt!$A$2:$B$5,2,FALSE)</f>
        <v>A</v>
      </c>
      <c r="H1900">
        <v>1</v>
      </c>
      <c r="I1900">
        <v>0.75914351851851858</v>
      </c>
      <c r="J1900">
        <v>44795</v>
      </c>
    </row>
    <row r="1901" spans="1:10" x14ac:dyDescent="0.35">
      <c r="A1901" s="2">
        <v>44779</v>
      </c>
      <c r="B1901" s="3">
        <v>0.10680555555555556</v>
      </c>
      <c r="C1901">
        <v>8349</v>
      </c>
      <c r="D1901" t="str">
        <f>VLOOKUP(H1901,Produkt!$A$2:$B$5,2,FALSE)</f>
        <v>D</v>
      </c>
      <c r="H1901">
        <v>4</v>
      </c>
      <c r="I1901">
        <v>0.7777546296296296</v>
      </c>
      <c r="J1901">
        <v>44795</v>
      </c>
    </row>
    <row r="1902" spans="1:10" x14ac:dyDescent="0.35">
      <c r="A1902" s="2">
        <v>44779</v>
      </c>
      <c r="B1902" s="3">
        <v>0.23869212962962963</v>
      </c>
      <c r="C1902">
        <v>8351</v>
      </c>
      <c r="D1902" t="str">
        <f>VLOOKUP(H1902,Produkt!$A$2:$B$5,2,FALSE)</f>
        <v>B</v>
      </c>
      <c r="H1902">
        <v>2</v>
      </c>
      <c r="I1902">
        <v>0.93038194444444444</v>
      </c>
      <c r="J1902">
        <v>44779</v>
      </c>
    </row>
    <row r="1903" spans="1:10" x14ac:dyDescent="0.35">
      <c r="A1903" s="2">
        <v>44779</v>
      </c>
      <c r="B1903" s="3">
        <v>0.62774305555555554</v>
      </c>
      <c r="C1903">
        <v>8419</v>
      </c>
      <c r="D1903" t="str">
        <f>VLOOKUP(H1903,Produkt!$A$2:$B$5,2,FALSE)</f>
        <v>A</v>
      </c>
      <c r="H1903">
        <v>1</v>
      </c>
      <c r="I1903">
        <v>0.57348379629629631</v>
      </c>
      <c r="J1903">
        <v>44776</v>
      </c>
    </row>
    <row r="1904" spans="1:10" x14ac:dyDescent="0.35">
      <c r="A1904" s="2">
        <v>44779</v>
      </c>
      <c r="B1904" s="3">
        <v>0.30305555555555558</v>
      </c>
      <c r="C1904">
        <v>8453</v>
      </c>
      <c r="D1904" t="str">
        <f>VLOOKUP(H1904,Produkt!$A$2:$B$5,2,FALSE)</f>
        <v>D</v>
      </c>
      <c r="H1904">
        <v>4</v>
      </c>
      <c r="I1904">
        <v>0.65194444444444444</v>
      </c>
      <c r="J1904">
        <v>44800</v>
      </c>
    </row>
    <row r="1905" spans="1:10" x14ac:dyDescent="0.35">
      <c r="A1905" s="2">
        <v>44779</v>
      </c>
      <c r="B1905" s="3">
        <v>0.93481481481481488</v>
      </c>
      <c r="C1905">
        <v>8458</v>
      </c>
      <c r="D1905" t="str">
        <f>VLOOKUP(H1905,Produkt!$A$2:$B$5,2,FALSE)</f>
        <v>D</v>
      </c>
      <c r="H1905">
        <v>4</v>
      </c>
      <c r="I1905">
        <v>0.8822916666666667</v>
      </c>
      <c r="J1905">
        <v>44803</v>
      </c>
    </row>
    <row r="1906" spans="1:10" x14ac:dyDescent="0.35">
      <c r="A1906" s="2">
        <v>44779</v>
      </c>
      <c r="B1906" s="3">
        <v>0.53869212962962965</v>
      </c>
      <c r="C1906">
        <v>8472</v>
      </c>
      <c r="D1906" t="str">
        <f>VLOOKUP(H1906,Produkt!$A$2:$B$5,2,FALSE)</f>
        <v>D</v>
      </c>
      <c r="H1906">
        <v>4</v>
      </c>
      <c r="I1906">
        <v>0.43109953703703702</v>
      </c>
      <c r="J1906">
        <v>44802</v>
      </c>
    </row>
    <row r="1907" spans="1:10" x14ac:dyDescent="0.35">
      <c r="A1907" s="2">
        <v>44779</v>
      </c>
      <c r="B1907" s="3">
        <v>3.0555555555555891E-3</v>
      </c>
      <c r="C1907">
        <v>8477</v>
      </c>
      <c r="D1907" t="str">
        <f>VLOOKUP(H1907,Produkt!$A$2:$B$5,2,FALSE)</f>
        <v>B</v>
      </c>
      <c r="H1907">
        <v>2</v>
      </c>
      <c r="I1907">
        <v>0.99332175925925925</v>
      </c>
      <c r="J1907">
        <v>44782</v>
      </c>
    </row>
    <row r="1908" spans="1:10" x14ac:dyDescent="0.35">
      <c r="A1908" s="2">
        <v>44779</v>
      </c>
      <c r="B1908" s="3">
        <v>0.41291666666666665</v>
      </c>
      <c r="C1908">
        <v>8543</v>
      </c>
      <c r="D1908" t="str">
        <f>VLOOKUP(H1908,Produkt!$A$2:$B$5,2,FALSE)</f>
        <v>D</v>
      </c>
      <c r="H1908">
        <v>4</v>
      </c>
      <c r="I1908">
        <v>0.69082175925925926</v>
      </c>
      <c r="J1908">
        <v>44804</v>
      </c>
    </row>
    <row r="1909" spans="1:10" x14ac:dyDescent="0.35">
      <c r="A1909" s="2">
        <v>44779</v>
      </c>
      <c r="B1909" s="3">
        <v>0.73238425925925921</v>
      </c>
      <c r="C1909">
        <v>8572</v>
      </c>
      <c r="D1909" t="str">
        <f>VLOOKUP(H1909,Produkt!$A$2:$B$5,2,FALSE)</f>
        <v>B</v>
      </c>
      <c r="H1909">
        <v>2</v>
      </c>
      <c r="I1909">
        <v>3.4479166666666616E-2</v>
      </c>
      <c r="J1909">
        <v>44776</v>
      </c>
    </row>
    <row r="1910" spans="1:10" x14ac:dyDescent="0.35">
      <c r="A1910" s="2">
        <v>44779</v>
      </c>
      <c r="B1910" s="3">
        <v>0.86446759259259265</v>
      </c>
      <c r="C1910">
        <v>8574</v>
      </c>
      <c r="D1910" t="str">
        <f>VLOOKUP(H1910,Produkt!$A$2:$B$5,2,FALSE)</f>
        <v>A</v>
      </c>
      <c r="H1910">
        <v>1</v>
      </c>
      <c r="I1910">
        <v>0.37711805555555555</v>
      </c>
      <c r="J1910">
        <v>44792</v>
      </c>
    </row>
    <row r="1911" spans="1:10" x14ac:dyDescent="0.35">
      <c r="A1911" s="2">
        <v>44779</v>
      </c>
      <c r="B1911" s="3">
        <v>3.8460648148148147E-2</v>
      </c>
      <c r="C1911">
        <v>8620</v>
      </c>
      <c r="D1911" t="str">
        <f>VLOOKUP(H1911,Produkt!$A$2:$B$5,2,FALSE)</f>
        <v>C</v>
      </c>
      <c r="H1911">
        <v>3</v>
      </c>
      <c r="I1911">
        <v>7.0694444444444449E-2</v>
      </c>
      <c r="J1911">
        <v>44799</v>
      </c>
    </row>
    <row r="1912" spans="1:10" x14ac:dyDescent="0.35">
      <c r="A1912" s="2">
        <v>44779</v>
      </c>
      <c r="B1912" s="3">
        <v>0.98938657407407404</v>
      </c>
      <c r="C1912">
        <v>8684</v>
      </c>
      <c r="D1912" t="str">
        <f>VLOOKUP(H1912,Produkt!$A$2:$B$5,2,FALSE)</f>
        <v>B</v>
      </c>
      <c r="H1912">
        <v>2</v>
      </c>
      <c r="I1912">
        <v>0.65449074074074076</v>
      </c>
      <c r="J1912">
        <v>44800</v>
      </c>
    </row>
    <row r="1913" spans="1:10" x14ac:dyDescent="0.35">
      <c r="A1913" s="2">
        <v>44779</v>
      </c>
      <c r="B1913" s="3">
        <v>0.98957175925925922</v>
      </c>
      <c r="C1913">
        <v>8693</v>
      </c>
      <c r="D1913" t="str">
        <f>VLOOKUP(H1913,Produkt!$A$2:$B$5,2,FALSE)</f>
        <v>D</v>
      </c>
      <c r="H1913">
        <v>4</v>
      </c>
      <c r="I1913">
        <v>0.88159722222222225</v>
      </c>
      <c r="J1913">
        <v>44781</v>
      </c>
    </row>
    <row r="1914" spans="1:10" x14ac:dyDescent="0.35">
      <c r="A1914" s="2">
        <v>44779</v>
      </c>
      <c r="B1914" s="3">
        <v>0.53584490740740742</v>
      </c>
      <c r="C1914">
        <v>8695</v>
      </c>
      <c r="D1914" t="str">
        <f>VLOOKUP(H1914,Produkt!$A$2:$B$5,2,FALSE)</f>
        <v>A</v>
      </c>
      <c r="H1914">
        <v>1</v>
      </c>
      <c r="I1914">
        <v>0.29350694444444442</v>
      </c>
      <c r="J1914">
        <v>44778</v>
      </c>
    </row>
    <row r="1915" spans="1:10" x14ac:dyDescent="0.35">
      <c r="A1915" s="2">
        <v>44779</v>
      </c>
      <c r="B1915" s="3">
        <v>0.19351851851851851</v>
      </c>
      <c r="C1915">
        <v>8713</v>
      </c>
      <c r="D1915" t="str">
        <f>VLOOKUP(H1915,Produkt!$A$2:$B$5,2,FALSE)</f>
        <v>C</v>
      </c>
      <c r="H1915">
        <v>3</v>
      </c>
      <c r="I1915">
        <v>0.10659722222222223</v>
      </c>
      <c r="J1915">
        <v>44780</v>
      </c>
    </row>
    <row r="1916" spans="1:10" x14ac:dyDescent="0.35">
      <c r="A1916" s="2">
        <v>44779</v>
      </c>
      <c r="B1916" s="3">
        <v>3.3101851851851848E-2</v>
      </c>
      <c r="C1916">
        <v>8733</v>
      </c>
      <c r="D1916" t="str">
        <f>VLOOKUP(H1916,Produkt!$A$2:$B$5,2,FALSE)</f>
        <v>C</v>
      </c>
      <c r="H1916">
        <v>3</v>
      </c>
      <c r="I1916">
        <v>0.79903935185185182</v>
      </c>
      <c r="J1916">
        <v>44779</v>
      </c>
    </row>
    <row r="1917" spans="1:10" x14ac:dyDescent="0.35">
      <c r="A1917" s="2">
        <v>44779</v>
      </c>
      <c r="B1917" s="3">
        <v>0.26885416666666667</v>
      </c>
      <c r="C1917">
        <v>8811</v>
      </c>
      <c r="D1917" t="str">
        <f>VLOOKUP(H1917,Produkt!$A$2:$B$5,2,FALSE)</f>
        <v>A</v>
      </c>
      <c r="H1917">
        <v>1</v>
      </c>
      <c r="I1917">
        <v>0.33909722222222222</v>
      </c>
      <c r="J1917">
        <v>44796</v>
      </c>
    </row>
    <row r="1918" spans="1:10" x14ac:dyDescent="0.35">
      <c r="A1918" s="2">
        <v>44779</v>
      </c>
      <c r="B1918" s="3">
        <v>0.70150462962962967</v>
      </c>
      <c r="C1918">
        <v>8917</v>
      </c>
      <c r="D1918" t="str">
        <f>VLOOKUP(H1918,Produkt!$A$2:$B$5,2,FALSE)</f>
        <v>A</v>
      </c>
      <c r="H1918">
        <v>1</v>
      </c>
      <c r="I1918">
        <v>0.14258101851851854</v>
      </c>
      <c r="J1918">
        <v>44798</v>
      </c>
    </row>
    <row r="1919" spans="1:10" x14ac:dyDescent="0.35">
      <c r="A1919" s="2">
        <v>44779</v>
      </c>
      <c r="B1919" s="3">
        <v>7.5266203703703696E-2</v>
      </c>
      <c r="C1919">
        <v>8974</v>
      </c>
      <c r="D1919" t="str">
        <f>VLOOKUP(H1919,Produkt!$A$2:$B$5,2,FALSE)</f>
        <v>A</v>
      </c>
      <c r="H1919">
        <v>1</v>
      </c>
      <c r="I1919">
        <v>0.41575231481481478</v>
      </c>
      <c r="J1919">
        <v>44799</v>
      </c>
    </row>
    <row r="1920" spans="1:10" x14ac:dyDescent="0.35">
      <c r="A1920" s="2">
        <v>44779</v>
      </c>
      <c r="B1920" s="3">
        <v>0.8992013888888889</v>
      </c>
      <c r="C1920">
        <v>9033</v>
      </c>
      <c r="D1920" t="str">
        <f>VLOOKUP(H1920,Produkt!$A$2:$B$5,2,FALSE)</f>
        <v>D</v>
      </c>
      <c r="H1920">
        <v>4</v>
      </c>
      <c r="I1920">
        <v>0.70487268518518509</v>
      </c>
      <c r="J1920">
        <v>44797</v>
      </c>
    </row>
    <row r="1921" spans="1:10" x14ac:dyDescent="0.35">
      <c r="A1921" s="2">
        <v>44779</v>
      </c>
      <c r="B1921" s="3">
        <v>0.98165509259259265</v>
      </c>
      <c r="C1921">
        <v>9035</v>
      </c>
      <c r="D1921" t="str">
        <f>VLOOKUP(H1921,Produkt!$A$2:$B$5,2,FALSE)</f>
        <v>B</v>
      </c>
      <c r="H1921">
        <v>2</v>
      </c>
      <c r="I1921">
        <v>0.28848379629629628</v>
      </c>
      <c r="J1921">
        <v>44793</v>
      </c>
    </row>
    <row r="1922" spans="1:10" x14ac:dyDescent="0.35">
      <c r="A1922" s="2">
        <v>44779</v>
      </c>
      <c r="B1922" s="3">
        <v>0.12802083333333333</v>
      </c>
      <c r="C1922">
        <v>9113</v>
      </c>
      <c r="D1922" t="str">
        <f>VLOOKUP(H1922,Produkt!$A$2:$B$5,2,FALSE)</f>
        <v>B</v>
      </c>
      <c r="H1922">
        <v>2</v>
      </c>
      <c r="I1922">
        <v>0.56710648148148146</v>
      </c>
      <c r="J1922">
        <v>44785</v>
      </c>
    </row>
    <row r="1923" spans="1:10" x14ac:dyDescent="0.35">
      <c r="A1923" s="2">
        <v>44779</v>
      </c>
      <c r="B1923" s="3">
        <v>0.80947916666666664</v>
      </c>
      <c r="C1923">
        <v>9123</v>
      </c>
      <c r="D1923" t="str">
        <f>VLOOKUP(H1923,Produkt!$A$2:$B$5,2,FALSE)</f>
        <v>A</v>
      </c>
      <c r="H1923">
        <v>1</v>
      </c>
      <c r="I1923">
        <v>0.27150462962962962</v>
      </c>
      <c r="J1923">
        <v>44784</v>
      </c>
    </row>
    <row r="1924" spans="1:10" x14ac:dyDescent="0.35">
      <c r="A1924" s="2">
        <v>44779</v>
      </c>
      <c r="B1924" s="3">
        <v>0.61552083333333341</v>
      </c>
      <c r="C1924">
        <v>9138</v>
      </c>
      <c r="D1924" t="str">
        <f>VLOOKUP(H1924,Produkt!$A$2:$B$5,2,FALSE)</f>
        <v>A</v>
      </c>
      <c r="H1924">
        <v>1</v>
      </c>
      <c r="I1924">
        <v>6.356481481481481E-2</v>
      </c>
      <c r="J1924">
        <v>44786</v>
      </c>
    </row>
    <row r="1925" spans="1:10" x14ac:dyDescent="0.35">
      <c r="A1925" s="2">
        <v>44779</v>
      </c>
      <c r="B1925" s="3">
        <v>0.50900462962962967</v>
      </c>
      <c r="C1925">
        <v>9200</v>
      </c>
      <c r="D1925" t="str">
        <f>VLOOKUP(H1925,Produkt!$A$2:$B$5,2,FALSE)</f>
        <v>A</v>
      </c>
      <c r="H1925">
        <v>1</v>
      </c>
      <c r="I1925">
        <v>0.82122685185185185</v>
      </c>
      <c r="J1925">
        <v>44782</v>
      </c>
    </row>
    <row r="1926" spans="1:10" x14ac:dyDescent="0.35">
      <c r="A1926" s="2">
        <v>44779</v>
      </c>
      <c r="B1926" s="3">
        <v>0.4392361111111111</v>
      </c>
      <c r="C1926">
        <v>9239</v>
      </c>
      <c r="D1926" t="str">
        <f>VLOOKUP(H1926,Produkt!$A$2:$B$5,2,FALSE)</f>
        <v>C</v>
      </c>
      <c r="H1926">
        <v>3</v>
      </c>
      <c r="I1926">
        <v>0.90020833333333339</v>
      </c>
      <c r="J1926">
        <v>44797</v>
      </c>
    </row>
    <row r="1927" spans="1:10" x14ac:dyDescent="0.35">
      <c r="A1927" s="2">
        <v>44779</v>
      </c>
      <c r="B1927" s="3">
        <v>0.62519675925925922</v>
      </c>
      <c r="C1927">
        <v>9272</v>
      </c>
      <c r="D1927" t="str">
        <f>VLOOKUP(H1927,Produkt!$A$2:$B$5,2,FALSE)</f>
        <v>A</v>
      </c>
      <c r="H1927">
        <v>1</v>
      </c>
      <c r="I1927">
        <v>0.42037037037037034</v>
      </c>
      <c r="J1927">
        <v>44783</v>
      </c>
    </row>
    <row r="1928" spans="1:10" x14ac:dyDescent="0.35">
      <c r="A1928" s="2">
        <v>44779</v>
      </c>
      <c r="B1928" s="3">
        <v>0.83565972222222218</v>
      </c>
      <c r="C1928">
        <v>9322</v>
      </c>
      <c r="D1928" t="str">
        <f>VLOOKUP(H1928,Produkt!$A$2:$B$5,2,FALSE)</f>
        <v>A</v>
      </c>
      <c r="H1928">
        <v>1</v>
      </c>
      <c r="I1928">
        <v>0.60651620370370374</v>
      </c>
      <c r="J1928">
        <v>44776</v>
      </c>
    </row>
    <row r="1929" spans="1:10" x14ac:dyDescent="0.35">
      <c r="A1929" s="2">
        <v>44779</v>
      </c>
      <c r="B1929" s="3">
        <v>0.12877314814814814</v>
      </c>
      <c r="C1929">
        <v>9354</v>
      </c>
      <c r="D1929" t="str">
        <f>VLOOKUP(H1929,Produkt!$A$2:$B$5,2,FALSE)</f>
        <v>B</v>
      </c>
      <c r="H1929">
        <v>2</v>
      </c>
      <c r="I1929">
        <v>0.30245370370370367</v>
      </c>
      <c r="J1929">
        <v>44794</v>
      </c>
    </row>
    <row r="1930" spans="1:10" x14ac:dyDescent="0.35">
      <c r="A1930" s="2">
        <v>44779</v>
      </c>
      <c r="B1930" s="3">
        <v>0.91954861111111119</v>
      </c>
      <c r="C1930">
        <v>9416</v>
      </c>
      <c r="D1930" t="str">
        <f>VLOOKUP(H1930,Produkt!$A$2:$B$5,2,FALSE)</f>
        <v>D</v>
      </c>
      <c r="H1930">
        <v>4</v>
      </c>
      <c r="I1930">
        <v>2.762731481481473E-2</v>
      </c>
      <c r="J1930">
        <v>44777</v>
      </c>
    </row>
    <row r="1931" spans="1:10" x14ac:dyDescent="0.35">
      <c r="A1931" s="2">
        <v>44779</v>
      </c>
      <c r="B1931" s="3">
        <v>0.11929398148148147</v>
      </c>
      <c r="C1931">
        <v>9449</v>
      </c>
      <c r="D1931" t="str">
        <f>VLOOKUP(H1931,Produkt!$A$2:$B$5,2,FALSE)</f>
        <v>B</v>
      </c>
      <c r="H1931">
        <v>2</v>
      </c>
      <c r="I1931">
        <v>0.35196759259259264</v>
      </c>
      <c r="J1931">
        <v>44796</v>
      </c>
    </row>
    <row r="1932" spans="1:10" x14ac:dyDescent="0.35">
      <c r="A1932" s="2">
        <v>44779</v>
      </c>
      <c r="B1932" s="3">
        <v>0.28390046296296295</v>
      </c>
      <c r="C1932">
        <v>9493</v>
      </c>
      <c r="D1932" t="str">
        <f>VLOOKUP(H1932,Produkt!$A$2:$B$5,2,FALSE)</f>
        <v>C</v>
      </c>
      <c r="H1932">
        <v>3</v>
      </c>
      <c r="I1932">
        <v>0.27189814814814817</v>
      </c>
      <c r="J1932">
        <v>44795</v>
      </c>
    </row>
    <row r="1933" spans="1:10" x14ac:dyDescent="0.35">
      <c r="A1933" s="2">
        <v>44779</v>
      </c>
      <c r="B1933" s="3">
        <v>0.62289351851851849</v>
      </c>
      <c r="C1933">
        <v>9525</v>
      </c>
      <c r="D1933" t="str">
        <f>VLOOKUP(H1933,Produkt!$A$2:$B$5,2,FALSE)</f>
        <v>D</v>
      </c>
      <c r="H1933">
        <v>4</v>
      </c>
      <c r="I1933">
        <v>5.4976851851851853E-3</v>
      </c>
      <c r="J1933">
        <v>44779</v>
      </c>
    </row>
    <row r="1934" spans="1:10" x14ac:dyDescent="0.35">
      <c r="A1934" s="2">
        <v>44779</v>
      </c>
      <c r="B1934" s="3">
        <v>0.65481481481481485</v>
      </c>
      <c r="C1934">
        <v>9535</v>
      </c>
      <c r="D1934" t="str">
        <f>VLOOKUP(H1934,Produkt!$A$2:$B$5,2,FALSE)</f>
        <v>C</v>
      </c>
      <c r="H1934">
        <v>3</v>
      </c>
      <c r="I1934">
        <v>0.59539351851851852</v>
      </c>
      <c r="J1934">
        <v>44780</v>
      </c>
    </row>
    <row r="1935" spans="1:10" x14ac:dyDescent="0.35">
      <c r="A1935" s="2">
        <v>44779</v>
      </c>
      <c r="B1935" s="3">
        <v>0.33380787037037035</v>
      </c>
      <c r="C1935">
        <v>9552</v>
      </c>
      <c r="D1935" t="str">
        <f>VLOOKUP(H1935,Produkt!$A$2:$B$5,2,FALSE)</f>
        <v>A</v>
      </c>
      <c r="H1935">
        <v>1</v>
      </c>
      <c r="I1935">
        <v>0.73189814814814813</v>
      </c>
      <c r="J1935">
        <v>44796</v>
      </c>
    </row>
    <row r="1936" spans="1:10" x14ac:dyDescent="0.35">
      <c r="A1936" s="2">
        <v>44779</v>
      </c>
      <c r="B1936" s="3">
        <v>0.24634259259259261</v>
      </c>
      <c r="C1936">
        <v>9554</v>
      </c>
      <c r="D1936" t="str">
        <f>VLOOKUP(H1936,Produkt!$A$2:$B$5,2,FALSE)</f>
        <v>B</v>
      </c>
      <c r="H1936">
        <v>2</v>
      </c>
      <c r="I1936">
        <v>0.7936805555555555</v>
      </c>
      <c r="J1936">
        <v>44778</v>
      </c>
    </row>
    <row r="1937" spans="1:10" x14ac:dyDescent="0.35">
      <c r="A1937" s="2">
        <v>44779</v>
      </c>
      <c r="B1937" s="3">
        <v>0.94293981481481481</v>
      </c>
      <c r="C1937">
        <v>9580</v>
      </c>
      <c r="D1937" t="str">
        <f>VLOOKUP(H1937,Produkt!$A$2:$B$5,2,FALSE)</f>
        <v>A</v>
      </c>
      <c r="H1937">
        <v>1</v>
      </c>
      <c r="I1937">
        <v>2.1527777777777781E-2</v>
      </c>
      <c r="J1937">
        <v>44777</v>
      </c>
    </row>
    <row r="1938" spans="1:10" x14ac:dyDescent="0.35">
      <c r="A1938" s="2">
        <v>44779</v>
      </c>
      <c r="B1938" s="3">
        <v>5.2314814814813371E-3</v>
      </c>
      <c r="C1938">
        <v>9670</v>
      </c>
      <c r="D1938" t="str">
        <f>VLOOKUP(H1938,Produkt!$A$2:$B$5,2,FALSE)</f>
        <v>B</v>
      </c>
      <c r="H1938">
        <v>2</v>
      </c>
      <c r="I1938">
        <v>0.54361111111111116</v>
      </c>
      <c r="J1938">
        <v>44781</v>
      </c>
    </row>
    <row r="1939" spans="1:10" x14ac:dyDescent="0.35">
      <c r="A1939" s="2">
        <v>44779</v>
      </c>
      <c r="B1939" s="3">
        <v>0.18535879629629629</v>
      </c>
      <c r="C1939">
        <v>9678</v>
      </c>
      <c r="D1939" t="str">
        <f>VLOOKUP(H1939,Produkt!$A$2:$B$5,2,FALSE)</f>
        <v>D</v>
      </c>
      <c r="H1939">
        <v>4</v>
      </c>
      <c r="I1939">
        <v>0.86645833333333344</v>
      </c>
      <c r="J1939">
        <v>44774</v>
      </c>
    </row>
    <row r="1940" spans="1:10" x14ac:dyDescent="0.35">
      <c r="A1940" s="2">
        <v>44779</v>
      </c>
      <c r="B1940" s="3">
        <v>8.2465277777777776E-2</v>
      </c>
      <c r="C1940">
        <v>9714</v>
      </c>
      <c r="D1940" t="str">
        <f>VLOOKUP(H1940,Produkt!$A$2:$B$5,2,FALSE)</f>
        <v>A</v>
      </c>
      <c r="H1940">
        <v>1</v>
      </c>
      <c r="I1940">
        <v>0.77056712962962959</v>
      </c>
      <c r="J1940">
        <v>44787</v>
      </c>
    </row>
    <row r="1941" spans="1:10" x14ac:dyDescent="0.35">
      <c r="A1941" s="2">
        <v>44779</v>
      </c>
      <c r="B1941" s="3">
        <v>0.71340277777777772</v>
      </c>
      <c r="C1941">
        <v>9722</v>
      </c>
      <c r="D1941" t="str">
        <f>VLOOKUP(H1941,Produkt!$A$2:$B$5,2,FALSE)</f>
        <v>D</v>
      </c>
      <c r="H1941">
        <v>4</v>
      </c>
      <c r="I1941">
        <v>0.80333333333333334</v>
      </c>
      <c r="J1941">
        <v>44798</v>
      </c>
    </row>
    <row r="1942" spans="1:10" x14ac:dyDescent="0.35">
      <c r="A1942" s="2">
        <v>44779</v>
      </c>
      <c r="B1942" s="3">
        <v>0.77850694444444446</v>
      </c>
      <c r="C1942">
        <v>9759</v>
      </c>
      <c r="D1942" t="str">
        <f>VLOOKUP(H1942,Produkt!$A$2:$B$5,2,FALSE)</f>
        <v>D</v>
      </c>
      <c r="H1942">
        <v>4</v>
      </c>
      <c r="I1942">
        <v>0.10888888888888888</v>
      </c>
      <c r="J1942">
        <v>44792</v>
      </c>
    </row>
    <row r="1943" spans="1:10" x14ac:dyDescent="0.35">
      <c r="A1943" s="2">
        <v>44779</v>
      </c>
      <c r="B1943" s="3">
        <v>0.52671296296296299</v>
      </c>
      <c r="C1943">
        <v>9773</v>
      </c>
      <c r="D1943" t="str">
        <f>VLOOKUP(H1943,Produkt!$A$2:$B$5,2,FALSE)</f>
        <v>C</v>
      </c>
      <c r="H1943">
        <v>3</v>
      </c>
      <c r="I1943">
        <v>0.11719907407407408</v>
      </c>
      <c r="J1943">
        <v>44795</v>
      </c>
    </row>
    <row r="1944" spans="1:10" x14ac:dyDescent="0.35">
      <c r="A1944" s="2">
        <v>44779</v>
      </c>
      <c r="B1944" s="3">
        <v>0.78241898148148137</v>
      </c>
      <c r="C1944">
        <v>9782</v>
      </c>
      <c r="D1944" t="str">
        <f>VLOOKUP(H1944,Produkt!$A$2:$B$5,2,FALSE)</f>
        <v>D</v>
      </c>
      <c r="H1944">
        <v>4</v>
      </c>
      <c r="I1944">
        <v>0.27849537037037037</v>
      </c>
      <c r="J1944">
        <v>44797</v>
      </c>
    </row>
    <row r="1945" spans="1:10" x14ac:dyDescent="0.35">
      <c r="A1945" s="2">
        <v>44779</v>
      </c>
      <c r="B1945" s="3">
        <v>0.23247685185185185</v>
      </c>
      <c r="C1945">
        <v>9835</v>
      </c>
      <c r="D1945" t="str">
        <f>VLOOKUP(H1945,Produkt!$A$2:$B$5,2,FALSE)</f>
        <v>C</v>
      </c>
      <c r="H1945">
        <v>3</v>
      </c>
      <c r="I1945">
        <v>0.18284722222222224</v>
      </c>
      <c r="J1945">
        <v>44776</v>
      </c>
    </row>
    <row r="1946" spans="1:10" x14ac:dyDescent="0.35">
      <c r="A1946" s="2">
        <v>44779</v>
      </c>
      <c r="B1946" s="3">
        <v>0.48277777777777775</v>
      </c>
      <c r="C1946">
        <v>9877</v>
      </c>
      <c r="D1946" t="str">
        <f>VLOOKUP(H1946,Produkt!$A$2:$B$5,2,FALSE)</f>
        <v>A</v>
      </c>
      <c r="H1946">
        <v>1</v>
      </c>
      <c r="I1946">
        <v>0.94422453703703713</v>
      </c>
      <c r="J1946">
        <v>44790</v>
      </c>
    </row>
    <row r="1947" spans="1:10" x14ac:dyDescent="0.35">
      <c r="A1947" s="2">
        <v>44779</v>
      </c>
      <c r="B1947" s="3">
        <v>0.39302083333333332</v>
      </c>
      <c r="C1947">
        <v>9904</v>
      </c>
      <c r="D1947" t="str">
        <f>VLOOKUP(H1947,Produkt!$A$2:$B$5,2,FALSE)</f>
        <v>A</v>
      </c>
      <c r="H1947">
        <v>1</v>
      </c>
      <c r="I1947">
        <v>0.91621527777777778</v>
      </c>
      <c r="J1947">
        <v>44777</v>
      </c>
    </row>
    <row r="1948" spans="1:10" x14ac:dyDescent="0.35">
      <c r="A1948" s="2">
        <v>44779</v>
      </c>
      <c r="B1948" s="3">
        <v>0.30994212962962964</v>
      </c>
      <c r="C1948">
        <v>9912</v>
      </c>
      <c r="D1948" t="str">
        <f>VLOOKUP(H1948,Produkt!$A$2:$B$5,2,FALSE)</f>
        <v>B</v>
      </c>
      <c r="H1948">
        <v>2</v>
      </c>
      <c r="I1948">
        <v>0.78640046296296295</v>
      </c>
      <c r="J1948">
        <v>44780</v>
      </c>
    </row>
    <row r="1949" spans="1:10" x14ac:dyDescent="0.35">
      <c r="A1949" s="2">
        <v>44779</v>
      </c>
      <c r="B1949" s="3">
        <v>0.97545138888888883</v>
      </c>
      <c r="C1949">
        <v>9996</v>
      </c>
      <c r="D1949" t="str">
        <f>VLOOKUP(H1949,Produkt!$A$2:$B$5,2,FALSE)</f>
        <v>C</v>
      </c>
      <c r="H1949">
        <v>3</v>
      </c>
      <c r="I1949">
        <v>0.32341435185185186</v>
      </c>
      <c r="J1949">
        <v>44782</v>
      </c>
    </row>
    <row r="1950" spans="1:10" x14ac:dyDescent="0.35">
      <c r="A1950" s="2">
        <v>44780</v>
      </c>
      <c r="B1950" s="3">
        <v>0.16413194444444446</v>
      </c>
      <c r="C1950">
        <v>35</v>
      </c>
      <c r="D1950" t="str">
        <f>VLOOKUP(H1950,Produkt!$A$2:$B$5,2,FALSE)</f>
        <v>D</v>
      </c>
      <c r="H1950">
        <v>4</v>
      </c>
      <c r="I1950">
        <v>0.2824652777777778</v>
      </c>
      <c r="J1950">
        <v>44784</v>
      </c>
    </row>
    <row r="1951" spans="1:10" x14ac:dyDescent="0.35">
      <c r="A1951" s="2">
        <v>44780</v>
      </c>
      <c r="B1951" s="3">
        <v>0.56148148148148147</v>
      </c>
      <c r="C1951">
        <v>47</v>
      </c>
      <c r="D1951" t="str">
        <f>VLOOKUP(H1951,Produkt!$A$2:$B$5,2,FALSE)</f>
        <v>D</v>
      </c>
      <c r="H1951">
        <v>4</v>
      </c>
      <c r="I1951">
        <v>3.8287037037037175E-2</v>
      </c>
      <c r="J1951">
        <v>44798</v>
      </c>
    </row>
    <row r="1952" spans="1:10" x14ac:dyDescent="0.35">
      <c r="A1952" s="2">
        <v>44780</v>
      </c>
      <c r="B1952" s="3">
        <v>7.7662037037036225E-3</v>
      </c>
      <c r="C1952">
        <v>67</v>
      </c>
      <c r="D1952" t="str">
        <f>VLOOKUP(H1952,Produkt!$A$2:$B$5,2,FALSE)</f>
        <v>A</v>
      </c>
      <c r="H1952">
        <v>1</v>
      </c>
      <c r="I1952">
        <v>0.97598379629629628</v>
      </c>
      <c r="J1952">
        <v>44783</v>
      </c>
    </row>
    <row r="1953" spans="1:10" x14ac:dyDescent="0.35">
      <c r="A1953" s="2">
        <v>44780</v>
      </c>
      <c r="B1953" s="3">
        <v>0.28787037037037039</v>
      </c>
      <c r="C1953">
        <v>70</v>
      </c>
      <c r="D1953" t="str">
        <f>VLOOKUP(H1953,Produkt!$A$2:$B$5,2,FALSE)</f>
        <v>D</v>
      </c>
      <c r="H1953">
        <v>4</v>
      </c>
      <c r="I1953">
        <v>0.78863425925925934</v>
      </c>
      <c r="J1953">
        <v>44792</v>
      </c>
    </row>
    <row r="1954" spans="1:10" x14ac:dyDescent="0.35">
      <c r="A1954" s="2">
        <v>44780</v>
      </c>
      <c r="B1954" s="3">
        <v>0.50012731481481476</v>
      </c>
      <c r="C1954">
        <v>101</v>
      </c>
      <c r="D1954" t="str">
        <f>VLOOKUP(H1954,Produkt!$A$2:$B$5,2,FALSE)</f>
        <v>A</v>
      </c>
      <c r="H1954">
        <v>1</v>
      </c>
      <c r="I1954">
        <v>0.77494212962962961</v>
      </c>
      <c r="J1954">
        <v>44801</v>
      </c>
    </row>
    <row r="1955" spans="1:10" x14ac:dyDescent="0.35">
      <c r="A1955" s="2">
        <v>44780</v>
      </c>
      <c r="B1955" s="3">
        <v>0.13924768518518518</v>
      </c>
      <c r="C1955">
        <v>127</v>
      </c>
      <c r="D1955" t="str">
        <f>VLOOKUP(H1955,Produkt!$A$2:$B$5,2,FALSE)</f>
        <v>C</v>
      </c>
      <c r="H1955">
        <v>3</v>
      </c>
      <c r="I1955">
        <v>0.4994791666666667</v>
      </c>
      <c r="J1955">
        <v>44800</v>
      </c>
    </row>
    <row r="1956" spans="1:10" x14ac:dyDescent="0.35">
      <c r="A1956" s="2">
        <v>44780</v>
      </c>
      <c r="B1956" s="3">
        <v>0.33652777777777776</v>
      </c>
      <c r="C1956">
        <v>140</v>
      </c>
      <c r="D1956" t="str">
        <f>VLOOKUP(H1956,Produkt!$A$2:$B$5,2,FALSE)</f>
        <v>B</v>
      </c>
      <c r="H1956">
        <v>2</v>
      </c>
      <c r="I1956">
        <v>0.18938657407407408</v>
      </c>
      <c r="J1956">
        <v>44798</v>
      </c>
    </row>
    <row r="1957" spans="1:10" x14ac:dyDescent="0.35">
      <c r="A1957" s="2">
        <v>44780</v>
      </c>
      <c r="B1957" s="3">
        <v>0.73547453703703702</v>
      </c>
      <c r="C1957">
        <v>271</v>
      </c>
      <c r="D1957" t="str">
        <f>VLOOKUP(H1957,Produkt!$A$2:$B$5,2,FALSE)</f>
        <v>B</v>
      </c>
      <c r="H1957">
        <v>2</v>
      </c>
      <c r="I1957">
        <v>0.84925925925925927</v>
      </c>
      <c r="J1957">
        <v>44799</v>
      </c>
    </row>
    <row r="1958" spans="1:10" x14ac:dyDescent="0.35">
      <c r="A1958" s="2">
        <v>44780</v>
      </c>
      <c r="B1958" s="3">
        <v>0.32209490740740737</v>
      </c>
      <c r="C1958">
        <v>316</v>
      </c>
      <c r="D1958" t="str">
        <f>VLOOKUP(H1958,Produkt!$A$2:$B$5,2,FALSE)</f>
        <v>C</v>
      </c>
      <c r="H1958">
        <v>3</v>
      </c>
      <c r="I1958">
        <v>0.78839120370370364</v>
      </c>
      <c r="J1958">
        <v>44799</v>
      </c>
    </row>
    <row r="1959" spans="1:10" x14ac:dyDescent="0.35">
      <c r="A1959" s="2">
        <v>44780</v>
      </c>
      <c r="B1959" s="3">
        <v>8.8842592592592584E-2</v>
      </c>
      <c r="C1959">
        <v>352</v>
      </c>
      <c r="D1959" t="str">
        <f>VLOOKUP(H1959,Produkt!$A$2:$B$5,2,FALSE)</f>
        <v>C</v>
      </c>
      <c r="H1959">
        <v>3</v>
      </c>
      <c r="I1959">
        <v>0.52023148148148146</v>
      </c>
      <c r="J1959">
        <v>44799</v>
      </c>
    </row>
    <row r="1960" spans="1:10" x14ac:dyDescent="0.35">
      <c r="A1960" s="2">
        <v>44780</v>
      </c>
      <c r="B1960" s="3">
        <v>0.2910416666666667</v>
      </c>
      <c r="C1960">
        <v>380</v>
      </c>
      <c r="D1960" t="str">
        <f>VLOOKUP(H1960,Produkt!$A$2:$B$5,2,FALSE)</f>
        <v>B</v>
      </c>
      <c r="H1960">
        <v>2</v>
      </c>
      <c r="I1960">
        <v>0.94200231481481478</v>
      </c>
      <c r="J1960">
        <v>44775</v>
      </c>
    </row>
    <row r="1961" spans="1:10" x14ac:dyDescent="0.35">
      <c r="A1961" s="2">
        <v>44780</v>
      </c>
      <c r="B1961" s="3">
        <v>0.16057870370370372</v>
      </c>
      <c r="C1961">
        <v>420</v>
      </c>
      <c r="D1961" t="str">
        <f>VLOOKUP(H1961,Produkt!$A$2:$B$5,2,FALSE)</f>
        <v>A</v>
      </c>
      <c r="H1961">
        <v>1</v>
      </c>
      <c r="I1961">
        <v>0.16636574074074076</v>
      </c>
      <c r="J1961">
        <v>44775</v>
      </c>
    </row>
    <row r="1962" spans="1:10" x14ac:dyDescent="0.35">
      <c r="A1962" s="2">
        <v>44780</v>
      </c>
      <c r="B1962" s="3">
        <v>1.6018518518518519E-2</v>
      </c>
      <c r="C1962">
        <v>452</v>
      </c>
      <c r="D1962" t="str">
        <f>VLOOKUP(H1962,Produkt!$A$2:$B$5,2,FALSE)</f>
        <v>C</v>
      </c>
      <c r="H1962">
        <v>3</v>
      </c>
      <c r="I1962">
        <v>0.40937499999999999</v>
      </c>
      <c r="J1962">
        <v>44782</v>
      </c>
    </row>
    <row r="1963" spans="1:10" x14ac:dyDescent="0.35">
      <c r="A1963" s="2">
        <v>44780</v>
      </c>
      <c r="B1963" s="3">
        <v>0.15203703703703705</v>
      </c>
      <c r="C1963">
        <v>458</v>
      </c>
      <c r="D1963" t="str">
        <f>VLOOKUP(H1963,Produkt!$A$2:$B$5,2,FALSE)</f>
        <v>B</v>
      </c>
      <c r="H1963">
        <v>2</v>
      </c>
      <c r="I1963">
        <v>1.8738425925925926E-2</v>
      </c>
      <c r="J1963">
        <v>44797</v>
      </c>
    </row>
    <row r="1964" spans="1:10" x14ac:dyDescent="0.35">
      <c r="A1964" s="2">
        <v>44780</v>
      </c>
      <c r="B1964" s="3">
        <v>0.50387731481481479</v>
      </c>
      <c r="C1964">
        <v>464</v>
      </c>
      <c r="D1964" t="str">
        <f>VLOOKUP(H1964,Produkt!$A$2:$B$5,2,FALSE)</f>
        <v>A</v>
      </c>
      <c r="H1964">
        <v>1</v>
      </c>
      <c r="I1964">
        <v>0.94582175925925915</v>
      </c>
      <c r="J1964">
        <v>44779</v>
      </c>
    </row>
    <row r="1965" spans="1:10" x14ac:dyDescent="0.35">
      <c r="A1965" s="2">
        <v>44780</v>
      </c>
      <c r="B1965" s="3">
        <v>0.29518518518518516</v>
      </c>
      <c r="C1965">
        <v>466</v>
      </c>
      <c r="D1965" t="str">
        <f>VLOOKUP(H1965,Produkt!$A$2:$B$5,2,FALSE)</f>
        <v>B</v>
      </c>
      <c r="H1965">
        <v>2</v>
      </c>
      <c r="I1965">
        <v>0.49666666666666665</v>
      </c>
      <c r="J1965">
        <v>44782</v>
      </c>
    </row>
    <row r="1966" spans="1:10" x14ac:dyDescent="0.35">
      <c r="A1966" s="2">
        <v>44780</v>
      </c>
      <c r="B1966" s="3">
        <v>0.40457175925925926</v>
      </c>
      <c r="C1966">
        <v>505</v>
      </c>
      <c r="D1966" t="str">
        <f>VLOOKUP(H1966,Produkt!$A$2:$B$5,2,FALSE)</f>
        <v>D</v>
      </c>
      <c r="H1966">
        <v>4</v>
      </c>
      <c r="I1966">
        <v>3.3564814814801558E-4</v>
      </c>
      <c r="J1966">
        <v>44801</v>
      </c>
    </row>
    <row r="1967" spans="1:10" x14ac:dyDescent="0.35">
      <c r="A1967" s="2">
        <v>44780</v>
      </c>
      <c r="B1967" s="3">
        <v>0.3818171296296296</v>
      </c>
      <c r="C1967">
        <v>579</v>
      </c>
      <c r="D1967" t="str">
        <f>VLOOKUP(H1967,Produkt!$A$2:$B$5,2,FALSE)</f>
        <v>C</v>
      </c>
      <c r="H1967">
        <v>3</v>
      </c>
      <c r="I1967">
        <v>0.77603009259259259</v>
      </c>
      <c r="J1967">
        <v>44781</v>
      </c>
    </row>
    <row r="1968" spans="1:10" x14ac:dyDescent="0.35">
      <c r="A1968" s="2">
        <v>44780</v>
      </c>
      <c r="B1968" s="3">
        <v>0.93427083333333327</v>
      </c>
      <c r="C1968">
        <v>604</v>
      </c>
      <c r="D1968" t="str">
        <f>VLOOKUP(H1968,Produkt!$A$2:$B$5,2,FALSE)</f>
        <v>C</v>
      </c>
      <c r="H1968">
        <v>3</v>
      </c>
      <c r="I1968">
        <v>0.90905092592592596</v>
      </c>
      <c r="J1968">
        <v>44785</v>
      </c>
    </row>
    <row r="1969" spans="1:10" x14ac:dyDescent="0.35">
      <c r="A1969" s="2">
        <v>44780</v>
      </c>
      <c r="B1969" s="3">
        <v>4.8668981481481487E-2</v>
      </c>
      <c r="C1969">
        <v>609</v>
      </c>
      <c r="D1969" t="str">
        <f>VLOOKUP(H1969,Produkt!$A$2:$B$5,2,FALSE)</f>
        <v>D</v>
      </c>
      <c r="H1969">
        <v>4</v>
      </c>
      <c r="I1969">
        <v>0.16215277777777778</v>
      </c>
      <c r="J1969">
        <v>44797</v>
      </c>
    </row>
    <row r="1970" spans="1:10" x14ac:dyDescent="0.35">
      <c r="A1970" s="2">
        <v>44780</v>
      </c>
      <c r="B1970" s="3">
        <v>0.65383101851851855</v>
      </c>
      <c r="C1970">
        <v>616</v>
      </c>
      <c r="D1970" t="str">
        <f>VLOOKUP(H1970,Produkt!$A$2:$B$5,2,FALSE)</f>
        <v>D</v>
      </c>
      <c r="H1970">
        <v>4</v>
      </c>
      <c r="I1970">
        <v>0.59925925925925927</v>
      </c>
      <c r="J1970">
        <v>44776</v>
      </c>
    </row>
    <row r="1971" spans="1:10" x14ac:dyDescent="0.35">
      <c r="A1971" s="2">
        <v>44780</v>
      </c>
      <c r="B1971" s="3">
        <v>0.20093749999999999</v>
      </c>
      <c r="C1971">
        <v>636</v>
      </c>
      <c r="D1971" t="str">
        <f>VLOOKUP(H1971,Produkt!$A$2:$B$5,2,FALSE)</f>
        <v>C</v>
      </c>
      <c r="H1971">
        <v>3</v>
      </c>
      <c r="I1971">
        <v>0.66635416666666669</v>
      </c>
      <c r="J1971">
        <v>44774</v>
      </c>
    </row>
    <row r="1972" spans="1:10" x14ac:dyDescent="0.35">
      <c r="A1972" s="2">
        <v>44780</v>
      </c>
      <c r="B1972" s="3">
        <v>0.79909722222222224</v>
      </c>
      <c r="C1972">
        <v>651</v>
      </c>
      <c r="D1972" t="str">
        <f>VLOOKUP(H1972,Produkt!$A$2:$B$5,2,FALSE)</f>
        <v>D</v>
      </c>
      <c r="H1972">
        <v>4</v>
      </c>
      <c r="I1972">
        <v>0.15998842592592591</v>
      </c>
      <c r="J1972">
        <v>44791</v>
      </c>
    </row>
    <row r="1973" spans="1:10" x14ac:dyDescent="0.35">
      <c r="A1973" s="2">
        <v>44780</v>
      </c>
      <c r="B1973" s="3">
        <v>0.36854166666666671</v>
      </c>
      <c r="C1973">
        <v>718</v>
      </c>
      <c r="D1973" t="str">
        <f>VLOOKUP(H1973,Produkt!$A$2:$B$5,2,FALSE)</f>
        <v>B</v>
      </c>
      <c r="H1973">
        <v>2</v>
      </c>
      <c r="I1973">
        <v>0.61798611111111112</v>
      </c>
      <c r="J1973">
        <v>44780</v>
      </c>
    </row>
    <row r="1974" spans="1:10" x14ac:dyDescent="0.35">
      <c r="A1974" s="2">
        <v>44780</v>
      </c>
      <c r="B1974" s="3">
        <v>0.14796296296296296</v>
      </c>
      <c r="C1974">
        <v>751</v>
      </c>
      <c r="D1974" t="str">
        <f>VLOOKUP(H1974,Produkt!$A$2:$B$5,2,FALSE)</f>
        <v>D</v>
      </c>
      <c r="H1974">
        <v>4</v>
      </c>
      <c r="I1974">
        <v>0.80431712962962953</v>
      </c>
      <c r="J1974">
        <v>44783</v>
      </c>
    </row>
    <row r="1975" spans="1:10" x14ac:dyDescent="0.35">
      <c r="A1975" s="2">
        <v>44780</v>
      </c>
      <c r="B1975" s="3">
        <v>0.76877314814814823</v>
      </c>
      <c r="C1975">
        <v>833</v>
      </c>
      <c r="D1975" t="str">
        <f>VLOOKUP(H1975,Produkt!$A$2:$B$5,2,FALSE)</f>
        <v>B</v>
      </c>
      <c r="H1975">
        <v>2</v>
      </c>
      <c r="I1975">
        <v>0.91326388888888888</v>
      </c>
      <c r="J1975">
        <v>44779</v>
      </c>
    </row>
    <row r="1976" spans="1:10" x14ac:dyDescent="0.35">
      <c r="A1976" s="2">
        <v>44780</v>
      </c>
      <c r="B1976" s="3">
        <v>0.81015046296296289</v>
      </c>
      <c r="C1976">
        <v>875</v>
      </c>
      <c r="D1976" t="str">
        <f>VLOOKUP(H1976,Produkt!$A$2:$B$5,2,FALSE)</f>
        <v>C</v>
      </c>
      <c r="H1976">
        <v>3</v>
      </c>
      <c r="I1976">
        <v>3.9664351851851798E-2</v>
      </c>
      <c r="J1976">
        <v>44785</v>
      </c>
    </row>
    <row r="1977" spans="1:10" x14ac:dyDescent="0.35">
      <c r="A1977" s="2">
        <v>44780</v>
      </c>
      <c r="B1977" s="3">
        <v>0.77878472222222228</v>
      </c>
      <c r="C1977">
        <v>900</v>
      </c>
      <c r="D1977" t="str">
        <f>VLOOKUP(H1977,Produkt!$A$2:$B$5,2,FALSE)</f>
        <v>C</v>
      </c>
      <c r="H1977">
        <v>3</v>
      </c>
      <c r="I1977">
        <v>0.73070601851851846</v>
      </c>
      <c r="J1977">
        <v>44798</v>
      </c>
    </row>
    <row r="1978" spans="1:10" x14ac:dyDescent="0.35">
      <c r="A1978" s="2">
        <v>44780</v>
      </c>
      <c r="B1978" s="3">
        <v>0.4901388888888889</v>
      </c>
      <c r="C1978">
        <v>958</v>
      </c>
      <c r="D1978" t="str">
        <f>VLOOKUP(H1978,Produkt!$A$2:$B$5,2,FALSE)</f>
        <v>D</v>
      </c>
      <c r="H1978">
        <v>4</v>
      </c>
      <c r="I1978">
        <v>0.88194444444444453</v>
      </c>
      <c r="J1978">
        <v>44775</v>
      </c>
    </row>
    <row r="1979" spans="1:10" x14ac:dyDescent="0.35">
      <c r="A1979" s="2">
        <v>44780</v>
      </c>
      <c r="B1979" s="3">
        <v>0.97202546296296299</v>
      </c>
      <c r="C1979">
        <v>974</v>
      </c>
      <c r="D1979" t="str">
        <f>VLOOKUP(H1979,Produkt!$A$2:$B$5,2,FALSE)</f>
        <v>C</v>
      </c>
      <c r="H1979">
        <v>3</v>
      </c>
      <c r="I1979">
        <v>3.1446759259259327E-2</v>
      </c>
      <c r="J1979">
        <v>44798</v>
      </c>
    </row>
    <row r="1980" spans="1:10" x14ac:dyDescent="0.35">
      <c r="A1980" s="2">
        <v>44780</v>
      </c>
      <c r="B1980" s="3">
        <v>0.42894675925925929</v>
      </c>
      <c r="C1980">
        <v>1017</v>
      </c>
      <c r="D1980" t="str">
        <f>VLOOKUP(H1980,Produkt!$A$2:$B$5,2,FALSE)</f>
        <v>A</v>
      </c>
      <c r="H1980">
        <v>1</v>
      </c>
      <c r="I1980">
        <v>6.5601851851851856E-2</v>
      </c>
      <c r="J1980">
        <v>44794</v>
      </c>
    </row>
    <row r="1981" spans="1:10" x14ac:dyDescent="0.35">
      <c r="A1981" s="2">
        <v>44780</v>
      </c>
      <c r="B1981" s="3">
        <v>0.38570601851851855</v>
      </c>
      <c r="C1981">
        <v>1041</v>
      </c>
      <c r="D1981" t="str">
        <f>VLOOKUP(H1981,Produkt!$A$2:$B$5,2,FALSE)</f>
        <v>A</v>
      </c>
      <c r="H1981">
        <v>1</v>
      </c>
      <c r="I1981">
        <v>0.91366898148148146</v>
      </c>
      <c r="J1981">
        <v>44774</v>
      </c>
    </row>
    <row r="1982" spans="1:10" x14ac:dyDescent="0.35">
      <c r="A1982" s="2">
        <v>44780</v>
      </c>
      <c r="B1982" s="3">
        <v>0.20982638888888891</v>
      </c>
      <c r="C1982">
        <v>1057</v>
      </c>
      <c r="D1982" t="str">
        <f>VLOOKUP(H1982,Produkt!$A$2:$B$5,2,FALSE)</f>
        <v>D</v>
      </c>
      <c r="H1982">
        <v>4</v>
      </c>
      <c r="I1982">
        <v>0.85430555555555554</v>
      </c>
      <c r="J1982">
        <v>44795</v>
      </c>
    </row>
    <row r="1983" spans="1:10" x14ac:dyDescent="0.35">
      <c r="A1983" s="2">
        <v>44780</v>
      </c>
      <c r="B1983" s="3">
        <v>0.89495370370370375</v>
      </c>
      <c r="C1983">
        <v>1088</v>
      </c>
      <c r="D1983" t="str">
        <f>VLOOKUP(H1983,Produkt!$A$2:$B$5,2,FALSE)</f>
        <v>B</v>
      </c>
      <c r="H1983">
        <v>2</v>
      </c>
      <c r="I1983">
        <v>0.84929398148148139</v>
      </c>
      <c r="J1983">
        <v>44785</v>
      </c>
    </row>
    <row r="1984" spans="1:10" x14ac:dyDescent="0.35">
      <c r="A1984" s="2">
        <v>44780</v>
      </c>
      <c r="B1984" s="3">
        <v>0.47179398148148149</v>
      </c>
      <c r="C1984">
        <v>1101</v>
      </c>
      <c r="D1984" t="str">
        <f>VLOOKUP(H1984,Produkt!$A$2:$B$5,2,FALSE)</f>
        <v>D</v>
      </c>
      <c r="H1984">
        <v>4</v>
      </c>
      <c r="I1984">
        <v>0.95262731481481477</v>
      </c>
      <c r="J1984">
        <v>44804</v>
      </c>
    </row>
    <row r="1985" spans="1:10" x14ac:dyDescent="0.35">
      <c r="A1985" s="2">
        <v>44780</v>
      </c>
      <c r="B1985" s="3">
        <v>0.68218749999999995</v>
      </c>
      <c r="C1985">
        <v>1145</v>
      </c>
      <c r="D1985" t="str">
        <f>VLOOKUP(H1985,Produkt!$A$2:$B$5,2,FALSE)</f>
        <v>D</v>
      </c>
      <c r="H1985">
        <v>4</v>
      </c>
      <c r="I1985">
        <v>0.27805555555555556</v>
      </c>
      <c r="J1985">
        <v>44796</v>
      </c>
    </row>
    <row r="1986" spans="1:10" x14ac:dyDescent="0.35">
      <c r="A1986" s="2">
        <v>44780</v>
      </c>
      <c r="B1986" s="3">
        <v>0.22370370370370371</v>
      </c>
      <c r="C1986">
        <v>1222</v>
      </c>
      <c r="D1986" t="str">
        <f>VLOOKUP(H1986,Produkt!$A$2:$B$5,2,FALSE)</f>
        <v>D</v>
      </c>
      <c r="H1986">
        <v>4</v>
      </c>
      <c r="I1986">
        <v>0.82290509259259259</v>
      </c>
      <c r="J1986">
        <v>44790</v>
      </c>
    </row>
    <row r="1987" spans="1:10" x14ac:dyDescent="0.35">
      <c r="A1987" s="2">
        <v>44780</v>
      </c>
      <c r="B1987" s="3">
        <v>0.73284722222222232</v>
      </c>
      <c r="C1987">
        <v>1295</v>
      </c>
      <c r="D1987" t="str">
        <f>VLOOKUP(H1987,Produkt!$A$2:$B$5,2,FALSE)</f>
        <v>C</v>
      </c>
      <c r="H1987">
        <v>3</v>
      </c>
      <c r="I1987">
        <v>0.68546296296296294</v>
      </c>
      <c r="J1987">
        <v>44781</v>
      </c>
    </row>
    <row r="1988" spans="1:10" x14ac:dyDescent="0.35">
      <c r="A1988" s="2">
        <v>44780</v>
      </c>
      <c r="B1988" s="3">
        <v>0.79320601851851846</v>
      </c>
      <c r="C1988">
        <v>1363</v>
      </c>
      <c r="D1988" t="str">
        <f>VLOOKUP(H1988,Produkt!$A$2:$B$5,2,FALSE)</f>
        <v>C</v>
      </c>
      <c r="H1988">
        <v>3</v>
      </c>
      <c r="I1988">
        <v>5.9027777777777783E-2</v>
      </c>
      <c r="J1988">
        <v>44775</v>
      </c>
    </row>
    <row r="1989" spans="1:10" x14ac:dyDescent="0.35">
      <c r="A1989" s="2">
        <v>44780</v>
      </c>
      <c r="B1989" s="3">
        <v>0.73892361111111116</v>
      </c>
      <c r="C1989">
        <v>1398</v>
      </c>
      <c r="D1989" t="str">
        <f>VLOOKUP(H1989,Produkt!$A$2:$B$5,2,FALSE)</f>
        <v>D</v>
      </c>
      <c r="H1989">
        <v>4</v>
      </c>
      <c r="I1989">
        <v>2.1400462962962941E-2</v>
      </c>
      <c r="J1989">
        <v>44794</v>
      </c>
    </row>
    <row r="1990" spans="1:10" x14ac:dyDescent="0.35">
      <c r="A1990" s="2">
        <v>44780</v>
      </c>
      <c r="B1990" s="3">
        <v>0.88508101851851861</v>
      </c>
      <c r="C1990">
        <v>1444</v>
      </c>
      <c r="D1990" t="str">
        <f>VLOOKUP(H1990,Produkt!$A$2:$B$5,2,FALSE)</f>
        <v>C</v>
      </c>
      <c r="H1990">
        <v>3</v>
      </c>
      <c r="I1990">
        <v>0.31390046296296298</v>
      </c>
      <c r="J1990">
        <v>44783</v>
      </c>
    </row>
    <row r="1991" spans="1:10" x14ac:dyDescent="0.35">
      <c r="A1991" s="2">
        <v>44780</v>
      </c>
      <c r="B1991" s="3">
        <v>0.23539351851851853</v>
      </c>
      <c r="C1991">
        <v>1456</v>
      </c>
      <c r="D1991" t="str">
        <f>VLOOKUP(H1991,Produkt!$A$2:$B$5,2,FALSE)</f>
        <v>C</v>
      </c>
      <c r="H1991">
        <v>3</v>
      </c>
      <c r="I1991">
        <v>4.1273148148148087E-2</v>
      </c>
      <c r="J1991">
        <v>44803</v>
      </c>
    </row>
    <row r="1992" spans="1:10" x14ac:dyDescent="0.35">
      <c r="A1992" s="2">
        <v>44780</v>
      </c>
      <c r="B1992" s="3">
        <v>0.17119212962962962</v>
      </c>
      <c r="C1992">
        <v>1467</v>
      </c>
      <c r="D1992" t="str">
        <f>VLOOKUP(H1992,Produkt!$A$2:$B$5,2,FALSE)</f>
        <v>C</v>
      </c>
      <c r="H1992">
        <v>3</v>
      </c>
      <c r="I1992">
        <v>0.91839120370370375</v>
      </c>
      <c r="J1992">
        <v>44804</v>
      </c>
    </row>
    <row r="1993" spans="1:10" x14ac:dyDescent="0.35">
      <c r="A1993" s="2">
        <v>44780</v>
      </c>
      <c r="B1993" s="3">
        <v>0.4365046296296296</v>
      </c>
      <c r="C1993">
        <v>1608</v>
      </c>
      <c r="D1993" t="str">
        <f>VLOOKUP(H1993,Produkt!$A$2:$B$5,2,FALSE)</f>
        <v>C</v>
      </c>
      <c r="H1993">
        <v>3</v>
      </c>
      <c r="I1993">
        <v>0.2354050925925926</v>
      </c>
      <c r="J1993">
        <v>44792</v>
      </c>
    </row>
    <row r="1994" spans="1:10" x14ac:dyDescent="0.35">
      <c r="A1994" s="2">
        <v>44780</v>
      </c>
      <c r="B1994" s="3">
        <v>4.7372685185185191E-2</v>
      </c>
      <c r="C1994">
        <v>1641</v>
      </c>
      <c r="D1994" t="str">
        <f>VLOOKUP(H1994,Produkt!$A$2:$B$5,2,FALSE)</f>
        <v>B</v>
      </c>
      <c r="H1994">
        <v>2</v>
      </c>
      <c r="I1994">
        <v>0.85223379629629636</v>
      </c>
      <c r="J1994">
        <v>44782</v>
      </c>
    </row>
    <row r="1995" spans="1:10" x14ac:dyDescent="0.35">
      <c r="A1995" s="2">
        <v>44780</v>
      </c>
      <c r="B1995" s="3">
        <v>0.14578703703703702</v>
      </c>
      <c r="C1995">
        <v>1668</v>
      </c>
      <c r="D1995" t="str">
        <f>VLOOKUP(H1995,Produkt!$A$2:$B$5,2,FALSE)</f>
        <v>D</v>
      </c>
      <c r="H1995">
        <v>4</v>
      </c>
      <c r="I1995">
        <v>8.7071759259259252E-2</v>
      </c>
      <c r="J1995">
        <v>44802</v>
      </c>
    </row>
    <row r="1996" spans="1:10" x14ac:dyDescent="0.35">
      <c r="A1996" s="2">
        <v>44780</v>
      </c>
      <c r="B1996" s="3">
        <v>0.92905092592592586</v>
      </c>
      <c r="C1996">
        <v>1683</v>
      </c>
      <c r="D1996" t="str">
        <f>VLOOKUP(H1996,Produkt!$A$2:$B$5,2,FALSE)</f>
        <v>B</v>
      </c>
      <c r="H1996">
        <v>2</v>
      </c>
      <c r="I1996">
        <v>0.33162037037037034</v>
      </c>
      <c r="J1996">
        <v>44784</v>
      </c>
    </row>
    <row r="1997" spans="1:10" x14ac:dyDescent="0.35">
      <c r="A1997" s="2">
        <v>44780</v>
      </c>
      <c r="B1997" s="3">
        <v>0.19409722222222223</v>
      </c>
      <c r="C1997">
        <v>1700</v>
      </c>
      <c r="D1997" t="str">
        <f>VLOOKUP(H1997,Produkt!$A$2:$B$5,2,FALSE)</f>
        <v>D</v>
      </c>
      <c r="H1997">
        <v>4</v>
      </c>
      <c r="I1997">
        <v>0.49517361111111113</v>
      </c>
      <c r="J1997">
        <v>44783</v>
      </c>
    </row>
    <row r="1998" spans="1:10" x14ac:dyDescent="0.35">
      <c r="A1998" s="2">
        <v>44780</v>
      </c>
      <c r="B1998" s="3">
        <v>0.42251157407407408</v>
      </c>
      <c r="C1998">
        <v>1729</v>
      </c>
      <c r="D1998" t="str">
        <f>VLOOKUP(H1998,Produkt!$A$2:$B$5,2,FALSE)</f>
        <v>B</v>
      </c>
      <c r="H1998">
        <v>2</v>
      </c>
      <c r="I1998">
        <v>0.39496527777777773</v>
      </c>
      <c r="J1998">
        <v>44799</v>
      </c>
    </row>
    <row r="1999" spans="1:10" x14ac:dyDescent="0.35">
      <c r="A1999" s="2">
        <v>44780</v>
      </c>
      <c r="B1999" s="3">
        <v>0.71841435185185187</v>
      </c>
      <c r="C1999">
        <v>1791</v>
      </c>
      <c r="D1999" t="str">
        <f>VLOOKUP(H1999,Produkt!$A$2:$B$5,2,FALSE)</f>
        <v>B</v>
      </c>
      <c r="H1999">
        <v>2</v>
      </c>
      <c r="I1999">
        <v>8.5972222222222228E-2</v>
      </c>
      <c r="J1999">
        <v>44794</v>
      </c>
    </row>
    <row r="2000" spans="1:10" x14ac:dyDescent="0.35">
      <c r="A2000" s="2">
        <v>44780</v>
      </c>
      <c r="B2000" s="3">
        <v>0.67936342592592591</v>
      </c>
      <c r="C2000">
        <v>1801</v>
      </c>
      <c r="D2000" t="str">
        <f>VLOOKUP(H2000,Produkt!$A$2:$B$5,2,FALSE)</f>
        <v>C</v>
      </c>
      <c r="H2000">
        <v>3</v>
      </c>
      <c r="I2000">
        <v>0.25015046296296295</v>
      </c>
      <c r="J2000">
        <v>44794</v>
      </c>
    </row>
    <row r="2001" spans="1:10" x14ac:dyDescent="0.35">
      <c r="A2001" s="2">
        <v>44780</v>
      </c>
      <c r="B2001" s="3">
        <v>0.45174768518518515</v>
      </c>
      <c r="C2001">
        <v>1805</v>
      </c>
      <c r="D2001" t="str">
        <f>VLOOKUP(H2001,Produkt!$A$2:$B$5,2,FALSE)</f>
        <v>A</v>
      </c>
      <c r="H2001">
        <v>1</v>
      </c>
      <c r="I2001">
        <v>0.85076388888888888</v>
      </c>
      <c r="J2001">
        <v>44786</v>
      </c>
    </row>
    <row r="2002" spans="1:10" x14ac:dyDescent="0.35">
      <c r="A2002" s="2">
        <v>44780</v>
      </c>
      <c r="B2002" s="3">
        <v>0.17964120370370371</v>
      </c>
      <c r="C2002">
        <v>1809</v>
      </c>
      <c r="D2002" t="str">
        <f>VLOOKUP(H2002,Produkt!$A$2:$B$5,2,FALSE)</f>
        <v>B</v>
      </c>
      <c r="H2002">
        <v>2</v>
      </c>
      <c r="I2002">
        <v>0.64041666666666663</v>
      </c>
      <c r="J2002">
        <v>44781</v>
      </c>
    </row>
    <row r="2003" spans="1:10" x14ac:dyDescent="0.35">
      <c r="A2003" s="2">
        <v>44780</v>
      </c>
      <c r="B2003" s="3">
        <v>0.7777546296296296</v>
      </c>
      <c r="C2003">
        <v>1900</v>
      </c>
      <c r="D2003" t="str">
        <f>VLOOKUP(H2003,Produkt!$A$2:$B$5,2,FALSE)</f>
        <v>D</v>
      </c>
      <c r="H2003">
        <v>4</v>
      </c>
      <c r="I2003">
        <v>0.10695601851851851</v>
      </c>
      <c r="J2003">
        <v>44796</v>
      </c>
    </row>
    <row r="2004" spans="1:10" x14ac:dyDescent="0.35">
      <c r="A2004" s="2">
        <v>44780</v>
      </c>
      <c r="B2004" s="3">
        <v>0.35196759259259264</v>
      </c>
      <c r="C2004">
        <v>1930</v>
      </c>
      <c r="D2004" t="str">
        <f>VLOOKUP(H2004,Produkt!$A$2:$B$5,2,FALSE)</f>
        <v>A</v>
      </c>
      <c r="H2004">
        <v>1</v>
      </c>
      <c r="I2004">
        <v>0.61310185185185184</v>
      </c>
      <c r="J2004">
        <v>44786</v>
      </c>
    </row>
    <row r="2005" spans="1:10" x14ac:dyDescent="0.35">
      <c r="A2005" s="2">
        <v>44780</v>
      </c>
      <c r="B2005" s="3">
        <v>0.59539351851851852</v>
      </c>
      <c r="C2005">
        <v>1933</v>
      </c>
      <c r="D2005" t="str">
        <f>VLOOKUP(H2005,Produkt!$A$2:$B$5,2,FALSE)</f>
        <v>D</v>
      </c>
      <c r="H2005">
        <v>4</v>
      </c>
      <c r="I2005">
        <v>6.1527777777777772E-2</v>
      </c>
      <c r="J2005">
        <v>44784</v>
      </c>
    </row>
    <row r="2006" spans="1:10" x14ac:dyDescent="0.35">
      <c r="A2006" s="2">
        <v>44780</v>
      </c>
      <c r="B2006" s="3">
        <v>0.25015046296296295</v>
      </c>
      <c r="C2006">
        <v>1999</v>
      </c>
      <c r="D2006" t="str">
        <f>VLOOKUP(H2006,Produkt!$A$2:$B$5,2,FALSE)</f>
        <v>A</v>
      </c>
      <c r="H2006">
        <v>1</v>
      </c>
      <c r="I2006">
        <v>0.95361111111111108</v>
      </c>
      <c r="J2006">
        <v>44799</v>
      </c>
    </row>
    <row r="2007" spans="1:10" x14ac:dyDescent="0.35">
      <c r="A2007" s="2">
        <v>44780</v>
      </c>
      <c r="B2007" s="3">
        <v>0.31123842592592593</v>
      </c>
      <c r="C2007">
        <v>2010</v>
      </c>
      <c r="D2007" t="str">
        <f>VLOOKUP(H2007,Produkt!$A$2:$B$5,2,FALSE)</f>
        <v>A</v>
      </c>
      <c r="H2007">
        <v>1</v>
      </c>
      <c r="I2007">
        <v>0.66892361111111109</v>
      </c>
      <c r="J2007">
        <v>44789</v>
      </c>
    </row>
    <row r="2008" spans="1:10" x14ac:dyDescent="0.35">
      <c r="A2008" s="2">
        <v>44780</v>
      </c>
      <c r="B2008" s="3">
        <v>0.92576388888888894</v>
      </c>
      <c r="C2008">
        <v>2014</v>
      </c>
      <c r="D2008" t="str">
        <f>VLOOKUP(H2008,Produkt!$A$2:$B$5,2,FALSE)</f>
        <v>B</v>
      </c>
      <c r="H2008">
        <v>2</v>
      </c>
      <c r="I2008">
        <v>0.90628472222222223</v>
      </c>
      <c r="J2008">
        <v>44804</v>
      </c>
    </row>
    <row r="2009" spans="1:10" x14ac:dyDescent="0.35">
      <c r="A2009" s="2">
        <v>44780</v>
      </c>
      <c r="B2009" s="3">
        <v>0.11031249999999999</v>
      </c>
      <c r="C2009">
        <v>2045</v>
      </c>
      <c r="D2009" t="str">
        <f>VLOOKUP(H2009,Produkt!$A$2:$B$5,2,FALSE)</f>
        <v>C</v>
      </c>
      <c r="H2009">
        <v>3</v>
      </c>
      <c r="I2009">
        <v>0.17047453703703705</v>
      </c>
      <c r="J2009">
        <v>44803</v>
      </c>
    </row>
    <row r="2010" spans="1:10" x14ac:dyDescent="0.35">
      <c r="A2010" s="2">
        <v>44780</v>
      </c>
      <c r="B2010" s="3">
        <v>0.45396990740740745</v>
      </c>
      <c r="C2010">
        <v>2156</v>
      </c>
      <c r="D2010" t="str">
        <f>VLOOKUP(H2010,Produkt!$A$2:$B$5,2,FALSE)</f>
        <v>D</v>
      </c>
      <c r="H2010">
        <v>4</v>
      </c>
      <c r="I2010">
        <v>0.84163194444444445</v>
      </c>
      <c r="J2010">
        <v>44798</v>
      </c>
    </row>
    <row r="2011" spans="1:10" x14ac:dyDescent="0.35">
      <c r="A2011" s="2">
        <v>44780</v>
      </c>
      <c r="B2011" s="3">
        <v>0.10476851851851852</v>
      </c>
      <c r="C2011">
        <v>2167</v>
      </c>
      <c r="D2011" t="str">
        <f>VLOOKUP(H2011,Produkt!$A$2:$B$5,2,FALSE)</f>
        <v>D</v>
      </c>
      <c r="H2011">
        <v>4</v>
      </c>
      <c r="I2011">
        <v>0.31123842592592593</v>
      </c>
      <c r="J2011">
        <v>44782</v>
      </c>
    </row>
    <row r="2012" spans="1:10" x14ac:dyDescent="0.35">
      <c r="A2012" s="2">
        <v>44780</v>
      </c>
      <c r="B2012" s="3">
        <v>0.62113425925925925</v>
      </c>
      <c r="C2012">
        <v>2192</v>
      </c>
      <c r="D2012" t="str">
        <f>VLOOKUP(H2012,Produkt!$A$2:$B$5,2,FALSE)</f>
        <v>A</v>
      </c>
      <c r="H2012">
        <v>1</v>
      </c>
      <c r="I2012">
        <v>0.89778935185185194</v>
      </c>
      <c r="J2012">
        <v>44793</v>
      </c>
    </row>
    <row r="2013" spans="1:10" x14ac:dyDescent="0.35">
      <c r="A2013" s="2">
        <v>44780</v>
      </c>
      <c r="B2013" s="3">
        <v>0.58143518518518522</v>
      </c>
      <c r="C2013">
        <v>2222</v>
      </c>
      <c r="D2013" t="str">
        <f>VLOOKUP(H2013,Produkt!$A$2:$B$5,2,FALSE)</f>
        <v>D</v>
      </c>
      <c r="H2013">
        <v>4</v>
      </c>
      <c r="I2013">
        <v>0.87296296296296294</v>
      </c>
      <c r="J2013">
        <v>44803</v>
      </c>
    </row>
    <row r="2014" spans="1:10" x14ac:dyDescent="0.35">
      <c r="A2014" s="2">
        <v>44780</v>
      </c>
      <c r="B2014" s="3">
        <v>0.21912037037037035</v>
      </c>
      <c r="C2014">
        <v>2279</v>
      </c>
      <c r="D2014" t="str">
        <f>VLOOKUP(H2014,Produkt!$A$2:$B$5,2,FALSE)</f>
        <v>B</v>
      </c>
      <c r="H2014">
        <v>2</v>
      </c>
      <c r="I2014">
        <v>0.10158564814814815</v>
      </c>
      <c r="J2014">
        <v>44774</v>
      </c>
    </row>
    <row r="2015" spans="1:10" x14ac:dyDescent="0.35">
      <c r="A2015" s="2">
        <v>44780</v>
      </c>
      <c r="B2015" s="3">
        <v>0.80437499999999995</v>
      </c>
      <c r="C2015">
        <v>2295</v>
      </c>
      <c r="D2015" t="str">
        <f>VLOOKUP(H2015,Produkt!$A$2:$B$5,2,FALSE)</f>
        <v>A</v>
      </c>
      <c r="H2015">
        <v>1</v>
      </c>
      <c r="I2015">
        <v>0.92576388888888894</v>
      </c>
      <c r="J2015">
        <v>44787</v>
      </c>
    </row>
    <row r="2016" spans="1:10" x14ac:dyDescent="0.35">
      <c r="A2016" s="2">
        <v>44780</v>
      </c>
      <c r="B2016" s="3">
        <v>0.48395833333333332</v>
      </c>
      <c r="C2016">
        <v>2381</v>
      </c>
      <c r="D2016" t="str">
        <f>VLOOKUP(H2016,Produkt!$A$2:$B$5,2,FALSE)</f>
        <v>D</v>
      </c>
      <c r="H2016">
        <v>4</v>
      </c>
      <c r="I2016">
        <v>0.20224537037037038</v>
      </c>
      <c r="J2016">
        <v>44798</v>
      </c>
    </row>
    <row r="2017" spans="1:10" x14ac:dyDescent="0.35">
      <c r="A2017" s="2">
        <v>44780</v>
      </c>
      <c r="B2017" s="3">
        <v>3.0393518518518518E-2</v>
      </c>
      <c r="C2017">
        <v>2404</v>
      </c>
      <c r="D2017" t="str">
        <f>VLOOKUP(H2017,Produkt!$A$2:$B$5,2,FALSE)</f>
        <v>B</v>
      </c>
      <c r="H2017">
        <v>2</v>
      </c>
      <c r="I2017">
        <v>0.1391087962962963</v>
      </c>
      <c r="J2017">
        <v>44775</v>
      </c>
    </row>
    <row r="2018" spans="1:10" x14ac:dyDescent="0.35">
      <c r="A2018" s="2">
        <v>44780</v>
      </c>
      <c r="B2018" s="3">
        <v>0.66297453703703701</v>
      </c>
      <c r="C2018">
        <v>2411</v>
      </c>
      <c r="D2018" t="str">
        <f>VLOOKUP(H2018,Produkt!$A$2:$B$5,2,FALSE)</f>
        <v>C</v>
      </c>
      <c r="H2018">
        <v>3</v>
      </c>
      <c r="I2018">
        <v>0.73166666666666658</v>
      </c>
      <c r="J2018">
        <v>44785</v>
      </c>
    </row>
    <row r="2019" spans="1:10" x14ac:dyDescent="0.35">
      <c r="A2019" s="2">
        <v>44780</v>
      </c>
      <c r="B2019" s="3">
        <v>0.55023148148148149</v>
      </c>
      <c r="C2019">
        <v>2437</v>
      </c>
      <c r="D2019" t="str">
        <f>VLOOKUP(H2019,Produkt!$A$2:$B$5,2,FALSE)</f>
        <v>A</v>
      </c>
      <c r="H2019">
        <v>1</v>
      </c>
      <c r="I2019">
        <v>0.79662037037037037</v>
      </c>
      <c r="J2019">
        <v>44775</v>
      </c>
    </row>
    <row r="2020" spans="1:10" x14ac:dyDescent="0.35">
      <c r="A2020" s="2">
        <v>44780</v>
      </c>
      <c r="B2020" s="3">
        <v>0.90516203703703713</v>
      </c>
      <c r="C2020">
        <v>2458</v>
      </c>
      <c r="D2020" t="str">
        <f>VLOOKUP(H2020,Produkt!$A$2:$B$5,2,FALSE)</f>
        <v>A</v>
      </c>
      <c r="H2020">
        <v>1</v>
      </c>
      <c r="I2020">
        <v>0.66190972222222222</v>
      </c>
      <c r="J2020">
        <v>44796</v>
      </c>
    </row>
    <row r="2021" spans="1:10" x14ac:dyDescent="0.35">
      <c r="A2021" s="2">
        <v>44780</v>
      </c>
      <c r="B2021" s="3">
        <v>9.884259259259176E-3</v>
      </c>
      <c r="C2021">
        <v>2557</v>
      </c>
      <c r="D2021" t="str">
        <f>VLOOKUP(H2021,Produkt!$A$2:$B$5,2,FALSE)</f>
        <v>A</v>
      </c>
      <c r="H2021">
        <v>1</v>
      </c>
      <c r="I2021">
        <v>0.83240740740740737</v>
      </c>
      <c r="J2021">
        <v>44798</v>
      </c>
    </row>
    <row r="2022" spans="1:10" x14ac:dyDescent="0.35">
      <c r="A2022" s="2">
        <v>44780</v>
      </c>
      <c r="B2022" s="3">
        <v>0.12525462962962963</v>
      </c>
      <c r="C2022">
        <v>2572</v>
      </c>
      <c r="D2022" t="str">
        <f>VLOOKUP(H2022,Produkt!$A$2:$B$5,2,FALSE)</f>
        <v>D</v>
      </c>
      <c r="H2022">
        <v>4</v>
      </c>
      <c r="I2022">
        <v>0.62355324074074081</v>
      </c>
      <c r="J2022">
        <v>44800</v>
      </c>
    </row>
    <row r="2023" spans="1:10" x14ac:dyDescent="0.35">
      <c r="A2023" s="2">
        <v>44780</v>
      </c>
      <c r="B2023" s="3">
        <v>0.15766203703703704</v>
      </c>
      <c r="C2023">
        <v>2579</v>
      </c>
      <c r="D2023" t="str">
        <f>VLOOKUP(H2023,Produkt!$A$2:$B$5,2,FALSE)</f>
        <v>C</v>
      </c>
      <c r="H2023">
        <v>3</v>
      </c>
      <c r="I2023">
        <v>0.63659722222222215</v>
      </c>
      <c r="J2023">
        <v>44777</v>
      </c>
    </row>
    <row r="2024" spans="1:10" x14ac:dyDescent="0.35">
      <c r="A2024" s="2">
        <v>44780</v>
      </c>
      <c r="B2024" s="3">
        <v>1.1805555555555555E-2</v>
      </c>
      <c r="C2024">
        <v>2593</v>
      </c>
      <c r="D2024" t="str">
        <f>VLOOKUP(H2024,Produkt!$A$2:$B$5,2,FALSE)</f>
        <v>C</v>
      </c>
      <c r="H2024">
        <v>3</v>
      </c>
      <c r="I2024">
        <v>0.65120370370370373</v>
      </c>
      <c r="J2024">
        <v>44795</v>
      </c>
    </row>
    <row r="2025" spans="1:10" x14ac:dyDescent="0.35">
      <c r="A2025" s="2">
        <v>44780</v>
      </c>
      <c r="B2025" s="3">
        <v>0.58466435185185184</v>
      </c>
      <c r="C2025">
        <v>2598</v>
      </c>
      <c r="D2025" t="str">
        <f>VLOOKUP(H2025,Produkt!$A$2:$B$5,2,FALSE)</f>
        <v>B</v>
      </c>
      <c r="H2025">
        <v>2</v>
      </c>
      <c r="I2025">
        <v>5.7233796296296297E-2</v>
      </c>
      <c r="J2025">
        <v>44796</v>
      </c>
    </row>
    <row r="2026" spans="1:10" x14ac:dyDescent="0.35">
      <c r="A2026" s="2">
        <v>44780</v>
      </c>
      <c r="B2026" s="3">
        <v>0.50890046296296299</v>
      </c>
      <c r="C2026">
        <v>2603</v>
      </c>
      <c r="D2026" t="str">
        <f>VLOOKUP(H2026,Produkt!$A$2:$B$5,2,FALSE)</f>
        <v>A</v>
      </c>
      <c r="H2026">
        <v>1</v>
      </c>
      <c r="I2026">
        <v>0.44968750000000002</v>
      </c>
      <c r="J2026">
        <v>44793</v>
      </c>
    </row>
    <row r="2027" spans="1:10" x14ac:dyDescent="0.35">
      <c r="A2027" s="2">
        <v>44780</v>
      </c>
      <c r="B2027" s="3">
        <v>0.73277777777777775</v>
      </c>
      <c r="C2027">
        <v>2623</v>
      </c>
      <c r="D2027" t="str">
        <f>VLOOKUP(H2027,Produkt!$A$2:$B$5,2,FALSE)</f>
        <v>D</v>
      </c>
      <c r="H2027">
        <v>4</v>
      </c>
      <c r="I2027">
        <v>0.33555555555555555</v>
      </c>
      <c r="J2027">
        <v>44782</v>
      </c>
    </row>
    <row r="2028" spans="1:10" x14ac:dyDescent="0.35">
      <c r="A2028" s="2">
        <v>44780</v>
      </c>
      <c r="B2028" s="3">
        <v>0.49418981481481478</v>
      </c>
      <c r="C2028">
        <v>2680</v>
      </c>
      <c r="D2028" t="str">
        <f>VLOOKUP(H2028,Produkt!$A$2:$B$5,2,FALSE)</f>
        <v>A</v>
      </c>
      <c r="H2028">
        <v>1</v>
      </c>
      <c r="I2028">
        <v>0.58518518518518514</v>
      </c>
      <c r="J2028">
        <v>44783</v>
      </c>
    </row>
    <row r="2029" spans="1:10" x14ac:dyDescent="0.35">
      <c r="A2029" s="2">
        <v>44780</v>
      </c>
      <c r="B2029" s="3">
        <v>0.91061342592592587</v>
      </c>
      <c r="C2029">
        <v>2701</v>
      </c>
      <c r="D2029" t="str">
        <f>VLOOKUP(H2029,Produkt!$A$2:$B$5,2,FALSE)</f>
        <v>D</v>
      </c>
      <c r="H2029">
        <v>4</v>
      </c>
      <c r="I2029">
        <v>0.27997685185185184</v>
      </c>
      <c r="J2029">
        <v>44798</v>
      </c>
    </row>
    <row r="2030" spans="1:10" x14ac:dyDescent="0.35">
      <c r="A2030" s="2">
        <v>44780</v>
      </c>
      <c r="B2030" s="3">
        <v>0.66353009259259255</v>
      </c>
      <c r="C2030">
        <v>2726</v>
      </c>
      <c r="D2030" t="str">
        <f>VLOOKUP(H2030,Produkt!$A$2:$B$5,2,FALSE)</f>
        <v>C</v>
      </c>
      <c r="H2030">
        <v>3</v>
      </c>
      <c r="I2030">
        <v>0.35043981481481484</v>
      </c>
      <c r="J2030">
        <v>44796</v>
      </c>
    </row>
    <row r="2031" spans="1:10" x14ac:dyDescent="0.35">
      <c r="A2031" s="2">
        <v>44780</v>
      </c>
      <c r="B2031" s="3">
        <v>0.61312500000000003</v>
      </c>
      <c r="C2031">
        <v>2754</v>
      </c>
      <c r="D2031" t="str">
        <f>VLOOKUP(H2031,Produkt!$A$2:$B$5,2,FALSE)</f>
        <v>B</v>
      </c>
      <c r="H2031">
        <v>2</v>
      </c>
      <c r="I2031">
        <v>0.93458333333333332</v>
      </c>
      <c r="J2031">
        <v>44785</v>
      </c>
    </row>
    <row r="2032" spans="1:10" x14ac:dyDescent="0.35">
      <c r="A2032" s="2">
        <v>44780</v>
      </c>
      <c r="B2032" s="3">
        <v>0.96704861111111118</v>
      </c>
      <c r="C2032">
        <v>2766</v>
      </c>
      <c r="D2032" t="str">
        <f>VLOOKUP(H2032,Produkt!$A$2:$B$5,2,FALSE)</f>
        <v>D</v>
      </c>
      <c r="H2032">
        <v>4</v>
      </c>
      <c r="I2032">
        <v>0.89954861111111117</v>
      </c>
      <c r="J2032">
        <v>44800</v>
      </c>
    </row>
    <row r="2033" spans="1:10" x14ac:dyDescent="0.35">
      <c r="A2033" s="2">
        <v>44780</v>
      </c>
      <c r="B2033" s="3">
        <v>0.67646990740740742</v>
      </c>
      <c r="C2033">
        <v>2791</v>
      </c>
      <c r="D2033" t="str">
        <f>VLOOKUP(H2033,Produkt!$A$2:$B$5,2,FALSE)</f>
        <v>B</v>
      </c>
      <c r="H2033">
        <v>2</v>
      </c>
      <c r="I2033">
        <v>0.57155092592592593</v>
      </c>
      <c r="J2033">
        <v>44803</v>
      </c>
    </row>
    <row r="2034" spans="1:10" x14ac:dyDescent="0.35">
      <c r="A2034" s="2">
        <v>44780</v>
      </c>
      <c r="B2034" s="3">
        <v>0.20062499999999997</v>
      </c>
      <c r="C2034">
        <v>2819</v>
      </c>
      <c r="D2034" t="str">
        <f>VLOOKUP(H2034,Produkt!$A$2:$B$5,2,FALSE)</f>
        <v>A</v>
      </c>
      <c r="H2034">
        <v>1</v>
      </c>
      <c r="I2034">
        <v>0.7125462962962964</v>
      </c>
      <c r="J2034">
        <v>44804</v>
      </c>
    </row>
    <row r="2035" spans="1:10" x14ac:dyDescent="0.35">
      <c r="A2035" s="2">
        <v>44780</v>
      </c>
      <c r="B2035" s="3">
        <v>1.7858796296296164E-2</v>
      </c>
      <c r="C2035">
        <v>2845</v>
      </c>
      <c r="D2035" t="str">
        <f>VLOOKUP(H2035,Produkt!$A$2:$B$5,2,FALSE)</f>
        <v>B</v>
      </c>
      <c r="H2035">
        <v>2</v>
      </c>
      <c r="I2035">
        <v>0.97159722222222233</v>
      </c>
      <c r="J2035">
        <v>44804</v>
      </c>
    </row>
    <row r="2036" spans="1:10" x14ac:dyDescent="0.35">
      <c r="A2036" s="2">
        <v>44780</v>
      </c>
      <c r="B2036" s="3">
        <v>0.8768287037037038</v>
      </c>
      <c r="C2036">
        <v>2881</v>
      </c>
      <c r="D2036" t="str">
        <f>VLOOKUP(H2036,Produkt!$A$2:$B$5,2,FALSE)</f>
        <v>C</v>
      </c>
      <c r="H2036">
        <v>3</v>
      </c>
      <c r="I2036">
        <v>5.0497685185185187E-2</v>
      </c>
      <c r="J2036">
        <v>44777</v>
      </c>
    </row>
    <row r="2037" spans="1:10" x14ac:dyDescent="0.35">
      <c r="A2037" s="2">
        <v>44780</v>
      </c>
      <c r="B2037" s="3">
        <v>0.27685185185185185</v>
      </c>
      <c r="C2037">
        <v>2891</v>
      </c>
      <c r="D2037" t="str">
        <f>VLOOKUP(H2037,Produkt!$A$2:$B$5,2,FALSE)</f>
        <v>B</v>
      </c>
      <c r="H2037">
        <v>2</v>
      </c>
      <c r="I2037">
        <v>3.155092592592592E-2</v>
      </c>
      <c r="J2037">
        <v>44795</v>
      </c>
    </row>
    <row r="2038" spans="1:10" x14ac:dyDescent="0.35">
      <c r="A2038" s="2">
        <v>44780</v>
      </c>
      <c r="B2038" s="3">
        <v>0.77329861111111109</v>
      </c>
      <c r="C2038">
        <v>2898</v>
      </c>
      <c r="D2038" t="str">
        <f>VLOOKUP(H2038,Produkt!$A$2:$B$5,2,FALSE)</f>
        <v>C</v>
      </c>
      <c r="H2038">
        <v>3</v>
      </c>
      <c r="I2038">
        <v>0.82892361111111112</v>
      </c>
      <c r="J2038">
        <v>44785</v>
      </c>
    </row>
    <row r="2039" spans="1:10" x14ac:dyDescent="0.35">
      <c r="A2039" s="2">
        <v>44780</v>
      </c>
      <c r="B2039" s="3">
        <v>3.1180555555555555E-2</v>
      </c>
      <c r="C2039">
        <v>2920</v>
      </c>
      <c r="D2039" t="str">
        <f>VLOOKUP(H2039,Produkt!$A$2:$B$5,2,FALSE)</f>
        <v>A</v>
      </c>
      <c r="H2039">
        <v>1</v>
      </c>
      <c r="I2039">
        <v>0.83444444444444443</v>
      </c>
      <c r="J2039">
        <v>44801</v>
      </c>
    </row>
    <row r="2040" spans="1:10" x14ac:dyDescent="0.35">
      <c r="A2040" s="2">
        <v>44780</v>
      </c>
      <c r="B2040" s="3">
        <v>3.2581018518518516E-2</v>
      </c>
      <c r="C2040">
        <v>3018</v>
      </c>
      <c r="D2040" t="str">
        <f>VLOOKUP(H2040,Produkt!$A$2:$B$5,2,FALSE)</f>
        <v>C</v>
      </c>
      <c r="H2040">
        <v>3</v>
      </c>
      <c r="I2040">
        <v>0.36825231481481485</v>
      </c>
      <c r="J2040">
        <v>44800</v>
      </c>
    </row>
    <row r="2041" spans="1:10" x14ac:dyDescent="0.35">
      <c r="A2041" s="2">
        <v>44780</v>
      </c>
      <c r="B2041" s="3">
        <v>9.0740740740740729E-3</v>
      </c>
      <c r="C2041">
        <v>3045</v>
      </c>
      <c r="D2041" t="str">
        <f>VLOOKUP(H2041,Produkt!$A$2:$B$5,2,FALSE)</f>
        <v>B</v>
      </c>
      <c r="H2041">
        <v>2</v>
      </c>
      <c r="I2041">
        <v>0.97745370370370377</v>
      </c>
      <c r="J2041">
        <v>44775</v>
      </c>
    </row>
    <row r="2042" spans="1:10" x14ac:dyDescent="0.35">
      <c r="A2042" s="2">
        <v>44780</v>
      </c>
      <c r="B2042" s="3">
        <v>0.96972222222222226</v>
      </c>
      <c r="C2042">
        <v>3089</v>
      </c>
      <c r="D2042" t="str">
        <f>VLOOKUP(H2042,Produkt!$A$2:$B$5,2,FALSE)</f>
        <v>D</v>
      </c>
      <c r="H2042">
        <v>4</v>
      </c>
      <c r="I2042">
        <v>0.78149305555555559</v>
      </c>
      <c r="J2042">
        <v>44779</v>
      </c>
    </row>
    <row r="2043" spans="1:10" x14ac:dyDescent="0.35">
      <c r="A2043" s="2">
        <v>44780</v>
      </c>
      <c r="B2043" s="3">
        <v>0.1193287037037037</v>
      </c>
      <c r="C2043">
        <v>3093</v>
      </c>
      <c r="D2043" t="str">
        <f>VLOOKUP(H2043,Produkt!$A$2:$B$5,2,FALSE)</f>
        <v>C</v>
      </c>
      <c r="H2043">
        <v>3</v>
      </c>
      <c r="I2043">
        <v>0.39276620370370369</v>
      </c>
      <c r="J2043">
        <v>44795</v>
      </c>
    </row>
    <row r="2044" spans="1:10" x14ac:dyDescent="0.35">
      <c r="A2044" s="2">
        <v>44780</v>
      </c>
      <c r="B2044" s="3">
        <v>0.29626157407407411</v>
      </c>
      <c r="C2044">
        <v>3109</v>
      </c>
      <c r="D2044" t="str">
        <f>VLOOKUP(H2044,Produkt!$A$2:$B$5,2,FALSE)</f>
        <v>A</v>
      </c>
      <c r="H2044">
        <v>1</v>
      </c>
      <c r="I2044">
        <v>0.35795138888888894</v>
      </c>
      <c r="J2044">
        <v>44793</v>
      </c>
    </row>
    <row r="2045" spans="1:10" x14ac:dyDescent="0.35">
      <c r="A2045" s="2">
        <v>44780</v>
      </c>
      <c r="B2045" s="3">
        <v>0.30591435185185184</v>
      </c>
      <c r="C2045">
        <v>3137</v>
      </c>
      <c r="D2045" t="str">
        <f>VLOOKUP(H2045,Produkt!$A$2:$B$5,2,FALSE)</f>
        <v>B</v>
      </c>
      <c r="H2045">
        <v>2</v>
      </c>
      <c r="I2045">
        <v>1.7743055555555554E-2</v>
      </c>
      <c r="J2045">
        <v>44785</v>
      </c>
    </row>
    <row r="2046" spans="1:10" x14ac:dyDescent="0.35">
      <c r="A2046" s="2">
        <v>44780</v>
      </c>
      <c r="B2046" s="3">
        <v>0.37967592592592592</v>
      </c>
      <c r="C2046">
        <v>3149</v>
      </c>
      <c r="D2046" t="str">
        <f>VLOOKUP(H2046,Produkt!$A$2:$B$5,2,FALSE)</f>
        <v>B</v>
      </c>
      <c r="H2046">
        <v>2</v>
      </c>
      <c r="I2046">
        <v>0.11031249999999999</v>
      </c>
      <c r="J2046">
        <v>44782</v>
      </c>
    </row>
    <row r="2047" spans="1:10" x14ac:dyDescent="0.35">
      <c r="A2047" s="2">
        <v>44780</v>
      </c>
      <c r="B2047" s="3">
        <v>2.256944444444442E-2</v>
      </c>
      <c r="C2047">
        <v>3150</v>
      </c>
      <c r="D2047" t="str">
        <f>VLOOKUP(H2047,Produkt!$A$2:$B$5,2,FALSE)</f>
        <v>C</v>
      </c>
      <c r="H2047">
        <v>3</v>
      </c>
      <c r="I2047">
        <v>0.10211805555555555</v>
      </c>
      <c r="J2047">
        <v>44802</v>
      </c>
    </row>
    <row r="2048" spans="1:10" x14ac:dyDescent="0.35">
      <c r="A2048" s="2">
        <v>44780</v>
      </c>
      <c r="B2048" s="3">
        <v>0.98322916666666671</v>
      </c>
      <c r="C2048">
        <v>3179</v>
      </c>
      <c r="D2048" t="str">
        <f>VLOOKUP(H2048,Produkt!$A$2:$B$5,2,FALSE)</f>
        <v>C</v>
      </c>
      <c r="H2048">
        <v>3</v>
      </c>
      <c r="I2048">
        <v>0.75459490740740742</v>
      </c>
      <c r="J2048">
        <v>44797</v>
      </c>
    </row>
    <row r="2049" spans="1:10" x14ac:dyDescent="0.35">
      <c r="A2049" s="2">
        <v>44780</v>
      </c>
      <c r="B2049" s="3">
        <v>1.303240740740752E-2</v>
      </c>
      <c r="C2049">
        <v>3191</v>
      </c>
      <c r="D2049" t="str">
        <f>VLOOKUP(H2049,Produkt!$A$2:$B$5,2,FALSE)</f>
        <v>C</v>
      </c>
      <c r="H2049">
        <v>3</v>
      </c>
      <c r="I2049">
        <v>0.74950231481481477</v>
      </c>
      <c r="J2049">
        <v>44778</v>
      </c>
    </row>
    <row r="2050" spans="1:10" x14ac:dyDescent="0.35">
      <c r="A2050" s="2">
        <v>44780</v>
      </c>
      <c r="B2050" s="3">
        <v>0.76545138888888886</v>
      </c>
      <c r="C2050">
        <v>3219</v>
      </c>
      <c r="D2050" t="str">
        <f>VLOOKUP(H2050,Produkt!$A$2:$B$5,2,FALSE)</f>
        <v>D</v>
      </c>
      <c r="H2050">
        <v>4</v>
      </c>
      <c r="I2050">
        <v>0.77045138888888898</v>
      </c>
      <c r="J2050">
        <v>44801</v>
      </c>
    </row>
    <row r="2051" spans="1:10" x14ac:dyDescent="0.35">
      <c r="A2051" s="2">
        <v>44780</v>
      </c>
      <c r="B2051" s="3">
        <v>6.2905092592592596E-2</v>
      </c>
      <c r="C2051">
        <v>3225</v>
      </c>
      <c r="D2051" t="str">
        <f>VLOOKUP(H2051,Produkt!$A$2:$B$5,2,FALSE)</f>
        <v>A</v>
      </c>
      <c r="H2051">
        <v>1</v>
      </c>
      <c r="I2051">
        <v>0.98739583333333336</v>
      </c>
      <c r="J2051">
        <v>44786</v>
      </c>
    </row>
    <row r="2052" spans="1:10" x14ac:dyDescent="0.35">
      <c r="A2052" s="2">
        <v>44780</v>
      </c>
      <c r="B2052" s="3">
        <v>0.26829861111111114</v>
      </c>
      <c r="C2052">
        <v>3287</v>
      </c>
      <c r="D2052" t="str">
        <f>VLOOKUP(H2052,Produkt!$A$2:$B$5,2,FALSE)</f>
        <v>D</v>
      </c>
      <c r="H2052">
        <v>4</v>
      </c>
      <c r="I2052">
        <v>0.44950231481481479</v>
      </c>
      <c r="J2052">
        <v>44789</v>
      </c>
    </row>
    <row r="2053" spans="1:10" x14ac:dyDescent="0.35">
      <c r="A2053" s="2">
        <v>44780</v>
      </c>
      <c r="B2053" s="3">
        <v>0.47894675925925928</v>
      </c>
      <c r="C2053">
        <v>3294</v>
      </c>
      <c r="D2053" t="str">
        <f>VLOOKUP(H2053,Produkt!$A$2:$B$5,2,FALSE)</f>
        <v>D</v>
      </c>
      <c r="H2053">
        <v>4</v>
      </c>
      <c r="I2053">
        <v>0.90976851851851848</v>
      </c>
      <c r="J2053">
        <v>44798</v>
      </c>
    </row>
    <row r="2054" spans="1:10" x14ac:dyDescent="0.35">
      <c r="A2054" s="2">
        <v>44780</v>
      </c>
      <c r="B2054" s="3">
        <v>0.37590277777777775</v>
      </c>
      <c r="C2054">
        <v>3296</v>
      </c>
      <c r="D2054" t="str">
        <f>VLOOKUP(H2054,Produkt!$A$2:$B$5,2,FALSE)</f>
        <v>C</v>
      </c>
      <c r="H2054">
        <v>3</v>
      </c>
      <c r="I2054">
        <v>0.29136574074074073</v>
      </c>
      <c r="J2054">
        <v>44792</v>
      </c>
    </row>
    <row r="2055" spans="1:10" x14ac:dyDescent="0.35">
      <c r="A2055" s="2">
        <v>44780</v>
      </c>
      <c r="B2055" s="3">
        <v>0.96297453703703706</v>
      </c>
      <c r="C2055">
        <v>3356</v>
      </c>
      <c r="D2055" t="str">
        <f>VLOOKUP(H2055,Produkt!$A$2:$B$5,2,FALSE)</f>
        <v>C</v>
      </c>
      <c r="H2055">
        <v>3</v>
      </c>
      <c r="I2055">
        <v>0.18124999999999999</v>
      </c>
      <c r="J2055">
        <v>44782</v>
      </c>
    </row>
    <row r="2056" spans="1:10" x14ac:dyDescent="0.35">
      <c r="A2056" s="2">
        <v>44780</v>
      </c>
      <c r="B2056" s="3">
        <v>0.78200231481481486</v>
      </c>
      <c r="C2056">
        <v>3363</v>
      </c>
      <c r="D2056" t="str">
        <f>VLOOKUP(H2056,Produkt!$A$2:$B$5,2,FALSE)</f>
        <v>B</v>
      </c>
      <c r="H2056">
        <v>2</v>
      </c>
      <c r="I2056">
        <v>0.19818287037037038</v>
      </c>
      <c r="J2056">
        <v>44799</v>
      </c>
    </row>
    <row r="2057" spans="1:10" x14ac:dyDescent="0.35">
      <c r="A2057" s="2">
        <v>44780</v>
      </c>
      <c r="B2057" s="3">
        <v>0.83466435185185184</v>
      </c>
      <c r="C2057">
        <v>3444</v>
      </c>
      <c r="D2057" t="str">
        <f>VLOOKUP(H2057,Produkt!$A$2:$B$5,2,FALSE)</f>
        <v>B</v>
      </c>
      <c r="H2057">
        <v>2</v>
      </c>
      <c r="I2057">
        <v>0.25822916666666668</v>
      </c>
      <c r="J2057">
        <v>44797</v>
      </c>
    </row>
    <row r="2058" spans="1:10" x14ac:dyDescent="0.35">
      <c r="A2058" s="2">
        <v>44780</v>
      </c>
      <c r="B2058" s="3">
        <v>0.12436342592592593</v>
      </c>
      <c r="C2058">
        <v>3513</v>
      </c>
      <c r="D2058" t="str">
        <f>VLOOKUP(H2058,Produkt!$A$2:$B$5,2,FALSE)</f>
        <v>C</v>
      </c>
      <c r="H2058">
        <v>3</v>
      </c>
      <c r="I2058">
        <v>0.2555324074074074</v>
      </c>
      <c r="J2058">
        <v>44798</v>
      </c>
    </row>
    <row r="2059" spans="1:10" x14ac:dyDescent="0.35">
      <c r="A2059" s="2">
        <v>44780</v>
      </c>
      <c r="B2059" s="3">
        <v>0.28688657407407409</v>
      </c>
      <c r="C2059">
        <v>3532</v>
      </c>
      <c r="D2059" t="str">
        <f>VLOOKUP(H2059,Produkt!$A$2:$B$5,2,FALSE)</f>
        <v>B</v>
      </c>
      <c r="H2059">
        <v>2</v>
      </c>
      <c r="I2059">
        <v>0.34775462962962966</v>
      </c>
      <c r="J2059">
        <v>44794</v>
      </c>
    </row>
    <row r="2060" spans="1:10" x14ac:dyDescent="0.35">
      <c r="A2060" s="2">
        <v>44780</v>
      </c>
      <c r="B2060" s="3">
        <v>0.86427083333333332</v>
      </c>
      <c r="C2060">
        <v>3536</v>
      </c>
      <c r="D2060" t="str">
        <f>VLOOKUP(H2060,Produkt!$A$2:$B$5,2,FALSE)</f>
        <v>D</v>
      </c>
      <c r="H2060">
        <v>4</v>
      </c>
      <c r="I2060">
        <v>0.11056712962962963</v>
      </c>
      <c r="J2060">
        <v>44791</v>
      </c>
    </row>
    <row r="2061" spans="1:10" x14ac:dyDescent="0.35">
      <c r="A2061" s="2">
        <v>44780</v>
      </c>
      <c r="B2061" s="3">
        <v>0.52981481481481485</v>
      </c>
      <c r="C2061">
        <v>3595</v>
      </c>
      <c r="D2061" t="str">
        <f>VLOOKUP(H2061,Produkt!$A$2:$B$5,2,FALSE)</f>
        <v>C</v>
      </c>
      <c r="H2061">
        <v>3</v>
      </c>
      <c r="I2061">
        <v>0.82984953703703701</v>
      </c>
      <c r="J2061">
        <v>44802</v>
      </c>
    </row>
    <row r="2062" spans="1:10" x14ac:dyDescent="0.35">
      <c r="A2062" s="2">
        <v>44780</v>
      </c>
      <c r="B2062" s="3">
        <v>0.75456018518518519</v>
      </c>
      <c r="C2062">
        <v>3607</v>
      </c>
      <c r="D2062" t="str">
        <f>VLOOKUP(H2062,Produkt!$A$2:$B$5,2,FALSE)</f>
        <v>A</v>
      </c>
      <c r="H2062">
        <v>1</v>
      </c>
      <c r="I2062">
        <v>0.33605324074074078</v>
      </c>
      <c r="J2062">
        <v>44790</v>
      </c>
    </row>
    <row r="2063" spans="1:10" x14ac:dyDescent="0.35">
      <c r="A2063" s="2">
        <v>44780</v>
      </c>
      <c r="B2063" s="3">
        <v>0.27708333333333335</v>
      </c>
      <c r="C2063">
        <v>3670</v>
      </c>
      <c r="D2063" t="str">
        <f>VLOOKUP(H2063,Produkt!$A$2:$B$5,2,FALSE)</f>
        <v>D</v>
      </c>
      <c r="H2063">
        <v>4</v>
      </c>
      <c r="I2063">
        <v>2.7083333333333348E-2</v>
      </c>
      <c r="J2063">
        <v>44788</v>
      </c>
    </row>
    <row r="2064" spans="1:10" x14ac:dyDescent="0.35">
      <c r="A2064" s="2">
        <v>44780</v>
      </c>
      <c r="B2064" s="3">
        <v>0.5397453703703704</v>
      </c>
      <c r="C2064">
        <v>3691</v>
      </c>
      <c r="D2064" t="str">
        <f>VLOOKUP(H2064,Produkt!$A$2:$B$5,2,FALSE)</f>
        <v>B</v>
      </c>
      <c r="H2064">
        <v>2</v>
      </c>
      <c r="I2064">
        <v>0.23508101851851851</v>
      </c>
      <c r="J2064">
        <v>44777</v>
      </c>
    </row>
    <row r="2065" spans="1:10" x14ac:dyDescent="0.35">
      <c r="A2065" s="2">
        <v>44780</v>
      </c>
      <c r="B2065" s="3">
        <v>0.6743055555555556</v>
      </c>
      <c r="C2065">
        <v>3717</v>
      </c>
      <c r="D2065" t="str">
        <f>VLOOKUP(H2065,Produkt!$A$2:$B$5,2,FALSE)</f>
        <v>C</v>
      </c>
      <c r="H2065">
        <v>3</v>
      </c>
      <c r="I2065">
        <v>0.19188657407407406</v>
      </c>
      <c r="J2065">
        <v>44789</v>
      </c>
    </row>
    <row r="2066" spans="1:10" x14ac:dyDescent="0.35">
      <c r="A2066" s="2">
        <v>44780</v>
      </c>
      <c r="B2066" s="3">
        <v>0.4962037037037037</v>
      </c>
      <c r="C2066">
        <v>3770</v>
      </c>
      <c r="D2066" t="str">
        <f>VLOOKUP(H2066,Produkt!$A$2:$B$5,2,FALSE)</f>
        <v>B</v>
      </c>
      <c r="H2066">
        <v>2</v>
      </c>
      <c r="I2066">
        <v>9.9652777777776702E-3</v>
      </c>
      <c r="J2066">
        <v>44803</v>
      </c>
    </row>
    <row r="2067" spans="1:10" x14ac:dyDescent="0.35">
      <c r="A2067" s="2">
        <v>44780</v>
      </c>
      <c r="B2067" s="3">
        <v>0.291099537037037</v>
      </c>
      <c r="C2067">
        <v>3796</v>
      </c>
      <c r="D2067" t="str">
        <f>VLOOKUP(H2067,Produkt!$A$2:$B$5,2,FALSE)</f>
        <v>B</v>
      </c>
      <c r="H2067">
        <v>2</v>
      </c>
      <c r="I2067">
        <v>0.4916666666666667</v>
      </c>
      <c r="J2067">
        <v>44796</v>
      </c>
    </row>
    <row r="2068" spans="1:10" x14ac:dyDescent="0.35">
      <c r="A2068" s="2">
        <v>44780</v>
      </c>
      <c r="B2068" s="3">
        <v>0.37862268518518521</v>
      </c>
      <c r="C2068">
        <v>3798</v>
      </c>
      <c r="D2068" t="str">
        <f>VLOOKUP(H2068,Produkt!$A$2:$B$5,2,FALSE)</f>
        <v>B</v>
      </c>
      <c r="H2068">
        <v>2</v>
      </c>
      <c r="I2068">
        <v>0.62130787037037039</v>
      </c>
      <c r="J2068">
        <v>44789</v>
      </c>
    </row>
    <row r="2069" spans="1:10" x14ac:dyDescent="0.35">
      <c r="A2069" s="2">
        <v>44780</v>
      </c>
      <c r="B2069" s="3">
        <v>0.90361111111111114</v>
      </c>
      <c r="C2069">
        <v>3831</v>
      </c>
      <c r="D2069" t="str">
        <f>VLOOKUP(H2069,Produkt!$A$2:$B$5,2,FALSE)</f>
        <v>A</v>
      </c>
      <c r="H2069">
        <v>1</v>
      </c>
      <c r="I2069">
        <v>0.73531250000000004</v>
      </c>
      <c r="J2069">
        <v>44800</v>
      </c>
    </row>
    <row r="2070" spans="1:10" x14ac:dyDescent="0.35">
      <c r="A2070" s="2">
        <v>44780</v>
      </c>
      <c r="B2070" s="3">
        <v>0.52056712962962959</v>
      </c>
      <c r="C2070">
        <v>3904</v>
      </c>
      <c r="D2070" t="str">
        <f>VLOOKUP(H2070,Produkt!$A$2:$B$5,2,FALSE)</f>
        <v>A</v>
      </c>
      <c r="H2070">
        <v>1</v>
      </c>
      <c r="I2070">
        <v>1.8518518518528815E-4</v>
      </c>
      <c r="J2070">
        <v>44780</v>
      </c>
    </row>
    <row r="2071" spans="1:10" x14ac:dyDescent="0.35">
      <c r="A2071" s="2">
        <v>44780</v>
      </c>
      <c r="B2071" s="3">
        <v>0.37193287037037037</v>
      </c>
      <c r="C2071">
        <v>4019</v>
      </c>
      <c r="D2071" t="str">
        <f>VLOOKUP(H2071,Produkt!$A$2:$B$5,2,FALSE)</f>
        <v>A</v>
      </c>
      <c r="H2071">
        <v>1</v>
      </c>
      <c r="I2071">
        <v>0.17675925925925925</v>
      </c>
      <c r="J2071">
        <v>44795</v>
      </c>
    </row>
    <row r="2072" spans="1:10" x14ac:dyDescent="0.35">
      <c r="A2072" s="2">
        <v>44780</v>
      </c>
      <c r="B2072" s="3">
        <v>0.3414814814814815</v>
      </c>
      <c r="C2072">
        <v>4026</v>
      </c>
      <c r="D2072" t="str">
        <f>VLOOKUP(H2072,Produkt!$A$2:$B$5,2,FALSE)</f>
        <v>B</v>
      </c>
      <c r="H2072">
        <v>2</v>
      </c>
      <c r="I2072">
        <v>0.7890625</v>
      </c>
      <c r="J2072">
        <v>44786</v>
      </c>
    </row>
    <row r="2073" spans="1:10" x14ac:dyDescent="0.35">
      <c r="A2073" s="2">
        <v>44780</v>
      </c>
      <c r="B2073" s="3">
        <v>0.18489583333333334</v>
      </c>
      <c r="C2073">
        <v>4050</v>
      </c>
      <c r="D2073" t="str">
        <f>VLOOKUP(H2073,Produkt!$A$2:$B$5,2,FALSE)</f>
        <v>B</v>
      </c>
      <c r="H2073">
        <v>2</v>
      </c>
      <c r="I2073">
        <v>0.56886574074074081</v>
      </c>
      <c r="J2073">
        <v>44784</v>
      </c>
    </row>
    <row r="2074" spans="1:10" x14ac:dyDescent="0.35">
      <c r="A2074" s="2">
        <v>44780</v>
      </c>
      <c r="B2074" s="3">
        <v>0.23706018518518521</v>
      </c>
      <c r="C2074">
        <v>4062</v>
      </c>
      <c r="D2074" t="str">
        <f>VLOOKUP(H2074,Produkt!$A$2:$B$5,2,FALSE)</f>
        <v>D</v>
      </c>
      <c r="H2074">
        <v>4</v>
      </c>
      <c r="I2074">
        <v>0.8849421296296297</v>
      </c>
      <c r="J2074">
        <v>44797</v>
      </c>
    </row>
    <row r="2075" spans="1:10" x14ac:dyDescent="0.35">
      <c r="A2075" s="2">
        <v>44780</v>
      </c>
      <c r="B2075" s="3">
        <v>0.7559837962962962</v>
      </c>
      <c r="C2075">
        <v>4086</v>
      </c>
      <c r="D2075" t="str">
        <f>VLOOKUP(H2075,Produkt!$A$2:$B$5,2,FALSE)</f>
        <v>B</v>
      </c>
      <c r="H2075">
        <v>2</v>
      </c>
      <c r="I2075">
        <v>0.3444444444444445</v>
      </c>
      <c r="J2075">
        <v>44801</v>
      </c>
    </row>
    <row r="2076" spans="1:10" x14ac:dyDescent="0.35">
      <c r="A2076" s="2">
        <v>44780</v>
      </c>
      <c r="B2076" s="3">
        <v>0.98708333333333342</v>
      </c>
      <c r="C2076">
        <v>4104</v>
      </c>
      <c r="D2076" t="str">
        <f>VLOOKUP(H2076,Produkt!$A$2:$B$5,2,FALSE)</f>
        <v>A</v>
      </c>
      <c r="H2076">
        <v>1</v>
      </c>
      <c r="I2076">
        <v>8.2500000000000004E-2</v>
      </c>
      <c r="J2076">
        <v>44799</v>
      </c>
    </row>
    <row r="2077" spans="1:10" x14ac:dyDescent="0.35">
      <c r="A2077" s="2">
        <v>44780</v>
      </c>
      <c r="B2077" s="3">
        <v>0.20018518518518516</v>
      </c>
      <c r="C2077">
        <v>4119</v>
      </c>
      <c r="D2077" t="str">
        <f>VLOOKUP(H2077,Produkt!$A$2:$B$5,2,FALSE)</f>
        <v>C</v>
      </c>
      <c r="H2077">
        <v>3</v>
      </c>
      <c r="I2077">
        <v>0.29880787037037038</v>
      </c>
      <c r="J2077">
        <v>44779</v>
      </c>
    </row>
    <row r="2078" spans="1:10" x14ac:dyDescent="0.35">
      <c r="A2078" s="2">
        <v>44780</v>
      </c>
      <c r="B2078" s="3">
        <v>0.99641203703703696</v>
      </c>
      <c r="C2078">
        <v>4187</v>
      </c>
      <c r="D2078" t="str">
        <f>VLOOKUP(H2078,Produkt!$A$2:$B$5,2,FALSE)</f>
        <v>B</v>
      </c>
      <c r="H2078">
        <v>2</v>
      </c>
      <c r="I2078">
        <v>0.33361111111111108</v>
      </c>
      <c r="J2078">
        <v>44804</v>
      </c>
    </row>
    <row r="2079" spans="1:10" x14ac:dyDescent="0.35">
      <c r="A2079" s="2">
        <v>44780</v>
      </c>
      <c r="B2079" s="3">
        <v>0.78811342592592604</v>
      </c>
      <c r="C2079">
        <v>4254</v>
      </c>
      <c r="D2079" t="str">
        <f>VLOOKUP(H2079,Produkt!$A$2:$B$5,2,FALSE)</f>
        <v>D</v>
      </c>
      <c r="H2079">
        <v>4</v>
      </c>
      <c r="I2079">
        <v>0.97944444444444445</v>
      </c>
      <c r="J2079">
        <v>44790</v>
      </c>
    </row>
    <row r="2080" spans="1:10" x14ac:dyDescent="0.35">
      <c r="A2080" s="2">
        <v>44780</v>
      </c>
      <c r="B2080" s="3">
        <v>0.2701736111111111</v>
      </c>
      <c r="C2080">
        <v>4290</v>
      </c>
      <c r="D2080" t="str">
        <f>VLOOKUP(H2080,Produkt!$A$2:$B$5,2,FALSE)</f>
        <v>B</v>
      </c>
      <c r="H2080">
        <v>2</v>
      </c>
      <c r="I2080">
        <v>0.84159722222222222</v>
      </c>
      <c r="J2080">
        <v>44792</v>
      </c>
    </row>
    <row r="2081" spans="1:10" x14ac:dyDescent="0.35">
      <c r="A2081" s="2">
        <v>44780</v>
      </c>
      <c r="B2081" s="3">
        <v>0.62853009259259263</v>
      </c>
      <c r="C2081">
        <v>4295</v>
      </c>
      <c r="D2081" t="str">
        <f>VLOOKUP(H2081,Produkt!$A$2:$B$5,2,FALSE)</f>
        <v>A</v>
      </c>
      <c r="H2081">
        <v>1</v>
      </c>
      <c r="I2081">
        <v>0.53535879629629635</v>
      </c>
      <c r="J2081">
        <v>44784</v>
      </c>
    </row>
    <row r="2082" spans="1:10" x14ac:dyDescent="0.35">
      <c r="A2082" s="2">
        <v>44780</v>
      </c>
      <c r="B2082" s="3">
        <v>0.58748842592592598</v>
      </c>
      <c r="C2082">
        <v>4338</v>
      </c>
      <c r="D2082" t="str">
        <f>VLOOKUP(H2082,Produkt!$A$2:$B$5,2,FALSE)</f>
        <v>A</v>
      </c>
      <c r="H2082">
        <v>1</v>
      </c>
      <c r="I2082">
        <v>0.10523148148148148</v>
      </c>
      <c r="J2082">
        <v>44801</v>
      </c>
    </row>
    <row r="2083" spans="1:10" x14ac:dyDescent="0.35">
      <c r="A2083" s="2">
        <v>44780</v>
      </c>
      <c r="B2083" s="3">
        <v>0.93649305555555562</v>
      </c>
      <c r="C2083">
        <v>4348</v>
      </c>
      <c r="D2083" t="str">
        <f>VLOOKUP(H2083,Produkt!$A$2:$B$5,2,FALSE)</f>
        <v>B</v>
      </c>
      <c r="H2083">
        <v>2</v>
      </c>
      <c r="I2083">
        <v>0.10760416666666667</v>
      </c>
      <c r="J2083">
        <v>44791</v>
      </c>
    </row>
    <row r="2084" spans="1:10" x14ac:dyDescent="0.35">
      <c r="A2084" s="2">
        <v>44780</v>
      </c>
      <c r="B2084" s="3">
        <v>0.90719907407407396</v>
      </c>
      <c r="C2084">
        <v>4351</v>
      </c>
      <c r="D2084" t="str">
        <f>VLOOKUP(H2084,Produkt!$A$2:$B$5,2,FALSE)</f>
        <v>D</v>
      </c>
      <c r="H2084">
        <v>4</v>
      </c>
      <c r="I2084">
        <v>5.1504629629629629E-2</v>
      </c>
      <c r="J2084">
        <v>44789</v>
      </c>
    </row>
    <row r="2085" spans="1:10" x14ac:dyDescent="0.35">
      <c r="A2085" s="2">
        <v>44780</v>
      </c>
      <c r="B2085" s="3">
        <v>0.67976851851851849</v>
      </c>
      <c r="C2085">
        <v>4364</v>
      </c>
      <c r="D2085" t="str">
        <f>VLOOKUP(H2085,Produkt!$A$2:$B$5,2,FALSE)</f>
        <v>D</v>
      </c>
      <c r="H2085">
        <v>4</v>
      </c>
      <c r="I2085">
        <v>0.96930555555555553</v>
      </c>
      <c r="J2085">
        <v>44795</v>
      </c>
    </row>
    <row r="2086" spans="1:10" x14ac:dyDescent="0.35">
      <c r="A2086" s="2">
        <v>44780</v>
      </c>
      <c r="B2086" s="3">
        <v>0.32804398148148145</v>
      </c>
      <c r="C2086">
        <v>4396</v>
      </c>
      <c r="D2086" t="str">
        <f>VLOOKUP(H2086,Produkt!$A$2:$B$5,2,FALSE)</f>
        <v>B</v>
      </c>
      <c r="H2086">
        <v>2</v>
      </c>
      <c r="I2086">
        <v>0.74973379629629633</v>
      </c>
      <c r="J2086">
        <v>44800</v>
      </c>
    </row>
    <row r="2087" spans="1:10" x14ac:dyDescent="0.35">
      <c r="A2087" s="2">
        <v>44780</v>
      </c>
      <c r="B2087" s="3">
        <v>0.18805555555555556</v>
      </c>
      <c r="C2087">
        <v>4419</v>
      </c>
      <c r="D2087" t="str">
        <f>VLOOKUP(H2087,Produkt!$A$2:$B$5,2,FALSE)</f>
        <v>C</v>
      </c>
      <c r="H2087">
        <v>3</v>
      </c>
      <c r="I2087">
        <v>0.34325231481481483</v>
      </c>
      <c r="J2087">
        <v>44795</v>
      </c>
    </row>
    <row r="2088" spans="1:10" x14ac:dyDescent="0.35">
      <c r="A2088" s="2">
        <v>44780</v>
      </c>
      <c r="B2088" s="3">
        <v>0.80865740740740744</v>
      </c>
      <c r="C2088">
        <v>4426</v>
      </c>
      <c r="D2088" t="str">
        <f>VLOOKUP(H2088,Produkt!$A$2:$B$5,2,FALSE)</f>
        <v>D</v>
      </c>
      <c r="H2088">
        <v>4</v>
      </c>
      <c r="I2088">
        <v>0.98451388888888891</v>
      </c>
      <c r="J2088">
        <v>44783</v>
      </c>
    </row>
    <row r="2089" spans="1:10" x14ac:dyDescent="0.35">
      <c r="A2089" s="2">
        <v>44780</v>
      </c>
      <c r="B2089" s="3">
        <v>3.2048611111111111E-2</v>
      </c>
      <c r="C2089">
        <v>4476</v>
      </c>
      <c r="D2089" t="str">
        <f>VLOOKUP(H2089,Produkt!$A$2:$B$5,2,FALSE)</f>
        <v>A</v>
      </c>
      <c r="H2089">
        <v>1</v>
      </c>
      <c r="I2089">
        <v>0.26040509259259259</v>
      </c>
      <c r="J2089">
        <v>44785</v>
      </c>
    </row>
    <row r="2090" spans="1:10" x14ac:dyDescent="0.35">
      <c r="A2090" s="2">
        <v>44780</v>
      </c>
      <c r="B2090" s="3">
        <v>0.31627314814814816</v>
      </c>
      <c r="C2090">
        <v>4479</v>
      </c>
      <c r="D2090" t="str">
        <f>VLOOKUP(H2090,Produkt!$A$2:$B$5,2,FALSE)</f>
        <v>A</v>
      </c>
      <c r="H2090">
        <v>1</v>
      </c>
      <c r="I2090">
        <v>0.69339120370370377</v>
      </c>
      <c r="J2090">
        <v>44785</v>
      </c>
    </row>
    <row r="2091" spans="1:10" x14ac:dyDescent="0.35">
      <c r="A2091" s="2">
        <v>44780</v>
      </c>
      <c r="B2091" s="3">
        <v>0.15155092592592592</v>
      </c>
      <c r="C2091">
        <v>4540</v>
      </c>
      <c r="D2091" t="str">
        <f>VLOOKUP(H2091,Produkt!$A$2:$B$5,2,FALSE)</f>
        <v>B</v>
      </c>
      <c r="H2091">
        <v>2</v>
      </c>
      <c r="I2091">
        <v>0.49184027777777778</v>
      </c>
      <c r="J2091">
        <v>44788</v>
      </c>
    </row>
    <row r="2092" spans="1:10" x14ac:dyDescent="0.35">
      <c r="A2092" s="2">
        <v>44780</v>
      </c>
      <c r="B2092" s="3">
        <v>0.11487268518518519</v>
      </c>
      <c r="C2092">
        <v>4547</v>
      </c>
      <c r="D2092" t="str">
        <f>VLOOKUP(H2092,Produkt!$A$2:$B$5,2,FALSE)</f>
        <v>B</v>
      </c>
      <c r="H2092">
        <v>2</v>
      </c>
      <c r="I2092">
        <v>0.22778935185185187</v>
      </c>
      <c r="J2092">
        <v>44777</v>
      </c>
    </row>
    <row r="2093" spans="1:10" x14ac:dyDescent="0.35">
      <c r="A2093" s="2">
        <v>44780</v>
      </c>
      <c r="B2093" s="3">
        <v>0.10381944444444445</v>
      </c>
      <c r="C2093">
        <v>4566</v>
      </c>
      <c r="D2093" t="str">
        <f>VLOOKUP(H2093,Produkt!$A$2:$B$5,2,FALSE)</f>
        <v>B</v>
      </c>
      <c r="H2093">
        <v>2</v>
      </c>
      <c r="I2093">
        <v>0.47888888888888892</v>
      </c>
      <c r="J2093">
        <v>44787</v>
      </c>
    </row>
    <row r="2094" spans="1:10" x14ac:dyDescent="0.35">
      <c r="A2094" s="2">
        <v>44780</v>
      </c>
      <c r="B2094" s="3">
        <v>0.49471064814814819</v>
      </c>
      <c r="C2094">
        <v>4578</v>
      </c>
      <c r="D2094" t="str">
        <f>VLOOKUP(H2094,Produkt!$A$2:$B$5,2,FALSE)</f>
        <v>A</v>
      </c>
      <c r="H2094">
        <v>1</v>
      </c>
      <c r="I2094">
        <v>0.5493055555555556</v>
      </c>
      <c r="J2094">
        <v>44791</v>
      </c>
    </row>
    <row r="2095" spans="1:10" x14ac:dyDescent="0.35">
      <c r="A2095" s="2">
        <v>44780</v>
      </c>
      <c r="B2095" s="3">
        <v>0.99755787037037036</v>
      </c>
      <c r="C2095">
        <v>4580</v>
      </c>
      <c r="D2095" t="str">
        <f>VLOOKUP(H2095,Produkt!$A$2:$B$5,2,FALSE)</f>
        <v>B</v>
      </c>
      <c r="H2095">
        <v>2</v>
      </c>
      <c r="I2095">
        <v>1.4791666666666668E-2</v>
      </c>
      <c r="J2095">
        <v>44789</v>
      </c>
    </row>
    <row r="2096" spans="1:10" x14ac:dyDescent="0.35">
      <c r="A2096" s="2">
        <v>44780</v>
      </c>
      <c r="B2096" s="3">
        <v>0.24116898148148147</v>
      </c>
      <c r="C2096">
        <v>4604</v>
      </c>
      <c r="D2096" t="str">
        <f>VLOOKUP(H2096,Produkt!$A$2:$B$5,2,FALSE)</f>
        <v>A</v>
      </c>
      <c r="H2096">
        <v>1</v>
      </c>
      <c r="I2096">
        <v>0.63730324074074074</v>
      </c>
      <c r="J2096">
        <v>44798</v>
      </c>
    </row>
    <row r="2097" spans="1:10" x14ac:dyDescent="0.35">
      <c r="A2097" s="2">
        <v>44780</v>
      </c>
      <c r="B2097" s="3">
        <v>0.84850694444444441</v>
      </c>
      <c r="C2097">
        <v>4685</v>
      </c>
      <c r="D2097" t="str">
        <f>VLOOKUP(H2097,Produkt!$A$2:$B$5,2,FALSE)</f>
        <v>B</v>
      </c>
      <c r="H2097">
        <v>2</v>
      </c>
      <c r="I2097">
        <v>0.7759490740740741</v>
      </c>
      <c r="J2097">
        <v>44778</v>
      </c>
    </row>
    <row r="2098" spans="1:10" x14ac:dyDescent="0.35">
      <c r="A2098" s="2">
        <v>44780</v>
      </c>
      <c r="B2098" s="3">
        <v>0.14288194444444444</v>
      </c>
      <c r="C2098">
        <v>4762</v>
      </c>
      <c r="D2098" t="str">
        <f>VLOOKUP(H2098,Produkt!$A$2:$B$5,2,FALSE)</f>
        <v>D</v>
      </c>
      <c r="H2098">
        <v>4</v>
      </c>
      <c r="I2098">
        <v>0.69674768518518526</v>
      </c>
      <c r="J2098">
        <v>44784</v>
      </c>
    </row>
    <row r="2099" spans="1:10" x14ac:dyDescent="0.35">
      <c r="A2099" s="2">
        <v>44780</v>
      </c>
      <c r="B2099" s="3">
        <v>0.86844907407407401</v>
      </c>
      <c r="C2099">
        <v>4795</v>
      </c>
      <c r="D2099" t="str">
        <f>VLOOKUP(H2099,Produkt!$A$2:$B$5,2,FALSE)</f>
        <v>C</v>
      </c>
      <c r="H2099">
        <v>3</v>
      </c>
      <c r="I2099">
        <v>0.61258101851851854</v>
      </c>
      <c r="J2099">
        <v>44786</v>
      </c>
    </row>
    <row r="2100" spans="1:10" x14ac:dyDescent="0.35">
      <c r="A2100" s="2">
        <v>44780</v>
      </c>
      <c r="B2100" s="3">
        <v>0.81042824074074071</v>
      </c>
      <c r="C2100">
        <v>4807</v>
      </c>
      <c r="D2100" t="str">
        <f>VLOOKUP(H2100,Produkt!$A$2:$B$5,2,FALSE)</f>
        <v>C</v>
      </c>
      <c r="H2100">
        <v>3</v>
      </c>
      <c r="I2100">
        <v>0.10320601851851852</v>
      </c>
      <c r="J2100">
        <v>44804</v>
      </c>
    </row>
    <row r="2101" spans="1:10" x14ac:dyDescent="0.35">
      <c r="A2101" s="2">
        <v>44780</v>
      </c>
      <c r="B2101" s="3">
        <v>0.13605324074074074</v>
      </c>
      <c r="C2101">
        <v>4859</v>
      </c>
      <c r="D2101" t="str">
        <f>VLOOKUP(H2101,Produkt!$A$2:$B$5,2,FALSE)</f>
        <v>B</v>
      </c>
      <c r="H2101">
        <v>2</v>
      </c>
      <c r="I2101">
        <v>0.75097222222222226</v>
      </c>
      <c r="J2101">
        <v>44785</v>
      </c>
    </row>
    <row r="2102" spans="1:10" x14ac:dyDescent="0.35">
      <c r="A2102" s="2">
        <v>44780</v>
      </c>
      <c r="B2102" s="3">
        <v>0.14304398148148148</v>
      </c>
      <c r="C2102">
        <v>4877</v>
      </c>
      <c r="D2102" t="str">
        <f>VLOOKUP(H2102,Produkt!$A$2:$B$5,2,FALSE)</f>
        <v>C</v>
      </c>
      <c r="H2102">
        <v>3</v>
      </c>
      <c r="I2102">
        <v>0.48910879629629633</v>
      </c>
      <c r="J2102">
        <v>44775</v>
      </c>
    </row>
    <row r="2103" spans="1:10" x14ac:dyDescent="0.35">
      <c r="A2103" s="2">
        <v>44780</v>
      </c>
      <c r="B2103" s="3">
        <v>0.78430555555555559</v>
      </c>
      <c r="C2103">
        <v>4889</v>
      </c>
      <c r="D2103" t="str">
        <f>VLOOKUP(H2103,Produkt!$A$2:$B$5,2,FALSE)</f>
        <v>A</v>
      </c>
      <c r="H2103">
        <v>1</v>
      </c>
      <c r="I2103">
        <v>0.58313657407407404</v>
      </c>
      <c r="J2103">
        <v>44788</v>
      </c>
    </row>
    <row r="2104" spans="1:10" x14ac:dyDescent="0.35">
      <c r="A2104" s="2">
        <v>44780</v>
      </c>
      <c r="B2104" s="3">
        <v>0.92291666666666661</v>
      </c>
      <c r="C2104">
        <v>4890</v>
      </c>
      <c r="D2104" t="str">
        <f>VLOOKUP(H2104,Produkt!$A$2:$B$5,2,FALSE)</f>
        <v>B</v>
      </c>
      <c r="H2104">
        <v>2</v>
      </c>
      <c r="I2104">
        <v>0.64886574074074077</v>
      </c>
      <c r="J2104">
        <v>44775</v>
      </c>
    </row>
    <row r="2105" spans="1:10" x14ac:dyDescent="0.35">
      <c r="A2105" s="2">
        <v>44780</v>
      </c>
      <c r="B2105" s="3">
        <v>0.25799768518518518</v>
      </c>
      <c r="C2105">
        <v>4925</v>
      </c>
      <c r="D2105" t="str">
        <f>VLOOKUP(H2105,Produkt!$A$2:$B$5,2,FALSE)</f>
        <v>B</v>
      </c>
      <c r="H2105">
        <v>2</v>
      </c>
      <c r="I2105">
        <v>0.91978009259259252</v>
      </c>
      <c r="J2105">
        <v>44787</v>
      </c>
    </row>
    <row r="2106" spans="1:10" x14ac:dyDescent="0.35">
      <c r="A2106" s="2">
        <v>44780</v>
      </c>
      <c r="B2106" s="3">
        <v>4.9768518518522598E-4</v>
      </c>
      <c r="C2106">
        <v>4944</v>
      </c>
      <c r="D2106" t="str">
        <f>VLOOKUP(H2106,Produkt!$A$2:$B$5,2,FALSE)</f>
        <v>A</v>
      </c>
      <c r="H2106">
        <v>1</v>
      </c>
      <c r="I2106">
        <v>0.697199074074074</v>
      </c>
      <c r="J2106">
        <v>44774</v>
      </c>
    </row>
    <row r="2107" spans="1:10" x14ac:dyDescent="0.35">
      <c r="A2107" s="2">
        <v>44780</v>
      </c>
      <c r="B2107" s="3">
        <v>0.55068287037037034</v>
      </c>
      <c r="C2107">
        <v>4996</v>
      </c>
      <c r="D2107" t="str">
        <f>VLOOKUP(H2107,Produkt!$A$2:$B$5,2,FALSE)</f>
        <v>B</v>
      </c>
      <c r="H2107">
        <v>2</v>
      </c>
      <c r="I2107">
        <v>0.69371527777777775</v>
      </c>
      <c r="J2107">
        <v>44777</v>
      </c>
    </row>
    <row r="2108" spans="1:10" x14ac:dyDescent="0.35">
      <c r="A2108" s="2">
        <v>44780</v>
      </c>
      <c r="B2108" s="3">
        <v>2.616898148148139E-2</v>
      </c>
      <c r="C2108">
        <v>5009</v>
      </c>
      <c r="D2108" t="str">
        <f>VLOOKUP(H2108,Produkt!$A$2:$B$5,2,FALSE)</f>
        <v>C</v>
      </c>
      <c r="H2108">
        <v>3</v>
      </c>
      <c r="I2108">
        <v>0.1449074074074074</v>
      </c>
      <c r="J2108">
        <v>44779</v>
      </c>
    </row>
    <row r="2109" spans="1:10" x14ac:dyDescent="0.35">
      <c r="A2109" s="2">
        <v>44780</v>
      </c>
      <c r="B2109" s="3">
        <v>0.49111111111111111</v>
      </c>
      <c r="C2109">
        <v>5063</v>
      </c>
      <c r="D2109" t="str">
        <f>VLOOKUP(H2109,Produkt!$A$2:$B$5,2,FALSE)</f>
        <v>B</v>
      </c>
      <c r="H2109">
        <v>2</v>
      </c>
      <c r="I2109">
        <v>0.30006944444444444</v>
      </c>
      <c r="J2109">
        <v>44774</v>
      </c>
    </row>
    <row r="2110" spans="1:10" x14ac:dyDescent="0.35">
      <c r="A2110" s="2">
        <v>44780</v>
      </c>
      <c r="B2110" s="3">
        <v>0.63638888888888889</v>
      </c>
      <c r="C2110">
        <v>5072</v>
      </c>
      <c r="D2110" t="str">
        <f>VLOOKUP(H2110,Produkt!$A$2:$B$5,2,FALSE)</f>
        <v>B</v>
      </c>
      <c r="H2110">
        <v>2</v>
      </c>
      <c r="I2110">
        <v>0.33908564814814812</v>
      </c>
      <c r="J2110">
        <v>44774</v>
      </c>
    </row>
    <row r="2111" spans="1:10" x14ac:dyDescent="0.35">
      <c r="A2111" s="2">
        <v>44780</v>
      </c>
      <c r="B2111" s="3">
        <v>0.55758101851851849</v>
      </c>
      <c r="C2111">
        <v>5104</v>
      </c>
      <c r="D2111" t="str">
        <f>VLOOKUP(H2111,Produkt!$A$2:$B$5,2,FALSE)</f>
        <v>B</v>
      </c>
      <c r="H2111">
        <v>2</v>
      </c>
      <c r="I2111">
        <v>2.4837962962962923E-2</v>
      </c>
      <c r="J2111">
        <v>44800</v>
      </c>
    </row>
    <row r="2112" spans="1:10" x14ac:dyDescent="0.35">
      <c r="A2112" s="2">
        <v>44780</v>
      </c>
      <c r="B2112" s="3">
        <v>0.92040509259259251</v>
      </c>
      <c r="C2112">
        <v>5164</v>
      </c>
      <c r="D2112" t="str">
        <f>VLOOKUP(H2112,Produkt!$A$2:$B$5,2,FALSE)</f>
        <v>B</v>
      </c>
      <c r="H2112">
        <v>2</v>
      </c>
      <c r="I2112">
        <v>0.46489583333333334</v>
      </c>
      <c r="J2112">
        <v>44794</v>
      </c>
    </row>
    <row r="2113" spans="1:10" x14ac:dyDescent="0.35">
      <c r="A2113" s="2">
        <v>44780</v>
      </c>
      <c r="B2113" s="3">
        <v>0.97660879629629627</v>
      </c>
      <c r="C2113">
        <v>5279</v>
      </c>
      <c r="D2113" t="str">
        <f>VLOOKUP(H2113,Produkt!$A$2:$B$5,2,FALSE)</f>
        <v>B</v>
      </c>
      <c r="H2113">
        <v>2</v>
      </c>
      <c r="I2113">
        <v>0.49467592592592591</v>
      </c>
      <c r="J2113">
        <v>44795</v>
      </c>
    </row>
    <row r="2114" spans="1:10" x14ac:dyDescent="0.35">
      <c r="A2114" s="2">
        <v>44780</v>
      </c>
      <c r="B2114" s="3">
        <v>0.77266203703703706</v>
      </c>
      <c r="C2114">
        <v>5327</v>
      </c>
      <c r="D2114" t="str">
        <f>VLOOKUP(H2114,Produkt!$A$2:$B$5,2,FALSE)</f>
        <v>A</v>
      </c>
      <c r="H2114">
        <v>1</v>
      </c>
      <c r="I2114">
        <v>6.2268518518518522E-2</v>
      </c>
      <c r="J2114">
        <v>44783</v>
      </c>
    </row>
    <row r="2115" spans="1:10" x14ac:dyDescent="0.35">
      <c r="A2115" s="2">
        <v>44780</v>
      </c>
      <c r="B2115" s="3">
        <v>9.3148148148148147E-2</v>
      </c>
      <c r="C2115">
        <v>5367</v>
      </c>
      <c r="D2115" t="str">
        <f>VLOOKUP(H2115,Produkt!$A$2:$B$5,2,FALSE)</f>
        <v>C</v>
      </c>
      <c r="H2115">
        <v>3</v>
      </c>
      <c r="I2115">
        <v>0.9877083333333333</v>
      </c>
      <c r="J2115">
        <v>44777</v>
      </c>
    </row>
    <row r="2116" spans="1:10" x14ac:dyDescent="0.35">
      <c r="A2116" s="2">
        <v>44780</v>
      </c>
      <c r="B2116" s="3">
        <v>0.93377314814814805</v>
      </c>
      <c r="C2116">
        <v>5371</v>
      </c>
      <c r="D2116" t="str">
        <f>VLOOKUP(H2116,Produkt!$A$2:$B$5,2,FALSE)</f>
        <v>C</v>
      </c>
      <c r="H2116">
        <v>3</v>
      </c>
      <c r="I2116">
        <v>0.79962962962962969</v>
      </c>
      <c r="J2116">
        <v>44795</v>
      </c>
    </row>
    <row r="2117" spans="1:10" x14ac:dyDescent="0.35">
      <c r="A2117" s="2">
        <v>44780</v>
      </c>
      <c r="B2117" s="3">
        <v>0.27553240740740742</v>
      </c>
      <c r="C2117">
        <v>5418</v>
      </c>
      <c r="D2117" t="str">
        <f>VLOOKUP(H2117,Produkt!$A$2:$B$5,2,FALSE)</f>
        <v>B</v>
      </c>
      <c r="H2117">
        <v>2</v>
      </c>
      <c r="I2117">
        <v>0.19702546296296297</v>
      </c>
      <c r="J2117">
        <v>44801</v>
      </c>
    </row>
    <row r="2118" spans="1:10" x14ac:dyDescent="0.35">
      <c r="A2118" s="2">
        <v>44780</v>
      </c>
      <c r="B2118" s="3">
        <v>0.24561342592592594</v>
      </c>
      <c r="C2118">
        <v>5419</v>
      </c>
      <c r="D2118" t="str">
        <f>VLOOKUP(H2118,Produkt!$A$2:$B$5,2,FALSE)</f>
        <v>D</v>
      </c>
      <c r="H2118">
        <v>4</v>
      </c>
      <c r="I2118">
        <v>0.35000000000000003</v>
      </c>
      <c r="J2118">
        <v>44783</v>
      </c>
    </row>
    <row r="2119" spans="1:10" x14ac:dyDescent="0.35">
      <c r="A2119" s="2">
        <v>44780</v>
      </c>
      <c r="B2119" s="3">
        <v>0.49789351851851849</v>
      </c>
      <c r="C2119">
        <v>5422</v>
      </c>
      <c r="D2119" t="str">
        <f>VLOOKUP(H2119,Produkt!$A$2:$B$5,2,FALSE)</f>
        <v>B</v>
      </c>
      <c r="H2119">
        <v>2</v>
      </c>
      <c r="I2119">
        <v>6.7384259259259269E-2</v>
      </c>
      <c r="J2119">
        <v>44801</v>
      </c>
    </row>
    <row r="2120" spans="1:10" x14ac:dyDescent="0.35">
      <c r="A2120" s="2">
        <v>44780</v>
      </c>
      <c r="B2120" s="3">
        <v>0.34239583333333329</v>
      </c>
      <c r="C2120">
        <v>5448</v>
      </c>
      <c r="D2120" t="str">
        <f>VLOOKUP(H2120,Produkt!$A$2:$B$5,2,FALSE)</f>
        <v>A</v>
      </c>
      <c r="H2120">
        <v>1</v>
      </c>
      <c r="I2120">
        <v>0.9631481481481482</v>
      </c>
      <c r="J2120">
        <v>44791</v>
      </c>
    </row>
    <row r="2121" spans="1:10" x14ac:dyDescent="0.35">
      <c r="A2121" s="2">
        <v>44780</v>
      </c>
      <c r="B2121" s="3">
        <v>0.38556712962962963</v>
      </c>
      <c r="C2121">
        <v>5554</v>
      </c>
      <c r="D2121" t="str">
        <f>VLOOKUP(H2121,Produkt!$A$2:$B$5,2,FALSE)</f>
        <v>B</v>
      </c>
      <c r="H2121">
        <v>2</v>
      </c>
      <c r="I2121">
        <v>0.68981481481481488</v>
      </c>
      <c r="J2121">
        <v>44790</v>
      </c>
    </row>
    <row r="2122" spans="1:10" x14ac:dyDescent="0.35">
      <c r="A2122" s="2">
        <v>44780</v>
      </c>
      <c r="B2122" s="3">
        <v>0.32150462962962961</v>
      </c>
      <c r="C2122">
        <v>5587</v>
      </c>
      <c r="D2122" t="str">
        <f>VLOOKUP(H2122,Produkt!$A$2:$B$5,2,FALSE)</f>
        <v>B</v>
      </c>
      <c r="H2122">
        <v>2</v>
      </c>
      <c r="I2122">
        <v>0.75215277777777778</v>
      </c>
      <c r="J2122">
        <v>44784</v>
      </c>
    </row>
    <row r="2123" spans="1:10" x14ac:dyDescent="0.35">
      <c r="A2123" s="2">
        <v>44780</v>
      </c>
      <c r="B2123" s="3">
        <v>2.3981481481481604E-2</v>
      </c>
      <c r="C2123">
        <v>5606</v>
      </c>
      <c r="D2123" t="str">
        <f>VLOOKUP(H2123,Produkt!$A$2:$B$5,2,FALSE)</f>
        <v>C</v>
      </c>
      <c r="H2123">
        <v>3</v>
      </c>
      <c r="I2123">
        <v>0.52777777777777779</v>
      </c>
      <c r="J2123">
        <v>44796</v>
      </c>
    </row>
    <row r="2124" spans="1:10" x14ac:dyDescent="0.35">
      <c r="A2124" s="2">
        <v>44780</v>
      </c>
      <c r="B2124" s="3">
        <v>0.59700231481481481</v>
      </c>
      <c r="C2124">
        <v>5637</v>
      </c>
      <c r="D2124" t="str">
        <f>VLOOKUP(H2124,Produkt!$A$2:$B$5,2,FALSE)</f>
        <v>A</v>
      </c>
      <c r="H2124">
        <v>1</v>
      </c>
      <c r="I2124">
        <v>0.29471064814814812</v>
      </c>
      <c r="J2124">
        <v>44795</v>
      </c>
    </row>
    <row r="2125" spans="1:10" x14ac:dyDescent="0.35">
      <c r="A2125" s="2">
        <v>44780</v>
      </c>
      <c r="B2125" s="3">
        <v>0.88561342592592596</v>
      </c>
      <c r="C2125">
        <v>5706</v>
      </c>
      <c r="D2125" t="str">
        <f>VLOOKUP(H2125,Produkt!$A$2:$B$5,2,FALSE)</f>
        <v>B</v>
      </c>
      <c r="H2125">
        <v>2</v>
      </c>
      <c r="I2125">
        <v>0.29980324074074077</v>
      </c>
      <c r="J2125">
        <v>44788</v>
      </c>
    </row>
    <row r="2126" spans="1:10" x14ac:dyDescent="0.35">
      <c r="A2126" s="2">
        <v>44780</v>
      </c>
      <c r="B2126" s="3">
        <v>0.73210648148148139</v>
      </c>
      <c r="C2126">
        <v>5738</v>
      </c>
      <c r="D2126" t="str">
        <f>VLOOKUP(H2126,Produkt!$A$2:$B$5,2,FALSE)</f>
        <v>C</v>
      </c>
      <c r="H2126">
        <v>3</v>
      </c>
      <c r="I2126">
        <v>0.76553240740740736</v>
      </c>
      <c r="J2126">
        <v>44796</v>
      </c>
    </row>
    <row r="2127" spans="1:10" x14ac:dyDescent="0.35">
      <c r="A2127" s="2">
        <v>44780</v>
      </c>
      <c r="B2127" s="3">
        <v>1.7905092592592542E-2</v>
      </c>
      <c r="C2127">
        <v>5753</v>
      </c>
      <c r="D2127" t="str">
        <f>VLOOKUP(H2127,Produkt!$A$2:$B$5,2,FALSE)</f>
        <v>D</v>
      </c>
      <c r="H2127">
        <v>4</v>
      </c>
      <c r="I2127">
        <v>0.9644907407407407</v>
      </c>
      <c r="J2127">
        <v>44785</v>
      </c>
    </row>
    <row r="2128" spans="1:10" x14ac:dyDescent="0.35">
      <c r="A2128" s="2">
        <v>44780</v>
      </c>
      <c r="B2128" s="3">
        <v>0.17887731481481481</v>
      </c>
      <c r="C2128">
        <v>5786</v>
      </c>
      <c r="D2128" t="str">
        <f>VLOOKUP(H2128,Produkt!$A$2:$B$5,2,FALSE)</f>
        <v>B</v>
      </c>
      <c r="H2128">
        <v>2</v>
      </c>
      <c r="I2128">
        <v>0.14369212962962963</v>
      </c>
      <c r="J2128">
        <v>44788</v>
      </c>
    </row>
    <row r="2129" spans="1:10" x14ac:dyDescent="0.35">
      <c r="A2129" s="2">
        <v>44780</v>
      </c>
      <c r="B2129" s="3">
        <v>0.61015046296296294</v>
      </c>
      <c r="C2129">
        <v>5796</v>
      </c>
      <c r="D2129" t="str">
        <f>VLOOKUP(H2129,Produkt!$A$2:$B$5,2,FALSE)</f>
        <v>B</v>
      </c>
      <c r="H2129">
        <v>2</v>
      </c>
      <c r="I2129">
        <v>0.23685185185185187</v>
      </c>
      <c r="J2129">
        <v>44778</v>
      </c>
    </row>
    <row r="2130" spans="1:10" x14ac:dyDescent="0.35">
      <c r="A2130" s="2">
        <v>44780</v>
      </c>
      <c r="B2130" s="3">
        <v>0.54222222222222227</v>
      </c>
      <c r="C2130">
        <v>5814</v>
      </c>
      <c r="D2130" t="str">
        <f>VLOOKUP(H2130,Produkt!$A$2:$B$5,2,FALSE)</f>
        <v>C</v>
      </c>
      <c r="H2130">
        <v>3</v>
      </c>
      <c r="I2130">
        <v>0.26369212962962962</v>
      </c>
      <c r="J2130">
        <v>44780</v>
      </c>
    </row>
    <row r="2131" spans="1:10" x14ac:dyDescent="0.35">
      <c r="A2131" s="2">
        <v>44780</v>
      </c>
      <c r="B2131" s="3">
        <v>0.38209490740740742</v>
      </c>
      <c r="C2131">
        <v>5834</v>
      </c>
      <c r="D2131" t="str">
        <f>VLOOKUP(H2131,Produkt!$A$2:$B$5,2,FALSE)</f>
        <v>D</v>
      </c>
      <c r="H2131">
        <v>4</v>
      </c>
      <c r="I2131">
        <v>0.55047453703703708</v>
      </c>
      <c r="J2131">
        <v>44794</v>
      </c>
    </row>
    <row r="2132" spans="1:10" x14ac:dyDescent="0.35">
      <c r="A2132" s="2">
        <v>44780</v>
      </c>
      <c r="B2132" s="3">
        <v>3.9097222222222117E-2</v>
      </c>
      <c r="C2132">
        <v>5843</v>
      </c>
      <c r="D2132" t="str">
        <f>VLOOKUP(H2132,Produkt!$A$2:$B$5,2,FALSE)</f>
        <v>D</v>
      </c>
      <c r="H2132">
        <v>4</v>
      </c>
      <c r="I2132">
        <v>0.20211805555555554</v>
      </c>
      <c r="J2132">
        <v>44784</v>
      </c>
    </row>
    <row r="2133" spans="1:10" x14ac:dyDescent="0.35">
      <c r="A2133" s="2">
        <v>44780</v>
      </c>
      <c r="B2133" s="3">
        <v>0.68846064814814811</v>
      </c>
      <c r="C2133">
        <v>5882</v>
      </c>
      <c r="D2133" t="str">
        <f>VLOOKUP(H2133,Produkt!$A$2:$B$5,2,FALSE)</f>
        <v>D</v>
      </c>
      <c r="H2133">
        <v>4</v>
      </c>
      <c r="I2133">
        <v>0.53577546296296297</v>
      </c>
      <c r="J2133">
        <v>44775</v>
      </c>
    </row>
    <row r="2134" spans="1:10" x14ac:dyDescent="0.35">
      <c r="A2134" s="2">
        <v>44780</v>
      </c>
      <c r="B2134" s="3">
        <v>0.32643518518518516</v>
      </c>
      <c r="C2134">
        <v>5893</v>
      </c>
      <c r="D2134" t="str">
        <f>VLOOKUP(H2134,Produkt!$A$2:$B$5,2,FALSE)</f>
        <v>C</v>
      </c>
      <c r="H2134">
        <v>3</v>
      </c>
      <c r="I2134">
        <v>0.66429398148148155</v>
      </c>
      <c r="J2134">
        <v>44774</v>
      </c>
    </row>
    <row r="2135" spans="1:10" x14ac:dyDescent="0.35">
      <c r="A2135" s="2">
        <v>44780</v>
      </c>
      <c r="B2135" s="3">
        <v>0.31312499999999999</v>
      </c>
      <c r="C2135">
        <v>5914</v>
      </c>
      <c r="D2135" t="str">
        <f>VLOOKUP(H2135,Produkt!$A$2:$B$5,2,FALSE)</f>
        <v>A</v>
      </c>
      <c r="H2135">
        <v>1</v>
      </c>
      <c r="I2135">
        <v>0.42717592592592596</v>
      </c>
      <c r="J2135">
        <v>44785</v>
      </c>
    </row>
    <row r="2136" spans="1:10" x14ac:dyDescent="0.35">
      <c r="A2136" s="2">
        <v>44780</v>
      </c>
      <c r="B2136" s="3">
        <v>0.29670138888888892</v>
      </c>
      <c r="C2136">
        <v>5971</v>
      </c>
      <c r="D2136" t="str">
        <f>VLOOKUP(H2136,Produkt!$A$2:$B$5,2,FALSE)</f>
        <v>C</v>
      </c>
      <c r="H2136">
        <v>3</v>
      </c>
      <c r="I2136">
        <v>0.61302083333333335</v>
      </c>
      <c r="J2136">
        <v>44778</v>
      </c>
    </row>
    <row r="2137" spans="1:10" x14ac:dyDescent="0.35">
      <c r="A2137" s="2">
        <v>44780</v>
      </c>
      <c r="B2137" s="3">
        <v>0.59488425925925925</v>
      </c>
      <c r="C2137">
        <v>5977</v>
      </c>
      <c r="D2137" t="str">
        <f>VLOOKUP(H2137,Produkt!$A$2:$B$5,2,FALSE)</f>
        <v>B</v>
      </c>
      <c r="H2137">
        <v>2</v>
      </c>
      <c r="I2137">
        <v>0.97343750000000007</v>
      </c>
      <c r="J2137">
        <v>44790</v>
      </c>
    </row>
    <row r="2138" spans="1:10" x14ac:dyDescent="0.35">
      <c r="A2138" s="2">
        <v>44780</v>
      </c>
      <c r="B2138" s="3">
        <v>0.78585648148148157</v>
      </c>
      <c r="C2138">
        <v>6031</v>
      </c>
      <c r="D2138" t="str">
        <f>VLOOKUP(H2138,Produkt!$A$2:$B$5,2,FALSE)</f>
        <v>A</v>
      </c>
      <c r="H2138">
        <v>1</v>
      </c>
      <c r="I2138">
        <v>0.84695601851851843</v>
      </c>
      <c r="J2138">
        <v>44781</v>
      </c>
    </row>
    <row r="2139" spans="1:10" x14ac:dyDescent="0.35">
      <c r="A2139" s="2">
        <v>44780</v>
      </c>
      <c r="B2139" s="3">
        <v>0.56199074074074074</v>
      </c>
      <c r="C2139">
        <v>6067</v>
      </c>
      <c r="D2139" t="str">
        <f>VLOOKUP(H2139,Produkt!$A$2:$B$5,2,FALSE)</f>
        <v>D</v>
      </c>
      <c r="H2139">
        <v>4</v>
      </c>
      <c r="I2139">
        <v>0.85045138888888883</v>
      </c>
      <c r="J2139">
        <v>44774</v>
      </c>
    </row>
    <row r="2140" spans="1:10" x14ac:dyDescent="0.35">
      <c r="A2140" s="2">
        <v>44780</v>
      </c>
      <c r="B2140" s="3">
        <v>0.85953703703703699</v>
      </c>
      <c r="C2140">
        <v>6070</v>
      </c>
      <c r="D2140" t="str">
        <f>VLOOKUP(H2140,Produkt!$A$2:$B$5,2,FALSE)</f>
        <v>B</v>
      </c>
      <c r="H2140">
        <v>2</v>
      </c>
      <c r="I2140">
        <v>0.79532407407407402</v>
      </c>
      <c r="J2140">
        <v>44780</v>
      </c>
    </row>
    <row r="2141" spans="1:10" x14ac:dyDescent="0.35">
      <c r="A2141" s="2">
        <v>44780</v>
      </c>
      <c r="B2141" s="3">
        <v>0.35998842592592589</v>
      </c>
      <c r="C2141">
        <v>6107</v>
      </c>
      <c r="D2141" t="str">
        <f>VLOOKUP(H2141,Produkt!$A$2:$B$5,2,FALSE)</f>
        <v>B</v>
      </c>
      <c r="H2141">
        <v>2</v>
      </c>
      <c r="I2141">
        <v>0.29960648148148145</v>
      </c>
      <c r="J2141">
        <v>44786</v>
      </c>
    </row>
    <row r="2142" spans="1:10" x14ac:dyDescent="0.35">
      <c r="A2142" s="2">
        <v>44780</v>
      </c>
      <c r="B2142" s="3">
        <v>0.89414351851851848</v>
      </c>
      <c r="C2142">
        <v>6129</v>
      </c>
      <c r="D2142" t="str">
        <f>VLOOKUP(H2142,Produkt!$A$2:$B$5,2,FALSE)</f>
        <v>A</v>
      </c>
      <c r="H2142">
        <v>1</v>
      </c>
      <c r="I2142">
        <v>0.51094907407407408</v>
      </c>
      <c r="J2142">
        <v>44780</v>
      </c>
    </row>
    <row r="2143" spans="1:10" x14ac:dyDescent="0.35">
      <c r="A2143" s="2">
        <v>44780</v>
      </c>
      <c r="B2143" s="3">
        <v>3.3113425925926032E-2</v>
      </c>
      <c r="C2143">
        <v>6220</v>
      </c>
      <c r="D2143" t="str">
        <f>VLOOKUP(H2143,Produkt!$A$2:$B$5,2,FALSE)</f>
        <v>C</v>
      </c>
      <c r="H2143">
        <v>3</v>
      </c>
      <c r="I2143">
        <v>0.6731597222222222</v>
      </c>
      <c r="J2143">
        <v>44801</v>
      </c>
    </row>
    <row r="2144" spans="1:10" x14ac:dyDescent="0.35">
      <c r="A2144" s="2">
        <v>44780</v>
      </c>
      <c r="B2144" s="3">
        <v>0.10434027777777777</v>
      </c>
      <c r="C2144">
        <v>6238</v>
      </c>
      <c r="D2144" t="str">
        <f>VLOOKUP(H2144,Produkt!$A$2:$B$5,2,FALSE)</f>
        <v>D</v>
      </c>
      <c r="H2144">
        <v>4</v>
      </c>
      <c r="I2144">
        <v>0.39444444444444443</v>
      </c>
      <c r="J2144">
        <v>44796</v>
      </c>
    </row>
    <row r="2145" spans="1:10" x14ac:dyDescent="0.35">
      <c r="A2145" s="2">
        <v>44780</v>
      </c>
      <c r="B2145" s="3">
        <v>0.94798611111111108</v>
      </c>
      <c r="C2145">
        <v>6283</v>
      </c>
      <c r="D2145" t="str">
        <f>VLOOKUP(H2145,Produkt!$A$2:$B$5,2,FALSE)</f>
        <v>B</v>
      </c>
      <c r="H2145">
        <v>2</v>
      </c>
      <c r="I2145">
        <v>0.68008101851851854</v>
      </c>
      <c r="J2145">
        <v>44780</v>
      </c>
    </row>
    <row r="2146" spans="1:10" x14ac:dyDescent="0.35">
      <c r="A2146" s="2">
        <v>44780</v>
      </c>
      <c r="B2146" s="3">
        <v>0.21767361111111114</v>
      </c>
      <c r="C2146">
        <v>6390</v>
      </c>
      <c r="D2146" t="str">
        <f>VLOOKUP(H2146,Produkt!$A$2:$B$5,2,FALSE)</f>
        <v>A</v>
      </c>
      <c r="H2146">
        <v>1</v>
      </c>
      <c r="I2146">
        <v>0.41851851851851851</v>
      </c>
      <c r="J2146">
        <v>44781</v>
      </c>
    </row>
    <row r="2147" spans="1:10" x14ac:dyDescent="0.35">
      <c r="A2147" s="2">
        <v>44780</v>
      </c>
      <c r="B2147" s="3">
        <v>0.99711805555555555</v>
      </c>
      <c r="C2147">
        <v>6402</v>
      </c>
      <c r="D2147" t="str">
        <f>VLOOKUP(H2147,Produkt!$A$2:$B$5,2,FALSE)</f>
        <v>A</v>
      </c>
      <c r="H2147">
        <v>1</v>
      </c>
      <c r="I2147">
        <v>0.17170138888888889</v>
      </c>
      <c r="J2147">
        <v>44778</v>
      </c>
    </row>
    <row r="2148" spans="1:10" x14ac:dyDescent="0.35">
      <c r="A2148" s="2">
        <v>44780</v>
      </c>
      <c r="B2148" s="3">
        <v>0.93414351851851851</v>
      </c>
      <c r="C2148">
        <v>6421</v>
      </c>
      <c r="D2148" t="str">
        <f>VLOOKUP(H2148,Produkt!$A$2:$B$5,2,FALSE)</f>
        <v>D</v>
      </c>
      <c r="H2148">
        <v>4</v>
      </c>
      <c r="I2148">
        <v>7.7997685185185184E-2</v>
      </c>
      <c r="J2148">
        <v>44799</v>
      </c>
    </row>
    <row r="2149" spans="1:10" x14ac:dyDescent="0.35">
      <c r="A2149" s="2">
        <v>44780</v>
      </c>
      <c r="B2149" s="3">
        <v>0.35177083333333337</v>
      </c>
      <c r="C2149">
        <v>6441</v>
      </c>
      <c r="D2149" t="str">
        <f>VLOOKUP(H2149,Produkt!$A$2:$B$5,2,FALSE)</f>
        <v>B</v>
      </c>
      <c r="H2149">
        <v>2</v>
      </c>
      <c r="I2149">
        <v>0.90252314814814805</v>
      </c>
      <c r="J2149">
        <v>44803</v>
      </c>
    </row>
    <row r="2150" spans="1:10" x14ac:dyDescent="0.35">
      <c r="A2150" s="2">
        <v>44780</v>
      </c>
      <c r="B2150" s="3">
        <v>0.27487268518518521</v>
      </c>
      <c r="C2150">
        <v>6455</v>
      </c>
      <c r="D2150" t="str">
        <f>VLOOKUP(H2150,Produkt!$A$2:$B$5,2,FALSE)</f>
        <v>B</v>
      </c>
      <c r="H2150">
        <v>2</v>
      </c>
      <c r="I2150">
        <v>0.61143518518518525</v>
      </c>
      <c r="J2150">
        <v>44793</v>
      </c>
    </row>
    <row r="2151" spans="1:10" x14ac:dyDescent="0.35">
      <c r="A2151" s="2">
        <v>44780</v>
      </c>
      <c r="B2151" s="3">
        <v>0.54423611111111114</v>
      </c>
      <c r="C2151">
        <v>6465</v>
      </c>
      <c r="D2151" t="str">
        <f>VLOOKUP(H2151,Produkt!$A$2:$B$5,2,FALSE)</f>
        <v>A</v>
      </c>
      <c r="H2151">
        <v>1</v>
      </c>
      <c r="I2151">
        <v>0.61203703703703705</v>
      </c>
      <c r="J2151">
        <v>44799</v>
      </c>
    </row>
    <row r="2152" spans="1:10" x14ac:dyDescent="0.35">
      <c r="A2152" s="2">
        <v>44780</v>
      </c>
      <c r="B2152" s="3">
        <v>0.69217592592592592</v>
      </c>
      <c r="C2152">
        <v>6487</v>
      </c>
      <c r="D2152" t="str">
        <f>VLOOKUP(H2152,Produkt!$A$2:$B$5,2,FALSE)</f>
        <v>A</v>
      </c>
      <c r="H2152">
        <v>1</v>
      </c>
      <c r="I2152">
        <v>5.4375E-2</v>
      </c>
      <c r="J2152">
        <v>44788</v>
      </c>
    </row>
    <row r="2153" spans="1:10" x14ac:dyDescent="0.35">
      <c r="A2153" s="2">
        <v>44780</v>
      </c>
      <c r="B2153" s="3">
        <v>8.2372685185185188E-2</v>
      </c>
      <c r="C2153">
        <v>6527</v>
      </c>
      <c r="D2153" t="str">
        <f>VLOOKUP(H2153,Produkt!$A$2:$B$5,2,FALSE)</f>
        <v>A</v>
      </c>
      <c r="H2153">
        <v>1</v>
      </c>
      <c r="I2153">
        <v>0.54252314814814817</v>
      </c>
      <c r="J2153">
        <v>44790</v>
      </c>
    </row>
    <row r="2154" spans="1:10" x14ac:dyDescent="0.35">
      <c r="A2154" s="2">
        <v>44780</v>
      </c>
      <c r="B2154" s="3">
        <v>0.8194907407407408</v>
      </c>
      <c r="C2154">
        <v>6631</v>
      </c>
      <c r="D2154" t="str">
        <f>VLOOKUP(H2154,Produkt!$A$2:$B$5,2,FALSE)</f>
        <v>A</v>
      </c>
      <c r="H2154">
        <v>1</v>
      </c>
      <c r="I2154">
        <v>0.40994212962962967</v>
      </c>
      <c r="J2154">
        <v>44778</v>
      </c>
    </row>
    <row r="2155" spans="1:10" x14ac:dyDescent="0.35">
      <c r="A2155" s="2">
        <v>44780</v>
      </c>
      <c r="B2155" s="3">
        <v>0.70306712962962958</v>
      </c>
      <c r="C2155">
        <v>6639</v>
      </c>
      <c r="D2155" t="str">
        <f>VLOOKUP(H2155,Produkt!$A$2:$B$5,2,FALSE)</f>
        <v>B</v>
      </c>
      <c r="H2155">
        <v>2</v>
      </c>
      <c r="I2155">
        <v>0.1776736111111111</v>
      </c>
      <c r="J2155">
        <v>44803</v>
      </c>
    </row>
    <row r="2156" spans="1:10" x14ac:dyDescent="0.35">
      <c r="A2156" s="2">
        <v>44780</v>
      </c>
      <c r="B2156" s="3">
        <v>0.55753472222222222</v>
      </c>
      <c r="C2156">
        <v>6644</v>
      </c>
      <c r="D2156" t="str">
        <f>VLOOKUP(H2156,Produkt!$A$2:$B$5,2,FALSE)</f>
        <v>A</v>
      </c>
      <c r="H2156">
        <v>1</v>
      </c>
      <c r="I2156">
        <v>0.44368055555555558</v>
      </c>
      <c r="J2156">
        <v>44804</v>
      </c>
    </row>
    <row r="2157" spans="1:10" x14ac:dyDescent="0.35">
      <c r="A2157" s="2">
        <v>44780</v>
      </c>
      <c r="B2157" s="3">
        <v>8.2407407407407707E-3</v>
      </c>
      <c r="C2157">
        <v>6653</v>
      </c>
      <c r="D2157" t="str">
        <f>VLOOKUP(H2157,Produkt!$A$2:$B$5,2,FALSE)</f>
        <v>C</v>
      </c>
      <c r="H2157">
        <v>3</v>
      </c>
      <c r="I2157">
        <v>0.45396990740740745</v>
      </c>
      <c r="J2157">
        <v>44783</v>
      </c>
    </row>
    <row r="2158" spans="1:10" x14ac:dyDescent="0.35">
      <c r="A2158" s="2">
        <v>44780</v>
      </c>
      <c r="B2158" s="3">
        <v>8.8298611111111105E-2</v>
      </c>
      <c r="C2158">
        <v>6663</v>
      </c>
      <c r="D2158" t="str">
        <f>VLOOKUP(H2158,Produkt!$A$2:$B$5,2,FALSE)</f>
        <v>D</v>
      </c>
      <c r="H2158">
        <v>4</v>
      </c>
      <c r="I2158">
        <v>0.40425925925925926</v>
      </c>
      <c r="J2158">
        <v>44779</v>
      </c>
    </row>
    <row r="2159" spans="1:10" x14ac:dyDescent="0.35">
      <c r="A2159" s="2">
        <v>44780</v>
      </c>
      <c r="B2159" s="3">
        <v>0.26583333333333331</v>
      </c>
      <c r="C2159">
        <v>6704</v>
      </c>
      <c r="D2159" t="str">
        <f>VLOOKUP(H2159,Produkt!$A$2:$B$5,2,FALSE)</f>
        <v>D</v>
      </c>
      <c r="H2159">
        <v>4</v>
      </c>
      <c r="I2159">
        <v>0.51473379629629623</v>
      </c>
      <c r="J2159">
        <v>44800</v>
      </c>
    </row>
    <row r="2160" spans="1:10" x14ac:dyDescent="0.35">
      <c r="A2160" s="2">
        <v>44780</v>
      </c>
      <c r="B2160" s="3">
        <v>0.34290509259259255</v>
      </c>
      <c r="C2160">
        <v>6748</v>
      </c>
      <c r="D2160" t="str">
        <f>VLOOKUP(H2160,Produkt!$A$2:$B$5,2,FALSE)</f>
        <v>C</v>
      </c>
      <c r="H2160">
        <v>3</v>
      </c>
      <c r="I2160">
        <v>0.94233796296296291</v>
      </c>
      <c r="J2160">
        <v>44799</v>
      </c>
    </row>
    <row r="2161" spans="1:10" x14ac:dyDescent="0.35">
      <c r="A2161" s="2">
        <v>44780</v>
      </c>
      <c r="B2161" s="3">
        <v>0.77031250000000007</v>
      </c>
      <c r="C2161">
        <v>6753</v>
      </c>
      <c r="D2161" t="str">
        <f>VLOOKUP(H2161,Produkt!$A$2:$B$5,2,FALSE)</f>
        <v>C</v>
      </c>
      <c r="H2161">
        <v>3</v>
      </c>
      <c r="I2161">
        <v>0.63081018518518517</v>
      </c>
      <c r="J2161">
        <v>44798</v>
      </c>
    </row>
    <row r="2162" spans="1:10" x14ac:dyDescent="0.35">
      <c r="A2162" s="2">
        <v>44780</v>
      </c>
      <c r="B2162" s="3">
        <v>0.99940972222222213</v>
      </c>
      <c r="C2162">
        <v>6767</v>
      </c>
      <c r="D2162" t="str">
        <f>VLOOKUP(H2162,Produkt!$A$2:$B$5,2,FALSE)</f>
        <v>D</v>
      </c>
      <c r="H2162">
        <v>4</v>
      </c>
      <c r="I2162">
        <v>0.2091898148148148</v>
      </c>
      <c r="J2162">
        <v>44798</v>
      </c>
    </row>
    <row r="2163" spans="1:10" x14ac:dyDescent="0.35">
      <c r="A2163" s="2">
        <v>44780</v>
      </c>
      <c r="B2163" s="3">
        <v>0.75788194444444434</v>
      </c>
      <c r="C2163">
        <v>6769</v>
      </c>
      <c r="D2163" t="str">
        <f>VLOOKUP(H2163,Produkt!$A$2:$B$5,2,FALSE)</f>
        <v>B</v>
      </c>
      <c r="H2163">
        <v>2</v>
      </c>
      <c r="I2163">
        <v>8.0405092592592597E-2</v>
      </c>
      <c r="J2163">
        <v>44779</v>
      </c>
    </row>
    <row r="2164" spans="1:10" x14ac:dyDescent="0.35">
      <c r="A2164" s="2">
        <v>44780</v>
      </c>
      <c r="B2164" s="3">
        <v>0.27812500000000001</v>
      </c>
      <c r="C2164">
        <v>6815</v>
      </c>
      <c r="D2164" t="str">
        <f>VLOOKUP(H2164,Produkt!$A$2:$B$5,2,FALSE)</f>
        <v>A</v>
      </c>
      <c r="H2164">
        <v>1</v>
      </c>
      <c r="I2164">
        <v>0.68437500000000007</v>
      </c>
      <c r="J2164">
        <v>44793</v>
      </c>
    </row>
    <row r="2165" spans="1:10" x14ac:dyDescent="0.35">
      <c r="A2165" s="2">
        <v>44780</v>
      </c>
      <c r="B2165" s="3">
        <v>0.35874999999999996</v>
      </c>
      <c r="C2165">
        <v>6825</v>
      </c>
      <c r="D2165" t="str">
        <f>VLOOKUP(H2165,Produkt!$A$2:$B$5,2,FALSE)</f>
        <v>D</v>
      </c>
      <c r="H2165">
        <v>4</v>
      </c>
      <c r="I2165">
        <v>0.5372569444444445</v>
      </c>
      <c r="J2165">
        <v>44800</v>
      </c>
    </row>
    <row r="2166" spans="1:10" x14ac:dyDescent="0.35">
      <c r="A2166" s="2">
        <v>44780</v>
      </c>
      <c r="B2166" s="3">
        <v>0.17600694444444445</v>
      </c>
      <c r="C2166">
        <v>6899</v>
      </c>
      <c r="D2166" t="str">
        <f>VLOOKUP(H2166,Produkt!$A$2:$B$5,2,FALSE)</f>
        <v>D</v>
      </c>
      <c r="H2166">
        <v>4</v>
      </c>
      <c r="I2166">
        <v>1.678240740740744E-2</v>
      </c>
      <c r="J2166">
        <v>44788</v>
      </c>
    </row>
    <row r="2167" spans="1:10" x14ac:dyDescent="0.35">
      <c r="A2167" s="2">
        <v>44780</v>
      </c>
      <c r="B2167" s="3">
        <v>0.90018518518518509</v>
      </c>
      <c r="C2167">
        <v>6916</v>
      </c>
      <c r="D2167" t="str">
        <f>VLOOKUP(H2167,Produkt!$A$2:$B$5,2,FALSE)</f>
        <v>C</v>
      </c>
      <c r="H2167">
        <v>3</v>
      </c>
      <c r="I2167">
        <v>0.14341435185185183</v>
      </c>
      <c r="J2167">
        <v>44796</v>
      </c>
    </row>
    <row r="2168" spans="1:10" x14ac:dyDescent="0.35">
      <c r="A2168" s="2">
        <v>44780</v>
      </c>
      <c r="B2168" s="3">
        <v>0.14115740740740743</v>
      </c>
      <c r="C2168">
        <v>6950</v>
      </c>
      <c r="D2168" t="str">
        <f>VLOOKUP(H2168,Produkt!$A$2:$B$5,2,FALSE)</f>
        <v>A</v>
      </c>
      <c r="H2168">
        <v>1</v>
      </c>
      <c r="I2168">
        <v>0.10476851851851852</v>
      </c>
      <c r="J2168">
        <v>44774</v>
      </c>
    </row>
    <row r="2169" spans="1:10" x14ac:dyDescent="0.35">
      <c r="A2169" s="2">
        <v>44780</v>
      </c>
      <c r="B2169" s="3">
        <v>0.867650462962963</v>
      </c>
      <c r="C2169">
        <v>6964</v>
      </c>
      <c r="D2169" t="str">
        <f>VLOOKUP(H2169,Produkt!$A$2:$B$5,2,FALSE)</f>
        <v>A</v>
      </c>
      <c r="H2169">
        <v>1</v>
      </c>
      <c r="I2169">
        <v>0.98071759259259261</v>
      </c>
      <c r="J2169">
        <v>44785</v>
      </c>
    </row>
    <row r="2170" spans="1:10" x14ac:dyDescent="0.35">
      <c r="A2170" s="2">
        <v>44780</v>
      </c>
      <c r="B2170" s="3">
        <v>5.5520833333333332E-2</v>
      </c>
      <c r="C2170">
        <v>7010</v>
      </c>
      <c r="D2170" t="str">
        <f>VLOOKUP(H2170,Produkt!$A$2:$B$5,2,FALSE)</f>
        <v>A</v>
      </c>
      <c r="H2170">
        <v>1</v>
      </c>
      <c r="I2170">
        <v>0.68616898148148142</v>
      </c>
      <c r="J2170">
        <v>44775</v>
      </c>
    </row>
    <row r="2171" spans="1:10" x14ac:dyDescent="0.35">
      <c r="A2171" s="2">
        <v>44780</v>
      </c>
      <c r="B2171" s="3">
        <v>0.15497685185185187</v>
      </c>
      <c r="C2171">
        <v>7056</v>
      </c>
      <c r="D2171" t="str">
        <f>VLOOKUP(H2171,Produkt!$A$2:$B$5,2,FALSE)</f>
        <v>C</v>
      </c>
      <c r="H2171">
        <v>3</v>
      </c>
      <c r="I2171">
        <v>0.6918981481481481</v>
      </c>
      <c r="J2171">
        <v>44804</v>
      </c>
    </row>
    <row r="2172" spans="1:10" x14ac:dyDescent="0.35">
      <c r="A2172" s="2">
        <v>44780</v>
      </c>
      <c r="B2172" s="3">
        <v>0.42150462962962965</v>
      </c>
      <c r="C2172">
        <v>7090</v>
      </c>
      <c r="D2172" t="str">
        <f>VLOOKUP(H2172,Produkt!$A$2:$B$5,2,FALSE)</f>
        <v>C</v>
      </c>
      <c r="H2172">
        <v>3</v>
      </c>
      <c r="I2172">
        <v>0.90487268518518515</v>
      </c>
      <c r="J2172">
        <v>44788</v>
      </c>
    </row>
    <row r="2173" spans="1:10" x14ac:dyDescent="0.35">
      <c r="A2173" s="2">
        <v>44780</v>
      </c>
      <c r="B2173" s="3">
        <v>4.3194444444444445E-2</v>
      </c>
      <c r="C2173">
        <v>7104</v>
      </c>
      <c r="D2173" t="str">
        <f>VLOOKUP(H2173,Produkt!$A$2:$B$5,2,FALSE)</f>
        <v>D</v>
      </c>
      <c r="H2173">
        <v>4</v>
      </c>
      <c r="I2173">
        <v>0.52081018518518518</v>
      </c>
      <c r="J2173">
        <v>44786</v>
      </c>
    </row>
    <row r="2174" spans="1:10" x14ac:dyDescent="0.35">
      <c r="A2174" s="2">
        <v>44780</v>
      </c>
      <c r="B2174" s="3">
        <v>0.16829861111111111</v>
      </c>
      <c r="C2174">
        <v>7197</v>
      </c>
      <c r="D2174" t="str">
        <f>VLOOKUP(H2174,Produkt!$A$2:$B$5,2,FALSE)</f>
        <v>C</v>
      </c>
      <c r="H2174">
        <v>3</v>
      </c>
      <c r="I2174">
        <v>0.61546296296296299</v>
      </c>
      <c r="J2174">
        <v>44797</v>
      </c>
    </row>
    <row r="2175" spans="1:10" x14ac:dyDescent="0.35">
      <c r="A2175" s="2">
        <v>44780</v>
      </c>
      <c r="B2175" s="3">
        <v>0.10421296296296297</v>
      </c>
      <c r="C2175">
        <v>7240</v>
      </c>
      <c r="D2175" t="str">
        <f>VLOOKUP(H2175,Produkt!$A$2:$B$5,2,FALSE)</f>
        <v>A</v>
      </c>
      <c r="H2175">
        <v>1</v>
      </c>
      <c r="I2175">
        <v>0.17053240740740741</v>
      </c>
      <c r="J2175">
        <v>44793</v>
      </c>
    </row>
    <row r="2176" spans="1:10" x14ac:dyDescent="0.35">
      <c r="A2176" s="2">
        <v>44780</v>
      </c>
      <c r="B2176" s="3">
        <v>0.30321759259259257</v>
      </c>
      <c r="C2176">
        <v>7307</v>
      </c>
      <c r="D2176" t="str">
        <f>VLOOKUP(H2176,Produkt!$A$2:$B$5,2,FALSE)</f>
        <v>B</v>
      </c>
      <c r="H2176">
        <v>2</v>
      </c>
      <c r="I2176">
        <v>0.30533564814814812</v>
      </c>
      <c r="J2176">
        <v>44780</v>
      </c>
    </row>
    <row r="2177" spans="1:10" x14ac:dyDescent="0.35">
      <c r="A2177" s="2">
        <v>44780</v>
      </c>
      <c r="B2177" s="3">
        <v>0.19552083333333334</v>
      </c>
      <c r="C2177">
        <v>7436</v>
      </c>
      <c r="D2177" t="str">
        <f>VLOOKUP(H2177,Produkt!$A$2:$B$5,2,FALSE)</f>
        <v>C</v>
      </c>
      <c r="H2177">
        <v>3</v>
      </c>
      <c r="I2177">
        <v>0.23416666666666666</v>
      </c>
      <c r="J2177">
        <v>44804</v>
      </c>
    </row>
    <row r="2178" spans="1:10" x14ac:dyDescent="0.35">
      <c r="A2178" s="2">
        <v>44780</v>
      </c>
      <c r="B2178" s="3">
        <v>0.34443287037037035</v>
      </c>
      <c r="C2178">
        <v>7483</v>
      </c>
      <c r="D2178" t="str">
        <f>VLOOKUP(H2178,Produkt!$A$2:$B$5,2,FALSE)</f>
        <v>B</v>
      </c>
      <c r="H2178">
        <v>2</v>
      </c>
      <c r="I2178">
        <v>0.51284722222222223</v>
      </c>
      <c r="J2178">
        <v>44794</v>
      </c>
    </row>
    <row r="2179" spans="1:10" x14ac:dyDescent="0.35">
      <c r="A2179" s="2">
        <v>44780</v>
      </c>
      <c r="B2179" s="3">
        <v>0.35065972222222225</v>
      </c>
      <c r="C2179">
        <v>7491</v>
      </c>
      <c r="D2179" t="str">
        <f>VLOOKUP(H2179,Produkt!$A$2:$B$5,2,FALSE)</f>
        <v>A</v>
      </c>
      <c r="H2179">
        <v>1</v>
      </c>
      <c r="I2179">
        <v>7.3194444444444437E-2</v>
      </c>
      <c r="J2179">
        <v>44791</v>
      </c>
    </row>
    <row r="2180" spans="1:10" x14ac:dyDescent="0.35">
      <c r="A2180" s="2">
        <v>44780</v>
      </c>
      <c r="B2180" s="3">
        <v>0.6693634259259259</v>
      </c>
      <c r="C2180">
        <v>7563</v>
      </c>
      <c r="D2180" t="str">
        <f>VLOOKUP(H2180,Produkt!$A$2:$B$5,2,FALSE)</f>
        <v>D</v>
      </c>
      <c r="H2180">
        <v>4</v>
      </c>
      <c r="I2180">
        <v>0.68206018518518519</v>
      </c>
      <c r="J2180">
        <v>44779</v>
      </c>
    </row>
    <row r="2181" spans="1:10" x14ac:dyDescent="0.35">
      <c r="A2181" s="2">
        <v>44780</v>
      </c>
      <c r="B2181" s="3">
        <v>0.75754629629629633</v>
      </c>
      <c r="C2181">
        <v>7586</v>
      </c>
      <c r="D2181" t="str">
        <f>VLOOKUP(H2181,Produkt!$A$2:$B$5,2,FALSE)</f>
        <v>D</v>
      </c>
      <c r="H2181">
        <v>4</v>
      </c>
      <c r="I2181">
        <v>0.84416666666666673</v>
      </c>
      <c r="J2181">
        <v>44794</v>
      </c>
    </row>
    <row r="2182" spans="1:10" x14ac:dyDescent="0.35">
      <c r="A2182" s="2">
        <v>44780</v>
      </c>
      <c r="B2182" s="3">
        <v>0.96964120370370377</v>
      </c>
      <c r="C2182">
        <v>7607</v>
      </c>
      <c r="D2182" t="str">
        <f>VLOOKUP(H2182,Produkt!$A$2:$B$5,2,FALSE)</f>
        <v>C</v>
      </c>
      <c r="H2182">
        <v>3</v>
      </c>
      <c r="I2182">
        <v>0.11796296296296298</v>
      </c>
      <c r="J2182">
        <v>44776</v>
      </c>
    </row>
    <row r="2183" spans="1:10" x14ac:dyDescent="0.35">
      <c r="A2183" s="2">
        <v>44780</v>
      </c>
      <c r="B2183" s="3">
        <v>0.10972222222222222</v>
      </c>
      <c r="C2183">
        <v>7622</v>
      </c>
      <c r="D2183" t="str">
        <f>VLOOKUP(H2183,Produkt!$A$2:$B$5,2,FALSE)</f>
        <v>D</v>
      </c>
      <c r="H2183">
        <v>4</v>
      </c>
      <c r="I2183">
        <v>0.54275462962962961</v>
      </c>
      <c r="J2183">
        <v>44788</v>
      </c>
    </row>
    <row r="2184" spans="1:10" x14ac:dyDescent="0.35">
      <c r="A2184" s="2">
        <v>44780</v>
      </c>
      <c r="B2184" s="3">
        <v>0.40214120370370371</v>
      </c>
      <c r="C2184">
        <v>7633</v>
      </c>
      <c r="D2184" t="str">
        <f>VLOOKUP(H2184,Produkt!$A$2:$B$5,2,FALSE)</f>
        <v>D</v>
      </c>
      <c r="H2184">
        <v>4</v>
      </c>
      <c r="I2184">
        <v>0.90363425925925922</v>
      </c>
      <c r="J2184">
        <v>44782</v>
      </c>
    </row>
    <row r="2185" spans="1:10" x14ac:dyDescent="0.35">
      <c r="A2185" s="2">
        <v>44780</v>
      </c>
      <c r="B2185" s="3">
        <v>0.12538194444444445</v>
      </c>
      <c r="C2185">
        <v>7653</v>
      </c>
      <c r="D2185" t="str">
        <f>VLOOKUP(H2185,Produkt!$A$2:$B$5,2,FALSE)</f>
        <v>C</v>
      </c>
      <c r="H2185">
        <v>3</v>
      </c>
      <c r="I2185">
        <v>0.20003472222222221</v>
      </c>
      <c r="J2185">
        <v>44781</v>
      </c>
    </row>
    <row r="2186" spans="1:10" x14ac:dyDescent="0.35">
      <c r="A2186" s="2">
        <v>44780</v>
      </c>
      <c r="B2186" s="3">
        <v>0.63263888888888886</v>
      </c>
      <c r="C2186">
        <v>7658</v>
      </c>
      <c r="D2186" t="str">
        <f>VLOOKUP(H2186,Produkt!$A$2:$B$5,2,FALSE)</f>
        <v>B</v>
      </c>
      <c r="H2186">
        <v>2</v>
      </c>
      <c r="I2186">
        <v>0.70432870370370371</v>
      </c>
      <c r="J2186">
        <v>44777</v>
      </c>
    </row>
    <row r="2187" spans="1:10" x14ac:dyDescent="0.35">
      <c r="A2187" s="2">
        <v>44780</v>
      </c>
      <c r="B2187" s="3">
        <v>0.62383101851851852</v>
      </c>
      <c r="C2187">
        <v>7661</v>
      </c>
      <c r="D2187" t="str">
        <f>VLOOKUP(H2187,Produkt!$A$2:$B$5,2,FALSE)</f>
        <v>B</v>
      </c>
      <c r="H2187">
        <v>2</v>
      </c>
      <c r="I2187">
        <v>0.26295138888888886</v>
      </c>
      <c r="J2187">
        <v>44778</v>
      </c>
    </row>
    <row r="2188" spans="1:10" x14ac:dyDescent="0.35">
      <c r="A2188" s="2">
        <v>44780</v>
      </c>
      <c r="B2188" s="3">
        <v>0.46543981481481483</v>
      </c>
      <c r="C2188">
        <v>7692</v>
      </c>
      <c r="D2188" t="str">
        <f>VLOOKUP(H2188,Produkt!$A$2:$B$5,2,FALSE)</f>
        <v>A</v>
      </c>
      <c r="H2188">
        <v>1</v>
      </c>
      <c r="I2188">
        <v>0.53577546296296297</v>
      </c>
      <c r="J2188">
        <v>44794</v>
      </c>
    </row>
    <row r="2189" spans="1:10" x14ac:dyDescent="0.35">
      <c r="A2189" s="2">
        <v>44780</v>
      </c>
      <c r="B2189" s="3">
        <v>1.7048611111111112E-2</v>
      </c>
      <c r="C2189">
        <v>7736</v>
      </c>
      <c r="D2189" t="str">
        <f>VLOOKUP(H2189,Produkt!$A$2:$B$5,2,FALSE)</f>
        <v>D</v>
      </c>
      <c r="H2189">
        <v>4</v>
      </c>
      <c r="I2189">
        <v>0.28546296296296297</v>
      </c>
      <c r="J2189">
        <v>44780</v>
      </c>
    </row>
    <row r="2190" spans="1:10" x14ac:dyDescent="0.35">
      <c r="A2190" s="2">
        <v>44780</v>
      </c>
      <c r="B2190" s="3">
        <v>0.82849537037037047</v>
      </c>
      <c r="C2190">
        <v>7738</v>
      </c>
      <c r="D2190" t="str">
        <f>VLOOKUP(H2190,Produkt!$A$2:$B$5,2,FALSE)</f>
        <v>D</v>
      </c>
      <c r="H2190">
        <v>4</v>
      </c>
      <c r="I2190">
        <v>0.24103009259259259</v>
      </c>
      <c r="J2190">
        <v>44776</v>
      </c>
    </row>
    <row r="2191" spans="1:10" x14ac:dyDescent="0.35">
      <c r="A2191" s="2">
        <v>44780</v>
      </c>
      <c r="B2191" s="3">
        <v>0.48446759259259259</v>
      </c>
      <c r="C2191">
        <v>7785</v>
      </c>
      <c r="D2191" t="str">
        <f>VLOOKUP(H2191,Produkt!$A$2:$B$5,2,FALSE)</f>
        <v>C</v>
      </c>
      <c r="H2191">
        <v>3</v>
      </c>
      <c r="I2191">
        <v>0.99545138888888884</v>
      </c>
      <c r="J2191">
        <v>44789</v>
      </c>
    </row>
    <row r="2192" spans="1:10" x14ac:dyDescent="0.35">
      <c r="A2192" s="2">
        <v>44780</v>
      </c>
      <c r="B2192" s="3">
        <v>0.63437500000000002</v>
      </c>
      <c r="C2192">
        <v>7823</v>
      </c>
      <c r="D2192" t="str">
        <f>VLOOKUP(H2192,Produkt!$A$2:$B$5,2,FALSE)</f>
        <v>D</v>
      </c>
      <c r="H2192">
        <v>4</v>
      </c>
      <c r="I2192">
        <v>0.62506944444444446</v>
      </c>
      <c r="J2192">
        <v>44787</v>
      </c>
    </row>
    <row r="2193" spans="1:10" x14ac:dyDescent="0.35">
      <c r="A2193" s="2">
        <v>44780</v>
      </c>
      <c r="B2193" s="3">
        <v>0.41585648148148152</v>
      </c>
      <c r="C2193">
        <v>7844</v>
      </c>
      <c r="D2193" t="str">
        <f>VLOOKUP(H2193,Produkt!$A$2:$B$5,2,FALSE)</f>
        <v>A</v>
      </c>
      <c r="H2193">
        <v>1</v>
      </c>
      <c r="I2193">
        <v>0.62113425925925925</v>
      </c>
      <c r="J2193">
        <v>44775</v>
      </c>
    </row>
    <row r="2194" spans="1:10" x14ac:dyDescent="0.35">
      <c r="A2194" s="2">
        <v>44780</v>
      </c>
      <c r="B2194" s="3">
        <v>0.82284722222222229</v>
      </c>
      <c r="C2194">
        <v>7856</v>
      </c>
      <c r="D2194" t="str">
        <f>VLOOKUP(H2194,Produkt!$A$2:$B$5,2,FALSE)</f>
        <v>D</v>
      </c>
      <c r="H2194">
        <v>4</v>
      </c>
      <c r="I2194">
        <v>1.6018518518518519E-2</v>
      </c>
      <c r="J2194">
        <v>44777</v>
      </c>
    </row>
    <row r="2195" spans="1:10" x14ac:dyDescent="0.35">
      <c r="A2195" s="2">
        <v>44780</v>
      </c>
      <c r="B2195" s="3">
        <v>0.25134259259259256</v>
      </c>
      <c r="C2195">
        <v>7857</v>
      </c>
      <c r="D2195" t="str">
        <f>VLOOKUP(H2195,Produkt!$A$2:$B$5,2,FALSE)</f>
        <v>C</v>
      </c>
      <c r="H2195">
        <v>3</v>
      </c>
      <c r="I2195">
        <v>1.8263888888888857E-2</v>
      </c>
      <c r="J2195">
        <v>44774</v>
      </c>
    </row>
    <row r="2196" spans="1:10" x14ac:dyDescent="0.35">
      <c r="A2196" s="2">
        <v>44780</v>
      </c>
      <c r="B2196" s="3">
        <v>0.82251157407407405</v>
      </c>
      <c r="C2196">
        <v>7884</v>
      </c>
      <c r="D2196" t="str">
        <f>VLOOKUP(H2196,Produkt!$A$2:$B$5,2,FALSE)</f>
        <v>C</v>
      </c>
      <c r="H2196">
        <v>3</v>
      </c>
      <c r="I2196">
        <v>2.8240740740740739E-3</v>
      </c>
      <c r="J2196">
        <v>44800</v>
      </c>
    </row>
    <row r="2197" spans="1:10" x14ac:dyDescent="0.35">
      <c r="A2197" s="2">
        <v>44780</v>
      </c>
      <c r="B2197" s="3">
        <v>0.68577546296296299</v>
      </c>
      <c r="C2197">
        <v>7885</v>
      </c>
      <c r="D2197" t="str">
        <f>VLOOKUP(H2197,Produkt!$A$2:$B$5,2,FALSE)</f>
        <v>B</v>
      </c>
      <c r="H2197">
        <v>2</v>
      </c>
      <c r="I2197">
        <v>0.62282407407407414</v>
      </c>
      <c r="J2197">
        <v>44786</v>
      </c>
    </row>
    <row r="2198" spans="1:10" x14ac:dyDescent="0.35">
      <c r="A2198" s="2">
        <v>44780</v>
      </c>
      <c r="B2198" s="3">
        <v>0.10038194444444444</v>
      </c>
      <c r="C2198">
        <v>7893</v>
      </c>
      <c r="D2198" t="str">
        <f>VLOOKUP(H2198,Produkt!$A$2:$B$5,2,FALSE)</f>
        <v>D</v>
      </c>
      <c r="H2198">
        <v>4</v>
      </c>
      <c r="I2198">
        <v>0.63231481481481489</v>
      </c>
      <c r="J2198">
        <v>44777</v>
      </c>
    </row>
    <row r="2199" spans="1:10" x14ac:dyDescent="0.35">
      <c r="A2199" s="2">
        <v>44780</v>
      </c>
      <c r="B2199" s="3">
        <v>0.39159722222222221</v>
      </c>
      <c r="C2199">
        <v>7911</v>
      </c>
      <c r="D2199" t="str">
        <f>VLOOKUP(H2199,Produkt!$A$2:$B$5,2,FALSE)</f>
        <v>D</v>
      </c>
      <c r="H2199">
        <v>4</v>
      </c>
      <c r="I2199">
        <v>0.51996527777777779</v>
      </c>
      <c r="J2199">
        <v>44798</v>
      </c>
    </row>
    <row r="2200" spans="1:10" x14ac:dyDescent="0.35">
      <c r="A2200" s="2">
        <v>44780</v>
      </c>
      <c r="B2200" s="3">
        <v>0.34206018518518522</v>
      </c>
      <c r="C2200">
        <v>7916</v>
      </c>
      <c r="D2200" t="str">
        <f>VLOOKUP(H2200,Produkt!$A$2:$B$5,2,FALSE)</f>
        <v>A</v>
      </c>
      <c r="H2200">
        <v>1</v>
      </c>
      <c r="I2200">
        <v>0.43063657407407407</v>
      </c>
      <c r="J2200">
        <v>44793</v>
      </c>
    </row>
    <row r="2201" spans="1:10" x14ac:dyDescent="0.35">
      <c r="A2201" s="2">
        <v>44780</v>
      </c>
      <c r="B2201" s="3">
        <v>9.8969907407407409E-2</v>
      </c>
      <c r="C2201">
        <v>7918</v>
      </c>
      <c r="D2201" t="str">
        <f>VLOOKUP(H2201,Produkt!$A$2:$B$5,2,FALSE)</f>
        <v>C</v>
      </c>
      <c r="H2201">
        <v>3</v>
      </c>
      <c r="I2201">
        <v>4.1689814814814818E-2</v>
      </c>
      <c r="J2201">
        <v>44780</v>
      </c>
    </row>
    <row r="2202" spans="1:10" x14ac:dyDescent="0.35">
      <c r="A2202" s="2">
        <v>44780</v>
      </c>
      <c r="B2202" s="3">
        <v>0.47957175925925927</v>
      </c>
      <c r="C2202">
        <v>8008</v>
      </c>
      <c r="D2202" t="str">
        <f>VLOOKUP(H2202,Produkt!$A$2:$B$5,2,FALSE)</f>
        <v>B</v>
      </c>
      <c r="H2202">
        <v>2</v>
      </c>
      <c r="I2202">
        <v>4.0868055555555553E-2</v>
      </c>
      <c r="J2202">
        <v>44803</v>
      </c>
    </row>
    <row r="2203" spans="1:10" x14ac:dyDescent="0.35">
      <c r="A2203" s="2">
        <v>44780</v>
      </c>
      <c r="B2203" s="3">
        <v>4.3969907407407409E-2</v>
      </c>
      <c r="C2203">
        <v>8032</v>
      </c>
      <c r="D2203" t="str">
        <f>VLOOKUP(H2203,Produkt!$A$2:$B$5,2,FALSE)</f>
        <v>D</v>
      </c>
      <c r="H2203">
        <v>4</v>
      </c>
      <c r="I2203">
        <v>0.40771990740740738</v>
      </c>
      <c r="J2203">
        <v>44785</v>
      </c>
    </row>
    <row r="2204" spans="1:10" x14ac:dyDescent="0.35">
      <c r="A2204" s="2">
        <v>44780</v>
      </c>
      <c r="B2204" s="3">
        <v>0.14822916666666666</v>
      </c>
      <c r="C2204">
        <v>8036</v>
      </c>
      <c r="D2204" t="str">
        <f>VLOOKUP(H2204,Produkt!$A$2:$B$5,2,FALSE)</f>
        <v>D</v>
      </c>
      <c r="H2204">
        <v>4</v>
      </c>
      <c r="I2204">
        <v>0.77120370370370372</v>
      </c>
      <c r="J2204">
        <v>44792</v>
      </c>
    </row>
    <row r="2205" spans="1:10" x14ac:dyDescent="0.35">
      <c r="A2205" s="2">
        <v>44780</v>
      </c>
      <c r="B2205" s="3">
        <v>0.58428240740740744</v>
      </c>
      <c r="C2205">
        <v>8089</v>
      </c>
      <c r="D2205" t="str">
        <f>VLOOKUP(H2205,Produkt!$A$2:$B$5,2,FALSE)</f>
        <v>C</v>
      </c>
      <c r="H2205">
        <v>3</v>
      </c>
      <c r="I2205">
        <v>0.76280092592592597</v>
      </c>
      <c r="J2205">
        <v>44785</v>
      </c>
    </row>
    <row r="2206" spans="1:10" x14ac:dyDescent="0.35">
      <c r="A2206" s="2">
        <v>44780</v>
      </c>
      <c r="B2206" s="3">
        <v>0.20317129629629629</v>
      </c>
      <c r="C2206">
        <v>8179</v>
      </c>
      <c r="D2206" t="str">
        <f>VLOOKUP(H2206,Produkt!$A$2:$B$5,2,FALSE)</f>
        <v>B</v>
      </c>
      <c r="H2206">
        <v>2</v>
      </c>
      <c r="I2206">
        <v>0.85175925925925933</v>
      </c>
      <c r="J2206">
        <v>44781</v>
      </c>
    </row>
    <row r="2207" spans="1:10" x14ac:dyDescent="0.35">
      <c r="A2207" s="2">
        <v>44780</v>
      </c>
      <c r="B2207" s="3">
        <v>0.12807870370370369</v>
      </c>
      <c r="C2207">
        <v>8183</v>
      </c>
      <c r="D2207" t="str">
        <f>VLOOKUP(H2207,Produkt!$A$2:$B$5,2,FALSE)</f>
        <v>B</v>
      </c>
      <c r="H2207">
        <v>2</v>
      </c>
      <c r="I2207">
        <v>8.627314814814814E-2</v>
      </c>
      <c r="J2207">
        <v>44775</v>
      </c>
    </row>
    <row r="2208" spans="1:10" x14ac:dyDescent="0.35">
      <c r="A2208" s="2">
        <v>44780</v>
      </c>
      <c r="B2208" s="3">
        <v>0.1653240740740741</v>
      </c>
      <c r="C2208">
        <v>8184</v>
      </c>
      <c r="D2208" t="str">
        <f>VLOOKUP(H2208,Produkt!$A$2:$B$5,2,FALSE)</f>
        <v>C</v>
      </c>
      <c r="H2208">
        <v>3</v>
      </c>
      <c r="I2208">
        <v>0.32395833333333335</v>
      </c>
      <c r="J2208">
        <v>44794</v>
      </c>
    </row>
    <row r="2209" spans="1:10" x14ac:dyDescent="0.35">
      <c r="A2209" s="2">
        <v>44780</v>
      </c>
      <c r="B2209" s="3">
        <v>2.0868055555555598E-2</v>
      </c>
      <c r="C2209">
        <v>8260</v>
      </c>
      <c r="D2209" t="str">
        <f>VLOOKUP(H2209,Produkt!$A$2:$B$5,2,FALSE)</f>
        <v>C</v>
      </c>
      <c r="H2209">
        <v>3</v>
      </c>
      <c r="I2209">
        <v>0.96343749999999995</v>
      </c>
      <c r="J2209">
        <v>44791</v>
      </c>
    </row>
    <row r="2210" spans="1:10" x14ac:dyDescent="0.35">
      <c r="A2210" s="2">
        <v>44780</v>
      </c>
      <c r="B2210" s="3">
        <v>0.78843750000000001</v>
      </c>
      <c r="C2210">
        <v>8272</v>
      </c>
      <c r="D2210" t="str">
        <f>VLOOKUP(H2210,Produkt!$A$2:$B$5,2,FALSE)</f>
        <v>D</v>
      </c>
      <c r="H2210">
        <v>4</v>
      </c>
      <c r="I2210">
        <v>6.4398148148148149E-2</v>
      </c>
      <c r="J2210">
        <v>44783</v>
      </c>
    </row>
    <row r="2211" spans="1:10" x14ac:dyDescent="0.35">
      <c r="A2211" s="2">
        <v>44780</v>
      </c>
      <c r="B2211" s="3">
        <v>1.9490740740740753E-2</v>
      </c>
      <c r="C2211">
        <v>8275</v>
      </c>
      <c r="D2211" t="str">
        <f>VLOOKUP(H2211,Produkt!$A$2:$B$5,2,FALSE)</f>
        <v>B</v>
      </c>
      <c r="H2211">
        <v>2</v>
      </c>
      <c r="I2211">
        <v>0.43163194444444447</v>
      </c>
      <c r="J2211">
        <v>44786</v>
      </c>
    </row>
    <row r="2212" spans="1:10" x14ac:dyDescent="0.35">
      <c r="A2212" s="2">
        <v>44780</v>
      </c>
      <c r="B2212" s="3">
        <v>0.80322916666666666</v>
      </c>
      <c r="C2212">
        <v>8303</v>
      </c>
      <c r="D2212" t="str">
        <f>VLOOKUP(H2212,Produkt!$A$2:$B$5,2,FALSE)</f>
        <v>A</v>
      </c>
      <c r="H2212">
        <v>1</v>
      </c>
      <c r="I2212">
        <v>0.83138888888888884</v>
      </c>
      <c r="J2212">
        <v>44799</v>
      </c>
    </row>
    <row r="2213" spans="1:10" x14ac:dyDescent="0.35">
      <c r="A2213" s="2">
        <v>44780</v>
      </c>
      <c r="B2213" s="3">
        <v>0.22792824074074072</v>
      </c>
      <c r="C2213">
        <v>8310</v>
      </c>
      <c r="D2213" t="str">
        <f>VLOOKUP(H2213,Produkt!$A$2:$B$5,2,FALSE)</f>
        <v>A</v>
      </c>
      <c r="H2213">
        <v>1</v>
      </c>
      <c r="I2213">
        <v>0.37252314814814813</v>
      </c>
      <c r="J2213">
        <v>44782</v>
      </c>
    </row>
    <row r="2214" spans="1:10" x14ac:dyDescent="0.35">
      <c r="A2214" s="2">
        <v>44780</v>
      </c>
      <c r="B2214" s="3">
        <v>2.6377314814814756E-2</v>
      </c>
      <c r="C2214">
        <v>8384</v>
      </c>
      <c r="D2214" t="str">
        <f>VLOOKUP(H2214,Produkt!$A$2:$B$5,2,FALSE)</f>
        <v>A</v>
      </c>
      <c r="H2214">
        <v>1</v>
      </c>
      <c r="I2214">
        <v>0.66505787037037034</v>
      </c>
      <c r="J2214">
        <v>44775</v>
      </c>
    </row>
    <row r="2215" spans="1:10" x14ac:dyDescent="0.35">
      <c r="A2215" s="2">
        <v>44780</v>
      </c>
      <c r="B2215" s="3">
        <v>0.53349537037037031</v>
      </c>
      <c r="C2215">
        <v>8430</v>
      </c>
      <c r="D2215" t="str">
        <f>VLOOKUP(H2215,Produkt!$A$2:$B$5,2,FALSE)</f>
        <v>B</v>
      </c>
      <c r="H2215">
        <v>2</v>
      </c>
      <c r="I2215">
        <v>0.92274305555555547</v>
      </c>
      <c r="J2215">
        <v>44790</v>
      </c>
    </row>
    <row r="2216" spans="1:10" x14ac:dyDescent="0.35">
      <c r="A2216" s="2">
        <v>44780</v>
      </c>
      <c r="B2216" s="3">
        <v>3.2870370370370367E-3</v>
      </c>
      <c r="C2216">
        <v>8456</v>
      </c>
      <c r="D2216" t="str">
        <f>VLOOKUP(H2216,Produkt!$A$2:$B$5,2,FALSE)</f>
        <v>C</v>
      </c>
      <c r="H2216">
        <v>3</v>
      </c>
      <c r="I2216">
        <v>0.83775462962962965</v>
      </c>
      <c r="J2216">
        <v>44802</v>
      </c>
    </row>
    <row r="2217" spans="1:10" x14ac:dyDescent="0.35">
      <c r="A2217" s="2">
        <v>44780</v>
      </c>
      <c r="B2217" s="3">
        <v>0.59780092592592593</v>
      </c>
      <c r="C2217">
        <v>8498</v>
      </c>
      <c r="D2217" t="str">
        <f>VLOOKUP(H2217,Produkt!$A$2:$B$5,2,FALSE)</f>
        <v>D</v>
      </c>
      <c r="H2217">
        <v>4</v>
      </c>
      <c r="I2217">
        <v>0.72807870370370376</v>
      </c>
      <c r="J2217">
        <v>44793</v>
      </c>
    </row>
    <row r="2218" spans="1:10" x14ac:dyDescent="0.35">
      <c r="A2218" s="2">
        <v>44780</v>
      </c>
      <c r="B2218" s="3">
        <v>0.67572916666666671</v>
      </c>
      <c r="C2218">
        <v>8506</v>
      </c>
      <c r="D2218" t="str">
        <f>VLOOKUP(H2218,Produkt!$A$2:$B$5,2,FALSE)</f>
        <v>C</v>
      </c>
      <c r="H2218">
        <v>3</v>
      </c>
      <c r="I2218">
        <v>0.77393518518518523</v>
      </c>
      <c r="J2218">
        <v>44801</v>
      </c>
    </row>
    <row r="2219" spans="1:10" x14ac:dyDescent="0.35">
      <c r="A2219" s="2">
        <v>44780</v>
      </c>
      <c r="B2219" s="3">
        <v>0.72075231481481483</v>
      </c>
      <c r="C2219">
        <v>8524</v>
      </c>
      <c r="D2219" t="str">
        <f>VLOOKUP(H2219,Produkt!$A$2:$B$5,2,FALSE)</f>
        <v>D</v>
      </c>
      <c r="H2219">
        <v>4</v>
      </c>
      <c r="I2219">
        <v>0.17413194444444444</v>
      </c>
      <c r="J2219">
        <v>44787</v>
      </c>
    </row>
    <row r="2220" spans="1:10" x14ac:dyDescent="0.35">
      <c r="A2220" s="2">
        <v>44780</v>
      </c>
      <c r="B2220" s="3">
        <v>0.61971064814814814</v>
      </c>
      <c r="C2220">
        <v>8621</v>
      </c>
      <c r="D2220" t="str">
        <f>VLOOKUP(H2220,Produkt!$A$2:$B$5,2,FALSE)</f>
        <v>A</v>
      </c>
      <c r="H2220">
        <v>1</v>
      </c>
      <c r="I2220">
        <v>0.80815972222222221</v>
      </c>
      <c r="J2220">
        <v>44786</v>
      </c>
    </row>
    <row r="2221" spans="1:10" x14ac:dyDescent="0.35">
      <c r="A2221" s="2">
        <v>44780</v>
      </c>
      <c r="B2221" s="3">
        <v>0.40629629629629632</v>
      </c>
      <c r="C2221">
        <v>8696</v>
      </c>
      <c r="D2221" t="str">
        <f>VLOOKUP(H2221,Produkt!$A$2:$B$5,2,FALSE)</f>
        <v>B</v>
      </c>
      <c r="H2221">
        <v>2</v>
      </c>
      <c r="I2221">
        <v>0.58787037037037038</v>
      </c>
      <c r="J2221">
        <v>44776</v>
      </c>
    </row>
    <row r="2222" spans="1:10" x14ac:dyDescent="0.35">
      <c r="A2222" s="2">
        <v>44780</v>
      </c>
      <c r="B2222" s="3">
        <v>3.0081018518518521E-2</v>
      </c>
      <c r="C2222">
        <v>8720</v>
      </c>
      <c r="D2222" t="str">
        <f>VLOOKUP(H2222,Produkt!$A$2:$B$5,2,FALSE)</f>
        <v>C</v>
      </c>
      <c r="H2222">
        <v>3</v>
      </c>
      <c r="I2222">
        <v>0.63563657407407403</v>
      </c>
      <c r="J2222">
        <v>44775</v>
      </c>
    </row>
    <row r="2223" spans="1:10" x14ac:dyDescent="0.35">
      <c r="A2223" s="2">
        <v>44780</v>
      </c>
      <c r="B2223" s="3">
        <v>5.7349537037037039E-2</v>
      </c>
      <c r="C2223">
        <v>8732</v>
      </c>
      <c r="D2223" t="str">
        <f>VLOOKUP(H2223,Produkt!$A$2:$B$5,2,FALSE)</f>
        <v>A</v>
      </c>
      <c r="H2223">
        <v>1</v>
      </c>
      <c r="I2223">
        <v>0.58143518518518522</v>
      </c>
      <c r="J2223">
        <v>44788</v>
      </c>
    </row>
    <row r="2224" spans="1:10" x14ac:dyDescent="0.35">
      <c r="A2224" s="2">
        <v>44780</v>
      </c>
      <c r="B2224" s="3">
        <v>0.91898148148148151</v>
      </c>
      <c r="C2224">
        <v>8760</v>
      </c>
      <c r="D2224" t="str">
        <f>VLOOKUP(H2224,Produkt!$A$2:$B$5,2,FALSE)</f>
        <v>C</v>
      </c>
      <c r="H2224">
        <v>3</v>
      </c>
      <c r="I2224">
        <v>0.29238425925925926</v>
      </c>
      <c r="J2224">
        <v>44800</v>
      </c>
    </row>
    <row r="2225" spans="1:10" x14ac:dyDescent="0.35">
      <c r="A2225" s="2">
        <v>44780</v>
      </c>
      <c r="B2225" s="3">
        <v>0.24185185185185185</v>
      </c>
      <c r="C2225">
        <v>8773</v>
      </c>
      <c r="D2225" t="str">
        <f>VLOOKUP(H2225,Produkt!$A$2:$B$5,2,FALSE)</f>
        <v>D</v>
      </c>
      <c r="H2225">
        <v>4</v>
      </c>
      <c r="I2225">
        <v>0.39812500000000001</v>
      </c>
      <c r="J2225">
        <v>44786</v>
      </c>
    </row>
    <row r="2226" spans="1:10" x14ac:dyDescent="0.35">
      <c r="A2226" s="2">
        <v>44780</v>
      </c>
      <c r="B2226" s="3">
        <v>0.32498842592592592</v>
      </c>
      <c r="C2226">
        <v>8802</v>
      </c>
      <c r="D2226" t="str">
        <f>VLOOKUP(H2226,Produkt!$A$2:$B$5,2,FALSE)</f>
        <v>D</v>
      </c>
      <c r="H2226">
        <v>4</v>
      </c>
      <c r="I2226">
        <v>0.52708333333333335</v>
      </c>
      <c r="J2226">
        <v>44797</v>
      </c>
    </row>
    <row r="2227" spans="1:10" x14ac:dyDescent="0.35">
      <c r="A2227" s="2">
        <v>44780</v>
      </c>
      <c r="B2227" s="3">
        <v>0.44017361111111114</v>
      </c>
      <c r="C2227">
        <v>8817</v>
      </c>
      <c r="D2227" t="str">
        <f>VLOOKUP(H2227,Produkt!$A$2:$B$5,2,FALSE)</f>
        <v>C</v>
      </c>
      <c r="H2227">
        <v>3</v>
      </c>
      <c r="I2227">
        <v>0.61269675925925926</v>
      </c>
      <c r="J2227">
        <v>44778</v>
      </c>
    </row>
    <row r="2228" spans="1:10" x14ac:dyDescent="0.35">
      <c r="A2228" s="2">
        <v>44780</v>
      </c>
      <c r="B2228" s="3">
        <v>9.1655092592592594E-2</v>
      </c>
      <c r="C2228">
        <v>8846</v>
      </c>
      <c r="D2228" t="str">
        <f>VLOOKUP(H2228,Produkt!$A$2:$B$5,2,FALSE)</f>
        <v>C</v>
      </c>
      <c r="H2228">
        <v>3</v>
      </c>
      <c r="I2228">
        <v>0.30038194444444444</v>
      </c>
      <c r="J2228">
        <v>44801</v>
      </c>
    </row>
    <row r="2229" spans="1:10" x14ac:dyDescent="0.35">
      <c r="A2229" s="2">
        <v>44780</v>
      </c>
      <c r="B2229" s="3">
        <v>0.69256944444444446</v>
      </c>
      <c r="C2229">
        <v>8849</v>
      </c>
      <c r="D2229" t="str">
        <f>VLOOKUP(H2229,Produkt!$A$2:$B$5,2,FALSE)</f>
        <v>A</v>
      </c>
      <c r="H2229">
        <v>1</v>
      </c>
      <c r="I2229">
        <v>0.66765046296296304</v>
      </c>
      <c r="J2229">
        <v>44791</v>
      </c>
    </row>
    <row r="2230" spans="1:10" x14ac:dyDescent="0.35">
      <c r="A2230" s="2">
        <v>44780</v>
      </c>
      <c r="B2230" s="3">
        <v>0.16231481481481483</v>
      </c>
      <c r="C2230">
        <v>8862</v>
      </c>
      <c r="D2230" t="str">
        <f>VLOOKUP(H2230,Produkt!$A$2:$B$5,2,FALSE)</f>
        <v>C</v>
      </c>
      <c r="H2230">
        <v>3</v>
      </c>
      <c r="I2230">
        <v>0.8830324074074074</v>
      </c>
      <c r="J2230">
        <v>44777</v>
      </c>
    </row>
    <row r="2231" spans="1:10" x14ac:dyDescent="0.35">
      <c r="A2231" s="2">
        <v>44780</v>
      </c>
      <c r="B2231" s="3">
        <v>4.6527777777777779E-2</v>
      </c>
      <c r="C2231">
        <v>8885</v>
      </c>
      <c r="D2231" t="str">
        <f>VLOOKUP(H2231,Produkt!$A$2:$B$5,2,FALSE)</f>
        <v>A</v>
      </c>
      <c r="H2231">
        <v>1</v>
      </c>
      <c r="I2231">
        <v>0.27478009259259256</v>
      </c>
      <c r="J2231">
        <v>44775</v>
      </c>
    </row>
    <row r="2232" spans="1:10" x14ac:dyDescent="0.35">
      <c r="A2232" s="2">
        <v>44780</v>
      </c>
      <c r="B2232" s="3">
        <v>0.55629629629629629</v>
      </c>
      <c r="C2232">
        <v>8925</v>
      </c>
      <c r="D2232" t="str">
        <f>VLOOKUP(H2232,Produkt!$A$2:$B$5,2,FALSE)</f>
        <v>D</v>
      </c>
      <c r="H2232">
        <v>4</v>
      </c>
      <c r="I2232">
        <v>0.87893518518518521</v>
      </c>
      <c r="J2232">
        <v>44777</v>
      </c>
    </row>
    <row r="2233" spans="1:10" x14ac:dyDescent="0.35">
      <c r="A2233" s="2">
        <v>44780</v>
      </c>
      <c r="B2233" s="3">
        <v>0.39733796296296298</v>
      </c>
      <c r="C2233">
        <v>8982</v>
      </c>
      <c r="D2233" t="str">
        <f>VLOOKUP(H2233,Produkt!$A$2:$B$5,2,FALSE)</f>
        <v>A</v>
      </c>
      <c r="H2233">
        <v>1</v>
      </c>
      <c r="I2233">
        <v>2.1585648148148229E-2</v>
      </c>
      <c r="J2233">
        <v>44802</v>
      </c>
    </row>
    <row r="2234" spans="1:10" x14ac:dyDescent="0.35">
      <c r="A2234" s="2">
        <v>44780</v>
      </c>
      <c r="B2234" s="3">
        <v>0.52835648148148151</v>
      </c>
      <c r="C2234">
        <v>8996</v>
      </c>
      <c r="D2234" t="str">
        <f>VLOOKUP(H2234,Produkt!$A$2:$B$5,2,FALSE)</f>
        <v>B</v>
      </c>
      <c r="H2234">
        <v>2</v>
      </c>
      <c r="I2234">
        <v>1.042824074074078E-2</v>
      </c>
      <c r="J2234">
        <v>44795</v>
      </c>
    </row>
    <row r="2235" spans="1:10" x14ac:dyDescent="0.35">
      <c r="A2235" s="2">
        <v>44780</v>
      </c>
      <c r="B2235" s="3">
        <v>0.91813657407407412</v>
      </c>
      <c r="C2235">
        <v>9001</v>
      </c>
      <c r="D2235" t="str">
        <f>VLOOKUP(H2235,Produkt!$A$2:$B$5,2,FALSE)</f>
        <v>D</v>
      </c>
      <c r="H2235">
        <v>4</v>
      </c>
      <c r="I2235">
        <v>0.44718750000000002</v>
      </c>
      <c r="J2235">
        <v>44800</v>
      </c>
    </row>
    <row r="2236" spans="1:10" x14ac:dyDescent="0.35">
      <c r="A2236" s="2">
        <v>44780</v>
      </c>
      <c r="B2236" s="3">
        <v>0.33353009259259259</v>
      </c>
      <c r="C2236">
        <v>9031</v>
      </c>
      <c r="D2236" t="str">
        <f>VLOOKUP(H2236,Produkt!$A$2:$B$5,2,FALSE)</f>
        <v>B</v>
      </c>
      <c r="H2236">
        <v>2</v>
      </c>
      <c r="I2236">
        <v>0.35368055555555555</v>
      </c>
      <c r="J2236">
        <v>44791</v>
      </c>
    </row>
    <row r="2237" spans="1:10" x14ac:dyDescent="0.35">
      <c r="A2237" s="2">
        <v>44780</v>
      </c>
      <c r="B2237" s="3">
        <v>0.47688657407407403</v>
      </c>
      <c r="C2237">
        <v>9055</v>
      </c>
      <c r="D2237" t="str">
        <f>VLOOKUP(H2237,Produkt!$A$2:$B$5,2,FALSE)</f>
        <v>A</v>
      </c>
      <c r="H2237">
        <v>1</v>
      </c>
      <c r="I2237">
        <v>0.21927083333333333</v>
      </c>
      <c r="J2237">
        <v>44793</v>
      </c>
    </row>
    <row r="2238" spans="1:10" x14ac:dyDescent="0.35">
      <c r="A2238" s="2">
        <v>44780</v>
      </c>
      <c r="B2238" s="3">
        <v>0.38498842592592591</v>
      </c>
      <c r="C2238">
        <v>9058</v>
      </c>
      <c r="D2238" t="str">
        <f>VLOOKUP(H2238,Produkt!$A$2:$B$5,2,FALSE)</f>
        <v>B</v>
      </c>
      <c r="H2238">
        <v>2</v>
      </c>
      <c r="I2238">
        <v>5.1249999999999997E-2</v>
      </c>
      <c r="J2238">
        <v>44780</v>
      </c>
    </row>
    <row r="2239" spans="1:10" x14ac:dyDescent="0.35">
      <c r="A2239" s="2">
        <v>44780</v>
      </c>
      <c r="B2239" s="3">
        <v>0.16777777777777778</v>
      </c>
      <c r="C2239">
        <v>9067</v>
      </c>
      <c r="D2239" t="str">
        <f>VLOOKUP(H2239,Produkt!$A$2:$B$5,2,FALSE)</f>
        <v>B</v>
      </c>
      <c r="H2239">
        <v>2</v>
      </c>
      <c r="I2239">
        <v>0.26348379629629631</v>
      </c>
      <c r="J2239">
        <v>44795</v>
      </c>
    </row>
    <row r="2240" spans="1:10" x14ac:dyDescent="0.35">
      <c r="A2240" s="2">
        <v>44780</v>
      </c>
      <c r="B2240" s="3">
        <v>0.2020949074074074</v>
      </c>
      <c r="C2240">
        <v>9118</v>
      </c>
      <c r="D2240" t="str">
        <f>VLOOKUP(H2240,Produkt!$A$2:$B$5,2,FALSE)</f>
        <v>B</v>
      </c>
      <c r="H2240">
        <v>2</v>
      </c>
      <c r="I2240">
        <v>0.19135416666666669</v>
      </c>
      <c r="J2240">
        <v>44782</v>
      </c>
    </row>
    <row r="2241" spans="1:10" x14ac:dyDescent="0.35">
      <c r="A2241" s="2">
        <v>44780</v>
      </c>
      <c r="B2241" s="3">
        <v>0.94429398148148147</v>
      </c>
      <c r="C2241">
        <v>9121</v>
      </c>
      <c r="D2241" t="str">
        <f>VLOOKUP(H2241,Produkt!$A$2:$B$5,2,FALSE)</f>
        <v>B</v>
      </c>
      <c r="H2241">
        <v>2</v>
      </c>
      <c r="I2241">
        <v>2.1793981481481373E-2</v>
      </c>
      <c r="J2241">
        <v>44777</v>
      </c>
    </row>
    <row r="2242" spans="1:10" x14ac:dyDescent="0.35">
      <c r="A2242" s="2">
        <v>44780</v>
      </c>
      <c r="B2242" s="3">
        <v>0.8416203703703703</v>
      </c>
      <c r="C2242">
        <v>9133</v>
      </c>
      <c r="D2242" t="str">
        <f>VLOOKUP(H2242,Produkt!$A$2:$B$5,2,FALSE)</f>
        <v>B</v>
      </c>
      <c r="H2242">
        <v>2</v>
      </c>
      <c r="I2242">
        <v>0.7966550925925926</v>
      </c>
      <c r="J2242">
        <v>44785</v>
      </c>
    </row>
    <row r="2243" spans="1:10" x14ac:dyDescent="0.35">
      <c r="A2243" s="2">
        <v>44780</v>
      </c>
      <c r="B2243" s="3">
        <v>0.63263888888888886</v>
      </c>
      <c r="C2243">
        <v>9141</v>
      </c>
      <c r="D2243" t="str">
        <f>VLOOKUP(H2243,Produkt!$A$2:$B$5,2,FALSE)</f>
        <v>B</v>
      </c>
      <c r="H2243">
        <v>2</v>
      </c>
      <c r="I2243">
        <v>0.34099537037037037</v>
      </c>
      <c r="J2243">
        <v>44779</v>
      </c>
    </row>
    <row r="2244" spans="1:10" x14ac:dyDescent="0.35">
      <c r="A2244" s="2">
        <v>44780</v>
      </c>
      <c r="B2244" s="3">
        <v>6.4618055555555554E-2</v>
      </c>
      <c r="C2244">
        <v>9167</v>
      </c>
      <c r="D2244" t="str">
        <f>VLOOKUP(H2244,Produkt!$A$2:$B$5,2,FALSE)</f>
        <v>B</v>
      </c>
      <c r="H2244">
        <v>2</v>
      </c>
      <c r="I2244">
        <v>0.74283564814814806</v>
      </c>
      <c r="J2244">
        <v>44781</v>
      </c>
    </row>
    <row r="2245" spans="1:10" x14ac:dyDescent="0.35">
      <c r="A2245" s="2">
        <v>44780</v>
      </c>
      <c r="B2245" s="3">
        <v>0.15155092592592592</v>
      </c>
      <c r="C2245">
        <v>9183</v>
      </c>
      <c r="D2245" t="str">
        <f>VLOOKUP(H2245,Produkt!$A$2:$B$5,2,FALSE)</f>
        <v>A</v>
      </c>
      <c r="H2245">
        <v>1</v>
      </c>
      <c r="I2245">
        <v>0.64229166666666659</v>
      </c>
      <c r="J2245">
        <v>44778</v>
      </c>
    </row>
    <row r="2246" spans="1:10" x14ac:dyDescent="0.35">
      <c r="A2246" s="2">
        <v>44780</v>
      </c>
      <c r="B2246" s="3">
        <v>0.40825231481481478</v>
      </c>
      <c r="C2246">
        <v>9203</v>
      </c>
      <c r="D2246" t="str">
        <f>VLOOKUP(H2246,Produkt!$A$2:$B$5,2,FALSE)</f>
        <v>B</v>
      </c>
      <c r="H2246">
        <v>2</v>
      </c>
      <c r="I2246">
        <v>0.21398148148148147</v>
      </c>
      <c r="J2246">
        <v>44789</v>
      </c>
    </row>
    <row r="2247" spans="1:10" x14ac:dyDescent="0.35">
      <c r="A2247" s="2">
        <v>44780</v>
      </c>
      <c r="B2247" s="3">
        <v>0.10335648148148148</v>
      </c>
      <c r="C2247">
        <v>9226</v>
      </c>
      <c r="D2247" t="str">
        <f>VLOOKUP(H2247,Produkt!$A$2:$B$5,2,FALSE)</f>
        <v>B</v>
      </c>
      <c r="H2247">
        <v>2</v>
      </c>
      <c r="I2247">
        <v>0.29815972222222226</v>
      </c>
      <c r="J2247">
        <v>44790</v>
      </c>
    </row>
    <row r="2248" spans="1:10" x14ac:dyDescent="0.35">
      <c r="A2248" s="2">
        <v>44780</v>
      </c>
      <c r="B2248" s="3">
        <v>0.49677083333333333</v>
      </c>
      <c r="C2248">
        <v>9298</v>
      </c>
      <c r="D2248" t="str">
        <f>VLOOKUP(H2248,Produkt!$A$2:$B$5,2,FALSE)</f>
        <v>D</v>
      </c>
      <c r="H2248">
        <v>4</v>
      </c>
      <c r="I2248">
        <v>0.48533564814814811</v>
      </c>
      <c r="J2248">
        <v>44794</v>
      </c>
    </row>
    <row r="2249" spans="1:10" x14ac:dyDescent="0.35">
      <c r="A2249" s="2">
        <v>44780</v>
      </c>
      <c r="B2249" s="3">
        <v>0.20758101851851851</v>
      </c>
      <c r="C2249">
        <v>9324</v>
      </c>
      <c r="D2249" t="str">
        <f>VLOOKUP(H2249,Produkt!$A$2:$B$5,2,FALSE)</f>
        <v>C</v>
      </c>
      <c r="H2249">
        <v>3</v>
      </c>
      <c r="I2249">
        <v>0.15658564814814815</v>
      </c>
      <c r="J2249">
        <v>44801</v>
      </c>
    </row>
    <row r="2250" spans="1:10" x14ac:dyDescent="0.35">
      <c r="A2250" s="2">
        <v>44780</v>
      </c>
      <c r="B2250" s="3">
        <v>0.35518518518518521</v>
      </c>
      <c r="C2250">
        <v>9338</v>
      </c>
      <c r="D2250" t="str">
        <f>VLOOKUP(H2250,Produkt!$A$2:$B$5,2,FALSE)</f>
        <v>A</v>
      </c>
      <c r="H2250">
        <v>1</v>
      </c>
      <c r="I2250">
        <v>0.59881944444444446</v>
      </c>
      <c r="J2250">
        <v>44799</v>
      </c>
    </row>
    <row r="2251" spans="1:10" x14ac:dyDescent="0.35">
      <c r="A2251" s="2">
        <v>44780</v>
      </c>
      <c r="B2251" s="3">
        <v>0.69695601851851852</v>
      </c>
      <c r="C2251">
        <v>9399</v>
      </c>
      <c r="D2251" t="str">
        <f>VLOOKUP(H2251,Produkt!$A$2:$B$5,2,FALSE)</f>
        <v>B</v>
      </c>
      <c r="H2251">
        <v>2</v>
      </c>
      <c r="I2251">
        <v>0.21085648148148148</v>
      </c>
      <c r="J2251">
        <v>44782</v>
      </c>
    </row>
    <row r="2252" spans="1:10" x14ac:dyDescent="0.35">
      <c r="A2252" s="2">
        <v>44780</v>
      </c>
      <c r="B2252" s="3">
        <v>0.98608796296296297</v>
      </c>
      <c r="C2252">
        <v>9406</v>
      </c>
      <c r="D2252" t="str">
        <f>VLOOKUP(H2252,Produkt!$A$2:$B$5,2,FALSE)</f>
        <v>C</v>
      </c>
      <c r="H2252">
        <v>3</v>
      </c>
      <c r="I2252">
        <v>3.4953703703703987E-3</v>
      </c>
      <c r="J2252">
        <v>44794</v>
      </c>
    </row>
    <row r="2253" spans="1:10" x14ac:dyDescent="0.35">
      <c r="A2253" s="2">
        <v>44780</v>
      </c>
      <c r="B2253" s="3">
        <v>0.89708333333333334</v>
      </c>
      <c r="C2253">
        <v>9407</v>
      </c>
      <c r="D2253" t="str">
        <f>VLOOKUP(H2253,Produkt!$A$2:$B$5,2,FALSE)</f>
        <v>D</v>
      </c>
      <c r="H2253">
        <v>4</v>
      </c>
      <c r="I2253">
        <v>0.51697916666666666</v>
      </c>
      <c r="J2253">
        <v>44786</v>
      </c>
    </row>
    <row r="2254" spans="1:10" x14ac:dyDescent="0.35">
      <c r="A2254" s="2">
        <v>44780</v>
      </c>
      <c r="B2254" s="3">
        <v>0.51153935185185184</v>
      </c>
      <c r="C2254">
        <v>9438</v>
      </c>
      <c r="D2254" t="str">
        <f>VLOOKUP(H2254,Produkt!$A$2:$B$5,2,FALSE)</f>
        <v>C</v>
      </c>
      <c r="H2254">
        <v>3</v>
      </c>
      <c r="I2254">
        <v>0.67887731481481473</v>
      </c>
      <c r="J2254">
        <v>44774</v>
      </c>
    </row>
    <row r="2255" spans="1:10" x14ac:dyDescent="0.35">
      <c r="A2255" s="2">
        <v>44780</v>
      </c>
      <c r="B2255" s="3">
        <v>0.71355324074074078</v>
      </c>
      <c r="C2255">
        <v>9452</v>
      </c>
      <c r="D2255" t="str">
        <f>VLOOKUP(H2255,Produkt!$A$2:$B$5,2,FALSE)</f>
        <v>A</v>
      </c>
      <c r="H2255">
        <v>1</v>
      </c>
      <c r="I2255">
        <v>0.52945601851851853</v>
      </c>
      <c r="J2255">
        <v>44784</v>
      </c>
    </row>
    <row r="2256" spans="1:10" x14ac:dyDescent="0.35">
      <c r="A2256" s="2">
        <v>44780</v>
      </c>
      <c r="B2256" s="3">
        <v>0.5746296296296296</v>
      </c>
      <c r="C2256">
        <v>9567</v>
      </c>
      <c r="D2256" t="str">
        <f>VLOOKUP(H2256,Produkt!$A$2:$B$5,2,FALSE)</f>
        <v>B</v>
      </c>
      <c r="H2256">
        <v>2</v>
      </c>
      <c r="I2256">
        <v>0.66931712962962964</v>
      </c>
      <c r="J2256">
        <v>44787</v>
      </c>
    </row>
    <row r="2257" spans="1:10" x14ac:dyDescent="0.35">
      <c r="A2257" s="2">
        <v>44780</v>
      </c>
      <c r="B2257" s="3">
        <v>0.51702546296296303</v>
      </c>
      <c r="C2257">
        <v>9587</v>
      </c>
      <c r="D2257" t="str">
        <f>VLOOKUP(H2257,Produkt!$A$2:$B$5,2,FALSE)</f>
        <v>C</v>
      </c>
      <c r="H2257">
        <v>3</v>
      </c>
      <c r="I2257">
        <v>0.66912037037037031</v>
      </c>
      <c r="J2257">
        <v>44784</v>
      </c>
    </row>
    <row r="2258" spans="1:10" x14ac:dyDescent="0.35">
      <c r="A2258" s="2">
        <v>44780</v>
      </c>
      <c r="B2258" s="3">
        <v>0.64724537037037033</v>
      </c>
      <c r="C2258">
        <v>9721</v>
      </c>
      <c r="D2258" t="str">
        <f>VLOOKUP(H2258,Produkt!$A$2:$B$5,2,FALSE)</f>
        <v>D</v>
      </c>
      <c r="H2258">
        <v>4</v>
      </c>
      <c r="I2258">
        <v>0.45512731481481478</v>
      </c>
      <c r="J2258">
        <v>44800</v>
      </c>
    </row>
    <row r="2259" spans="1:10" x14ac:dyDescent="0.35">
      <c r="A2259" s="2">
        <v>44780</v>
      </c>
      <c r="B2259" s="3">
        <v>0.67918981481481477</v>
      </c>
      <c r="C2259">
        <v>9797</v>
      </c>
      <c r="D2259" t="str">
        <f>VLOOKUP(H2259,Produkt!$A$2:$B$5,2,FALSE)</f>
        <v>A</v>
      </c>
      <c r="H2259">
        <v>1</v>
      </c>
      <c r="I2259">
        <v>0.6688425925925926</v>
      </c>
      <c r="J2259">
        <v>44776</v>
      </c>
    </row>
    <row r="2260" spans="1:10" x14ac:dyDescent="0.35">
      <c r="A2260" s="2">
        <v>44780</v>
      </c>
      <c r="B2260" s="3">
        <v>0.26128472222222221</v>
      </c>
      <c r="C2260">
        <v>9860</v>
      </c>
      <c r="D2260" t="str">
        <f>VLOOKUP(H2260,Produkt!$A$2:$B$5,2,FALSE)</f>
        <v>D</v>
      </c>
      <c r="H2260">
        <v>4</v>
      </c>
      <c r="I2260">
        <v>0.5323148148148148</v>
      </c>
      <c r="J2260">
        <v>44786</v>
      </c>
    </row>
    <row r="2261" spans="1:10" x14ac:dyDescent="0.35">
      <c r="A2261" s="2">
        <v>44780</v>
      </c>
      <c r="B2261" s="3">
        <v>0.16086805555555556</v>
      </c>
      <c r="C2261">
        <v>9960</v>
      </c>
      <c r="D2261" t="str">
        <f>VLOOKUP(H2261,Produkt!$A$2:$B$5,2,FALSE)</f>
        <v>A</v>
      </c>
      <c r="H2261">
        <v>1</v>
      </c>
      <c r="I2261">
        <v>0.25923611111111111</v>
      </c>
      <c r="J2261">
        <v>44777</v>
      </c>
    </row>
    <row r="2262" spans="1:10" x14ac:dyDescent="0.35">
      <c r="A2262" s="2">
        <v>44780</v>
      </c>
      <c r="B2262" s="3">
        <v>5.740740740740824E-3</v>
      </c>
      <c r="C2262">
        <v>9970</v>
      </c>
      <c r="D2262" t="str">
        <f>VLOOKUP(H2262,Produkt!$A$2:$B$5,2,FALSE)</f>
        <v>D</v>
      </c>
      <c r="H2262">
        <v>4</v>
      </c>
      <c r="I2262">
        <v>0.90318287037037026</v>
      </c>
      <c r="J2262">
        <v>44778</v>
      </c>
    </row>
    <row r="2263" spans="1:10" x14ac:dyDescent="0.35">
      <c r="A2263" s="2">
        <v>44780</v>
      </c>
      <c r="B2263" s="3">
        <v>0.52123842592592595</v>
      </c>
      <c r="C2263">
        <v>9978</v>
      </c>
      <c r="D2263" t="str">
        <f>VLOOKUP(H2263,Produkt!$A$2:$B$5,2,FALSE)</f>
        <v>A</v>
      </c>
      <c r="H2263">
        <v>1</v>
      </c>
      <c r="I2263">
        <v>0.93365740740740744</v>
      </c>
      <c r="J2263">
        <v>44779</v>
      </c>
    </row>
    <row r="2264" spans="1:10" x14ac:dyDescent="0.35">
      <c r="A2264" s="2">
        <v>44781</v>
      </c>
      <c r="B2264" s="3">
        <v>0.44027777777777777</v>
      </c>
      <c r="C2264">
        <v>24</v>
      </c>
      <c r="D2264" t="str">
        <f>VLOOKUP(H2264,Produkt!$A$2:$B$5,2,FALSE)</f>
        <v>A</v>
      </c>
      <c r="H2264">
        <v>1</v>
      </c>
      <c r="I2264">
        <v>0.71083333333333332</v>
      </c>
      <c r="J2264">
        <v>44776</v>
      </c>
    </row>
    <row r="2265" spans="1:10" x14ac:dyDescent="0.35">
      <c r="A2265" s="2">
        <v>44781</v>
      </c>
      <c r="B2265" s="3">
        <v>0.30701388888888886</v>
      </c>
      <c r="C2265">
        <v>51</v>
      </c>
      <c r="D2265" t="str">
        <f>VLOOKUP(H2265,Produkt!$A$2:$B$5,2,FALSE)</f>
        <v>D</v>
      </c>
      <c r="H2265">
        <v>4</v>
      </c>
      <c r="I2265">
        <v>0.43339120370370371</v>
      </c>
      <c r="J2265">
        <v>44778</v>
      </c>
    </row>
    <row r="2266" spans="1:10" x14ac:dyDescent="0.35">
      <c r="A2266" s="2">
        <v>44781</v>
      </c>
      <c r="B2266" s="3">
        <v>6.6030092592592585E-2</v>
      </c>
      <c r="C2266">
        <v>134</v>
      </c>
      <c r="D2266" t="str">
        <f>VLOOKUP(H2266,Produkt!$A$2:$B$5,2,FALSE)</f>
        <v>B</v>
      </c>
      <c r="H2266">
        <v>2</v>
      </c>
      <c r="I2266">
        <v>0.40190972222222227</v>
      </c>
      <c r="J2266">
        <v>44795</v>
      </c>
    </row>
    <row r="2267" spans="1:10" x14ac:dyDescent="0.35">
      <c r="A2267" s="2">
        <v>44781</v>
      </c>
      <c r="B2267" s="3">
        <v>0.43640046296296298</v>
      </c>
      <c r="C2267">
        <v>170</v>
      </c>
      <c r="D2267" t="str">
        <f>VLOOKUP(H2267,Produkt!$A$2:$B$5,2,FALSE)</f>
        <v>D</v>
      </c>
      <c r="H2267">
        <v>4</v>
      </c>
      <c r="I2267">
        <v>7.6388888888888886E-3</v>
      </c>
      <c r="J2267">
        <v>44777</v>
      </c>
    </row>
    <row r="2268" spans="1:10" x14ac:dyDescent="0.35">
      <c r="A2268" s="2">
        <v>44781</v>
      </c>
      <c r="B2268" s="3">
        <v>0.81481481481481488</v>
      </c>
      <c r="C2268">
        <v>176</v>
      </c>
      <c r="D2268" t="str">
        <f>VLOOKUP(H2268,Produkt!$A$2:$B$5,2,FALSE)</f>
        <v>D</v>
      </c>
      <c r="H2268">
        <v>4</v>
      </c>
      <c r="I2268">
        <v>0.63688657407407401</v>
      </c>
      <c r="J2268">
        <v>44779</v>
      </c>
    </row>
    <row r="2269" spans="1:10" x14ac:dyDescent="0.35">
      <c r="A2269" s="2">
        <v>44781</v>
      </c>
      <c r="B2269" s="3">
        <v>0.69401620370370365</v>
      </c>
      <c r="C2269">
        <v>186</v>
      </c>
      <c r="D2269" t="str">
        <f>VLOOKUP(H2269,Produkt!$A$2:$B$5,2,FALSE)</f>
        <v>D</v>
      </c>
      <c r="H2269">
        <v>4</v>
      </c>
      <c r="I2269">
        <v>0.95726851851851846</v>
      </c>
      <c r="J2269">
        <v>44783</v>
      </c>
    </row>
    <row r="2270" spans="1:10" x14ac:dyDescent="0.35">
      <c r="A2270" s="2">
        <v>44781</v>
      </c>
      <c r="B2270" s="3">
        <v>0.58857638888888886</v>
      </c>
      <c r="C2270">
        <v>246</v>
      </c>
      <c r="D2270" t="str">
        <f>VLOOKUP(H2270,Produkt!$A$2:$B$5,2,FALSE)</f>
        <v>A</v>
      </c>
      <c r="H2270">
        <v>1</v>
      </c>
      <c r="I2270">
        <v>0.46064814814814814</v>
      </c>
      <c r="J2270">
        <v>44789</v>
      </c>
    </row>
    <row r="2271" spans="1:10" x14ac:dyDescent="0.35">
      <c r="A2271" s="2">
        <v>44781</v>
      </c>
      <c r="B2271" s="3">
        <v>0.33707175925925931</v>
      </c>
      <c r="C2271">
        <v>263</v>
      </c>
      <c r="D2271" t="str">
        <f>VLOOKUP(H2271,Produkt!$A$2:$B$5,2,FALSE)</f>
        <v>D</v>
      </c>
      <c r="H2271">
        <v>4</v>
      </c>
      <c r="I2271">
        <v>0.90851851851851861</v>
      </c>
      <c r="J2271">
        <v>44790</v>
      </c>
    </row>
    <row r="2272" spans="1:10" x14ac:dyDescent="0.35">
      <c r="A2272" s="2">
        <v>44781</v>
      </c>
      <c r="B2272" s="3">
        <v>2.9594907407407407E-2</v>
      </c>
      <c r="C2272">
        <v>353</v>
      </c>
      <c r="D2272" t="str">
        <f>VLOOKUP(H2272,Produkt!$A$2:$B$5,2,FALSE)</f>
        <v>B</v>
      </c>
      <c r="H2272">
        <v>2</v>
      </c>
      <c r="I2272">
        <v>0.3039236111111111</v>
      </c>
      <c r="J2272">
        <v>44787</v>
      </c>
    </row>
    <row r="2273" spans="1:10" x14ac:dyDescent="0.35">
      <c r="A2273" s="2">
        <v>44781</v>
      </c>
      <c r="B2273" s="3">
        <v>0.21899305555555557</v>
      </c>
      <c r="C2273">
        <v>369</v>
      </c>
      <c r="D2273" t="str">
        <f>VLOOKUP(H2273,Produkt!$A$2:$B$5,2,FALSE)</f>
        <v>C</v>
      </c>
      <c r="H2273">
        <v>3</v>
      </c>
      <c r="I2273">
        <v>0.11028935185185185</v>
      </c>
      <c r="J2273">
        <v>44787</v>
      </c>
    </row>
    <row r="2274" spans="1:10" x14ac:dyDescent="0.35">
      <c r="A2274" s="2">
        <v>44781</v>
      </c>
      <c r="B2274" s="3">
        <v>0.99383101851851852</v>
      </c>
      <c r="C2274">
        <v>412</v>
      </c>
      <c r="D2274" t="str">
        <f>VLOOKUP(H2274,Produkt!$A$2:$B$5,2,FALSE)</f>
        <v>D</v>
      </c>
      <c r="H2274">
        <v>4</v>
      </c>
      <c r="I2274">
        <v>0.59409722222222217</v>
      </c>
      <c r="J2274">
        <v>44804</v>
      </c>
    </row>
    <row r="2275" spans="1:10" x14ac:dyDescent="0.35">
      <c r="A2275" s="2">
        <v>44781</v>
      </c>
      <c r="B2275" s="3">
        <v>0.65075231481481477</v>
      </c>
      <c r="C2275">
        <v>423</v>
      </c>
      <c r="D2275" t="str">
        <f>VLOOKUP(H2275,Produkt!$A$2:$B$5,2,FALSE)</f>
        <v>D</v>
      </c>
      <c r="H2275">
        <v>4</v>
      </c>
      <c r="I2275">
        <v>0.78964120370370372</v>
      </c>
      <c r="J2275">
        <v>44791</v>
      </c>
    </row>
    <row r="2276" spans="1:10" x14ac:dyDescent="0.35">
      <c r="A2276" s="2">
        <v>44781</v>
      </c>
      <c r="B2276" s="3">
        <v>2.9861111111111113E-2</v>
      </c>
      <c r="C2276">
        <v>439</v>
      </c>
      <c r="D2276" t="str">
        <f>VLOOKUP(H2276,Produkt!$A$2:$B$5,2,FALSE)</f>
        <v>B</v>
      </c>
      <c r="H2276">
        <v>2</v>
      </c>
      <c r="I2276">
        <v>8.4976851851851845E-2</v>
      </c>
      <c r="J2276">
        <v>44776</v>
      </c>
    </row>
    <row r="2277" spans="1:10" x14ac:dyDescent="0.35">
      <c r="A2277" s="2">
        <v>44781</v>
      </c>
      <c r="B2277" s="3">
        <v>0.12534722222222222</v>
      </c>
      <c r="C2277">
        <v>497</v>
      </c>
      <c r="D2277" t="str">
        <f>VLOOKUP(H2277,Produkt!$A$2:$B$5,2,FALSE)</f>
        <v>C</v>
      </c>
      <c r="H2277">
        <v>3</v>
      </c>
      <c r="I2277">
        <v>0.37459490740740736</v>
      </c>
      <c r="J2277">
        <v>44783</v>
      </c>
    </row>
    <row r="2278" spans="1:10" x14ac:dyDescent="0.35">
      <c r="A2278" s="2">
        <v>44781</v>
      </c>
      <c r="B2278" s="3">
        <v>0.40687500000000004</v>
      </c>
      <c r="C2278">
        <v>508</v>
      </c>
      <c r="D2278" t="str">
        <f>VLOOKUP(H2278,Produkt!$A$2:$B$5,2,FALSE)</f>
        <v>D</v>
      </c>
      <c r="H2278">
        <v>4</v>
      </c>
      <c r="I2278">
        <v>0.19593749999999999</v>
      </c>
      <c r="J2278">
        <v>44787</v>
      </c>
    </row>
    <row r="2279" spans="1:10" x14ac:dyDescent="0.35">
      <c r="A2279" s="2">
        <v>44781</v>
      </c>
      <c r="B2279" s="3">
        <v>0.17052083333333334</v>
      </c>
      <c r="C2279">
        <v>521</v>
      </c>
      <c r="D2279" t="str">
        <f>VLOOKUP(H2279,Produkt!$A$2:$B$5,2,FALSE)</f>
        <v>C</v>
      </c>
      <c r="H2279">
        <v>3</v>
      </c>
      <c r="I2279">
        <v>0.99927083333333344</v>
      </c>
      <c r="J2279">
        <v>44787</v>
      </c>
    </row>
    <row r="2280" spans="1:10" x14ac:dyDescent="0.35">
      <c r="A2280" s="2">
        <v>44781</v>
      </c>
      <c r="B2280" s="3">
        <v>0.74653935185185183</v>
      </c>
      <c r="C2280">
        <v>559</v>
      </c>
      <c r="D2280" t="str">
        <f>VLOOKUP(H2280,Produkt!$A$2:$B$5,2,FALSE)</f>
        <v>C</v>
      </c>
      <c r="H2280">
        <v>3</v>
      </c>
      <c r="I2280">
        <v>0.21912037037037035</v>
      </c>
      <c r="J2280">
        <v>44782</v>
      </c>
    </row>
    <row r="2281" spans="1:10" x14ac:dyDescent="0.35">
      <c r="A2281" s="2">
        <v>44781</v>
      </c>
      <c r="B2281" s="3">
        <v>0.29821759259259256</v>
      </c>
      <c r="C2281">
        <v>588</v>
      </c>
      <c r="D2281" t="str">
        <f>VLOOKUP(H2281,Produkt!$A$2:$B$5,2,FALSE)</f>
        <v>B</v>
      </c>
      <c r="H2281">
        <v>2</v>
      </c>
      <c r="I2281">
        <v>0.85856481481481473</v>
      </c>
      <c r="J2281">
        <v>44794</v>
      </c>
    </row>
    <row r="2282" spans="1:10" x14ac:dyDescent="0.35">
      <c r="A2282" s="2">
        <v>44781</v>
      </c>
      <c r="B2282" s="3">
        <v>0.13614583333333333</v>
      </c>
      <c r="C2282">
        <v>599</v>
      </c>
      <c r="D2282" t="str">
        <f>VLOOKUP(H2282,Produkt!$A$2:$B$5,2,FALSE)</f>
        <v>C</v>
      </c>
      <c r="H2282">
        <v>3</v>
      </c>
      <c r="I2282">
        <v>7.5034722222222225E-2</v>
      </c>
      <c r="J2282">
        <v>44792</v>
      </c>
    </row>
    <row r="2283" spans="1:10" x14ac:dyDescent="0.35">
      <c r="A2283" s="2">
        <v>44781</v>
      </c>
      <c r="B2283" s="3">
        <v>0.37099537037037034</v>
      </c>
      <c r="C2283">
        <v>611</v>
      </c>
      <c r="D2283" t="str">
        <f>VLOOKUP(H2283,Produkt!$A$2:$B$5,2,FALSE)</f>
        <v>C</v>
      </c>
      <c r="H2283">
        <v>3</v>
      </c>
      <c r="I2283">
        <v>0.14943287037037037</v>
      </c>
      <c r="J2283">
        <v>44788</v>
      </c>
    </row>
    <row r="2284" spans="1:10" x14ac:dyDescent="0.35">
      <c r="A2284" s="2">
        <v>44781</v>
      </c>
      <c r="B2284" s="3">
        <v>0.99092592592592599</v>
      </c>
      <c r="C2284">
        <v>671</v>
      </c>
      <c r="D2284" t="str">
        <f>VLOOKUP(H2284,Produkt!$A$2:$B$5,2,FALSE)</f>
        <v>D</v>
      </c>
      <c r="H2284">
        <v>4</v>
      </c>
      <c r="I2284">
        <v>0.3187962962962963</v>
      </c>
      <c r="J2284">
        <v>44779</v>
      </c>
    </row>
    <row r="2285" spans="1:10" x14ac:dyDescent="0.35">
      <c r="A2285" s="2">
        <v>44781</v>
      </c>
      <c r="B2285" s="3">
        <v>5.4189814814814809E-2</v>
      </c>
      <c r="C2285">
        <v>677</v>
      </c>
      <c r="D2285" t="str">
        <f>VLOOKUP(H2285,Produkt!$A$2:$B$5,2,FALSE)</f>
        <v>B</v>
      </c>
      <c r="H2285">
        <v>2</v>
      </c>
      <c r="I2285">
        <v>7.5462962962962177E-3</v>
      </c>
      <c r="J2285">
        <v>44776</v>
      </c>
    </row>
    <row r="2286" spans="1:10" x14ac:dyDescent="0.35">
      <c r="A2286" s="2">
        <v>44781</v>
      </c>
      <c r="B2286" s="3">
        <v>0.40612268518518518</v>
      </c>
      <c r="C2286">
        <v>709</v>
      </c>
      <c r="D2286" t="str">
        <f>VLOOKUP(H2286,Produkt!$A$2:$B$5,2,FALSE)</f>
        <v>A</v>
      </c>
      <c r="H2286">
        <v>1</v>
      </c>
      <c r="I2286">
        <v>0.80524305555555553</v>
      </c>
      <c r="J2286">
        <v>44783</v>
      </c>
    </row>
    <row r="2287" spans="1:10" x14ac:dyDescent="0.35">
      <c r="A2287" s="2">
        <v>44781</v>
      </c>
      <c r="B2287" s="3">
        <v>0.41500000000000004</v>
      </c>
      <c r="C2287">
        <v>713</v>
      </c>
      <c r="D2287" t="str">
        <f>VLOOKUP(H2287,Produkt!$A$2:$B$5,2,FALSE)</f>
        <v>A</v>
      </c>
      <c r="H2287">
        <v>1</v>
      </c>
      <c r="I2287">
        <v>0.5397453703703704</v>
      </c>
      <c r="J2287">
        <v>44786</v>
      </c>
    </row>
    <row r="2288" spans="1:10" x14ac:dyDescent="0.35">
      <c r="A2288" s="2">
        <v>44781</v>
      </c>
      <c r="B2288" s="3">
        <v>0.62556712962962957</v>
      </c>
      <c r="C2288">
        <v>829</v>
      </c>
      <c r="D2288" t="str">
        <f>VLOOKUP(H2288,Produkt!$A$2:$B$5,2,FALSE)</f>
        <v>D</v>
      </c>
      <c r="H2288">
        <v>4</v>
      </c>
      <c r="I2288">
        <v>0.87</v>
      </c>
      <c r="J2288">
        <v>44794</v>
      </c>
    </row>
    <row r="2289" spans="1:10" x14ac:dyDescent="0.35">
      <c r="A2289" s="2">
        <v>44781</v>
      </c>
      <c r="B2289" s="3">
        <v>0.47540509259259256</v>
      </c>
      <c r="C2289">
        <v>838</v>
      </c>
      <c r="D2289" t="str">
        <f>VLOOKUP(H2289,Produkt!$A$2:$B$5,2,FALSE)</f>
        <v>A</v>
      </c>
      <c r="H2289">
        <v>1</v>
      </c>
      <c r="I2289">
        <v>0.62541666666666662</v>
      </c>
      <c r="J2289">
        <v>44779</v>
      </c>
    </row>
    <row r="2290" spans="1:10" x14ac:dyDescent="0.35">
      <c r="A2290" s="2">
        <v>44781</v>
      </c>
      <c r="B2290" s="3">
        <v>0.47052083333333333</v>
      </c>
      <c r="C2290">
        <v>848</v>
      </c>
      <c r="D2290" t="str">
        <f>VLOOKUP(H2290,Produkt!$A$2:$B$5,2,FALSE)</f>
        <v>D</v>
      </c>
      <c r="H2290">
        <v>4</v>
      </c>
      <c r="I2290">
        <v>0.28788194444444443</v>
      </c>
      <c r="J2290">
        <v>44780</v>
      </c>
    </row>
    <row r="2291" spans="1:10" x14ac:dyDescent="0.35">
      <c r="A2291" s="2">
        <v>44781</v>
      </c>
      <c r="B2291" s="3">
        <v>0.42530092592592594</v>
      </c>
      <c r="C2291">
        <v>876</v>
      </c>
      <c r="D2291" t="str">
        <f>VLOOKUP(H2291,Produkt!$A$2:$B$5,2,FALSE)</f>
        <v>D</v>
      </c>
      <c r="H2291">
        <v>4</v>
      </c>
      <c r="I2291">
        <v>0.98910879629629633</v>
      </c>
      <c r="J2291">
        <v>44776</v>
      </c>
    </row>
    <row r="2292" spans="1:10" x14ac:dyDescent="0.35">
      <c r="A2292" s="2">
        <v>44781</v>
      </c>
      <c r="B2292" s="3">
        <v>0.96158564814814806</v>
      </c>
      <c r="C2292">
        <v>896</v>
      </c>
      <c r="D2292" t="str">
        <f>VLOOKUP(H2292,Produkt!$A$2:$B$5,2,FALSE)</f>
        <v>B</v>
      </c>
      <c r="H2292">
        <v>2</v>
      </c>
      <c r="I2292">
        <v>0.23765046296296297</v>
      </c>
      <c r="J2292">
        <v>44788</v>
      </c>
    </row>
    <row r="2293" spans="1:10" x14ac:dyDescent="0.35">
      <c r="A2293" s="2">
        <v>44781</v>
      </c>
      <c r="B2293" s="3">
        <v>0.88949074074074075</v>
      </c>
      <c r="C2293">
        <v>1022</v>
      </c>
      <c r="D2293" t="str">
        <f>VLOOKUP(H2293,Produkt!$A$2:$B$5,2,FALSE)</f>
        <v>D</v>
      </c>
      <c r="H2293">
        <v>4</v>
      </c>
      <c r="I2293">
        <v>0.63188657407407411</v>
      </c>
      <c r="J2293">
        <v>44803</v>
      </c>
    </row>
    <row r="2294" spans="1:10" x14ac:dyDescent="0.35">
      <c r="A2294" s="2">
        <v>44781</v>
      </c>
      <c r="B2294" s="3">
        <v>0.15892361111111111</v>
      </c>
      <c r="C2294">
        <v>1023</v>
      </c>
      <c r="D2294" t="str">
        <f>VLOOKUP(H2294,Produkt!$A$2:$B$5,2,FALSE)</f>
        <v>D</v>
      </c>
      <c r="H2294">
        <v>4</v>
      </c>
      <c r="I2294">
        <v>0.75020833333333325</v>
      </c>
      <c r="J2294">
        <v>44778</v>
      </c>
    </row>
    <row r="2295" spans="1:10" x14ac:dyDescent="0.35">
      <c r="A2295" s="2">
        <v>44781</v>
      </c>
      <c r="B2295" s="3">
        <v>0.48954861111111114</v>
      </c>
      <c r="C2295">
        <v>1058</v>
      </c>
      <c r="D2295" t="str">
        <f>VLOOKUP(H2295,Produkt!$A$2:$B$5,2,FALSE)</f>
        <v>C</v>
      </c>
      <c r="H2295">
        <v>3</v>
      </c>
      <c r="I2295">
        <v>0.53621527777777778</v>
      </c>
      <c r="J2295">
        <v>44780</v>
      </c>
    </row>
    <row r="2296" spans="1:10" x14ac:dyDescent="0.35">
      <c r="A2296" s="2">
        <v>44781</v>
      </c>
      <c r="B2296" s="3">
        <v>0.16266203703703705</v>
      </c>
      <c r="C2296">
        <v>1071</v>
      </c>
      <c r="D2296" t="str">
        <f>VLOOKUP(H2296,Produkt!$A$2:$B$5,2,FALSE)</f>
        <v>C</v>
      </c>
      <c r="H2296">
        <v>3</v>
      </c>
      <c r="I2296">
        <v>0.80437499999999995</v>
      </c>
      <c r="J2296">
        <v>44775</v>
      </c>
    </row>
    <row r="2297" spans="1:10" x14ac:dyDescent="0.35">
      <c r="A2297" s="2">
        <v>44781</v>
      </c>
      <c r="B2297" s="3">
        <v>0.54642361111111104</v>
      </c>
      <c r="C2297">
        <v>1117</v>
      </c>
      <c r="D2297" t="str">
        <f>VLOOKUP(H2297,Produkt!$A$2:$B$5,2,FALSE)</f>
        <v>B</v>
      </c>
      <c r="H2297">
        <v>2</v>
      </c>
      <c r="I2297">
        <v>0.94143518518518521</v>
      </c>
      <c r="J2297">
        <v>44791</v>
      </c>
    </row>
    <row r="2298" spans="1:10" x14ac:dyDescent="0.35">
      <c r="A2298" s="2">
        <v>44781</v>
      </c>
      <c r="B2298" s="3">
        <v>0.73018518518518516</v>
      </c>
      <c r="C2298">
        <v>1133</v>
      </c>
      <c r="D2298" t="str">
        <f>VLOOKUP(H2298,Produkt!$A$2:$B$5,2,FALSE)</f>
        <v>B</v>
      </c>
      <c r="H2298">
        <v>2</v>
      </c>
      <c r="I2298">
        <v>0.15163194444444444</v>
      </c>
      <c r="J2298">
        <v>44782</v>
      </c>
    </row>
    <row r="2299" spans="1:10" x14ac:dyDescent="0.35">
      <c r="A2299" s="2">
        <v>44781</v>
      </c>
      <c r="B2299" s="3">
        <v>0.49819444444444444</v>
      </c>
      <c r="C2299">
        <v>1186</v>
      </c>
      <c r="D2299" t="str">
        <f>VLOOKUP(H2299,Produkt!$A$2:$B$5,2,FALSE)</f>
        <v>A</v>
      </c>
      <c r="H2299">
        <v>1</v>
      </c>
      <c r="I2299">
        <v>4.8657407407407406E-2</v>
      </c>
      <c r="J2299">
        <v>44786</v>
      </c>
    </row>
    <row r="2300" spans="1:10" x14ac:dyDescent="0.35">
      <c r="A2300" s="2">
        <v>44781</v>
      </c>
      <c r="B2300" s="3">
        <v>0.81526620370370362</v>
      </c>
      <c r="C2300">
        <v>1193</v>
      </c>
      <c r="D2300" t="str">
        <f>VLOOKUP(H2300,Produkt!$A$2:$B$5,2,FALSE)</f>
        <v>C</v>
      </c>
      <c r="H2300">
        <v>3</v>
      </c>
      <c r="I2300">
        <v>0.52833333333333332</v>
      </c>
      <c r="J2300">
        <v>44804</v>
      </c>
    </row>
    <row r="2301" spans="1:10" x14ac:dyDescent="0.35">
      <c r="A2301" s="2">
        <v>44781</v>
      </c>
      <c r="B2301" s="3">
        <v>0.72409722222222228</v>
      </c>
      <c r="C2301">
        <v>1226</v>
      </c>
      <c r="D2301" t="str">
        <f>VLOOKUP(H2301,Produkt!$A$2:$B$5,2,FALSE)</f>
        <v>C</v>
      </c>
      <c r="H2301">
        <v>3</v>
      </c>
      <c r="I2301">
        <v>0.56825231481481475</v>
      </c>
      <c r="J2301">
        <v>44803</v>
      </c>
    </row>
    <row r="2302" spans="1:10" x14ac:dyDescent="0.35">
      <c r="A2302" s="2">
        <v>44781</v>
      </c>
      <c r="B2302" s="3">
        <v>0.21605324074074073</v>
      </c>
      <c r="C2302">
        <v>1259</v>
      </c>
      <c r="D2302" t="str">
        <f>VLOOKUP(H2302,Produkt!$A$2:$B$5,2,FALSE)</f>
        <v>C</v>
      </c>
      <c r="H2302">
        <v>3</v>
      </c>
      <c r="I2302">
        <v>7.3275462962962959E-2</v>
      </c>
      <c r="J2302">
        <v>44801</v>
      </c>
    </row>
    <row r="2303" spans="1:10" x14ac:dyDescent="0.35">
      <c r="A2303" s="2">
        <v>44781</v>
      </c>
      <c r="B2303" s="3">
        <v>0.62938657407407406</v>
      </c>
      <c r="C2303">
        <v>1268</v>
      </c>
      <c r="D2303" t="str">
        <f>VLOOKUP(H2303,Produkt!$A$2:$B$5,2,FALSE)</f>
        <v>C</v>
      </c>
      <c r="H2303">
        <v>3</v>
      </c>
      <c r="I2303">
        <v>3.5381944444444313E-2</v>
      </c>
      <c r="J2303">
        <v>44785</v>
      </c>
    </row>
    <row r="2304" spans="1:10" x14ac:dyDescent="0.35">
      <c r="A2304" s="2">
        <v>44781</v>
      </c>
      <c r="B2304" s="3">
        <v>0.39665509259259263</v>
      </c>
      <c r="C2304">
        <v>1279</v>
      </c>
      <c r="D2304" t="str">
        <f>VLOOKUP(H2304,Produkt!$A$2:$B$5,2,FALSE)</f>
        <v>C</v>
      </c>
      <c r="H2304">
        <v>3</v>
      </c>
      <c r="I2304">
        <v>0.54710648148148155</v>
      </c>
      <c r="J2304">
        <v>44781</v>
      </c>
    </row>
    <row r="2305" spans="1:10" x14ac:dyDescent="0.35">
      <c r="A2305" s="2">
        <v>44781</v>
      </c>
      <c r="B2305" s="3">
        <v>0.81425925925925924</v>
      </c>
      <c r="C2305">
        <v>1283</v>
      </c>
      <c r="D2305" t="str">
        <f>VLOOKUP(H2305,Produkt!$A$2:$B$5,2,FALSE)</f>
        <v>A</v>
      </c>
      <c r="H2305">
        <v>1</v>
      </c>
      <c r="I2305">
        <v>0.4676967592592593</v>
      </c>
      <c r="J2305">
        <v>44781</v>
      </c>
    </row>
    <row r="2306" spans="1:10" x14ac:dyDescent="0.35">
      <c r="A2306" s="2">
        <v>44781</v>
      </c>
      <c r="B2306" s="3">
        <v>0.82041666666666668</v>
      </c>
      <c r="C2306">
        <v>1310</v>
      </c>
      <c r="D2306" t="str">
        <f>VLOOKUP(H2306,Produkt!$A$2:$B$5,2,FALSE)</f>
        <v>D</v>
      </c>
      <c r="H2306">
        <v>4</v>
      </c>
      <c r="I2306">
        <v>0.36429398148148145</v>
      </c>
      <c r="J2306">
        <v>44788</v>
      </c>
    </row>
    <row r="2307" spans="1:10" x14ac:dyDescent="0.35">
      <c r="A2307" s="2">
        <v>44781</v>
      </c>
      <c r="B2307" s="3">
        <v>0.21305555555555555</v>
      </c>
      <c r="C2307">
        <v>1366</v>
      </c>
      <c r="D2307" t="str">
        <f>VLOOKUP(H2307,Produkt!$A$2:$B$5,2,FALSE)</f>
        <v>C</v>
      </c>
      <c r="H2307">
        <v>3</v>
      </c>
      <c r="I2307">
        <v>0.3561111111111111</v>
      </c>
      <c r="J2307">
        <v>44774</v>
      </c>
    </row>
    <row r="2308" spans="1:10" x14ac:dyDescent="0.35">
      <c r="A2308" s="2">
        <v>44781</v>
      </c>
      <c r="B2308" s="3">
        <v>0.95481481481481489</v>
      </c>
      <c r="C2308">
        <v>1428</v>
      </c>
      <c r="D2308" t="str">
        <f>VLOOKUP(H2308,Produkt!$A$2:$B$5,2,FALSE)</f>
        <v>A</v>
      </c>
      <c r="H2308">
        <v>1</v>
      </c>
      <c r="I2308">
        <v>0.36056712962962961</v>
      </c>
      <c r="J2308">
        <v>44791</v>
      </c>
    </row>
    <row r="2309" spans="1:10" x14ac:dyDescent="0.35">
      <c r="A2309" s="2">
        <v>44781</v>
      </c>
      <c r="B2309" s="3">
        <v>0.59756944444444449</v>
      </c>
      <c r="C2309">
        <v>1454</v>
      </c>
      <c r="D2309" t="str">
        <f>VLOOKUP(H2309,Produkt!$A$2:$B$5,2,FALSE)</f>
        <v>D</v>
      </c>
      <c r="H2309">
        <v>4</v>
      </c>
      <c r="I2309">
        <v>2.1296296296296299E-2</v>
      </c>
      <c r="J2309">
        <v>44795</v>
      </c>
    </row>
    <row r="2310" spans="1:10" x14ac:dyDescent="0.35">
      <c r="A2310" s="2">
        <v>44781</v>
      </c>
      <c r="B2310" s="3">
        <v>0.83164351851851848</v>
      </c>
      <c r="C2310">
        <v>1455</v>
      </c>
      <c r="D2310" t="str">
        <f>VLOOKUP(H2310,Produkt!$A$2:$B$5,2,FALSE)</f>
        <v>A</v>
      </c>
      <c r="H2310">
        <v>1</v>
      </c>
      <c r="I2310">
        <v>0.55923611111111116</v>
      </c>
      <c r="J2310">
        <v>44778</v>
      </c>
    </row>
    <row r="2311" spans="1:10" x14ac:dyDescent="0.35">
      <c r="A2311" s="2">
        <v>44781</v>
      </c>
      <c r="B2311" s="3">
        <v>0.18870370370370371</v>
      </c>
      <c r="C2311">
        <v>1479</v>
      </c>
      <c r="D2311" t="str">
        <f>VLOOKUP(H2311,Produkt!$A$2:$B$5,2,FALSE)</f>
        <v>D</v>
      </c>
      <c r="H2311">
        <v>4</v>
      </c>
      <c r="I2311">
        <v>0.1338425925925926</v>
      </c>
      <c r="J2311">
        <v>44793</v>
      </c>
    </row>
    <row r="2312" spans="1:10" x14ac:dyDescent="0.35">
      <c r="A2312" s="2">
        <v>44781</v>
      </c>
      <c r="B2312" s="3">
        <v>0.4384953703703704</v>
      </c>
      <c r="C2312">
        <v>1533</v>
      </c>
      <c r="D2312" t="str">
        <f>VLOOKUP(H2312,Produkt!$A$2:$B$5,2,FALSE)</f>
        <v>A</v>
      </c>
      <c r="H2312">
        <v>1</v>
      </c>
      <c r="I2312">
        <v>0.60615740740740742</v>
      </c>
      <c r="J2312">
        <v>44803</v>
      </c>
    </row>
    <row r="2313" spans="1:10" x14ac:dyDescent="0.35">
      <c r="A2313" s="2">
        <v>44781</v>
      </c>
      <c r="B2313" s="3">
        <v>0.64532407407407411</v>
      </c>
      <c r="C2313">
        <v>1586</v>
      </c>
      <c r="D2313" t="str">
        <f>VLOOKUP(H2313,Produkt!$A$2:$B$5,2,FALSE)</f>
        <v>C</v>
      </c>
      <c r="H2313">
        <v>3</v>
      </c>
      <c r="I2313">
        <v>0.92167824074074067</v>
      </c>
      <c r="J2313">
        <v>44785</v>
      </c>
    </row>
    <row r="2314" spans="1:10" x14ac:dyDescent="0.35">
      <c r="A2314" s="2">
        <v>44781</v>
      </c>
      <c r="B2314" s="3">
        <v>0.66605324074074079</v>
      </c>
      <c r="C2314">
        <v>1620</v>
      </c>
      <c r="D2314" t="str">
        <f>VLOOKUP(H2314,Produkt!$A$2:$B$5,2,FALSE)</f>
        <v>B</v>
      </c>
      <c r="H2314">
        <v>2</v>
      </c>
      <c r="I2314">
        <v>0.8089467592592593</v>
      </c>
      <c r="J2314">
        <v>44802</v>
      </c>
    </row>
    <row r="2315" spans="1:10" x14ac:dyDescent="0.35">
      <c r="A2315" s="2">
        <v>44781</v>
      </c>
      <c r="B2315" s="3">
        <v>0.65763888888888888</v>
      </c>
      <c r="C2315">
        <v>1643</v>
      </c>
      <c r="D2315" t="str">
        <f>VLOOKUP(H2315,Produkt!$A$2:$B$5,2,FALSE)</f>
        <v>B</v>
      </c>
      <c r="H2315">
        <v>2</v>
      </c>
      <c r="I2315">
        <v>0.20185185185185184</v>
      </c>
      <c r="J2315">
        <v>44783</v>
      </c>
    </row>
    <row r="2316" spans="1:10" x14ac:dyDescent="0.35">
      <c r="A2316" s="2">
        <v>44781</v>
      </c>
      <c r="B2316" s="3">
        <v>0.10657407407407408</v>
      </c>
      <c r="C2316">
        <v>1662</v>
      </c>
      <c r="D2316" t="str">
        <f>VLOOKUP(H2316,Produkt!$A$2:$B$5,2,FALSE)</f>
        <v>C</v>
      </c>
      <c r="H2316">
        <v>3</v>
      </c>
      <c r="I2316">
        <v>0.47612268518518519</v>
      </c>
      <c r="J2316">
        <v>44775</v>
      </c>
    </row>
    <row r="2317" spans="1:10" x14ac:dyDescent="0.35">
      <c r="A2317" s="2">
        <v>44781</v>
      </c>
      <c r="B2317" s="3">
        <v>0.98056712962962955</v>
      </c>
      <c r="C2317">
        <v>1682</v>
      </c>
      <c r="D2317" t="str">
        <f>VLOOKUP(H2317,Produkt!$A$2:$B$5,2,FALSE)</f>
        <v>D</v>
      </c>
      <c r="H2317">
        <v>4</v>
      </c>
      <c r="I2317">
        <v>0.23762731481481481</v>
      </c>
      <c r="J2317">
        <v>44778</v>
      </c>
    </row>
    <row r="2318" spans="1:10" x14ac:dyDescent="0.35">
      <c r="A2318" s="2">
        <v>44781</v>
      </c>
      <c r="B2318" s="3">
        <v>0.84842592592592592</v>
      </c>
      <c r="C2318">
        <v>1692</v>
      </c>
      <c r="D2318" t="str">
        <f>VLOOKUP(H2318,Produkt!$A$2:$B$5,2,FALSE)</f>
        <v>C</v>
      </c>
      <c r="H2318">
        <v>3</v>
      </c>
      <c r="I2318">
        <v>0.78571759259259266</v>
      </c>
      <c r="J2318">
        <v>44788</v>
      </c>
    </row>
    <row r="2319" spans="1:10" x14ac:dyDescent="0.35">
      <c r="A2319" s="2">
        <v>44781</v>
      </c>
      <c r="B2319" s="3">
        <v>0.65915509259259253</v>
      </c>
      <c r="C2319">
        <v>1737</v>
      </c>
      <c r="D2319" t="str">
        <f>VLOOKUP(H2319,Produkt!$A$2:$B$5,2,FALSE)</f>
        <v>C</v>
      </c>
      <c r="H2319">
        <v>3</v>
      </c>
      <c r="I2319">
        <v>2.0729166666666687E-2</v>
      </c>
      <c r="J2319">
        <v>44779</v>
      </c>
    </row>
    <row r="2320" spans="1:10" x14ac:dyDescent="0.35">
      <c r="A2320" s="2">
        <v>44781</v>
      </c>
      <c r="B2320" s="3">
        <v>0.72250000000000003</v>
      </c>
      <c r="C2320">
        <v>1743</v>
      </c>
      <c r="D2320" t="str">
        <f>VLOOKUP(H2320,Produkt!$A$2:$B$5,2,FALSE)</f>
        <v>C</v>
      </c>
      <c r="H2320">
        <v>3</v>
      </c>
      <c r="I2320">
        <v>0.92334490740740749</v>
      </c>
      <c r="J2320">
        <v>44783</v>
      </c>
    </row>
    <row r="2321" spans="1:10" x14ac:dyDescent="0.35">
      <c r="A2321" s="2">
        <v>44781</v>
      </c>
      <c r="B2321" s="3">
        <v>0.50888888888888884</v>
      </c>
      <c r="C2321">
        <v>1793</v>
      </c>
      <c r="D2321" t="str">
        <f>VLOOKUP(H2321,Produkt!$A$2:$B$5,2,FALSE)</f>
        <v>C</v>
      </c>
      <c r="H2321">
        <v>3</v>
      </c>
      <c r="I2321">
        <v>0.24921296296296294</v>
      </c>
      <c r="J2321">
        <v>44790</v>
      </c>
    </row>
    <row r="2322" spans="1:10" x14ac:dyDescent="0.35">
      <c r="A2322" s="2">
        <v>44781</v>
      </c>
      <c r="B2322" s="3">
        <v>0.66013888888888894</v>
      </c>
      <c r="C2322">
        <v>1838</v>
      </c>
      <c r="D2322" t="str">
        <f>VLOOKUP(H2322,Produkt!$A$2:$B$5,2,FALSE)</f>
        <v>C</v>
      </c>
      <c r="H2322">
        <v>3</v>
      </c>
      <c r="I2322">
        <v>5.4050925925925924E-3</v>
      </c>
      <c r="J2322">
        <v>44802</v>
      </c>
    </row>
    <row r="2323" spans="1:10" x14ac:dyDescent="0.35">
      <c r="A2323" s="2">
        <v>44781</v>
      </c>
      <c r="B2323" s="3">
        <v>0.56710648148148146</v>
      </c>
      <c r="C2323">
        <v>1921</v>
      </c>
      <c r="D2323" t="str">
        <f>VLOOKUP(H2323,Produkt!$A$2:$B$5,2,FALSE)</f>
        <v>A</v>
      </c>
      <c r="H2323">
        <v>1</v>
      </c>
      <c r="I2323">
        <v>0.83792824074074079</v>
      </c>
      <c r="J2323">
        <v>44789</v>
      </c>
    </row>
    <row r="2324" spans="1:10" x14ac:dyDescent="0.35">
      <c r="A2324" s="2">
        <v>44781</v>
      </c>
      <c r="B2324" s="3">
        <v>0.32341435185185186</v>
      </c>
      <c r="C2324">
        <v>1948</v>
      </c>
      <c r="D2324" t="str">
        <f>VLOOKUP(H2324,Produkt!$A$2:$B$5,2,FALSE)</f>
        <v>C</v>
      </c>
      <c r="H2324">
        <v>3</v>
      </c>
      <c r="I2324">
        <v>0.73077546296296303</v>
      </c>
      <c r="J2324">
        <v>44787</v>
      </c>
    </row>
    <row r="2325" spans="1:10" x14ac:dyDescent="0.35">
      <c r="A2325" s="2">
        <v>44781</v>
      </c>
      <c r="B2325" s="3">
        <v>0.73070601851851846</v>
      </c>
      <c r="C2325">
        <v>1976</v>
      </c>
      <c r="D2325" t="str">
        <f>VLOOKUP(H2325,Produkt!$A$2:$B$5,2,FALSE)</f>
        <v>B</v>
      </c>
      <c r="H2325">
        <v>2</v>
      </c>
      <c r="I2325">
        <v>0.90277777777777779</v>
      </c>
      <c r="J2325">
        <v>44793</v>
      </c>
    </row>
    <row r="2326" spans="1:10" x14ac:dyDescent="0.35">
      <c r="A2326" s="2">
        <v>44781</v>
      </c>
      <c r="B2326" s="3">
        <v>0.84163194444444445</v>
      </c>
      <c r="C2326">
        <v>2009</v>
      </c>
      <c r="D2326" t="str">
        <f>VLOOKUP(H2326,Produkt!$A$2:$B$5,2,FALSE)</f>
        <v>A</v>
      </c>
      <c r="H2326">
        <v>1</v>
      </c>
      <c r="I2326">
        <v>0.40769675925925924</v>
      </c>
      <c r="J2326">
        <v>44788</v>
      </c>
    </row>
    <row r="2327" spans="1:10" x14ac:dyDescent="0.35">
      <c r="A2327" s="2">
        <v>44781</v>
      </c>
      <c r="B2327" s="3">
        <v>0.62355324074074081</v>
      </c>
      <c r="C2327">
        <v>2021</v>
      </c>
      <c r="D2327" t="str">
        <f>VLOOKUP(H2327,Produkt!$A$2:$B$5,2,FALSE)</f>
        <v>D</v>
      </c>
      <c r="H2327">
        <v>4</v>
      </c>
      <c r="I2327">
        <v>0.46806712962962965</v>
      </c>
      <c r="J2327">
        <v>44800</v>
      </c>
    </row>
    <row r="2328" spans="1:10" x14ac:dyDescent="0.35">
      <c r="A2328" s="2">
        <v>44781</v>
      </c>
      <c r="B2328" s="3">
        <v>0.65120370370370373</v>
      </c>
      <c r="C2328">
        <v>2023</v>
      </c>
      <c r="D2328" t="str">
        <f>VLOOKUP(H2328,Produkt!$A$2:$B$5,2,FALSE)</f>
        <v>D</v>
      </c>
      <c r="H2328">
        <v>4</v>
      </c>
      <c r="I2328">
        <v>0.22665509259259262</v>
      </c>
      <c r="J2328">
        <v>44795</v>
      </c>
    </row>
    <row r="2329" spans="1:10" x14ac:dyDescent="0.35">
      <c r="A2329" s="2">
        <v>44781</v>
      </c>
      <c r="B2329" s="3">
        <v>0.20211805555555554</v>
      </c>
      <c r="C2329">
        <v>2131</v>
      </c>
      <c r="D2329" t="str">
        <f>VLOOKUP(H2329,Produkt!$A$2:$B$5,2,FALSE)</f>
        <v>C</v>
      </c>
      <c r="H2329">
        <v>3</v>
      </c>
      <c r="I2329">
        <v>0.20989583333333331</v>
      </c>
      <c r="J2329">
        <v>44801</v>
      </c>
    </row>
    <row r="2330" spans="1:10" x14ac:dyDescent="0.35">
      <c r="A2330" s="2">
        <v>44781</v>
      </c>
      <c r="B2330" s="3">
        <v>0.99545138888888884</v>
      </c>
      <c r="C2330">
        <v>2190</v>
      </c>
      <c r="D2330" t="str">
        <f>VLOOKUP(H2330,Produkt!$A$2:$B$5,2,FALSE)</f>
        <v>D</v>
      </c>
      <c r="H2330">
        <v>4</v>
      </c>
      <c r="I2330">
        <v>0.41292824074074069</v>
      </c>
      <c r="J2330">
        <v>44784</v>
      </c>
    </row>
    <row r="2331" spans="1:10" x14ac:dyDescent="0.35">
      <c r="A2331" s="2">
        <v>44781</v>
      </c>
      <c r="B2331" s="3">
        <v>0.51996527777777779</v>
      </c>
      <c r="C2331">
        <v>2198</v>
      </c>
      <c r="D2331" t="str">
        <f>VLOOKUP(H2331,Produkt!$A$2:$B$5,2,FALSE)</f>
        <v>B</v>
      </c>
      <c r="H2331">
        <v>2</v>
      </c>
      <c r="I2331">
        <v>0.20842592592592593</v>
      </c>
      <c r="J2331">
        <v>44775</v>
      </c>
    </row>
    <row r="2332" spans="1:10" x14ac:dyDescent="0.35">
      <c r="A2332" s="2">
        <v>44781</v>
      </c>
      <c r="B2332" s="3">
        <v>0.8830324074074074</v>
      </c>
      <c r="C2332">
        <v>2229</v>
      </c>
      <c r="D2332" t="str">
        <f>VLOOKUP(H2332,Produkt!$A$2:$B$5,2,FALSE)</f>
        <v>B</v>
      </c>
      <c r="H2332">
        <v>2</v>
      </c>
      <c r="I2332">
        <v>2.2430555555555554E-2</v>
      </c>
      <c r="J2332">
        <v>44788</v>
      </c>
    </row>
    <row r="2333" spans="1:10" x14ac:dyDescent="0.35">
      <c r="A2333" s="2">
        <v>44781</v>
      </c>
      <c r="B2333" s="3">
        <v>0.44718750000000002</v>
      </c>
      <c r="C2333">
        <v>2234</v>
      </c>
      <c r="D2333" t="str">
        <f>VLOOKUP(H2333,Produkt!$A$2:$B$5,2,FALSE)</f>
        <v>C</v>
      </c>
      <c r="H2333">
        <v>3</v>
      </c>
      <c r="I2333">
        <v>0.15510416666666668</v>
      </c>
      <c r="J2333">
        <v>44798</v>
      </c>
    </row>
    <row r="2334" spans="1:10" x14ac:dyDescent="0.35">
      <c r="A2334" s="2">
        <v>44781</v>
      </c>
      <c r="B2334" s="3">
        <v>0.35368055555555555</v>
      </c>
      <c r="C2334">
        <v>2235</v>
      </c>
      <c r="D2334" t="str">
        <f>VLOOKUP(H2334,Produkt!$A$2:$B$5,2,FALSE)</f>
        <v>C</v>
      </c>
      <c r="H2334">
        <v>3</v>
      </c>
      <c r="I2334">
        <v>0.58077546296296301</v>
      </c>
      <c r="J2334">
        <v>44774</v>
      </c>
    </row>
    <row r="2335" spans="1:10" x14ac:dyDescent="0.35">
      <c r="A2335" s="2">
        <v>44781</v>
      </c>
      <c r="B2335" s="3">
        <v>0.80833333333333324</v>
      </c>
      <c r="C2335">
        <v>2358</v>
      </c>
      <c r="D2335" t="str">
        <f>VLOOKUP(H2335,Produkt!$A$2:$B$5,2,FALSE)</f>
        <v>A</v>
      </c>
      <c r="H2335">
        <v>1</v>
      </c>
      <c r="I2335">
        <v>0.70331018518518518</v>
      </c>
      <c r="J2335">
        <v>44785</v>
      </c>
    </row>
    <row r="2336" spans="1:10" x14ac:dyDescent="0.35">
      <c r="A2336" s="2">
        <v>44781</v>
      </c>
      <c r="B2336" s="3">
        <v>0.98105324074074074</v>
      </c>
      <c r="C2336">
        <v>2384</v>
      </c>
      <c r="D2336" t="str">
        <f>VLOOKUP(H2336,Produkt!$A$2:$B$5,2,FALSE)</f>
        <v>A</v>
      </c>
      <c r="H2336">
        <v>1</v>
      </c>
      <c r="I2336">
        <v>0.11158564814814814</v>
      </c>
      <c r="J2336">
        <v>44792</v>
      </c>
    </row>
    <row r="2337" spans="1:10" x14ac:dyDescent="0.35">
      <c r="A2337" s="2">
        <v>44781</v>
      </c>
      <c r="B2337" s="3">
        <v>0.94245370370370374</v>
      </c>
      <c r="C2337">
        <v>2398</v>
      </c>
      <c r="D2337" t="str">
        <f>VLOOKUP(H2337,Produkt!$A$2:$B$5,2,FALSE)</f>
        <v>B</v>
      </c>
      <c r="H2337">
        <v>2</v>
      </c>
      <c r="I2337">
        <v>0.29210648148148149</v>
      </c>
      <c r="J2337">
        <v>44798</v>
      </c>
    </row>
    <row r="2338" spans="1:10" x14ac:dyDescent="0.35">
      <c r="A2338" s="2">
        <v>44781</v>
      </c>
      <c r="B2338" s="3">
        <v>0.9499305555555555</v>
      </c>
      <c r="C2338">
        <v>2460</v>
      </c>
      <c r="D2338" t="str">
        <f>VLOOKUP(H2338,Produkt!$A$2:$B$5,2,FALSE)</f>
        <v>B</v>
      </c>
      <c r="H2338">
        <v>2</v>
      </c>
      <c r="I2338">
        <v>0.1600462962962963</v>
      </c>
      <c r="J2338">
        <v>44797</v>
      </c>
    </row>
    <row r="2339" spans="1:10" x14ac:dyDescent="0.35">
      <c r="A2339" s="2">
        <v>44781</v>
      </c>
      <c r="B2339" s="3">
        <v>7.314814814814774E-3</v>
      </c>
      <c r="C2339">
        <v>2462</v>
      </c>
      <c r="D2339" t="str">
        <f>VLOOKUP(H2339,Produkt!$A$2:$B$5,2,FALSE)</f>
        <v>D</v>
      </c>
      <c r="H2339">
        <v>4</v>
      </c>
      <c r="I2339">
        <v>0.48782407407407408</v>
      </c>
      <c r="J2339">
        <v>44802</v>
      </c>
    </row>
    <row r="2340" spans="1:10" x14ac:dyDescent="0.35">
      <c r="A2340" s="2">
        <v>44781</v>
      </c>
      <c r="B2340" s="3">
        <v>0.44320601851851849</v>
      </c>
      <c r="C2340">
        <v>2501</v>
      </c>
      <c r="D2340" t="str">
        <f>VLOOKUP(H2340,Produkt!$A$2:$B$5,2,FALSE)</f>
        <v>D</v>
      </c>
      <c r="H2340">
        <v>4</v>
      </c>
      <c r="I2340">
        <v>0.89458333333333329</v>
      </c>
      <c r="J2340">
        <v>44799</v>
      </c>
    </row>
    <row r="2341" spans="1:10" x14ac:dyDescent="0.35">
      <c r="A2341" s="2">
        <v>44781</v>
      </c>
      <c r="B2341" s="3">
        <v>0.64653935185185185</v>
      </c>
      <c r="C2341">
        <v>2509</v>
      </c>
      <c r="D2341" t="str">
        <f>VLOOKUP(H2341,Produkt!$A$2:$B$5,2,FALSE)</f>
        <v>D</v>
      </c>
      <c r="H2341">
        <v>4</v>
      </c>
      <c r="I2341">
        <v>0.65127314814814818</v>
      </c>
      <c r="J2341">
        <v>44792</v>
      </c>
    </row>
    <row r="2342" spans="1:10" x14ac:dyDescent="0.35">
      <c r="A2342" s="2">
        <v>44781</v>
      </c>
      <c r="B2342" s="3">
        <v>9.6180555555556158E-3</v>
      </c>
      <c r="C2342">
        <v>2510</v>
      </c>
      <c r="D2342" t="str">
        <f>VLOOKUP(H2342,Produkt!$A$2:$B$5,2,FALSE)</f>
        <v>C</v>
      </c>
      <c r="H2342">
        <v>3</v>
      </c>
      <c r="I2342">
        <v>0.15990740740740741</v>
      </c>
      <c r="J2342">
        <v>44782</v>
      </c>
    </row>
    <row r="2343" spans="1:10" x14ac:dyDescent="0.35">
      <c r="A2343" s="2">
        <v>44781</v>
      </c>
      <c r="B2343" s="3">
        <v>0.44656249999999997</v>
      </c>
      <c r="C2343">
        <v>2523</v>
      </c>
      <c r="D2343" t="str">
        <f>VLOOKUP(H2343,Produkt!$A$2:$B$5,2,FALSE)</f>
        <v>A</v>
      </c>
      <c r="H2343">
        <v>1</v>
      </c>
      <c r="I2343">
        <v>0.69541666666666668</v>
      </c>
      <c r="J2343">
        <v>44775</v>
      </c>
    </row>
    <row r="2344" spans="1:10" x14ac:dyDescent="0.35">
      <c r="A2344" s="2">
        <v>44781</v>
      </c>
      <c r="B2344" s="3">
        <v>3.6481481481481483E-2</v>
      </c>
      <c r="C2344">
        <v>2584</v>
      </c>
      <c r="D2344" t="str">
        <f>VLOOKUP(H2344,Produkt!$A$2:$B$5,2,FALSE)</f>
        <v>B</v>
      </c>
      <c r="H2344">
        <v>2</v>
      </c>
      <c r="I2344">
        <v>0.66041666666666665</v>
      </c>
      <c r="J2344">
        <v>44801</v>
      </c>
    </row>
    <row r="2345" spans="1:10" x14ac:dyDescent="0.35">
      <c r="A2345" s="2">
        <v>44781</v>
      </c>
      <c r="B2345" s="3">
        <v>7.0833333333333331E-2</v>
      </c>
      <c r="C2345">
        <v>2585</v>
      </c>
      <c r="D2345" t="str">
        <f>VLOOKUP(H2345,Produkt!$A$2:$B$5,2,FALSE)</f>
        <v>C</v>
      </c>
      <c r="H2345">
        <v>3</v>
      </c>
      <c r="I2345">
        <v>0.71748842592592599</v>
      </c>
      <c r="J2345">
        <v>44800</v>
      </c>
    </row>
    <row r="2346" spans="1:10" x14ac:dyDescent="0.35">
      <c r="A2346" s="2">
        <v>44781</v>
      </c>
      <c r="B2346" s="3">
        <v>0.8881944444444444</v>
      </c>
      <c r="C2346">
        <v>2659</v>
      </c>
      <c r="D2346" t="str">
        <f>VLOOKUP(H2346,Produkt!$A$2:$B$5,2,FALSE)</f>
        <v>C</v>
      </c>
      <c r="H2346">
        <v>3</v>
      </c>
      <c r="I2346">
        <v>0.88105324074074076</v>
      </c>
      <c r="J2346">
        <v>44791</v>
      </c>
    </row>
    <row r="2347" spans="1:10" x14ac:dyDescent="0.35">
      <c r="A2347" s="2">
        <v>44781</v>
      </c>
      <c r="B2347" s="3">
        <v>0.97138888888888886</v>
      </c>
      <c r="C2347">
        <v>2678</v>
      </c>
      <c r="D2347" t="str">
        <f>VLOOKUP(H2347,Produkt!$A$2:$B$5,2,FALSE)</f>
        <v>C</v>
      </c>
      <c r="H2347">
        <v>3</v>
      </c>
      <c r="I2347">
        <v>0.81074074074074076</v>
      </c>
      <c r="J2347">
        <v>44777</v>
      </c>
    </row>
    <row r="2348" spans="1:10" x14ac:dyDescent="0.35">
      <c r="A2348" s="2">
        <v>44781</v>
      </c>
      <c r="B2348" s="3">
        <v>0.47380787037037037</v>
      </c>
      <c r="C2348">
        <v>2707</v>
      </c>
      <c r="D2348" t="str">
        <f>VLOOKUP(H2348,Produkt!$A$2:$B$5,2,FALSE)</f>
        <v>B</v>
      </c>
      <c r="H2348">
        <v>2</v>
      </c>
      <c r="I2348">
        <v>0.12511574074074075</v>
      </c>
      <c r="J2348">
        <v>44792</v>
      </c>
    </row>
    <row r="2349" spans="1:10" x14ac:dyDescent="0.35">
      <c r="A2349" s="2">
        <v>44781</v>
      </c>
      <c r="B2349" s="3">
        <v>0.7597222222222223</v>
      </c>
      <c r="C2349">
        <v>2730</v>
      </c>
      <c r="D2349" t="str">
        <f>VLOOKUP(H2349,Produkt!$A$2:$B$5,2,FALSE)</f>
        <v>A</v>
      </c>
      <c r="H2349">
        <v>1</v>
      </c>
      <c r="I2349">
        <v>0.65208333333333335</v>
      </c>
      <c r="J2349">
        <v>44791</v>
      </c>
    </row>
    <row r="2350" spans="1:10" x14ac:dyDescent="0.35">
      <c r="A2350" s="2">
        <v>44781</v>
      </c>
      <c r="B2350" s="3">
        <v>0.46592592592592591</v>
      </c>
      <c r="C2350">
        <v>2731</v>
      </c>
      <c r="D2350" t="str">
        <f>VLOOKUP(H2350,Produkt!$A$2:$B$5,2,FALSE)</f>
        <v>C</v>
      </c>
      <c r="H2350">
        <v>3</v>
      </c>
      <c r="I2350">
        <v>0.6667939814814815</v>
      </c>
      <c r="J2350">
        <v>44791</v>
      </c>
    </row>
    <row r="2351" spans="1:10" x14ac:dyDescent="0.35">
      <c r="A2351" s="2">
        <v>44781</v>
      </c>
      <c r="B2351" s="3">
        <v>0.76956018518518521</v>
      </c>
      <c r="C2351">
        <v>2800</v>
      </c>
      <c r="D2351" t="str">
        <f>VLOOKUP(H2351,Produkt!$A$2:$B$5,2,FALSE)</f>
        <v>D</v>
      </c>
      <c r="H2351">
        <v>4</v>
      </c>
      <c r="I2351">
        <v>0.48887731481481483</v>
      </c>
      <c r="J2351">
        <v>44774</v>
      </c>
    </row>
    <row r="2352" spans="1:10" x14ac:dyDescent="0.35">
      <c r="A2352" s="2">
        <v>44781</v>
      </c>
      <c r="B2352" s="3">
        <v>0.1965625</v>
      </c>
      <c r="C2352">
        <v>2806</v>
      </c>
      <c r="D2352" t="str">
        <f>VLOOKUP(H2352,Produkt!$A$2:$B$5,2,FALSE)</f>
        <v>B</v>
      </c>
      <c r="H2352">
        <v>2</v>
      </c>
      <c r="I2352">
        <v>0.20380787037037038</v>
      </c>
      <c r="J2352">
        <v>44799</v>
      </c>
    </row>
    <row r="2353" spans="1:10" x14ac:dyDescent="0.35">
      <c r="A2353" s="2">
        <v>44781</v>
      </c>
      <c r="B2353" s="3">
        <v>8.3206018518518512E-2</v>
      </c>
      <c r="C2353">
        <v>2826</v>
      </c>
      <c r="D2353" t="str">
        <f>VLOOKUP(H2353,Produkt!$A$2:$B$5,2,FALSE)</f>
        <v>C</v>
      </c>
      <c r="H2353">
        <v>3</v>
      </c>
      <c r="I2353">
        <v>0.85416666666666663</v>
      </c>
      <c r="J2353">
        <v>44802</v>
      </c>
    </row>
    <row r="2354" spans="1:10" x14ac:dyDescent="0.35">
      <c r="A2354" s="2">
        <v>44781</v>
      </c>
      <c r="B2354" s="3">
        <v>0.71516203703703696</v>
      </c>
      <c r="C2354">
        <v>2859</v>
      </c>
      <c r="D2354" t="str">
        <f>VLOOKUP(H2354,Produkt!$A$2:$B$5,2,FALSE)</f>
        <v>D</v>
      </c>
      <c r="H2354">
        <v>4</v>
      </c>
      <c r="I2354">
        <v>0.64886574074074077</v>
      </c>
      <c r="J2354">
        <v>44798</v>
      </c>
    </row>
    <row r="2355" spans="1:10" x14ac:dyDescent="0.35">
      <c r="A2355" s="2">
        <v>44781</v>
      </c>
      <c r="B2355" s="3">
        <v>0.18340277777777778</v>
      </c>
      <c r="C2355">
        <v>2938</v>
      </c>
      <c r="D2355" t="str">
        <f>VLOOKUP(H2355,Produkt!$A$2:$B$5,2,FALSE)</f>
        <v>C</v>
      </c>
      <c r="H2355">
        <v>3</v>
      </c>
      <c r="I2355">
        <v>3.8877314814814816E-2</v>
      </c>
      <c r="J2355">
        <v>44775</v>
      </c>
    </row>
    <row r="2356" spans="1:10" x14ac:dyDescent="0.35">
      <c r="A2356" s="2">
        <v>44781</v>
      </c>
      <c r="B2356" s="3">
        <v>0.86579861111111101</v>
      </c>
      <c r="C2356">
        <v>2956</v>
      </c>
      <c r="D2356" t="str">
        <f>VLOOKUP(H2356,Produkt!$A$2:$B$5,2,FALSE)</f>
        <v>A</v>
      </c>
      <c r="H2356">
        <v>1</v>
      </c>
      <c r="I2356">
        <v>0.62474537037037037</v>
      </c>
      <c r="J2356">
        <v>44803</v>
      </c>
    </row>
    <row r="2357" spans="1:10" x14ac:dyDescent="0.35">
      <c r="A2357" s="2">
        <v>44781</v>
      </c>
      <c r="B2357" s="3">
        <v>0.5503703703703704</v>
      </c>
      <c r="C2357">
        <v>2961</v>
      </c>
      <c r="D2357" t="str">
        <f>VLOOKUP(H2357,Produkt!$A$2:$B$5,2,FALSE)</f>
        <v>A</v>
      </c>
      <c r="H2357">
        <v>1</v>
      </c>
      <c r="I2357">
        <v>0.41206018518518522</v>
      </c>
      <c r="J2357">
        <v>44801</v>
      </c>
    </row>
    <row r="2358" spans="1:10" x14ac:dyDescent="0.35">
      <c r="A2358" s="2">
        <v>44781</v>
      </c>
      <c r="B2358" s="3">
        <v>0.27451388888888889</v>
      </c>
      <c r="C2358">
        <v>3022</v>
      </c>
      <c r="D2358" t="str">
        <f>VLOOKUP(H2358,Produkt!$A$2:$B$5,2,FALSE)</f>
        <v>B</v>
      </c>
      <c r="H2358">
        <v>2</v>
      </c>
      <c r="I2358">
        <v>0.47458333333333336</v>
      </c>
      <c r="J2358">
        <v>44791</v>
      </c>
    </row>
    <row r="2359" spans="1:10" x14ac:dyDescent="0.35">
      <c r="A2359" s="2">
        <v>44781</v>
      </c>
      <c r="B2359" s="3">
        <v>0.64652777777777781</v>
      </c>
      <c r="C2359">
        <v>3040</v>
      </c>
      <c r="D2359" t="str">
        <f>VLOOKUP(H2359,Produkt!$A$2:$B$5,2,FALSE)</f>
        <v>B</v>
      </c>
      <c r="H2359">
        <v>2</v>
      </c>
      <c r="I2359">
        <v>0.80833333333333324</v>
      </c>
      <c r="J2359">
        <v>44781</v>
      </c>
    </row>
    <row r="2360" spans="1:10" x14ac:dyDescent="0.35">
      <c r="A2360" s="2">
        <v>44781</v>
      </c>
      <c r="B2360" s="3">
        <v>0.18832175925925929</v>
      </c>
      <c r="C2360">
        <v>3079</v>
      </c>
      <c r="D2360" t="str">
        <f>VLOOKUP(H2360,Produkt!$A$2:$B$5,2,FALSE)</f>
        <v>D</v>
      </c>
      <c r="H2360">
        <v>4</v>
      </c>
      <c r="I2360">
        <v>4.4328703703703709E-3</v>
      </c>
      <c r="J2360">
        <v>44783</v>
      </c>
    </row>
    <row r="2361" spans="1:10" x14ac:dyDescent="0.35">
      <c r="A2361" s="2">
        <v>44781</v>
      </c>
      <c r="B2361" s="3">
        <v>0.65888888888888886</v>
      </c>
      <c r="C2361">
        <v>3174</v>
      </c>
      <c r="D2361" t="str">
        <f>VLOOKUP(H2361,Produkt!$A$2:$B$5,2,FALSE)</f>
        <v>A</v>
      </c>
      <c r="H2361">
        <v>1</v>
      </c>
      <c r="I2361">
        <v>0.23495370370370372</v>
      </c>
      <c r="J2361">
        <v>44787</v>
      </c>
    </row>
    <row r="2362" spans="1:10" x14ac:dyDescent="0.35">
      <c r="A2362" s="2">
        <v>44781</v>
      </c>
      <c r="B2362" s="3">
        <v>0.31337962962962962</v>
      </c>
      <c r="C2362">
        <v>3186</v>
      </c>
      <c r="D2362" t="str">
        <f>VLOOKUP(H2362,Produkt!$A$2:$B$5,2,FALSE)</f>
        <v>C</v>
      </c>
      <c r="H2362">
        <v>3</v>
      </c>
      <c r="I2362">
        <v>0.68276620370370367</v>
      </c>
      <c r="J2362">
        <v>44784</v>
      </c>
    </row>
    <row r="2363" spans="1:10" x14ac:dyDescent="0.35">
      <c r="A2363" s="2">
        <v>44781</v>
      </c>
      <c r="B2363" s="3">
        <v>0.64771990740740748</v>
      </c>
      <c r="C2363">
        <v>3354</v>
      </c>
      <c r="D2363" t="str">
        <f>VLOOKUP(H2363,Produkt!$A$2:$B$5,2,FALSE)</f>
        <v>C</v>
      </c>
      <c r="H2363">
        <v>3</v>
      </c>
      <c r="I2363">
        <v>0.20571759259259259</v>
      </c>
      <c r="J2363">
        <v>44775</v>
      </c>
    </row>
    <row r="2364" spans="1:10" x14ac:dyDescent="0.35">
      <c r="A2364" s="2">
        <v>44781</v>
      </c>
      <c r="B2364" s="3">
        <v>2.6666666666666616E-2</v>
      </c>
      <c r="C2364">
        <v>3365</v>
      </c>
      <c r="D2364" t="str">
        <f>VLOOKUP(H2364,Produkt!$A$2:$B$5,2,FALSE)</f>
        <v>C</v>
      </c>
      <c r="H2364">
        <v>3</v>
      </c>
      <c r="I2364">
        <v>0.79608796296296302</v>
      </c>
      <c r="J2364">
        <v>44790</v>
      </c>
    </row>
    <row r="2365" spans="1:10" x14ac:dyDescent="0.35">
      <c r="A2365" s="2">
        <v>44781</v>
      </c>
      <c r="B2365" s="3">
        <v>0.89261574074074079</v>
      </c>
      <c r="C2365">
        <v>3424</v>
      </c>
      <c r="D2365" t="str">
        <f>VLOOKUP(H2365,Produkt!$A$2:$B$5,2,FALSE)</f>
        <v>D</v>
      </c>
      <c r="H2365">
        <v>4</v>
      </c>
      <c r="I2365">
        <v>0.66710648148148144</v>
      </c>
      <c r="J2365">
        <v>44782</v>
      </c>
    </row>
    <row r="2366" spans="1:10" x14ac:dyDescent="0.35">
      <c r="A2366" s="2">
        <v>44781</v>
      </c>
      <c r="B2366" s="3">
        <v>0.69734953703703706</v>
      </c>
      <c r="C2366">
        <v>3473</v>
      </c>
      <c r="D2366" t="str">
        <f>VLOOKUP(H2366,Produkt!$A$2:$B$5,2,FALSE)</f>
        <v>B</v>
      </c>
      <c r="H2366">
        <v>2</v>
      </c>
      <c r="I2366">
        <v>0.35375000000000001</v>
      </c>
      <c r="J2366">
        <v>44774</v>
      </c>
    </row>
    <row r="2367" spans="1:10" x14ac:dyDescent="0.35">
      <c r="A2367" s="2">
        <v>44781</v>
      </c>
      <c r="B2367" s="3">
        <v>0.89627314814814818</v>
      </c>
      <c r="C2367">
        <v>3485</v>
      </c>
      <c r="D2367" t="str">
        <f>VLOOKUP(H2367,Produkt!$A$2:$B$5,2,FALSE)</f>
        <v>B</v>
      </c>
      <c r="H2367">
        <v>2</v>
      </c>
      <c r="I2367">
        <v>7.8761574074074067E-2</v>
      </c>
      <c r="J2367">
        <v>44777</v>
      </c>
    </row>
    <row r="2368" spans="1:10" x14ac:dyDescent="0.35">
      <c r="A2368" s="2">
        <v>44781</v>
      </c>
      <c r="B2368" s="3">
        <v>0.69108796296296304</v>
      </c>
      <c r="C2368">
        <v>3489</v>
      </c>
      <c r="D2368" t="str">
        <f>VLOOKUP(H2368,Produkt!$A$2:$B$5,2,FALSE)</f>
        <v>C</v>
      </c>
      <c r="H2368">
        <v>3</v>
      </c>
      <c r="I2368">
        <v>1.3425925925925952E-2</v>
      </c>
      <c r="J2368">
        <v>44781</v>
      </c>
    </row>
    <row r="2369" spans="1:10" x14ac:dyDescent="0.35">
      <c r="A2369" s="2">
        <v>44781</v>
      </c>
      <c r="B2369" s="3">
        <v>0.53365740740740741</v>
      </c>
      <c r="C2369">
        <v>3522</v>
      </c>
      <c r="D2369" t="str">
        <f>VLOOKUP(H2369,Produkt!$A$2:$B$5,2,FALSE)</f>
        <v>C</v>
      </c>
      <c r="H2369">
        <v>3</v>
      </c>
      <c r="I2369">
        <v>0.30516203703703704</v>
      </c>
      <c r="J2369">
        <v>44780</v>
      </c>
    </row>
    <row r="2370" spans="1:10" x14ac:dyDescent="0.35">
      <c r="A2370" s="2">
        <v>44781</v>
      </c>
      <c r="B2370" s="3">
        <v>0.70416666666666661</v>
      </c>
      <c r="C2370">
        <v>3553</v>
      </c>
      <c r="D2370" t="str">
        <f>VLOOKUP(H2370,Produkt!$A$2:$B$5,2,FALSE)</f>
        <v>B</v>
      </c>
      <c r="H2370">
        <v>2</v>
      </c>
      <c r="I2370">
        <v>0.51356481481481475</v>
      </c>
      <c r="J2370">
        <v>44801</v>
      </c>
    </row>
    <row r="2371" spans="1:10" x14ac:dyDescent="0.35">
      <c r="A2371" s="2">
        <v>44781</v>
      </c>
      <c r="B2371" s="3">
        <v>0.83118055555555559</v>
      </c>
      <c r="C2371">
        <v>3561</v>
      </c>
      <c r="D2371" t="str">
        <f>VLOOKUP(H2371,Produkt!$A$2:$B$5,2,FALSE)</f>
        <v>C</v>
      </c>
      <c r="H2371">
        <v>3</v>
      </c>
      <c r="I2371">
        <v>0.55664351851851845</v>
      </c>
      <c r="J2371">
        <v>44777</v>
      </c>
    </row>
    <row r="2372" spans="1:10" x14ac:dyDescent="0.35">
      <c r="A2372" s="2">
        <v>44781</v>
      </c>
      <c r="B2372" s="3">
        <v>0.8537499999999999</v>
      </c>
      <c r="C2372">
        <v>3654</v>
      </c>
      <c r="D2372" t="str">
        <f>VLOOKUP(H2372,Produkt!$A$2:$B$5,2,FALSE)</f>
        <v>C</v>
      </c>
      <c r="H2372">
        <v>3</v>
      </c>
      <c r="I2372">
        <v>0.92550925925925931</v>
      </c>
      <c r="J2372">
        <v>44778</v>
      </c>
    </row>
    <row r="2373" spans="1:10" x14ac:dyDescent="0.35">
      <c r="A2373" s="2">
        <v>44781</v>
      </c>
      <c r="B2373" s="3">
        <v>0.6228703703703703</v>
      </c>
      <c r="C2373">
        <v>3671</v>
      </c>
      <c r="D2373" t="str">
        <f>VLOOKUP(H2373,Produkt!$A$2:$B$5,2,FALSE)</f>
        <v>D</v>
      </c>
      <c r="H2373">
        <v>4</v>
      </c>
      <c r="I2373">
        <v>0.96703703703703703</v>
      </c>
      <c r="J2373">
        <v>44795</v>
      </c>
    </row>
    <row r="2374" spans="1:10" x14ac:dyDescent="0.35">
      <c r="A2374" s="2">
        <v>44781</v>
      </c>
      <c r="B2374" s="3">
        <v>0.26556712962962964</v>
      </c>
      <c r="C2374">
        <v>3693</v>
      </c>
      <c r="D2374" t="str">
        <f>VLOOKUP(H2374,Produkt!$A$2:$B$5,2,FALSE)</f>
        <v>C</v>
      </c>
      <c r="H2374">
        <v>3</v>
      </c>
      <c r="I2374">
        <v>0.70856481481481481</v>
      </c>
      <c r="J2374">
        <v>44796</v>
      </c>
    </row>
    <row r="2375" spans="1:10" x14ac:dyDescent="0.35">
      <c r="A2375" s="2">
        <v>44781</v>
      </c>
      <c r="B2375" s="3">
        <v>0.44385416666666666</v>
      </c>
      <c r="C2375">
        <v>3745</v>
      </c>
      <c r="D2375" t="str">
        <f>VLOOKUP(H2375,Produkt!$A$2:$B$5,2,FALSE)</f>
        <v>D</v>
      </c>
      <c r="H2375">
        <v>4</v>
      </c>
      <c r="I2375">
        <v>3.7152777777777778E-2</v>
      </c>
      <c r="J2375">
        <v>44789</v>
      </c>
    </row>
    <row r="2376" spans="1:10" x14ac:dyDescent="0.35">
      <c r="A2376" s="2">
        <v>44781</v>
      </c>
      <c r="B2376" s="3">
        <v>0.30223379629629626</v>
      </c>
      <c r="C2376">
        <v>3846</v>
      </c>
      <c r="D2376" t="str">
        <f>VLOOKUP(H2376,Produkt!$A$2:$B$5,2,FALSE)</f>
        <v>B</v>
      </c>
      <c r="H2376">
        <v>2</v>
      </c>
      <c r="I2376">
        <v>0.23954861111111111</v>
      </c>
      <c r="J2376">
        <v>44787</v>
      </c>
    </row>
    <row r="2377" spans="1:10" x14ac:dyDescent="0.35">
      <c r="A2377" s="2">
        <v>44781</v>
      </c>
      <c r="B2377" s="3">
        <v>8.819444444444445E-2</v>
      </c>
      <c r="C2377">
        <v>3882</v>
      </c>
      <c r="D2377" t="str">
        <f>VLOOKUP(H2377,Produkt!$A$2:$B$5,2,FALSE)</f>
        <v>B</v>
      </c>
      <c r="H2377">
        <v>2</v>
      </c>
      <c r="I2377">
        <v>0.29446759259259259</v>
      </c>
      <c r="J2377">
        <v>44785</v>
      </c>
    </row>
    <row r="2378" spans="1:10" x14ac:dyDescent="0.35">
      <c r="A2378" s="2">
        <v>44781</v>
      </c>
      <c r="B2378" s="3">
        <v>0.24090277777777777</v>
      </c>
      <c r="C2378">
        <v>3898</v>
      </c>
      <c r="D2378" t="str">
        <f>VLOOKUP(H2378,Produkt!$A$2:$B$5,2,FALSE)</f>
        <v>B</v>
      </c>
      <c r="H2378">
        <v>2</v>
      </c>
      <c r="I2378">
        <v>0.33957175925925925</v>
      </c>
      <c r="J2378">
        <v>44794</v>
      </c>
    </row>
    <row r="2379" spans="1:10" x14ac:dyDescent="0.35">
      <c r="A2379" s="2">
        <v>44781</v>
      </c>
      <c r="B2379" s="3">
        <v>0.30484953703703704</v>
      </c>
      <c r="C2379">
        <v>3925</v>
      </c>
      <c r="D2379" t="str">
        <f>VLOOKUP(H2379,Produkt!$A$2:$B$5,2,FALSE)</f>
        <v>B</v>
      </c>
      <c r="H2379">
        <v>2</v>
      </c>
      <c r="I2379">
        <v>1.5127314814814774E-2</v>
      </c>
      <c r="J2379">
        <v>44779</v>
      </c>
    </row>
    <row r="2380" spans="1:10" x14ac:dyDescent="0.35">
      <c r="A2380" s="2">
        <v>44781</v>
      </c>
      <c r="B2380" s="3">
        <v>0.64692129629629636</v>
      </c>
      <c r="C2380">
        <v>3968</v>
      </c>
      <c r="D2380" t="str">
        <f>VLOOKUP(H2380,Produkt!$A$2:$B$5,2,FALSE)</f>
        <v>A</v>
      </c>
      <c r="H2380">
        <v>1</v>
      </c>
      <c r="I2380">
        <v>0.39684027777777775</v>
      </c>
      <c r="J2380">
        <v>44799</v>
      </c>
    </row>
    <row r="2381" spans="1:10" x14ac:dyDescent="0.35">
      <c r="A2381" s="2">
        <v>44781</v>
      </c>
      <c r="B2381" s="3">
        <v>0.13076388888888887</v>
      </c>
      <c r="C2381">
        <v>3999</v>
      </c>
      <c r="D2381" t="str">
        <f>VLOOKUP(H2381,Produkt!$A$2:$B$5,2,FALSE)</f>
        <v>C</v>
      </c>
      <c r="H2381">
        <v>3</v>
      </c>
      <c r="I2381">
        <v>0.84326388888888892</v>
      </c>
      <c r="J2381">
        <v>44777</v>
      </c>
    </row>
    <row r="2382" spans="1:10" x14ac:dyDescent="0.35">
      <c r="A2382" s="2">
        <v>44781</v>
      </c>
      <c r="B2382" s="3">
        <v>0.37586805555555558</v>
      </c>
      <c r="C2382">
        <v>4044</v>
      </c>
      <c r="D2382" t="str">
        <f>VLOOKUP(H2382,Produkt!$A$2:$B$5,2,FALSE)</f>
        <v>C</v>
      </c>
      <c r="H2382">
        <v>3</v>
      </c>
      <c r="I2382">
        <v>0.48395833333333332</v>
      </c>
      <c r="J2382">
        <v>44785</v>
      </c>
    </row>
    <row r="2383" spans="1:10" x14ac:dyDescent="0.35">
      <c r="A2383" s="2">
        <v>44781</v>
      </c>
      <c r="B2383" s="3">
        <v>0.48791666666666672</v>
      </c>
      <c r="C2383">
        <v>4046</v>
      </c>
      <c r="D2383" t="str">
        <f>VLOOKUP(H2383,Produkt!$A$2:$B$5,2,FALSE)</f>
        <v>C</v>
      </c>
      <c r="H2383">
        <v>3</v>
      </c>
      <c r="I2383">
        <v>3.3784722222222285E-2</v>
      </c>
      <c r="J2383">
        <v>44796</v>
      </c>
    </row>
    <row r="2384" spans="1:10" x14ac:dyDescent="0.35">
      <c r="A2384" s="2">
        <v>44781</v>
      </c>
      <c r="B2384" s="3">
        <v>0.31153935185185183</v>
      </c>
      <c r="C2384">
        <v>4093</v>
      </c>
      <c r="D2384" t="str">
        <f>VLOOKUP(H2384,Produkt!$A$2:$B$5,2,FALSE)</f>
        <v>A</v>
      </c>
      <c r="H2384">
        <v>1</v>
      </c>
      <c r="I2384">
        <v>0.35628472222222224</v>
      </c>
      <c r="J2384">
        <v>44804</v>
      </c>
    </row>
    <row r="2385" spans="1:10" x14ac:dyDescent="0.35">
      <c r="A2385" s="2">
        <v>44781</v>
      </c>
      <c r="B2385" s="3">
        <v>8.3831018518518527E-2</v>
      </c>
      <c r="C2385">
        <v>4133</v>
      </c>
      <c r="D2385" t="str">
        <f>VLOOKUP(H2385,Produkt!$A$2:$B$5,2,FALSE)</f>
        <v>B</v>
      </c>
      <c r="H2385">
        <v>2</v>
      </c>
      <c r="I2385">
        <v>0.98105324074074074</v>
      </c>
      <c r="J2385">
        <v>44797</v>
      </c>
    </row>
    <row r="2386" spans="1:10" x14ac:dyDescent="0.35">
      <c r="A2386" s="2">
        <v>44781</v>
      </c>
      <c r="B2386" s="3">
        <v>0.72986111111111107</v>
      </c>
      <c r="C2386">
        <v>4134</v>
      </c>
      <c r="D2386" t="str">
        <f>VLOOKUP(H2386,Produkt!$A$2:$B$5,2,FALSE)</f>
        <v>C</v>
      </c>
      <c r="H2386">
        <v>3</v>
      </c>
      <c r="I2386">
        <v>0.21249999999999999</v>
      </c>
      <c r="J2386">
        <v>44778</v>
      </c>
    </row>
    <row r="2387" spans="1:10" x14ac:dyDescent="0.35">
      <c r="A2387" s="2">
        <v>44781</v>
      </c>
      <c r="B2387" s="3">
        <v>0.25694444444444448</v>
      </c>
      <c r="C2387">
        <v>4325</v>
      </c>
      <c r="D2387" t="str">
        <f>VLOOKUP(H2387,Produkt!$A$2:$B$5,2,FALSE)</f>
        <v>A</v>
      </c>
      <c r="H2387">
        <v>1</v>
      </c>
      <c r="I2387">
        <v>0.77910879629629637</v>
      </c>
      <c r="J2387">
        <v>44790</v>
      </c>
    </row>
    <row r="2388" spans="1:10" x14ac:dyDescent="0.35">
      <c r="A2388" s="2">
        <v>44781</v>
      </c>
      <c r="B2388" s="3">
        <v>0.11258101851851852</v>
      </c>
      <c r="C2388">
        <v>4332</v>
      </c>
      <c r="D2388" t="str">
        <f>VLOOKUP(H2388,Produkt!$A$2:$B$5,2,FALSE)</f>
        <v>A</v>
      </c>
      <c r="H2388">
        <v>1</v>
      </c>
      <c r="I2388">
        <v>0.23326388888888891</v>
      </c>
      <c r="J2388">
        <v>44788</v>
      </c>
    </row>
    <row r="2389" spans="1:10" x14ac:dyDescent="0.35">
      <c r="A2389" s="2">
        <v>44781</v>
      </c>
      <c r="B2389" s="3">
        <v>0.8090046296296296</v>
      </c>
      <c r="C2389">
        <v>4345</v>
      </c>
      <c r="D2389" t="str">
        <f>VLOOKUP(H2389,Produkt!$A$2:$B$5,2,FALSE)</f>
        <v>C</v>
      </c>
      <c r="H2389">
        <v>3</v>
      </c>
      <c r="I2389">
        <v>0.47696759259259264</v>
      </c>
      <c r="J2389">
        <v>44797</v>
      </c>
    </row>
    <row r="2390" spans="1:10" x14ac:dyDescent="0.35">
      <c r="A2390" s="2">
        <v>44781</v>
      </c>
      <c r="B2390" s="3">
        <v>1.9444444444444445E-2</v>
      </c>
      <c r="C2390">
        <v>4356</v>
      </c>
      <c r="D2390" t="str">
        <f>VLOOKUP(H2390,Produkt!$A$2:$B$5,2,FALSE)</f>
        <v>B</v>
      </c>
      <c r="H2390">
        <v>2</v>
      </c>
      <c r="I2390">
        <v>0.86350694444444442</v>
      </c>
      <c r="J2390">
        <v>44775</v>
      </c>
    </row>
    <row r="2391" spans="1:10" x14ac:dyDescent="0.35">
      <c r="A2391" s="2">
        <v>44781</v>
      </c>
      <c r="B2391" s="3">
        <v>2.7870370370370434E-2</v>
      </c>
      <c r="C2391">
        <v>4403</v>
      </c>
      <c r="D2391" t="str">
        <f>VLOOKUP(H2391,Produkt!$A$2:$B$5,2,FALSE)</f>
        <v>B</v>
      </c>
      <c r="H2391">
        <v>2</v>
      </c>
      <c r="I2391">
        <v>0.93148148148148147</v>
      </c>
      <c r="J2391">
        <v>44774</v>
      </c>
    </row>
    <row r="2392" spans="1:10" x14ac:dyDescent="0.35">
      <c r="A2392" s="2">
        <v>44781</v>
      </c>
      <c r="B2392" s="3">
        <v>0.26710648148148147</v>
      </c>
      <c r="C2392">
        <v>4444</v>
      </c>
      <c r="D2392" t="str">
        <f>VLOOKUP(H2392,Produkt!$A$2:$B$5,2,FALSE)</f>
        <v>B</v>
      </c>
      <c r="H2392">
        <v>2</v>
      </c>
      <c r="I2392">
        <v>0.36990740740740741</v>
      </c>
      <c r="J2392">
        <v>44781</v>
      </c>
    </row>
    <row r="2393" spans="1:10" x14ac:dyDescent="0.35">
      <c r="A2393" s="2">
        <v>44781</v>
      </c>
      <c r="B2393" s="3">
        <v>5.0115740740740738E-2</v>
      </c>
      <c r="C2393">
        <v>4447</v>
      </c>
      <c r="D2393" t="str">
        <f>VLOOKUP(H2393,Produkt!$A$2:$B$5,2,FALSE)</f>
        <v>B</v>
      </c>
      <c r="H2393">
        <v>2</v>
      </c>
      <c r="I2393">
        <v>0.66221064814814812</v>
      </c>
      <c r="J2393">
        <v>44774</v>
      </c>
    </row>
    <row r="2394" spans="1:10" x14ac:dyDescent="0.35">
      <c r="A2394" s="2">
        <v>44781</v>
      </c>
      <c r="B2394" s="3">
        <v>0.18756944444444446</v>
      </c>
      <c r="C2394">
        <v>4453</v>
      </c>
      <c r="D2394" t="str">
        <f>VLOOKUP(H2394,Produkt!$A$2:$B$5,2,FALSE)</f>
        <v>D</v>
      </c>
      <c r="H2394">
        <v>4</v>
      </c>
      <c r="I2394">
        <v>0.28712962962962962</v>
      </c>
      <c r="J2394">
        <v>44802</v>
      </c>
    </row>
    <row r="2395" spans="1:10" x14ac:dyDescent="0.35">
      <c r="A2395" s="2">
        <v>44781</v>
      </c>
      <c r="B2395" s="3">
        <v>0.90582175925925934</v>
      </c>
      <c r="C2395">
        <v>4489</v>
      </c>
      <c r="D2395" t="str">
        <f>VLOOKUP(H2395,Produkt!$A$2:$B$5,2,FALSE)</f>
        <v>D</v>
      </c>
      <c r="H2395">
        <v>4</v>
      </c>
      <c r="I2395">
        <v>0.16100694444444444</v>
      </c>
      <c r="J2395">
        <v>44774</v>
      </c>
    </row>
    <row r="2396" spans="1:10" x14ac:dyDescent="0.35">
      <c r="A2396" s="2">
        <v>44781</v>
      </c>
      <c r="B2396" s="3">
        <v>0.77358796296296306</v>
      </c>
      <c r="C2396">
        <v>4603</v>
      </c>
      <c r="D2396" t="str">
        <f>VLOOKUP(H2396,Produkt!$A$2:$B$5,2,FALSE)</f>
        <v>B</v>
      </c>
      <c r="H2396">
        <v>2</v>
      </c>
      <c r="I2396">
        <v>0.15416666666666667</v>
      </c>
      <c r="J2396">
        <v>44803</v>
      </c>
    </row>
    <row r="2397" spans="1:10" x14ac:dyDescent="0.35">
      <c r="A2397" s="2">
        <v>44781</v>
      </c>
      <c r="B2397" s="3">
        <v>0.81666666666666676</v>
      </c>
      <c r="C2397">
        <v>4654</v>
      </c>
      <c r="D2397" t="str">
        <f>VLOOKUP(H2397,Produkt!$A$2:$B$5,2,FALSE)</f>
        <v>B</v>
      </c>
      <c r="H2397">
        <v>2</v>
      </c>
      <c r="I2397">
        <v>2.2662037037037175E-2</v>
      </c>
      <c r="J2397">
        <v>44801</v>
      </c>
    </row>
    <row r="2398" spans="1:10" x14ac:dyDescent="0.35">
      <c r="A2398" s="2">
        <v>44781</v>
      </c>
      <c r="B2398" s="3">
        <v>0.51549768518518524</v>
      </c>
      <c r="C2398">
        <v>4697</v>
      </c>
      <c r="D2398" t="str">
        <f>VLOOKUP(H2398,Produkt!$A$2:$B$5,2,FALSE)</f>
        <v>B</v>
      </c>
      <c r="H2398">
        <v>2</v>
      </c>
      <c r="I2398">
        <v>0.10350694444444446</v>
      </c>
      <c r="J2398">
        <v>44804</v>
      </c>
    </row>
    <row r="2399" spans="1:10" x14ac:dyDescent="0.35">
      <c r="A2399" s="2">
        <v>44781</v>
      </c>
      <c r="B2399" s="3">
        <v>0.74791666666666667</v>
      </c>
      <c r="C2399">
        <v>4716</v>
      </c>
      <c r="D2399" t="str">
        <f>VLOOKUP(H2399,Produkt!$A$2:$B$5,2,FALSE)</f>
        <v>D</v>
      </c>
      <c r="H2399">
        <v>4</v>
      </c>
      <c r="I2399">
        <v>0.94245370370370374</v>
      </c>
      <c r="J2399">
        <v>44793</v>
      </c>
    </row>
    <row r="2400" spans="1:10" x14ac:dyDescent="0.35">
      <c r="A2400" s="2">
        <v>44781</v>
      </c>
      <c r="B2400" s="3">
        <v>3.4641203703703605E-2</v>
      </c>
      <c r="C2400">
        <v>4746</v>
      </c>
      <c r="D2400" t="str">
        <f>VLOOKUP(H2400,Produkt!$A$2:$B$5,2,FALSE)</f>
        <v>C</v>
      </c>
      <c r="H2400">
        <v>3</v>
      </c>
      <c r="I2400">
        <v>0.67230324074074066</v>
      </c>
      <c r="J2400">
        <v>44774</v>
      </c>
    </row>
    <row r="2401" spans="1:10" x14ac:dyDescent="0.35">
      <c r="A2401" s="2">
        <v>44781</v>
      </c>
      <c r="B2401" s="3">
        <v>2.3402777777777783E-2</v>
      </c>
      <c r="C2401">
        <v>4779</v>
      </c>
      <c r="D2401" t="str">
        <f>VLOOKUP(H2401,Produkt!$A$2:$B$5,2,FALSE)</f>
        <v>A</v>
      </c>
      <c r="H2401">
        <v>1</v>
      </c>
      <c r="I2401">
        <v>0.86059027777777775</v>
      </c>
      <c r="J2401">
        <v>44779</v>
      </c>
    </row>
    <row r="2402" spans="1:10" x14ac:dyDescent="0.35">
      <c r="A2402" s="2">
        <v>44781</v>
      </c>
      <c r="B2402" s="3">
        <v>0.36461805555555554</v>
      </c>
      <c r="C2402">
        <v>4781</v>
      </c>
      <c r="D2402" t="str">
        <f>VLOOKUP(H2402,Produkt!$A$2:$B$5,2,FALSE)</f>
        <v>C</v>
      </c>
      <c r="H2402">
        <v>3</v>
      </c>
      <c r="I2402">
        <v>0.87497685185185192</v>
      </c>
      <c r="J2402">
        <v>44793</v>
      </c>
    </row>
    <row r="2403" spans="1:10" x14ac:dyDescent="0.35">
      <c r="A2403" s="2">
        <v>44781</v>
      </c>
      <c r="B2403" s="3">
        <v>0.53273148148148153</v>
      </c>
      <c r="C2403">
        <v>4793</v>
      </c>
      <c r="D2403" t="str">
        <f>VLOOKUP(H2403,Produkt!$A$2:$B$5,2,FALSE)</f>
        <v>A</v>
      </c>
      <c r="H2403">
        <v>1</v>
      </c>
      <c r="I2403">
        <v>0.63821759259259259</v>
      </c>
      <c r="J2403">
        <v>44792</v>
      </c>
    </row>
    <row r="2404" spans="1:10" x14ac:dyDescent="0.35">
      <c r="A2404" s="2">
        <v>44781</v>
      </c>
      <c r="B2404" s="3">
        <v>0.16033564814814816</v>
      </c>
      <c r="C2404">
        <v>4827</v>
      </c>
      <c r="D2404" t="str">
        <f>VLOOKUP(H2404,Produkt!$A$2:$B$5,2,FALSE)</f>
        <v>B</v>
      </c>
      <c r="H2404">
        <v>2</v>
      </c>
      <c r="I2404">
        <v>0.29072916666666665</v>
      </c>
      <c r="J2404">
        <v>44784</v>
      </c>
    </row>
    <row r="2405" spans="1:10" x14ac:dyDescent="0.35">
      <c r="A2405" s="2">
        <v>44781</v>
      </c>
      <c r="B2405" s="3">
        <v>0.94292824074074078</v>
      </c>
      <c r="C2405">
        <v>4838</v>
      </c>
      <c r="D2405" t="str">
        <f>VLOOKUP(H2405,Produkt!$A$2:$B$5,2,FALSE)</f>
        <v>C</v>
      </c>
      <c r="H2405">
        <v>3</v>
      </c>
      <c r="I2405">
        <v>3.0393518518518518E-2</v>
      </c>
      <c r="J2405">
        <v>44798</v>
      </c>
    </row>
    <row r="2406" spans="1:10" x14ac:dyDescent="0.35">
      <c r="A2406" s="2">
        <v>44781</v>
      </c>
      <c r="B2406" s="3">
        <v>8.3379629629629637E-2</v>
      </c>
      <c r="C2406">
        <v>4842</v>
      </c>
      <c r="D2406" t="str">
        <f>VLOOKUP(H2406,Produkt!$A$2:$B$5,2,FALSE)</f>
        <v>D</v>
      </c>
      <c r="H2406">
        <v>4</v>
      </c>
      <c r="I2406">
        <v>5.740740740740824E-3</v>
      </c>
      <c r="J2406">
        <v>44784</v>
      </c>
    </row>
    <row r="2407" spans="1:10" x14ac:dyDescent="0.35">
      <c r="A2407" s="2">
        <v>44781</v>
      </c>
      <c r="B2407" s="3">
        <v>0.83340277777777771</v>
      </c>
      <c r="C2407">
        <v>4888</v>
      </c>
      <c r="D2407" t="str">
        <f>VLOOKUP(H2407,Produkt!$A$2:$B$5,2,FALSE)</f>
        <v>A</v>
      </c>
      <c r="H2407">
        <v>1</v>
      </c>
      <c r="I2407">
        <v>3.3680555555555491E-2</v>
      </c>
      <c r="J2407">
        <v>44795</v>
      </c>
    </row>
    <row r="2408" spans="1:10" x14ac:dyDescent="0.35">
      <c r="A2408" s="2">
        <v>44781</v>
      </c>
      <c r="B2408" s="3">
        <v>0.64094907407407409</v>
      </c>
      <c r="C2408">
        <v>4946</v>
      </c>
      <c r="D2408" t="str">
        <f>VLOOKUP(H2408,Produkt!$A$2:$B$5,2,FALSE)</f>
        <v>D</v>
      </c>
      <c r="H2408">
        <v>4</v>
      </c>
      <c r="I2408">
        <v>0.91218749999999993</v>
      </c>
      <c r="J2408">
        <v>44785</v>
      </c>
    </row>
    <row r="2409" spans="1:10" x14ac:dyDescent="0.35">
      <c r="A2409" s="2">
        <v>44781</v>
      </c>
      <c r="B2409" s="3">
        <v>0.71244212962962961</v>
      </c>
      <c r="C2409">
        <v>4960</v>
      </c>
      <c r="D2409" t="str">
        <f>VLOOKUP(H2409,Produkt!$A$2:$B$5,2,FALSE)</f>
        <v>C</v>
      </c>
      <c r="H2409">
        <v>3</v>
      </c>
      <c r="I2409">
        <v>0.9173958333333333</v>
      </c>
      <c r="J2409">
        <v>44798</v>
      </c>
    </row>
    <row r="2410" spans="1:10" x14ac:dyDescent="0.35">
      <c r="A2410" s="2">
        <v>44781</v>
      </c>
      <c r="B2410" s="3">
        <v>0.66745370370370372</v>
      </c>
      <c r="C2410">
        <v>4979</v>
      </c>
      <c r="D2410" t="str">
        <f>VLOOKUP(H2410,Produkt!$A$2:$B$5,2,FALSE)</f>
        <v>D</v>
      </c>
      <c r="H2410">
        <v>4</v>
      </c>
      <c r="I2410">
        <v>0.89584490740740741</v>
      </c>
      <c r="J2410">
        <v>44804</v>
      </c>
    </row>
    <row r="2411" spans="1:10" x14ac:dyDescent="0.35">
      <c r="A2411" s="2">
        <v>44781</v>
      </c>
      <c r="B2411" s="3">
        <v>0.78281250000000002</v>
      </c>
      <c r="C2411">
        <v>5015</v>
      </c>
      <c r="D2411" t="str">
        <f>VLOOKUP(H2411,Produkt!$A$2:$B$5,2,FALSE)</f>
        <v>D</v>
      </c>
      <c r="H2411">
        <v>4</v>
      </c>
      <c r="I2411">
        <v>0.53561342592592587</v>
      </c>
      <c r="J2411">
        <v>44785</v>
      </c>
    </row>
    <row r="2412" spans="1:10" x14ac:dyDescent="0.35">
      <c r="A2412" s="2">
        <v>44781</v>
      </c>
      <c r="B2412" s="3">
        <v>0.12509259259259259</v>
      </c>
      <c r="C2412">
        <v>5070</v>
      </c>
      <c r="D2412" t="str">
        <f>VLOOKUP(H2412,Produkt!$A$2:$B$5,2,FALSE)</f>
        <v>A</v>
      </c>
      <c r="H2412">
        <v>1</v>
      </c>
      <c r="I2412">
        <v>0.66297453703703701</v>
      </c>
      <c r="J2412">
        <v>44791</v>
      </c>
    </row>
    <row r="2413" spans="1:10" x14ac:dyDescent="0.35">
      <c r="A2413" s="2">
        <v>44781</v>
      </c>
      <c r="B2413" s="3">
        <v>0.67328703703703707</v>
      </c>
      <c r="C2413">
        <v>5089</v>
      </c>
      <c r="D2413" t="str">
        <f>VLOOKUP(H2413,Produkt!$A$2:$B$5,2,FALSE)</f>
        <v>B</v>
      </c>
      <c r="H2413">
        <v>2</v>
      </c>
      <c r="I2413">
        <v>9.0856481481480511E-3</v>
      </c>
      <c r="J2413">
        <v>44780</v>
      </c>
    </row>
    <row r="2414" spans="1:10" x14ac:dyDescent="0.35">
      <c r="A2414" s="2">
        <v>44781</v>
      </c>
      <c r="B2414" s="3">
        <v>0.71309027777777778</v>
      </c>
      <c r="C2414">
        <v>5129</v>
      </c>
      <c r="D2414" t="str">
        <f>VLOOKUP(H2414,Produkt!$A$2:$B$5,2,FALSE)</f>
        <v>A</v>
      </c>
      <c r="H2414">
        <v>1</v>
      </c>
      <c r="I2414">
        <v>0.25009259259259259</v>
      </c>
      <c r="J2414">
        <v>44774</v>
      </c>
    </row>
    <row r="2415" spans="1:10" x14ac:dyDescent="0.35">
      <c r="A2415" s="2">
        <v>44781</v>
      </c>
      <c r="B2415" s="3">
        <v>0.83119212962962974</v>
      </c>
      <c r="C2415">
        <v>5232</v>
      </c>
      <c r="D2415" t="str">
        <f>VLOOKUP(H2415,Produkt!$A$2:$B$5,2,FALSE)</f>
        <v>C</v>
      </c>
      <c r="H2415">
        <v>3</v>
      </c>
      <c r="I2415">
        <v>0.93346064814814822</v>
      </c>
      <c r="J2415">
        <v>44802</v>
      </c>
    </row>
    <row r="2416" spans="1:10" x14ac:dyDescent="0.35">
      <c r="A2416" s="2">
        <v>44781</v>
      </c>
      <c r="B2416" s="3">
        <v>0.53240740740740744</v>
      </c>
      <c r="C2416">
        <v>5233</v>
      </c>
      <c r="D2416" t="str">
        <f>VLOOKUP(H2416,Produkt!$A$2:$B$5,2,FALSE)</f>
        <v>C</v>
      </c>
      <c r="H2416">
        <v>3</v>
      </c>
      <c r="I2416">
        <v>8.9513888888888893E-2</v>
      </c>
      <c r="J2416">
        <v>44775</v>
      </c>
    </row>
    <row r="2417" spans="1:10" x14ac:dyDescent="0.35">
      <c r="A2417" s="2">
        <v>44781</v>
      </c>
      <c r="B2417" s="3">
        <v>7.2881944444444444E-2</v>
      </c>
      <c r="C2417">
        <v>5248</v>
      </c>
      <c r="D2417" t="str">
        <f>VLOOKUP(H2417,Produkt!$A$2:$B$5,2,FALSE)</f>
        <v>A</v>
      </c>
      <c r="H2417">
        <v>1</v>
      </c>
      <c r="I2417">
        <v>0.4317361111111111</v>
      </c>
      <c r="J2417">
        <v>44775</v>
      </c>
    </row>
    <row r="2418" spans="1:10" x14ac:dyDescent="0.35">
      <c r="A2418" s="2">
        <v>44781</v>
      </c>
      <c r="B2418" s="3">
        <v>0.87873842592592588</v>
      </c>
      <c r="C2418">
        <v>5266</v>
      </c>
      <c r="D2418" t="str">
        <f>VLOOKUP(H2418,Produkt!$A$2:$B$5,2,FALSE)</f>
        <v>D</v>
      </c>
      <c r="H2418">
        <v>4</v>
      </c>
      <c r="I2418">
        <v>0.68449074074074068</v>
      </c>
      <c r="J2418">
        <v>44799</v>
      </c>
    </row>
    <row r="2419" spans="1:10" x14ac:dyDescent="0.35">
      <c r="A2419" s="2">
        <v>44781</v>
      </c>
      <c r="B2419" s="3">
        <v>1.7615740740740682E-2</v>
      </c>
      <c r="C2419">
        <v>5283</v>
      </c>
      <c r="D2419" t="str">
        <f>VLOOKUP(H2419,Produkt!$A$2:$B$5,2,FALSE)</f>
        <v>C</v>
      </c>
      <c r="H2419">
        <v>3</v>
      </c>
      <c r="I2419">
        <v>0.56334490740740739</v>
      </c>
      <c r="J2419">
        <v>44800</v>
      </c>
    </row>
    <row r="2420" spans="1:10" x14ac:dyDescent="0.35">
      <c r="A2420" s="2">
        <v>44781</v>
      </c>
      <c r="B2420" s="3">
        <v>5.347222222222222E-3</v>
      </c>
      <c r="C2420">
        <v>5325</v>
      </c>
      <c r="D2420" t="str">
        <f>VLOOKUP(H2420,Produkt!$A$2:$B$5,2,FALSE)</f>
        <v>D</v>
      </c>
      <c r="H2420">
        <v>4</v>
      </c>
      <c r="I2420">
        <v>0.69697916666666659</v>
      </c>
      <c r="J2420">
        <v>44804</v>
      </c>
    </row>
    <row r="2421" spans="1:10" x14ac:dyDescent="0.35">
      <c r="A2421" s="2">
        <v>44781</v>
      </c>
      <c r="B2421" s="3">
        <v>0.14460648148148147</v>
      </c>
      <c r="C2421">
        <v>5328</v>
      </c>
      <c r="D2421" t="str">
        <f>VLOOKUP(H2421,Produkt!$A$2:$B$5,2,FALSE)</f>
        <v>D</v>
      </c>
      <c r="H2421">
        <v>4</v>
      </c>
      <c r="I2421">
        <v>0.43863425925925931</v>
      </c>
      <c r="J2421">
        <v>44803</v>
      </c>
    </row>
    <row r="2422" spans="1:10" x14ac:dyDescent="0.35">
      <c r="A2422" s="2">
        <v>44781</v>
      </c>
      <c r="B2422" s="3">
        <v>0.45296296296296296</v>
      </c>
      <c r="C2422">
        <v>5336</v>
      </c>
      <c r="D2422" t="str">
        <f>VLOOKUP(H2422,Produkt!$A$2:$B$5,2,FALSE)</f>
        <v>D</v>
      </c>
      <c r="H2422">
        <v>4</v>
      </c>
      <c r="I2422">
        <v>9.1365740740740733E-2</v>
      </c>
      <c r="J2422">
        <v>44784</v>
      </c>
    </row>
    <row r="2423" spans="1:10" x14ac:dyDescent="0.35">
      <c r="A2423" s="2">
        <v>44781</v>
      </c>
      <c r="B2423" s="3">
        <v>0.43711805555555555</v>
      </c>
      <c r="C2423">
        <v>5357</v>
      </c>
      <c r="D2423" t="str">
        <f>VLOOKUP(H2423,Produkt!$A$2:$B$5,2,FALSE)</f>
        <v>C</v>
      </c>
      <c r="H2423">
        <v>3</v>
      </c>
      <c r="I2423">
        <v>0.60065972222222219</v>
      </c>
      <c r="J2423">
        <v>44793</v>
      </c>
    </row>
    <row r="2424" spans="1:10" x14ac:dyDescent="0.35">
      <c r="A2424" s="2">
        <v>44781</v>
      </c>
      <c r="B2424" s="3">
        <v>0.48021990740740739</v>
      </c>
      <c r="C2424">
        <v>5416</v>
      </c>
      <c r="D2424" t="str">
        <f>VLOOKUP(H2424,Produkt!$A$2:$B$5,2,FALSE)</f>
        <v>D</v>
      </c>
      <c r="H2424">
        <v>4</v>
      </c>
      <c r="I2424">
        <v>0.39628472222222227</v>
      </c>
      <c r="J2424">
        <v>44775</v>
      </c>
    </row>
    <row r="2425" spans="1:10" x14ac:dyDescent="0.35">
      <c r="A2425" s="2">
        <v>44781</v>
      </c>
      <c r="B2425" s="3">
        <v>0.34346064814814814</v>
      </c>
      <c r="C2425">
        <v>5417</v>
      </c>
      <c r="D2425" t="str">
        <f>VLOOKUP(H2425,Produkt!$A$2:$B$5,2,FALSE)</f>
        <v>A</v>
      </c>
      <c r="H2425">
        <v>1</v>
      </c>
      <c r="I2425">
        <v>0.54535879629629636</v>
      </c>
      <c r="J2425">
        <v>44783</v>
      </c>
    </row>
    <row r="2426" spans="1:10" x14ac:dyDescent="0.35">
      <c r="A2426" s="2">
        <v>44781</v>
      </c>
      <c r="B2426" s="3">
        <v>6.2696759259259258E-2</v>
      </c>
      <c r="C2426">
        <v>5462</v>
      </c>
      <c r="D2426" t="str">
        <f>VLOOKUP(H2426,Produkt!$A$2:$B$5,2,FALSE)</f>
        <v>C</v>
      </c>
      <c r="H2426">
        <v>3</v>
      </c>
      <c r="I2426">
        <v>0.16972222222222222</v>
      </c>
      <c r="J2426">
        <v>44794</v>
      </c>
    </row>
    <row r="2427" spans="1:10" x14ac:dyDescent="0.35">
      <c r="A2427" s="2">
        <v>44781</v>
      </c>
      <c r="B2427" s="3">
        <v>0.57314814814814818</v>
      </c>
      <c r="C2427">
        <v>5483</v>
      </c>
      <c r="D2427" t="str">
        <f>VLOOKUP(H2427,Produkt!$A$2:$B$5,2,FALSE)</f>
        <v>A</v>
      </c>
      <c r="H2427">
        <v>1</v>
      </c>
      <c r="I2427">
        <v>0.44192129629629634</v>
      </c>
      <c r="J2427">
        <v>44783</v>
      </c>
    </row>
    <row r="2428" spans="1:10" x14ac:dyDescent="0.35">
      <c r="A2428" s="2">
        <v>44781</v>
      </c>
      <c r="B2428" s="3">
        <v>3.9907407407407502E-2</v>
      </c>
      <c r="C2428">
        <v>5487</v>
      </c>
      <c r="D2428" t="str">
        <f>VLOOKUP(H2428,Produkt!$A$2:$B$5,2,FALSE)</f>
        <v>D</v>
      </c>
      <c r="H2428">
        <v>4</v>
      </c>
      <c r="I2428">
        <v>0.62741898148148145</v>
      </c>
      <c r="J2428">
        <v>44794</v>
      </c>
    </row>
    <row r="2429" spans="1:10" x14ac:dyDescent="0.35">
      <c r="A2429" s="2">
        <v>44781</v>
      </c>
      <c r="B2429" s="3">
        <v>0.82568287037037036</v>
      </c>
      <c r="C2429">
        <v>5526</v>
      </c>
      <c r="D2429" t="str">
        <f>VLOOKUP(H2429,Produkt!$A$2:$B$5,2,FALSE)</f>
        <v>C</v>
      </c>
      <c r="H2429">
        <v>3</v>
      </c>
      <c r="I2429">
        <v>0.46965277777777775</v>
      </c>
      <c r="J2429">
        <v>44784</v>
      </c>
    </row>
    <row r="2430" spans="1:10" x14ac:dyDescent="0.35">
      <c r="A2430" s="2">
        <v>44781</v>
      </c>
      <c r="B2430" s="3">
        <v>0.32975694444444442</v>
      </c>
      <c r="C2430">
        <v>5539</v>
      </c>
      <c r="D2430" t="str">
        <f>VLOOKUP(H2430,Produkt!$A$2:$B$5,2,FALSE)</f>
        <v>C</v>
      </c>
      <c r="H2430">
        <v>3</v>
      </c>
      <c r="I2430">
        <v>0.41880787037037037</v>
      </c>
      <c r="J2430">
        <v>44787</v>
      </c>
    </row>
    <row r="2431" spans="1:10" x14ac:dyDescent="0.35">
      <c r="A2431" s="2">
        <v>44781</v>
      </c>
      <c r="B2431" s="3">
        <v>0.75422453703703696</v>
      </c>
      <c r="C2431">
        <v>5564</v>
      </c>
      <c r="D2431" t="str">
        <f>VLOOKUP(H2431,Produkt!$A$2:$B$5,2,FALSE)</f>
        <v>A</v>
      </c>
      <c r="H2431">
        <v>1</v>
      </c>
      <c r="I2431">
        <v>0.18964120370370371</v>
      </c>
      <c r="J2431">
        <v>44793</v>
      </c>
    </row>
    <row r="2432" spans="1:10" x14ac:dyDescent="0.35">
      <c r="A2432" s="2">
        <v>44781</v>
      </c>
      <c r="B2432" s="3">
        <v>0.74241898148148155</v>
      </c>
      <c r="C2432">
        <v>5577</v>
      </c>
      <c r="D2432" t="str">
        <f>VLOOKUP(H2432,Produkt!$A$2:$B$5,2,FALSE)</f>
        <v>A</v>
      </c>
      <c r="H2432">
        <v>1</v>
      </c>
      <c r="I2432">
        <v>0.9364351851851852</v>
      </c>
      <c r="J2432">
        <v>44778</v>
      </c>
    </row>
    <row r="2433" spans="1:10" x14ac:dyDescent="0.35">
      <c r="A2433" s="2">
        <v>44781</v>
      </c>
      <c r="B2433" s="3">
        <v>0.91999999999999993</v>
      </c>
      <c r="C2433">
        <v>5585</v>
      </c>
      <c r="D2433" t="str">
        <f>VLOOKUP(H2433,Produkt!$A$2:$B$5,2,FALSE)</f>
        <v>C</v>
      </c>
      <c r="H2433">
        <v>3</v>
      </c>
      <c r="I2433">
        <v>0.93363425925925936</v>
      </c>
      <c r="J2433">
        <v>44799</v>
      </c>
    </row>
    <row r="2434" spans="1:10" x14ac:dyDescent="0.35">
      <c r="A2434" s="2">
        <v>44781</v>
      </c>
      <c r="B2434" s="3">
        <v>0.28818287037037038</v>
      </c>
      <c r="C2434">
        <v>5598</v>
      </c>
      <c r="D2434" t="str">
        <f>VLOOKUP(H2434,Produkt!$A$2:$B$5,2,FALSE)</f>
        <v>D</v>
      </c>
      <c r="H2434">
        <v>4</v>
      </c>
      <c r="I2434">
        <v>0.96042824074074085</v>
      </c>
      <c r="J2434">
        <v>44781</v>
      </c>
    </row>
    <row r="2435" spans="1:10" x14ac:dyDescent="0.35">
      <c r="A2435" s="2">
        <v>44781</v>
      </c>
      <c r="B2435" s="3">
        <v>0.36348379629629629</v>
      </c>
      <c r="C2435">
        <v>5600</v>
      </c>
      <c r="D2435" t="str">
        <f>VLOOKUP(H2435,Produkt!$A$2:$B$5,2,FALSE)</f>
        <v>C</v>
      </c>
      <c r="H2435">
        <v>3</v>
      </c>
      <c r="I2435">
        <v>0.94127314814814811</v>
      </c>
      <c r="J2435">
        <v>44793</v>
      </c>
    </row>
    <row r="2436" spans="1:10" x14ac:dyDescent="0.35">
      <c r="A2436" s="2">
        <v>44781</v>
      </c>
      <c r="B2436" s="3">
        <v>0.96390046296296295</v>
      </c>
      <c r="C2436">
        <v>5633</v>
      </c>
      <c r="D2436" t="str">
        <f>VLOOKUP(H2436,Produkt!$A$2:$B$5,2,FALSE)</f>
        <v>D</v>
      </c>
      <c r="H2436">
        <v>4</v>
      </c>
      <c r="I2436">
        <v>0.77756944444444442</v>
      </c>
      <c r="J2436">
        <v>44797</v>
      </c>
    </row>
    <row r="2437" spans="1:10" x14ac:dyDescent="0.35">
      <c r="A2437" s="2">
        <v>44781</v>
      </c>
      <c r="B2437" s="3">
        <v>0.65101851851851855</v>
      </c>
      <c r="C2437">
        <v>5734</v>
      </c>
      <c r="D2437" t="str">
        <f>VLOOKUP(H2437,Produkt!$A$2:$B$5,2,FALSE)</f>
        <v>A</v>
      </c>
      <c r="H2437">
        <v>1</v>
      </c>
      <c r="I2437">
        <v>9.4317129629629626E-2</v>
      </c>
      <c r="J2437">
        <v>44790</v>
      </c>
    </row>
    <row r="2438" spans="1:10" x14ac:dyDescent="0.35">
      <c r="A2438" s="2">
        <v>44781</v>
      </c>
      <c r="B2438" s="3">
        <v>0.72615740740740742</v>
      </c>
      <c r="C2438">
        <v>5737</v>
      </c>
      <c r="D2438" t="str">
        <f>VLOOKUP(H2438,Produkt!$A$2:$B$5,2,FALSE)</f>
        <v>A</v>
      </c>
      <c r="H2438">
        <v>1</v>
      </c>
      <c r="I2438">
        <v>0.55023148148148149</v>
      </c>
      <c r="J2438">
        <v>44800</v>
      </c>
    </row>
    <row r="2439" spans="1:10" x14ac:dyDescent="0.35">
      <c r="A2439" s="2">
        <v>44781</v>
      </c>
      <c r="B2439" s="3">
        <v>0.43355324074074075</v>
      </c>
      <c r="C2439">
        <v>5748</v>
      </c>
      <c r="D2439" t="str">
        <f>VLOOKUP(H2439,Produkt!$A$2:$B$5,2,FALSE)</f>
        <v>C</v>
      </c>
      <c r="H2439">
        <v>3</v>
      </c>
      <c r="I2439">
        <v>0.86365740740740737</v>
      </c>
      <c r="J2439">
        <v>44795</v>
      </c>
    </row>
    <row r="2440" spans="1:10" x14ac:dyDescent="0.35">
      <c r="A2440" s="2">
        <v>44781</v>
      </c>
      <c r="B2440" s="3">
        <v>0.42106481481481484</v>
      </c>
      <c r="C2440">
        <v>5780</v>
      </c>
      <c r="D2440" t="str">
        <f>VLOOKUP(H2440,Produkt!$A$2:$B$5,2,FALSE)</f>
        <v>C</v>
      </c>
      <c r="H2440">
        <v>3</v>
      </c>
      <c r="I2440">
        <v>0.50510416666666669</v>
      </c>
      <c r="J2440">
        <v>44797</v>
      </c>
    </row>
    <row r="2441" spans="1:10" x14ac:dyDescent="0.35">
      <c r="A2441" s="2">
        <v>44781</v>
      </c>
      <c r="B2441" s="3">
        <v>0.87482638888888886</v>
      </c>
      <c r="C2441">
        <v>5849</v>
      </c>
      <c r="D2441" t="str">
        <f>VLOOKUP(H2441,Produkt!$A$2:$B$5,2,FALSE)</f>
        <v>A</v>
      </c>
      <c r="H2441">
        <v>1</v>
      </c>
      <c r="I2441">
        <v>0.92608796296296303</v>
      </c>
      <c r="J2441">
        <v>44790</v>
      </c>
    </row>
    <row r="2442" spans="1:10" x14ac:dyDescent="0.35">
      <c r="A2442" s="2">
        <v>44781</v>
      </c>
      <c r="B2442" s="3">
        <v>0.63839120370370372</v>
      </c>
      <c r="C2442">
        <v>5859</v>
      </c>
      <c r="D2442" t="str">
        <f>VLOOKUP(H2442,Produkt!$A$2:$B$5,2,FALSE)</f>
        <v>D</v>
      </c>
      <c r="H2442">
        <v>4</v>
      </c>
      <c r="I2442">
        <v>0.73263888888888884</v>
      </c>
      <c r="J2442">
        <v>44779</v>
      </c>
    </row>
    <row r="2443" spans="1:10" x14ac:dyDescent="0.35">
      <c r="A2443" s="2">
        <v>44781</v>
      </c>
      <c r="B2443" s="3">
        <v>0.93475694444444446</v>
      </c>
      <c r="C2443">
        <v>5909</v>
      </c>
      <c r="D2443" t="str">
        <f>VLOOKUP(H2443,Produkt!$A$2:$B$5,2,FALSE)</f>
        <v>A</v>
      </c>
      <c r="H2443">
        <v>1</v>
      </c>
      <c r="I2443">
        <v>0.85674768518518529</v>
      </c>
      <c r="J2443">
        <v>44783</v>
      </c>
    </row>
    <row r="2444" spans="1:10" x14ac:dyDescent="0.35">
      <c r="A2444" s="2">
        <v>44781</v>
      </c>
      <c r="B2444" s="3">
        <v>0.26158564814814816</v>
      </c>
      <c r="C2444">
        <v>5923</v>
      </c>
      <c r="D2444" t="str">
        <f>VLOOKUP(H2444,Produkt!$A$2:$B$5,2,FALSE)</f>
        <v>D</v>
      </c>
      <c r="H2444">
        <v>4</v>
      </c>
      <c r="I2444">
        <v>0.52738425925925925</v>
      </c>
      <c r="J2444">
        <v>44782</v>
      </c>
    </row>
    <row r="2445" spans="1:10" x14ac:dyDescent="0.35">
      <c r="A2445" s="2">
        <v>44781</v>
      </c>
      <c r="B2445" s="3">
        <v>0.4261921296296296</v>
      </c>
      <c r="C2445">
        <v>5954</v>
      </c>
      <c r="D2445" t="str">
        <f>VLOOKUP(H2445,Produkt!$A$2:$B$5,2,FALSE)</f>
        <v>A</v>
      </c>
      <c r="H2445">
        <v>1</v>
      </c>
      <c r="I2445">
        <v>0.45874999999999999</v>
      </c>
      <c r="J2445">
        <v>44802</v>
      </c>
    </row>
    <row r="2446" spans="1:10" x14ac:dyDescent="0.35">
      <c r="A2446" s="2">
        <v>44781</v>
      </c>
      <c r="B2446" s="3">
        <v>0.86350694444444442</v>
      </c>
      <c r="C2446">
        <v>5986</v>
      </c>
      <c r="D2446" t="str">
        <f>VLOOKUP(H2446,Produkt!$A$2:$B$5,2,FALSE)</f>
        <v>B</v>
      </c>
      <c r="H2446">
        <v>2</v>
      </c>
      <c r="I2446">
        <v>0.30976851851851855</v>
      </c>
      <c r="J2446">
        <v>44779</v>
      </c>
    </row>
    <row r="2447" spans="1:10" x14ac:dyDescent="0.35">
      <c r="A2447" s="2">
        <v>44781</v>
      </c>
      <c r="B2447" s="3">
        <v>0.34532407407407412</v>
      </c>
      <c r="C2447">
        <v>6001</v>
      </c>
      <c r="D2447" t="str">
        <f>VLOOKUP(H2447,Produkt!$A$2:$B$5,2,FALSE)</f>
        <v>C</v>
      </c>
      <c r="H2447">
        <v>3</v>
      </c>
      <c r="I2447">
        <v>0.35964120370370373</v>
      </c>
      <c r="J2447">
        <v>44779</v>
      </c>
    </row>
    <row r="2448" spans="1:10" x14ac:dyDescent="0.35">
      <c r="A2448" s="2">
        <v>44781</v>
      </c>
      <c r="B2448" s="3">
        <v>0.63365740740740739</v>
      </c>
      <c r="C2448">
        <v>6038</v>
      </c>
      <c r="D2448" t="str">
        <f>VLOOKUP(H2448,Produkt!$A$2:$B$5,2,FALSE)</f>
        <v>B</v>
      </c>
      <c r="H2448">
        <v>2</v>
      </c>
      <c r="I2448">
        <v>0.75799768518518518</v>
      </c>
      <c r="J2448">
        <v>44774</v>
      </c>
    </row>
    <row r="2449" spans="1:10" x14ac:dyDescent="0.35">
      <c r="A2449" s="2">
        <v>44781</v>
      </c>
      <c r="B2449" s="3">
        <v>0.36027777777777775</v>
      </c>
      <c r="C2449">
        <v>6091</v>
      </c>
      <c r="D2449" t="str">
        <f>VLOOKUP(H2449,Produkt!$A$2:$B$5,2,FALSE)</f>
        <v>C</v>
      </c>
      <c r="H2449">
        <v>3</v>
      </c>
      <c r="I2449">
        <v>0.18949074074074077</v>
      </c>
      <c r="J2449">
        <v>44783</v>
      </c>
    </row>
    <row r="2450" spans="1:10" x14ac:dyDescent="0.35">
      <c r="A2450" s="2">
        <v>44781</v>
      </c>
      <c r="B2450" s="3">
        <v>3.3576388888888892E-2</v>
      </c>
      <c r="C2450">
        <v>6092</v>
      </c>
      <c r="D2450" t="str">
        <f>VLOOKUP(H2450,Produkt!$A$2:$B$5,2,FALSE)</f>
        <v>C</v>
      </c>
      <c r="H2450">
        <v>3</v>
      </c>
      <c r="I2450">
        <v>0.98810185185185195</v>
      </c>
      <c r="J2450">
        <v>44799</v>
      </c>
    </row>
    <row r="2451" spans="1:10" x14ac:dyDescent="0.35">
      <c r="A2451" s="2">
        <v>44781</v>
      </c>
      <c r="B2451" s="3">
        <v>0.44103009259259257</v>
      </c>
      <c r="C2451">
        <v>6146</v>
      </c>
      <c r="D2451" t="str">
        <f>VLOOKUP(H2451,Produkt!$A$2:$B$5,2,FALSE)</f>
        <v>B</v>
      </c>
      <c r="H2451">
        <v>2</v>
      </c>
      <c r="I2451">
        <v>4.2719907407407408E-2</v>
      </c>
      <c r="J2451">
        <v>44799</v>
      </c>
    </row>
    <row r="2452" spans="1:10" x14ac:dyDescent="0.35">
      <c r="A2452" s="2">
        <v>44781</v>
      </c>
      <c r="B2452" s="3">
        <v>0.50218750000000001</v>
      </c>
      <c r="C2452">
        <v>6153</v>
      </c>
      <c r="D2452" t="str">
        <f>VLOOKUP(H2452,Produkt!$A$2:$B$5,2,FALSE)</f>
        <v>A</v>
      </c>
      <c r="H2452">
        <v>1</v>
      </c>
      <c r="I2452">
        <v>0.66890046296296291</v>
      </c>
      <c r="J2452">
        <v>44786</v>
      </c>
    </row>
    <row r="2453" spans="1:10" x14ac:dyDescent="0.35">
      <c r="A2453" s="2">
        <v>44781</v>
      </c>
      <c r="B2453" s="3">
        <v>0.86456018518518529</v>
      </c>
      <c r="C2453">
        <v>6178</v>
      </c>
      <c r="D2453" t="str">
        <f>VLOOKUP(H2453,Produkt!$A$2:$B$5,2,FALSE)</f>
        <v>D</v>
      </c>
      <c r="H2453">
        <v>4</v>
      </c>
      <c r="I2453">
        <v>5.0115740740740737E-3</v>
      </c>
      <c r="J2453">
        <v>44776</v>
      </c>
    </row>
    <row r="2454" spans="1:10" x14ac:dyDescent="0.35">
      <c r="A2454" s="2">
        <v>44781</v>
      </c>
      <c r="B2454" s="3">
        <v>0.44762731481481483</v>
      </c>
      <c r="C2454">
        <v>6181</v>
      </c>
      <c r="D2454" t="str">
        <f>VLOOKUP(H2454,Produkt!$A$2:$B$5,2,FALSE)</f>
        <v>A</v>
      </c>
      <c r="H2454">
        <v>1</v>
      </c>
      <c r="I2454">
        <v>0.17215277777777779</v>
      </c>
      <c r="J2454">
        <v>44787</v>
      </c>
    </row>
    <row r="2455" spans="1:10" x14ac:dyDescent="0.35">
      <c r="A2455" s="2">
        <v>44781</v>
      </c>
      <c r="B2455" s="3">
        <v>0.6371296296296296</v>
      </c>
      <c r="C2455">
        <v>6188</v>
      </c>
      <c r="D2455" t="str">
        <f>VLOOKUP(H2455,Produkt!$A$2:$B$5,2,FALSE)</f>
        <v>A</v>
      </c>
      <c r="H2455">
        <v>1</v>
      </c>
      <c r="I2455">
        <v>0.90020833333333339</v>
      </c>
      <c r="J2455">
        <v>44791</v>
      </c>
    </row>
    <row r="2456" spans="1:10" x14ac:dyDescent="0.35">
      <c r="A2456" s="2">
        <v>44781</v>
      </c>
      <c r="B2456" s="3">
        <v>0.6560300925925926</v>
      </c>
      <c r="C2456">
        <v>6265</v>
      </c>
      <c r="D2456" t="str">
        <f>VLOOKUP(H2456,Produkt!$A$2:$B$5,2,FALSE)</f>
        <v>A</v>
      </c>
      <c r="H2456">
        <v>1</v>
      </c>
      <c r="I2456">
        <v>0.9018518518518519</v>
      </c>
      <c r="J2456">
        <v>44784</v>
      </c>
    </row>
    <row r="2457" spans="1:10" x14ac:dyDescent="0.35">
      <c r="A2457" s="2">
        <v>44781</v>
      </c>
      <c r="B2457" s="3">
        <v>0.20465277777777779</v>
      </c>
      <c r="C2457">
        <v>6310</v>
      </c>
      <c r="D2457" t="str">
        <f>VLOOKUP(H2457,Produkt!$A$2:$B$5,2,FALSE)</f>
        <v>B</v>
      </c>
      <c r="H2457">
        <v>2</v>
      </c>
      <c r="I2457">
        <v>0.91515046296296287</v>
      </c>
      <c r="J2457">
        <v>44801</v>
      </c>
    </row>
    <row r="2458" spans="1:10" x14ac:dyDescent="0.35">
      <c r="A2458" s="2">
        <v>44781</v>
      </c>
      <c r="B2458" s="3">
        <v>0.47605324074074074</v>
      </c>
      <c r="C2458">
        <v>6311</v>
      </c>
      <c r="D2458" t="str">
        <f>VLOOKUP(H2458,Produkt!$A$2:$B$5,2,FALSE)</f>
        <v>B</v>
      </c>
      <c r="H2458">
        <v>2</v>
      </c>
      <c r="I2458">
        <v>0.59398148148148155</v>
      </c>
      <c r="J2458">
        <v>44804</v>
      </c>
    </row>
    <row r="2459" spans="1:10" x14ac:dyDescent="0.35">
      <c r="A2459" s="2">
        <v>44781</v>
      </c>
      <c r="B2459" s="3">
        <v>0.65052083333333333</v>
      </c>
      <c r="C2459">
        <v>6316</v>
      </c>
      <c r="D2459" t="str">
        <f>VLOOKUP(H2459,Produkt!$A$2:$B$5,2,FALSE)</f>
        <v>C</v>
      </c>
      <c r="H2459">
        <v>3</v>
      </c>
      <c r="I2459">
        <v>0.90516203703703713</v>
      </c>
      <c r="J2459">
        <v>44804</v>
      </c>
    </row>
    <row r="2460" spans="1:10" x14ac:dyDescent="0.35">
      <c r="A2460" s="2">
        <v>44781</v>
      </c>
      <c r="B2460" s="3">
        <v>0.20155092592592594</v>
      </c>
      <c r="C2460">
        <v>6371</v>
      </c>
      <c r="D2460" t="str">
        <f>VLOOKUP(H2460,Produkt!$A$2:$B$5,2,FALSE)</f>
        <v>B</v>
      </c>
      <c r="H2460">
        <v>2</v>
      </c>
      <c r="I2460">
        <v>0.26670138888888889</v>
      </c>
      <c r="J2460">
        <v>44785</v>
      </c>
    </row>
    <row r="2461" spans="1:10" x14ac:dyDescent="0.35">
      <c r="A2461" s="2">
        <v>44781</v>
      </c>
      <c r="B2461" s="3">
        <v>6.0335648148148145E-2</v>
      </c>
      <c r="C2461">
        <v>6453</v>
      </c>
      <c r="D2461" t="str">
        <f>VLOOKUP(H2461,Produkt!$A$2:$B$5,2,FALSE)</f>
        <v>D</v>
      </c>
      <c r="H2461">
        <v>4</v>
      </c>
      <c r="I2461">
        <v>0.9499305555555555</v>
      </c>
      <c r="J2461">
        <v>44789</v>
      </c>
    </row>
    <row r="2462" spans="1:10" x14ac:dyDescent="0.35">
      <c r="A2462" s="2">
        <v>44781</v>
      </c>
      <c r="B2462" s="3">
        <v>0.29297453703703702</v>
      </c>
      <c r="C2462">
        <v>6528</v>
      </c>
      <c r="D2462" t="str">
        <f>VLOOKUP(H2462,Produkt!$A$2:$B$5,2,FALSE)</f>
        <v>A</v>
      </c>
      <c r="H2462">
        <v>1</v>
      </c>
      <c r="I2462">
        <v>4.65625E-2</v>
      </c>
      <c r="J2462">
        <v>44779</v>
      </c>
    </row>
    <row r="2463" spans="1:10" x14ac:dyDescent="0.35">
      <c r="A2463" s="2">
        <v>44781</v>
      </c>
      <c r="B2463" s="3">
        <v>0.16153935185185184</v>
      </c>
      <c r="C2463">
        <v>6553</v>
      </c>
      <c r="D2463" t="str">
        <f>VLOOKUP(H2463,Produkt!$A$2:$B$5,2,FALSE)</f>
        <v>D</v>
      </c>
      <c r="H2463">
        <v>4</v>
      </c>
      <c r="I2463">
        <v>7.314814814814774E-3</v>
      </c>
      <c r="J2463">
        <v>44784</v>
      </c>
    </row>
    <row r="2464" spans="1:10" x14ac:dyDescent="0.35">
      <c r="A2464" s="2">
        <v>44781</v>
      </c>
      <c r="B2464" s="3">
        <v>0.6775810185185186</v>
      </c>
      <c r="C2464">
        <v>6603</v>
      </c>
      <c r="D2464" t="str">
        <f>VLOOKUP(H2464,Produkt!$A$2:$B$5,2,FALSE)</f>
        <v>C</v>
      </c>
      <c r="H2464">
        <v>3</v>
      </c>
      <c r="I2464">
        <v>0.71870370370370373</v>
      </c>
      <c r="J2464">
        <v>44788</v>
      </c>
    </row>
    <row r="2465" spans="1:10" x14ac:dyDescent="0.35">
      <c r="A2465" s="2">
        <v>44781</v>
      </c>
      <c r="B2465" s="3">
        <v>0.91859953703703701</v>
      </c>
      <c r="C2465">
        <v>6648</v>
      </c>
      <c r="D2465" t="str">
        <f>VLOOKUP(H2465,Produkt!$A$2:$B$5,2,FALSE)</f>
        <v>D</v>
      </c>
      <c r="H2465">
        <v>4</v>
      </c>
      <c r="I2465">
        <v>0.91958333333333331</v>
      </c>
      <c r="J2465">
        <v>44800</v>
      </c>
    </row>
    <row r="2466" spans="1:10" x14ac:dyDescent="0.35">
      <c r="A2466" s="2">
        <v>44781</v>
      </c>
      <c r="B2466" s="3">
        <v>0.16236111111111109</v>
      </c>
      <c r="C2466">
        <v>6679</v>
      </c>
      <c r="D2466" t="str">
        <f>VLOOKUP(H2466,Produkt!$A$2:$B$5,2,FALSE)</f>
        <v>A</v>
      </c>
      <c r="H2466">
        <v>1</v>
      </c>
      <c r="I2466">
        <v>0.385775462962963</v>
      </c>
      <c r="J2466">
        <v>44776</v>
      </c>
    </row>
    <row r="2467" spans="1:10" x14ac:dyDescent="0.35">
      <c r="A2467" s="2">
        <v>44781</v>
      </c>
      <c r="B2467" s="3">
        <v>0.87481481481481482</v>
      </c>
      <c r="C2467">
        <v>6681</v>
      </c>
      <c r="D2467" t="str">
        <f>VLOOKUP(H2467,Produkt!$A$2:$B$5,2,FALSE)</f>
        <v>C</v>
      </c>
      <c r="H2467">
        <v>3</v>
      </c>
      <c r="I2467">
        <v>0.51386574074074076</v>
      </c>
      <c r="J2467">
        <v>44802</v>
      </c>
    </row>
    <row r="2468" spans="1:10" x14ac:dyDescent="0.35">
      <c r="A2468" s="2">
        <v>44781</v>
      </c>
      <c r="B2468" s="3">
        <v>3.2650462962962923E-2</v>
      </c>
      <c r="C2468">
        <v>6724</v>
      </c>
      <c r="D2468" t="str">
        <f>VLOOKUP(H2468,Produkt!$A$2:$B$5,2,FALSE)</f>
        <v>D</v>
      </c>
      <c r="H2468">
        <v>4</v>
      </c>
      <c r="I2468">
        <v>4.925925925925926E-2</v>
      </c>
      <c r="J2468">
        <v>44779</v>
      </c>
    </row>
    <row r="2469" spans="1:10" x14ac:dyDescent="0.35">
      <c r="A2469" s="2">
        <v>44781</v>
      </c>
      <c r="B2469" s="3">
        <v>0.34748842592592594</v>
      </c>
      <c r="C2469">
        <v>6729</v>
      </c>
      <c r="D2469" t="str">
        <f>VLOOKUP(H2469,Produkt!$A$2:$B$5,2,FALSE)</f>
        <v>B</v>
      </c>
      <c r="H2469">
        <v>2</v>
      </c>
      <c r="I2469">
        <v>0.67917824074074085</v>
      </c>
      <c r="J2469">
        <v>44783</v>
      </c>
    </row>
    <row r="2470" spans="1:10" x14ac:dyDescent="0.35">
      <c r="A2470" s="2">
        <v>44781</v>
      </c>
      <c r="B2470" s="3">
        <v>0.19571759259259258</v>
      </c>
      <c r="C2470">
        <v>6746</v>
      </c>
      <c r="D2470" t="str">
        <f>VLOOKUP(H2470,Produkt!$A$2:$B$5,2,FALSE)</f>
        <v>A</v>
      </c>
      <c r="H2470">
        <v>1</v>
      </c>
      <c r="I2470">
        <v>0.88739583333333327</v>
      </c>
      <c r="J2470">
        <v>44792</v>
      </c>
    </row>
    <row r="2471" spans="1:10" x14ac:dyDescent="0.35">
      <c r="A2471" s="2">
        <v>44781</v>
      </c>
      <c r="B2471" s="3">
        <v>0.10591435185185184</v>
      </c>
      <c r="C2471">
        <v>6754</v>
      </c>
      <c r="D2471" t="str">
        <f>VLOOKUP(H2471,Produkt!$A$2:$B$5,2,FALSE)</f>
        <v>C</v>
      </c>
      <c r="H2471">
        <v>3</v>
      </c>
      <c r="I2471">
        <v>0.63777777777777778</v>
      </c>
      <c r="J2471">
        <v>44794</v>
      </c>
    </row>
    <row r="2472" spans="1:10" x14ac:dyDescent="0.35">
      <c r="A2472" s="2">
        <v>44781</v>
      </c>
      <c r="B2472" s="3">
        <v>0.71947916666666656</v>
      </c>
      <c r="C2472">
        <v>6758</v>
      </c>
      <c r="D2472" t="str">
        <f>VLOOKUP(H2472,Produkt!$A$2:$B$5,2,FALSE)</f>
        <v>D</v>
      </c>
      <c r="H2472">
        <v>4</v>
      </c>
      <c r="I2472">
        <v>0.67776620370370377</v>
      </c>
      <c r="J2472">
        <v>44802</v>
      </c>
    </row>
    <row r="2473" spans="1:10" x14ac:dyDescent="0.35">
      <c r="A2473" s="2">
        <v>44781</v>
      </c>
      <c r="B2473" s="3">
        <v>0.75664351851851841</v>
      </c>
      <c r="C2473">
        <v>6782</v>
      </c>
      <c r="D2473" t="str">
        <f>VLOOKUP(H2473,Produkt!$A$2:$B$5,2,FALSE)</f>
        <v>D</v>
      </c>
      <c r="H2473">
        <v>4</v>
      </c>
      <c r="I2473">
        <v>0.50015046296296295</v>
      </c>
      <c r="J2473">
        <v>44804</v>
      </c>
    </row>
    <row r="2474" spans="1:10" x14ac:dyDescent="0.35">
      <c r="A2474" s="2">
        <v>44781</v>
      </c>
      <c r="B2474" s="3">
        <v>0.91773148148148154</v>
      </c>
      <c r="C2474">
        <v>6839</v>
      </c>
      <c r="D2474" t="str">
        <f>VLOOKUP(H2474,Produkt!$A$2:$B$5,2,FALSE)</f>
        <v>C</v>
      </c>
      <c r="H2474">
        <v>3</v>
      </c>
      <c r="I2474">
        <v>0.45993055555555556</v>
      </c>
      <c r="J2474">
        <v>44798</v>
      </c>
    </row>
    <row r="2475" spans="1:10" x14ac:dyDescent="0.35">
      <c r="A2475" s="2">
        <v>44781</v>
      </c>
      <c r="B2475" s="3">
        <v>0.91920138888888892</v>
      </c>
      <c r="C2475">
        <v>6888</v>
      </c>
      <c r="D2475" t="str">
        <f>VLOOKUP(H2475,Produkt!$A$2:$B$5,2,FALSE)</f>
        <v>C</v>
      </c>
      <c r="H2475">
        <v>3</v>
      </c>
      <c r="I2475">
        <v>0.44410879629629635</v>
      </c>
      <c r="J2475">
        <v>44801</v>
      </c>
    </row>
    <row r="2476" spans="1:10" x14ac:dyDescent="0.35">
      <c r="A2476" s="2">
        <v>44781</v>
      </c>
      <c r="B2476" s="3">
        <v>0.53356481481481477</v>
      </c>
      <c r="C2476">
        <v>6895</v>
      </c>
      <c r="D2476" t="str">
        <f>VLOOKUP(H2476,Produkt!$A$2:$B$5,2,FALSE)</f>
        <v>C</v>
      </c>
      <c r="H2476">
        <v>3</v>
      </c>
      <c r="I2476">
        <v>0.21884259259259262</v>
      </c>
      <c r="J2476">
        <v>44786</v>
      </c>
    </row>
    <row r="2477" spans="1:10" x14ac:dyDescent="0.35">
      <c r="A2477" s="2">
        <v>44781</v>
      </c>
      <c r="B2477" s="3">
        <v>0.30858796296296298</v>
      </c>
      <c r="C2477">
        <v>6935</v>
      </c>
      <c r="D2477" t="str">
        <f>VLOOKUP(H2477,Produkt!$A$2:$B$5,2,FALSE)</f>
        <v>A</v>
      </c>
      <c r="H2477">
        <v>1</v>
      </c>
      <c r="I2477">
        <v>0.4381944444444445</v>
      </c>
      <c r="J2477">
        <v>44784</v>
      </c>
    </row>
    <row r="2478" spans="1:10" x14ac:dyDescent="0.35">
      <c r="A2478" s="2">
        <v>44781</v>
      </c>
      <c r="B2478" s="3">
        <v>0.25912037037037033</v>
      </c>
      <c r="C2478">
        <v>6942</v>
      </c>
      <c r="D2478" t="str">
        <f>VLOOKUP(H2478,Produkt!$A$2:$B$5,2,FALSE)</f>
        <v>B</v>
      </c>
      <c r="H2478">
        <v>2</v>
      </c>
      <c r="I2478">
        <v>2.6851851851851904E-2</v>
      </c>
      <c r="J2478">
        <v>44786</v>
      </c>
    </row>
    <row r="2479" spans="1:10" x14ac:dyDescent="0.35">
      <c r="A2479" s="2">
        <v>44781</v>
      </c>
      <c r="B2479" s="3">
        <v>0.55442129629629633</v>
      </c>
      <c r="C2479">
        <v>6971</v>
      </c>
      <c r="D2479" t="str">
        <f>VLOOKUP(H2479,Produkt!$A$2:$B$5,2,FALSE)</f>
        <v>B</v>
      </c>
      <c r="H2479">
        <v>2</v>
      </c>
      <c r="I2479">
        <v>2.1990740740740741E-2</v>
      </c>
      <c r="J2479">
        <v>44780</v>
      </c>
    </row>
    <row r="2480" spans="1:10" x14ac:dyDescent="0.35">
      <c r="A2480" s="2">
        <v>44781</v>
      </c>
      <c r="B2480" s="3">
        <v>0.54574074074074075</v>
      </c>
      <c r="C2480">
        <v>7032</v>
      </c>
      <c r="D2480" t="str">
        <f>VLOOKUP(H2480,Produkt!$A$2:$B$5,2,FALSE)</f>
        <v>D</v>
      </c>
      <c r="H2480">
        <v>4</v>
      </c>
      <c r="I2480">
        <v>0.15096064814814816</v>
      </c>
      <c r="J2480">
        <v>44775</v>
      </c>
    </row>
    <row r="2481" spans="1:10" x14ac:dyDescent="0.35">
      <c r="A2481" s="2">
        <v>44781</v>
      </c>
      <c r="B2481" s="3">
        <v>0.2590277777777778</v>
      </c>
      <c r="C2481">
        <v>7041</v>
      </c>
      <c r="D2481" t="str">
        <f>VLOOKUP(H2481,Produkt!$A$2:$B$5,2,FALSE)</f>
        <v>A</v>
      </c>
      <c r="H2481">
        <v>1</v>
      </c>
      <c r="I2481">
        <v>0.78600694444444441</v>
      </c>
      <c r="J2481">
        <v>44784</v>
      </c>
    </row>
    <row r="2482" spans="1:10" x14ac:dyDescent="0.35">
      <c r="A2482" s="2">
        <v>44781</v>
      </c>
      <c r="B2482" s="3">
        <v>9.4432870370370361E-2</v>
      </c>
      <c r="C2482">
        <v>7086</v>
      </c>
      <c r="D2482" t="str">
        <f>VLOOKUP(H2482,Produkt!$A$2:$B$5,2,FALSE)</f>
        <v>A</v>
      </c>
      <c r="H2482">
        <v>1</v>
      </c>
      <c r="I2482">
        <v>0.86157407407407405</v>
      </c>
      <c r="J2482">
        <v>44803</v>
      </c>
    </row>
    <row r="2483" spans="1:10" x14ac:dyDescent="0.35">
      <c r="A2483" s="2">
        <v>44781</v>
      </c>
      <c r="B2483" s="3">
        <v>0.57550925925925933</v>
      </c>
      <c r="C2483">
        <v>7115</v>
      </c>
      <c r="D2483" t="str">
        <f>VLOOKUP(H2483,Produkt!$A$2:$B$5,2,FALSE)</f>
        <v>B</v>
      </c>
      <c r="H2483">
        <v>2</v>
      </c>
      <c r="I2483">
        <v>0.89739583333333339</v>
      </c>
      <c r="J2483">
        <v>44801</v>
      </c>
    </row>
    <row r="2484" spans="1:10" x14ac:dyDescent="0.35">
      <c r="A2484" s="2">
        <v>44781</v>
      </c>
      <c r="B2484" s="3">
        <v>0.31445601851851851</v>
      </c>
      <c r="C2484">
        <v>7117</v>
      </c>
      <c r="D2484" t="str">
        <f>VLOOKUP(H2484,Produkt!$A$2:$B$5,2,FALSE)</f>
        <v>B</v>
      </c>
      <c r="H2484">
        <v>2</v>
      </c>
      <c r="I2484">
        <v>0.5948148148148148</v>
      </c>
      <c r="J2484">
        <v>44787</v>
      </c>
    </row>
    <row r="2485" spans="1:10" x14ac:dyDescent="0.35">
      <c r="A2485" s="2">
        <v>44781</v>
      </c>
      <c r="B2485" s="3">
        <v>0.36216435185185186</v>
      </c>
      <c r="C2485">
        <v>7167</v>
      </c>
      <c r="D2485" t="str">
        <f>VLOOKUP(H2485,Produkt!$A$2:$B$5,2,FALSE)</f>
        <v>C</v>
      </c>
      <c r="H2485">
        <v>3</v>
      </c>
      <c r="I2485">
        <v>0.80950231481481483</v>
      </c>
      <c r="J2485">
        <v>44788</v>
      </c>
    </row>
    <row r="2486" spans="1:10" x14ac:dyDescent="0.35">
      <c r="A2486" s="2">
        <v>44781</v>
      </c>
      <c r="B2486" s="3">
        <v>0.6910532407407407</v>
      </c>
      <c r="C2486">
        <v>7199</v>
      </c>
      <c r="D2486" t="str">
        <f>VLOOKUP(H2486,Produkt!$A$2:$B$5,2,FALSE)</f>
        <v>C</v>
      </c>
      <c r="H2486">
        <v>3</v>
      </c>
      <c r="I2486">
        <v>0.4470486111111111</v>
      </c>
      <c r="J2486">
        <v>44793</v>
      </c>
    </row>
    <row r="2487" spans="1:10" x14ac:dyDescent="0.35">
      <c r="A2487" s="2">
        <v>44781</v>
      </c>
      <c r="B2487" s="3">
        <v>0.29773148148148149</v>
      </c>
      <c r="C2487">
        <v>7246</v>
      </c>
      <c r="D2487" t="str">
        <f>VLOOKUP(H2487,Produkt!$A$2:$B$5,2,FALSE)</f>
        <v>C</v>
      </c>
      <c r="H2487">
        <v>3</v>
      </c>
      <c r="I2487">
        <v>3.8263888888888889E-2</v>
      </c>
      <c r="J2487">
        <v>44802</v>
      </c>
    </row>
    <row r="2488" spans="1:10" x14ac:dyDescent="0.35">
      <c r="A2488" s="2">
        <v>44781</v>
      </c>
      <c r="B2488" s="3">
        <v>0.41652777777777777</v>
      </c>
      <c r="C2488">
        <v>7311</v>
      </c>
      <c r="D2488" t="str">
        <f>VLOOKUP(H2488,Produkt!$A$2:$B$5,2,FALSE)</f>
        <v>B</v>
      </c>
      <c r="H2488">
        <v>2</v>
      </c>
      <c r="I2488">
        <v>0.65290509259259266</v>
      </c>
      <c r="J2488">
        <v>44786</v>
      </c>
    </row>
    <row r="2489" spans="1:10" x14ac:dyDescent="0.35">
      <c r="A2489" s="2">
        <v>44781</v>
      </c>
      <c r="B2489" s="3">
        <v>0.73185185185185186</v>
      </c>
      <c r="C2489">
        <v>7318</v>
      </c>
      <c r="D2489" t="str">
        <f>VLOOKUP(H2489,Produkt!$A$2:$B$5,2,FALSE)</f>
        <v>A</v>
      </c>
      <c r="H2489">
        <v>1</v>
      </c>
      <c r="I2489">
        <v>1.423611111111111E-3</v>
      </c>
      <c r="J2489">
        <v>44800</v>
      </c>
    </row>
    <row r="2490" spans="1:10" x14ac:dyDescent="0.35">
      <c r="A2490" s="2">
        <v>44781</v>
      </c>
      <c r="B2490" s="3">
        <v>0.32827546296296295</v>
      </c>
      <c r="C2490">
        <v>7454</v>
      </c>
      <c r="D2490" t="str">
        <f>VLOOKUP(H2490,Produkt!$A$2:$B$5,2,FALSE)</f>
        <v>C</v>
      </c>
      <c r="H2490">
        <v>3</v>
      </c>
      <c r="I2490">
        <v>0.89986111111111111</v>
      </c>
      <c r="J2490">
        <v>44795</v>
      </c>
    </row>
    <row r="2491" spans="1:10" x14ac:dyDescent="0.35">
      <c r="A2491" s="2">
        <v>44781</v>
      </c>
      <c r="B2491" s="3">
        <v>6.2893518518518529E-2</v>
      </c>
      <c r="C2491">
        <v>7515</v>
      </c>
      <c r="D2491" t="str">
        <f>VLOOKUP(H2491,Produkt!$A$2:$B$5,2,FALSE)</f>
        <v>A</v>
      </c>
      <c r="H2491">
        <v>1</v>
      </c>
      <c r="I2491">
        <v>0.39689814814814817</v>
      </c>
      <c r="J2491">
        <v>44779</v>
      </c>
    </row>
    <row r="2492" spans="1:10" x14ac:dyDescent="0.35">
      <c r="A2492" s="2">
        <v>44781</v>
      </c>
      <c r="B2492" s="3">
        <v>0.59915509259259259</v>
      </c>
      <c r="C2492">
        <v>7566</v>
      </c>
      <c r="D2492" t="str">
        <f>VLOOKUP(H2492,Produkt!$A$2:$B$5,2,FALSE)</f>
        <v>A</v>
      </c>
      <c r="H2492">
        <v>1</v>
      </c>
      <c r="I2492">
        <v>0.9094444444444445</v>
      </c>
      <c r="J2492">
        <v>44784</v>
      </c>
    </row>
    <row r="2493" spans="1:10" x14ac:dyDescent="0.35">
      <c r="A2493" s="2">
        <v>44781</v>
      </c>
      <c r="B2493" s="3">
        <v>0.43384259259259261</v>
      </c>
      <c r="C2493">
        <v>7573</v>
      </c>
      <c r="D2493" t="str">
        <f>VLOOKUP(H2493,Produkt!$A$2:$B$5,2,FALSE)</f>
        <v>C</v>
      </c>
      <c r="H2493">
        <v>3</v>
      </c>
      <c r="I2493">
        <v>0.5508912037037037</v>
      </c>
      <c r="J2493">
        <v>44790</v>
      </c>
    </row>
    <row r="2494" spans="1:10" x14ac:dyDescent="0.35">
      <c r="A2494" s="2">
        <v>44781</v>
      </c>
      <c r="B2494" s="3">
        <v>0.44261574074074073</v>
      </c>
      <c r="C2494">
        <v>7580</v>
      </c>
      <c r="D2494" t="str">
        <f>VLOOKUP(H2494,Produkt!$A$2:$B$5,2,FALSE)</f>
        <v>C</v>
      </c>
      <c r="H2494">
        <v>3</v>
      </c>
      <c r="I2494">
        <v>0.75140046296296292</v>
      </c>
      <c r="J2494">
        <v>44782</v>
      </c>
    </row>
    <row r="2495" spans="1:10" x14ac:dyDescent="0.35">
      <c r="A2495" s="2">
        <v>44781</v>
      </c>
      <c r="B2495" s="3">
        <v>0.13739583333333333</v>
      </c>
      <c r="C2495">
        <v>7626</v>
      </c>
      <c r="D2495" t="str">
        <f>VLOOKUP(H2495,Produkt!$A$2:$B$5,2,FALSE)</f>
        <v>B</v>
      </c>
      <c r="H2495">
        <v>2</v>
      </c>
      <c r="I2495">
        <v>7.7314814814814822E-2</v>
      </c>
      <c r="J2495">
        <v>44789</v>
      </c>
    </row>
    <row r="2496" spans="1:10" x14ac:dyDescent="0.35">
      <c r="A2496" s="2">
        <v>44781</v>
      </c>
      <c r="B2496" s="3">
        <v>0.64627314814814818</v>
      </c>
      <c r="C2496">
        <v>7644</v>
      </c>
      <c r="D2496" t="str">
        <f>VLOOKUP(H2496,Produkt!$A$2:$B$5,2,FALSE)</f>
        <v>B</v>
      </c>
      <c r="H2496">
        <v>2</v>
      </c>
      <c r="I2496">
        <v>0.44187500000000002</v>
      </c>
      <c r="J2496">
        <v>44783</v>
      </c>
    </row>
    <row r="2497" spans="1:10" x14ac:dyDescent="0.35">
      <c r="A2497" s="2">
        <v>44781</v>
      </c>
      <c r="B2497" s="3">
        <v>8.7997685185185193E-2</v>
      </c>
      <c r="C2497">
        <v>7694</v>
      </c>
      <c r="D2497" t="str">
        <f>VLOOKUP(H2497,Produkt!$A$2:$B$5,2,FALSE)</f>
        <v>D</v>
      </c>
      <c r="H2497">
        <v>4</v>
      </c>
      <c r="I2497">
        <v>0.45353009259259264</v>
      </c>
      <c r="J2497">
        <v>44778</v>
      </c>
    </row>
    <row r="2498" spans="1:10" x14ac:dyDescent="0.35">
      <c r="A2498" s="2">
        <v>44781</v>
      </c>
      <c r="B2498" s="3">
        <v>0.5697916666666667</v>
      </c>
      <c r="C2498">
        <v>7745</v>
      </c>
      <c r="D2498" t="str">
        <f>VLOOKUP(H2498,Produkt!$A$2:$B$5,2,FALSE)</f>
        <v>C</v>
      </c>
      <c r="H2498">
        <v>3</v>
      </c>
      <c r="I2498">
        <v>0.40430555555555553</v>
      </c>
      <c r="J2498">
        <v>44793</v>
      </c>
    </row>
    <row r="2499" spans="1:10" x14ac:dyDescent="0.35">
      <c r="A2499" s="2">
        <v>44781</v>
      </c>
      <c r="B2499" s="3">
        <v>0.42212962962962958</v>
      </c>
      <c r="C2499">
        <v>7793</v>
      </c>
      <c r="D2499" t="str">
        <f>VLOOKUP(H2499,Produkt!$A$2:$B$5,2,FALSE)</f>
        <v>D</v>
      </c>
      <c r="H2499">
        <v>4</v>
      </c>
      <c r="I2499">
        <v>0.13278935185185184</v>
      </c>
      <c r="J2499">
        <v>44794</v>
      </c>
    </row>
    <row r="2500" spans="1:10" x14ac:dyDescent="0.35">
      <c r="A2500" s="2">
        <v>44781</v>
      </c>
      <c r="B2500" s="3">
        <v>0.6632986111111111</v>
      </c>
      <c r="C2500">
        <v>7851</v>
      </c>
      <c r="D2500" t="str">
        <f>VLOOKUP(H2500,Produkt!$A$2:$B$5,2,FALSE)</f>
        <v>C</v>
      </c>
      <c r="H2500">
        <v>3</v>
      </c>
      <c r="I2500">
        <v>0.77500000000000002</v>
      </c>
      <c r="J2500">
        <v>44799</v>
      </c>
    </row>
    <row r="2501" spans="1:10" x14ac:dyDescent="0.35">
      <c r="A2501" s="2">
        <v>44781</v>
      </c>
      <c r="B2501" s="3">
        <v>1.292824074074074E-2</v>
      </c>
      <c r="C2501">
        <v>7881</v>
      </c>
      <c r="D2501" t="str">
        <f>VLOOKUP(H2501,Produkt!$A$2:$B$5,2,FALSE)</f>
        <v>D</v>
      </c>
      <c r="H2501">
        <v>4</v>
      </c>
      <c r="I2501">
        <v>0.15077546296296296</v>
      </c>
      <c r="J2501">
        <v>44795</v>
      </c>
    </row>
    <row r="2502" spans="1:10" x14ac:dyDescent="0.35">
      <c r="A2502" s="2">
        <v>44781</v>
      </c>
      <c r="B2502" s="3">
        <v>0.8393518518518519</v>
      </c>
      <c r="C2502">
        <v>7895</v>
      </c>
      <c r="D2502" t="str">
        <f>VLOOKUP(H2502,Produkt!$A$2:$B$5,2,FALSE)</f>
        <v>A</v>
      </c>
      <c r="H2502">
        <v>1</v>
      </c>
      <c r="I2502">
        <v>0.44320601851851849</v>
      </c>
      <c r="J2502">
        <v>44786</v>
      </c>
    </row>
    <row r="2503" spans="1:10" x14ac:dyDescent="0.35">
      <c r="A2503" s="2">
        <v>44781</v>
      </c>
      <c r="B2503" s="3">
        <v>0.18819444444444444</v>
      </c>
      <c r="C2503">
        <v>7897</v>
      </c>
      <c r="D2503" t="str">
        <f>VLOOKUP(H2503,Produkt!$A$2:$B$5,2,FALSE)</f>
        <v>C</v>
      </c>
      <c r="H2503">
        <v>3</v>
      </c>
      <c r="I2503">
        <v>2.946759259259259E-2</v>
      </c>
      <c r="J2503">
        <v>44801</v>
      </c>
    </row>
    <row r="2504" spans="1:10" x14ac:dyDescent="0.35">
      <c r="A2504" s="2">
        <v>44781</v>
      </c>
      <c r="B2504" s="3">
        <v>0.75025462962962963</v>
      </c>
      <c r="C2504">
        <v>7904</v>
      </c>
      <c r="D2504" t="str">
        <f>VLOOKUP(H2504,Produkt!$A$2:$B$5,2,FALSE)</f>
        <v>C</v>
      </c>
      <c r="H2504">
        <v>3</v>
      </c>
      <c r="I2504">
        <v>0.43298611111111113</v>
      </c>
      <c r="J2504">
        <v>44777</v>
      </c>
    </row>
    <row r="2505" spans="1:10" x14ac:dyDescent="0.35">
      <c r="A2505" s="2">
        <v>44781</v>
      </c>
      <c r="B2505" s="3">
        <v>2.7789351851851853E-2</v>
      </c>
      <c r="C2505">
        <v>7949</v>
      </c>
      <c r="D2505" t="str">
        <f>VLOOKUP(H2505,Produkt!$A$2:$B$5,2,FALSE)</f>
        <v>D</v>
      </c>
      <c r="H2505">
        <v>4</v>
      </c>
      <c r="I2505">
        <v>0.95590277777777777</v>
      </c>
      <c r="J2505">
        <v>44790</v>
      </c>
    </row>
    <row r="2506" spans="1:10" x14ac:dyDescent="0.35">
      <c r="A2506" s="2">
        <v>44781</v>
      </c>
      <c r="B2506" s="3">
        <v>3.888888888888889E-2</v>
      </c>
      <c r="C2506">
        <v>8010</v>
      </c>
      <c r="D2506" t="str">
        <f>VLOOKUP(H2506,Produkt!$A$2:$B$5,2,FALSE)</f>
        <v>C</v>
      </c>
      <c r="H2506">
        <v>3</v>
      </c>
      <c r="I2506">
        <v>0.46848379629629627</v>
      </c>
      <c r="J2506">
        <v>44777</v>
      </c>
    </row>
    <row r="2507" spans="1:10" x14ac:dyDescent="0.35">
      <c r="A2507" s="2">
        <v>44781</v>
      </c>
      <c r="B2507" s="3">
        <v>0.43550925925925926</v>
      </c>
      <c r="C2507">
        <v>8117</v>
      </c>
      <c r="D2507" t="str">
        <f>VLOOKUP(H2507,Produkt!$A$2:$B$5,2,FALSE)</f>
        <v>D</v>
      </c>
      <c r="H2507">
        <v>4</v>
      </c>
      <c r="I2507">
        <v>0.59122685185185186</v>
      </c>
      <c r="J2507">
        <v>44791</v>
      </c>
    </row>
    <row r="2508" spans="1:10" x14ac:dyDescent="0.35">
      <c r="A2508" s="2">
        <v>44781</v>
      </c>
      <c r="B2508" s="3">
        <v>0.20347222222222219</v>
      </c>
      <c r="C2508">
        <v>8251</v>
      </c>
      <c r="D2508" t="str">
        <f>VLOOKUP(H2508,Produkt!$A$2:$B$5,2,FALSE)</f>
        <v>B</v>
      </c>
      <c r="H2508">
        <v>2</v>
      </c>
      <c r="I2508">
        <v>2.2337962962962962E-2</v>
      </c>
      <c r="J2508">
        <v>44802</v>
      </c>
    </row>
    <row r="2509" spans="1:10" x14ac:dyDescent="0.35">
      <c r="A2509" s="2">
        <v>44781</v>
      </c>
      <c r="B2509" s="3">
        <v>0.11984953703703705</v>
      </c>
      <c r="C2509">
        <v>8274</v>
      </c>
      <c r="D2509" t="str">
        <f>VLOOKUP(H2509,Produkt!$A$2:$B$5,2,FALSE)</f>
        <v>A</v>
      </c>
      <c r="H2509">
        <v>1</v>
      </c>
      <c r="I2509">
        <v>0.85886574074074085</v>
      </c>
      <c r="J2509">
        <v>44798</v>
      </c>
    </row>
    <row r="2510" spans="1:10" x14ac:dyDescent="0.35">
      <c r="A2510" s="2">
        <v>44781</v>
      </c>
      <c r="B2510" s="3">
        <v>0.21487268518518518</v>
      </c>
      <c r="C2510">
        <v>8315</v>
      </c>
      <c r="D2510" t="str">
        <f>VLOOKUP(H2510,Produkt!$A$2:$B$5,2,FALSE)</f>
        <v>A</v>
      </c>
      <c r="H2510">
        <v>1</v>
      </c>
      <c r="I2510">
        <v>0.64653935185185185</v>
      </c>
      <c r="J2510">
        <v>44786</v>
      </c>
    </row>
    <row r="2511" spans="1:10" x14ac:dyDescent="0.35">
      <c r="A2511" s="2">
        <v>44781</v>
      </c>
      <c r="B2511" s="3">
        <v>3.1527777777777773E-2</v>
      </c>
      <c r="C2511">
        <v>8330</v>
      </c>
      <c r="D2511" t="str">
        <f>VLOOKUP(H2511,Produkt!$A$2:$B$5,2,FALSE)</f>
        <v>D</v>
      </c>
      <c r="H2511">
        <v>4</v>
      </c>
      <c r="I2511">
        <v>9.6180555555556158E-3</v>
      </c>
      <c r="J2511">
        <v>44789</v>
      </c>
    </row>
    <row r="2512" spans="1:10" x14ac:dyDescent="0.35">
      <c r="A2512" s="2">
        <v>44781</v>
      </c>
      <c r="B2512" s="3">
        <v>0.94319444444444445</v>
      </c>
      <c r="C2512">
        <v>8375</v>
      </c>
      <c r="D2512" t="str">
        <f>VLOOKUP(H2512,Produkt!$A$2:$B$5,2,FALSE)</f>
        <v>B</v>
      </c>
      <c r="H2512">
        <v>2</v>
      </c>
      <c r="I2512">
        <v>0.81575231481481481</v>
      </c>
      <c r="J2512">
        <v>44783</v>
      </c>
    </row>
    <row r="2513" spans="1:10" x14ac:dyDescent="0.35">
      <c r="A2513" s="2">
        <v>44781</v>
      </c>
      <c r="B2513" s="3">
        <v>0.82501157407407411</v>
      </c>
      <c r="C2513">
        <v>8379</v>
      </c>
      <c r="D2513" t="str">
        <f>VLOOKUP(H2513,Produkt!$A$2:$B$5,2,FALSE)</f>
        <v>C</v>
      </c>
      <c r="H2513">
        <v>3</v>
      </c>
      <c r="I2513">
        <v>0.65467592592592594</v>
      </c>
      <c r="J2513">
        <v>44800</v>
      </c>
    </row>
    <row r="2514" spans="1:10" x14ac:dyDescent="0.35">
      <c r="A2514" s="2">
        <v>44781</v>
      </c>
      <c r="B2514" s="3">
        <v>0.5307291666666667</v>
      </c>
      <c r="C2514">
        <v>8387</v>
      </c>
      <c r="D2514" t="str">
        <f>VLOOKUP(H2514,Produkt!$A$2:$B$5,2,FALSE)</f>
        <v>D</v>
      </c>
      <c r="H2514">
        <v>4</v>
      </c>
      <c r="I2514">
        <v>0.96184027777777781</v>
      </c>
      <c r="J2514">
        <v>44777</v>
      </c>
    </row>
    <row r="2515" spans="1:10" x14ac:dyDescent="0.35">
      <c r="A2515" s="2">
        <v>44781</v>
      </c>
      <c r="B2515" s="3">
        <v>3.1678240740740743E-2</v>
      </c>
      <c r="C2515">
        <v>8425</v>
      </c>
      <c r="D2515" t="str">
        <f>VLOOKUP(H2515,Produkt!$A$2:$B$5,2,FALSE)</f>
        <v>C</v>
      </c>
      <c r="H2515">
        <v>3</v>
      </c>
      <c r="I2515">
        <v>0.26939814814814816</v>
      </c>
      <c r="J2515">
        <v>44796</v>
      </c>
    </row>
    <row r="2516" spans="1:10" x14ac:dyDescent="0.35">
      <c r="A2516" s="2">
        <v>44781</v>
      </c>
      <c r="B2516" s="3">
        <v>1.8634259259259212E-2</v>
      </c>
      <c r="C2516">
        <v>8438</v>
      </c>
      <c r="D2516" t="str">
        <f>VLOOKUP(H2516,Produkt!$A$2:$B$5,2,FALSE)</f>
        <v>A</v>
      </c>
      <c r="H2516">
        <v>1</v>
      </c>
      <c r="I2516">
        <v>0.82459490740740737</v>
      </c>
      <c r="J2516">
        <v>44778</v>
      </c>
    </row>
    <row r="2517" spans="1:10" x14ac:dyDescent="0.35">
      <c r="A2517" s="2">
        <v>44781</v>
      </c>
      <c r="B2517" s="3">
        <v>0.49681712962962959</v>
      </c>
      <c r="C2517">
        <v>8443</v>
      </c>
      <c r="D2517" t="str">
        <f>VLOOKUP(H2517,Produkt!$A$2:$B$5,2,FALSE)</f>
        <v>D</v>
      </c>
      <c r="H2517">
        <v>4</v>
      </c>
      <c r="I2517">
        <v>0.82892361111111112</v>
      </c>
      <c r="J2517">
        <v>44796</v>
      </c>
    </row>
    <row r="2518" spans="1:10" x14ac:dyDescent="0.35">
      <c r="A2518" s="2">
        <v>44781</v>
      </c>
      <c r="B2518" s="3">
        <v>0.10068287037037038</v>
      </c>
      <c r="C2518">
        <v>8494</v>
      </c>
      <c r="D2518" t="str">
        <f>VLOOKUP(H2518,Produkt!$A$2:$B$5,2,FALSE)</f>
        <v>C</v>
      </c>
      <c r="H2518">
        <v>3</v>
      </c>
      <c r="I2518">
        <v>0.31844907407407408</v>
      </c>
      <c r="J2518">
        <v>44783</v>
      </c>
    </row>
    <row r="2519" spans="1:10" x14ac:dyDescent="0.35">
      <c r="A2519" s="2">
        <v>44781</v>
      </c>
      <c r="B2519" s="3">
        <v>0.78226851851851853</v>
      </c>
      <c r="C2519">
        <v>8504</v>
      </c>
      <c r="D2519" t="str">
        <f>VLOOKUP(H2519,Produkt!$A$2:$B$5,2,FALSE)</f>
        <v>D</v>
      </c>
      <c r="H2519">
        <v>4</v>
      </c>
      <c r="I2519">
        <v>0.91917824074074073</v>
      </c>
      <c r="J2519">
        <v>44785</v>
      </c>
    </row>
    <row r="2520" spans="1:10" x14ac:dyDescent="0.35">
      <c r="A2520" s="2">
        <v>44781</v>
      </c>
      <c r="B2520" s="3">
        <v>0.60354166666666664</v>
      </c>
      <c r="C2520">
        <v>8508</v>
      </c>
      <c r="D2520" t="str">
        <f>VLOOKUP(H2520,Produkt!$A$2:$B$5,2,FALSE)</f>
        <v>C</v>
      </c>
      <c r="H2520">
        <v>3</v>
      </c>
      <c r="I2520">
        <v>0.12053240740740741</v>
      </c>
      <c r="J2520">
        <v>44783</v>
      </c>
    </row>
    <row r="2521" spans="1:10" x14ac:dyDescent="0.35">
      <c r="A2521" s="2">
        <v>44781</v>
      </c>
      <c r="B2521" s="3">
        <v>0.84484953703703702</v>
      </c>
      <c r="C2521">
        <v>8509</v>
      </c>
      <c r="D2521" t="str">
        <f>VLOOKUP(H2521,Produkt!$A$2:$B$5,2,FALSE)</f>
        <v>B</v>
      </c>
      <c r="H2521">
        <v>2</v>
      </c>
      <c r="I2521">
        <v>0.88328703703703704</v>
      </c>
      <c r="J2521">
        <v>44774</v>
      </c>
    </row>
    <row r="2522" spans="1:10" x14ac:dyDescent="0.35">
      <c r="A2522" s="2">
        <v>44781</v>
      </c>
      <c r="B2522" s="3">
        <v>0.82013888888888886</v>
      </c>
      <c r="C2522">
        <v>8531</v>
      </c>
      <c r="D2522" t="str">
        <f>VLOOKUP(H2522,Produkt!$A$2:$B$5,2,FALSE)</f>
        <v>C</v>
      </c>
      <c r="H2522">
        <v>3</v>
      </c>
      <c r="I2522">
        <v>0.70212962962962966</v>
      </c>
      <c r="J2522">
        <v>44775</v>
      </c>
    </row>
    <row r="2523" spans="1:10" x14ac:dyDescent="0.35">
      <c r="A2523" s="2">
        <v>44781</v>
      </c>
      <c r="B2523" s="3">
        <v>0.10836805555555555</v>
      </c>
      <c r="C2523">
        <v>8575</v>
      </c>
      <c r="D2523" t="str">
        <f>VLOOKUP(H2523,Produkt!$A$2:$B$5,2,FALSE)</f>
        <v>B</v>
      </c>
      <c r="H2523">
        <v>2</v>
      </c>
      <c r="I2523">
        <v>0.55533564814814818</v>
      </c>
      <c r="J2523">
        <v>44803</v>
      </c>
    </row>
    <row r="2524" spans="1:10" x14ac:dyDescent="0.35">
      <c r="A2524" s="2">
        <v>44781</v>
      </c>
      <c r="B2524" s="3">
        <v>0.48597222222222225</v>
      </c>
      <c r="C2524">
        <v>8613</v>
      </c>
      <c r="D2524" t="str">
        <f>VLOOKUP(H2524,Produkt!$A$2:$B$5,2,FALSE)</f>
        <v>A</v>
      </c>
      <c r="H2524">
        <v>1</v>
      </c>
      <c r="I2524">
        <v>0.44656249999999997</v>
      </c>
      <c r="J2524">
        <v>44778</v>
      </c>
    </row>
    <row r="2525" spans="1:10" x14ac:dyDescent="0.35">
      <c r="A2525" s="2">
        <v>44781</v>
      </c>
      <c r="B2525" s="3">
        <v>0.85936342592592585</v>
      </c>
      <c r="C2525">
        <v>8745</v>
      </c>
      <c r="D2525" t="str">
        <f>VLOOKUP(H2525,Produkt!$A$2:$B$5,2,FALSE)</f>
        <v>A</v>
      </c>
      <c r="H2525">
        <v>1</v>
      </c>
      <c r="I2525">
        <v>0.16745370370370372</v>
      </c>
      <c r="J2525">
        <v>44794</v>
      </c>
    </row>
    <row r="2526" spans="1:10" x14ac:dyDescent="0.35">
      <c r="A2526" s="2">
        <v>44781</v>
      </c>
      <c r="B2526" s="3">
        <v>0.14578703703703702</v>
      </c>
      <c r="C2526">
        <v>8749</v>
      </c>
      <c r="D2526" t="str">
        <f>VLOOKUP(H2526,Produkt!$A$2:$B$5,2,FALSE)</f>
        <v>D</v>
      </c>
      <c r="H2526">
        <v>4</v>
      </c>
      <c r="I2526">
        <v>0.98229166666666667</v>
      </c>
      <c r="J2526">
        <v>44801</v>
      </c>
    </row>
    <row r="2527" spans="1:10" x14ac:dyDescent="0.35">
      <c r="A2527" s="2">
        <v>44781</v>
      </c>
      <c r="B2527" s="3">
        <v>0.80009259259259258</v>
      </c>
      <c r="C2527">
        <v>8952</v>
      </c>
      <c r="D2527" t="str">
        <f>VLOOKUP(H2527,Produkt!$A$2:$B$5,2,FALSE)</f>
        <v>D</v>
      </c>
      <c r="H2527">
        <v>4</v>
      </c>
      <c r="I2527">
        <v>0.27303240740740742</v>
      </c>
      <c r="J2527">
        <v>44781</v>
      </c>
    </row>
    <row r="2528" spans="1:10" x14ac:dyDescent="0.35">
      <c r="A2528" s="2">
        <v>44781</v>
      </c>
      <c r="B2528" s="3">
        <v>0.71940972222222221</v>
      </c>
      <c r="C2528">
        <v>9072</v>
      </c>
      <c r="D2528" t="str">
        <f>VLOOKUP(H2528,Produkt!$A$2:$B$5,2,FALSE)</f>
        <v>A</v>
      </c>
      <c r="H2528">
        <v>1</v>
      </c>
      <c r="I2528">
        <v>0.4418171296296296</v>
      </c>
      <c r="J2528">
        <v>44786</v>
      </c>
    </row>
    <row r="2529" spans="1:10" x14ac:dyDescent="0.35">
      <c r="A2529" s="2">
        <v>44781</v>
      </c>
      <c r="B2529" s="3">
        <v>1.0243055555555491E-2</v>
      </c>
      <c r="C2529">
        <v>9127</v>
      </c>
      <c r="D2529" t="str">
        <f>VLOOKUP(H2529,Produkt!$A$2:$B$5,2,FALSE)</f>
        <v>C</v>
      </c>
      <c r="H2529">
        <v>3</v>
      </c>
      <c r="I2529">
        <v>0.98175925925925922</v>
      </c>
      <c r="J2529">
        <v>44774</v>
      </c>
    </row>
    <row r="2530" spans="1:10" x14ac:dyDescent="0.35">
      <c r="A2530" s="2">
        <v>44781</v>
      </c>
      <c r="B2530" s="3">
        <v>0.25725694444444441</v>
      </c>
      <c r="C2530">
        <v>9164</v>
      </c>
      <c r="D2530" t="str">
        <f>VLOOKUP(H2530,Produkt!$A$2:$B$5,2,FALSE)</f>
        <v>B</v>
      </c>
      <c r="H2530">
        <v>2</v>
      </c>
      <c r="I2530">
        <v>0.12839120370370369</v>
      </c>
      <c r="J2530">
        <v>44790</v>
      </c>
    </row>
    <row r="2531" spans="1:10" x14ac:dyDescent="0.35">
      <c r="A2531" s="2">
        <v>44781</v>
      </c>
      <c r="B2531" s="3">
        <v>4.87037037037037E-2</v>
      </c>
      <c r="C2531">
        <v>9199</v>
      </c>
      <c r="D2531" t="str">
        <f>VLOOKUP(H2531,Produkt!$A$2:$B$5,2,FALSE)</f>
        <v>D</v>
      </c>
      <c r="H2531">
        <v>4</v>
      </c>
      <c r="I2531">
        <v>0.31069444444444444</v>
      </c>
      <c r="J2531">
        <v>44784</v>
      </c>
    </row>
    <row r="2532" spans="1:10" x14ac:dyDescent="0.35">
      <c r="A2532" s="2">
        <v>44781</v>
      </c>
      <c r="B2532" s="3">
        <v>0.55653935185185188</v>
      </c>
      <c r="C2532">
        <v>9210</v>
      </c>
      <c r="D2532" t="str">
        <f>VLOOKUP(H2532,Produkt!$A$2:$B$5,2,FALSE)</f>
        <v>D</v>
      </c>
      <c r="H2532">
        <v>4</v>
      </c>
      <c r="I2532">
        <v>0.73608796296296297</v>
      </c>
      <c r="J2532">
        <v>44776</v>
      </c>
    </row>
    <row r="2533" spans="1:10" x14ac:dyDescent="0.35">
      <c r="A2533" s="2">
        <v>44781</v>
      </c>
      <c r="B2533" s="3">
        <v>0.86784722222222221</v>
      </c>
      <c r="C2533">
        <v>9233</v>
      </c>
      <c r="D2533" t="str">
        <f>VLOOKUP(H2533,Produkt!$A$2:$B$5,2,FALSE)</f>
        <v>B</v>
      </c>
      <c r="H2533">
        <v>2</v>
      </c>
      <c r="I2533">
        <v>0.24528935185185186</v>
      </c>
      <c r="J2533">
        <v>44788</v>
      </c>
    </row>
    <row r="2534" spans="1:10" x14ac:dyDescent="0.35">
      <c r="A2534" s="2">
        <v>44781</v>
      </c>
      <c r="B2534" s="3">
        <v>0.9848958333333333</v>
      </c>
      <c r="C2534">
        <v>9273</v>
      </c>
      <c r="D2534" t="str">
        <f>VLOOKUP(H2534,Produkt!$A$2:$B$5,2,FALSE)</f>
        <v>B</v>
      </c>
      <c r="H2534">
        <v>2</v>
      </c>
      <c r="I2534">
        <v>4.1400462962962958E-2</v>
      </c>
      <c r="J2534">
        <v>44785</v>
      </c>
    </row>
    <row r="2535" spans="1:10" x14ac:dyDescent="0.35">
      <c r="A2535" s="2">
        <v>44781</v>
      </c>
      <c r="B2535" s="3">
        <v>0.54481481481481475</v>
      </c>
      <c r="C2535">
        <v>9325</v>
      </c>
      <c r="D2535" t="str">
        <f>VLOOKUP(H2535,Produkt!$A$2:$B$5,2,FALSE)</f>
        <v>C</v>
      </c>
      <c r="H2535">
        <v>3</v>
      </c>
      <c r="I2535">
        <v>0.2202314814814815</v>
      </c>
      <c r="J2535">
        <v>44782</v>
      </c>
    </row>
    <row r="2536" spans="1:10" x14ac:dyDescent="0.35">
      <c r="A2536" s="2">
        <v>44781</v>
      </c>
      <c r="B2536" s="3">
        <v>0.22545138888888891</v>
      </c>
      <c r="C2536">
        <v>9410</v>
      </c>
      <c r="D2536" t="str">
        <f>VLOOKUP(H2536,Produkt!$A$2:$B$5,2,FALSE)</f>
        <v>C</v>
      </c>
      <c r="H2536">
        <v>3</v>
      </c>
      <c r="I2536">
        <v>0.26596064814814818</v>
      </c>
      <c r="J2536">
        <v>44798</v>
      </c>
    </row>
    <row r="2537" spans="1:10" x14ac:dyDescent="0.35">
      <c r="A2537" s="2">
        <v>44781</v>
      </c>
      <c r="B2537" s="3">
        <v>0.31554398148148149</v>
      </c>
      <c r="C2537">
        <v>9421</v>
      </c>
      <c r="D2537" t="str">
        <f>VLOOKUP(H2537,Produkt!$A$2:$B$5,2,FALSE)</f>
        <v>D</v>
      </c>
      <c r="H2537">
        <v>4</v>
      </c>
      <c r="I2537">
        <v>0.53553240740740737</v>
      </c>
      <c r="J2537">
        <v>44778</v>
      </c>
    </row>
    <row r="2538" spans="1:10" x14ac:dyDescent="0.35">
      <c r="A2538" s="2">
        <v>44781</v>
      </c>
      <c r="B2538" s="3">
        <v>1.1215277777777777E-2</v>
      </c>
      <c r="C2538">
        <v>9426</v>
      </c>
      <c r="D2538" t="str">
        <f>VLOOKUP(H2538,Produkt!$A$2:$B$5,2,FALSE)</f>
        <v>D</v>
      </c>
      <c r="H2538">
        <v>4</v>
      </c>
      <c r="I2538">
        <v>0.89219907407407406</v>
      </c>
      <c r="J2538">
        <v>44799</v>
      </c>
    </row>
    <row r="2539" spans="1:10" x14ac:dyDescent="0.35">
      <c r="A2539" s="2">
        <v>44781</v>
      </c>
      <c r="B2539" s="3">
        <v>0.62968750000000007</v>
      </c>
      <c r="C2539">
        <v>9430</v>
      </c>
      <c r="D2539" t="str">
        <f>VLOOKUP(H2539,Produkt!$A$2:$B$5,2,FALSE)</f>
        <v>B</v>
      </c>
      <c r="H2539">
        <v>2</v>
      </c>
      <c r="I2539">
        <v>0.8679513888888889</v>
      </c>
      <c r="J2539">
        <v>44796</v>
      </c>
    </row>
    <row r="2540" spans="1:10" x14ac:dyDescent="0.35">
      <c r="A2540" s="2">
        <v>44781</v>
      </c>
      <c r="B2540" s="3">
        <v>2.3391203703703622E-2</v>
      </c>
      <c r="C2540">
        <v>9453</v>
      </c>
      <c r="D2540" t="str">
        <f>VLOOKUP(H2540,Produkt!$A$2:$B$5,2,FALSE)</f>
        <v>A</v>
      </c>
      <c r="H2540">
        <v>1</v>
      </c>
      <c r="I2540">
        <v>0.34847222222222224</v>
      </c>
      <c r="J2540">
        <v>44800</v>
      </c>
    </row>
    <row r="2541" spans="1:10" x14ac:dyDescent="0.35">
      <c r="A2541" s="2">
        <v>44781</v>
      </c>
      <c r="B2541" s="3">
        <v>5.3321759259259256E-2</v>
      </c>
      <c r="C2541">
        <v>9546</v>
      </c>
      <c r="D2541" t="str">
        <f>VLOOKUP(H2541,Produkt!$A$2:$B$5,2,FALSE)</f>
        <v>D</v>
      </c>
      <c r="H2541">
        <v>4</v>
      </c>
      <c r="I2541">
        <v>0.79656249999999995</v>
      </c>
      <c r="J2541">
        <v>44787</v>
      </c>
    </row>
    <row r="2542" spans="1:10" x14ac:dyDescent="0.35">
      <c r="A2542" s="2">
        <v>44781</v>
      </c>
      <c r="B2542" s="3">
        <v>0.30002314814814818</v>
      </c>
      <c r="C2542">
        <v>9606</v>
      </c>
      <c r="D2542" t="str">
        <f>VLOOKUP(H2542,Produkt!$A$2:$B$5,2,FALSE)</f>
        <v>A</v>
      </c>
      <c r="H2542">
        <v>1</v>
      </c>
      <c r="I2542">
        <v>0.90872685185185187</v>
      </c>
      <c r="J2542">
        <v>44788</v>
      </c>
    </row>
    <row r="2543" spans="1:10" x14ac:dyDescent="0.35">
      <c r="A2543" s="2">
        <v>44781</v>
      </c>
      <c r="B2543" s="3">
        <v>0.11675925925925927</v>
      </c>
      <c r="C2543">
        <v>9610</v>
      </c>
      <c r="D2543" t="str">
        <f>VLOOKUP(H2543,Produkt!$A$2:$B$5,2,FALSE)</f>
        <v>D</v>
      </c>
      <c r="H2543">
        <v>4</v>
      </c>
      <c r="I2543">
        <v>0.95603009259259253</v>
      </c>
      <c r="J2543">
        <v>44779</v>
      </c>
    </row>
    <row r="2544" spans="1:10" x14ac:dyDescent="0.35">
      <c r="A2544" s="2">
        <v>44781</v>
      </c>
      <c r="B2544" s="3">
        <v>0.50059027777777776</v>
      </c>
      <c r="C2544">
        <v>9679</v>
      </c>
      <c r="D2544" t="str">
        <f>VLOOKUP(H2544,Produkt!$A$2:$B$5,2,FALSE)</f>
        <v>A</v>
      </c>
      <c r="H2544">
        <v>1</v>
      </c>
      <c r="I2544">
        <v>7.2916666666666671E-2</v>
      </c>
      <c r="J2544">
        <v>44790</v>
      </c>
    </row>
    <row r="2545" spans="1:10" x14ac:dyDescent="0.35">
      <c r="A2545" s="2">
        <v>44781</v>
      </c>
      <c r="B2545" s="3">
        <v>0.79682870370370373</v>
      </c>
      <c r="C2545">
        <v>9749</v>
      </c>
      <c r="D2545" t="str">
        <f>VLOOKUP(H2545,Produkt!$A$2:$B$5,2,FALSE)</f>
        <v>D</v>
      </c>
      <c r="H2545">
        <v>4</v>
      </c>
      <c r="I2545">
        <v>0.91653935185185187</v>
      </c>
      <c r="J2545">
        <v>44775</v>
      </c>
    </row>
    <row r="2546" spans="1:10" x14ac:dyDescent="0.35">
      <c r="A2546" s="2">
        <v>44781</v>
      </c>
      <c r="B2546" s="3">
        <v>0.24976851851851853</v>
      </c>
      <c r="C2546">
        <v>9754</v>
      </c>
      <c r="D2546" t="str">
        <f>VLOOKUP(H2546,Produkt!$A$2:$B$5,2,FALSE)</f>
        <v>D</v>
      </c>
      <c r="H2546">
        <v>4</v>
      </c>
      <c r="I2546">
        <v>0.47834490740740737</v>
      </c>
      <c r="J2546">
        <v>44790</v>
      </c>
    </row>
    <row r="2547" spans="1:10" x14ac:dyDescent="0.35">
      <c r="A2547" s="2">
        <v>44781</v>
      </c>
      <c r="B2547" s="3">
        <v>0.22881944444444444</v>
      </c>
      <c r="C2547">
        <v>9814</v>
      </c>
      <c r="D2547" t="str">
        <f>VLOOKUP(H2547,Produkt!$A$2:$B$5,2,FALSE)</f>
        <v>D</v>
      </c>
      <c r="H2547">
        <v>4</v>
      </c>
      <c r="I2547">
        <v>0.67038194444444443</v>
      </c>
      <c r="J2547">
        <v>44788</v>
      </c>
    </row>
    <row r="2548" spans="1:10" x14ac:dyDescent="0.35">
      <c r="A2548" s="2">
        <v>44781</v>
      </c>
      <c r="B2548" s="3">
        <v>0.48971064814814813</v>
      </c>
      <c r="C2548">
        <v>9828</v>
      </c>
      <c r="D2548" t="str">
        <f>VLOOKUP(H2548,Produkt!$A$2:$B$5,2,FALSE)</f>
        <v>C</v>
      </c>
      <c r="H2548">
        <v>3</v>
      </c>
      <c r="I2548">
        <v>0.50731481481481489</v>
      </c>
      <c r="J2548">
        <v>44801</v>
      </c>
    </row>
    <row r="2549" spans="1:10" x14ac:dyDescent="0.35">
      <c r="A2549" s="2">
        <v>44781</v>
      </c>
      <c r="B2549" s="3">
        <v>0.47039351851851857</v>
      </c>
      <c r="C2549">
        <v>9854</v>
      </c>
      <c r="D2549" t="str">
        <f>VLOOKUP(H2549,Produkt!$A$2:$B$5,2,FALSE)</f>
        <v>B</v>
      </c>
      <c r="H2549">
        <v>2</v>
      </c>
      <c r="I2549">
        <v>1.1736111111111109E-2</v>
      </c>
      <c r="J2549">
        <v>44774</v>
      </c>
    </row>
    <row r="2550" spans="1:10" x14ac:dyDescent="0.35">
      <c r="A2550" s="2">
        <v>44781</v>
      </c>
      <c r="B2550" s="3">
        <v>0.82755787037037043</v>
      </c>
      <c r="C2550">
        <v>9873</v>
      </c>
      <c r="D2550" t="str">
        <f>VLOOKUP(H2550,Produkt!$A$2:$B$5,2,FALSE)</f>
        <v>B</v>
      </c>
      <c r="H2550">
        <v>2</v>
      </c>
      <c r="I2550">
        <v>2.2083333333333333E-2</v>
      </c>
      <c r="J2550">
        <v>44776</v>
      </c>
    </row>
    <row r="2551" spans="1:10" x14ac:dyDescent="0.35">
      <c r="A2551" s="2">
        <v>44781</v>
      </c>
      <c r="B2551" s="3">
        <v>0.56194444444444447</v>
      </c>
      <c r="C2551">
        <v>9879</v>
      </c>
      <c r="D2551" t="str">
        <f>VLOOKUP(H2551,Produkt!$A$2:$B$5,2,FALSE)</f>
        <v>B</v>
      </c>
      <c r="H2551">
        <v>2</v>
      </c>
      <c r="I2551">
        <v>2.3854166666666666E-2</v>
      </c>
      <c r="J2551">
        <v>44780</v>
      </c>
    </row>
    <row r="2552" spans="1:10" x14ac:dyDescent="0.35">
      <c r="A2552" s="2">
        <v>44781</v>
      </c>
      <c r="B2552" s="3">
        <v>0.1348148148148148</v>
      </c>
      <c r="C2552">
        <v>9881</v>
      </c>
      <c r="D2552" t="str">
        <f>VLOOKUP(H2552,Produkt!$A$2:$B$5,2,FALSE)</f>
        <v>C</v>
      </c>
      <c r="H2552">
        <v>3</v>
      </c>
      <c r="I2552">
        <v>0.65268518518518526</v>
      </c>
      <c r="J2552">
        <v>44795</v>
      </c>
    </row>
    <row r="2553" spans="1:10" x14ac:dyDescent="0.35">
      <c r="A2553" s="2">
        <v>44781</v>
      </c>
      <c r="B2553" s="3">
        <v>0.12503472222222223</v>
      </c>
      <c r="C2553">
        <v>9946</v>
      </c>
      <c r="D2553" t="str">
        <f>VLOOKUP(H2553,Produkt!$A$2:$B$5,2,FALSE)</f>
        <v>D</v>
      </c>
      <c r="H2553">
        <v>4</v>
      </c>
      <c r="I2553">
        <v>0.58206018518518521</v>
      </c>
      <c r="J2553">
        <v>44800</v>
      </c>
    </row>
    <row r="2554" spans="1:10" x14ac:dyDescent="0.35">
      <c r="A2554" s="2">
        <v>44781</v>
      </c>
      <c r="B2554" s="3">
        <v>0.68884259259259262</v>
      </c>
      <c r="C2554">
        <v>9973</v>
      </c>
      <c r="D2554" t="str">
        <f>VLOOKUP(H2554,Produkt!$A$2:$B$5,2,FALSE)</f>
        <v>A</v>
      </c>
      <c r="H2554">
        <v>1</v>
      </c>
      <c r="I2554">
        <v>0.58526620370370364</v>
      </c>
      <c r="J2554">
        <v>44785</v>
      </c>
    </row>
    <row r="2555" spans="1:10" x14ac:dyDescent="0.35">
      <c r="A2555" s="2">
        <v>44781</v>
      </c>
      <c r="B2555" s="3">
        <v>0.95210648148148147</v>
      </c>
      <c r="C2555">
        <v>9992</v>
      </c>
      <c r="D2555" t="str">
        <f>VLOOKUP(H2555,Produkt!$A$2:$B$5,2,FALSE)</f>
        <v>D</v>
      </c>
      <c r="H2555">
        <v>4</v>
      </c>
      <c r="I2555">
        <v>0.73133101851851856</v>
      </c>
      <c r="J2555">
        <v>44782</v>
      </c>
    </row>
    <row r="2556" spans="1:10" x14ac:dyDescent="0.35">
      <c r="A2556" s="2">
        <v>44782</v>
      </c>
      <c r="B2556" s="3">
        <v>2.4999999999999998E-2</v>
      </c>
      <c r="C2556">
        <v>100</v>
      </c>
      <c r="D2556" t="str">
        <f>VLOOKUP(H2556,Produkt!$A$2:$B$5,2,FALSE)</f>
        <v>D</v>
      </c>
      <c r="H2556">
        <v>4</v>
      </c>
      <c r="I2556">
        <v>0.46994212962962961</v>
      </c>
      <c r="J2556">
        <v>44780</v>
      </c>
    </row>
    <row r="2557" spans="1:10" x14ac:dyDescent="0.35">
      <c r="A2557" s="2">
        <v>44782</v>
      </c>
      <c r="B2557" s="3">
        <v>0.53809027777777774</v>
      </c>
      <c r="C2557">
        <v>174</v>
      </c>
      <c r="D2557" t="str">
        <f>VLOOKUP(H2557,Produkt!$A$2:$B$5,2,FALSE)</f>
        <v>A</v>
      </c>
      <c r="H2557">
        <v>1</v>
      </c>
      <c r="I2557">
        <v>0.46519675925925924</v>
      </c>
      <c r="J2557">
        <v>44796</v>
      </c>
    </row>
    <row r="2558" spans="1:10" x14ac:dyDescent="0.35">
      <c r="A2558" s="2">
        <v>44782</v>
      </c>
      <c r="B2558" s="3">
        <v>0.16383101851851853</v>
      </c>
      <c r="C2558">
        <v>195</v>
      </c>
      <c r="D2558" t="str">
        <f>VLOOKUP(H2558,Produkt!$A$2:$B$5,2,FALSE)</f>
        <v>B</v>
      </c>
      <c r="H2558">
        <v>2</v>
      </c>
      <c r="I2558">
        <v>9.884259259259176E-3</v>
      </c>
      <c r="J2558">
        <v>44796</v>
      </c>
    </row>
    <row r="2559" spans="1:10" x14ac:dyDescent="0.35">
      <c r="A2559" s="2">
        <v>44782</v>
      </c>
      <c r="B2559" s="3">
        <v>0.40807870370370369</v>
      </c>
      <c r="C2559">
        <v>197</v>
      </c>
      <c r="D2559" t="str">
        <f>VLOOKUP(H2559,Produkt!$A$2:$B$5,2,FALSE)</f>
        <v>D</v>
      </c>
      <c r="H2559">
        <v>4</v>
      </c>
      <c r="I2559">
        <v>0.96261574074074074</v>
      </c>
      <c r="J2559">
        <v>44804</v>
      </c>
    </row>
    <row r="2560" spans="1:10" x14ac:dyDescent="0.35">
      <c r="A2560" s="2">
        <v>44782</v>
      </c>
      <c r="B2560" s="3">
        <v>0.86355324074074069</v>
      </c>
      <c r="C2560">
        <v>218</v>
      </c>
      <c r="D2560" t="str">
        <f>VLOOKUP(H2560,Produkt!$A$2:$B$5,2,FALSE)</f>
        <v>C</v>
      </c>
      <c r="H2560">
        <v>3</v>
      </c>
      <c r="I2560">
        <v>0.17770833333333333</v>
      </c>
      <c r="J2560">
        <v>44795</v>
      </c>
    </row>
    <row r="2561" spans="1:10" x14ac:dyDescent="0.35">
      <c r="A2561" s="2">
        <v>44782</v>
      </c>
      <c r="B2561" s="3">
        <v>0.66127314814814808</v>
      </c>
      <c r="C2561">
        <v>242</v>
      </c>
      <c r="D2561" t="str">
        <f>VLOOKUP(H2561,Produkt!$A$2:$B$5,2,FALSE)</f>
        <v>B</v>
      </c>
      <c r="H2561">
        <v>2</v>
      </c>
      <c r="I2561">
        <v>0.14260416666666667</v>
      </c>
      <c r="J2561">
        <v>44786</v>
      </c>
    </row>
    <row r="2562" spans="1:10" x14ac:dyDescent="0.35">
      <c r="A2562" s="2">
        <v>44782</v>
      </c>
      <c r="B2562" s="3">
        <v>0.26734953703703707</v>
      </c>
      <c r="C2562">
        <v>269</v>
      </c>
      <c r="D2562" t="str">
        <f>VLOOKUP(H2562,Produkt!$A$2:$B$5,2,FALSE)</f>
        <v>A</v>
      </c>
      <c r="H2562">
        <v>1</v>
      </c>
      <c r="I2562">
        <v>0.29207175925925927</v>
      </c>
      <c r="J2562">
        <v>44790</v>
      </c>
    </row>
    <row r="2563" spans="1:10" x14ac:dyDescent="0.35">
      <c r="A2563" s="2">
        <v>44782</v>
      </c>
      <c r="B2563" s="3">
        <v>0.3181134259259259</v>
      </c>
      <c r="C2563">
        <v>289</v>
      </c>
      <c r="D2563" t="str">
        <f>VLOOKUP(H2563,Produkt!$A$2:$B$5,2,FALSE)</f>
        <v>A</v>
      </c>
      <c r="H2563">
        <v>1</v>
      </c>
      <c r="I2563">
        <v>0.68026620370370372</v>
      </c>
      <c r="J2563">
        <v>44790</v>
      </c>
    </row>
    <row r="2564" spans="1:10" x14ac:dyDescent="0.35">
      <c r="A2564" s="2">
        <v>44782</v>
      </c>
      <c r="B2564" s="3">
        <v>0.5244212962962963</v>
      </c>
      <c r="C2564">
        <v>323</v>
      </c>
      <c r="D2564" t="str">
        <f>VLOOKUP(H2564,Produkt!$A$2:$B$5,2,FALSE)</f>
        <v>C</v>
      </c>
      <c r="H2564">
        <v>3</v>
      </c>
      <c r="I2564">
        <v>0.1254976851851852</v>
      </c>
      <c r="J2564">
        <v>44802</v>
      </c>
    </row>
    <row r="2565" spans="1:10" x14ac:dyDescent="0.35">
      <c r="A2565" s="2">
        <v>44782</v>
      </c>
      <c r="B2565" s="3">
        <v>0.16854166666666667</v>
      </c>
      <c r="C2565">
        <v>332</v>
      </c>
      <c r="D2565" t="str">
        <f>VLOOKUP(H2565,Produkt!$A$2:$B$5,2,FALSE)</f>
        <v>D</v>
      </c>
      <c r="H2565">
        <v>4</v>
      </c>
      <c r="I2565">
        <v>0.54959490740740746</v>
      </c>
      <c r="J2565">
        <v>44774</v>
      </c>
    </row>
    <row r="2566" spans="1:10" x14ac:dyDescent="0.35">
      <c r="A2566" s="2">
        <v>44782</v>
      </c>
      <c r="B2566" s="3">
        <v>0.42167824074074073</v>
      </c>
      <c r="C2566">
        <v>354</v>
      </c>
      <c r="D2566" t="str">
        <f>VLOOKUP(H2566,Produkt!$A$2:$B$5,2,FALSE)</f>
        <v>D</v>
      </c>
      <c r="H2566">
        <v>4</v>
      </c>
      <c r="I2566">
        <v>0.99974537037037037</v>
      </c>
      <c r="J2566">
        <v>44787</v>
      </c>
    </row>
    <row r="2567" spans="1:10" x14ac:dyDescent="0.35">
      <c r="A2567" s="2">
        <v>44782</v>
      </c>
      <c r="B2567" s="3">
        <v>0.78518518518518521</v>
      </c>
      <c r="C2567">
        <v>372</v>
      </c>
      <c r="D2567" t="str">
        <f>VLOOKUP(H2567,Produkt!$A$2:$B$5,2,FALSE)</f>
        <v>D</v>
      </c>
      <c r="H2567">
        <v>4</v>
      </c>
      <c r="I2567">
        <v>0.66888888888888898</v>
      </c>
      <c r="J2567">
        <v>44796</v>
      </c>
    </row>
    <row r="2568" spans="1:10" x14ac:dyDescent="0.35">
      <c r="A2568" s="2">
        <v>44782</v>
      </c>
      <c r="B2568" s="3">
        <v>0.71208333333333329</v>
      </c>
      <c r="C2568">
        <v>400</v>
      </c>
      <c r="D2568" t="str">
        <f>VLOOKUP(H2568,Produkt!$A$2:$B$5,2,FALSE)</f>
        <v>B</v>
      </c>
      <c r="H2568">
        <v>2</v>
      </c>
      <c r="I2568">
        <v>0.59840277777777773</v>
      </c>
      <c r="J2568">
        <v>44802</v>
      </c>
    </row>
    <row r="2569" spans="1:10" x14ac:dyDescent="0.35">
      <c r="A2569" s="2">
        <v>44782</v>
      </c>
      <c r="B2569" s="3">
        <v>0.64935185185185185</v>
      </c>
      <c r="C2569">
        <v>476</v>
      </c>
      <c r="D2569" t="str">
        <f>VLOOKUP(H2569,Produkt!$A$2:$B$5,2,FALSE)</f>
        <v>D</v>
      </c>
      <c r="H2569">
        <v>4</v>
      </c>
      <c r="I2569">
        <v>0.47222222222222227</v>
      </c>
      <c r="J2569">
        <v>44796</v>
      </c>
    </row>
    <row r="2570" spans="1:10" x14ac:dyDescent="0.35">
      <c r="A2570" s="2">
        <v>44782</v>
      </c>
      <c r="B2570" s="3">
        <v>0.66857638888888893</v>
      </c>
      <c r="C2570">
        <v>687</v>
      </c>
      <c r="D2570" t="str">
        <f>VLOOKUP(H2570,Produkt!$A$2:$B$5,2,FALSE)</f>
        <v>C</v>
      </c>
      <c r="H2570">
        <v>3</v>
      </c>
      <c r="I2570">
        <v>1.9814814814814816E-2</v>
      </c>
      <c r="J2570">
        <v>44791</v>
      </c>
    </row>
    <row r="2571" spans="1:10" x14ac:dyDescent="0.35">
      <c r="A2571" s="2">
        <v>44782</v>
      </c>
      <c r="B2571" s="3">
        <v>0.61383101851851851</v>
      </c>
      <c r="C2571">
        <v>722</v>
      </c>
      <c r="D2571" t="str">
        <f>VLOOKUP(H2571,Produkt!$A$2:$B$5,2,FALSE)</f>
        <v>A</v>
      </c>
      <c r="H2571">
        <v>1</v>
      </c>
      <c r="I2571">
        <v>0.24105324074074075</v>
      </c>
      <c r="J2571">
        <v>44796</v>
      </c>
    </row>
    <row r="2572" spans="1:10" x14ac:dyDescent="0.35">
      <c r="A2572" s="2">
        <v>44782</v>
      </c>
      <c r="B2572" s="3">
        <v>0.92326388888888899</v>
      </c>
      <c r="C2572">
        <v>730</v>
      </c>
      <c r="D2572" t="str">
        <f>VLOOKUP(H2572,Produkt!$A$2:$B$5,2,FALSE)</f>
        <v>A</v>
      </c>
      <c r="H2572">
        <v>1</v>
      </c>
      <c r="I2572">
        <v>0.16017361111111111</v>
      </c>
      <c r="J2572">
        <v>44789</v>
      </c>
    </row>
    <row r="2573" spans="1:10" x14ac:dyDescent="0.35">
      <c r="A2573" s="2">
        <v>44782</v>
      </c>
      <c r="B2573" s="3">
        <v>0.28837962962962965</v>
      </c>
      <c r="C2573">
        <v>743</v>
      </c>
      <c r="D2573" t="str">
        <f>VLOOKUP(H2573,Produkt!$A$2:$B$5,2,FALSE)</f>
        <v>D</v>
      </c>
      <c r="H2573">
        <v>4</v>
      </c>
      <c r="I2573">
        <v>0.12525462962962963</v>
      </c>
      <c r="J2573">
        <v>44791</v>
      </c>
    </row>
    <row r="2574" spans="1:10" x14ac:dyDescent="0.35">
      <c r="A2574" s="2">
        <v>44782</v>
      </c>
      <c r="B2574" s="3">
        <v>0.69019675925925927</v>
      </c>
      <c r="C2574">
        <v>748</v>
      </c>
      <c r="D2574" t="str">
        <f>VLOOKUP(H2574,Produkt!$A$2:$B$5,2,FALSE)</f>
        <v>A</v>
      </c>
      <c r="H2574">
        <v>1</v>
      </c>
      <c r="I2574">
        <v>0.30547453703703703</v>
      </c>
      <c r="J2574">
        <v>44790</v>
      </c>
    </row>
    <row r="2575" spans="1:10" x14ac:dyDescent="0.35">
      <c r="A2575" s="2">
        <v>44782</v>
      </c>
      <c r="B2575" s="3">
        <v>0.38464120370370369</v>
      </c>
      <c r="C2575">
        <v>783</v>
      </c>
      <c r="D2575" t="str">
        <f>VLOOKUP(H2575,Produkt!$A$2:$B$5,2,FALSE)</f>
        <v>C</v>
      </c>
      <c r="H2575">
        <v>3</v>
      </c>
      <c r="I2575">
        <v>4.403935185185185E-2</v>
      </c>
      <c r="J2575">
        <v>44777</v>
      </c>
    </row>
    <row r="2576" spans="1:10" x14ac:dyDescent="0.35">
      <c r="A2576" s="2">
        <v>44782</v>
      </c>
      <c r="B2576" s="3">
        <v>0.92277777777777781</v>
      </c>
      <c r="C2576">
        <v>825</v>
      </c>
      <c r="D2576" t="str">
        <f>VLOOKUP(H2576,Produkt!$A$2:$B$5,2,FALSE)</f>
        <v>C</v>
      </c>
      <c r="H2576">
        <v>3</v>
      </c>
      <c r="I2576">
        <v>0.48554398148148148</v>
      </c>
      <c r="J2576">
        <v>44795</v>
      </c>
    </row>
    <row r="2577" spans="1:10" x14ac:dyDescent="0.35">
      <c r="A2577" s="2">
        <v>44782</v>
      </c>
      <c r="B2577" s="3">
        <v>0.97282407407407412</v>
      </c>
      <c r="C2577">
        <v>844</v>
      </c>
      <c r="D2577" t="str">
        <f>VLOOKUP(H2577,Produkt!$A$2:$B$5,2,FALSE)</f>
        <v>A</v>
      </c>
      <c r="H2577">
        <v>1</v>
      </c>
      <c r="I2577">
        <v>7.8634259259259265E-2</v>
      </c>
      <c r="J2577">
        <v>44780</v>
      </c>
    </row>
    <row r="2578" spans="1:10" x14ac:dyDescent="0.35">
      <c r="A2578" s="2">
        <v>44782</v>
      </c>
      <c r="B2578" s="3">
        <v>0.33361111111111108</v>
      </c>
      <c r="C2578">
        <v>846</v>
      </c>
      <c r="D2578" t="str">
        <f>VLOOKUP(H2578,Produkt!$A$2:$B$5,2,FALSE)</f>
        <v>B</v>
      </c>
      <c r="H2578">
        <v>2</v>
      </c>
      <c r="I2578">
        <v>0.28202546296296299</v>
      </c>
      <c r="J2578">
        <v>44798</v>
      </c>
    </row>
    <row r="2579" spans="1:10" x14ac:dyDescent="0.35">
      <c r="A2579" s="2">
        <v>44782</v>
      </c>
      <c r="B2579" s="3">
        <v>9.0740740740740733E-2</v>
      </c>
      <c r="C2579">
        <v>860</v>
      </c>
      <c r="D2579" t="str">
        <f>VLOOKUP(H2579,Produkt!$A$2:$B$5,2,FALSE)</f>
        <v>A</v>
      </c>
      <c r="H2579">
        <v>1</v>
      </c>
      <c r="I2579">
        <v>0.76648148148148154</v>
      </c>
      <c r="J2579">
        <v>44799</v>
      </c>
    </row>
    <row r="2580" spans="1:10" x14ac:dyDescent="0.35">
      <c r="A2580" s="2">
        <v>44782</v>
      </c>
      <c r="B2580" s="3">
        <v>0.62353009259259262</v>
      </c>
      <c r="C2580">
        <v>872</v>
      </c>
      <c r="D2580" t="str">
        <f>VLOOKUP(H2580,Produkt!$A$2:$B$5,2,FALSE)</f>
        <v>C</v>
      </c>
      <c r="H2580">
        <v>3</v>
      </c>
      <c r="I2580">
        <v>0.15766203703703704</v>
      </c>
      <c r="J2580">
        <v>44781</v>
      </c>
    </row>
    <row r="2581" spans="1:10" x14ac:dyDescent="0.35">
      <c r="A2581" s="2">
        <v>44782</v>
      </c>
      <c r="B2581" s="3">
        <v>0.43581018518518522</v>
      </c>
      <c r="C2581">
        <v>879</v>
      </c>
      <c r="D2581" t="str">
        <f>VLOOKUP(H2581,Produkt!$A$2:$B$5,2,FALSE)</f>
        <v>A</v>
      </c>
      <c r="H2581">
        <v>1</v>
      </c>
      <c r="I2581">
        <v>3.4826388888888893E-2</v>
      </c>
      <c r="J2581">
        <v>44803</v>
      </c>
    </row>
    <row r="2582" spans="1:10" x14ac:dyDescent="0.35">
      <c r="A2582" s="2">
        <v>44782</v>
      </c>
      <c r="B2582" s="3">
        <v>0.43012731481481481</v>
      </c>
      <c r="C2582">
        <v>921</v>
      </c>
      <c r="D2582" t="str">
        <f>VLOOKUP(H2582,Produkt!$A$2:$B$5,2,FALSE)</f>
        <v>B</v>
      </c>
      <c r="H2582">
        <v>2</v>
      </c>
      <c r="I2582">
        <v>0.84877314814814808</v>
      </c>
      <c r="J2582">
        <v>44798</v>
      </c>
    </row>
    <row r="2583" spans="1:10" x14ac:dyDescent="0.35">
      <c r="A2583" s="2">
        <v>44782</v>
      </c>
      <c r="B2583" s="3">
        <v>0.95923611111111118</v>
      </c>
      <c r="C2583">
        <v>940</v>
      </c>
      <c r="D2583" t="str">
        <f>VLOOKUP(H2583,Produkt!$A$2:$B$5,2,FALSE)</f>
        <v>D</v>
      </c>
      <c r="H2583">
        <v>4</v>
      </c>
      <c r="I2583">
        <v>0.3818171296296296</v>
      </c>
      <c r="J2583">
        <v>44804</v>
      </c>
    </row>
    <row r="2584" spans="1:10" x14ac:dyDescent="0.35">
      <c r="A2584" s="2">
        <v>44782</v>
      </c>
      <c r="B2584" s="3">
        <v>0.71083333333333332</v>
      </c>
      <c r="C2584">
        <v>941</v>
      </c>
      <c r="D2584" t="str">
        <f>VLOOKUP(H2584,Produkt!$A$2:$B$5,2,FALSE)</f>
        <v>B</v>
      </c>
      <c r="H2584">
        <v>2</v>
      </c>
      <c r="I2584">
        <v>0.62238425925925933</v>
      </c>
      <c r="J2584">
        <v>44789</v>
      </c>
    </row>
    <row r="2585" spans="1:10" x14ac:dyDescent="0.35">
      <c r="A2585" s="2">
        <v>44782</v>
      </c>
      <c r="B2585" s="3">
        <v>0.36777777777777776</v>
      </c>
      <c r="C2585">
        <v>949</v>
      </c>
      <c r="D2585" t="str">
        <f>VLOOKUP(H2585,Produkt!$A$2:$B$5,2,FALSE)</f>
        <v>B</v>
      </c>
      <c r="H2585">
        <v>2</v>
      </c>
      <c r="I2585">
        <v>3.6481481481481483E-2</v>
      </c>
      <c r="J2585">
        <v>44780</v>
      </c>
    </row>
    <row r="2586" spans="1:10" x14ac:dyDescent="0.35">
      <c r="A2586" s="2">
        <v>44782</v>
      </c>
      <c r="B2586" s="3">
        <v>0.76733796296296297</v>
      </c>
      <c r="C2586">
        <v>994</v>
      </c>
      <c r="D2586" t="str">
        <f>VLOOKUP(H2586,Produkt!$A$2:$B$5,2,FALSE)</f>
        <v>A</v>
      </c>
      <c r="H2586">
        <v>1</v>
      </c>
      <c r="I2586">
        <v>7.0833333333333331E-2</v>
      </c>
      <c r="J2586">
        <v>44797</v>
      </c>
    </row>
    <row r="2587" spans="1:10" x14ac:dyDescent="0.35">
      <c r="A2587" s="2">
        <v>44782</v>
      </c>
      <c r="B2587" s="3">
        <v>0.21035879629629628</v>
      </c>
      <c r="C2587">
        <v>1034</v>
      </c>
      <c r="D2587" t="str">
        <f>VLOOKUP(H2587,Produkt!$A$2:$B$5,2,FALSE)</f>
        <v>B</v>
      </c>
      <c r="H2587">
        <v>2</v>
      </c>
      <c r="I2587">
        <v>0.26996527777777779</v>
      </c>
      <c r="J2587">
        <v>44776</v>
      </c>
    </row>
    <row r="2588" spans="1:10" x14ac:dyDescent="0.35">
      <c r="A2588" s="2">
        <v>44782</v>
      </c>
      <c r="B2588" s="3">
        <v>0.82650462962962967</v>
      </c>
      <c r="C2588">
        <v>1069</v>
      </c>
      <c r="D2588" t="str">
        <f>VLOOKUP(H2588,Produkt!$A$2:$B$5,2,FALSE)</f>
        <v>A</v>
      </c>
      <c r="H2588">
        <v>1</v>
      </c>
      <c r="I2588">
        <v>0.6637615740740741</v>
      </c>
      <c r="J2588">
        <v>44796</v>
      </c>
    </row>
    <row r="2589" spans="1:10" x14ac:dyDescent="0.35">
      <c r="A2589" s="2">
        <v>44782</v>
      </c>
      <c r="B2589" s="3">
        <v>0.70105324074074071</v>
      </c>
      <c r="C2589">
        <v>1112</v>
      </c>
      <c r="D2589" t="str">
        <f>VLOOKUP(H2589,Produkt!$A$2:$B$5,2,FALSE)</f>
        <v>C</v>
      </c>
      <c r="H2589">
        <v>3</v>
      </c>
      <c r="I2589">
        <v>0.24754629629629629</v>
      </c>
      <c r="J2589">
        <v>44789</v>
      </c>
    </row>
    <row r="2590" spans="1:10" x14ac:dyDescent="0.35">
      <c r="A2590" s="2">
        <v>44782</v>
      </c>
      <c r="B2590" s="3">
        <v>0.18168981481481483</v>
      </c>
      <c r="C2590">
        <v>1129</v>
      </c>
      <c r="D2590" t="str">
        <f>VLOOKUP(H2590,Produkt!$A$2:$B$5,2,FALSE)</f>
        <v>D</v>
      </c>
      <c r="H2590">
        <v>4</v>
      </c>
      <c r="I2590">
        <v>0.99452546296296296</v>
      </c>
      <c r="J2590">
        <v>44779</v>
      </c>
    </row>
    <row r="2591" spans="1:10" x14ac:dyDescent="0.35">
      <c r="A2591" s="2">
        <v>44782</v>
      </c>
      <c r="B2591" s="3">
        <v>0.90407407407407403</v>
      </c>
      <c r="C2591">
        <v>1143</v>
      </c>
      <c r="D2591" t="str">
        <f>VLOOKUP(H2591,Produkt!$A$2:$B$5,2,FALSE)</f>
        <v>A</v>
      </c>
      <c r="H2591">
        <v>1</v>
      </c>
      <c r="I2591">
        <v>0.11055555555555556</v>
      </c>
      <c r="J2591">
        <v>44789</v>
      </c>
    </row>
    <row r="2592" spans="1:10" x14ac:dyDescent="0.35">
      <c r="A2592" s="2">
        <v>44782</v>
      </c>
      <c r="B2592" s="3">
        <v>1.1574074074038876E-5</v>
      </c>
      <c r="C2592">
        <v>1146</v>
      </c>
      <c r="D2592" t="str">
        <f>VLOOKUP(H2592,Produkt!$A$2:$B$5,2,FALSE)</f>
        <v>A</v>
      </c>
      <c r="H2592">
        <v>1</v>
      </c>
      <c r="I2592">
        <v>0.27437499999999998</v>
      </c>
      <c r="J2592">
        <v>44786</v>
      </c>
    </row>
    <row r="2593" spans="1:10" x14ac:dyDescent="0.35">
      <c r="A2593" s="2">
        <v>44782</v>
      </c>
      <c r="B2593" s="3">
        <v>0.69317129629629637</v>
      </c>
      <c r="C2593">
        <v>1150</v>
      </c>
      <c r="D2593" t="str">
        <f>VLOOKUP(H2593,Produkt!$A$2:$B$5,2,FALSE)</f>
        <v>D</v>
      </c>
      <c r="H2593">
        <v>4</v>
      </c>
      <c r="I2593">
        <v>0.46608796296296301</v>
      </c>
      <c r="J2593">
        <v>44790</v>
      </c>
    </row>
    <row r="2594" spans="1:10" x14ac:dyDescent="0.35">
      <c r="A2594" s="2">
        <v>44782</v>
      </c>
      <c r="B2594" s="3">
        <v>0.5982291666666667</v>
      </c>
      <c r="C2594">
        <v>1177</v>
      </c>
      <c r="D2594" t="str">
        <f>VLOOKUP(H2594,Produkt!$A$2:$B$5,2,FALSE)</f>
        <v>A</v>
      </c>
      <c r="H2594">
        <v>1</v>
      </c>
      <c r="I2594">
        <v>1.1805555555555555E-2</v>
      </c>
      <c r="J2594">
        <v>44774</v>
      </c>
    </row>
    <row r="2595" spans="1:10" x14ac:dyDescent="0.35">
      <c r="A2595" s="2">
        <v>44782</v>
      </c>
      <c r="B2595" s="3">
        <v>0.63549768518518512</v>
      </c>
      <c r="C2595">
        <v>1271</v>
      </c>
      <c r="D2595" t="str">
        <f>VLOOKUP(H2595,Produkt!$A$2:$B$5,2,FALSE)</f>
        <v>D</v>
      </c>
      <c r="H2595">
        <v>4</v>
      </c>
      <c r="I2595">
        <v>0.79770833333333335</v>
      </c>
      <c r="J2595">
        <v>44777</v>
      </c>
    </row>
    <row r="2596" spans="1:10" x14ac:dyDescent="0.35">
      <c r="A2596" s="2">
        <v>44782</v>
      </c>
      <c r="B2596" s="3">
        <v>0.3323726851851852</v>
      </c>
      <c r="C2596">
        <v>1278</v>
      </c>
      <c r="D2596" t="str">
        <f>VLOOKUP(H2596,Produkt!$A$2:$B$5,2,FALSE)</f>
        <v>A</v>
      </c>
      <c r="H2596">
        <v>1</v>
      </c>
      <c r="I2596">
        <v>0.13741898148148149</v>
      </c>
      <c r="J2596">
        <v>44785</v>
      </c>
    </row>
    <row r="2597" spans="1:10" x14ac:dyDescent="0.35">
      <c r="A2597" s="2">
        <v>44782</v>
      </c>
      <c r="B2597" s="3">
        <v>0.4812731481481482</v>
      </c>
      <c r="C2597">
        <v>1289</v>
      </c>
      <c r="D2597" t="str">
        <f>VLOOKUP(H2597,Produkt!$A$2:$B$5,2,FALSE)</f>
        <v>C</v>
      </c>
      <c r="H2597">
        <v>3</v>
      </c>
      <c r="I2597">
        <v>0.84106481481481488</v>
      </c>
      <c r="J2597">
        <v>44789</v>
      </c>
    </row>
    <row r="2598" spans="1:10" x14ac:dyDescent="0.35">
      <c r="A2598" s="2">
        <v>44782</v>
      </c>
      <c r="B2598" s="3">
        <v>0.41084490740740742</v>
      </c>
      <c r="C2598">
        <v>1294</v>
      </c>
      <c r="D2598" t="str">
        <f>VLOOKUP(H2598,Produkt!$A$2:$B$5,2,FALSE)</f>
        <v>C</v>
      </c>
      <c r="H2598">
        <v>3</v>
      </c>
      <c r="I2598">
        <v>6.8912037037037036E-2</v>
      </c>
      <c r="J2598">
        <v>44784</v>
      </c>
    </row>
    <row r="2599" spans="1:10" x14ac:dyDescent="0.35">
      <c r="A2599" s="2">
        <v>44782</v>
      </c>
      <c r="B2599" s="3">
        <v>0.65100694444444451</v>
      </c>
      <c r="C2599">
        <v>1351</v>
      </c>
      <c r="D2599" t="str">
        <f>VLOOKUP(H2599,Produkt!$A$2:$B$5,2,FALSE)</f>
        <v>A</v>
      </c>
      <c r="H2599">
        <v>1</v>
      </c>
      <c r="I2599">
        <v>0.58466435185185184</v>
      </c>
      <c r="J2599">
        <v>44783</v>
      </c>
    </row>
    <row r="2600" spans="1:10" x14ac:dyDescent="0.35">
      <c r="A2600" s="2">
        <v>44782</v>
      </c>
      <c r="B2600" s="3">
        <v>0.93762731481481476</v>
      </c>
      <c r="C2600">
        <v>1352</v>
      </c>
      <c r="D2600" t="str">
        <f>VLOOKUP(H2600,Produkt!$A$2:$B$5,2,FALSE)</f>
        <v>C</v>
      </c>
      <c r="H2600">
        <v>3</v>
      </c>
      <c r="I2600">
        <v>0.97530092592592599</v>
      </c>
      <c r="J2600">
        <v>44784</v>
      </c>
    </row>
    <row r="2601" spans="1:10" x14ac:dyDescent="0.35">
      <c r="A2601" s="2">
        <v>44782</v>
      </c>
      <c r="B2601" s="3">
        <v>0.62155092592592587</v>
      </c>
      <c r="C2601">
        <v>1383</v>
      </c>
      <c r="D2601" t="str">
        <f>VLOOKUP(H2601,Produkt!$A$2:$B$5,2,FALSE)</f>
        <v>A</v>
      </c>
      <c r="H2601">
        <v>1</v>
      </c>
      <c r="I2601">
        <v>0.95996527777777774</v>
      </c>
      <c r="J2601">
        <v>44778</v>
      </c>
    </row>
    <row r="2602" spans="1:10" x14ac:dyDescent="0.35">
      <c r="A2602" s="2">
        <v>44782</v>
      </c>
      <c r="B2602" s="3">
        <v>0.28371527777777777</v>
      </c>
      <c r="C2602">
        <v>1413</v>
      </c>
      <c r="D2602" t="str">
        <f>VLOOKUP(H2602,Produkt!$A$2:$B$5,2,FALSE)</f>
        <v>C</v>
      </c>
      <c r="H2602">
        <v>3</v>
      </c>
      <c r="I2602">
        <v>8.9756944444444445E-2</v>
      </c>
      <c r="J2602">
        <v>44793</v>
      </c>
    </row>
    <row r="2603" spans="1:10" x14ac:dyDescent="0.35">
      <c r="A2603" s="2">
        <v>44782</v>
      </c>
      <c r="B2603" s="3">
        <v>0.8351157407407408</v>
      </c>
      <c r="C2603">
        <v>1421</v>
      </c>
      <c r="D2603" t="str">
        <f>VLOOKUP(H2603,Produkt!$A$2:$B$5,2,FALSE)</f>
        <v>A</v>
      </c>
      <c r="H2603">
        <v>1</v>
      </c>
      <c r="I2603">
        <v>0.22059027777777776</v>
      </c>
      <c r="J2603">
        <v>44785</v>
      </c>
    </row>
    <row r="2604" spans="1:10" x14ac:dyDescent="0.35">
      <c r="A2604" s="2">
        <v>44782</v>
      </c>
      <c r="B2604" s="3">
        <v>0.70724537037037039</v>
      </c>
      <c r="C2604">
        <v>1464</v>
      </c>
      <c r="D2604" t="str">
        <f>VLOOKUP(H2604,Produkt!$A$2:$B$5,2,FALSE)</f>
        <v>A</v>
      </c>
      <c r="H2604">
        <v>1</v>
      </c>
      <c r="I2604">
        <v>0.50890046296296299</v>
      </c>
      <c r="J2604">
        <v>44791</v>
      </c>
    </row>
    <row r="2605" spans="1:10" x14ac:dyDescent="0.35">
      <c r="A2605" s="2">
        <v>44782</v>
      </c>
      <c r="B2605" s="3">
        <v>0.69820601851851849</v>
      </c>
      <c r="C2605">
        <v>1506</v>
      </c>
      <c r="D2605" t="str">
        <f>VLOOKUP(H2605,Produkt!$A$2:$B$5,2,FALSE)</f>
        <v>C</v>
      </c>
      <c r="H2605">
        <v>3</v>
      </c>
      <c r="I2605">
        <v>0.65436342592592589</v>
      </c>
      <c r="J2605">
        <v>44803</v>
      </c>
    </row>
    <row r="2606" spans="1:10" x14ac:dyDescent="0.35">
      <c r="A2606" s="2">
        <v>44782</v>
      </c>
      <c r="B2606" s="3">
        <v>0.73905092592592592</v>
      </c>
      <c r="C2606">
        <v>1550</v>
      </c>
      <c r="D2606" t="str">
        <f>VLOOKUP(H2606,Produkt!$A$2:$B$5,2,FALSE)</f>
        <v>C</v>
      </c>
      <c r="H2606">
        <v>3</v>
      </c>
      <c r="I2606">
        <v>0.94614583333333335</v>
      </c>
      <c r="J2606">
        <v>44782</v>
      </c>
    </row>
    <row r="2607" spans="1:10" x14ac:dyDescent="0.35">
      <c r="A2607" s="2">
        <v>44782</v>
      </c>
      <c r="B2607" s="3">
        <v>0.27863425925925928</v>
      </c>
      <c r="C2607">
        <v>1612</v>
      </c>
      <c r="D2607" t="str">
        <f>VLOOKUP(H2607,Produkt!$A$2:$B$5,2,FALSE)</f>
        <v>D</v>
      </c>
      <c r="H2607">
        <v>4</v>
      </c>
      <c r="I2607">
        <v>0.4621527777777778</v>
      </c>
      <c r="J2607">
        <v>44795</v>
      </c>
    </row>
    <row r="2608" spans="1:10" x14ac:dyDescent="0.35">
      <c r="A2608" s="2">
        <v>44782</v>
      </c>
      <c r="B2608" s="3">
        <v>0.18662037037037038</v>
      </c>
      <c r="C2608">
        <v>1714</v>
      </c>
      <c r="D2608" t="str">
        <f>VLOOKUP(H2608,Produkt!$A$2:$B$5,2,FALSE)</f>
        <v>C</v>
      </c>
      <c r="H2608">
        <v>3</v>
      </c>
      <c r="I2608">
        <v>0.46984953703703702</v>
      </c>
      <c r="J2608">
        <v>44779</v>
      </c>
    </row>
    <row r="2609" spans="1:10" x14ac:dyDescent="0.35">
      <c r="A2609" s="2">
        <v>44782</v>
      </c>
      <c r="B2609" s="3">
        <v>0.91721064814814823</v>
      </c>
      <c r="C2609">
        <v>1728</v>
      </c>
      <c r="D2609" t="str">
        <f>VLOOKUP(H2609,Produkt!$A$2:$B$5,2,FALSE)</f>
        <v>C</v>
      </c>
      <c r="H2609">
        <v>3</v>
      </c>
      <c r="I2609">
        <v>0.19121527777777778</v>
      </c>
      <c r="J2609">
        <v>44775</v>
      </c>
    </row>
    <row r="2610" spans="1:10" x14ac:dyDescent="0.35">
      <c r="A2610" s="2">
        <v>44782</v>
      </c>
      <c r="B2610" s="3">
        <v>0.50770833333333332</v>
      </c>
      <c r="C2610">
        <v>1760</v>
      </c>
      <c r="D2610" t="str">
        <f>VLOOKUP(H2610,Produkt!$A$2:$B$5,2,FALSE)</f>
        <v>D</v>
      </c>
      <c r="H2610">
        <v>4</v>
      </c>
      <c r="I2610">
        <v>0.40361111111111114</v>
      </c>
      <c r="J2610">
        <v>44801</v>
      </c>
    </row>
    <row r="2611" spans="1:10" x14ac:dyDescent="0.35">
      <c r="A2611" s="2">
        <v>44782</v>
      </c>
      <c r="B2611" s="3">
        <v>0.71460648148148154</v>
      </c>
      <c r="C2611">
        <v>1780</v>
      </c>
      <c r="D2611" t="str">
        <f>VLOOKUP(H2611,Produkt!$A$2:$B$5,2,FALSE)</f>
        <v>B</v>
      </c>
      <c r="H2611">
        <v>2</v>
      </c>
      <c r="I2611">
        <v>6.7708333333333329E-2</v>
      </c>
      <c r="J2611">
        <v>44776</v>
      </c>
    </row>
    <row r="2612" spans="1:10" x14ac:dyDescent="0.35">
      <c r="A2612" s="2">
        <v>44782</v>
      </c>
      <c r="B2612" s="3">
        <v>0.32187499999999997</v>
      </c>
      <c r="C2612">
        <v>1799</v>
      </c>
      <c r="D2612" t="str">
        <f>VLOOKUP(H2612,Produkt!$A$2:$B$5,2,FALSE)</f>
        <v>D</v>
      </c>
      <c r="H2612">
        <v>4</v>
      </c>
      <c r="I2612">
        <v>2.7361111111111169E-2</v>
      </c>
      <c r="J2612">
        <v>44804</v>
      </c>
    </row>
    <row r="2613" spans="1:10" x14ac:dyDescent="0.35">
      <c r="A2613" s="2">
        <v>44782</v>
      </c>
      <c r="B2613" s="3">
        <v>0.13048611111111111</v>
      </c>
      <c r="C2613">
        <v>1802</v>
      </c>
      <c r="D2613" t="str">
        <f>VLOOKUP(H2613,Produkt!$A$2:$B$5,2,FALSE)</f>
        <v>B</v>
      </c>
      <c r="H2613">
        <v>2</v>
      </c>
      <c r="I2613">
        <v>0.24644675925925927</v>
      </c>
      <c r="J2613">
        <v>44798</v>
      </c>
    </row>
    <row r="2614" spans="1:10" x14ac:dyDescent="0.35">
      <c r="A2614" s="2">
        <v>44782</v>
      </c>
      <c r="B2614" s="3">
        <v>0.9046412037037036</v>
      </c>
      <c r="C2614">
        <v>1816</v>
      </c>
      <c r="D2614" t="str">
        <f>VLOOKUP(H2614,Produkt!$A$2:$B$5,2,FALSE)</f>
        <v>B</v>
      </c>
      <c r="H2614">
        <v>2</v>
      </c>
      <c r="I2614">
        <v>0.9915046296296296</v>
      </c>
      <c r="J2614">
        <v>44775</v>
      </c>
    </row>
    <row r="2615" spans="1:10" x14ac:dyDescent="0.35">
      <c r="A2615" s="2">
        <v>44782</v>
      </c>
      <c r="B2615" s="3">
        <v>0.10129629629629629</v>
      </c>
      <c r="C2615">
        <v>1844</v>
      </c>
      <c r="D2615" t="str">
        <f>VLOOKUP(H2615,Produkt!$A$2:$B$5,2,FALSE)</f>
        <v>C</v>
      </c>
      <c r="H2615">
        <v>3</v>
      </c>
      <c r="I2615">
        <v>3.8402777777777786E-2</v>
      </c>
      <c r="J2615">
        <v>44790</v>
      </c>
    </row>
    <row r="2616" spans="1:10" x14ac:dyDescent="0.35">
      <c r="A2616" s="2">
        <v>44782</v>
      </c>
      <c r="B2616" s="3">
        <v>0.33909722222222222</v>
      </c>
      <c r="C2616">
        <v>1916</v>
      </c>
      <c r="D2616" t="str">
        <f>VLOOKUP(H2616,Produkt!$A$2:$B$5,2,FALSE)</f>
        <v>D</v>
      </c>
      <c r="H2616">
        <v>4</v>
      </c>
      <c r="I2616">
        <v>6.9039351851851852E-2</v>
      </c>
      <c r="J2616">
        <v>44786</v>
      </c>
    </row>
    <row r="2617" spans="1:10" x14ac:dyDescent="0.35">
      <c r="A2617" s="2">
        <v>44782</v>
      </c>
      <c r="B2617" s="3">
        <v>0.88194444444444453</v>
      </c>
      <c r="C2617">
        <v>1977</v>
      </c>
      <c r="D2617" t="str">
        <f>VLOOKUP(H2617,Produkt!$A$2:$B$5,2,FALSE)</f>
        <v>A</v>
      </c>
      <c r="H2617">
        <v>1</v>
      </c>
      <c r="I2617">
        <v>0.74430555555555555</v>
      </c>
      <c r="J2617">
        <v>44794</v>
      </c>
    </row>
    <row r="2618" spans="1:10" x14ac:dyDescent="0.35">
      <c r="A2618" s="2">
        <v>44782</v>
      </c>
      <c r="B2618" s="3">
        <v>0.95262731481481477</v>
      </c>
      <c r="C2618">
        <v>1983</v>
      </c>
      <c r="D2618" t="str">
        <f>VLOOKUP(H2618,Produkt!$A$2:$B$5,2,FALSE)</f>
        <v>A</v>
      </c>
      <c r="H2618">
        <v>1</v>
      </c>
      <c r="I2618">
        <v>0.3031712962962963</v>
      </c>
      <c r="J2618">
        <v>44786</v>
      </c>
    </row>
    <row r="2619" spans="1:10" x14ac:dyDescent="0.35">
      <c r="A2619" s="2">
        <v>44782</v>
      </c>
      <c r="B2619" s="3">
        <v>0.17047453703703705</v>
      </c>
      <c r="C2619">
        <v>2008</v>
      </c>
      <c r="D2619" t="str">
        <f>VLOOKUP(H2619,Produkt!$A$2:$B$5,2,FALSE)</f>
        <v>B</v>
      </c>
      <c r="H2619">
        <v>2</v>
      </c>
      <c r="I2619">
        <v>0.36905092592592598</v>
      </c>
      <c r="J2619">
        <v>44793</v>
      </c>
    </row>
    <row r="2620" spans="1:10" x14ac:dyDescent="0.35">
      <c r="A2620" s="2">
        <v>44782</v>
      </c>
      <c r="B2620" s="3">
        <v>0.33555555555555555</v>
      </c>
      <c r="C2620">
        <v>2026</v>
      </c>
      <c r="D2620" t="str">
        <f>VLOOKUP(H2620,Produkt!$A$2:$B$5,2,FALSE)</f>
        <v>C</v>
      </c>
      <c r="H2620">
        <v>3</v>
      </c>
      <c r="I2620">
        <v>8.9074074074074083E-2</v>
      </c>
      <c r="J2620">
        <v>44781</v>
      </c>
    </row>
    <row r="2621" spans="1:10" x14ac:dyDescent="0.35">
      <c r="A2621" s="2">
        <v>44782</v>
      </c>
      <c r="B2621" s="3">
        <v>0.19188657407407406</v>
      </c>
      <c r="C2621">
        <v>2064</v>
      </c>
      <c r="D2621" t="str">
        <f>VLOOKUP(H2621,Produkt!$A$2:$B$5,2,FALSE)</f>
        <v>C</v>
      </c>
      <c r="H2621">
        <v>3</v>
      </c>
      <c r="I2621">
        <v>0.52475694444444443</v>
      </c>
      <c r="J2621">
        <v>44777</v>
      </c>
    </row>
    <row r="2622" spans="1:10" x14ac:dyDescent="0.35">
      <c r="A2622" s="2">
        <v>44782</v>
      </c>
      <c r="B2622" s="3">
        <v>0.29880787037037038</v>
      </c>
      <c r="C2622">
        <v>2076</v>
      </c>
      <c r="D2622" t="str">
        <f>VLOOKUP(H2622,Produkt!$A$2:$B$5,2,FALSE)</f>
        <v>D</v>
      </c>
      <c r="H2622">
        <v>4</v>
      </c>
      <c r="I2622">
        <v>0.49454861111111109</v>
      </c>
      <c r="J2622">
        <v>44784</v>
      </c>
    </row>
    <row r="2623" spans="1:10" x14ac:dyDescent="0.35">
      <c r="A2623" s="2">
        <v>44782</v>
      </c>
      <c r="B2623" s="3">
        <v>0.46489583333333334</v>
      </c>
      <c r="C2623">
        <v>2111</v>
      </c>
      <c r="D2623" t="str">
        <f>VLOOKUP(H2623,Produkt!$A$2:$B$5,2,FALSE)</f>
        <v>B</v>
      </c>
      <c r="H2623">
        <v>2</v>
      </c>
      <c r="I2623">
        <v>0.54660879629629633</v>
      </c>
      <c r="J2623">
        <v>44786</v>
      </c>
    </row>
    <row r="2624" spans="1:10" x14ac:dyDescent="0.35">
      <c r="A2624" s="2">
        <v>44782</v>
      </c>
      <c r="B2624" s="3">
        <v>6.2268518518518522E-2</v>
      </c>
      <c r="C2624">
        <v>2113</v>
      </c>
      <c r="D2624" t="str">
        <f>VLOOKUP(H2624,Produkt!$A$2:$B$5,2,FALSE)</f>
        <v>C</v>
      </c>
      <c r="H2624">
        <v>3</v>
      </c>
      <c r="I2624">
        <v>0.73277777777777775</v>
      </c>
      <c r="J2624">
        <v>44796</v>
      </c>
    </row>
    <row r="2625" spans="1:10" x14ac:dyDescent="0.35">
      <c r="A2625" s="2">
        <v>44782</v>
      </c>
      <c r="B2625" s="3">
        <v>0.61302083333333335</v>
      </c>
      <c r="C2625">
        <v>2135</v>
      </c>
      <c r="D2625" t="str">
        <f>VLOOKUP(H2625,Produkt!$A$2:$B$5,2,FALSE)</f>
        <v>B</v>
      </c>
      <c r="H2625">
        <v>2</v>
      </c>
      <c r="I2625">
        <v>0.41969907407407409</v>
      </c>
      <c r="J2625">
        <v>44790</v>
      </c>
    </row>
    <row r="2626" spans="1:10" x14ac:dyDescent="0.35">
      <c r="A2626" s="2">
        <v>44782</v>
      </c>
      <c r="B2626" s="3">
        <v>0.68616898148148142</v>
      </c>
      <c r="C2626">
        <v>2169</v>
      </c>
      <c r="D2626" t="str">
        <f>VLOOKUP(H2626,Produkt!$A$2:$B$5,2,FALSE)</f>
        <v>A</v>
      </c>
      <c r="H2626">
        <v>1</v>
      </c>
      <c r="I2626">
        <v>0.1885300925925926</v>
      </c>
      <c r="J2626">
        <v>44782</v>
      </c>
    </row>
    <row r="2627" spans="1:10" x14ac:dyDescent="0.35">
      <c r="A2627" s="2">
        <v>44782</v>
      </c>
      <c r="B2627" s="3">
        <v>7.3194444444444437E-2</v>
      </c>
      <c r="C2627">
        <v>2178</v>
      </c>
      <c r="D2627" t="str">
        <f>VLOOKUP(H2627,Produkt!$A$2:$B$5,2,FALSE)</f>
        <v>B</v>
      </c>
      <c r="H2627">
        <v>2</v>
      </c>
      <c r="I2627">
        <v>0.51515046296296296</v>
      </c>
      <c r="J2627">
        <v>44797</v>
      </c>
    </row>
    <row r="2628" spans="1:10" x14ac:dyDescent="0.35">
      <c r="A2628" s="2">
        <v>44782</v>
      </c>
      <c r="B2628" s="3">
        <v>1.8263888888888857E-2</v>
      </c>
      <c r="C2628">
        <v>2194</v>
      </c>
      <c r="D2628" t="str">
        <f>VLOOKUP(H2628,Produkt!$A$2:$B$5,2,FALSE)</f>
        <v>A</v>
      </c>
      <c r="H2628">
        <v>1</v>
      </c>
      <c r="I2628">
        <v>0.71146990740740745</v>
      </c>
      <c r="J2628">
        <v>44797</v>
      </c>
    </row>
    <row r="2629" spans="1:10" x14ac:dyDescent="0.35">
      <c r="A2629" s="2">
        <v>44782</v>
      </c>
      <c r="B2629" s="3">
        <v>0.28788194444444443</v>
      </c>
      <c r="C2629">
        <v>2289</v>
      </c>
      <c r="D2629" t="str">
        <f>VLOOKUP(H2629,Produkt!$A$2:$B$5,2,FALSE)</f>
        <v>B</v>
      </c>
      <c r="H2629">
        <v>2</v>
      </c>
      <c r="I2629">
        <v>0.71407407407407408</v>
      </c>
      <c r="J2629">
        <v>44791</v>
      </c>
    </row>
    <row r="2630" spans="1:10" x14ac:dyDescent="0.35">
      <c r="A2630" s="2">
        <v>44782</v>
      </c>
      <c r="B2630" s="3">
        <v>0.4676967592592593</v>
      </c>
      <c r="C2630">
        <v>2304</v>
      </c>
      <c r="D2630" t="str">
        <f>VLOOKUP(H2630,Produkt!$A$2:$B$5,2,FALSE)</f>
        <v>D</v>
      </c>
      <c r="H2630">
        <v>4</v>
      </c>
      <c r="I2630">
        <v>0.42406250000000001</v>
      </c>
      <c r="J2630">
        <v>44776</v>
      </c>
    </row>
    <row r="2631" spans="1:10" x14ac:dyDescent="0.35">
      <c r="A2631" s="2">
        <v>44782</v>
      </c>
      <c r="B2631" s="3">
        <v>0.11158564814814814</v>
      </c>
      <c r="C2631">
        <v>2335</v>
      </c>
      <c r="D2631" t="str">
        <f>VLOOKUP(H2631,Produkt!$A$2:$B$5,2,FALSE)</f>
        <v>D</v>
      </c>
      <c r="H2631">
        <v>4</v>
      </c>
      <c r="I2631">
        <v>0.69762731481481488</v>
      </c>
      <c r="J2631">
        <v>44784</v>
      </c>
    </row>
    <row r="2632" spans="1:10" x14ac:dyDescent="0.35">
      <c r="A2632" s="2">
        <v>44782</v>
      </c>
      <c r="B2632" s="3">
        <v>0.48782407407407408</v>
      </c>
      <c r="C2632">
        <v>2338</v>
      </c>
      <c r="D2632" t="str">
        <f>VLOOKUP(H2632,Produkt!$A$2:$B$5,2,FALSE)</f>
        <v>C</v>
      </c>
      <c r="H2632">
        <v>3</v>
      </c>
      <c r="I2632">
        <v>0.78592592592592592</v>
      </c>
      <c r="J2632">
        <v>44800</v>
      </c>
    </row>
    <row r="2633" spans="1:10" x14ac:dyDescent="0.35">
      <c r="A2633" s="2">
        <v>44782</v>
      </c>
      <c r="B2633" s="3">
        <v>0.23495370370370372</v>
      </c>
      <c r="C2633">
        <v>2360</v>
      </c>
      <c r="D2633" t="str">
        <f>VLOOKUP(H2633,Produkt!$A$2:$B$5,2,FALSE)</f>
        <v>D</v>
      </c>
      <c r="H2633">
        <v>4</v>
      </c>
      <c r="I2633">
        <v>0.72327546296296286</v>
      </c>
      <c r="J2633">
        <v>44779</v>
      </c>
    </row>
    <row r="2634" spans="1:10" x14ac:dyDescent="0.35">
      <c r="A2634" s="2">
        <v>44782</v>
      </c>
      <c r="B2634" s="3">
        <v>0.21249999999999999</v>
      </c>
      <c r="C2634">
        <v>2385</v>
      </c>
      <c r="D2634" t="str">
        <f>VLOOKUP(H2634,Produkt!$A$2:$B$5,2,FALSE)</f>
        <v>A</v>
      </c>
      <c r="H2634">
        <v>1</v>
      </c>
      <c r="I2634">
        <v>0.2873148148148148</v>
      </c>
      <c r="J2634">
        <v>44795</v>
      </c>
    </row>
    <row r="2635" spans="1:10" x14ac:dyDescent="0.35">
      <c r="A2635" s="2">
        <v>44782</v>
      </c>
      <c r="B2635" s="3">
        <v>0.53561342592592587</v>
      </c>
      <c r="C2635">
        <v>2410</v>
      </c>
      <c r="D2635" t="str">
        <f>VLOOKUP(H2635,Produkt!$A$2:$B$5,2,FALSE)</f>
        <v>A</v>
      </c>
      <c r="H2635">
        <v>1</v>
      </c>
      <c r="I2635">
        <v>2.2916666666666667E-3</v>
      </c>
      <c r="J2635">
        <v>44782</v>
      </c>
    </row>
    <row r="2636" spans="1:10" x14ac:dyDescent="0.35">
      <c r="A2636" s="2">
        <v>44782</v>
      </c>
      <c r="B2636" s="3">
        <v>9.4317129629629626E-2</v>
      </c>
      <c r="C2636">
        <v>2436</v>
      </c>
      <c r="D2636" t="str">
        <f>VLOOKUP(H2636,Produkt!$A$2:$B$5,2,FALSE)</f>
        <v>D</v>
      </c>
      <c r="H2636">
        <v>4</v>
      </c>
      <c r="I2636">
        <v>0.25532407407407409</v>
      </c>
      <c r="J2636">
        <v>44792</v>
      </c>
    </row>
    <row r="2637" spans="1:10" x14ac:dyDescent="0.35">
      <c r="A2637" s="2">
        <v>44782</v>
      </c>
      <c r="B2637" s="3">
        <v>0.30976851851851855</v>
      </c>
      <c r="C2637">
        <v>2445</v>
      </c>
      <c r="D2637" t="str">
        <f>VLOOKUP(H2637,Produkt!$A$2:$B$5,2,FALSE)</f>
        <v>A</v>
      </c>
      <c r="H2637">
        <v>1</v>
      </c>
      <c r="I2637">
        <v>0.97916666666666663</v>
      </c>
      <c r="J2637">
        <v>44788</v>
      </c>
    </row>
    <row r="2638" spans="1:10" x14ac:dyDescent="0.35">
      <c r="A2638" s="2">
        <v>44782</v>
      </c>
      <c r="B2638" s="3">
        <v>0.91515046296296287</v>
      </c>
      <c r="C2638">
        <v>2456</v>
      </c>
      <c r="D2638" t="str">
        <f>VLOOKUP(H2638,Produkt!$A$2:$B$5,2,FALSE)</f>
        <v>A</v>
      </c>
      <c r="H2638">
        <v>1</v>
      </c>
      <c r="I2638">
        <v>0.25030092592592595</v>
      </c>
      <c r="J2638">
        <v>44787</v>
      </c>
    </row>
    <row r="2639" spans="1:10" x14ac:dyDescent="0.35">
      <c r="A2639" s="2">
        <v>44782</v>
      </c>
      <c r="B2639" s="3">
        <v>0.55533564814814818</v>
      </c>
      <c r="C2639">
        <v>2522</v>
      </c>
      <c r="D2639" t="str">
        <f>VLOOKUP(H2639,Produkt!$A$2:$B$5,2,FALSE)</f>
        <v>A</v>
      </c>
      <c r="H2639">
        <v>1</v>
      </c>
      <c r="I2639">
        <v>0.18811342592592592</v>
      </c>
      <c r="J2639">
        <v>44780</v>
      </c>
    </row>
    <row r="2640" spans="1:10" x14ac:dyDescent="0.35">
      <c r="A2640" s="2">
        <v>44782</v>
      </c>
      <c r="B2640" s="3">
        <v>0.43212962962962959</v>
      </c>
      <c r="C2640">
        <v>2685</v>
      </c>
      <c r="D2640" t="str">
        <f>VLOOKUP(H2640,Produkt!$A$2:$B$5,2,FALSE)</f>
        <v>A</v>
      </c>
      <c r="H2640">
        <v>1</v>
      </c>
      <c r="I2640">
        <v>0.84564814814814815</v>
      </c>
      <c r="J2640">
        <v>44801</v>
      </c>
    </row>
    <row r="2641" spans="1:10" x14ac:dyDescent="0.35">
      <c r="A2641" s="2">
        <v>44782</v>
      </c>
      <c r="B2641" s="3">
        <v>0.2388888888888889</v>
      </c>
      <c r="C2641">
        <v>2751</v>
      </c>
      <c r="D2641" t="str">
        <f>VLOOKUP(H2641,Produkt!$A$2:$B$5,2,FALSE)</f>
        <v>D</v>
      </c>
      <c r="H2641">
        <v>4</v>
      </c>
      <c r="I2641">
        <v>0.3520138888888889</v>
      </c>
      <c r="J2641">
        <v>44782</v>
      </c>
    </row>
    <row r="2642" spans="1:10" x14ac:dyDescent="0.35">
      <c r="A2642" s="2">
        <v>44782</v>
      </c>
      <c r="B2642" s="3">
        <v>0.17200231481481479</v>
      </c>
      <c r="C2642">
        <v>2770</v>
      </c>
      <c r="D2642" t="str">
        <f>VLOOKUP(H2642,Produkt!$A$2:$B$5,2,FALSE)</f>
        <v>A</v>
      </c>
      <c r="H2642">
        <v>1</v>
      </c>
      <c r="I2642">
        <v>0.82620370370370377</v>
      </c>
      <c r="J2642">
        <v>44797</v>
      </c>
    </row>
    <row r="2643" spans="1:10" x14ac:dyDescent="0.35">
      <c r="A2643" s="2">
        <v>44782</v>
      </c>
      <c r="B2643" s="3">
        <v>0.4850694444444445</v>
      </c>
      <c r="C2643">
        <v>2785</v>
      </c>
      <c r="D2643" t="str">
        <f>VLOOKUP(H2643,Produkt!$A$2:$B$5,2,FALSE)</f>
        <v>B</v>
      </c>
      <c r="H2643">
        <v>2</v>
      </c>
      <c r="I2643">
        <v>0.28087962962962965</v>
      </c>
      <c r="J2643">
        <v>44790</v>
      </c>
    </row>
    <row r="2644" spans="1:10" x14ac:dyDescent="0.35">
      <c r="A2644" s="2">
        <v>44782</v>
      </c>
      <c r="B2644" s="3">
        <v>0.18425925925925926</v>
      </c>
      <c r="C2644">
        <v>2799</v>
      </c>
      <c r="D2644" t="str">
        <f>VLOOKUP(H2644,Produkt!$A$2:$B$5,2,FALSE)</f>
        <v>B</v>
      </c>
      <c r="H2644">
        <v>2</v>
      </c>
      <c r="I2644">
        <v>0.53245370370370371</v>
      </c>
      <c r="J2644">
        <v>44776</v>
      </c>
    </row>
    <row r="2645" spans="1:10" x14ac:dyDescent="0.35">
      <c r="A2645" s="2">
        <v>44782</v>
      </c>
      <c r="B2645" s="3">
        <v>0.820775462962963</v>
      </c>
      <c r="C2645">
        <v>2815</v>
      </c>
      <c r="D2645" t="str">
        <f>VLOOKUP(H2645,Produkt!$A$2:$B$5,2,FALSE)</f>
        <v>B</v>
      </c>
      <c r="H2645">
        <v>2</v>
      </c>
      <c r="I2645">
        <v>0.96181712962962962</v>
      </c>
      <c r="J2645">
        <v>44795</v>
      </c>
    </row>
    <row r="2646" spans="1:10" x14ac:dyDescent="0.35">
      <c r="A2646" s="2">
        <v>44782</v>
      </c>
      <c r="B2646" s="3">
        <v>0.41828703703703707</v>
      </c>
      <c r="C2646">
        <v>2825</v>
      </c>
      <c r="D2646" t="str">
        <f>VLOOKUP(H2646,Produkt!$A$2:$B$5,2,FALSE)</f>
        <v>A</v>
      </c>
      <c r="H2646">
        <v>1</v>
      </c>
      <c r="I2646">
        <v>0.66297453703703701</v>
      </c>
      <c r="J2646">
        <v>44797</v>
      </c>
    </row>
    <row r="2647" spans="1:10" x14ac:dyDescent="0.35">
      <c r="A2647" s="2">
        <v>44782</v>
      </c>
      <c r="B2647" s="3">
        <v>0.98637731481481483</v>
      </c>
      <c r="C2647">
        <v>2846</v>
      </c>
      <c r="D2647" t="str">
        <f>VLOOKUP(H2647,Produkt!$A$2:$B$5,2,FALSE)</f>
        <v>C</v>
      </c>
      <c r="H2647">
        <v>3</v>
      </c>
      <c r="I2647">
        <v>0.9833101851851852</v>
      </c>
      <c r="J2647">
        <v>44785</v>
      </c>
    </row>
    <row r="2648" spans="1:10" x14ac:dyDescent="0.35">
      <c r="A2648" s="2">
        <v>44782</v>
      </c>
      <c r="B2648" s="3">
        <v>0.47912037037037036</v>
      </c>
      <c r="C2648">
        <v>2888</v>
      </c>
      <c r="D2648" t="str">
        <f>VLOOKUP(H2648,Produkt!$A$2:$B$5,2,FALSE)</f>
        <v>C</v>
      </c>
      <c r="H2648">
        <v>3</v>
      </c>
      <c r="I2648">
        <v>3.3287037037037059E-2</v>
      </c>
      <c r="J2648">
        <v>44790</v>
      </c>
    </row>
    <row r="2649" spans="1:10" x14ac:dyDescent="0.35">
      <c r="A2649" s="2">
        <v>44782</v>
      </c>
      <c r="B2649" s="3">
        <v>0.57445601851851846</v>
      </c>
      <c r="C2649">
        <v>2923</v>
      </c>
      <c r="D2649" t="str">
        <f>VLOOKUP(H2649,Produkt!$A$2:$B$5,2,FALSE)</f>
        <v>B</v>
      </c>
      <c r="H2649">
        <v>2</v>
      </c>
      <c r="I2649">
        <v>9.228009259259258E-2</v>
      </c>
      <c r="J2649">
        <v>44789</v>
      </c>
    </row>
    <row r="2650" spans="1:10" x14ac:dyDescent="0.35">
      <c r="A2650" s="2">
        <v>44782</v>
      </c>
      <c r="B2650" s="3">
        <v>0.90280092592592587</v>
      </c>
      <c r="C2650">
        <v>2992</v>
      </c>
      <c r="D2650" t="str">
        <f>VLOOKUP(H2650,Produkt!$A$2:$B$5,2,FALSE)</f>
        <v>C</v>
      </c>
      <c r="H2650">
        <v>3</v>
      </c>
      <c r="I2650">
        <v>0.22421296296296298</v>
      </c>
      <c r="J2650">
        <v>44775</v>
      </c>
    </row>
    <row r="2651" spans="1:10" x14ac:dyDescent="0.35">
      <c r="A2651" s="2">
        <v>44782</v>
      </c>
      <c r="B2651" s="3">
        <v>0.12494212962962963</v>
      </c>
      <c r="C2651">
        <v>3020</v>
      </c>
      <c r="D2651" t="str">
        <f>VLOOKUP(H2651,Produkt!$A$2:$B$5,2,FALSE)</f>
        <v>D</v>
      </c>
      <c r="H2651">
        <v>4</v>
      </c>
      <c r="I2651">
        <v>8.7048611111111118E-2</v>
      </c>
      <c r="J2651">
        <v>44785</v>
      </c>
    </row>
    <row r="2652" spans="1:10" x14ac:dyDescent="0.35">
      <c r="A2652" s="2">
        <v>44782</v>
      </c>
      <c r="B2652" s="3">
        <v>0.73607638888888882</v>
      </c>
      <c r="C2652">
        <v>3035</v>
      </c>
      <c r="D2652" t="str">
        <f>VLOOKUP(H2652,Produkt!$A$2:$B$5,2,FALSE)</f>
        <v>B</v>
      </c>
      <c r="H2652">
        <v>2</v>
      </c>
      <c r="I2652">
        <v>0.81473379629629628</v>
      </c>
      <c r="J2652">
        <v>44781</v>
      </c>
    </row>
    <row r="2653" spans="1:10" x14ac:dyDescent="0.35">
      <c r="A2653" s="2">
        <v>44782</v>
      </c>
      <c r="B2653" s="3">
        <v>0.5894328703703704</v>
      </c>
      <c r="C2653">
        <v>3060</v>
      </c>
      <c r="D2653" t="str">
        <f>VLOOKUP(H2653,Produkt!$A$2:$B$5,2,FALSE)</f>
        <v>B</v>
      </c>
      <c r="H2653">
        <v>2</v>
      </c>
      <c r="I2653">
        <v>8.1620370370370371E-2</v>
      </c>
      <c r="J2653">
        <v>44800</v>
      </c>
    </row>
    <row r="2654" spans="1:10" x14ac:dyDescent="0.35">
      <c r="A2654" s="2">
        <v>44782</v>
      </c>
      <c r="B2654" s="3">
        <v>0.14716435185185187</v>
      </c>
      <c r="C2654">
        <v>3080</v>
      </c>
      <c r="D2654" t="str">
        <f>VLOOKUP(H2654,Produkt!$A$2:$B$5,2,FALSE)</f>
        <v>B</v>
      </c>
      <c r="H2654">
        <v>2</v>
      </c>
      <c r="I2654">
        <v>0.60780092592592594</v>
      </c>
      <c r="J2654">
        <v>44790</v>
      </c>
    </row>
    <row r="2655" spans="1:10" x14ac:dyDescent="0.35">
      <c r="A2655" s="2">
        <v>44782</v>
      </c>
      <c r="B2655" s="3">
        <v>0.39108796296296294</v>
      </c>
      <c r="C2655">
        <v>3236</v>
      </c>
      <c r="D2655" t="str">
        <f>VLOOKUP(H2655,Produkt!$A$2:$B$5,2,FALSE)</f>
        <v>A</v>
      </c>
      <c r="H2655">
        <v>1</v>
      </c>
      <c r="I2655">
        <v>0.27687499999999998</v>
      </c>
      <c r="J2655">
        <v>44794</v>
      </c>
    </row>
    <row r="2656" spans="1:10" x14ac:dyDescent="0.35">
      <c r="A2656" s="2">
        <v>44782</v>
      </c>
      <c r="B2656" s="3">
        <v>0.50741898148148146</v>
      </c>
      <c r="C2656">
        <v>3240</v>
      </c>
      <c r="D2656" t="str">
        <f>VLOOKUP(H2656,Produkt!$A$2:$B$5,2,FALSE)</f>
        <v>A</v>
      </c>
      <c r="H2656">
        <v>1</v>
      </c>
      <c r="I2656">
        <v>0.68631944444444448</v>
      </c>
      <c r="J2656">
        <v>44799</v>
      </c>
    </row>
    <row r="2657" spans="1:10" x14ac:dyDescent="0.35">
      <c r="A2657" s="2">
        <v>44782</v>
      </c>
      <c r="B2657" s="3">
        <v>0.1612962962962963</v>
      </c>
      <c r="C2657">
        <v>3256</v>
      </c>
      <c r="D2657" t="str">
        <f>VLOOKUP(H2657,Produkt!$A$2:$B$5,2,FALSE)</f>
        <v>C</v>
      </c>
      <c r="H2657">
        <v>3</v>
      </c>
      <c r="I2657">
        <v>0.33196759259259262</v>
      </c>
      <c r="J2657">
        <v>44782</v>
      </c>
    </row>
    <row r="2658" spans="1:10" x14ac:dyDescent="0.35">
      <c r="A2658" s="2">
        <v>44782</v>
      </c>
      <c r="B2658" s="3">
        <v>0.97921296296296301</v>
      </c>
      <c r="C2658">
        <v>3426</v>
      </c>
      <c r="D2658" t="str">
        <f>VLOOKUP(H2658,Produkt!$A$2:$B$5,2,FALSE)</f>
        <v>D</v>
      </c>
      <c r="H2658">
        <v>4</v>
      </c>
      <c r="I2658">
        <v>0.4952893518518518</v>
      </c>
      <c r="J2658">
        <v>44782</v>
      </c>
    </row>
    <row r="2659" spans="1:10" x14ac:dyDescent="0.35">
      <c r="A2659" s="2">
        <v>44782</v>
      </c>
      <c r="B2659" s="3">
        <v>0.6229513888888889</v>
      </c>
      <c r="C2659">
        <v>3456</v>
      </c>
      <c r="D2659" t="str">
        <f>VLOOKUP(H2659,Produkt!$A$2:$B$5,2,FALSE)</f>
        <v>A</v>
      </c>
      <c r="H2659">
        <v>1</v>
      </c>
      <c r="I2659">
        <v>0.86262731481481481</v>
      </c>
      <c r="J2659">
        <v>44804</v>
      </c>
    </row>
    <row r="2660" spans="1:10" x14ac:dyDescent="0.35">
      <c r="A2660" s="2">
        <v>44782</v>
      </c>
      <c r="B2660" s="3">
        <v>0.62622685185185178</v>
      </c>
      <c r="C2660">
        <v>3508</v>
      </c>
      <c r="D2660" t="str">
        <f>VLOOKUP(H2660,Produkt!$A$2:$B$5,2,FALSE)</f>
        <v>A</v>
      </c>
      <c r="H2660">
        <v>1</v>
      </c>
      <c r="I2660">
        <v>0.8881944444444444</v>
      </c>
      <c r="J2660">
        <v>44784</v>
      </c>
    </row>
    <row r="2661" spans="1:10" x14ac:dyDescent="0.35">
      <c r="A2661" s="2">
        <v>44782</v>
      </c>
      <c r="B2661" s="3">
        <v>0.29325231481481479</v>
      </c>
      <c r="C2661">
        <v>3549</v>
      </c>
      <c r="D2661" t="str">
        <f>VLOOKUP(H2661,Produkt!$A$2:$B$5,2,FALSE)</f>
        <v>C</v>
      </c>
      <c r="H2661">
        <v>3</v>
      </c>
      <c r="I2661">
        <v>7.0625000000000007E-2</v>
      </c>
      <c r="J2661">
        <v>44786</v>
      </c>
    </row>
    <row r="2662" spans="1:10" x14ac:dyDescent="0.35">
      <c r="A2662" s="2">
        <v>44782</v>
      </c>
      <c r="B2662" s="3">
        <v>0.99432870370370363</v>
      </c>
      <c r="C2662">
        <v>3550</v>
      </c>
      <c r="D2662" t="str">
        <f>VLOOKUP(H2662,Produkt!$A$2:$B$5,2,FALSE)</f>
        <v>B</v>
      </c>
      <c r="H2662">
        <v>2</v>
      </c>
      <c r="I2662">
        <v>0.75902777777777775</v>
      </c>
      <c r="J2662">
        <v>44804</v>
      </c>
    </row>
    <row r="2663" spans="1:10" x14ac:dyDescent="0.35">
      <c r="A2663" s="2">
        <v>44782</v>
      </c>
      <c r="B2663" s="3">
        <v>0.57884259259259252</v>
      </c>
      <c r="C2663">
        <v>3556</v>
      </c>
      <c r="D2663" t="str">
        <f>VLOOKUP(H2663,Produkt!$A$2:$B$5,2,FALSE)</f>
        <v>B</v>
      </c>
      <c r="H2663">
        <v>2</v>
      </c>
      <c r="I2663">
        <v>0.36620370370370375</v>
      </c>
      <c r="J2663">
        <v>44801</v>
      </c>
    </row>
    <row r="2664" spans="1:10" x14ac:dyDescent="0.35">
      <c r="A2664" s="2">
        <v>44782</v>
      </c>
      <c r="B2664" s="3">
        <v>0.78445601851851843</v>
      </c>
      <c r="C2664">
        <v>3635</v>
      </c>
      <c r="D2664" t="str">
        <f>VLOOKUP(H2664,Produkt!$A$2:$B$5,2,FALSE)</f>
        <v>C</v>
      </c>
      <c r="H2664">
        <v>3</v>
      </c>
      <c r="I2664">
        <v>0.90668981481481481</v>
      </c>
      <c r="J2664">
        <v>44802</v>
      </c>
    </row>
    <row r="2665" spans="1:10" x14ac:dyDescent="0.35">
      <c r="A2665" s="2">
        <v>44782</v>
      </c>
      <c r="B2665" s="3">
        <v>0.10721064814814814</v>
      </c>
      <c r="C2665">
        <v>3709</v>
      </c>
      <c r="D2665" t="str">
        <f>VLOOKUP(H2665,Produkt!$A$2:$B$5,2,FALSE)</f>
        <v>A</v>
      </c>
      <c r="H2665">
        <v>1</v>
      </c>
      <c r="I2665">
        <v>0.25548611111111114</v>
      </c>
      <c r="J2665">
        <v>44798</v>
      </c>
    </row>
    <row r="2666" spans="1:10" x14ac:dyDescent="0.35">
      <c r="A2666" s="2">
        <v>44782</v>
      </c>
      <c r="B2666" s="3">
        <v>0.40060185185185188</v>
      </c>
      <c r="C2666">
        <v>3712</v>
      </c>
      <c r="D2666" t="str">
        <f>VLOOKUP(H2666,Produkt!$A$2:$B$5,2,FALSE)</f>
        <v>A</v>
      </c>
      <c r="H2666">
        <v>1</v>
      </c>
      <c r="I2666">
        <v>4.6238425925925926E-2</v>
      </c>
      <c r="J2666">
        <v>44789</v>
      </c>
    </row>
    <row r="2667" spans="1:10" x14ac:dyDescent="0.35">
      <c r="A2667" s="2">
        <v>44782</v>
      </c>
      <c r="B2667" s="3">
        <v>0.11027777777777777</v>
      </c>
      <c r="C2667">
        <v>3718</v>
      </c>
      <c r="D2667" t="str">
        <f>VLOOKUP(H2667,Produkt!$A$2:$B$5,2,FALSE)</f>
        <v>C</v>
      </c>
      <c r="H2667">
        <v>3</v>
      </c>
      <c r="I2667">
        <v>0.78729166666666661</v>
      </c>
      <c r="J2667">
        <v>44788</v>
      </c>
    </row>
    <row r="2668" spans="1:10" x14ac:dyDescent="0.35">
      <c r="A2668" s="2">
        <v>44782</v>
      </c>
      <c r="B2668" s="3">
        <v>0.64197916666666666</v>
      </c>
      <c r="C2668">
        <v>3762</v>
      </c>
      <c r="D2668" t="str">
        <f>VLOOKUP(H2668,Produkt!$A$2:$B$5,2,FALSE)</f>
        <v>D</v>
      </c>
      <c r="H2668">
        <v>4</v>
      </c>
      <c r="I2668">
        <v>2.0659722222222232E-2</v>
      </c>
      <c r="J2668">
        <v>44782</v>
      </c>
    </row>
    <row r="2669" spans="1:10" x14ac:dyDescent="0.35">
      <c r="A2669" s="2">
        <v>44782</v>
      </c>
      <c r="B2669" s="3">
        <v>0.43621527777777774</v>
      </c>
      <c r="C2669">
        <v>3872</v>
      </c>
      <c r="D2669" t="str">
        <f>VLOOKUP(H2669,Produkt!$A$2:$B$5,2,FALSE)</f>
        <v>C</v>
      </c>
      <c r="H2669">
        <v>3</v>
      </c>
      <c r="I2669">
        <v>0.56400462962962961</v>
      </c>
      <c r="J2669">
        <v>44797</v>
      </c>
    </row>
    <row r="2670" spans="1:10" x14ac:dyDescent="0.35">
      <c r="A2670" s="2">
        <v>44782</v>
      </c>
      <c r="B2670" s="3">
        <v>0.48854166666666665</v>
      </c>
      <c r="C2670">
        <v>3906</v>
      </c>
      <c r="D2670" t="str">
        <f>VLOOKUP(H2670,Produkt!$A$2:$B$5,2,FALSE)</f>
        <v>C</v>
      </c>
      <c r="H2670">
        <v>3</v>
      </c>
      <c r="I2670">
        <v>6.5509259259259267E-2</v>
      </c>
      <c r="J2670">
        <v>44801</v>
      </c>
    </row>
    <row r="2671" spans="1:10" x14ac:dyDescent="0.35">
      <c r="A2671" s="2">
        <v>44782</v>
      </c>
      <c r="B2671" s="3">
        <v>0.75084490740740739</v>
      </c>
      <c r="C2671">
        <v>3992</v>
      </c>
      <c r="D2671" t="str">
        <f>VLOOKUP(H2671,Produkt!$A$2:$B$5,2,FALSE)</f>
        <v>C</v>
      </c>
      <c r="H2671">
        <v>3</v>
      </c>
      <c r="I2671">
        <v>0.6802083333333333</v>
      </c>
      <c r="J2671">
        <v>44786</v>
      </c>
    </row>
    <row r="2672" spans="1:10" x14ac:dyDescent="0.35">
      <c r="A2672" s="2">
        <v>44782</v>
      </c>
      <c r="B2672" s="3">
        <v>0.44217592592592592</v>
      </c>
      <c r="C2672">
        <v>4013</v>
      </c>
      <c r="D2672" t="str">
        <f>VLOOKUP(H2672,Produkt!$A$2:$B$5,2,FALSE)</f>
        <v>C</v>
      </c>
      <c r="H2672">
        <v>3</v>
      </c>
      <c r="I2672">
        <v>0.50745370370370368</v>
      </c>
      <c r="J2672">
        <v>44791</v>
      </c>
    </row>
    <row r="2673" spans="1:10" x14ac:dyDescent="0.35">
      <c r="A2673" s="2">
        <v>44782</v>
      </c>
      <c r="B2673" s="3">
        <v>0.30913194444444442</v>
      </c>
      <c r="C2673">
        <v>4047</v>
      </c>
      <c r="D2673" t="str">
        <f>VLOOKUP(H2673,Produkt!$A$2:$B$5,2,FALSE)</f>
        <v>B</v>
      </c>
      <c r="H2673">
        <v>2</v>
      </c>
      <c r="I2673">
        <v>0.43958333333333338</v>
      </c>
      <c r="J2673">
        <v>44774</v>
      </c>
    </row>
    <row r="2674" spans="1:10" x14ac:dyDescent="0.35">
      <c r="A2674" s="2">
        <v>44782</v>
      </c>
      <c r="B2674" s="3">
        <v>0.63197916666666665</v>
      </c>
      <c r="C2674">
        <v>4182</v>
      </c>
      <c r="D2674" t="str">
        <f>VLOOKUP(H2674,Produkt!$A$2:$B$5,2,FALSE)</f>
        <v>A</v>
      </c>
      <c r="H2674">
        <v>1</v>
      </c>
      <c r="I2674">
        <v>0.11607638888888888</v>
      </c>
      <c r="J2674">
        <v>44801</v>
      </c>
    </row>
    <row r="2675" spans="1:10" x14ac:dyDescent="0.35">
      <c r="A2675" s="2">
        <v>44782</v>
      </c>
      <c r="B2675" s="3">
        <v>0.37690972222222219</v>
      </c>
      <c r="C2675">
        <v>4184</v>
      </c>
      <c r="D2675" t="str">
        <f>VLOOKUP(H2675,Produkt!$A$2:$B$5,2,FALSE)</f>
        <v>A</v>
      </c>
      <c r="H2675">
        <v>1</v>
      </c>
      <c r="I2675">
        <v>0.9445486111111111</v>
      </c>
      <c r="J2675">
        <v>44776</v>
      </c>
    </row>
    <row r="2676" spans="1:10" x14ac:dyDescent="0.35">
      <c r="A2676" s="2">
        <v>44782</v>
      </c>
      <c r="B2676" s="3">
        <v>0.79135416666666669</v>
      </c>
      <c r="C2676">
        <v>4188</v>
      </c>
      <c r="D2676" t="str">
        <f>VLOOKUP(H2676,Produkt!$A$2:$B$5,2,FALSE)</f>
        <v>B</v>
      </c>
      <c r="H2676">
        <v>2</v>
      </c>
      <c r="I2676">
        <v>0.34988425925925926</v>
      </c>
      <c r="J2676">
        <v>44798</v>
      </c>
    </row>
    <row r="2677" spans="1:10" x14ac:dyDescent="0.35">
      <c r="A2677" s="2">
        <v>44782</v>
      </c>
      <c r="B2677" s="3">
        <v>0.83297453703703705</v>
      </c>
      <c r="C2677">
        <v>4189</v>
      </c>
      <c r="D2677" t="str">
        <f>VLOOKUP(H2677,Produkt!$A$2:$B$5,2,FALSE)</f>
        <v>D</v>
      </c>
      <c r="H2677">
        <v>4</v>
      </c>
      <c r="I2677">
        <v>0.46607638888888886</v>
      </c>
      <c r="J2677">
        <v>44779</v>
      </c>
    </row>
    <row r="2678" spans="1:10" x14ac:dyDescent="0.35">
      <c r="A2678" s="2">
        <v>44782</v>
      </c>
      <c r="B2678" s="3">
        <v>0.13263888888888889</v>
      </c>
      <c r="C2678">
        <v>4195</v>
      </c>
      <c r="D2678" t="str">
        <f>VLOOKUP(H2678,Produkt!$A$2:$B$5,2,FALSE)</f>
        <v>B</v>
      </c>
      <c r="H2678">
        <v>2</v>
      </c>
      <c r="I2678">
        <v>0.20211805555555554</v>
      </c>
      <c r="J2678">
        <v>44780</v>
      </c>
    </row>
    <row r="2679" spans="1:10" x14ac:dyDescent="0.35">
      <c r="A2679" s="2">
        <v>44782</v>
      </c>
      <c r="B2679" s="3">
        <v>0.37365740740740744</v>
      </c>
      <c r="C2679">
        <v>4223</v>
      </c>
      <c r="D2679" t="str">
        <f>VLOOKUP(H2679,Produkt!$A$2:$B$5,2,FALSE)</f>
        <v>D</v>
      </c>
      <c r="H2679">
        <v>4</v>
      </c>
      <c r="I2679">
        <v>0.97138888888888886</v>
      </c>
      <c r="J2679">
        <v>44798</v>
      </c>
    </row>
    <row r="2680" spans="1:10" x14ac:dyDescent="0.35">
      <c r="A2680" s="2">
        <v>44782</v>
      </c>
      <c r="B2680" s="3">
        <v>0.44410879629629635</v>
      </c>
      <c r="C2680">
        <v>4310</v>
      </c>
      <c r="D2680" t="str">
        <f>VLOOKUP(H2680,Produkt!$A$2:$B$5,2,FALSE)</f>
        <v>D</v>
      </c>
      <c r="H2680">
        <v>4</v>
      </c>
      <c r="I2680">
        <v>0.14261574074074074</v>
      </c>
      <c r="J2680">
        <v>44793</v>
      </c>
    </row>
    <row r="2681" spans="1:10" x14ac:dyDescent="0.35">
      <c r="A2681" s="2">
        <v>44782</v>
      </c>
      <c r="B2681" s="3">
        <v>0.49224537037037036</v>
      </c>
      <c r="C2681">
        <v>4329</v>
      </c>
      <c r="D2681" t="str">
        <f>VLOOKUP(H2681,Produkt!$A$2:$B$5,2,FALSE)</f>
        <v>A</v>
      </c>
      <c r="H2681">
        <v>1</v>
      </c>
      <c r="I2681">
        <v>0.49418981481481478</v>
      </c>
      <c r="J2681">
        <v>44797</v>
      </c>
    </row>
    <row r="2682" spans="1:10" x14ac:dyDescent="0.35">
      <c r="A2682" s="2">
        <v>44782</v>
      </c>
      <c r="B2682" s="3">
        <v>0.47719907407407408</v>
      </c>
      <c r="C2682">
        <v>4439</v>
      </c>
      <c r="D2682" t="str">
        <f>VLOOKUP(H2682,Produkt!$A$2:$B$5,2,FALSE)</f>
        <v>C</v>
      </c>
      <c r="H2682">
        <v>3</v>
      </c>
      <c r="I2682">
        <v>0.56561342592592589</v>
      </c>
      <c r="J2682">
        <v>44795</v>
      </c>
    </row>
    <row r="2683" spans="1:10" x14ac:dyDescent="0.35">
      <c r="A2683" s="2">
        <v>44782</v>
      </c>
      <c r="B2683" s="3">
        <v>0.19108796296296296</v>
      </c>
      <c r="C2683">
        <v>4480</v>
      </c>
      <c r="D2683" t="str">
        <f>VLOOKUP(H2683,Produkt!$A$2:$B$5,2,FALSE)</f>
        <v>D</v>
      </c>
      <c r="H2683">
        <v>4</v>
      </c>
      <c r="I2683">
        <v>0.97876157407407405</v>
      </c>
      <c r="J2683">
        <v>44791</v>
      </c>
    </row>
    <row r="2684" spans="1:10" x14ac:dyDescent="0.35">
      <c r="A2684" s="2">
        <v>44782</v>
      </c>
      <c r="B2684" s="3">
        <v>0.59875</v>
      </c>
      <c r="C2684">
        <v>4487</v>
      </c>
      <c r="D2684" t="str">
        <f>VLOOKUP(H2684,Produkt!$A$2:$B$5,2,FALSE)</f>
        <v>A</v>
      </c>
      <c r="H2684">
        <v>1</v>
      </c>
      <c r="I2684">
        <v>0.9080787037037038</v>
      </c>
      <c r="J2684">
        <v>44777</v>
      </c>
    </row>
    <row r="2685" spans="1:10" x14ac:dyDescent="0.35">
      <c r="A2685" s="2">
        <v>44782</v>
      </c>
      <c r="B2685" s="3">
        <v>0.85268518518518521</v>
      </c>
      <c r="C2685">
        <v>4490</v>
      </c>
      <c r="D2685" t="str">
        <f>VLOOKUP(H2685,Produkt!$A$2:$B$5,2,FALSE)</f>
        <v>B</v>
      </c>
      <c r="H2685">
        <v>2</v>
      </c>
      <c r="I2685">
        <v>0.84931712962962969</v>
      </c>
      <c r="J2685">
        <v>44786</v>
      </c>
    </row>
    <row r="2686" spans="1:10" x14ac:dyDescent="0.35">
      <c r="A2686" s="2">
        <v>44782</v>
      </c>
      <c r="B2686" s="3">
        <v>0.61630787037037038</v>
      </c>
      <c r="C2686">
        <v>4501</v>
      </c>
      <c r="D2686" t="str">
        <f>VLOOKUP(H2686,Produkt!$A$2:$B$5,2,FALSE)</f>
        <v>D</v>
      </c>
      <c r="H2686">
        <v>4</v>
      </c>
      <c r="I2686">
        <v>0.43212962962962959</v>
      </c>
      <c r="J2686">
        <v>44797</v>
      </c>
    </row>
    <row r="2687" spans="1:10" x14ac:dyDescent="0.35">
      <c r="A2687" s="2">
        <v>44782</v>
      </c>
      <c r="B2687" s="3">
        <v>0.75695601851851846</v>
      </c>
      <c r="C2687">
        <v>4517</v>
      </c>
      <c r="D2687" t="str">
        <f>VLOOKUP(H2687,Produkt!$A$2:$B$5,2,FALSE)</f>
        <v>D</v>
      </c>
      <c r="H2687">
        <v>4</v>
      </c>
      <c r="I2687">
        <v>0.68751157407407415</v>
      </c>
      <c r="J2687">
        <v>44783</v>
      </c>
    </row>
    <row r="2688" spans="1:10" x14ac:dyDescent="0.35">
      <c r="A2688" s="2">
        <v>44782</v>
      </c>
      <c r="B2688" s="3">
        <v>0.71082175925925928</v>
      </c>
      <c r="C2688">
        <v>4536</v>
      </c>
      <c r="D2688" t="str">
        <f>VLOOKUP(H2688,Produkt!$A$2:$B$5,2,FALSE)</f>
        <v>B</v>
      </c>
      <c r="H2688">
        <v>2</v>
      </c>
      <c r="I2688">
        <v>0.67539351851851848</v>
      </c>
      <c r="J2688">
        <v>44775</v>
      </c>
    </row>
    <row r="2689" spans="1:10" x14ac:dyDescent="0.35">
      <c r="A2689" s="2">
        <v>44782</v>
      </c>
      <c r="B2689" s="3">
        <v>0.2682060185185185</v>
      </c>
      <c r="C2689">
        <v>4563</v>
      </c>
      <c r="D2689" t="str">
        <f>VLOOKUP(H2689,Produkt!$A$2:$B$5,2,FALSE)</f>
        <v>B</v>
      </c>
      <c r="H2689">
        <v>2</v>
      </c>
      <c r="I2689">
        <v>0.96763888888888883</v>
      </c>
      <c r="J2689">
        <v>44776</v>
      </c>
    </row>
    <row r="2690" spans="1:10" x14ac:dyDescent="0.35">
      <c r="A2690" s="2">
        <v>44782</v>
      </c>
      <c r="B2690" s="3">
        <v>7.329861111111112E-2</v>
      </c>
      <c r="C2690">
        <v>4572</v>
      </c>
      <c r="D2690" t="str">
        <f>VLOOKUP(H2690,Produkt!$A$2:$B$5,2,FALSE)</f>
        <v>B</v>
      </c>
      <c r="H2690">
        <v>2</v>
      </c>
      <c r="I2690">
        <v>0.98812500000000003</v>
      </c>
      <c r="J2690">
        <v>44788</v>
      </c>
    </row>
    <row r="2691" spans="1:10" x14ac:dyDescent="0.35">
      <c r="A2691" s="2">
        <v>44782</v>
      </c>
      <c r="B2691" s="3">
        <v>0.89674768518518511</v>
      </c>
      <c r="C2691">
        <v>4680</v>
      </c>
      <c r="D2691" t="str">
        <f>VLOOKUP(H2691,Produkt!$A$2:$B$5,2,FALSE)</f>
        <v>D</v>
      </c>
      <c r="H2691">
        <v>4</v>
      </c>
      <c r="I2691">
        <v>0.58402777777777781</v>
      </c>
      <c r="J2691">
        <v>44784</v>
      </c>
    </row>
    <row r="2692" spans="1:10" x14ac:dyDescent="0.35">
      <c r="A2692" s="2">
        <v>44782</v>
      </c>
      <c r="B2692" s="3">
        <v>0.61651620370370364</v>
      </c>
      <c r="C2692">
        <v>4694</v>
      </c>
      <c r="D2692" t="str">
        <f>VLOOKUP(H2692,Produkt!$A$2:$B$5,2,FALSE)</f>
        <v>B</v>
      </c>
      <c r="H2692">
        <v>2</v>
      </c>
      <c r="I2692">
        <v>0.43126157407407412</v>
      </c>
      <c r="J2692">
        <v>44789</v>
      </c>
    </row>
    <row r="2693" spans="1:10" x14ac:dyDescent="0.35">
      <c r="A2693" s="2">
        <v>44782</v>
      </c>
      <c r="B2693" s="3">
        <v>0.20616898148148147</v>
      </c>
      <c r="C2693">
        <v>4752</v>
      </c>
      <c r="D2693" t="str">
        <f>VLOOKUP(H2693,Produkt!$A$2:$B$5,2,FALSE)</f>
        <v>D</v>
      </c>
      <c r="H2693">
        <v>4</v>
      </c>
      <c r="I2693">
        <v>0.4145833333333333</v>
      </c>
      <c r="J2693">
        <v>44798</v>
      </c>
    </row>
    <row r="2694" spans="1:10" x14ac:dyDescent="0.35">
      <c r="A2694" s="2">
        <v>44782</v>
      </c>
      <c r="B2694" s="3">
        <v>0.94476851851851851</v>
      </c>
      <c r="C2694">
        <v>4757</v>
      </c>
      <c r="D2694" t="str">
        <f>VLOOKUP(H2694,Produkt!$A$2:$B$5,2,FALSE)</f>
        <v>A</v>
      </c>
      <c r="H2694">
        <v>1</v>
      </c>
      <c r="I2694">
        <v>0.36118055555555556</v>
      </c>
      <c r="J2694">
        <v>44777</v>
      </c>
    </row>
    <row r="2695" spans="1:10" x14ac:dyDescent="0.35">
      <c r="A2695" s="2">
        <v>44782</v>
      </c>
      <c r="B2695" s="3">
        <v>0.39501157407407406</v>
      </c>
      <c r="C2695">
        <v>4766</v>
      </c>
      <c r="D2695" t="str">
        <f>VLOOKUP(H2695,Produkt!$A$2:$B$5,2,FALSE)</f>
        <v>D</v>
      </c>
      <c r="H2695">
        <v>4</v>
      </c>
      <c r="I2695">
        <v>0.60445601851851849</v>
      </c>
      <c r="J2695">
        <v>44793</v>
      </c>
    </row>
    <row r="2696" spans="1:10" x14ac:dyDescent="0.35">
      <c r="A2696" s="2">
        <v>44782</v>
      </c>
      <c r="B2696" s="3">
        <v>0.49708333333333332</v>
      </c>
      <c r="C2696">
        <v>4803</v>
      </c>
      <c r="D2696" t="str">
        <f>VLOOKUP(H2696,Produkt!$A$2:$B$5,2,FALSE)</f>
        <v>D</v>
      </c>
      <c r="H2696">
        <v>4</v>
      </c>
      <c r="I2696">
        <v>0.86506944444444445</v>
      </c>
      <c r="J2696">
        <v>44778</v>
      </c>
    </row>
    <row r="2697" spans="1:10" x14ac:dyDescent="0.35">
      <c r="A2697" s="2">
        <v>44782</v>
      </c>
      <c r="B2697" s="3">
        <v>0.47837962962962965</v>
      </c>
      <c r="C2697">
        <v>4867</v>
      </c>
      <c r="D2697" t="str">
        <f>VLOOKUP(H2697,Produkt!$A$2:$B$5,2,FALSE)</f>
        <v>C</v>
      </c>
      <c r="H2697">
        <v>3</v>
      </c>
      <c r="I2697">
        <v>0.36644675925925929</v>
      </c>
      <c r="J2697">
        <v>44800</v>
      </c>
    </row>
    <row r="2698" spans="1:10" x14ac:dyDescent="0.35">
      <c r="A2698" s="2">
        <v>44782</v>
      </c>
      <c r="B2698" s="3">
        <v>0.69039351851851849</v>
      </c>
      <c r="C2698">
        <v>4924</v>
      </c>
      <c r="D2698" t="str">
        <f>VLOOKUP(H2698,Produkt!$A$2:$B$5,2,FALSE)</f>
        <v>B</v>
      </c>
      <c r="H2698">
        <v>2</v>
      </c>
      <c r="I2698">
        <v>0.31848379629629631</v>
      </c>
      <c r="J2698">
        <v>44774</v>
      </c>
    </row>
    <row r="2699" spans="1:10" x14ac:dyDescent="0.35">
      <c r="A2699" s="2">
        <v>44782</v>
      </c>
      <c r="B2699" s="3">
        <v>0.26461805555555556</v>
      </c>
      <c r="C2699">
        <v>4959</v>
      </c>
      <c r="D2699" t="str">
        <f>VLOOKUP(H2699,Produkt!$A$2:$B$5,2,FALSE)</f>
        <v>D</v>
      </c>
      <c r="H2699">
        <v>4</v>
      </c>
      <c r="I2699">
        <v>0.57395833333333335</v>
      </c>
      <c r="J2699">
        <v>44793</v>
      </c>
    </row>
    <row r="2700" spans="1:10" x14ac:dyDescent="0.35">
      <c r="A2700" s="2">
        <v>44782</v>
      </c>
      <c r="B2700" s="3">
        <v>0.11127314814814815</v>
      </c>
      <c r="C2700">
        <v>4965</v>
      </c>
      <c r="D2700" t="str">
        <f>VLOOKUP(H2700,Produkt!$A$2:$B$5,2,FALSE)</f>
        <v>B</v>
      </c>
      <c r="H2700">
        <v>2</v>
      </c>
      <c r="I2700">
        <v>0.60906249999999995</v>
      </c>
      <c r="J2700">
        <v>44789</v>
      </c>
    </row>
    <row r="2701" spans="1:10" x14ac:dyDescent="0.35">
      <c r="A2701" s="2">
        <v>44782</v>
      </c>
      <c r="B2701" s="3">
        <v>0.31686342592592592</v>
      </c>
      <c r="C2701">
        <v>4970</v>
      </c>
      <c r="D2701" t="str">
        <f>VLOOKUP(H2701,Produkt!$A$2:$B$5,2,FALSE)</f>
        <v>A</v>
      </c>
      <c r="H2701">
        <v>1</v>
      </c>
      <c r="I2701">
        <v>0.95689814814814811</v>
      </c>
      <c r="J2701">
        <v>44786</v>
      </c>
    </row>
    <row r="2702" spans="1:10" x14ac:dyDescent="0.35">
      <c r="A2702" s="2">
        <v>44782</v>
      </c>
      <c r="B2702" s="3">
        <v>0.34210648148148143</v>
      </c>
      <c r="C2702">
        <v>5000</v>
      </c>
      <c r="D2702" t="str">
        <f>VLOOKUP(H2702,Produkt!$A$2:$B$5,2,FALSE)</f>
        <v>B</v>
      </c>
      <c r="H2702">
        <v>2</v>
      </c>
      <c r="I2702">
        <v>0.91061342592592587</v>
      </c>
      <c r="J2702">
        <v>44789</v>
      </c>
    </row>
    <row r="2703" spans="1:10" x14ac:dyDescent="0.35">
      <c r="A2703" s="2">
        <v>44782</v>
      </c>
      <c r="B2703" s="3">
        <v>0.65017361111111105</v>
      </c>
      <c r="C2703">
        <v>5033</v>
      </c>
      <c r="D2703" t="str">
        <f>VLOOKUP(H2703,Produkt!$A$2:$B$5,2,FALSE)</f>
        <v>C</v>
      </c>
      <c r="H2703">
        <v>3</v>
      </c>
      <c r="I2703">
        <v>8.5104166666666661E-2</v>
      </c>
      <c r="J2703">
        <v>44796</v>
      </c>
    </row>
    <row r="2704" spans="1:10" x14ac:dyDescent="0.35">
      <c r="A2704" s="2">
        <v>44782</v>
      </c>
      <c r="B2704" s="3">
        <v>1.5196759259259259E-2</v>
      </c>
      <c r="C2704">
        <v>5039</v>
      </c>
      <c r="D2704" t="str">
        <f>VLOOKUP(H2704,Produkt!$A$2:$B$5,2,FALSE)</f>
        <v>B</v>
      </c>
      <c r="H2704">
        <v>2</v>
      </c>
      <c r="I2704">
        <v>0.53189814814814818</v>
      </c>
      <c r="J2704">
        <v>44786</v>
      </c>
    </row>
    <row r="2705" spans="1:10" x14ac:dyDescent="0.35">
      <c r="A2705" s="2">
        <v>44782</v>
      </c>
      <c r="B2705" s="3">
        <v>0.89204861111111111</v>
      </c>
      <c r="C2705">
        <v>5068</v>
      </c>
      <c r="D2705" t="str">
        <f>VLOOKUP(H2705,Produkt!$A$2:$B$5,2,FALSE)</f>
        <v>C</v>
      </c>
      <c r="H2705">
        <v>3</v>
      </c>
      <c r="I2705">
        <v>0.25721064814814815</v>
      </c>
      <c r="J2705">
        <v>44784</v>
      </c>
    </row>
    <row r="2706" spans="1:10" x14ac:dyDescent="0.35">
      <c r="A2706" s="2">
        <v>44782</v>
      </c>
      <c r="B2706" s="3">
        <v>6.0208333333333336E-2</v>
      </c>
      <c r="C2706">
        <v>5102</v>
      </c>
      <c r="D2706" t="str">
        <f>VLOOKUP(H2706,Produkt!$A$2:$B$5,2,FALSE)</f>
        <v>B</v>
      </c>
      <c r="H2706">
        <v>2</v>
      </c>
      <c r="I2706">
        <v>0.88505787037037031</v>
      </c>
      <c r="J2706">
        <v>44780</v>
      </c>
    </row>
    <row r="2707" spans="1:10" x14ac:dyDescent="0.35">
      <c r="A2707" s="2">
        <v>44782</v>
      </c>
      <c r="B2707" s="3">
        <v>0.42987268518518523</v>
      </c>
      <c r="C2707">
        <v>5111</v>
      </c>
      <c r="D2707" t="str">
        <f>VLOOKUP(H2707,Produkt!$A$2:$B$5,2,FALSE)</f>
        <v>C</v>
      </c>
      <c r="H2707">
        <v>3</v>
      </c>
      <c r="I2707">
        <v>0.52017361111111116</v>
      </c>
      <c r="J2707">
        <v>44801</v>
      </c>
    </row>
    <row r="2708" spans="1:10" x14ac:dyDescent="0.35">
      <c r="A2708" s="2">
        <v>44782</v>
      </c>
      <c r="B2708" s="3">
        <v>0.27549768518518519</v>
      </c>
      <c r="C2708">
        <v>5133</v>
      </c>
      <c r="D2708" t="str">
        <f>VLOOKUP(H2708,Produkt!$A$2:$B$5,2,FALSE)</f>
        <v>D</v>
      </c>
      <c r="H2708">
        <v>4</v>
      </c>
      <c r="I2708">
        <v>0.47380787037037037</v>
      </c>
      <c r="J2708">
        <v>44778</v>
      </c>
    </row>
    <row r="2709" spans="1:10" x14ac:dyDescent="0.35">
      <c r="A2709" s="2">
        <v>44782</v>
      </c>
      <c r="B2709" s="3">
        <v>0.64968749999999997</v>
      </c>
      <c r="C2709">
        <v>5179</v>
      </c>
      <c r="D2709" t="str">
        <f>VLOOKUP(H2709,Produkt!$A$2:$B$5,2,FALSE)</f>
        <v>B</v>
      </c>
      <c r="H2709">
        <v>2</v>
      </c>
      <c r="I2709">
        <v>0.62508101851851849</v>
      </c>
      <c r="J2709">
        <v>44792</v>
      </c>
    </row>
    <row r="2710" spans="1:10" x14ac:dyDescent="0.35">
      <c r="A2710" s="2">
        <v>44782</v>
      </c>
      <c r="B2710" s="3">
        <v>1.9814814814814816E-2</v>
      </c>
      <c r="C2710">
        <v>5190</v>
      </c>
      <c r="D2710" t="str">
        <f>VLOOKUP(H2710,Produkt!$A$2:$B$5,2,FALSE)</f>
        <v>A</v>
      </c>
      <c r="H2710">
        <v>1</v>
      </c>
      <c r="I2710">
        <v>1.1284722222222099E-2</v>
      </c>
      <c r="J2710">
        <v>44797</v>
      </c>
    </row>
    <row r="2711" spans="1:10" x14ac:dyDescent="0.35">
      <c r="A2711" s="2">
        <v>44782</v>
      </c>
      <c r="B2711" s="3">
        <v>0.73105324074074074</v>
      </c>
      <c r="C2711">
        <v>5206</v>
      </c>
      <c r="D2711" t="str">
        <f>VLOOKUP(H2711,Produkt!$A$2:$B$5,2,FALSE)</f>
        <v>C</v>
      </c>
      <c r="H2711">
        <v>3</v>
      </c>
      <c r="I2711">
        <v>0.60002314814814817</v>
      </c>
      <c r="J2711">
        <v>44795</v>
      </c>
    </row>
    <row r="2712" spans="1:10" x14ac:dyDescent="0.35">
      <c r="A2712" s="2">
        <v>44782</v>
      </c>
      <c r="B2712" s="3">
        <v>0.20663194444444444</v>
      </c>
      <c r="C2712">
        <v>5210</v>
      </c>
      <c r="D2712" t="str">
        <f>VLOOKUP(H2712,Produkt!$A$2:$B$5,2,FALSE)</f>
        <v>D</v>
      </c>
      <c r="H2712">
        <v>4</v>
      </c>
      <c r="I2712">
        <v>0.80733796296296301</v>
      </c>
      <c r="J2712">
        <v>44798</v>
      </c>
    </row>
    <row r="2713" spans="1:10" x14ac:dyDescent="0.35">
      <c r="A2713" s="2">
        <v>44782</v>
      </c>
      <c r="B2713" s="3">
        <v>0.70050925925925922</v>
      </c>
      <c r="C2713">
        <v>5230</v>
      </c>
      <c r="D2713" t="str">
        <f>VLOOKUP(H2713,Produkt!$A$2:$B$5,2,FALSE)</f>
        <v>A</v>
      </c>
      <c r="H2713">
        <v>1</v>
      </c>
      <c r="I2713">
        <v>0.72855324074074079</v>
      </c>
      <c r="J2713">
        <v>44782</v>
      </c>
    </row>
    <row r="2714" spans="1:10" x14ac:dyDescent="0.35">
      <c r="A2714" s="2">
        <v>44782</v>
      </c>
      <c r="B2714" s="3">
        <v>7.8090277777777786E-2</v>
      </c>
      <c r="C2714">
        <v>5274</v>
      </c>
      <c r="D2714" t="str">
        <f>VLOOKUP(H2714,Produkt!$A$2:$B$5,2,FALSE)</f>
        <v>B</v>
      </c>
      <c r="H2714">
        <v>2</v>
      </c>
      <c r="I2714">
        <v>3.9328703703703706E-2</v>
      </c>
      <c r="J2714">
        <v>44774</v>
      </c>
    </row>
    <row r="2715" spans="1:10" x14ac:dyDescent="0.35">
      <c r="A2715" s="2">
        <v>44782</v>
      </c>
      <c r="B2715" s="3">
        <v>0.7489351851851852</v>
      </c>
      <c r="C2715">
        <v>5276</v>
      </c>
      <c r="D2715" t="str">
        <f>VLOOKUP(H2715,Produkt!$A$2:$B$5,2,FALSE)</f>
        <v>C</v>
      </c>
      <c r="H2715">
        <v>3</v>
      </c>
      <c r="I2715">
        <v>0.85972222222222217</v>
      </c>
      <c r="J2715">
        <v>44802</v>
      </c>
    </row>
    <row r="2716" spans="1:10" x14ac:dyDescent="0.35">
      <c r="A2716" s="2">
        <v>44782</v>
      </c>
      <c r="B2716" s="3">
        <v>0.15840277777777778</v>
      </c>
      <c r="C2716">
        <v>5401</v>
      </c>
      <c r="D2716" t="str">
        <f>VLOOKUP(H2716,Produkt!$A$2:$B$5,2,FALSE)</f>
        <v>B</v>
      </c>
      <c r="H2716">
        <v>2</v>
      </c>
      <c r="I2716">
        <v>0.23940972222222223</v>
      </c>
      <c r="J2716">
        <v>44781</v>
      </c>
    </row>
    <row r="2717" spans="1:10" x14ac:dyDescent="0.35">
      <c r="A2717" s="2">
        <v>44782</v>
      </c>
      <c r="B2717" s="3">
        <v>0.71629629629629632</v>
      </c>
      <c r="C2717">
        <v>5410</v>
      </c>
      <c r="D2717" t="str">
        <f>VLOOKUP(H2717,Produkt!$A$2:$B$5,2,FALSE)</f>
        <v>B</v>
      </c>
      <c r="H2717">
        <v>2</v>
      </c>
      <c r="I2717">
        <v>4.2777777777777776E-2</v>
      </c>
      <c r="J2717">
        <v>44783</v>
      </c>
    </row>
    <row r="2718" spans="1:10" x14ac:dyDescent="0.35">
      <c r="A2718" s="2">
        <v>44782</v>
      </c>
      <c r="B2718" s="3">
        <v>0.56320601851851848</v>
      </c>
      <c r="C2718">
        <v>5420</v>
      </c>
      <c r="D2718" t="str">
        <f>VLOOKUP(H2718,Produkt!$A$2:$B$5,2,FALSE)</f>
        <v>C</v>
      </c>
      <c r="H2718">
        <v>3</v>
      </c>
      <c r="I2718">
        <v>0.9903587962962962</v>
      </c>
      <c r="J2718">
        <v>44782</v>
      </c>
    </row>
    <row r="2719" spans="1:10" x14ac:dyDescent="0.35">
      <c r="A2719" s="2">
        <v>44782</v>
      </c>
      <c r="B2719" s="3">
        <v>0.77482638888888899</v>
      </c>
      <c r="C2719">
        <v>5465</v>
      </c>
      <c r="D2719" t="str">
        <f>VLOOKUP(H2719,Produkt!$A$2:$B$5,2,FALSE)</f>
        <v>B</v>
      </c>
      <c r="H2719">
        <v>2</v>
      </c>
      <c r="I2719">
        <v>0.6381134259259259</v>
      </c>
      <c r="J2719">
        <v>44791</v>
      </c>
    </row>
    <row r="2720" spans="1:10" x14ac:dyDescent="0.35">
      <c r="A2720" s="2">
        <v>44782</v>
      </c>
      <c r="B2720" s="3">
        <v>0.48192129629629626</v>
      </c>
      <c r="C2720">
        <v>5501</v>
      </c>
      <c r="D2720" t="str">
        <f>VLOOKUP(H2720,Produkt!$A$2:$B$5,2,FALSE)</f>
        <v>C</v>
      </c>
      <c r="H2720">
        <v>3</v>
      </c>
      <c r="I2720">
        <v>0.71328703703703711</v>
      </c>
      <c r="J2720">
        <v>44787</v>
      </c>
    </row>
    <row r="2721" spans="1:10" x14ac:dyDescent="0.35">
      <c r="A2721" s="2">
        <v>44782</v>
      </c>
      <c r="B2721" s="3">
        <v>0.73577546296296292</v>
      </c>
      <c r="C2721">
        <v>5538</v>
      </c>
      <c r="D2721" t="str">
        <f>VLOOKUP(H2721,Produkt!$A$2:$B$5,2,FALSE)</f>
        <v>D</v>
      </c>
      <c r="H2721">
        <v>4</v>
      </c>
      <c r="I2721">
        <v>0.34996527777777775</v>
      </c>
      <c r="J2721">
        <v>44780</v>
      </c>
    </row>
    <row r="2722" spans="1:10" x14ac:dyDescent="0.35">
      <c r="A2722" s="2">
        <v>44782</v>
      </c>
      <c r="B2722" s="3">
        <v>0.34620370370370374</v>
      </c>
      <c r="C2722">
        <v>5574</v>
      </c>
      <c r="D2722" t="str">
        <f>VLOOKUP(H2722,Produkt!$A$2:$B$5,2,FALSE)</f>
        <v>C</v>
      </c>
      <c r="H2722">
        <v>3</v>
      </c>
      <c r="I2722">
        <v>0.45479166666666665</v>
      </c>
      <c r="J2722">
        <v>44774</v>
      </c>
    </row>
    <row r="2723" spans="1:10" x14ac:dyDescent="0.35">
      <c r="A2723" s="2">
        <v>44782</v>
      </c>
      <c r="B2723" s="3">
        <v>4.3796296296296298E-2</v>
      </c>
      <c r="C2723">
        <v>5620</v>
      </c>
      <c r="D2723" t="str">
        <f>VLOOKUP(H2723,Produkt!$A$2:$B$5,2,FALSE)</f>
        <v>C</v>
      </c>
      <c r="H2723">
        <v>3</v>
      </c>
      <c r="I2723">
        <v>0.18991898148148148</v>
      </c>
      <c r="J2723">
        <v>44793</v>
      </c>
    </row>
    <row r="2724" spans="1:10" x14ac:dyDescent="0.35">
      <c r="A2724" s="2">
        <v>44782</v>
      </c>
      <c r="B2724" s="3">
        <v>0.73738425925925932</v>
      </c>
      <c r="C2724">
        <v>5630</v>
      </c>
      <c r="D2724" t="str">
        <f>VLOOKUP(H2724,Produkt!$A$2:$B$5,2,FALSE)</f>
        <v>B</v>
      </c>
      <c r="H2724">
        <v>2</v>
      </c>
      <c r="I2724">
        <v>0.80016203703703714</v>
      </c>
      <c r="J2724">
        <v>44797</v>
      </c>
    </row>
    <row r="2725" spans="1:10" x14ac:dyDescent="0.35">
      <c r="A2725" s="2">
        <v>44782</v>
      </c>
      <c r="B2725" s="3">
        <v>4.8935185185185186E-2</v>
      </c>
      <c r="C2725">
        <v>5644</v>
      </c>
      <c r="D2725" t="str">
        <f>VLOOKUP(H2725,Produkt!$A$2:$B$5,2,FALSE)</f>
        <v>D</v>
      </c>
      <c r="H2725">
        <v>4</v>
      </c>
      <c r="I2725">
        <v>0.29857638888888888</v>
      </c>
      <c r="J2725">
        <v>44801</v>
      </c>
    </row>
    <row r="2726" spans="1:10" x14ac:dyDescent="0.35">
      <c r="A2726" s="2">
        <v>44782</v>
      </c>
      <c r="B2726" s="3">
        <v>0.28555555555555556</v>
      </c>
      <c r="C2726">
        <v>5645</v>
      </c>
      <c r="D2726" t="str">
        <f>VLOOKUP(H2726,Produkt!$A$2:$B$5,2,FALSE)</f>
        <v>D</v>
      </c>
      <c r="H2726">
        <v>4</v>
      </c>
      <c r="I2726">
        <v>0.54175925925925927</v>
      </c>
      <c r="J2726">
        <v>44787</v>
      </c>
    </row>
    <row r="2727" spans="1:10" x14ac:dyDescent="0.35">
      <c r="A2727" s="2">
        <v>44782</v>
      </c>
      <c r="B2727" s="3">
        <v>0.85391203703703711</v>
      </c>
      <c r="C2727">
        <v>5676</v>
      </c>
      <c r="D2727" t="str">
        <f>VLOOKUP(H2727,Produkt!$A$2:$B$5,2,FALSE)</f>
        <v>A</v>
      </c>
      <c r="H2727">
        <v>1</v>
      </c>
      <c r="I2727">
        <v>0.66353009259259255</v>
      </c>
      <c r="J2727">
        <v>44785</v>
      </c>
    </row>
    <row r="2728" spans="1:10" x14ac:dyDescent="0.35">
      <c r="A2728" s="2">
        <v>44782</v>
      </c>
      <c r="B2728" s="3">
        <v>0.11319444444444444</v>
      </c>
      <c r="C2728">
        <v>5739</v>
      </c>
      <c r="D2728" t="str">
        <f>VLOOKUP(H2728,Produkt!$A$2:$B$5,2,FALSE)</f>
        <v>C</v>
      </c>
      <c r="H2728">
        <v>3</v>
      </c>
      <c r="I2728">
        <v>0.44434027777777779</v>
      </c>
      <c r="J2728">
        <v>44781</v>
      </c>
    </row>
    <row r="2729" spans="1:10" x14ac:dyDescent="0.35">
      <c r="A2729" s="2">
        <v>44782</v>
      </c>
      <c r="B2729" s="3">
        <v>0.4059490740740741</v>
      </c>
      <c r="C2729">
        <v>5864</v>
      </c>
      <c r="D2729" t="str">
        <f>VLOOKUP(H2729,Produkt!$A$2:$B$5,2,FALSE)</f>
        <v>C</v>
      </c>
      <c r="H2729">
        <v>3</v>
      </c>
      <c r="I2729">
        <v>0.76333333333333331</v>
      </c>
      <c r="J2729">
        <v>44784</v>
      </c>
    </row>
    <row r="2730" spans="1:10" x14ac:dyDescent="0.35">
      <c r="A2730" s="2">
        <v>44782</v>
      </c>
      <c r="B2730" s="3">
        <v>0.91680555555555554</v>
      </c>
      <c r="C2730">
        <v>5895</v>
      </c>
      <c r="D2730" t="str">
        <f>VLOOKUP(H2730,Produkt!$A$2:$B$5,2,FALSE)</f>
        <v>A</v>
      </c>
      <c r="H2730">
        <v>1</v>
      </c>
      <c r="I2730">
        <v>0.98231481481481486</v>
      </c>
      <c r="J2730">
        <v>44787</v>
      </c>
    </row>
    <row r="2731" spans="1:10" x14ac:dyDescent="0.35">
      <c r="A2731" s="2">
        <v>44782</v>
      </c>
      <c r="B2731" s="3">
        <v>0.92821759259259251</v>
      </c>
      <c r="C2731">
        <v>5937</v>
      </c>
      <c r="D2731" t="str">
        <f>VLOOKUP(H2731,Produkt!$A$2:$B$5,2,FALSE)</f>
        <v>C</v>
      </c>
      <c r="H2731">
        <v>3</v>
      </c>
      <c r="I2731">
        <v>0.7597222222222223</v>
      </c>
      <c r="J2731">
        <v>44786</v>
      </c>
    </row>
    <row r="2732" spans="1:10" x14ac:dyDescent="0.35">
      <c r="A2732" s="2">
        <v>44782</v>
      </c>
      <c r="B2732" s="3">
        <v>0.14034722222222221</v>
      </c>
      <c r="C2732">
        <v>6003</v>
      </c>
      <c r="D2732" t="str">
        <f>VLOOKUP(H2732,Produkt!$A$2:$B$5,2,FALSE)</f>
        <v>A</v>
      </c>
      <c r="H2732">
        <v>1</v>
      </c>
      <c r="I2732">
        <v>0.46592592592592591</v>
      </c>
      <c r="J2732">
        <v>44774</v>
      </c>
    </row>
    <row r="2733" spans="1:10" x14ac:dyDescent="0.35">
      <c r="A2733" s="2">
        <v>44782</v>
      </c>
      <c r="B2733" s="3">
        <v>0.93788194444444439</v>
      </c>
      <c r="C2733">
        <v>6010</v>
      </c>
      <c r="D2733" t="str">
        <f>VLOOKUP(H2733,Produkt!$A$2:$B$5,2,FALSE)</f>
        <v>A</v>
      </c>
      <c r="H2733">
        <v>1</v>
      </c>
      <c r="I2733">
        <v>0.53630787037037042</v>
      </c>
      <c r="J2733">
        <v>44803</v>
      </c>
    </row>
    <row r="2734" spans="1:10" x14ac:dyDescent="0.35">
      <c r="A2734" s="2">
        <v>44782</v>
      </c>
      <c r="B2734" s="3">
        <v>0.56548611111111113</v>
      </c>
      <c r="C2734">
        <v>6028</v>
      </c>
      <c r="D2734" t="str">
        <f>VLOOKUP(H2734,Produkt!$A$2:$B$5,2,FALSE)</f>
        <v>D</v>
      </c>
      <c r="H2734">
        <v>4</v>
      </c>
      <c r="I2734">
        <v>0.44314814814814812</v>
      </c>
      <c r="J2734">
        <v>44799</v>
      </c>
    </row>
    <row r="2735" spans="1:10" x14ac:dyDescent="0.35">
      <c r="A2735" s="2">
        <v>44782</v>
      </c>
      <c r="B2735" s="3">
        <v>0.79135416666666669</v>
      </c>
      <c r="C2735">
        <v>6035</v>
      </c>
      <c r="D2735" t="str">
        <f>VLOOKUP(H2735,Produkt!$A$2:$B$5,2,FALSE)</f>
        <v>A</v>
      </c>
      <c r="H2735">
        <v>1</v>
      </c>
      <c r="I2735">
        <v>0.33474537037037039</v>
      </c>
      <c r="J2735">
        <v>44797</v>
      </c>
    </row>
    <row r="2736" spans="1:10" x14ac:dyDescent="0.35">
      <c r="A2736" s="2">
        <v>44782</v>
      </c>
      <c r="B2736" s="3">
        <v>0.68026620370370372</v>
      </c>
      <c r="C2736">
        <v>6063</v>
      </c>
      <c r="D2736" t="str">
        <f>VLOOKUP(H2736,Produkt!$A$2:$B$5,2,FALSE)</f>
        <v>D</v>
      </c>
      <c r="H2736">
        <v>4</v>
      </c>
      <c r="I2736">
        <v>0.69282407407407398</v>
      </c>
      <c r="J2736">
        <v>44785</v>
      </c>
    </row>
    <row r="2737" spans="1:10" x14ac:dyDescent="0.35">
      <c r="A2737" s="2">
        <v>44782</v>
      </c>
      <c r="B2737" s="3">
        <v>0.9281018518518519</v>
      </c>
      <c r="C2737">
        <v>6145</v>
      </c>
      <c r="D2737" t="str">
        <f>VLOOKUP(H2737,Produkt!$A$2:$B$5,2,FALSE)</f>
        <v>A</v>
      </c>
      <c r="H2737">
        <v>1</v>
      </c>
      <c r="I2737">
        <v>0.71030092592592586</v>
      </c>
      <c r="J2737">
        <v>44790</v>
      </c>
    </row>
    <row r="2738" spans="1:10" x14ac:dyDescent="0.35">
      <c r="A2738" s="2">
        <v>44782</v>
      </c>
      <c r="B2738" s="3">
        <v>1.7476851851851993E-3</v>
      </c>
      <c r="C2738">
        <v>6259</v>
      </c>
      <c r="D2738" t="str">
        <f>VLOOKUP(H2738,Produkt!$A$2:$B$5,2,FALSE)</f>
        <v>D</v>
      </c>
      <c r="H2738">
        <v>4</v>
      </c>
      <c r="I2738">
        <v>0.43722222222222223</v>
      </c>
      <c r="J2738">
        <v>44784</v>
      </c>
    </row>
    <row r="2739" spans="1:10" x14ac:dyDescent="0.35">
      <c r="A2739" s="2">
        <v>44782</v>
      </c>
      <c r="B2739" s="3">
        <v>0.96337962962962964</v>
      </c>
      <c r="C2739">
        <v>6298</v>
      </c>
      <c r="D2739" t="str">
        <f>VLOOKUP(H2739,Produkt!$A$2:$B$5,2,FALSE)</f>
        <v>A</v>
      </c>
      <c r="H2739">
        <v>1</v>
      </c>
      <c r="I2739">
        <v>0.94796296296296301</v>
      </c>
      <c r="J2739">
        <v>44775</v>
      </c>
    </row>
    <row r="2740" spans="1:10" x14ac:dyDescent="0.35">
      <c r="A2740" s="2">
        <v>44782</v>
      </c>
      <c r="B2740" s="3">
        <v>0.34831018518518514</v>
      </c>
      <c r="C2740">
        <v>6367</v>
      </c>
      <c r="D2740" t="str">
        <f>VLOOKUP(H2740,Produkt!$A$2:$B$5,2,FALSE)</f>
        <v>C</v>
      </c>
      <c r="H2740">
        <v>3</v>
      </c>
      <c r="I2740">
        <v>0.93138888888888882</v>
      </c>
      <c r="J2740">
        <v>44800</v>
      </c>
    </row>
    <row r="2741" spans="1:10" x14ac:dyDescent="0.35">
      <c r="A2741" s="2">
        <v>44782</v>
      </c>
      <c r="B2741" s="3">
        <v>0.13471064814814815</v>
      </c>
      <c r="C2741">
        <v>6376</v>
      </c>
      <c r="D2741" t="str">
        <f>VLOOKUP(H2741,Produkt!$A$2:$B$5,2,FALSE)</f>
        <v>A</v>
      </c>
      <c r="H2741">
        <v>1</v>
      </c>
      <c r="I2741">
        <v>0.79451388888888885</v>
      </c>
      <c r="J2741">
        <v>44794</v>
      </c>
    </row>
    <row r="2742" spans="1:10" x14ac:dyDescent="0.35">
      <c r="A2742" s="2">
        <v>44782</v>
      </c>
      <c r="B2742" s="3">
        <v>0.22246527777777778</v>
      </c>
      <c r="C2742">
        <v>6456</v>
      </c>
      <c r="D2742" t="str">
        <f>VLOOKUP(H2742,Produkt!$A$2:$B$5,2,FALSE)</f>
        <v>D</v>
      </c>
      <c r="H2742">
        <v>4</v>
      </c>
      <c r="I2742">
        <v>0.14259259259259258</v>
      </c>
      <c r="J2742">
        <v>44791</v>
      </c>
    </row>
    <row r="2743" spans="1:10" x14ac:dyDescent="0.35">
      <c r="A2743" s="2">
        <v>44782</v>
      </c>
      <c r="B2743" s="3">
        <v>0.80559027777777781</v>
      </c>
      <c r="C2743">
        <v>6540</v>
      </c>
      <c r="D2743" t="str">
        <f>VLOOKUP(H2743,Produkt!$A$2:$B$5,2,FALSE)</f>
        <v>B</v>
      </c>
      <c r="H2743">
        <v>2</v>
      </c>
      <c r="I2743">
        <v>8.0729166666666671E-2</v>
      </c>
      <c r="J2743">
        <v>44785</v>
      </c>
    </row>
    <row r="2744" spans="1:10" x14ac:dyDescent="0.35">
      <c r="A2744" s="2">
        <v>44782</v>
      </c>
      <c r="B2744" s="3">
        <v>0.71010416666666665</v>
      </c>
      <c r="C2744">
        <v>6542</v>
      </c>
      <c r="D2744" t="str">
        <f>VLOOKUP(H2744,Produkt!$A$2:$B$5,2,FALSE)</f>
        <v>B</v>
      </c>
      <c r="H2744">
        <v>2</v>
      </c>
      <c r="I2744">
        <v>0.20954861111111112</v>
      </c>
      <c r="J2744">
        <v>44791</v>
      </c>
    </row>
    <row r="2745" spans="1:10" x14ac:dyDescent="0.35">
      <c r="A2745" s="2">
        <v>44782</v>
      </c>
      <c r="B2745" s="3">
        <v>0.45770833333333333</v>
      </c>
      <c r="C2745">
        <v>6618</v>
      </c>
      <c r="D2745" t="str">
        <f>VLOOKUP(H2745,Produkt!$A$2:$B$5,2,FALSE)</f>
        <v>A</v>
      </c>
      <c r="H2745">
        <v>1</v>
      </c>
      <c r="I2745">
        <v>0.89393518518518522</v>
      </c>
      <c r="J2745">
        <v>44780</v>
      </c>
    </row>
    <row r="2746" spans="1:10" x14ac:dyDescent="0.35">
      <c r="A2746" s="2">
        <v>44782</v>
      </c>
      <c r="B2746" s="3">
        <v>0.88365740740740739</v>
      </c>
      <c r="C2746">
        <v>6668</v>
      </c>
      <c r="D2746" t="str">
        <f>VLOOKUP(H2746,Produkt!$A$2:$B$5,2,FALSE)</f>
        <v>D</v>
      </c>
      <c r="H2746">
        <v>4</v>
      </c>
      <c r="I2746">
        <v>0.15170138888888887</v>
      </c>
      <c r="J2746">
        <v>44774</v>
      </c>
    </row>
    <row r="2747" spans="1:10" x14ac:dyDescent="0.35">
      <c r="A2747" s="2">
        <v>44782</v>
      </c>
      <c r="B2747" s="3">
        <v>0.38608796296296299</v>
      </c>
      <c r="C2747">
        <v>6718</v>
      </c>
      <c r="D2747" t="str">
        <f>VLOOKUP(H2747,Produkt!$A$2:$B$5,2,FALSE)</f>
        <v>D</v>
      </c>
      <c r="H2747">
        <v>4</v>
      </c>
      <c r="I2747">
        <v>0.27981481481481479</v>
      </c>
      <c r="J2747">
        <v>44799</v>
      </c>
    </row>
    <row r="2748" spans="1:10" x14ac:dyDescent="0.35">
      <c r="A2748" s="2">
        <v>44782</v>
      </c>
      <c r="B2748" s="3">
        <v>0.83902777777777782</v>
      </c>
      <c r="C2748">
        <v>6770</v>
      </c>
      <c r="D2748" t="str">
        <f>VLOOKUP(H2748,Produkt!$A$2:$B$5,2,FALSE)</f>
        <v>B</v>
      </c>
      <c r="H2748">
        <v>2</v>
      </c>
      <c r="I2748">
        <v>0.81652777777777785</v>
      </c>
      <c r="J2748">
        <v>44791</v>
      </c>
    </row>
    <row r="2749" spans="1:10" x14ac:dyDescent="0.35">
      <c r="A2749" s="2">
        <v>44782</v>
      </c>
      <c r="B2749" s="3">
        <v>0.85740740740740751</v>
      </c>
      <c r="C2749">
        <v>6798</v>
      </c>
      <c r="D2749" t="str">
        <f>VLOOKUP(H2749,Produkt!$A$2:$B$5,2,FALSE)</f>
        <v>B</v>
      </c>
      <c r="H2749">
        <v>2</v>
      </c>
      <c r="I2749">
        <v>0.72906249999999995</v>
      </c>
      <c r="J2749">
        <v>44799</v>
      </c>
    </row>
    <row r="2750" spans="1:10" x14ac:dyDescent="0.35">
      <c r="A2750" s="2">
        <v>44782</v>
      </c>
      <c r="B2750" s="3">
        <v>0.55768518518518517</v>
      </c>
      <c r="C2750">
        <v>6803</v>
      </c>
      <c r="D2750" t="str">
        <f>VLOOKUP(H2750,Produkt!$A$2:$B$5,2,FALSE)</f>
        <v>D</v>
      </c>
      <c r="H2750">
        <v>4</v>
      </c>
      <c r="I2750">
        <v>0.30640046296296297</v>
      </c>
      <c r="J2750">
        <v>44787</v>
      </c>
    </row>
    <row r="2751" spans="1:10" x14ac:dyDescent="0.35">
      <c r="A2751" s="2">
        <v>44782</v>
      </c>
      <c r="B2751" s="3">
        <v>0.62233796296296295</v>
      </c>
      <c r="C2751">
        <v>6862</v>
      </c>
      <c r="D2751" t="str">
        <f>VLOOKUP(H2751,Produkt!$A$2:$B$5,2,FALSE)</f>
        <v>A</v>
      </c>
      <c r="H2751">
        <v>1</v>
      </c>
      <c r="I2751">
        <v>0.59833333333333327</v>
      </c>
      <c r="J2751">
        <v>44794</v>
      </c>
    </row>
    <row r="2752" spans="1:10" x14ac:dyDescent="0.35">
      <c r="A2752" s="2">
        <v>44782</v>
      </c>
      <c r="B2752" s="3">
        <v>2.3240740740740742E-2</v>
      </c>
      <c r="C2752">
        <v>6879</v>
      </c>
      <c r="D2752" t="str">
        <f>VLOOKUP(H2752,Produkt!$A$2:$B$5,2,FALSE)</f>
        <v>B</v>
      </c>
      <c r="H2752">
        <v>2</v>
      </c>
      <c r="I2752">
        <v>0.2388888888888889</v>
      </c>
      <c r="J2752">
        <v>44776</v>
      </c>
    </row>
    <row r="2753" spans="1:10" x14ac:dyDescent="0.35">
      <c r="A2753" s="2">
        <v>44782</v>
      </c>
      <c r="B2753" s="3">
        <v>8.0798611111111113E-2</v>
      </c>
      <c r="C2753">
        <v>6883</v>
      </c>
      <c r="D2753" t="str">
        <f>VLOOKUP(H2753,Produkt!$A$2:$B$5,2,FALSE)</f>
        <v>D</v>
      </c>
      <c r="H2753">
        <v>4</v>
      </c>
      <c r="I2753">
        <v>0.31900462962962961</v>
      </c>
      <c r="J2753">
        <v>44798</v>
      </c>
    </row>
    <row r="2754" spans="1:10" x14ac:dyDescent="0.35">
      <c r="A2754" s="2">
        <v>44782</v>
      </c>
      <c r="B2754" s="3">
        <v>0.59483796296296299</v>
      </c>
      <c r="C2754">
        <v>6910</v>
      </c>
      <c r="D2754" t="str">
        <f>VLOOKUP(H2754,Produkt!$A$2:$B$5,2,FALSE)</f>
        <v>C</v>
      </c>
      <c r="H2754">
        <v>3</v>
      </c>
      <c r="I2754">
        <v>0.48104166666666665</v>
      </c>
      <c r="J2754">
        <v>44784</v>
      </c>
    </row>
    <row r="2755" spans="1:10" x14ac:dyDescent="0.35">
      <c r="A2755" s="2">
        <v>44782</v>
      </c>
      <c r="B2755" s="3">
        <v>0.8335069444444444</v>
      </c>
      <c r="C2755">
        <v>6922</v>
      </c>
      <c r="D2755" t="str">
        <f>VLOOKUP(H2755,Produkt!$A$2:$B$5,2,FALSE)</f>
        <v>A</v>
      </c>
      <c r="H2755">
        <v>1</v>
      </c>
      <c r="I2755">
        <v>0.61312500000000003</v>
      </c>
      <c r="J2755">
        <v>44786</v>
      </c>
    </row>
    <row r="2756" spans="1:10" x14ac:dyDescent="0.35">
      <c r="A2756" s="2">
        <v>44782</v>
      </c>
      <c r="B2756" s="3">
        <v>0.798761574074074</v>
      </c>
      <c r="C2756">
        <v>6932</v>
      </c>
      <c r="D2756" t="str">
        <f>VLOOKUP(H2756,Produkt!$A$2:$B$5,2,FALSE)</f>
        <v>D</v>
      </c>
      <c r="H2756">
        <v>4</v>
      </c>
      <c r="I2756">
        <v>0.94791666666666663</v>
      </c>
      <c r="J2756">
        <v>44798</v>
      </c>
    </row>
    <row r="2757" spans="1:10" x14ac:dyDescent="0.35">
      <c r="A2757" s="2">
        <v>44782</v>
      </c>
      <c r="B2757" s="3">
        <v>0.51288194444444446</v>
      </c>
      <c r="C2757">
        <v>6968</v>
      </c>
      <c r="D2757" t="str">
        <f>VLOOKUP(H2757,Produkt!$A$2:$B$5,2,FALSE)</f>
        <v>A</v>
      </c>
      <c r="H2757">
        <v>1</v>
      </c>
      <c r="I2757">
        <v>0.51096064814814812</v>
      </c>
      <c r="J2757">
        <v>44778</v>
      </c>
    </row>
    <row r="2758" spans="1:10" x14ac:dyDescent="0.35">
      <c r="A2758" s="2">
        <v>44782</v>
      </c>
      <c r="B2758" s="3">
        <v>9.734953703703704E-2</v>
      </c>
      <c r="C2758">
        <v>7059</v>
      </c>
      <c r="D2758" t="str">
        <f>VLOOKUP(H2758,Produkt!$A$2:$B$5,2,FALSE)</f>
        <v>D</v>
      </c>
      <c r="H2758">
        <v>4</v>
      </c>
      <c r="I2758">
        <v>0.361875</v>
      </c>
      <c r="J2758">
        <v>44782</v>
      </c>
    </row>
    <row r="2759" spans="1:10" x14ac:dyDescent="0.35">
      <c r="A2759" s="2">
        <v>44782</v>
      </c>
      <c r="B2759" s="3">
        <v>0.86512731481481486</v>
      </c>
      <c r="C2759">
        <v>7089</v>
      </c>
      <c r="D2759" t="str">
        <f>VLOOKUP(H2759,Produkt!$A$2:$B$5,2,FALSE)</f>
        <v>D</v>
      </c>
      <c r="H2759">
        <v>4</v>
      </c>
      <c r="I2759">
        <v>0.93457175925925917</v>
      </c>
      <c r="J2759">
        <v>44794</v>
      </c>
    </row>
    <row r="2760" spans="1:10" x14ac:dyDescent="0.35">
      <c r="A2760" s="2">
        <v>44782</v>
      </c>
      <c r="B2760" s="3">
        <v>4.2268518518518518E-2</v>
      </c>
      <c r="C2760">
        <v>7109</v>
      </c>
      <c r="D2760" t="str">
        <f>VLOOKUP(H2760,Produkt!$A$2:$B$5,2,FALSE)</f>
        <v>A</v>
      </c>
      <c r="H2760">
        <v>1</v>
      </c>
      <c r="I2760">
        <v>0.73193287037037036</v>
      </c>
      <c r="J2760">
        <v>44799</v>
      </c>
    </row>
    <row r="2761" spans="1:10" x14ac:dyDescent="0.35">
      <c r="A2761" s="2">
        <v>44782</v>
      </c>
      <c r="B2761" s="3">
        <v>0.41708333333333331</v>
      </c>
      <c r="C2761">
        <v>7191</v>
      </c>
      <c r="D2761" t="str">
        <f>VLOOKUP(H2761,Produkt!$A$2:$B$5,2,FALSE)</f>
        <v>C</v>
      </c>
      <c r="H2761">
        <v>3</v>
      </c>
      <c r="I2761">
        <v>5.1666666666666666E-2</v>
      </c>
      <c r="J2761">
        <v>44777</v>
      </c>
    </row>
    <row r="2762" spans="1:10" x14ac:dyDescent="0.35">
      <c r="A2762" s="2">
        <v>44782</v>
      </c>
      <c r="B2762" s="3">
        <v>0.86657407407407405</v>
      </c>
      <c r="C2762">
        <v>7217</v>
      </c>
      <c r="D2762" t="str">
        <f>VLOOKUP(H2762,Produkt!$A$2:$B$5,2,FALSE)</f>
        <v>C</v>
      </c>
      <c r="H2762">
        <v>3</v>
      </c>
      <c r="I2762">
        <v>0.3682407407407407</v>
      </c>
      <c r="J2762">
        <v>44803</v>
      </c>
    </row>
    <row r="2763" spans="1:10" x14ac:dyDescent="0.35">
      <c r="A2763" s="2">
        <v>44782</v>
      </c>
      <c r="B2763" s="3">
        <v>0.9170949074074074</v>
      </c>
      <c r="C2763">
        <v>7238</v>
      </c>
      <c r="D2763" t="str">
        <f>VLOOKUP(H2763,Produkt!$A$2:$B$5,2,FALSE)</f>
        <v>A</v>
      </c>
      <c r="H2763">
        <v>1</v>
      </c>
      <c r="I2763">
        <v>0.48185185185185181</v>
      </c>
      <c r="J2763">
        <v>44787</v>
      </c>
    </row>
    <row r="2764" spans="1:10" x14ac:dyDescent="0.35">
      <c r="A2764" s="2">
        <v>44782</v>
      </c>
      <c r="B2764" s="3">
        <v>2.0370370370370373E-3</v>
      </c>
      <c r="C2764">
        <v>7252</v>
      </c>
      <c r="D2764" t="str">
        <f>VLOOKUP(H2764,Produkt!$A$2:$B$5,2,FALSE)</f>
        <v>A</v>
      </c>
      <c r="H2764">
        <v>1</v>
      </c>
      <c r="I2764">
        <v>0.18614583333333334</v>
      </c>
      <c r="J2764">
        <v>44785</v>
      </c>
    </row>
    <row r="2765" spans="1:10" x14ac:dyDescent="0.35">
      <c r="A2765" s="2">
        <v>44782</v>
      </c>
      <c r="B2765" s="3">
        <v>1.8321759259259274E-2</v>
      </c>
      <c r="C2765">
        <v>7283</v>
      </c>
      <c r="D2765" t="str">
        <f>VLOOKUP(H2765,Produkt!$A$2:$B$5,2,FALSE)</f>
        <v>C</v>
      </c>
      <c r="H2765">
        <v>3</v>
      </c>
      <c r="I2765">
        <v>3.7719907407407272E-2</v>
      </c>
      <c r="J2765">
        <v>44782</v>
      </c>
    </row>
    <row r="2766" spans="1:10" x14ac:dyDescent="0.35">
      <c r="A2766" s="2">
        <v>44782</v>
      </c>
      <c r="B2766" s="3">
        <v>0.15902777777777777</v>
      </c>
      <c r="C2766">
        <v>7286</v>
      </c>
      <c r="D2766" t="str">
        <f>VLOOKUP(H2766,Produkt!$A$2:$B$5,2,FALSE)</f>
        <v>B</v>
      </c>
      <c r="H2766">
        <v>2</v>
      </c>
      <c r="I2766">
        <v>4.3321759259259261E-2</v>
      </c>
      <c r="J2766">
        <v>44799</v>
      </c>
    </row>
    <row r="2767" spans="1:10" x14ac:dyDescent="0.35">
      <c r="A2767" s="2">
        <v>44782</v>
      </c>
      <c r="B2767" s="3">
        <v>0.37218749999999995</v>
      </c>
      <c r="C2767">
        <v>7331</v>
      </c>
      <c r="D2767" t="str">
        <f>VLOOKUP(H2767,Produkt!$A$2:$B$5,2,FALSE)</f>
        <v>A</v>
      </c>
      <c r="H2767">
        <v>1</v>
      </c>
      <c r="I2767">
        <v>0.96704861111111118</v>
      </c>
      <c r="J2767">
        <v>44789</v>
      </c>
    </row>
    <row r="2768" spans="1:10" x14ac:dyDescent="0.35">
      <c r="A2768" s="2">
        <v>44782</v>
      </c>
      <c r="B2768" s="3">
        <v>0.93677083333333344</v>
      </c>
      <c r="C2768">
        <v>7406</v>
      </c>
      <c r="D2768" t="str">
        <f>VLOOKUP(H2768,Produkt!$A$2:$B$5,2,FALSE)</f>
        <v>B</v>
      </c>
      <c r="H2768">
        <v>2</v>
      </c>
      <c r="I2768">
        <v>0.77478009259259262</v>
      </c>
      <c r="J2768">
        <v>44774</v>
      </c>
    </row>
    <row r="2769" spans="1:10" x14ac:dyDescent="0.35">
      <c r="A2769" s="2">
        <v>44782</v>
      </c>
      <c r="B2769" s="3">
        <v>0.99335648148148137</v>
      </c>
      <c r="C2769">
        <v>7418</v>
      </c>
      <c r="D2769" t="str">
        <f>VLOOKUP(H2769,Produkt!$A$2:$B$5,2,FALSE)</f>
        <v>A</v>
      </c>
      <c r="H2769">
        <v>1</v>
      </c>
      <c r="I2769">
        <v>0.89986111111111111</v>
      </c>
      <c r="J2769">
        <v>44779</v>
      </c>
    </row>
    <row r="2770" spans="1:10" x14ac:dyDescent="0.35">
      <c r="A2770" s="2">
        <v>44782</v>
      </c>
      <c r="B2770" s="3">
        <v>0.30459490740740741</v>
      </c>
      <c r="C2770">
        <v>7433</v>
      </c>
      <c r="D2770" t="str">
        <f>VLOOKUP(H2770,Produkt!$A$2:$B$5,2,FALSE)</f>
        <v>B</v>
      </c>
      <c r="H2770">
        <v>2</v>
      </c>
      <c r="I2770">
        <v>0.83685185185185185</v>
      </c>
      <c r="J2770">
        <v>44777</v>
      </c>
    </row>
    <row r="2771" spans="1:10" x14ac:dyDescent="0.35">
      <c r="A2771" s="2">
        <v>44782</v>
      </c>
      <c r="B2771" s="3">
        <v>0.53059027777777779</v>
      </c>
      <c r="C2771">
        <v>7434</v>
      </c>
      <c r="D2771" t="str">
        <f>VLOOKUP(H2771,Produkt!$A$2:$B$5,2,FALSE)</f>
        <v>D</v>
      </c>
      <c r="H2771">
        <v>4</v>
      </c>
      <c r="I2771">
        <v>0.17200231481481479</v>
      </c>
      <c r="J2771">
        <v>44783</v>
      </c>
    </row>
    <row r="2772" spans="1:10" x14ac:dyDescent="0.35">
      <c r="A2772" s="2">
        <v>44782</v>
      </c>
      <c r="B2772" s="3">
        <v>0.50784722222222223</v>
      </c>
      <c r="C2772">
        <v>7459</v>
      </c>
      <c r="D2772" t="str">
        <f>VLOOKUP(H2772,Produkt!$A$2:$B$5,2,FALSE)</f>
        <v>A</v>
      </c>
      <c r="H2772">
        <v>1</v>
      </c>
      <c r="I2772">
        <v>0.45768518518518514</v>
      </c>
      <c r="J2772">
        <v>44804</v>
      </c>
    </row>
    <row r="2773" spans="1:10" x14ac:dyDescent="0.35">
      <c r="A2773" s="2">
        <v>44782</v>
      </c>
      <c r="B2773" s="3">
        <v>0.16724537037037038</v>
      </c>
      <c r="C2773">
        <v>7477</v>
      </c>
      <c r="D2773" t="str">
        <f>VLOOKUP(H2773,Produkt!$A$2:$B$5,2,FALSE)</f>
        <v>C</v>
      </c>
      <c r="H2773">
        <v>3</v>
      </c>
      <c r="I2773">
        <v>0.46834490740740736</v>
      </c>
      <c r="J2773">
        <v>44787</v>
      </c>
    </row>
    <row r="2774" spans="1:10" x14ac:dyDescent="0.35">
      <c r="A2774" s="2">
        <v>44782</v>
      </c>
      <c r="B2774" s="3">
        <v>0.78342592592592597</v>
      </c>
      <c r="C2774">
        <v>7512</v>
      </c>
      <c r="D2774" t="str">
        <f>VLOOKUP(H2774,Produkt!$A$2:$B$5,2,FALSE)</f>
        <v>B</v>
      </c>
      <c r="H2774">
        <v>2</v>
      </c>
      <c r="I2774">
        <v>0.93983796296296296</v>
      </c>
      <c r="J2774">
        <v>44784</v>
      </c>
    </row>
    <row r="2775" spans="1:10" x14ac:dyDescent="0.35">
      <c r="A2775" s="2">
        <v>44782</v>
      </c>
      <c r="B2775" s="3">
        <v>0.3580787037037037</v>
      </c>
      <c r="C2775">
        <v>7558</v>
      </c>
      <c r="D2775" t="str">
        <f>VLOOKUP(H2775,Produkt!$A$2:$B$5,2,FALSE)</f>
        <v>A</v>
      </c>
      <c r="H2775">
        <v>1</v>
      </c>
      <c r="I2775">
        <v>0.69446759259259261</v>
      </c>
      <c r="J2775">
        <v>44797</v>
      </c>
    </row>
    <row r="2776" spans="1:10" x14ac:dyDescent="0.35">
      <c r="A2776" s="2">
        <v>44782</v>
      </c>
      <c r="B2776" s="3">
        <v>0.13946759259259259</v>
      </c>
      <c r="C2776">
        <v>7562</v>
      </c>
      <c r="D2776" t="str">
        <f>VLOOKUP(H2776,Produkt!$A$2:$B$5,2,FALSE)</f>
        <v>B</v>
      </c>
      <c r="H2776">
        <v>2</v>
      </c>
      <c r="I2776">
        <v>0.97108796296296296</v>
      </c>
      <c r="J2776">
        <v>44796</v>
      </c>
    </row>
    <row r="2777" spans="1:10" x14ac:dyDescent="0.35">
      <c r="A2777" s="2">
        <v>44782</v>
      </c>
      <c r="B2777" s="3">
        <v>2.9398148148148148E-3</v>
      </c>
      <c r="C2777">
        <v>7579</v>
      </c>
      <c r="D2777" t="str">
        <f>VLOOKUP(H2777,Produkt!$A$2:$B$5,2,FALSE)</f>
        <v>B</v>
      </c>
      <c r="H2777">
        <v>2</v>
      </c>
      <c r="I2777">
        <v>6.2905092592592596E-2</v>
      </c>
      <c r="J2777">
        <v>44798</v>
      </c>
    </row>
    <row r="2778" spans="1:10" x14ac:dyDescent="0.35">
      <c r="A2778" s="2">
        <v>44782</v>
      </c>
      <c r="B2778" s="3">
        <v>9.7164351851851849E-2</v>
      </c>
      <c r="C2778">
        <v>7601</v>
      </c>
      <c r="D2778" t="str">
        <f>VLOOKUP(H2778,Produkt!$A$2:$B$5,2,FALSE)</f>
        <v>D</v>
      </c>
      <c r="H2778">
        <v>4</v>
      </c>
      <c r="I2778">
        <v>0.9359143518518519</v>
      </c>
      <c r="J2778">
        <v>44788</v>
      </c>
    </row>
    <row r="2779" spans="1:10" x14ac:dyDescent="0.35">
      <c r="A2779" s="2">
        <v>44782</v>
      </c>
      <c r="B2779" s="3">
        <v>0.32613425925925926</v>
      </c>
      <c r="C2779">
        <v>7606</v>
      </c>
      <c r="D2779" t="str">
        <f>VLOOKUP(H2779,Produkt!$A$2:$B$5,2,FALSE)</f>
        <v>C</v>
      </c>
      <c r="H2779">
        <v>3</v>
      </c>
      <c r="I2779">
        <v>0.85740740740740751</v>
      </c>
      <c r="J2779">
        <v>44794</v>
      </c>
    </row>
    <row r="2780" spans="1:10" x14ac:dyDescent="0.35">
      <c r="A2780" s="2">
        <v>44782</v>
      </c>
      <c r="B2780" s="3">
        <v>0.89645833333333336</v>
      </c>
      <c r="C2780">
        <v>7610</v>
      </c>
      <c r="D2780" t="str">
        <f>VLOOKUP(H2780,Produkt!$A$2:$B$5,2,FALSE)</f>
        <v>A</v>
      </c>
      <c r="H2780">
        <v>1</v>
      </c>
      <c r="I2780">
        <v>0.42011574074074076</v>
      </c>
      <c r="J2780">
        <v>44788</v>
      </c>
    </row>
    <row r="2781" spans="1:10" x14ac:dyDescent="0.35">
      <c r="A2781" s="2">
        <v>44782</v>
      </c>
      <c r="B2781" s="3">
        <v>0.25179398148148147</v>
      </c>
      <c r="C2781">
        <v>7615</v>
      </c>
      <c r="D2781" t="str">
        <f>VLOOKUP(H2781,Produkt!$A$2:$B$5,2,FALSE)</f>
        <v>D</v>
      </c>
      <c r="H2781">
        <v>4</v>
      </c>
      <c r="I2781">
        <v>0.85127314814814825</v>
      </c>
      <c r="J2781">
        <v>44795</v>
      </c>
    </row>
    <row r="2782" spans="1:10" x14ac:dyDescent="0.35">
      <c r="A2782" s="2">
        <v>44782</v>
      </c>
      <c r="B2782" s="3">
        <v>0.92355324074074074</v>
      </c>
      <c r="C2782">
        <v>7650</v>
      </c>
      <c r="D2782" t="str">
        <f>VLOOKUP(H2782,Produkt!$A$2:$B$5,2,FALSE)</f>
        <v>D</v>
      </c>
      <c r="H2782">
        <v>4</v>
      </c>
      <c r="I2782">
        <v>0.28628472222222223</v>
      </c>
      <c r="J2782">
        <v>44781</v>
      </c>
    </row>
    <row r="2783" spans="1:10" x14ac:dyDescent="0.35">
      <c r="A2783" s="2">
        <v>44782</v>
      </c>
      <c r="B2783" s="3">
        <v>0.5154050925925926</v>
      </c>
      <c r="C2783">
        <v>7741</v>
      </c>
      <c r="D2783" t="str">
        <f>VLOOKUP(H2783,Produkt!$A$2:$B$5,2,FALSE)</f>
        <v>A</v>
      </c>
      <c r="H2783">
        <v>1</v>
      </c>
      <c r="I2783">
        <v>0.92482638888888891</v>
      </c>
      <c r="J2783">
        <v>44798</v>
      </c>
    </row>
    <row r="2784" spans="1:10" x14ac:dyDescent="0.35">
      <c r="A2784" s="2">
        <v>44782</v>
      </c>
      <c r="B2784" s="3">
        <v>0.58178240740740739</v>
      </c>
      <c r="C2784">
        <v>7744</v>
      </c>
      <c r="D2784" t="str">
        <f>VLOOKUP(H2784,Produkt!$A$2:$B$5,2,FALSE)</f>
        <v>D</v>
      </c>
      <c r="H2784">
        <v>4</v>
      </c>
      <c r="I2784">
        <v>0.42730324074074072</v>
      </c>
      <c r="J2784">
        <v>44782</v>
      </c>
    </row>
    <row r="2785" spans="1:10" x14ac:dyDescent="0.35">
      <c r="A2785" s="2">
        <v>44782</v>
      </c>
      <c r="B2785" s="3">
        <v>0.11538194444444444</v>
      </c>
      <c r="C2785">
        <v>7795</v>
      </c>
      <c r="D2785" t="str">
        <f>VLOOKUP(H2785,Produkt!$A$2:$B$5,2,FALSE)</f>
        <v>C</v>
      </c>
      <c r="H2785">
        <v>3</v>
      </c>
      <c r="I2785">
        <v>7.8703703703704164E-3</v>
      </c>
      <c r="J2785">
        <v>44786</v>
      </c>
    </row>
    <row r="2786" spans="1:10" x14ac:dyDescent="0.35">
      <c r="A2786" s="2">
        <v>44782</v>
      </c>
      <c r="B2786" s="3">
        <v>0.25620370370370371</v>
      </c>
      <c r="C2786">
        <v>7809</v>
      </c>
      <c r="D2786" t="str">
        <f>VLOOKUP(H2786,Produkt!$A$2:$B$5,2,FALSE)</f>
        <v>D</v>
      </c>
      <c r="H2786">
        <v>4</v>
      </c>
      <c r="I2786">
        <v>0.4850694444444445</v>
      </c>
      <c r="J2786">
        <v>44779</v>
      </c>
    </row>
    <row r="2787" spans="1:10" x14ac:dyDescent="0.35">
      <c r="A2787" s="2">
        <v>44782</v>
      </c>
      <c r="B2787" s="3">
        <v>0.1673611111111111</v>
      </c>
      <c r="C2787">
        <v>7878</v>
      </c>
      <c r="D2787" t="str">
        <f>VLOOKUP(H2787,Produkt!$A$2:$B$5,2,FALSE)</f>
        <v>D</v>
      </c>
      <c r="H2787">
        <v>4</v>
      </c>
      <c r="I2787">
        <v>0.74998842592592585</v>
      </c>
      <c r="J2787">
        <v>44789</v>
      </c>
    </row>
    <row r="2788" spans="1:10" x14ac:dyDescent="0.35">
      <c r="A2788" s="2">
        <v>44782</v>
      </c>
      <c r="B2788" s="3">
        <v>0.99898148148148147</v>
      </c>
      <c r="C2788">
        <v>7886</v>
      </c>
      <c r="D2788" t="str">
        <f>VLOOKUP(H2788,Produkt!$A$2:$B$5,2,FALSE)</f>
        <v>A</v>
      </c>
      <c r="H2788">
        <v>1</v>
      </c>
      <c r="I2788">
        <v>0.22238425925925928</v>
      </c>
      <c r="J2788">
        <v>44778</v>
      </c>
    </row>
    <row r="2789" spans="1:10" x14ac:dyDescent="0.35">
      <c r="A2789" s="2">
        <v>44782</v>
      </c>
      <c r="B2789" s="3">
        <v>0.42159722222222223</v>
      </c>
      <c r="C2789">
        <v>8003</v>
      </c>
      <c r="D2789" t="str">
        <f>VLOOKUP(H2789,Produkt!$A$2:$B$5,2,FALSE)</f>
        <v>D</v>
      </c>
      <c r="H2789">
        <v>4</v>
      </c>
      <c r="I2789">
        <v>0.57084490740740745</v>
      </c>
      <c r="J2789">
        <v>44800</v>
      </c>
    </row>
    <row r="2790" spans="1:10" x14ac:dyDescent="0.35">
      <c r="A2790" s="2">
        <v>44782</v>
      </c>
      <c r="B2790" s="3">
        <v>3.9293981481481485E-2</v>
      </c>
      <c r="C2790">
        <v>8082</v>
      </c>
      <c r="D2790" t="str">
        <f>VLOOKUP(H2790,Produkt!$A$2:$B$5,2,FALSE)</f>
        <v>A</v>
      </c>
      <c r="H2790">
        <v>1</v>
      </c>
      <c r="I2790">
        <v>0.65849537037037031</v>
      </c>
      <c r="J2790">
        <v>44796</v>
      </c>
    </row>
    <row r="2791" spans="1:10" x14ac:dyDescent="0.35">
      <c r="A2791" s="2">
        <v>44782</v>
      </c>
      <c r="B2791" s="3">
        <v>0.31656250000000002</v>
      </c>
      <c r="C2791">
        <v>8084</v>
      </c>
      <c r="D2791" t="str">
        <f>VLOOKUP(H2791,Produkt!$A$2:$B$5,2,FALSE)</f>
        <v>D</v>
      </c>
      <c r="H2791">
        <v>4</v>
      </c>
      <c r="I2791">
        <v>0.8283449074074074</v>
      </c>
      <c r="J2791">
        <v>44781</v>
      </c>
    </row>
    <row r="2792" spans="1:10" x14ac:dyDescent="0.35">
      <c r="A2792" s="2">
        <v>44782</v>
      </c>
      <c r="B2792" s="3">
        <v>0.18674768518518517</v>
      </c>
      <c r="C2792">
        <v>8123</v>
      </c>
      <c r="D2792" t="str">
        <f>VLOOKUP(H2792,Produkt!$A$2:$B$5,2,FALSE)</f>
        <v>D</v>
      </c>
      <c r="H2792">
        <v>4</v>
      </c>
      <c r="I2792">
        <v>0.67646990740740742</v>
      </c>
      <c r="J2792">
        <v>44802</v>
      </c>
    </row>
    <row r="2793" spans="1:10" x14ac:dyDescent="0.35">
      <c r="A2793" s="2">
        <v>44782</v>
      </c>
      <c r="B2793" s="3">
        <v>0.56237268518518524</v>
      </c>
      <c r="C2793">
        <v>8128</v>
      </c>
      <c r="D2793" t="str">
        <f>VLOOKUP(H2793,Produkt!$A$2:$B$5,2,FALSE)</f>
        <v>A</v>
      </c>
      <c r="H2793">
        <v>1</v>
      </c>
      <c r="I2793">
        <v>0.39565972222222223</v>
      </c>
      <c r="J2793">
        <v>44784</v>
      </c>
    </row>
    <row r="2794" spans="1:10" x14ac:dyDescent="0.35">
      <c r="A2794" s="2">
        <v>44782</v>
      </c>
      <c r="B2794" s="3">
        <v>0.88666666666666671</v>
      </c>
      <c r="C2794">
        <v>8202</v>
      </c>
      <c r="D2794" t="str">
        <f>VLOOKUP(H2794,Produkt!$A$2:$B$5,2,FALSE)</f>
        <v>C</v>
      </c>
      <c r="H2794">
        <v>3</v>
      </c>
      <c r="I2794">
        <v>0.73306712962962972</v>
      </c>
      <c r="J2794">
        <v>44796</v>
      </c>
    </row>
    <row r="2795" spans="1:10" x14ac:dyDescent="0.35">
      <c r="A2795" s="2">
        <v>44782</v>
      </c>
      <c r="B2795" s="3">
        <v>0.55228009259259259</v>
      </c>
      <c r="C2795">
        <v>8208</v>
      </c>
      <c r="D2795" t="str">
        <f>VLOOKUP(H2795,Produkt!$A$2:$B$5,2,FALSE)</f>
        <v>B</v>
      </c>
      <c r="H2795">
        <v>2</v>
      </c>
      <c r="I2795">
        <v>0.17880787037037038</v>
      </c>
      <c r="J2795">
        <v>44782</v>
      </c>
    </row>
    <row r="2796" spans="1:10" x14ac:dyDescent="0.35">
      <c r="A2796" s="2">
        <v>44782</v>
      </c>
      <c r="B2796" s="3">
        <v>0.44966435185185188</v>
      </c>
      <c r="C2796">
        <v>8280</v>
      </c>
      <c r="D2796" t="str">
        <f>VLOOKUP(H2796,Produkt!$A$2:$B$5,2,FALSE)</f>
        <v>C</v>
      </c>
      <c r="H2796">
        <v>3</v>
      </c>
      <c r="I2796">
        <v>2.6759259259259371E-2</v>
      </c>
      <c r="J2796">
        <v>44801</v>
      </c>
    </row>
    <row r="2797" spans="1:10" x14ac:dyDescent="0.35">
      <c r="A2797" s="2">
        <v>44782</v>
      </c>
      <c r="B2797" s="3">
        <v>3.5254629629629664E-2</v>
      </c>
      <c r="C2797">
        <v>8346</v>
      </c>
      <c r="D2797" t="str">
        <f>VLOOKUP(H2797,Produkt!$A$2:$B$5,2,FALSE)</f>
        <v>B</v>
      </c>
      <c r="H2797">
        <v>2</v>
      </c>
      <c r="I2797">
        <v>0.47974537037037041</v>
      </c>
      <c r="J2797">
        <v>44779</v>
      </c>
    </row>
    <row r="2798" spans="1:10" x14ac:dyDescent="0.35">
      <c r="A2798" s="2">
        <v>44782</v>
      </c>
      <c r="B2798" s="3">
        <v>0.12373842592592592</v>
      </c>
      <c r="C2798">
        <v>8371</v>
      </c>
      <c r="D2798" t="str">
        <f>VLOOKUP(H2798,Produkt!$A$2:$B$5,2,FALSE)</f>
        <v>C</v>
      </c>
      <c r="H2798">
        <v>3</v>
      </c>
      <c r="I2798">
        <v>0.38633101851851853</v>
      </c>
      <c r="J2798">
        <v>44785</v>
      </c>
    </row>
    <row r="2799" spans="1:10" x14ac:dyDescent="0.35">
      <c r="A2799" s="2">
        <v>44782</v>
      </c>
      <c r="B2799" s="3">
        <v>4.7962962962962964E-2</v>
      </c>
      <c r="C2799">
        <v>8415</v>
      </c>
      <c r="D2799" t="str">
        <f>VLOOKUP(H2799,Produkt!$A$2:$B$5,2,FALSE)</f>
        <v>C</v>
      </c>
      <c r="H2799">
        <v>3</v>
      </c>
      <c r="I2799">
        <v>0.56353009259259257</v>
      </c>
      <c r="J2799">
        <v>44780</v>
      </c>
    </row>
    <row r="2800" spans="1:10" x14ac:dyDescent="0.35">
      <c r="A2800" s="2">
        <v>44782</v>
      </c>
      <c r="B2800" s="3">
        <v>0.8692939814814814</v>
      </c>
      <c r="C2800">
        <v>8421</v>
      </c>
      <c r="D2800" t="str">
        <f>VLOOKUP(H2800,Produkt!$A$2:$B$5,2,FALSE)</f>
        <v>A</v>
      </c>
      <c r="H2800">
        <v>1</v>
      </c>
      <c r="I2800">
        <v>0.18425925925925926</v>
      </c>
      <c r="J2800">
        <v>44782</v>
      </c>
    </row>
    <row r="2801" spans="1:10" x14ac:dyDescent="0.35">
      <c r="A2801" s="2">
        <v>44782</v>
      </c>
      <c r="B2801" s="3">
        <v>7.9166666666666663E-2</v>
      </c>
      <c r="C2801">
        <v>8442</v>
      </c>
      <c r="D2801" t="str">
        <f>VLOOKUP(H2801,Produkt!$A$2:$B$5,2,FALSE)</f>
        <v>A</v>
      </c>
      <c r="H2801">
        <v>1</v>
      </c>
      <c r="I2801">
        <v>0.76956018518518521</v>
      </c>
      <c r="J2801">
        <v>44781</v>
      </c>
    </row>
    <row r="2802" spans="1:10" x14ac:dyDescent="0.35">
      <c r="A2802" s="2">
        <v>44782</v>
      </c>
      <c r="B2802" s="3">
        <v>0.35813657407407407</v>
      </c>
      <c r="C2802">
        <v>8520</v>
      </c>
      <c r="D2802" t="str">
        <f>VLOOKUP(H2802,Produkt!$A$2:$B$5,2,FALSE)</f>
        <v>A</v>
      </c>
      <c r="H2802">
        <v>1</v>
      </c>
      <c r="I2802">
        <v>9.5833333333332771E-3</v>
      </c>
      <c r="J2802">
        <v>44777</v>
      </c>
    </row>
    <row r="2803" spans="1:10" x14ac:dyDescent="0.35">
      <c r="A2803" s="2">
        <v>44782</v>
      </c>
      <c r="B2803" s="3">
        <v>0.88261574074074067</v>
      </c>
      <c r="C2803">
        <v>8532</v>
      </c>
      <c r="D2803" t="str">
        <f>VLOOKUP(H2803,Produkt!$A$2:$B$5,2,FALSE)</f>
        <v>A</v>
      </c>
      <c r="H2803">
        <v>1</v>
      </c>
      <c r="I2803">
        <v>0.75583333333333336</v>
      </c>
      <c r="J2803">
        <v>44774</v>
      </c>
    </row>
    <row r="2804" spans="1:10" x14ac:dyDescent="0.35">
      <c r="A2804" s="2">
        <v>44782</v>
      </c>
      <c r="B2804" s="3">
        <v>0.64260416666666664</v>
      </c>
      <c r="C2804">
        <v>8567</v>
      </c>
      <c r="D2804" t="str">
        <f>VLOOKUP(H2804,Produkt!$A$2:$B$5,2,FALSE)</f>
        <v>A</v>
      </c>
      <c r="H2804">
        <v>1</v>
      </c>
      <c r="I2804">
        <v>0.3979166666666667</v>
      </c>
      <c r="J2804">
        <v>44780</v>
      </c>
    </row>
    <row r="2805" spans="1:10" x14ac:dyDescent="0.35">
      <c r="A2805" s="2">
        <v>44782</v>
      </c>
      <c r="B2805" s="3">
        <v>7.946759259259259E-2</v>
      </c>
      <c r="C2805">
        <v>8578</v>
      </c>
      <c r="D2805" t="str">
        <f>VLOOKUP(H2805,Produkt!$A$2:$B$5,2,FALSE)</f>
        <v>D</v>
      </c>
      <c r="H2805">
        <v>4</v>
      </c>
      <c r="I2805">
        <v>0.86989583333333342</v>
      </c>
      <c r="J2805">
        <v>44788</v>
      </c>
    </row>
    <row r="2806" spans="1:10" x14ac:dyDescent="0.35">
      <c r="A2806" s="2">
        <v>44782</v>
      </c>
      <c r="B2806" s="3">
        <v>0.89553240740740747</v>
      </c>
      <c r="C2806">
        <v>8611</v>
      </c>
      <c r="D2806" t="str">
        <f>VLOOKUP(H2806,Produkt!$A$2:$B$5,2,FALSE)</f>
        <v>D</v>
      </c>
      <c r="H2806">
        <v>4</v>
      </c>
      <c r="I2806">
        <v>0.42460648148148145</v>
      </c>
      <c r="J2806">
        <v>44802</v>
      </c>
    </row>
    <row r="2807" spans="1:10" x14ac:dyDescent="0.35">
      <c r="A2807" s="2">
        <v>44782</v>
      </c>
      <c r="B2807" s="3">
        <v>0.67097222222222219</v>
      </c>
      <c r="C2807">
        <v>8635</v>
      </c>
      <c r="D2807" t="str">
        <f>VLOOKUP(H2807,Produkt!$A$2:$B$5,2,FALSE)</f>
        <v>A</v>
      </c>
      <c r="H2807">
        <v>1</v>
      </c>
      <c r="I2807">
        <v>0.1965625</v>
      </c>
      <c r="J2807">
        <v>44795</v>
      </c>
    </row>
    <row r="2808" spans="1:10" x14ac:dyDescent="0.35">
      <c r="A2808" s="2">
        <v>44782</v>
      </c>
      <c r="B2808" s="3">
        <v>0.39761574074074074</v>
      </c>
      <c r="C2808">
        <v>8774</v>
      </c>
      <c r="D2808" t="str">
        <f>VLOOKUP(H2808,Produkt!$A$2:$B$5,2,FALSE)</f>
        <v>D</v>
      </c>
      <c r="H2808">
        <v>4</v>
      </c>
      <c r="I2808">
        <v>6.7905092592592586E-2</v>
      </c>
      <c r="J2808">
        <v>44802</v>
      </c>
    </row>
    <row r="2809" spans="1:10" x14ac:dyDescent="0.35">
      <c r="A2809" s="2">
        <v>44782</v>
      </c>
      <c r="B2809" s="3">
        <v>0.74219907407407415</v>
      </c>
      <c r="C2809">
        <v>8782</v>
      </c>
      <c r="D2809" t="str">
        <f>VLOOKUP(H2809,Produkt!$A$2:$B$5,2,FALSE)</f>
        <v>D</v>
      </c>
      <c r="H2809">
        <v>4</v>
      </c>
      <c r="I2809">
        <v>0.95837962962962964</v>
      </c>
      <c r="J2809">
        <v>44786</v>
      </c>
    </row>
    <row r="2810" spans="1:10" x14ac:dyDescent="0.35">
      <c r="A2810" s="2">
        <v>44782</v>
      </c>
      <c r="B2810" s="3">
        <v>0.69988425925925923</v>
      </c>
      <c r="C2810">
        <v>8796</v>
      </c>
      <c r="D2810" t="str">
        <f>VLOOKUP(H2810,Produkt!$A$2:$B$5,2,FALSE)</f>
        <v>C</v>
      </c>
      <c r="H2810">
        <v>3</v>
      </c>
      <c r="I2810">
        <v>0.50031250000000005</v>
      </c>
      <c r="J2810">
        <v>44778</v>
      </c>
    </row>
    <row r="2811" spans="1:10" x14ac:dyDescent="0.35">
      <c r="A2811" s="2">
        <v>44782</v>
      </c>
      <c r="B2811" s="3">
        <v>0.73716435185185192</v>
      </c>
      <c r="C2811">
        <v>8807</v>
      </c>
      <c r="D2811" t="str">
        <f>VLOOKUP(H2811,Produkt!$A$2:$B$5,2,FALSE)</f>
        <v>A</v>
      </c>
      <c r="H2811">
        <v>1</v>
      </c>
      <c r="I2811">
        <v>0.10405092592592592</v>
      </c>
      <c r="J2811">
        <v>44797</v>
      </c>
    </row>
    <row r="2812" spans="1:10" x14ac:dyDescent="0.35">
      <c r="A2812" s="2">
        <v>44782</v>
      </c>
      <c r="B2812" s="3">
        <v>0.75482638888888898</v>
      </c>
      <c r="C2812">
        <v>8809</v>
      </c>
      <c r="D2812" t="str">
        <f>VLOOKUP(H2812,Produkt!$A$2:$B$5,2,FALSE)</f>
        <v>A</v>
      </c>
      <c r="H2812">
        <v>1</v>
      </c>
      <c r="I2812">
        <v>0.22715277777777779</v>
      </c>
      <c r="J2812">
        <v>44784</v>
      </c>
    </row>
    <row r="2813" spans="1:10" x14ac:dyDescent="0.35">
      <c r="A2813" s="2">
        <v>44782</v>
      </c>
      <c r="B2813" s="3">
        <v>1.8518518518518517E-3</v>
      </c>
      <c r="C2813">
        <v>8834</v>
      </c>
      <c r="D2813" t="str">
        <f>VLOOKUP(H2813,Produkt!$A$2:$B$5,2,FALSE)</f>
        <v>A</v>
      </c>
      <c r="H2813">
        <v>1</v>
      </c>
      <c r="I2813">
        <v>0.12414351851851851</v>
      </c>
      <c r="J2813">
        <v>44789</v>
      </c>
    </row>
    <row r="2814" spans="1:10" x14ac:dyDescent="0.35">
      <c r="A2814" s="2">
        <v>44782</v>
      </c>
      <c r="B2814" s="3">
        <v>0.60123842592592591</v>
      </c>
      <c r="C2814">
        <v>8857</v>
      </c>
      <c r="D2814" t="str">
        <f>VLOOKUP(H2814,Produkt!$A$2:$B$5,2,FALSE)</f>
        <v>C</v>
      </c>
      <c r="H2814">
        <v>3</v>
      </c>
      <c r="I2814">
        <v>0.21092592592592593</v>
      </c>
      <c r="J2814">
        <v>44798</v>
      </c>
    </row>
    <row r="2815" spans="1:10" x14ac:dyDescent="0.35">
      <c r="A2815" s="2">
        <v>44782</v>
      </c>
      <c r="B2815" s="3">
        <v>0.5510532407407408</v>
      </c>
      <c r="C2815">
        <v>8859</v>
      </c>
      <c r="D2815" t="str">
        <f>VLOOKUP(H2815,Produkt!$A$2:$B$5,2,FALSE)</f>
        <v>C</v>
      </c>
      <c r="H2815">
        <v>3</v>
      </c>
      <c r="I2815">
        <v>0.18717592592592591</v>
      </c>
      <c r="J2815">
        <v>44799</v>
      </c>
    </row>
    <row r="2816" spans="1:10" x14ac:dyDescent="0.35">
      <c r="A2816" s="2">
        <v>44782</v>
      </c>
      <c r="B2816" s="3">
        <v>0.54660879629629633</v>
      </c>
      <c r="C2816">
        <v>8891</v>
      </c>
      <c r="D2816" t="str">
        <f>VLOOKUP(H2816,Produkt!$A$2:$B$5,2,FALSE)</f>
        <v>B</v>
      </c>
      <c r="H2816">
        <v>2</v>
      </c>
      <c r="I2816">
        <v>0.820775462962963</v>
      </c>
      <c r="J2816">
        <v>44796</v>
      </c>
    </row>
    <row r="2817" spans="1:10" x14ac:dyDescent="0.35">
      <c r="A2817" s="2">
        <v>44782</v>
      </c>
      <c r="B2817" s="3">
        <v>5.9953703703703697E-3</v>
      </c>
      <c r="C2817">
        <v>8898</v>
      </c>
      <c r="D2817" t="str">
        <f>VLOOKUP(H2817,Produkt!$A$2:$B$5,2,FALSE)</f>
        <v>B</v>
      </c>
      <c r="H2817">
        <v>2</v>
      </c>
      <c r="I2817">
        <v>0.42913194444444441</v>
      </c>
      <c r="J2817">
        <v>44793</v>
      </c>
    </row>
    <row r="2818" spans="1:10" x14ac:dyDescent="0.35">
      <c r="A2818" s="2">
        <v>44782</v>
      </c>
      <c r="B2818" s="3">
        <v>0.20343750000000002</v>
      </c>
      <c r="C2818">
        <v>8923</v>
      </c>
      <c r="D2818" t="str">
        <f>VLOOKUP(H2818,Produkt!$A$2:$B$5,2,FALSE)</f>
        <v>C</v>
      </c>
      <c r="H2818">
        <v>3</v>
      </c>
      <c r="I2818">
        <v>2.9502314814814815E-2</v>
      </c>
      <c r="J2818">
        <v>44794</v>
      </c>
    </row>
    <row r="2819" spans="1:10" x14ac:dyDescent="0.35">
      <c r="A2819" s="2">
        <v>44782</v>
      </c>
      <c r="B2819" s="3">
        <v>0.46494212962962966</v>
      </c>
      <c r="C2819">
        <v>8931</v>
      </c>
      <c r="D2819" t="str">
        <f>VLOOKUP(H2819,Produkt!$A$2:$B$5,2,FALSE)</f>
        <v>C</v>
      </c>
      <c r="H2819">
        <v>3</v>
      </c>
      <c r="I2819">
        <v>0.2976388888888889</v>
      </c>
      <c r="J2819">
        <v>44792</v>
      </c>
    </row>
    <row r="2820" spans="1:10" x14ac:dyDescent="0.35">
      <c r="A2820" s="2">
        <v>44782</v>
      </c>
      <c r="B2820" s="3">
        <v>0.22504629629629627</v>
      </c>
      <c r="C2820">
        <v>8950</v>
      </c>
      <c r="D2820" t="str">
        <f>VLOOKUP(H2820,Produkt!$A$2:$B$5,2,FALSE)</f>
        <v>B</v>
      </c>
      <c r="H2820">
        <v>2</v>
      </c>
      <c r="I2820">
        <v>0.20062499999999997</v>
      </c>
      <c r="J2820">
        <v>44800</v>
      </c>
    </row>
    <row r="2821" spans="1:10" x14ac:dyDescent="0.35">
      <c r="A2821" s="2">
        <v>44782</v>
      </c>
      <c r="B2821" s="3">
        <v>0.91978009259259252</v>
      </c>
      <c r="C2821">
        <v>9076</v>
      </c>
      <c r="D2821" t="str">
        <f>VLOOKUP(H2821,Produkt!$A$2:$B$5,2,FALSE)</f>
        <v>A</v>
      </c>
      <c r="H2821">
        <v>1</v>
      </c>
      <c r="I2821">
        <v>0.66894675925925917</v>
      </c>
      <c r="J2821">
        <v>44796</v>
      </c>
    </row>
    <row r="2822" spans="1:10" x14ac:dyDescent="0.35">
      <c r="A2822" s="2">
        <v>44782</v>
      </c>
      <c r="B2822" s="3">
        <v>0.86269675925925926</v>
      </c>
      <c r="C2822">
        <v>9103</v>
      </c>
      <c r="D2822" t="str">
        <f>VLOOKUP(H2822,Produkt!$A$2:$B$5,2,FALSE)</f>
        <v>D</v>
      </c>
      <c r="H2822">
        <v>4</v>
      </c>
      <c r="I2822">
        <v>4.2847222222222224E-2</v>
      </c>
      <c r="J2822">
        <v>44784</v>
      </c>
    </row>
    <row r="2823" spans="1:10" x14ac:dyDescent="0.35">
      <c r="A2823" s="2">
        <v>44782</v>
      </c>
      <c r="B2823" s="3">
        <v>0.22427083333333334</v>
      </c>
      <c r="C2823">
        <v>9107</v>
      </c>
      <c r="D2823" t="str">
        <f>VLOOKUP(H2823,Produkt!$A$2:$B$5,2,FALSE)</f>
        <v>B</v>
      </c>
      <c r="H2823">
        <v>2</v>
      </c>
      <c r="I2823">
        <v>0.44457175925925929</v>
      </c>
      <c r="J2823">
        <v>44788</v>
      </c>
    </row>
    <row r="2824" spans="1:10" x14ac:dyDescent="0.35">
      <c r="A2824" s="2">
        <v>44782</v>
      </c>
      <c r="B2824" s="3">
        <v>0.11623842592592593</v>
      </c>
      <c r="C2824">
        <v>9149</v>
      </c>
      <c r="D2824" t="str">
        <f>VLOOKUP(H2824,Produkt!$A$2:$B$5,2,FALSE)</f>
        <v>A</v>
      </c>
      <c r="H2824">
        <v>1</v>
      </c>
      <c r="I2824">
        <v>0.91773148148148154</v>
      </c>
      <c r="J2824">
        <v>44799</v>
      </c>
    </row>
    <row r="2825" spans="1:10" x14ac:dyDescent="0.35">
      <c r="A2825" s="2">
        <v>44782</v>
      </c>
      <c r="B2825" s="3">
        <v>0.82692129629629629</v>
      </c>
      <c r="C2825">
        <v>9153</v>
      </c>
      <c r="D2825" t="str">
        <f>VLOOKUP(H2825,Produkt!$A$2:$B$5,2,FALSE)</f>
        <v>C</v>
      </c>
      <c r="H2825">
        <v>3</v>
      </c>
      <c r="I2825">
        <v>0.36280092592592594</v>
      </c>
      <c r="J2825">
        <v>44789</v>
      </c>
    </row>
    <row r="2826" spans="1:10" x14ac:dyDescent="0.35">
      <c r="A2826" s="2">
        <v>44782</v>
      </c>
      <c r="B2826" s="3">
        <v>0.63820601851851855</v>
      </c>
      <c r="C2826">
        <v>9187</v>
      </c>
      <c r="D2826" t="str">
        <f>VLOOKUP(H2826,Produkt!$A$2:$B$5,2,FALSE)</f>
        <v>B</v>
      </c>
      <c r="H2826">
        <v>2</v>
      </c>
      <c r="I2826">
        <v>0.41828703703703707</v>
      </c>
      <c r="J2826">
        <v>44776</v>
      </c>
    </row>
    <row r="2827" spans="1:10" x14ac:dyDescent="0.35">
      <c r="A2827" s="2">
        <v>44782</v>
      </c>
      <c r="B2827" s="3">
        <v>0.30302083333333335</v>
      </c>
      <c r="C2827">
        <v>9235</v>
      </c>
      <c r="D2827" t="str">
        <f>VLOOKUP(H2827,Produkt!$A$2:$B$5,2,FALSE)</f>
        <v>B</v>
      </c>
      <c r="H2827">
        <v>2</v>
      </c>
      <c r="I2827">
        <v>8.3206018518518512E-2</v>
      </c>
      <c r="J2827">
        <v>44796</v>
      </c>
    </row>
    <row r="2828" spans="1:10" x14ac:dyDescent="0.35">
      <c r="A2828" s="2">
        <v>44782</v>
      </c>
      <c r="B2828" s="3">
        <v>0.27994212962962961</v>
      </c>
      <c r="C2828">
        <v>9253</v>
      </c>
      <c r="D2828" t="str">
        <f>VLOOKUP(H2828,Produkt!$A$2:$B$5,2,FALSE)</f>
        <v>C</v>
      </c>
      <c r="H2828">
        <v>3</v>
      </c>
      <c r="I2828">
        <v>0.90790509259259267</v>
      </c>
      <c r="J2828">
        <v>44790</v>
      </c>
    </row>
    <row r="2829" spans="1:10" x14ac:dyDescent="0.35">
      <c r="A2829" s="2">
        <v>44782</v>
      </c>
      <c r="B2829" s="3">
        <v>0.23383101851851851</v>
      </c>
      <c r="C2829">
        <v>9255</v>
      </c>
      <c r="D2829" t="str">
        <f>VLOOKUP(H2829,Produkt!$A$2:$B$5,2,FALSE)</f>
        <v>D</v>
      </c>
      <c r="H2829">
        <v>4</v>
      </c>
      <c r="I2829">
        <v>0.43562499999999998</v>
      </c>
      <c r="J2829">
        <v>44784</v>
      </c>
    </row>
    <row r="2830" spans="1:10" x14ac:dyDescent="0.35">
      <c r="A2830" s="2">
        <v>44782</v>
      </c>
      <c r="B2830" s="3">
        <v>0.81392361111111111</v>
      </c>
      <c r="C2830">
        <v>9335</v>
      </c>
      <c r="D2830" t="str">
        <f>VLOOKUP(H2830,Produkt!$A$2:$B$5,2,FALSE)</f>
        <v>C</v>
      </c>
      <c r="H2830">
        <v>3</v>
      </c>
      <c r="I2830">
        <v>0.22641203703703705</v>
      </c>
      <c r="J2830">
        <v>44788</v>
      </c>
    </row>
    <row r="2831" spans="1:10" x14ac:dyDescent="0.35">
      <c r="A2831" s="2">
        <v>44782</v>
      </c>
      <c r="B2831" s="3">
        <v>0.75944444444444448</v>
      </c>
      <c r="C2831">
        <v>9393</v>
      </c>
      <c r="D2831" t="str">
        <f>VLOOKUP(H2831,Produkt!$A$2:$B$5,2,FALSE)</f>
        <v>A</v>
      </c>
      <c r="H2831">
        <v>1</v>
      </c>
      <c r="I2831">
        <v>3.3900462962962966E-2</v>
      </c>
      <c r="J2831">
        <v>44791</v>
      </c>
    </row>
    <row r="2832" spans="1:10" x14ac:dyDescent="0.35">
      <c r="A2832" s="2">
        <v>44782</v>
      </c>
      <c r="B2832" s="3">
        <v>0.69918981481481479</v>
      </c>
      <c r="C2832">
        <v>9419</v>
      </c>
      <c r="D2832" t="str">
        <f>VLOOKUP(H2832,Produkt!$A$2:$B$5,2,FALSE)</f>
        <v>D</v>
      </c>
      <c r="H2832">
        <v>4</v>
      </c>
      <c r="I2832">
        <v>0.12268518518518519</v>
      </c>
      <c r="J2832">
        <v>44803</v>
      </c>
    </row>
    <row r="2833" spans="1:10" x14ac:dyDescent="0.35">
      <c r="A2833" s="2">
        <v>44782</v>
      </c>
      <c r="B2833" s="3">
        <v>0.16466435185185185</v>
      </c>
      <c r="C2833">
        <v>9524</v>
      </c>
      <c r="D2833" t="str">
        <f>VLOOKUP(H2833,Produkt!$A$2:$B$5,2,FALSE)</f>
        <v>B</v>
      </c>
      <c r="H2833">
        <v>2</v>
      </c>
      <c r="I2833">
        <v>0.42423611111111109</v>
      </c>
      <c r="J2833">
        <v>44774</v>
      </c>
    </row>
    <row r="2834" spans="1:10" x14ac:dyDescent="0.35">
      <c r="A2834" s="2">
        <v>44782</v>
      </c>
      <c r="B2834" s="3">
        <v>0.32358796296296294</v>
      </c>
      <c r="C2834">
        <v>9569</v>
      </c>
      <c r="D2834" t="str">
        <f>VLOOKUP(H2834,Produkt!$A$2:$B$5,2,FALSE)</f>
        <v>A</v>
      </c>
      <c r="H2834">
        <v>1</v>
      </c>
      <c r="I2834">
        <v>2.9976851851851949E-2</v>
      </c>
      <c r="J2834">
        <v>44787</v>
      </c>
    </row>
    <row r="2835" spans="1:10" x14ac:dyDescent="0.35">
      <c r="A2835" s="2">
        <v>44782</v>
      </c>
      <c r="B2835" s="3">
        <v>0.91726851851851843</v>
      </c>
      <c r="C2835">
        <v>9573</v>
      </c>
      <c r="D2835" t="str">
        <f>VLOOKUP(H2835,Produkt!$A$2:$B$5,2,FALSE)</f>
        <v>D</v>
      </c>
      <c r="H2835">
        <v>4</v>
      </c>
      <c r="I2835">
        <v>0.59886574074074073</v>
      </c>
      <c r="J2835">
        <v>44782</v>
      </c>
    </row>
    <row r="2836" spans="1:10" x14ac:dyDescent="0.35">
      <c r="A2836" s="2">
        <v>44782</v>
      </c>
      <c r="B2836" s="3">
        <v>0.38233796296296302</v>
      </c>
      <c r="C2836">
        <v>9577</v>
      </c>
      <c r="D2836" t="str">
        <f>VLOOKUP(H2836,Produkt!$A$2:$B$5,2,FALSE)</f>
        <v>B</v>
      </c>
      <c r="H2836">
        <v>2</v>
      </c>
      <c r="I2836">
        <v>0.99045138888888884</v>
      </c>
      <c r="J2836">
        <v>44793</v>
      </c>
    </row>
    <row r="2837" spans="1:10" x14ac:dyDescent="0.35">
      <c r="A2837" s="2">
        <v>44782</v>
      </c>
      <c r="B2837" s="3">
        <v>0.17905092592592595</v>
      </c>
      <c r="C2837">
        <v>9591</v>
      </c>
      <c r="D2837" t="str">
        <f>VLOOKUP(H2837,Produkt!$A$2:$B$5,2,FALSE)</f>
        <v>C</v>
      </c>
      <c r="H2837">
        <v>3</v>
      </c>
      <c r="I2837">
        <v>0.16415509259259259</v>
      </c>
      <c r="J2837">
        <v>44777</v>
      </c>
    </row>
    <row r="2838" spans="1:10" x14ac:dyDescent="0.35">
      <c r="A2838" s="2">
        <v>44782</v>
      </c>
      <c r="B2838" s="3">
        <v>0.55969907407407404</v>
      </c>
      <c r="C2838">
        <v>9605</v>
      </c>
      <c r="D2838" t="str">
        <f>VLOOKUP(H2838,Produkt!$A$2:$B$5,2,FALSE)</f>
        <v>C</v>
      </c>
      <c r="H2838">
        <v>3</v>
      </c>
      <c r="I2838">
        <v>0.37603009259259257</v>
      </c>
      <c r="J2838">
        <v>44794</v>
      </c>
    </row>
    <row r="2839" spans="1:10" x14ac:dyDescent="0.35">
      <c r="A2839" s="2">
        <v>44782</v>
      </c>
      <c r="B2839" s="3">
        <v>9.5729166666666657E-2</v>
      </c>
      <c r="C2839">
        <v>9667</v>
      </c>
      <c r="D2839" t="str">
        <f>VLOOKUP(H2839,Produkt!$A$2:$B$5,2,FALSE)</f>
        <v>D</v>
      </c>
      <c r="H2839">
        <v>4</v>
      </c>
      <c r="I2839">
        <v>0.54936342592592591</v>
      </c>
      <c r="J2839">
        <v>44798</v>
      </c>
    </row>
    <row r="2840" spans="1:10" x14ac:dyDescent="0.35">
      <c r="A2840" s="2">
        <v>44782</v>
      </c>
      <c r="B2840" s="3">
        <v>0.95002314814814814</v>
      </c>
      <c r="C2840">
        <v>9692</v>
      </c>
      <c r="D2840" t="str">
        <f>VLOOKUP(H2840,Produkt!$A$2:$B$5,2,FALSE)</f>
        <v>B</v>
      </c>
      <c r="H2840">
        <v>2</v>
      </c>
      <c r="I2840">
        <v>0.9272569444444444</v>
      </c>
      <c r="J2840">
        <v>44783</v>
      </c>
    </row>
    <row r="2841" spans="1:10" x14ac:dyDescent="0.35">
      <c r="A2841" s="2">
        <v>44782</v>
      </c>
      <c r="B2841" s="3">
        <v>0.80701388888888881</v>
      </c>
      <c r="C2841">
        <v>9693</v>
      </c>
      <c r="D2841" t="str">
        <f>VLOOKUP(H2841,Produkt!$A$2:$B$5,2,FALSE)</f>
        <v>C</v>
      </c>
      <c r="H2841">
        <v>3</v>
      </c>
      <c r="I2841">
        <v>0.88486111111111121</v>
      </c>
      <c r="J2841">
        <v>44786</v>
      </c>
    </row>
    <row r="2842" spans="1:10" x14ac:dyDescent="0.35">
      <c r="A2842" s="2">
        <v>44782</v>
      </c>
      <c r="B2842" s="3">
        <v>0.51031250000000006</v>
      </c>
      <c r="C2842">
        <v>9704</v>
      </c>
      <c r="D2842" t="str">
        <f>VLOOKUP(H2842,Produkt!$A$2:$B$5,2,FALSE)</f>
        <v>B</v>
      </c>
      <c r="H2842">
        <v>2</v>
      </c>
      <c r="I2842">
        <v>0.80186342592592597</v>
      </c>
      <c r="J2842">
        <v>44802</v>
      </c>
    </row>
    <row r="2843" spans="1:10" x14ac:dyDescent="0.35">
      <c r="A2843" s="2">
        <v>44782</v>
      </c>
      <c r="B2843" s="3">
        <v>0.9909027777777778</v>
      </c>
      <c r="C2843">
        <v>9732</v>
      </c>
      <c r="D2843" t="str">
        <f>VLOOKUP(H2843,Produkt!$A$2:$B$5,2,FALSE)</f>
        <v>D</v>
      </c>
      <c r="H2843">
        <v>4</v>
      </c>
      <c r="I2843">
        <v>0.34328703703703706</v>
      </c>
      <c r="J2843">
        <v>44777</v>
      </c>
    </row>
    <row r="2844" spans="1:10" x14ac:dyDescent="0.35">
      <c r="A2844" s="2">
        <v>44782</v>
      </c>
      <c r="B2844" s="3">
        <v>0.18026620370370372</v>
      </c>
      <c r="C2844">
        <v>9767</v>
      </c>
      <c r="D2844" t="str">
        <f>VLOOKUP(H2844,Produkt!$A$2:$B$5,2,FALSE)</f>
        <v>A</v>
      </c>
      <c r="H2844">
        <v>1</v>
      </c>
      <c r="I2844">
        <v>0.13010416666666666</v>
      </c>
      <c r="J2844">
        <v>44776</v>
      </c>
    </row>
    <row r="2845" spans="1:10" x14ac:dyDescent="0.35">
      <c r="A2845" s="2">
        <v>44782</v>
      </c>
      <c r="B2845" s="3">
        <v>0.37987268518518519</v>
      </c>
      <c r="C2845">
        <v>9866</v>
      </c>
      <c r="D2845" t="str">
        <f>VLOOKUP(H2845,Produkt!$A$2:$B$5,2,FALSE)</f>
        <v>C</v>
      </c>
      <c r="H2845">
        <v>3</v>
      </c>
      <c r="I2845">
        <v>0.71953703703703698</v>
      </c>
      <c r="J2845">
        <v>44792</v>
      </c>
    </row>
    <row r="2846" spans="1:10" x14ac:dyDescent="0.35">
      <c r="A2846" s="2">
        <v>44782</v>
      </c>
      <c r="B2846" s="3">
        <v>0.3681828703703704</v>
      </c>
      <c r="C2846">
        <v>9880</v>
      </c>
      <c r="D2846" t="str">
        <f>VLOOKUP(H2846,Produkt!$A$2:$B$5,2,FALSE)</f>
        <v>A</v>
      </c>
      <c r="H2846">
        <v>1</v>
      </c>
      <c r="I2846">
        <v>1.7858796296296164E-2</v>
      </c>
      <c r="J2846">
        <v>44799</v>
      </c>
    </row>
    <row r="2847" spans="1:10" x14ac:dyDescent="0.35">
      <c r="A2847" s="2">
        <v>44782</v>
      </c>
      <c r="B2847" s="3">
        <v>0.77684027777777775</v>
      </c>
      <c r="C2847">
        <v>9928</v>
      </c>
      <c r="D2847" t="str">
        <f>VLOOKUP(H2847,Produkt!$A$2:$B$5,2,FALSE)</f>
        <v>A</v>
      </c>
      <c r="H2847">
        <v>1</v>
      </c>
      <c r="I2847">
        <v>0.98637731481481483</v>
      </c>
      <c r="J2847">
        <v>44779</v>
      </c>
    </row>
    <row r="2848" spans="1:10" x14ac:dyDescent="0.35">
      <c r="A2848" s="2">
        <v>44783</v>
      </c>
      <c r="B2848" s="3">
        <v>0.60584490740740737</v>
      </c>
      <c r="C2848">
        <v>12</v>
      </c>
      <c r="D2848" t="str">
        <f>VLOOKUP(H2848,Produkt!$A$2:$B$5,2,FALSE)</f>
        <v>B</v>
      </c>
      <c r="H2848">
        <v>2</v>
      </c>
      <c r="I2848">
        <v>0.52697916666666667</v>
      </c>
      <c r="J2848">
        <v>44796</v>
      </c>
    </row>
    <row r="2849" spans="1:10" x14ac:dyDescent="0.35">
      <c r="A2849" s="2">
        <v>44783</v>
      </c>
      <c r="B2849" s="3">
        <v>0.90023148148148147</v>
      </c>
      <c r="C2849">
        <v>54</v>
      </c>
      <c r="D2849" t="str">
        <f>VLOOKUP(H2849,Produkt!$A$2:$B$5,2,FALSE)</f>
        <v>D</v>
      </c>
      <c r="H2849">
        <v>4</v>
      </c>
      <c r="I2849">
        <v>8.0115740740740737E-2</v>
      </c>
      <c r="J2849">
        <v>44785</v>
      </c>
    </row>
    <row r="2850" spans="1:10" x14ac:dyDescent="0.35">
      <c r="A2850" s="2">
        <v>44783</v>
      </c>
      <c r="B2850" s="3">
        <v>0.59542824074074074</v>
      </c>
      <c r="C2850">
        <v>55</v>
      </c>
      <c r="D2850" t="str">
        <f>VLOOKUP(H2850,Produkt!$A$2:$B$5,2,FALSE)</f>
        <v>B</v>
      </c>
      <c r="H2850">
        <v>2</v>
      </c>
      <c r="I2850">
        <v>8.1597222222222224E-2</v>
      </c>
      <c r="J2850">
        <v>44802</v>
      </c>
    </row>
    <row r="2851" spans="1:10" x14ac:dyDescent="0.35">
      <c r="A2851" s="2">
        <v>44783</v>
      </c>
      <c r="B2851" s="3">
        <v>0.98449074074074072</v>
      </c>
      <c r="C2851">
        <v>56</v>
      </c>
      <c r="D2851" t="str">
        <f>VLOOKUP(H2851,Produkt!$A$2:$B$5,2,FALSE)</f>
        <v>A</v>
      </c>
      <c r="H2851">
        <v>1</v>
      </c>
      <c r="I2851">
        <v>0.86858796296296292</v>
      </c>
      <c r="J2851">
        <v>44802</v>
      </c>
    </row>
    <row r="2852" spans="1:10" x14ac:dyDescent="0.35">
      <c r="A2852" s="2">
        <v>44783</v>
      </c>
      <c r="B2852" s="3">
        <v>0.20673611111111112</v>
      </c>
      <c r="C2852">
        <v>58</v>
      </c>
      <c r="D2852" t="str">
        <f>VLOOKUP(H2852,Produkt!$A$2:$B$5,2,FALSE)</f>
        <v>C</v>
      </c>
      <c r="H2852">
        <v>3</v>
      </c>
      <c r="I2852">
        <v>0.43584490740740739</v>
      </c>
      <c r="J2852">
        <v>44800</v>
      </c>
    </row>
    <row r="2853" spans="1:10" x14ac:dyDescent="0.35">
      <c r="A2853" s="2">
        <v>44783</v>
      </c>
      <c r="B2853" s="3">
        <v>0.79854166666666659</v>
      </c>
      <c r="C2853">
        <v>61</v>
      </c>
      <c r="D2853" t="str">
        <f>VLOOKUP(H2853,Produkt!$A$2:$B$5,2,FALSE)</f>
        <v>C</v>
      </c>
      <c r="H2853">
        <v>3</v>
      </c>
      <c r="I2853">
        <v>0.23783564814814814</v>
      </c>
      <c r="J2853">
        <v>44803</v>
      </c>
    </row>
    <row r="2854" spans="1:10" x14ac:dyDescent="0.35">
      <c r="A2854" s="2">
        <v>44783</v>
      </c>
      <c r="B2854" s="3">
        <v>5.5671296296296302E-3</v>
      </c>
      <c r="C2854">
        <v>78</v>
      </c>
      <c r="D2854" t="str">
        <f>VLOOKUP(H2854,Produkt!$A$2:$B$5,2,FALSE)</f>
        <v>B</v>
      </c>
      <c r="H2854">
        <v>2</v>
      </c>
      <c r="I2854">
        <v>0.43792824074074077</v>
      </c>
      <c r="J2854">
        <v>44801</v>
      </c>
    </row>
    <row r="2855" spans="1:10" x14ac:dyDescent="0.35">
      <c r="A2855" s="2">
        <v>44783</v>
      </c>
      <c r="B2855" s="3">
        <v>7.5925925925925938E-2</v>
      </c>
      <c r="C2855">
        <v>121</v>
      </c>
      <c r="D2855" t="str">
        <f>VLOOKUP(H2855,Produkt!$A$2:$B$5,2,FALSE)</f>
        <v>B</v>
      </c>
      <c r="H2855">
        <v>2</v>
      </c>
      <c r="I2855">
        <v>0.50032407407407409</v>
      </c>
      <c r="J2855">
        <v>44780</v>
      </c>
    </row>
    <row r="2856" spans="1:10" x14ac:dyDescent="0.35">
      <c r="A2856" s="2">
        <v>44783</v>
      </c>
      <c r="B2856" s="3">
        <v>0.66732638888888884</v>
      </c>
      <c r="C2856">
        <v>133</v>
      </c>
      <c r="D2856" t="str">
        <f>VLOOKUP(H2856,Produkt!$A$2:$B$5,2,FALSE)</f>
        <v>B</v>
      </c>
      <c r="H2856">
        <v>2</v>
      </c>
      <c r="I2856">
        <v>0.38067129629629631</v>
      </c>
      <c r="J2856">
        <v>44801</v>
      </c>
    </row>
    <row r="2857" spans="1:10" x14ac:dyDescent="0.35">
      <c r="A2857" s="2">
        <v>44783</v>
      </c>
      <c r="B2857" s="3">
        <v>0.47730324074074071</v>
      </c>
      <c r="C2857">
        <v>138</v>
      </c>
      <c r="D2857" t="str">
        <f>VLOOKUP(H2857,Produkt!$A$2:$B$5,2,FALSE)</f>
        <v>A</v>
      </c>
      <c r="H2857">
        <v>1</v>
      </c>
      <c r="I2857">
        <v>0.72089120370370363</v>
      </c>
      <c r="J2857">
        <v>44778</v>
      </c>
    </row>
    <row r="2858" spans="1:10" x14ac:dyDescent="0.35">
      <c r="A2858" s="2">
        <v>44783</v>
      </c>
      <c r="B2858" s="3">
        <v>0.98162037037037031</v>
      </c>
      <c r="C2858">
        <v>154</v>
      </c>
      <c r="D2858" t="str">
        <f>VLOOKUP(H2858,Produkt!$A$2:$B$5,2,FALSE)</f>
        <v>C</v>
      </c>
      <c r="H2858">
        <v>3</v>
      </c>
      <c r="I2858">
        <v>0.22766203703703702</v>
      </c>
      <c r="J2858">
        <v>44785</v>
      </c>
    </row>
    <row r="2859" spans="1:10" x14ac:dyDescent="0.35">
      <c r="A2859" s="2">
        <v>44783</v>
      </c>
      <c r="B2859" s="3">
        <v>0.44047453703703704</v>
      </c>
      <c r="C2859">
        <v>163</v>
      </c>
      <c r="D2859" t="str">
        <f>VLOOKUP(H2859,Produkt!$A$2:$B$5,2,FALSE)</f>
        <v>A</v>
      </c>
      <c r="H2859">
        <v>1</v>
      </c>
      <c r="I2859">
        <v>8.9432870370370357E-2</v>
      </c>
      <c r="J2859">
        <v>44798</v>
      </c>
    </row>
    <row r="2860" spans="1:10" x14ac:dyDescent="0.35">
      <c r="A2860" s="2">
        <v>44783</v>
      </c>
      <c r="B2860" s="3">
        <v>1.88194444444445E-2</v>
      </c>
      <c r="C2860">
        <v>178</v>
      </c>
      <c r="D2860" t="str">
        <f>VLOOKUP(H2860,Produkt!$A$2:$B$5,2,FALSE)</f>
        <v>A</v>
      </c>
      <c r="H2860">
        <v>1</v>
      </c>
      <c r="I2860">
        <v>0.71516203703703696</v>
      </c>
      <c r="J2860">
        <v>44792</v>
      </c>
    </row>
    <row r="2861" spans="1:10" x14ac:dyDescent="0.35">
      <c r="A2861" s="2">
        <v>44783</v>
      </c>
      <c r="B2861" s="3">
        <v>6.3657407407407404E-3</v>
      </c>
      <c r="C2861">
        <v>234</v>
      </c>
      <c r="D2861" t="str">
        <f>VLOOKUP(H2861,Produkt!$A$2:$B$5,2,FALSE)</f>
        <v>C</v>
      </c>
      <c r="H2861">
        <v>3</v>
      </c>
      <c r="I2861">
        <v>0.68622685185185184</v>
      </c>
      <c r="J2861">
        <v>44774</v>
      </c>
    </row>
    <row r="2862" spans="1:10" x14ac:dyDescent="0.35">
      <c r="A2862" s="2">
        <v>44783</v>
      </c>
      <c r="B2862" s="3">
        <v>4.4675925925925924E-2</v>
      </c>
      <c r="C2862">
        <v>286</v>
      </c>
      <c r="D2862" t="str">
        <f>VLOOKUP(H2862,Produkt!$A$2:$B$5,2,FALSE)</f>
        <v>B</v>
      </c>
      <c r="H2862">
        <v>2</v>
      </c>
      <c r="I2862">
        <v>9.7384259259259254E-2</v>
      </c>
      <c r="J2862">
        <v>44779</v>
      </c>
    </row>
    <row r="2863" spans="1:10" x14ac:dyDescent="0.35">
      <c r="A2863" s="2">
        <v>44783</v>
      </c>
      <c r="B2863" s="3">
        <v>0.19090277777777778</v>
      </c>
      <c r="C2863">
        <v>301</v>
      </c>
      <c r="D2863" t="str">
        <f>VLOOKUP(H2863,Produkt!$A$2:$B$5,2,FALSE)</f>
        <v>A</v>
      </c>
      <c r="H2863">
        <v>1</v>
      </c>
      <c r="I2863">
        <v>0.90195601851851848</v>
      </c>
      <c r="J2863">
        <v>44774</v>
      </c>
    </row>
    <row r="2864" spans="1:10" x14ac:dyDescent="0.35">
      <c r="A2864" s="2">
        <v>44783</v>
      </c>
      <c r="B2864" s="3">
        <v>0.61575231481481485</v>
      </c>
      <c r="C2864">
        <v>305</v>
      </c>
      <c r="D2864" t="str">
        <f>VLOOKUP(H2864,Produkt!$A$2:$B$5,2,FALSE)</f>
        <v>B</v>
      </c>
      <c r="H2864">
        <v>2</v>
      </c>
      <c r="I2864">
        <v>0.10273148148148148</v>
      </c>
      <c r="J2864">
        <v>44784</v>
      </c>
    </row>
    <row r="2865" spans="1:10" x14ac:dyDescent="0.35">
      <c r="A2865" s="2">
        <v>44783</v>
      </c>
      <c r="B2865" s="3">
        <v>0.9809606481481481</v>
      </c>
      <c r="C2865">
        <v>325</v>
      </c>
      <c r="D2865" t="str">
        <f>VLOOKUP(H2865,Produkt!$A$2:$B$5,2,FALSE)</f>
        <v>B</v>
      </c>
      <c r="H2865">
        <v>2</v>
      </c>
      <c r="I2865">
        <v>0.61670138888888892</v>
      </c>
      <c r="J2865">
        <v>44779</v>
      </c>
    </row>
    <row r="2866" spans="1:10" x14ac:dyDescent="0.35">
      <c r="A2866" s="2">
        <v>44783</v>
      </c>
      <c r="B2866" s="3">
        <v>4.2638888888888893E-2</v>
      </c>
      <c r="C2866">
        <v>355</v>
      </c>
      <c r="D2866" t="str">
        <f>VLOOKUP(H2866,Produkt!$A$2:$B$5,2,FALSE)</f>
        <v>A</v>
      </c>
      <c r="H2866">
        <v>1</v>
      </c>
      <c r="I2866">
        <v>0.86543981481481491</v>
      </c>
      <c r="J2866">
        <v>44801</v>
      </c>
    </row>
    <row r="2867" spans="1:10" x14ac:dyDescent="0.35">
      <c r="A2867" s="2">
        <v>44783</v>
      </c>
      <c r="B2867" s="3">
        <v>0.44951388888888894</v>
      </c>
      <c r="C2867">
        <v>398</v>
      </c>
      <c r="D2867" t="str">
        <f>VLOOKUP(H2867,Produkt!$A$2:$B$5,2,FALSE)</f>
        <v>C</v>
      </c>
      <c r="H2867">
        <v>3</v>
      </c>
      <c r="I2867">
        <v>0.65282407407407406</v>
      </c>
      <c r="J2867">
        <v>44792</v>
      </c>
    </row>
    <row r="2868" spans="1:10" x14ac:dyDescent="0.35">
      <c r="A2868" s="2">
        <v>44783</v>
      </c>
      <c r="B2868" s="3">
        <v>2.7974537037037006E-2</v>
      </c>
      <c r="C2868">
        <v>462</v>
      </c>
      <c r="D2868" t="str">
        <f>VLOOKUP(H2868,Produkt!$A$2:$B$5,2,FALSE)</f>
        <v>D</v>
      </c>
      <c r="H2868">
        <v>4</v>
      </c>
      <c r="I2868">
        <v>0.22234953703703705</v>
      </c>
      <c r="J2868">
        <v>44781</v>
      </c>
    </row>
    <row r="2869" spans="1:10" x14ac:dyDescent="0.35">
      <c r="A2869" s="2">
        <v>44783</v>
      </c>
      <c r="B2869" s="3">
        <v>6.4942129629629627E-2</v>
      </c>
      <c r="C2869">
        <v>486</v>
      </c>
      <c r="D2869" t="str">
        <f>VLOOKUP(H2869,Produkt!$A$2:$B$5,2,FALSE)</f>
        <v>A</v>
      </c>
      <c r="H2869">
        <v>1</v>
      </c>
      <c r="I2869">
        <v>0.55618055555555557</v>
      </c>
      <c r="J2869">
        <v>44791</v>
      </c>
    </row>
    <row r="2870" spans="1:10" x14ac:dyDescent="0.35">
      <c r="A2870" s="2">
        <v>44783</v>
      </c>
      <c r="B2870" s="3">
        <v>0.54186342592592596</v>
      </c>
      <c r="C2870">
        <v>514</v>
      </c>
      <c r="D2870" t="str">
        <f>VLOOKUP(H2870,Produkt!$A$2:$B$5,2,FALSE)</f>
        <v>D</v>
      </c>
      <c r="H2870">
        <v>4</v>
      </c>
      <c r="I2870">
        <v>0.3009027777777778</v>
      </c>
      <c r="J2870">
        <v>44793</v>
      </c>
    </row>
    <row r="2871" spans="1:10" x14ac:dyDescent="0.35">
      <c r="A2871" s="2">
        <v>44783</v>
      </c>
      <c r="B2871" s="3">
        <v>0.91825231481481484</v>
      </c>
      <c r="C2871">
        <v>547</v>
      </c>
      <c r="D2871" t="str">
        <f>VLOOKUP(H2871,Produkt!$A$2:$B$5,2,FALSE)</f>
        <v>D</v>
      </c>
      <c r="H2871">
        <v>4</v>
      </c>
      <c r="I2871">
        <v>3.5752314814814813E-2</v>
      </c>
      <c r="J2871">
        <v>44774</v>
      </c>
    </row>
    <row r="2872" spans="1:10" x14ac:dyDescent="0.35">
      <c r="A2872" s="2">
        <v>44783</v>
      </c>
      <c r="B2872" s="3">
        <v>0.82265046296296296</v>
      </c>
      <c r="C2872">
        <v>562</v>
      </c>
      <c r="D2872" t="str">
        <f>VLOOKUP(H2872,Produkt!$A$2:$B$5,2,FALSE)</f>
        <v>B</v>
      </c>
      <c r="H2872">
        <v>2</v>
      </c>
      <c r="I2872">
        <v>0.47650462962962964</v>
      </c>
      <c r="J2872">
        <v>44774</v>
      </c>
    </row>
    <row r="2873" spans="1:10" x14ac:dyDescent="0.35">
      <c r="A2873" s="2">
        <v>44783</v>
      </c>
      <c r="B2873" s="3">
        <v>0.72099537037037031</v>
      </c>
      <c r="C2873">
        <v>673</v>
      </c>
      <c r="D2873" t="str">
        <f>VLOOKUP(H2873,Produkt!$A$2:$B$5,2,FALSE)</f>
        <v>D</v>
      </c>
      <c r="H2873">
        <v>4</v>
      </c>
      <c r="I2873">
        <v>0.97207175925925926</v>
      </c>
      <c r="J2873">
        <v>44778</v>
      </c>
    </row>
    <row r="2874" spans="1:10" x14ac:dyDescent="0.35">
      <c r="A2874" s="2">
        <v>44783</v>
      </c>
      <c r="B2874" s="3">
        <v>0.50945601851851852</v>
      </c>
      <c r="C2874">
        <v>736</v>
      </c>
      <c r="D2874" t="str">
        <f>VLOOKUP(H2874,Produkt!$A$2:$B$5,2,FALSE)</f>
        <v>B</v>
      </c>
      <c r="H2874">
        <v>2</v>
      </c>
      <c r="I2874">
        <v>0.47972222222222222</v>
      </c>
      <c r="J2874">
        <v>44802</v>
      </c>
    </row>
    <row r="2875" spans="1:10" x14ac:dyDescent="0.35">
      <c r="A2875" s="2">
        <v>44783</v>
      </c>
      <c r="B2875" s="3">
        <v>0.6325115740740741</v>
      </c>
      <c r="C2875">
        <v>761</v>
      </c>
      <c r="D2875" t="str">
        <f>VLOOKUP(H2875,Produkt!$A$2:$B$5,2,FALSE)</f>
        <v>C</v>
      </c>
      <c r="H2875">
        <v>3</v>
      </c>
      <c r="I2875">
        <v>0.36839120370370365</v>
      </c>
      <c r="J2875">
        <v>44790</v>
      </c>
    </row>
    <row r="2876" spans="1:10" x14ac:dyDescent="0.35">
      <c r="A2876" s="2">
        <v>44783</v>
      </c>
      <c r="B2876" s="3">
        <v>4.3981481481481483E-2</v>
      </c>
      <c r="C2876">
        <v>762</v>
      </c>
      <c r="D2876" t="str">
        <f>VLOOKUP(H2876,Produkt!$A$2:$B$5,2,FALSE)</f>
        <v>A</v>
      </c>
      <c r="H2876">
        <v>1</v>
      </c>
      <c r="I2876">
        <v>2.3171296296296218E-2</v>
      </c>
      <c r="J2876">
        <v>44783</v>
      </c>
    </row>
    <row r="2877" spans="1:10" x14ac:dyDescent="0.35">
      <c r="A2877" s="2">
        <v>44783</v>
      </c>
      <c r="B2877" s="3">
        <v>0.31597222222222221</v>
      </c>
      <c r="C2877">
        <v>795</v>
      </c>
      <c r="D2877" t="str">
        <f>VLOOKUP(H2877,Produkt!$A$2:$B$5,2,FALSE)</f>
        <v>D</v>
      </c>
      <c r="H2877">
        <v>4</v>
      </c>
      <c r="I2877">
        <v>0.65869212962962964</v>
      </c>
      <c r="J2877">
        <v>44799</v>
      </c>
    </row>
    <row r="2878" spans="1:10" x14ac:dyDescent="0.35">
      <c r="A2878" s="2">
        <v>44783</v>
      </c>
      <c r="B2878" s="3">
        <v>0.15523148148148147</v>
      </c>
      <c r="C2878">
        <v>834</v>
      </c>
      <c r="D2878" t="str">
        <f>VLOOKUP(H2878,Produkt!$A$2:$B$5,2,FALSE)</f>
        <v>D</v>
      </c>
      <c r="H2878">
        <v>4</v>
      </c>
      <c r="I2878">
        <v>0.1446875</v>
      </c>
      <c r="J2878">
        <v>44794</v>
      </c>
    </row>
    <row r="2879" spans="1:10" x14ac:dyDescent="0.35">
      <c r="A2879" s="2">
        <v>44783</v>
      </c>
      <c r="B2879" s="3">
        <v>0.68574074074074076</v>
      </c>
      <c r="C2879">
        <v>835</v>
      </c>
      <c r="D2879" t="str">
        <f>VLOOKUP(H2879,Produkt!$A$2:$B$5,2,FALSE)</f>
        <v>A</v>
      </c>
      <c r="H2879">
        <v>1</v>
      </c>
      <c r="I2879">
        <v>0.64518518518518519</v>
      </c>
      <c r="J2879">
        <v>44799</v>
      </c>
    </row>
    <row r="2880" spans="1:10" x14ac:dyDescent="0.35">
      <c r="A2880" s="2">
        <v>44783</v>
      </c>
      <c r="B2880" s="3">
        <v>0.86496527777777776</v>
      </c>
      <c r="C2880">
        <v>982</v>
      </c>
      <c r="D2880" t="str">
        <f>VLOOKUP(H2880,Produkt!$A$2:$B$5,2,FALSE)</f>
        <v>A</v>
      </c>
      <c r="H2880">
        <v>1</v>
      </c>
      <c r="I2880">
        <v>0.1257638888888889</v>
      </c>
      <c r="J2880">
        <v>44800</v>
      </c>
    </row>
    <row r="2881" spans="1:10" x14ac:dyDescent="0.35">
      <c r="A2881" s="2">
        <v>44783</v>
      </c>
      <c r="B2881" s="3">
        <v>0.84189814814814812</v>
      </c>
      <c r="C2881">
        <v>983</v>
      </c>
      <c r="D2881" t="str">
        <f>VLOOKUP(H2881,Produkt!$A$2:$B$5,2,FALSE)</f>
        <v>B</v>
      </c>
      <c r="H2881">
        <v>2</v>
      </c>
      <c r="I2881">
        <v>0.33043981481481483</v>
      </c>
      <c r="J2881">
        <v>44776</v>
      </c>
    </row>
    <row r="2882" spans="1:10" x14ac:dyDescent="0.35">
      <c r="A2882" s="2">
        <v>44783</v>
      </c>
      <c r="B2882" s="3">
        <v>0.2225</v>
      </c>
      <c r="C2882">
        <v>986</v>
      </c>
      <c r="D2882" t="str">
        <f>VLOOKUP(H2882,Produkt!$A$2:$B$5,2,FALSE)</f>
        <v>C</v>
      </c>
      <c r="H2882">
        <v>3</v>
      </c>
      <c r="I2882">
        <v>0.8768287037037038</v>
      </c>
      <c r="J2882">
        <v>44799</v>
      </c>
    </row>
    <row r="2883" spans="1:10" x14ac:dyDescent="0.35">
      <c r="A2883" s="2">
        <v>44783</v>
      </c>
      <c r="B2883" s="3">
        <v>0.69068287037037035</v>
      </c>
      <c r="C2883">
        <v>1040</v>
      </c>
      <c r="D2883" t="str">
        <f>VLOOKUP(H2883,Produkt!$A$2:$B$5,2,FALSE)</f>
        <v>D</v>
      </c>
      <c r="H2883">
        <v>4</v>
      </c>
      <c r="I2883">
        <v>4.7094907407407405E-2</v>
      </c>
      <c r="J2883">
        <v>44775</v>
      </c>
    </row>
    <row r="2884" spans="1:10" x14ac:dyDescent="0.35">
      <c r="A2884" s="2">
        <v>44783</v>
      </c>
      <c r="B2884" s="3">
        <v>0.33307870370370368</v>
      </c>
      <c r="C2884">
        <v>1090</v>
      </c>
      <c r="D2884" t="str">
        <f>VLOOKUP(H2884,Produkt!$A$2:$B$5,2,FALSE)</f>
        <v>D</v>
      </c>
      <c r="H2884">
        <v>4</v>
      </c>
      <c r="I2884">
        <v>2.1168981481481483E-2</v>
      </c>
      <c r="J2884">
        <v>44789</v>
      </c>
    </row>
    <row r="2885" spans="1:10" x14ac:dyDescent="0.35">
      <c r="A2885" s="2">
        <v>44783</v>
      </c>
      <c r="B2885" s="3">
        <v>0.74304398148148154</v>
      </c>
      <c r="C2885">
        <v>1098</v>
      </c>
      <c r="D2885" t="str">
        <f>VLOOKUP(H2885,Produkt!$A$2:$B$5,2,FALSE)</f>
        <v>A</v>
      </c>
      <c r="H2885">
        <v>1</v>
      </c>
      <c r="I2885">
        <v>0.15046296296296297</v>
      </c>
      <c r="J2885">
        <v>44801</v>
      </c>
    </row>
    <row r="2886" spans="1:10" x14ac:dyDescent="0.35">
      <c r="A2886" s="2">
        <v>44783</v>
      </c>
      <c r="B2886" s="3">
        <v>0.8834143518518518</v>
      </c>
      <c r="C2886">
        <v>1118</v>
      </c>
      <c r="D2886" t="str">
        <f>VLOOKUP(H2886,Produkt!$A$2:$B$5,2,FALSE)</f>
        <v>C</v>
      </c>
      <c r="H2886">
        <v>3</v>
      </c>
      <c r="I2886">
        <v>0.74888888888888883</v>
      </c>
      <c r="J2886">
        <v>44779</v>
      </c>
    </row>
    <row r="2887" spans="1:10" x14ac:dyDescent="0.35">
      <c r="A2887" s="2">
        <v>44783</v>
      </c>
      <c r="B2887" s="3">
        <v>0.33231481481481479</v>
      </c>
      <c r="C2887">
        <v>1120</v>
      </c>
      <c r="D2887" t="str">
        <f>VLOOKUP(H2887,Produkt!$A$2:$B$5,2,FALSE)</f>
        <v>A</v>
      </c>
      <c r="H2887">
        <v>1</v>
      </c>
      <c r="I2887">
        <v>0.53965277777777776</v>
      </c>
      <c r="J2887">
        <v>44802</v>
      </c>
    </row>
    <row r="2888" spans="1:10" x14ac:dyDescent="0.35">
      <c r="A2888" s="2">
        <v>44783</v>
      </c>
      <c r="B2888" s="3">
        <v>0.67858796296296298</v>
      </c>
      <c r="C2888">
        <v>1207</v>
      </c>
      <c r="D2888" t="str">
        <f>VLOOKUP(H2888,Produkt!$A$2:$B$5,2,FALSE)</f>
        <v>C</v>
      </c>
      <c r="H2888">
        <v>3</v>
      </c>
      <c r="I2888">
        <v>0.3805324074074074</v>
      </c>
      <c r="J2888">
        <v>44793</v>
      </c>
    </row>
    <row r="2889" spans="1:10" x14ac:dyDescent="0.35">
      <c r="A2889" s="2">
        <v>44783</v>
      </c>
      <c r="B2889" s="3">
        <v>0.59748842592592599</v>
      </c>
      <c r="C2889">
        <v>1233</v>
      </c>
      <c r="D2889" t="str">
        <f>VLOOKUP(H2889,Produkt!$A$2:$B$5,2,FALSE)</f>
        <v>B</v>
      </c>
      <c r="H2889">
        <v>2</v>
      </c>
      <c r="I2889">
        <v>0.47912037037037036</v>
      </c>
      <c r="J2889">
        <v>44798</v>
      </c>
    </row>
    <row r="2890" spans="1:10" x14ac:dyDescent="0.35">
      <c r="A2890" s="2">
        <v>44783</v>
      </c>
      <c r="B2890" s="3">
        <v>0.24934027777777779</v>
      </c>
      <c r="C2890">
        <v>1324</v>
      </c>
      <c r="D2890" t="str">
        <f>VLOOKUP(H2890,Produkt!$A$2:$B$5,2,FALSE)</f>
        <v>D</v>
      </c>
      <c r="H2890">
        <v>4</v>
      </c>
      <c r="I2890">
        <v>0.22288194444444445</v>
      </c>
      <c r="J2890">
        <v>44804</v>
      </c>
    </row>
    <row r="2891" spans="1:10" x14ac:dyDescent="0.35">
      <c r="A2891" s="2">
        <v>44783</v>
      </c>
      <c r="B2891" s="3">
        <v>0.53590277777777773</v>
      </c>
      <c r="C2891">
        <v>1340</v>
      </c>
      <c r="D2891" t="str">
        <f>VLOOKUP(H2891,Produkt!$A$2:$B$5,2,FALSE)</f>
        <v>C</v>
      </c>
      <c r="H2891">
        <v>3</v>
      </c>
      <c r="I2891">
        <v>0.56656249999999997</v>
      </c>
      <c r="J2891">
        <v>44777</v>
      </c>
    </row>
    <row r="2892" spans="1:10" x14ac:dyDescent="0.35">
      <c r="A2892" s="2">
        <v>44783</v>
      </c>
      <c r="B2892" s="3">
        <v>0.82255787037037031</v>
      </c>
      <c r="C2892">
        <v>1386</v>
      </c>
      <c r="D2892" t="str">
        <f>VLOOKUP(H2892,Produkt!$A$2:$B$5,2,FALSE)</f>
        <v>D</v>
      </c>
      <c r="H2892">
        <v>4</v>
      </c>
      <c r="I2892">
        <v>0.27685185185185185</v>
      </c>
      <c r="J2892">
        <v>44801</v>
      </c>
    </row>
    <row r="2893" spans="1:10" x14ac:dyDescent="0.35">
      <c r="A2893" s="2">
        <v>44783</v>
      </c>
      <c r="B2893" s="3">
        <v>0.29670138888888892</v>
      </c>
      <c r="C2893">
        <v>1410</v>
      </c>
      <c r="D2893" t="str">
        <f>VLOOKUP(H2893,Produkt!$A$2:$B$5,2,FALSE)</f>
        <v>D</v>
      </c>
      <c r="H2893">
        <v>4</v>
      </c>
      <c r="I2893">
        <v>0.43292824074074071</v>
      </c>
      <c r="J2893">
        <v>44793</v>
      </c>
    </row>
    <row r="2894" spans="1:10" x14ac:dyDescent="0.35">
      <c r="A2894" s="2">
        <v>44783</v>
      </c>
      <c r="B2894" s="3">
        <v>1.5983796296296315E-2</v>
      </c>
      <c r="C2894">
        <v>1417</v>
      </c>
      <c r="D2894" t="str">
        <f>VLOOKUP(H2894,Produkt!$A$2:$B$5,2,FALSE)</f>
        <v>D</v>
      </c>
      <c r="H2894">
        <v>4</v>
      </c>
      <c r="I2894">
        <v>0.84592592592592597</v>
      </c>
      <c r="J2894">
        <v>44783</v>
      </c>
    </row>
    <row r="2895" spans="1:10" x14ac:dyDescent="0.35">
      <c r="A2895" s="2">
        <v>44783</v>
      </c>
      <c r="B2895" s="3">
        <v>0.75899305555555552</v>
      </c>
      <c r="C2895">
        <v>1432</v>
      </c>
      <c r="D2895" t="str">
        <f>VLOOKUP(H2895,Produkt!$A$2:$B$5,2,FALSE)</f>
        <v>D</v>
      </c>
      <c r="H2895">
        <v>4</v>
      </c>
      <c r="I2895">
        <v>0.20278935185185185</v>
      </c>
      <c r="J2895">
        <v>44804</v>
      </c>
    </row>
    <row r="2896" spans="1:10" x14ac:dyDescent="0.35">
      <c r="A2896" s="2">
        <v>44783</v>
      </c>
      <c r="B2896" s="3">
        <v>0.37516203703703704</v>
      </c>
      <c r="C2896">
        <v>1471</v>
      </c>
      <c r="D2896" t="str">
        <f>VLOOKUP(H2896,Produkt!$A$2:$B$5,2,FALSE)</f>
        <v>A</v>
      </c>
      <c r="H2896">
        <v>1</v>
      </c>
      <c r="I2896">
        <v>0.26175925925925925</v>
      </c>
      <c r="J2896">
        <v>44796</v>
      </c>
    </row>
    <row r="2897" spans="1:10" x14ac:dyDescent="0.35">
      <c r="A2897" s="2">
        <v>44783</v>
      </c>
      <c r="B2897" s="3">
        <v>0.81005787037037036</v>
      </c>
      <c r="C2897">
        <v>1587</v>
      </c>
      <c r="D2897" t="str">
        <f>VLOOKUP(H2897,Produkt!$A$2:$B$5,2,FALSE)</f>
        <v>B</v>
      </c>
      <c r="H2897">
        <v>2</v>
      </c>
      <c r="I2897">
        <v>0.78642361111111114</v>
      </c>
      <c r="J2897">
        <v>44776</v>
      </c>
    </row>
    <row r="2898" spans="1:10" x14ac:dyDescent="0.35">
      <c r="A2898" s="2">
        <v>44783</v>
      </c>
      <c r="B2898" s="3">
        <v>8.1030092592592584E-2</v>
      </c>
      <c r="C2898">
        <v>1663</v>
      </c>
      <c r="D2898" t="str">
        <f>VLOOKUP(H2898,Produkt!$A$2:$B$5,2,FALSE)</f>
        <v>A</v>
      </c>
      <c r="H2898">
        <v>1</v>
      </c>
      <c r="I2898">
        <v>0.10542824074074074</v>
      </c>
      <c r="J2898">
        <v>44782</v>
      </c>
    </row>
    <row r="2899" spans="1:10" x14ac:dyDescent="0.35">
      <c r="A2899" s="2">
        <v>44783</v>
      </c>
      <c r="B2899" s="3">
        <v>0.14391203703703703</v>
      </c>
      <c r="C2899">
        <v>1715</v>
      </c>
      <c r="D2899" t="str">
        <f>VLOOKUP(H2899,Produkt!$A$2:$B$5,2,FALSE)</f>
        <v>A</v>
      </c>
      <c r="H2899">
        <v>1</v>
      </c>
      <c r="I2899">
        <v>0.77329861111111109</v>
      </c>
      <c r="J2899">
        <v>44774</v>
      </c>
    </row>
    <row r="2900" spans="1:10" x14ac:dyDescent="0.35">
      <c r="A2900" s="2">
        <v>44783</v>
      </c>
      <c r="B2900" s="3">
        <v>0.8817476851851852</v>
      </c>
      <c r="C2900">
        <v>1735</v>
      </c>
      <c r="D2900" t="str">
        <f>VLOOKUP(H2900,Produkt!$A$2:$B$5,2,FALSE)</f>
        <v>D</v>
      </c>
      <c r="H2900">
        <v>4</v>
      </c>
      <c r="I2900">
        <v>0.42212962962962958</v>
      </c>
      <c r="J2900">
        <v>44794</v>
      </c>
    </row>
    <row r="2901" spans="1:10" x14ac:dyDescent="0.35">
      <c r="A2901" s="2">
        <v>44783</v>
      </c>
      <c r="B2901" s="3">
        <v>3.9837962962962825E-2</v>
      </c>
      <c r="C2901">
        <v>1768</v>
      </c>
      <c r="D2901" t="str">
        <f>VLOOKUP(H2901,Produkt!$A$2:$B$5,2,FALSE)</f>
        <v>B</v>
      </c>
      <c r="H2901">
        <v>2</v>
      </c>
      <c r="I2901">
        <v>6.5254629629629635E-2</v>
      </c>
      <c r="J2901">
        <v>44788</v>
      </c>
    </row>
    <row r="2902" spans="1:10" x14ac:dyDescent="0.35">
      <c r="A2902" s="2">
        <v>44783</v>
      </c>
      <c r="B2902" s="3">
        <v>0.4455439814814815</v>
      </c>
      <c r="C2902">
        <v>1769</v>
      </c>
      <c r="D2902" t="str">
        <f>VLOOKUP(H2902,Produkt!$A$2:$B$5,2,FALSE)</f>
        <v>B</v>
      </c>
      <c r="H2902">
        <v>2</v>
      </c>
      <c r="I2902">
        <v>0.68844907407407396</v>
      </c>
      <c r="J2902">
        <v>44786</v>
      </c>
    </row>
    <row r="2903" spans="1:10" x14ac:dyDescent="0.35">
      <c r="A2903" s="2">
        <v>44783</v>
      </c>
      <c r="B2903" s="3">
        <v>6.0231481481481476E-2</v>
      </c>
      <c r="C2903">
        <v>1788</v>
      </c>
      <c r="D2903" t="str">
        <f>VLOOKUP(H2903,Produkt!$A$2:$B$5,2,FALSE)</f>
        <v>B</v>
      </c>
      <c r="H2903">
        <v>2</v>
      </c>
      <c r="I2903">
        <v>0.52561342592592586</v>
      </c>
      <c r="J2903">
        <v>44787</v>
      </c>
    </row>
    <row r="2904" spans="1:10" x14ac:dyDescent="0.35">
      <c r="A2904" s="2">
        <v>44783</v>
      </c>
      <c r="B2904" s="3">
        <v>0.15615740740740741</v>
      </c>
      <c r="C2904">
        <v>1827</v>
      </c>
      <c r="D2904" t="str">
        <f>VLOOKUP(H2904,Produkt!$A$2:$B$5,2,FALSE)</f>
        <v>A</v>
      </c>
      <c r="H2904">
        <v>1</v>
      </c>
      <c r="I2904">
        <v>0.56863425925925926</v>
      </c>
      <c r="J2904">
        <v>44794</v>
      </c>
    </row>
    <row r="2905" spans="1:10" x14ac:dyDescent="0.35">
      <c r="A2905" s="2">
        <v>44783</v>
      </c>
      <c r="B2905" s="3">
        <v>0.45969907407407407</v>
      </c>
      <c r="C2905">
        <v>1848</v>
      </c>
      <c r="D2905" t="str">
        <f>VLOOKUP(H2905,Produkt!$A$2:$B$5,2,FALSE)</f>
        <v>B</v>
      </c>
      <c r="H2905">
        <v>2</v>
      </c>
      <c r="I2905">
        <v>0.39307870370370374</v>
      </c>
      <c r="J2905">
        <v>44793</v>
      </c>
    </row>
    <row r="2906" spans="1:10" x14ac:dyDescent="0.35">
      <c r="A2906" s="2">
        <v>44783</v>
      </c>
      <c r="B2906" s="3">
        <v>0.80982638888888892</v>
      </c>
      <c r="C2906">
        <v>1859</v>
      </c>
      <c r="D2906" t="str">
        <f>VLOOKUP(H2906,Produkt!$A$2:$B$5,2,FALSE)</f>
        <v>A</v>
      </c>
      <c r="H2906">
        <v>1</v>
      </c>
      <c r="I2906">
        <v>5.2546296296296369E-3</v>
      </c>
      <c r="J2906">
        <v>44781</v>
      </c>
    </row>
    <row r="2907" spans="1:10" x14ac:dyDescent="0.35">
      <c r="A2907" s="2">
        <v>44783</v>
      </c>
      <c r="B2907" s="3">
        <v>0.87217592592592597</v>
      </c>
      <c r="C2907">
        <v>1862</v>
      </c>
      <c r="D2907" t="str">
        <f>VLOOKUP(H2907,Produkt!$A$2:$B$5,2,FALSE)</f>
        <v>B</v>
      </c>
      <c r="H2907">
        <v>2</v>
      </c>
      <c r="I2907">
        <v>0.49959490740740736</v>
      </c>
      <c r="J2907">
        <v>44775</v>
      </c>
    </row>
    <row r="2908" spans="1:10" x14ac:dyDescent="0.35">
      <c r="A2908" s="2">
        <v>44783</v>
      </c>
      <c r="B2908" s="3">
        <v>0.53625</v>
      </c>
      <c r="C2908">
        <v>1893</v>
      </c>
      <c r="D2908" t="str">
        <f>VLOOKUP(H2908,Produkt!$A$2:$B$5,2,FALSE)</f>
        <v>A</v>
      </c>
      <c r="H2908">
        <v>1</v>
      </c>
      <c r="I2908">
        <v>0.13298611111111111</v>
      </c>
      <c r="J2908">
        <v>44804</v>
      </c>
    </row>
    <row r="2909" spans="1:10" x14ac:dyDescent="0.35">
      <c r="A2909" s="2">
        <v>44783</v>
      </c>
      <c r="B2909" s="3">
        <v>0.65449074074074076</v>
      </c>
      <c r="C2909">
        <v>1911</v>
      </c>
      <c r="D2909" t="str">
        <f>VLOOKUP(H2909,Produkt!$A$2:$B$5,2,FALSE)</f>
        <v>A</v>
      </c>
      <c r="H2909">
        <v>1</v>
      </c>
      <c r="I2909">
        <v>0.86555555555555552</v>
      </c>
      <c r="J2909">
        <v>44802</v>
      </c>
    </row>
    <row r="2910" spans="1:10" x14ac:dyDescent="0.35">
      <c r="A2910" s="2">
        <v>44783</v>
      </c>
      <c r="B2910" s="3">
        <v>0.91366898148148146</v>
      </c>
      <c r="C2910">
        <v>1980</v>
      </c>
      <c r="D2910" t="str">
        <f>VLOOKUP(H2910,Produkt!$A$2:$B$5,2,FALSE)</f>
        <v>C</v>
      </c>
      <c r="H2910">
        <v>3</v>
      </c>
      <c r="I2910">
        <v>0.36622685185185189</v>
      </c>
      <c r="J2910">
        <v>44787</v>
      </c>
    </row>
    <row r="2911" spans="1:10" x14ac:dyDescent="0.35">
      <c r="A2911" s="2">
        <v>44783</v>
      </c>
      <c r="B2911" s="3">
        <v>0.35795138888888894</v>
      </c>
      <c r="C2911">
        <v>2043</v>
      </c>
      <c r="D2911" t="str">
        <f>VLOOKUP(H2911,Produkt!$A$2:$B$5,2,FALSE)</f>
        <v>D</v>
      </c>
      <c r="H2911">
        <v>4</v>
      </c>
      <c r="I2911">
        <v>0.88210648148148152</v>
      </c>
      <c r="J2911">
        <v>44801</v>
      </c>
    </row>
    <row r="2912" spans="1:10" x14ac:dyDescent="0.35">
      <c r="A2912" s="2">
        <v>44783</v>
      </c>
      <c r="B2912" s="3">
        <v>1.4791666666666668E-2</v>
      </c>
      <c r="C2912">
        <v>2094</v>
      </c>
      <c r="D2912" t="str">
        <f>VLOOKUP(H2912,Produkt!$A$2:$B$5,2,FALSE)</f>
        <v>C</v>
      </c>
      <c r="H2912">
        <v>3</v>
      </c>
      <c r="I2912">
        <v>0.77436342592592589</v>
      </c>
      <c r="J2912">
        <v>44780</v>
      </c>
    </row>
    <row r="2913" spans="1:10" x14ac:dyDescent="0.35">
      <c r="A2913" s="2">
        <v>44783</v>
      </c>
      <c r="B2913" s="3">
        <v>2.4837962962962923E-2</v>
      </c>
      <c r="C2913">
        <v>2110</v>
      </c>
      <c r="D2913" t="str">
        <f>VLOOKUP(H2913,Produkt!$A$2:$B$5,2,FALSE)</f>
        <v>A</v>
      </c>
      <c r="H2913">
        <v>1</v>
      </c>
      <c r="I2913">
        <v>0.42935185185185182</v>
      </c>
      <c r="J2913">
        <v>44800</v>
      </c>
    </row>
    <row r="2914" spans="1:10" x14ac:dyDescent="0.35">
      <c r="A2914" s="2">
        <v>44783</v>
      </c>
      <c r="B2914" s="3">
        <v>0.49467592592592591</v>
      </c>
      <c r="C2914">
        <v>2112</v>
      </c>
      <c r="D2914" t="str">
        <f>VLOOKUP(H2914,Produkt!$A$2:$B$5,2,FALSE)</f>
        <v>D</v>
      </c>
      <c r="H2914">
        <v>4</v>
      </c>
      <c r="I2914">
        <v>0.78628472222222223</v>
      </c>
      <c r="J2914">
        <v>44777</v>
      </c>
    </row>
    <row r="2915" spans="1:10" x14ac:dyDescent="0.35">
      <c r="A2915" s="2">
        <v>44783</v>
      </c>
      <c r="B2915" s="3">
        <v>0.6731597222222222</v>
      </c>
      <c r="C2915">
        <v>2142</v>
      </c>
      <c r="D2915" t="str">
        <f>VLOOKUP(H2915,Produkt!$A$2:$B$5,2,FALSE)</f>
        <v>D</v>
      </c>
      <c r="H2915">
        <v>4</v>
      </c>
      <c r="I2915">
        <v>0.44010416666666669</v>
      </c>
      <c r="J2915">
        <v>44775</v>
      </c>
    </row>
    <row r="2916" spans="1:10" x14ac:dyDescent="0.35">
      <c r="A2916" s="2">
        <v>44783</v>
      </c>
      <c r="B2916" s="3">
        <v>2.8240740740740739E-3</v>
      </c>
      <c r="C2916">
        <v>2195</v>
      </c>
      <c r="D2916" t="str">
        <f>VLOOKUP(H2916,Produkt!$A$2:$B$5,2,FALSE)</f>
        <v>A</v>
      </c>
      <c r="H2916">
        <v>1</v>
      </c>
      <c r="I2916">
        <v>0.20811342592592594</v>
      </c>
      <c r="J2916">
        <v>44801</v>
      </c>
    </row>
    <row r="2917" spans="1:10" x14ac:dyDescent="0.35">
      <c r="A2917" s="2">
        <v>44783</v>
      </c>
      <c r="B2917" s="3">
        <v>0.83138888888888884</v>
      </c>
      <c r="C2917">
        <v>2211</v>
      </c>
      <c r="D2917" t="str">
        <f>VLOOKUP(H2917,Produkt!$A$2:$B$5,2,FALSE)</f>
        <v>D</v>
      </c>
      <c r="H2917">
        <v>4</v>
      </c>
      <c r="I2917">
        <v>0.56662037037037039</v>
      </c>
      <c r="J2917">
        <v>44800</v>
      </c>
    </row>
    <row r="2918" spans="1:10" x14ac:dyDescent="0.35">
      <c r="A2918" s="2">
        <v>44783</v>
      </c>
      <c r="B2918" s="3">
        <v>0.17413194444444444</v>
      </c>
      <c r="C2918">
        <v>2218</v>
      </c>
      <c r="D2918" t="str">
        <f>VLOOKUP(H2918,Produkt!$A$2:$B$5,2,FALSE)</f>
        <v>B</v>
      </c>
      <c r="H2918">
        <v>2</v>
      </c>
      <c r="I2918">
        <v>0.92553240740740739</v>
      </c>
      <c r="J2918">
        <v>44795</v>
      </c>
    </row>
    <row r="2919" spans="1:10" x14ac:dyDescent="0.35">
      <c r="A2919" s="2">
        <v>44783</v>
      </c>
      <c r="B2919" s="3">
        <v>0.51697916666666666</v>
      </c>
      <c r="C2919">
        <v>2252</v>
      </c>
      <c r="D2919" t="str">
        <f>VLOOKUP(H2919,Produkt!$A$2:$B$5,2,FALSE)</f>
        <v>D</v>
      </c>
      <c r="H2919">
        <v>4</v>
      </c>
      <c r="I2919">
        <v>0.2202314814814815</v>
      </c>
      <c r="J2919">
        <v>44796</v>
      </c>
    </row>
    <row r="2920" spans="1:10" x14ac:dyDescent="0.35">
      <c r="A2920" s="2">
        <v>44783</v>
      </c>
      <c r="B2920" s="3">
        <v>0.25923611111111111</v>
      </c>
      <c r="C2920">
        <v>2260</v>
      </c>
      <c r="D2920" t="str">
        <f>VLOOKUP(H2920,Produkt!$A$2:$B$5,2,FALSE)</f>
        <v>A</v>
      </c>
      <c r="H2920">
        <v>1</v>
      </c>
      <c r="I2920">
        <v>0.72385416666666658</v>
      </c>
      <c r="J2920">
        <v>44781</v>
      </c>
    </row>
    <row r="2921" spans="1:10" x14ac:dyDescent="0.35">
      <c r="A2921" s="2">
        <v>44783</v>
      </c>
      <c r="B2921" s="3">
        <v>0.11028935185185185</v>
      </c>
      <c r="C2921">
        <v>2272</v>
      </c>
      <c r="D2921" t="str">
        <f>VLOOKUP(H2921,Produkt!$A$2:$B$5,2,FALSE)</f>
        <v>B</v>
      </c>
      <c r="H2921">
        <v>2</v>
      </c>
      <c r="I2921">
        <v>3.1180555555555555E-2</v>
      </c>
      <c r="J2921">
        <v>44776</v>
      </c>
    </row>
    <row r="2922" spans="1:10" x14ac:dyDescent="0.35">
      <c r="A2922" s="2">
        <v>44783</v>
      </c>
      <c r="B2922" s="3">
        <v>0.56825231481481475</v>
      </c>
      <c r="C2922">
        <v>2300</v>
      </c>
      <c r="D2922" t="str">
        <f>VLOOKUP(H2922,Produkt!$A$2:$B$5,2,FALSE)</f>
        <v>B</v>
      </c>
      <c r="H2922">
        <v>2</v>
      </c>
      <c r="I2922">
        <v>0.33504629629629629</v>
      </c>
      <c r="J2922">
        <v>44804</v>
      </c>
    </row>
    <row r="2923" spans="1:10" x14ac:dyDescent="0.35">
      <c r="A2923" s="2">
        <v>44783</v>
      </c>
      <c r="B2923" s="3">
        <v>2.2430555555555554E-2</v>
      </c>
      <c r="C2923">
        <v>2331</v>
      </c>
      <c r="D2923" t="str">
        <f>VLOOKUP(H2923,Produkt!$A$2:$B$5,2,FALSE)</f>
        <v>D</v>
      </c>
      <c r="H2923">
        <v>4</v>
      </c>
      <c r="I2923">
        <v>0.62893518518518521</v>
      </c>
      <c r="J2923">
        <v>44787</v>
      </c>
    </row>
    <row r="2924" spans="1:10" x14ac:dyDescent="0.35">
      <c r="A2924" s="2">
        <v>44783</v>
      </c>
      <c r="B2924" s="3">
        <v>0.89458333333333329</v>
      </c>
      <c r="C2924">
        <v>2339</v>
      </c>
      <c r="D2924" t="str">
        <f>VLOOKUP(H2924,Produkt!$A$2:$B$5,2,FALSE)</f>
        <v>B</v>
      </c>
      <c r="H2924">
        <v>2</v>
      </c>
      <c r="I2924">
        <v>0.57445601851851846</v>
      </c>
      <c r="J2924">
        <v>44777</v>
      </c>
    </row>
    <row r="2925" spans="1:10" x14ac:dyDescent="0.35">
      <c r="A2925" s="2">
        <v>44783</v>
      </c>
      <c r="B2925" s="3">
        <v>0.15990740740740741</v>
      </c>
      <c r="C2925">
        <v>2341</v>
      </c>
      <c r="D2925" t="str">
        <f>VLOOKUP(H2925,Produkt!$A$2:$B$5,2,FALSE)</f>
        <v>D</v>
      </c>
      <c r="H2925">
        <v>4</v>
      </c>
      <c r="I2925">
        <v>0.49456018518518513</v>
      </c>
      <c r="J2925">
        <v>44785</v>
      </c>
    </row>
    <row r="2926" spans="1:10" x14ac:dyDescent="0.35">
      <c r="A2926" s="2">
        <v>44783</v>
      </c>
      <c r="B2926" s="3">
        <v>0.23326388888888891</v>
      </c>
      <c r="C2926">
        <v>2387</v>
      </c>
      <c r="D2926" t="str">
        <f>VLOOKUP(H2926,Produkt!$A$2:$B$5,2,FALSE)</f>
        <v>C</v>
      </c>
      <c r="H2926">
        <v>3</v>
      </c>
      <c r="I2926">
        <v>0.79305555555555562</v>
      </c>
      <c r="J2926">
        <v>44795</v>
      </c>
    </row>
    <row r="2927" spans="1:10" x14ac:dyDescent="0.35">
      <c r="A2927" s="2">
        <v>44783</v>
      </c>
      <c r="B2927" s="3">
        <v>0.50015046296296295</v>
      </c>
      <c r="C2927">
        <v>2472</v>
      </c>
      <c r="D2927" t="str">
        <f>VLOOKUP(H2927,Produkt!$A$2:$B$5,2,FALSE)</f>
        <v>C</v>
      </c>
      <c r="H2927">
        <v>3</v>
      </c>
      <c r="I2927">
        <v>0.25887731481481485</v>
      </c>
      <c r="J2927">
        <v>44801</v>
      </c>
    </row>
    <row r="2928" spans="1:10" x14ac:dyDescent="0.35">
      <c r="A2928" s="2">
        <v>44783</v>
      </c>
      <c r="B2928" s="3">
        <v>0.13278935185185184</v>
      </c>
      <c r="C2928">
        <v>2498</v>
      </c>
      <c r="D2928" t="str">
        <f>VLOOKUP(H2928,Produkt!$A$2:$B$5,2,FALSE)</f>
        <v>D</v>
      </c>
      <c r="H2928">
        <v>4</v>
      </c>
      <c r="I2928">
        <v>0.42366898148148152</v>
      </c>
      <c r="J2928">
        <v>44783</v>
      </c>
    </row>
    <row r="2929" spans="1:10" x14ac:dyDescent="0.35">
      <c r="A2929" s="2">
        <v>44783</v>
      </c>
      <c r="B2929" s="3">
        <v>0.59122685185185186</v>
      </c>
      <c r="C2929">
        <v>2506</v>
      </c>
      <c r="D2929" t="str">
        <f>VLOOKUP(H2929,Produkt!$A$2:$B$5,2,FALSE)</f>
        <v>C</v>
      </c>
      <c r="H2929">
        <v>3</v>
      </c>
      <c r="I2929">
        <v>0.71451388888888889</v>
      </c>
      <c r="J2929">
        <v>44775</v>
      </c>
    </row>
    <row r="2930" spans="1:10" x14ac:dyDescent="0.35">
      <c r="A2930" s="2">
        <v>44783</v>
      </c>
      <c r="B2930" s="3">
        <v>0.31844907407407408</v>
      </c>
      <c r="C2930">
        <v>2517</v>
      </c>
      <c r="D2930" t="str">
        <f>VLOOKUP(H2930,Produkt!$A$2:$B$5,2,FALSE)</f>
        <v>B</v>
      </c>
      <c r="H2930">
        <v>2</v>
      </c>
      <c r="I2930">
        <v>0.4133680555555555</v>
      </c>
      <c r="J2930">
        <v>44803</v>
      </c>
    </row>
    <row r="2931" spans="1:10" x14ac:dyDescent="0.35">
      <c r="A2931" s="2">
        <v>44783</v>
      </c>
      <c r="B2931" s="3">
        <v>0.91653935185185187</v>
      </c>
      <c r="C2931">
        <v>2544</v>
      </c>
      <c r="D2931" t="str">
        <f>VLOOKUP(H2931,Produkt!$A$2:$B$5,2,FALSE)</f>
        <v>D</v>
      </c>
      <c r="H2931">
        <v>4</v>
      </c>
      <c r="I2931">
        <v>0.81618055555555558</v>
      </c>
      <c r="J2931">
        <v>44802</v>
      </c>
    </row>
    <row r="2932" spans="1:10" x14ac:dyDescent="0.35">
      <c r="A2932" s="2">
        <v>44783</v>
      </c>
      <c r="B2932" s="3">
        <v>0.24754629629629629</v>
      </c>
      <c r="C2932">
        <v>2588</v>
      </c>
      <c r="D2932" t="str">
        <f>VLOOKUP(H2932,Produkt!$A$2:$B$5,2,FALSE)</f>
        <v>A</v>
      </c>
      <c r="H2932">
        <v>1</v>
      </c>
      <c r="I2932">
        <v>0.37473379629629627</v>
      </c>
      <c r="J2932">
        <v>44793</v>
      </c>
    </row>
    <row r="2933" spans="1:10" x14ac:dyDescent="0.35">
      <c r="A2933" s="2">
        <v>44783</v>
      </c>
      <c r="B2933" s="3">
        <v>0.71146990740740745</v>
      </c>
      <c r="C2933">
        <v>2627</v>
      </c>
      <c r="D2933" t="str">
        <f>VLOOKUP(H2933,Produkt!$A$2:$B$5,2,FALSE)</f>
        <v>D</v>
      </c>
      <c r="H2933">
        <v>4</v>
      </c>
      <c r="I2933">
        <v>0.52046296296296302</v>
      </c>
      <c r="J2933">
        <v>44791</v>
      </c>
    </row>
    <row r="2934" spans="1:10" x14ac:dyDescent="0.35">
      <c r="A2934" s="2">
        <v>44783</v>
      </c>
      <c r="B2934" s="3">
        <v>0.97916666666666663</v>
      </c>
      <c r="C2934">
        <v>2636</v>
      </c>
      <c r="D2934" t="str">
        <f>VLOOKUP(H2934,Produkt!$A$2:$B$5,2,FALSE)</f>
        <v>A</v>
      </c>
      <c r="H2934">
        <v>1</v>
      </c>
      <c r="I2934">
        <v>0.75282407407407403</v>
      </c>
      <c r="J2934">
        <v>44796</v>
      </c>
    </row>
    <row r="2935" spans="1:10" x14ac:dyDescent="0.35">
      <c r="A2935" s="2">
        <v>44783</v>
      </c>
      <c r="B2935" s="3">
        <v>0.86262731481481481</v>
      </c>
      <c r="C2935">
        <v>2658</v>
      </c>
      <c r="D2935" t="str">
        <f>VLOOKUP(H2935,Produkt!$A$2:$B$5,2,FALSE)</f>
        <v>B</v>
      </c>
      <c r="H2935">
        <v>2</v>
      </c>
      <c r="I2935">
        <v>0.44333333333333336</v>
      </c>
      <c r="J2935">
        <v>44796</v>
      </c>
    </row>
    <row r="2936" spans="1:10" x14ac:dyDescent="0.35">
      <c r="A2936" s="2">
        <v>44783</v>
      </c>
      <c r="B2936" s="3">
        <v>0.98812500000000003</v>
      </c>
      <c r="C2936">
        <v>2689</v>
      </c>
      <c r="D2936" t="str">
        <f>VLOOKUP(H2936,Produkt!$A$2:$B$5,2,FALSE)</f>
        <v>C</v>
      </c>
      <c r="H2936">
        <v>3</v>
      </c>
      <c r="I2936">
        <v>0.76549768518518524</v>
      </c>
      <c r="J2936">
        <v>44776</v>
      </c>
    </row>
    <row r="2937" spans="1:10" x14ac:dyDescent="0.35">
      <c r="A2937" s="2">
        <v>44783</v>
      </c>
      <c r="B2937" s="3">
        <v>0.92482638888888891</v>
      </c>
      <c r="C2937">
        <v>2782</v>
      </c>
      <c r="D2937" t="str">
        <f>VLOOKUP(H2937,Produkt!$A$2:$B$5,2,FALSE)</f>
        <v>C</v>
      </c>
      <c r="H2937">
        <v>3</v>
      </c>
      <c r="I2937">
        <v>0.27475694444444443</v>
      </c>
      <c r="J2937">
        <v>44802</v>
      </c>
    </row>
    <row r="2938" spans="1:10" x14ac:dyDescent="0.35">
      <c r="A2938" s="2">
        <v>44783</v>
      </c>
      <c r="B2938" s="3">
        <v>0.21092592592592593</v>
      </c>
      <c r="C2938">
        <v>2813</v>
      </c>
      <c r="D2938" t="str">
        <f>VLOOKUP(H2938,Produkt!$A$2:$B$5,2,FALSE)</f>
        <v>B</v>
      </c>
      <c r="H2938">
        <v>2</v>
      </c>
      <c r="I2938">
        <v>5.4305555555555551E-2</v>
      </c>
      <c r="J2938">
        <v>44788</v>
      </c>
    </row>
    <row r="2939" spans="1:10" x14ac:dyDescent="0.35">
      <c r="A2939" s="2">
        <v>44783</v>
      </c>
      <c r="B2939" s="3">
        <v>0.90790509259259267</v>
      </c>
      <c r="C2939">
        <v>2827</v>
      </c>
      <c r="D2939" t="str">
        <f>VLOOKUP(H2939,Produkt!$A$2:$B$5,2,FALSE)</f>
        <v>B</v>
      </c>
      <c r="H2939">
        <v>2</v>
      </c>
      <c r="I2939">
        <v>0.18340277777777778</v>
      </c>
      <c r="J2939">
        <v>44794</v>
      </c>
    </row>
    <row r="2940" spans="1:10" x14ac:dyDescent="0.35">
      <c r="A2940" s="2">
        <v>44783</v>
      </c>
      <c r="B2940" s="3">
        <v>0.71953703703703698</v>
      </c>
      <c r="C2940">
        <v>2844</v>
      </c>
      <c r="D2940" t="str">
        <f>VLOOKUP(H2940,Produkt!$A$2:$B$5,2,FALSE)</f>
        <v>C</v>
      </c>
      <c r="H2940">
        <v>3</v>
      </c>
      <c r="I2940">
        <v>0.54218749999999993</v>
      </c>
      <c r="J2940">
        <v>44790</v>
      </c>
    </row>
    <row r="2941" spans="1:10" x14ac:dyDescent="0.35">
      <c r="A2941" s="2">
        <v>44783</v>
      </c>
      <c r="B2941" s="3">
        <v>0.86858796296296292</v>
      </c>
      <c r="C2941">
        <v>2850</v>
      </c>
      <c r="D2941" t="str">
        <f>VLOOKUP(H2941,Produkt!$A$2:$B$5,2,FALSE)</f>
        <v>C</v>
      </c>
      <c r="H2941">
        <v>3</v>
      </c>
      <c r="I2941">
        <v>0.29453703703703704</v>
      </c>
      <c r="J2941">
        <v>44780</v>
      </c>
    </row>
    <row r="2942" spans="1:10" x14ac:dyDescent="0.35">
      <c r="A2942" s="2">
        <v>44783</v>
      </c>
      <c r="B2942" s="3">
        <v>0.23783564814814814</v>
      </c>
      <c r="C2942">
        <v>2852</v>
      </c>
      <c r="D2942" t="str">
        <f>VLOOKUP(H2942,Produkt!$A$2:$B$5,2,FALSE)</f>
        <v>A</v>
      </c>
      <c r="H2942">
        <v>1</v>
      </c>
      <c r="I2942">
        <v>0.94833333333333336</v>
      </c>
      <c r="J2942">
        <v>44776</v>
      </c>
    </row>
    <row r="2943" spans="1:10" x14ac:dyDescent="0.35">
      <c r="A2943" s="2">
        <v>44783</v>
      </c>
      <c r="B2943" s="3">
        <v>3.5752314814814813E-2</v>
      </c>
      <c r="C2943">
        <v>2870</v>
      </c>
      <c r="D2943" t="str">
        <f>VLOOKUP(H2943,Produkt!$A$2:$B$5,2,FALSE)</f>
        <v>A</v>
      </c>
      <c r="H2943">
        <v>1</v>
      </c>
      <c r="I2943">
        <v>0.79001157407407396</v>
      </c>
      <c r="J2943">
        <v>44776</v>
      </c>
    </row>
    <row r="2944" spans="1:10" x14ac:dyDescent="0.35">
      <c r="A2944" s="2">
        <v>44783</v>
      </c>
      <c r="B2944" s="3">
        <v>0.47650462962962964</v>
      </c>
      <c r="C2944">
        <v>2871</v>
      </c>
      <c r="D2944" t="str">
        <f>VLOOKUP(H2944,Produkt!$A$2:$B$5,2,FALSE)</f>
        <v>A</v>
      </c>
      <c r="H2944">
        <v>1</v>
      </c>
      <c r="I2944">
        <v>0.10418981481481482</v>
      </c>
      <c r="J2944">
        <v>44788</v>
      </c>
    </row>
    <row r="2945" spans="1:10" x14ac:dyDescent="0.35">
      <c r="A2945" s="2">
        <v>44783</v>
      </c>
      <c r="B2945" s="3">
        <v>0.65869212962962964</v>
      </c>
      <c r="C2945">
        <v>2876</v>
      </c>
      <c r="D2945" t="str">
        <f>VLOOKUP(H2945,Produkt!$A$2:$B$5,2,FALSE)</f>
        <v>C</v>
      </c>
      <c r="H2945">
        <v>3</v>
      </c>
      <c r="I2945">
        <v>0.56359953703703702</v>
      </c>
      <c r="J2945">
        <v>44792</v>
      </c>
    </row>
    <row r="2946" spans="1:10" x14ac:dyDescent="0.35">
      <c r="A2946" s="2">
        <v>44783</v>
      </c>
      <c r="B2946" s="3">
        <v>2.1168981481481483E-2</v>
      </c>
      <c r="C2946">
        <v>2883</v>
      </c>
      <c r="D2946" t="str">
        <f>VLOOKUP(H2946,Produkt!$A$2:$B$5,2,FALSE)</f>
        <v>A</v>
      </c>
      <c r="H2946">
        <v>1</v>
      </c>
      <c r="I2946">
        <v>0.76052083333333342</v>
      </c>
      <c r="J2946">
        <v>44778</v>
      </c>
    </row>
    <row r="2947" spans="1:10" x14ac:dyDescent="0.35">
      <c r="A2947" s="2">
        <v>44783</v>
      </c>
      <c r="B2947" s="3">
        <v>0.52561342592592586</v>
      </c>
      <c r="C2947">
        <v>2902</v>
      </c>
      <c r="D2947" t="str">
        <f>VLOOKUP(H2947,Produkt!$A$2:$B$5,2,FALSE)</f>
        <v>D</v>
      </c>
      <c r="H2947">
        <v>4</v>
      </c>
      <c r="I2947">
        <v>0.4522106481481481</v>
      </c>
      <c r="J2947">
        <v>44799</v>
      </c>
    </row>
    <row r="2948" spans="1:10" x14ac:dyDescent="0.35">
      <c r="A2948" s="2">
        <v>44783</v>
      </c>
      <c r="B2948" s="3">
        <v>0.86555555555555552</v>
      </c>
      <c r="C2948">
        <v>2908</v>
      </c>
      <c r="D2948" t="str">
        <f>VLOOKUP(H2948,Produkt!$A$2:$B$5,2,FALSE)</f>
        <v>A</v>
      </c>
      <c r="H2948">
        <v>1</v>
      </c>
      <c r="I2948">
        <v>8.4594907407407396E-2</v>
      </c>
      <c r="J2948">
        <v>44778</v>
      </c>
    </row>
    <row r="2949" spans="1:10" x14ac:dyDescent="0.35">
      <c r="A2949" s="2">
        <v>44783</v>
      </c>
      <c r="B2949" s="3">
        <v>0.77436342592592589</v>
      </c>
      <c r="C2949">
        <v>2911</v>
      </c>
      <c r="D2949" t="str">
        <f>VLOOKUP(H2949,Produkt!$A$2:$B$5,2,FALSE)</f>
        <v>A</v>
      </c>
      <c r="H2949">
        <v>1</v>
      </c>
      <c r="I2949">
        <v>0.66053240740740737</v>
      </c>
      <c r="J2949">
        <v>44777</v>
      </c>
    </row>
    <row r="2950" spans="1:10" x14ac:dyDescent="0.35">
      <c r="A2950" s="2">
        <v>44783</v>
      </c>
      <c r="B2950" s="3">
        <v>1.3391203703703836E-2</v>
      </c>
      <c r="C2950">
        <v>2951</v>
      </c>
      <c r="D2950" t="str">
        <f>VLOOKUP(H2950,Produkt!$A$2:$B$5,2,FALSE)</f>
        <v>B</v>
      </c>
      <c r="H2950">
        <v>2</v>
      </c>
      <c r="I2950">
        <v>0.38541666666666669</v>
      </c>
      <c r="J2950">
        <v>44801</v>
      </c>
    </row>
    <row r="2951" spans="1:10" x14ac:dyDescent="0.35">
      <c r="A2951" s="2">
        <v>44783</v>
      </c>
      <c r="B2951" s="3">
        <v>0.32622685185185185</v>
      </c>
      <c r="C2951">
        <v>2957</v>
      </c>
      <c r="D2951" t="str">
        <f>VLOOKUP(H2951,Produkt!$A$2:$B$5,2,FALSE)</f>
        <v>A</v>
      </c>
      <c r="H2951">
        <v>1</v>
      </c>
      <c r="I2951">
        <v>0.13034722222222223</v>
      </c>
      <c r="J2951">
        <v>44774</v>
      </c>
    </row>
    <row r="2952" spans="1:10" x14ac:dyDescent="0.35">
      <c r="A2952" s="2">
        <v>44783</v>
      </c>
      <c r="B2952" s="3">
        <v>0.54702546296296295</v>
      </c>
      <c r="C2952">
        <v>2959</v>
      </c>
      <c r="D2952" t="str">
        <f>VLOOKUP(H2952,Produkt!$A$2:$B$5,2,FALSE)</f>
        <v>D</v>
      </c>
      <c r="H2952">
        <v>4</v>
      </c>
      <c r="I2952">
        <v>1.3391203703703836E-2</v>
      </c>
      <c r="J2952">
        <v>44779</v>
      </c>
    </row>
    <row r="2953" spans="1:10" x14ac:dyDescent="0.35">
      <c r="A2953" s="2">
        <v>44783</v>
      </c>
      <c r="B2953" s="3">
        <v>0.13032407407407406</v>
      </c>
      <c r="C2953">
        <v>2999</v>
      </c>
      <c r="D2953" t="str">
        <f>VLOOKUP(H2953,Produkt!$A$2:$B$5,2,FALSE)</f>
        <v>A</v>
      </c>
      <c r="H2953">
        <v>1</v>
      </c>
      <c r="I2953">
        <v>0.36909722222222219</v>
      </c>
      <c r="J2953">
        <v>44803</v>
      </c>
    </row>
    <row r="2954" spans="1:10" x14ac:dyDescent="0.35">
      <c r="A2954" s="2">
        <v>44783</v>
      </c>
      <c r="B2954" s="3">
        <v>0.10164351851851851</v>
      </c>
      <c r="C2954">
        <v>3017</v>
      </c>
      <c r="D2954" t="str">
        <f>VLOOKUP(H2954,Produkt!$A$2:$B$5,2,FALSE)</f>
        <v>D</v>
      </c>
      <c r="H2954">
        <v>4</v>
      </c>
      <c r="I2954">
        <v>0.10090277777777779</v>
      </c>
      <c r="J2954">
        <v>44787</v>
      </c>
    </row>
    <row r="2955" spans="1:10" x14ac:dyDescent="0.35">
      <c r="A2955" s="2">
        <v>44783</v>
      </c>
      <c r="B2955" s="3">
        <v>0.23163194444444443</v>
      </c>
      <c r="C2955">
        <v>3056</v>
      </c>
      <c r="D2955" t="str">
        <f>VLOOKUP(H2955,Produkt!$A$2:$B$5,2,FALSE)</f>
        <v>A</v>
      </c>
      <c r="H2955">
        <v>1</v>
      </c>
      <c r="I2955">
        <v>0.75034722222222217</v>
      </c>
      <c r="J2955">
        <v>44792</v>
      </c>
    </row>
    <row r="2956" spans="1:10" x14ac:dyDescent="0.35">
      <c r="A2956" s="2">
        <v>44783</v>
      </c>
      <c r="B2956" s="3">
        <v>3.681712962962963E-2</v>
      </c>
      <c r="C2956">
        <v>3059</v>
      </c>
      <c r="D2956" t="str">
        <f>VLOOKUP(H2956,Produkt!$A$2:$B$5,2,FALSE)</f>
        <v>D</v>
      </c>
      <c r="H2956">
        <v>4</v>
      </c>
      <c r="I2956">
        <v>0.62334490740740744</v>
      </c>
      <c r="J2956">
        <v>44789</v>
      </c>
    </row>
    <row r="2957" spans="1:10" x14ac:dyDescent="0.35">
      <c r="A2957" s="2">
        <v>44783</v>
      </c>
      <c r="B2957" s="3">
        <v>0.31577546296296294</v>
      </c>
      <c r="C2957">
        <v>3067</v>
      </c>
      <c r="D2957" t="str">
        <f>VLOOKUP(H2957,Produkt!$A$2:$B$5,2,FALSE)</f>
        <v>C</v>
      </c>
      <c r="H2957">
        <v>3</v>
      </c>
      <c r="I2957">
        <v>0.86579861111111101</v>
      </c>
      <c r="J2957">
        <v>44796</v>
      </c>
    </row>
    <row r="2958" spans="1:10" x14ac:dyDescent="0.35">
      <c r="A2958" s="2">
        <v>44783</v>
      </c>
      <c r="B2958" s="3">
        <v>0.9150462962962963</v>
      </c>
      <c r="C2958">
        <v>3081</v>
      </c>
      <c r="D2958" t="str">
        <f>VLOOKUP(H2958,Produkt!$A$2:$B$5,2,FALSE)</f>
        <v>C</v>
      </c>
      <c r="H2958">
        <v>3</v>
      </c>
      <c r="I2958">
        <v>0.32622685185185185</v>
      </c>
      <c r="J2958">
        <v>44787</v>
      </c>
    </row>
    <row r="2959" spans="1:10" x14ac:dyDescent="0.35">
      <c r="A2959" s="2">
        <v>44783</v>
      </c>
      <c r="B2959" s="3">
        <v>0.28712962962962962</v>
      </c>
      <c r="C2959">
        <v>3127</v>
      </c>
      <c r="D2959" t="str">
        <f>VLOOKUP(H2959,Produkt!$A$2:$B$5,2,FALSE)</f>
        <v>A</v>
      </c>
      <c r="H2959">
        <v>1</v>
      </c>
      <c r="I2959">
        <v>9.9548611111111115E-2</v>
      </c>
      <c r="J2959">
        <v>44785</v>
      </c>
    </row>
    <row r="2960" spans="1:10" x14ac:dyDescent="0.35">
      <c r="A2960" s="2">
        <v>44783</v>
      </c>
      <c r="B2960" s="3">
        <v>8.0266203703703701E-2</v>
      </c>
      <c r="C2960">
        <v>3129</v>
      </c>
      <c r="D2960" t="str">
        <f>VLOOKUP(H2960,Produkt!$A$2:$B$5,2,FALSE)</f>
        <v>C</v>
      </c>
      <c r="H2960">
        <v>3</v>
      </c>
      <c r="I2960">
        <v>0.54702546296296295</v>
      </c>
      <c r="J2960">
        <v>44790</v>
      </c>
    </row>
    <row r="2961" spans="1:10" x14ac:dyDescent="0.35">
      <c r="A2961" s="2">
        <v>44783</v>
      </c>
      <c r="B2961" s="3">
        <v>0.37207175925925928</v>
      </c>
      <c r="C2961">
        <v>3213</v>
      </c>
      <c r="D2961" t="str">
        <f>VLOOKUP(H2961,Produkt!$A$2:$B$5,2,FALSE)</f>
        <v>B</v>
      </c>
      <c r="H2961">
        <v>2</v>
      </c>
      <c r="I2961">
        <v>0.72373842592592597</v>
      </c>
      <c r="J2961">
        <v>44795</v>
      </c>
    </row>
    <row r="2962" spans="1:10" x14ac:dyDescent="0.35">
      <c r="A2962" s="2">
        <v>44783</v>
      </c>
      <c r="B2962" s="3">
        <v>0.7654050925925926</v>
      </c>
      <c r="C2962">
        <v>3250</v>
      </c>
      <c r="D2962" t="str">
        <f>VLOOKUP(H2962,Produkt!$A$2:$B$5,2,FALSE)</f>
        <v>B</v>
      </c>
      <c r="H2962">
        <v>2</v>
      </c>
      <c r="I2962">
        <v>0.5503703703703704</v>
      </c>
      <c r="J2962">
        <v>44785</v>
      </c>
    </row>
    <row r="2963" spans="1:10" x14ac:dyDescent="0.35">
      <c r="A2963" s="2">
        <v>44783</v>
      </c>
      <c r="B2963" s="3">
        <v>0.51268518518518513</v>
      </c>
      <c r="C2963">
        <v>3258</v>
      </c>
      <c r="D2963" t="str">
        <f>VLOOKUP(H2963,Produkt!$A$2:$B$5,2,FALSE)</f>
        <v>A</v>
      </c>
      <c r="H2963">
        <v>1</v>
      </c>
      <c r="I2963">
        <v>0.64620370370370372</v>
      </c>
      <c r="J2963">
        <v>44777</v>
      </c>
    </row>
    <row r="2964" spans="1:10" x14ac:dyDescent="0.35">
      <c r="A2964" s="2">
        <v>44783</v>
      </c>
      <c r="B2964" s="3">
        <v>0.67957175925925928</v>
      </c>
      <c r="C2964">
        <v>3266</v>
      </c>
      <c r="D2964" t="str">
        <f>VLOOKUP(H2964,Produkt!$A$2:$B$5,2,FALSE)</f>
        <v>C</v>
      </c>
      <c r="H2964">
        <v>3</v>
      </c>
      <c r="I2964">
        <v>0.46675925925925926</v>
      </c>
      <c r="J2964">
        <v>44803</v>
      </c>
    </row>
    <row r="2965" spans="1:10" x14ac:dyDescent="0.35">
      <c r="A2965" s="2">
        <v>44783</v>
      </c>
      <c r="B2965" s="3">
        <v>0.71077546296296301</v>
      </c>
      <c r="C2965">
        <v>3284</v>
      </c>
      <c r="D2965" t="str">
        <f>VLOOKUP(H2965,Produkt!$A$2:$B$5,2,FALSE)</f>
        <v>A</v>
      </c>
      <c r="H2965">
        <v>1</v>
      </c>
      <c r="I2965">
        <v>8.9918981481481475E-2</v>
      </c>
      <c r="J2965">
        <v>44775</v>
      </c>
    </row>
    <row r="2966" spans="1:10" x14ac:dyDescent="0.35">
      <c r="A2966" s="2">
        <v>44783</v>
      </c>
      <c r="B2966" s="3">
        <v>8.6134259259259258E-2</v>
      </c>
      <c r="C2966">
        <v>3333</v>
      </c>
      <c r="D2966" t="str">
        <f>VLOOKUP(H2966,Produkt!$A$2:$B$5,2,FALSE)</f>
        <v>B</v>
      </c>
      <c r="H2966">
        <v>2</v>
      </c>
      <c r="I2966">
        <v>0.1277662037037037</v>
      </c>
      <c r="J2966">
        <v>44796</v>
      </c>
    </row>
    <row r="2967" spans="1:10" x14ac:dyDescent="0.35">
      <c r="A2967" s="2">
        <v>44783</v>
      </c>
      <c r="B2967" s="3">
        <v>0.71719907407407402</v>
      </c>
      <c r="C2967">
        <v>3349</v>
      </c>
      <c r="D2967" t="str">
        <f>VLOOKUP(H2967,Produkt!$A$2:$B$5,2,FALSE)</f>
        <v>A</v>
      </c>
      <c r="H2967">
        <v>1</v>
      </c>
      <c r="I2967">
        <v>0.7596412037037038</v>
      </c>
      <c r="J2967">
        <v>44802</v>
      </c>
    </row>
    <row r="2968" spans="1:10" x14ac:dyDescent="0.35">
      <c r="A2968" s="2">
        <v>44783</v>
      </c>
      <c r="B2968" s="3">
        <v>0.99236111111111114</v>
      </c>
      <c r="C2968">
        <v>3352</v>
      </c>
      <c r="D2968" t="str">
        <f>VLOOKUP(H2968,Produkt!$A$2:$B$5,2,FALSE)</f>
        <v>D</v>
      </c>
      <c r="H2968">
        <v>4</v>
      </c>
      <c r="I2968">
        <v>0.31951388888888888</v>
      </c>
      <c r="J2968">
        <v>44779</v>
      </c>
    </row>
    <row r="2969" spans="1:10" x14ac:dyDescent="0.35">
      <c r="A2969" s="2">
        <v>44783</v>
      </c>
      <c r="B2969" s="3">
        <v>0.87378472222222225</v>
      </c>
      <c r="C2969">
        <v>3378</v>
      </c>
      <c r="D2969" t="str">
        <f>VLOOKUP(H2969,Produkt!$A$2:$B$5,2,FALSE)</f>
        <v>A</v>
      </c>
      <c r="H2969">
        <v>1</v>
      </c>
      <c r="I2969">
        <v>0.97263888888888894</v>
      </c>
      <c r="J2969">
        <v>44783</v>
      </c>
    </row>
    <row r="2970" spans="1:10" x14ac:dyDescent="0.35">
      <c r="A2970" s="2">
        <v>44783</v>
      </c>
      <c r="B2970" s="3">
        <v>0.46153935185185185</v>
      </c>
      <c r="C2970">
        <v>3423</v>
      </c>
      <c r="D2970" t="str">
        <f>VLOOKUP(H2970,Produkt!$A$2:$B$5,2,FALSE)</f>
        <v>B</v>
      </c>
      <c r="H2970">
        <v>2</v>
      </c>
      <c r="I2970">
        <v>0.91140046296296295</v>
      </c>
      <c r="J2970">
        <v>44793</v>
      </c>
    </row>
    <row r="2971" spans="1:10" x14ac:dyDescent="0.35">
      <c r="A2971" s="2">
        <v>44783</v>
      </c>
      <c r="B2971" s="3">
        <v>0.49443287037037037</v>
      </c>
      <c r="C2971">
        <v>3450</v>
      </c>
      <c r="D2971" t="str">
        <f>VLOOKUP(H2971,Produkt!$A$2:$B$5,2,FALSE)</f>
        <v>C</v>
      </c>
      <c r="H2971">
        <v>3</v>
      </c>
      <c r="I2971">
        <v>0.74454861111111104</v>
      </c>
      <c r="J2971">
        <v>44793</v>
      </c>
    </row>
    <row r="2972" spans="1:10" x14ac:dyDescent="0.35">
      <c r="A2972" s="2">
        <v>44783</v>
      </c>
      <c r="B2972" s="3">
        <v>0.76876157407407408</v>
      </c>
      <c r="C2972">
        <v>3471</v>
      </c>
      <c r="D2972" t="str">
        <f>VLOOKUP(H2972,Produkt!$A$2:$B$5,2,FALSE)</f>
        <v>B</v>
      </c>
      <c r="H2972">
        <v>2</v>
      </c>
      <c r="I2972">
        <v>0.82990740740740743</v>
      </c>
      <c r="J2972">
        <v>44778</v>
      </c>
    </row>
    <row r="2973" spans="1:10" x14ac:dyDescent="0.35">
      <c r="A2973" s="2">
        <v>44783</v>
      </c>
      <c r="B2973" s="3">
        <v>0.94334490740740751</v>
      </c>
      <c r="C2973">
        <v>3475</v>
      </c>
      <c r="D2973" t="str">
        <f>VLOOKUP(H2973,Produkt!$A$2:$B$5,2,FALSE)</f>
        <v>C</v>
      </c>
      <c r="H2973">
        <v>3</v>
      </c>
      <c r="I2973">
        <v>4.5578703703703705E-2</v>
      </c>
      <c r="J2973">
        <v>44774</v>
      </c>
    </row>
    <row r="2974" spans="1:10" x14ac:dyDescent="0.35">
      <c r="A2974" s="2">
        <v>44783</v>
      </c>
      <c r="B2974" s="3">
        <v>0.86269675925925926</v>
      </c>
      <c r="C2974">
        <v>3488</v>
      </c>
      <c r="D2974" t="str">
        <f>VLOOKUP(H2974,Produkt!$A$2:$B$5,2,FALSE)</f>
        <v>D</v>
      </c>
      <c r="H2974">
        <v>4</v>
      </c>
      <c r="I2974">
        <v>6.1805555555555558E-2</v>
      </c>
      <c r="J2974">
        <v>44791</v>
      </c>
    </row>
    <row r="2975" spans="1:10" x14ac:dyDescent="0.35">
      <c r="A2975" s="2">
        <v>44783</v>
      </c>
      <c r="B2975" s="3">
        <v>0.18945601851851854</v>
      </c>
      <c r="C2975">
        <v>3490</v>
      </c>
      <c r="D2975" t="str">
        <f>VLOOKUP(H2975,Produkt!$A$2:$B$5,2,FALSE)</f>
        <v>D</v>
      </c>
      <c r="H2975">
        <v>4</v>
      </c>
      <c r="I2975">
        <v>2.1921296296296244E-2</v>
      </c>
      <c r="J2975">
        <v>44803</v>
      </c>
    </row>
    <row r="2976" spans="1:10" x14ac:dyDescent="0.35">
      <c r="A2976" s="2">
        <v>44783</v>
      </c>
      <c r="B2976" s="3">
        <v>0.96528935185185183</v>
      </c>
      <c r="C2976">
        <v>3605</v>
      </c>
      <c r="D2976" t="str">
        <f>VLOOKUP(H2976,Produkt!$A$2:$B$5,2,FALSE)</f>
        <v>C</v>
      </c>
      <c r="H2976">
        <v>3</v>
      </c>
      <c r="I2976">
        <v>0.29944444444444446</v>
      </c>
      <c r="J2976">
        <v>44792</v>
      </c>
    </row>
    <row r="2977" spans="1:10" x14ac:dyDescent="0.35">
      <c r="A2977" s="2">
        <v>44783</v>
      </c>
      <c r="B2977" s="3">
        <v>0.28133101851851855</v>
      </c>
      <c r="C2977">
        <v>3641</v>
      </c>
      <c r="D2977" t="str">
        <f>VLOOKUP(H2977,Produkt!$A$2:$B$5,2,FALSE)</f>
        <v>A</v>
      </c>
      <c r="H2977">
        <v>1</v>
      </c>
      <c r="I2977">
        <v>0.6116435185185185</v>
      </c>
      <c r="J2977">
        <v>44794</v>
      </c>
    </row>
    <row r="2978" spans="1:10" x14ac:dyDescent="0.35">
      <c r="A2978" s="2">
        <v>44783</v>
      </c>
      <c r="B2978" s="3">
        <v>0.16465277777777779</v>
      </c>
      <c r="C2978">
        <v>3667</v>
      </c>
      <c r="D2978" t="str">
        <f>VLOOKUP(H2978,Produkt!$A$2:$B$5,2,FALSE)</f>
        <v>D</v>
      </c>
      <c r="H2978">
        <v>4</v>
      </c>
      <c r="I2978">
        <v>0.51869212962962963</v>
      </c>
      <c r="J2978">
        <v>44788</v>
      </c>
    </row>
    <row r="2979" spans="1:10" x14ac:dyDescent="0.35">
      <c r="A2979" s="2">
        <v>44783</v>
      </c>
      <c r="B2979" s="3">
        <v>0.59400462962962963</v>
      </c>
      <c r="C2979">
        <v>3673</v>
      </c>
      <c r="D2979" t="str">
        <f>VLOOKUP(H2979,Produkt!$A$2:$B$5,2,FALSE)</f>
        <v>A</v>
      </c>
      <c r="H2979">
        <v>1</v>
      </c>
      <c r="I2979">
        <v>0.41788194444444443</v>
      </c>
      <c r="J2979">
        <v>44804</v>
      </c>
    </row>
    <row r="2980" spans="1:10" x14ac:dyDescent="0.35">
      <c r="A2980" s="2">
        <v>44783</v>
      </c>
      <c r="B2980" s="3">
        <v>0.35546296296296293</v>
      </c>
      <c r="C2980">
        <v>3675</v>
      </c>
      <c r="D2980" t="str">
        <f>VLOOKUP(H2980,Produkt!$A$2:$B$5,2,FALSE)</f>
        <v>C</v>
      </c>
      <c r="H2980">
        <v>3</v>
      </c>
      <c r="I2980">
        <v>0.64642361111111113</v>
      </c>
      <c r="J2980">
        <v>44791</v>
      </c>
    </row>
    <row r="2981" spans="1:10" x14ac:dyDescent="0.35">
      <c r="A2981" s="2">
        <v>44783</v>
      </c>
      <c r="B2981" s="3">
        <v>0.14807870370370371</v>
      </c>
      <c r="C2981">
        <v>3697</v>
      </c>
      <c r="D2981" t="str">
        <f>VLOOKUP(H2981,Produkt!$A$2:$B$5,2,FALSE)</f>
        <v>B</v>
      </c>
      <c r="H2981">
        <v>2</v>
      </c>
      <c r="I2981">
        <v>0.91746527777777775</v>
      </c>
      <c r="J2981">
        <v>44782</v>
      </c>
    </row>
    <row r="2982" spans="1:10" x14ac:dyDescent="0.35">
      <c r="A2982" s="2">
        <v>44783</v>
      </c>
      <c r="B2982" s="3">
        <v>0.27187500000000003</v>
      </c>
      <c r="C2982">
        <v>3722</v>
      </c>
      <c r="D2982" t="str">
        <f>VLOOKUP(H2982,Produkt!$A$2:$B$5,2,FALSE)</f>
        <v>D</v>
      </c>
      <c r="H2982">
        <v>4</v>
      </c>
      <c r="I2982">
        <v>0.43880787037037039</v>
      </c>
      <c r="J2982">
        <v>44782</v>
      </c>
    </row>
    <row r="2983" spans="1:10" x14ac:dyDescent="0.35">
      <c r="A2983" s="2">
        <v>44783</v>
      </c>
      <c r="B2983" s="3">
        <v>0.25504629629629633</v>
      </c>
      <c r="C2983">
        <v>3782</v>
      </c>
      <c r="D2983" t="str">
        <f>VLOOKUP(H2983,Produkt!$A$2:$B$5,2,FALSE)</f>
        <v>D</v>
      </c>
      <c r="H2983">
        <v>4</v>
      </c>
      <c r="I2983">
        <v>0.37584490740740745</v>
      </c>
      <c r="J2983">
        <v>44795</v>
      </c>
    </row>
    <row r="2984" spans="1:10" x14ac:dyDescent="0.35">
      <c r="A2984" s="2">
        <v>44783</v>
      </c>
      <c r="B2984" s="3">
        <v>0.96723379629629624</v>
      </c>
      <c r="C2984">
        <v>3789</v>
      </c>
      <c r="D2984" t="str">
        <f>VLOOKUP(H2984,Produkt!$A$2:$B$5,2,FALSE)</f>
        <v>B</v>
      </c>
      <c r="H2984">
        <v>2</v>
      </c>
      <c r="I2984">
        <v>5.1736111111111427E-3</v>
      </c>
      <c r="J2984">
        <v>44803</v>
      </c>
    </row>
    <row r="2985" spans="1:10" x14ac:dyDescent="0.35">
      <c r="A2985" s="2">
        <v>44783</v>
      </c>
      <c r="B2985" s="3">
        <v>0.33501157407407406</v>
      </c>
      <c r="C2985">
        <v>3809</v>
      </c>
      <c r="D2985" t="str">
        <f>VLOOKUP(H2985,Produkt!$A$2:$B$5,2,FALSE)</f>
        <v>A</v>
      </c>
      <c r="H2985">
        <v>1</v>
      </c>
      <c r="I2985">
        <v>0.88504629629629628</v>
      </c>
      <c r="J2985">
        <v>44801</v>
      </c>
    </row>
    <row r="2986" spans="1:10" x14ac:dyDescent="0.35">
      <c r="A2986" s="2">
        <v>44783</v>
      </c>
      <c r="B2986" s="3">
        <v>0.69563657407407409</v>
      </c>
      <c r="C2986">
        <v>3935</v>
      </c>
      <c r="D2986" t="str">
        <f>VLOOKUP(H2986,Produkt!$A$2:$B$5,2,FALSE)</f>
        <v>B</v>
      </c>
      <c r="H2986">
        <v>2</v>
      </c>
      <c r="I2986">
        <v>0.48986111111111108</v>
      </c>
      <c r="J2986">
        <v>44789</v>
      </c>
    </row>
    <row r="2987" spans="1:10" x14ac:dyDescent="0.35">
      <c r="A2987" s="2">
        <v>44783</v>
      </c>
      <c r="B2987" s="3">
        <v>0.41540509259259256</v>
      </c>
      <c r="C2987">
        <v>3976</v>
      </c>
      <c r="D2987" t="str">
        <f>VLOOKUP(H2987,Produkt!$A$2:$B$5,2,FALSE)</f>
        <v>D</v>
      </c>
      <c r="H2987">
        <v>4</v>
      </c>
      <c r="I2987">
        <v>0.19810185185185183</v>
      </c>
      <c r="J2987">
        <v>44803</v>
      </c>
    </row>
    <row r="2988" spans="1:10" x14ac:dyDescent="0.35">
      <c r="A2988" s="2">
        <v>44783</v>
      </c>
      <c r="B2988" s="3">
        <v>0.4484143518518518</v>
      </c>
      <c r="C2988">
        <v>3980</v>
      </c>
      <c r="D2988" t="str">
        <f>VLOOKUP(H2988,Produkt!$A$2:$B$5,2,FALSE)</f>
        <v>D</v>
      </c>
      <c r="H2988">
        <v>4</v>
      </c>
      <c r="I2988">
        <v>0.18380787037037039</v>
      </c>
      <c r="J2988">
        <v>44786</v>
      </c>
    </row>
    <row r="2989" spans="1:10" x14ac:dyDescent="0.35">
      <c r="A2989" s="2">
        <v>44783</v>
      </c>
      <c r="B2989" s="3">
        <v>0.7439930555555555</v>
      </c>
      <c r="C2989">
        <v>3991</v>
      </c>
      <c r="D2989" t="str">
        <f>VLOOKUP(H2989,Produkt!$A$2:$B$5,2,FALSE)</f>
        <v>A</v>
      </c>
      <c r="H2989">
        <v>1</v>
      </c>
      <c r="I2989">
        <v>0.40234953703703707</v>
      </c>
      <c r="J2989">
        <v>44793</v>
      </c>
    </row>
    <row r="2990" spans="1:10" x14ac:dyDescent="0.35">
      <c r="A2990" s="2">
        <v>44783</v>
      </c>
      <c r="B2990" s="3">
        <v>0.79152777777777772</v>
      </c>
      <c r="C2990">
        <v>4023</v>
      </c>
      <c r="D2990" t="str">
        <f>VLOOKUP(H2990,Produkt!$A$2:$B$5,2,FALSE)</f>
        <v>C</v>
      </c>
      <c r="H2990">
        <v>3</v>
      </c>
      <c r="I2990">
        <v>0.93407407407407417</v>
      </c>
      <c r="J2990">
        <v>44777</v>
      </c>
    </row>
    <row r="2991" spans="1:10" x14ac:dyDescent="0.35">
      <c r="A2991" s="2">
        <v>44783</v>
      </c>
      <c r="B2991" s="3">
        <v>0.82130787037037034</v>
      </c>
      <c r="C2991">
        <v>4124</v>
      </c>
      <c r="D2991" t="str">
        <f>VLOOKUP(H2991,Produkt!$A$2:$B$5,2,FALSE)</f>
        <v>C</v>
      </c>
      <c r="H2991">
        <v>3</v>
      </c>
      <c r="I2991">
        <v>0.20534722222222224</v>
      </c>
      <c r="J2991">
        <v>44777</v>
      </c>
    </row>
    <row r="2992" spans="1:10" x14ac:dyDescent="0.35">
      <c r="A2992" s="2">
        <v>44783</v>
      </c>
      <c r="B2992" s="3">
        <v>9.895833333333437E-3</v>
      </c>
      <c r="C2992">
        <v>4177</v>
      </c>
      <c r="D2992" t="str">
        <f>VLOOKUP(H2992,Produkt!$A$2:$B$5,2,FALSE)</f>
        <v>C</v>
      </c>
      <c r="H2992">
        <v>3</v>
      </c>
      <c r="I2992">
        <v>0.11450231481481482</v>
      </c>
      <c r="J2992">
        <v>44802</v>
      </c>
    </row>
    <row r="2993" spans="1:10" x14ac:dyDescent="0.35">
      <c r="A2993" s="2">
        <v>44783</v>
      </c>
      <c r="B2993" s="3">
        <v>0.78112268518518524</v>
      </c>
      <c r="C2993">
        <v>4186</v>
      </c>
      <c r="D2993" t="str">
        <f>VLOOKUP(H2993,Produkt!$A$2:$B$5,2,FALSE)</f>
        <v>B</v>
      </c>
      <c r="H2993">
        <v>2</v>
      </c>
      <c r="I2993">
        <v>0.90280092592592587</v>
      </c>
      <c r="J2993">
        <v>44786</v>
      </c>
    </row>
    <row r="2994" spans="1:10" x14ac:dyDescent="0.35">
      <c r="A2994" s="2">
        <v>44783</v>
      </c>
      <c r="B2994" s="3">
        <v>0.57984953703703701</v>
      </c>
      <c r="C2994">
        <v>4200</v>
      </c>
      <c r="D2994" t="str">
        <f>VLOOKUP(H2994,Produkt!$A$2:$B$5,2,FALSE)</f>
        <v>D</v>
      </c>
      <c r="H2994">
        <v>4</v>
      </c>
      <c r="I2994">
        <v>0.53557870370370375</v>
      </c>
      <c r="J2994">
        <v>44800</v>
      </c>
    </row>
    <row r="2995" spans="1:10" x14ac:dyDescent="0.35">
      <c r="A2995" s="2">
        <v>44783</v>
      </c>
      <c r="B2995" s="3">
        <v>0.22777777777777777</v>
      </c>
      <c r="C2995">
        <v>4226</v>
      </c>
      <c r="D2995" t="str">
        <f>VLOOKUP(H2995,Produkt!$A$2:$B$5,2,FALSE)</f>
        <v>D</v>
      </c>
      <c r="H2995">
        <v>4</v>
      </c>
      <c r="I2995">
        <v>0.87114583333333329</v>
      </c>
      <c r="J2995">
        <v>44792</v>
      </c>
    </row>
    <row r="2996" spans="1:10" x14ac:dyDescent="0.35">
      <c r="A2996" s="2">
        <v>44783</v>
      </c>
      <c r="B2996" s="3">
        <v>0.65843750000000001</v>
      </c>
      <c r="C2996">
        <v>4228</v>
      </c>
      <c r="D2996" t="str">
        <f>VLOOKUP(H2996,Produkt!$A$2:$B$5,2,FALSE)</f>
        <v>D</v>
      </c>
      <c r="H2996">
        <v>4</v>
      </c>
      <c r="I2996">
        <v>0.2255324074074074</v>
      </c>
      <c r="J2996">
        <v>44791</v>
      </c>
    </row>
    <row r="2997" spans="1:10" x14ac:dyDescent="0.35">
      <c r="A2997" s="2">
        <v>44783</v>
      </c>
      <c r="B2997" s="3">
        <v>0.12119212962962962</v>
      </c>
      <c r="C2997">
        <v>4231</v>
      </c>
      <c r="D2997" t="str">
        <f>VLOOKUP(H2997,Produkt!$A$2:$B$5,2,FALSE)</f>
        <v>B</v>
      </c>
      <c r="H2997">
        <v>2</v>
      </c>
      <c r="I2997">
        <v>0.84645833333333342</v>
      </c>
      <c r="J2997">
        <v>44787</v>
      </c>
    </row>
    <row r="2998" spans="1:10" x14ac:dyDescent="0.35">
      <c r="A2998" s="2">
        <v>44783</v>
      </c>
      <c r="B2998" s="3">
        <v>0.26392361111111112</v>
      </c>
      <c r="C2998">
        <v>4242</v>
      </c>
      <c r="D2998" t="str">
        <f>VLOOKUP(H2998,Produkt!$A$2:$B$5,2,FALSE)</f>
        <v>C</v>
      </c>
      <c r="H2998">
        <v>3</v>
      </c>
      <c r="I2998">
        <v>0.32722222222222225</v>
      </c>
      <c r="J2998">
        <v>44782</v>
      </c>
    </row>
    <row r="2999" spans="1:10" x14ac:dyDescent="0.35">
      <c r="A2999" s="2">
        <v>44783</v>
      </c>
      <c r="B2999" s="3">
        <v>0.34407407407407403</v>
      </c>
      <c r="C2999">
        <v>4269</v>
      </c>
      <c r="D2999" t="str">
        <f>VLOOKUP(H2999,Produkt!$A$2:$B$5,2,FALSE)</f>
        <v>B</v>
      </c>
      <c r="H2999">
        <v>2</v>
      </c>
      <c r="I2999">
        <v>0.84254629629629629</v>
      </c>
      <c r="J2999">
        <v>44785</v>
      </c>
    </row>
    <row r="3000" spans="1:10" x14ac:dyDescent="0.35">
      <c r="A3000" s="2">
        <v>44783</v>
      </c>
      <c r="B3000" s="3">
        <v>8.1504629629629635E-2</v>
      </c>
      <c r="C3000">
        <v>4298</v>
      </c>
      <c r="D3000" t="str">
        <f>VLOOKUP(H3000,Produkt!$A$2:$B$5,2,FALSE)</f>
        <v>D</v>
      </c>
      <c r="H3000">
        <v>4</v>
      </c>
      <c r="I3000">
        <v>0.13032407407407406</v>
      </c>
      <c r="J3000">
        <v>44779</v>
      </c>
    </row>
    <row r="3001" spans="1:10" x14ac:dyDescent="0.35">
      <c r="A3001" s="2">
        <v>44783</v>
      </c>
      <c r="B3001" s="3">
        <v>9.5335648148148155E-2</v>
      </c>
      <c r="C3001">
        <v>4305</v>
      </c>
      <c r="D3001" t="str">
        <f>VLOOKUP(H3001,Produkt!$A$2:$B$5,2,FALSE)</f>
        <v>B</v>
      </c>
      <c r="H3001">
        <v>2</v>
      </c>
      <c r="I3001">
        <v>8.3333333333324155E-4</v>
      </c>
      <c r="J3001">
        <v>44803</v>
      </c>
    </row>
    <row r="3002" spans="1:10" x14ac:dyDescent="0.35">
      <c r="A3002" s="2">
        <v>44783</v>
      </c>
      <c r="B3002" s="3">
        <v>0.85449074074074083</v>
      </c>
      <c r="C3002">
        <v>4326</v>
      </c>
      <c r="D3002" t="str">
        <f>VLOOKUP(H3002,Produkt!$A$2:$B$5,2,FALSE)</f>
        <v>C</v>
      </c>
      <c r="H3002">
        <v>3</v>
      </c>
      <c r="I3002">
        <v>0.41247685185185184</v>
      </c>
      <c r="J3002">
        <v>44796</v>
      </c>
    </row>
    <row r="3003" spans="1:10" x14ac:dyDescent="0.35">
      <c r="A3003" s="2">
        <v>44783</v>
      </c>
      <c r="B3003" s="3">
        <v>2.6388888888888795E-2</v>
      </c>
      <c r="C3003">
        <v>4330</v>
      </c>
      <c r="D3003" t="str">
        <f>VLOOKUP(H3003,Produkt!$A$2:$B$5,2,FALSE)</f>
        <v>D</v>
      </c>
      <c r="H3003">
        <v>4</v>
      </c>
      <c r="I3003">
        <v>0.65689814814814818</v>
      </c>
      <c r="J3003">
        <v>44777</v>
      </c>
    </row>
    <row r="3004" spans="1:10" x14ac:dyDescent="0.35">
      <c r="A3004" s="2">
        <v>44783</v>
      </c>
      <c r="B3004" s="3">
        <v>0.97972222222222216</v>
      </c>
      <c r="C3004">
        <v>4355</v>
      </c>
      <c r="D3004" t="str">
        <f>VLOOKUP(H3004,Produkt!$A$2:$B$5,2,FALSE)</f>
        <v>A</v>
      </c>
      <c r="H3004">
        <v>1</v>
      </c>
      <c r="I3004">
        <v>3.1863425925925927E-2</v>
      </c>
      <c r="J3004">
        <v>44799</v>
      </c>
    </row>
    <row r="3005" spans="1:10" x14ac:dyDescent="0.35">
      <c r="A3005" s="2">
        <v>44783</v>
      </c>
      <c r="B3005" s="3">
        <v>0.31590277777777781</v>
      </c>
      <c r="C3005">
        <v>4362</v>
      </c>
      <c r="D3005" t="str">
        <f>VLOOKUP(H3005,Produkt!$A$2:$B$5,2,FALSE)</f>
        <v>D</v>
      </c>
      <c r="H3005">
        <v>4</v>
      </c>
      <c r="I3005">
        <v>0.35490740740740739</v>
      </c>
      <c r="J3005">
        <v>44791</v>
      </c>
    </row>
    <row r="3006" spans="1:10" x14ac:dyDescent="0.35">
      <c r="A3006" s="2">
        <v>44783</v>
      </c>
      <c r="B3006" s="3">
        <v>0.69324074074074071</v>
      </c>
      <c r="C3006">
        <v>4416</v>
      </c>
      <c r="D3006" t="str">
        <f>VLOOKUP(H3006,Produkt!$A$2:$B$5,2,FALSE)</f>
        <v>D</v>
      </c>
      <c r="H3006">
        <v>4</v>
      </c>
      <c r="I3006">
        <v>0.7931597222222222</v>
      </c>
      <c r="J3006">
        <v>44790</v>
      </c>
    </row>
    <row r="3007" spans="1:10" x14ac:dyDescent="0.35">
      <c r="A3007" s="2">
        <v>44783</v>
      </c>
      <c r="B3007" s="3">
        <v>0.37247685185185181</v>
      </c>
      <c r="C3007">
        <v>4451</v>
      </c>
      <c r="D3007" t="str">
        <f>VLOOKUP(H3007,Produkt!$A$2:$B$5,2,FALSE)</f>
        <v>A</v>
      </c>
      <c r="H3007">
        <v>1</v>
      </c>
      <c r="I3007">
        <v>0.8531712962962964</v>
      </c>
      <c r="J3007">
        <v>44803</v>
      </c>
    </row>
    <row r="3008" spans="1:10" x14ac:dyDescent="0.35">
      <c r="A3008" s="2">
        <v>44783</v>
      </c>
      <c r="B3008" s="3">
        <v>0.65421296296296294</v>
      </c>
      <c r="C3008">
        <v>4483</v>
      </c>
      <c r="D3008" t="str">
        <f>VLOOKUP(H3008,Produkt!$A$2:$B$5,2,FALSE)</f>
        <v>B</v>
      </c>
      <c r="H3008">
        <v>2</v>
      </c>
      <c r="I3008">
        <v>0.94770833333333337</v>
      </c>
      <c r="J3008">
        <v>44793</v>
      </c>
    </row>
    <row r="3009" spans="1:10" x14ac:dyDescent="0.35">
      <c r="A3009" s="2">
        <v>44783</v>
      </c>
      <c r="B3009" s="3">
        <v>0.24082175925925928</v>
      </c>
      <c r="C3009">
        <v>4545</v>
      </c>
      <c r="D3009" t="str">
        <f>VLOOKUP(H3009,Produkt!$A$2:$B$5,2,FALSE)</f>
        <v>C</v>
      </c>
      <c r="H3009">
        <v>3</v>
      </c>
      <c r="I3009">
        <v>0.38671296296296293</v>
      </c>
      <c r="J3009">
        <v>44804</v>
      </c>
    </row>
    <row r="3010" spans="1:10" x14ac:dyDescent="0.35">
      <c r="A3010" s="2">
        <v>44783</v>
      </c>
      <c r="B3010" s="3">
        <v>0.56144675925925924</v>
      </c>
      <c r="C3010">
        <v>4583</v>
      </c>
      <c r="D3010" t="str">
        <f>VLOOKUP(H3010,Produkt!$A$2:$B$5,2,FALSE)</f>
        <v>D</v>
      </c>
      <c r="H3010">
        <v>4</v>
      </c>
      <c r="I3010">
        <v>0.46013888888888888</v>
      </c>
      <c r="J3010">
        <v>44784</v>
      </c>
    </row>
    <row r="3011" spans="1:10" x14ac:dyDescent="0.35">
      <c r="A3011" s="2">
        <v>44783</v>
      </c>
      <c r="B3011" s="3">
        <v>0.92642361111111116</v>
      </c>
      <c r="C3011">
        <v>4622</v>
      </c>
      <c r="D3011" t="str">
        <f>VLOOKUP(H3011,Produkt!$A$2:$B$5,2,FALSE)</f>
        <v>A</v>
      </c>
      <c r="H3011">
        <v>1</v>
      </c>
      <c r="I3011">
        <v>0.87641203703703707</v>
      </c>
      <c r="J3011">
        <v>44795</v>
      </c>
    </row>
    <row r="3012" spans="1:10" x14ac:dyDescent="0.35">
      <c r="A3012" s="2">
        <v>44783</v>
      </c>
      <c r="B3012" s="3">
        <v>0.857488425925926</v>
      </c>
      <c r="C3012">
        <v>4629</v>
      </c>
      <c r="D3012" t="str">
        <f>VLOOKUP(H3012,Produkt!$A$2:$B$5,2,FALSE)</f>
        <v>D</v>
      </c>
      <c r="H3012">
        <v>4</v>
      </c>
      <c r="I3012">
        <v>0.30408564814814815</v>
      </c>
      <c r="J3012">
        <v>44783</v>
      </c>
    </row>
    <row r="3013" spans="1:10" x14ac:dyDescent="0.35">
      <c r="A3013" s="2">
        <v>44783</v>
      </c>
      <c r="B3013" s="3">
        <v>0.96734953703703708</v>
      </c>
      <c r="C3013">
        <v>4706</v>
      </c>
      <c r="D3013" t="str">
        <f>VLOOKUP(H3013,Produkt!$A$2:$B$5,2,FALSE)</f>
        <v>B</v>
      </c>
      <c r="H3013">
        <v>2</v>
      </c>
      <c r="I3013">
        <v>0.34652777777777777</v>
      </c>
      <c r="J3013">
        <v>44794</v>
      </c>
    </row>
    <row r="3014" spans="1:10" x14ac:dyDescent="0.35">
      <c r="A3014" s="2">
        <v>44783</v>
      </c>
      <c r="B3014" s="3">
        <v>0.72525462962962972</v>
      </c>
      <c r="C3014">
        <v>4755</v>
      </c>
      <c r="D3014" t="str">
        <f>VLOOKUP(H3014,Produkt!$A$2:$B$5,2,FALSE)</f>
        <v>D</v>
      </c>
      <c r="H3014">
        <v>4</v>
      </c>
      <c r="I3014">
        <v>0.68451388888888898</v>
      </c>
      <c r="J3014">
        <v>44776</v>
      </c>
    </row>
    <row r="3015" spans="1:10" x14ac:dyDescent="0.35">
      <c r="A3015" s="2">
        <v>44783</v>
      </c>
      <c r="B3015" s="3">
        <v>9.5567129629629641E-2</v>
      </c>
      <c r="C3015">
        <v>4770</v>
      </c>
      <c r="D3015" t="str">
        <f>VLOOKUP(H3015,Produkt!$A$2:$B$5,2,FALSE)</f>
        <v>B</v>
      </c>
      <c r="H3015">
        <v>2</v>
      </c>
      <c r="I3015">
        <v>0.59266203703703701</v>
      </c>
      <c r="J3015">
        <v>44785</v>
      </c>
    </row>
    <row r="3016" spans="1:10" x14ac:dyDescent="0.35">
      <c r="A3016" s="2">
        <v>44783</v>
      </c>
      <c r="B3016" s="3">
        <v>0.76357638888888879</v>
      </c>
      <c r="C3016">
        <v>4771</v>
      </c>
      <c r="D3016" t="str">
        <f>VLOOKUP(H3016,Produkt!$A$2:$B$5,2,FALSE)</f>
        <v>A</v>
      </c>
      <c r="H3016">
        <v>1</v>
      </c>
      <c r="I3016">
        <v>9.2708333333333393E-3</v>
      </c>
      <c r="J3016">
        <v>44790</v>
      </c>
    </row>
    <row r="3017" spans="1:10" x14ac:dyDescent="0.35">
      <c r="A3017" s="2">
        <v>44783</v>
      </c>
      <c r="B3017" s="3">
        <v>0.79245370370370372</v>
      </c>
      <c r="C3017">
        <v>4789</v>
      </c>
      <c r="D3017" t="str">
        <f>VLOOKUP(H3017,Produkt!$A$2:$B$5,2,FALSE)</f>
        <v>D</v>
      </c>
      <c r="H3017">
        <v>4</v>
      </c>
      <c r="I3017">
        <v>2.9930555555555557E-2</v>
      </c>
      <c r="J3017">
        <v>44791</v>
      </c>
    </row>
    <row r="3018" spans="1:10" x14ac:dyDescent="0.35">
      <c r="A3018" s="2">
        <v>44783</v>
      </c>
      <c r="B3018" s="3">
        <v>0.13616898148148149</v>
      </c>
      <c r="C3018">
        <v>4941</v>
      </c>
      <c r="D3018" t="str">
        <f>VLOOKUP(H3018,Produkt!$A$2:$B$5,2,FALSE)</f>
        <v>B</v>
      </c>
      <c r="H3018">
        <v>2</v>
      </c>
      <c r="I3018">
        <v>0.10164351851851851</v>
      </c>
      <c r="J3018">
        <v>44797</v>
      </c>
    </row>
    <row r="3019" spans="1:10" x14ac:dyDescent="0.35">
      <c r="A3019" s="2">
        <v>44783</v>
      </c>
      <c r="B3019" s="3">
        <v>0.2401736111111111</v>
      </c>
      <c r="C3019">
        <v>5006</v>
      </c>
      <c r="D3019" t="str">
        <f>VLOOKUP(H3019,Produkt!$A$2:$B$5,2,FALSE)</f>
        <v>C</v>
      </c>
      <c r="H3019">
        <v>3</v>
      </c>
      <c r="I3019">
        <v>3.2581018518518516E-2</v>
      </c>
      <c r="J3019">
        <v>44791</v>
      </c>
    </row>
    <row r="3020" spans="1:10" x14ac:dyDescent="0.35">
      <c r="A3020" s="2">
        <v>44783</v>
      </c>
      <c r="B3020" s="3">
        <v>0.6545023148148148</v>
      </c>
      <c r="C3020">
        <v>5008</v>
      </c>
      <c r="D3020" t="str">
        <f>VLOOKUP(H3020,Produkt!$A$2:$B$5,2,FALSE)</f>
        <v>B</v>
      </c>
      <c r="H3020">
        <v>2</v>
      </c>
      <c r="I3020">
        <v>0.99446759259259254</v>
      </c>
      <c r="J3020">
        <v>44795</v>
      </c>
    </row>
    <row r="3021" spans="1:10" x14ac:dyDescent="0.35">
      <c r="A3021" s="2">
        <v>44783</v>
      </c>
      <c r="B3021" s="3">
        <v>0.36174768518518513</v>
      </c>
      <c r="C3021">
        <v>5030</v>
      </c>
      <c r="D3021" t="str">
        <f>VLOOKUP(H3021,Produkt!$A$2:$B$5,2,FALSE)</f>
        <v>D</v>
      </c>
      <c r="H3021">
        <v>4</v>
      </c>
      <c r="I3021">
        <v>0.12494212962962963</v>
      </c>
      <c r="J3021">
        <v>44797</v>
      </c>
    </row>
    <row r="3022" spans="1:10" x14ac:dyDescent="0.35">
      <c r="A3022" s="2">
        <v>44783</v>
      </c>
      <c r="B3022" s="3">
        <v>0.52844907407407404</v>
      </c>
      <c r="C3022">
        <v>5043</v>
      </c>
      <c r="D3022" t="str">
        <f>VLOOKUP(H3022,Produkt!$A$2:$B$5,2,FALSE)</f>
        <v>C</v>
      </c>
      <c r="H3022">
        <v>3</v>
      </c>
      <c r="I3022">
        <v>0.38575231481481481</v>
      </c>
      <c r="J3022">
        <v>44792</v>
      </c>
    </row>
    <row r="3023" spans="1:10" x14ac:dyDescent="0.35">
      <c r="A3023" s="2">
        <v>44783</v>
      </c>
      <c r="B3023" s="3">
        <v>0.73739583333333336</v>
      </c>
      <c r="C3023">
        <v>5075</v>
      </c>
      <c r="D3023" t="str">
        <f>VLOOKUP(H3023,Produkt!$A$2:$B$5,2,FALSE)</f>
        <v>D</v>
      </c>
      <c r="H3023">
        <v>4</v>
      </c>
      <c r="I3023">
        <v>0.27451388888888889</v>
      </c>
      <c r="J3023">
        <v>44788</v>
      </c>
    </row>
    <row r="3024" spans="1:10" x14ac:dyDescent="0.35">
      <c r="A3024" s="2">
        <v>44783</v>
      </c>
      <c r="B3024" s="3">
        <v>0.33185185185185184</v>
      </c>
      <c r="C3024">
        <v>5091</v>
      </c>
      <c r="D3024" t="str">
        <f>VLOOKUP(H3024,Produkt!$A$2:$B$5,2,FALSE)</f>
        <v>A</v>
      </c>
      <c r="H3024">
        <v>1</v>
      </c>
      <c r="I3024">
        <v>0.91438657407407409</v>
      </c>
      <c r="J3024">
        <v>44788</v>
      </c>
    </row>
    <row r="3025" spans="1:10" x14ac:dyDescent="0.35">
      <c r="A3025" s="2">
        <v>44783</v>
      </c>
      <c r="B3025" s="3">
        <v>0.92969907407407415</v>
      </c>
      <c r="C3025">
        <v>5103</v>
      </c>
      <c r="D3025" t="str">
        <f>VLOOKUP(H3025,Produkt!$A$2:$B$5,2,FALSE)</f>
        <v>C</v>
      </c>
      <c r="H3025">
        <v>3</v>
      </c>
      <c r="I3025">
        <v>0.5247222222222222</v>
      </c>
      <c r="J3025">
        <v>44784</v>
      </c>
    </row>
    <row r="3026" spans="1:10" x14ac:dyDescent="0.35">
      <c r="A3026" s="2">
        <v>44783</v>
      </c>
      <c r="B3026" s="3">
        <v>0.72555555555555562</v>
      </c>
      <c r="C3026">
        <v>5132</v>
      </c>
      <c r="D3026" t="str">
        <f>VLOOKUP(H3026,Produkt!$A$2:$B$5,2,FALSE)</f>
        <v>B</v>
      </c>
      <c r="H3026">
        <v>2</v>
      </c>
      <c r="I3026">
        <v>0.32083333333333336</v>
      </c>
      <c r="J3026">
        <v>44788</v>
      </c>
    </row>
    <row r="3027" spans="1:10" x14ac:dyDescent="0.35">
      <c r="A3027" s="2">
        <v>44783</v>
      </c>
      <c r="B3027" s="3">
        <v>8.5694444444444448E-2</v>
      </c>
      <c r="C3027">
        <v>5165</v>
      </c>
      <c r="D3027" t="str">
        <f>VLOOKUP(H3027,Produkt!$A$2:$B$5,2,FALSE)</f>
        <v>A</v>
      </c>
      <c r="H3027">
        <v>1</v>
      </c>
      <c r="I3027">
        <v>2.8136574074074217E-2</v>
      </c>
      <c r="J3027">
        <v>44802</v>
      </c>
    </row>
    <row r="3028" spans="1:10" x14ac:dyDescent="0.35">
      <c r="A3028" s="2">
        <v>44783</v>
      </c>
      <c r="B3028" s="3">
        <v>0.96954861111111112</v>
      </c>
      <c r="C3028">
        <v>5180</v>
      </c>
      <c r="D3028" t="str">
        <f>VLOOKUP(H3028,Produkt!$A$2:$B$5,2,FALSE)</f>
        <v>C</v>
      </c>
      <c r="H3028">
        <v>3</v>
      </c>
      <c r="I3028">
        <v>0.35454861111111113</v>
      </c>
      <c r="J3028">
        <v>44783</v>
      </c>
    </row>
    <row r="3029" spans="1:10" x14ac:dyDescent="0.35">
      <c r="A3029" s="2">
        <v>44783</v>
      </c>
      <c r="B3029" s="3">
        <v>0.92700231481481488</v>
      </c>
      <c r="C3029">
        <v>5182</v>
      </c>
      <c r="D3029" t="str">
        <f>VLOOKUP(H3029,Produkt!$A$2:$B$5,2,FALSE)</f>
        <v>C</v>
      </c>
      <c r="H3029">
        <v>3</v>
      </c>
      <c r="I3029">
        <v>0.17710648148148148</v>
      </c>
      <c r="J3029">
        <v>44782</v>
      </c>
    </row>
    <row r="3030" spans="1:10" x14ac:dyDescent="0.35">
      <c r="A3030" s="2">
        <v>44783</v>
      </c>
      <c r="B3030" s="3">
        <v>0.44104166666666672</v>
      </c>
      <c r="C3030">
        <v>5199</v>
      </c>
      <c r="D3030" t="str">
        <f>VLOOKUP(H3030,Produkt!$A$2:$B$5,2,FALSE)</f>
        <v>B</v>
      </c>
      <c r="H3030">
        <v>2</v>
      </c>
      <c r="I3030">
        <v>0.83065972222222229</v>
      </c>
      <c r="J3030">
        <v>44797</v>
      </c>
    </row>
    <row r="3031" spans="1:10" x14ac:dyDescent="0.35">
      <c r="A3031" s="2">
        <v>44783</v>
      </c>
      <c r="B3031" s="3">
        <v>0.26134259259259257</v>
      </c>
      <c r="C3031">
        <v>5247</v>
      </c>
      <c r="D3031" t="str">
        <f>VLOOKUP(H3031,Produkt!$A$2:$B$5,2,FALSE)</f>
        <v>B</v>
      </c>
      <c r="H3031">
        <v>2</v>
      </c>
      <c r="I3031">
        <v>0.44930555555555557</v>
      </c>
      <c r="J3031">
        <v>44786</v>
      </c>
    </row>
    <row r="3032" spans="1:10" x14ac:dyDescent="0.35">
      <c r="A3032" s="2">
        <v>44783</v>
      </c>
      <c r="B3032" s="3">
        <v>0.43541666666666662</v>
      </c>
      <c r="C3032">
        <v>5281</v>
      </c>
      <c r="D3032" t="str">
        <f>VLOOKUP(H3032,Produkt!$A$2:$B$5,2,FALSE)</f>
        <v>B</v>
      </c>
      <c r="H3032">
        <v>2</v>
      </c>
      <c r="I3032">
        <v>0.88484953703703706</v>
      </c>
      <c r="J3032">
        <v>44794</v>
      </c>
    </row>
    <row r="3033" spans="1:10" x14ac:dyDescent="0.35">
      <c r="A3033" s="2">
        <v>44783</v>
      </c>
      <c r="B3033" s="3">
        <v>9.5138888888888884E-2</v>
      </c>
      <c r="C3033">
        <v>5292</v>
      </c>
      <c r="D3033" t="str">
        <f>VLOOKUP(H3033,Produkt!$A$2:$B$5,2,FALSE)</f>
        <v>D</v>
      </c>
      <c r="H3033">
        <v>4</v>
      </c>
      <c r="I3033">
        <v>0.37641203703703702</v>
      </c>
      <c r="J3033">
        <v>44775</v>
      </c>
    </row>
    <row r="3034" spans="1:10" x14ac:dyDescent="0.35">
      <c r="A3034" s="2">
        <v>44783</v>
      </c>
      <c r="B3034" s="3">
        <v>0.47409722222222223</v>
      </c>
      <c r="C3034">
        <v>5342</v>
      </c>
      <c r="D3034" t="str">
        <f>VLOOKUP(H3034,Produkt!$A$2:$B$5,2,FALSE)</f>
        <v>C</v>
      </c>
      <c r="H3034">
        <v>3</v>
      </c>
      <c r="I3034">
        <v>0.9421180555555555</v>
      </c>
      <c r="J3034">
        <v>44788</v>
      </c>
    </row>
    <row r="3035" spans="1:10" x14ac:dyDescent="0.35">
      <c r="A3035" s="2">
        <v>44783</v>
      </c>
      <c r="B3035" s="3">
        <v>8.1018518518518601E-3</v>
      </c>
      <c r="C3035">
        <v>5360</v>
      </c>
      <c r="D3035" t="str">
        <f>VLOOKUP(H3035,Produkt!$A$2:$B$5,2,FALSE)</f>
        <v>A</v>
      </c>
      <c r="H3035">
        <v>1</v>
      </c>
      <c r="I3035">
        <v>0.70171296296296293</v>
      </c>
      <c r="J3035">
        <v>44792</v>
      </c>
    </row>
    <row r="3036" spans="1:10" x14ac:dyDescent="0.35">
      <c r="A3036" s="2">
        <v>44783</v>
      </c>
      <c r="B3036" s="3">
        <v>0.93387731481481484</v>
      </c>
      <c r="C3036">
        <v>5362</v>
      </c>
      <c r="D3036" t="str">
        <f>VLOOKUP(H3036,Produkt!$A$2:$B$5,2,FALSE)</f>
        <v>C</v>
      </c>
      <c r="H3036">
        <v>3</v>
      </c>
      <c r="I3036">
        <v>0.73607638888888882</v>
      </c>
      <c r="J3036">
        <v>44785</v>
      </c>
    </row>
    <row r="3037" spans="1:10" x14ac:dyDescent="0.35">
      <c r="A3037" s="2">
        <v>44783</v>
      </c>
      <c r="B3037" s="3">
        <v>0.62519675925925922</v>
      </c>
      <c r="C3037">
        <v>5380</v>
      </c>
      <c r="D3037" t="str">
        <f>VLOOKUP(H3037,Produkt!$A$2:$B$5,2,FALSE)</f>
        <v>D</v>
      </c>
      <c r="H3037">
        <v>4</v>
      </c>
      <c r="I3037">
        <v>0.81505787037037036</v>
      </c>
      <c r="J3037">
        <v>44790</v>
      </c>
    </row>
    <row r="3038" spans="1:10" x14ac:dyDescent="0.35">
      <c r="A3038" s="2">
        <v>44783</v>
      </c>
      <c r="B3038" s="3">
        <v>9.1643518518518527E-2</v>
      </c>
      <c r="C3038">
        <v>5391</v>
      </c>
      <c r="D3038" t="str">
        <f>VLOOKUP(H3038,Produkt!$A$2:$B$5,2,FALSE)</f>
        <v>C</v>
      </c>
      <c r="H3038">
        <v>3</v>
      </c>
      <c r="I3038">
        <v>1.0671296296296262E-2</v>
      </c>
      <c r="J3038">
        <v>44804</v>
      </c>
    </row>
    <row r="3039" spans="1:10" x14ac:dyDescent="0.35">
      <c r="A3039" s="2">
        <v>44783</v>
      </c>
      <c r="B3039" s="3">
        <v>2.6620370370370461E-2</v>
      </c>
      <c r="C3039">
        <v>5395</v>
      </c>
      <c r="D3039" t="str">
        <f>VLOOKUP(H3039,Produkt!$A$2:$B$5,2,FALSE)</f>
        <v>D</v>
      </c>
      <c r="H3039">
        <v>4</v>
      </c>
      <c r="I3039">
        <v>0.19525462962962961</v>
      </c>
      <c r="J3039">
        <v>44778</v>
      </c>
    </row>
    <row r="3040" spans="1:10" x14ac:dyDescent="0.35">
      <c r="A3040" s="2">
        <v>44783</v>
      </c>
      <c r="B3040" s="3">
        <v>0.91454861111111108</v>
      </c>
      <c r="C3040">
        <v>5406</v>
      </c>
      <c r="D3040" t="str">
        <f>VLOOKUP(H3040,Produkt!$A$2:$B$5,2,FALSE)</f>
        <v>A</v>
      </c>
      <c r="H3040">
        <v>1</v>
      </c>
      <c r="I3040">
        <v>0.68979166666666669</v>
      </c>
      <c r="J3040">
        <v>44801</v>
      </c>
    </row>
    <row r="3041" spans="1:10" x14ac:dyDescent="0.35">
      <c r="A3041" s="2">
        <v>44783</v>
      </c>
      <c r="B3041" s="3">
        <v>0.32981481481481484</v>
      </c>
      <c r="C3041">
        <v>5426</v>
      </c>
      <c r="D3041" t="str">
        <f>VLOOKUP(H3041,Produkt!$A$2:$B$5,2,FALSE)</f>
        <v>C</v>
      </c>
      <c r="H3041">
        <v>3</v>
      </c>
      <c r="I3041">
        <v>0.64652777777777781</v>
      </c>
      <c r="J3041">
        <v>44778</v>
      </c>
    </row>
    <row r="3042" spans="1:10" x14ac:dyDescent="0.35">
      <c r="A3042" s="2">
        <v>44783</v>
      </c>
      <c r="B3042" s="3">
        <v>0.36379629629629634</v>
      </c>
      <c r="C3042">
        <v>5450</v>
      </c>
      <c r="D3042" t="str">
        <f>VLOOKUP(H3042,Produkt!$A$2:$B$5,2,FALSE)</f>
        <v>D</v>
      </c>
      <c r="H3042">
        <v>4</v>
      </c>
      <c r="I3042">
        <v>4.6793981481481478E-2</v>
      </c>
      <c r="J3042">
        <v>44777</v>
      </c>
    </row>
    <row r="3043" spans="1:10" x14ac:dyDescent="0.35">
      <c r="A3043" s="2">
        <v>44783</v>
      </c>
      <c r="B3043" s="3">
        <v>0.39966435185185184</v>
      </c>
      <c r="C3043">
        <v>5460</v>
      </c>
      <c r="D3043" t="str">
        <f>VLOOKUP(H3043,Produkt!$A$2:$B$5,2,FALSE)</f>
        <v>A</v>
      </c>
      <c r="H3043">
        <v>1</v>
      </c>
      <c r="I3043">
        <v>0.37065972222222227</v>
      </c>
      <c r="J3043">
        <v>44775</v>
      </c>
    </row>
    <row r="3044" spans="1:10" x14ac:dyDescent="0.35">
      <c r="A3044" s="2">
        <v>44783</v>
      </c>
      <c r="B3044" s="3">
        <v>0.78762731481481474</v>
      </c>
      <c r="C3044">
        <v>5550</v>
      </c>
      <c r="D3044" t="str">
        <f>VLOOKUP(H3044,Produkt!$A$2:$B$5,2,FALSE)</f>
        <v>B</v>
      </c>
      <c r="H3044">
        <v>2</v>
      </c>
      <c r="I3044">
        <v>0.78755787037037039</v>
      </c>
      <c r="J3044">
        <v>44778</v>
      </c>
    </row>
    <row r="3045" spans="1:10" x14ac:dyDescent="0.35">
      <c r="A3045" s="2">
        <v>44783</v>
      </c>
      <c r="B3045" s="3">
        <v>0.57640046296296299</v>
      </c>
      <c r="C3045">
        <v>5560</v>
      </c>
      <c r="D3045" t="str">
        <f>VLOOKUP(H3045,Produkt!$A$2:$B$5,2,FALSE)</f>
        <v>B</v>
      </c>
      <c r="H3045">
        <v>2</v>
      </c>
      <c r="I3045">
        <v>0.84513888888888899</v>
      </c>
      <c r="J3045">
        <v>44785</v>
      </c>
    </row>
    <row r="3046" spans="1:10" x14ac:dyDescent="0.35">
      <c r="A3046" s="2">
        <v>44783</v>
      </c>
      <c r="B3046" s="3">
        <v>8.5706018518518515E-2</v>
      </c>
      <c r="C3046">
        <v>5605</v>
      </c>
      <c r="D3046" t="str">
        <f>VLOOKUP(H3046,Produkt!$A$2:$B$5,2,FALSE)</f>
        <v>B</v>
      </c>
      <c r="H3046">
        <v>2</v>
      </c>
      <c r="I3046">
        <v>9.0740740740740729E-3</v>
      </c>
      <c r="J3046">
        <v>44791</v>
      </c>
    </row>
    <row r="3047" spans="1:10" x14ac:dyDescent="0.35">
      <c r="A3047" s="2">
        <v>44783</v>
      </c>
      <c r="B3047" s="3">
        <v>0.12935185185185186</v>
      </c>
      <c r="C3047">
        <v>5617</v>
      </c>
      <c r="D3047" t="str">
        <f>VLOOKUP(H3047,Produkt!$A$2:$B$5,2,FALSE)</f>
        <v>B</v>
      </c>
      <c r="H3047">
        <v>2</v>
      </c>
      <c r="I3047">
        <v>0.79953703703703705</v>
      </c>
      <c r="J3047">
        <v>44801</v>
      </c>
    </row>
    <row r="3048" spans="1:10" x14ac:dyDescent="0.35">
      <c r="A3048" s="2">
        <v>44783</v>
      </c>
      <c r="B3048" s="3">
        <v>4.4444444444444731E-3</v>
      </c>
      <c r="C3048">
        <v>5648</v>
      </c>
      <c r="D3048" t="str">
        <f>VLOOKUP(H3048,Produkt!$A$2:$B$5,2,FALSE)</f>
        <v>C</v>
      </c>
      <c r="H3048">
        <v>3</v>
      </c>
      <c r="I3048">
        <v>0.73123842592592592</v>
      </c>
      <c r="J3048">
        <v>44796</v>
      </c>
    </row>
    <row r="3049" spans="1:10" x14ac:dyDescent="0.35">
      <c r="A3049" s="2">
        <v>44783</v>
      </c>
      <c r="B3049" s="3">
        <v>0.53645833333333337</v>
      </c>
      <c r="C3049">
        <v>5681</v>
      </c>
      <c r="D3049" t="str">
        <f>VLOOKUP(H3049,Produkt!$A$2:$B$5,2,FALSE)</f>
        <v>C</v>
      </c>
      <c r="H3049">
        <v>3</v>
      </c>
      <c r="I3049">
        <v>0.78023148148148147</v>
      </c>
      <c r="J3049">
        <v>44791</v>
      </c>
    </row>
    <row r="3050" spans="1:10" x14ac:dyDescent="0.35">
      <c r="A3050" s="2">
        <v>44783</v>
      </c>
      <c r="B3050" s="3">
        <v>0.80747685185185192</v>
      </c>
      <c r="C3050">
        <v>5808</v>
      </c>
      <c r="D3050" t="str">
        <f>VLOOKUP(H3050,Produkt!$A$2:$B$5,2,FALSE)</f>
        <v>B</v>
      </c>
      <c r="H3050">
        <v>2</v>
      </c>
      <c r="I3050">
        <v>0.74349537037037028</v>
      </c>
      <c r="J3050">
        <v>44779</v>
      </c>
    </row>
    <row r="3051" spans="1:10" x14ac:dyDescent="0.35">
      <c r="A3051" s="2">
        <v>44783</v>
      </c>
      <c r="B3051" s="3">
        <v>0.50991898148148151</v>
      </c>
      <c r="C3051">
        <v>5853</v>
      </c>
      <c r="D3051" t="str">
        <f>VLOOKUP(H3051,Produkt!$A$2:$B$5,2,FALSE)</f>
        <v>D</v>
      </c>
      <c r="H3051">
        <v>4</v>
      </c>
      <c r="I3051">
        <v>2.2337962962962976E-2</v>
      </c>
      <c r="J3051">
        <v>44790</v>
      </c>
    </row>
    <row r="3052" spans="1:10" x14ac:dyDescent="0.35">
      <c r="A3052" s="2">
        <v>44783</v>
      </c>
      <c r="B3052" s="3">
        <v>0.59583333333333333</v>
      </c>
      <c r="C3052">
        <v>5921</v>
      </c>
      <c r="D3052" t="str">
        <f>VLOOKUP(H3052,Produkt!$A$2:$B$5,2,FALSE)</f>
        <v>D</v>
      </c>
      <c r="H3052">
        <v>4</v>
      </c>
      <c r="I3052">
        <v>0.3994328703703704</v>
      </c>
      <c r="J3052">
        <v>44802</v>
      </c>
    </row>
    <row r="3053" spans="1:10" x14ac:dyDescent="0.35">
      <c r="A3053" s="2">
        <v>44783</v>
      </c>
      <c r="B3053" s="3">
        <v>0.45857638888888891</v>
      </c>
      <c r="C3053">
        <v>5930</v>
      </c>
      <c r="D3053" t="str">
        <f>VLOOKUP(H3053,Produkt!$A$2:$B$5,2,FALSE)</f>
        <v>D</v>
      </c>
      <c r="H3053">
        <v>4</v>
      </c>
      <c r="I3053">
        <v>0.17339120370370373</v>
      </c>
      <c r="J3053">
        <v>44779</v>
      </c>
    </row>
    <row r="3054" spans="1:10" x14ac:dyDescent="0.35">
      <c r="A3054" s="2">
        <v>44783</v>
      </c>
      <c r="B3054" s="3">
        <v>0.85011574074074081</v>
      </c>
      <c r="C3054">
        <v>5982</v>
      </c>
      <c r="D3054" t="str">
        <f>VLOOKUP(H3054,Produkt!$A$2:$B$5,2,FALSE)</f>
        <v>C</v>
      </c>
      <c r="H3054">
        <v>3</v>
      </c>
      <c r="I3054">
        <v>0.75265046296296301</v>
      </c>
      <c r="J3054">
        <v>44798</v>
      </c>
    </row>
    <row r="3055" spans="1:10" x14ac:dyDescent="0.35">
      <c r="A3055" s="2">
        <v>44783</v>
      </c>
      <c r="B3055" s="3">
        <v>5.5555555555555552E-2</v>
      </c>
      <c r="C3055">
        <v>6004</v>
      </c>
      <c r="D3055" t="str">
        <f>VLOOKUP(H3055,Produkt!$A$2:$B$5,2,FALSE)</f>
        <v>B</v>
      </c>
      <c r="H3055">
        <v>2</v>
      </c>
      <c r="I3055">
        <v>0.45491898148148152</v>
      </c>
      <c r="J3055">
        <v>44800</v>
      </c>
    </row>
    <row r="3056" spans="1:10" x14ac:dyDescent="0.35">
      <c r="A3056" s="2">
        <v>44783</v>
      </c>
      <c r="B3056" s="3">
        <v>3.8379629629629632E-2</v>
      </c>
      <c r="C3056">
        <v>6006</v>
      </c>
      <c r="D3056" t="str">
        <f>VLOOKUP(H3056,Produkt!$A$2:$B$5,2,FALSE)</f>
        <v>B</v>
      </c>
      <c r="H3056">
        <v>2</v>
      </c>
      <c r="I3056">
        <v>0.16385416666666666</v>
      </c>
      <c r="J3056">
        <v>44782</v>
      </c>
    </row>
    <row r="3057" spans="1:10" x14ac:dyDescent="0.35">
      <c r="A3057" s="2">
        <v>44783</v>
      </c>
      <c r="B3057" s="3">
        <v>0.39179398148148148</v>
      </c>
      <c r="C3057">
        <v>6080</v>
      </c>
      <c r="D3057" t="str">
        <f>VLOOKUP(H3057,Produkt!$A$2:$B$5,2,FALSE)</f>
        <v>D</v>
      </c>
      <c r="H3057">
        <v>4</v>
      </c>
      <c r="I3057">
        <v>0.23163194444444443</v>
      </c>
      <c r="J3057">
        <v>44798</v>
      </c>
    </row>
    <row r="3058" spans="1:10" x14ac:dyDescent="0.35">
      <c r="A3058" s="2">
        <v>44783</v>
      </c>
      <c r="B3058" s="3">
        <v>0.6897106481481482</v>
      </c>
      <c r="C3058">
        <v>6095</v>
      </c>
      <c r="D3058" t="str">
        <f>VLOOKUP(H3058,Produkt!$A$2:$B$5,2,FALSE)</f>
        <v>B</v>
      </c>
      <c r="H3058">
        <v>2</v>
      </c>
      <c r="I3058">
        <v>1.9907407407407408E-2</v>
      </c>
      <c r="J3058">
        <v>44792</v>
      </c>
    </row>
    <row r="3059" spans="1:10" x14ac:dyDescent="0.35">
      <c r="A3059" s="2">
        <v>44783</v>
      </c>
      <c r="B3059" s="3">
        <v>0.8508796296296296</v>
      </c>
      <c r="C3059">
        <v>6099</v>
      </c>
      <c r="D3059" t="str">
        <f>VLOOKUP(H3059,Produkt!$A$2:$B$5,2,FALSE)</f>
        <v>B</v>
      </c>
      <c r="H3059">
        <v>2</v>
      </c>
      <c r="I3059">
        <v>0.68464120370370374</v>
      </c>
      <c r="J3059">
        <v>44795</v>
      </c>
    </row>
    <row r="3060" spans="1:10" x14ac:dyDescent="0.35">
      <c r="A3060" s="2">
        <v>44783</v>
      </c>
      <c r="B3060" s="3">
        <v>0.12192129629629629</v>
      </c>
      <c r="C3060">
        <v>6126</v>
      </c>
      <c r="D3060" t="str">
        <f>VLOOKUP(H3060,Produkt!$A$2:$B$5,2,FALSE)</f>
        <v>B</v>
      </c>
      <c r="H3060">
        <v>2</v>
      </c>
      <c r="I3060">
        <v>3.681712962962963E-2</v>
      </c>
      <c r="J3060">
        <v>44782</v>
      </c>
    </row>
    <row r="3061" spans="1:10" x14ac:dyDescent="0.35">
      <c r="A3061" s="2">
        <v>44783</v>
      </c>
      <c r="B3061" s="3">
        <v>0.18652777777777776</v>
      </c>
      <c r="C3061">
        <v>6174</v>
      </c>
      <c r="D3061" t="str">
        <f>VLOOKUP(H3061,Produkt!$A$2:$B$5,2,FALSE)</f>
        <v>A</v>
      </c>
      <c r="H3061">
        <v>1</v>
      </c>
      <c r="I3061">
        <v>0.5894328703703704</v>
      </c>
      <c r="J3061">
        <v>44781</v>
      </c>
    </row>
    <row r="3062" spans="1:10" x14ac:dyDescent="0.35">
      <c r="A3062" s="2">
        <v>44783</v>
      </c>
      <c r="B3062" s="3">
        <v>0.68026620370370372</v>
      </c>
      <c r="C3062">
        <v>6279</v>
      </c>
      <c r="D3062" t="str">
        <f>VLOOKUP(H3062,Produkt!$A$2:$B$5,2,FALSE)</f>
        <v>D</v>
      </c>
      <c r="H3062">
        <v>4</v>
      </c>
      <c r="I3062">
        <v>0.52403935185185191</v>
      </c>
      <c r="J3062">
        <v>44776</v>
      </c>
    </row>
    <row r="3063" spans="1:10" x14ac:dyDescent="0.35">
      <c r="A3063" s="2">
        <v>44783</v>
      </c>
      <c r="B3063" s="3">
        <v>0.16620370370370371</v>
      </c>
      <c r="C3063">
        <v>6280</v>
      </c>
      <c r="D3063" t="str">
        <f>VLOOKUP(H3063,Produkt!$A$2:$B$5,2,FALSE)</f>
        <v>A</v>
      </c>
      <c r="H3063">
        <v>1</v>
      </c>
      <c r="I3063">
        <v>0.53339120370370374</v>
      </c>
      <c r="J3063">
        <v>44777</v>
      </c>
    </row>
    <row r="3064" spans="1:10" x14ac:dyDescent="0.35">
      <c r="A3064" s="2">
        <v>44783</v>
      </c>
      <c r="B3064" s="3">
        <v>0.2562962962962963</v>
      </c>
      <c r="C3064">
        <v>6296</v>
      </c>
      <c r="D3064" t="str">
        <f>VLOOKUP(H3064,Produkt!$A$2:$B$5,2,FALSE)</f>
        <v>B</v>
      </c>
      <c r="H3064">
        <v>2</v>
      </c>
      <c r="I3064">
        <v>0.73819444444444438</v>
      </c>
      <c r="J3064">
        <v>44799</v>
      </c>
    </row>
    <row r="3065" spans="1:10" x14ac:dyDescent="0.35">
      <c r="A3065" s="2">
        <v>44783</v>
      </c>
      <c r="B3065" s="3">
        <v>0.91762731481481474</v>
      </c>
      <c r="C3065">
        <v>6301</v>
      </c>
      <c r="D3065" t="str">
        <f>VLOOKUP(H3065,Produkt!$A$2:$B$5,2,FALSE)</f>
        <v>D</v>
      </c>
      <c r="H3065">
        <v>4</v>
      </c>
      <c r="I3065">
        <v>8.1597222222222227E-3</v>
      </c>
      <c r="J3065">
        <v>44786</v>
      </c>
    </row>
    <row r="3066" spans="1:10" x14ac:dyDescent="0.35">
      <c r="A3066" s="2">
        <v>44783</v>
      </c>
      <c r="B3066" s="3">
        <v>0.96548611111111116</v>
      </c>
      <c r="C3066">
        <v>6320</v>
      </c>
      <c r="D3066" t="str">
        <f>VLOOKUP(H3066,Produkt!$A$2:$B$5,2,FALSE)</f>
        <v>B</v>
      </c>
      <c r="H3066">
        <v>2</v>
      </c>
      <c r="I3066">
        <v>0.57557870370370368</v>
      </c>
      <c r="J3066">
        <v>44782</v>
      </c>
    </row>
    <row r="3067" spans="1:10" x14ac:dyDescent="0.35">
      <c r="A3067" s="2">
        <v>44783</v>
      </c>
      <c r="B3067" s="3">
        <v>0.17505787037037038</v>
      </c>
      <c r="C3067">
        <v>6351</v>
      </c>
      <c r="D3067" t="str">
        <f>VLOOKUP(H3067,Produkt!$A$2:$B$5,2,FALSE)</f>
        <v>C</v>
      </c>
      <c r="H3067">
        <v>3</v>
      </c>
      <c r="I3067">
        <v>0.72695601851851854</v>
      </c>
      <c r="J3067">
        <v>44780</v>
      </c>
    </row>
    <row r="3068" spans="1:10" x14ac:dyDescent="0.35">
      <c r="A3068" s="2">
        <v>44783</v>
      </c>
      <c r="B3068" s="3">
        <v>2.6527777777777779E-2</v>
      </c>
      <c r="C3068">
        <v>6356</v>
      </c>
      <c r="D3068" t="str">
        <f>VLOOKUP(H3068,Produkt!$A$2:$B$5,2,FALSE)</f>
        <v>A</v>
      </c>
      <c r="H3068">
        <v>1</v>
      </c>
      <c r="I3068">
        <v>0.31577546296296294</v>
      </c>
      <c r="J3068">
        <v>44787</v>
      </c>
    </row>
    <row r="3069" spans="1:10" x14ac:dyDescent="0.35">
      <c r="A3069" s="2">
        <v>44783</v>
      </c>
      <c r="B3069" s="3">
        <v>0.62361111111111112</v>
      </c>
      <c r="C3069">
        <v>6377</v>
      </c>
      <c r="D3069" t="str">
        <f>VLOOKUP(H3069,Produkt!$A$2:$B$5,2,FALSE)</f>
        <v>B</v>
      </c>
      <c r="H3069">
        <v>2</v>
      </c>
      <c r="I3069">
        <v>0.26170138888888889</v>
      </c>
      <c r="J3069">
        <v>44785</v>
      </c>
    </row>
    <row r="3070" spans="1:10" x14ac:dyDescent="0.35">
      <c r="A3070" s="2">
        <v>44783</v>
      </c>
      <c r="B3070" s="3">
        <v>0.6803703703703704</v>
      </c>
      <c r="C3070">
        <v>6388</v>
      </c>
      <c r="D3070" t="str">
        <f>VLOOKUP(H3070,Produkt!$A$2:$B$5,2,FALSE)</f>
        <v>C</v>
      </c>
      <c r="H3070">
        <v>3</v>
      </c>
      <c r="I3070">
        <v>0.25813657407407409</v>
      </c>
      <c r="J3070">
        <v>44801</v>
      </c>
    </row>
    <row r="3071" spans="1:10" x14ac:dyDescent="0.35">
      <c r="A3071" s="2">
        <v>44783</v>
      </c>
      <c r="B3071" s="3">
        <v>0.35172453703703704</v>
      </c>
      <c r="C3071">
        <v>6410</v>
      </c>
      <c r="D3071" t="str">
        <f>VLOOKUP(H3071,Produkt!$A$2:$B$5,2,FALSE)</f>
        <v>D</v>
      </c>
      <c r="H3071">
        <v>4</v>
      </c>
      <c r="I3071">
        <v>0.40634259259259259</v>
      </c>
      <c r="J3071">
        <v>44779</v>
      </c>
    </row>
    <row r="3072" spans="1:10" x14ac:dyDescent="0.35">
      <c r="A3072" s="2">
        <v>44783</v>
      </c>
      <c r="B3072" s="3">
        <v>0.53256944444444443</v>
      </c>
      <c r="C3072">
        <v>6440</v>
      </c>
      <c r="D3072" t="str">
        <f>VLOOKUP(H3072,Produkt!$A$2:$B$5,2,FALSE)</f>
        <v>C</v>
      </c>
      <c r="H3072">
        <v>3</v>
      </c>
      <c r="I3072">
        <v>0.31445601851851851</v>
      </c>
      <c r="J3072">
        <v>44796</v>
      </c>
    </row>
    <row r="3073" spans="1:10" x14ac:dyDescent="0.35">
      <c r="A3073" s="2">
        <v>44783</v>
      </c>
      <c r="B3073" s="3">
        <v>1.6944444444444429E-2</v>
      </c>
      <c r="C3073">
        <v>6579</v>
      </c>
      <c r="D3073" t="str">
        <f>VLOOKUP(H3073,Produkt!$A$2:$B$5,2,FALSE)</f>
        <v>C</v>
      </c>
      <c r="H3073">
        <v>3</v>
      </c>
      <c r="I3073">
        <v>0.76337962962962969</v>
      </c>
      <c r="J3073">
        <v>44796</v>
      </c>
    </row>
    <row r="3074" spans="1:10" x14ac:dyDescent="0.35">
      <c r="A3074" s="2">
        <v>44783</v>
      </c>
      <c r="B3074" s="3">
        <v>0.25063657407407408</v>
      </c>
      <c r="C3074">
        <v>6605</v>
      </c>
      <c r="D3074" t="str">
        <f>VLOOKUP(H3074,Produkt!$A$2:$B$5,2,FALSE)</f>
        <v>B</v>
      </c>
      <c r="H3074">
        <v>2</v>
      </c>
      <c r="I3074">
        <v>0.2870833333333333</v>
      </c>
      <c r="J3074">
        <v>44799</v>
      </c>
    </row>
    <row r="3075" spans="1:10" x14ac:dyDescent="0.35">
      <c r="A3075" s="2">
        <v>44783</v>
      </c>
      <c r="B3075" s="3">
        <v>0.59059027777777773</v>
      </c>
      <c r="C3075">
        <v>6617</v>
      </c>
      <c r="D3075" t="str">
        <f>VLOOKUP(H3075,Produkt!$A$2:$B$5,2,FALSE)</f>
        <v>B</v>
      </c>
      <c r="H3075">
        <v>2</v>
      </c>
      <c r="I3075">
        <v>0.80881944444444442</v>
      </c>
      <c r="J3075">
        <v>44777</v>
      </c>
    </row>
    <row r="3076" spans="1:10" x14ac:dyDescent="0.35">
      <c r="A3076" s="2">
        <v>44783</v>
      </c>
      <c r="B3076" s="3">
        <v>0.68034722222222221</v>
      </c>
      <c r="C3076">
        <v>6793</v>
      </c>
      <c r="D3076" t="str">
        <f>VLOOKUP(H3076,Produkt!$A$2:$B$5,2,FALSE)</f>
        <v>C</v>
      </c>
      <c r="H3076">
        <v>3</v>
      </c>
      <c r="I3076">
        <v>0.76409722222222232</v>
      </c>
      <c r="J3076">
        <v>44802</v>
      </c>
    </row>
    <row r="3077" spans="1:10" x14ac:dyDescent="0.35">
      <c r="A3077" s="2">
        <v>44783</v>
      </c>
      <c r="B3077" s="3">
        <v>0.80336805555555557</v>
      </c>
      <c r="C3077">
        <v>6854</v>
      </c>
      <c r="D3077" t="str">
        <f>VLOOKUP(H3077,Produkt!$A$2:$B$5,2,FALSE)</f>
        <v>A</v>
      </c>
      <c r="H3077">
        <v>1</v>
      </c>
      <c r="I3077">
        <v>2.9942129629629628E-2</v>
      </c>
      <c r="J3077">
        <v>44793</v>
      </c>
    </row>
    <row r="3078" spans="1:10" x14ac:dyDescent="0.35">
      <c r="A3078" s="2">
        <v>44783</v>
      </c>
      <c r="B3078" s="3">
        <v>0.96950231481481486</v>
      </c>
      <c r="C3078">
        <v>6912</v>
      </c>
      <c r="D3078" t="str">
        <f>VLOOKUP(H3078,Produkt!$A$2:$B$5,2,FALSE)</f>
        <v>B</v>
      </c>
      <c r="H3078">
        <v>2</v>
      </c>
      <c r="I3078">
        <v>0.20659722222222221</v>
      </c>
      <c r="J3078">
        <v>44774</v>
      </c>
    </row>
    <row r="3079" spans="1:10" x14ac:dyDescent="0.35">
      <c r="A3079" s="2">
        <v>44783</v>
      </c>
      <c r="B3079" s="3">
        <v>0.84991898148148148</v>
      </c>
      <c r="C3079">
        <v>6974</v>
      </c>
      <c r="D3079" t="str">
        <f>VLOOKUP(H3079,Produkt!$A$2:$B$5,2,FALSE)</f>
        <v>A</v>
      </c>
      <c r="H3079">
        <v>1</v>
      </c>
      <c r="I3079">
        <v>0.99440972222222224</v>
      </c>
      <c r="J3079">
        <v>44781</v>
      </c>
    </row>
    <row r="3080" spans="1:10" x14ac:dyDescent="0.35">
      <c r="A3080" s="2">
        <v>44783</v>
      </c>
      <c r="B3080" s="3">
        <v>0.48850694444444448</v>
      </c>
      <c r="C3080">
        <v>6985</v>
      </c>
      <c r="D3080" t="str">
        <f>VLOOKUP(H3080,Produkt!$A$2:$B$5,2,FALSE)</f>
        <v>A</v>
      </c>
      <c r="H3080">
        <v>1</v>
      </c>
      <c r="I3080">
        <v>0.18832175925925929</v>
      </c>
      <c r="J3080">
        <v>44780</v>
      </c>
    </row>
    <row r="3081" spans="1:10" x14ac:dyDescent="0.35">
      <c r="A3081" s="2">
        <v>44783</v>
      </c>
      <c r="B3081" s="3">
        <v>0.57604166666666667</v>
      </c>
      <c r="C3081">
        <v>7038</v>
      </c>
      <c r="D3081" t="str">
        <f>VLOOKUP(H3081,Produkt!$A$2:$B$5,2,FALSE)</f>
        <v>D</v>
      </c>
      <c r="H3081">
        <v>4</v>
      </c>
      <c r="I3081">
        <v>0.14716435185185187</v>
      </c>
      <c r="J3081">
        <v>44793</v>
      </c>
    </row>
    <row r="3082" spans="1:10" x14ac:dyDescent="0.35">
      <c r="A3082" s="2">
        <v>44783</v>
      </c>
      <c r="B3082" s="3">
        <v>0.57942129629629624</v>
      </c>
      <c r="C3082">
        <v>7054</v>
      </c>
      <c r="D3082" t="str">
        <f>VLOOKUP(H3082,Produkt!$A$2:$B$5,2,FALSE)</f>
        <v>A</v>
      </c>
      <c r="H3082">
        <v>1</v>
      </c>
      <c r="I3082">
        <v>0.9150462962962963</v>
      </c>
      <c r="J3082">
        <v>44793</v>
      </c>
    </row>
    <row r="3083" spans="1:10" x14ac:dyDescent="0.35">
      <c r="A3083" s="2">
        <v>44783</v>
      </c>
      <c r="B3083" s="3">
        <v>0.67462962962962969</v>
      </c>
      <c r="C3083">
        <v>7084</v>
      </c>
      <c r="D3083" t="str">
        <f>VLOOKUP(H3083,Produkt!$A$2:$B$5,2,FALSE)</f>
        <v>D</v>
      </c>
      <c r="H3083">
        <v>4</v>
      </c>
      <c r="I3083">
        <v>5.0925925925926485E-4</v>
      </c>
      <c r="J3083">
        <v>44801</v>
      </c>
    </row>
    <row r="3084" spans="1:10" x14ac:dyDescent="0.35">
      <c r="A3084" s="2">
        <v>44783</v>
      </c>
      <c r="B3084" s="3">
        <v>0.73515046296296294</v>
      </c>
      <c r="C3084">
        <v>7099</v>
      </c>
      <c r="D3084" t="str">
        <f>VLOOKUP(H3084,Produkt!$A$2:$B$5,2,FALSE)</f>
        <v>A</v>
      </c>
      <c r="H3084">
        <v>1</v>
      </c>
      <c r="I3084">
        <v>0.1539699074074074</v>
      </c>
      <c r="J3084">
        <v>44801</v>
      </c>
    </row>
    <row r="3085" spans="1:10" x14ac:dyDescent="0.35">
      <c r="A3085" s="2">
        <v>44783</v>
      </c>
      <c r="B3085" s="3">
        <v>0.95814814814814808</v>
      </c>
      <c r="C3085">
        <v>7122</v>
      </c>
      <c r="D3085" t="str">
        <f>VLOOKUP(H3085,Produkt!$A$2:$B$5,2,FALSE)</f>
        <v>A</v>
      </c>
      <c r="H3085">
        <v>1</v>
      </c>
      <c r="I3085">
        <v>0.72910879629629621</v>
      </c>
      <c r="J3085">
        <v>44801</v>
      </c>
    </row>
    <row r="3086" spans="1:10" x14ac:dyDescent="0.35">
      <c r="A3086" s="2">
        <v>44783</v>
      </c>
      <c r="B3086" s="3">
        <v>0.15631944444444446</v>
      </c>
      <c r="C3086">
        <v>7127</v>
      </c>
      <c r="D3086" t="str">
        <f>VLOOKUP(H3086,Produkt!$A$2:$B$5,2,FALSE)</f>
        <v>D</v>
      </c>
      <c r="H3086">
        <v>4</v>
      </c>
      <c r="I3086">
        <v>0.8601388888888889</v>
      </c>
      <c r="J3086">
        <v>44785</v>
      </c>
    </row>
    <row r="3087" spans="1:10" x14ac:dyDescent="0.35">
      <c r="A3087" s="2">
        <v>44783</v>
      </c>
      <c r="B3087" s="3">
        <v>0.40490740740740744</v>
      </c>
      <c r="C3087">
        <v>7224</v>
      </c>
      <c r="D3087" t="str">
        <f>VLOOKUP(H3087,Produkt!$A$2:$B$5,2,FALSE)</f>
        <v>B</v>
      </c>
      <c r="H3087">
        <v>2</v>
      </c>
      <c r="I3087">
        <v>0.25471064814814814</v>
      </c>
      <c r="J3087">
        <v>44778</v>
      </c>
    </row>
    <row r="3088" spans="1:10" x14ac:dyDescent="0.35">
      <c r="A3088" s="2">
        <v>44783</v>
      </c>
      <c r="B3088" s="3">
        <v>0.44260416666666669</v>
      </c>
      <c r="C3088">
        <v>7231</v>
      </c>
      <c r="D3088" t="str">
        <f>VLOOKUP(H3088,Produkt!$A$2:$B$5,2,FALSE)</f>
        <v>B</v>
      </c>
      <c r="H3088">
        <v>2</v>
      </c>
      <c r="I3088">
        <v>0.10982638888888889</v>
      </c>
      <c r="J3088">
        <v>44781</v>
      </c>
    </row>
    <row r="3089" spans="1:10" x14ac:dyDescent="0.35">
      <c r="A3089" s="2">
        <v>44783</v>
      </c>
      <c r="B3089" s="3">
        <v>0.68057870370370377</v>
      </c>
      <c r="C3089">
        <v>7254</v>
      </c>
      <c r="D3089" t="str">
        <f>VLOOKUP(H3089,Produkt!$A$2:$B$5,2,FALSE)</f>
        <v>C</v>
      </c>
      <c r="H3089">
        <v>3</v>
      </c>
      <c r="I3089">
        <v>0.88888888888888884</v>
      </c>
      <c r="J3089">
        <v>44804</v>
      </c>
    </row>
    <row r="3090" spans="1:10" x14ac:dyDescent="0.35">
      <c r="A3090" s="2">
        <v>44783</v>
      </c>
      <c r="B3090" s="3">
        <v>7.8935185185184942E-3</v>
      </c>
      <c r="C3090">
        <v>7265</v>
      </c>
      <c r="D3090" t="str">
        <f>VLOOKUP(H3090,Produkt!$A$2:$B$5,2,FALSE)</f>
        <v>A</v>
      </c>
      <c r="H3090">
        <v>1</v>
      </c>
      <c r="I3090">
        <v>0.96972222222222226</v>
      </c>
      <c r="J3090">
        <v>44798</v>
      </c>
    </row>
    <row r="3091" spans="1:10" x14ac:dyDescent="0.35">
      <c r="A3091" s="2">
        <v>44783</v>
      </c>
      <c r="B3091" s="3">
        <v>0.8127199074074074</v>
      </c>
      <c r="C3091">
        <v>7439</v>
      </c>
      <c r="D3091" t="str">
        <f>VLOOKUP(H3091,Produkt!$A$2:$B$5,2,FALSE)</f>
        <v>A</v>
      </c>
      <c r="H3091">
        <v>1</v>
      </c>
      <c r="I3091">
        <v>0.34430555555555559</v>
      </c>
      <c r="J3091">
        <v>44777</v>
      </c>
    </row>
    <row r="3092" spans="1:10" x14ac:dyDescent="0.35">
      <c r="A3092" s="2">
        <v>44783</v>
      </c>
      <c r="B3092" s="3">
        <v>0.24376157407407406</v>
      </c>
      <c r="C3092">
        <v>7452</v>
      </c>
      <c r="D3092" t="str">
        <f>VLOOKUP(H3092,Produkt!$A$2:$B$5,2,FALSE)</f>
        <v>B</v>
      </c>
      <c r="H3092">
        <v>2</v>
      </c>
      <c r="I3092">
        <v>0.16472222222222221</v>
      </c>
      <c r="J3092">
        <v>44804</v>
      </c>
    </row>
    <row r="3093" spans="1:10" x14ac:dyDescent="0.35">
      <c r="A3093" s="2">
        <v>44783</v>
      </c>
      <c r="B3093" s="3">
        <v>0.17142361111111112</v>
      </c>
      <c r="C3093">
        <v>7456</v>
      </c>
      <c r="D3093" t="str">
        <f>VLOOKUP(H3093,Produkt!$A$2:$B$5,2,FALSE)</f>
        <v>A</v>
      </c>
      <c r="H3093">
        <v>1</v>
      </c>
      <c r="I3093">
        <v>0.71543981481481478</v>
      </c>
      <c r="J3093">
        <v>44795</v>
      </c>
    </row>
    <row r="3094" spans="1:10" x14ac:dyDescent="0.35">
      <c r="A3094" s="2">
        <v>44783</v>
      </c>
      <c r="B3094" s="3">
        <v>0.15697916666666667</v>
      </c>
      <c r="C3094">
        <v>7471</v>
      </c>
      <c r="D3094" t="str">
        <f>VLOOKUP(H3094,Produkt!$A$2:$B$5,2,FALSE)</f>
        <v>D</v>
      </c>
      <c r="H3094">
        <v>4</v>
      </c>
      <c r="I3094">
        <v>0.1193287037037037</v>
      </c>
      <c r="J3094">
        <v>44783</v>
      </c>
    </row>
    <row r="3095" spans="1:10" x14ac:dyDescent="0.35">
      <c r="A3095" s="2">
        <v>44783</v>
      </c>
      <c r="B3095" s="3">
        <v>0.29995370370370372</v>
      </c>
      <c r="C3095">
        <v>7510</v>
      </c>
      <c r="D3095" t="str">
        <f>VLOOKUP(H3095,Produkt!$A$2:$B$5,2,FALSE)</f>
        <v>A</v>
      </c>
      <c r="H3095">
        <v>1</v>
      </c>
      <c r="I3095">
        <v>0.80967592592592597</v>
      </c>
      <c r="J3095">
        <v>44787</v>
      </c>
    </row>
    <row r="3096" spans="1:10" x14ac:dyDescent="0.35">
      <c r="A3096" s="2">
        <v>44783</v>
      </c>
      <c r="B3096" s="3">
        <v>0.86449074074074073</v>
      </c>
      <c r="C3096">
        <v>7560</v>
      </c>
      <c r="D3096" t="str">
        <f>VLOOKUP(H3096,Produkt!$A$2:$B$5,2,FALSE)</f>
        <v>B</v>
      </c>
      <c r="H3096">
        <v>2</v>
      </c>
      <c r="I3096">
        <v>0.30456018518518518</v>
      </c>
      <c r="J3096">
        <v>44803</v>
      </c>
    </row>
    <row r="3097" spans="1:10" x14ac:dyDescent="0.35">
      <c r="A3097" s="2">
        <v>44783</v>
      </c>
      <c r="B3097" s="3">
        <v>0.66040509259259261</v>
      </c>
      <c r="C3097">
        <v>7627</v>
      </c>
      <c r="D3097" t="str">
        <f>VLOOKUP(H3097,Produkt!$A$2:$B$5,2,FALSE)</f>
        <v>B</v>
      </c>
      <c r="H3097">
        <v>2</v>
      </c>
      <c r="I3097">
        <v>0.79026620370370371</v>
      </c>
      <c r="J3097">
        <v>44800</v>
      </c>
    </row>
    <row r="3098" spans="1:10" x14ac:dyDescent="0.35">
      <c r="A3098" s="2">
        <v>44783</v>
      </c>
      <c r="B3098" s="3">
        <v>0.22295138888888888</v>
      </c>
      <c r="C3098">
        <v>7696</v>
      </c>
      <c r="D3098" t="str">
        <f>VLOOKUP(H3098,Produkt!$A$2:$B$5,2,FALSE)</f>
        <v>B</v>
      </c>
      <c r="H3098">
        <v>2</v>
      </c>
      <c r="I3098">
        <v>0.43695601851851856</v>
      </c>
      <c r="J3098">
        <v>44788</v>
      </c>
    </row>
    <row r="3099" spans="1:10" x14ac:dyDescent="0.35">
      <c r="A3099" s="2">
        <v>44783</v>
      </c>
      <c r="B3099" s="3">
        <v>0.16650462962962961</v>
      </c>
      <c r="C3099">
        <v>7875</v>
      </c>
      <c r="D3099" t="str">
        <f>VLOOKUP(H3099,Produkt!$A$2:$B$5,2,FALSE)</f>
        <v>A</v>
      </c>
      <c r="H3099">
        <v>1</v>
      </c>
      <c r="I3099">
        <v>0.34908564814814813</v>
      </c>
      <c r="J3099">
        <v>44802</v>
      </c>
    </row>
    <row r="3100" spans="1:10" x14ac:dyDescent="0.35">
      <c r="A3100" s="2">
        <v>44783</v>
      </c>
      <c r="B3100" s="3">
        <v>0.15487268518518518</v>
      </c>
      <c r="C3100">
        <v>7917</v>
      </c>
      <c r="D3100" t="str">
        <f>VLOOKUP(H3100,Produkt!$A$2:$B$5,2,FALSE)</f>
        <v>A</v>
      </c>
      <c r="H3100">
        <v>1</v>
      </c>
      <c r="I3100">
        <v>0.81303240740740745</v>
      </c>
      <c r="J3100">
        <v>44780</v>
      </c>
    </row>
    <row r="3101" spans="1:10" x14ac:dyDescent="0.35">
      <c r="A3101" s="2">
        <v>44783</v>
      </c>
      <c r="B3101" s="3">
        <v>0.45840277777777777</v>
      </c>
      <c r="C3101">
        <v>7922</v>
      </c>
      <c r="D3101" t="str">
        <f>VLOOKUP(H3101,Produkt!$A$2:$B$5,2,FALSE)</f>
        <v>D</v>
      </c>
      <c r="H3101">
        <v>4</v>
      </c>
      <c r="I3101">
        <v>4.0787037037037122E-2</v>
      </c>
      <c r="J3101">
        <v>44799</v>
      </c>
    </row>
    <row r="3102" spans="1:10" x14ac:dyDescent="0.35">
      <c r="A3102" s="2">
        <v>44783</v>
      </c>
      <c r="B3102" s="3">
        <v>0.11230324074074073</v>
      </c>
      <c r="C3102">
        <v>7926</v>
      </c>
      <c r="D3102" t="str">
        <f>VLOOKUP(H3102,Produkt!$A$2:$B$5,2,FALSE)</f>
        <v>A</v>
      </c>
      <c r="H3102">
        <v>1</v>
      </c>
      <c r="I3102">
        <v>0.63842592592592595</v>
      </c>
      <c r="J3102">
        <v>44775</v>
      </c>
    </row>
    <row r="3103" spans="1:10" x14ac:dyDescent="0.35">
      <c r="A3103" s="2">
        <v>44783</v>
      </c>
      <c r="B3103" s="3">
        <v>0.60487268518518522</v>
      </c>
      <c r="C3103">
        <v>7961</v>
      </c>
      <c r="D3103" t="str">
        <f>VLOOKUP(H3103,Produkt!$A$2:$B$5,2,FALSE)</f>
        <v>C</v>
      </c>
      <c r="H3103">
        <v>3</v>
      </c>
      <c r="I3103">
        <v>0.87575231481481486</v>
      </c>
      <c r="J3103">
        <v>44796</v>
      </c>
    </row>
    <row r="3104" spans="1:10" x14ac:dyDescent="0.35">
      <c r="A3104" s="2">
        <v>44783</v>
      </c>
      <c r="B3104" s="3">
        <v>0.3368518518518519</v>
      </c>
      <c r="C3104">
        <v>7994</v>
      </c>
      <c r="D3104" t="str">
        <f>VLOOKUP(H3104,Produkt!$A$2:$B$5,2,FALSE)</f>
        <v>B</v>
      </c>
      <c r="H3104">
        <v>2</v>
      </c>
      <c r="I3104">
        <v>0.75789351851851849</v>
      </c>
      <c r="J3104">
        <v>44781</v>
      </c>
    </row>
    <row r="3105" spans="1:10" x14ac:dyDescent="0.35">
      <c r="A3105" s="2">
        <v>44783</v>
      </c>
      <c r="B3105" s="3">
        <v>0.42265046296296299</v>
      </c>
      <c r="C3105">
        <v>8016</v>
      </c>
      <c r="D3105" t="str">
        <f>VLOOKUP(H3105,Produkt!$A$2:$B$5,2,FALSE)</f>
        <v>C</v>
      </c>
      <c r="H3105">
        <v>3</v>
      </c>
      <c r="I3105">
        <v>0.1772222222222222</v>
      </c>
      <c r="J3105">
        <v>44799</v>
      </c>
    </row>
    <row r="3106" spans="1:10" x14ac:dyDescent="0.35">
      <c r="A3106" s="2">
        <v>44783</v>
      </c>
      <c r="B3106" s="3">
        <v>0.37908564814814816</v>
      </c>
      <c r="C3106">
        <v>8017</v>
      </c>
      <c r="D3106" t="str">
        <f>VLOOKUP(H3106,Produkt!$A$2:$B$5,2,FALSE)</f>
        <v>A</v>
      </c>
      <c r="H3106">
        <v>1</v>
      </c>
      <c r="I3106">
        <v>0.89295138888888881</v>
      </c>
      <c r="J3106">
        <v>44803</v>
      </c>
    </row>
    <row r="3107" spans="1:10" x14ac:dyDescent="0.35">
      <c r="A3107" s="2">
        <v>44783</v>
      </c>
      <c r="B3107" s="3">
        <v>0.97513888888888889</v>
      </c>
      <c r="C3107">
        <v>8083</v>
      </c>
      <c r="D3107" t="str">
        <f>VLOOKUP(H3107,Produkt!$A$2:$B$5,2,FALSE)</f>
        <v>D</v>
      </c>
      <c r="H3107">
        <v>4</v>
      </c>
      <c r="I3107">
        <v>0.93031249999999999</v>
      </c>
      <c r="J3107">
        <v>44778</v>
      </c>
    </row>
    <row r="3108" spans="1:10" x14ac:dyDescent="0.35">
      <c r="A3108" s="2">
        <v>44783</v>
      </c>
      <c r="B3108" s="3">
        <v>0.72696759259259258</v>
      </c>
      <c r="C3108">
        <v>8203</v>
      </c>
      <c r="D3108" t="str">
        <f>VLOOKUP(H3108,Produkt!$A$2:$B$5,2,FALSE)</f>
        <v>D</v>
      </c>
      <c r="H3108">
        <v>4</v>
      </c>
      <c r="I3108">
        <v>0.72013888888888899</v>
      </c>
      <c r="J3108">
        <v>44780</v>
      </c>
    </row>
    <row r="3109" spans="1:10" x14ac:dyDescent="0.35">
      <c r="A3109" s="2">
        <v>44783</v>
      </c>
      <c r="B3109" s="3">
        <v>0.60068287037037038</v>
      </c>
      <c r="C3109">
        <v>8281</v>
      </c>
      <c r="D3109" t="str">
        <f>VLOOKUP(H3109,Produkt!$A$2:$B$5,2,FALSE)</f>
        <v>C</v>
      </c>
      <c r="H3109">
        <v>3</v>
      </c>
      <c r="I3109">
        <v>3.4490740740740211E-3</v>
      </c>
      <c r="J3109">
        <v>44786</v>
      </c>
    </row>
    <row r="3110" spans="1:10" x14ac:dyDescent="0.35">
      <c r="A3110" s="2">
        <v>44783</v>
      </c>
      <c r="B3110" s="3">
        <v>0.89474537037037039</v>
      </c>
      <c r="C3110">
        <v>8284</v>
      </c>
      <c r="D3110" t="str">
        <f>VLOOKUP(H3110,Produkt!$A$2:$B$5,2,FALSE)</f>
        <v>C</v>
      </c>
      <c r="H3110">
        <v>3</v>
      </c>
      <c r="I3110">
        <v>0.29626157407407411</v>
      </c>
      <c r="J3110">
        <v>44802</v>
      </c>
    </row>
    <row r="3111" spans="1:10" x14ac:dyDescent="0.35">
      <c r="A3111" s="2">
        <v>44783</v>
      </c>
      <c r="B3111" s="3">
        <v>0.10284722222222221</v>
      </c>
      <c r="C3111">
        <v>8347</v>
      </c>
      <c r="D3111" t="str">
        <f>VLOOKUP(H3111,Produkt!$A$2:$B$5,2,FALSE)</f>
        <v>A</v>
      </c>
      <c r="H3111">
        <v>1</v>
      </c>
      <c r="I3111">
        <v>0.40204861111111106</v>
      </c>
      <c r="J3111">
        <v>44791</v>
      </c>
    </row>
    <row r="3112" spans="1:10" x14ac:dyDescent="0.35">
      <c r="A3112" s="2">
        <v>44783</v>
      </c>
      <c r="B3112" s="3">
        <v>0.83947916666666667</v>
      </c>
      <c r="C3112">
        <v>8359</v>
      </c>
      <c r="D3112" t="str">
        <f>VLOOKUP(H3112,Produkt!$A$2:$B$5,2,FALSE)</f>
        <v>B</v>
      </c>
      <c r="H3112">
        <v>2</v>
      </c>
      <c r="I3112">
        <v>0.24627314814814816</v>
      </c>
      <c r="J3112">
        <v>44791</v>
      </c>
    </row>
    <row r="3113" spans="1:10" x14ac:dyDescent="0.35">
      <c r="A3113" s="2">
        <v>44783</v>
      </c>
      <c r="B3113" s="3">
        <v>0.96753472222222225</v>
      </c>
      <c r="C3113">
        <v>8369</v>
      </c>
      <c r="D3113" t="str">
        <f>VLOOKUP(H3113,Produkt!$A$2:$B$5,2,FALSE)</f>
        <v>B</v>
      </c>
      <c r="H3113">
        <v>2</v>
      </c>
      <c r="I3113">
        <v>0.78229166666666661</v>
      </c>
      <c r="J3113">
        <v>44803</v>
      </c>
    </row>
    <row r="3114" spans="1:10" x14ac:dyDescent="0.35">
      <c r="A3114" s="2">
        <v>44783</v>
      </c>
      <c r="B3114" s="3">
        <v>0.74769675925925927</v>
      </c>
      <c r="C3114">
        <v>8398</v>
      </c>
      <c r="D3114" t="str">
        <f>VLOOKUP(H3114,Produkt!$A$2:$B$5,2,FALSE)</f>
        <v>C</v>
      </c>
      <c r="H3114">
        <v>3</v>
      </c>
      <c r="I3114">
        <v>0.2087037037037037</v>
      </c>
      <c r="J3114">
        <v>44781</v>
      </c>
    </row>
    <row r="3115" spans="1:10" x14ac:dyDescent="0.35">
      <c r="A3115" s="2">
        <v>44783</v>
      </c>
      <c r="B3115" s="3">
        <v>0.46657407407407409</v>
      </c>
      <c r="C3115">
        <v>8435</v>
      </c>
      <c r="D3115" t="str">
        <f>VLOOKUP(H3115,Produkt!$A$2:$B$5,2,FALSE)</f>
        <v>D</v>
      </c>
      <c r="H3115">
        <v>4</v>
      </c>
      <c r="I3115">
        <v>0.86864583333333334</v>
      </c>
      <c r="J3115">
        <v>44791</v>
      </c>
    </row>
    <row r="3116" spans="1:10" x14ac:dyDescent="0.35">
      <c r="A3116" s="2">
        <v>44783</v>
      </c>
      <c r="B3116" s="3">
        <v>0.67013888888888884</v>
      </c>
      <c r="C3116">
        <v>8562</v>
      </c>
      <c r="D3116" t="str">
        <f>VLOOKUP(H3116,Produkt!$A$2:$B$5,2,FALSE)</f>
        <v>B</v>
      </c>
      <c r="H3116">
        <v>2</v>
      </c>
      <c r="I3116">
        <v>0.19121527777777778</v>
      </c>
      <c r="J3116">
        <v>44774</v>
      </c>
    </row>
    <row r="3117" spans="1:10" x14ac:dyDescent="0.35">
      <c r="A3117" s="2">
        <v>44783</v>
      </c>
      <c r="B3117" s="3">
        <v>8.5648148148154135E-4</v>
      </c>
      <c r="C3117">
        <v>8610</v>
      </c>
      <c r="D3117" t="str">
        <f>VLOOKUP(H3117,Produkt!$A$2:$B$5,2,FALSE)</f>
        <v>B</v>
      </c>
      <c r="H3117">
        <v>2</v>
      </c>
      <c r="I3117">
        <v>4.7766203703703707E-2</v>
      </c>
      <c r="J3117">
        <v>44787</v>
      </c>
    </row>
    <row r="3118" spans="1:10" x14ac:dyDescent="0.35">
      <c r="A3118" s="2">
        <v>44783</v>
      </c>
      <c r="B3118" s="3">
        <v>0.46677083333333336</v>
      </c>
      <c r="C3118">
        <v>8614</v>
      </c>
      <c r="D3118" t="str">
        <f>VLOOKUP(H3118,Produkt!$A$2:$B$5,2,FALSE)</f>
        <v>B</v>
      </c>
      <c r="H3118">
        <v>2</v>
      </c>
      <c r="I3118">
        <v>0.89626157407407403</v>
      </c>
      <c r="J3118">
        <v>44795</v>
      </c>
    </row>
    <row r="3119" spans="1:10" x14ac:dyDescent="0.35">
      <c r="A3119" s="2">
        <v>44783</v>
      </c>
      <c r="B3119" s="3">
        <v>0.81752314814814808</v>
      </c>
      <c r="C3119">
        <v>8622</v>
      </c>
      <c r="D3119" t="str">
        <f>VLOOKUP(H3119,Produkt!$A$2:$B$5,2,FALSE)</f>
        <v>B</v>
      </c>
      <c r="H3119">
        <v>2</v>
      </c>
      <c r="I3119">
        <v>0.68266203703703709</v>
      </c>
      <c r="J3119">
        <v>44803</v>
      </c>
    </row>
    <row r="3120" spans="1:10" x14ac:dyDescent="0.35">
      <c r="A3120" s="2">
        <v>44783</v>
      </c>
      <c r="B3120" s="3">
        <v>0.80311342592592594</v>
      </c>
      <c r="C3120">
        <v>8640</v>
      </c>
      <c r="D3120" t="str">
        <f>VLOOKUP(H3120,Produkt!$A$2:$B$5,2,FALSE)</f>
        <v>A</v>
      </c>
      <c r="H3120">
        <v>1</v>
      </c>
      <c r="I3120">
        <v>0.83620370370370367</v>
      </c>
      <c r="J3120">
        <v>44797</v>
      </c>
    </row>
    <row r="3121" spans="1:10" x14ac:dyDescent="0.35">
      <c r="A3121" s="2">
        <v>44783</v>
      </c>
      <c r="B3121" s="3">
        <v>2.3449074074074039E-2</v>
      </c>
      <c r="C3121">
        <v>8651</v>
      </c>
      <c r="D3121" t="str">
        <f>VLOOKUP(H3121,Produkt!$A$2:$B$5,2,FALSE)</f>
        <v>A</v>
      </c>
      <c r="H3121">
        <v>1</v>
      </c>
      <c r="I3121">
        <v>0.53071759259259255</v>
      </c>
      <c r="J3121">
        <v>44791</v>
      </c>
    </row>
    <row r="3122" spans="1:10" x14ac:dyDescent="0.35">
      <c r="A3122" s="2">
        <v>44783</v>
      </c>
      <c r="B3122" s="3">
        <v>0.1290625</v>
      </c>
      <c r="C3122">
        <v>8659</v>
      </c>
      <c r="D3122" t="str">
        <f>VLOOKUP(H3122,Produkt!$A$2:$B$5,2,FALSE)</f>
        <v>C</v>
      </c>
      <c r="H3122">
        <v>3</v>
      </c>
      <c r="I3122">
        <v>0.49922453703703701</v>
      </c>
      <c r="J3122">
        <v>44799</v>
      </c>
    </row>
    <row r="3123" spans="1:10" x14ac:dyDescent="0.35">
      <c r="A3123" s="2">
        <v>44783</v>
      </c>
      <c r="B3123" s="3">
        <v>0.21231481481481482</v>
      </c>
      <c r="C3123">
        <v>8663</v>
      </c>
      <c r="D3123" t="str">
        <f>VLOOKUP(H3123,Produkt!$A$2:$B$5,2,FALSE)</f>
        <v>C</v>
      </c>
      <c r="H3123">
        <v>3</v>
      </c>
      <c r="I3123">
        <v>0.14841435185185184</v>
      </c>
      <c r="J3123">
        <v>44801</v>
      </c>
    </row>
    <row r="3124" spans="1:10" x14ac:dyDescent="0.35">
      <c r="A3124" s="2">
        <v>44783</v>
      </c>
      <c r="B3124" s="3">
        <v>0.13942129629629629</v>
      </c>
      <c r="C3124">
        <v>8698</v>
      </c>
      <c r="D3124" t="str">
        <f>VLOOKUP(H3124,Produkt!$A$2:$B$5,2,FALSE)</f>
        <v>B</v>
      </c>
      <c r="H3124">
        <v>2</v>
      </c>
      <c r="I3124">
        <v>9.2476851851851852E-3</v>
      </c>
      <c r="J3124">
        <v>44779</v>
      </c>
    </row>
    <row r="3125" spans="1:10" x14ac:dyDescent="0.35">
      <c r="A3125" s="2">
        <v>44783</v>
      </c>
      <c r="B3125" s="3">
        <v>0.7622106481481481</v>
      </c>
      <c r="C3125">
        <v>8714</v>
      </c>
      <c r="D3125" t="str">
        <f>VLOOKUP(H3125,Produkt!$A$2:$B$5,2,FALSE)</f>
        <v>D</v>
      </c>
      <c r="H3125">
        <v>4</v>
      </c>
      <c r="I3125">
        <v>0.91895833333333332</v>
      </c>
      <c r="J3125">
        <v>44802</v>
      </c>
    </row>
    <row r="3126" spans="1:10" x14ac:dyDescent="0.35">
      <c r="A3126" s="2">
        <v>44783</v>
      </c>
      <c r="B3126" s="3">
        <v>0.35596064814814815</v>
      </c>
      <c r="C3126">
        <v>8758</v>
      </c>
      <c r="D3126" t="str">
        <f>VLOOKUP(H3126,Produkt!$A$2:$B$5,2,FALSE)</f>
        <v>D</v>
      </c>
      <c r="H3126">
        <v>4</v>
      </c>
      <c r="I3126">
        <v>0.74930555555555556</v>
      </c>
      <c r="J3126">
        <v>44788</v>
      </c>
    </row>
    <row r="3127" spans="1:10" x14ac:dyDescent="0.35">
      <c r="A3127" s="2">
        <v>44783</v>
      </c>
      <c r="B3127" s="3">
        <v>0.90565972222222213</v>
      </c>
      <c r="C3127">
        <v>8839</v>
      </c>
      <c r="D3127" t="str">
        <f>VLOOKUP(H3127,Produkt!$A$2:$B$5,2,FALSE)</f>
        <v>B</v>
      </c>
      <c r="H3127">
        <v>2</v>
      </c>
      <c r="I3127">
        <v>4.1747685185185186E-2</v>
      </c>
      <c r="J3127">
        <v>44804</v>
      </c>
    </row>
    <row r="3128" spans="1:10" x14ac:dyDescent="0.35">
      <c r="A3128" s="2">
        <v>44783</v>
      </c>
      <c r="B3128" s="3">
        <v>0.48978009259259259</v>
      </c>
      <c r="C3128">
        <v>8960</v>
      </c>
      <c r="D3128" t="str">
        <f>VLOOKUP(H3128,Produkt!$A$2:$B$5,2,FALSE)</f>
        <v>A</v>
      </c>
      <c r="H3128">
        <v>1</v>
      </c>
      <c r="I3128">
        <v>0.28712962962962962</v>
      </c>
      <c r="J3128">
        <v>44791</v>
      </c>
    </row>
    <row r="3129" spans="1:10" x14ac:dyDescent="0.35">
      <c r="A3129" s="2">
        <v>44783</v>
      </c>
      <c r="B3129" s="3">
        <v>0.3979166666666667</v>
      </c>
      <c r="C3129">
        <v>8969</v>
      </c>
      <c r="D3129" t="str">
        <f>VLOOKUP(H3129,Produkt!$A$2:$B$5,2,FALSE)</f>
        <v>D</v>
      </c>
      <c r="H3129">
        <v>4</v>
      </c>
      <c r="I3129">
        <v>0.19922453703703705</v>
      </c>
      <c r="J3129">
        <v>44792</v>
      </c>
    </row>
    <row r="3130" spans="1:10" x14ac:dyDescent="0.35">
      <c r="A3130" s="2">
        <v>44783</v>
      </c>
      <c r="B3130" s="3">
        <v>0.1391087962962963</v>
      </c>
      <c r="C3130">
        <v>9034</v>
      </c>
      <c r="D3130" t="str">
        <f>VLOOKUP(H3130,Produkt!$A$2:$B$5,2,FALSE)</f>
        <v>D</v>
      </c>
      <c r="H3130">
        <v>4</v>
      </c>
      <c r="I3130">
        <v>8.0266203703703701E-2</v>
      </c>
      <c r="J3130">
        <v>44796</v>
      </c>
    </row>
    <row r="3131" spans="1:10" x14ac:dyDescent="0.35">
      <c r="A3131" s="2">
        <v>44783</v>
      </c>
      <c r="B3131" s="3">
        <v>0.47317129629629634</v>
      </c>
      <c r="C3131">
        <v>9094</v>
      </c>
      <c r="D3131" t="str">
        <f>VLOOKUP(H3131,Produkt!$A$2:$B$5,2,FALSE)</f>
        <v>D</v>
      </c>
      <c r="H3131">
        <v>4</v>
      </c>
      <c r="I3131">
        <v>0.31038194444444445</v>
      </c>
      <c r="J3131">
        <v>44796</v>
      </c>
    </row>
    <row r="3132" spans="1:10" x14ac:dyDescent="0.35">
      <c r="A3132" s="2">
        <v>44783</v>
      </c>
      <c r="B3132" s="3">
        <v>7.9861111111111105E-2</v>
      </c>
      <c r="C3132">
        <v>9135</v>
      </c>
      <c r="D3132" t="str">
        <f>VLOOKUP(H3132,Produkt!$A$2:$B$5,2,FALSE)</f>
        <v>B</v>
      </c>
      <c r="H3132">
        <v>2</v>
      </c>
      <c r="I3132">
        <v>3.3125000000000071E-2</v>
      </c>
      <c r="J3132">
        <v>44783</v>
      </c>
    </row>
    <row r="3133" spans="1:10" x14ac:dyDescent="0.35">
      <c r="A3133" s="2">
        <v>44783</v>
      </c>
      <c r="B3133" s="3">
        <v>0.66100694444444441</v>
      </c>
      <c r="C3133">
        <v>9180</v>
      </c>
      <c r="D3133" t="str">
        <f>VLOOKUP(H3133,Produkt!$A$2:$B$5,2,FALSE)</f>
        <v>C</v>
      </c>
      <c r="H3133">
        <v>3</v>
      </c>
      <c r="I3133">
        <v>0.28185185185185185</v>
      </c>
      <c r="J3133">
        <v>44776</v>
      </c>
    </row>
    <row r="3134" spans="1:10" x14ac:dyDescent="0.35">
      <c r="A3134" s="2">
        <v>44783</v>
      </c>
      <c r="B3134" s="3">
        <v>0.87776620370370362</v>
      </c>
      <c r="C3134">
        <v>9188</v>
      </c>
      <c r="D3134" t="str">
        <f>VLOOKUP(H3134,Produkt!$A$2:$B$5,2,FALSE)</f>
        <v>B</v>
      </c>
      <c r="H3134">
        <v>2</v>
      </c>
      <c r="I3134">
        <v>0.80790509259259258</v>
      </c>
      <c r="J3134">
        <v>44779</v>
      </c>
    </row>
    <row r="3135" spans="1:10" x14ac:dyDescent="0.35">
      <c r="A3135" s="2">
        <v>44783</v>
      </c>
      <c r="B3135" s="3">
        <v>4.7118055555555559E-2</v>
      </c>
      <c r="C3135">
        <v>9209</v>
      </c>
      <c r="D3135" t="str">
        <f>VLOOKUP(H3135,Produkt!$A$2:$B$5,2,FALSE)</f>
        <v>B</v>
      </c>
      <c r="H3135">
        <v>2</v>
      </c>
      <c r="I3135">
        <v>3.4733796296296297E-2</v>
      </c>
      <c r="J3135">
        <v>44791</v>
      </c>
    </row>
    <row r="3136" spans="1:10" x14ac:dyDescent="0.35">
      <c r="A3136" s="2">
        <v>44783</v>
      </c>
      <c r="B3136" s="3">
        <v>0.55921296296296297</v>
      </c>
      <c r="C3136">
        <v>9221</v>
      </c>
      <c r="D3136" t="str">
        <f>VLOOKUP(H3136,Produkt!$A$2:$B$5,2,FALSE)</f>
        <v>A</v>
      </c>
      <c r="H3136">
        <v>1</v>
      </c>
      <c r="I3136">
        <v>0.69766203703703711</v>
      </c>
      <c r="J3136">
        <v>44783</v>
      </c>
    </row>
    <row r="3137" spans="1:10" x14ac:dyDescent="0.35">
      <c r="A3137" s="2">
        <v>44783</v>
      </c>
      <c r="B3137" s="3">
        <v>0.69188657407407417</v>
      </c>
      <c r="C3137">
        <v>9229</v>
      </c>
      <c r="D3137" t="str">
        <f>VLOOKUP(H3137,Produkt!$A$2:$B$5,2,FALSE)</f>
        <v>C</v>
      </c>
      <c r="H3137">
        <v>3</v>
      </c>
      <c r="I3137">
        <v>0.94030092592592596</v>
      </c>
      <c r="J3137">
        <v>44791</v>
      </c>
    </row>
    <row r="3138" spans="1:10" x14ac:dyDescent="0.35">
      <c r="A3138" s="2">
        <v>44783</v>
      </c>
      <c r="B3138" s="3">
        <v>0.51309027777777783</v>
      </c>
      <c r="C3138">
        <v>9245</v>
      </c>
      <c r="D3138" t="str">
        <f>VLOOKUP(H3138,Produkt!$A$2:$B$5,2,FALSE)</f>
        <v>C</v>
      </c>
      <c r="H3138">
        <v>3</v>
      </c>
      <c r="I3138">
        <v>0.30591435185185184</v>
      </c>
      <c r="J3138">
        <v>44804</v>
      </c>
    </row>
    <row r="3139" spans="1:10" x14ac:dyDescent="0.35">
      <c r="A3139" s="2">
        <v>44783</v>
      </c>
      <c r="B3139" s="3">
        <v>0.82288194444444451</v>
      </c>
      <c r="C3139">
        <v>9280</v>
      </c>
      <c r="D3139" t="str">
        <f>VLOOKUP(H3139,Produkt!$A$2:$B$5,2,FALSE)</f>
        <v>B</v>
      </c>
      <c r="H3139">
        <v>2</v>
      </c>
      <c r="I3139">
        <v>0.36722222222222217</v>
      </c>
      <c r="J3139">
        <v>44798</v>
      </c>
    </row>
    <row r="3140" spans="1:10" x14ac:dyDescent="0.35">
      <c r="A3140" s="2">
        <v>44783</v>
      </c>
      <c r="B3140" s="3">
        <v>0.71606481481481488</v>
      </c>
      <c r="C3140">
        <v>9301</v>
      </c>
      <c r="D3140" t="str">
        <f>VLOOKUP(H3140,Produkt!$A$2:$B$5,2,FALSE)</f>
        <v>A</v>
      </c>
      <c r="H3140">
        <v>1</v>
      </c>
      <c r="I3140">
        <v>0.76679398148148159</v>
      </c>
      <c r="J3140">
        <v>44801</v>
      </c>
    </row>
    <row r="3141" spans="1:10" x14ac:dyDescent="0.35">
      <c r="A3141" s="2">
        <v>44783</v>
      </c>
      <c r="B3141" s="3">
        <v>7.6481481481481484E-2</v>
      </c>
      <c r="C3141">
        <v>9364</v>
      </c>
      <c r="D3141" t="str">
        <f>VLOOKUP(H3141,Produkt!$A$2:$B$5,2,FALSE)</f>
        <v>B</v>
      </c>
      <c r="H3141">
        <v>2</v>
      </c>
      <c r="I3141">
        <v>0.42572916666666666</v>
      </c>
      <c r="J3141">
        <v>44787</v>
      </c>
    </row>
    <row r="3142" spans="1:10" x14ac:dyDescent="0.35">
      <c r="A3142" s="2">
        <v>44783</v>
      </c>
      <c r="B3142" s="3">
        <v>0.40530092592592593</v>
      </c>
      <c r="C3142">
        <v>9402</v>
      </c>
      <c r="D3142" t="str">
        <f>VLOOKUP(H3142,Produkt!$A$2:$B$5,2,FALSE)</f>
        <v>D</v>
      </c>
      <c r="H3142">
        <v>4</v>
      </c>
      <c r="I3142">
        <v>0.23425925925925925</v>
      </c>
      <c r="J3142">
        <v>44791</v>
      </c>
    </row>
    <row r="3143" spans="1:10" x14ac:dyDescent="0.35">
      <c r="A3143" s="2">
        <v>44783</v>
      </c>
      <c r="B3143" s="3">
        <v>0.77638888888888891</v>
      </c>
      <c r="C3143">
        <v>9431</v>
      </c>
      <c r="D3143" t="str">
        <f>VLOOKUP(H3143,Produkt!$A$2:$B$5,2,FALSE)</f>
        <v>C</v>
      </c>
      <c r="H3143">
        <v>3</v>
      </c>
      <c r="I3143">
        <v>0.20395833333333332</v>
      </c>
      <c r="J3143">
        <v>44785</v>
      </c>
    </row>
    <row r="3144" spans="1:10" x14ac:dyDescent="0.35">
      <c r="A3144" s="2">
        <v>44783</v>
      </c>
      <c r="B3144" s="3">
        <v>0.77020833333333327</v>
      </c>
      <c r="C3144">
        <v>9433</v>
      </c>
      <c r="D3144" t="str">
        <f>VLOOKUP(H3144,Produkt!$A$2:$B$5,2,FALSE)</f>
        <v>C</v>
      </c>
      <c r="H3144">
        <v>3</v>
      </c>
      <c r="I3144">
        <v>0.73396990740740742</v>
      </c>
      <c r="J3144">
        <v>44779</v>
      </c>
    </row>
    <row r="3145" spans="1:10" x14ac:dyDescent="0.35">
      <c r="A3145" s="2">
        <v>44783</v>
      </c>
      <c r="B3145" s="3">
        <v>0.71953703703703698</v>
      </c>
      <c r="C3145">
        <v>9450</v>
      </c>
      <c r="D3145" t="str">
        <f>VLOOKUP(H3145,Produkt!$A$2:$B$5,2,FALSE)</f>
        <v>A</v>
      </c>
      <c r="H3145">
        <v>1</v>
      </c>
      <c r="I3145">
        <v>0.55554398148148143</v>
      </c>
      <c r="J3145">
        <v>44774</v>
      </c>
    </row>
    <row r="3146" spans="1:10" x14ac:dyDescent="0.35">
      <c r="A3146" s="2">
        <v>44783</v>
      </c>
      <c r="B3146" s="3">
        <v>0.11866898148148149</v>
      </c>
      <c r="C3146">
        <v>9464</v>
      </c>
      <c r="D3146" t="str">
        <f>VLOOKUP(H3146,Produkt!$A$2:$B$5,2,FALSE)</f>
        <v>B</v>
      </c>
      <c r="H3146">
        <v>2</v>
      </c>
      <c r="I3146">
        <v>0.71793981481481473</v>
      </c>
      <c r="J3146">
        <v>44788</v>
      </c>
    </row>
    <row r="3147" spans="1:10" x14ac:dyDescent="0.35">
      <c r="A3147" s="2">
        <v>44783</v>
      </c>
      <c r="B3147" s="3">
        <v>0.3510300925925926</v>
      </c>
      <c r="C3147">
        <v>9477</v>
      </c>
      <c r="D3147" t="str">
        <f>VLOOKUP(H3147,Produkt!$A$2:$B$5,2,FALSE)</f>
        <v>C</v>
      </c>
      <c r="H3147">
        <v>3</v>
      </c>
      <c r="I3147">
        <v>0.73673611111111104</v>
      </c>
      <c r="J3147">
        <v>44778</v>
      </c>
    </row>
    <row r="3148" spans="1:10" x14ac:dyDescent="0.35">
      <c r="A3148" s="2">
        <v>44783</v>
      </c>
      <c r="B3148" s="3">
        <v>0.72832175925925924</v>
      </c>
      <c r="C3148">
        <v>9625</v>
      </c>
      <c r="D3148" t="str">
        <f>VLOOKUP(H3148,Produkt!$A$2:$B$5,2,FALSE)</f>
        <v>A</v>
      </c>
      <c r="H3148">
        <v>1</v>
      </c>
      <c r="I3148">
        <v>0.18640046296296298</v>
      </c>
      <c r="J3148">
        <v>44795</v>
      </c>
    </row>
    <row r="3149" spans="1:10" x14ac:dyDescent="0.35">
      <c r="A3149" s="2">
        <v>44783</v>
      </c>
      <c r="B3149" s="3">
        <v>0.32692129629629629</v>
      </c>
      <c r="C3149">
        <v>9640</v>
      </c>
      <c r="D3149" t="str">
        <f>VLOOKUP(H3149,Produkt!$A$2:$B$5,2,FALSE)</f>
        <v>C</v>
      </c>
      <c r="H3149">
        <v>3</v>
      </c>
      <c r="I3149">
        <v>0.65392361111111108</v>
      </c>
      <c r="J3149">
        <v>44793</v>
      </c>
    </row>
    <row r="3150" spans="1:10" x14ac:dyDescent="0.35">
      <c r="A3150" s="2">
        <v>44783</v>
      </c>
      <c r="B3150" s="3">
        <v>0.21834490740740742</v>
      </c>
      <c r="C3150">
        <v>9643</v>
      </c>
      <c r="D3150" t="str">
        <f>VLOOKUP(H3150,Produkt!$A$2:$B$5,2,FALSE)</f>
        <v>C</v>
      </c>
      <c r="H3150">
        <v>3</v>
      </c>
      <c r="I3150">
        <v>0.37967592592592592</v>
      </c>
      <c r="J3150">
        <v>44787</v>
      </c>
    </row>
    <row r="3151" spans="1:10" x14ac:dyDescent="0.35">
      <c r="A3151" s="2">
        <v>44783</v>
      </c>
      <c r="B3151" s="3">
        <v>0.26952546296296298</v>
      </c>
      <c r="C3151">
        <v>9650</v>
      </c>
      <c r="D3151" t="str">
        <f>VLOOKUP(H3151,Produkt!$A$2:$B$5,2,FALSE)</f>
        <v>D</v>
      </c>
      <c r="H3151">
        <v>4</v>
      </c>
      <c r="I3151">
        <v>2.256944444444442E-2</v>
      </c>
      <c r="J3151">
        <v>44798</v>
      </c>
    </row>
    <row r="3152" spans="1:10" x14ac:dyDescent="0.35">
      <c r="A3152" s="2">
        <v>44783</v>
      </c>
      <c r="B3152" s="3">
        <v>0.30861111111111111</v>
      </c>
      <c r="C3152">
        <v>9661</v>
      </c>
      <c r="D3152" t="str">
        <f>VLOOKUP(H3152,Produkt!$A$2:$B$5,2,FALSE)</f>
        <v>A</v>
      </c>
      <c r="H3152">
        <v>1</v>
      </c>
      <c r="I3152">
        <v>0.56707175925925923</v>
      </c>
      <c r="J3152">
        <v>44802</v>
      </c>
    </row>
    <row r="3153" spans="1:10" x14ac:dyDescent="0.35">
      <c r="A3153" s="2">
        <v>44783</v>
      </c>
      <c r="B3153" s="3">
        <v>0.16938657407407409</v>
      </c>
      <c r="C3153">
        <v>9672</v>
      </c>
      <c r="D3153" t="str">
        <f>VLOOKUP(H3153,Produkt!$A$2:$B$5,2,FALSE)</f>
        <v>D</v>
      </c>
      <c r="H3153">
        <v>4</v>
      </c>
      <c r="I3153">
        <v>0.47194444444444444</v>
      </c>
      <c r="J3153">
        <v>44784</v>
      </c>
    </row>
    <row r="3154" spans="1:10" x14ac:dyDescent="0.35">
      <c r="A3154" s="2">
        <v>44783</v>
      </c>
      <c r="B3154" s="3">
        <v>0.6815162037037038</v>
      </c>
      <c r="C3154">
        <v>9715</v>
      </c>
      <c r="D3154" t="str">
        <f>VLOOKUP(H3154,Produkt!$A$2:$B$5,2,FALSE)</f>
        <v>C</v>
      </c>
      <c r="H3154">
        <v>3</v>
      </c>
      <c r="I3154">
        <v>0.52747685185185189</v>
      </c>
      <c r="J3154">
        <v>44775</v>
      </c>
    </row>
    <row r="3155" spans="1:10" x14ac:dyDescent="0.35">
      <c r="A3155" s="2">
        <v>44783</v>
      </c>
      <c r="B3155" s="3">
        <v>0.36653935185185182</v>
      </c>
      <c r="C3155">
        <v>9719</v>
      </c>
      <c r="D3155" t="str">
        <f>VLOOKUP(H3155,Produkt!$A$2:$B$5,2,FALSE)</f>
        <v>C</v>
      </c>
      <c r="H3155">
        <v>3</v>
      </c>
      <c r="I3155">
        <v>0.57871527777777776</v>
      </c>
      <c r="J3155">
        <v>44786</v>
      </c>
    </row>
    <row r="3156" spans="1:10" x14ac:dyDescent="0.35">
      <c r="A3156" s="2">
        <v>44783</v>
      </c>
      <c r="B3156" s="3">
        <v>0.25696759259259261</v>
      </c>
      <c r="C3156">
        <v>9727</v>
      </c>
      <c r="D3156" t="str">
        <f>VLOOKUP(H3156,Produkt!$A$2:$B$5,2,FALSE)</f>
        <v>A</v>
      </c>
      <c r="H3156">
        <v>1</v>
      </c>
      <c r="I3156">
        <v>0.93354166666666671</v>
      </c>
      <c r="J3156">
        <v>44794</v>
      </c>
    </row>
    <row r="3157" spans="1:10" x14ac:dyDescent="0.35">
      <c r="A3157" s="2">
        <v>44783</v>
      </c>
      <c r="B3157" s="3">
        <v>0.65673611111111108</v>
      </c>
      <c r="C3157">
        <v>9764</v>
      </c>
      <c r="D3157" t="str">
        <f>VLOOKUP(H3157,Produkt!$A$2:$B$5,2,FALSE)</f>
        <v>B</v>
      </c>
      <c r="H3157">
        <v>2</v>
      </c>
      <c r="I3157">
        <v>0.62296296296296294</v>
      </c>
      <c r="J3157">
        <v>44787</v>
      </c>
    </row>
    <row r="3158" spans="1:10" x14ac:dyDescent="0.35">
      <c r="A3158" s="2">
        <v>44783</v>
      </c>
      <c r="B3158" s="3">
        <v>0.23930555555555555</v>
      </c>
      <c r="C3158">
        <v>9770</v>
      </c>
      <c r="D3158" t="str">
        <f>VLOOKUP(H3158,Produkt!$A$2:$B$5,2,FALSE)</f>
        <v>C</v>
      </c>
      <c r="H3158">
        <v>3</v>
      </c>
      <c r="I3158">
        <v>7.8726851851851853E-2</v>
      </c>
      <c r="J3158">
        <v>44775</v>
      </c>
    </row>
    <row r="3159" spans="1:10" x14ac:dyDescent="0.35">
      <c r="A3159" s="2">
        <v>44783</v>
      </c>
      <c r="B3159" s="3">
        <v>0.3432986111111111</v>
      </c>
      <c r="C3159">
        <v>9799</v>
      </c>
      <c r="D3159" t="str">
        <f>VLOOKUP(H3159,Produkt!$A$2:$B$5,2,FALSE)</f>
        <v>A</v>
      </c>
      <c r="H3159">
        <v>1</v>
      </c>
      <c r="I3159">
        <v>0.95299768518518524</v>
      </c>
      <c r="J3159">
        <v>44799</v>
      </c>
    </row>
    <row r="3160" spans="1:10" x14ac:dyDescent="0.35">
      <c r="A3160" s="2">
        <v>44783</v>
      </c>
      <c r="B3160" s="3">
        <v>7.946759259259259E-2</v>
      </c>
      <c r="C3160">
        <v>9822</v>
      </c>
      <c r="D3160" t="str">
        <f>VLOOKUP(H3160,Produkt!$A$2:$B$5,2,FALSE)</f>
        <v>D</v>
      </c>
      <c r="H3160">
        <v>4</v>
      </c>
      <c r="I3160">
        <v>0.73998842592592595</v>
      </c>
      <c r="J3160">
        <v>44788</v>
      </c>
    </row>
    <row r="3161" spans="1:10" x14ac:dyDescent="0.35">
      <c r="A3161" s="2">
        <v>44783</v>
      </c>
      <c r="B3161" s="3">
        <v>0.50972222222222219</v>
      </c>
      <c r="C3161">
        <v>9829</v>
      </c>
      <c r="D3161" t="str">
        <f>VLOOKUP(H3161,Produkt!$A$2:$B$5,2,FALSE)</f>
        <v>B</v>
      </c>
      <c r="H3161">
        <v>2</v>
      </c>
      <c r="I3161">
        <v>0.57611111111111113</v>
      </c>
      <c r="J3161">
        <v>44803</v>
      </c>
    </row>
    <row r="3162" spans="1:10" x14ac:dyDescent="0.35">
      <c r="A3162" s="2">
        <v>44783</v>
      </c>
      <c r="B3162" s="3">
        <v>0.30495370370370373</v>
      </c>
      <c r="C3162">
        <v>9836</v>
      </c>
      <c r="D3162" t="str">
        <f>VLOOKUP(H3162,Produkt!$A$2:$B$5,2,FALSE)</f>
        <v>A</v>
      </c>
      <c r="H3162">
        <v>1</v>
      </c>
      <c r="I3162">
        <v>0.80432870370370368</v>
      </c>
      <c r="J3162">
        <v>44793</v>
      </c>
    </row>
    <row r="3163" spans="1:10" x14ac:dyDescent="0.35">
      <c r="A3163" s="2">
        <v>44783</v>
      </c>
      <c r="B3163" s="3">
        <v>2.5150462962962961E-2</v>
      </c>
      <c r="C3163">
        <v>9839</v>
      </c>
      <c r="D3163" t="str">
        <f>VLOOKUP(H3163,Produkt!$A$2:$B$5,2,FALSE)</f>
        <v>C</v>
      </c>
      <c r="H3163">
        <v>3</v>
      </c>
      <c r="I3163">
        <v>0.31966435185185188</v>
      </c>
      <c r="J3163">
        <v>44775</v>
      </c>
    </row>
    <row r="3164" spans="1:10" x14ac:dyDescent="0.35">
      <c r="A3164" s="2">
        <v>44783</v>
      </c>
      <c r="B3164" s="3">
        <v>0.94343749999999993</v>
      </c>
      <c r="C3164">
        <v>9844</v>
      </c>
      <c r="D3164" t="str">
        <f>VLOOKUP(H3164,Produkt!$A$2:$B$5,2,FALSE)</f>
        <v>A</v>
      </c>
      <c r="H3164">
        <v>1</v>
      </c>
      <c r="I3164">
        <v>0.40989583333333335</v>
      </c>
      <c r="J3164">
        <v>44782</v>
      </c>
    </row>
    <row r="3165" spans="1:10" x14ac:dyDescent="0.35">
      <c r="A3165" s="2">
        <v>44783</v>
      </c>
      <c r="B3165" s="3">
        <v>0.8401967592592593</v>
      </c>
      <c r="C3165">
        <v>9851</v>
      </c>
      <c r="D3165" t="str">
        <f>VLOOKUP(H3165,Produkt!$A$2:$B$5,2,FALSE)</f>
        <v>C</v>
      </c>
      <c r="H3165">
        <v>3</v>
      </c>
      <c r="I3165">
        <v>0.12745370370370371</v>
      </c>
      <c r="J3165">
        <v>44800</v>
      </c>
    </row>
    <row r="3166" spans="1:10" x14ac:dyDescent="0.35">
      <c r="A3166" s="2">
        <v>44783</v>
      </c>
      <c r="B3166" s="3">
        <v>0.13658564814814814</v>
      </c>
      <c r="C3166">
        <v>9855</v>
      </c>
      <c r="D3166" t="str">
        <f>VLOOKUP(H3166,Produkt!$A$2:$B$5,2,FALSE)</f>
        <v>D</v>
      </c>
      <c r="H3166">
        <v>4</v>
      </c>
      <c r="I3166">
        <v>0.13653935185185184</v>
      </c>
      <c r="J3166">
        <v>44791</v>
      </c>
    </row>
    <row r="3167" spans="1:10" x14ac:dyDescent="0.35">
      <c r="A3167" s="2">
        <v>44783</v>
      </c>
      <c r="B3167" s="3">
        <v>8.2141203703703702E-2</v>
      </c>
      <c r="C3167">
        <v>9911</v>
      </c>
      <c r="D3167" t="str">
        <f>VLOOKUP(H3167,Produkt!$A$2:$B$5,2,FALSE)</f>
        <v>D</v>
      </c>
      <c r="H3167">
        <v>4</v>
      </c>
      <c r="I3167">
        <v>3.7418981481481373E-2</v>
      </c>
      <c r="J3167">
        <v>44801</v>
      </c>
    </row>
    <row r="3168" spans="1:10" x14ac:dyDescent="0.35">
      <c r="A3168" s="2">
        <v>44783</v>
      </c>
      <c r="B3168" s="3">
        <v>0.62966435185185188</v>
      </c>
      <c r="C3168">
        <v>9990</v>
      </c>
      <c r="D3168" t="str">
        <f>VLOOKUP(H3168,Produkt!$A$2:$B$5,2,FALSE)</f>
        <v>A</v>
      </c>
      <c r="H3168">
        <v>1</v>
      </c>
      <c r="I3168">
        <v>0.26563657407407409</v>
      </c>
      <c r="J3168">
        <v>44792</v>
      </c>
    </row>
    <row r="3169" spans="1:10" x14ac:dyDescent="0.35">
      <c r="A3169" s="2">
        <v>44784</v>
      </c>
      <c r="B3169" s="3">
        <v>0.22428240740740743</v>
      </c>
      <c r="C3169">
        <v>28</v>
      </c>
      <c r="D3169" t="str">
        <f>VLOOKUP(H3169,Produkt!$A$2:$B$5,2,FALSE)</f>
        <v>C</v>
      </c>
      <c r="H3169">
        <v>3</v>
      </c>
      <c r="I3169">
        <v>0.35498842592592594</v>
      </c>
      <c r="J3169">
        <v>44803</v>
      </c>
    </row>
    <row r="3170" spans="1:10" x14ac:dyDescent="0.35">
      <c r="A3170" s="2">
        <v>44784</v>
      </c>
      <c r="B3170" s="3">
        <v>0.25714120370370369</v>
      </c>
      <c r="C3170">
        <v>49</v>
      </c>
      <c r="D3170" t="str">
        <f>VLOOKUP(H3170,Produkt!$A$2:$B$5,2,FALSE)</f>
        <v>D</v>
      </c>
      <c r="H3170">
        <v>4</v>
      </c>
      <c r="I3170">
        <v>0.54604166666666665</v>
      </c>
      <c r="J3170">
        <v>44789</v>
      </c>
    </row>
    <row r="3171" spans="1:10" x14ac:dyDescent="0.35">
      <c r="A3171" s="2">
        <v>44784</v>
      </c>
      <c r="B3171" s="3">
        <v>0.30217592592592596</v>
      </c>
      <c r="C3171">
        <v>96</v>
      </c>
      <c r="D3171" t="str">
        <f>VLOOKUP(H3171,Produkt!$A$2:$B$5,2,FALSE)</f>
        <v>A</v>
      </c>
      <c r="H3171">
        <v>1</v>
      </c>
      <c r="I3171">
        <v>0.48418981481481477</v>
      </c>
      <c r="J3171">
        <v>44774</v>
      </c>
    </row>
    <row r="3172" spans="1:10" x14ac:dyDescent="0.35">
      <c r="A3172" s="2">
        <v>44784</v>
      </c>
      <c r="B3172" s="3">
        <v>0.39531250000000001</v>
      </c>
      <c r="C3172">
        <v>108</v>
      </c>
      <c r="D3172" t="str">
        <f>VLOOKUP(H3172,Produkt!$A$2:$B$5,2,FALSE)</f>
        <v>D</v>
      </c>
      <c r="H3172">
        <v>4</v>
      </c>
      <c r="I3172">
        <v>0.59018518518518526</v>
      </c>
      <c r="J3172">
        <v>44794</v>
      </c>
    </row>
    <row r="3173" spans="1:10" x14ac:dyDescent="0.35">
      <c r="A3173" s="2">
        <v>44784</v>
      </c>
      <c r="B3173" s="3">
        <v>0.90653935185185175</v>
      </c>
      <c r="C3173">
        <v>145</v>
      </c>
      <c r="D3173" t="str">
        <f>VLOOKUP(H3173,Produkt!$A$2:$B$5,2,FALSE)</f>
        <v>A</v>
      </c>
      <c r="H3173">
        <v>1</v>
      </c>
      <c r="I3173">
        <v>0.3787962962962963</v>
      </c>
      <c r="J3173">
        <v>44775</v>
      </c>
    </row>
    <row r="3174" spans="1:10" x14ac:dyDescent="0.35">
      <c r="A3174" s="2">
        <v>44784</v>
      </c>
      <c r="B3174" s="3">
        <v>0.26537037037037037</v>
      </c>
      <c r="C3174">
        <v>168</v>
      </c>
      <c r="D3174" t="str">
        <f>VLOOKUP(H3174,Produkt!$A$2:$B$5,2,FALSE)</f>
        <v>B</v>
      </c>
      <c r="H3174">
        <v>2</v>
      </c>
      <c r="I3174">
        <v>3.052083333333333E-2</v>
      </c>
      <c r="J3174">
        <v>44780</v>
      </c>
    </row>
    <row r="3175" spans="1:10" x14ac:dyDescent="0.35">
      <c r="A3175" s="2">
        <v>44784</v>
      </c>
      <c r="B3175" s="3">
        <v>0.60981481481481481</v>
      </c>
      <c r="C3175">
        <v>227</v>
      </c>
      <c r="D3175" t="str">
        <f>VLOOKUP(H3175,Produkt!$A$2:$B$5,2,FALSE)</f>
        <v>C</v>
      </c>
      <c r="H3175">
        <v>3</v>
      </c>
      <c r="I3175">
        <v>0.65888888888888886</v>
      </c>
      <c r="J3175">
        <v>44792</v>
      </c>
    </row>
    <row r="3176" spans="1:10" x14ac:dyDescent="0.35">
      <c r="A3176" s="2">
        <v>44784</v>
      </c>
      <c r="B3176" s="3">
        <v>4.7916666666666663E-2</v>
      </c>
      <c r="C3176">
        <v>236</v>
      </c>
      <c r="D3176" t="str">
        <f>VLOOKUP(H3176,Produkt!$A$2:$B$5,2,FALSE)</f>
        <v>C</v>
      </c>
      <c r="H3176">
        <v>3</v>
      </c>
      <c r="I3176">
        <v>0.36842592592592593</v>
      </c>
      <c r="J3176">
        <v>44799</v>
      </c>
    </row>
    <row r="3177" spans="1:10" x14ac:dyDescent="0.35">
      <c r="A3177" s="2">
        <v>44784</v>
      </c>
      <c r="B3177" s="3">
        <v>0.7171643518518519</v>
      </c>
      <c r="C3177">
        <v>264</v>
      </c>
      <c r="D3177" t="str">
        <f>VLOOKUP(H3177,Produkt!$A$2:$B$5,2,FALSE)</f>
        <v>A</v>
      </c>
      <c r="H3177">
        <v>1</v>
      </c>
      <c r="I3177">
        <v>0.64498842592592587</v>
      </c>
      <c r="J3177">
        <v>44785</v>
      </c>
    </row>
    <row r="3178" spans="1:10" x14ac:dyDescent="0.35">
      <c r="A3178" s="2">
        <v>44784</v>
      </c>
      <c r="B3178" s="3">
        <v>0.87543981481481481</v>
      </c>
      <c r="C3178">
        <v>268</v>
      </c>
      <c r="D3178" t="str">
        <f>VLOOKUP(H3178,Produkt!$A$2:$B$5,2,FALSE)</f>
        <v>B</v>
      </c>
      <c r="H3178">
        <v>2</v>
      </c>
      <c r="I3178">
        <v>0.86664351851851851</v>
      </c>
      <c r="J3178">
        <v>44782</v>
      </c>
    </row>
    <row r="3179" spans="1:10" x14ac:dyDescent="0.35">
      <c r="A3179" s="2">
        <v>44784</v>
      </c>
      <c r="B3179" s="3">
        <v>0.47819444444444442</v>
      </c>
      <c r="C3179">
        <v>280</v>
      </c>
      <c r="D3179" t="str">
        <f>VLOOKUP(H3179,Produkt!$A$2:$B$5,2,FALSE)</f>
        <v>C</v>
      </c>
      <c r="H3179">
        <v>3</v>
      </c>
      <c r="I3179">
        <v>0.7946875000000001</v>
      </c>
      <c r="J3179">
        <v>44779</v>
      </c>
    </row>
    <row r="3180" spans="1:10" x14ac:dyDescent="0.35">
      <c r="A3180" s="2">
        <v>44784</v>
      </c>
      <c r="B3180" s="3">
        <v>0.53476851851851859</v>
      </c>
      <c r="C3180">
        <v>288</v>
      </c>
      <c r="D3180" t="str">
        <f>VLOOKUP(H3180,Produkt!$A$2:$B$5,2,FALSE)</f>
        <v>D</v>
      </c>
      <c r="H3180">
        <v>4</v>
      </c>
      <c r="I3180">
        <v>0.98322916666666671</v>
      </c>
      <c r="J3180">
        <v>44785</v>
      </c>
    </row>
    <row r="3181" spans="1:10" x14ac:dyDescent="0.35">
      <c r="A3181" s="2">
        <v>44784</v>
      </c>
      <c r="B3181" s="3">
        <v>0.94578703703703704</v>
      </c>
      <c r="C3181">
        <v>313</v>
      </c>
      <c r="D3181" t="str">
        <f>VLOOKUP(H3181,Produkt!$A$2:$B$5,2,FALSE)</f>
        <v>A</v>
      </c>
      <c r="H3181">
        <v>1</v>
      </c>
      <c r="I3181">
        <v>0.11937500000000001</v>
      </c>
      <c r="J3181">
        <v>44784</v>
      </c>
    </row>
    <row r="3182" spans="1:10" x14ac:dyDescent="0.35">
      <c r="A3182" s="2">
        <v>44784</v>
      </c>
      <c r="B3182" s="3">
        <v>0.66675925925925927</v>
      </c>
      <c r="C3182">
        <v>319</v>
      </c>
      <c r="D3182" t="str">
        <f>VLOOKUP(H3182,Produkt!$A$2:$B$5,2,FALSE)</f>
        <v>C</v>
      </c>
      <c r="H3182">
        <v>3</v>
      </c>
      <c r="I3182">
        <v>3.1620370370370354E-2</v>
      </c>
      <c r="J3182">
        <v>44799</v>
      </c>
    </row>
    <row r="3183" spans="1:10" x14ac:dyDescent="0.35">
      <c r="A3183" s="2">
        <v>44784</v>
      </c>
      <c r="B3183" s="3">
        <v>5.8321759259259261E-2</v>
      </c>
      <c r="C3183">
        <v>348</v>
      </c>
      <c r="D3183" t="str">
        <f>VLOOKUP(H3183,Produkt!$A$2:$B$5,2,FALSE)</f>
        <v>C</v>
      </c>
      <c r="H3183">
        <v>3</v>
      </c>
      <c r="I3183">
        <v>0.54913194444444446</v>
      </c>
      <c r="J3183">
        <v>44778</v>
      </c>
    </row>
    <row r="3184" spans="1:10" x14ac:dyDescent="0.35">
      <c r="A3184" s="2">
        <v>44784</v>
      </c>
      <c r="B3184" s="3">
        <v>0.79478009259259252</v>
      </c>
      <c r="C3184">
        <v>358</v>
      </c>
      <c r="D3184" t="str">
        <f>VLOOKUP(H3184,Produkt!$A$2:$B$5,2,FALSE)</f>
        <v>C</v>
      </c>
      <c r="H3184">
        <v>3</v>
      </c>
      <c r="I3184">
        <v>3.2939814814814783E-2</v>
      </c>
      <c r="J3184">
        <v>44787</v>
      </c>
    </row>
    <row r="3185" spans="1:10" x14ac:dyDescent="0.35">
      <c r="A3185" s="2">
        <v>44784</v>
      </c>
      <c r="B3185" s="3">
        <v>9.0092592592592599E-2</v>
      </c>
      <c r="C3185">
        <v>415</v>
      </c>
      <c r="D3185" t="str">
        <f>VLOOKUP(H3185,Produkt!$A$2:$B$5,2,FALSE)</f>
        <v>D</v>
      </c>
      <c r="H3185">
        <v>4</v>
      </c>
      <c r="I3185">
        <v>0.55902777777777779</v>
      </c>
      <c r="J3185">
        <v>44782</v>
      </c>
    </row>
    <row r="3186" spans="1:10" x14ac:dyDescent="0.35">
      <c r="A3186" s="2">
        <v>44784</v>
      </c>
      <c r="B3186" s="3">
        <v>0.87164351851851851</v>
      </c>
      <c r="C3186">
        <v>461</v>
      </c>
      <c r="D3186" t="str">
        <f>VLOOKUP(H3186,Produkt!$A$2:$B$5,2,FALSE)</f>
        <v>A</v>
      </c>
      <c r="H3186">
        <v>1</v>
      </c>
      <c r="I3186">
        <v>0.82871527777777787</v>
      </c>
      <c r="J3186">
        <v>44792</v>
      </c>
    </row>
    <row r="3187" spans="1:10" x14ac:dyDescent="0.35">
      <c r="A3187" s="2">
        <v>44784</v>
      </c>
      <c r="B3187" s="3">
        <v>8.8900462962962959E-2</v>
      </c>
      <c r="C3187">
        <v>488</v>
      </c>
      <c r="D3187" t="str">
        <f>VLOOKUP(H3187,Produkt!$A$2:$B$5,2,FALSE)</f>
        <v>C</v>
      </c>
      <c r="H3187">
        <v>3</v>
      </c>
      <c r="I3187">
        <v>0.31337962962962962</v>
      </c>
      <c r="J3187">
        <v>44781</v>
      </c>
    </row>
    <row r="3188" spans="1:10" x14ac:dyDescent="0.35">
      <c r="A3188" s="2">
        <v>44784</v>
      </c>
      <c r="B3188" s="3">
        <v>0.81636574074074064</v>
      </c>
      <c r="C3188">
        <v>524</v>
      </c>
      <c r="D3188" t="str">
        <f>VLOOKUP(H3188,Produkt!$A$2:$B$5,2,FALSE)</f>
        <v>B</v>
      </c>
      <c r="H3188">
        <v>2</v>
      </c>
      <c r="I3188">
        <v>0.45672453703703703</v>
      </c>
      <c r="J3188">
        <v>44775</v>
      </c>
    </row>
    <row r="3189" spans="1:10" x14ac:dyDescent="0.35">
      <c r="A3189" s="2">
        <v>44784</v>
      </c>
      <c r="B3189" s="3">
        <v>0.14990740740740741</v>
      </c>
      <c r="C3189">
        <v>544</v>
      </c>
      <c r="D3189" t="str">
        <f>VLOOKUP(H3189,Produkt!$A$2:$B$5,2,FALSE)</f>
        <v>B</v>
      </c>
      <c r="H3189">
        <v>2</v>
      </c>
      <c r="I3189">
        <v>0.42259259259259258</v>
      </c>
      <c r="J3189">
        <v>44788</v>
      </c>
    </row>
    <row r="3190" spans="1:10" x14ac:dyDescent="0.35">
      <c r="A3190" s="2">
        <v>44784</v>
      </c>
      <c r="B3190" s="3">
        <v>0.59894675925925933</v>
      </c>
      <c r="C3190">
        <v>564</v>
      </c>
      <c r="D3190" t="str">
        <f>VLOOKUP(H3190,Produkt!$A$2:$B$5,2,FALSE)</f>
        <v>B</v>
      </c>
      <c r="H3190">
        <v>2</v>
      </c>
      <c r="I3190">
        <v>8.7824074074074068E-2</v>
      </c>
      <c r="J3190">
        <v>44776</v>
      </c>
    </row>
    <row r="3191" spans="1:10" x14ac:dyDescent="0.35">
      <c r="A3191" s="2">
        <v>44784</v>
      </c>
      <c r="B3191" s="3">
        <v>0.6790046296296296</v>
      </c>
      <c r="C3191">
        <v>610</v>
      </c>
      <c r="D3191" t="str">
        <f>VLOOKUP(H3191,Produkt!$A$2:$B$5,2,FALSE)</f>
        <v>D</v>
      </c>
      <c r="H3191">
        <v>4</v>
      </c>
      <c r="I3191">
        <v>0.15126157407407406</v>
      </c>
      <c r="J3191">
        <v>44790</v>
      </c>
    </row>
    <row r="3192" spans="1:10" x14ac:dyDescent="0.35">
      <c r="A3192" s="2">
        <v>44784</v>
      </c>
      <c r="B3192" s="3">
        <v>0.40770833333333334</v>
      </c>
      <c r="C3192">
        <v>619</v>
      </c>
      <c r="D3192" t="str">
        <f>VLOOKUP(H3192,Produkt!$A$2:$B$5,2,FALSE)</f>
        <v>B</v>
      </c>
      <c r="H3192">
        <v>2</v>
      </c>
      <c r="I3192">
        <v>1.303240740740752E-2</v>
      </c>
      <c r="J3192">
        <v>44786</v>
      </c>
    </row>
    <row r="3193" spans="1:10" x14ac:dyDescent="0.35">
      <c r="A3193" s="2">
        <v>44784</v>
      </c>
      <c r="B3193" s="3">
        <v>0.79254629629629625</v>
      </c>
      <c r="C3193">
        <v>626</v>
      </c>
      <c r="D3193" t="str">
        <f>VLOOKUP(H3193,Produkt!$A$2:$B$5,2,FALSE)</f>
        <v>B</v>
      </c>
      <c r="H3193">
        <v>2</v>
      </c>
      <c r="I3193">
        <v>0.53778935185185184</v>
      </c>
      <c r="J3193">
        <v>44796</v>
      </c>
    </row>
    <row r="3194" spans="1:10" x14ac:dyDescent="0.35">
      <c r="A3194" s="2">
        <v>44784</v>
      </c>
      <c r="B3194" s="3">
        <v>0.53847222222222224</v>
      </c>
      <c r="C3194">
        <v>660</v>
      </c>
      <c r="D3194" t="str">
        <f>VLOOKUP(H3194,Produkt!$A$2:$B$5,2,FALSE)</f>
        <v>D</v>
      </c>
      <c r="H3194">
        <v>4</v>
      </c>
      <c r="I3194">
        <v>8.8078703703703701E-2</v>
      </c>
      <c r="J3194">
        <v>44793</v>
      </c>
    </row>
    <row r="3195" spans="1:10" x14ac:dyDescent="0.35">
      <c r="A3195" s="2">
        <v>44784</v>
      </c>
      <c r="B3195" s="3">
        <v>0.97424768518518512</v>
      </c>
      <c r="C3195">
        <v>676</v>
      </c>
      <c r="D3195" t="str">
        <f>VLOOKUP(H3195,Produkt!$A$2:$B$5,2,FALSE)</f>
        <v>C</v>
      </c>
      <c r="H3195">
        <v>3</v>
      </c>
      <c r="I3195">
        <v>0.48172453703703705</v>
      </c>
      <c r="J3195">
        <v>44777</v>
      </c>
    </row>
    <row r="3196" spans="1:10" x14ac:dyDescent="0.35">
      <c r="A3196" s="2">
        <v>44784</v>
      </c>
      <c r="B3196" s="3">
        <v>0.35159722222222217</v>
      </c>
      <c r="C3196">
        <v>694</v>
      </c>
      <c r="D3196" t="str">
        <f>VLOOKUP(H3196,Produkt!$A$2:$B$5,2,FALSE)</f>
        <v>B</v>
      </c>
      <c r="H3196">
        <v>2</v>
      </c>
      <c r="I3196">
        <v>3.138888888888889E-2</v>
      </c>
      <c r="J3196">
        <v>44796</v>
      </c>
    </row>
    <row r="3197" spans="1:10" x14ac:dyDescent="0.35">
      <c r="A3197" s="2">
        <v>44784</v>
      </c>
      <c r="B3197" s="3">
        <v>0.62629629629629624</v>
      </c>
      <c r="C3197">
        <v>699</v>
      </c>
      <c r="D3197" t="str">
        <f>VLOOKUP(H3197,Produkt!$A$2:$B$5,2,FALSE)</f>
        <v>B</v>
      </c>
      <c r="H3197">
        <v>2</v>
      </c>
      <c r="I3197">
        <v>0.46971064814814811</v>
      </c>
      <c r="J3197">
        <v>44790</v>
      </c>
    </row>
    <row r="3198" spans="1:10" x14ac:dyDescent="0.35">
      <c r="A3198" s="2">
        <v>44784</v>
      </c>
      <c r="B3198" s="3">
        <v>0.73383101851851851</v>
      </c>
      <c r="C3198">
        <v>710</v>
      </c>
      <c r="D3198" t="str">
        <f>VLOOKUP(H3198,Produkt!$A$2:$B$5,2,FALSE)</f>
        <v>B</v>
      </c>
      <c r="H3198">
        <v>2</v>
      </c>
      <c r="I3198">
        <v>0.90833333333333333</v>
      </c>
      <c r="J3198">
        <v>44796</v>
      </c>
    </row>
    <row r="3199" spans="1:10" x14ac:dyDescent="0.35">
      <c r="A3199" s="2">
        <v>44784</v>
      </c>
      <c r="B3199" s="3">
        <v>0.62938657407407406</v>
      </c>
      <c r="C3199">
        <v>757</v>
      </c>
      <c r="D3199" t="str">
        <f>VLOOKUP(H3199,Produkt!$A$2:$B$5,2,FALSE)</f>
        <v>A</v>
      </c>
      <c r="H3199">
        <v>1</v>
      </c>
      <c r="I3199">
        <v>0.37543981481481481</v>
      </c>
      <c r="J3199">
        <v>44783</v>
      </c>
    </row>
    <row r="3200" spans="1:10" x14ac:dyDescent="0.35">
      <c r="A3200" s="2">
        <v>44784</v>
      </c>
      <c r="B3200" s="3">
        <v>0.47959490740740746</v>
      </c>
      <c r="C3200">
        <v>765</v>
      </c>
      <c r="D3200" t="str">
        <f>VLOOKUP(H3200,Produkt!$A$2:$B$5,2,FALSE)</f>
        <v>B</v>
      </c>
      <c r="H3200">
        <v>2</v>
      </c>
      <c r="I3200">
        <v>0.20520833333333333</v>
      </c>
      <c r="J3200">
        <v>44790</v>
      </c>
    </row>
    <row r="3201" spans="1:10" x14ac:dyDescent="0.35">
      <c r="A3201" s="2">
        <v>44784</v>
      </c>
      <c r="B3201" s="3">
        <v>0.62886574074074075</v>
      </c>
      <c r="C3201">
        <v>827</v>
      </c>
      <c r="D3201" t="str">
        <f>VLOOKUP(H3201,Produkt!$A$2:$B$5,2,FALSE)</f>
        <v>D</v>
      </c>
      <c r="H3201">
        <v>4</v>
      </c>
      <c r="I3201">
        <v>0.56663194444444442</v>
      </c>
      <c r="J3201">
        <v>44801</v>
      </c>
    </row>
    <row r="3202" spans="1:10" x14ac:dyDescent="0.35">
      <c r="A3202" s="2">
        <v>44784</v>
      </c>
      <c r="B3202" s="3">
        <v>0.85828703703703713</v>
      </c>
      <c r="C3202">
        <v>828</v>
      </c>
      <c r="D3202" t="str">
        <f>VLOOKUP(H3202,Produkt!$A$2:$B$5,2,FALSE)</f>
        <v>D</v>
      </c>
      <c r="H3202">
        <v>4</v>
      </c>
      <c r="I3202">
        <v>0.93923611111111116</v>
      </c>
      <c r="J3202">
        <v>44800</v>
      </c>
    </row>
    <row r="3203" spans="1:10" x14ac:dyDescent="0.35">
      <c r="A3203" s="2">
        <v>44784</v>
      </c>
      <c r="B3203" s="3">
        <v>0.8526273148148148</v>
      </c>
      <c r="C3203">
        <v>901</v>
      </c>
      <c r="D3203" t="str">
        <f>VLOOKUP(H3203,Produkt!$A$2:$B$5,2,FALSE)</f>
        <v>A</v>
      </c>
      <c r="H3203">
        <v>1</v>
      </c>
      <c r="I3203">
        <v>0.87280092592592595</v>
      </c>
      <c r="J3203">
        <v>44777</v>
      </c>
    </row>
    <row r="3204" spans="1:10" x14ac:dyDescent="0.35">
      <c r="A3204" s="2">
        <v>44784</v>
      </c>
      <c r="B3204" s="3">
        <v>0.31276620370370373</v>
      </c>
      <c r="C3204">
        <v>905</v>
      </c>
      <c r="D3204" t="str">
        <f>VLOOKUP(H3204,Produkt!$A$2:$B$5,2,FALSE)</f>
        <v>D</v>
      </c>
      <c r="H3204">
        <v>4</v>
      </c>
      <c r="I3204">
        <v>0.8334259259259259</v>
      </c>
      <c r="J3204">
        <v>44788</v>
      </c>
    </row>
    <row r="3205" spans="1:10" x14ac:dyDescent="0.35">
      <c r="A3205" s="2">
        <v>44784</v>
      </c>
      <c r="B3205" s="3">
        <v>0.4107986111111111</v>
      </c>
      <c r="C3205">
        <v>931</v>
      </c>
      <c r="D3205" t="str">
        <f>VLOOKUP(H3205,Produkt!$A$2:$B$5,2,FALSE)</f>
        <v>D</v>
      </c>
      <c r="H3205">
        <v>4</v>
      </c>
      <c r="I3205">
        <v>0.58843750000000006</v>
      </c>
      <c r="J3205">
        <v>44779</v>
      </c>
    </row>
    <row r="3206" spans="1:10" x14ac:dyDescent="0.35">
      <c r="A3206" s="2">
        <v>44784</v>
      </c>
      <c r="B3206" s="3">
        <v>0.77861111111111114</v>
      </c>
      <c r="C3206">
        <v>1005</v>
      </c>
      <c r="D3206" t="str">
        <f>VLOOKUP(H3206,Produkt!$A$2:$B$5,2,FALSE)</f>
        <v>A</v>
      </c>
      <c r="H3206">
        <v>1</v>
      </c>
      <c r="I3206">
        <v>0.15950231481481481</v>
      </c>
      <c r="J3206">
        <v>44791</v>
      </c>
    </row>
    <row r="3207" spans="1:10" x14ac:dyDescent="0.35">
      <c r="A3207" s="2">
        <v>44784</v>
      </c>
      <c r="B3207" s="3">
        <v>6.895833333333333E-2</v>
      </c>
      <c r="C3207">
        <v>1010</v>
      </c>
      <c r="D3207" t="str">
        <f>VLOOKUP(H3207,Produkt!$A$2:$B$5,2,FALSE)</f>
        <v>D</v>
      </c>
      <c r="H3207">
        <v>4</v>
      </c>
      <c r="I3207">
        <v>0.40643518518518523</v>
      </c>
      <c r="J3207">
        <v>44786</v>
      </c>
    </row>
    <row r="3208" spans="1:10" x14ac:dyDescent="0.35">
      <c r="A3208" s="2">
        <v>44784</v>
      </c>
      <c r="B3208" s="3">
        <v>0.6705902777777778</v>
      </c>
      <c r="C3208">
        <v>1048</v>
      </c>
      <c r="D3208" t="str">
        <f>VLOOKUP(H3208,Produkt!$A$2:$B$5,2,FALSE)</f>
        <v>B</v>
      </c>
      <c r="H3208">
        <v>2</v>
      </c>
      <c r="I3208">
        <v>0.3682407407407407</v>
      </c>
      <c r="J3208">
        <v>44802</v>
      </c>
    </row>
    <row r="3209" spans="1:10" x14ac:dyDescent="0.35">
      <c r="A3209" s="2">
        <v>44784</v>
      </c>
      <c r="B3209" s="3">
        <v>0.77777777777777779</v>
      </c>
      <c r="C3209">
        <v>1073</v>
      </c>
      <c r="D3209" t="str">
        <f>VLOOKUP(H3209,Produkt!$A$2:$B$5,2,FALSE)</f>
        <v>C</v>
      </c>
      <c r="H3209">
        <v>3</v>
      </c>
      <c r="I3209">
        <v>0.83086805555555554</v>
      </c>
      <c r="J3209">
        <v>44799</v>
      </c>
    </row>
    <row r="3210" spans="1:10" x14ac:dyDescent="0.35">
      <c r="A3210" s="2">
        <v>44784</v>
      </c>
      <c r="B3210" s="3">
        <v>0.81909722222222225</v>
      </c>
      <c r="C3210">
        <v>1074</v>
      </c>
      <c r="D3210" t="str">
        <f>VLOOKUP(H3210,Produkt!$A$2:$B$5,2,FALSE)</f>
        <v>C</v>
      </c>
      <c r="H3210">
        <v>3</v>
      </c>
      <c r="I3210">
        <v>0.82138888888888895</v>
      </c>
      <c r="J3210">
        <v>44784</v>
      </c>
    </row>
    <row r="3211" spans="1:10" x14ac:dyDescent="0.35">
      <c r="A3211" s="2">
        <v>44784</v>
      </c>
      <c r="B3211" s="3">
        <v>0.84296296296296302</v>
      </c>
      <c r="C3211">
        <v>1080</v>
      </c>
      <c r="D3211" t="str">
        <f>VLOOKUP(H3211,Produkt!$A$2:$B$5,2,FALSE)</f>
        <v>C</v>
      </c>
      <c r="H3211">
        <v>3</v>
      </c>
      <c r="I3211">
        <v>0.28006944444444443</v>
      </c>
      <c r="J3211">
        <v>44794</v>
      </c>
    </row>
    <row r="3212" spans="1:10" x14ac:dyDescent="0.35">
      <c r="A3212" s="2">
        <v>44784</v>
      </c>
      <c r="B3212" s="3">
        <v>0.61060185185185178</v>
      </c>
      <c r="C3212">
        <v>1100</v>
      </c>
      <c r="D3212" t="str">
        <f>VLOOKUP(H3212,Produkt!$A$2:$B$5,2,FALSE)</f>
        <v>B</v>
      </c>
      <c r="H3212">
        <v>2</v>
      </c>
      <c r="I3212">
        <v>0.58851851851851855</v>
      </c>
      <c r="J3212">
        <v>44790</v>
      </c>
    </row>
    <row r="3213" spans="1:10" x14ac:dyDescent="0.35">
      <c r="A3213" s="2">
        <v>44784</v>
      </c>
      <c r="B3213" s="3">
        <v>0.60461805555555559</v>
      </c>
      <c r="C3213">
        <v>1149</v>
      </c>
      <c r="D3213" t="str">
        <f>VLOOKUP(H3213,Produkt!$A$2:$B$5,2,FALSE)</f>
        <v>B</v>
      </c>
      <c r="H3213">
        <v>2</v>
      </c>
      <c r="I3213">
        <v>9.8229166666666659E-2</v>
      </c>
      <c r="J3213">
        <v>44790</v>
      </c>
    </row>
    <row r="3214" spans="1:10" x14ac:dyDescent="0.35">
      <c r="A3214" s="2">
        <v>44784</v>
      </c>
      <c r="B3214" s="3">
        <v>0.55511574074074077</v>
      </c>
      <c r="C3214">
        <v>1164</v>
      </c>
      <c r="D3214" t="str">
        <f>VLOOKUP(H3214,Produkt!$A$2:$B$5,2,FALSE)</f>
        <v>B</v>
      </c>
      <c r="H3214">
        <v>2</v>
      </c>
      <c r="I3214">
        <v>0.37207175925925928</v>
      </c>
      <c r="J3214">
        <v>44782</v>
      </c>
    </row>
    <row r="3215" spans="1:10" x14ac:dyDescent="0.35">
      <c r="A3215" s="2">
        <v>44784</v>
      </c>
      <c r="B3215" s="3">
        <v>9.8194444444444431E-2</v>
      </c>
      <c r="C3215">
        <v>1182</v>
      </c>
      <c r="D3215" t="str">
        <f>VLOOKUP(H3215,Produkt!$A$2:$B$5,2,FALSE)</f>
        <v>C</v>
      </c>
      <c r="H3215">
        <v>3</v>
      </c>
      <c r="I3215">
        <v>1.3923611111111178E-2</v>
      </c>
      <c r="J3215">
        <v>44802</v>
      </c>
    </row>
    <row r="3216" spans="1:10" x14ac:dyDescent="0.35">
      <c r="A3216" s="2">
        <v>44784</v>
      </c>
      <c r="B3216" s="3">
        <v>0.91052083333333333</v>
      </c>
      <c r="C3216">
        <v>1370</v>
      </c>
      <c r="D3216" t="str">
        <f>VLOOKUP(H3216,Produkt!$A$2:$B$5,2,FALSE)</f>
        <v>C</v>
      </c>
      <c r="H3216">
        <v>3</v>
      </c>
      <c r="I3216">
        <v>0.73063657407407412</v>
      </c>
      <c r="J3216">
        <v>44803</v>
      </c>
    </row>
    <row r="3217" spans="1:10" x14ac:dyDescent="0.35">
      <c r="A3217" s="2">
        <v>44784</v>
      </c>
      <c r="B3217" s="3">
        <v>0.80987268518518529</v>
      </c>
      <c r="C3217">
        <v>1380</v>
      </c>
      <c r="D3217" t="str">
        <f>VLOOKUP(H3217,Produkt!$A$2:$B$5,2,FALSE)</f>
        <v>C</v>
      </c>
      <c r="H3217">
        <v>3</v>
      </c>
      <c r="I3217">
        <v>0.5377777777777778</v>
      </c>
      <c r="J3217">
        <v>44794</v>
      </c>
    </row>
    <row r="3218" spans="1:10" x14ac:dyDescent="0.35">
      <c r="A3218" s="2">
        <v>44784</v>
      </c>
      <c r="B3218" s="3">
        <v>0.75962962962962965</v>
      </c>
      <c r="C3218">
        <v>1415</v>
      </c>
      <c r="D3218" t="str">
        <f>VLOOKUP(H3218,Produkt!$A$2:$B$5,2,FALSE)</f>
        <v>A</v>
      </c>
      <c r="H3218">
        <v>1</v>
      </c>
      <c r="I3218">
        <v>3.6921296296296292E-2</v>
      </c>
      <c r="J3218">
        <v>44802</v>
      </c>
    </row>
    <row r="3219" spans="1:10" x14ac:dyDescent="0.35">
      <c r="A3219" s="2">
        <v>44784</v>
      </c>
      <c r="B3219" s="3">
        <v>0.17743055555555556</v>
      </c>
      <c r="C3219">
        <v>1505</v>
      </c>
      <c r="D3219" t="str">
        <f>VLOOKUP(H3219,Produkt!$A$2:$B$5,2,FALSE)</f>
        <v>A</v>
      </c>
      <c r="H3219">
        <v>1</v>
      </c>
      <c r="I3219">
        <v>0.57643518518518522</v>
      </c>
      <c r="J3219">
        <v>44783</v>
      </c>
    </row>
    <row r="3220" spans="1:10" x14ac:dyDescent="0.35">
      <c r="A3220" s="2">
        <v>44784</v>
      </c>
      <c r="B3220" s="3">
        <v>0.19574074074074074</v>
      </c>
      <c r="C3220">
        <v>1553</v>
      </c>
      <c r="D3220" t="str">
        <f>VLOOKUP(H3220,Produkt!$A$2:$B$5,2,FALSE)</f>
        <v>B</v>
      </c>
      <c r="H3220">
        <v>2</v>
      </c>
      <c r="I3220">
        <v>0.76545138888888886</v>
      </c>
      <c r="J3220">
        <v>44791</v>
      </c>
    </row>
    <row r="3221" spans="1:10" x14ac:dyDescent="0.35">
      <c r="A3221" s="2">
        <v>44784</v>
      </c>
      <c r="B3221" s="3">
        <v>0.29062499999999997</v>
      </c>
      <c r="C3221">
        <v>1563</v>
      </c>
      <c r="D3221" t="str">
        <f>VLOOKUP(H3221,Produkt!$A$2:$B$5,2,FALSE)</f>
        <v>A</v>
      </c>
      <c r="H3221">
        <v>1</v>
      </c>
      <c r="I3221">
        <v>0.80248842592592595</v>
      </c>
      <c r="J3221">
        <v>44788</v>
      </c>
    </row>
    <row r="3222" spans="1:10" x14ac:dyDescent="0.35">
      <c r="A3222" s="2">
        <v>44784</v>
      </c>
      <c r="B3222" s="3">
        <v>0.23807870370370368</v>
      </c>
      <c r="C3222">
        <v>1600</v>
      </c>
      <c r="D3222" t="str">
        <f>VLOOKUP(H3222,Produkt!$A$2:$B$5,2,FALSE)</f>
        <v>A</v>
      </c>
      <c r="H3222">
        <v>1</v>
      </c>
      <c r="I3222">
        <v>0.38387731481481485</v>
      </c>
      <c r="J3222">
        <v>44783</v>
      </c>
    </row>
    <row r="3223" spans="1:10" x14ac:dyDescent="0.35">
      <c r="A3223" s="2">
        <v>44784</v>
      </c>
      <c r="B3223" s="3">
        <v>0.61298611111111112</v>
      </c>
      <c r="C3223">
        <v>1623</v>
      </c>
      <c r="D3223" t="str">
        <f>VLOOKUP(H3223,Produkt!$A$2:$B$5,2,FALSE)</f>
        <v>A</v>
      </c>
      <c r="H3223">
        <v>1</v>
      </c>
      <c r="I3223">
        <v>0.22989583333333333</v>
      </c>
      <c r="J3223">
        <v>44777</v>
      </c>
    </row>
    <row r="3224" spans="1:10" x14ac:dyDescent="0.35">
      <c r="A3224" s="2">
        <v>44784</v>
      </c>
      <c r="B3224" s="3">
        <v>4.3229166666666673E-2</v>
      </c>
      <c r="C3224">
        <v>1755</v>
      </c>
      <c r="D3224" t="str">
        <f>VLOOKUP(H3224,Produkt!$A$2:$B$5,2,FALSE)</f>
        <v>B</v>
      </c>
      <c r="H3224">
        <v>2</v>
      </c>
      <c r="I3224">
        <v>0.79821759259259262</v>
      </c>
      <c r="J3224">
        <v>44797</v>
      </c>
    </row>
    <row r="3225" spans="1:10" x14ac:dyDescent="0.35">
      <c r="A3225" s="2">
        <v>44784</v>
      </c>
      <c r="B3225" s="3">
        <v>0.1695601851851852</v>
      </c>
      <c r="C3225">
        <v>1811</v>
      </c>
      <c r="D3225" t="str">
        <f>VLOOKUP(H3225,Produkt!$A$2:$B$5,2,FALSE)</f>
        <v>B</v>
      </c>
      <c r="H3225">
        <v>2</v>
      </c>
      <c r="I3225">
        <v>0.68791666666666673</v>
      </c>
      <c r="J3225">
        <v>44779</v>
      </c>
    </row>
    <row r="3226" spans="1:10" x14ac:dyDescent="0.35">
      <c r="A3226" s="2">
        <v>44784</v>
      </c>
      <c r="B3226" s="3">
        <v>0.58468750000000003</v>
      </c>
      <c r="C3226">
        <v>1868</v>
      </c>
      <c r="D3226" t="str">
        <f>VLOOKUP(H3226,Produkt!$A$2:$B$5,2,FALSE)</f>
        <v>D</v>
      </c>
      <c r="H3226">
        <v>4</v>
      </c>
      <c r="I3226">
        <v>6.2905092592592596E-2</v>
      </c>
      <c r="J3226">
        <v>44791</v>
      </c>
    </row>
    <row r="3227" spans="1:10" x14ac:dyDescent="0.35">
      <c r="A3227" s="2">
        <v>44784</v>
      </c>
      <c r="B3227" s="3">
        <v>0.27150462962962962</v>
      </c>
      <c r="C3227">
        <v>1922</v>
      </c>
      <c r="D3227" t="str">
        <f>VLOOKUP(H3227,Produkt!$A$2:$B$5,2,FALSE)</f>
        <v>B</v>
      </c>
      <c r="H3227">
        <v>2</v>
      </c>
      <c r="I3227">
        <v>0.66888888888888898</v>
      </c>
      <c r="J3227">
        <v>44793</v>
      </c>
    </row>
    <row r="3228" spans="1:10" x14ac:dyDescent="0.35">
      <c r="A3228" s="2">
        <v>44784</v>
      </c>
      <c r="B3228" s="3">
        <v>0.73189814814814813</v>
      </c>
      <c r="C3228">
        <v>1934</v>
      </c>
      <c r="D3228" t="str">
        <f>VLOOKUP(H3228,Produkt!$A$2:$B$5,2,FALSE)</f>
        <v>A</v>
      </c>
      <c r="H3228">
        <v>1</v>
      </c>
      <c r="I3228">
        <v>0.34224537037037034</v>
      </c>
      <c r="J3228">
        <v>44788</v>
      </c>
    </row>
    <row r="3229" spans="1:10" x14ac:dyDescent="0.35">
      <c r="A3229" s="2">
        <v>44784</v>
      </c>
      <c r="B3229" s="3">
        <v>0.49666666666666665</v>
      </c>
      <c r="C3229">
        <v>1964</v>
      </c>
      <c r="D3229" t="str">
        <f>VLOOKUP(H3229,Produkt!$A$2:$B$5,2,FALSE)</f>
        <v>D</v>
      </c>
      <c r="H3229">
        <v>4</v>
      </c>
      <c r="I3229">
        <v>0.53994212962962962</v>
      </c>
      <c r="J3229">
        <v>44792</v>
      </c>
    </row>
    <row r="3230" spans="1:10" x14ac:dyDescent="0.35">
      <c r="A3230" s="2">
        <v>44784</v>
      </c>
      <c r="B3230" s="3">
        <v>0.66635416666666669</v>
      </c>
      <c r="C3230">
        <v>1970</v>
      </c>
      <c r="D3230" t="str">
        <f>VLOOKUP(H3230,Produkt!$A$2:$B$5,2,FALSE)</f>
        <v>C</v>
      </c>
      <c r="H3230">
        <v>3</v>
      </c>
      <c r="I3230">
        <v>0.40084490740740741</v>
      </c>
      <c r="J3230">
        <v>44797</v>
      </c>
    </row>
    <row r="3231" spans="1:10" x14ac:dyDescent="0.35">
      <c r="A3231" s="2">
        <v>44784</v>
      </c>
      <c r="B3231" s="3">
        <v>0.84929398148148139</v>
      </c>
      <c r="C3231">
        <v>1982</v>
      </c>
      <c r="D3231" t="str">
        <f>VLOOKUP(H3231,Produkt!$A$2:$B$5,2,FALSE)</f>
        <v>C</v>
      </c>
      <c r="H3231">
        <v>3</v>
      </c>
      <c r="I3231">
        <v>0.55193287037037042</v>
      </c>
      <c r="J3231">
        <v>44786</v>
      </c>
    </row>
    <row r="3232" spans="1:10" x14ac:dyDescent="0.35">
      <c r="A3232" s="2">
        <v>44784</v>
      </c>
      <c r="B3232" s="3">
        <v>0.66190972222222222</v>
      </c>
      <c r="C3232">
        <v>2019</v>
      </c>
      <c r="D3232" t="str">
        <f>VLOOKUP(H3232,Produkt!$A$2:$B$5,2,FALSE)</f>
        <v>B</v>
      </c>
      <c r="H3232">
        <v>2</v>
      </c>
      <c r="I3232">
        <v>0.20789351851851853</v>
      </c>
      <c r="J3232">
        <v>44797</v>
      </c>
    </row>
    <row r="3233" spans="1:10" x14ac:dyDescent="0.35">
      <c r="A3233" s="2">
        <v>44784</v>
      </c>
      <c r="B3233" s="3">
        <v>0.27997685185185184</v>
      </c>
      <c r="C3233">
        <v>2028</v>
      </c>
      <c r="D3233" t="str">
        <f>VLOOKUP(H3233,Produkt!$A$2:$B$5,2,FALSE)</f>
        <v>B</v>
      </c>
      <c r="H3233">
        <v>2</v>
      </c>
      <c r="I3233">
        <v>0.86137731481481483</v>
      </c>
      <c r="J3233">
        <v>44779</v>
      </c>
    </row>
    <row r="3234" spans="1:10" x14ac:dyDescent="0.35">
      <c r="A3234" s="2">
        <v>44784</v>
      </c>
      <c r="B3234" s="3">
        <v>0.33605324074074078</v>
      </c>
      <c r="C3234">
        <v>2061</v>
      </c>
      <c r="D3234" t="str">
        <f>VLOOKUP(H3234,Produkt!$A$2:$B$5,2,FALSE)</f>
        <v>A</v>
      </c>
      <c r="H3234">
        <v>1</v>
      </c>
      <c r="I3234">
        <v>0.99578703703703697</v>
      </c>
      <c r="J3234">
        <v>44788</v>
      </c>
    </row>
    <row r="3235" spans="1:10" x14ac:dyDescent="0.35">
      <c r="A3235" s="2">
        <v>44784</v>
      </c>
      <c r="B3235" s="3">
        <v>0.62130787037037039</v>
      </c>
      <c r="C3235">
        <v>2067</v>
      </c>
      <c r="D3235" t="str">
        <f>VLOOKUP(H3235,Produkt!$A$2:$B$5,2,FALSE)</f>
        <v>D</v>
      </c>
      <c r="H3235">
        <v>4</v>
      </c>
      <c r="I3235">
        <v>2.4270833333333242E-2</v>
      </c>
      <c r="J3235">
        <v>44800</v>
      </c>
    </row>
    <row r="3236" spans="1:10" x14ac:dyDescent="0.35">
      <c r="A3236" s="2">
        <v>44784</v>
      </c>
      <c r="B3236" s="3">
        <v>0.7890625</v>
      </c>
      <c r="C3236">
        <v>2071</v>
      </c>
      <c r="D3236" t="str">
        <f>VLOOKUP(H3236,Produkt!$A$2:$B$5,2,FALSE)</f>
        <v>B</v>
      </c>
      <c r="H3236">
        <v>2</v>
      </c>
      <c r="I3236">
        <v>0.62920138888888888</v>
      </c>
      <c r="J3236">
        <v>44793</v>
      </c>
    </row>
    <row r="3237" spans="1:10" x14ac:dyDescent="0.35">
      <c r="A3237" s="2">
        <v>44784</v>
      </c>
      <c r="B3237" s="3">
        <v>0.74973379629629633</v>
      </c>
      <c r="C3237">
        <v>2085</v>
      </c>
      <c r="D3237" t="str">
        <f>VLOOKUP(H3237,Produkt!$A$2:$B$5,2,FALSE)</f>
        <v>D</v>
      </c>
      <c r="H3237">
        <v>4</v>
      </c>
      <c r="I3237">
        <v>0.39108796296296294</v>
      </c>
      <c r="J3237">
        <v>44779</v>
      </c>
    </row>
    <row r="3238" spans="1:10" x14ac:dyDescent="0.35">
      <c r="A3238" s="2">
        <v>44784</v>
      </c>
      <c r="B3238" s="3">
        <v>0.59409722222222217</v>
      </c>
      <c r="C3238">
        <v>2273</v>
      </c>
      <c r="D3238" t="str">
        <f>VLOOKUP(H3238,Produkt!$A$2:$B$5,2,FALSE)</f>
        <v>B</v>
      </c>
      <c r="H3238">
        <v>2</v>
      </c>
      <c r="I3238">
        <v>0.53987268518518516</v>
      </c>
      <c r="J3238">
        <v>44792</v>
      </c>
    </row>
    <row r="3239" spans="1:10" x14ac:dyDescent="0.35">
      <c r="A3239" s="2">
        <v>44784</v>
      </c>
      <c r="B3239" s="3">
        <v>0.23765046296296297</v>
      </c>
      <c r="C3239">
        <v>2291</v>
      </c>
      <c r="D3239" t="str">
        <f>VLOOKUP(H3239,Produkt!$A$2:$B$5,2,FALSE)</f>
        <v>C</v>
      </c>
      <c r="H3239">
        <v>3</v>
      </c>
      <c r="I3239">
        <v>0.29498842592592595</v>
      </c>
      <c r="J3239">
        <v>44804</v>
      </c>
    </row>
    <row r="3240" spans="1:10" x14ac:dyDescent="0.35">
      <c r="A3240" s="2">
        <v>44784</v>
      </c>
      <c r="B3240" s="3">
        <v>0.24921296296296294</v>
      </c>
      <c r="C3240">
        <v>2320</v>
      </c>
      <c r="D3240" t="str">
        <f>VLOOKUP(H3240,Produkt!$A$2:$B$5,2,FALSE)</f>
        <v>A</v>
      </c>
      <c r="H3240">
        <v>1</v>
      </c>
      <c r="I3240">
        <v>4.2118055555555589E-2</v>
      </c>
      <c r="J3240">
        <v>44795</v>
      </c>
    </row>
    <row r="3241" spans="1:10" x14ac:dyDescent="0.35">
      <c r="A3241" s="2">
        <v>44784</v>
      </c>
      <c r="B3241" s="3">
        <v>0.55664351851851845</v>
      </c>
      <c r="C3241">
        <v>2370</v>
      </c>
      <c r="D3241" t="str">
        <f>VLOOKUP(H3241,Produkt!$A$2:$B$5,2,FALSE)</f>
        <v>B</v>
      </c>
      <c r="H3241">
        <v>2</v>
      </c>
      <c r="I3241">
        <v>0.50741898148148146</v>
      </c>
      <c r="J3241">
        <v>44794</v>
      </c>
    </row>
    <row r="3242" spans="1:10" x14ac:dyDescent="0.35">
      <c r="A3242" s="2">
        <v>44784</v>
      </c>
      <c r="B3242" s="3">
        <v>0.93148148148148147</v>
      </c>
      <c r="C3242">
        <v>2390</v>
      </c>
      <c r="D3242" t="str">
        <f>VLOOKUP(H3242,Produkt!$A$2:$B$5,2,FALSE)</f>
        <v>A</v>
      </c>
      <c r="H3242">
        <v>1</v>
      </c>
      <c r="I3242">
        <v>0.73059027777777785</v>
      </c>
      <c r="J3242">
        <v>44797</v>
      </c>
    </row>
    <row r="3243" spans="1:10" x14ac:dyDescent="0.35">
      <c r="A3243" s="2">
        <v>44784</v>
      </c>
      <c r="B3243" s="3">
        <v>0.87497685185185192</v>
      </c>
      <c r="C3243">
        <v>2401</v>
      </c>
      <c r="D3243" t="str">
        <f>VLOOKUP(H3243,Produkt!$A$2:$B$5,2,FALSE)</f>
        <v>A</v>
      </c>
      <c r="H3243">
        <v>1</v>
      </c>
      <c r="I3243">
        <v>0.92475694444444445</v>
      </c>
      <c r="J3243">
        <v>44776</v>
      </c>
    </row>
    <row r="3244" spans="1:10" x14ac:dyDescent="0.35">
      <c r="A3244" s="2">
        <v>44784</v>
      </c>
      <c r="B3244" s="3">
        <v>0.5508912037037037</v>
      </c>
      <c r="C3244">
        <v>2492</v>
      </c>
      <c r="D3244" t="str">
        <f>VLOOKUP(H3244,Produkt!$A$2:$B$5,2,FALSE)</f>
        <v>D</v>
      </c>
      <c r="H3244">
        <v>4</v>
      </c>
      <c r="I3244">
        <v>0.14146990740740742</v>
      </c>
      <c r="J3244">
        <v>44796</v>
      </c>
    </row>
    <row r="3245" spans="1:10" x14ac:dyDescent="0.35">
      <c r="A3245" s="2">
        <v>44784</v>
      </c>
      <c r="B3245" s="3">
        <v>0.98229166666666667</v>
      </c>
      <c r="C3245">
        <v>2525</v>
      </c>
      <c r="D3245" t="str">
        <f>VLOOKUP(H3245,Produkt!$A$2:$B$5,2,FALSE)</f>
        <v>D</v>
      </c>
      <c r="H3245">
        <v>4</v>
      </c>
      <c r="I3245">
        <v>0.35987268518518517</v>
      </c>
      <c r="J3245">
        <v>44797</v>
      </c>
    </row>
    <row r="3246" spans="1:10" x14ac:dyDescent="0.35">
      <c r="A3246" s="2">
        <v>44784</v>
      </c>
      <c r="B3246" s="3">
        <v>0.89219907407407406</v>
      </c>
      <c r="C3246">
        <v>2537</v>
      </c>
      <c r="D3246" t="str">
        <f>VLOOKUP(H3246,Produkt!$A$2:$B$5,2,FALSE)</f>
        <v>B</v>
      </c>
      <c r="H3246">
        <v>2</v>
      </c>
      <c r="I3246">
        <v>0.76739583333333339</v>
      </c>
      <c r="J3246">
        <v>44793</v>
      </c>
    </row>
    <row r="3247" spans="1:10" x14ac:dyDescent="0.35">
      <c r="A3247" s="2">
        <v>44784</v>
      </c>
      <c r="B3247" s="3">
        <v>7.8634259259259265E-2</v>
      </c>
      <c r="C3247">
        <v>2576</v>
      </c>
      <c r="D3247" t="str">
        <f>VLOOKUP(H3247,Produkt!$A$2:$B$5,2,FALSE)</f>
        <v>D</v>
      </c>
      <c r="H3247">
        <v>4</v>
      </c>
      <c r="I3247">
        <v>0.14554398148148148</v>
      </c>
      <c r="J3247">
        <v>44786</v>
      </c>
    </row>
    <row r="3248" spans="1:10" x14ac:dyDescent="0.35">
      <c r="A3248" s="2">
        <v>44784</v>
      </c>
      <c r="B3248" s="3">
        <v>0.99452546296296296</v>
      </c>
      <c r="C3248">
        <v>2589</v>
      </c>
      <c r="D3248" t="str">
        <f>VLOOKUP(H3248,Produkt!$A$2:$B$5,2,FALSE)</f>
        <v>A</v>
      </c>
      <c r="H3248">
        <v>1</v>
      </c>
      <c r="I3248">
        <v>0.52055555555555555</v>
      </c>
      <c r="J3248">
        <v>44791</v>
      </c>
    </row>
    <row r="3249" spans="1:10" x14ac:dyDescent="0.35">
      <c r="A3249" s="2">
        <v>44784</v>
      </c>
      <c r="B3249" s="3">
        <v>0.49454861111111109</v>
      </c>
      <c r="C3249">
        <v>2621</v>
      </c>
      <c r="D3249" t="str">
        <f>VLOOKUP(H3249,Produkt!$A$2:$B$5,2,FALSE)</f>
        <v>C</v>
      </c>
      <c r="H3249">
        <v>3</v>
      </c>
      <c r="I3249">
        <v>9.1238425925925917E-2</v>
      </c>
      <c r="J3249">
        <v>44774</v>
      </c>
    </row>
    <row r="3250" spans="1:10" x14ac:dyDescent="0.35">
      <c r="A3250" s="2">
        <v>44784</v>
      </c>
      <c r="B3250" s="3">
        <v>0.1885300925925926</v>
      </c>
      <c r="C3250">
        <v>2625</v>
      </c>
      <c r="D3250" t="str">
        <f>VLOOKUP(H3250,Produkt!$A$2:$B$5,2,FALSE)</f>
        <v>A</v>
      </c>
      <c r="H3250">
        <v>1</v>
      </c>
      <c r="I3250">
        <v>0.35214120370370372</v>
      </c>
      <c r="J3250">
        <v>44785</v>
      </c>
    </row>
    <row r="3251" spans="1:10" x14ac:dyDescent="0.35">
      <c r="A3251" s="2">
        <v>44784</v>
      </c>
      <c r="B3251" s="3">
        <v>3.3287037037037059E-2</v>
      </c>
      <c r="C3251">
        <v>2647</v>
      </c>
      <c r="D3251" t="str">
        <f>VLOOKUP(H3251,Produkt!$A$2:$B$5,2,FALSE)</f>
        <v>D</v>
      </c>
      <c r="H3251">
        <v>4</v>
      </c>
      <c r="I3251">
        <v>0.7654050925925926</v>
      </c>
      <c r="J3251">
        <v>44790</v>
      </c>
    </row>
    <row r="3252" spans="1:10" x14ac:dyDescent="0.35">
      <c r="A3252" s="2">
        <v>44784</v>
      </c>
      <c r="B3252" s="3">
        <v>0.20211805555555554</v>
      </c>
      <c r="C3252">
        <v>2677</v>
      </c>
      <c r="D3252" t="str">
        <f>VLOOKUP(H3252,Produkt!$A$2:$B$5,2,FALSE)</f>
        <v>B</v>
      </c>
      <c r="H3252">
        <v>2</v>
      </c>
      <c r="I3252">
        <v>0.39187499999999997</v>
      </c>
      <c r="J3252">
        <v>44802</v>
      </c>
    </row>
    <row r="3253" spans="1:10" x14ac:dyDescent="0.35">
      <c r="A3253" s="2">
        <v>44784</v>
      </c>
      <c r="B3253" s="3">
        <v>0.72855324074074079</v>
      </c>
      <c r="C3253">
        <v>2712</v>
      </c>
      <c r="D3253" t="str">
        <f>VLOOKUP(H3253,Produkt!$A$2:$B$5,2,FALSE)</f>
        <v>A</v>
      </c>
      <c r="H3253">
        <v>1</v>
      </c>
      <c r="I3253">
        <v>0.14070601851851852</v>
      </c>
      <c r="J3253">
        <v>44797</v>
      </c>
    </row>
    <row r="3254" spans="1:10" x14ac:dyDescent="0.35">
      <c r="A3254" s="2">
        <v>44784</v>
      </c>
      <c r="B3254" s="3">
        <v>0.69282407407407398</v>
      </c>
      <c r="C3254">
        <v>2735</v>
      </c>
      <c r="D3254" t="str">
        <f>VLOOKUP(H3254,Produkt!$A$2:$B$5,2,FALSE)</f>
        <v>A</v>
      </c>
      <c r="H3254">
        <v>1</v>
      </c>
      <c r="I3254">
        <v>0.76909722222222221</v>
      </c>
      <c r="J3254">
        <v>44793</v>
      </c>
    </row>
    <row r="3255" spans="1:10" x14ac:dyDescent="0.35">
      <c r="A3255" s="2">
        <v>44784</v>
      </c>
      <c r="B3255" s="3">
        <v>0.48104166666666665</v>
      </c>
      <c r="C3255">
        <v>2753</v>
      </c>
      <c r="D3255" t="str">
        <f>VLOOKUP(H3255,Produkt!$A$2:$B$5,2,FALSE)</f>
        <v>A</v>
      </c>
      <c r="H3255">
        <v>1</v>
      </c>
      <c r="I3255">
        <v>1.1331018518518476E-2</v>
      </c>
      <c r="J3255">
        <v>44792</v>
      </c>
    </row>
    <row r="3256" spans="1:10" x14ac:dyDescent="0.35">
      <c r="A3256" s="2">
        <v>44784</v>
      </c>
      <c r="B3256" s="3">
        <v>0.56353009259259257</v>
      </c>
      <c r="C3256">
        <v>2798</v>
      </c>
      <c r="D3256" t="str">
        <f>VLOOKUP(H3256,Produkt!$A$2:$B$5,2,FALSE)</f>
        <v>A</v>
      </c>
      <c r="H3256">
        <v>1</v>
      </c>
      <c r="I3256">
        <v>0.36780092592592589</v>
      </c>
      <c r="J3256">
        <v>44783</v>
      </c>
    </row>
    <row r="3257" spans="1:10" x14ac:dyDescent="0.35">
      <c r="A3257" s="2">
        <v>44784</v>
      </c>
      <c r="B3257" s="3">
        <v>0.86543981481481491</v>
      </c>
      <c r="C3257">
        <v>2865</v>
      </c>
      <c r="D3257" t="str">
        <f>VLOOKUP(H3257,Produkt!$A$2:$B$5,2,FALSE)</f>
        <v>C</v>
      </c>
      <c r="H3257">
        <v>3</v>
      </c>
      <c r="I3257">
        <v>0.1612962962962963</v>
      </c>
      <c r="J3257">
        <v>44796</v>
      </c>
    </row>
    <row r="3258" spans="1:10" x14ac:dyDescent="0.35">
      <c r="A3258" s="2">
        <v>44784</v>
      </c>
      <c r="B3258" s="3">
        <v>0.78628472222222223</v>
      </c>
      <c r="C3258">
        <v>2913</v>
      </c>
      <c r="D3258" t="str">
        <f>VLOOKUP(H3258,Produkt!$A$2:$B$5,2,FALSE)</f>
        <v>A</v>
      </c>
      <c r="H3258">
        <v>1</v>
      </c>
      <c r="I3258">
        <v>0.29795138888888889</v>
      </c>
      <c r="J3258">
        <v>44792</v>
      </c>
    </row>
    <row r="3259" spans="1:10" x14ac:dyDescent="0.35">
      <c r="A3259" s="2">
        <v>44784</v>
      </c>
      <c r="B3259" s="3">
        <v>0.81618055555555558</v>
      </c>
      <c r="C3259">
        <v>2930</v>
      </c>
      <c r="D3259" t="str">
        <f>VLOOKUP(H3259,Produkt!$A$2:$B$5,2,FALSE)</f>
        <v>C</v>
      </c>
      <c r="H3259">
        <v>3</v>
      </c>
      <c r="I3259">
        <v>0.51268518518518513</v>
      </c>
      <c r="J3259">
        <v>44785</v>
      </c>
    </row>
    <row r="3260" spans="1:10" x14ac:dyDescent="0.35">
      <c r="A3260" s="2">
        <v>44784</v>
      </c>
      <c r="B3260" s="3">
        <v>0.27475694444444443</v>
      </c>
      <c r="C3260">
        <v>2936</v>
      </c>
      <c r="D3260" t="str">
        <f>VLOOKUP(H3260,Produkt!$A$2:$B$5,2,FALSE)</f>
        <v>B</v>
      </c>
      <c r="H3260">
        <v>2</v>
      </c>
      <c r="I3260">
        <v>0.37964120370370374</v>
      </c>
      <c r="J3260">
        <v>44783</v>
      </c>
    </row>
    <row r="3261" spans="1:10" x14ac:dyDescent="0.35">
      <c r="A3261" s="2">
        <v>44784</v>
      </c>
      <c r="B3261" s="3">
        <v>8.4594907407407396E-2</v>
      </c>
      <c r="C3261">
        <v>2947</v>
      </c>
      <c r="D3261" t="str">
        <f>VLOOKUP(H3261,Produkt!$A$2:$B$5,2,FALSE)</f>
        <v>D</v>
      </c>
      <c r="H3261">
        <v>4</v>
      </c>
      <c r="I3261">
        <v>5.8159722222222217E-2</v>
      </c>
      <c r="J3261">
        <v>44783</v>
      </c>
    </row>
    <row r="3262" spans="1:10" x14ac:dyDescent="0.35">
      <c r="A3262" s="2">
        <v>44784</v>
      </c>
      <c r="B3262" s="3">
        <v>0.38541666666666669</v>
      </c>
      <c r="C3262">
        <v>2949</v>
      </c>
      <c r="D3262" t="str">
        <f>VLOOKUP(H3262,Produkt!$A$2:$B$5,2,FALSE)</f>
        <v>B</v>
      </c>
      <c r="H3262">
        <v>2</v>
      </c>
      <c r="I3262">
        <v>0.29344907407407406</v>
      </c>
      <c r="J3262">
        <v>44803</v>
      </c>
    </row>
    <row r="3263" spans="1:10" x14ac:dyDescent="0.35">
      <c r="A3263" s="2">
        <v>44784</v>
      </c>
      <c r="B3263" s="3">
        <v>0.64620370370370372</v>
      </c>
      <c r="C3263">
        <v>2962</v>
      </c>
      <c r="D3263" t="str">
        <f>VLOOKUP(H3263,Produkt!$A$2:$B$5,2,FALSE)</f>
        <v>B</v>
      </c>
      <c r="H3263">
        <v>2</v>
      </c>
      <c r="I3263">
        <v>0.41974537037037035</v>
      </c>
      <c r="J3263">
        <v>44777</v>
      </c>
    </row>
    <row r="3264" spans="1:10" x14ac:dyDescent="0.35">
      <c r="A3264" s="2">
        <v>44784</v>
      </c>
      <c r="B3264" s="3">
        <v>0.31951388888888888</v>
      </c>
      <c r="C3264">
        <v>2967</v>
      </c>
      <c r="D3264" t="str">
        <f>VLOOKUP(H3264,Produkt!$A$2:$B$5,2,FALSE)</f>
        <v>C</v>
      </c>
      <c r="H3264">
        <v>3</v>
      </c>
      <c r="I3264">
        <v>0.82439814814814805</v>
      </c>
      <c r="J3264">
        <v>44782</v>
      </c>
    </row>
    <row r="3265" spans="1:10" x14ac:dyDescent="0.35">
      <c r="A3265" s="2">
        <v>44784</v>
      </c>
      <c r="B3265" s="3">
        <v>0.35490740740740739</v>
      </c>
      <c r="C3265">
        <v>3004</v>
      </c>
      <c r="D3265" t="str">
        <f>VLOOKUP(H3265,Produkt!$A$2:$B$5,2,FALSE)</f>
        <v>B</v>
      </c>
      <c r="H3265">
        <v>2</v>
      </c>
      <c r="I3265">
        <v>0.8052083333333333</v>
      </c>
      <c r="J3265">
        <v>44800</v>
      </c>
    </row>
    <row r="3266" spans="1:10" x14ac:dyDescent="0.35">
      <c r="A3266" s="2">
        <v>44784</v>
      </c>
      <c r="B3266" s="3">
        <v>0.91438657407407409</v>
      </c>
      <c r="C3266">
        <v>3023</v>
      </c>
      <c r="D3266" t="str">
        <f>VLOOKUP(H3266,Produkt!$A$2:$B$5,2,FALSE)</f>
        <v>D</v>
      </c>
      <c r="H3266">
        <v>4</v>
      </c>
      <c r="I3266">
        <v>0.3502662037037037</v>
      </c>
      <c r="J3266">
        <v>44800</v>
      </c>
    </row>
    <row r="3267" spans="1:10" x14ac:dyDescent="0.35">
      <c r="A3267" s="2">
        <v>44784</v>
      </c>
      <c r="B3267" s="3">
        <v>0.70171296296296293</v>
      </c>
      <c r="C3267">
        <v>3034</v>
      </c>
      <c r="D3267" t="str">
        <f>VLOOKUP(H3267,Produkt!$A$2:$B$5,2,FALSE)</f>
        <v>D</v>
      </c>
      <c r="H3267">
        <v>4</v>
      </c>
      <c r="I3267">
        <v>0.67957175925925928</v>
      </c>
      <c r="J3267">
        <v>44776</v>
      </c>
    </row>
    <row r="3268" spans="1:10" x14ac:dyDescent="0.35">
      <c r="A3268" s="2">
        <v>44784</v>
      </c>
      <c r="B3268" s="3">
        <v>0.72695601851851854</v>
      </c>
      <c r="C3268">
        <v>3066</v>
      </c>
      <c r="D3268" t="str">
        <f>VLOOKUP(H3268,Produkt!$A$2:$B$5,2,FALSE)</f>
        <v>B</v>
      </c>
      <c r="H3268">
        <v>2</v>
      </c>
      <c r="I3268">
        <v>0.74747685185185186</v>
      </c>
      <c r="J3268">
        <v>44792</v>
      </c>
    </row>
    <row r="3269" spans="1:10" x14ac:dyDescent="0.35">
      <c r="A3269" s="2">
        <v>44784</v>
      </c>
      <c r="B3269" s="3">
        <v>0.79026620370370371</v>
      </c>
      <c r="C3269">
        <v>3096</v>
      </c>
      <c r="D3269" t="str">
        <f>VLOOKUP(H3269,Produkt!$A$2:$B$5,2,FALSE)</f>
        <v>A</v>
      </c>
      <c r="H3269">
        <v>1</v>
      </c>
      <c r="I3269">
        <v>0.58899305555555559</v>
      </c>
      <c r="J3269">
        <v>44787</v>
      </c>
    </row>
    <row r="3270" spans="1:10" x14ac:dyDescent="0.35">
      <c r="A3270" s="2">
        <v>44784</v>
      </c>
      <c r="B3270" s="3">
        <v>0.87575231481481486</v>
      </c>
      <c r="C3270">
        <v>3102</v>
      </c>
      <c r="D3270" t="str">
        <f>VLOOKUP(H3270,Produkt!$A$2:$B$5,2,FALSE)</f>
        <v>C</v>
      </c>
      <c r="H3270">
        <v>3</v>
      </c>
      <c r="I3270">
        <v>0.91312499999999996</v>
      </c>
      <c r="J3270">
        <v>44775</v>
      </c>
    </row>
    <row r="3271" spans="1:10" x14ac:dyDescent="0.35">
      <c r="A3271" s="2">
        <v>44784</v>
      </c>
      <c r="B3271" s="3">
        <v>0.78229166666666661</v>
      </c>
      <c r="C3271">
        <v>3112</v>
      </c>
      <c r="D3271" t="str">
        <f>VLOOKUP(H3271,Produkt!$A$2:$B$5,2,FALSE)</f>
        <v>D</v>
      </c>
      <c r="H3271">
        <v>4</v>
      </c>
      <c r="I3271">
        <v>0.70126157407407408</v>
      </c>
      <c r="J3271">
        <v>44780</v>
      </c>
    </row>
    <row r="3272" spans="1:10" x14ac:dyDescent="0.35">
      <c r="A3272" s="2">
        <v>44784</v>
      </c>
      <c r="B3272" s="3">
        <v>0.53071759259259255</v>
      </c>
      <c r="C3272">
        <v>3120</v>
      </c>
      <c r="D3272" t="str">
        <f>VLOOKUP(H3272,Produkt!$A$2:$B$5,2,FALSE)</f>
        <v>B</v>
      </c>
      <c r="H3272">
        <v>2</v>
      </c>
      <c r="I3272">
        <v>0.99600694444444438</v>
      </c>
      <c r="J3272">
        <v>44799</v>
      </c>
    </row>
    <row r="3273" spans="1:10" x14ac:dyDescent="0.35">
      <c r="A3273" s="2">
        <v>44784</v>
      </c>
      <c r="B3273" s="3">
        <v>0.80790509259259258</v>
      </c>
      <c r="C3273">
        <v>3133</v>
      </c>
      <c r="D3273" t="str">
        <f>VLOOKUP(H3273,Produkt!$A$2:$B$5,2,FALSE)</f>
        <v>D</v>
      </c>
      <c r="H3273">
        <v>4</v>
      </c>
      <c r="I3273">
        <v>0.26545138888888892</v>
      </c>
      <c r="J3273">
        <v>44781</v>
      </c>
    </row>
    <row r="3274" spans="1:10" x14ac:dyDescent="0.35">
      <c r="A3274" s="2">
        <v>44784</v>
      </c>
      <c r="B3274" s="3">
        <v>0.52747685185185189</v>
      </c>
      <c r="C3274">
        <v>3153</v>
      </c>
      <c r="D3274" t="str">
        <f>VLOOKUP(H3274,Produkt!$A$2:$B$5,2,FALSE)</f>
        <v>D</v>
      </c>
      <c r="H3274">
        <v>4</v>
      </c>
      <c r="I3274">
        <v>0.30576388888888889</v>
      </c>
      <c r="J3274">
        <v>44795</v>
      </c>
    </row>
    <row r="3275" spans="1:10" x14ac:dyDescent="0.35">
      <c r="A3275" s="2">
        <v>44784</v>
      </c>
      <c r="B3275" s="3">
        <v>0.28006944444444443</v>
      </c>
      <c r="C3275">
        <v>3210</v>
      </c>
      <c r="D3275" t="str">
        <f>VLOOKUP(H3275,Produkt!$A$2:$B$5,2,FALSE)</f>
        <v>A</v>
      </c>
      <c r="H3275">
        <v>1</v>
      </c>
      <c r="I3275">
        <v>0.82819444444444434</v>
      </c>
      <c r="J3275">
        <v>44786</v>
      </c>
    </row>
    <row r="3276" spans="1:10" x14ac:dyDescent="0.35">
      <c r="A3276" s="2">
        <v>44784</v>
      </c>
      <c r="B3276" s="3">
        <v>0.55335648148148142</v>
      </c>
      <c r="C3276">
        <v>3281</v>
      </c>
      <c r="D3276" t="str">
        <f>VLOOKUP(H3276,Produkt!$A$2:$B$5,2,FALSE)</f>
        <v>A</v>
      </c>
      <c r="H3276">
        <v>1</v>
      </c>
      <c r="I3276">
        <v>0.69494212962962953</v>
      </c>
      <c r="J3276">
        <v>44780</v>
      </c>
    </row>
    <row r="3277" spans="1:10" x14ac:dyDescent="0.35">
      <c r="A3277" s="2">
        <v>44784</v>
      </c>
      <c r="B3277" s="3">
        <v>0.69491898148148146</v>
      </c>
      <c r="C3277">
        <v>3310</v>
      </c>
      <c r="D3277" t="str">
        <f>VLOOKUP(H3277,Produkt!$A$2:$B$5,2,FALSE)</f>
        <v>C</v>
      </c>
      <c r="H3277">
        <v>3</v>
      </c>
      <c r="I3277">
        <v>0.75430555555555545</v>
      </c>
      <c r="J3277">
        <v>44797</v>
      </c>
    </row>
    <row r="3278" spans="1:10" x14ac:dyDescent="0.35">
      <c r="A3278" s="2">
        <v>44784</v>
      </c>
      <c r="B3278" s="3">
        <v>0.47462962962962968</v>
      </c>
      <c r="C3278">
        <v>3331</v>
      </c>
      <c r="D3278" t="str">
        <f>VLOOKUP(H3278,Produkt!$A$2:$B$5,2,FALSE)</f>
        <v>B</v>
      </c>
      <c r="H3278">
        <v>2</v>
      </c>
      <c r="I3278">
        <v>0.33247685185185188</v>
      </c>
      <c r="J3278">
        <v>44801</v>
      </c>
    </row>
    <row r="3279" spans="1:10" x14ac:dyDescent="0.35">
      <c r="A3279" s="2">
        <v>44784</v>
      </c>
      <c r="B3279" s="3">
        <v>0.48129629629629633</v>
      </c>
      <c r="C3279">
        <v>3346</v>
      </c>
      <c r="D3279" t="str">
        <f>VLOOKUP(H3279,Produkt!$A$2:$B$5,2,FALSE)</f>
        <v>C</v>
      </c>
      <c r="H3279">
        <v>3</v>
      </c>
      <c r="I3279">
        <v>0.43804398148148144</v>
      </c>
      <c r="J3279">
        <v>44794</v>
      </c>
    </row>
    <row r="3280" spans="1:10" x14ac:dyDescent="0.35">
      <c r="A3280" s="2">
        <v>44784</v>
      </c>
      <c r="B3280" s="3">
        <v>0.23973379629629629</v>
      </c>
      <c r="C3280">
        <v>3413</v>
      </c>
      <c r="D3280" t="str">
        <f>VLOOKUP(H3280,Produkt!$A$2:$B$5,2,FALSE)</f>
        <v>D</v>
      </c>
      <c r="H3280">
        <v>4</v>
      </c>
      <c r="I3280">
        <v>7.3981481481481481E-2</v>
      </c>
      <c r="J3280">
        <v>44783</v>
      </c>
    </row>
    <row r="3281" spans="1:10" x14ac:dyDescent="0.35">
      <c r="A3281" s="2">
        <v>44784</v>
      </c>
      <c r="B3281" s="3">
        <v>0.25468750000000001</v>
      </c>
      <c r="C3281">
        <v>3452</v>
      </c>
      <c r="D3281" t="str">
        <f>VLOOKUP(H3281,Produkt!$A$2:$B$5,2,FALSE)</f>
        <v>C</v>
      </c>
      <c r="H3281">
        <v>3</v>
      </c>
      <c r="I3281">
        <v>0.65592592592592591</v>
      </c>
      <c r="J3281">
        <v>44794</v>
      </c>
    </row>
    <row r="3282" spans="1:10" x14ac:dyDescent="0.35">
      <c r="A3282" s="2">
        <v>44784</v>
      </c>
      <c r="B3282" s="3">
        <v>1.5034722222222241E-2</v>
      </c>
      <c r="C3282">
        <v>3455</v>
      </c>
      <c r="D3282" t="str">
        <f>VLOOKUP(H3282,Produkt!$A$2:$B$5,2,FALSE)</f>
        <v>D</v>
      </c>
      <c r="H3282">
        <v>4</v>
      </c>
      <c r="I3282">
        <v>0.55335648148148142</v>
      </c>
      <c r="J3282">
        <v>44793</v>
      </c>
    </row>
    <row r="3283" spans="1:10" x14ac:dyDescent="0.35">
      <c r="A3283" s="2">
        <v>44784</v>
      </c>
      <c r="B3283" s="3">
        <v>0.11700231481481482</v>
      </c>
      <c r="C3283">
        <v>3496</v>
      </c>
      <c r="D3283" t="str">
        <f>VLOOKUP(H3283,Produkt!$A$2:$B$5,2,FALSE)</f>
        <v>B</v>
      </c>
      <c r="H3283">
        <v>2</v>
      </c>
      <c r="I3283">
        <v>0.56497685185185187</v>
      </c>
      <c r="J3283">
        <v>44802</v>
      </c>
    </row>
    <row r="3284" spans="1:10" x14ac:dyDescent="0.35">
      <c r="A3284" s="2">
        <v>44784</v>
      </c>
      <c r="B3284" s="3">
        <v>0.95939814814814817</v>
      </c>
      <c r="C3284">
        <v>3517</v>
      </c>
      <c r="D3284" t="str">
        <f>VLOOKUP(H3284,Produkt!$A$2:$B$5,2,FALSE)</f>
        <v>D</v>
      </c>
      <c r="H3284">
        <v>4</v>
      </c>
      <c r="I3284">
        <v>0.38710648148148147</v>
      </c>
      <c r="J3284">
        <v>44791</v>
      </c>
    </row>
    <row r="3285" spans="1:10" x14ac:dyDescent="0.35">
      <c r="A3285" s="2">
        <v>44784</v>
      </c>
      <c r="B3285" s="3">
        <v>0.75550925925925927</v>
      </c>
      <c r="C3285">
        <v>3543</v>
      </c>
      <c r="D3285" t="str">
        <f>VLOOKUP(H3285,Produkt!$A$2:$B$5,2,FALSE)</f>
        <v>B</v>
      </c>
      <c r="H3285">
        <v>2</v>
      </c>
      <c r="I3285">
        <v>0.71077546296296301</v>
      </c>
      <c r="J3285">
        <v>44791</v>
      </c>
    </row>
    <row r="3286" spans="1:10" x14ac:dyDescent="0.35">
      <c r="A3286" s="2">
        <v>44784</v>
      </c>
      <c r="B3286" s="3">
        <v>0.25937499999999997</v>
      </c>
      <c r="C3286">
        <v>3548</v>
      </c>
      <c r="D3286" t="str">
        <f>VLOOKUP(H3286,Produkt!$A$2:$B$5,2,FALSE)</f>
        <v>C</v>
      </c>
      <c r="H3286">
        <v>3</v>
      </c>
      <c r="I3286">
        <v>0.48873842592592592</v>
      </c>
      <c r="J3286">
        <v>44799</v>
      </c>
    </row>
    <row r="3287" spans="1:10" x14ac:dyDescent="0.35">
      <c r="A3287" s="2">
        <v>44784</v>
      </c>
      <c r="B3287" s="3">
        <v>0.69585648148148149</v>
      </c>
      <c r="C3287">
        <v>3560</v>
      </c>
      <c r="D3287" t="str">
        <f>VLOOKUP(H3287,Produkt!$A$2:$B$5,2,FALSE)</f>
        <v>C</v>
      </c>
      <c r="H3287">
        <v>3</v>
      </c>
      <c r="I3287">
        <v>2.5636574074074048E-2</v>
      </c>
      <c r="J3287">
        <v>44789</v>
      </c>
    </row>
    <row r="3288" spans="1:10" x14ac:dyDescent="0.35">
      <c r="A3288" s="2">
        <v>44784</v>
      </c>
      <c r="B3288" s="3">
        <v>0.52159722222222216</v>
      </c>
      <c r="C3288">
        <v>3602</v>
      </c>
      <c r="D3288" t="str">
        <f>VLOOKUP(H3288,Produkt!$A$2:$B$5,2,FALSE)</f>
        <v>C</v>
      </c>
      <c r="H3288">
        <v>3</v>
      </c>
      <c r="I3288">
        <v>0.26829861111111114</v>
      </c>
      <c r="J3288">
        <v>44786</v>
      </c>
    </row>
    <row r="3289" spans="1:10" x14ac:dyDescent="0.35">
      <c r="A3289" s="2">
        <v>44784</v>
      </c>
      <c r="B3289" s="3">
        <v>5.6805555555555554E-2</v>
      </c>
      <c r="C3289">
        <v>3606</v>
      </c>
      <c r="D3289" t="str">
        <f>VLOOKUP(H3289,Produkt!$A$2:$B$5,2,FALSE)</f>
        <v>B</v>
      </c>
      <c r="H3289">
        <v>2</v>
      </c>
      <c r="I3289">
        <v>0.86319444444444438</v>
      </c>
      <c r="J3289">
        <v>44791</v>
      </c>
    </row>
    <row r="3290" spans="1:10" x14ac:dyDescent="0.35">
      <c r="A3290" s="2">
        <v>44784</v>
      </c>
      <c r="B3290" s="3">
        <v>1.6342592592592593E-2</v>
      </c>
      <c r="C3290">
        <v>3683</v>
      </c>
      <c r="D3290" t="str">
        <f>VLOOKUP(H3290,Produkt!$A$2:$B$5,2,FALSE)</f>
        <v>A</v>
      </c>
      <c r="H3290">
        <v>1</v>
      </c>
      <c r="I3290">
        <v>7.440972222222221E-2</v>
      </c>
      <c r="J3290">
        <v>44795</v>
      </c>
    </row>
    <row r="3291" spans="1:10" x14ac:dyDescent="0.35">
      <c r="A3291" s="2">
        <v>44784</v>
      </c>
      <c r="B3291" s="3">
        <v>0.32297453703703705</v>
      </c>
      <c r="C3291">
        <v>3727</v>
      </c>
      <c r="D3291" t="str">
        <f>VLOOKUP(H3291,Produkt!$A$2:$B$5,2,FALSE)</f>
        <v>A</v>
      </c>
      <c r="H3291">
        <v>1</v>
      </c>
      <c r="I3291">
        <v>6.0196759259259262E-2</v>
      </c>
      <c r="J3291">
        <v>44780</v>
      </c>
    </row>
    <row r="3292" spans="1:10" x14ac:dyDescent="0.35">
      <c r="A3292" s="2">
        <v>44784</v>
      </c>
      <c r="B3292" s="3">
        <v>0.77247685185185189</v>
      </c>
      <c r="C3292">
        <v>3766</v>
      </c>
      <c r="D3292" t="str">
        <f>VLOOKUP(H3292,Produkt!$A$2:$B$5,2,FALSE)</f>
        <v>B</v>
      </c>
      <c r="H3292">
        <v>2</v>
      </c>
      <c r="I3292">
        <v>0.66074074074074074</v>
      </c>
      <c r="J3292">
        <v>44782</v>
      </c>
    </row>
    <row r="3293" spans="1:10" x14ac:dyDescent="0.35">
      <c r="A3293" s="2">
        <v>44784</v>
      </c>
      <c r="B3293" s="3">
        <v>0.48067129629629629</v>
      </c>
      <c r="C3293">
        <v>3786</v>
      </c>
      <c r="D3293" t="str">
        <f>VLOOKUP(H3293,Produkt!$A$2:$B$5,2,FALSE)</f>
        <v>B</v>
      </c>
      <c r="H3293">
        <v>2</v>
      </c>
      <c r="I3293">
        <v>0.99417824074074079</v>
      </c>
      <c r="J3293">
        <v>44784</v>
      </c>
    </row>
    <row r="3294" spans="1:10" x14ac:dyDescent="0.35">
      <c r="A3294" s="2">
        <v>44784</v>
      </c>
      <c r="B3294" s="3">
        <v>0.67121527777777779</v>
      </c>
      <c r="C3294">
        <v>3792</v>
      </c>
      <c r="D3294" t="str">
        <f>VLOOKUP(H3294,Produkt!$A$2:$B$5,2,FALSE)</f>
        <v>C</v>
      </c>
      <c r="H3294">
        <v>3</v>
      </c>
      <c r="I3294">
        <v>0.79223379629629631</v>
      </c>
      <c r="J3294">
        <v>44777</v>
      </c>
    </row>
    <row r="3295" spans="1:10" x14ac:dyDescent="0.35">
      <c r="A3295" s="2">
        <v>44784</v>
      </c>
      <c r="B3295" s="3">
        <v>0.19829861111111111</v>
      </c>
      <c r="C3295">
        <v>3795</v>
      </c>
      <c r="D3295" t="str">
        <f>VLOOKUP(H3295,Produkt!$A$2:$B$5,2,FALSE)</f>
        <v>A</v>
      </c>
      <c r="H3295">
        <v>1</v>
      </c>
      <c r="I3295">
        <v>0.47894675925925928</v>
      </c>
      <c r="J3295">
        <v>44792</v>
      </c>
    </row>
    <row r="3296" spans="1:10" x14ac:dyDescent="0.35">
      <c r="A3296" s="2">
        <v>44784</v>
      </c>
      <c r="B3296" s="3">
        <v>0.35886574074074074</v>
      </c>
      <c r="C3296">
        <v>3849</v>
      </c>
      <c r="D3296" t="str">
        <f>VLOOKUP(H3296,Produkt!$A$2:$B$5,2,FALSE)</f>
        <v>C</v>
      </c>
      <c r="H3296">
        <v>3</v>
      </c>
      <c r="I3296">
        <v>0.51559027777777777</v>
      </c>
      <c r="J3296">
        <v>44778</v>
      </c>
    </row>
    <row r="3297" spans="1:10" x14ac:dyDescent="0.35">
      <c r="A3297" s="2">
        <v>44784</v>
      </c>
      <c r="B3297" s="3">
        <v>0.96163194444444444</v>
      </c>
      <c r="C3297">
        <v>3867</v>
      </c>
      <c r="D3297" t="str">
        <f>VLOOKUP(H3297,Produkt!$A$2:$B$5,2,FALSE)</f>
        <v>C</v>
      </c>
      <c r="H3297">
        <v>3</v>
      </c>
      <c r="I3297">
        <v>0.37590277777777775</v>
      </c>
      <c r="J3297">
        <v>44784</v>
      </c>
    </row>
    <row r="3298" spans="1:10" x14ac:dyDescent="0.35">
      <c r="A3298" s="2">
        <v>44784</v>
      </c>
      <c r="B3298" s="3">
        <v>5.9143518518518519E-2</v>
      </c>
      <c r="C3298">
        <v>3868</v>
      </c>
      <c r="D3298" t="str">
        <f>VLOOKUP(H3298,Produkt!$A$2:$B$5,2,FALSE)</f>
        <v>C</v>
      </c>
      <c r="H3298">
        <v>3</v>
      </c>
      <c r="I3298">
        <v>0.93401620370370375</v>
      </c>
      <c r="J3298">
        <v>44776</v>
      </c>
    </row>
    <row r="3299" spans="1:10" x14ac:dyDescent="0.35">
      <c r="A3299" s="2">
        <v>44784</v>
      </c>
      <c r="B3299" s="3">
        <v>0.41516203703703702</v>
      </c>
      <c r="C3299">
        <v>3893</v>
      </c>
      <c r="D3299" t="str">
        <f>VLOOKUP(H3299,Produkt!$A$2:$B$5,2,FALSE)</f>
        <v>D</v>
      </c>
      <c r="H3299">
        <v>4</v>
      </c>
      <c r="I3299">
        <v>0.73690972222222229</v>
      </c>
      <c r="J3299">
        <v>44793</v>
      </c>
    </row>
    <row r="3300" spans="1:10" x14ac:dyDescent="0.35">
      <c r="A3300" s="2">
        <v>44784</v>
      </c>
      <c r="B3300" s="3">
        <v>0.67949074074074067</v>
      </c>
      <c r="C3300">
        <v>3895</v>
      </c>
      <c r="D3300" t="str">
        <f>VLOOKUP(H3300,Produkt!$A$2:$B$5,2,FALSE)</f>
        <v>D</v>
      </c>
      <c r="H3300">
        <v>4</v>
      </c>
      <c r="I3300">
        <v>0.22609953703703703</v>
      </c>
      <c r="J3300">
        <v>44777</v>
      </c>
    </row>
    <row r="3301" spans="1:10" x14ac:dyDescent="0.35">
      <c r="A3301" s="2">
        <v>44784</v>
      </c>
      <c r="B3301" s="3">
        <v>0.88878472222222227</v>
      </c>
      <c r="C3301">
        <v>4009</v>
      </c>
      <c r="D3301" t="str">
        <f>VLOOKUP(H3301,Produkt!$A$2:$B$5,2,FALSE)</f>
        <v>C</v>
      </c>
      <c r="H3301">
        <v>3</v>
      </c>
      <c r="I3301">
        <v>0.57097222222222221</v>
      </c>
      <c r="J3301">
        <v>44778</v>
      </c>
    </row>
    <row r="3302" spans="1:10" x14ac:dyDescent="0.35">
      <c r="A3302" s="2">
        <v>44784</v>
      </c>
      <c r="B3302" s="3">
        <v>0.4303819444444445</v>
      </c>
      <c r="C3302">
        <v>4037</v>
      </c>
      <c r="D3302" t="str">
        <f>VLOOKUP(H3302,Produkt!$A$2:$B$5,2,FALSE)</f>
        <v>A</v>
      </c>
      <c r="H3302">
        <v>1</v>
      </c>
      <c r="I3302">
        <v>0.43394675925925924</v>
      </c>
      <c r="J3302">
        <v>44802</v>
      </c>
    </row>
    <row r="3303" spans="1:10" x14ac:dyDescent="0.35">
      <c r="A3303" s="2">
        <v>44784</v>
      </c>
      <c r="B3303" s="3">
        <v>2.3969907407407409E-2</v>
      </c>
      <c r="C3303">
        <v>4038</v>
      </c>
      <c r="D3303" t="str">
        <f>VLOOKUP(H3303,Produkt!$A$2:$B$5,2,FALSE)</f>
        <v>C</v>
      </c>
      <c r="H3303">
        <v>3</v>
      </c>
      <c r="I3303">
        <v>0.34111111111111114</v>
      </c>
      <c r="J3303">
        <v>44798</v>
      </c>
    </row>
    <row r="3304" spans="1:10" x14ac:dyDescent="0.35">
      <c r="A3304" s="2">
        <v>44784</v>
      </c>
      <c r="B3304" s="3">
        <v>0.28262731481481479</v>
      </c>
      <c r="C3304">
        <v>4064</v>
      </c>
      <c r="D3304" t="str">
        <f>VLOOKUP(H3304,Produkt!$A$2:$B$5,2,FALSE)</f>
        <v>C</v>
      </c>
      <c r="H3304">
        <v>3</v>
      </c>
      <c r="I3304">
        <v>0.2789814814814815</v>
      </c>
      <c r="J3304">
        <v>44774</v>
      </c>
    </row>
    <row r="3305" spans="1:10" x14ac:dyDescent="0.35">
      <c r="A3305" s="2">
        <v>44784</v>
      </c>
      <c r="B3305" s="3">
        <v>0.21030092592592595</v>
      </c>
      <c r="C3305">
        <v>4068</v>
      </c>
      <c r="D3305" t="str">
        <f>VLOOKUP(H3305,Produkt!$A$2:$B$5,2,FALSE)</f>
        <v>B</v>
      </c>
      <c r="H3305">
        <v>2</v>
      </c>
      <c r="I3305">
        <v>0.31657407407407406</v>
      </c>
      <c r="J3305">
        <v>44779</v>
      </c>
    </row>
    <row r="3306" spans="1:10" x14ac:dyDescent="0.35">
      <c r="A3306" s="2">
        <v>44784</v>
      </c>
      <c r="B3306" s="3">
        <v>0.37101851851851847</v>
      </c>
      <c r="C3306">
        <v>4073</v>
      </c>
      <c r="D3306" t="str">
        <f>VLOOKUP(H3306,Produkt!$A$2:$B$5,2,FALSE)</f>
        <v>B</v>
      </c>
      <c r="H3306">
        <v>2</v>
      </c>
      <c r="I3306">
        <v>1.6087962962962964E-2</v>
      </c>
      <c r="J3306">
        <v>44795</v>
      </c>
    </row>
    <row r="3307" spans="1:10" x14ac:dyDescent="0.35">
      <c r="A3307" s="2">
        <v>44784</v>
      </c>
      <c r="B3307" s="3">
        <v>0.25248842592592591</v>
      </c>
      <c r="C3307">
        <v>4076</v>
      </c>
      <c r="D3307" t="str">
        <f>VLOOKUP(H3307,Produkt!$A$2:$B$5,2,FALSE)</f>
        <v>A</v>
      </c>
      <c r="H3307">
        <v>1</v>
      </c>
      <c r="I3307">
        <v>0.93959490740740748</v>
      </c>
      <c r="J3307">
        <v>44784</v>
      </c>
    </row>
    <row r="3308" spans="1:10" x14ac:dyDescent="0.35">
      <c r="A3308" s="2">
        <v>44784</v>
      </c>
      <c r="B3308" s="3">
        <v>0.45878472222222227</v>
      </c>
      <c r="C3308">
        <v>4080</v>
      </c>
      <c r="D3308" t="str">
        <f>VLOOKUP(H3308,Produkt!$A$2:$B$5,2,FALSE)</f>
        <v>B</v>
      </c>
      <c r="H3308">
        <v>2</v>
      </c>
      <c r="I3308">
        <v>0.16259259259259259</v>
      </c>
      <c r="J3308">
        <v>44780</v>
      </c>
    </row>
    <row r="3309" spans="1:10" x14ac:dyDescent="0.35">
      <c r="A3309" s="2">
        <v>44784</v>
      </c>
      <c r="B3309" s="3">
        <v>3.7280092592592462E-2</v>
      </c>
      <c r="C3309">
        <v>4114</v>
      </c>
      <c r="D3309" t="str">
        <f>VLOOKUP(H3309,Produkt!$A$2:$B$5,2,FALSE)</f>
        <v>A</v>
      </c>
      <c r="H3309">
        <v>1</v>
      </c>
      <c r="I3309">
        <v>0.16974537037037038</v>
      </c>
      <c r="J3309">
        <v>44776</v>
      </c>
    </row>
    <row r="3310" spans="1:10" x14ac:dyDescent="0.35">
      <c r="A3310" s="2">
        <v>44784</v>
      </c>
      <c r="B3310" s="3">
        <v>0.62390046296296298</v>
      </c>
      <c r="C3310">
        <v>4138</v>
      </c>
      <c r="D3310" t="str">
        <f>VLOOKUP(H3310,Produkt!$A$2:$B$5,2,FALSE)</f>
        <v>A</v>
      </c>
      <c r="H3310">
        <v>1</v>
      </c>
      <c r="I3310">
        <v>0.54037037037037039</v>
      </c>
      <c r="J3310">
        <v>44785</v>
      </c>
    </row>
    <row r="3311" spans="1:10" x14ac:dyDescent="0.35">
      <c r="A3311" s="2">
        <v>44784</v>
      </c>
      <c r="B3311" s="3">
        <v>0.78219907407407396</v>
      </c>
      <c r="C3311">
        <v>4166</v>
      </c>
      <c r="D3311" t="str">
        <f>VLOOKUP(H3311,Produkt!$A$2:$B$5,2,FALSE)</f>
        <v>C</v>
      </c>
      <c r="H3311">
        <v>3</v>
      </c>
      <c r="I3311">
        <v>0.69491898148148146</v>
      </c>
      <c r="J3311">
        <v>44788</v>
      </c>
    </row>
    <row r="3312" spans="1:10" x14ac:dyDescent="0.35">
      <c r="A3312" s="2">
        <v>44784</v>
      </c>
      <c r="B3312" s="3">
        <v>0.10351851851851852</v>
      </c>
      <c r="C3312">
        <v>4241</v>
      </c>
      <c r="D3312" t="str">
        <f>VLOOKUP(H3312,Produkt!$A$2:$B$5,2,FALSE)</f>
        <v>C</v>
      </c>
      <c r="H3312">
        <v>3</v>
      </c>
      <c r="I3312">
        <v>0.80650462962962965</v>
      </c>
      <c r="J3312">
        <v>44787</v>
      </c>
    </row>
    <row r="3313" spans="1:10" x14ac:dyDescent="0.35">
      <c r="A3313" s="2">
        <v>44784</v>
      </c>
      <c r="B3313" s="3">
        <v>0.31829861111111107</v>
      </c>
      <c r="C3313">
        <v>4312</v>
      </c>
      <c r="D3313" t="str">
        <f>VLOOKUP(H3313,Produkt!$A$2:$B$5,2,FALSE)</f>
        <v>D</v>
      </c>
      <c r="H3313">
        <v>4</v>
      </c>
      <c r="I3313">
        <v>0.82913194444444438</v>
      </c>
      <c r="J3313">
        <v>44793</v>
      </c>
    </row>
    <row r="3314" spans="1:10" x14ac:dyDescent="0.35">
      <c r="A3314" s="2">
        <v>44784</v>
      </c>
      <c r="B3314" s="3">
        <v>2.48842592592593E-2</v>
      </c>
      <c r="C3314">
        <v>4323</v>
      </c>
      <c r="D3314" t="str">
        <f>VLOOKUP(H3314,Produkt!$A$2:$B$5,2,FALSE)</f>
        <v>C</v>
      </c>
      <c r="H3314">
        <v>3</v>
      </c>
      <c r="I3314">
        <v>0.96079861111111109</v>
      </c>
      <c r="J3314">
        <v>44775</v>
      </c>
    </row>
    <row r="3315" spans="1:10" x14ac:dyDescent="0.35">
      <c r="A3315" s="2">
        <v>44784</v>
      </c>
      <c r="B3315" s="3">
        <v>0.70964120370370365</v>
      </c>
      <c r="C3315">
        <v>4331</v>
      </c>
      <c r="D3315" t="str">
        <f>VLOOKUP(H3315,Produkt!$A$2:$B$5,2,FALSE)</f>
        <v>D</v>
      </c>
      <c r="H3315">
        <v>4</v>
      </c>
      <c r="I3315">
        <v>3.1759259259259258E-2</v>
      </c>
      <c r="J3315">
        <v>44804</v>
      </c>
    </row>
    <row r="3316" spans="1:10" x14ac:dyDescent="0.35">
      <c r="A3316" s="2">
        <v>44784</v>
      </c>
      <c r="B3316" s="3">
        <v>0.46192129629629625</v>
      </c>
      <c r="C3316">
        <v>4343</v>
      </c>
      <c r="D3316" t="str">
        <f>VLOOKUP(H3316,Produkt!$A$2:$B$5,2,FALSE)</f>
        <v>A</v>
      </c>
      <c r="H3316">
        <v>1</v>
      </c>
      <c r="I3316">
        <v>3.0902777777777782E-3</v>
      </c>
      <c r="J3316">
        <v>44792</v>
      </c>
    </row>
    <row r="3317" spans="1:10" x14ac:dyDescent="0.35">
      <c r="A3317" s="2">
        <v>44784</v>
      </c>
      <c r="B3317" s="3">
        <v>0.24979166666666666</v>
      </c>
      <c r="C3317">
        <v>4366</v>
      </c>
      <c r="D3317" t="str">
        <f>VLOOKUP(H3317,Produkt!$A$2:$B$5,2,FALSE)</f>
        <v>A</v>
      </c>
      <c r="H3317">
        <v>1</v>
      </c>
      <c r="I3317">
        <v>5.3391203703703705E-2</v>
      </c>
      <c r="J3317">
        <v>44784</v>
      </c>
    </row>
    <row r="3318" spans="1:10" x14ac:dyDescent="0.35">
      <c r="A3318" s="2">
        <v>44784</v>
      </c>
      <c r="B3318" s="3">
        <v>2.8252314814814813E-2</v>
      </c>
      <c r="C3318">
        <v>4373</v>
      </c>
      <c r="D3318" t="str">
        <f>VLOOKUP(H3318,Produkt!$A$2:$B$5,2,FALSE)</f>
        <v>A</v>
      </c>
      <c r="H3318">
        <v>1</v>
      </c>
      <c r="I3318">
        <v>0.43434027777777778</v>
      </c>
      <c r="J3318">
        <v>44796</v>
      </c>
    </row>
    <row r="3319" spans="1:10" x14ac:dyDescent="0.35">
      <c r="A3319" s="2">
        <v>44784</v>
      </c>
      <c r="B3319" s="3">
        <v>0.88052083333333331</v>
      </c>
      <c r="C3319">
        <v>4481</v>
      </c>
      <c r="D3319" t="str">
        <f>VLOOKUP(H3319,Produkt!$A$2:$B$5,2,FALSE)</f>
        <v>A</v>
      </c>
      <c r="H3319">
        <v>1</v>
      </c>
      <c r="I3319">
        <v>0.55040509259259263</v>
      </c>
      <c r="J3319">
        <v>44802</v>
      </c>
    </row>
    <row r="3320" spans="1:10" x14ac:dyDescent="0.35">
      <c r="A3320" s="2">
        <v>44784</v>
      </c>
      <c r="B3320" s="3">
        <v>0.82788194444444441</v>
      </c>
      <c r="C3320">
        <v>4486</v>
      </c>
      <c r="D3320" t="str">
        <f>VLOOKUP(H3320,Produkt!$A$2:$B$5,2,FALSE)</f>
        <v>D</v>
      </c>
      <c r="H3320">
        <v>4</v>
      </c>
      <c r="I3320">
        <v>0.88056712962962969</v>
      </c>
      <c r="J3320">
        <v>44794</v>
      </c>
    </row>
    <row r="3321" spans="1:10" x14ac:dyDescent="0.35">
      <c r="A3321" s="2">
        <v>44784</v>
      </c>
      <c r="B3321" s="3">
        <v>0.44685185185185183</v>
      </c>
      <c r="C3321">
        <v>4500</v>
      </c>
      <c r="D3321" t="str">
        <f>VLOOKUP(H3321,Produkt!$A$2:$B$5,2,FALSE)</f>
        <v>D</v>
      </c>
      <c r="H3321">
        <v>4</v>
      </c>
      <c r="I3321">
        <v>0.30810185185185185</v>
      </c>
      <c r="J3321">
        <v>44784</v>
      </c>
    </row>
    <row r="3322" spans="1:10" x14ac:dyDescent="0.35">
      <c r="A3322" s="2">
        <v>44784</v>
      </c>
      <c r="B3322" s="3">
        <v>0.27837962962962964</v>
      </c>
      <c r="C3322">
        <v>4513</v>
      </c>
      <c r="D3322" t="str">
        <f>VLOOKUP(H3322,Produkt!$A$2:$B$5,2,FALSE)</f>
        <v>A</v>
      </c>
      <c r="H3322">
        <v>1</v>
      </c>
      <c r="I3322">
        <v>0.65577546296296296</v>
      </c>
      <c r="J3322">
        <v>44774</v>
      </c>
    </row>
    <row r="3323" spans="1:10" x14ac:dyDescent="0.35">
      <c r="A3323" s="2">
        <v>44784</v>
      </c>
      <c r="B3323" s="3">
        <v>5.8993055555555556E-2</v>
      </c>
      <c r="C3323">
        <v>4531</v>
      </c>
      <c r="D3323" t="str">
        <f>VLOOKUP(H3323,Produkt!$A$2:$B$5,2,FALSE)</f>
        <v>C</v>
      </c>
      <c r="H3323">
        <v>3</v>
      </c>
      <c r="I3323">
        <v>0.12841435185185185</v>
      </c>
      <c r="J3323">
        <v>44802</v>
      </c>
    </row>
    <row r="3324" spans="1:10" x14ac:dyDescent="0.35">
      <c r="A3324" s="2">
        <v>44784</v>
      </c>
      <c r="B3324" s="3">
        <v>0.29435185185185186</v>
      </c>
      <c r="C3324">
        <v>4534</v>
      </c>
      <c r="D3324" t="str">
        <f>VLOOKUP(H3324,Produkt!$A$2:$B$5,2,FALSE)</f>
        <v>C</v>
      </c>
      <c r="H3324">
        <v>3</v>
      </c>
      <c r="I3324">
        <v>0.50813657407407409</v>
      </c>
      <c r="J3324">
        <v>44780</v>
      </c>
    </row>
    <row r="3325" spans="1:10" x14ac:dyDescent="0.35">
      <c r="A3325" s="2">
        <v>44784</v>
      </c>
      <c r="B3325" s="3">
        <v>0.22253472222222223</v>
      </c>
      <c r="C3325">
        <v>4565</v>
      </c>
      <c r="D3325" t="str">
        <f>VLOOKUP(H3325,Produkt!$A$2:$B$5,2,FALSE)</f>
        <v>A</v>
      </c>
      <c r="H3325">
        <v>1</v>
      </c>
      <c r="I3325">
        <v>0.86200231481481471</v>
      </c>
      <c r="J3325">
        <v>44798</v>
      </c>
    </row>
    <row r="3326" spans="1:10" x14ac:dyDescent="0.35">
      <c r="A3326" s="2">
        <v>44784</v>
      </c>
      <c r="B3326" s="3">
        <v>0.72240740740740739</v>
      </c>
      <c r="C3326">
        <v>4598</v>
      </c>
      <c r="D3326" t="str">
        <f>VLOOKUP(H3326,Produkt!$A$2:$B$5,2,FALSE)</f>
        <v>A</v>
      </c>
      <c r="H3326">
        <v>1</v>
      </c>
      <c r="I3326">
        <v>0.16670138888888889</v>
      </c>
      <c r="J3326">
        <v>44792</v>
      </c>
    </row>
    <row r="3327" spans="1:10" x14ac:dyDescent="0.35">
      <c r="A3327" s="2">
        <v>44784</v>
      </c>
      <c r="B3327" s="3">
        <v>0.5502083333333333</v>
      </c>
      <c r="C3327">
        <v>4606</v>
      </c>
      <c r="D3327" t="str">
        <f>VLOOKUP(H3327,Produkt!$A$2:$B$5,2,FALSE)</f>
        <v>B</v>
      </c>
      <c r="H3327">
        <v>2</v>
      </c>
      <c r="I3327">
        <v>0.77484953703703707</v>
      </c>
      <c r="J3327">
        <v>44797</v>
      </c>
    </row>
    <row r="3328" spans="1:10" x14ac:dyDescent="0.35">
      <c r="A3328" s="2">
        <v>44784</v>
      </c>
      <c r="B3328" s="3">
        <v>0.7338541666666667</v>
      </c>
      <c r="C3328">
        <v>4665</v>
      </c>
      <c r="D3328" t="str">
        <f>VLOOKUP(H3328,Produkt!$A$2:$B$5,2,FALSE)</f>
        <v>A</v>
      </c>
      <c r="H3328">
        <v>1</v>
      </c>
      <c r="I3328">
        <v>0.48855324074074075</v>
      </c>
      <c r="J3328">
        <v>44795</v>
      </c>
    </row>
    <row r="3329" spans="1:10" x14ac:dyDescent="0.35">
      <c r="A3329" s="2">
        <v>44784</v>
      </c>
      <c r="B3329" s="3">
        <v>0.54865740740740743</v>
      </c>
      <c r="C3329">
        <v>4745</v>
      </c>
      <c r="D3329" t="str">
        <f>VLOOKUP(H3329,Produkt!$A$2:$B$5,2,FALSE)</f>
        <v>B</v>
      </c>
      <c r="H3329">
        <v>2</v>
      </c>
      <c r="I3329">
        <v>0.46190972222222221</v>
      </c>
      <c r="J3329">
        <v>44775</v>
      </c>
    </row>
    <row r="3330" spans="1:10" x14ac:dyDescent="0.35">
      <c r="A3330" s="2">
        <v>44784</v>
      </c>
      <c r="B3330" s="3">
        <v>0.57550925925925933</v>
      </c>
      <c r="C3330">
        <v>4806</v>
      </c>
      <c r="D3330" t="str">
        <f>VLOOKUP(H3330,Produkt!$A$2:$B$5,2,FALSE)</f>
        <v>D</v>
      </c>
      <c r="H3330">
        <v>4</v>
      </c>
      <c r="I3330">
        <v>0.26085648148148149</v>
      </c>
      <c r="J3330">
        <v>44780</v>
      </c>
    </row>
    <row r="3331" spans="1:10" x14ac:dyDescent="0.35">
      <c r="A3331" s="2">
        <v>44784</v>
      </c>
      <c r="B3331" s="3">
        <v>0.27972222222222221</v>
      </c>
      <c r="C3331">
        <v>4815</v>
      </c>
      <c r="D3331" t="str">
        <f>VLOOKUP(H3331,Produkt!$A$2:$B$5,2,FALSE)</f>
        <v>C</v>
      </c>
      <c r="H3331">
        <v>3</v>
      </c>
      <c r="I3331">
        <v>0.87461805555555561</v>
      </c>
      <c r="J3331">
        <v>44787</v>
      </c>
    </row>
    <row r="3332" spans="1:10" x14ac:dyDescent="0.35">
      <c r="A3332" s="2">
        <v>44784</v>
      </c>
      <c r="B3332" s="3">
        <v>0.26533564814814814</v>
      </c>
      <c r="C3332">
        <v>4820</v>
      </c>
      <c r="D3332" t="str">
        <f>VLOOKUP(H3332,Produkt!$A$2:$B$5,2,FALSE)</f>
        <v>C</v>
      </c>
      <c r="H3332">
        <v>3</v>
      </c>
      <c r="I3332">
        <v>0.47462962962962968</v>
      </c>
      <c r="J3332">
        <v>44803</v>
      </c>
    </row>
    <row r="3333" spans="1:10" x14ac:dyDescent="0.35">
      <c r="A3333" s="2">
        <v>44784</v>
      </c>
      <c r="B3333" s="3">
        <v>6.3888888888888884E-2</v>
      </c>
      <c r="C3333">
        <v>4834</v>
      </c>
      <c r="D3333" t="str">
        <f>VLOOKUP(H3333,Produkt!$A$2:$B$5,2,FALSE)</f>
        <v>D</v>
      </c>
      <c r="H3333">
        <v>4</v>
      </c>
      <c r="I3333">
        <v>0.84901620370370379</v>
      </c>
      <c r="J3333">
        <v>44790</v>
      </c>
    </row>
    <row r="3334" spans="1:10" x14ac:dyDescent="0.35">
      <c r="A3334" s="2">
        <v>44784</v>
      </c>
      <c r="B3334" s="3">
        <v>3.8923611111111089E-2</v>
      </c>
      <c r="C3334">
        <v>4869</v>
      </c>
      <c r="D3334" t="str">
        <f>VLOOKUP(H3334,Produkt!$A$2:$B$5,2,FALSE)</f>
        <v>D</v>
      </c>
      <c r="H3334">
        <v>4</v>
      </c>
      <c r="I3334">
        <v>8.6134259259259258E-2</v>
      </c>
      <c r="J3334">
        <v>44794</v>
      </c>
    </row>
    <row r="3335" spans="1:10" x14ac:dyDescent="0.35">
      <c r="A3335" s="2">
        <v>44784</v>
      </c>
      <c r="B3335" s="3">
        <v>0.42907407407407411</v>
      </c>
      <c r="C3335">
        <v>4895</v>
      </c>
      <c r="D3335" t="str">
        <f>VLOOKUP(H3335,Produkt!$A$2:$B$5,2,FALSE)</f>
        <v>B</v>
      </c>
      <c r="H3335">
        <v>2</v>
      </c>
      <c r="I3335">
        <v>0.97449074074074071</v>
      </c>
      <c r="J3335">
        <v>44774</v>
      </c>
    </row>
    <row r="3336" spans="1:10" x14ac:dyDescent="0.35">
      <c r="A3336" s="2">
        <v>44784</v>
      </c>
      <c r="B3336" s="3">
        <v>0.89891203703703704</v>
      </c>
      <c r="C3336">
        <v>4901</v>
      </c>
      <c r="D3336" t="str">
        <f>VLOOKUP(H3336,Produkt!$A$2:$B$5,2,FALSE)</f>
        <v>B</v>
      </c>
      <c r="H3336">
        <v>2</v>
      </c>
      <c r="I3336">
        <v>0.78973379629629636</v>
      </c>
      <c r="J3336">
        <v>44803</v>
      </c>
    </row>
    <row r="3337" spans="1:10" x14ac:dyDescent="0.35">
      <c r="A3337" s="2">
        <v>44784</v>
      </c>
      <c r="B3337" s="3">
        <v>0.41277777777777774</v>
      </c>
      <c r="C3337">
        <v>4997</v>
      </c>
      <c r="D3337" t="str">
        <f>VLOOKUP(H3337,Produkt!$A$2:$B$5,2,FALSE)</f>
        <v>D</v>
      </c>
      <c r="H3337">
        <v>4</v>
      </c>
      <c r="I3337">
        <v>0.25707175925925924</v>
      </c>
      <c r="J3337">
        <v>44799</v>
      </c>
    </row>
    <row r="3338" spans="1:10" x14ac:dyDescent="0.35">
      <c r="A3338" s="2">
        <v>44784</v>
      </c>
      <c r="B3338" s="3">
        <v>0.97584490740740737</v>
      </c>
      <c r="C3338">
        <v>5016</v>
      </c>
      <c r="D3338" t="str">
        <f>VLOOKUP(H3338,Produkt!$A$2:$B$5,2,FALSE)</f>
        <v>B</v>
      </c>
      <c r="H3338">
        <v>2</v>
      </c>
      <c r="I3338">
        <v>7.5995370370370366E-2</v>
      </c>
      <c r="J3338">
        <v>44788</v>
      </c>
    </row>
    <row r="3339" spans="1:10" x14ac:dyDescent="0.35">
      <c r="A3339" s="2">
        <v>44784</v>
      </c>
      <c r="B3339" s="3">
        <v>0.95336805555555559</v>
      </c>
      <c r="C3339">
        <v>5112</v>
      </c>
      <c r="D3339" t="str">
        <f>VLOOKUP(H3339,Produkt!$A$2:$B$5,2,FALSE)</f>
        <v>C</v>
      </c>
      <c r="H3339">
        <v>3</v>
      </c>
      <c r="I3339">
        <v>0.17444444444444443</v>
      </c>
      <c r="J3339">
        <v>44795</v>
      </c>
    </row>
    <row r="3340" spans="1:10" x14ac:dyDescent="0.35">
      <c r="A3340" s="2">
        <v>44784</v>
      </c>
      <c r="B3340" s="3">
        <v>0.84185185185185185</v>
      </c>
      <c r="C3340">
        <v>5152</v>
      </c>
      <c r="D3340" t="str">
        <f>VLOOKUP(H3340,Produkt!$A$2:$B$5,2,FALSE)</f>
        <v>A</v>
      </c>
      <c r="H3340">
        <v>1</v>
      </c>
      <c r="I3340">
        <v>0.72407407407407398</v>
      </c>
      <c r="J3340">
        <v>44800</v>
      </c>
    </row>
    <row r="3341" spans="1:10" x14ac:dyDescent="0.35">
      <c r="A3341" s="2">
        <v>44784</v>
      </c>
      <c r="B3341" s="3">
        <v>0.79837962962962961</v>
      </c>
      <c r="C3341">
        <v>5186</v>
      </c>
      <c r="D3341" t="str">
        <f>VLOOKUP(H3341,Produkt!$A$2:$B$5,2,FALSE)</f>
        <v>D</v>
      </c>
      <c r="H3341">
        <v>4</v>
      </c>
      <c r="I3341">
        <v>0.6559490740740741</v>
      </c>
      <c r="J3341">
        <v>44801</v>
      </c>
    </row>
    <row r="3342" spans="1:10" x14ac:dyDescent="0.35">
      <c r="A3342" s="2">
        <v>44784</v>
      </c>
      <c r="B3342" s="3">
        <v>0.10693287037037037</v>
      </c>
      <c r="C3342">
        <v>5205</v>
      </c>
      <c r="D3342" t="str">
        <f>VLOOKUP(H3342,Produkt!$A$2:$B$5,2,FALSE)</f>
        <v>D</v>
      </c>
      <c r="H3342">
        <v>4</v>
      </c>
      <c r="I3342">
        <v>0.88032407407407398</v>
      </c>
      <c r="J3342">
        <v>44788</v>
      </c>
    </row>
    <row r="3343" spans="1:10" x14ac:dyDescent="0.35">
      <c r="A3343" s="2">
        <v>44784</v>
      </c>
      <c r="B3343" s="3">
        <v>0.29824074074074075</v>
      </c>
      <c r="C3343">
        <v>5214</v>
      </c>
      <c r="D3343" t="str">
        <f>VLOOKUP(H3343,Produkt!$A$2:$B$5,2,FALSE)</f>
        <v>B</v>
      </c>
      <c r="H3343">
        <v>2</v>
      </c>
      <c r="I3343">
        <v>0.72462962962962962</v>
      </c>
      <c r="J3343">
        <v>44804</v>
      </c>
    </row>
    <row r="3344" spans="1:10" x14ac:dyDescent="0.35">
      <c r="A3344" s="2">
        <v>44784</v>
      </c>
      <c r="B3344" s="3">
        <v>0.36215277777777777</v>
      </c>
      <c r="C3344">
        <v>5224</v>
      </c>
      <c r="D3344" t="str">
        <f>VLOOKUP(H3344,Produkt!$A$2:$B$5,2,FALSE)</f>
        <v>D</v>
      </c>
      <c r="H3344">
        <v>4</v>
      </c>
      <c r="I3344">
        <v>0.29130787037037037</v>
      </c>
      <c r="J3344">
        <v>44784</v>
      </c>
    </row>
    <row r="3345" spans="1:10" x14ac:dyDescent="0.35">
      <c r="A3345" s="2">
        <v>44784</v>
      </c>
      <c r="B3345" s="3">
        <v>0.39054398148148151</v>
      </c>
      <c r="C3345">
        <v>5256</v>
      </c>
      <c r="D3345" t="str">
        <f>VLOOKUP(H3345,Produkt!$A$2:$B$5,2,FALSE)</f>
        <v>C</v>
      </c>
      <c r="H3345">
        <v>3</v>
      </c>
      <c r="I3345">
        <v>0.1693402777777778</v>
      </c>
      <c r="J3345">
        <v>44786</v>
      </c>
    </row>
    <row r="3346" spans="1:10" x14ac:dyDescent="0.35">
      <c r="A3346" s="2">
        <v>44784</v>
      </c>
      <c r="B3346" s="3">
        <v>0.48386574074074074</v>
      </c>
      <c r="C3346">
        <v>5318</v>
      </c>
      <c r="D3346" t="str">
        <f>VLOOKUP(H3346,Produkt!$A$2:$B$5,2,FALSE)</f>
        <v>D</v>
      </c>
      <c r="H3346">
        <v>4</v>
      </c>
      <c r="I3346">
        <v>0.35045138888888888</v>
      </c>
      <c r="J3346">
        <v>44781</v>
      </c>
    </row>
    <row r="3347" spans="1:10" x14ac:dyDescent="0.35">
      <c r="A3347" s="2">
        <v>44784</v>
      </c>
      <c r="B3347" s="3">
        <v>1.681712962962963E-2</v>
      </c>
      <c r="C3347">
        <v>5324</v>
      </c>
      <c r="D3347" t="str">
        <f>VLOOKUP(H3347,Produkt!$A$2:$B$5,2,FALSE)</f>
        <v>A</v>
      </c>
      <c r="H3347">
        <v>1</v>
      </c>
      <c r="I3347">
        <v>0.48129629629629633</v>
      </c>
      <c r="J3347">
        <v>44790</v>
      </c>
    </row>
    <row r="3348" spans="1:10" x14ac:dyDescent="0.35">
      <c r="A3348" s="2">
        <v>44784</v>
      </c>
      <c r="B3348" s="3">
        <v>0.71605324074074073</v>
      </c>
      <c r="C3348">
        <v>5334</v>
      </c>
      <c r="D3348" t="str">
        <f>VLOOKUP(H3348,Produkt!$A$2:$B$5,2,FALSE)</f>
        <v>A</v>
      </c>
      <c r="H3348">
        <v>1</v>
      </c>
      <c r="I3348">
        <v>0.27930555555555553</v>
      </c>
      <c r="J3348">
        <v>44801</v>
      </c>
    </row>
    <row r="3349" spans="1:10" x14ac:dyDescent="0.35">
      <c r="A3349" s="2">
        <v>44784</v>
      </c>
      <c r="B3349" s="3">
        <v>0.66113425925925928</v>
      </c>
      <c r="C3349">
        <v>5383</v>
      </c>
      <c r="D3349" t="str">
        <f>VLOOKUP(H3349,Produkt!$A$2:$B$5,2,FALSE)</f>
        <v>C</v>
      </c>
      <c r="H3349">
        <v>3</v>
      </c>
      <c r="I3349">
        <v>2.1099537037037042E-2</v>
      </c>
      <c r="J3349">
        <v>44787</v>
      </c>
    </row>
    <row r="3350" spans="1:10" x14ac:dyDescent="0.35">
      <c r="A3350" s="2">
        <v>44784</v>
      </c>
      <c r="B3350" s="3">
        <v>0.60258101851851853</v>
      </c>
      <c r="C3350">
        <v>5388</v>
      </c>
      <c r="D3350" t="str">
        <f>VLOOKUP(H3350,Produkt!$A$2:$B$5,2,FALSE)</f>
        <v>D</v>
      </c>
      <c r="H3350">
        <v>4</v>
      </c>
      <c r="I3350">
        <v>0.71719907407407402</v>
      </c>
      <c r="J3350">
        <v>44793</v>
      </c>
    </row>
    <row r="3351" spans="1:10" x14ac:dyDescent="0.35">
      <c r="A3351" s="2">
        <v>44784</v>
      </c>
      <c r="B3351" s="3">
        <v>9.3067129629629639E-2</v>
      </c>
      <c r="C3351">
        <v>5405</v>
      </c>
      <c r="D3351" t="str">
        <f>VLOOKUP(H3351,Produkt!$A$2:$B$5,2,FALSE)</f>
        <v>C</v>
      </c>
      <c r="H3351">
        <v>3</v>
      </c>
      <c r="I3351">
        <v>0.1373263888888889</v>
      </c>
      <c r="J3351">
        <v>44775</v>
      </c>
    </row>
    <row r="3352" spans="1:10" x14ac:dyDescent="0.35">
      <c r="A3352" s="2">
        <v>44784</v>
      </c>
      <c r="B3352" s="3">
        <v>6.025462962962963E-2</v>
      </c>
      <c r="C3352">
        <v>5408</v>
      </c>
      <c r="D3352" t="str">
        <f>VLOOKUP(H3352,Produkt!$A$2:$B$5,2,FALSE)</f>
        <v>D</v>
      </c>
      <c r="H3352">
        <v>4</v>
      </c>
      <c r="I3352">
        <v>0.48552083333333335</v>
      </c>
      <c r="J3352">
        <v>44776</v>
      </c>
    </row>
    <row r="3353" spans="1:10" x14ac:dyDescent="0.35">
      <c r="A3353" s="2">
        <v>44784</v>
      </c>
      <c r="B3353" s="3">
        <v>0.50015046296296295</v>
      </c>
      <c r="C3353">
        <v>5432</v>
      </c>
      <c r="D3353" t="str">
        <f>VLOOKUP(H3353,Produkt!$A$2:$B$5,2,FALSE)</f>
        <v>D</v>
      </c>
      <c r="H3353">
        <v>4</v>
      </c>
      <c r="I3353">
        <v>0.99236111111111114</v>
      </c>
      <c r="J3353">
        <v>44783</v>
      </c>
    </row>
    <row r="3354" spans="1:10" x14ac:dyDescent="0.35">
      <c r="A3354" s="2">
        <v>44784</v>
      </c>
      <c r="B3354" s="3">
        <v>0.20493055555555553</v>
      </c>
      <c r="C3354">
        <v>5438</v>
      </c>
      <c r="D3354" t="str">
        <f>VLOOKUP(H3354,Produkt!$A$2:$B$5,2,FALSE)</f>
        <v>A</v>
      </c>
      <c r="H3354">
        <v>1</v>
      </c>
      <c r="I3354">
        <v>0.47660879629629632</v>
      </c>
      <c r="J3354">
        <v>44774</v>
      </c>
    </row>
    <row r="3355" spans="1:10" x14ac:dyDescent="0.35">
      <c r="A3355" s="2">
        <v>44784</v>
      </c>
      <c r="B3355" s="3">
        <v>0.7782175925925926</v>
      </c>
      <c r="C3355">
        <v>5456</v>
      </c>
      <c r="D3355" t="str">
        <f>VLOOKUP(H3355,Produkt!$A$2:$B$5,2,FALSE)</f>
        <v>C</v>
      </c>
      <c r="H3355">
        <v>3</v>
      </c>
      <c r="I3355">
        <v>0.64771990740740748</v>
      </c>
      <c r="J3355">
        <v>44792</v>
      </c>
    </row>
    <row r="3356" spans="1:10" x14ac:dyDescent="0.35">
      <c r="A3356" s="2">
        <v>44784</v>
      </c>
      <c r="B3356" s="3">
        <v>0.72196759259259258</v>
      </c>
      <c r="C3356">
        <v>5521</v>
      </c>
      <c r="D3356" t="str">
        <f>VLOOKUP(H3356,Produkt!$A$2:$B$5,2,FALSE)</f>
        <v>B</v>
      </c>
      <c r="H3356">
        <v>2</v>
      </c>
      <c r="I3356">
        <v>0.30796296296296294</v>
      </c>
      <c r="J3356">
        <v>44795</v>
      </c>
    </row>
    <row r="3357" spans="1:10" x14ac:dyDescent="0.35">
      <c r="A3357" s="2">
        <v>44784</v>
      </c>
      <c r="B3357" s="3">
        <v>8.74537037037037E-2</v>
      </c>
      <c r="C3357">
        <v>5524</v>
      </c>
      <c r="D3357" t="str">
        <f>VLOOKUP(H3357,Produkt!$A$2:$B$5,2,FALSE)</f>
        <v>B</v>
      </c>
      <c r="H3357">
        <v>2</v>
      </c>
      <c r="I3357">
        <v>0.96297453703703706</v>
      </c>
      <c r="J3357">
        <v>44800</v>
      </c>
    </row>
    <row r="3358" spans="1:10" x14ac:dyDescent="0.35">
      <c r="A3358" s="2">
        <v>44784</v>
      </c>
      <c r="B3358" s="3">
        <v>0.59502314814814816</v>
      </c>
      <c r="C3358">
        <v>5535</v>
      </c>
      <c r="D3358" t="str">
        <f>VLOOKUP(H3358,Produkt!$A$2:$B$5,2,FALSE)</f>
        <v>A</v>
      </c>
      <c r="H3358">
        <v>1</v>
      </c>
      <c r="I3358">
        <v>0.51377314814814812</v>
      </c>
      <c r="J3358">
        <v>44794</v>
      </c>
    </row>
    <row r="3359" spans="1:10" x14ac:dyDescent="0.35">
      <c r="A3359" s="2">
        <v>44784</v>
      </c>
      <c r="B3359" s="3">
        <v>0.87111111111111106</v>
      </c>
      <c r="C3359">
        <v>5537</v>
      </c>
      <c r="D3359" t="str">
        <f>VLOOKUP(H3359,Produkt!$A$2:$B$5,2,FALSE)</f>
        <v>B</v>
      </c>
      <c r="H3359">
        <v>2</v>
      </c>
      <c r="I3359">
        <v>0.12744212962962961</v>
      </c>
      <c r="J3359">
        <v>44796</v>
      </c>
    </row>
    <row r="3360" spans="1:10" x14ac:dyDescent="0.35">
      <c r="A3360" s="2">
        <v>44784</v>
      </c>
      <c r="B3360" s="3">
        <v>0.11502314814814814</v>
      </c>
      <c r="C3360">
        <v>5581</v>
      </c>
      <c r="D3360" t="str">
        <f>VLOOKUP(H3360,Produkt!$A$2:$B$5,2,FALSE)</f>
        <v>A</v>
      </c>
      <c r="H3360">
        <v>1</v>
      </c>
      <c r="I3360">
        <v>0.53099537037037037</v>
      </c>
      <c r="J3360">
        <v>44778</v>
      </c>
    </row>
    <row r="3361" spans="1:10" x14ac:dyDescent="0.35">
      <c r="A3361" s="2">
        <v>44784</v>
      </c>
      <c r="B3361" s="3">
        <v>5.873842592592593E-2</v>
      </c>
      <c r="C3361">
        <v>5583</v>
      </c>
      <c r="D3361" t="str">
        <f>VLOOKUP(H3361,Produkt!$A$2:$B$5,2,FALSE)</f>
        <v>D</v>
      </c>
      <c r="H3361">
        <v>4</v>
      </c>
      <c r="I3361">
        <v>0.22188657407407408</v>
      </c>
      <c r="J3361">
        <v>44798</v>
      </c>
    </row>
    <row r="3362" spans="1:10" x14ac:dyDescent="0.35">
      <c r="A3362" s="2">
        <v>44784</v>
      </c>
      <c r="B3362" s="3">
        <v>0.9888541666666667</v>
      </c>
      <c r="C3362">
        <v>5626</v>
      </c>
      <c r="D3362" t="str">
        <f>VLOOKUP(H3362,Produkt!$A$2:$B$5,2,FALSE)</f>
        <v>B</v>
      </c>
      <c r="H3362">
        <v>2</v>
      </c>
      <c r="I3362">
        <v>0.56180555555555556</v>
      </c>
      <c r="J3362">
        <v>44792</v>
      </c>
    </row>
    <row r="3363" spans="1:10" x14ac:dyDescent="0.35">
      <c r="A3363" s="2">
        <v>44784</v>
      </c>
      <c r="B3363" s="3">
        <v>0.37003472222222222</v>
      </c>
      <c r="C3363">
        <v>5638</v>
      </c>
      <c r="D3363" t="str">
        <f>VLOOKUP(H3363,Produkt!$A$2:$B$5,2,FALSE)</f>
        <v>C</v>
      </c>
      <c r="H3363">
        <v>3</v>
      </c>
      <c r="I3363">
        <v>1.5787037037037037E-2</v>
      </c>
      <c r="J3363">
        <v>44794</v>
      </c>
    </row>
    <row r="3364" spans="1:10" x14ac:dyDescent="0.35">
      <c r="A3364" s="2">
        <v>44784</v>
      </c>
      <c r="B3364" s="3">
        <v>0.28717592592592595</v>
      </c>
      <c r="C3364">
        <v>5642</v>
      </c>
      <c r="D3364" t="str">
        <f>VLOOKUP(H3364,Produkt!$A$2:$B$5,2,FALSE)</f>
        <v>D</v>
      </c>
      <c r="H3364">
        <v>4</v>
      </c>
      <c r="I3364">
        <v>0.78200231481481486</v>
      </c>
      <c r="J3364">
        <v>44800</v>
      </c>
    </row>
    <row r="3365" spans="1:10" x14ac:dyDescent="0.35">
      <c r="A3365" s="2">
        <v>44784</v>
      </c>
      <c r="B3365" s="3">
        <v>0.90719907407407396</v>
      </c>
      <c r="C3365">
        <v>5666</v>
      </c>
      <c r="D3365" t="str">
        <f>VLOOKUP(H3365,Produkt!$A$2:$B$5,2,FALSE)</f>
        <v>D</v>
      </c>
      <c r="H3365">
        <v>4</v>
      </c>
      <c r="I3365">
        <v>0.40531249999999996</v>
      </c>
      <c r="J3365">
        <v>44778</v>
      </c>
    </row>
    <row r="3366" spans="1:10" x14ac:dyDescent="0.35">
      <c r="A3366" s="2">
        <v>44784</v>
      </c>
      <c r="B3366" s="3">
        <v>0.76178240740740744</v>
      </c>
      <c r="C3366">
        <v>5669</v>
      </c>
      <c r="D3366" t="str">
        <f>VLOOKUP(H3366,Produkt!$A$2:$B$5,2,FALSE)</f>
        <v>B</v>
      </c>
      <c r="H3366">
        <v>2</v>
      </c>
      <c r="I3366">
        <v>2.6666666666666616E-2</v>
      </c>
      <c r="J3366">
        <v>44775</v>
      </c>
    </row>
    <row r="3367" spans="1:10" x14ac:dyDescent="0.35">
      <c r="A3367" s="2">
        <v>44784</v>
      </c>
      <c r="B3367" s="3">
        <v>2.0138888888888888E-3</v>
      </c>
      <c r="C3367">
        <v>5705</v>
      </c>
      <c r="D3367" t="str">
        <f>VLOOKUP(H3367,Produkt!$A$2:$B$5,2,FALSE)</f>
        <v>C</v>
      </c>
      <c r="H3367">
        <v>3</v>
      </c>
      <c r="I3367">
        <v>0.3194791666666667</v>
      </c>
      <c r="J3367">
        <v>44774</v>
      </c>
    </row>
    <row r="3368" spans="1:10" x14ac:dyDescent="0.35">
      <c r="A3368" s="2">
        <v>44784</v>
      </c>
      <c r="B3368" s="3">
        <v>0.96422453703703714</v>
      </c>
      <c r="C3368">
        <v>5769</v>
      </c>
      <c r="D3368" t="str">
        <f>VLOOKUP(H3368,Produkt!$A$2:$B$5,2,FALSE)</f>
        <v>D</v>
      </c>
      <c r="H3368">
        <v>4</v>
      </c>
      <c r="I3368">
        <v>0.54427083333333337</v>
      </c>
      <c r="J3368">
        <v>44786</v>
      </c>
    </row>
    <row r="3369" spans="1:10" x14ac:dyDescent="0.35">
      <c r="A3369" s="2">
        <v>44784</v>
      </c>
      <c r="B3369" s="3">
        <v>0.49353009259259256</v>
      </c>
      <c r="C3369">
        <v>5797</v>
      </c>
      <c r="D3369" t="str">
        <f>VLOOKUP(H3369,Produkt!$A$2:$B$5,2,FALSE)</f>
        <v>C</v>
      </c>
      <c r="H3369">
        <v>3</v>
      </c>
      <c r="I3369">
        <v>6.1388888888888889E-2</v>
      </c>
      <c r="J3369">
        <v>44795</v>
      </c>
    </row>
    <row r="3370" spans="1:10" x14ac:dyDescent="0.35">
      <c r="A3370" s="2">
        <v>44784</v>
      </c>
      <c r="B3370" s="3">
        <v>0.86179398148148145</v>
      </c>
      <c r="C3370">
        <v>5800</v>
      </c>
      <c r="D3370" t="str">
        <f>VLOOKUP(H3370,Produkt!$A$2:$B$5,2,FALSE)</f>
        <v>C</v>
      </c>
      <c r="H3370">
        <v>3</v>
      </c>
      <c r="I3370">
        <v>0.13167824074074075</v>
      </c>
      <c r="J3370">
        <v>44776</v>
      </c>
    </row>
    <row r="3371" spans="1:10" x14ac:dyDescent="0.35">
      <c r="A3371" s="2">
        <v>44784</v>
      </c>
      <c r="B3371" s="3">
        <v>0.55466435185185181</v>
      </c>
      <c r="C3371">
        <v>5817</v>
      </c>
      <c r="D3371" t="str">
        <f>VLOOKUP(H3371,Produkt!$A$2:$B$5,2,FALSE)</f>
        <v>B</v>
      </c>
      <c r="H3371">
        <v>2</v>
      </c>
      <c r="I3371">
        <v>0.7612268518518519</v>
      </c>
      <c r="J3371">
        <v>44803</v>
      </c>
    </row>
    <row r="3372" spans="1:10" x14ac:dyDescent="0.35">
      <c r="A3372" s="2">
        <v>44784</v>
      </c>
      <c r="B3372" s="3">
        <v>0.85432870370370362</v>
      </c>
      <c r="C3372">
        <v>5835</v>
      </c>
      <c r="D3372" t="str">
        <f>VLOOKUP(H3372,Produkt!$A$2:$B$5,2,FALSE)</f>
        <v>C</v>
      </c>
      <c r="H3372">
        <v>3</v>
      </c>
      <c r="I3372">
        <v>0.41957175925925921</v>
      </c>
      <c r="J3372">
        <v>44792</v>
      </c>
    </row>
    <row r="3373" spans="1:10" x14ac:dyDescent="0.35">
      <c r="A3373" s="2">
        <v>44784</v>
      </c>
      <c r="B3373" s="3">
        <v>0.43174768518518519</v>
      </c>
      <c r="C3373">
        <v>5888</v>
      </c>
      <c r="D3373" t="str">
        <f>VLOOKUP(H3373,Produkt!$A$2:$B$5,2,FALSE)</f>
        <v>C</v>
      </c>
      <c r="H3373">
        <v>3</v>
      </c>
      <c r="I3373">
        <v>2.4687499999999998E-2</v>
      </c>
      <c r="J3373">
        <v>44792</v>
      </c>
    </row>
    <row r="3374" spans="1:10" x14ac:dyDescent="0.35">
      <c r="A3374" s="2">
        <v>44784</v>
      </c>
      <c r="B3374" s="3">
        <v>0.69798611111111108</v>
      </c>
      <c r="C3374">
        <v>5894</v>
      </c>
      <c r="D3374" t="str">
        <f>VLOOKUP(H3374,Produkt!$A$2:$B$5,2,FALSE)</f>
        <v>A</v>
      </c>
      <c r="H3374">
        <v>1</v>
      </c>
      <c r="I3374">
        <v>0.3</v>
      </c>
      <c r="J3374">
        <v>44785</v>
      </c>
    </row>
    <row r="3375" spans="1:10" x14ac:dyDescent="0.35">
      <c r="A3375" s="2">
        <v>44784</v>
      </c>
      <c r="B3375" s="3">
        <v>0.54008101851851853</v>
      </c>
      <c r="C3375">
        <v>5905</v>
      </c>
      <c r="D3375" t="str">
        <f>VLOOKUP(H3375,Produkt!$A$2:$B$5,2,FALSE)</f>
        <v>C</v>
      </c>
      <c r="H3375">
        <v>3</v>
      </c>
      <c r="I3375">
        <v>0.14677083333333332</v>
      </c>
      <c r="J3375">
        <v>44800</v>
      </c>
    </row>
    <row r="3376" spans="1:10" x14ac:dyDescent="0.35">
      <c r="A3376" s="2">
        <v>44784</v>
      </c>
      <c r="B3376" s="3">
        <v>0.16664351851851852</v>
      </c>
      <c r="C3376">
        <v>5945</v>
      </c>
      <c r="D3376" t="str">
        <f>VLOOKUP(H3376,Produkt!$A$2:$B$5,2,FALSE)</f>
        <v>D</v>
      </c>
      <c r="H3376">
        <v>4</v>
      </c>
      <c r="I3376">
        <v>0.15263888888888888</v>
      </c>
      <c r="J3376">
        <v>44790</v>
      </c>
    </row>
    <row r="3377" spans="1:10" x14ac:dyDescent="0.35">
      <c r="A3377" s="2">
        <v>44784</v>
      </c>
      <c r="B3377" s="3">
        <v>8.3333333333333329E-2</v>
      </c>
      <c r="C3377">
        <v>5983</v>
      </c>
      <c r="D3377" t="str">
        <f>VLOOKUP(H3377,Produkt!$A$2:$B$5,2,FALSE)</f>
        <v>D</v>
      </c>
      <c r="H3377">
        <v>4</v>
      </c>
      <c r="I3377">
        <v>0.66844907407407417</v>
      </c>
      <c r="J3377">
        <v>44779</v>
      </c>
    </row>
    <row r="3378" spans="1:10" x14ac:dyDescent="0.35">
      <c r="A3378" s="2">
        <v>44784</v>
      </c>
      <c r="B3378" s="3">
        <v>0.7459027777777778</v>
      </c>
      <c r="C3378">
        <v>5994</v>
      </c>
      <c r="D3378" t="str">
        <f>VLOOKUP(H3378,Produkt!$A$2:$B$5,2,FALSE)</f>
        <v>D</v>
      </c>
      <c r="H3378">
        <v>4</v>
      </c>
      <c r="I3378">
        <v>0.19518518518518521</v>
      </c>
      <c r="J3378">
        <v>44798</v>
      </c>
    </row>
    <row r="3379" spans="1:10" x14ac:dyDescent="0.35">
      <c r="A3379" s="2">
        <v>44784</v>
      </c>
      <c r="B3379" s="3">
        <v>0.82373842592592583</v>
      </c>
      <c r="C3379">
        <v>5998</v>
      </c>
      <c r="D3379" t="str">
        <f>VLOOKUP(H3379,Produkt!$A$2:$B$5,2,FALSE)</f>
        <v>A</v>
      </c>
      <c r="H3379">
        <v>1</v>
      </c>
      <c r="I3379">
        <v>0.87378472222222225</v>
      </c>
      <c r="J3379">
        <v>44783</v>
      </c>
    </row>
    <row r="3380" spans="1:10" x14ac:dyDescent="0.35">
      <c r="A3380" s="2">
        <v>44784</v>
      </c>
      <c r="B3380" s="3">
        <v>0.5960185185185185</v>
      </c>
      <c r="C3380">
        <v>6023</v>
      </c>
      <c r="D3380" t="str">
        <f>VLOOKUP(H3380,Produkt!$A$2:$B$5,2,FALSE)</f>
        <v>D</v>
      </c>
      <c r="H3380">
        <v>4</v>
      </c>
      <c r="I3380">
        <v>0.13865740740740742</v>
      </c>
      <c r="J3380">
        <v>44801</v>
      </c>
    </row>
    <row r="3381" spans="1:10" x14ac:dyDescent="0.35">
      <c r="A3381" s="2">
        <v>44784</v>
      </c>
      <c r="B3381" s="3">
        <v>0.41883101851851851</v>
      </c>
      <c r="C3381">
        <v>6037</v>
      </c>
      <c r="D3381" t="str">
        <f>VLOOKUP(H3381,Produkt!$A$2:$B$5,2,FALSE)</f>
        <v>A</v>
      </c>
      <c r="H3381">
        <v>1</v>
      </c>
      <c r="I3381">
        <v>0.83960648148148154</v>
      </c>
      <c r="J3381">
        <v>44780</v>
      </c>
    </row>
    <row r="3382" spans="1:10" x14ac:dyDescent="0.35">
      <c r="A3382" s="2">
        <v>44784</v>
      </c>
      <c r="B3382" s="3">
        <v>0.95168981481481474</v>
      </c>
      <c r="C3382">
        <v>6055</v>
      </c>
      <c r="D3382" t="str">
        <f>VLOOKUP(H3382,Produkt!$A$2:$B$5,2,FALSE)</f>
        <v>C</v>
      </c>
      <c r="H3382">
        <v>3</v>
      </c>
      <c r="I3382">
        <v>4.2037037037037039E-2</v>
      </c>
      <c r="J3382">
        <v>44792</v>
      </c>
    </row>
    <row r="3383" spans="1:10" x14ac:dyDescent="0.35">
      <c r="A3383" s="2">
        <v>44784</v>
      </c>
      <c r="B3383" s="3">
        <v>2.2673611111111113E-2</v>
      </c>
      <c r="C3383">
        <v>6122</v>
      </c>
      <c r="D3383" t="str">
        <f>VLOOKUP(H3383,Produkt!$A$2:$B$5,2,FALSE)</f>
        <v>C</v>
      </c>
      <c r="H3383">
        <v>3</v>
      </c>
      <c r="I3383">
        <v>0.39402777777777781</v>
      </c>
      <c r="J3383">
        <v>44797</v>
      </c>
    </row>
    <row r="3384" spans="1:10" x14ac:dyDescent="0.35">
      <c r="A3384" s="2">
        <v>44784</v>
      </c>
      <c r="B3384" s="3">
        <v>0.13849537037037038</v>
      </c>
      <c r="C3384">
        <v>6147</v>
      </c>
      <c r="D3384" t="str">
        <f>VLOOKUP(H3384,Produkt!$A$2:$B$5,2,FALSE)</f>
        <v>A</v>
      </c>
      <c r="H3384">
        <v>1</v>
      </c>
      <c r="I3384">
        <v>0.97547453703703713</v>
      </c>
      <c r="J3384">
        <v>44783</v>
      </c>
    </row>
    <row r="3385" spans="1:10" x14ac:dyDescent="0.35">
      <c r="A3385" s="2">
        <v>44784</v>
      </c>
      <c r="B3385" s="3">
        <v>9.1574074074074072E-2</v>
      </c>
      <c r="C3385">
        <v>6149</v>
      </c>
      <c r="D3385" t="str">
        <f>VLOOKUP(H3385,Produkt!$A$2:$B$5,2,FALSE)</f>
        <v>C</v>
      </c>
      <c r="H3385">
        <v>3</v>
      </c>
      <c r="I3385">
        <v>0.24650462962962963</v>
      </c>
      <c r="J3385">
        <v>44803</v>
      </c>
    </row>
    <row r="3386" spans="1:10" x14ac:dyDescent="0.35">
      <c r="A3386" s="2">
        <v>44784</v>
      </c>
      <c r="B3386" s="3">
        <v>0.51489583333333333</v>
      </c>
      <c r="C3386">
        <v>6156</v>
      </c>
      <c r="D3386" t="str">
        <f>VLOOKUP(H3386,Produkt!$A$2:$B$5,2,FALSE)</f>
        <v>B</v>
      </c>
      <c r="H3386">
        <v>2</v>
      </c>
      <c r="I3386">
        <v>0.65461805555555552</v>
      </c>
      <c r="J3386">
        <v>44778</v>
      </c>
    </row>
    <row r="3387" spans="1:10" x14ac:dyDescent="0.35">
      <c r="A3387" s="2">
        <v>44784</v>
      </c>
      <c r="B3387" s="3">
        <v>0.99793981481481486</v>
      </c>
      <c r="C3387">
        <v>6184</v>
      </c>
      <c r="D3387" t="str">
        <f>VLOOKUP(H3387,Produkt!$A$2:$B$5,2,FALSE)</f>
        <v>C</v>
      </c>
      <c r="H3387">
        <v>3</v>
      </c>
      <c r="I3387">
        <v>0.52878472222222228</v>
      </c>
      <c r="J3387">
        <v>44790</v>
      </c>
    </row>
    <row r="3388" spans="1:10" x14ac:dyDescent="0.35">
      <c r="A3388" s="2">
        <v>44784</v>
      </c>
      <c r="B3388" s="3">
        <v>0.84523148148148142</v>
      </c>
      <c r="C3388">
        <v>6216</v>
      </c>
      <c r="D3388" t="str">
        <f>VLOOKUP(H3388,Produkt!$A$2:$B$5,2,FALSE)</f>
        <v>C</v>
      </c>
      <c r="H3388">
        <v>3</v>
      </c>
      <c r="I3388">
        <v>0.57729166666666665</v>
      </c>
      <c r="J3388">
        <v>44788</v>
      </c>
    </row>
    <row r="3389" spans="1:10" x14ac:dyDescent="0.35">
      <c r="A3389" s="2">
        <v>44784</v>
      </c>
      <c r="B3389" s="3">
        <v>6.3472222222222222E-2</v>
      </c>
      <c r="C3389">
        <v>6237</v>
      </c>
      <c r="D3389" t="str">
        <f>VLOOKUP(H3389,Produkt!$A$2:$B$5,2,FALSE)</f>
        <v>A</v>
      </c>
      <c r="H3389">
        <v>1</v>
      </c>
      <c r="I3389">
        <v>0.12273148148148148</v>
      </c>
      <c r="J3389">
        <v>44776</v>
      </c>
    </row>
    <row r="3390" spans="1:10" x14ac:dyDescent="0.35">
      <c r="A3390" s="2">
        <v>44784</v>
      </c>
      <c r="B3390" s="3">
        <v>0.25701388888888888</v>
      </c>
      <c r="C3390">
        <v>6291</v>
      </c>
      <c r="D3390" t="str">
        <f>VLOOKUP(H3390,Produkt!$A$2:$B$5,2,FALSE)</f>
        <v>D</v>
      </c>
      <c r="H3390">
        <v>4</v>
      </c>
      <c r="I3390">
        <v>1.2881944444444446E-2</v>
      </c>
      <c r="J3390">
        <v>44800</v>
      </c>
    </row>
    <row r="3391" spans="1:10" x14ac:dyDescent="0.35">
      <c r="A3391" s="2">
        <v>44784</v>
      </c>
      <c r="B3391" s="3">
        <v>0.20877314814814815</v>
      </c>
      <c r="C3391">
        <v>6314</v>
      </c>
      <c r="D3391" t="str">
        <f>VLOOKUP(H3391,Produkt!$A$2:$B$5,2,FALSE)</f>
        <v>D</v>
      </c>
      <c r="H3391">
        <v>4</v>
      </c>
      <c r="I3391">
        <v>0.72121527777777772</v>
      </c>
      <c r="J3391">
        <v>44776</v>
      </c>
    </row>
    <row r="3392" spans="1:10" x14ac:dyDescent="0.35">
      <c r="A3392" s="2">
        <v>44784</v>
      </c>
      <c r="B3392" s="3">
        <v>0.960474537037037</v>
      </c>
      <c r="C3392">
        <v>6341</v>
      </c>
      <c r="D3392" t="str">
        <f>VLOOKUP(H3392,Produkt!$A$2:$B$5,2,FALSE)</f>
        <v>A</v>
      </c>
      <c r="H3392">
        <v>1</v>
      </c>
      <c r="I3392">
        <v>0.69944444444444442</v>
      </c>
      <c r="J3392">
        <v>44787</v>
      </c>
    </row>
    <row r="3393" spans="1:10" x14ac:dyDescent="0.35">
      <c r="A3393" s="2">
        <v>44784</v>
      </c>
      <c r="B3393" s="3">
        <v>0.6353240740740741</v>
      </c>
      <c r="C3393">
        <v>6406</v>
      </c>
      <c r="D3393" t="str">
        <f>VLOOKUP(H3393,Produkt!$A$2:$B$5,2,FALSE)</f>
        <v>B</v>
      </c>
      <c r="H3393">
        <v>2</v>
      </c>
      <c r="I3393">
        <v>0.92273148148148154</v>
      </c>
      <c r="J3393">
        <v>44793</v>
      </c>
    </row>
    <row r="3394" spans="1:10" x14ac:dyDescent="0.35">
      <c r="A3394" s="2">
        <v>44784</v>
      </c>
      <c r="B3394" s="3">
        <v>0.10761574074074075</v>
      </c>
      <c r="C3394">
        <v>6409</v>
      </c>
      <c r="D3394" t="str">
        <f>VLOOKUP(H3394,Produkt!$A$2:$B$5,2,FALSE)</f>
        <v>C</v>
      </c>
      <c r="H3394">
        <v>3</v>
      </c>
      <c r="I3394">
        <v>5.9861111111111108E-2</v>
      </c>
      <c r="J3394">
        <v>44788</v>
      </c>
    </row>
    <row r="3395" spans="1:10" x14ac:dyDescent="0.35">
      <c r="A3395" s="2">
        <v>44784</v>
      </c>
      <c r="B3395" s="3">
        <v>0.62582175925925931</v>
      </c>
      <c r="C3395">
        <v>6444</v>
      </c>
      <c r="D3395" t="str">
        <f>VLOOKUP(H3395,Produkt!$A$2:$B$5,2,FALSE)</f>
        <v>D</v>
      </c>
      <c r="H3395">
        <v>4</v>
      </c>
      <c r="I3395">
        <v>0.48628472222222219</v>
      </c>
      <c r="J3395">
        <v>44790</v>
      </c>
    </row>
    <row r="3396" spans="1:10" x14ac:dyDescent="0.35">
      <c r="A3396" s="2">
        <v>44784</v>
      </c>
      <c r="B3396" s="3">
        <v>0.56381944444444443</v>
      </c>
      <c r="C3396">
        <v>6454</v>
      </c>
      <c r="D3396" t="str">
        <f>VLOOKUP(H3396,Produkt!$A$2:$B$5,2,FALSE)</f>
        <v>B</v>
      </c>
      <c r="H3396">
        <v>2</v>
      </c>
      <c r="I3396">
        <v>0.74968749999999995</v>
      </c>
      <c r="J3396">
        <v>44793</v>
      </c>
    </row>
    <row r="3397" spans="1:10" x14ac:dyDescent="0.35">
      <c r="A3397" s="2">
        <v>44784</v>
      </c>
      <c r="B3397" s="3">
        <v>0.19542824074074075</v>
      </c>
      <c r="C3397">
        <v>6462</v>
      </c>
      <c r="D3397" t="str">
        <f>VLOOKUP(H3397,Produkt!$A$2:$B$5,2,FALSE)</f>
        <v>A</v>
      </c>
      <c r="H3397">
        <v>1</v>
      </c>
      <c r="I3397">
        <v>5.0694444444444452E-2</v>
      </c>
      <c r="J3397">
        <v>44788</v>
      </c>
    </row>
    <row r="3398" spans="1:10" x14ac:dyDescent="0.35">
      <c r="A3398" s="2">
        <v>44784</v>
      </c>
      <c r="B3398" s="3">
        <v>0.96635416666666663</v>
      </c>
      <c r="C3398">
        <v>6463</v>
      </c>
      <c r="D3398" t="str">
        <f>VLOOKUP(H3398,Produkt!$A$2:$B$5,2,FALSE)</f>
        <v>A</v>
      </c>
      <c r="H3398">
        <v>1</v>
      </c>
      <c r="I3398">
        <v>8.519675925925925E-2</v>
      </c>
      <c r="J3398">
        <v>44778</v>
      </c>
    </row>
    <row r="3399" spans="1:10" x14ac:dyDescent="0.35">
      <c r="A3399" s="2">
        <v>44784</v>
      </c>
      <c r="B3399" s="3">
        <v>0.3001388888888889</v>
      </c>
      <c r="C3399">
        <v>6492</v>
      </c>
      <c r="D3399" t="str">
        <f>VLOOKUP(H3399,Produkt!$A$2:$B$5,2,FALSE)</f>
        <v>C</v>
      </c>
      <c r="H3399">
        <v>3</v>
      </c>
      <c r="I3399">
        <v>0.79671296296296301</v>
      </c>
      <c r="J3399">
        <v>44804</v>
      </c>
    </row>
    <row r="3400" spans="1:10" x14ac:dyDescent="0.35">
      <c r="A3400" s="2">
        <v>44784</v>
      </c>
      <c r="B3400" s="3">
        <v>0.69672453703703707</v>
      </c>
      <c r="C3400">
        <v>6493</v>
      </c>
      <c r="D3400" t="str">
        <f>VLOOKUP(H3400,Produkt!$A$2:$B$5,2,FALSE)</f>
        <v>C</v>
      </c>
      <c r="H3400">
        <v>3</v>
      </c>
      <c r="I3400">
        <v>0.19273148148148148</v>
      </c>
      <c r="J3400">
        <v>44778</v>
      </c>
    </row>
    <row r="3401" spans="1:10" x14ac:dyDescent="0.35">
      <c r="A3401" s="2">
        <v>44784</v>
      </c>
      <c r="B3401" s="3">
        <v>0.45174768518518515</v>
      </c>
      <c r="C3401">
        <v>6497</v>
      </c>
      <c r="D3401" t="str">
        <f>VLOOKUP(H3401,Produkt!$A$2:$B$5,2,FALSE)</f>
        <v>D</v>
      </c>
      <c r="H3401">
        <v>4</v>
      </c>
      <c r="I3401">
        <v>0.17067129629629629</v>
      </c>
      <c r="J3401">
        <v>44794</v>
      </c>
    </row>
    <row r="3402" spans="1:10" x14ac:dyDescent="0.35">
      <c r="A3402" s="2">
        <v>44784</v>
      </c>
      <c r="B3402" s="3">
        <v>0.82151620370370371</v>
      </c>
      <c r="C3402">
        <v>6515</v>
      </c>
      <c r="D3402" t="str">
        <f>VLOOKUP(H3402,Produkt!$A$2:$B$5,2,FALSE)</f>
        <v>A</v>
      </c>
      <c r="H3402">
        <v>1</v>
      </c>
      <c r="I3402">
        <v>0.1320486111111111</v>
      </c>
      <c r="J3402">
        <v>44795</v>
      </c>
    </row>
    <row r="3403" spans="1:10" x14ac:dyDescent="0.35">
      <c r="A3403" s="2">
        <v>44784</v>
      </c>
      <c r="B3403" s="3">
        <v>0.72326388888888893</v>
      </c>
      <c r="C3403">
        <v>6529</v>
      </c>
      <c r="D3403" t="str">
        <f>VLOOKUP(H3403,Produkt!$A$2:$B$5,2,FALSE)</f>
        <v>B</v>
      </c>
      <c r="H3403">
        <v>2</v>
      </c>
      <c r="I3403">
        <v>8.819444444444445E-2</v>
      </c>
      <c r="J3403">
        <v>44779</v>
      </c>
    </row>
    <row r="3404" spans="1:10" x14ac:dyDescent="0.35">
      <c r="A3404" s="2">
        <v>44784</v>
      </c>
      <c r="B3404" s="3">
        <v>0.41723379629629626</v>
      </c>
      <c r="C3404">
        <v>6548</v>
      </c>
      <c r="D3404" t="str">
        <f>VLOOKUP(H3404,Produkt!$A$2:$B$5,2,FALSE)</f>
        <v>A</v>
      </c>
      <c r="H3404">
        <v>1</v>
      </c>
      <c r="I3404">
        <v>0.3253819444444444</v>
      </c>
      <c r="J3404">
        <v>44800</v>
      </c>
    </row>
    <row r="3405" spans="1:10" x14ac:dyDescent="0.35">
      <c r="A3405" s="2">
        <v>44784</v>
      </c>
      <c r="B3405" s="3">
        <v>0.33047453703703705</v>
      </c>
      <c r="C3405">
        <v>6600</v>
      </c>
      <c r="D3405" t="str">
        <f>VLOOKUP(H3405,Produkt!$A$2:$B$5,2,FALSE)</f>
        <v>D</v>
      </c>
      <c r="H3405">
        <v>4</v>
      </c>
      <c r="I3405">
        <v>0.9646527777777778</v>
      </c>
      <c r="J3405">
        <v>44791</v>
      </c>
    </row>
    <row r="3406" spans="1:10" x14ac:dyDescent="0.35">
      <c r="A3406" s="2">
        <v>44784</v>
      </c>
      <c r="B3406" s="3">
        <v>8.880787037037037E-2</v>
      </c>
      <c r="C3406">
        <v>6611</v>
      </c>
      <c r="D3406" t="str">
        <f>VLOOKUP(H3406,Produkt!$A$2:$B$5,2,FALSE)</f>
        <v>D</v>
      </c>
      <c r="H3406">
        <v>4</v>
      </c>
      <c r="I3406">
        <v>2.9722222222222219E-2</v>
      </c>
      <c r="J3406">
        <v>44794</v>
      </c>
    </row>
    <row r="3407" spans="1:10" x14ac:dyDescent="0.35">
      <c r="A3407" s="2">
        <v>44784</v>
      </c>
      <c r="B3407" s="3">
        <v>0.31825231481481481</v>
      </c>
      <c r="C3407">
        <v>6686</v>
      </c>
      <c r="D3407" t="str">
        <f>VLOOKUP(H3407,Produkt!$A$2:$B$5,2,FALSE)</f>
        <v>D</v>
      </c>
      <c r="H3407">
        <v>4</v>
      </c>
      <c r="I3407">
        <v>0.4355324074074074</v>
      </c>
      <c r="J3407">
        <v>44785</v>
      </c>
    </row>
    <row r="3408" spans="1:10" x14ac:dyDescent="0.35">
      <c r="A3408" s="2">
        <v>44784</v>
      </c>
      <c r="B3408" s="3">
        <v>0.93133101851851852</v>
      </c>
      <c r="C3408">
        <v>6687</v>
      </c>
      <c r="D3408" t="str">
        <f>VLOOKUP(H3408,Produkt!$A$2:$B$5,2,FALSE)</f>
        <v>A</v>
      </c>
      <c r="H3408">
        <v>1</v>
      </c>
      <c r="I3408">
        <v>0.982488425925926</v>
      </c>
      <c r="J3408">
        <v>44802</v>
      </c>
    </row>
    <row r="3409" spans="1:10" x14ac:dyDescent="0.35">
      <c r="A3409" s="2">
        <v>44784</v>
      </c>
      <c r="B3409" s="3">
        <v>0.59009259259259261</v>
      </c>
      <c r="C3409">
        <v>6765</v>
      </c>
      <c r="D3409" t="str">
        <f>VLOOKUP(H3409,Produkt!$A$2:$B$5,2,FALSE)</f>
        <v>C</v>
      </c>
      <c r="H3409">
        <v>3</v>
      </c>
      <c r="I3409">
        <v>2.3842592592593359E-3</v>
      </c>
      <c r="J3409">
        <v>44774</v>
      </c>
    </row>
    <row r="3410" spans="1:10" x14ac:dyDescent="0.35">
      <c r="A3410" s="2">
        <v>44784</v>
      </c>
      <c r="B3410" s="3">
        <v>0.71836805555555561</v>
      </c>
      <c r="C3410">
        <v>6768</v>
      </c>
      <c r="D3410" t="str">
        <f>VLOOKUP(H3410,Produkt!$A$2:$B$5,2,FALSE)</f>
        <v>D</v>
      </c>
      <c r="H3410">
        <v>4</v>
      </c>
      <c r="I3410">
        <v>0.69884259259259263</v>
      </c>
      <c r="J3410">
        <v>44780</v>
      </c>
    </row>
    <row r="3411" spans="1:10" x14ac:dyDescent="0.35">
      <c r="A3411" s="2">
        <v>44784</v>
      </c>
      <c r="B3411" s="3">
        <v>0.30201388888888886</v>
      </c>
      <c r="C3411">
        <v>6777</v>
      </c>
      <c r="D3411" t="str">
        <f>VLOOKUP(H3411,Produkt!$A$2:$B$5,2,FALSE)</f>
        <v>B</v>
      </c>
      <c r="H3411">
        <v>2</v>
      </c>
      <c r="I3411">
        <v>0.39305555555555555</v>
      </c>
      <c r="J3411">
        <v>44791</v>
      </c>
    </row>
    <row r="3412" spans="1:10" x14ac:dyDescent="0.35">
      <c r="A3412" s="2">
        <v>44784</v>
      </c>
      <c r="B3412" s="3">
        <v>0.6560879629629629</v>
      </c>
      <c r="C3412">
        <v>6826</v>
      </c>
      <c r="D3412" t="str">
        <f>VLOOKUP(H3412,Produkt!$A$2:$B$5,2,FALSE)</f>
        <v>C</v>
      </c>
      <c r="H3412">
        <v>3</v>
      </c>
      <c r="I3412">
        <v>0.30260416666666667</v>
      </c>
      <c r="J3412">
        <v>44798</v>
      </c>
    </row>
    <row r="3413" spans="1:10" x14ac:dyDescent="0.35">
      <c r="A3413" s="2">
        <v>44784</v>
      </c>
      <c r="B3413" s="3">
        <v>0.76238425925925923</v>
      </c>
      <c r="C3413">
        <v>6858</v>
      </c>
      <c r="D3413" t="str">
        <f>VLOOKUP(H3413,Produkt!$A$2:$B$5,2,FALSE)</f>
        <v>B</v>
      </c>
      <c r="H3413">
        <v>2</v>
      </c>
      <c r="I3413">
        <v>0.64803240740740742</v>
      </c>
      <c r="J3413">
        <v>44788</v>
      </c>
    </row>
    <row r="3414" spans="1:10" x14ac:dyDescent="0.35">
      <c r="A3414" s="2">
        <v>44784</v>
      </c>
      <c r="B3414" s="3">
        <v>0.29231481481481481</v>
      </c>
      <c r="C3414">
        <v>6871</v>
      </c>
      <c r="D3414" t="str">
        <f>VLOOKUP(H3414,Produkt!$A$2:$B$5,2,FALSE)</f>
        <v>D</v>
      </c>
      <c r="H3414">
        <v>4</v>
      </c>
      <c r="I3414">
        <v>0.23973379629629629</v>
      </c>
      <c r="J3414">
        <v>44775</v>
      </c>
    </row>
    <row r="3415" spans="1:10" x14ac:dyDescent="0.35">
      <c r="A3415" s="2">
        <v>44784</v>
      </c>
      <c r="B3415" s="3">
        <v>0.59192129629629631</v>
      </c>
      <c r="C3415">
        <v>6913</v>
      </c>
      <c r="D3415" t="str">
        <f>VLOOKUP(H3415,Produkt!$A$2:$B$5,2,FALSE)</f>
        <v>A</v>
      </c>
      <c r="H3415">
        <v>1</v>
      </c>
      <c r="I3415">
        <v>0.45498842592592598</v>
      </c>
      <c r="J3415">
        <v>44797</v>
      </c>
    </row>
    <row r="3416" spans="1:10" x14ac:dyDescent="0.35">
      <c r="A3416" s="2">
        <v>44784</v>
      </c>
      <c r="B3416" s="3">
        <v>0.60430555555555554</v>
      </c>
      <c r="C3416">
        <v>6955</v>
      </c>
      <c r="D3416" t="str">
        <f>VLOOKUP(H3416,Produkt!$A$2:$B$5,2,FALSE)</f>
        <v>A</v>
      </c>
      <c r="H3416">
        <v>1</v>
      </c>
      <c r="I3416">
        <v>0.44388888888888894</v>
      </c>
      <c r="J3416">
        <v>44793</v>
      </c>
    </row>
    <row r="3417" spans="1:10" x14ac:dyDescent="0.35">
      <c r="A3417" s="2">
        <v>44784</v>
      </c>
      <c r="B3417" s="3">
        <v>0.94090277777777775</v>
      </c>
      <c r="C3417">
        <v>6959</v>
      </c>
      <c r="D3417" t="str">
        <f>VLOOKUP(H3417,Produkt!$A$2:$B$5,2,FALSE)</f>
        <v>B</v>
      </c>
      <c r="H3417">
        <v>2</v>
      </c>
      <c r="I3417">
        <v>0.21820601851851851</v>
      </c>
      <c r="J3417">
        <v>44787</v>
      </c>
    </row>
    <row r="3418" spans="1:10" x14ac:dyDescent="0.35">
      <c r="A3418" s="2">
        <v>44784</v>
      </c>
      <c r="B3418" s="3">
        <v>0.60503472222222221</v>
      </c>
      <c r="C3418">
        <v>6970</v>
      </c>
      <c r="D3418" t="str">
        <f>VLOOKUP(H3418,Produkt!$A$2:$B$5,2,FALSE)</f>
        <v>B</v>
      </c>
      <c r="H3418">
        <v>2</v>
      </c>
      <c r="I3418">
        <v>0.21232638888888888</v>
      </c>
      <c r="J3418">
        <v>44801</v>
      </c>
    </row>
    <row r="3419" spans="1:10" x14ac:dyDescent="0.35">
      <c r="A3419" s="2">
        <v>44784</v>
      </c>
      <c r="B3419" s="3">
        <v>0.57549768518518518</v>
      </c>
      <c r="C3419">
        <v>6989</v>
      </c>
      <c r="D3419" t="str">
        <f>VLOOKUP(H3419,Produkt!$A$2:$B$5,2,FALSE)</f>
        <v>A</v>
      </c>
      <c r="H3419">
        <v>1</v>
      </c>
      <c r="I3419">
        <v>0.31966435185185188</v>
      </c>
      <c r="J3419">
        <v>44778</v>
      </c>
    </row>
    <row r="3420" spans="1:10" x14ac:dyDescent="0.35">
      <c r="A3420" s="2">
        <v>44784</v>
      </c>
      <c r="B3420" s="3">
        <v>0.36594907407407407</v>
      </c>
      <c r="C3420">
        <v>7001</v>
      </c>
      <c r="D3420" t="str">
        <f>VLOOKUP(H3420,Produkt!$A$2:$B$5,2,FALSE)</f>
        <v>C</v>
      </c>
      <c r="H3420">
        <v>3</v>
      </c>
      <c r="I3420">
        <v>0.7718287037037036</v>
      </c>
      <c r="J3420">
        <v>44794</v>
      </c>
    </row>
    <row r="3421" spans="1:10" x14ac:dyDescent="0.35">
      <c r="A3421" s="2">
        <v>44784</v>
      </c>
      <c r="B3421" s="3">
        <v>0.25107638888888889</v>
      </c>
      <c r="C3421">
        <v>7005</v>
      </c>
      <c r="D3421" t="str">
        <f>VLOOKUP(H3421,Produkt!$A$2:$B$5,2,FALSE)</f>
        <v>C</v>
      </c>
      <c r="H3421">
        <v>3</v>
      </c>
      <c r="I3421">
        <v>0.23743055555555556</v>
      </c>
      <c r="J3421">
        <v>44795</v>
      </c>
    </row>
    <row r="3422" spans="1:10" x14ac:dyDescent="0.35">
      <c r="A3422" s="2">
        <v>44784</v>
      </c>
      <c r="B3422" s="3">
        <v>0.83741898148148142</v>
      </c>
      <c r="C3422">
        <v>7006</v>
      </c>
      <c r="D3422" t="str">
        <f>VLOOKUP(H3422,Produkt!$A$2:$B$5,2,FALSE)</f>
        <v>B</v>
      </c>
      <c r="H3422">
        <v>2</v>
      </c>
      <c r="I3422">
        <v>0.75868055555555547</v>
      </c>
      <c r="J3422">
        <v>44787</v>
      </c>
    </row>
    <row r="3423" spans="1:10" x14ac:dyDescent="0.35">
      <c r="A3423" s="2">
        <v>44784</v>
      </c>
      <c r="B3423" s="3">
        <v>0.51981481481481484</v>
      </c>
      <c r="C3423">
        <v>7012</v>
      </c>
      <c r="D3423" t="str">
        <f>VLOOKUP(H3423,Produkt!$A$2:$B$5,2,FALSE)</f>
        <v>C</v>
      </c>
      <c r="H3423">
        <v>3</v>
      </c>
      <c r="I3423">
        <v>0.7147337962962963</v>
      </c>
      <c r="J3423">
        <v>44784</v>
      </c>
    </row>
    <row r="3424" spans="1:10" x14ac:dyDescent="0.35">
      <c r="A3424" s="2">
        <v>44784</v>
      </c>
      <c r="B3424" s="3">
        <v>0.30857638888888889</v>
      </c>
      <c r="C3424">
        <v>7062</v>
      </c>
      <c r="D3424" t="str">
        <f>VLOOKUP(H3424,Produkt!$A$2:$B$5,2,FALSE)</f>
        <v>C</v>
      </c>
      <c r="H3424">
        <v>3</v>
      </c>
      <c r="I3424">
        <v>0.46153935185185185</v>
      </c>
      <c r="J3424">
        <v>44777</v>
      </c>
    </row>
    <row r="3425" spans="1:10" x14ac:dyDescent="0.35">
      <c r="A3425" s="2">
        <v>44784</v>
      </c>
      <c r="B3425" s="3">
        <v>0.64414351851851859</v>
      </c>
      <c r="C3425">
        <v>7078</v>
      </c>
      <c r="D3425" t="str">
        <f>VLOOKUP(H3425,Produkt!$A$2:$B$5,2,FALSE)</f>
        <v>C</v>
      </c>
      <c r="H3425">
        <v>3</v>
      </c>
      <c r="I3425">
        <v>0.89261574074074079</v>
      </c>
      <c r="J3425">
        <v>44775</v>
      </c>
    </row>
    <row r="3426" spans="1:10" x14ac:dyDescent="0.35">
      <c r="A3426" s="2">
        <v>44784</v>
      </c>
      <c r="B3426" s="3">
        <v>0.88653935185185195</v>
      </c>
      <c r="C3426">
        <v>7092</v>
      </c>
      <c r="D3426" t="str">
        <f>VLOOKUP(H3426,Produkt!$A$2:$B$5,2,FALSE)</f>
        <v>A</v>
      </c>
      <c r="H3426">
        <v>1</v>
      </c>
      <c r="I3426">
        <v>0.50167824074074074</v>
      </c>
      <c r="J3426">
        <v>44788</v>
      </c>
    </row>
    <row r="3427" spans="1:10" x14ac:dyDescent="0.35">
      <c r="A3427" s="2">
        <v>44784</v>
      </c>
      <c r="B3427" s="3">
        <v>0.29116898148148146</v>
      </c>
      <c r="C3427">
        <v>7141</v>
      </c>
      <c r="D3427" t="str">
        <f>VLOOKUP(H3427,Produkt!$A$2:$B$5,2,FALSE)</f>
        <v>A</v>
      </c>
      <c r="H3427">
        <v>1</v>
      </c>
      <c r="I3427">
        <v>0.97921296296296301</v>
      </c>
      <c r="J3427">
        <v>44784</v>
      </c>
    </row>
    <row r="3428" spans="1:10" x14ac:dyDescent="0.35">
      <c r="A3428" s="2">
        <v>44784</v>
      </c>
      <c r="B3428" s="3">
        <v>0.91501157407407396</v>
      </c>
      <c r="C3428">
        <v>7150</v>
      </c>
      <c r="D3428" t="str">
        <f>VLOOKUP(H3428,Produkt!$A$2:$B$5,2,FALSE)</f>
        <v>C</v>
      </c>
      <c r="H3428">
        <v>3</v>
      </c>
      <c r="I3428">
        <v>0.93488425925925922</v>
      </c>
      <c r="J3428">
        <v>44796</v>
      </c>
    </row>
    <row r="3429" spans="1:10" x14ac:dyDescent="0.35">
      <c r="A3429" s="2">
        <v>44784</v>
      </c>
      <c r="B3429" s="3">
        <v>0.77589120370370368</v>
      </c>
      <c r="C3429">
        <v>7178</v>
      </c>
      <c r="D3429" t="str">
        <f>VLOOKUP(H3429,Produkt!$A$2:$B$5,2,FALSE)</f>
        <v>C</v>
      </c>
      <c r="H3429">
        <v>3</v>
      </c>
      <c r="I3429">
        <v>4.152777777777783E-2</v>
      </c>
      <c r="J3429">
        <v>44788</v>
      </c>
    </row>
    <row r="3430" spans="1:10" x14ac:dyDescent="0.35">
      <c r="A3430" s="2">
        <v>44784</v>
      </c>
      <c r="B3430" s="3">
        <v>0.36920138888888893</v>
      </c>
      <c r="C3430">
        <v>7180</v>
      </c>
      <c r="D3430" t="str">
        <f>VLOOKUP(H3430,Produkt!$A$2:$B$5,2,FALSE)</f>
        <v>C</v>
      </c>
      <c r="H3430">
        <v>3</v>
      </c>
      <c r="I3430">
        <v>0.2938425925925926</v>
      </c>
      <c r="J3430">
        <v>44793</v>
      </c>
    </row>
    <row r="3431" spans="1:10" x14ac:dyDescent="0.35">
      <c r="A3431" s="2">
        <v>44784</v>
      </c>
      <c r="B3431" s="3">
        <v>0.66711805555555559</v>
      </c>
      <c r="C3431">
        <v>7237</v>
      </c>
      <c r="D3431" t="str">
        <f>VLOOKUP(H3431,Produkt!$A$2:$B$5,2,FALSE)</f>
        <v>B</v>
      </c>
      <c r="H3431">
        <v>2</v>
      </c>
      <c r="I3431">
        <v>0.30783564814814818</v>
      </c>
      <c r="J3431">
        <v>44793</v>
      </c>
    </row>
    <row r="3432" spans="1:10" x14ac:dyDescent="0.35">
      <c r="A3432" s="2">
        <v>44784</v>
      </c>
      <c r="B3432" s="3">
        <v>0.2901157407407407</v>
      </c>
      <c r="C3432">
        <v>7377</v>
      </c>
      <c r="D3432" t="str">
        <f>VLOOKUP(H3432,Produkt!$A$2:$B$5,2,FALSE)</f>
        <v>D</v>
      </c>
      <c r="H3432">
        <v>4</v>
      </c>
      <c r="I3432">
        <v>0.90138888888888891</v>
      </c>
      <c r="J3432">
        <v>44776</v>
      </c>
    </row>
    <row r="3433" spans="1:10" x14ac:dyDescent="0.35">
      <c r="A3433" s="2">
        <v>44784</v>
      </c>
      <c r="B3433" s="3">
        <v>0.30047453703703703</v>
      </c>
      <c r="C3433">
        <v>7394</v>
      </c>
      <c r="D3433" t="str">
        <f>VLOOKUP(H3433,Produkt!$A$2:$B$5,2,FALSE)</f>
        <v>D</v>
      </c>
      <c r="H3433">
        <v>4</v>
      </c>
      <c r="I3433">
        <v>4.5462962962962962E-2</v>
      </c>
      <c r="J3433">
        <v>44781</v>
      </c>
    </row>
    <row r="3434" spans="1:10" x14ac:dyDescent="0.35">
      <c r="A3434" s="2">
        <v>44784</v>
      </c>
      <c r="B3434" s="3">
        <v>0.83966435185185195</v>
      </c>
      <c r="C3434">
        <v>7397</v>
      </c>
      <c r="D3434" t="str">
        <f>VLOOKUP(H3434,Produkt!$A$2:$B$5,2,FALSE)</f>
        <v>A</v>
      </c>
      <c r="H3434">
        <v>1</v>
      </c>
      <c r="I3434">
        <v>0.50237268518518519</v>
      </c>
      <c r="J3434">
        <v>44795</v>
      </c>
    </row>
    <row r="3435" spans="1:10" x14ac:dyDescent="0.35">
      <c r="A3435" s="2">
        <v>44784</v>
      </c>
      <c r="B3435" s="3">
        <v>0.96883101851851849</v>
      </c>
      <c r="C3435">
        <v>7451</v>
      </c>
      <c r="D3435" t="str">
        <f>VLOOKUP(H3435,Produkt!$A$2:$B$5,2,FALSE)</f>
        <v>C</v>
      </c>
      <c r="H3435">
        <v>3</v>
      </c>
      <c r="I3435">
        <v>0.79840277777777768</v>
      </c>
      <c r="J3435">
        <v>44781</v>
      </c>
    </row>
    <row r="3436" spans="1:10" x14ac:dyDescent="0.35">
      <c r="A3436" s="2">
        <v>44784</v>
      </c>
      <c r="B3436" s="3">
        <v>0.41956018518518517</v>
      </c>
      <c r="C3436">
        <v>7492</v>
      </c>
      <c r="D3436" t="str">
        <f>VLOOKUP(H3436,Produkt!$A$2:$B$5,2,FALSE)</f>
        <v>D</v>
      </c>
      <c r="H3436">
        <v>4</v>
      </c>
      <c r="I3436">
        <v>4.4247685185185182E-2</v>
      </c>
      <c r="J3436">
        <v>44782</v>
      </c>
    </row>
    <row r="3437" spans="1:10" x14ac:dyDescent="0.35">
      <c r="A3437" s="2">
        <v>44784</v>
      </c>
      <c r="B3437" s="3">
        <v>0.66898148148148151</v>
      </c>
      <c r="C3437">
        <v>7506</v>
      </c>
      <c r="D3437" t="str">
        <f>VLOOKUP(H3437,Produkt!$A$2:$B$5,2,FALSE)</f>
        <v>C</v>
      </c>
      <c r="H3437">
        <v>3</v>
      </c>
      <c r="I3437">
        <v>0.19806712962962961</v>
      </c>
      <c r="J3437">
        <v>44775</v>
      </c>
    </row>
    <row r="3438" spans="1:10" x14ac:dyDescent="0.35">
      <c r="A3438" s="2">
        <v>44784</v>
      </c>
      <c r="B3438" s="3">
        <v>0.28401620370370367</v>
      </c>
      <c r="C3438">
        <v>7521</v>
      </c>
      <c r="D3438" t="str">
        <f>VLOOKUP(H3438,Produkt!$A$2:$B$5,2,FALSE)</f>
        <v>A</v>
      </c>
      <c r="H3438">
        <v>1</v>
      </c>
      <c r="I3438">
        <v>0.83581018518518524</v>
      </c>
      <c r="J3438">
        <v>44779</v>
      </c>
    </row>
    <row r="3439" spans="1:10" x14ac:dyDescent="0.35">
      <c r="A3439" s="2">
        <v>44784</v>
      </c>
      <c r="B3439" s="3">
        <v>0.85807870370370365</v>
      </c>
      <c r="C3439">
        <v>7537</v>
      </c>
      <c r="D3439" t="str">
        <f>VLOOKUP(H3439,Produkt!$A$2:$B$5,2,FALSE)</f>
        <v>D</v>
      </c>
      <c r="H3439">
        <v>4</v>
      </c>
      <c r="I3439">
        <v>0.25437500000000002</v>
      </c>
      <c r="J3439">
        <v>44777</v>
      </c>
    </row>
    <row r="3440" spans="1:10" x14ac:dyDescent="0.35">
      <c r="A3440" s="2">
        <v>44784</v>
      </c>
      <c r="B3440" s="3">
        <v>0.72386574074074073</v>
      </c>
      <c r="C3440">
        <v>7541</v>
      </c>
      <c r="D3440" t="str">
        <f>VLOOKUP(H3440,Produkt!$A$2:$B$5,2,FALSE)</f>
        <v>B</v>
      </c>
      <c r="H3440">
        <v>2</v>
      </c>
      <c r="I3440">
        <v>0.71122685185185175</v>
      </c>
      <c r="J3440">
        <v>44792</v>
      </c>
    </row>
    <row r="3441" spans="1:10" x14ac:dyDescent="0.35">
      <c r="A3441" s="2">
        <v>44784</v>
      </c>
      <c r="B3441" s="3">
        <v>0.27092592592592596</v>
      </c>
      <c r="C3441">
        <v>7649</v>
      </c>
      <c r="D3441" t="str">
        <f>VLOOKUP(H3441,Produkt!$A$2:$B$5,2,FALSE)</f>
        <v>D</v>
      </c>
      <c r="H3441">
        <v>4</v>
      </c>
      <c r="I3441">
        <v>0.38856481481481481</v>
      </c>
      <c r="J3441">
        <v>44786</v>
      </c>
    </row>
    <row r="3442" spans="1:10" x14ac:dyDescent="0.35">
      <c r="A3442" s="2">
        <v>44784</v>
      </c>
      <c r="B3442" s="3">
        <v>0.38317129629629632</v>
      </c>
      <c r="C3442">
        <v>7717</v>
      </c>
      <c r="D3442" t="str">
        <f>VLOOKUP(H3442,Produkt!$A$2:$B$5,2,FALSE)</f>
        <v>B</v>
      </c>
      <c r="H3442">
        <v>2</v>
      </c>
      <c r="I3442">
        <v>0.23524305555555555</v>
      </c>
      <c r="J3442">
        <v>44780</v>
      </c>
    </row>
    <row r="3443" spans="1:10" x14ac:dyDescent="0.35">
      <c r="A3443" s="2">
        <v>44784</v>
      </c>
      <c r="B3443" s="3">
        <v>0.85482638888888884</v>
      </c>
      <c r="C3443">
        <v>7731</v>
      </c>
      <c r="D3443" t="str">
        <f>VLOOKUP(H3443,Produkt!$A$2:$B$5,2,FALSE)</f>
        <v>D</v>
      </c>
      <c r="H3443">
        <v>4</v>
      </c>
      <c r="I3443">
        <v>0.48996527777777782</v>
      </c>
      <c r="J3443">
        <v>44802</v>
      </c>
    </row>
    <row r="3444" spans="1:10" x14ac:dyDescent="0.35">
      <c r="A3444" s="2">
        <v>44784</v>
      </c>
      <c r="B3444" s="3">
        <v>0.64728009259259256</v>
      </c>
      <c r="C3444">
        <v>7784</v>
      </c>
      <c r="D3444" t="str">
        <f>VLOOKUP(H3444,Produkt!$A$2:$B$5,2,FALSE)</f>
        <v>C</v>
      </c>
      <c r="H3444">
        <v>3</v>
      </c>
      <c r="I3444">
        <v>0.70557870370370368</v>
      </c>
      <c r="J3444">
        <v>44790</v>
      </c>
    </row>
    <row r="3445" spans="1:10" x14ac:dyDescent="0.35">
      <c r="A3445" s="2">
        <v>44784</v>
      </c>
      <c r="B3445" s="3">
        <v>0.20106481481481484</v>
      </c>
      <c r="C3445">
        <v>7800</v>
      </c>
      <c r="D3445" t="str">
        <f>VLOOKUP(H3445,Produkt!$A$2:$B$5,2,FALSE)</f>
        <v>D</v>
      </c>
      <c r="H3445">
        <v>4</v>
      </c>
      <c r="I3445">
        <v>0.83466435185185184</v>
      </c>
      <c r="J3445">
        <v>44802</v>
      </c>
    </row>
    <row r="3446" spans="1:10" x14ac:dyDescent="0.35">
      <c r="A3446" s="2">
        <v>44784</v>
      </c>
      <c r="B3446" s="3">
        <v>0.9593287037037036</v>
      </c>
      <c r="C3446">
        <v>7840</v>
      </c>
      <c r="D3446" t="str">
        <f>VLOOKUP(H3446,Produkt!$A$2:$B$5,2,FALSE)</f>
        <v>C</v>
      </c>
      <c r="H3446">
        <v>3</v>
      </c>
      <c r="I3446">
        <v>0.52908564814814818</v>
      </c>
      <c r="J3446">
        <v>44804</v>
      </c>
    </row>
    <row r="3447" spans="1:10" x14ac:dyDescent="0.35">
      <c r="A3447" s="2">
        <v>44784</v>
      </c>
      <c r="B3447" s="3">
        <v>0.67188657407407415</v>
      </c>
      <c r="C3447">
        <v>7865</v>
      </c>
      <c r="D3447" t="str">
        <f>VLOOKUP(H3447,Produkt!$A$2:$B$5,2,FALSE)</f>
        <v>D</v>
      </c>
      <c r="H3447">
        <v>4</v>
      </c>
      <c r="I3447">
        <v>0.5365509259259259</v>
      </c>
      <c r="J3447">
        <v>44803</v>
      </c>
    </row>
    <row r="3448" spans="1:10" x14ac:dyDescent="0.35">
      <c r="A3448" s="2">
        <v>44784</v>
      </c>
      <c r="B3448" s="3">
        <v>0.63932870370370376</v>
      </c>
      <c r="C3448">
        <v>7945</v>
      </c>
      <c r="D3448" t="str">
        <f>VLOOKUP(H3448,Produkt!$A$2:$B$5,2,FALSE)</f>
        <v>C</v>
      </c>
      <c r="H3448">
        <v>3</v>
      </c>
      <c r="I3448">
        <v>0.9340856481481481</v>
      </c>
      <c r="J3448">
        <v>44778</v>
      </c>
    </row>
    <row r="3449" spans="1:10" x14ac:dyDescent="0.35">
      <c r="A3449" s="2">
        <v>44784</v>
      </c>
      <c r="B3449" s="3">
        <v>2.2615740740740742E-2</v>
      </c>
      <c r="C3449">
        <v>8004</v>
      </c>
      <c r="D3449" t="str">
        <f>VLOOKUP(H3449,Produkt!$A$2:$B$5,2,FALSE)</f>
        <v>C</v>
      </c>
      <c r="H3449">
        <v>3</v>
      </c>
      <c r="I3449">
        <v>0.25987268518518519</v>
      </c>
      <c r="J3449">
        <v>44789</v>
      </c>
    </row>
    <row r="3450" spans="1:10" x14ac:dyDescent="0.35">
      <c r="A3450" s="2">
        <v>44784</v>
      </c>
      <c r="B3450" s="3">
        <v>0.10355324074074074</v>
      </c>
      <c r="C3450">
        <v>8046</v>
      </c>
      <c r="D3450" t="str">
        <f>VLOOKUP(H3450,Produkt!$A$2:$B$5,2,FALSE)</f>
        <v>D</v>
      </c>
      <c r="H3450">
        <v>4</v>
      </c>
      <c r="I3450">
        <v>0.57905092592592589</v>
      </c>
      <c r="J3450">
        <v>44800</v>
      </c>
    </row>
    <row r="3451" spans="1:10" x14ac:dyDescent="0.35">
      <c r="A3451" s="2">
        <v>44784</v>
      </c>
      <c r="B3451" s="3">
        <v>0.49379629629629629</v>
      </c>
      <c r="C3451">
        <v>8133</v>
      </c>
      <c r="D3451" t="str">
        <f>VLOOKUP(H3451,Produkt!$A$2:$B$5,2,FALSE)</f>
        <v>D</v>
      </c>
      <c r="H3451">
        <v>4</v>
      </c>
      <c r="I3451">
        <v>0.49443287037037037</v>
      </c>
      <c r="J3451">
        <v>44797</v>
      </c>
    </row>
    <row r="3452" spans="1:10" x14ac:dyDescent="0.35">
      <c r="A3452" s="2">
        <v>44784</v>
      </c>
      <c r="B3452" s="3">
        <v>0.55379629629629623</v>
      </c>
      <c r="C3452">
        <v>8149</v>
      </c>
      <c r="D3452" t="str">
        <f>VLOOKUP(H3452,Produkt!$A$2:$B$5,2,FALSE)</f>
        <v>A</v>
      </c>
      <c r="H3452">
        <v>1</v>
      </c>
      <c r="I3452">
        <v>0.33827546296296296</v>
      </c>
      <c r="J3452">
        <v>44804</v>
      </c>
    </row>
    <row r="3453" spans="1:10" x14ac:dyDescent="0.35">
      <c r="A3453" s="2">
        <v>44784</v>
      </c>
      <c r="B3453" s="3">
        <v>5.63657407407403E-3</v>
      </c>
      <c r="C3453">
        <v>8176</v>
      </c>
      <c r="D3453" t="str">
        <f>VLOOKUP(H3453,Produkt!$A$2:$B$5,2,FALSE)</f>
        <v>B</v>
      </c>
      <c r="H3453">
        <v>2</v>
      </c>
      <c r="I3453">
        <v>0.25468750000000001</v>
      </c>
      <c r="J3453">
        <v>44785</v>
      </c>
    </row>
    <row r="3454" spans="1:10" x14ac:dyDescent="0.35">
      <c r="A3454" s="2">
        <v>44784</v>
      </c>
      <c r="B3454" s="3">
        <v>0.38790509259259259</v>
      </c>
      <c r="C3454">
        <v>8177</v>
      </c>
      <c r="D3454" t="str">
        <f>VLOOKUP(H3454,Produkt!$A$2:$B$5,2,FALSE)</f>
        <v>D</v>
      </c>
      <c r="H3454">
        <v>4</v>
      </c>
      <c r="I3454">
        <v>0.59027777777777779</v>
      </c>
      <c r="J3454">
        <v>44782</v>
      </c>
    </row>
    <row r="3455" spans="1:10" x14ac:dyDescent="0.35">
      <c r="A3455" s="2">
        <v>44784</v>
      </c>
      <c r="B3455" s="3">
        <v>0.68660879629629623</v>
      </c>
      <c r="C3455">
        <v>8188</v>
      </c>
      <c r="D3455" t="str">
        <f>VLOOKUP(H3455,Produkt!$A$2:$B$5,2,FALSE)</f>
        <v>A</v>
      </c>
      <c r="H3455">
        <v>1</v>
      </c>
      <c r="I3455">
        <v>0.80251157407407403</v>
      </c>
      <c r="J3455">
        <v>44781</v>
      </c>
    </row>
    <row r="3456" spans="1:10" x14ac:dyDescent="0.35">
      <c r="A3456" s="2">
        <v>44784</v>
      </c>
      <c r="B3456" s="3">
        <v>0.35155092592592596</v>
      </c>
      <c r="C3456">
        <v>8204</v>
      </c>
      <c r="D3456" t="str">
        <f>VLOOKUP(H3456,Produkt!$A$2:$B$5,2,FALSE)</f>
        <v>B</v>
      </c>
      <c r="H3456">
        <v>2</v>
      </c>
      <c r="I3456">
        <v>1.5034722222222241E-2</v>
      </c>
      <c r="J3456">
        <v>44782</v>
      </c>
    </row>
    <row r="3457" spans="1:10" x14ac:dyDescent="0.35">
      <c r="A3457" s="2">
        <v>44784</v>
      </c>
      <c r="B3457" s="3">
        <v>0.96934027777777787</v>
      </c>
      <c r="C3457">
        <v>8221</v>
      </c>
      <c r="D3457" t="str">
        <f>VLOOKUP(H3457,Produkt!$A$2:$B$5,2,FALSE)</f>
        <v>D</v>
      </c>
      <c r="H3457">
        <v>4</v>
      </c>
      <c r="I3457">
        <v>0.6229513888888889</v>
      </c>
      <c r="J3457">
        <v>44775</v>
      </c>
    </row>
    <row r="3458" spans="1:10" x14ac:dyDescent="0.35">
      <c r="A3458" s="2">
        <v>44784</v>
      </c>
      <c r="B3458" s="3">
        <v>0.96910879629629632</v>
      </c>
      <c r="C3458">
        <v>8226</v>
      </c>
      <c r="D3458" t="str">
        <f>VLOOKUP(H3458,Produkt!$A$2:$B$5,2,FALSE)</f>
        <v>A</v>
      </c>
      <c r="H3458">
        <v>1</v>
      </c>
      <c r="I3458">
        <v>0.4379513888888889</v>
      </c>
      <c r="J3458">
        <v>44798</v>
      </c>
    </row>
    <row r="3459" spans="1:10" x14ac:dyDescent="0.35">
      <c r="A3459" s="2">
        <v>44784</v>
      </c>
      <c r="B3459" s="3">
        <v>0.70349537037037047</v>
      </c>
      <c r="C3459">
        <v>8307</v>
      </c>
      <c r="D3459" t="str">
        <f>VLOOKUP(H3459,Produkt!$A$2:$B$5,2,FALSE)</f>
        <v>C</v>
      </c>
      <c r="H3459">
        <v>3</v>
      </c>
      <c r="I3459">
        <v>0.91961805555555554</v>
      </c>
      <c r="J3459">
        <v>44797</v>
      </c>
    </row>
    <row r="3460" spans="1:10" x14ac:dyDescent="0.35">
      <c r="A3460" s="2">
        <v>44784</v>
      </c>
      <c r="B3460" s="3">
        <v>0.53568287037037032</v>
      </c>
      <c r="C3460">
        <v>8342</v>
      </c>
      <c r="D3460" t="str">
        <f>VLOOKUP(H3460,Produkt!$A$2:$B$5,2,FALSE)</f>
        <v>C</v>
      </c>
      <c r="H3460">
        <v>3</v>
      </c>
      <c r="I3460">
        <v>2.9282407407407396E-2</v>
      </c>
      <c r="J3460">
        <v>44804</v>
      </c>
    </row>
    <row r="3461" spans="1:10" x14ac:dyDescent="0.35">
      <c r="A3461" s="2">
        <v>44784</v>
      </c>
      <c r="B3461" s="3">
        <v>0.93532407407407403</v>
      </c>
      <c r="C3461">
        <v>8344</v>
      </c>
      <c r="D3461" t="str">
        <f>VLOOKUP(H3461,Produkt!$A$2:$B$5,2,FALSE)</f>
        <v>A</v>
      </c>
      <c r="H3461">
        <v>1</v>
      </c>
      <c r="I3461">
        <v>9.1516203703703711E-2</v>
      </c>
      <c r="J3461">
        <v>44779</v>
      </c>
    </row>
    <row r="3462" spans="1:10" x14ac:dyDescent="0.35">
      <c r="A3462" s="2">
        <v>44784</v>
      </c>
      <c r="B3462" s="3">
        <v>0.1662962962962963</v>
      </c>
      <c r="C3462">
        <v>8353</v>
      </c>
      <c r="D3462" t="str">
        <f>VLOOKUP(H3462,Produkt!$A$2:$B$5,2,FALSE)</f>
        <v>A</v>
      </c>
      <c r="H3462">
        <v>1</v>
      </c>
      <c r="I3462">
        <v>0.34297453703703701</v>
      </c>
      <c r="J3462">
        <v>44804</v>
      </c>
    </row>
    <row r="3463" spans="1:10" x14ac:dyDescent="0.35">
      <c r="A3463" s="2">
        <v>44784</v>
      </c>
      <c r="B3463" s="3">
        <v>0.22769675925925925</v>
      </c>
      <c r="C3463">
        <v>8411</v>
      </c>
      <c r="D3463" t="str">
        <f>VLOOKUP(H3463,Produkt!$A$2:$B$5,2,FALSE)</f>
        <v>B</v>
      </c>
      <c r="H3463">
        <v>2</v>
      </c>
      <c r="I3463">
        <v>9.4907407407407399E-2</v>
      </c>
      <c r="J3463">
        <v>44801</v>
      </c>
    </row>
    <row r="3464" spans="1:10" x14ac:dyDescent="0.35">
      <c r="A3464" s="2">
        <v>44784</v>
      </c>
      <c r="B3464" s="3">
        <v>0.20123842592592592</v>
      </c>
      <c r="C3464">
        <v>8484</v>
      </c>
      <c r="D3464" t="str">
        <f>VLOOKUP(H3464,Produkt!$A$2:$B$5,2,FALSE)</f>
        <v>A</v>
      </c>
      <c r="H3464">
        <v>1</v>
      </c>
      <c r="I3464">
        <v>0.60107638888888892</v>
      </c>
      <c r="J3464">
        <v>44793</v>
      </c>
    </row>
    <row r="3465" spans="1:10" x14ac:dyDescent="0.35">
      <c r="A3465" s="2">
        <v>44784</v>
      </c>
      <c r="B3465" s="3">
        <v>0.98155092592592597</v>
      </c>
      <c r="C3465">
        <v>8497</v>
      </c>
      <c r="D3465" t="str">
        <f>VLOOKUP(H3465,Produkt!$A$2:$B$5,2,FALSE)</f>
        <v>C</v>
      </c>
      <c r="H3465">
        <v>3</v>
      </c>
      <c r="I3465">
        <v>0.1218287037037037</v>
      </c>
      <c r="J3465">
        <v>44801</v>
      </c>
    </row>
    <row r="3466" spans="1:10" x14ac:dyDescent="0.35">
      <c r="A3466" s="2">
        <v>44784</v>
      </c>
      <c r="B3466" s="3">
        <v>0.59508101851851858</v>
      </c>
      <c r="C3466">
        <v>8530</v>
      </c>
      <c r="D3466" t="str">
        <f>VLOOKUP(H3466,Produkt!$A$2:$B$5,2,FALSE)</f>
        <v>A</v>
      </c>
      <c r="H3466">
        <v>1</v>
      </c>
      <c r="I3466">
        <v>0.29849537037037038</v>
      </c>
      <c r="J3466">
        <v>44804</v>
      </c>
    </row>
    <row r="3467" spans="1:10" x14ac:dyDescent="0.35">
      <c r="A3467" s="2">
        <v>44784</v>
      </c>
      <c r="B3467" s="3">
        <v>0.99884259259259256</v>
      </c>
      <c r="C3467">
        <v>8555</v>
      </c>
      <c r="D3467" t="str">
        <f>VLOOKUP(H3467,Produkt!$A$2:$B$5,2,FALSE)</f>
        <v>B</v>
      </c>
      <c r="H3467">
        <v>2</v>
      </c>
      <c r="I3467">
        <v>0.3743055555555555</v>
      </c>
      <c r="J3467">
        <v>44797</v>
      </c>
    </row>
    <row r="3468" spans="1:10" x14ac:dyDescent="0.35">
      <c r="A3468" s="2">
        <v>44784</v>
      </c>
      <c r="B3468" s="3">
        <v>0.48383101851851856</v>
      </c>
      <c r="C3468">
        <v>8569</v>
      </c>
      <c r="D3468" t="str">
        <f>VLOOKUP(H3468,Produkt!$A$2:$B$5,2,FALSE)</f>
        <v>C</v>
      </c>
      <c r="H3468">
        <v>3</v>
      </c>
      <c r="I3468">
        <v>0.67850694444444448</v>
      </c>
      <c r="J3468">
        <v>44776</v>
      </c>
    </row>
    <row r="3469" spans="1:10" x14ac:dyDescent="0.35">
      <c r="A3469" s="2">
        <v>44784</v>
      </c>
      <c r="B3469" s="3">
        <v>0.80449074074074067</v>
      </c>
      <c r="C3469">
        <v>8596</v>
      </c>
      <c r="D3469" t="str">
        <f>VLOOKUP(H3469,Produkt!$A$2:$B$5,2,FALSE)</f>
        <v>A</v>
      </c>
      <c r="H3469">
        <v>1</v>
      </c>
      <c r="I3469">
        <v>0.19722222222222222</v>
      </c>
      <c r="J3469">
        <v>44789</v>
      </c>
    </row>
    <row r="3470" spans="1:10" x14ac:dyDescent="0.35">
      <c r="A3470" s="2">
        <v>44784</v>
      </c>
      <c r="B3470" s="3">
        <v>0.24701388888888889</v>
      </c>
      <c r="C3470">
        <v>8600</v>
      </c>
      <c r="D3470" t="str">
        <f>VLOOKUP(H3470,Produkt!$A$2:$B$5,2,FALSE)</f>
        <v>C</v>
      </c>
      <c r="H3470">
        <v>3</v>
      </c>
      <c r="I3470">
        <v>0.48564814814814811</v>
      </c>
      <c r="J3470">
        <v>44797</v>
      </c>
    </row>
    <row r="3471" spans="1:10" x14ac:dyDescent="0.35">
      <c r="A3471" s="2">
        <v>44784</v>
      </c>
      <c r="B3471" s="3">
        <v>0.72761574074074076</v>
      </c>
      <c r="C3471">
        <v>8624</v>
      </c>
      <c r="D3471" t="str">
        <f>VLOOKUP(H3471,Produkt!$A$2:$B$5,2,FALSE)</f>
        <v>B</v>
      </c>
      <c r="H3471">
        <v>2</v>
      </c>
      <c r="I3471">
        <v>0.20239583333333333</v>
      </c>
      <c r="J3471">
        <v>44783</v>
      </c>
    </row>
    <row r="3472" spans="1:10" x14ac:dyDescent="0.35">
      <c r="A3472" s="2">
        <v>44784</v>
      </c>
      <c r="B3472" s="3">
        <v>0.80635416666666659</v>
      </c>
      <c r="C3472">
        <v>8680</v>
      </c>
      <c r="D3472" t="str">
        <f>VLOOKUP(H3472,Produkt!$A$2:$B$5,2,FALSE)</f>
        <v>B</v>
      </c>
      <c r="H3472">
        <v>2</v>
      </c>
      <c r="I3472">
        <v>0.76876157407407408</v>
      </c>
      <c r="J3472">
        <v>44804</v>
      </c>
    </row>
    <row r="3473" spans="1:10" x14ac:dyDescent="0.35">
      <c r="A3473" s="2">
        <v>44784</v>
      </c>
      <c r="B3473" s="3">
        <v>0.12225694444444445</v>
      </c>
      <c r="C3473">
        <v>8683</v>
      </c>
      <c r="D3473" t="str">
        <f>VLOOKUP(H3473,Produkt!$A$2:$B$5,2,FALSE)</f>
        <v>B</v>
      </c>
      <c r="H3473">
        <v>2</v>
      </c>
      <c r="I3473">
        <v>0.52248842592592593</v>
      </c>
      <c r="J3473">
        <v>44800</v>
      </c>
    </row>
    <row r="3474" spans="1:10" x14ac:dyDescent="0.35">
      <c r="A3474" s="2">
        <v>44784</v>
      </c>
      <c r="B3474" s="3">
        <v>0.39376157407407408</v>
      </c>
      <c r="C3474">
        <v>8731</v>
      </c>
      <c r="D3474" t="str">
        <f>VLOOKUP(H3474,Produkt!$A$2:$B$5,2,FALSE)</f>
        <v>C</v>
      </c>
      <c r="H3474">
        <v>3</v>
      </c>
      <c r="I3474">
        <v>0.69734953703703706</v>
      </c>
      <c r="J3474">
        <v>44794</v>
      </c>
    </row>
    <row r="3475" spans="1:10" x14ac:dyDescent="0.35">
      <c r="A3475" s="2">
        <v>44784</v>
      </c>
      <c r="B3475" s="3">
        <v>0.36851851851851852</v>
      </c>
      <c r="C3475">
        <v>8752</v>
      </c>
      <c r="D3475" t="str">
        <f>VLOOKUP(H3475,Produkt!$A$2:$B$5,2,FALSE)</f>
        <v>D</v>
      </c>
      <c r="H3475">
        <v>4</v>
      </c>
      <c r="I3475">
        <v>0.58215277777777774</v>
      </c>
      <c r="J3475">
        <v>44794</v>
      </c>
    </row>
    <row r="3476" spans="1:10" x14ac:dyDescent="0.35">
      <c r="A3476" s="2">
        <v>44784</v>
      </c>
      <c r="B3476" s="3">
        <v>0.34006944444444448</v>
      </c>
      <c r="C3476">
        <v>8776</v>
      </c>
      <c r="D3476" t="str">
        <f>VLOOKUP(H3476,Produkt!$A$2:$B$5,2,FALSE)</f>
        <v>A</v>
      </c>
      <c r="H3476">
        <v>1</v>
      </c>
      <c r="I3476">
        <v>0.94334490740740751</v>
      </c>
      <c r="J3476">
        <v>44793</v>
      </c>
    </row>
    <row r="3477" spans="1:10" x14ac:dyDescent="0.35">
      <c r="A3477" s="2">
        <v>44784</v>
      </c>
      <c r="B3477" s="3">
        <v>0.46682870370370372</v>
      </c>
      <c r="C3477">
        <v>8799</v>
      </c>
      <c r="D3477" t="str">
        <f>VLOOKUP(H3477,Produkt!$A$2:$B$5,2,FALSE)</f>
        <v>A</v>
      </c>
      <c r="H3477">
        <v>1</v>
      </c>
      <c r="I3477">
        <v>0.31709490740740742</v>
      </c>
      <c r="J3477">
        <v>44803</v>
      </c>
    </row>
    <row r="3478" spans="1:10" x14ac:dyDescent="0.35">
      <c r="A3478" s="2">
        <v>44784</v>
      </c>
      <c r="B3478" s="3">
        <v>7.6215277777777771E-2</v>
      </c>
      <c r="C3478">
        <v>8812</v>
      </c>
      <c r="D3478" t="str">
        <f>VLOOKUP(H3478,Produkt!$A$2:$B$5,2,FALSE)</f>
        <v>A</v>
      </c>
      <c r="H3478">
        <v>1</v>
      </c>
      <c r="I3478">
        <v>0.42848379629629635</v>
      </c>
      <c r="J3478">
        <v>44802</v>
      </c>
    </row>
    <row r="3479" spans="1:10" x14ac:dyDescent="0.35">
      <c r="A3479" s="2">
        <v>44784</v>
      </c>
      <c r="B3479" s="3">
        <v>0.59462962962962962</v>
      </c>
      <c r="C3479">
        <v>8905</v>
      </c>
      <c r="D3479" t="str">
        <f>VLOOKUP(H3479,Produkt!$A$2:$B$5,2,FALSE)</f>
        <v>A</v>
      </c>
      <c r="H3479">
        <v>1</v>
      </c>
      <c r="I3479">
        <v>0.59247685185185184</v>
      </c>
      <c r="J3479">
        <v>44800</v>
      </c>
    </row>
    <row r="3480" spans="1:10" x14ac:dyDescent="0.35">
      <c r="A3480" s="2">
        <v>44784</v>
      </c>
      <c r="B3480" s="3">
        <v>7.9178240740740743E-2</v>
      </c>
      <c r="C3480">
        <v>8940</v>
      </c>
      <c r="D3480" t="str">
        <f>VLOOKUP(H3480,Produkt!$A$2:$B$5,2,FALSE)</f>
        <v>A</v>
      </c>
      <c r="H3480">
        <v>1</v>
      </c>
      <c r="I3480">
        <v>1.1226851851851851E-3</v>
      </c>
      <c r="J3480">
        <v>44785</v>
      </c>
    </row>
    <row r="3481" spans="1:10" x14ac:dyDescent="0.35">
      <c r="A3481" s="2">
        <v>44784</v>
      </c>
      <c r="B3481" s="3">
        <v>0.69024305555555554</v>
      </c>
      <c r="C3481">
        <v>8977</v>
      </c>
      <c r="D3481" t="str">
        <f>VLOOKUP(H3481,Produkt!$A$2:$B$5,2,FALSE)</f>
        <v>A</v>
      </c>
      <c r="H3481">
        <v>1</v>
      </c>
      <c r="I3481">
        <v>0.35625000000000001</v>
      </c>
      <c r="J3481">
        <v>44779</v>
      </c>
    </row>
    <row r="3482" spans="1:10" x14ac:dyDescent="0.35">
      <c r="A3482" s="2">
        <v>44784</v>
      </c>
      <c r="B3482" s="3">
        <v>8.2916666666666666E-2</v>
      </c>
      <c r="C3482">
        <v>9022</v>
      </c>
      <c r="D3482" t="str">
        <f>VLOOKUP(H3482,Produkt!$A$2:$B$5,2,FALSE)</f>
        <v>B</v>
      </c>
      <c r="H3482">
        <v>2</v>
      </c>
      <c r="I3482">
        <v>0.49116898148148147</v>
      </c>
      <c r="J3482">
        <v>44802</v>
      </c>
    </row>
    <row r="3483" spans="1:10" x14ac:dyDescent="0.35">
      <c r="A3483" s="2">
        <v>44784</v>
      </c>
      <c r="B3483" s="3">
        <v>0.81034722222222222</v>
      </c>
      <c r="C3483">
        <v>9039</v>
      </c>
      <c r="D3483" t="str">
        <f>VLOOKUP(H3483,Produkt!$A$2:$B$5,2,FALSE)</f>
        <v>A</v>
      </c>
      <c r="H3483">
        <v>1</v>
      </c>
      <c r="I3483">
        <v>0.4472800925925926</v>
      </c>
      <c r="J3483">
        <v>44798</v>
      </c>
    </row>
    <row r="3484" spans="1:10" x14ac:dyDescent="0.35">
      <c r="A3484" s="2">
        <v>44784</v>
      </c>
      <c r="B3484" s="3">
        <v>0.53113425925925928</v>
      </c>
      <c r="C3484">
        <v>9066</v>
      </c>
      <c r="D3484" t="str">
        <f>VLOOKUP(H3484,Produkt!$A$2:$B$5,2,FALSE)</f>
        <v>A</v>
      </c>
      <c r="H3484">
        <v>1</v>
      </c>
      <c r="I3484">
        <v>0.73760416666666673</v>
      </c>
      <c r="J3484">
        <v>44782</v>
      </c>
    </row>
    <row r="3485" spans="1:10" x14ac:dyDescent="0.35">
      <c r="A3485" s="2">
        <v>44784</v>
      </c>
      <c r="B3485" s="3">
        <v>0.27361111111111108</v>
      </c>
      <c r="C3485">
        <v>9178</v>
      </c>
      <c r="D3485" t="str">
        <f>VLOOKUP(H3485,Produkt!$A$2:$B$5,2,FALSE)</f>
        <v>D</v>
      </c>
      <c r="H3485">
        <v>4</v>
      </c>
      <c r="I3485">
        <v>5.8391203703703702E-2</v>
      </c>
      <c r="J3485">
        <v>44793</v>
      </c>
    </row>
    <row r="3486" spans="1:10" x14ac:dyDescent="0.35">
      <c r="A3486" s="2">
        <v>44784</v>
      </c>
      <c r="B3486" s="3">
        <v>2.2928240740740739E-2</v>
      </c>
      <c r="C3486">
        <v>9216</v>
      </c>
      <c r="D3486" t="str">
        <f>VLOOKUP(H3486,Produkt!$A$2:$B$5,2,FALSE)</f>
        <v>A</v>
      </c>
      <c r="H3486">
        <v>1</v>
      </c>
      <c r="I3486">
        <v>0.89627314814814818</v>
      </c>
      <c r="J3486">
        <v>44793</v>
      </c>
    </row>
    <row r="3487" spans="1:10" x14ac:dyDescent="0.35">
      <c r="A3487" s="2">
        <v>44784</v>
      </c>
      <c r="B3487" s="3">
        <v>0.56349537037037034</v>
      </c>
      <c r="C3487">
        <v>9220</v>
      </c>
      <c r="D3487" t="str">
        <f>VLOOKUP(H3487,Produkt!$A$2:$B$5,2,FALSE)</f>
        <v>C</v>
      </c>
      <c r="H3487">
        <v>3</v>
      </c>
      <c r="I3487">
        <v>0.50474537037037037</v>
      </c>
      <c r="J3487">
        <v>44794</v>
      </c>
    </row>
    <row r="3488" spans="1:10" x14ac:dyDescent="0.35">
      <c r="A3488" s="2">
        <v>44784</v>
      </c>
      <c r="B3488" s="3">
        <v>0.33509259259259255</v>
      </c>
      <c r="C3488">
        <v>9234</v>
      </c>
      <c r="D3488" t="str">
        <f>VLOOKUP(H3488,Produkt!$A$2:$B$5,2,FALSE)</f>
        <v>B</v>
      </c>
      <c r="H3488">
        <v>2</v>
      </c>
      <c r="I3488">
        <v>0.30581018518518516</v>
      </c>
      <c r="J3488">
        <v>44801</v>
      </c>
    </row>
    <row r="3489" spans="1:10" x14ac:dyDescent="0.35">
      <c r="A3489" s="2">
        <v>44784</v>
      </c>
      <c r="B3489" s="3">
        <v>0.34126157407407409</v>
      </c>
      <c r="C3489">
        <v>9251</v>
      </c>
      <c r="D3489" t="str">
        <f>VLOOKUP(H3489,Produkt!$A$2:$B$5,2,FALSE)</f>
        <v>B</v>
      </c>
      <c r="H3489">
        <v>2</v>
      </c>
      <c r="I3489">
        <v>0.86269675925925926</v>
      </c>
      <c r="J3489">
        <v>44780</v>
      </c>
    </row>
    <row r="3490" spans="1:10" x14ac:dyDescent="0.35">
      <c r="A3490" s="2">
        <v>44784</v>
      </c>
      <c r="B3490" s="3">
        <v>0.27734953703703707</v>
      </c>
      <c r="C3490">
        <v>9266</v>
      </c>
      <c r="D3490" t="str">
        <f>VLOOKUP(H3490,Produkt!$A$2:$B$5,2,FALSE)</f>
        <v>B</v>
      </c>
      <c r="H3490">
        <v>2</v>
      </c>
      <c r="I3490">
        <v>0.69108796296296304</v>
      </c>
      <c r="J3490">
        <v>44802</v>
      </c>
    </row>
    <row r="3491" spans="1:10" x14ac:dyDescent="0.35">
      <c r="A3491" s="2">
        <v>44784</v>
      </c>
      <c r="B3491" s="3">
        <v>0.46421296296296299</v>
      </c>
      <c r="C3491">
        <v>9340</v>
      </c>
      <c r="D3491" t="str">
        <f>VLOOKUP(H3491,Produkt!$A$2:$B$5,2,FALSE)</f>
        <v>B</v>
      </c>
      <c r="H3491">
        <v>2</v>
      </c>
      <c r="I3491">
        <v>0.18945601851851854</v>
      </c>
      <c r="J3491">
        <v>44798</v>
      </c>
    </row>
    <row r="3492" spans="1:10" x14ac:dyDescent="0.35">
      <c r="A3492" s="2">
        <v>44784</v>
      </c>
      <c r="B3492" s="3">
        <v>0.23715277777777777</v>
      </c>
      <c r="C3492">
        <v>9387</v>
      </c>
      <c r="D3492" t="str">
        <f>VLOOKUP(H3492,Produkt!$A$2:$B$5,2,FALSE)</f>
        <v>D</v>
      </c>
      <c r="H3492">
        <v>4</v>
      </c>
      <c r="I3492">
        <v>0.52957175925925926</v>
      </c>
      <c r="J3492">
        <v>44781</v>
      </c>
    </row>
    <row r="3493" spans="1:10" x14ac:dyDescent="0.35">
      <c r="A3493" s="2">
        <v>44784</v>
      </c>
      <c r="B3493" s="3">
        <v>0.13886574074074073</v>
      </c>
      <c r="C3493">
        <v>9447</v>
      </c>
      <c r="D3493" t="str">
        <f>VLOOKUP(H3493,Produkt!$A$2:$B$5,2,FALSE)</f>
        <v>A</v>
      </c>
      <c r="H3493">
        <v>1</v>
      </c>
      <c r="I3493">
        <v>0.58034722222222224</v>
      </c>
      <c r="J3493">
        <v>44789</v>
      </c>
    </row>
    <row r="3494" spans="1:10" x14ac:dyDescent="0.35">
      <c r="A3494" s="2">
        <v>44784</v>
      </c>
      <c r="B3494" s="3">
        <v>0.73590277777777768</v>
      </c>
      <c r="C3494">
        <v>9472</v>
      </c>
      <c r="D3494" t="str">
        <f>VLOOKUP(H3494,Produkt!$A$2:$B$5,2,FALSE)</f>
        <v>D</v>
      </c>
      <c r="H3494">
        <v>4</v>
      </c>
      <c r="I3494">
        <v>0.70052083333333337</v>
      </c>
      <c r="J3494">
        <v>44791</v>
      </c>
    </row>
    <row r="3495" spans="1:10" x14ac:dyDescent="0.35">
      <c r="A3495" s="2">
        <v>44784</v>
      </c>
      <c r="B3495" s="3">
        <v>0.34791666666666665</v>
      </c>
      <c r="C3495">
        <v>9541</v>
      </c>
      <c r="D3495" t="str">
        <f>VLOOKUP(H3495,Produkt!$A$2:$B$5,2,FALSE)</f>
        <v>B</v>
      </c>
      <c r="H3495">
        <v>2</v>
      </c>
      <c r="I3495">
        <v>0.19648148148148148</v>
      </c>
      <c r="J3495">
        <v>44797</v>
      </c>
    </row>
    <row r="3496" spans="1:10" x14ac:dyDescent="0.35">
      <c r="A3496" s="2">
        <v>44784</v>
      </c>
      <c r="B3496" s="3">
        <v>2.9513888888887951E-3</v>
      </c>
      <c r="C3496">
        <v>9547</v>
      </c>
      <c r="D3496" t="str">
        <f>VLOOKUP(H3496,Produkt!$A$2:$B$5,2,FALSE)</f>
        <v>A</v>
      </c>
      <c r="H3496">
        <v>1</v>
      </c>
      <c r="I3496">
        <v>0.80208333333333337</v>
      </c>
      <c r="J3496">
        <v>44774</v>
      </c>
    </row>
    <row r="3497" spans="1:10" x14ac:dyDescent="0.35">
      <c r="A3497" s="2">
        <v>44784</v>
      </c>
      <c r="B3497" s="3">
        <v>0.3513310185185185</v>
      </c>
      <c r="C3497">
        <v>9584</v>
      </c>
      <c r="D3497" t="str">
        <f>VLOOKUP(H3497,Produkt!$A$2:$B$5,2,FALSE)</f>
        <v>D</v>
      </c>
      <c r="H3497">
        <v>4</v>
      </c>
      <c r="I3497">
        <v>0.11700231481481482</v>
      </c>
      <c r="J3497">
        <v>44796</v>
      </c>
    </row>
    <row r="3498" spans="1:10" x14ac:dyDescent="0.35">
      <c r="A3498" s="2">
        <v>44784</v>
      </c>
      <c r="B3498" s="3">
        <v>0.50598379629629631</v>
      </c>
      <c r="C3498">
        <v>9642</v>
      </c>
      <c r="D3498" t="str">
        <f>VLOOKUP(H3498,Produkt!$A$2:$B$5,2,FALSE)</f>
        <v>A</v>
      </c>
      <c r="H3498">
        <v>1</v>
      </c>
      <c r="I3498">
        <v>0.49432870370370369</v>
      </c>
      <c r="J3498">
        <v>44784</v>
      </c>
    </row>
    <row r="3499" spans="1:10" x14ac:dyDescent="0.35">
      <c r="A3499" s="2">
        <v>44784</v>
      </c>
      <c r="B3499" s="3">
        <v>0.67961805555555566</v>
      </c>
      <c r="C3499">
        <v>9648</v>
      </c>
      <c r="D3499" t="str">
        <f>VLOOKUP(H3499,Produkt!$A$2:$B$5,2,FALSE)</f>
        <v>D</v>
      </c>
      <c r="H3499">
        <v>4</v>
      </c>
      <c r="I3499">
        <v>0.33736111111111106</v>
      </c>
      <c r="J3499">
        <v>44778</v>
      </c>
    </row>
    <row r="3500" spans="1:10" x14ac:dyDescent="0.35">
      <c r="A3500" s="2">
        <v>44784</v>
      </c>
      <c r="B3500" s="3">
        <v>0.96648148148148139</v>
      </c>
      <c r="C3500">
        <v>9691</v>
      </c>
      <c r="D3500" t="str">
        <f>VLOOKUP(H3500,Produkt!$A$2:$B$5,2,FALSE)</f>
        <v>C</v>
      </c>
      <c r="H3500">
        <v>3</v>
      </c>
      <c r="I3500">
        <v>0.59315972222222224</v>
      </c>
      <c r="J3500">
        <v>44780</v>
      </c>
    </row>
    <row r="3501" spans="1:10" x14ac:dyDescent="0.35">
      <c r="A3501" s="2">
        <v>44784</v>
      </c>
      <c r="B3501" s="3">
        <v>0.91445601851851854</v>
      </c>
      <c r="C3501">
        <v>9718</v>
      </c>
      <c r="D3501" t="str">
        <f>VLOOKUP(H3501,Produkt!$A$2:$B$5,2,FALSE)</f>
        <v>C</v>
      </c>
      <c r="H3501">
        <v>3</v>
      </c>
      <c r="I3501">
        <v>0.58141203703703703</v>
      </c>
      <c r="J3501">
        <v>44797</v>
      </c>
    </row>
    <row r="3502" spans="1:10" x14ac:dyDescent="0.35">
      <c r="A3502" s="2">
        <v>44784</v>
      </c>
      <c r="B3502" s="3">
        <v>0.12560185185185185</v>
      </c>
      <c r="C3502">
        <v>9731</v>
      </c>
      <c r="D3502" t="str">
        <f>VLOOKUP(H3502,Produkt!$A$2:$B$5,2,FALSE)</f>
        <v>D</v>
      </c>
      <c r="H3502">
        <v>4</v>
      </c>
      <c r="I3502">
        <v>3.761574074074181E-3</v>
      </c>
      <c r="J3502">
        <v>44797</v>
      </c>
    </row>
    <row r="3503" spans="1:10" x14ac:dyDescent="0.35">
      <c r="A3503" s="2">
        <v>44784</v>
      </c>
      <c r="B3503" s="3">
        <v>0.7698842592592593</v>
      </c>
      <c r="C3503">
        <v>9750</v>
      </c>
      <c r="D3503" t="str">
        <f>VLOOKUP(H3503,Produkt!$A$2:$B$5,2,FALSE)</f>
        <v>D</v>
      </c>
      <c r="H3503">
        <v>4</v>
      </c>
      <c r="I3503">
        <v>0.45315972222222217</v>
      </c>
      <c r="J3503">
        <v>44777</v>
      </c>
    </row>
    <row r="3504" spans="1:10" x14ac:dyDescent="0.35">
      <c r="A3504" s="2">
        <v>44784</v>
      </c>
      <c r="B3504" s="3">
        <v>0.22849537037037038</v>
      </c>
      <c r="C3504">
        <v>9787</v>
      </c>
      <c r="D3504" t="str">
        <f>VLOOKUP(H3504,Produkt!$A$2:$B$5,2,FALSE)</f>
        <v>B</v>
      </c>
      <c r="H3504">
        <v>2</v>
      </c>
      <c r="I3504">
        <v>4.6192129629629632E-2</v>
      </c>
      <c r="J3504">
        <v>44779</v>
      </c>
    </row>
    <row r="3505" spans="1:10" x14ac:dyDescent="0.35">
      <c r="A3505" s="2">
        <v>44784</v>
      </c>
      <c r="B3505" s="3">
        <v>0.90857638888888881</v>
      </c>
      <c r="C3505">
        <v>9861</v>
      </c>
      <c r="D3505" t="str">
        <f>VLOOKUP(H3505,Produkt!$A$2:$B$5,2,FALSE)</f>
        <v>D</v>
      </c>
      <c r="H3505">
        <v>4</v>
      </c>
      <c r="I3505">
        <v>0.38500000000000001</v>
      </c>
      <c r="J3505">
        <v>44774</v>
      </c>
    </row>
    <row r="3506" spans="1:10" x14ac:dyDescent="0.35">
      <c r="A3506" s="2">
        <v>44784</v>
      </c>
      <c r="B3506" s="3">
        <v>0.20607638888888888</v>
      </c>
      <c r="C3506">
        <v>9886</v>
      </c>
      <c r="D3506" t="str">
        <f>VLOOKUP(H3506,Produkt!$A$2:$B$5,2,FALSE)</f>
        <v>D</v>
      </c>
      <c r="H3506">
        <v>4</v>
      </c>
      <c r="I3506">
        <v>0.66909722222222223</v>
      </c>
      <c r="J3506">
        <v>44788</v>
      </c>
    </row>
    <row r="3507" spans="1:10" x14ac:dyDescent="0.35">
      <c r="A3507" s="2">
        <v>44784</v>
      </c>
      <c r="B3507" s="3">
        <v>0.69005787037037036</v>
      </c>
      <c r="C3507">
        <v>9893</v>
      </c>
      <c r="D3507" t="str">
        <f>VLOOKUP(H3507,Produkt!$A$2:$B$5,2,FALSE)</f>
        <v>A</v>
      </c>
      <c r="H3507">
        <v>1</v>
      </c>
      <c r="I3507">
        <v>0.52339120370370373</v>
      </c>
      <c r="J3507">
        <v>44777</v>
      </c>
    </row>
    <row r="3508" spans="1:10" x14ac:dyDescent="0.35">
      <c r="A3508" s="2">
        <v>44784</v>
      </c>
      <c r="B3508" s="3">
        <v>0.53891203703703705</v>
      </c>
      <c r="C3508">
        <v>9894</v>
      </c>
      <c r="D3508" t="str">
        <f>VLOOKUP(H3508,Produkt!$A$2:$B$5,2,FALSE)</f>
        <v>C</v>
      </c>
      <c r="H3508">
        <v>3</v>
      </c>
      <c r="I3508">
        <v>0.87761574074074078</v>
      </c>
      <c r="J3508">
        <v>44792</v>
      </c>
    </row>
    <row r="3509" spans="1:10" x14ac:dyDescent="0.35">
      <c r="A3509" s="2">
        <v>44784</v>
      </c>
      <c r="B3509" s="3">
        <v>4.0763888888888822E-2</v>
      </c>
      <c r="C3509">
        <v>9956</v>
      </c>
      <c r="D3509" t="str">
        <f>VLOOKUP(H3509,Produkt!$A$2:$B$5,2,FALSE)</f>
        <v>C</v>
      </c>
      <c r="H3509">
        <v>3</v>
      </c>
      <c r="I3509">
        <v>0.62622685185185178</v>
      </c>
      <c r="J3509">
        <v>44798</v>
      </c>
    </row>
    <row r="3510" spans="1:10" x14ac:dyDescent="0.35">
      <c r="A3510" s="2">
        <v>44784</v>
      </c>
      <c r="B3510" s="3">
        <v>0.30185185185185187</v>
      </c>
      <c r="C3510">
        <v>9988</v>
      </c>
      <c r="D3510" t="str">
        <f>VLOOKUP(H3510,Produkt!$A$2:$B$5,2,FALSE)</f>
        <v>C</v>
      </c>
      <c r="H3510">
        <v>3</v>
      </c>
      <c r="I3510">
        <v>0.22582175925925926</v>
      </c>
      <c r="J3510">
        <v>44774</v>
      </c>
    </row>
    <row r="3511" spans="1:10" x14ac:dyDescent="0.35">
      <c r="A3511" s="2">
        <v>44784</v>
      </c>
      <c r="B3511" s="3">
        <v>0.59815972222222225</v>
      </c>
      <c r="C3511">
        <v>9998</v>
      </c>
      <c r="D3511" t="str">
        <f>VLOOKUP(H3511,Produkt!$A$2:$B$5,2,FALSE)</f>
        <v>C</v>
      </c>
      <c r="H3511">
        <v>3</v>
      </c>
      <c r="I3511">
        <v>0.26490740740740742</v>
      </c>
      <c r="J3511">
        <v>44795</v>
      </c>
    </row>
    <row r="3512" spans="1:10" x14ac:dyDescent="0.35">
      <c r="A3512" s="2">
        <v>44785</v>
      </c>
      <c r="B3512" s="3">
        <v>0.17538194444444444</v>
      </c>
      <c r="C3512">
        <v>4</v>
      </c>
      <c r="D3512" t="str">
        <f>VLOOKUP(H3512,Produkt!$A$2:$B$5,2,FALSE)</f>
        <v>A</v>
      </c>
      <c r="H3512">
        <v>1</v>
      </c>
      <c r="I3512">
        <v>3.645833333333333E-3</v>
      </c>
      <c r="J3512">
        <v>44803</v>
      </c>
    </row>
    <row r="3513" spans="1:10" x14ac:dyDescent="0.35">
      <c r="A3513" s="2">
        <v>44785</v>
      </c>
      <c r="B3513" s="3">
        <v>6.1689814814814815E-2</v>
      </c>
      <c r="C3513">
        <v>39</v>
      </c>
      <c r="D3513" t="str">
        <f>VLOOKUP(H3513,Produkt!$A$2:$B$5,2,FALSE)</f>
        <v>B</v>
      </c>
      <c r="H3513">
        <v>2</v>
      </c>
      <c r="I3513">
        <v>0.60341435185185188</v>
      </c>
      <c r="J3513">
        <v>44783</v>
      </c>
    </row>
    <row r="3514" spans="1:10" x14ac:dyDescent="0.35">
      <c r="A3514" s="2">
        <v>44785</v>
      </c>
      <c r="B3514" s="3">
        <v>0.64851851851851849</v>
      </c>
      <c r="C3514">
        <v>45</v>
      </c>
      <c r="D3514" t="str">
        <f>VLOOKUP(H3514,Produkt!$A$2:$B$5,2,FALSE)</f>
        <v>B</v>
      </c>
      <c r="H3514">
        <v>2</v>
      </c>
      <c r="I3514">
        <v>0.12436342592592593</v>
      </c>
      <c r="J3514">
        <v>44795</v>
      </c>
    </row>
    <row r="3515" spans="1:10" x14ac:dyDescent="0.35">
      <c r="A3515" s="2">
        <v>44785</v>
      </c>
      <c r="B3515" s="3">
        <v>0.68609953703703708</v>
      </c>
      <c r="C3515">
        <v>143</v>
      </c>
      <c r="D3515" t="str">
        <f>VLOOKUP(H3515,Produkt!$A$2:$B$5,2,FALSE)</f>
        <v>D</v>
      </c>
      <c r="H3515">
        <v>4</v>
      </c>
      <c r="I3515">
        <v>0.10327546296296297</v>
      </c>
      <c r="J3515">
        <v>44784</v>
      </c>
    </row>
    <row r="3516" spans="1:10" x14ac:dyDescent="0.35">
      <c r="A3516" s="2">
        <v>44785</v>
      </c>
      <c r="B3516" s="3">
        <v>0.33883101851851855</v>
      </c>
      <c r="C3516">
        <v>149</v>
      </c>
      <c r="D3516" t="str">
        <f>VLOOKUP(H3516,Produkt!$A$2:$B$5,2,FALSE)</f>
        <v>D</v>
      </c>
      <c r="H3516">
        <v>4</v>
      </c>
      <c r="I3516">
        <v>0.13160879629629629</v>
      </c>
      <c r="J3516">
        <v>44777</v>
      </c>
    </row>
    <row r="3517" spans="1:10" x14ac:dyDescent="0.35">
      <c r="A3517" s="2">
        <v>44785</v>
      </c>
      <c r="B3517" s="3">
        <v>0.53912037037037031</v>
      </c>
      <c r="C3517">
        <v>161</v>
      </c>
      <c r="D3517" t="str">
        <f>VLOOKUP(H3517,Produkt!$A$2:$B$5,2,FALSE)</f>
        <v>C</v>
      </c>
      <c r="H3517">
        <v>3</v>
      </c>
      <c r="I3517">
        <v>0.67215277777777782</v>
      </c>
      <c r="J3517">
        <v>44786</v>
      </c>
    </row>
    <row r="3518" spans="1:10" x14ac:dyDescent="0.35">
      <c r="A3518" s="2">
        <v>44785</v>
      </c>
      <c r="B3518" s="3">
        <v>0.94072916666666673</v>
      </c>
      <c r="C3518">
        <v>187</v>
      </c>
      <c r="D3518" t="str">
        <f>VLOOKUP(H3518,Produkt!$A$2:$B$5,2,FALSE)</f>
        <v>B</v>
      </c>
      <c r="H3518">
        <v>2</v>
      </c>
      <c r="I3518">
        <v>0.95939814814814817</v>
      </c>
      <c r="J3518">
        <v>44781</v>
      </c>
    </row>
    <row r="3519" spans="1:10" x14ac:dyDescent="0.35">
      <c r="A3519" s="2">
        <v>44785</v>
      </c>
      <c r="B3519" s="3">
        <v>0.9715625</v>
      </c>
      <c r="C3519">
        <v>193</v>
      </c>
      <c r="D3519" t="str">
        <f>VLOOKUP(H3519,Produkt!$A$2:$B$5,2,FALSE)</f>
        <v>C</v>
      </c>
      <c r="H3519">
        <v>3</v>
      </c>
      <c r="I3519">
        <v>5.7881944444444444E-2</v>
      </c>
      <c r="J3519">
        <v>44797</v>
      </c>
    </row>
    <row r="3520" spans="1:10" x14ac:dyDescent="0.35">
      <c r="A3520" s="2">
        <v>44785</v>
      </c>
      <c r="B3520" s="3">
        <v>6.9548611111111117E-2</v>
      </c>
      <c r="C3520">
        <v>199</v>
      </c>
      <c r="D3520" t="str">
        <f>VLOOKUP(H3520,Produkt!$A$2:$B$5,2,FALSE)</f>
        <v>B</v>
      </c>
      <c r="H3520">
        <v>2</v>
      </c>
      <c r="I3520">
        <v>0.64223379629629629</v>
      </c>
      <c r="J3520">
        <v>44782</v>
      </c>
    </row>
    <row r="3521" spans="1:10" x14ac:dyDescent="0.35">
      <c r="A3521" s="2">
        <v>44785</v>
      </c>
      <c r="B3521" s="3">
        <v>0.14197916666666666</v>
      </c>
      <c r="C3521">
        <v>203</v>
      </c>
      <c r="D3521" t="str">
        <f>VLOOKUP(H3521,Produkt!$A$2:$B$5,2,FALSE)</f>
        <v>C</v>
      </c>
      <c r="H3521">
        <v>3</v>
      </c>
      <c r="I3521">
        <v>0.84505787037037028</v>
      </c>
      <c r="J3521">
        <v>44796</v>
      </c>
    </row>
    <row r="3522" spans="1:10" x14ac:dyDescent="0.35">
      <c r="A3522" s="2">
        <v>44785</v>
      </c>
      <c r="B3522" s="3">
        <v>0.73729166666666668</v>
      </c>
      <c r="C3522">
        <v>221</v>
      </c>
      <c r="D3522" t="str">
        <f>VLOOKUP(H3522,Produkt!$A$2:$B$5,2,FALSE)</f>
        <v>C</v>
      </c>
      <c r="H3522">
        <v>3</v>
      </c>
      <c r="I3522">
        <v>0.59631944444444451</v>
      </c>
      <c r="J3522">
        <v>44786</v>
      </c>
    </row>
    <row r="3523" spans="1:10" x14ac:dyDescent="0.35">
      <c r="A3523" s="2">
        <v>44785</v>
      </c>
      <c r="B3523" s="3">
        <v>0.36719907407407404</v>
      </c>
      <c r="C3523">
        <v>274</v>
      </c>
      <c r="D3523" t="str">
        <f>VLOOKUP(H3523,Produkt!$A$2:$B$5,2,FALSE)</f>
        <v>A</v>
      </c>
      <c r="H3523">
        <v>1</v>
      </c>
      <c r="I3523">
        <v>0.53365740740740741</v>
      </c>
      <c r="J3523">
        <v>44784</v>
      </c>
    </row>
    <row r="3524" spans="1:10" x14ac:dyDescent="0.35">
      <c r="A3524" s="2">
        <v>44785</v>
      </c>
      <c r="B3524" s="3">
        <v>2.8009259259259259E-3</v>
      </c>
      <c r="C3524">
        <v>290</v>
      </c>
      <c r="D3524" t="str">
        <f>VLOOKUP(H3524,Produkt!$A$2:$B$5,2,FALSE)</f>
        <v>B</v>
      </c>
      <c r="H3524">
        <v>2</v>
      </c>
      <c r="I3524">
        <v>0.15943287037037038</v>
      </c>
      <c r="J3524">
        <v>44790</v>
      </c>
    </row>
    <row r="3525" spans="1:10" x14ac:dyDescent="0.35">
      <c r="A3525" s="2">
        <v>44785</v>
      </c>
      <c r="B3525" s="3">
        <v>0.31207175925925928</v>
      </c>
      <c r="C3525">
        <v>356</v>
      </c>
      <c r="D3525" t="str">
        <f>VLOOKUP(H3525,Produkt!$A$2:$B$5,2,FALSE)</f>
        <v>D</v>
      </c>
      <c r="H3525">
        <v>4</v>
      </c>
      <c r="I3525">
        <v>0.66731481481481481</v>
      </c>
      <c r="J3525">
        <v>44780</v>
      </c>
    </row>
    <row r="3526" spans="1:10" x14ac:dyDescent="0.35">
      <c r="A3526" s="2">
        <v>44785</v>
      </c>
      <c r="B3526" s="3">
        <v>0.90001157407407406</v>
      </c>
      <c r="C3526">
        <v>363</v>
      </c>
      <c r="D3526" t="str">
        <f>VLOOKUP(H3526,Produkt!$A$2:$B$5,2,FALSE)</f>
        <v>B</v>
      </c>
      <c r="H3526">
        <v>2</v>
      </c>
      <c r="I3526">
        <v>0.49974537037037042</v>
      </c>
      <c r="J3526">
        <v>44803</v>
      </c>
    </row>
    <row r="3527" spans="1:10" x14ac:dyDescent="0.35">
      <c r="A3527" s="2">
        <v>44785</v>
      </c>
      <c r="B3527" s="3">
        <v>0.34136574074074072</v>
      </c>
      <c r="C3527">
        <v>370</v>
      </c>
      <c r="D3527" t="str">
        <f>VLOOKUP(H3527,Produkt!$A$2:$B$5,2,FALSE)</f>
        <v>A</v>
      </c>
      <c r="H3527">
        <v>1</v>
      </c>
      <c r="I3527">
        <v>0.86835648148148137</v>
      </c>
      <c r="J3527">
        <v>44787</v>
      </c>
    </row>
    <row r="3528" spans="1:10" x14ac:dyDescent="0.35">
      <c r="A3528" s="2">
        <v>44785</v>
      </c>
      <c r="B3528" s="3">
        <v>3.9537037037036926E-2</v>
      </c>
      <c r="C3528">
        <v>407</v>
      </c>
      <c r="D3528" t="str">
        <f>VLOOKUP(H3528,Produkt!$A$2:$B$5,2,FALSE)</f>
        <v>B</v>
      </c>
      <c r="H3528">
        <v>2</v>
      </c>
      <c r="I3528">
        <v>0.72657407407407415</v>
      </c>
      <c r="J3528">
        <v>44776</v>
      </c>
    </row>
    <row r="3529" spans="1:10" x14ac:dyDescent="0.35">
      <c r="A3529" s="2">
        <v>44785</v>
      </c>
      <c r="B3529" s="3">
        <v>0.5488425925925926</v>
      </c>
      <c r="C3529">
        <v>426</v>
      </c>
      <c r="D3529" t="str">
        <f>VLOOKUP(H3529,Produkt!$A$2:$B$5,2,FALSE)</f>
        <v>D</v>
      </c>
      <c r="H3529">
        <v>4</v>
      </c>
      <c r="I3529">
        <v>3.3055555555555553E-2</v>
      </c>
      <c r="J3529">
        <v>44801</v>
      </c>
    </row>
    <row r="3530" spans="1:10" x14ac:dyDescent="0.35">
      <c r="A3530" s="2">
        <v>44785</v>
      </c>
      <c r="B3530" s="3">
        <v>0.75968750000000007</v>
      </c>
      <c r="C3530">
        <v>460</v>
      </c>
      <c r="D3530" t="str">
        <f>VLOOKUP(H3530,Produkt!$A$2:$B$5,2,FALSE)</f>
        <v>C</v>
      </c>
      <c r="H3530">
        <v>3</v>
      </c>
      <c r="I3530">
        <v>0.87805555555555559</v>
      </c>
      <c r="J3530">
        <v>44789</v>
      </c>
    </row>
    <row r="3531" spans="1:10" x14ac:dyDescent="0.35">
      <c r="A3531" s="2">
        <v>44785</v>
      </c>
      <c r="B3531" s="3">
        <v>0.78809027777777774</v>
      </c>
      <c r="C3531">
        <v>511</v>
      </c>
      <c r="D3531" t="str">
        <f>VLOOKUP(H3531,Produkt!$A$2:$B$5,2,FALSE)</f>
        <v>D</v>
      </c>
      <c r="H3531">
        <v>4</v>
      </c>
      <c r="I3531">
        <v>0.82287037037037036</v>
      </c>
      <c r="J3531">
        <v>44778</v>
      </c>
    </row>
    <row r="3532" spans="1:10" x14ac:dyDescent="0.35">
      <c r="A3532" s="2">
        <v>44785</v>
      </c>
      <c r="B3532" s="3">
        <v>0.10249999999999999</v>
      </c>
      <c r="C3532">
        <v>539</v>
      </c>
      <c r="D3532" t="str">
        <f>VLOOKUP(H3532,Produkt!$A$2:$B$5,2,FALSE)</f>
        <v>A</v>
      </c>
      <c r="H3532">
        <v>1</v>
      </c>
      <c r="I3532">
        <v>0.79490740740740751</v>
      </c>
      <c r="J3532">
        <v>44779</v>
      </c>
    </row>
    <row r="3533" spans="1:10" x14ac:dyDescent="0.35">
      <c r="A3533" s="2">
        <v>44785</v>
      </c>
      <c r="B3533" s="3">
        <v>0.55344907407407407</v>
      </c>
      <c r="C3533">
        <v>558</v>
      </c>
      <c r="D3533" t="str">
        <f>VLOOKUP(H3533,Produkt!$A$2:$B$5,2,FALSE)</f>
        <v>A</v>
      </c>
      <c r="H3533">
        <v>1</v>
      </c>
      <c r="I3533">
        <v>0.28688657407407409</v>
      </c>
      <c r="J3533">
        <v>44785</v>
      </c>
    </row>
    <row r="3534" spans="1:10" x14ac:dyDescent="0.35">
      <c r="A3534" s="2">
        <v>44785</v>
      </c>
      <c r="B3534" s="3">
        <v>0.66770833333333324</v>
      </c>
      <c r="C3534">
        <v>577</v>
      </c>
      <c r="D3534" t="str">
        <f>VLOOKUP(H3534,Produkt!$A$2:$B$5,2,FALSE)</f>
        <v>C</v>
      </c>
      <c r="H3534">
        <v>3</v>
      </c>
      <c r="I3534">
        <v>0.57474537037037032</v>
      </c>
      <c r="J3534">
        <v>44795</v>
      </c>
    </row>
    <row r="3535" spans="1:10" x14ac:dyDescent="0.35">
      <c r="A3535" s="2">
        <v>44785</v>
      </c>
      <c r="B3535" s="3">
        <v>0.93396990740740737</v>
      </c>
      <c r="C3535">
        <v>650</v>
      </c>
      <c r="D3535" t="str">
        <f>VLOOKUP(H3535,Produkt!$A$2:$B$5,2,FALSE)</f>
        <v>B</v>
      </c>
      <c r="H3535">
        <v>2</v>
      </c>
      <c r="I3535">
        <v>6.2175925925925933E-2</v>
      </c>
      <c r="J3535">
        <v>44781</v>
      </c>
    </row>
    <row r="3536" spans="1:10" x14ac:dyDescent="0.35">
      <c r="A3536" s="2">
        <v>44785</v>
      </c>
      <c r="B3536" s="3">
        <v>0.11803240740740741</v>
      </c>
      <c r="C3536">
        <v>672</v>
      </c>
      <c r="D3536" t="str">
        <f>VLOOKUP(H3536,Produkt!$A$2:$B$5,2,FALSE)</f>
        <v>B</v>
      </c>
      <c r="H3536">
        <v>2</v>
      </c>
      <c r="I3536">
        <v>0.67609953703703696</v>
      </c>
      <c r="J3536">
        <v>44800</v>
      </c>
    </row>
    <row r="3537" spans="1:10" x14ac:dyDescent="0.35">
      <c r="A3537" s="2">
        <v>44785</v>
      </c>
      <c r="B3537" s="3">
        <v>0.57848379629629632</v>
      </c>
      <c r="C3537">
        <v>738</v>
      </c>
      <c r="D3537" t="str">
        <f>VLOOKUP(H3537,Produkt!$A$2:$B$5,2,FALSE)</f>
        <v>B</v>
      </c>
      <c r="H3537">
        <v>2</v>
      </c>
      <c r="I3537">
        <v>0.86427083333333332</v>
      </c>
      <c r="J3537">
        <v>44777</v>
      </c>
    </row>
    <row r="3538" spans="1:10" x14ac:dyDescent="0.35">
      <c r="A3538" s="2">
        <v>44785</v>
      </c>
      <c r="B3538" s="3">
        <v>0.14159722222222224</v>
      </c>
      <c r="C3538">
        <v>764</v>
      </c>
      <c r="D3538" t="str">
        <f>VLOOKUP(H3538,Produkt!$A$2:$B$5,2,FALSE)</f>
        <v>B</v>
      </c>
      <c r="H3538">
        <v>2</v>
      </c>
      <c r="I3538">
        <v>0.61883101851851852</v>
      </c>
      <c r="J3538">
        <v>44779</v>
      </c>
    </row>
    <row r="3539" spans="1:10" x14ac:dyDescent="0.35">
      <c r="A3539" s="2">
        <v>44785</v>
      </c>
      <c r="B3539" s="3">
        <v>0.32201388888888888</v>
      </c>
      <c r="C3539">
        <v>842</v>
      </c>
      <c r="D3539" t="str">
        <f>VLOOKUP(H3539,Produkt!$A$2:$B$5,2,FALSE)</f>
        <v>D</v>
      </c>
      <c r="H3539">
        <v>4</v>
      </c>
      <c r="I3539">
        <v>0.17189814814814816</v>
      </c>
      <c r="J3539">
        <v>44799</v>
      </c>
    </row>
    <row r="3540" spans="1:10" x14ac:dyDescent="0.35">
      <c r="A3540" s="2">
        <v>44785</v>
      </c>
      <c r="B3540" s="3">
        <v>0.64380787037037035</v>
      </c>
      <c r="C3540">
        <v>858</v>
      </c>
      <c r="D3540" t="str">
        <f>VLOOKUP(H3540,Produkt!$A$2:$B$5,2,FALSE)</f>
        <v>D</v>
      </c>
      <c r="H3540">
        <v>4</v>
      </c>
      <c r="I3540">
        <v>0.2424074074074074</v>
      </c>
      <c r="J3540">
        <v>44780</v>
      </c>
    </row>
    <row r="3541" spans="1:10" x14ac:dyDescent="0.35">
      <c r="A3541" s="2">
        <v>44785</v>
      </c>
      <c r="B3541" s="3">
        <v>0.83392361111111113</v>
      </c>
      <c r="C3541">
        <v>902</v>
      </c>
      <c r="D3541" t="str">
        <f>VLOOKUP(H3541,Produkt!$A$2:$B$5,2,FALSE)</f>
        <v>D</v>
      </c>
      <c r="H3541">
        <v>4</v>
      </c>
      <c r="I3541">
        <v>0.57245370370370374</v>
      </c>
      <c r="J3541">
        <v>44801</v>
      </c>
    </row>
    <row r="3542" spans="1:10" x14ac:dyDescent="0.35">
      <c r="A3542" s="2">
        <v>44785</v>
      </c>
      <c r="B3542" s="3">
        <v>0.31418981481481484</v>
      </c>
      <c r="C3542">
        <v>934</v>
      </c>
      <c r="D3542" t="str">
        <f>VLOOKUP(H3542,Produkt!$A$2:$B$5,2,FALSE)</f>
        <v>A</v>
      </c>
      <c r="H3542">
        <v>1</v>
      </c>
      <c r="I3542">
        <v>0.78165509259259258</v>
      </c>
      <c r="J3542">
        <v>44794</v>
      </c>
    </row>
    <row r="3543" spans="1:10" x14ac:dyDescent="0.35">
      <c r="A3543" s="2">
        <v>44785</v>
      </c>
      <c r="B3543" s="3">
        <v>0.4856712962962963</v>
      </c>
      <c r="C3543">
        <v>963</v>
      </c>
      <c r="D3543" t="str">
        <f>VLOOKUP(H3543,Produkt!$A$2:$B$5,2,FALSE)</f>
        <v>C</v>
      </c>
      <c r="H3543">
        <v>3</v>
      </c>
      <c r="I3543">
        <v>0.61423611111111109</v>
      </c>
      <c r="J3543">
        <v>44803</v>
      </c>
    </row>
    <row r="3544" spans="1:10" x14ac:dyDescent="0.35">
      <c r="A3544" s="2">
        <v>44785</v>
      </c>
      <c r="B3544" s="3">
        <v>8.564814814814815E-3</v>
      </c>
      <c r="C3544">
        <v>975</v>
      </c>
      <c r="D3544" t="str">
        <f>VLOOKUP(H3544,Produkt!$A$2:$B$5,2,FALSE)</f>
        <v>D</v>
      </c>
      <c r="H3544">
        <v>4</v>
      </c>
      <c r="I3544">
        <v>0.75550925925925927</v>
      </c>
      <c r="J3544">
        <v>44780</v>
      </c>
    </row>
    <row r="3545" spans="1:10" x14ac:dyDescent="0.35">
      <c r="A3545" s="2">
        <v>44785</v>
      </c>
      <c r="B3545" s="3">
        <v>0.4268055555555556</v>
      </c>
      <c r="C3545">
        <v>1016</v>
      </c>
      <c r="D3545" t="str">
        <f>VLOOKUP(H3545,Produkt!$A$2:$B$5,2,FALSE)</f>
        <v>C</v>
      </c>
      <c r="H3545">
        <v>3</v>
      </c>
      <c r="I3545">
        <v>0.8728125000000001</v>
      </c>
      <c r="J3545">
        <v>44795</v>
      </c>
    </row>
    <row r="3546" spans="1:10" x14ac:dyDescent="0.35">
      <c r="A3546" s="2">
        <v>44785</v>
      </c>
      <c r="B3546" s="3">
        <v>0.23047453703703705</v>
      </c>
      <c r="C3546">
        <v>1116</v>
      </c>
      <c r="D3546" t="str">
        <f>VLOOKUP(H3546,Produkt!$A$2:$B$5,2,FALSE)</f>
        <v>D</v>
      </c>
      <c r="H3546">
        <v>4</v>
      </c>
      <c r="I3546">
        <v>0.47486111111111112</v>
      </c>
      <c r="J3546">
        <v>44798</v>
      </c>
    </row>
    <row r="3547" spans="1:10" x14ac:dyDescent="0.35">
      <c r="A3547" s="2">
        <v>44785</v>
      </c>
      <c r="B3547" s="3">
        <v>0.29798611111111112</v>
      </c>
      <c r="C3547">
        <v>1123</v>
      </c>
      <c r="D3547" t="str">
        <f>VLOOKUP(H3547,Produkt!$A$2:$B$5,2,FALSE)</f>
        <v>D</v>
      </c>
      <c r="H3547">
        <v>4</v>
      </c>
      <c r="I3547">
        <v>0.28599537037037037</v>
      </c>
      <c r="J3547">
        <v>44775</v>
      </c>
    </row>
    <row r="3548" spans="1:10" x14ac:dyDescent="0.35">
      <c r="A3548" s="2">
        <v>44785</v>
      </c>
      <c r="B3548" s="3">
        <v>0.87028935185185186</v>
      </c>
      <c r="C3548">
        <v>1128</v>
      </c>
      <c r="D3548" t="str">
        <f>VLOOKUP(H3548,Produkt!$A$2:$B$5,2,FALSE)</f>
        <v>B</v>
      </c>
      <c r="H3548">
        <v>2</v>
      </c>
      <c r="I3548">
        <v>0.23020833333333335</v>
      </c>
      <c r="J3548">
        <v>44785</v>
      </c>
    </row>
    <row r="3549" spans="1:10" x14ac:dyDescent="0.35">
      <c r="A3549" s="2">
        <v>44785</v>
      </c>
      <c r="B3549" s="3">
        <v>0.15155092592592592</v>
      </c>
      <c r="C3549">
        <v>1131</v>
      </c>
      <c r="D3549" t="str">
        <f>VLOOKUP(H3549,Produkt!$A$2:$B$5,2,FALSE)</f>
        <v>A</v>
      </c>
      <c r="H3549">
        <v>1</v>
      </c>
      <c r="I3549">
        <v>0.25937499999999997</v>
      </c>
      <c r="J3549">
        <v>44804</v>
      </c>
    </row>
    <row r="3550" spans="1:10" x14ac:dyDescent="0.35">
      <c r="A3550" s="2">
        <v>44785</v>
      </c>
      <c r="B3550" s="3">
        <v>0.1145486111111111</v>
      </c>
      <c r="C3550">
        <v>1183</v>
      </c>
      <c r="D3550" t="str">
        <f>VLOOKUP(H3550,Produkt!$A$2:$B$5,2,FALSE)</f>
        <v>C</v>
      </c>
      <c r="H3550">
        <v>3</v>
      </c>
      <c r="I3550">
        <v>0.29325231481481479</v>
      </c>
      <c r="J3550">
        <v>44792</v>
      </c>
    </row>
    <row r="3551" spans="1:10" x14ac:dyDescent="0.35">
      <c r="A3551" s="2">
        <v>44785</v>
      </c>
      <c r="B3551" s="3">
        <v>7.9050925925925331E-3</v>
      </c>
      <c r="C3551">
        <v>1304</v>
      </c>
      <c r="D3551" t="str">
        <f>VLOOKUP(H3551,Produkt!$A$2:$B$5,2,FALSE)</f>
        <v>D</v>
      </c>
      <c r="H3551">
        <v>4</v>
      </c>
      <c r="I3551">
        <v>0.99432870370370363</v>
      </c>
      <c r="J3551">
        <v>44794</v>
      </c>
    </row>
    <row r="3552" spans="1:10" x14ac:dyDescent="0.35">
      <c r="A3552" s="2">
        <v>44785</v>
      </c>
      <c r="B3552" s="3">
        <v>0.84479166666666661</v>
      </c>
      <c r="C3552">
        <v>1308</v>
      </c>
      <c r="D3552" t="str">
        <f>VLOOKUP(H3552,Produkt!$A$2:$B$5,2,FALSE)</f>
        <v>A</v>
      </c>
      <c r="H3552">
        <v>1</v>
      </c>
      <c r="I3552">
        <v>0.15568287037037037</v>
      </c>
      <c r="J3552">
        <v>44797</v>
      </c>
    </row>
    <row r="3553" spans="1:10" x14ac:dyDescent="0.35">
      <c r="A3553" s="2">
        <v>44785</v>
      </c>
      <c r="B3553" s="3">
        <v>0.24628472222222222</v>
      </c>
      <c r="C3553">
        <v>1309</v>
      </c>
      <c r="D3553" t="str">
        <f>VLOOKUP(H3553,Produkt!$A$2:$B$5,2,FALSE)</f>
        <v>D</v>
      </c>
      <c r="H3553">
        <v>4</v>
      </c>
      <c r="I3553">
        <v>0.25800925925925927</v>
      </c>
      <c r="J3553">
        <v>44794</v>
      </c>
    </row>
    <row r="3554" spans="1:10" x14ac:dyDescent="0.35">
      <c r="A3554" s="2">
        <v>44785</v>
      </c>
      <c r="B3554" s="3">
        <v>0.39074074074074078</v>
      </c>
      <c r="C3554">
        <v>1311</v>
      </c>
      <c r="D3554" t="str">
        <f>VLOOKUP(H3554,Produkt!$A$2:$B$5,2,FALSE)</f>
        <v>D</v>
      </c>
      <c r="H3554">
        <v>4</v>
      </c>
      <c r="I3554">
        <v>0.70416666666666661</v>
      </c>
      <c r="J3554">
        <v>44791</v>
      </c>
    </row>
    <row r="3555" spans="1:10" x14ac:dyDescent="0.35">
      <c r="A3555" s="2">
        <v>44785</v>
      </c>
      <c r="B3555" s="3">
        <v>0.38655092592592594</v>
      </c>
      <c r="C3555">
        <v>1321</v>
      </c>
      <c r="D3555" t="str">
        <f>VLOOKUP(H3555,Produkt!$A$2:$B$5,2,FALSE)</f>
        <v>C</v>
      </c>
      <c r="H3555">
        <v>3</v>
      </c>
      <c r="I3555">
        <v>0.78731481481481491</v>
      </c>
      <c r="J3555">
        <v>44801</v>
      </c>
    </row>
    <row r="3556" spans="1:10" x14ac:dyDescent="0.35">
      <c r="A3556" s="2">
        <v>44785</v>
      </c>
      <c r="B3556" s="3">
        <v>0.64429398148148154</v>
      </c>
      <c r="C3556">
        <v>1326</v>
      </c>
      <c r="D3556" t="str">
        <f>VLOOKUP(H3556,Produkt!$A$2:$B$5,2,FALSE)</f>
        <v>A</v>
      </c>
      <c r="H3556">
        <v>1</v>
      </c>
      <c r="I3556">
        <v>0.88047453703703704</v>
      </c>
      <c r="J3556">
        <v>44788</v>
      </c>
    </row>
    <row r="3557" spans="1:10" x14ac:dyDescent="0.35">
      <c r="A3557" s="2">
        <v>44785</v>
      </c>
      <c r="B3557" s="3">
        <v>0.75940972222222225</v>
      </c>
      <c r="C3557">
        <v>1330</v>
      </c>
      <c r="D3557" t="str">
        <f>VLOOKUP(H3557,Produkt!$A$2:$B$5,2,FALSE)</f>
        <v>D</v>
      </c>
      <c r="H3557">
        <v>4</v>
      </c>
      <c r="I3557">
        <v>0.57884259259259252</v>
      </c>
      <c r="J3557">
        <v>44793</v>
      </c>
    </row>
    <row r="3558" spans="1:10" x14ac:dyDescent="0.35">
      <c r="A3558" s="2">
        <v>44785</v>
      </c>
      <c r="B3558" s="3">
        <v>0.58892361111111113</v>
      </c>
      <c r="C3558">
        <v>1387</v>
      </c>
      <c r="D3558" t="str">
        <f>VLOOKUP(H3558,Produkt!$A$2:$B$5,2,FALSE)</f>
        <v>A</v>
      </c>
      <c r="H3558">
        <v>1</v>
      </c>
      <c r="I3558">
        <v>0.99288194444444444</v>
      </c>
      <c r="J3558">
        <v>44795</v>
      </c>
    </row>
    <row r="3559" spans="1:10" x14ac:dyDescent="0.35">
      <c r="A3559" s="2">
        <v>44785</v>
      </c>
      <c r="B3559" s="3">
        <v>0.52157407407407408</v>
      </c>
      <c r="C3559">
        <v>1395</v>
      </c>
      <c r="D3559" t="str">
        <f>VLOOKUP(H3559,Produkt!$A$2:$B$5,2,FALSE)</f>
        <v>D</v>
      </c>
      <c r="H3559">
        <v>4</v>
      </c>
      <c r="I3559">
        <v>0.34743055555555552</v>
      </c>
      <c r="J3559">
        <v>44784</v>
      </c>
    </row>
    <row r="3560" spans="1:10" x14ac:dyDescent="0.35">
      <c r="A3560" s="2">
        <v>44785</v>
      </c>
      <c r="B3560" s="3">
        <v>0.16111111111111112</v>
      </c>
      <c r="C3560">
        <v>1408</v>
      </c>
      <c r="D3560" t="str">
        <f>VLOOKUP(H3560,Produkt!$A$2:$B$5,2,FALSE)</f>
        <v>B</v>
      </c>
      <c r="H3560">
        <v>2</v>
      </c>
      <c r="I3560">
        <v>0.51364583333333336</v>
      </c>
      <c r="J3560">
        <v>44800</v>
      </c>
    </row>
    <row r="3561" spans="1:10" x14ac:dyDescent="0.35">
      <c r="A3561" s="2">
        <v>44785</v>
      </c>
      <c r="B3561" s="3">
        <v>0.69931712962962955</v>
      </c>
      <c r="C3561">
        <v>1437</v>
      </c>
      <c r="D3561" t="str">
        <f>VLOOKUP(H3561,Produkt!$A$2:$B$5,2,FALSE)</f>
        <v>A</v>
      </c>
      <c r="H3561">
        <v>1</v>
      </c>
      <c r="I3561">
        <v>0.69585648148148149</v>
      </c>
      <c r="J3561">
        <v>44804</v>
      </c>
    </row>
    <row r="3562" spans="1:10" x14ac:dyDescent="0.35">
      <c r="A3562" s="2">
        <v>44785</v>
      </c>
      <c r="B3562" s="3">
        <v>0.33414351851851848</v>
      </c>
      <c r="C3562">
        <v>1461</v>
      </c>
      <c r="D3562" t="str">
        <f>VLOOKUP(H3562,Produkt!$A$2:$B$5,2,FALSE)</f>
        <v>C</v>
      </c>
      <c r="H3562">
        <v>3</v>
      </c>
      <c r="I3562">
        <v>0.83118055555555559</v>
      </c>
      <c r="J3562">
        <v>44789</v>
      </c>
    </row>
    <row r="3563" spans="1:10" x14ac:dyDescent="0.35">
      <c r="A3563" s="2">
        <v>44785</v>
      </c>
      <c r="B3563" s="3">
        <v>0.51388888888888895</v>
      </c>
      <c r="C3563">
        <v>1481</v>
      </c>
      <c r="D3563" t="str">
        <f>VLOOKUP(H3563,Produkt!$A$2:$B$5,2,FALSE)</f>
        <v>C</v>
      </c>
      <c r="H3563">
        <v>3</v>
      </c>
      <c r="I3563">
        <v>0.46049768518518519</v>
      </c>
      <c r="J3563">
        <v>44790</v>
      </c>
    </row>
    <row r="3564" spans="1:10" x14ac:dyDescent="0.35">
      <c r="A3564" s="2">
        <v>44785</v>
      </c>
      <c r="B3564" s="3">
        <v>0.89593750000000005</v>
      </c>
      <c r="C3564">
        <v>1484</v>
      </c>
      <c r="D3564" t="str">
        <f>VLOOKUP(H3564,Produkt!$A$2:$B$5,2,FALSE)</f>
        <v>A</v>
      </c>
      <c r="H3564">
        <v>1</v>
      </c>
      <c r="I3564">
        <v>0.65170138888888884</v>
      </c>
      <c r="J3564">
        <v>44795</v>
      </c>
    </row>
    <row r="3565" spans="1:10" x14ac:dyDescent="0.35">
      <c r="A3565" s="2">
        <v>44785</v>
      </c>
      <c r="B3565" s="3">
        <v>0.5347453703703704</v>
      </c>
      <c r="C3565">
        <v>1529</v>
      </c>
      <c r="D3565" t="str">
        <f>VLOOKUP(H3565,Produkt!$A$2:$B$5,2,FALSE)</f>
        <v>C</v>
      </c>
      <c r="H3565">
        <v>3</v>
      </c>
      <c r="I3565">
        <v>0.7917939814814815</v>
      </c>
      <c r="J3565">
        <v>44779</v>
      </c>
    </row>
    <row r="3566" spans="1:10" x14ac:dyDescent="0.35">
      <c r="A3566" s="2">
        <v>44785</v>
      </c>
      <c r="B3566" s="3">
        <v>0.40259259259259261</v>
      </c>
      <c r="C3566">
        <v>1535</v>
      </c>
      <c r="D3566" t="str">
        <f>VLOOKUP(H3566,Produkt!$A$2:$B$5,2,FALSE)</f>
        <v>A</v>
      </c>
      <c r="H3566">
        <v>1</v>
      </c>
      <c r="I3566">
        <v>0.39557870370370374</v>
      </c>
      <c r="J3566">
        <v>44795</v>
      </c>
    </row>
    <row r="3567" spans="1:10" x14ac:dyDescent="0.35">
      <c r="A3567" s="2">
        <v>44785</v>
      </c>
      <c r="B3567" s="3">
        <v>0.45734953703703707</v>
      </c>
      <c r="C3567">
        <v>1547</v>
      </c>
      <c r="D3567" t="str">
        <f>VLOOKUP(H3567,Produkt!$A$2:$B$5,2,FALSE)</f>
        <v>A</v>
      </c>
      <c r="H3567">
        <v>1</v>
      </c>
      <c r="I3567">
        <v>0.98952546296296295</v>
      </c>
      <c r="J3567">
        <v>44790</v>
      </c>
    </row>
    <row r="3568" spans="1:10" x14ac:dyDescent="0.35">
      <c r="A3568" s="2">
        <v>44785</v>
      </c>
      <c r="B3568" s="3">
        <v>0.20528935185185185</v>
      </c>
      <c r="C3568">
        <v>1576</v>
      </c>
      <c r="D3568" t="str">
        <f>VLOOKUP(H3568,Produkt!$A$2:$B$5,2,FALSE)</f>
        <v>C</v>
      </c>
      <c r="H3568">
        <v>3</v>
      </c>
      <c r="I3568">
        <v>0.10361111111111111</v>
      </c>
      <c r="J3568">
        <v>44783</v>
      </c>
    </row>
    <row r="3569" spans="1:10" x14ac:dyDescent="0.35">
      <c r="A3569" s="2">
        <v>44785</v>
      </c>
      <c r="B3569" s="3">
        <v>0.28196759259259258</v>
      </c>
      <c r="C3569">
        <v>1595</v>
      </c>
      <c r="D3569" t="str">
        <f>VLOOKUP(H3569,Produkt!$A$2:$B$5,2,FALSE)</f>
        <v>D</v>
      </c>
      <c r="H3569">
        <v>4</v>
      </c>
      <c r="I3569">
        <v>0.53445601851851854</v>
      </c>
      <c r="J3569">
        <v>44775</v>
      </c>
    </row>
    <row r="3570" spans="1:10" x14ac:dyDescent="0.35">
      <c r="A3570" s="2">
        <v>44785</v>
      </c>
      <c r="B3570" s="3">
        <v>0.39974537037037039</v>
      </c>
      <c r="C3570">
        <v>1610</v>
      </c>
      <c r="D3570" t="str">
        <f>VLOOKUP(H3570,Produkt!$A$2:$B$5,2,FALSE)</f>
        <v>B</v>
      </c>
      <c r="H3570">
        <v>2</v>
      </c>
      <c r="I3570">
        <v>0.50628472222222221</v>
      </c>
      <c r="J3570">
        <v>44776</v>
      </c>
    </row>
    <row r="3571" spans="1:10" x14ac:dyDescent="0.35">
      <c r="A3571" s="2">
        <v>44785</v>
      </c>
      <c r="B3571" s="3">
        <v>4.2824074074077068E-4</v>
      </c>
      <c r="C3571">
        <v>1613</v>
      </c>
      <c r="D3571" t="str">
        <f>VLOOKUP(H3571,Produkt!$A$2:$B$5,2,FALSE)</f>
        <v>C</v>
      </c>
      <c r="H3571">
        <v>3</v>
      </c>
      <c r="I3571">
        <v>0.54531249999999998</v>
      </c>
      <c r="J3571">
        <v>44780</v>
      </c>
    </row>
    <row r="3572" spans="1:10" x14ac:dyDescent="0.35">
      <c r="A3572" s="2">
        <v>44785</v>
      </c>
      <c r="B3572" s="3">
        <v>0.20755787037037035</v>
      </c>
      <c r="C3572">
        <v>1633</v>
      </c>
      <c r="D3572" t="str">
        <f>VLOOKUP(H3572,Produkt!$A$2:$B$5,2,FALSE)</f>
        <v>D</v>
      </c>
      <c r="H3572">
        <v>4</v>
      </c>
      <c r="I3572">
        <v>0.60932870370370373</v>
      </c>
      <c r="J3572">
        <v>44784</v>
      </c>
    </row>
    <row r="3573" spans="1:10" x14ac:dyDescent="0.35">
      <c r="A3573" s="2">
        <v>44785</v>
      </c>
      <c r="B3573" s="3">
        <v>2.5868055555555491E-2</v>
      </c>
      <c r="C3573">
        <v>1637</v>
      </c>
      <c r="D3573" t="str">
        <f>VLOOKUP(H3573,Produkt!$A$2:$B$5,2,FALSE)</f>
        <v>A</v>
      </c>
      <c r="H3573">
        <v>1</v>
      </c>
      <c r="I3573">
        <v>0.32862268518518517</v>
      </c>
      <c r="J3573">
        <v>44793</v>
      </c>
    </row>
    <row r="3574" spans="1:10" x14ac:dyDescent="0.35">
      <c r="A3574" s="2">
        <v>44785</v>
      </c>
      <c r="B3574" s="3">
        <v>0.51288194444444446</v>
      </c>
      <c r="C3574">
        <v>1661</v>
      </c>
      <c r="D3574" t="str">
        <f>VLOOKUP(H3574,Produkt!$A$2:$B$5,2,FALSE)</f>
        <v>D</v>
      </c>
      <c r="H3574">
        <v>4</v>
      </c>
      <c r="I3574">
        <v>0.34240740740740744</v>
      </c>
      <c r="J3574">
        <v>44774</v>
      </c>
    </row>
    <row r="3575" spans="1:10" x14ac:dyDescent="0.35">
      <c r="A3575" s="2">
        <v>44785</v>
      </c>
      <c r="B3575" s="3">
        <v>0.30062499999999998</v>
      </c>
      <c r="C3575">
        <v>1665</v>
      </c>
      <c r="D3575" t="str">
        <f>VLOOKUP(H3575,Produkt!$A$2:$B$5,2,FALSE)</f>
        <v>A</v>
      </c>
      <c r="H3575">
        <v>1</v>
      </c>
      <c r="I3575">
        <v>0.91423611111111114</v>
      </c>
      <c r="J3575">
        <v>44795</v>
      </c>
    </row>
    <row r="3576" spans="1:10" x14ac:dyDescent="0.35">
      <c r="A3576" s="2">
        <v>44785</v>
      </c>
      <c r="B3576" s="3">
        <v>4.0393518518518468E-2</v>
      </c>
      <c r="C3576">
        <v>1754</v>
      </c>
      <c r="D3576" t="str">
        <f>VLOOKUP(H3576,Produkt!$A$2:$B$5,2,FALSE)</f>
        <v>B</v>
      </c>
      <c r="H3576">
        <v>2</v>
      </c>
      <c r="I3576">
        <v>0.33856481481481482</v>
      </c>
      <c r="J3576">
        <v>44790</v>
      </c>
    </row>
    <row r="3577" spans="1:10" x14ac:dyDescent="0.35">
      <c r="A3577" s="2">
        <v>44785</v>
      </c>
      <c r="B3577" s="3">
        <v>0.66707175925925932</v>
      </c>
      <c r="C3577">
        <v>1792</v>
      </c>
      <c r="D3577" t="str">
        <f>VLOOKUP(H3577,Produkt!$A$2:$B$5,2,FALSE)</f>
        <v>C</v>
      </c>
      <c r="H3577">
        <v>3</v>
      </c>
      <c r="I3577">
        <v>0.30662037037037038</v>
      </c>
      <c r="J3577">
        <v>44775</v>
      </c>
    </row>
    <row r="3578" spans="1:10" x14ac:dyDescent="0.35">
      <c r="A3578" s="2">
        <v>44785</v>
      </c>
      <c r="B3578" s="3">
        <v>0.6411458333333333</v>
      </c>
      <c r="C3578">
        <v>1797</v>
      </c>
      <c r="D3578" t="str">
        <f>VLOOKUP(H3578,Produkt!$A$2:$B$5,2,FALSE)</f>
        <v>A</v>
      </c>
      <c r="H3578">
        <v>1</v>
      </c>
      <c r="I3578">
        <v>2.1828703703703711E-2</v>
      </c>
      <c r="J3578">
        <v>44780</v>
      </c>
    </row>
    <row r="3579" spans="1:10" x14ac:dyDescent="0.35">
      <c r="A3579" s="2">
        <v>44785</v>
      </c>
      <c r="B3579" s="3">
        <v>0.24841435185185187</v>
      </c>
      <c r="C3579">
        <v>1798</v>
      </c>
      <c r="D3579" t="str">
        <f>VLOOKUP(H3579,Produkt!$A$2:$B$5,2,FALSE)</f>
        <v>B</v>
      </c>
      <c r="H3579">
        <v>2</v>
      </c>
      <c r="I3579">
        <v>0.14796296296296296</v>
      </c>
      <c r="J3579">
        <v>44793</v>
      </c>
    </row>
    <row r="3580" spans="1:10" x14ac:dyDescent="0.35">
      <c r="A3580" s="2">
        <v>44785</v>
      </c>
      <c r="B3580" s="3">
        <v>0.1910300925925926</v>
      </c>
      <c r="C3580">
        <v>1813</v>
      </c>
      <c r="D3580" t="str">
        <f>VLOOKUP(H3580,Produkt!$A$2:$B$5,2,FALSE)</f>
        <v>C</v>
      </c>
      <c r="H3580">
        <v>3</v>
      </c>
      <c r="I3580">
        <v>0.75696759259259261</v>
      </c>
      <c r="J3580">
        <v>44794</v>
      </c>
    </row>
    <row r="3581" spans="1:10" x14ac:dyDescent="0.35">
      <c r="A3581" s="2">
        <v>44785</v>
      </c>
      <c r="B3581" s="3">
        <v>0.82967592592592598</v>
      </c>
      <c r="C3581">
        <v>1814</v>
      </c>
      <c r="D3581" t="str">
        <f>VLOOKUP(H3581,Produkt!$A$2:$B$5,2,FALSE)</f>
        <v>B</v>
      </c>
      <c r="H3581">
        <v>2</v>
      </c>
      <c r="I3581">
        <v>0.60828703703703701</v>
      </c>
      <c r="J3581">
        <v>44776</v>
      </c>
    </row>
    <row r="3582" spans="1:10" x14ac:dyDescent="0.35">
      <c r="A3582" s="2">
        <v>44785</v>
      </c>
      <c r="B3582" s="3">
        <v>4.0648148148148149E-2</v>
      </c>
      <c r="C3582">
        <v>1863</v>
      </c>
      <c r="D3582" t="str">
        <f>VLOOKUP(H3582,Produkt!$A$2:$B$5,2,FALSE)</f>
        <v>C</v>
      </c>
      <c r="H3582">
        <v>3</v>
      </c>
      <c r="I3582">
        <v>0.83887731481481476</v>
      </c>
      <c r="J3582">
        <v>44777</v>
      </c>
    </row>
    <row r="3583" spans="1:10" x14ac:dyDescent="0.35">
      <c r="A3583" s="2">
        <v>44785</v>
      </c>
      <c r="B3583" s="3">
        <v>8.8530092592592591E-2</v>
      </c>
      <c r="C3583">
        <v>1877</v>
      </c>
      <c r="D3583" t="str">
        <f>VLOOKUP(H3583,Produkt!$A$2:$B$5,2,FALSE)</f>
        <v>A</v>
      </c>
      <c r="H3583">
        <v>1</v>
      </c>
      <c r="I3583">
        <v>0.49185185185185182</v>
      </c>
      <c r="J3583">
        <v>44777</v>
      </c>
    </row>
    <row r="3584" spans="1:10" x14ac:dyDescent="0.35">
      <c r="A3584" s="2">
        <v>44785</v>
      </c>
      <c r="B3584" s="3">
        <v>0.50855324074074071</v>
      </c>
      <c r="C3584">
        <v>1896</v>
      </c>
      <c r="D3584" t="str">
        <f>VLOOKUP(H3584,Produkt!$A$2:$B$5,2,FALSE)</f>
        <v>D</v>
      </c>
      <c r="H3584">
        <v>4</v>
      </c>
      <c r="I3584">
        <v>0.96726851851851858</v>
      </c>
      <c r="J3584">
        <v>44774</v>
      </c>
    </row>
    <row r="3585" spans="1:10" x14ac:dyDescent="0.35">
      <c r="A3585" s="2">
        <v>44785</v>
      </c>
      <c r="B3585" s="3">
        <v>0.14258101851851854</v>
      </c>
      <c r="C3585">
        <v>1917</v>
      </c>
      <c r="D3585" t="str">
        <f>VLOOKUP(H3585,Produkt!$A$2:$B$5,2,FALSE)</f>
        <v>D</v>
      </c>
      <c r="H3585">
        <v>4</v>
      </c>
      <c r="I3585">
        <v>0.63175925925925924</v>
      </c>
      <c r="J3585">
        <v>44788</v>
      </c>
    </row>
    <row r="3586" spans="1:10" x14ac:dyDescent="0.35">
      <c r="A3586" s="2">
        <v>44785</v>
      </c>
      <c r="B3586" s="3">
        <v>0.30245370370370367</v>
      </c>
      <c r="C3586">
        <v>1928</v>
      </c>
      <c r="D3586" t="str">
        <f>VLOOKUP(H3586,Produkt!$A$2:$B$5,2,FALSE)</f>
        <v>C</v>
      </c>
      <c r="H3586">
        <v>3</v>
      </c>
      <c r="I3586">
        <v>3.2685185185185262E-2</v>
      </c>
      <c r="J3586">
        <v>44795</v>
      </c>
    </row>
    <row r="3587" spans="1:10" x14ac:dyDescent="0.35">
      <c r="A3587" s="2">
        <v>44785</v>
      </c>
      <c r="B3587" s="3">
        <v>0.61798611111111112</v>
      </c>
      <c r="C3587">
        <v>1972</v>
      </c>
      <c r="D3587" t="str">
        <f>VLOOKUP(H3587,Produkt!$A$2:$B$5,2,FALSE)</f>
        <v>A</v>
      </c>
      <c r="H3587">
        <v>1</v>
      </c>
      <c r="I3587">
        <v>0.30150462962962959</v>
      </c>
      <c r="J3587">
        <v>44802</v>
      </c>
    </row>
    <row r="3588" spans="1:10" x14ac:dyDescent="0.35">
      <c r="A3588" s="2">
        <v>44785</v>
      </c>
      <c r="B3588" s="3">
        <v>0.39496527777777773</v>
      </c>
      <c r="C3588">
        <v>1997</v>
      </c>
      <c r="D3588" t="str">
        <f>VLOOKUP(H3588,Produkt!$A$2:$B$5,2,FALSE)</f>
        <v>C</v>
      </c>
      <c r="H3588">
        <v>3</v>
      </c>
      <c r="I3588">
        <v>5.6365740740740742E-3</v>
      </c>
      <c r="J3588">
        <v>44774</v>
      </c>
    </row>
    <row r="3589" spans="1:10" x14ac:dyDescent="0.35">
      <c r="A3589" s="2">
        <v>44785</v>
      </c>
      <c r="B3589" s="3">
        <v>0.83444444444444443</v>
      </c>
      <c r="C3589">
        <v>2038</v>
      </c>
      <c r="D3589" t="str">
        <f>VLOOKUP(H3589,Produkt!$A$2:$B$5,2,FALSE)</f>
        <v>D</v>
      </c>
      <c r="H3589">
        <v>4</v>
      </c>
      <c r="I3589">
        <v>1.3923611111111178E-2</v>
      </c>
      <c r="J3589">
        <v>44803</v>
      </c>
    </row>
    <row r="3590" spans="1:10" x14ac:dyDescent="0.35">
      <c r="A3590" s="2">
        <v>44785</v>
      </c>
      <c r="B3590" s="3">
        <v>0.56886574074074081</v>
      </c>
      <c r="C3590">
        <v>2072</v>
      </c>
      <c r="D3590" t="str">
        <f>VLOOKUP(H3590,Produkt!$A$2:$B$5,2,FALSE)</f>
        <v>C</v>
      </c>
      <c r="H3590">
        <v>3</v>
      </c>
      <c r="I3590">
        <v>0.40479166666666666</v>
      </c>
      <c r="J3590">
        <v>44787</v>
      </c>
    </row>
    <row r="3591" spans="1:10" x14ac:dyDescent="0.35">
      <c r="A3591" s="2">
        <v>44785</v>
      </c>
      <c r="B3591" s="3">
        <v>0.29471064814814812</v>
      </c>
      <c r="C3591">
        <v>2123</v>
      </c>
      <c r="D3591" t="str">
        <f>VLOOKUP(H3591,Produkt!$A$2:$B$5,2,FALSE)</f>
        <v>D</v>
      </c>
      <c r="H3591">
        <v>4</v>
      </c>
      <c r="I3591">
        <v>0.67677083333333332</v>
      </c>
      <c r="J3591">
        <v>44795</v>
      </c>
    </row>
    <row r="3592" spans="1:10" x14ac:dyDescent="0.35">
      <c r="A3592" s="2">
        <v>44785</v>
      </c>
      <c r="B3592" s="3">
        <v>0.84416666666666673</v>
      </c>
      <c r="C3592">
        <v>2180</v>
      </c>
      <c r="D3592" t="str">
        <f>VLOOKUP(H3592,Produkt!$A$2:$B$5,2,FALSE)</f>
        <v>D</v>
      </c>
      <c r="H3592">
        <v>4</v>
      </c>
      <c r="I3592">
        <v>0.35986111111111113</v>
      </c>
      <c r="J3592">
        <v>44798</v>
      </c>
    </row>
    <row r="3593" spans="1:10" x14ac:dyDescent="0.35">
      <c r="A3593" s="2">
        <v>44785</v>
      </c>
      <c r="B3593" s="3">
        <v>0.26295138888888886</v>
      </c>
      <c r="C3593">
        <v>2186</v>
      </c>
      <c r="D3593" t="str">
        <f>VLOOKUP(H3593,Produkt!$A$2:$B$5,2,FALSE)</f>
        <v>C</v>
      </c>
      <c r="H3593">
        <v>3</v>
      </c>
      <c r="I3593">
        <v>5.7430555555555561E-2</v>
      </c>
      <c r="J3593">
        <v>44796</v>
      </c>
    </row>
    <row r="3594" spans="1:10" x14ac:dyDescent="0.35">
      <c r="A3594" s="2">
        <v>44785</v>
      </c>
      <c r="B3594" s="3">
        <v>0.43163194444444447</v>
      </c>
      <c r="C3594">
        <v>2210</v>
      </c>
      <c r="D3594" t="str">
        <f>VLOOKUP(H3594,Produkt!$A$2:$B$5,2,FALSE)</f>
        <v>B</v>
      </c>
      <c r="H3594">
        <v>2</v>
      </c>
      <c r="I3594">
        <v>0.92692129629629638</v>
      </c>
      <c r="J3594">
        <v>44797</v>
      </c>
    </row>
    <row r="3595" spans="1:10" x14ac:dyDescent="0.35">
      <c r="A3595" s="2">
        <v>44785</v>
      </c>
      <c r="B3595" s="3">
        <v>0.52708333333333335</v>
      </c>
      <c r="C3595">
        <v>2225</v>
      </c>
      <c r="D3595" t="str">
        <f>VLOOKUP(H3595,Produkt!$A$2:$B$5,2,FALSE)</f>
        <v>A</v>
      </c>
      <c r="H3595">
        <v>1</v>
      </c>
      <c r="I3595">
        <v>0.76974537037037039</v>
      </c>
      <c r="J3595">
        <v>44794</v>
      </c>
    </row>
    <row r="3596" spans="1:10" x14ac:dyDescent="0.35">
      <c r="A3596" s="2">
        <v>44785</v>
      </c>
      <c r="B3596" s="3">
        <v>0.94143518518518521</v>
      </c>
      <c r="C3596">
        <v>2296</v>
      </c>
      <c r="D3596" t="str">
        <f>VLOOKUP(H3596,Produkt!$A$2:$B$5,2,FALSE)</f>
        <v>A</v>
      </c>
      <c r="H3596">
        <v>1</v>
      </c>
      <c r="I3596">
        <v>0.52981481481481485</v>
      </c>
      <c r="J3596">
        <v>44802</v>
      </c>
    </row>
    <row r="3597" spans="1:10" x14ac:dyDescent="0.35">
      <c r="A3597" s="2">
        <v>44785</v>
      </c>
      <c r="B3597" s="3">
        <v>0.92167824074074067</v>
      </c>
      <c r="C3597">
        <v>2312</v>
      </c>
      <c r="D3597" t="str">
        <f>VLOOKUP(H3597,Produkt!$A$2:$B$5,2,FALSE)</f>
        <v>C</v>
      </c>
      <c r="H3597">
        <v>3</v>
      </c>
      <c r="I3597">
        <v>0.53790509259259256</v>
      </c>
      <c r="J3597">
        <v>44788</v>
      </c>
    </row>
    <row r="3598" spans="1:10" x14ac:dyDescent="0.35">
      <c r="A3598" s="2">
        <v>44785</v>
      </c>
      <c r="B3598" s="3">
        <v>0.88105324074074076</v>
      </c>
      <c r="C3598">
        <v>2345</v>
      </c>
      <c r="D3598" t="str">
        <f>VLOOKUP(H3598,Produkt!$A$2:$B$5,2,FALSE)</f>
        <v>A</v>
      </c>
      <c r="H3598">
        <v>1</v>
      </c>
      <c r="I3598">
        <v>0.20078703703703704</v>
      </c>
      <c r="J3598">
        <v>44794</v>
      </c>
    </row>
    <row r="3599" spans="1:10" x14ac:dyDescent="0.35">
      <c r="A3599" s="2">
        <v>44785</v>
      </c>
      <c r="B3599" s="3">
        <v>0.64886574074074077</v>
      </c>
      <c r="C3599">
        <v>2353</v>
      </c>
      <c r="D3599" t="str">
        <f>VLOOKUP(H3599,Produkt!$A$2:$B$5,2,FALSE)</f>
        <v>C</v>
      </c>
      <c r="H3599">
        <v>3</v>
      </c>
      <c r="I3599">
        <v>0.72369212962962959</v>
      </c>
      <c r="J3599">
        <v>44784</v>
      </c>
    </row>
    <row r="3600" spans="1:10" x14ac:dyDescent="0.35">
      <c r="A3600" s="2">
        <v>44785</v>
      </c>
      <c r="B3600" s="3">
        <v>0.20571759259259259</v>
      </c>
      <c r="C3600">
        <v>2362</v>
      </c>
      <c r="D3600" t="str">
        <f>VLOOKUP(H3600,Produkt!$A$2:$B$5,2,FALSE)</f>
        <v>A</v>
      </c>
      <c r="H3600">
        <v>1</v>
      </c>
      <c r="I3600">
        <v>0.84343749999999995</v>
      </c>
      <c r="J3600">
        <v>44793</v>
      </c>
    </row>
    <row r="3601" spans="1:10" x14ac:dyDescent="0.35">
      <c r="A3601" s="2">
        <v>44785</v>
      </c>
      <c r="B3601" s="3">
        <v>0.35964120370370373</v>
      </c>
      <c r="C3601">
        <v>2446</v>
      </c>
      <c r="D3601" t="str">
        <f>VLOOKUP(H3601,Produkt!$A$2:$B$5,2,FALSE)</f>
        <v>A</v>
      </c>
      <c r="H3601">
        <v>1</v>
      </c>
      <c r="I3601">
        <v>0.80902777777777779</v>
      </c>
      <c r="J3601">
        <v>44777</v>
      </c>
    </row>
    <row r="3602" spans="1:10" x14ac:dyDescent="0.35">
      <c r="A3602" s="2">
        <v>44785</v>
      </c>
      <c r="B3602" s="3">
        <v>0.5948148148148148</v>
      </c>
      <c r="C3602">
        <v>2483</v>
      </c>
      <c r="D3602" t="str">
        <f>VLOOKUP(H3602,Produkt!$A$2:$B$5,2,FALSE)</f>
        <v>B</v>
      </c>
      <c r="H3602">
        <v>2</v>
      </c>
      <c r="I3602">
        <v>0.82348379629629631</v>
      </c>
      <c r="J3602">
        <v>44799</v>
      </c>
    </row>
    <row r="3603" spans="1:10" x14ac:dyDescent="0.35">
      <c r="A3603" s="2">
        <v>44785</v>
      </c>
      <c r="B3603" s="3">
        <v>0.65467592592592594</v>
      </c>
      <c r="C3603">
        <v>2512</v>
      </c>
      <c r="D3603" t="str">
        <f>VLOOKUP(H3603,Produkt!$A$2:$B$5,2,FALSE)</f>
        <v>C</v>
      </c>
      <c r="H3603">
        <v>3</v>
      </c>
      <c r="I3603">
        <v>0.52159722222222216</v>
      </c>
      <c r="J3603">
        <v>44785</v>
      </c>
    </row>
    <row r="3604" spans="1:10" x14ac:dyDescent="0.35">
      <c r="A3604" s="2">
        <v>44785</v>
      </c>
      <c r="B3604" s="3">
        <v>7.2916666666666671E-2</v>
      </c>
      <c r="C3604">
        <v>2543</v>
      </c>
      <c r="D3604" t="str">
        <f>VLOOKUP(H3604,Produkt!$A$2:$B$5,2,FALSE)</f>
        <v>B</v>
      </c>
      <c r="H3604">
        <v>2</v>
      </c>
      <c r="I3604">
        <v>0.94119212962962961</v>
      </c>
      <c r="J3604">
        <v>44785</v>
      </c>
    </row>
    <row r="3605" spans="1:10" x14ac:dyDescent="0.35">
      <c r="A3605" s="2">
        <v>44785</v>
      </c>
      <c r="B3605" s="3">
        <v>0.96261574074074074</v>
      </c>
      <c r="C3605">
        <v>2558</v>
      </c>
      <c r="D3605" t="str">
        <f>VLOOKUP(H3605,Produkt!$A$2:$B$5,2,FALSE)</f>
        <v>B</v>
      </c>
      <c r="H3605">
        <v>2</v>
      </c>
      <c r="I3605">
        <v>0.45635416666666667</v>
      </c>
      <c r="J3605">
        <v>44784</v>
      </c>
    </row>
    <row r="3606" spans="1:10" x14ac:dyDescent="0.35">
      <c r="A3606" s="2">
        <v>44785</v>
      </c>
      <c r="B3606" s="3">
        <v>1.9814814814814816E-2</v>
      </c>
      <c r="C3606">
        <v>2569</v>
      </c>
      <c r="D3606" t="str">
        <f>VLOOKUP(H3606,Produkt!$A$2:$B$5,2,FALSE)</f>
        <v>D</v>
      </c>
      <c r="H3606">
        <v>4</v>
      </c>
      <c r="I3606">
        <v>0.96528935185185183</v>
      </c>
      <c r="J3606">
        <v>44791</v>
      </c>
    </row>
    <row r="3607" spans="1:10" x14ac:dyDescent="0.35">
      <c r="A3607" s="2">
        <v>44785</v>
      </c>
      <c r="B3607" s="3">
        <v>0.16017361111111111</v>
      </c>
      <c r="C3607">
        <v>2571</v>
      </c>
      <c r="D3607" t="str">
        <f>VLOOKUP(H3607,Produkt!$A$2:$B$5,2,FALSE)</f>
        <v>C</v>
      </c>
      <c r="H3607">
        <v>3</v>
      </c>
      <c r="I3607">
        <v>5.6805555555555554E-2</v>
      </c>
      <c r="J3607">
        <v>44790</v>
      </c>
    </row>
    <row r="3608" spans="1:10" x14ac:dyDescent="0.35">
      <c r="A3608" s="2">
        <v>44785</v>
      </c>
      <c r="B3608" s="3">
        <v>0.30547453703703703</v>
      </c>
      <c r="C3608">
        <v>2573</v>
      </c>
      <c r="D3608" t="str">
        <f>VLOOKUP(H3608,Produkt!$A$2:$B$5,2,FALSE)</f>
        <v>A</v>
      </c>
      <c r="H3608">
        <v>1</v>
      </c>
      <c r="I3608">
        <v>0.75456018518518519</v>
      </c>
      <c r="J3608">
        <v>44803</v>
      </c>
    </row>
    <row r="3609" spans="1:10" x14ac:dyDescent="0.35">
      <c r="A3609" s="2">
        <v>44785</v>
      </c>
      <c r="B3609" s="3">
        <v>0.42406250000000001</v>
      </c>
      <c r="C3609">
        <v>2629</v>
      </c>
      <c r="D3609" t="str">
        <f>VLOOKUP(H3609,Produkt!$A$2:$B$5,2,FALSE)</f>
        <v>D</v>
      </c>
      <c r="H3609">
        <v>4</v>
      </c>
      <c r="I3609">
        <v>0.94697916666666659</v>
      </c>
      <c r="J3609">
        <v>44778</v>
      </c>
    </row>
    <row r="3610" spans="1:10" x14ac:dyDescent="0.35">
      <c r="A3610" s="2">
        <v>44785</v>
      </c>
      <c r="B3610" s="3">
        <v>0.28087962962962965</v>
      </c>
      <c r="C3610">
        <v>2642</v>
      </c>
      <c r="D3610" t="str">
        <f>VLOOKUP(H3610,Produkt!$A$2:$B$5,2,FALSE)</f>
        <v>B</v>
      </c>
      <c r="H3610">
        <v>2</v>
      </c>
      <c r="I3610">
        <v>0.84650462962962969</v>
      </c>
      <c r="J3610">
        <v>44788</v>
      </c>
    </row>
    <row r="3611" spans="1:10" x14ac:dyDescent="0.35">
      <c r="A3611" s="2">
        <v>44785</v>
      </c>
      <c r="B3611" s="3">
        <v>0.43958333333333338</v>
      </c>
      <c r="C3611">
        <v>2672</v>
      </c>
      <c r="D3611" t="str">
        <f>VLOOKUP(H3611,Produkt!$A$2:$B$5,2,FALSE)</f>
        <v>B</v>
      </c>
      <c r="H3611">
        <v>2</v>
      </c>
      <c r="I3611">
        <v>0.71690972222222227</v>
      </c>
      <c r="J3611">
        <v>44776</v>
      </c>
    </row>
    <row r="3612" spans="1:10" x14ac:dyDescent="0.35">
      <c r="A3612" s="2">
        <v>44785</v>
      </c>
      <c r="B3612" s="3">
        <v>0.56561342592592589</v>
      </c>
      <c r="C3612">
        <v>2681</v>
      </c>
      <c r="D3612" t="str">
        <f>VLOOKUP(H3612,Produkt!$A$2:$B$5,2,FALSE)</f>
        <v>B</v>
      </c>
      <c r="H3612">
        <v>2</v>
      </c>
      <c r="I3612">
        <v>0.43</v>
      </c>
      <c r="J3612">
        <v>44777</v>
      </c>
    </row>
    <row r="3613" spans="1:10" x14ac:dyDescent="0.35">
      <c r="A3613" s="2">
        <v>44785</v>
      </c>
      <c r="B3613" s="3">
        <v>0.97876157407407405</v>
      </c>
      <c r="C3613">
        <v>2682</v>
      </c>
      <c r="D3613" t="str">
        <f>VLOOKUP(H3613,Produkt!$A$2:$B$5,2,FALSE)</f>
        <v>A</v>
      </c>
      <c r="H3613">
        <v>1</v>
      </c>
      <c r="I3613">
        <v>0.96648148148148139</v>
      </c>
      <c r="J3613">
        <v>44785</v>
      </c>
    </row>
    <row r="3614" spans="1:10" x14ac:dyDescent="0.35">
      <c r="A3614" s="2">
        <v>44785</v>
      </c>
      <c r="B3614" s="3">
        <v>0.76333333333333331</v>
      </c>
      <c r="C3614">
        <v>2728</v>
      </c>
      <c r="D3614" t="str">
        <f>VLOOKUP(H3614,Produkt!$A$2:$B$5,2,FALSE)</f>
        <v>C</v>
      </c>
      <c r="H3614">
        <v>3</v>
      </c>
      <c r="I3614">
        <v>0.96231481481481485</v>
      </c>
      <c r="J3614">
        <v>44783</v>
      </c>
    </row>
    <row r="3615" spans="1:10" x14ac:dyDescent="0.35">
      <c r="A3615" s="2">
        <v>44785</v>
      </c>
      <c r="B3615" s="3">
        <v>0.75583333333333336</v>
      </c>
      <c r="C3615">
        <v>2802</v>
      </c>
      <c r="D3615" t="str">
        <f>VLOOKUP(H3615,Produkt!$A$2:$B$5,2,FALSE)</f>
        <v>C</v>
      </c>
      <c r="H3615">
        <v>3</v>
      </c>
      <c r="I3615">
        <v>0.81313657407407414</v>
      </c>
      <c r="J3615">
        <v>44776</v>
      </c>
    </row>
    <row r="3616" spans="1:10" x14ac:dyDescent="0.35">
      <c r="A3616" s="2">
        <v>44785</v>
      </c>
      <c r="B3616" s="3">
        <v>0.86989583333333342</v>
      </c>
      <c r="C3616">
        <v>2804</v>
      </c>
      <c r="D3616" t="str">
        <f>VLOOKUP(H3616,Produkt!$A$2:$B$5,2,FALSE)</f>
        <v>C</v>
      </c>
      <c r="H3616">
        <v>3</v>
      </c>
      <c r="I3616">
        <v>0.58766203703703701</v>
      </c>
      <c r="J3616">
        <v>44801</v>
      </c>
    </row>
    <row r="3617" spans="1:10" x14ac:dyDescent="0.35">
      <c r="A3617" s="2">
        <v>44785</v>
      </c>
      <c r="B3617" s="3">
        <v>0.61670138888888892</v>
      </c>
      <c r="C3617">
        <v>2864</v>
      </c>
      <c r="D3617" t="str">
        <f>VLOOKUP(H3617,Produkt!$A$2:$B$5,2,FALSE)</f>
        <v>C</v>
      </c>
      <c r="H3617">
        <v>3</v>
      </c>
      <c r="I3617">
        <v>0.9355902777777777</v>
      </c>
      <c r="J3617">
        <v>44785</v>
      </c>
    </row>
    <row r="3618" spans="1:10" x14ac:dyDescent="0.35">
      <c r="A3618" s="2">
        <v>44785</v>
      </c>
      <c r="B3618" s="3">
        <v>2.3171296296296218E-2</v>
      </c>
      <c r="C3618">
        <v>2875</v>
      </c>
      <c r="D3618" t="str">
        <f>VLOOKUP(H3618,Produkt!$A$2:$B$5,2,FALSE)</f>
        <v>A</v>
      </c>
      <c r="H3618">
        <v>1</v>
      </c>
      <c r="I3618">
        <v>0.1739236111111111</v>
      </c>
      <c r="J3618">
        <v>44803</v>
      </c>
    </row>
    <row r="3619" spans="1:10" x14ac:dyDescent="0.35">
      <c r="A3619" s="2">
        <v>44785</v>
      </c>
      <c r="B3619" s="3">
        <v>0.42935185185185182</v>
      </c>
      <c r="C3619">
        <v>2912</v>
      </c>
      <c r="D3619" t="str">
        <f>VLOOKUP(H3619,Produkt!$A$2:$B$5,2,FALSE)</f>
        <v>D</v>
      </c>
      <c r="H3619">
        <v>4</v>
      </c>
      <c r="I3619">
        <v>8.5925925925925919E-2</v>
      </c>
      <c r="J3619">
        <v>44783</v>
      </c>
    </row>
    <row r="3620" spans="1:10" x14ac:dyDescent="0.35">
      <c r="A3620" s="2">
        <v>44785</v>
      </c>
      <c r="B3620" s="3">
        <v>0.10090277777777779</v>
      </c>
      <c r="C3620">
        <v>2953</v>
      </c>
      <c r="D3620" t="str">
        <f>VLOOKUP(H3620,Produkt!$A$2:$B$5,2,FALSE)</f>
        <v>A</v>
      </c>
      <c r="H3620">
        <v>1</v>
      </c>
      <c r="I3620">
        <v>0.25593749999999998</v>
      </c>
      <c r="J3620">
        <v>44796</v>
      </c>
    </row>
    <row r="3621" spans="1:10" x14ac:dyDescent="0.35">
      <c r="A3621" s="2">
        <v>44785</v>
      </c>
      <c r="B3621" s="3">
        <v>0.38575231481481481</v>
      </c>
      <c r="C3621">
        <v>3021</v>
      </c>
      <c r="D3621" t="str">
        <f>VLOOKUP(H3621,Produkt!$A$2:$B$5,2,FALSE)</f>
        <v>D</v>
      </c>
      <c r="H3621">
        <v>4</v>
      </c>
      <c r="I3621">
        <v>0.71947916666666656</v>
      </c>
      <c r="J3621">
        <v>44786</v>
      </c>
    </row>
    <row r="3622" spans="1:10" x14ac:dyDescent="0.35">
      <c r="A3622" s="2">
        <v>44785</v>
      </c>
      <c r="B3622" s="3">
        <v>0.2870833333333333</v>
      </c>
      <c r="C3622">
        <v>3073</v>
      </c>
      <c r="D3622" t="str">
        <f>VLOOKUP(H3622,Produkt!$A$2:$B$5,2,FALSE)</f>
        <v>D</v>
      </c>
      <c r="H3622">
        <v>4</v>
      </c>
      <c r="I3622">
        <v>0.96248842592592598</v>
      </c>
      <c r="J3622">
        <v>44779</v>
      </c>
    </row>
    <row r="3623" spans="1:10" x14ac:dyDescent="0.35">
      <c r="A3623" s="2">
        <v>44785</v>
      </c>
      <c r="B3623" s="3">
        <v>3.3125000000000071E-2</v>
      </c>
      <c r="C3623">
        <v>3131</v>
      </c>
      <c r="D3623" t="str">
        <f>VLOOKUP(H3623,Produkt!$A$2:$B$5,2,FALSE)</f>
        <v>D</v>
      </c>
      <c r="H3623">
        <v>4</v>
      </c>
      <c r="I3623">
        <v>3.6134259259259283E-2</v>
      </c>
      <c r="J3623">
        <v>44778</v>
      </c>
    </row>
    <row r="3624" spans="1:10" x14ac:dyDescent="0.35">
      <c r="A3624" s="2">
        <v>44785</v>
      </c>
      <c r="B3624" s="3">
        <v>0.73396990740740742</v>
      </c>
      <c r="C3624">
        <v>3143</v>
      </c>
      <c r="D3624" t="str">
        <f>VLOOKUP(H3624,Produkt!$A$2:$B$5,2,FALSE)</f>
        <v>A</v>
      </c>
      <c r="H3624">
        <v>1</v>
      </c>
      <c r="I3624">
        <v>0.27712962962962967</v>
      </c>
      <c r="J3624">
        <v>44797</v>
      </c>
    </row>
    <row r="3625" spans="1:10" x14ac:dyDescent="0.35">
      <c r="A3625" s="2">
        <v>44785</v>
      </c>
      <c r="B3625" s="3">
        <v>0.73063657407407412</v>
      </c>
      <c r="C3625">
        <v>3215</v>
      </c>
      <c r="D3625" t="str">
        <f>VLOOKUP(H3625,Produkt!$A$2:$B$5,2,FALSE)</f>
        <v>C</v>
      </c>
      <c r="H3625">
        <v>3</v>
      </c>
      <c r="I3625">
        <v>0.85850694444444453</v>
      </c>
      <c r="J3625">
        <v>44777</v>
      </c>
    </row>
    <row r="3626" spans="1:10" x14ac:dyDescent="0.35">
      <c r="A3626" s="2">
        <v>44785</v>
      </c>
      <c r="B3626" s="3">
        <v>0.80248842592592595</v>
      </c>
      <c r="C3626">
        <v>3220</v>
      </c>
      <c r="D3626" t="str">
        <f>VLOOKUP(H3626,Produkt!$A$2:$B$5,2,FALSE)</f>
        <v>D</v>
      </c>
      <c r="H3626">
        <v>4</v>
      </c>
      <c r="I3626">
        <v>0.92809027777777775</v>
      </c>
      <c r="J3626">
        <v>44803</v>
      </c>
    </row>
    <row r="3627" spans="1:10" x14ac:dyDescent="0.35">
      <c r="A3627" s="2">
        <v>44785</v>
      </c>
      <c r="B3627" s="3">
        <v>0.72462962962962962</v>
      </c>
      <c r="C3627">
        <v>3342</v>
      </c>
      <c r="D3627" t="str">
        <f>VLOOKUP(H3627,Produkt!$A$2:$B$5,2,FALSE)</f>
        <v>B</v>
      </c>
      <c r="H3627">
        <v>2</v>
      </c>
      <c r="I3627">
        <v>0.19394675925925928</v>
      </c>
      <c r="J3627">
        <v>44799</v>
      </c>
    </row>
    <row r="3628" spans="1:10" x14ac:dyDescent="0.35">
      <c r="A3628" s="2">
        <v>44785</v>
      </c>
      <c r="B3628" s="3">
        <v>0.40531249999999996</v>
      </c>
      <c r="C3628">
        <v>3364</v>
      </c>
      <c r="D3628" t="str">
        <f>VLOOKUP(H3628,Produkt!$A$2:$B$5,2,FALSE)</f>
        <v>D</v>
      </c>
      <c r="H3628">
        <v>4</v>
      </c>
      <c r="I3628">
        <v>0.4776157407407407</v>
      </c>
      <c r="J3628">
        <v>44800</v>
      </c>
    </row>
    <row r="3629" spans="1:10" x14ac:dyDescent="0.35">
      <c r="A3629" s="2">
        <v>44785</v>
      </c>
      <c r="B3629" s="3">
        <v>0.92273148148148154</v>
      </c>
      <c r="C3629">
        <v>3392</v>
      </c>
      <c r="D3629" t="str">
        <f>VLOOKUP(H3629,Produkt!$A$2:$B$5,2,FALSE)</f>
        <v>D</v>
      </c>
      <c r="H3629">
        <v>4</v>
      </c>
      <c r="I3629">
        <v>0.3772800925925926</v>
      </c>
      <c r="J3629">
        <v>44783</v>
      </c>
    </row>
    <row r="3630" spans="1:10" x14ac:dyDescent="0.35">
      <c r="A3630" s="2">
        <v>44785</v>
      </c>
      <c r="B3630" s="3">
        <v>0.74968749999999995</v>
      </c>
      <c r="C3630">
        <v>3395</v>
      </c>
      <c r="D3630" t="str">
        <f>VLOOKUP(H3630,Produkt!$A$2:$B$5,2,FALSE)</f>
        <v>D</v>
      </c>
      <c r="H3630">
        <v>4</v>
      </c>
      <c r="I3630">
        <v>0.12210648148148147</v>
      </c>
      <c r="J3630">
        <v>44800</v>
      </c>
    </row>
    <row r="3631" spans="1:10" x14ac:dyDescent="0.35">
      <c r="A3631" s="2">
        <v>44785</v>
      </c>
      <c r="B3631" s="3">
        <v>0.50237268518518519</v>
      </c>
      <c r="C3631">
        <v>3433</v>
      </c>
      <c r="D3631" t="str">
        <f>VLOOKUP(H3631,Produkt!$A$2:$B$5,2,FALSE)</f>
        <v>B</v>
      </c>
      <c r="H3631">
        <v>2</v>
      </c>
      <c r="I3631">
        <v>0.61343749999999997</v>
      </c>
      <c r="J3631">
        <v>44784</v>
      </c>
    </row>
    <row r="3632" spans="1:10" x14ac:dyDescent="0.35">
      <c r="A3632" s="2">
        <v>44785</v>
      </c>
      <c r="B3632" s="3">
        <v>0.79840277777777768</v>
      </c>
      <c r="C3632">
        <v>3434</v>
      </c>
      <c r="D3632" t="str">
        <f>VLOOKUP(H3632,Produkt!$A$2:$B$5,2,FALSE)</f>
        <v>B</v>
      </c>
      <c r="H3632">
        <v>2</v>
      </c>
      <c r="I3632">
        <v>2.3206018518518515E-2</v>
      </c>
      <c r="J3632">
        <v>44790</v>
      </c>
    </row>
    <row r="3633" spans="1:10" x14ac:dyDescent="0.35">
      <c r="A3633" s="2">
        <v>44785</v>
      </c>
      <c r="B3633" s="3">
        <v>0.9340856481481481</v>
      </c>
      <c r="C3633">
        <v>3447</v>
      </c>
      <c r="D3633" t="str">
        <f>VLOOKUP(H3633,Produkt!$A$2:$B$5,2,FALSE)</f>
        <v>B</v>
      </c>
      <c r="H3633">
        <v>2</v>
      </c>
      <c r="I3633">
        <v>0.54351851851851851</v>
      </c>
      <c r="J3633">
        <v>44790</v>
      </c>
    </row>
    <row r="3634" spans="1:10" x14ac:dyDescent="0.35">
      <c r="A3634" s="2">
        <v>44785</v>
      </c>
      <c r="B3634" s="3">
        <v>0.25987268518518519</v>
      </c>
      <c r="C3634">
        <v>3448</v>
      </c>
      <c r="D3634" t="str">
        <f>VLOOKUP(H3634,Produkt!$A$2:$B$5,2,FALSE)</f>
        <v>A</v>
      </c>
      <c r="H3634">
        <v>1</v>
      </c>
      <c r="I3634">
        <v>0.97849537037037038</v>
      </c>
      <c r="J3634">
        <v>44777</v>
      </c>
    </row>
    <row r="3635" spans="1:10" x14ac:dyDescent="0.35">
      <c r="A3635" s="2">
        <v>44785</v>
      </c>
      <c r="B3635" s="3">
        <v>0.73760416666666673</v>
      </c>
      <c r="C3635">
        <v>3483</v>
      </c>
      <c r="D3635" t="str">
        <f>VLOOKUP(H3635,Produkt!$A$2:$B$5,2,FALSE)</f>
        <v>B</v>
      </c>
      <c r="H3635">
        <v>2</v>
      </c>
      <c r="I3635">
        <v>0.84082175925925917</v>
      </c>
      <c r="J3635">
        <v>44777</v>
      </c>
    </row>
    <row r="3636" spans="1:10" x14ac:dyDescent="0.35">
      <c r="A3636" s="2">
        <v>44785</v>
      </c>
      <c r="B3636" s="3">
        <v>5.8391203703703702E-2</v>
      </c>
      <c r="C3636">
        <v>3484</v>
      </c>
      <c r="D3636" t="str">
        <f>VLOOKUP(H3636,Produkt!$A$2:$B$5,2,FALSE)</f>
        <v>C</v>
      </c>
      <c r="H3636">
        <v>3</v>
      </c>
      <c r="I3636">
        <v>0.78445601851851843</v>
      </c>
      <c r="J3636">
        <v>44783</v>
      </c>
    </row>
    <row r="3637" spans="1:10" x14ac:dyDescent="0.35">
      <c r="A3637" s="2">
        <v>44785</v>
      </c>
      <c r="B3637" s="3">
        <v>0.38500000000000001</v>
      </c>
      <c r="C3637">
        <v>3504</v>
      </c>
      <c r="D3637" t="str">
        <f>VLOOKUP(H3637,Produkt!$A$2:$B$5,2,FALSE)</f>
        <v>D</v>
      </c>
      <c r="H3637">
        <v>4</v>
      </c>
      <c r="I3637">
        <v>0.19909722222222223</v>
      </c>
      <c r="J3637">
        <v>44780</v>
      </c>
    </row>
    <row r="3638" spans="1:10" x14ac:dyDescent="0.35">
      <c r="A3638" s="2">
        <v>44785</v>
      </c>
      <c r="B3638" s="3">
        <v>0.79490740740740751</v>
      </c>
      <c r="C3638">
        <v>3531</v>
      </c>
      <c r="D3638" t="str">
        <f>VLOOKUP(H3638,Produkt!$A$2:$B$5,2,FALSE)</f>
        <v>D</v>
      </c>
      <c r="H3638">
        <v>4</v>
      </c>
      <c r="I3638">
        <v>0.38685185185185184</v>
      </c>
      <c r="J3638">
        <v>44779</v>
      </c>
    </row>
    <row r="3639" spans="1:10" x14ac:dyDescent="0.35">
      <c r="A3639" s="2">
        <v>44785</v>
      </c>
      <c r="B3639" s="3">
        <v>0.57474537037037032</v>
      </c>
      <c r="C3639">
        <v>3533</v>
      </c>
      <c r="D3639" t="str">
        <f>VLOOKUP(H3639,Produkt!$A$2:$B$5,2,FALSE)</f>
        <v>A</v>
      </c>
      <c r="H3639">
        <v>1</v>
      </c>
      <c r="I3639">
        <v>0.58207175925925925</v>
      </c>
      <c r="J3639">
        <v>44781</v>
      </c>
    </row>
    <row r="3640" spans="1:10" x14ac:dyDescent="0.35">
      <c r="A3640" s="2">
        <v>44785</v>
      </c>
      <c r="B3640" s="3">
        <v>0.99288194444444444</v>
      </c>
      <c r="C3640">
        <v>3557</v>
      </c>
      <c r="D3640" t="str">
        <f>VLOOKUP(H3640,Produkt!$A$2:$B$5,2,FALSE)</f>
        <v>A</v>
      </c>
      <c r="H3640">
        <v>1</v>
      </c>
      <c r="I3640">
        <v>0.2162847222222222</v>
      </c>
      <c r="J3640">
        <v>44779</v>
      </c>
    </row>
    <row r="3641" spans="1:10" x14ac:dyDescent="0.35">
      <c r="A3641" s="2">
        <v>44785</v>
      </c>
      <c r="B3641" s="3">
        <v>0.63175925925925924</v>
      </c>
      <c r="C3641">
        <v>3584</v>
      </c>
      <c r="D3641" t="str">
        <f>VLOOKUP(H3641,Produkt!$A$2:$B$5,2,FALSE)</f>
        <v>B</v>
      </c>
      <c r="H3641">
        <v>2</v>
      </c>
      <c r="I3641">
        <v>0.86232638888888891</v>
      </c>
      <c r="J3641">
        <v>44777</v>
      </c>
    </row>
    <row r="3642" spans="1:10" x14ac:dyDescent="0.35">
      <c r="A3642" s="2">
        <v>44785</v>
      </c>
      <c r="B3642" s="3">
        <v>0.20078703703703704</v>
      </c>
      <c r="C3642">
        <v>3597</v>
      </c>
      <c r="D3642" t="str">
        <f>VLOOKUP(H3642,Produkt!$A$2:$B$5,2,FALSE)</f>
        <v>C</v>
      </c>
      <c r="H3642">
        <v>3</v>
      </c>
      <c r="I3642">
        <v>0.28133101851851855</v>
      </c>
      <c r="J3642">
        <v>44777</v>
      </c>
    </row>
    <row r="3643" spans="1:10" x14ac:dyDescent="0.35">
      <c r="A3643" s="2">
        <v>44785</v>
      </c>
      <c r="B3643" s="3">
        <v>0.34563657407407405</v>
      </c>
      <c r="C3643">
        <v>3652</v>
      </c>
      <c r="D3643" t="str">
        <f>VLOOKUP(H3643,Produkt!$A$2:$B$5,2,FALSE)</f>
        <v>A</v>
      </c>
      <c r="H3643">
        <v>1</v>
      </c>
      <c r="I3643">
        <v>0.19293981481481481</v>
      </c>
      <c r="J3643">
        <v>44785</v>
      </c>
    </row>
    <row r="3644" spans="1:10" x14ac:dyDescent="0.35">
      <c r="A3644" s="2">
        <v>44785</v>
      </c>
      <c r="B3644" s="3">
        <v>0.62086805555555558</v>
      </c>
      <c r="C3644">
        <v>3747</v>
      </c>
      <c r="D3644" t="str">
        <f>VLOOKUP(H3644,Produkt!$A$2:$B$5,2,FALSE)</f>
        <v>C</v>
      </c>
      <c r="H3644">
        <v>3</v>
      </c>
      <c r="I3644">
        <v>0.45537037037037037</v>
      </c>
      <c r="J3644">
        <v>44797</v>
      </c>
    </row>
    <row r="3645" spans="1:10" x14ac:dyDescent="0.35">
      <c r="A3645" s="2">
        <v>44785</v>
      </c>
      <c r="B3645" s="3">
        <v>0.75134259259259262</v>
      </c>
      <c r="C3645">
        <v>3772</v>
      </c>
      <c r="D3645" t="str">
        <f>VLOOKUP(H3645,Produkt!$A$2:$B$5,2,FALSE)</f>
        <v>C</v>
      </c>
      <c r="H3645">
        <v>3</v>
      </c>
      <c r="I3645">
        <v>5.634259259259259E-2</v>
      </c>
      <c r="J3645">
        <v>44786</v>
      </c>
    </row>
    <row r="3646" spans="1:10" x14ac:dyDescent="0.35">
      <c r="A3646" s="2">
        <v>44785</v>
      </c>
      <c r="B3646" s="3">
        <v>0.46210648148148148</v>
      </c>
      <c r="C3646">
        <v>3834</v>
      </c>
      <c r="D3646" t="str">
        <f>VLOOKUP(H3646,Produkt!$A$2:$B$5,2,FALSE)</f>
        <v>A</v>
      </c>
      <c r="H3646">
        <v>1</v>
      </c>
      <c r="I3646">
        <v>0.20844907407407409</v>
      </c>
      <c r="J3646">
        <v>44789</v>
      </c>
    </row>
    <row r="3647" spans="1:10" x14ac:dyDescent="0.35">
      <c r="A3647" s="2">
        <v>44785</v>
      </c>
      <c r="B3647" s="3">
        <v>0.6115856481481482</v>
      </c>
      <c r="C3647">
        <v>3892</v>
      </c>
      <c r="D3647" t="str">
        <f>VLOOKUP(H3647,Produkt!$A$2:$B$5,2,FALSE)</f>
        <v>C</v>
      </c>
      <c r="H3647">
        <v>3</v>
      </c>
      <c r="I3647">
        <v>0.65342592592592597</v>
      </c>
      <c r="J3647">
        <v>44777</v>
      </c>
    </row>
    <row r="3648" spans="1:10" x14ac:dyDescent="0.35">
      <c r="A3648" s="2">
        <v>44785</v>
      </c>
      <c r="B3648" s="3">
        <v>0.76542824074074067</v>
      </c>
      <c r="C3648">
        <v>3894</v>
      </c>
      <c r="D3648" t="str">
        <f>VLOOKUP(H3648,Produkt!$A$2:$B$5,2,FALSE)</f>
        <v>B</v>
      </c>
      <c r="H3648">
        <v>2</v>
      </c>
      <c r="I3648">
        <v>0.21652777777777776</v>
      </c>
      <c r="J3648">
        <v>44798</v>
      </c>
    </row>
    <row r="3649" spans="1:10" x14ac:dyDescent="0.35">
      <c r="A3649" s="2">
        <v>44785</v>
      </c>
      <c r="B3649" s="3">
        <v>0.41714120370370367</v>
      </c>
      <c r="C3649">
        <v>3966</v>
      </c>
      <c r="D3649" t="str">
        <f>VLOOKUP(H3649,Produkt!$A$2:$B$5,2,FALSE)</f>
        <v>D</v>
      </c>
      <c r="H3649">
        <v>4</v>
      </c>
      <c r="I3649">
        <v>0.65979166666666667</v>
      </c>
      <c r="J3649">
        <v>44788</v>
      </c>
    </row>
    <row r="3650" spans="1:10" x14ac:dyDescent="0.35">
      <c r="A3650" s="2">
        <v>44785</v>
      </c>
      <c r="B3650" s="3">
        <v>0.17724537037037036</v>
      </c>
      <c r="C3650">
        <v>4005</v>
      </c>
      <c r="D3650" t="str">
        <f>VLOOKUP(H3650,Produkt!$A$2:$B$5,2,FALSE)</f>
        <v>D</v>
      </c>
      <c r="H3650">
        <v>4</v>
      </c>
      <c r="I3650">
        <v>0.52171296296296299</v>
      </c>
      <c r="J3650">
        <v>44793</v>
      </c>
    </row>
    <row r="3651" spans="1:10" x14ac:dyDescent="0.35">
      <c r="A3651" s="2">
        <v>44785</v>
      </c>
      <c r="B3651" s="3">
        <v>0.94611111111111112</v>
      </c>
      <c r="C3651">
        <v>4017</v>
      </c>
      <c r="D3651" t="str">
        <f>VLOOKUP(H3651,Produkt!$A$2:$B$5,2,FALSE)</f>
        <v>A</v>
      </c>
      <c r="H3651">
        <v>1</v>
      </c>
      <c r="I3651">
        <v>0.9698148148148148</v>
      </c>
      <c r="J3651">
        <v>44791</v>
      </c>
    </row>
    <row r="3652" spans="1:10" x14ac:dyDescent="0.35">
      <c r="A3652" s="2">
        <v>44785</v>
      </c>
      <c r="B3652" s="3">
        <v>0.67267361111111112</v>
      </c>
      <c r="C3652">
        <v>4098</v>
      </c>
      <c r="D3652" t="str">
        <f>VLOOKUP(H3652,Produkt!$A$2:$B$5,2,FALSE)</f>
        <v>D</v>
      </c>
      <c r="H3652">
        <v>4</v>
      </c>
      <c r="I3652">
        <v>0.1950462962962963</v>
      </c>
      <c r="J3652">
        <v>44802</v>
      </c>
    </row>
    <row r="3653" spans="1:10" x14ac:dyDescent="0.35">
      <c r="A3653" s="2">
        <v>44785</v>
      </c>
      <c r="B3653" s="3">
        <v>2.5636574074074072E-2</v>
      </c>
      <c r="C3653">
        <v>4120</v>
      </c>
      <c r="D3653" t="str">
        <f>VLOOKUP(H3653,Produkt!$A$2:$B$5,2,FALSE)</f>
        <v>C</v>
      </c>
      <c r="H3653">
        <v>3</v>
      </c>
      <c r="I3653">
        <v>0.34563657407407405</v>
      </c>
      <c r="J3653">
        <v>44775</v>
      </c>
    </row>
    <row r="3654" spans="1:10" x14ac:dyDescent="0.35">
      <c r="A3654" s="2">
        <v>44785</v>
      </c>
      <c r="B3654" s="3">
        <v>0.87149305555555545</v>
      </c>
      <c r="C3654">
        <v>4121</v>
      </c>
      <c r="D3654" t="str">
        <f>VLOOKUP(H3654,Produkt!$A$2:$B$5,2,FALSE)</f>
        <v>D</v>
      </c>
      <c r="H3654">
        <v>4</v>
      </c>
      <c r="I3654">
        <v>0.48449074074074078</v>
      </c>
      <c r="J3654">
        <v>44779</v>
      </c>
    </row>
    <row r="3655" spans="1:10" x14ac:dyDescent="0.35">
      <c r="A3655" s="2">
        <v>44785</v>
      </c>
      <c r="B3655" s="3">
        <v>0.13928240740740741</v>
      </c>
      <c r="C3655">
        <v>4135</v>
      </c>
      <c r="D3655" t="str">
        <f>VLOOKUP(H3655,Produkt!$A$2:$B$5,2,FALSE)</f>
        <v>A</v>
      </c>
      <c r="H3655">
        <v>1</v>
      </c>
      <c r="I3655">
        <v>0.8537499999999999</v>
      </c>
      <c r="J3655">
        <v>44790</v>
      </c>
    </row>
    <row r="3656" spans="1:10" x14ac:dyDescent="0.35">
      <c r="A3656" s="2">
        <v>44785</v>
      </c>
      <c r="B3656" s="3">
        <v>0.58416666666666661</v>
      </c>
      <c r="C3656">
        <v>4146</v>
      </c>
      <c r="D3656" t="str">
        <f>VLOOKUP(H3656,Produkt!$A$2:$B$5,2,FALSE)</f>
        <v>A</v>
      </c>
      <c r="H3656">
        <v>1</v>
      </c>
      <c r="I3656">
        <v>7.8877314814814817E-2</v>
      </c>
      <c r="J3656">
        <v>44800</v>
      </c>
    </row>
    <row r="3657" spans="1:10" x14ac:dyDescent="0.35">
      <c r="A3657" s="2">
        <v>44785</v>
      </c>
      <c r="B3657" s="3">
        <v>0.29258101851851853</v>
      </c>
      <c r="C3657">
        <v>4179</v>
      </c>
      <c r="D3657" t="str">
        <f>VLOOKUP(H3657,Produkt!$A$2:$B$5,2,FALSE)</f>
        <v>C</v>
      </c>
      <c r="H3657">
        <v>3</v>
      </c>
      <c r="I3657">
        <v>0.91090277777777784</v>
      </c>
      <c r="J3657">
        <v>44777</v>
      </c>
    </row>
    <row r="3658" spans="1:10" x14ac:dyDescent="0.35">
      <c r="A3658" s="2">
        <v>44785</v>
      </c>
      <c r="B3658" s="3">
        <v>0.50266203703703705</v>
      </c>
      <c r="C3658">
        <v>4202</v>
      </c>
      <c r="D3658" t="str">
        <f>VLOOKUP(H3658,Produkt!$A$2:$B$5,2,FALSE)</f>
        <v>D</v>
      </c>
      <c r="H3658">
        <v>4</v>
      </c>
      <c r="I3658">
        <v>0.4778587962962963</v>
      </c>
      <c r="J3658">
        <v>44774</v>
      </c>
    </row>
    <row r="3659" spans="1:10" x14ac:dyDescent="0.35">
      <c r="A3659" s="2">
        <v>44785</v>
      </c>
      <c r="B3659" s="3">
        <v>0.63549768518518512</v>
      </c>
      <c r="C3659">
        <v>4203</v>
      </c>
      <c r="D3659" t="str">
        <f>VLOOKUP(H3659,Produkt!$A$2:$B$5,2,FALSE)</f>
        <v>C</v>
      </c>
      <c r="H3659">
        <v>3</v>
      </c>
      <c r="I3659">
        <v>0.3991319444444445</v>
      </c>
      <c r="J3659">
        <v>44784</v>
      </c>
    </row>
    <row r="3660" spans="1:10" x14ac:dyDescent="0.35">
      <c r="A3660" s="2">
        <v>44785</v>
      </c>
      <c r="B3660" s="3">
        <v>0.78186342592592595</v>
      </c>
      <c r="C3660">
        <v>4252</v>
      </c>
      <c r="D3660" t="str">
        <f>VLOOKUP(H3660,Produkt!$A$2:$B$5,2,FALSE)</f>
        <v>B</v>
      </c>
      <c r="H3660">
        <v>2</v>
      </c>
      <c r="I3660">
        <v>0.4685185185185185</v>
      </c>
      <c r="J3660">
        <v>44781</v>
      </c>
    </row>
    <row r="3661" spans="1:10" x14ac:dyDescent="0.35">
      <c r="A3661" s="2">
        <v>44785</v>
      </c>
      <c r="B3661" s="3">
        <v>0.37321759259259263</v>
      </c>
      <c r="C3661">
        <v>4292</v>
      </c>
      <c r="D3661" t="str">
        <f>VLOOKUP(H3661,Produkt!$A$2:$B$5,2,FALSE)</f>
        <v>C</v>
      </c>
      <c r="H3661">
        <v>3</v>
      </c>
      <c r="I3661">
        <v>0.15672453703703704</v>
      </c>
      <c r="J3661">
        <v>44779</v>
      </c>
    </row>
    <row r="3662" spans="1:10" x14ac:dyDescent="0.35">
      <c r="A3662" s="2">
        <v>44785</v>
      </c>
      <c r="B3662" s="3">
        <v>0.9337847222222222</v>
      </c>
      <c r="C3662">
        <v>4307</v>
      </c>
      <c r="D3662" t="str">
        <f>VLOOKUP(H3662,Produkt!$A$2:$B$5,2,FALSE)</f>
        <v>C</v>
      </c>
      <c r="H3662">
        <v>3</v>
      </c>
      <c r="I3662">
        <v>5.092592592592593E-2</v>
      </c>
      <c r="J3662">
        <v>44802</v>
      </c>
    </row>
    <row r="3663" spans="1:10" x14ac:dyDescent="0.35">
      <c r="A3663" s="2">
        <v>44785</v>
      </c>
      <c r="B3663" s="3">
        <v>0.37784722222222222</v>
      </c>
      <c r="C3663">
        <v>4349</v>
      </c>
      <c r="D3663" t="str">
        <f>VLOOKUP(H3663,Produkt!$A$2:$B$5,2,FALSE)</f>
        <v>B</v>
      </c>
      <c r="H3663">
        <v>2</v>
      </c>
      <c r="I3663">
        <v>0.4598842592592593</v>
      </c>
      <c r="J3663">
        <v>44796</v>
      </c>
    </row>
    <row r="3664" spans="1:10" x14ac:dyDescent="0.35">
      <c r="A3664" s="2">
        <v>44785</v>
      </c>
      <c r="B3664" s="3">
        <v>1.5092592592592593E-2</v>
      </c>
      <c r="C3664">
        <v>4365</v>
      </c>
      <c r="D3664" t="str">
        <f>VLOOKUP(H3664,Produkt!$A$2:$B$5,2,FALSE)</f>
        <v>D</v>
      </c>
      <c r="H3664">
        <v>4</v>
      </c>
      <c r="I3664">
        <v>0.54033564814814816</v>
      </c>
      <c r="J3664">
        <v>44781</v>
      </c>
    </row>
    <row r="3665" spans="1:10" x14ac:dyDescent="0.35">
      <c r="A3665" s="2">
        <v>44785</v>
      </c>
      <c r="B3665" s="3">
        <v>0.96289351851851857</v>
      </c>
      <c r="C3665">
        <v>4374</v>
      </c>
      <c r="D3665" t="str">
        <f>VLOOKUP(H3665,Produkt!$A$2:$B$5,2,FALSE)</f>
        <v>C</v>
      </c>
      <c r="H3665">
        <v>3</v>
      </c>
      <c r="I3665">
        <v>0.99584490740740739</v>
      </c>
      <c r="J3665">
        <v>44798</v>
      </c>
    </row>
    <row r="3666" spans="1:10" x14ac:dyDescent="0.35">
      <c r="A3666" s="2">
        <v>44785</v>
      </c>
      <c r="B3666" s="3">
        <v>0.9084374999999999</v>
      </c>
      <c r="C3666">
        <v>4411</v>
      </c>
      <c r="D3666" t="str">
        <f>VLOOKUP(H3666,Produkt!$A$2:$B$5,2,FALSE)</f>
        <v>C</v>
      </c>
      <c r="H3666">
        <v>3</v>
      </c>
      <c r="I3666">
        <v>0.41363425925925923</v>
      </c>
      <c r="J3666">
        <v>44785</v>
      </c>
    </row>
    <row r="3667" spans="1:10" x14ac:dyDescent="0.35">
      <c r="A3667" s="2">
        <v>44785</v>
      </c>
      <c r="B3667" s="3">
        <v>0.56880787037037039</v>
      </c>
      <c r="C3667">
        <v>4417</v>
      </c>
      <c r="D3667" t="str">
        <f>VLOOKUP(H3667,Produkt!$A$2:$B$5,2,FALSE)</f>
        <v>B</v>
      </c>
      <c r="H3667">
        <v>2</v>
      </c>
      <c r="I3667">
        <v>0.10344907407407407</v>
      </c>
      <c r="J3667">
        <v>44794</v>
      </c>
    </row>
    <row r="3668" spans="1:10" x14ac:dyDescent="0.35">
      <c r="A3668" s="2">
        <v>44785</v>
      </c>
      <c r="B3668" s="3">
        <v>0.20868055555555556</v>
      </c>
      <c r="C3668">
        <v>4424</v>
      </c>
      <c r="D3668" t="str">
        <f>VLOOKUP(H3668,Produkt!$A$2:$B$5,2,FALSE)</f>
        <v>D</v>
      </c>
      <c r="H3668">
        <v>4</v>
      </c>
      <c r="I3668">
        <v>0.16465277777777779</v>
      </c>
      <c r="J3668">
        <v>44797</v>
      </c>
    </row>
    <row r="3669" spans="1:10" x14ac:dyDescent="0.35">
      <c r="A3669" s="2">
        <v>44785</v>
      </c>
      <c r="B3669" s="3">
        <v>0.92115740740740737</v>
      </c>
      <c r="C3669">
        <v>4428</v>
      </c>
      <c r="D3669" t="str">
        <f>VLOOKUP(H3669,Produkt!$A$2:$B$5,2,FALSE)</f>
        <v>D</v>
      </c>
      <c r="H3669">
        <v>4</v>
      </c>
      <c r="I3669">
        <v>9.2476851851851852E-2</v>
      </c>
      <c r="J3669">
        <v>44803</v>
      </c>
    </row>
    <row r="3670" spans="1:10" x14ac:dyDescent="0.35">
      <c r="A3670" s="2">
        <v>44785</v>
      </c>
      <c r="B3670" s="3">
        <v>9.0810185185185188E-2</v>
      </c>
      <c r="C3670">
        <v>4430</v>
      </c>
      <c r="D3670" t="str">
        <f>VLOOKUP(H3670,Produkt!$A$2:$B$5,2,FALSE)</f>
        <v>B</v>
      </c>
      <c r="H3670">
        <v>2</v>
      </c>
      <c r="I3670">
        <v>0.67414351851851861</v>
      </c>
      <c r="J3670">
        <v>44774</v>
      </c>
    </row>
    <row r="3671" spans="1:10" x14ac:dyDescent="0.35">
      <c r="A3671" s="2">
        <v>44785</v>
      </c>
      <c r="B3671" s="3">
        <v>0.4496296296296296</v>
      </c>
      <c r="C3671">
        <v>4442</v>
      </c>
      <c r="D3671" t="str">
        <f>VLOOKUP(H3671,Produkt!$A$2:$B$5,2,FALSE)</f>
        <v>D</v>
      </c>
      <c r="H3671">
        <v>4</v>
      </c>
      <c r="I3671">
        <v>0.27708333333333335</v>
      </c>
      <c r="J3671">
        <v>44782</v>
      </c>
    </row>
    <row r="3672" spans="1:10" x14ac:dyDescent="0.35">
      <c r="A3672" s="2">
        <v>44785</v>
      </c>
      <c r="B3672" s="3">
        <v>0.93270833333333336</v>
      </c>
      <c r="C3672">
        <v>4467</v>
      </c>
      <c r="D3672" t="str">
        <f>VLOOKUP(H3672,Produkt!$A$2:$B$5,2,FALSE)</f>
        <v>A</v>
      </c>
      <c r="H3672">
        <v>1</v>
      </c>
      <c r="I3672">
        <v>0.6228703703703703</v>
      </c>
      <c r="J3672">
        <v>44786</v>
      </c>
    </row>
    <row r="3673" spans="1:10" x14ac:dyDescent="0.35">
      <c r="A3673" s="2">
        <v>44785</v>
      </c>
      <c r="B3673" s="3">
        <v>0.50057870370370372</v>
      </c>
      <c r="C3673">
        <v>4542</v>
      </c>
      <c r="D3673" t="str">
        <f>VLOOKUP(H3673,Produkt!$A$2:$B$5,2,FALSE)</f>
        <v>C</v>
      </c>
      <c r="H3673">
        <v>3</v>
      </c>
      <c r="I3673">
        <v>0.97837962962962965</v>
      </c>
      <c r="J3673">
        <v>44804</v>
      </c>
    </row>
    <row r="3674" spans="1:10" x14ac:dyDescent="0.35">
      <c r="A3674" s="2">
        <v>44785</v>
      </c>
      <c r="B3674" s="3">
        <v>0.37571759259259258</v>
      </c>
      <c r="C3674">
        <v>4552</v>
      </c>
      <c r="D3674" t="str">
        <f>VLOOKUP(H3674,Produkt!$A$2:$B$5,2,FALSE)</f>
        <v>A</v>
      </c>
      <c r="H3674">
        <v>1</v>
      </c>
      <c r="I3674">
        <v>0.59400462962962963</v>
      </c>
      <c r="J3674">
        <v>44784</v>
      </c>
    </row>
    <row r="3675" spans="1:10" x14ac:dyDescent="0.35">
      <c r="A3675" s="2">
        <v>44785</v>
      </c>
      <c r="B3675" s="3">
        <v>0.625462962962963</v>
      </c>
      <c r="C3675">
        <v>4567</v>
      </c>
      <c r="D3675" t="str">
        <f>VLOOKUP(H3675,Produkt!$A$2:$B$5,2,FALSE)</f>
        <v>C</v>
      </c>
      <c r="H3675">
        <v>3</v>
      </c>
      <c r="I3675">
        <v>0.96325231481481488</v>
      </c>
      <c r="J3675">
        <v>44786</v>
      </c>
    </row>
    <row r="3676" spans="1:10" x14ac:dyDescent="0.35">
      <c r="A3676" s="2">
        <v>44785</v>
      </c>
      <c r="B3676" s="3">
        <v>0.85969907407407409</v>
      </c>
      <c r="C3676">
        <v>4576</v>
      </c>
      <c r="D3676" t="str">
        <f>VLOOKUP(H3676,Produkt!$A$2:$B$5,2,FALSE)</f>
        <v>A</v>
      </c>
      <c r="H3676">
        <v>1</v>
      </c>
      <c r="I3676">
        <v>0.35546296296296293</v>
      </c>
      <c r="J3676">
        <v>44799</v>
      </c>
    </row>
    <row r="3677" spans="1:10" x14ac:dyDescent="0.35">
      <c r="A3677" s="2">
        <v>44785</v>
      </c>
      <c r="B3677" s="3">
        <v>0.48858796296296297</v>
      </c>
      <c r="C3677">
        <v>4585</v>
      </c>
      <c r="D3677" t="str">
        <f>VLOOKUP(H3677,Produkt!$A$2:$B$5,2,FALSE)</f>
        <v>C</v>
      </c>
      <c r="H3677">
        <v>3</v>
      </c>
      <c r="I3677">
        <v>0.31057870370370372</v>
      </c>
      <c r="J3677">
        <v>44788</v>
      </c>
    </row>
    <row r="3678" spans="1:10" x14ac:dyDescent="0.35">
      <c r="A3678" s="2">
        <v>44785</v>
      </c>
      <c r="B3678" s="3">
        <v>0.66027777777777774</v>
      </c>
      <c r="C3678">
        <v>4616</v>
      </c>
      <c r="D3678" t="str">
        <f>VLOOKUP(H3678,Produkt!$A$2:$B$5,2,FALSE)</f>
        <v>B</v>
      </c>
      <c r="H3678">
        <v>2</v>
      </c>
      <c r="I3678">
        <v>0.30609953703703702</v>
      </c>
      <c r="J3678">
        <v>44796</v>
      </c>
    </row>
    <row r="3679" spans="1:10" x14ac:dyDescent="0.35">
      <c r="A3679" s="2">
        <v>44785</v>
      </c>
      <c r="B3679" s="3">
        <v>0.44027777777777777</v>
      </c>
      <c r="C3679">
        <v>4627</v>
      </c>
      <c r="D3679" t="str">
        <f>VLOOKUP(H3679,Produkt!$A$2:$B$5,2,FALSE)</f>
        <v>B</v>
      </c>
      <c r="H3679">
        <v>2</v>
      </c>
      <c r="I3679">
        <v>0.37193287037037037</v>
      </c>
      <c r="J3679">
        <v>44780</v>
      </c>
    </row>
    <row r="3680" spans="1:10" x14ac:dyDescent="0.35">
      <c r="A3680" s="2">
        <v>44785</v>
      </c>
      <c r="B3680" s="3">
        <v>0.46741898148148148</v>
      </c>
      <c r="C3680">
        <v>4714</v>
      </c>
      <c r="D3680" t="str">
        <f>VLOOKUP(H3680,Produkt!$A$2:$B$5,2,FALSE)</f>
        <v>A</v>
      </c>
      <c r="H3680">
        <v>1</v>
      </c>
      <c r="I3680">
        <v>0.14166666666666666</v>
      </c>
      <c r="J3680">
        <v>44798</v>
      </c>
    </row>
    <row r="3681" spans="1:10" x14ac:dyDescent="0.35">
      <c r="A3681" s="2">
        <v>44785</v>
      </c>
      <c r="B3681" s="3">
        <v>0.7244328703703703</v>
      </c>
      <c r="C3681">
        <v>4788</v>
      </c>
      <c r="D3681" t="str">
        <f>VLOOKUP(H3681,Produkt!$A$2:$B$5,2,FALSE)</f>
        <v>D</v>
      </c>
      <c r="H3681">
        <v>4</v>
      </c>
      <c r="I3681">
        <v>0.90261574074074069</v>
      </c>
      <c r="J3681">
        <v>44785</v>
      </c>
    </row>
    <row r="3682" spans="1:10" x14ac:dyDescent="0.35">
      <c r="A3682" s="2">
        <v>44785</v>
      </c>
      <c r="B3682" s="3">
        <v>5.4953703703703706E-2</v>
      </c>
      <c r="C3682">
        <v>4852</v>
      </c>
      <c r="D3682" t="str">
        <f>VLOOKUP(H3682,Produkt!$A$2:$B$5,2,FALSE)</f>
        <v>C</v>
      </c>
      <c r="H3682">
        <v>3</v>
      </c>
      <c r="I3682">
        <v>0.78109953703703694</v>
      </c>
      <c r="J3682">
        <v>44796</v>
      </c>
    </row>
    <row r="3683" spans="1:10" x14ac:dyDescent="0.35">
      <c r="A3683" s="2">
        <v>44785</v>
      </c>
      <c r="B3683" s="3">
        <v>0.44105324074074076</v>
      </c>
      <c r="C3683">
        <v>4923</v>
      </c>
      <c r="D3683" t="str">
        <f>VLOOKUP(H3683,Produkt!$A$2:$B$5,2,FALSE)</f>
        <v>B</v>
      </c>
      <c r="H3683">
        <v>2</v>
      </c>
      <c r="I3683">
        <v>0.74740740740740741</v>
      </c>
      <c r="J3683">
        <v>44785</v>
      </c>
    </row>
    <row r="3684" spans="1:10" x14ac:dyDescent="0.35">
      <c r="A3684" s="2">
        <v>44785</v>
      </c>
      <c r="B3684" s="3">
        <v>0.11180555555555556</v>
      </c>
      <c r="C3684">
        <v>4936</v>
      </c>
      <c r="D3684" t="str">
        <f>VLOOKUP(H3684,Produkt!$A$2:$B$5,2,FALSE)</f>
        <v>A</v>
      </c>
      <c r="H3684">
        <v>1</v>
      </c>
      <c r="I3684">
        <v>1.6342592592592593E-2</v>
      </c>
      <c r="J3684">
        <v>44800</v>
      </c>
    </row>
    <row r="3685" spans="1:10" x14ac:dyDescent="0.35">
      <c r="A3685" s="2">
        <v>44785</v>
      </c>
      <c r="B3685" s="3">
        <v>0.50863425925925931</v>
      </c>
      <c r="C3685">
        <v>4981</v>
      </c>
      <c r="D3685" t="str">
        <f>VLOOKUP(H3685,Produkt!$A$2:$B$5,2,FALSE)</f>
        <v>D</v>
      </c>
      <c r="H3685">
        <v>4</v>
      </c>
      <c r="I3685">
        <v>0.74354166666666666</v>
      </c>
      <c r="J3685">
        <v>44776</v>
      </c>
    </row>
    <row r="3686" spans="1:10" x14ac:dyDescent="0.35">
      <c r="A3686" s="2">
        <v>44785</v>
      </c>
      <c r="B3686" s="3">
        <v>0.78855324074074085</v>
      </c>
      <c r="C3686">
        <v>4990</v>
      </c>
      <c r="D3686" t="str">
        <f>VLOOKUP(H3686,Produkt!$A$2:$B$5,2,FALSE)</f>
        <v>B</v>
      </c>
      <c r="H3686">
        <v>2</v>
      </c>
      <c r="I3686">
        <v>0.13879629629629631</v>
      </c>
      <c r="J3686">
        <v>44803</v>
      </c>
    </row>
    <row r="3687" spans="1:10" x14ac:dyDescent="0.35">
      <c r="A3687" s="2">
        <v>44785</v>
      </c>
      <c r="B3687" s="3">
        <v>0.13858796296296297</v>
      </c>
      <c r="C3687">
        <v>5018</v>
      </c>
      <c r="D3687" t="str">
        <f>VLOOKUP(H3687,Produkt!$A$2:$B$5,2,FALSE)</f>
        <v>A</v>
      </c>
      <c r="H3687">
        <v>1</v>
      </c>
      <c r="I3687">
        <v>3.0659722222222224E-2</v>
      </c>
      <c r="J3687">
        <v>44783</v>
      </c>
    </row>
    <row r="3688" spans="1:10" x14ac:dyDescent="0.35">
      <c r="A3688" s="2">
        <v>44785</v>
      </c>
      <c r="B3688" s="3">
        <v>0.23554398148148148</v>
      </c>
      <c r="C3688">
        <v>5022</v>
      </c>
      <c r="D3688" t="str">
        <f>VLOOKUP(H3688,Produkt!$A$2:$B$5,2,FALSE)</f>
        <v>C</v>
      </c>
      <c r="H3688">
        <v>3</v>
      </c>
      <c r="I3688">
        <v>0.49192129629629627</v>
      </c>
      <c r="J3688">
        <v>44786</v>
      </c>
    </row>
    <row r="3689" spans="1:10" x14ac:dyDescent="0.35">
      <c r="A3689" s="2">
        <v>44785</v>
      </c>
      <c r="B3689" s="3">
        <v>0.84685185185185186</v>
      </c>
      <c r="C3689">
        <v>5035</v>
      </c>
      <c r="D3689" t="str">
        <f>VLOOKUP(H3689,Produkt!$A$2:$B$5,2,FALSE)</f>
        <v>C</v>
      </c>
      <c r="H3689">
        <v>3</v>
      </c>
      <c r="I3689">
        <v>0.29236111111111113</v>
      </c>
      <c r="J3689">
        <v>44797</v>
      </c>
    </row>
    <row r="3690" spans="1:10" x14ac:dyDescent="0.35">
      <c r="A3690" s="2">
        <v>44785</v>
      </c>
      <c r="B3690" s="3">
        <v>0.27454861111111112</v>
      </c>
      <c r="C3690">
        <v>5073</v>
      </c>
      <c r="D3690" t="str">
        <f>VLOOKUP(H3690,Produkt!$A$2:$B$5,2,FALSE)</f>
        <v>C</v>
      </c>
      <c r="H3690">
        <v>3</v>
      </c>
      <c r="I3690">
        <v>0.97354166666666664</v>
      </c>
      <c r="J3690">
        <v>44788</v>
      </c>
    </row>
    <row r="3691" spans="1:10" x14ac:dyDescent="0.35">
      <c r="A3691" s="2">
        <v>44785</v>
      </c>
      <c r="B3691" s="3">
        <v>0.7659259259259259</v>
      </c>
      <c r="C3691">
        <v>5106</v>
      </c>
      <c r="D3691" t="str">
        <f>VLOOKUP(H3691,Produkt!$A$2:$B$5,2,FALSE)</f>
        <v>D</v>
      </c>
      <c r="H3691">
        <v>4</v>
      </c>
      <c r="I3691">
        <v>6.9467592592592595E-2</v>
      </c>
      <c r="J3691">
        <v>44803</v>
      </c>
    </row>
    <row r="3692" spans="1:10" x14ac:dyDescent="0.35">
      <c r="A3692" s="2">
        <v>44785</v>
      </c>
      <c r="B3692" s="3">
        <v>6.128472222222222E-2</v>
      </c>
      <c r="C3692">
        <v>5110</v>
      </c>
      <c r="D3692" t="str">
        <f>VLOOKUP(H3692,Produkt!$A$2:$B$5,2,FALSE)</f>
        <v>D</v>
      </c>
      <c r="H3692">
        <v>4</v>
      </c>
      <c r="I3692">
        <v>0.5397453703703704</v>
      </c>
      <c r="J3692">
        <v>44774</v>
      </c>
    </row>
    <row r="3693" spans="1:10" x14ac:dyDescent="0.35">
      <c r="A3693" s="2">
        <v>44785</v>
      </c>
      <c r="B3693" s="3">
        <v>0.61439814814814808</v>
      </c>
      <c r="C3693">
        <v>5238</v>
      </c>
      <c r="D3693" t="str">
        <f>VLOOKUP(H3693,Produkt!$A$2:$B$5,2,FALSE)</f>
        <v>C</v>
      </c>
      <c r="H3693">
        <v>3</v>
      </c>
      <c r="I3693">
        <v>8.3564814814814814E-2</v>
      </c>
      <c r="J3693">
        <v>44793</v>
      </c>
    </row>
    <row r="3694" spans="1:10" x14ac:dyDescent="0.35">
      <c r="A3694" s="2">
        <v>44785</v>
      </c>
      <c r="B3694" s="3">
        <v>0.20767361111111113</v>
      </c>
      <c r="C3694">
        <v>5244</v>
      </c>
      <c r="D3694" t="str">
        <f>VLOOKUP(H3694,Produkt!$A$2:$B$5,2,FALSE)</f>
        <v>B</v>
      </c>
      <c r="H3694">
        <v>2</v>
      </c>
      <c r="I3694">
        <v>0.26556712962962964</v>
      </c>
      <c r="J3694">
        <v>44780</v>
      </c>
    </row>
    <row r="3695" spans="1:10" x14ac:dyDescent="0.35">
      <c r="A3695" s="2">
        <v>44785</v>
      </c>
      <c r="B3695" s="3">
        <v>3.4074074074074076E-2</v>
      </c>
      <c r="C3695">
        <v>5329</v>
      </c>
      <c r="D3695" t="str">
        <f>VLOOKUP(H3695,Produkt!$A$2:$B$5,2,FALSE)</f>
        <v>C</v>
      </c>
      <c r="H3695">
        <v>3</v>
      </c>
      <c r="I3695">
        <v>0.76489583333333344</v>
      </c>
      <c r="J3695">
        <v>44774</v>
      </c>
    </row>
    <row r="3696" spans="1:10" x14ac:dyDescent="0.35">
      <c r="A3696" s="2">
        <v>44785</v>
      </c>
      <c r="B3696" s="3">
        <v>0.50361111111111112</v>
      </c>
      <c r="C3696">
        <v>5385</v>
      </c>
      <c r="D3696" t="str">
        <f>VLOOKUP(H3696,Produkt!$A$2:$B$5,2,FALSE)</f>
        <v>D</v>
      </c>
      <c r="H3696">
        <v>4</v>
      </c>
      <c r="I3696">
        <v>0.43863425925925931</v>
      </c>
      <c r="J3696">
        <v>44791</v>
      </c>
    </row>
    <row r="3697" spans="1:10" x14ac:dyDescent="0.35">
      <c r="A3697" s="2">
        <v>44785</v>
      </c>
      <c r="B3697" s="3">
        <v>0.95589120370370362</v>
      </c>
      <c r="C3697">
        <v>5495</v>
      </c>
      <c r="D3697" t="str">
        <f>VLOOKUP(H3697,Produkt!$A$2:$B$5,2,FALSE)</f>
        <v>D</v>
      </c>
      <c r="H3697">
        <v>4</v>
      </c>
      <c r="I3697">
        <v>0.68410879629629628</v>
      </c>
      <c r="J3697">
        <v>44784</v>
      </c>
    </row>
    <row r="3698" spans="1:10" x14ac:dyDescent="0.35">
      <c r="A3698" s="2">
        <v>44785</v>
      </c>
      <c r="B3698" s="3">
        <v>0.8477662037037037</v>
      </c>
      <c r="C3698">
        <v>5507</v>
      </c>
      <c r="D3698" t="str">
        <f>VLOOKUP(H3698,Produkt!$A$2:$B$5,2,FALSE)</f>
        <v>C</v>
      </c>
      <c r="H3698">
        <v>3</v>
      </c>
      <c r="I3698">
        <v>0.14807870370370371</v>
      </c>
      <c r="J3698">
        <v>44795</v>
      </c>
    </row>
    <row r="3699" spans="1:10" x14ac:dyDescent="0.35">
      <c r="A3699" s="2">
        <v>44785</v>
      </c>
      <c r="B3699" s="3">
        <v>0.93821759259259263</v>
      </c>
      <c r="C3699">
        <v>5508</v>
      </c>
      <c r="D3699" t="str">
        <f>VLOOKUP(H3699,Produkt!$A$2:$B$5,2,FALSE)</f>
        <v>A</v>
      </c>
      <c r="H3699">
        <v>1</v>
      </c>
      <c r="I3699">
        <v>0.7456018518518519</v>
      </c>
      <c r="J3699">
        <v>44794</v>
      </c>
    </row>
    <row r="3700" spans="1:10" x14ac:dyDescent="0.35">
      <c r="A3700" s="2">
        <v>44785</v>
      </c>
      <c r="B3700" s="3">
        <v>0.97373842592592597</v>
      </c>
      <c r="C3700">
        <v>5517</v>
      </c>
      <c r="D3700" t="str">
        <f>VLOOKUP(H3700,Produkt!$A$2:$B$5,2,FALSE)</f>
        <v>A</v>
      </c>
      <c r="H3700">
        <v>1</v>
      </c>
      <c r="I3700">
        <v>0.41239583333333335</v>
      </c>
      <c r="J3700">
        <v>44798</v>
      </c>
    </row>
    <row r="3701" spans="1:10" x14ac:dyDescent="0.35">
      <c r="A3701" s="2">
        <v>44785</v>
      </c>
      <c r="B3701" s="3">
        <v>0.31140046296296298</v>
      </c>
      <c r="C3701">
        <v>5529</v>
      </c>
      <c r="D3701" t="str">
        <f>VLOOKUP(H3701,Produkt!$A$2:$B$5,2,FALSE)</f>
        <v>B</v>
      </c>
      <c r="H3701">
        <v>2</v>
      </c>
      <c r="I3701">
        <v>0.77868055555555549</v>
      </c>
      <c r="J3701">
        <v>44786</v>
      </c>
    </row>
    <row r="3702" spans="1:10" x14ac:dyDescent="0.35">
      <c r="A3702" s="2">
        <v>44785</v>
      </c>
      <c r="B3702" s="3">
        <v>0.68322916666666667</v>
      </c>
      <c r="C3702">
        <v>5613</v>
      </c>
      <c r="D3702" t="str">
        <f>VLOOKUP(H3702,Produkt!$A$2:$B$5,2,FALSE)</f>
        <v>D</v>
      </c>
      <c r="H3702">
        <v>4</v>
      </c>
      <c r="I3702">
        <v>0.94388888888888889</v>
      </c>
      <c r="J3702">
        <v>44802</v>
      </c>
    </row>
    <row r="3703" spans="1:10" x14ac:dyDescent="0.35">
      <c r="A3703" s="2">
        <v>44785</v>
      </c>
      <c r="B3703" s="3">
        <v>0.50570601851851849</v>
      </c>
      <c r="C3703">
        <v>5616</v>
      </c>
      <c r="D3703" t="str">
        <f>VLOOKUP(H3703,Produkt!$A$2:$B$5,2,FALSE)</f>
        <v>C</v>
      </c>
      <c r="H3703">
        <v>3</v>
      </c>
      <c r="I3703">
        <v>0.56863425925925926</v>
      </c>
      <c r="J3703">
        <v>44778</v>
      </c>
    </row>
    <row r="3704" spans="1:10" x14ac:dyDescent="0.35">
      <c r="A3704" s="2">
        <v>44785</v>
      </c>
      <c r="B3704" s="3">
        <v>8.9548611111111107E-2</v>
      </c>
      <c r="C3704">
        <v>5657</v>
      </c>
      <c r="D3704" t="str">
        <f>VLOOKUP(H3704,Produkt!$A$2:$B$5,2,FALSE)</f>
        <v>B</v>
      </c>
      <c r="H3704">
        <v>2</v>
      </c>
      <c r="I3704">
        <v>0.11180555555555556</v>
      </c>
      <c r="J3704">
        <v>44803</v>
      </c>
    </row>
    <row r="3705" spans="1:10" x14ac:dyDescent="0.35">
      <c r="A3705" s="2">
        <v>44785</v>
      </c>
      <c r="B3705" s="3">
        <v>0.53912037037037031</v>
      </c>
      <c r="C3705">
        <v>5668</v>
      </c>
      <c r="D3705" t="str">
        <f>VLOOKUP(H3705,Produkt!$A$2:$B$5,2,FALSE)</f>
        <v>C</v>
      </c>
      <c r="H3705">
        <v>3</v>
      </c>
      <c r="I3705">
        <v>0.71269675925925924</v>
      </c>
      <c r="J3705">
        <v>44779</v>
      </c>
    </row>
    <row r="3706" spans="1:10" x14ac:dyDescent="0.35">
      <c r="A3706" s="2">
        <v>44785</v>
      </c>
      <c r="B3706" s="3">
        <v>0.95467592592592598</v>
      </c>
      <c r="C3706">
        <v>5683</v>
      </c>
      <c r="D3706" t="str">
        <f>VLOOKUP(H3706,Produkt!$A$2:$B$5,2,FALSE)</f>
        <v>B</v>
      </c>
      <c r="H3706">
        <v>2</v>
      </c>
      <c r="I3706">
        <v>0.91063657407407417</v>
      </c>
      <c r="J3706">
        <v>44795</v>
      </c>
    </row>
    <row r="3707" spans="1:10" x14ac:dyDescent="0.35">
      <c r="A3707" s="2">
        <v>44785</v>
      </c>
      <c r="B3707" s="3">
        <v>0.43373842592592587</v>
      </c>
      <c r="C3707">
        <v>5688</v>
      </c>
      <c r="D3707" t="str">
        <f>VLOOKUP(H3707,Produkt!$A$2:$B$5,2,FALSE)</f>
        <v>C</v>
      </c>
      <c r="H3707">
        <v>3</v>
      </c>
      <c r="I3707">
        <v>0.71052083333333327</v>
      </c>
      <c r="J3707">
        <v>44804</v>
      </c>
    </row>
    <row r="3708" spans="1:10" x14ac:dyDescent="0.35">
      <c r="A3708" s="2">
        <v>44785</v>
      </c>
      <c r="B3708" s="3">
        <v>5.2164351851851858E-2</v>
      </c>
      <c r="C3708">
        <v>5697</v>
      </c>
      <c r="D3708" t="str">
        <f>VLOOKUP(H3708,Produkt!$A$2:$B$5,2,FALSE)</f>
        <v>D</v>
      </c>
      <c r="H3708">
        <v>4</v>
      </c>
      <c r="I3708">
        <v>0.84652777777777777</v>
      </c>
      <c r="J3708">
        <v>44774</v>
      </c>
    </row>
    <row r="3709" spans="1:10" x14ac:dyDescent="0.35">
      <c r="A3709" s="2">
        <v>44785</v>
      </c>
      <c r="B3709" s="3">
        <v>0.38541666666666669</v>
      </c>
      <c r="C3709">
        <v>5778</v>
      </c>
      <c r="D3709" t="str">
        <f>VLOOKUP(H3709,Produkt!$A$2:$B$5,2,FALSE)</f>
        <v>D</v>
      </c>
      <c r="H3709">
        <v>4</v>
      </c>
      <c r="I3709">
        <v>0.28056712962962965</v>
      </c>
      <c r="J3709">
        <v>44780</v>
      </c>
    </row>
    <row r="3710" spans="1:10" x14ac:dyDescent="0.35">
      <c r="A3710" s="2">
        <v>44785</v>
      </c>
      <c r="B3710" s="3">
        <v>0.92203703703703699</v>
      </c>
      <c r="C3710">
        <v>5809</v>
      </c>
      <c r="D3710" t="str">
        <f>VLOOKUP(H3710,Produkt!$A$2:$B$5,2,FALSE)</f>
        <v>B</v>
      </c>
      <c r="H3710">
        <v>2</v>
      </c>
      <c r="I3710">
        <v>0.10721064814814814</v>
      </c>
      <c r="J3710">
        <v>44800</v>
      </c>
    </row>
    <row r="3711" spans="1:10" x14ac:dyDescent="0.35">
      <c r="A3711" s="2">
        <v>44785</v>
      </c>
      <c r="B3711" s="3">
        <v>1.5810185185185184E-2</v>
      </c>
      <c r="C3711">
        <v>5851</v>
      </c>
      <c r="D3711" t="str">
        <f>VLOOKUP(H3711,Produkt!$A$2:$B$5,2,FALSE)</f>
        <v>B</v>
      </c>
      <c r="H3711">
        <v>2</v>
      </c>
      <c r="I3711">
        <v>2.449074074074074E-2</v>
      </c>
      <c r="J3711">
        <v>44783</v>
      </c>
    </row>
    <row r="3712" spans="1:10" x14ac:dyDescent="0.35">
      <c r="A3712" s="2">
        <v>44785</v>
      </c>
      <c r="B3712" s="3">
        <v>0.56973379629629628</v>
      </c>
      <c r="C3712">
        <v>5873</v>
      </c>
      <c r="D3712" t="str">
        <f>VLOOKUP(H3712,Produkt!$A$2:$B$5,2,FALSE)</f>
        <v>D</v>
      </c>
      <c r="H3712">
        <v>4</v>
      </c>
      <c r="I3712">
        <v>0.86593749999999992</v>
      </c>
      <c r="J3712">
        <v>44784</v>
      </c>
    </row>
    <row r="3713" spans="1:10" x14ac:dyDescent="0.35">
      <c r="A3713" s="2">
        <v>44785</v>
      </c>
      <c r="B3713" s="3">
        <v>0.96965277777777781</v>
      </c>
      <c r="C3713">
        <v>5900</v>
      </c>
      <c r="D3713" t="str">
        <f>VLOOKUP(H3713,Produkt!$A$2:$B$5,2,FALSE)</f>
        <v>B</v>
      </c>
      <c r="H3713">
        <v>2</v>
      </c>
      <c r="I3713">
        <v>0.40060185185185188</v>
      </c>
      <c r="J3713">
        <v>44788</v>
      </c>
    </row>
    <row r="3714" spans="1:10" x14ac:dyDescent="0.35">
      <c r="A3714" s="2">
        <v>44785</v>
      </c>
      <c r="B3714" s="3">
        <v>0.69328703703703709</v>
      </c>
      <c r="C3714">
        <v>5925</v>
      </c>
      <c r="D3714" t="str">
        <f>VLOOKUP(H3714,Produkt!$A$2:$B$5,2,FALSE)</f>
        <v>D</v>
      </c>
      <c r="H3714">
        <v>4</v>
      </c>
      <c r="I3714">
        <v>0.18921296296296297</v>
      </c>
      <c r="J3714">
        <v>44799</v>
      </c>
    </row>
    <row r="3715" spans="1:10" x14ac:dyDescent="0.35">
      <c r="A3715" s="2">
        <v>44785</v>
      </c>
      <c r="B3715" s="3">
        <v>0.70197916666666671</v>
      </c>
      <c r="C3715">
        <v>5950</v>
      </c>
      <c r="D3715" t="str">
        <f>VLOOKUP(H3715,Produkt!$A$2:$B$5,2,FALSE)</f>
        <v>D</v>
      </c>
      <c r="H3715">
        <v>4</v>
      </c>
      <c r="I3715">
        <v>0.97053240740740743</v>
      </c>
      <c r="J3715">
        <v>44779</v>
      </c>
    </row>
    <row r="3716" spans="1:10" x14ac:dyDescent="0.35">
      <c r="A3716" s="2">
        <v>44785</v>
      </c>
      <c r="B3716" s="3">
        <v>0.82060185185185175</v>
      </c>
      <c r="C3716">
        <v>5967</v>
      </c>
      <c r="D3716" t="str">
        <f>VLOOKUP(H3716,Produkt!$A$2:$B$5,2,FALSE)</f>
        <v>A</v>
      </c>
      <c r="H3716">
        <v>1</v>
      </c>
      <c r="I3716">
        <v>0.51153935185185184</v>
      </c>
      <c r="J3716">
        <v>44776</v>
      </c>
    </row>
    <row r="3717" spans="1:10" x14ac:dyDescent="0.35">
      <c r="A3717" s="2">
        <v>44785</v>
      </c>
      <c r="B3717" s="3">
        <v>0.90902777777777777</v>
      </c>
      <c r="C3717">
        <v>6025</v>
      </c>
      <c r="D3717" t="str">
        <f>VLOOKUP(H3717,Produkt!$A$2:$B$5,2,FALSE)</f>
        <v>D</v>
      </c>
      <c r="H3717">
        <v>4</v>
      </c>
      <c r="I3717">
        <v>0.17334490740740741</v>
      </c>
      <c r="J3717">
        <v>44791</v>
      </c>
    </row>
    <row r="3718" spans="1:10" x14ac:dyDescent="0.35">
      <c r="A3718" s="2">
        <v>44785</v>
      </c>
      <c r="B3718" s="3">
        <v>0.59912037037037036</v>
      </c>
      <c r="C3718">
        <v>6119</v>
      </c>
      <c r="D3718" t="str">
        <f>VLOOKUP(H3718,Produkt!$A$2:$B$5,2,FALSE)</f>
        <v>D</v>
      </c>
      <c r="H3718">
        <v>4</v>
      </c>
      <c r="I3718">
        <v>0.6743055555555556</v>
      </c>
      <c r="J3718">
        <v>44801</v>
      </c>
    </row>
    <row r="3719" spans="1:10" x14ac:dyDescent="0.35">
      <c r="A3719" s="2">
        <v>44785</v>
      </c>
      <c r="B3719" s="3">
        <v>0.36909722222222219</v>
      </c>
      <c r="C3719">
        <v>6203</v>
      </c>
      <c r="D3719" t="str">
        <f>VLOOKUP(H3719,Produkt!$A$2:$B$5,2,FALSE)</f>
        <v>C</v>
      </c>
      <c r="H3719">
        <v>3</v>
      </c>
      <c r="I3719">
        <v>0.11027777777777777</v>
      </c>
      <c r="J3719">
        <v>44781</v>
      </c>
    </row>
    <row r="3720" spans="1:10" x14ac:dyDescent="0.35">
      <c r="A3720" s="2">
        <v>44785</v>
      </c>
      <c r="B3720" s="3">
        <v>0.9526041666666667</v>
      </c>
      <c r="C3720">
        <v>6264</v>
      </c>
      <c r="D3720" t="str">
        <f>VLOOKUP(H3720,Produkt!$A$2:$B$5,2,FALSE)</f>
        <v>B</v>
      </c>
      <c r="H3720">
        <v>2</v>
      </c>
      <c r="I3720">
        <v>0.86163194444444446</v>
      </c>
      <c r="J3720">
        <v>44789</v>
      </c>
    </row>
    <row r="3721" spans="1:10" x14ac:dyDescent="0.35">
      <c r="A3721" s="2">
        <v>44785</v>
      </c>
      <c r="B3721" s="3">
        <v>0.44908564814814816</v>
      </c>
      <c r="C3721">
        <v>6293</v>
      </c>
      <c r="D3721" t="str">
        <f>VLOOKUP(H3721,Produkt!$A$2:$B$5,2,FALSE)</f>
        <v>D</v>
      </c>
      <c r="H3721">
        <v>4</v>
      </c>
      <c r="I3721">
        <v>0.82148148148148137</v>
      </c>
      <c r="J3721">
        <v>44786</v>
      </c>
    </row>
    <row r="3722" spans="1:10" x14ac:dyDescent="0.35">
      <c r="A3722" s="2">
        <v>44785</v>
      </c>
      <c r="B3722" s="3">
        <v>0.95869212962962969</v>
      </c>
      <c r="C3722">
        <v>6330</v>
      </c>
      <c r="D3722" t="str">
        <f>VLOOKUP(H3722,Produkt!$A$2:$B$5,2,FALSE)</f>
        <v>D</v>
      </c>
      <c r="H3722">
        <v>4</v>
      </c>
      <c r="I3722">
        <v>0.25464120370370369</v>
      </c>
      <c r="J3722">
        <v>44783</v>
      </c>
    </row>
    <row r="3723" spans="1:10" x14ac:dyDescent="0.35">
      <c r="A3723" s="2">
        <v>44785</v>
      </c>
      <c r="B3723" s="3">
        <v>0.66623842592592586</v>
      </c>
      <c r="C3723">
        <v>6342</v>
      </c>
      <c r="D3723" t="str">
        <f>VLOOKUP(H3723,Produkt!$A$2:$B$5,2,FALSE)</f>
        <v>C</v>
      </c>
      <c r="H3723">
        <v>3</v>
      </c>
      <c r="I3723">
        <v>0.27187500000000003</v>
      </c>
      <c r="J3723">
        <v>44797</v>
      </c>
    </row>
    <row r="3724" spans="1:10" x14ac:dyDescent="0.35">
      <c r="A3724" s="2">
        <v>44785</v>
      </c>
      <c r="B3724" s="3">
        <v>0.87987268518518524</v>
      </c>
      <c r="C3724">
        <v>6435</v>
      </c>
      <c r="D3724" t="str">
        <f>VLOOKUP(H3724,Produkt!$A$2:$B$5,2,FALSE)</f>
        <v>A</v>
      </c>
      <c r="H3724">
        <v>1</v>
      </c>
      <c r="I3724">
        <v>0.23840277777777777</v>
      </c>
      <c r="J3724">
        <v>44776</v>
      </c>
    </row>
    <row r="3725" spans="1:10" x14ac:dyDescent="0.35">
      <c r="A3725" s="2">
        <v>44785</v>
      </c>
      <c r="B3725" s="3">
        <v>0.13092592592592592</v>
      </c>
      <c r="C3725">
        <v>6436</v>
      </c>
      <c r="D3725" t="str">
        <f>VLOOKUP(H3725,Produkt!$A$2:$B$5,2,FALSE)</f>
        <v>D</v>
      </c>
      <c r="H3725">
        <v>4</v>
      </c>
      <c r="I3725">
        <v>0.54069444444444448</v>
      </c>
      <c r="J3725">
        <v>44784</v>
      </c>
    </row>
    <row r="3726" spans="1:10" x14ac:dyDescent="0.35">
      <c r="A3726" s="2">
        <v>44785</v>
      </c>
      <c r="B3726" s="3">
        <v>0.70773148148148157</v>
      </c>
      <c r="C3726">
        <v>6468</v>
      </c>
      <c r="D3726" t="str">
        <f>VLOOKUP(H3726,Produkt!$A$2:$B$5,2,FALSE)</f>
        <v>C</v>
      </c>
      <c r="H3726">
        <v>3</v>
      </c>
      <c r="I3726">
        <v>0.31072916666666667</v>
      </c>
      <c r="J3726">
        <v>44800</v>
      </c>
    </row>
    <row r="3727" spans="1:10" x14ac:dyDescent="0.35">
      <c r="A3727" s="2">
        <v>44785</v>
      </c>
      <c r="B3727" s="3">
        <v>0.91710648148148144</v>
      </c>
      <c r="C3727">
        <v>6489</v>
      </c>
      <c r="D3727" t="str">
        <f>VLOOKUP(H3727,Produkt!$A$2:$B$5,2,FALSE)</f>
        <v>A</v>
      </c>
      <c r="H3727">
        <v>1</v>
      </c>
      <c r="I3727">
        <v>0.22024305555555557</v>
      </c>
      <c r="J3727">
        <v>44783</v>
      </c>
    </row>
    <row r="3728" spans="1:10" x14ac:dyDescent="0.35">
      <c r="A3728" s="2">
        <v>44785</v>
      </c>
      <c r="B3728" s="3">
        <v>2.7199074074073515E-3</v>
      </c>
      <c r="C3728">
        <v>6491</v>
      </c>
      <c r="D3728" t="str">
        <f>VLOOKUP(H3728,Produkt!$A$2:$B$5,2,FALSE)</f>
        <v>C</v>
      </c>
      <c r="H3728">
        <v>3</v>
      </c>
      <c r="I3728">
        <v>0.32297453703703705</v>
      </c>
      <c r="J3728">
        <v>44779</v>
      </c>
    </row>
    <row r="3729" spans="1:10" x14ac:dyDescent="0.35">
      <c r="A3729" s="2">
        <v>44785</v>
      </c>
      <c r="B3729" s="3">
        <v>0.96347222222222229</v>
      </c>
      <c r="C3729">
        <v>6546</v>
      </c>
      <c r="D3729" t="str">
        <f>VLOOKUP(H3729,Produkt!$A$2:$B$5,2,FALSE)</f>
        <v>C</v>
      </c>
      <c r="H3729">
        <v>3</v>
      </c>
      <c r="I3729">
        <v>0.92688657407407404</v>
      </c>
      <c r="J3729">
        <v>44791</v>
      </c>
    </row>
    <row r="3730" spans="1:10" x14ac:dyDescent="0.35">
      <c r="A3730" s="2">
        <v>44785</v>
      </c>
      <c r="B3730" s="3">
        <v>0.36953703703703705</v>
      </c>
      <c r="C3730">
        <v>6554</v>
      </c>
      <c r="D3730" t="str">
        <f>VLOOKUP(H3730,Produkt!$A$2:$B$5,2,FALSE)</f>
        <v>D</v>
      </c>
      <c r="H3730">
        <v>4</v>
      </c>
      <c r="I3730">
        <v>0.51493055555555556</v>
      </c>
      <c r="J3730">
        <v>44785</v>
      </c>
    </row>
    <row r="3731" spans="1:10" x14ac:dyDescent="0.35">
      <c r="A3731" s="2">
        <v>44785</v>
      </c>
      <c r="B3731" s="3">
        <v>0.96354166666666663</v>
      </c>
      <c r="C3731">
        <v>6683</v>
      </c>
      <c r="D3731" t="str">
        <f>VLOOKUP(H3731,Produkt!$A$2:$B$5,2,FALSE)</f>
        <v>C</v>
      </c>
      <c r="H3731">
        <v>3</v>
      </c>
      <c r="I3731">
        <v>0.63424768518518515</v>
      </c>
      <c r="J3731">
        <v>44793</v>
      </c>
    </row>
    <row r="3732" spans="1:10" x14ac:dyDescent="0.35">
      <c r="A3732" s="2">
        <v>44785</v>
      </c>
      <c r="B3732" s="3">
        <v>0.91084490740740742</v>
      </c>
      <c r="C3732">
        <v>6692</v>
      </c>
      <c r="D3732" t="str">
        <f>VLOOKUP(H3732,Produkt!$A$2:$B$5,2,FALSE)</f>
        <v>C</v>
      </c>
      <c r="H3732">
        <v>3</v>
      </c>
      <c r="I3732">
        <v>0.91138888888888892</v>
      </c>
      <c r="J3732">
        <v>44790</v>
      </c>
    </row>
    <row r="3733" spans="1:10" x14ac:dyDescent="0.35">
      <c r="A3733" s="2">
        <v>44785</v>
      </c>
      <c r="B3733" s="3">
        <v>0.19841435185185186</v>
      </c>
      <c r="C3733">
        <v>6695</v>
      </c>
      <c r="D3733" t="str">
        <f>VLOOKUP(H3733,Produkt!$A$2:$B$5,2,FALSE)</f>
        <v>D</v>
      </c>
      <c r="H3733">
        <v>4</v>
      </c>
      <c r="I3733">
        <v>0.86444444444444446</v>
      </c>
      <c r="J3733">
        <v>44801</v>
      </c>
    </row>
    <row r="3734" spans="1:10" x14ac:dyDescent="0.35">
      <c r="A3734" s="2">
        <v>44785</v>
      </c>
      <c r="B3734" s="3">
        <v>0.7893634259259259</v>
      </c>
      <c r="C3734">
        <v>6700</v>
      </c>
      <c r="D3734" t="str">
        <f>VLOOKUP(H3734,Produkt!$A$2:$B$5,2,FALSE)</f>
        <v>A</v>
      </c>
      <c r="H3734">
        <v>1</v>
      </c>
      <c r="I3734">
        <v>0.73285879629629624</v>
      </c>
      <c r="J3734">
        <v>44802</v>
      </c>
    </row>
    <row r="3735" spans="1:10" x14ac:dyDescent="0.35">
      <c r="A3735" s="2">
        <v>44785</v>
      </c>
      <c r="B3735" s="3">
        <v>0.10642361111111111</v>
      </c>
      <c r="C3735">
        <v>6722</v>
      </c>
      <c r="D3735" t="str">
        <f>VLOOKUP(H3735,Produkt!$A$2:$B$5,2,FALSE)</f>
        <v>C</v>
      </c>
      <c r="H3735">
        <v>3</v>
      </c>
      <c r="I3735">
        <v>2.3611111111112582E-3</v>
      </c>
      <c r="J3735">
        <v>44793</v>
      </c>
    </row>
    <row r="3736" spans="1:10" x14ac:dyDescent="0.35">
      <c r="A3736" s="2">
        <v>44785</v>
      </c>
      <c r="B3736" s="3">
        <v>0.9474999999999999</v>
      </c>
      <c r="C3736">
        <v>6723</v>
      </c>
      <c r="D3736" t="str">
        <f>VLOOKUP(H3736,Produkt!$A$2:$B$5,2,FALSE)</f>
        <v>D</v>
      </c>
      <c r="H3736">
        <v>4</v>
      </c>
      <c r="I3736">
        <v>0.46894675925925927</v>
      </c>
      <c r="J3736">
        <v>44776</v>
      </c>
    </row>
    <row r="3737" spans="1:10" x14ac:dyDescent="0.35">
      <c r="A3737" s="2">
        <v>44785</v>
      </c>
      <c r="B3737" s="3">
        <v>2.9525462962962962E-2</v>
      </c>
      <c r="C3737">
        <v>6747</v>
      </c>
      <c r="D3737" t="str">
        <f>VLOOKUP(H3737,Produkt!$A$2:$B$5,2,FALSE)</f>
        <v>D</v>
      </c>
      <c r="H3737">
        <v>4</v>
      </c>
      <c r="I3737">
        <v>0.41554398148148147</v>
      </c>
      <c r="J3737">
        <v>44801</v>
      </c>
    </row>
    <row r="3738" spans="1:10" x14ac:dyDescent="0.35">
      <c r="A3738" s="2">
        <v>44785</v>
      </c>
      <c r="B3738" s="3">
        <v>7.8518518518518529E-2</v>
      </c>
      <c r="C3738">
        <v>6840</v>
      </c>
      <c r="D3738" t="str">
        <f>VLOOKUP(H3738,Produkt!$A$2:$B$5,2,FALSE)</f>
        <v>A</v>
      </c>
      <c r="H3738">
        <v>1</v>
      </c>
      <c r="I3738">
        <v>0.87355324074074081</v>
      </c>
      <c r="J3738">
        <v>44785</v>
      </c>
    </row>
    <row r="3739" spans="1:10" x14ac:dyDescent="0.35">
      <c r="A3739" s="2">
        <v>44785</v>
      </c>
      <c r="B3739" s="3">
        <v>0.91097222222222218</v>
      </c>
      <c r="C3739">
        <v>6855</v>
      </c>
      <c r="D3739" t="str">
        <f>VLOOKUP(H3739,Produkt!$A$2:$B$5,2,FALSE)</f>
        <v>B</v>
      </c>
      <c r="H3739">
        <v>2</v>
      </c>
      <c r="I3739">
        <v>0.55500000000000005</v>
      </c>
      <c r="J3739">
        <v>44786</v>
      </c>
    </row>
    <row r="3740" spans="1:10" x14ac:dyDescent="0.35">
      <c r="A3740" s="2">
        <v>44785</v>
      </c>
      <c r="B3740" s="3">
        <v>0.89478009259259261</v>
      </c>
      <c r="C3740">
        <v>6863</v>
      </c>
      <c r="D3740" t="str">
        <f>VLOOKUP(H3740,Produkt!$A$2:$B$5,2,FALSE)</f>
        <v>A</v>
      </c>
      <c r="H3740">
        <v>1</v>
      </c>
      <c r="I3740">
        <v>0.60995370370370372</v>
      </c>
      <c r="J3740">
        <v>44788</v>
      </c>
    </row>
    <row r="3741" spans="1:10" x14ac:dyDescent="0.35">
      <c r="A3741" s="2">
        <v>44785</v>
      </c>
      <c r="B3741" s="3">
        <v>8.6319444444444449E-2</v>
      </c>
      <c r="C3741">
        <v>6866</v>
      </c>
      <c r="D3741" t="str">
        <f>VLOOKUP(H3741,Produkt!$A$2:$B$5,2,FALSE)</f>
        <v>A</v>
      </c>
      <c r="H3741">
        <v>1</v>
      </c>
      <c r="I3741">
        <v>0.4878587962962963</v>
      </c>
      <c r="J3741">
        <v>44781</v>
      </c>
    </row>
    <row r="3742" spans="1:10" x14ac:dyDescent="0.35">
      <c r="A3742" s="2">
        <v>44785</v>
      </c>
      <c r="B3742" s="3">
        <v>0.47280092592592587</v>
      </c>
      <c r="C3742">
        <v>6878</v>
      </c>
      <c r="D3742" t="str">
        <f>VLOOKUP(H3742,Produkt!$A$2:$B$5,2,FALSE)</f>
        <v>A</v>
      </c>
      <c r="H3742">
        <v>1</v>
      </c>
      <c r="I3742">
        <v>0.44748842592592591</v>
      </c>
      <c r="J3742">
        <v>44802</v>
      </c>
    </row>
    <row r="3743" spans="1:10" x14ac:dyDescent="0.35">
      <c r="A3743" s="2">
        <v>44785</v>
      </c>
      <c r="B3743" s="3">
        <v>0.18680555555555556</v>
      </c>
      <c r="C3743">
        <v>6924</v>
      </c>
      <c r="D3743" t="str">
        <f>VLOOKUP(H3743,Produkt!$A$2:$B$5,2,FALSE)</f>
        <v>C</v>
      </c>
      <c r="H3743">
        <v>3</v>
      </c>
      <c r="I3743">
        <v>6.4351851851851549E-3</v>
      </c>
      <c r="J3743">
        <v>44798</v>
      </c>
    </row>
    <row r="3744" spans="1:10" x14ac:dyDescent="0.35">
      <c r="A3744" s="2">
        <v>44785</v>
      </c>
      <c r="B3744" s="3">
        <v>0.13060185185185186</v>
      </c>
      <c r="C3744">
        <v>6984</v>
      </c>
      <c r="D3744" t="str">
        <f>VLOOKUP(H3744,Produkt!$A$2:$B$5,2,FALSE)</f>
        <v>B</v>
      </c>
      <c r="H3744">
        <v>2</v>
      </c>
      <c r="I3744">
        <v>0.58359953703703704</v>
      </c>
      <c r="J3744">
        <v>44794</v>
      </c>
    </row>
    <row r="3745" spans="1:10" x14ac:dyDescent="0.35">
      <c r="A3745" s="2">
        <v>44785</v>
      </c>
      <c r="B3745" s="3">
        <v>0.89133101851851848</v>
      </c>
      <c r="C3745">
        <v>7036</v>
      </c>
      <c r="D3745" t="str">
        <f>VLOOKUP(H3745,Produkt!$A$2:$B$5,2,FALSE)</f>
        <v>C</v>
      </c>
      <c r="H3745">
        <v>3</v>
      </c>
      <c r="I3745">
        <v>0.47753472222222221</v>
      </c>
      <c r="J3745">
        <v>44801</v>
      </c>
    </row>
    <row r="3746" spans="1:10" x14ac:dyDescent="0.35">
      <c r="A3746" s="2">
        <v>44785</v>
      </c>
      <c r="B3746" s="3">
        <v>0.20193287037037036</v>
      </c>
      <c r="C3746">
        <v>7136</v>
      </c>
      <c r="D3746" t="str">
        <f>VLOOKUP(H3746,Produkt!$A$2:$B$5,2,FALSE)</f>
        <v>B</v>
      </c>
      <c r="H3746">
        <v>2</v>
      </c>
      <c r="I3746">
        <v>0.44385416666666666</v>
      </c>
      <c r="J3746">
        <v>44802</v>
      </c>
    </row>
    <row r="3747" spans="1:10" x14ac:dyDescent="0.35">
      <c r="A3747" s="2">
        <v>44785</v>
      </c>
      <c r="B3747" s="3">
        <v>0.71960648148148154</v>
      </c>
      <c r="C3747">
        <v>7166</v>
      </c>
      <c r="D3747" t="str">
        <f>VLOOKUP(H3747,Produkt!$A$2:$B$5,2,FALSE)</f>
        <v>B</v>
      </c>
      <c r="H3747">
        <v>2</v>
      </c>
      <c r="I3747">
        <v>0.30980324074074073</v>
      </c>
      <c r="J3747">
        <v>44792</v>
      </c>
    </row>
    <row r="3748" spans="1:10" x14ac:dyDescent="0.35">
      <c r="A3748" s="2">
        <v>44785</v>
      </c>
      <c r="B3748" s="3">
        <v>0.45537037037037037</v>
      </c>
      <c r="C3748">
        <v>7172</v>
      </c>
      <c r="D3748" t="str">
        <f>VLOOKUP(H3748,Produkt!$A$2:$B$5,2,FALSE)</f>
        <v>D</v>
      </c>
      <c r="H3748">
        <v>4</v>
      </c>
      <c r="I3748">
        <v>0.62086805555555558</v>
      </c>
      <c r="J3748">
        <v>44777</v>
      </c>
    </row>
    <row r="3749" spans="1:10" x14ac:dyDescent="0.35">
      <c r="A3749" s="2">
        <v>44785</v>
      </c>
      <c r="B3749" s="3">
        <v>0.66508101851851853</v>
      </c>
      <c r="C3749">
        <v>7207</v>
      </c>
      <c r="D3749" t="str">
        <f>VLOOKUP(H3749,Produkt!$A$2:$B$5,2,FALSE)</f>
        <v>D</v>
      </c>
      <c r="H3749">
        <v>4</v>
      </c>
      <c r="I3749">
        <v>8.5555555555555551E-2</v>
      </c>
      <c r="J3749">
        <v>44784</v>
      </c>
    </row>
    <row r="3750" spans="1:10" x14ac:dyDescent="0.35">
      <c r="A3750" s="2">
        <v>44785</v>
      </c>
      <c r="B3750" s="3">
        <v>0.96173611111111112</v>
      </c>
      <c r="C3750">
        <v>7229</v>
      </c>
      <c r="D3750" t="str">
        <f>VLOOKUP(H3750,Produkt!$A$2:$B$5,2,FALSE)</f>
        <v>C</v>
      </c>
      <c r="H3750">
        <v>3</v>
      </c>
      <c r="I3750">
        <v>3.8831018518518515E-2</v>
      </c>
      <c r="J3750">
        <v>44785</v>
      </c>
    </row>
    <row r="3751" spans="1:10" x14ac:dyDescent="0.35">
      <c r="A3751" s="2">
        <v>44785</v>
      </c>
      <c r="B3751" s="3">
        <v>0.377962962962963</v>
      </c>
      <c r="C3751">
        <v>7262</v>
      </c>
      <c r="D3751" t="str">
        <f>VLOOKUP(H3751,Produkt!$A$2:$B$5,2,FALSE)</f>
        <v>A</v>
      </c>
      <c r="H3751">
        <v>1</v>
      </c>
      <c r="I3751">
        <v>5.6666666666666671E-2</v>
      </c>
      <c r="J3751">
        <v>44791</v>
      </c>
    </row>
    <row r="3752" spans="1:10" x14ac:dyDescent="0.35">
      <c r="A3752" s="2">
        <v>44785</v>
      </c>
      <c r="B3752" s="3">
        <v>4.4085648148148145E-2</v>
      </c>
      <c r="C3752">
        <v>7273</v>
      </c>
      <c r="D3752" t="str">
        <f>VLOOKUP(H3752,Produkt!$A$2:$B$5,2,FALSE)</f>
        <v>B</v>
      </c>
      <c r="H3752">
        <v>2</v>
      </c>
      <c r="I3752">
        <v>0.21403935185185186</v>
      </c>
      <c r="J3752">
        <v>44800</v>
      </c>
    </row>
    <row r="3753" spans="1:10" x14ac:dyDescent="0.35">
      <c r="A3753" s="2">
        <v>44785</v>
      </c>
      <c r="B3753" s="3">
        <v>0.22570601851851854</v>
      </c>
      <c r="C3753">
        <v>7274</v>
      </c>
      <c r="D3753" t="str">
        <f>VLOOKUP(H3753,Produkt!$A$2:$B$5,2,FALSE)</f>
        <v>C</v>
      </c>
      <c r="H3753">
        <v>3</v>
      </c>
      <c r="I3753">
        <v>0.96732638888888889</v>
      </c>
      <c r="J3753">
        <v>44786</v>
      </c>
    </row>
    <row r="3754" spans="1:10" x14ac:dyDescent="0.35">
      <c r="A3754" s="2">
        <v>44785</v>
      </c>
      <c r="B3754" s="3">
        <v>5.5821759259259258E-2</v>
      </c>
      <c r="C3754">
        <v>7351</v>
      </c>
      <c r="D3754" t="str">
        <f>VLOOKUP(H3754,Produkt!$A$2:$B$5,2,FALSE)</f>
        <v>B</v>
      </c>
      <c r="H3754">
        <v>2</v>
      </c>
      <c r="I3754">
        <v>0.93646990740740732</v>
      </c>
      <c r="J3754">
        <v>44793</v>
      </c>
    </row>
    <row r="3755" spans="1:10" x14ac:dyDescent="0.35">
      <c r="A3755" s="2">
        <v>44785</v>
      </c>
      <c r="B3755" s="3">
        <v>0.35246527777777775</v>
      </c>
      <c r="C3755">
        <v>7359</v>
      </c>
      <c r="D3755" t="str">
        <f>VLOOKUP(H3755,Produkt!$A$2:$B$5,2,FALSE)</f>
        <v>B</v>
      </c>
      <c r="H3755">
        <v>2</v>
      </c>
      <c r="I3755">
        <v>0.43228009259259265</v>
      </c>
      <c r="J3755">
        <v>44797</v>
      </c>
    </row>
    <row r="3756" spans="1:10" x14ac:dyDescent="0.35">
      <c r="A3756" s="2">
        <v>44785</v>
      </c>
      <c r="B3756" s="3">
        <v>0.45317129629629632</v>
      </c>
      <c r="C3756">
        <v>7370</v>
      </c>
      <c r="D3756" t="str">
        <f>VLOOKUP(H3756,Produkt!$A$2:$B$5,2,FALSE)</f>
        <v>C</v>
      </c>
      <c r="H3756">
        <v>3</v>
      </c>
      <c r="I3756">
        <v>0.34644675925925927</v>
      </c>
      <c r="J3756">
        <v>44775</v>
      </c>
    </row>
    <row r="3757" spans="1:10" x14ac:dyDescent="0.35">
      <c r="A3757" s="2">
        <v>44785</v>
      </c>
      <c r="B3757" s="3">
        <v>0.83097222222222233</v>
      </c>
      <c r="C3757">
        <v>7425</v>
      </c>
      <c r="D3757" t="str">
        <f>VLOOKUP(H3757,Produkt!$A$2:$B$5,2,FALSE)</f>
        <v>D</v>
      </c>
      <c r="H3757">
        <v>4</v>
      </c>
      <c r="I3757">
        <v>0.24271990740740743</v>
      </c>
      <c r="J3757">
        <v>44780</v>
      </c>
    </row>
    <row r="3758" spans="1:10" x14ac:dyDescent="0.35">
      <c r="A3758" s="2">
        <v>44785</v>
      </c>
      <c r="B3758" s="3">
        <v>0.96793981481481473</v>
      </c>
      <c r="C3758">
        <v>7466</v>
      </c>
      <c r="D3758" t="str">
        <f>VLOOKUP(H3758,Produkt!$A$2:$B$5,2,FALSE)</f>
        <v>A</v>
      </c>
      <c r="H3758">
        <v>1</v>
      </c>
      <c r="I3758">
        <v>0.263587962962963</v>
      </c>
      <c r="J3758">
        <v>44796</v>
      </c>
    </row>
    <row r="3759" spans="1:10" x14ac:dyDescent="0.35">
      <c r="A3759" s="2">
        <v>44785</v>
      </c>
      <c r="B3759" s="3">
        <v>1.361111111111124E-2</v>
      </c>
      <c r="C3759">
        <v>7469</v>
      </c>
      <c r="D3759" t="str">
        <f>VLOOKUP(H3759,Produkt!$A$2:$B$5,2,FALSE)</f>
        <v>C</v>
      </c>
      <c r="H3759">
        <v>3</v>
      </c>
      <c r="I3759">
        <v>0.48130787037037037</v>
      </c>
      <c r="J3759">
        <v>44785</v>
      </c>
    </row>
    <row r="3760" spans="1:10" x14ac:dyDescent="0.35">
      <c r="A3760" s="2">
        <v>44785</v>
      </c>
      <c r="B3760" s="3">
        <v>0.2008912037037037</v>
      </c>
      <c r="C3760">
        <v>7599</v>
      </c>
      <c r="D3760" t="str">
        <f>VLOOKUP(H3760,Produkt!$A$2:$B$5,2,FALSE)</f>
        <v>D</v>
      </c>
      <c r="H3760">
        <v>4</v>
      </c>
      <c r="I3760">
        <v>0.19452546296296294</v>
      </c>
      <c r="J3760">
        <v>44777</v>
      </c>
    </row>
    <row r="3761" spans="1:10" x14ac:dyDescent="0.35">
      <c r="A3761" s="2">
        <v>44785</v>
      </c>
      <c r="B3761" s="3">
        <v>0.23935185185185184</v>
      </c>
      <c r="C3761">
        <v>7646</v>
      </c>
      <c r="D3761" t="str">
        <f>VLOOKUP(H3761,Produkt!$A$2:$B$5,2,FALSE)</f>
        <v>C</v>
      </c>
      <c r="H3761">
        <v>3</v>
      </c>
      <c r="I3761">
        <v>0.8314583333333333</v>
      </c>
      <c r="J3761">
        <v>44799</v>
      </c>
    </row>
    <row r="3762" spans="1:10" x14ac:dyDescent="0.35">
      <c r="A3762" s="2">
        <v>44785</v>
      </c>
      <c r="B3762" s="3">
        <v>0.6227893518518518</v>
      </c>
      <c r="C3762">
        <v>7648</v>
      </c>
      <c r="D3762" t="str">
        <f>VLOOKUP(H3762,Produkt!$A$2:$B$5,2,FALSE)</f>
        <v>A</v>
      </c>
      <c r="H3762">
        <v>1</v>
      </c>
      <c r="I3762">
        <v>0.79834490740740749</v>
      </c>
      <c r="J3762">
        <v>44800</v>
      </c>
    </row>
    <row r="3763" spans="1:10" x14ac:dyDescent="0.35">
      <c r="A3763" s="2">
        <v>44785</v>
      </c>
      <c r="B3763" s="3">
        <v>0.72655092592592585</v>
      </c>
      <c r="C3763">
        <v>7671</v>
      </c>
      <c r="D3763" t="str">
        <f>VLOOKUP(H3763,Produkt!$A$2:$B$5,2,FALSE)</f>
        <v>C</v>
      </c>
      <c r="H3763">
        <v>3</v>
      </c>
      <c r="I3763">
        <v>0.64197916666666666</v>
      </c>
      <c r="J3763">
        <v>44788</v>
      </c>
    </row>
    <row r="3764" spans="1:10" x14ac:dyDescent="0.35">
      <c r="A3764" s="2">
        <v>44785</v>
      </c>
      <c r="B3764" s="3">
        <v>0.12800925925925927</v>
      </c>
      <c r="C3764">
        <v>7678</v>
      </c>
      <c r="D3764" t="str">
        <f>VLOOKUP(H3764,Produkt!$A$2:$B$5,2,FALSE)</f>
        <v>A</v>
      </c>
      <c r="H3764">
        <v>1</v>
      </c>
      <c r="I3764">
        <v>0.34228009259259262</v>
      </c>
      <c r="J3764">
        <v>44804</v>
      </c>
    </row>
    <row r="3765" spans="1:10" x14ac:dyDescent="0.35">
      <c r="A3765" s="2">
        <v>44785</v>
      </c>
      <c r="B3765" s="3">
        <v>0.55596064814814816</v>
      </c>
      <c r="C3765">
        <v>7714</v>
      </c>
      <c r="D3765" t="str">
        <f>VLOOKUP(H3765,Produkt!$A$2:$B$5,2,FALSE)</f>
        <v>C</v>
      </c>
      <c r="H3765">
        <v>3</v>
      </c>
      <c r="I3765">
        <v>0.68247685185185192</v>
      </c>
      <c r="J3765">
        <v>44779</v>
      </c>
    </row>
    <row r="3766" spans="1:10" x14ac:dyDescent="0.35">
      <c r="A3766" s="2">
        <v>44785</v>
      </c>
      <c r="B3766" s="3">
        <v>0.51045138888888886</v>
      </c>
      <c r="C3766">
        <v>7732</v>
      </c>
      <c r="D3766" t="str">
        <f>VLOOKUP(H3766,Produkt!$A$2:$B$5,2,FALSE)</f>
        <v>D</v>
      </c>
      <c r="H3766">
        <v>4</v>
      </c>
      <c r="I3766">
        <v>0.72510416666666666</v>
      </c>
      <c r="J3766">
        <v>44799</v>
      </c>
    </row>
    <row r="3767" spans="1:10" x14ac:dyDescent="0.35">
      <c r="A3767" s="2">
        <v>44785</v>
      </c>
      <c r="B3767" s="3">
        <v>0.10872685185185187</v>
      </c>
      <c r="C3767">
        <v>7751</v>
      </c>
      <c r="D3767" t="str">
        <f>VLOOKUP(H3767,Produkt!$A$2:$B$5,2,FALSE)</f>
        <v>B</v>
      </c>
      <c r="H3767">
        <v>2</v>
      </c>
      <c r="I3767">
        <v>0.77247685185185189</v>
      </c>
      <c r="J3767">
        <v>44788</v>
      </c>
    </row>
    <row r="3768" spans="1:10" x14ac:dyDescent="0.35">
      <c r="A3768" s="2">
        <v>44785</v>
      </c>
      <c r="B3768" s="3">
        <v>0.14276620370370371</v>
      </c>
      <c r="C3768">
        <v>7756</v>
      </c>
      <c r="D3768" t="str">
        <f>VLOOKUP(H3768,Produkt!$A$2:$B$5,2,FALSE)</f>
        <v>B</v>
      </c>
      <c r="H3768">
        <v>2</v>
      </c>
      <c r="I3768">
        <v>0.87160879629629628</v>
      </c>
      <c r="J3768">
        <v>44782</v>
      </c>
    </row>
    <row r="3769" spans="1:10" x14ac:dyDescent="0.35">
      <c r="A3769" s="2">
        <v>44785</v>
      </c>
      <c r="B3769" s="3">
        <v>0.66811342592592593</v>
      </c>
      <c r="C3769">
        <v>7814</v>
      </c>
      <c r="D3769" t="str">
        <f>VLOOKUP(H3769,Produkt!$A$2:$B$5,2,FALSE)</f>
        <v>A</v>
      </c>
      <c r="H3769">
        <v>1</v>
      </c>
      <c r="I3769">
        <v>0.21467592592592591</v>
      </c>
      <c r="J3769">
        <v>44788</v>
      </c>
    </row>
    <row r="3770" spans="1:10" x14ac:dyDescent="0.35">
      <c r="A3770" s="2">
        <v>44785</v>
      </c>
      <c r="B3770" s="3">
        <v>0.82454861111111111</v>
      </c>
      <c r="C3770">
        <v>7864</v>
      </c>
      <c r="D3770" t="str">
        <f>VLOOKUP(H3770,Produkt!$A$2:$B$5,2,FALSE)</f>
        <v>D</v>
      </c>
      <c r="H3770">
        <v>4</v>
      </c>
      <c r="I3770">
        <v>0.34002314814814816</v>
      </c>
      <c r="J3770">
        <v>44778</v>
      </c>
    </row>
    <row r="3771" spans="1:10" x14ac:dyDescent="0.35">
      <c r="A3771" s="2">
        <v>44785</v>
      </c>
      <c r="B3771" s="3">
        <v>0.77075231481481488</v>
      </c>
      <c r="C3771">
        <v>7868</v>
      </c>
      <c r="D3771" t="str">
        <f>VLOOKUP(H3771,Produkt!$A$2:$B$5,2,FALSE)</f>
        <v>D</v>
      </c>
      <c r="H3771">
        <v>4</v>
      </c>
      <c r="I3771">
        <v>0.4962037037037037</v>
      </c>
      <c r="J3771">
        <v>44799</v>
      </c>
    </row>
    <row r="3772" spans="1:10" x14ac:dyDescent="0.35">
      <c r="A3772" s="2">
        <v>44785</v>
      </c>
      <c r="B3772" s="3">
        <v>0.58873842592592596</v>
      </c>
      <c r="C3772">
        <v>7880</v>
      </c>
      <c r="D3772" t="str">
        <f>VLOOKUP(H3772,Produkt!$A$2:$B$5,2,FALSE)</f>
        <v>A</v>
      </c>
      <c r="H3772">
        <v>1</v>
      </c>
      <c r="I3772">
        <v>0.61652777777777779</v>
      </c>
      <c r="J3772">
        <v>44784</v>
      </c>
    </row>
    <row r="3773" spans="1:10" x14ac:dyDescent="0.35">
      <c r="A3773" s="2">
        <v>44785</v>
      </c>
      <c r="B3773" s="3">
        <v>0.69923611111111106</v>
      </c>
      <c r="C3773">
        <v>7899</v>
      </c>
      <c r="D3773" t="str">
        <f>VLOOKUP(H3773,Produkt!$A$2:$B$5,2,FALSE)</f>
        <v>D</v>
      </c>
      <c r="H3773">
        <v>4</v>
      </c>
      <c r="I3773">
        <v>0.75134259259259262</v>
      </c>
      <c r="J3773">
        <v>44796</v>
      </c>
    </row>
    <row r="3774" spans="1:10" x14ac:dyDescent="0.35">
      <c r="A3774" s="2">
        <v>44785</v>
      </c>
      <c r="B3774" s="3">
        <v>0.9014699074074074</v>
      </c>
      <c r="C3774">
        <v>7914</v>
      </c>
      <c r="D3774" t="str">
        <f>VLOOKUP(H3774,Produkt!$A$2:$B$5,2,FALSE)</f>
        <v>D</v>
      </c>
      <c r="H3774">
        <v>4</v>
      </c>
      <c r="I3774">
        <v>0.7557060185185186</v>
      </c>
      <c r="J3774">
        <v>44798</v>
      </c>
    </row>
    <row r="3775" spans="1:10" x14ac:dyDescent="0.35">
      <c r="A3775" s="2">
        <v>44785</v>
      </c>
      <c r="B3775" s="3">
        <v>0.4337037037037037</v>
      </c>
      <c r="C3775">
        <v>7958</v>
      </c>
      <c r="D3775" t="str">
        <f>VLOOKUP(H3775,Produkt!$A$2:$B$5,2,FALSE)</f>
        <v>D</v>
      </c>
      <c r="H3775">
        <v>4</v>
      </c>
      <c r="I3775">
        <v>0.22583333333333333</v>
      </c>
      <c r="J3775">
        <v>44795</v>
      </c>
    </row>
    <row r="3776" spans="1:10" x14ac:dyDescent="0.35">
      <c r="A3776" s="2">
        <v>44785</v>
      </c>
      <c r="B3776" s="3">
        <v>0.81343750000000004</v>
      </c>
      <c r="C3776">
        <v>7965</v>
      </c>
      <c r="D3776" t="str">
        <f>VLOOKUP(H3776,Produkt!$A$2:$B$5,2,FALSE)</f>
        <v>B</v>
      </c>
      <c r="H3776">
        <v>2</v>
      </c>
      <c r="I3776">
        <v>0.25041666666666668</v>
      </c>
      <c r="J3776">
        <v>44803</v>
      </c>
    </row>
    <row r="3777" spans="1:10" x14ac:dyDescent="0.35">
      <c r="A3777" s="2">
        <v>44785</v>
      </c>
      <c r="B3777" s="3">
        <v>1.1539351851851842E-2</v>
      </c>
      <c r="C3777">
        <v>7966</v>
      </c>
      <c r="D3777" t="str">
        <f>VLOOKUP(H3777,Produkt!$A$2:$B$5,2,FALSE)</f>
        <v>B</v>
      </c>
      <c r="H3777">
        <v>2</v>
      </c>
      <c r="I3777">
        <v>0.26148148148148148</v>
      </c>
      <c r="J3777">
        <v>44798</v>
      </c>
    </row>
    <row r="3778" spans="1:10" x14ac:dyDescent="0.35">
      <c r="A3778" s="2">
        <v>44785</v>
      </c>
      <c r="B3778" s="3">
        <v>0.96013888888888888</v>
      </c>
      <c r="C3778">
        <v>7983</v>
      </c>
      <c r="D3778" t="str">
        <f>VLOOKUP(H3778,Produkt!$A$2:$B$5,2,FALSE)</f>
        <v>B</v>
      </c>
      <c r="H3778">
        <v>2</v>
      </c>
      <c r="I3778">
        <v>0.46732638888888883</v>
      </c>
      <c r="J3778">
        <v>44792</v>
      </c>
    </row>
    <row r="3779" spans="1:10" x14ac:dyDescent="0.35">
      <c r="A3779" s="2">
        <v>44785</v>
      </c>
      <c r="B3779" s="3">
        <v>0.45553240740740741</v>
      </c>
      <c r="C3779">
        <v>7990</v>
      </c>
      <c r="D3779" t="str">
        <f>VLOOKUP(H3779,Produkt!$A$2:$B$5,2,FALSE)</f>
        <v>D</v>
      </c>
      <c r="H3779">
        <v>4</v>
      </c>
      <c r="I3779">
        <v>0.24451388888888889</v>
      </c>
      <c r="J3779">
        <v>44798</v>
      </c>
    </row>
    <row r="3780" spans="1:10" x14ac:dyDescent="0.35">
      <c r="A3780" s="2">
        <v>44785</v>
      </c>
      <c r="B3780" s="3">
        <v>1.5613425925925926E-2</v>
      </c>
      <c r="C3780">
        <v>8006</v>
      </c>
      <c r="D3780" t="str">
        <f>VLOOKUP(H3780,Produkt!$A$2:$B$5,2,FALSE)</f>
        <v>A</v>
      </c>
      <c r="H3780">
        <v>1</v>
      </c>
      <c r="I3780">
        <v>0.10871527777777779</v>
      </c>
      <c r="J3780">
        <v>44802</v>
      </c>
    </row>
    <row r="3781" spans="1:10" x14ac:dyDescent="0.35">
      <c r="A3781" s="2">
        <v>44785</v>
      </c>
      <c r="B3781" s="3">
        <v>0.36953703703703705</v>
      </c>
      <c r="C3781">
        <v>8019</v>
      </c>
      <c r="D3781" t="str">
        <f>VLOOKUP(H3781,Produkt!$A$2:$B$5,2,FALSE)</f>
        <v>A</v>
      </c>
      <c r="H3781">
        <v>1</v>
      </c>
      <c r="I3781">
        <v>0.58853009259259259</v>
      </c>
      <c r="J3781">
        <v>44795</v>
      </c>
    </row>
    <row r="3782" spans="1:10" x14ac:dyDescent="0.35">
      <c r="A3782" s="2">
        <v>44785</v>
      </c>
      <c r="B3782" s="3">
        <v>0.44153935185185184</v>
      </c>
      <c r="C3782">
        <v>8025</v>
      </c>
      <c r="D3782" t="str">
        <f>VLOOKUP(H3782,Produkt!$A$2:$B$5,2,FALSE)</f>
        <v>A</v>
      </c>
      <c r="H3782">
        <v>1</v>
      </c>
      <c r="I3782">
        <v>0.2069212962962963</v>
      </c>
      <c r="J3782">
        <v>44790</v>
      </c>
    </row>
    <row r="3783" spans="1:10" x14ac:dyDescent="0.35">
      <c r="A3783" s="2">
        <v>44785</v>
      </c>
      <c r="B3783" s="3">
        <v>0.58273148148148146</v>
      </c>
      <c r="C3783">
        <v>8069</v>
      </c>
      <c r="D3783" t="str">
        <f>VLOOKUP(H3783,Produkt!$A$2:$B$5,2,FALSE)</f>
        <v>A</v>
      </c>
      <c r="H3783">
        <v>1</v>
      </c>
      <c r="I3783">
        <v>0.25504629629629633</v>
      </c>
      <c r="J3783">
        <v>44791</v>
      </c>
    </row>
    <row r="3784" spans="1:10" x14ac:dyDescent="0.35">
      <c r="A3784" s="2">
        <v>44785</v>
      </c>
      <c r="B3784" s="3">
        <v>0.7818518518518518</v>
      </c>
      <c r="C3784">
        <v>8100</v>
      </c>
      <c r="D3784" t="str">
        <f>VLOOKUP(H3784,Produkt!$A$2:$B$5,2,FALSE)</f>
        <v>C</v>
      </c>
      <c r="H3784">
        <v>3</v>
      </c>
      <c r="I3784">
        <v>0.25795138888888886</v>
      </c>
      <c r="J3784">
        <v>44797</v>
      </c>
    </row>
    <row r="3785" spans="1:10" x14ac:dyDescent="0.35">
      <c r="A3785" s="2">
        <v>44785</v>
      </c>
      <c r="B3785" s="3">
        <v>0.83589120370370373</v>
      </c>
      <c r="C3785">
        <v>8132</v>
      </c>
      <c r="D3785" t="str">
        <f>VLOOKUP(H3785,Produkt!$A$2:$B$5,2,FALSE)</f>
        <v>B</v>
      </c>
      <c r="H3785">
        <v>2</v>
      </c>
      <c r="I3785">
        <v>0.89587962962962964</v>
      </c>
      <c r="J3785">
        <v>44780</v>
      </c>
    </row>
    <row r="3786" spans="1:10" x14ac:dyDescent="0.35">
      <c r="A3786" s="2">
        <v>44785</v>
      </c>
      <c r="B3786" s="3">
        <v>0.51111111111111118</v>
      </c>
      <c r="C3786">
        <v>8142</v>
      </c>
      <c r="D3786" t="str">
        <f>VLOOKUP(H3786,Produkt!$A$2:$B$5,2,FALSE)</f>
        <v>B</v>
      </c>
      <c r="H3786">
        <v>2</v>
      </c>
      <c r="I3786">
        <v>0.91023148148148147</v>
      </c>
      <c r="J3786">
        <v>44776</v>
      </c>
    </row>
    <row r="3787" spans="1:10" x14ac:dyDescent="0.35">
      <c r="A3787" s="2">
        <v>44785</v>
      </c>
      <c r="B3787" s="3">
        <v>0.44613425925925926</v>
      </c>
      <c r="C3787">
        <v>8193</v>
      </c>
      <c r="D3787" t="str">
        <f>VLOOKUP(H3787,Produkt!$A$2:$B$5,2,FALSE)</f>
        <v>D</v>
      </c>
      <c r="H3787">
        <v>4</v>
      </c>
      <c r="I3787">
        <v>0.48067129629629629</v>
      </c>
      <c r="J3787">
        <v>44778</v>
      </c>
    </row>
    <row r="3788" spans="1:10" x14ac:dyDescent="0.35">
      <c r="A3788" s="2">
        <v>44785</v>
      </c>
      <c r="B3788" s="3">
        <v>0.70265046296296296</v>
      </c>
      <c r="C3788">
        <v>8247</v>
      </c>
      <c r="D3788" t="str">
        <f>VLOOKUP(H3788,Produkt!$A$2:$B$5,2,FALSE)</f>
        <v>D</v>
      </c>
      <c r="H3788">
        <v>4</v>
      </c>
      <c r="I3788">
        <v>0.23864583333333333</v>
      </c>
      <c r="J3788">
        <v>44798</v>
      </c>
    </row>
    <row r="3789" spans="1:10" x14ac:dyDescent="0.35">
      <c r="A3789" s="2">
        <v>44785</v>
      </c>
      <c r="B3789" s="3">
        <v>0.82759259259259255</v>
      </c>
      <c r="C3789">
        <v>8286</v>
      </c>
      <c r="D3789" t="str">
        <f>VLOOKUP(H3789,Produkt!$A$2:$B$5,2,FALSE)</f>
        <v>D</v>
      </c>
      <c r="H3789">
        <v>4</v>
      </c>
      <c r="I3789">
        <v>0.4369791666666667</v>
      </c>
      <c r="J3789">
        <v>44795</v>
      </c>
    </row>
    <row r="3790" spans="1:10" x14ac:dyDescent="0.35">
      <c r="A3790" s="2">
        <v>44785</v>
      </c>
      <c r="B3790" s="3">
        <v>0.42436342592592591</v>
      </c>
      <c r="C3790">
        <v>8299</v>
      </c>
      <c r="D3790" t="str">
        <f>VLOOKUP(H3790,Produkt!$A$2:$B$5,2,FALSE)</f>
        <v>B</v>
      </c>
      <c r="H3790">
        <v>2</v>
      </c>
      <c r="I3790">
        <v>0.96723379629629624</v>
      </c>
      <c r="J3790">
        <v>44796</v>
      </c>
    </row>
    <row r="3791" spans="1:10" x14ac:dyDescent="0.35">
      <c r="A3791" s="2">
        <v>44785</v>
      </c>
      <c r="B3791" s="3">
        <v>0.67325231481481485</v>
      </c>
      <c r="C3791">
        <v>8304</v>
      </c>
      <c r="D3791" t="str">
        <f>VLOOKUP(H3791,Produkt!$A$2:$B$5,2,FALSE)</f>
        <v>D</v>
      </c>
      <c r="H3791">
        <v>4</v>
      </c>
      <c r="I3791">
        <v>0.46493055555555557</v>
      </c>
      <c r="J3791">
        <v>44784</v>
      </c>
    </row>
    <row r="3792" spans="1:10" x14ac:dyDescent="0.35">
      <c r="A3792" s="2">
        <v>44785</v>
      </c>
      <c r="B3792" s="3">
        <v>0.80859953703703702</v>
      </c>
      <c r="C3792">
        <v>8327</v>
      </c>
      <c r="D3792" t="str">
        <f>VLOOKUP(H3792,Produkt!$A$2:$B$5,2,FALSE)</f>
        <v>D</v>
      </c>
      <c r="H3792">
        <v>4</v>
      </c>
      <c r="I3792">
        <v>0.55425925925925923</v>
      </c>
      <c r="J3792">
        <v>44789</v>
      </c>
    </row>
    <row r="3793" spans="1:10" x14ac:dyDescent="0.35">
      <c r="A3793" s="2">
        <v>44785</v>
      </c>
      <c r="B3793" s="3">
        <v>0.78643518518518529</v>
      </c>
      <c r="C3793">
        <v>8329</v>
      </c>
      <c r="D3793" t="str">
        <f>VLOOKUP(H3793,Produkt!$A$2:$B$5,2,FALSE)</f>
        <v>A</v>
      </c>
      <c r="H3793">
        <v>1</v>
      </c>
      <c r="I3793">
        <v>0.67121527777777779</v>
      </c>
      <c r="J3793">
        <v>44803</v>
      </c>
    </row>
    <row r="3794" spans="1:10" x14ac:dyDescent="0.35">
      <c r="A3794" s="2">
        <v>44785</v>
      </c>
      <c r="B3794" s="3">
        <v>0.62616898148148148</v>
      </c>
      <c r="C3794">
        <v>8352</v>
      </c>
      <c r="D3794" t="str">
        <f>VLOOKUP(H3794,Produkt!$A$2:$B$5,2,FALSE)</f>
        <v>A</v>
      </c>
      <c r="H3794">
        <v>1</v>
      </c>
      <c r="I3794">
        <v>0.29993055555555553</v>
      </c>
      <c r="J3794">
        <v>44782</v>
      </c>
    </row>
    <row r="3795" spans="1:10" x14ac:dyDescent="0.35">
      <c r="A3795" s="2">
        <v>44785</v>
      </c>
      <c r="B3795" s="3">
        <v>0.14851851851851852</v>
      </c>
      <c r="C3795">
        <v>8399</v>
      </c>
      <c r="D3795" t="str">
        <f>VLOOKUP(H3795,Produkt!$A$2:$B$5,2,FALSE)</f>
        <v>D</v>
      </c>
      <c r="H3795">
        <v>4</v>
      </c>
      <c r="I3795">
        <v>0.24806712962962962</v>
      </c>
      <c r="J3795">
        <v>44783</v>
      </c>
    </row>
    <row r="3796" spans="1:10" x14ac:dyDescent="0.35">
      <c r="A3796" s="2">
        <v>44785</v>
      </c>
      <c r="B3796" s="3">
        <v>0.83703703703703702</v>
      </c>
      <c r="C3796">
        <v>8402</v>
      </c>
      <c r="D3796" t="str">
        <f>VLOOKUP(H3796,Produkt!$A$2:$B$5,2,FALSE)</f>
        <v>D</v>
      </c>
      <c r="H3796">
        <v>4</v>
      </c>
      <c r="I3796">
        <v>0.19829861111111111</v>
      </c>
      <c r="J3796">
        <v>44794</v>
      </c>
    </row>
    <row r="3797" spans="1:10" x14ac:dyDescent="0.35">
      <c r="A3797" s="2">
        <v>44785</v>
      </c>
      <c r="B3797" s="3">
        <v>1.1574074074074181E-2</v>
      </c>
      <c r="C3797">
        <v>8450</v>
      </c>
      <c r="D3797" t="str">
        <f>VLOOKUP(H3797,Produkt!$A$2:$B$5,2,FALSE)</f>
        <v>D</v>
      </c>
      <c r="H3797">
        <v>4</v>
      </c>
      <c r="I3797">
        <v>0.291099537037037</v>
      </c>
      <c r="J3797">
        <v>44804</v>
      </c>
    </row>
    <row r="3798" spans="1:10" x14ac:dyDescent="0.35">
      <c r="A3798" s="2">
        <v>44785</v>
      </c>
      <c r="B3798" s="3">
        <v>0.84068287037037026</v>
      </c>
      <c r="C3798">
        <v>8457</v>
      </c>
      <c r="D3798" t="str">
        <f>VLOOKUP(H3798,Produkt!$A$2:$B$5,2,FALSE)</f>
        <v>A</v>
      </c>
      <c r="H3798">
        <v>1</v>
      </c>
      <c r="I3798">
        <v>0.78166666666666673</v>
      </c>
      <c r="J3798">
        <v>44787</v>
      </c>
    </row>
    <row r="3799" spans="1:10" x14ac:dyDescent="0.35">
      <c r="A3799" s="2">
        <v>44785</v>
      </c>
      <c r="B3799" s="3">
        <v>0.26237268518518519</v>
      </c>
      <c r="C3799">
        <v>8512</v>
      </c>
      <c r="D3799" t="str">
        <f>VLOOKUP(H3799,Produkt!$A$2:$B$5,2,FALSE)</f>
        <v>C</v>
      </c>
      <c r="H3799">
        <v>3</v>
      </c>
      <c r="I3799">
        <v>0.37862268518518521</v>
      </c>
      <c r="J3799">
        <v>44781</v>
      </c>
    </row>
    <row r="3800" spans="1:10" x14ac:dyDescent="0.35">
      <c r="A3800" s="2">
        <v>44785</v>
      </c>
      <c r="B3800" s="3">
        <v>0.90925925925925932</v>
      </c>
      <c r="C3800">
        <v>8514</v>
      </c>
      <c r="D3800" t="str">
        <f>VLOOKUP(H3800,Produkt!$A$2:$B$5,2,FALSE)</f>
        <v>B</v>
      </c>
      <c r="H3800">
        <v>2</v>
      </c>
      <c r="I3800">
        <v>0.58043981481481477</v>
      </c>
      <c r="J3800">
        <v>44784</v>
      </c>
    </row>
    <row r="3801" spans="1:10" x14ac:dyDescent="0.35">
      <c r="A3801" s="2">
        <v>44785</v>
      </c>
      <c r="B3801" s="3">
        <v>0.85341435185185188</v>
      </c>
      <c r="C3801">
        <v>8526</v>
      </c>
      <c r="D3801" t="str">
        <f>VLOOKUP(H3801,Produkt!$A$2:$B$5,2,FALSE)</f>
        <v>D</v>
      </c>
      <c r="H3801">
        <v>4</v>
      </c>
      <c r="I3801">
        <v>1.6585648148148148E-2</v>
      </c>
      <c r="J3801">
        <v>44775</v>
      </c>
    </row>
    <row r="3802" spans="1:10" x14ac:dyDescent="0.35">
      <c r="A3802" s="2">
        <v>44785</v>
      </c>
      <c r="B3802" s="3">
        <v>0.34109953703703705</v>
      </c>
      <c r="C3802">
        <v>8541</v>
      </c>
      <c r="D3802" t="str">
        <f>VLOOKUP(H3802,Produkt!$A$2:$B$5,2,FALSE)</f>
        <v>D</v>
      </c>
      <c r="H3802">
        <v>4</v>
      </c>
      <c r="I3802">
        <v>0.80917824074074074</v>
      </c>
      <c r="J3802">
        <v>44794</v>
      </c>
    </row>
    <row r="3803" spans="1:10" x14ac:dyDescent="0.35">
      <c r="A3803" s="2">
        <v>44785</v>
      </c>
      <c r="B3803" s="3">
        <v>0.92879629629629623</v>
      </c>
      <c r="C3803">
        <v>8565</v>
      </c>
      <c r="D3803" t="str">
        <f>VLOOKUP(H3803,Produkt!$A$2:$B$5,2,FALSE)</f>
        <v>A</v>
      </c>
      <c r="H3803">
        <v>1</v>
      </c>
      <c r="I3803">
        <v>0.82054398148148155</v>
      </c>
      <c r="J3803">
        <v>44791</v>
      </c>
    </row>
    <row r="3804" spans="1:10" x14ac:dyDescent="0.35">
      <c r="A3804" s="2">
        <v>44785</v>
      </c>
      <c r="B3804" s="3">
        <v>0.31475694444444446</v>
      </c>
      <c r="C3804">
        <v>8595</v>
      </c>
      <c r="D3804" t="str">
        <f>VLOOKUP(H3804,Produkt!$A$2:$B$5,2,FALSE)</f>
        <v>D</v>
      </c>
      <c r="H3804">
        <v>4</v>
      </c>
      <c r="I3804">
        <v>2.3784722222222221E-2</v>
      </c>
      <c r="J3804">
        <v>44783</v>
      </c>
    </row>
    <row r="3805" spans="1:10" x14ac:dyDescent="0.35">
      <c r="A3805" s="2">
        <v>44785</v>
      </c>
      <c r="B3805" s="3">
        <v>0.44369212962962962</v>
      </c>
      <c r="C3805">
        <v>8647</v>
      </c>
      <c r="D3805" t="str">
        <f>VLOOKUP(H3805,Produkt!$A$2:$B$5,2,FALSE)</f>
        <v>B</v>
      </c>
      <c r="H3805">
        <v>2</v>
      </c>
      <c r="I3805">
        <v>0.44482638888888887</v>
      </c>
      <c r="J3805">
        <v>44776</v>
      </c>
    </row>
    <row r="3806" spans="1:10" x14ac:dyDescent="0.35">
      <c r="A3806" s="2">
        <v>44785</v>
      </c>
      <c r="B3806" s="3">
        <v>0.66387731481481482</v>
      </c>
      <c r="C3806">
        <v>8655</v>
      </c>
      <c r="D3806" t="str">
        <f>VLOOKUP(H3806,Produkt!$A$2:$B$5,2,FALSE)</f>
        <v>C</v>
      </c>
      <c r="H3806">
        <v>3</v>
      </c>
      <c r="I3806">
        <v>0.51665509259259257</v>
      </c>
      <c r="J3806">
        <v>44795</v>
      </c>
    </row>
    <row r="3807" spans="1:10" x14ac:dyDescent="0.35">
      <c r="A3807" s="2">
        <v>44785</v>
      </c>
      <c r="B3807" s="3">
        <v>0.64599537037037036</v>
      </c>
      <c r="C3807">
        <v>8711</v>
      </c>
      <c r="D3807" t="str">
        <f>VLOOKUP(H3807,Produkt!$A$2:$B$5,2,FALSE)</f>
        <v>C</v>
      </c>
      <c r="H3807">
        <v>3</v>
      </c>
      <c r="I3807">
        <v>3.2546296296296351E-2</v>
      </c>
      <c r="J3807">
        <v>44793</v>
      </c>
    </row>
    <row r="3808" spans="1:10" x14ac:dyDescent="0.35">
      <c r="A3808" s="2">
        <v>44785</v>
      </c>
      <c r="B3808" s="3">
        <v>0.7911921296296297</v>
      </c>
      <c r="C3808">
        <v>8778</v>
      </c>
      <c r="D3808" t="str">
        <f>VLOOKUP(H3808,Produkt!$A$2:$B$5,2,FALSE)</f>
        <v>A</v>
      </c>
      <c r="H3808">
        <v>1</v>
      </c>
      <c r="I3808">
        <v>6.3657407407407404E-3</v>
      </c>
      <c r="J3808">
        <v>44776</v>
      </c>
    </row>
    <row r="3809" spans="1:10" x14ac:dyDescent="0.35">
      <c r="A3809" s="2">
        <v>44785</v>
      </c>
      <c r="B3809" s="3">
        <v>0.93454861111111109</v>
      </c>
      <c r="C3809">
        <v>8831</v>
      </c>
      <c r="D3809" t="str">
        <f>VLOOKUP(H3809,Produkt!$A$2:$B$5,2,FALSE)</f>
        <v>B</v>
      </c>
      <c r="H3809">
        <v>2</v>
      </c>
      <c r="I3809">
        <v>3.7303240740740762E-2</v>
      </c>
      <c r="J3809">
        <v>44804</v>
      </c>
    </row>
    <row r="3810" spans="1:10" x14ac:dyDescent="0.35">
      <c r="A3810" s="2">
        <v>44785</v>
      </c>
      <c r="B3810" s="3">
        <v>6.9675925925924975E-3</v>
      </c>
      <c r="C3810">
        <v>8845</v>
      </c>
      <c r="D3810" t="str">
        <f>VLOOKUP(H3810,Produkt!$A$2:$B$5,2,FALSE)</f>
        <v>C</v>
      </c>
      <c r="H3810">
        <v>3</v>
      </c>
      <c r="I3810">
        <v>0.33501157407407406</v>
      </c>
      <c r="J3810">
        <v>44803</v>
      </c>
    </row>
    <row r="3811" spans="1:10" x14ac:dyDescent="0.35">
      <c r="A3811" s="2">
        <v>44785</v>
      </c>
      <c r="B3811" s="3">
        <v>0.66524305555555563</v>
      </c>
      <c r="C3811">
        <v>8900</v>
      </c>
      <c r="D3811" t="str">
        <f>VLOOKUP(H3811,Produkt!$A$2:$B$5,2,FALSE)</f>
        <v>A</v>
      </c>
      <c r="H3811">
        <v>1</v>
      </c>
      <c r="I3811">
        <v>0.52195601851851847</v>
      </c>
      <c r="J3811">
        <v>44791</v>
      </c>
    </row>
    <row r="3812" spans="1:10" x14ac:dyDescent="0.35">
      <c r="A3812" s="2">
        <v>44785</v>
      </c>
      <c r="B3812" s="3">
        <v>0.2005787037037037</v>
      </c>
      <c r="C3812">
        <v>8942</v>
      </c>
      <c r="D3812" t="str">
        <f>VLOOKUP(H3812,Produkt!$A$2:$B$5,2,FALSE)</f>
        <v>A</v>
      </c>
      <c r="H3812">
        <v>1</v>
      </c>
      <c r="I3812">
        <v>0.35108796296296302</v>
      </c>
      <c r="J3812">
        <v>44785</v>
      </c>
    </row>
    <row r="3813" spans="1:10" x14ac:dyDescent="0.35">
      <c r="A3813" s="2">
        <v>44785</v>
      </c>
      <c r="B3813" s="3">
        <v>0.33997685185185184</v>
      </c>
      <c r="C3813">
        <v>8979</v>
      </c>
      <c r="D3813" t="str">
        <f>VLOOKUP(H3813,Produkt!$A$2:$B$5,2,FALSE)</f>
        <v>B</v>
      </c>
      <c r="H3813">
        <v>2</v>
      </c>
      <c r="I3813">
        <v>0.64953703703703702</v>
      </c>
      <c r="J3813">
        <v>44776</v>
      </c>
    </row>
    <row r="3814" spans="1:10" x14ac:dyDescent="0.35">
      <c r="A3814" s="2">
        <v>44785</v>
      </c>
      <c r="B3814" s="3">
        <v>0.10751157407407408</v>
      </c>
      <c r="C3814">
        <v>9068</v>
      </c>
      <c r="D3814" t="str">
        <f>VLOOKUP(H3814,Produkt!$A$2:$B$5,2,FALSE)</f>
        <v>B</v>
      </c>
      <c r="H3814">
        <v>2</v>
      </c>
      <c r="I3814">
        <v>0.86009259259259263</v>
      </c>
      <c r="J3814">
        <v>44788</v>
      </c>
    </row>
    <row r="3815" spans="1:10" x14ac:dyDescent="0.35">
      <c r="A3815" s="2">
        <v>44785</v>
      </c>
      <c r="B3815" s="3">
        <v>0.76356481481481486</v>
      </c>
      <c r="C3815">
        <v>9087</v>
      </c>
      <c r="D3815" t="str">
        <f>VLOOKUP(H3815,Produkt!$A$2:$B$5,2,FALSE)</f>
        <v>C</v>
      </c>
      <c r="H3815">
        <v>3</v>
      </c>
      <c r="I3815">
        <v>0.61057870370370371</v>
      </c>
      <c r="J3815">
        <v>44795</v>
      </c>
    </row>
    <row r="3816" spans="1:10" x14ac:dyDescent="0.35">
      <c r="A3816" s="2">
        <v>44785</v>
      </c>
      <c r="B3816" s="3">
        <v>0.77037037037037026</v>
      </c>
      <c r="C3816">
        <v>9128</v>
      </c>
      <c r="D3816" t="str">
        <f>VLOOKUP(H3816,Produkt!$A$2:$B$5,2,FALSE)</f>
        <v>B</v>
      </c>
      <c r="H3816">
        <v>2</v>
      </c>
      <c r="I3816">
        <v>0.43684027777777779</v>
      </c>
      <c r="J3816">
        <v>44780</v>
      </c>
    </row>
    <row r="3817" spans="1:10" x14ac:dyDescent="0.35">
      <c r="A3817" s="2">
        <v>44785</v>
      </c>
      <c r="B3817" s="3">
        <v>0.68359953703703702</v>
      </c>
      <c r="C3817">
        <v>9132</v>
      </c>
      <c r="D3817" t="str">
        <f>VLOOKUP(H3817,Produkt!$A$2:$B$5,2,FALSE)</f>
        <v>A</v>
      </c>
      <c r="H3817">
        <v>1</v>
      </c>
      <c r="I3817">
        <v>0.70315972222222223</v>
      </c>
      <c r="J3817">
        <v>44782</v>
      </c>
    </row>
    <row r="3818" spans="1:10" x14ac:dyDescent="0.35">
      <c r="A3818" s="2">
        <v>44785</v>
      </c>
      <c r="B3818" s="3">
        <v>0.75408564814814805</v>
      </c>
      <c r="C3818">
        <v>9173</v>
      </c>
      <c r="D3818" t="str">
        <f>VLOOKUP(H3818,Produkt!$A$2:$B$5,2,FALSE)</f>
        <v>D</v>
      </c>
      <c r="H3818">
        <v>4</v>
      </c>
      <c r="I3818">
        <v>0.73071759259259261</v>
      </c>
      <c r="J3818">
        <v>44775</v>
      </c>
    </row>
    <row r="3819" spans="1:10" x14ac:dyDescent="0.35">
      <c r="A3819" s="2">
        <v>44785</v>
      </c>
      <c r="B3819" s="3">
        <v>7.1319444444444449E-2</v>
      </c>
      <c r="C3819">
        <v>9197</v>
      </c>
      <c r="D3819" t="str">
        <f>VLOOKUP(H3819,Produkt!$A$2:$B$5,2,FALSE)</f>
        <v>C</v>
      </c>
      <c r="H3819">
        <v>3</v>
      </c>
      <c r="I3819">
        <v>0.78509259259259256</v>
      </c>
      <c r="J3819">
        <v>44785</v>
      </c>
    </row>
    <row r="3820" spans="1:10" x14ac:dyDescent="0.35">
      <c r="A3820" s="2">
        <v>44785</v>
      </c>
      <c r="B3820" s="3">
        <v>0.67611111111111111</v>
      </c>
      <c r="C3820">
        <v>9295</v>
      </c>
      <c r="D3820" t="str">
        <f>VLOOKUP(H3820,Produkt!$A$2:$B$5,2,FALSE)</f>
        <v>D</v>
      </c>
      <c r="H3820">
        <v>4</v>
      </c>
      <c r="I3820">
        <v>6.7280092592592586E-2</v>
      </c>
      <c r="J3820">
        <v>44776</v>
      </c>
    </row>
    <row r="3821" spans="1:10" x14ac:dyDescent="0.35">
      <c r="A3821" s="2">
        <v>44785</v>
      </c>
      <c r="B3821" s="3">
        <v>0.96009259259259261</v>
      </c>
      <c r="C3821">
        <v>9363</v>
      </c>
      <c r="D3821" t="str">
        <f>VLOOKUP(H3821,Produkt!$A$2:$B$5,2,FALSE)</f>
        <v>B</v>
      </c>
      <c r="H3821">
        <v>2</v>
      </c>
      <c r="I3821">
        <v>0.14206018518518518</v>
      </c>
      <c r="J3821">
        <v>44775</v>
      </c>
    </row>
    <row r="3822" spans="1:10" x14ac:dyDescent="0.35">
      <c r="A3822" s="2">
        <v>44785</v>
      </c>
      <c r="B3822" s="3">
        <v>0.51340277777777776</v>
      </c>
      <c r="C3822">
        <v>9389</v>
      </c>
      <c r="D3822" t="str">
        <f>VLOOKUP(H3822,Produkt!$A$2:$B$5,2,FALSE)</f>
        <v>D</v>
      </c>
      <c r="H3822">
        <v>4</v>
      </c>
      <c r="I3822">
        <v>0.18726851851851853</v>
      </c>
      <c r="J3822">
        <v>44797</v>
      </c>
    </row>
    <row r="3823" spans="1:10" x14ac:dyDescent="0.35">
      <c r="A3823" s="2">
        <v>44785</v>
      </c>
      <c r="B3823" s="3">
        <v>0.58818287037037031</v>
      </c>
      <c r="C3823">
        <v>9424</v>
      </c>
      <c r="D3823" t="str">
        <f>VLOOKUP(H3823,Produkt!$A$2:$B$5,2,FALSE)</f>
        <v>A</v>
      </c>
      <c r="H3823">
        <v>1</v>
      </c>
      <c r="I3823">
        <v>0.93101851851851858</v>
      </c>
      <c r="J3823">
        <v>44783</v>
      </c>
    </row>
    <row r="3824" spans="1:10" x14ac:dyDescent="0.35">
      <c r="A3824" s="2">
        <v>44785</v>
      </c>
      <c r="B3824" s="3">
        <v>1.2789351851851816E-2</v>
      </c>
      <c r="C3824">
        <v>9465</v>
      </c>
      <c r="D3824" t="str">
        <f>VLOOKUP(H3824,Produkt!$A$2:$B$5,2,FALSE)</f>
        <v>D</v>
      </c>
      <c r="H3824">
        <v>4</v>
      </c>
      <c r="I3824">
        <v>0.97511574074074081</v>
      </c>
      <c r="J3824">
        <v>44795</v>
      </c>
    </row>
    <row r="3825" spans="1:10" x14ac:dyDescent="0.35">
      <c r="A3825" s="2">
        <v>44785</v>
      </c>
      <c r="B3825" s="3">
        <v>0.30684027777777778</v>
      </c>
      <c r="C3825">
        <v>9543</v>
      </c>
      <c r="D3825" t="str">
        <f>VLOOKUP(H3825,Produkt!$A$2:$B$5,2,FALSE)</f>
        <v>C</v>
      </c>
      <c r="H3825">
        <v>3</v>
      </c>
      <c r="I3825">
        <v>8.6354166666666662E-2</v>
      </c>
      <c r="J3825">
        <v>44792</v>
      </c>
    </row>
    <row r="3826" spans="1:10" x14ac:dyDescent="0.35">
      <c r="A3826" s="2">
        <v>44785</v>
      </c>
      <c r="B3826" s="3">
        <v>8.564814814814815E-3</v>
      </c>
      <c r="C3826">
        <v>9571</v>
      </c>
      <c r="D3826" t="str">
        <f>VLOOKUP(H3826,Produkt!$A$2:$B$5,2,FALSE)</f>
        <v>D</v>
      </c>
      <c r="H3826">
        <v>4</v>
      </c>
      <c r="I3826">
        <v>7.4745370370370365E-2</v>
      </c>
      <c r="J3826">
        <v>44790</v>
      </c>
    </row>
    <row r="3827" spans="1:10" x14ac:dyDescent="0.35">
      <c r="A3827" s="2">
        <v>44785</v>
      </c>
      <c r="B3827" s="3">
        <v>0.20612268518518517</v>
      </c>
      <c r="C3827">
        <v>9612</v>
      </c>
      <c r="D3827" t="str">
        <f>VLOOKUP(H3827,Produkt!$A$2:$B$5,2,FALSE)</f>
        <v>B</v>
      </c>
      <c r="H3827">
        <v>2</v>
      </c>
      <c r="I3827">
        <v>0.41736111111111113</v>
      </c>
      <c r="J3827">
        <v>44776</v>
      </c>
    </row>
    <row r="3828" spans="1:10" x14ac:dyDescent="0.35">
      <c r="A3828" s="2">
        <v>44785</v>
      </c>
      <c r="B3828" s="3">
        <v>0.95078703703703704</v>
      </c>
      <c r="C3828">
        <v>9627</v>
      </c>
      <c r="D3828" t="str">
        <f>VLOOKUP(H3828,Produkt!$A$2:$B$5,2,FALSE)</f>
        <v>A</v>
      </c>
      <c r="H3828">
        <v>1</v>
      </c>
      <c r="I3828">
        <v>4.0775462962962965E-2</v>
      </c>
      <c r="J3828">
        <v>44779</v>
      </c>
    </row>
    <row r="3829" spans="1:10" x14ac:dyDescent="0.35">
      <c r="A3829" s="2">
        <v>44785</v>
      </c>
      <c r="B3829" s="3">
        <v>0.48964120370370368</v>
      </c>
      <c r="C3829">
        <v>9632</v>
      </c>
      <c r="D3829" t="str">
        <f>VLOOKUP(H3829,Produkt!$A$2:$B$5,2,FALSE)</f>
        <v>B</v>
      </c>
      <c r="H3829">
        <v>2</v>
      </c>
      <c r="I3829">
        <v>0.26991898148148147</v>
      </c>
      <c r="J3829">
        <v>44781</v>
      </c>
    </row>
    <row r="3830" spans="1:10" x14ac:dyDescent="0.35">
      <c r="A3830" s="2">
        <v>44785</v>
      </c>
      <c r="B3830" s="3">
        <v>0.63164351851851852</v>
      </c>
      <c r="C3830">
        <v>9665</v>
      </c>
      <c r="D3830" t="str">
        <f>VLOOKUP(H3830,Produkt!$A$2:$B$5,2,FALSE)</f>
        <v>A</v>
      </c>
      <c r="H3830">
        <v>1</v>
      </c>
      <c r="I3830">
        <v>0.78883101851851845</v>
      </c>
      <c r="J3830">
        <v>44788</v>
      </c>
    </row>
    <row r="3831" spans="1:10" x14ac:dyDescent="0.35">
      <c r="A3831" s="2">
        <v>44785</v>
      </c>
      <c r="B3831" s="3">
        <v>0.10716435185185186</v>
      </c>
      <c r="C3831">
        <v>9703</v>
      </c>
      <c r="D3831" t="str">
        <f>VLOOKUP(H3831,Produkt!$A$2:$B$5,2,FALSE)</f>
        <v>D</v>
      </c>
      <c r="H3831">
        <v>4</v>
      </c>
      <c r="I3831">
        <v>0.13034722222222223</v>
      </c>
      <c r="J3831">
        <v>44796</v>
      </c>
    </row>
    <row r="3832" spans="1:10" x14ac:dyDescent="0.35">
      <c r="A3832" s="2">
        <v>44785</v>
      </c>
      <c r="B3832" s="3">
        <v>0.57033564814814819</v>
      </c>
      <c r="C3832">
        <v>9720</v>
      </c>
      <c r="D3832" t="str">
        <f>VLOOKUP(H3832,Produkt!$A$2:$B$5,2,FALSE)</f>
        <v>D</v>
      </c>
      <c r="H3832">
        <v>4</v>
      </c>
      <c r="I3832">
        <v>0.90361111111111114</v>
      </c>
      <c r="J3832">
        <v>44776</v>
      </c>
    </row>
    <row r="3833" spans="1:10" x14ac:dyDescent="0.35">
      <c r="A3833" s="2">
        <v>44785</v>
      </c>
      <c r="B3833" s="3">
        <v>4.0011574074074074E-2</v>
      </c>
      <c r="C3833">
        <v>9793</v>
      </c>
      <c r="D3833" t="str">
        <f>VLOOKUP(H3833,Produkt!$A$2:$B$5,2,FALSE)</f>
        <v>D</v>
      </c>
      <c r="H3833">
        <v>4</v>
      </c>
      <c r="I3833">
        <v>0.16581018518518517</v>
      </c>
      <c r="J3833">
        <v>44801</v>
      </c>
    </row>
    <row r="3834" spans="1:10" x14ac:dyDescent="0.35">
      <c r="A3834" s="2">
        <v>44785</v>
      </c>
      <c r="B3834" s="3">
        <v>0.70104166666666667</v>
      </c>
      <c r="C3834">
        <v>9811</v>
      </c>
      <c r="D3834" t="str">
        <f>VLOOKUP(H3834,Produkt!$A$2:$B$5,2,FALSE)</f>
        <v>A</v>
      </c>
      <c r="H3834">
        <v>1</v>
      </c>
      <c r="I3834">
        <v>0.84922453703703704</v>
      </c>
      <c r="J3834">
        <v>44798</v>
      </c>
    </row>
    <row r="3835" spans="1:10" x14ac:dyDescent="0.35">
      <c r="A3835" s="2">
        <v>44785</v>
      </c>
      <c r="B3835" s="3">
        <v>0.84086805555555555</v>
      </c>
      <c r="C3835">
        <v>9841</v>
      </c>
      <c r="D3835" t="str">
        <f>VLOOKUP(H3835,Produkt!$A$2:$B$5,2,FALSE)</f>
        <v>D</v>
      </c>
      <c r="H3835">
        <v>4</v>
      </c>
      <c r="I3835">
        <v>0.46210648148148148</v>
      </c>
      <c r="J3835">
        <v>44792</v>
      </c>
    </row>
    <row r="3836" spans="1:10" x14ac:dyDescent="0.35">
      <c r="A3836" s="2">
        <v>44785</v>
      </c>
      <c r="B3836" s="3">
        <v>0.50763888888888886</v>
      </c>
      <c r="C3836">
        <v>9913</v>
      </c>
      <c r="D3836" t="str">
        <f>VLOOKUP(H3836,Produkt!$A$2:$B$5,2,FALSE)</f>
        <v>D</v>
      </c>
      <c r="H3836">
        <v>4</v>
      </c>
      <c r="I3836">
        <v>0.84501157407407401</v>
      </c>
      <c r="J3836">
        <v>44791</v>
      </c>
    </row>
    <row r="3837" spans="1:10" x14ac:dyDescent="0.35">
      <c r="A3837" s="2">
        <v>44785</v>
      </c>
      <c r="B3837" s="3">
        <v>0.11444444444444445</v>
      </c>
      <c r="C3837">
        <v>9916</v>
      </c>
      <c r="D3837" t="str">
        <f>VLOOKUP(H3837,Produkt!$A$2:$B$5,2,FALSE)</f>
        <v>B</v>
      </c>
      <c r="H3837">
        <v>2</v>
      </c>
      <c r="I3837">
        <v>0.3105208333333333</v>
      </c>
      <c r="J3837">
        <v>44792</v>
      </c>
    </row>
    <row r="3838" spans="1:10" x14ac:dyDescent="0.35">
      <c r="A3838" s="2">
        <v>44785</v>
      </c>
      <c r="B3838" s="3">
        <v>4.6990740740740743E-3</v>
      </c>
      <c r="C3838">
        <v>9932</v>
      </c>
      <c r="D3838" t="str">
        <f>VLOOKUP(H3838,Produkt!$A$2:$B$5,2,FALSE)</f>
        <v>B</v>
      </c>
      <c r="H3838">
        <v>2</v>
      </c>
      <c r="I3838">
        <v>0.5857175925925926</v>
      </c>
      <c r="J3838">
        <v>44803</v>
      </c>
    </row>
    <row r="3839" spans="1:10" x14ac:dyDescent="0.35">
      <c r="A3839" s="2">
        <v>44785</v>
      </c>
      <c r="B3839" s="3">
        <v>3.6898148148148069E-2</v>
      </c>
      <c r="C3839">
        <v>9950</v>
      </c>
      <c r="D3839" t="str">
        <f>VLOOKUP(H3839,Produkt!$A$2:$B$5,2,FALSE)</f>
        <v>A</v>
      </c>
      <c r="H3839">
        <v>1</v>
      </c>
      <c r="I3839">
        <v>0.79916666666666669</v>
      </c>
      <c r="J3839">
        <v>44792</v>
      </c>
    </row>
    <row r="3840" spans="1:10" x14ac:dyDescent="0.35">
      <c r="A3840" s="2">
        <v>44785</v>
      </c>
      <c r="B3840" s="3">
        <v>0.59004629629629635</v>
      </c>
      <c r="C3840">
        <v>9977</v>
      </c>
      <c r="D3840" t="str">
        <f>VLOOKUP(H3840,Produkt!$A$2:$B$5,2,FALSE)</f>
        <v>B</v>
      </c>
      <c r="H3840">
        <v>2</v>
      </c>
      <c r="I3840">
        <v>0.92615740740740737</v>
      </c>
      <c r="J3840">
        <v>44777</v>
      </c>
    </row>
    <row r="3841" spans="1:10" x14ac:dyDescent="0.35">
      <c r="A3841" s="2">
        <v>44785</v>
      </c>
      <c r="B3841" s="3">
        <v>0.4774768518518519</v>
      </c>
      <c r="C3841">
        <v>9991</v>
      </c>
      <c r="D3841" t="str">
        <f>VLOOKUP(H3841,Produkt!$A$2:$B$5,2,FALSE)</f>
        <v>A</v>
      </c>
      <c r="H3841">
        <v>1</v>
      </c>
      <c r="I3841">
        <v>0.85016203703703708</v>
      </c>
      <c r="J3841">
        <v>44788</v>
      </c>
    </row>
    <row r="3842" spans="1:10" x14ac:dyDescent="0.35">
      <c r="A3842" s="2">
        <v>44786</v>
      </c>
      <c r="B3842" s="3">
        <v>0.78364583333333337</v>
      </c>
      <c r="C3842">
        <v>44</v>
      </c>
      <c r="D3842" t="str">
        <f>VLOOKUP(H3842,Produkt!$A$2:$B$5,2,FALSE)</f>
        <v>D</v>
      </c>
      <c r="H3842">
        <v>4</v>
      </c>
      <c r="I3842">
        <v>0.63721064814814821</v>
      </c>
      <c r="J3842">
        <v>44799</v>
      </c>
    </row>
    <row r="3843" spans="1:10" x14ac:dyDescent="0.35">
      <c r="A3843" s="2">
        <v>44786</v>
      </c>
      <c r="B3843" s="3">
        <v>0.2076388888888889</v>
      </c>
      <c r="C3843">
        <v>57</v>
      </c>
      <c r="D3843" t="str">
        <f>VLOOKUP(H3843,Produkt!$A$2:$B$5,2,FALSE)</f>
        <v>C</v>
      </c>
      <c r="H3843">
        <v>3</v>
      </c>
      <c r="I3843">
        <v>0.86179398148148145</v>
      </c>
      <c r="J3843">
        <v>44782</v>
      </c>
    </row>
    <row r="3844" spans="1:10" x14ac:dyDescent="0.35">
      <c r="A3844" s="2">
        <v>44786</v>
      </c>
      <c r="B3844" s="3">
        <v>0.19416666666666668</v>
      </c>
      <c r="C3844">
        <v>65</v>
      </c>
      <c r="D3844" t="str">
        <f>VLOOKUP(H3844,Produkt!$A$2:$B$5,2,FALSE)</f>
        <v>D</v>
      </c>
      <c r="H3844">
        <v>4</v>
      </c>
      <c r="I3844">
        <v>0.90797453703703701</v>
      </c>
      <c r="J3844">
        <v>44792</v>
      </c>
    </row>
    <row r="3845" spans="1:10" x14ac:dyDescent="0.35">
      <c r="A3845" s="2">
        <v>44786</v>
      </c>
      <c r="B3845" s="3">
        <v>2.3483796296296378E-2</v>
      </c>
      <c r="C3845">
        <v>89</v>
      </c>
      <c r="D3845" t="str">
        <f>VLOOKUP(H3845,Produkt!$A$2:$B$5,2,FALSE)</f>
        <v>B</v>
      </c>
      <c r="H3845">
        <v>2</v>
      </c>
      <c r="I3845">
        <v>0.61439814814814808</v>
      </c>
      <c r="J3845">
        <v>44803</v>
      </c>
    </row>
    <row r="3846" spans="1:10" x14ac:dyDescent="0.35">
      <c r="A3846" s="2">
        <v>44786</v>
      </c>
      <c r="B3846" s="3">
        <v>0.90479166666666666</v>
      </c>
      <c r="C3846">
        <v>105</v>
      </c>
      <c r="D3846" t="str">
        <f>VLOOKUP(H3846,Produkt!$A$2:$B$5,2,FALSE)</f>
        <v>A</v>
      </c>
      <c r="H3846">
        <v>1</v>
      </c>
      <c r="I3846">
        <v>0.88383101851851853</v>
      </c>
      <c r="J3846">
        <v>44793</v>
      </c>
    </row>
    <row r="3847" spans="1:10" x14ac:dyDescent="0.35">
      <c r="A3847" s="2">
        <v>44786</v>
      </c>
      <c r="B3847" s="3">
        <v>0.91344907407407405</v>
      </c>
      <c r="C3847">
        <v>106</v>
      </c>
      <c r="D3847" t="str">
        <f>VLOOKUP(H3847,Produkt!$A$2:$B$5,2,FALSE)</f>
        <v>B</v>
      </c>
      <c r="H3847">
        <v>2</v>
      </c>
      <c r="I3847">
        <v>0.30223379629629626</v>
      </c>
      <c r="J3847">
        <v>44796</v>
      </c>
    </row>
    <row r="3848" spans="1:10" x14ac:dyDescent="0.35">
      <c r="A3848" s="2">
        <v>44786</v>
      </c>
      <c r="B3848" s="3">
        <v>0.96392361111111102</v>
      </c>
      <c r="C3848">
        <v>131</v>
      </c>
      <c r="D3848" t="str">
        <f>VLOOKUP(H3848,Produkt!$A$2:$B$5,2,FALSE)</f>
        <v>D</v>
      </c>
      <c r="H3848">
        <v>4</v>
      </c>
      <c r="I3848">
        <v>0.43806712962962963</v>
      </c>
      <c r="J3848">
        <v>44796</v>
      </c>
    </row>
    <row r="3849" spans="1:10" x14ac:dyDescent="0.35">
      <c r="A3849" s="2">
        <v>44786</v>
      </c>
      <c r="B3849" s="3">
        <v>6.5717592592592591E-2</v>
      </c>
      <c r="C3849">
        <v>337</v>
      </c>
      <c r="D3849" t="str">
        <f>VLOOKUP(H3849,Produkt!$A$2:$B$5,2,FALSE)</f>
        <v>A</v>
      </c>
      <c r="H3849">
        <v>1</v>
      </c>
      <c r="I3849">
        <v>0.71502314814814805</v>
      </c>
      <c r="J3849">
        <v>44804</v>
      </c>
    </row>
    <row r="3850" spans="1:10" x14ac:dyDescent="0.35">
      <c r="A3850" s="2">
        <v>44786</v>
      </c>
      <c r="B3850" s="3">
        <v>0.35413194444444446</v>
      </c>
      <c r="C3850">
        <v>397</v>
      </c>
      <c r="D3850" t="str">
        <f>VLOOKUP(H3850,Produkt!$A$2:$B$5,2,FALSE)</f>
        <v>B</v>
      </c>
      <c r="H3850">
        <v>2</v>
      </c>
      <c r="I3850">
        <v>0.35886574074074074</v>
      </c>
      <c r="J3850">
        <v>44790</v>
      </c>
    </row>
    <row r="3851" spans="1:10" x14ac:dyDescent="0.35">
      <c r="A3851" s="2">
        <v>44786</v>
      </c>
      <c r="B3851" s="3">
        <v>7.8240740740740736E-2</v>
      </c>
      <c r="C3851">
        <v>485</v>
      </c>
      <c r="D3851" t="str">
        <f>VLOOKUP(H3851,Produkt!$A$2:$B$5,2,FALSE)</f>
        <v>C</v>
      </c>
      <c r="H3851">
        <v>3</v>
      </c>
      <c r="I3851">
        <v>0.5782870370370371</v>
      </c>
      <c r="J3851">
        <v>44774</v>
      </c>
    </row>
    <row r="3852" spans="1:10" x14ac:dyDescent="0.35">
      <c r="A3852" s="2">
        <v>44786</v>
      </c>
      <c r="B3852" s="3">
        <v>0.34386574074074078</v>
      </c>
      <c r="C3852">
        <v>528</v>
      </c>
      <c r="D3852" t="str">
        <f>VLOOKUP(H3852,Produkt!$A$2:$B$5,2,FALSE)</f>
        <v>A</v>
      </c>
      <c r="H3852">
        <v>1</v>
      </c>
      <c r="I3852">
        <v>0.20358796296296297</v>
      </c>
      <c r="J3852">
        <v>44781</v>
      </c>
    </row>
    <row r="3853" spans="1:10" x14ac:dyDescent="0.35">
      <c r="A3853" s="2">
        <v>44786</v>
      </c>
      <c r="B3853" s="3">
        <v>0.26471064814814815</v>
      </c>
      <c r="C3853">
        <v>542</v>
      </c>
      <c r="D3853" t="str">
        <f>VLOOKUP(H3853,Produkt!$A$2:$B$5,2,FALSE)</f>
        <v>A</v>
      </c>
      <c r="H3853">
        <v>1</v>
      </c>
      <c r="I3853">
        <v>0.23576388888888888</v>
      </c>
      <c r="J3853">
        <v>44794</v>
      </c>
    </row>
    <row r="3854" spans="1:10" x14ac:dyDescent="0.35">
      <c r="A3854" s="2">
        <v>44786</v>
      </c>
      <c r="B3854" s="3">
        <v>0.72811342592592598</v>
      </c>
      <c r="C3854">
        <v>567</v>
      </c>
      <c r="D3854" t="str">
        <f>VLOOKUP(H3854,Produkt!$A$2:$B$5,2,FALSE)</f>
        <v>C</v>
      </c>
      <c r="H3854">
        <v>3</v>
      </c>
      <c r="I3854">
        <v>0.35572916666666665</v>
      </c>
      <c r="J3854">
        <v>44791</v>
      </c>
    </row>
    <row r="3855" spans="1:10" x14ac:dyDescent="0.35">
      <c r="A3855" s="2">
        <v>44786</v>
      </c>
      <c r="B3855" s="3">
        <v>0.93392361111111111</v>
      </c>
      <c r="C3855">
        <v>571</v>
      </c>
      <c r="D3855" t="str">
        <f>VLOOKUP(H3855,Produkt!$A$2:$B$5,2,FALSE)</f>
        <v>A</v>
      </c>
      <c r="H3855">
        <v>1</v>
      </c>
      <c r="I3855">
        <v>3.0266203703703708E-2</v>
      </c>
      <c r="J3855">
        <v>44782</v>
      </c>
    </row>
    <row r="3856" spans="1:10" x14ac:dyDescent="0.35">
      <c r="A3856" s="2">
        <v>44786</v>
      </c>
      <c r="B3856" s="3">
        <v>0.36072916666666671</v>
      </c>
      <c r="C3856">
        <v>635</v>
      </c>
      <c r="D3856" t="str">
        <f>VLOOKUP(H3856,Produkt!$A$2:$B$5,2,FALSE)</f>
        <v>A</v>
      </c>
      <c r="H3856">
        <v>1</v>
      </c>
      <c r="I3856">
        <v>0.42953703703703705</v>
      </c>
      <c r="J3856">
        <v>44793</v>
      </c>
    </row>
    <row r="3857" spans="1:10" x14ac:dyDescent="0.35">
      <c r="A3857" s="2">
        <v>44786</v>
      </c>
      <c r="B3857" s="3">
        <v>0.81160879629629623</v>
      </c>
      <c r="C3857">
        <v>646</v>
      </c>
      <c r="D3857" t="str">
        <f>VLOOKUP(H3857,Produkt!$A$2:$B$5,2,FALSE)</f>
        <v>C</v>
      </c>
      <c r="H3857">
        <v>3</v>
      </c>
      <c r="I3857">
        <v>0.49456018518518513</v>
      </c>
      <c r="J3857">
        <v>44796</v>
      </c>
    </row>
    <row r="3858" spans="1:10" x14ac:dyDescent="0.35">
      <c r="A3858" s="2">
        <v>44786</v>
      </c>
      <c r="B3858" s="3">
        <v>0.3747800925925926</v>
      </c>
      <c r="C3858">
        <v>648</v>
      </c>
      <c r="D3858" t="str">
        <f>VLOOKUP(H3858,Produkt!$A$2:$B$5,2,FALSE)</f>
        <v>C</v>
      </c>
      <c r="H3858">
        <v>3</v>
      </c>
      <c r="I3858">
        <v>0.18578703703703703</v>
      </c>
      <c r="J3858">
        <v>44775</v>
      </c>
    </row>
    <row r="3859" spans="1:10" x14ac:dyDescent="0.35">
      <c r="A3859" s="2">
        <v>44786</v>
      </c>
      <c r="B3859" s="3">
        <v>0.4600231481481481</v>
      </c>
      <c r="C3859">
        <v>691</v>
      </c>
      <c r="D3859" t="str">
        <f>VLOOKUP(H3859,Produkt!$A$2:$B$5,2,FALSE)</f>
        <v>C</v>
      </c>
      <c r="H3859">
        <v>3</v>
      </c>
      <c r="I3859">
        <v>0.18638888888888891</v>
      </c>
      <c r="J3859">
        <v>44785</v>
      </c>
    </row>
    <row r="3860" spans="1:10" x14ac:dyDescent="0.35">
      <c r="A3860" s="2">
        <v>44786</v>
      </c>
      <c r="B3860" s="3">
        <v>0.63737268518518519</v>
      </c>
      <c r="C3860">
        <v>724</v>
      </c>
      <c r="D3860" t="str">
        <f>VLOOKUP(H3860,Produkt!$A$2:$B$5,2,FALSE)</f>
        <v>C</v>
      </c>
      <c r="H3860">
        <v>3</v>
      </c>
      <c r="I3860">
        <v>0.80115740740740737</v>
      </c>
      <c r="J3860">
        <v>44803</v>
      </c>
    </row>
    <row r="3861" spans="1:10" x14ac:dyDescent="0.35">
      <c r="A3861" s="2">
        <v>44786</v>
      </c>
      <c r="B3861" s="3">
        <v>3.4085648148148184E-2</v>
      </c>
      <c r="C3861">
        <v>734</v>
      </c>
      <c r="D3861" t="str">
        <f>VLOOKUP(H3861,Produkt!$A$2:$B$5,2,FALSE)</f>
        <v>C</v>
      </c>
      <c r="H3861">
        <v>3</v>
      </c>
      <c r="I3861">
        <v>0.88996527777777779</v>
      </c>
      <c r="J3861">
        <v>44800</v>
      </c>
    </row>
    <row r="3862" spans="1:10" x14ac:dyDescent="0.35">
      <c r="A3862" s="2">
        <v>44786</v>
      </c>
      <c r="B3862" s="3">
        <v>0.13065972222222222</v>
      </c>
      <c r="C3862">
        <v>737</v>
      </c>
      <c r="D3862" t="str">
        <f>VLOOKUP(H3862,Produkt!$A$2:$B$5,2,FALSE)</f>
        <v>C</v>
      </c>
      <c r="H3862">
        <v>3</v>
      </c>
      <c r="I3862">
        <v>0.48188657407407409</v>
      </c>
      <c r="J3862">
        <v>44776</v>
      </c>
    </row>
    <row r="3863" spans="1:10" x14ac:dyDescent="0.35">
      <c r="A3863" s="2">
        <v>44786</v>
      </c>
      <c r="B3863" s="3">
        <v>0.76180555555555562</v>
      </c>
      <c r="C3863">
        <v>862</v>
      </c>
      <c r="D3863" t="str">
        <f>VLOOKUP(H3863,Produkt!$A$2:$B$5,2,FALSE)</f>
        <v>B</v>
      </c>
      <c r="H3863">
        <v>2</v>
      </c>
      <c r="I3863">
        <v>0.826238425925926</v>
      </c>
      <c r="J3863">
        <v>44782</v>
      </c>
    </row>
    <row r="3864" spans="1:10" x14ac:dyDescent="0.35">
      <c r="A3864" s="2">
        <v>44786</v>
      </c>
      <c r="B3864" s="3">
        <v>6.4467592592591938E-3</v>
      </c>
      <c r="C3864">
        <v>928</v>
      </c>
      <c r="D3864" t="str">
        <f>VLOOKUP(H3864,Produkt!$A$2:$B$5,2,FALSE)</f>
        <v>B</v>
      </c>
      <c r="H3864">
        <v>2</v>
      </c>
      <c r="I3864">
        <v>0.7087500000000001</v>
      </c>
      <c r="J3864">
        <v>44796</v>
      </c>
    </row>
    <row r="3865" spans="1:10" x14ac:dyDescent="0.35">
      <c r="A3865" s="2">
        <v>44786</v>
      </c>
      <c r="B3865" s="3">
        <v>0.62462962962962965</v>
      </c>
      <c r="C3865">
        <v>985</v>
      </c>
      <c r="D3865" t="str">
        <f>VLOOKUP(H3865,Produkt!$A$2:$B$5,2,FALSE)</f>
        <v>D</v>
      </c>
      <c r="H3865">
        <v>4</v>
      </c>
      <c r="I3865">
        <v>0.9711574074074073</v>
      </c>
      <c r="J3865">
        <v>44803</v>
      </c>
    </row>
    <row r="3866" spans="1:10" x14ac:dyDescent="0.35">
      <c r="A3866" s="2">
        <v>44786</v>
      </c>
      <c r="B3866" s="3">
        <v>0.69888888888888889</v>
      </c>
      <c r="C3866">
        <v>992</v>
      </c>
      <c r="D3866" t="str">
        <f>VLOOKUP(H3866,Produkt!$A$2:$B$5,2,FALSE)</f>
        <v>C</v>
      </c>
      <c r="H3866">
        <v>3</v>
      </c>
      <c r="I3866">
        <v>8.9895833333333341E-2</v>
      </c>
      <c r="J3866">
        <v>44776</v>
      </c>
    </row>
    <row r="3867" spans="1:10" x14ac:dyDescent="0.35">
      <c r="A3867" s="2">
        <v>44786</v>
      </c>
      <c r="B3867" s="3">
        <v>0.58618055555555559</v>
      </c>
      <c r="C3867">
        <v>1121</v>
      </c>
      <c r="D3867" t="str">
        <f>VLOOKUP(H3867,Produkt!$A$2:$B$5,2,FALSE)</f>
        <v>D</v>
      </c>
      <c r="H3867">
        <v>4</v>
      </c>
      <c r="I3867">
        <v>0.28751157407407407</v>
      </c>
      <c r="J3867">
        <v>44777</v>
      </c>
    </row>
    <row r="3868" spans="1:10" x14ac:dyDescent="0.35">
      <c r="A3868" s="2">
        <v>44786</v>
      </c>
      <c r="B3868" s="3">
        <v>0.31474537037037037</v>
      </c>
      <c r="C3868">
        <v>1140</v>
      </c>
      <c r="D3868" t="str">
        <f>VLOOKUP(H3868,Produkt!$A$2:$B$5,2,FALSE)</f>
        <v>D</v>
      </c>
      <c r="H3868">
        <v>4</v>
      </c>
      <c r="I3868">
        <v>0.96163194444444444</v>
      </c>
      <c r="J3868">
        <v>44785</v>
      </c>
    </row>
    <row r="3869" spans="1:10" x14ac:dyDescent="0.35">
      <c r="A3869" s="2">
        <v>44786</v>
      </c>
      <c r="B3869" s="3">
        <v>6.8287037037035869E-3</v>
      </c>
      <c r="C3869">
        <v>1155</v>
      </c>
      <c r="D3869" t="str">
        <f>VLOOKUP(H3869,Produkt!$A$2:$B$5,2,FALSE)</f>
        <v>C</v>
      </c>
      <c r="H3869">
        <v>3</v>
      </c>
      <c r="I3869">
        <v>5.9143518518518519E-2</v>
      </c>
      <c r="J3869">
        <v>44778</v>
      </c>
    </row>
    <row r="3870" spans="1:10" x14ac:dyDescent="0.35">
      <c r="A3870" s="2">
        <v>44786</v>
      </c>
      <c r="B3870" s="3">
        <v>0.76134259259259263</v>
      </c>
      <c r="C3870">
        <v>1224</v>
      </c>
      <c r="D3870" t="str">
        <f>VLOOKUP(H3870,Produkt!$A$2:$B$5,2,FALSE)</f>
        <v>C</v>
      </c>
      <c r="H3870">
        <v>3</v>
      </c>
      <c r="I3870">
        <v>0.35320601851851857</v>
      </c>
      <c r="J3870">
        <v>44788</v>
      </c>
    </row>
    <row r="3871" spans="1:10" x14ac:dyDescent="0.35">
      <c r="A3871" s="2">
        <v>44786</v>
      </c>
      <c r="B3871" s="3">
        <v>0.66526620370370371</v>
      </c>
      <c r="C3871">
        <v>1250</v>
      </c>
      <c r="D3871" t="str">
        <f>VLOOKUP(H3871,Produkt!$A$2:$B$5,2,FALSE)</f>
        <v>B</v>
      </c>
      <c r="H3871">
        <v>2</v>
      </c>
      <c r="I3871">
        <v>0.83299768518518524</v>
      </c>
      <c r="J3871">
        <v>44795</v>
      </c>
    </row>
    <row r="3872" spans="1:10" x14ac:dyDescent="0.35">
      <c r="A3872" s="2">
        <v>44786</v>
      </c>
      <c r="B3872" s="3">
        <v>3.5590277777777901E-2</v>
      </c>
      <c r="C3872">
        <v>1280</v>
      </c>
      <c r="D3872" t="str">
        <f>VLOOKUP(H3872,Produkt!$A$2:$B$5,2,FALSE)</f>
        <v>D</v>
      </c>
      <c r="H3872">
        <v>4</v>
      </c>
      <c r="I3872">
        <v>0.36780092592592589</v>
      </c>
      <c r="J3872">
        <v>44789</v>
      </c>
    </row>
    <row r="3873" spans="1:10" x14ac:dyDescent="0.35">
      <c r="A3873" s="2">
        <v>44786</v>
      </c>
      <c r="B3873" s="3">
        <v>0.98707175925925927</v>
      </c>
      <c r="C3873">
        <v>1319</v>
      </c>
      <c r="D3873" t="str">
        <f>VLOOKUP(H3873,Produkt!$A$2:$B$5,2,FALSE)</f>
        <v>C</v>
      </c>
      <c r="H3873">
        <v>3</v>
      </c>
      <c r="I3873">
        <v>0.43621527777777774</v>
      </c>
      <c r="J3873">
        <v>44794</v>
      </c>
    </row>
    <row r="3874" spans="1:10" x14ac:dyDescent="0.35">
      <c r="A3874" s="2">
        <v>44786</v>
      </c>
      <c r="B3874" s="3">
        <v>0.10097222222222223</v>
      </c>
      <c r="C3874">
        <v>1469</v>
      </c>
      <c r="D3874" t="str">
        <f>VLOOKUP(H3874,Produkt!$A$2:$B$5,2,FALSE)</f>
        <v>C</v>
      </c>
      <c r="H3874">
        <v>3</v>
      </c>
      <c r="I3874">
        <v>0.79424768518518529</v>
      </c>
      <c r="J3874">
        <v>44774</v>
      </c>
    </row>
    <row r="3875" spans="1:10" x14ac:dyDescent="0.35">
      <c r="A3875" s="2">
        <v>44786</v>
      </c>
      <c r="B3875" s="3">
        <v>0.65886574074074067</v>
      </c>
      <c r="C3875">
        <v>1473</v>
      </c>
      <c r="D3875" t="str">
        <f>VLOOKUP(H3875,Produkt!$A$2:$B$5,2,FALSE)</f>
        <v>B</v>
      </c>
      <c r="H3875">
        <v>2</v>
      </c>
      <c r="I3875">
        <v>0.13848379629629629</v>
      </c>
      <c r="J3875">
        <v>44774</v>
      </c>
    </row>
    <row r="3876" spans="1:10" x14ac:dyDescent="0.35">
      <c r="A3876" s="2">
        <v>44786</v>
      </c>
      <c r="B3876" s="3">
        <v>0.34164351851851849</v>
      </c>
      <c r="C3876">
        <v>1475</v>
      </c>
      <c r="D3876" t="str">
        <f>VLOOKUP(H3876,Produkt!$A$2:$B$5,2,FALSE)</f>
        <v>C</v>
      </c>
      <c r="H3876">
        <v>3</v>
      </c>
      <c r="I3876">
        <v>0.32197916666666665</v>
      </c>
      <c r="J3876">
        <v>44786</v>
      </c>
    </row>
    <row r="3877" spans="1:10" x14ac:dyDescent="0.35">
      <c r="A3877" s="2">
        <v>44786</v>
      </c>
      <c r="B3877" s="3">
        <v>0.98751157407407408</v>
      </c>
      <c r="C3877">
        <v>1502</v>
      </c>
      <c r="D3877" t="str">
        <f>VLOOKUP(H3877,Produkt!$A$2:$B$5,2,FALSE)</f>
        <v>A</v>
      </c>
      <c r="H3877">
        <v>1</v>
      </c>
      <c r="I3877">
        <v>0.25428240740740743</v>
      </c>
      <c r="J3877">
        <v>44779</v>
      </c>
    </row>
    <row r="3878" spans="1:10" x14ac:dyDescent="0.35">
      <c r="A3878" s="2">
        <v>44786</v>
      </c>
      <c r="B3878" s="3">
        <v>0.54479166666666667</v>
      </c>
      <c r="C3878">
        <v>1511</v>
      </c>
      <c r="D3878" t="str">
        <f>VLOOKUP(H3878,Produkt!$A$2:$B$5,2,FALSE)</f>
        <v>A</v>
      </c>
      <c r="H3878">
        <v>1</v>
      </c>
      <c r="I3878">
        <v>0.7900462962962963</v>
      </c>
      <c r="J3878">
        <v>44793</v>
      </c>
    </row>
    <row r="3879" spans="1:10" x14ac:dyDescent="0.35">
      <c r="A3879" s="2">
        <v>44786</v>
      </c>
      <c r="B3879" s="3">
        <v>0.23212962962962966</v>
      </c>
      <c r="C3879">
        <v>1579</v>
      </c>
      <c r="D3879" t="str">
        <f>VLOOKUP(H3879,Produkt!$A$2:$B$5,2,FALSE)</f>
        <v>B</v>
      </c>
      <c r="H3879">
        <v>2</v>
      </c>
      <c r="I3879">
        <v>0.66872685185185177</v>
      </c>
      <c r="J3879">
        <v>44789</v>
      </c>
    </row>
    <row r="3880" spans="1:10" x14ac:dyDescent="0.35">
      <c r="A3880" s="2">
        <v>44786</v>
      </c>
      <c r="B3880" s="3">
        <v>1.9803240740740691E-2</v>
      </c>
      <c r="C3880">
        <v>1606</v>
      </c>
      <c r="D3880" t="str">
        <f>VLOOKUP(H3880,Produkt!$A$2:$B$5,2,FALSE)</f>
        <v>C</v>
      </c>
      <c r="H3880">
        <v>3</v>
      </c>
      <c r="I3880">
        <v>0.94802083333333342</v>
      </c>
      <c r="J3880">
        <v>44787</v>
      </c>
    </row>
    <row r="3881" spans="1:10" x14ac:dyDescent="0.35">
      <c r="A3881" s="2">
        <v>44786</v>
      </c>
      <c r="B3881" s="3">
        <v>0.25284722222222222</v>
      </c>
      <c r="C3881">
        <v>1609</v>
      </c>
      <c r="D3881" t="str">
        <f>VLOOKUP(H3881,Produkt!$A$2:$B$5,2,FALSE)</f>
        <v>A</v>
      </c>
      <c r="H3881">
        <v>1</v>
      </c>
      <c r="I3881">
        <v>0.3090162037037037</v>
      </c>
      <c r="J3881">
        <v>44793</v>
      </c>
    </row>
    <row r="3882" spans="1:10" x14ac:dyDescent="0.35">
      <c r="A3882" s="2">
        <v>44786</v>
      </c>
      <c r="B3882" s="3">
        <v>0.62545138888888896</v>
      </c>
      <c r="C3882">
        <v>1626</v>
      </c>
      <c r="D3882" t="str">
        <f>VLOOKUP(H3882,Produkt!$A$2:$B$5,2,FALSE)</f>
        <v>D</v>
      </c>
      <c r="H3882">
        <v>4</v>
      </c>
      <c r="I3882">
        <v>0.41038194444444448</v>
      </c>
      <c r="J3882">
        <v>44778</v>
      </c>
    </row>
    <row r="3883" spans="1:10" x14ac:dyDescent="0.35">
      <c r="A3883" s="2">
        <v>44786</v>
      </c>
      <c r="B3883" s="3">
        <v>0.44449074074074074</v>
      </c>
      <c r="C3883">
        <v>1720</v>
      </c>
      <c r="D3883" t="str">
        <f>VLOOKUP(H3883,Produkt!$A$2:$B$5,2,FALSE)</f>
        <v>B</v>
      </c>
      <c r="H3883">
        <v>2</v>
      </c>
      <c r="I3883">
        <v>8.819444444444445E-2</v>
      </c>
      <c r="J3883">
        <v>44781</v>
      </c>
    </row>
    <row r="3884" spans="1:10" x14ac:dyDescent="0.35">
      <c r="A3884" s="2">
        <v>44786</v>
      </c>
      <c r="B3884" s="3">
        <v>0.20672453703703705</v>
      </c>
      <c r="C3884">
        <v>1721</v>
      </c>
      <c r="D3884" t="str">
        <f>VLOOKUP(H3884,Produkt!$A$2:$B$5,2,FALSE)</f>
        <v>D</v>
      </c>
      <c r="H3884">
        <v>4</v>
      </c>
      <c r="I3884">
        <v>0.77847222222222223</v>
      </c>
      <c r="J3884">
        <v>44792</v>
      </c>
    </row>
    <row r="3885" spans="1:10" x14ac:dyDescent="0.35">
      <c r="A3885" s="2">
        <v>44786</v>
      </c>
      <c r="B3885" s="3">
        <v>0.7122222222222222</v>
      </c>
      <c r="C3885">
        <v>1723</v>
      </c>
      <c r="D3885" t="str">
        <f>VLOOKUP(H3885,Produkt!$A$2:$B$5,2,FALSE)</f>
        <v>B</v>
      </c>
      <c r="H3885">
        <v>2</v>
      </c>
      <c r="I3885">
        <v>0.80662037037037038</v>
      </c>
      <c r="J3885">
        <v>44800</v>
      </c>
    </row>
    <row r="3886" spans="1:10" x14ac:dyDescent="0.35">
      <c r="A3886" s="2">
        <v>44786</v>
      </c>
      <c r="B3886" s="3">
        <v>0.4458449074074074</v>
      </c>
      <c r="C3886">
        <v>1736</v>
      </c>
      <c r="D3886" t="str">
        <f>VLOOKUP(H3886,Produkt!$A$2:$B$5,2,FALSE)</f>
        <v>B</v>
      </c>
      <c r="H3886">
        <v>2</v>
      </c>
      <c r="I3886">
        <v>0.65153935185185186</v>
      </c>
      <c r="J3886">
        <v>44787</v>
      </c>
    </row>
    <row r="3887" spans="1:10" x14ac:dyDescent="0.35">
      <c r="A3887" s="2">
        <v>44786</v>
      </c>
      <c r="B3887" s="3">
        <v>0.97119212962962964</v>
      </c>
      <c r="C3887">
        <v>1753</v>
      </c>
      <c r="D3887" t="str">
        <f>VLOOKUP(H3887,Produkt!$A$2:$B$5,2,FALSE)</f>
        <v>D</v>
      </c>
      <c r="H3887">
        <v>4</v>
      </c>
      <c r="I3887">
        <v>0.57516203703703705</v>
      </c>
      <c r="J3887">
        <v>44790</v>
      </c>
    </row>
    <row r="3888" spans="1:10" x14ac:dyDescent="0.35">
      <c r="A3888" s="2">
        <v>44786</v>
      </c>
      <c r="B3888" s="3">
        <v>0.70530092592592597</v>
      </c>
      <c r="C3888">
        <v>1767</v>
      </c>
      <c r="D3888" t="str">
        <f>VLOOKUP(H3888,Produkt!$A$2:$B$5,2,FALSE)</f>
        <v>C</v>
      </c>
      <c r="H3888">
        <v>3</v>
      </c>
      <c r="I3888">
        <v>0.63129629629629636</v>
      </c>
      <c r="J3888">
        <v>44796</v>
      </c>
    </row>
    <row r="3889" spans="1:10" x14ac:dyDescent="0.35">
      <c r="A3889" s="2">
        <v>44786</v>
      </c>
      <c r="B3889" s="3">
        <v>0.32287037037037036</v>
      </c>
      <c r="C3889">
        <v>1770</v>
      </c>
      <c r="D3889" t="str">
        <f>VLOOKUP(H3889,Produkt!$A$2:$B$5,2,FALSE)</f>
        <v>B</v>
      </c>
      <c r="H3889">
        <v>2</v>
      </c>
      <c r="I3889">
        <v>0.8472453703703704</v>
      </c>
      <c r="J3889">
        <v>44785</v>
      </c>
    </row>
    <row r="3890" spans="1:10" x14ac:dyDescent="0.35">
      <c r="A3890" s="2">
        <v>44786</v>
      </c>
      <c r="B3890" s="3">
        <v>0.37459490740740736</v>
      </c>
      <c r="C3890">
        <v>1832</v>
      </c>
      <c r="D3890" t="str">
        <f>VLOOKUP(H3890,Produkt!$A$2:$B$5,2,FALSE)</f>
        <v>D</v>
      </c>
      <c r="H3890">
        <v>4</v>
      </c>
      <c r="I3890">
        <v>0.45836805555555554</v>
      </c>
      <c r="J3890">
        <v>44794</v>
      </c>
    </row>
    <row r="3891" spans="1:10" x14ac:dyDescent="0.35">
      <c r="A3891" s="2">
        <v>44786</v>
      </c>
      <c r="B3891" s="3">
        <v>9.0578703703703703E-2</v>
      </c>
      <c r="C3891">
        <v>1853</v>
      </c>
      <c r="D3891" t="str">
        <f>VLOOKUP(H3891,Produkt!$A$2:$B$5,2,FALSE)</f>
        <v>D</v>
      </c>
      <c r="H3891">
        <v>4</v>
      </c>
      <c r="I3891">
        <v>0.47438657407407409</v>
      </c>
      <c r="J3891">
        <v>44794</v>
      </c>
    </row>
    <row r="3892" spans="1:10" x14ac:dyDescent="0.35">
      <c r="A3892" s="2">
        <v>44786</v>
      </c>
      <c r="B3892" s="3">
        <v>0.17938657407407407</v>
      </c>
      <c r="C3892">
        <v>1857</v>
      </c>
      <c r="D3892" t="str">
        <f>VLOOKUP(H3892,Produkt!$A$2:$B$5,2,FALSE)</f>
        <v>B</v>
      </c>
      <c r="H3892">
        <v>2</v>
      </c>
      <c r="I3892">
        <v>0.60578703703703707</v>
      </c>
      <c r="J3892">
        <v>44784</v>
      </c>
    </row>
    <row r="3893" spans="1:10" x14ac:dyDescent="0.35">
      <c r="A3893" s="2">
        <v>44786</v>
      </c>
      <c r="B3893" s="3">
        <v>0.19206018518518519</v>
      </c>
      <c r="C3893">
        <v>1892</v>
      </c>
      <c r="D3893" t="str">
        <f>VLOOKUP(H3893,Produkt!$A$2:$B$5,2,FALSE)</f>
        <v>D</v>
      </c>
      <c r="H3893">
        <v>4</v>
      </c>
      <c r="I3893">
        <v>0.6115856481481482</v>
      </c>
      <c r="J3893">
        <v>44781</v>
      </c>
    </row>
    <row r="3894" spans="1:10" x14ac:dyDescent="0.35">
      <c r="A3894" s="2">
        <v>44786</v>
      </c>
      <c r="B3894" s="3">
        <v>3.4479166666666616E-2</v>
      </c>
      <c r="C3894">
        <v>1908</v>
      </c>
      <c r="D3894" t="str">
        <f>VLOOKUP(H3894,Produkt!$A$2:$B$5,2,FALSE)</f>
        <v>D</v>
      </c>
      <c r="H3894">
        <v>4</v>
      </c>
      <c r="I3894">
        <v>0.41516203703703702</v>
      </c>
      <c r="J3894">
        <v>44793</v>
      </c>
    </row>
    <row r="3895" spans="1:10" x14ac:dyDescent="0.35">
      <c r="A3895" s="2">
        <v>44786</v>
      </c>
      <c r="B3895" s="3">
        <v>2.1527777777777781E-2</v>
      </c>
      <c r="C3895">
        <v>1936</v>
      </c>
      <c r="D3895" t="str">
        <f>VLOOKUP(H3895,Produkt!$A$2:$B$5,2,FALSE)</f>
        <v>D</v>
      </c>
      <c r="H3895">
        <v>4</v>
      </c>
      <c r="I3895">
        <v>0.76542824074074067</v>
      </c>
      <c r="J3895">
        <v>44796</v>
      </c>
    </row>
    <row r="3896" spans="1:10" x14ac:dyDescent="0.35">
      <c r="A3896" s="2">
        <v>44786</v>
      </c>
      <c r="B3896" s="3">
        <v>3.9664351851851798E-2</v>
      </c>
      <c r="C3896">
        <v>1975</v>
      </c>
      <c r="D3896" t="str">
        <f>VLOOKUP(H3896,Produkt!$A$2:$B$5,2,FALSE)</f>
        <v>D</v>
      </c>
      <c r="H3896">
        <v>4</v>
      </c>
      <c r="I3896">
        <v>0.67949074074074067</v>
      </c>
      <c r="J3896">
        <v>44789</v>
      </c>
    </row>
    <row r="3897" spans="1:10" x14ac:dyDescent="0.35">
      <c r="A3897" s="2">
        <v>44786</v>
      </c>
      <c r="B3897" s="3">
        <v>0.27805555555555556</v>
      </c>
      <c r="C3897">
        <v>1984</v>
      </c>
      <c r="D3897" t="str">
        <f>VLOOKUP(H3897,Produkt!$A$2:$B$5,2,FALSE)</f>
        <v>D</v>
      </c>
      <c r="H3897">
        <v>4</v>
      </c>
      <c r="I3897">
        <v>0.62163194444444447</v>
      </c>
      <c r="J3897">
        <v>44791</v>
      </c>
    </row>
    <row r="3898" spans="1:10" x14ac:dyDescent="0.35">
      <c r="A3898" s="2">
        <v>44786</v>
      </c>
      <c r="B3898" s="3">
        <v>0.10695601851851851</v>
      </c>
      <c r="C3898">
        <v>2002</v>
      </c>
      <c r="D3898" t="str">
        <f>VLOOKUP(H3898,Produkt!$A$2:$B$5,2,FALSE)</f>
        <v>C</v>
      </c>
      <c r="H3898">
        <v>3</v>
      </c>
      <c r="I3898">
        <v>0.26961805555555557</v>
      </c>
      <c r="J3898">
        <v>44779</v>
      </c>
    </row>
    <row r="3899" spans="1:10" x14ac:dyDescent="0.35">
      <c r="A3899" s="2">
        <v>44786</v>
      </c>
      <c r="B3899" s="3">
        <v>0.10158564814814815</v>
      </c>
      <c r="C3899">
        <v>2013</v>
      </c>
      <c r="D3899" t="str">
        <f>VLOOKUP(H3899,Produkt!$A$2:$B$5,2,FALSE)</f>
        <v>A</v>
      </c>
      <c r="H3899">
        <v>1</v>
      </c>
      <c r="I3899">
        <v>0.24090277777777777</v>
      </c>
      <c r="J3899">
        <v>44783</v>
      </c>
    </row>
    <row r="3900" spans="1:10" x14ac:dyDescent="0.35">
      <c r="A3900" s="2">
        <v>44786</v>
      </c>
      <c r="B3900" s="3">
        <v>0.20224537037037038</v>
      </c>
      <c r="C3900">
        <v>2015</v>
      </c>
      <c r="D3900" t="str">
        <f>VLOOKUP(H3900,Produkt!$A$2:$B$5,2,FALSE)</f>
        <v>B</v>
      </c>
      <c r="H3900">
        <v>2</v>
      </c>
      <c r="I3900">
        <v>0.1038425925925926</v>
      </c>
      <c r="J3900">
        <v>44790</v>
      </c>
    </row>
    <row r="3901" spans="1:10" x14ac:dyDescent="0.35">
      <c r="A3901" s="2">
        <v>44786</v>
      </c>
      <c r="B3901" s="3">
        <v>0.82892361111111112</v>
      </c>
      <c r="C3901">
        <v>2037</v>
      </c>
      <c r="D3901" t="str">
        <f>VLOOKUP(H3901,Produkt!$A$2:$B$5,2,FALSE)</f>
        <v>B</v>
      </c>
      <c r="H3901">
        <v>2</v>
      </c>
      <c r="I3901">
        <v>0.51439814814814822</v>
      </c>
      <c r="J3901">
        <v>44781</v>
      </c>
    </row>
    <row r="3902" spans="1:10" x14ac:dyDescent="0.35">
      <c r="A3902" s="2">
        <v>44786</v>
      </c>
      <c r="B3902" s="3">
        <v>1.7743055555555554E-2</v>
      </c>
      <c r="C3902">
        <v>2044</v>
      </c>
      <c r="D3902" t="str">
        <f>VLOOKUP(H3902,Produkt!$A$2:$B$5,2,FALSE)</f>
        <v>C</v>
      </c>
      <c r="H3902">
        <v>3</v>
      </c>
      <c r="I3902">
        <v>0.47957175925925927</v>
      </c>
      <c r="J3902">
        <v>44802</v>
      </c>
    </row>
    <row r="3903" spans="1:10" x14ac:dyDescent="0.35">
      <c r="A3903" s="2">
        <v>44786</v>
      </c>
      <c r="B3903" s="3">
        <v>0.84695601851851843</v>
      </c>
      <c r="C3903">
        <v>2137</v>
      </c>
      <c r="D3903" t="str">
        <f>VLOOKUP(H3903,Produkt!$A$2:$B$5,2,FALSE)</f>
        <v>C</v>
      </c>
      <c r="H3903">
        <v>3</v>
      </c>
      <c r="I3903">
        <v>0.59675925925925932</v>
      </c>
      <c r="J3903">
        <v>44785</v>
      </c>
    </row>
    <row r="3904" spans="1:10" x14ac:dyDescent="0.35">
      <c r="A3904" s="2">
        <v>44786</v>
      </c>
      <c r="B3904" s="3">
        <v>0.68008101851851854</v>
      </c>
      <c r="C3904">
        <v>2144</v>
      </c>
      <c r="D3904" t="str">
        <f>VLOOKUP(H3904,Produkt!$A$2:$B$5,2,FALSE)</f>
        <v>B</v>
      </c>
      <c r="H3904">
        <v>2</v>
      </c>
      <c r="I3904">
        <v>0.33270833333333333</v>
      </c>
      <c r="J3904">
        <v>44796</v>
      </c>
    </row>
    <row r="3905" spans="1:10" x14ac:dyDescent="0.35">
      <c r="A3905" s="2">
        <v>44786</v>
      </c>
      <c r="B3905" s="3">
        <v>0.54252314814814817</v>
      </c>
      <c r="C3905">
        <v>2152</v>
      </c>
      <c r="D3905" t="str">
        <f>VLOOKUP(H3905,Produkt!$A$2:$B$5,2,FALSE)</f>
        <v>C</v>
      </c>
      <c r="H3905">
        <v>3</v>
      </c>
      <c r="I3905">
        <v>0.52056712962962959</v>
      </c>
      <c r="J3905">
        <v>44774</v>
      </c>
    </row>
    <row r="3906" spans="1:10" x14ac:dyDescent="0.35">
      <c r="A3906" s="2">
        <v>44786</v>
      </c>
      <c r="B3906" s="3">
        <v>0.20003472222222221</v>
      </c>
      <c r="C3906">
        <v>2184</v>
      </c>
      <c r="D3906" t="str">
        <f>VLOOKUP(H3906,Produkt!$A$2:$B$5,2,FALSE)</f>
        <v>B</v>
      </c>
      <c r="H3906">
        <v>2</v>
      </c>
      <c r="I3906">
        <v>0.59858796296296302</v>
      </c>
      <c r="J3906">
        <v>44798</v>
      </c>
    </row>
    <row r="3907" spans="1:10" x14ac:dyDescent="0.35">
      <c r="A3907" s="2">
        <v>44786</v>
      </c>
      <c r="B3907" s="3">
        <v>3.4953703703703987E-3</v>
      </c>
      <c r="C3907">
        <v>2251</v>
      </c>
      <c r="D3907" t="str">
        <f>VLOOKUP(H3907,Produkt!$A$2:$B$5,2,FALSE)</f>
        <v>D</v>
      </c>
      <c r="H3907">
        <v>4</v>
      </c>
      <c r="I3907">
        <v>0.48854166666666665</v>
      </c>
      <c r="J3907">
        <v>44793</v>
      </c>
    </row>
    <row r="3908" spans="1:10" x14ac:dyDescent="0.35">
      <c r="A3908" s="2">
        <v>44786</v>
      </c>
      <c r="B3908" s="3">
        <v>0.71083333333333332</v>
      </c>
      <c r="C3908">
        <v>2263</v>
      </c>
      <c r="D3908" t="str">
        <f>VLOOKUP(H3908,Produkt!$A$2:$B$5,2,FALSE)</f>
        <v>D</v>
      </c>
      <c r="H3908">
        <v>4</v>
      </c>
      <c r="I3908">
        <v>0.82917824074074076</v>
      </c>
      <c r="J3908">
        <v>44779</v>
      </c>
    </row>
    <row r="3909" spans="1:10" x14ac:dyDescent="0.35">
      <c r="A3909" s="2">
        <v>44786</v>
      </c>
      <c r="B3909" s="3">
        <v>0.90851851851851861</v>
      </c>
      <c r="C3909">
        <v>2270</v>
      </c>
      <c r="D3909" t="str">
        <f>VLOOKUP(H3909,Produkt!$A$2:$B$5,2,FALSE)</f>
        <v>D</v>
      </c>
      <c r="H3909">
        <v>4</v>
      </c>
      <c r="I3909">
        <v>0.56325231481481486</v>
      </c>
      <c r="J3909">
        <v>44778</v>
      </c>
    </row>
    <row r="3910" spans="1:10" x14ac:dyDescent="0.35">
      <c r="A3910" s="2">
        <v>44786</v>
      </c>
      <c r="B3910" s="3">
        <v>0.47612268518518519</v>
      </c>
      <c r="C3910">
        <v>2315</v>
      </c>
      <c r="D3910" t="str">
        <f>VLOOKUP(H3910,Produkt!$A$2:$B$5,2,FALSE)</f>
        <v>C</v>
      </c>
      <c r="H3910">
        <v>3</v>
      </c>
      <c r="I3910">
        <v>3.3807870370370363E-2</v>
      </c>
      <c r="J3910">
        <v>44783</v>
      </c>
    </row>
    <row r="3911" spans="1:10" x14ac:dyDescent="0.35">
      <c r="A3911" s="2">
        <v>44786</v>
      </c>
      <c r="B3911" s="3">
        <v>0.92334490740740749</v>
      </c>
      <c r="C3911">
        <v>2319</v>
      </c>
      <c r="D3911" t="str">
        <f>VLOOKUP(H3911,Produkt!$A$2:$B$5,2,FALSE)</f>
        <v>A</v>
      </c>
      <c r="H3911">
        <v>1</v>
      </c>
      <c r="I3911">
        <v>0.23907407407407408</v>
      </c>
      <c r="J3911">
        <v>44798</v>
      </c>
    </row>
    <row r="3912" spans="1:10" x14ac:dyDescent="0.35">
      <c r="A3912" s="2">
        <v>44786</v>
      </c>
      <c r="B3912" s="3">
        <v>0.15510416666666668</v>
      </c>
      <c r="C3912">
        <v>2332</v>
      </c>
      <c r="D3912" t="str">
        <f>VLOOKUP(H3912,Produkt!$A$2:$B$5,2,FALSE)</f>
        <v>B</v>
      </c>
      <c r="H3912">
        <v>2</v>
      </c>
      <c r="I3912">
        <v>0.37285879629629631</v>
      </c>
      <c r="J3912">
        <v>44801</v>
      </c>
    </row>
    <row r="3913" spans="1:10" x14ac:dyDescent="0.35">
      <c r="A3913" s="2">
        <v>44786</v>
      </c>
      <c r="B3913" s="3">
        <v>0.29210648148148149</v>
      </c>
      <c r="C3913">
        <v>2336</v>
      </c>
      <c r="D3913" t="str">
        <f>VLOOKUP(H3913,Produkt!$A$2:$B$5,2,FALSE)</f>
        <v>A</v>
      </c>
      <c r="H3913">
        <v>1</v>
      </c>
      <c r="I3913">
        <v>0.22856481481481483</v>
      </c>
      <c r="J3913">
        <v>44792</v>
      </c>
    </row>
    <row r="3914" spans="1:10" x14ac:dyDescent="0.35">
      <c r="A3914" s="2">
        <v>44786</v>
      </c>
      <c r="B3914" s="3">
        <v>0.65127314814814818</v>
      </c>
      <c r="C3914">
        <v>2340</v>
      </c>
      <c r="D3914" t="str">
        <f>VLOOKUP(H3914,Produkt!$A$2:$B$5,2,FALSE)</f>
        <v>A</v>
      </c>
      <c r="H3914">
        <v>1</v>
      </c>
      <c r="I3914">
        <v>0.97486111111111118</v>
      </c>
      <c r="J3914">
        <v>44783</v>
      </c>
    </row>
    <row r="3915" spans="1:10" x14ac:dyDescent="0.35">
      <c r="A3915" s="2">
        <v>44786</v>
      </c>
      <c r="B3915" s="3">
        <v>0.62474537037037037</v>
      </c>
      <c r="C3915">
        <v>2355</v>
      </c>
      <c r="D3915" t="str">
        <f>VLOOKUP(H3915,Produkt!$A$2:$B$5,2,FALSE)</f>
        <v>C</v>
      </c>
      <c r="H3915">
        <v>3</v>
      </c>
      <c r="I3915">
        <v>0.31516203703703705</v>
      </c>
      <c r="J3915">
        <v>44787</v>
      </c>
    </row>
    <row r="3916" spans="1:10" x14ac:dyDescent="0.35">
      <c r="A3916" s="2">
        <v>44786</v>
      </c>
      <c r="B3916" s="3">
        <v>0.79608796296296302</v>
      </c>
      <c r="C3916">
        <v>2363</v>
      </c>
      <c r="D3916" t="str">
        <f>VLOOKUP(H3916,Produkt!$A$2:$B$5,2,FALSE)</f>
        <v>C</v>
      </c>
      <c r="H3916">
        <v>3</v>
      </c>
      <c r="I3916">
        <v>0.87829861111111107</v>
      </c>
      <c r="J3916">
        <v>44795</v>
      </c>
    </row>
    <row r="3917" spans="1:10" x14ac:dyDescent="0.35">
      <c r="A3917" s="2">
        <v>44786</v>
      </c>
      <c r="B3917" s="3">
        <v>0.30516203703703704</v>
      </c>
      <c r="C3917">
        <v>2368</v>
      </c>
      <c r="D3917" t="str">
        <f>VLOOKUP(H3917,Produkt!$A$2:$B$5,2,FALSE)</f>
        <v>B</v>
      </c>
      <c r="H3917">
        <v>2</v>
      </c>
      <c r="I3917">
        <v>3.069444444444458E-2</v>
      </c>
      <c r="J3917">
        <v>44786</v>
      </c>
    </row>
    <row r="3918" spans="1:10" x14ac:dyDescent="0.35">
      <c r="A3918" s="2">
        <v>44786</v>
      </c>
      <c r="B3918" s="3">
        <v>5.740740740740824E-3</v>
      </c>
      <c r="C3918">
        <v>2405</v>
      </c>
      <c r="D3918" t="str">
        <f>VLOOKUP(H3918,Produkt!$A$2:$B$5,2,FALSE)</f>
        <v>D</v>
      </c>
      <c r="H3918">
        <v>4</v>
      </c>
      <c r="I3918">
        <v>3.4884259259259261E-2</v>
      </c>
      <c r="J3918">
        <v>44783</v>
      </c>
    </row>
    <row r="3919" spans="1:10" x14ac:dyDescent="0.35">
      <c r="A3919" s="2">
        <v>44786</v>
      </c>
      <c r="B3919" s="3">
        <v>9.0856481481480511E-3</v>
      </c>
      <c r="C3919">
        <v>2412</v>
      </c>
      <c r="D3919" t="str">
        <f>VLOOKUP(H3919,Produkt!$A$2:$B$5,2,FALSE)</f>
        <v>A</v>
      </c>
      <c r="H3919">
        <v>1</v>
      </c>
      <c r="I3919">
        <v>0.83032407407407405</v>
      </c>
      <c r="J3919">
        <v>44787</v>
      </c>
    </row>
    <row r="3920" spans="1:10" x14ac:dyDescent="0.35">
      <c r="A3920" s="2">
        <v>44786</v>
      </c>
      <c r="B3920" s="3">
        <v>9.1365740740740733E-2</v>
      </c>
      <c r="C3920">
        <v>2421</v>
      </c>
      <c r="D3920" t="str">
        <f>VLOOKUP(H3920,Produkt!$A$2:$B$5,2,FALSE)</f>
        <v>B</v>
      </c>
      <c r="H3920">
        <v>2</v>
      </c>
      <c r="I3920">
        <v>4.2881944444444438E-2</v>
      </c>
      <c r="J3920">
        <v>44799</v>
      </c>
    </row>
    <row r="3921" spans="1:10" x14ac:dyDescent="0.35">
      <c r="A3921" s="2">
        <v>44786</v>
      </c>
      <c r="B3921" s="3">
        <v>0.90020833333333339</v>
      </c>
      <c r="C3921">
        <v>2454</v>
      </c>
      <c r="D3921" t="str">
        <f>VLOOKUP(H3921,Produkt!$A$2:$B$5,2,FALSE)</f>
        <v>A</v>
      </c>
      <c r="H3921">
        <v>1</v>
      </c>
      <c r="I3921">
        <v>0.60005787037037039</v>
      </c>
      <c r="J3921">
        <v>44781</v>
      </c>
    </row>
    <row r="3922" spans="1:10" x14ac:dyDescent="0.35">
      <c r="A3922" s="2">
        <v>44786</v>
      </c>
      <c r="B3922" s="3">
        <v>0.15096064814814816</v>
      </c>
      <c r="C3922">
        <v>2479</v>
      </c>
      <c r="D3922" t="str">
        <f>VLOOKUP(H3922,Produkt!$A$2:$B$5,2,FALSE)</f>
        <v>D</v>
      </c>
      <c r="H3922">
        <v>4</v>
      </c>
      <c r="I3922">
        <v>6.8530092592592587E-2</v>
      </c>
      <c r="J3922">
        <v>44803</v>
      </c>
    </row>
    <row r="3923" spans="1:10" x14ac:dyDescent="0.35">
      <c r="A3923" s="2">
        <v>44786</v>
      </c>
      <c r="B3923" s="3">
        <v>2.946759259259259E-2</v>
      </c>
      <c r="C3923">
        <v>2502</v>
      </c>
      <c r="D3923" t="str">
        <f>VLOOKUP(H3923,Produkt!$A$2:$B$5,2,FALSE)</f>
        <v>A</v>
      </c>
      <c r="H3923">
        <v>1</v>
      </c>
      <c r="I3923">
        <v>0.65268518518518526</v>
      </c>
      <c r="J3923">
        <v>44797</v>
      </c>
    </row>
    <row r="3924" spans="1:10" x14ac:dyDescent="0.35">
      <c r="A3924" s="2">
        <v>44786</v>
      </c>
      <c r="B3924" s="3">
        <v>0.6637615740740741</v>
      </c>
      <c r="C3924">
        <v>2587</v>
      </c>
      <c r="D3924" t="str">
        <f>VLOOKUP(H3924,Produkt!$A$2:$B$5,2,FALSE)</f>
        <v>B</v>
      </c>
      <c r="H3924">
        <v>2</v>
      </c>
      <c r="I3924">
        <v>0.2651736111111111</v>
      </c>
      <c r="J3924">
        <v>44802</v>
      </c>
    </row>
    <row r="3925" spans="1:10" x14ac:dyDescent="0.35">
      <c r="A3925" s="2">
        <v>44786</v>
      </c>
      <c r="B3925" s="3">
        <v>0.24644675925925927</v>
      </c>
      <c r="C3925">
        <v>2612</v>
      </c>
      <c r="D3925" t="str">
        <f>VLOOKUP(H3925,Produkt!$A$2:$B$5,2,FALSE)</f>
        <v>C</v>
      </c>
      <c r="H3925">
        <v>3</v>
      </c>
      <c r="I3925">
        <v>0.43263888888888885</v>
      </c>
      <c r="J3925">
        <v>44792</v>
      </c>
    </row>
    <row r="3926" spans="1:10" x14ac:dyDescent="0.35">
      <c r="A3926" s="2">
        <v>44786</v>
      </c>
      <c r="B3926" s="3">
        <v>0.25030092592592595</v>
      </c>
      <c r="C3926">
        <v>2637</v>
      </c>
      <c r="D3926" t="str">
        <f>VLOOKUP(H3926,Produkt!$A$2:$B$5,2,FALSE)</f>
        <v>B</v>
      </c>
      <c r="H3926">
        <v>2</v>
      </c>
      <c r="I3926">
        <v>0.30484953703703704</v>
      </c>
      <c r="J3926">
        <v>44785</v>
      </c>
    </row>
    <row r="3927" spans="1:10" x14ac:dyDescent="0.35">
      <c r="A3927" s="2">
        <v>44786</v>
      </c>
      <c r="B3927" s="3">
        <v>0.96181712962962962</v>
      </c>
      <c r="C3927">
        <v>2644</v>
      </c>
      <c r="D3927" t="str">
        <f>VLOOKUP(H3927,Produkt!$A$2:$B$5,2,FALSE)</f>
        <v>D</v>
      </c>
      <c r="H3927">
        <v>4</v>
      </c>
      <c r="I3927">
        <v>1.7534722222222188E-2</v>
      </c>
      <c r="J3927">
        <v>44794</v>
      </c>
    </row>
    <row r="3928" spans="1:10" x14ac:dyDescent="0.35">
      <c r="A3928" s="2">
        <v>44786</v>
      </c>
      <c r="B3928" s="3">
        <v>0.9445486111111111</v>
      </c>
      <c r="C3928">
        <v>2674</v>
      </c>
      <c r="D3928" t="str">
        <f>VLOOKUP(H3928,Produkt!$A$2:$B$5,2,FALSE)</f>
        <v>D</v>
      </c>
      <c r="H3928">
        <v>4</v>
      </c>
      <c r="I3928">
        <v>0.18546296296296297</v>
      </c>
      <c r="J3928">
        <v>44779</v>
      </c>
    </row>
    <row r="3929" spans="1:10" x14ac:dyDescent="0.35">
      <c r="A3929" s="2">
        <v>44786</v>
      </c>
      <c r="B3929" s="3">
        <v>0.60906249999999995</v>
      </c>
      <c r="C3929">
        <v>2699</v>
      </c>
      <c r="D3929" t="str">
        <f>VLOOKUP(H3929,Produkt!$A$2:$B$5,2,FALSE)</f>
        <v>A</v>
      </c>
      <c r="H3929">
        <v>1</v>
      </c>
      <c r="I3929">
        <v>0.45656249999999998</v>
      </c>
      <c r="J3929">
        <v>44781</v>
      </c>
    </row>
    <row r="3930" spans="1:10" x14ac:dyDescent="0.35">
      <c r="A3930" s="2">
        <v>44786</v>
      </c>
      <c r="B3930" s="3">
        <v>0.25721064814814815</v>
      </c>
      <c r="C3930">
        <v>2704</v>
      </c>
      <c r="D3930" t="str">
        <f>VLOOKUP(H3930,Produkt!$A$2:$B$5,2,FALSE)</f>
        <v>D</v>
      </c>
      <c r="H3930">
        <v>4</v>
      </c>
      <c r="I3930">
        <v>0.52458333333333329</v>
      </c>
      <c r="J3930">
        <v>44786</v>
      </c>
    </row>
    <row r="3931" spans="1:10" x14ac:dyDescent="0.35">
      <c r="A3931" s="2">
        <v>44786</v>
      </c>
      <c r="B3931" s="3">
        <v>0.93138888888888882</v>
      </c>
      <c r="C3931">
        <v>2739</v>
      </c>
      <c r="D3931" t="str">
        <f>VLOOKUP(H3931,Produkt!$A$2:$B$5,2,FALSE)</f>
        <v>A</v>
      </c>
      <c r="H3931">
        <v>1</v>
      </c>
      <c r="I3931">
        <v>0.11024305555555557</v>
      </c>
      <c r="J3931">
        <v>44795</v>
      </c>
    </row>
    <row r="3932" spans="1:10" x14ac:dyDescent="0.35">
      <c r="A3932" s="2">
        <v>44786</v>
      </c>
      <c r="B3932" s="3">
        <v>0.1277662037037037</v>
      </c>
      <c r="C3932">
        <v>2965</v>
      </c>
      <c r="D3932" t="str">
        <f>VLOOKUP(H3932,Produkt!$A$2:$B$5,2,FALSE)</f>
        <v>B</v>
      </c>
      <c r="H3932">
        <v>2</v>
      </c>
      <c r="I3932">
        <v>0.74934027777777779</v>
      </c>
      <c r="J3932">
        <v>44790</v>
      </c>
    </row>
    <row r="3933" spans="1:10" x14ac:dyDescent="0.35">
      <c r="A3933" s="2">
        <v>44786</v>
      </c>
      <c r="B3933" s="3">
        <v>0.88504629629629628</v>
      </c>
      <c r="C3933">
        <v>2984</v>
      </c>
      <c r="D3933" t="str">
        <f>VLOOKUP(H3933,Produkt!$A$2:$B$5,2,FALSE)</f>
        <v>C</v>
      </c>
      <c r="H3933">
        <v>3</v>
      </c>
      <c r="I3933">
        <v>0.94510416666666675</v>
      </c>
      <c r="J3933">
        <v>44790</v>
      </c>
    </row>
    <row r="3934" spans="1:10" x14ac:dyDescent="0.35">
      <c r="A3934" s="2">
        <v>44786</v>
      </c>
      <c r="B3934" s="3">
        <v>0.20395833333333332</v>
      </c>
      <c r="C3934">
        <v>3142</v>
      </c>
      <c r="D3934" t="str">
        <f>VLOOKUP(H3934,Produkt!$A$2:$B$5,2,FALSE)</f>
        <v>B</v>
      </c>
      <c r="H3934">
        <v>2</v>
      </c>
      <c r="I3934">
        <v>8.4143518518517979E-3</v>
      </c>
      <c r="J3934">
        <v>44774</v>
      </c>
    </row>
    <row r="3935" spans="1:10" x14ac:dyDescent="0.35">
      <c r="A3935" s="2">
        <v>44786</v>
      </c>
      <c r="B3935" s="3">
        <v>3.052083333333333E-2</v>
      </c>
      <c r="C3935">
        <v>3173</v>
      </c>
      <c r="D3935" t="str">
        <f>VLOOKUP(H3935,Produkt!$A$2:$B$5,2,FALSE)</f>
        <v>B</v>
      </c>
      <c r="H3935">
        <v>2</v>
      </c>
      <c r="I3935">
        <v>0.17270833333333332</v>
      </c>
      <c r="J3935">
        <v>44775</v>
      </c>
    </row>
    <row r="3936" spans="1:10" x14ac:dyDescent="0.35">
      <c r="A3936" s="2">
        <v>44786</v>
      </c>
      <c r="B3936" s="3">
        <v>8.8078703703703701E-2</v>
      </c>
      <c r="C3936">
        <v>3193</v>
      </c>
      <c r="D3936" t="str">
        <f>VLOOKUP(H3936,Produkt!$A$2:$B$5,2,FALSE)</f>
        <v>B</v>
      </c>
      <c r="H3936">
        <v>2</v>
      </c>
      <c r="I3936">
        <v>0.69563657407407409</v>
      </c>
      <c r="J3936">
        <v>44788</v>
      </c>
    </row>
    <row r="3937" spans="1:10" x14ac:dyDescent="0.35">
      <c r="A3937" s="2">
        <v>44786</v>
      </c>
      <c r="B3937" s="3">
        <v>0.93923611111111116</v>
      </c>
      <c r="C3937">
        <v>3201</v>
      </c>
      <c r="D3937" t="str">
        <f>VLOOKUP(H3937,Produkt!$A$2:$B$5,2,FALSE)</f>
        <v>B</v>
      </c>
      <c r="H3937">
        <v>2</v>
      </c>
      <c r="I3937">
        <v>0.52979166666666666</v>
      </c>
      <c r="J3937">
        <v>44775</v>
      </c>
    </row>
    <row r="3938" spans="1:10" x14ac:dyDescent="0.35">
      <c r="A3938" s="2">
        <v>44786</v>
      </c>
      <c r="B3938" s="3">
        <v>0.20789351851851853</v>
      </c>
      <c r="C3938">
        <v>3231</v>
      </c>
      <c r="D3938" t="str">
        <f>VLOOKUP(H3938,Produkt!$A$2:$B$5,2,FALSE)</f>
        <v>D</v>
      </c>
      <c r="H3938">
        <v>4</v>
      </c>
      <c r="I3938">
        <v>0.79850694444444448</v>
      </c>
      <c r="J3938">
        <v>44788</v>
      </c>
    </row>
    <row r="3939" spans="1:10" x14ac:dyDescent="0.35">
      <c r="A3939" s="2">
        <v>44786</v>
      </c>
      <c r="B3939" s="3">
        <v>0.86319444444444438</v>
      </c>
      <c r="C3939">
        <v>3288</v>
      </c>
      <c r="D3939" t="str">
        <f>VLOOKUP(H3939,Produkt!$A$2:$B$5,2,FALSE)</f>
        <v>D</v>
      </c>
      <c r="H3939">
        <v>4</v>
      </c>
      <c r="I3939">
        <v>0.77896990740740746</v>
      </c>
      <c r="J3939">
        <v>44789</v>
      </c>
    </row>
    <row r="3940" spans="1:10" x14ac:dyDescent="0.35">
      <c r="A3940" s="2">
        <v>44786</v>
      </c>
      <c r="B3940" s="3">
        <v>0.56180555555555556</v>
      </c>
      <c r="C3940">
        <v>3361</v>
      </c>
      <c r="D3940" t="str">
        <f>VLOOKUP(H3940,Produkt!$A$2:$B$5,2,FALSE)</f>
        <v>C</v>
      </c>
      <c r="H3940">
        <v>3</v>
      </c>
      <c r="I3940">
        <v>0.45699074074074075</v>
      </c>
      <c r="J3940">
        <v>44782</v>
      </c>
    </row>
    <row r="3941" spans="1:10" x14ac:dyDescent="0.35">
      <c r="A3941" s="2">
        <v>44786</v>
      </c>
      <c r="B3941" s="3">
        <v>0.25437500000000002</v>
      </c>
      <c r="C3941">
        <v>3438</v>
      </c>
      <c r="D3941" t="str">
        <f>VLOOKUP(H3941,Produkt!$A$2:$B$5,2,FALSE)</f>
        <v>A</v>
      </c>
      <c r="H3941">
        <v>1</v>
      </c>
      <c r="I3941">
        <v>0.54946759259259259</v>
      </c>
      <c r="J3941">
        <v>44791</v>
      </c>
    </row>
    <row r="3942" spans="1:10" x14ac:dyDescent="0.35">
      <c r="A3942" s="2">
        <v>44786</v>
      </c>
      <c r="B3942" s="3">
        <v>0.29849537037037038</v>
      </c>
      <c r="C3942">
        <v>3465</v>
      </c>
      <c r="D3942" t="str">
        <f>VLOOKUP(H3942,Produkt!$A$2:$B$5,2,FALSE)</f>
        <v>A</v>
      </c>
      <c r="H3942">
        <v>1</v>
      </c>
      <c r="I3942">
        <v>0.10248842592592593</v>
      </c>
      <c r="J3942">
        <v>44799</v>
      </c>
    </row>
    <row r="3943" spans="1:10" x14ac:dyDescent="0.35">
      <c r="A3943" s="2">
        <v>44786</v>
      </c>
      <c r="B3943" s="3">
        <v>0.46049768518518519</v>
      </c>
      <c r="C3943">
        <v>3562</v>
      </c>
      <c r="D3943" t="str">
        <f>VLOOKUP(H3943,Produkt!$A$2:$B$5,2,FALSE)</f>
        <v>A</v>
      </c>
      <c r="H3943">
        <v>1</v>
      </c>
      <c r="I3943">
        <v>0.19468750000000001</v>
      </c>
      <c r="J3943">
        <v>44793</v>
      </c>
    </row>
    <row r="3944" spans="1:10" x14ac:dyDescent="0.35">
      <c r="A3944" s="2">
        <v>44786</v>
      </c>
      <c r="B3944" s="3">
        <v>5.6365740740740742E-3</v>
      </c>
      <c r="C3944">
        <v>3587</v>
      </c>
      <c r="D3944" t="str">
        <f>VLOOKUP(H3944,Produkt!$A$2:$B$5,2,FALSE)</f>
        <v>A</v>
      </c>
      <c r="H3944">
        <v>1</v>
      </c>
      <c r="I3944">
        <v>0.87210648148148151</v>
      </c>
      <c r="J3944">
        <v>44780</v>
      </c>
    </row>
    <row r="3945" spans="1:10" x14ac:dyDescent="0.35">
      <c r="A3945" s="2">
        <v>44786</v>
      </c>
      <c r="B3945" s="3">
        <v>8.5925925925925919E-2</v>
      </c>
      <c r="C3945">
        <v>3618</v>
      </c>
      <c r="D3945" t="str">
        <f>VLOOKUP(H3945,Produkt!$A$2:$B$5,2,FALSE)</f>
        <v>A</v>
      </c>
      <c r="H3945">
        <v>1</v>
      </c>
      <c r="I3945">
        <v>0.36474537037037041</v>
      </c>
      <c r="J3945">
        <v>44794</v>
      </c>
    </row>
    <row r="3946" spans="1:10" x14ac:dyDescent="0.35">
      <c r="A3946" s="2">
        <v>44786</v>
      </c>
      <c r="B3946" s="3">
        <v>0.58207175925925925</v>
      </c>
      <c r="C3946">
        <v>3638</v>
      </c>
      <c r="D3946" t="str">
        <f>VLOOKUP(H3946,Produkt!$A$2:$B$5,2,FALSE)</f>
        <v>A</v>
      </c>
      <c r="H3946">
        <v>1</v>
      </c>
      <c r="I3946">
        <v>0.17906250000000001</v>
      </c>
      <c r="J3946">
        <v>44788</v>
      </c>
    </row>
    <row r="3947" spans="1:10" x14ac:dyDescent="0.35">
      <c r="A3947" s="2">
        <v>44786</v>
      </c>
      <c r="B3947" s="3">
        <v>0.74354166666666666</v>
      </c>
      <c r="C3947">
        <v>3684</v>
      </c>
      <c r="D3947" t="str">
        <f>VLOOKUP(H3947,Produkt!$A$2:$B$5,2,FALSE)</f>
        <v>D</v>
      </c>
      <c r="H3947">
        <v>4</v>
      </c>
      <c r="I3947">
        <v>0.95900462962962962</v>
      </c>
      <c r="J3947">
        <v>44799</v>
      </c>
    </row>
    <row r="3948" spans="1:10" x14ac:dyDescent="0.35">
      <c r="A3948" s="2">
        <v>44786</v>
      </c>
      <c r="B3948" s="3">
        <v>8.3564814814814814E-2</v>
      </c>
      <c r="C3948">
        <v>3692</v>
      </c>
      <c r="D3948" t="str">
        <f>VLOOKUP(H3948,Produkt!$A$2:$B$5,2,FALSE)</f>
        <v>B</v>
      </c>
      <c r="H3948">
        <v>2</v>
      </c>
      <c r="I3948">
        <v>0.12211805555555555</v>
      </c>
      <c r="J3948">
        <v>44786</v>
      </c>
    </row>
    <row r="3949" spans="1:10" x14ac:dyDescent="0.35">
      <c r="A3949" s="2">
        <v>44786</v>
      </c>
      <c r="B3949" s="3">
        <v>0.56863425925925926</v>
      </c>
      <c r="C3949">
        <v>3702</v>
      </c>
      <c r="D3949" t="str">
        <f>VLOOKUP(H3949,Produkt!$A$2:$B$5,2,FALSE)</f>
        <v>D</v>
      </c>
      <c r="H3949">
        <v>4</v>
      </c>
      <c r="I3949">
        <v>0.52252314814814815</v>
      </c>
      <c r="J3949">
        <v>44775</v>
      </c>
    </row>
    <row r="3950" spans="1:10" x14ac:dyDescent="0.35">
      <c r="A3950" s="2">
        <v>44786</v>
      </c>
      <c r="B3950" s="3">
        <v>0.28056712962962965</v>
      </c>
      <c r="C3950">
        <v>3708</v>
      </c>
      <c r="D3950" t="str">
        <f>VLOOKUP(H3950,Produkt!$A$2:$B$5,2,FALSE)</f>
        <v>A</v>
      </c>
      <c r="H3950">
        <v>1</v>
      </c>
      <c r="I3950">
        <v>0.18781250000000002</v>
      </c>
      <c r="J3950">
        <v>44782</v>
      </c>
    </row>
    <row r="3951" spans="1:10" x14ac:dyDescent="0.35">
      <c r="A3951" s="2">
        <v>44786</v>
      </c>
      <c r="B3951" s="3">
        <v>0.18921296296296297</v>
      </c>
      <c r="C3951">
        <v>3713</v>
      </c>
      <c r="D3951" t="str">
        <f>VLOOKUP(H3951,Produkt!$A$2:$B$5,2,FALSE)</f>
        <v>D</v>
      </c>
      <c r="H3951">
        <v>4</v>
      </c>
      <c r="I3951">
        <v>3.4756944444444438E-2</v>
      </c>
      <c r="J3951">
        <v>44789</v>
      </c>
    </row>
    <row r="3952" spans="1:10" x14ac:dyDescent="0.35">
      <c r="A3952" s="2">
        <v>44786</v>
      </c>
      <c r="B3952" s="3">
        <v>5.6666666666666671E-2</v>
      </c>
      <c r="C3952">
        <v>3750</v>
      </c>
      <c r="D3952" t="str">
        <f>VLOOKUP(H3952,Produkt!$A$2:$B$5,2,FALSE)</f>
        <v>D</v>
      </c>
      <c r="H3952">
        <v>4</v>
      </c>
      <c r="I3952">
        <v>0.79799768518518521</v>
      </c>
      <c r="J3952">
        <v>44802</v>
      </c>
    </row>
    <row r="3953" spans="1:10" x14ac:dyDescent="0.35">
      <c r="A3953" s="2">
        <v>44786</v>
      </c>
      <c r="B3953" s="3">
        <v>0.34002314814814816</v>
      </c>
      <c r="C3953">
        <v>3769</v>
      </c>
      <c r="D3953" t="str">
        <f>VLOOKUP(H3953,Produkt!$A$2:$B$5,2,FALSE)</f>
        <v>C</v>
      </c>
      <c r="H3953">
        <v>3</v>
      </c>
      <c r="I3953">
        <v>0.64410879629629625</v>
      </c>
      <c r="J3953">
        <v>44779</v>
      </c>
    </row>
    <row r="3954" spans="1:10" x14ac:dyDescent="0.35">
      <c r="A3954" s="2">
        <v>44786</v>
      </c>
      <c r="B3954" s="3">
        <v>0.2069212962962963</v>
      </c>
      <c r="C3954">
        <v>3781</v>
      </c>
      <c r="D3954" t="str">
        <f>VLOOKUP(H3954,Produkt!$A$2:$B$5,2,FALSE)</f>
        <v>B</v>
      </c>
      <c r="H3954">
        <v>2</v>
      </c>
      <c r="I3954">
        <v>0.3628703703703704</v>
      </c>
      <c r="J3954">
        <v>44803</v>
      </c>
    </row>
    <row r="3955" spans="1:10" x14ac:dyDescent="0.35">
      <c r="A3955" s="2">
        <v>44786</v>
      </c>
      <c r="B3955" s="3">
        <v>0.89587962962962964</v>
      </c>
      <c r="C3955">
        <v>3784</v>
      </c>
      <c r="D3955" t="str">
        <f>VLOOKUP(H3955,Produkt!$A$2:$B$5,2,FALSE)</f>
        <v>C</v>
      </c>
      <c r="H3955">
        <v>3</v>
      </c>
      <c r="I3955">
        <v>0.79956018518518512</v>
      </c>
      <c r="J3955">
        <v>44787</v>
      </c>
    </row>
    <row r="3956" spans="1:10" x14ac:dyDescent="0.35">
      <c r="A3956" s="2">
        <v>44786</v>
      </c>
      <c r="B3956" s="3">
        <v>0.4369791666666667</v>
      </c>
      <c r="C3956">
        <v>3788</v>
      </c>
      <c r="D3956" t="str">
        <f>VLOOKUP(H3956,Produkt!$A$2:$B$5,2,FALSE)</f>
        <v>D</v>
      </c>
      <c r="H3956">
        <v>4</v>
      </c>
      <c r="I3956">
        <v>9.8622685185185188E-2</v>
      </c>
      <c r="J3956">
        <v>44794</v>
      </c>
    </row>
    <row r="3957" spans="1:10" x14ac:dyDescent="0.35">
      <c r="A3957" s="2">
        <v>44786</v>
      </c>
      <c r="B3957" s="3">
        <v>0.84501157407407401</v>
      </c>
      <c r="C3957">
        <v>3835</v>
      </c>
      <c r="D3957" t="str">
        <f>VLOOKUP(H3957,Produkt!$A$2:$B$5,2,FALSE)</f>
        <v>B</v>
      </c>
      <c r="H3957">
        <v>2</v>
      </c>
      <c r="I3957">
        <v>0.46256944444444442</v>
      </c>
      <c r="J3957">
        <v>44800</v>
      </c>
    </row>
    <row r="3958" spans="1:10" x14ac:dyDescent="0.35">
      <c r="A3958" s="2">
        <v>44786</v>
      </c>
      <c r="B3958" s="3">
        <v>0.79916666666666669</v>
      </c>
      <c r="C3958">
        <v>3838</v>
      </c>
      <c r="D3958" t="str">
        <f>VLOOKUP(H3958,Produkt!$A$2:$B$5,2,FALSE)</f>
        <v>C</v>
      </c>
      <c r="H3958">
        <v>3</v>
      </c>
      <c r="I3958">
        <v>0.85357638888888887</v>
      </c>
      <c r="J3958">
        <v>44783</v>
      </c>
    </row>
    <row r="3959" spans="1:10" x14ac:dyDescent="0.35">
      <c r="A3959" s="2">
        <v>44786</v>
      </c>
      <c r="B3959" s="3">
        <v>0.88383101851851853</v>
      </c>
      <c r="C3959">
        <v>3845</v>
      </c>
      <c r="D3959" t="str">
        <f>VLOOKUP(H3959,Produkt!$A$2:$B$5,2,FALSE)</f>
        <v>B</v>
      </c>
      <c r="H3959">
        <v>2</v>
      </c>
      <c r="I3959">
        <v>0.86335648148148147</v>
      </c>
      <c r="J3959">
        <v>44785</v>
      </c>
    </row>
    <row r="3960" spans="1:10" x14ac:dyDescent="0.35">
      <c r="A3960" s="2">
        <v>44786</v>
      </c>
      <c r="B3960" s="3">
        <v>0.88996527777777779</v>
      </c>
      <c r="C3960">
        <v>3860</v>
      </c>
      <c r="D3960" t="str">
        <f>VLOOKUP(H3960,Produkt!$A$2:$B$5,2,FALSE)</f>
        <v>D</v>
      </c>
      <c r="H3960">
        <v>4</v>
      </c>
      <c r="I3960">
        <v>0.56541666666666668</v>
      </c>
      <c r="J3960">
        <v>44800</v>
      </c>
    </row>
    <row r="3961" spans="1:10" x14ac:dyDescent="0.35">
      <c r="A3961" s="2">
        <v>44786</v>
      </c>
      <c r="B3961" s="3">
        <v>0.57516203703703705</v>
      </c>
      <c r="C3961">
        <v>3886</v>
      </c>
      <c r="D3961" t="str">
        <f>VLOOKUP(H3961,Produkt!$A$2:$B$5,2,FALSE)</f>
        <v>A</v>
      </c>
      <c r="H3961">
        <v>1</v>
      </c>
      <c r="I3961">
        <v>0.40187499999999998</v>
      </c>
      <c r="J3961">
        <v>44785</v>
      </c>
    </row>
    <row r="3962" spans="1:10" x14ac:dyDescent="0.35">
      <c r="A3962" s="2">
        <v>44786</v>
      </c>
      <c r="B3962" s="3">
        <v>0.60578703703703707</v>
      </c>
      <c r="C3962">
        <v>3891</v>
      </c>
      <c r="D3962" t="str">
        <f>VLOOKUP(H3962,Produkt!$A$2:$B$5,2,FALSE)</f>
        <v>B</v>
      </c>
      <c r="H3962">
        <v>2</v>
      </c>
      <c r="I3962">
        <v>1.5497685185185186E-2</v>
      </c>
      <c r="J3962">
        <v>44799</v>
      </c>
    </row>
    <row r="3963" spans="1:10" x14ac:dyDescent="0.35">
      <c r="A3963" s="2">
        <v>44786</v>
      </c>
      <c r="B3963" s="3">
        <v>0.82917824074074076</v>
      </c>
      <c r="C3963">
        <v>3907</v>
      </c>
      <c r="D3963" t="str">
        <f>VLOOKUP(H3963,Produkt!$A$2:$B$5,2,FALSE)</f>
        <v>D</v>
      </c>
      <c r="H3963">
        <v>4</v>
      </c>
      <c r="I3963">
        <v>7.3703703703703702E-2</v>
      </c>
      <c r="J3963">
        <v>44792</v>
      </c>
    </row>
    <row r="3964" spans="1:10" x14ac:dyDescent="0.35">
      <c r="A3964" s="2">
        <v>44786</v>
      </c>
      <c r="B3964" s="3">
        <v>0.87829861111111107</v>
      </c>
      <c r="C3964">
        <v>3915</v>
      </c>
      <c r="D3964" t="str">
        <f>VLOOKUP(H3964,Produkt!$A$2:$B$5,2,FALSE)</f>
        <v>A</v>
      </c>
      <c r="H3964">
        <v>1</v>
      </c>
      <c r="I3964">
        <v>0.22337962962962962</v>
      </c>
      <c r="J3964">
        <v>44774</v>
      </c>
    </row>
    <row r="3965" spans="1:10" x14ac:dyDescent="0.35">
      <c r="A3965" s="2">
        <v>44786</v>
      </c>
      <c r="B3965" s="3">
        <v>0.79956018518518512</v>
      </c>
      <c r="C3965">
        <v>3954</v>
      </c>
      <c r="D3965" t="str">
        <f>VLOOKUP(H3965,Produkt!$A$2:$B$5,2,FALSE)</f>
        <v>C</v>
      </c>
      <c r="H3965">
        <v>3</v>
      </c>
      <c r="I3965">
        <v>1.8194444444444444E-2</v>
      </c>
      <c r="J3965">
        <v>44774</v>
      </c>
    </row>
    <row r="3966" spans="1:10" x14ac:dyDescent="0.35">
      <c r="A3966" s="2">
        <v>44786</v>
      </c>
      <c r="B3966" s="3">
        <v>0.67277777777777781</v>
      </c>
      <c r="C3966">
        <v>3983</v>
      </c>
      <c r="D3966" t="str">
        <f>VLOOKUP(H3966,Produkt!$A$2:$B$5,2,FALSE)</f>
        <v>D</v>
      </c>
      <c r="H3966">
        <v>4</v>
      </c>
      <c r="I3966">
        <v>5.2349537037037042E-2</v>
      </c>
      <c r="J3966">
        <v>44781</v>
      </c>
    </row>
    <row r="3967" spans="1:10" x14ac:dyDescent="0.35">
      <c r="A3967" s="2">
        <v>44786</v>
      </c>
      <c r="B3967" s="3">
        <v>8.5752314814814823E-2</v>
      </c>
      <c r="C3967">
        <v>4003</v>
      </c>
      <c r="D3967" t="str">
        <f>VLOOKUP(H3967,Produkt!$A$2:$B$5,2,FALSE)</f>
        <v>D</v>
      </c>
      <c r="H3967">
        <v>4</v>
      </c>
      <c r="I3967">
        <v>0.41714120370370367</v>
      </c>
      <c r="J3967">
        <v>44803</v>
      </c>
    </row>
    <row r="3968" spans="1:10" x14ac:dyDescent="0.35">
      <c r="A3968" s="2">
        <v>44786</v>
      </c>
      <c r="B3968" s="3">
        <v>0.13766203703703703</v>
      </c>
      <c r="C3968">
        <v>4057</v>
      </c>
      <c r="D3968" t="str">
        <f>VLOOKUP(H3968,Produkt!$A$2:$B$5,2,FALSE)</f>
        <v>C</v>
      </c>
      <c r="H3968">
        <v>3</v>
      </c>
      <c r="I3968">
        <v>0.77460648148148137</v>
      </c>
      <c r="J3968">
        <v>44801</v>
      </c>
    </row>
    <row r="3969" spans="1:10" x14ac:dyDescent="0.35">
      <c r="A3969" s="2">
        <v>44786</v>
      </c>
      <c r="B3969" s="3">
        <v>0.37504629629629632</v>
      </c>
      <c r="C3969">
        <v>4070</v>
      </c>
      <c r="D3969" t="str">
        <f>VLOOKUP(H3969,Produkt!$A$2:$B$5,2,FALSE)</f>
        <v>A</v>
      </c>
      <c r="H3969">
        <v>1</v>
      </c>
      <c r="I3969">
        <v>0.64692129629629636</v>
      </c>
      <c r="J3969">
        <v>44791</v>
      </c>
    </row>
    <row r="3970" spans="1:10" x14ac:dyDescent="0.35">
      <c r="A3970" s="2">
        <v>44786</v>
      </c>
      <c r="B3970" s="3">
        <v>0.7139699074074074</v>
      </c>
      <c r="C3970">
        <v>4130</v>
      </c>
      <c r="D3970" t="str">
        <f>VLOOKUP(H3970,Produkt!$A$2:$B$5,2,FALSE)</f>
        <v>B</v>
      </c>
      <c r="H3970">
        <v>2</v>
      </c>
      <c r="I3970">
        <v>0.82412037037037045</v>
      </c>
      <c r="J3970">
        <v>44796</v>
      </c>
    </row>
    <row r="3971" spans="1:10" x14ac:dyDescent="0.35">
      <c r="A3971" s="2">
        <v>44786</v>
      </c>
      <c r="B3971" s="3">
        <v>0.69896990740740739</v>
      </c>
      <c r="C3971">
        <v>4149</v>
      </c>
      <c r="D3971" t="str">
        <f>VLOOKUP(H3971,Produkt!$A$2:$B$5,2,FALSE)</f>
        <v>B</v>
      </c>
      <c r="H3971">
        <v>2</v>
      </c>
      <c r="I3971">
        <v>0.55674768518518525</v>
      </c>
      <c r="J3971">
        <v>44783</v>
      </c>
    </row>
    <row r="3972" spans="1:10" x14ac:dyDescent="0.35">
      <c r="A3972" s="2">
        <v>44786</v>
      </c>
      <c r="B3972" s="3">
        <v>0.50789351851851849</v>
      </c>
      <c r="C3972">
        <v>4178</v>
      </c>
      <c r="D3972" t="str">
        <f>VLOOKUP(H3972,Produkt!$A$2:$B$5,2,FALSE)</f>
        <v>A</v>
      </c>
      <c r="H3972">
        <v>1</v>
      </c>
      <c r="I3972">
        <v>0.98420138888888886</v>
      </c>
      <c r="J3972">
        <v>44778</v>
      </c>
    </row>
    <row r="3973" spans="1:10" x14ac:dyDescent="0.35">
      <c r="A3973" s="2">
        <v>44786</v>
      </c>
      <c r="B3973" s="3">
        <v>2.9976851851851949E-2</v>
      </c>
      <c r="C3973">
        <v>4238</v>
      </c>
      <c r="D3973" t="str">
        <f>VLOOKUP(H3973,Produkt!$A$2:$B$5,2,FALSE)</f>
        <v>B</v>
      </c>
      <c r="H3973">
        <v>2</v>
      </c>
      <c r="I3973">
        <v>0.87310185185185185</v>
      </c>
      <c r="J3973">
        <v>44801</v>
      </c>
    </row>
    <row r="3974" spans="1:10" x14ac:dyDescent="0.35">
      <c r="A3974" s="2">
        <v>44786</v>
      </c>
      <c r="B3974" s="3">
        <v>0.55290509259259257</v>
      </c>
      <c r="C3974">
        <v>4314</v>
      </c>
      <c r="D3974" t="str">
        <f>VLOOKUP(H3974,Produkt!$A$2:$B$5,2,FALSE)</f>
        <v>B</v>
      </c>
      <c r="H3974">
        <v>2</v>
      </c>
      <c r="I3974">
        <v>0.30714120370370374</v>
      </c>
      <c r="J3974">
        <v>44775</v>
      </c>
    </row>
    <row r="3975" spans="1:10" x14ac:dyDescent="0.35">
      <c r="A3975" s="2">
        <v>44786</v>
      </c>
      <c r="B3975" s="3">
        <v>0.98572916666666666</v>
      </c>
      <c r="C3975">
        <v>4358</v>
      </c>
      <c r="D3975" t="str">
        <f>VLOOKUP(H3975,Produkt!$A$2:$B$5,2,FALSE)</f>
        <v>C</v>
      </c>
      <c r="H3975">
        <v>3</v>
      </c>
      <c r="I3975">
        <v>0.80209490740740741</v>
      </c>
      <c r="J3975">
        <v>44776</v>
      </c>
    </row>
    <row r="3976" spans="1:10" x14ac:dyDescent="0.35">
      <c r="A3976" s="2">
        <v>44786</v>
      </c>
      <c r="B3976" s="3">
        <v>0.42949074074074073</v>
      </c>
      <c r="C3976">
        <v>4377</v>
      </c>
      <c r="D3976" t="str">
        <f>VLOOKUP(H3976,Produkt!$A$2:$B$5,2,FALSE)</f>
        <v>D</v>
      </c>
      <c r="H3976">
        <v>4</v>
      </c>
      <c r="I3976">
        <v>0.20635416666666664</v>
      </c>
      <c r="J3976">
        <v>44785</v>
      </c>
    </row>
    <row r="3977" spans="1:10" x14ac:dyDescent="0.35">
      <c r="A3977" s="2">
        <v>44786</v>
      </c>
      <c r="B3977" s="3">
        <v>0.49037037037037035</v>
      </c>
      <c r="C3977">
        <v>4409</v>
      </c>
      <c r="D3977" t="str">
        <f>VLOOKUP(H3977,Produkt!$A$2:$B$5,2,FALSE)</f>
        <v>B</v>
      </c>
      <c r="H3977">
        <v>2</v>
      </c>
      <c r="I3977">
        <v>0.41540509259259256</v>
      </c>
      <c r="J3977">
        <v>44778</v>
      </c>
    </row>
    <row r="3978" spans="1:10" x14ac:dyDescent="0.35">
      <c r="A3978" s="2">
        <v>44786</v>
      </c>
      <c r="B3978" s="3">
        <v>0.15949074074074074</v>
      </c>
      <c r="C3978">
        <v>4448</v>
      </c>
      <c r="D3978" t="str">
        <f>VLOOKUP(H3978,Produkt!$A$2:$B$5,2,FALSE)</f>
        <v>C</v>
      </c>
      <c r="H3978">
        <v>3</v>
      </c>
      <c r="I3978">
        <v>0.14851851851851852</v>
      </c>
      <c r="J3978">
        <v>44786</v>
      </c>
    </row>
    <row r="3979" spans="1:10" x14ac:dyDescent="0.35">
      <c r="A3979" s="2">
        <v>44786</v>
      </c>
      <c r="B3979" s="3">
        <v>0.12658564814814816</v>
      </c>
      <c r="C3979">
        <v>4458</v>
      </c>
      <c r="D3979" t="str">
        <f>VLOOKUP(H3979,Produkt!$A$2:$B$5,2,FALSE)</f>
        <v>B</v>
      </c>
      <c r="H3979">
        <v>2</v>
      </c>
      <c r="I3979">
        <v>0.3689351851851852</v>
      </c>
      <c r="J3979">
        <v>44792</v>
      </c>
    </row>
    <row r="3980" spans="1:10" x14ac:dyDescent="0.35">
      <c r="A3980" s="2">
        <v>44786</v>
      </c>
      <c r="B3980" s="3">
        <v>0.41494212962962962</v>
      </c>
      <c r="C3980">
        <v>4541</v>
      </c>
      <c r="D3980" t="str">
        <f>VLOOKUP(H3980,Produkt!$A$2:$B$5,2,FALSE)</f>
        <v>B</v>
      </c>
      <c r="H3980">
        <v>2</v>
      </c>
      <c r="I3980">
        <v>0.30674768518518519</v>
      </c>
      <c r="J3980">
        <v>44794</v>
      </c>
    </row>
    <row r="3981" spans="1:10" x14ac:dyDescent="0.35">
      <c r="A3981" s="2">
        <v>44786</v>
      </c>
      <c r="B3981" s="3">
        <v>0.39374999999999999</v>
      </c>
      <c r="C3981">
        <v>4551</v>
      </c>
      <c r="D3981" t="str">
        <f>VLOOKUP(H3981,Produkt!$A$2:$B$5,2,FALSE)</f>
        <v>D</v>
      </c>
      <c r="H3981">
        <v>4</v>
      </c>
      <c r="I3981">
        <v>0.4484143518518518</v>
      </c>
      <c r="J3981">
        <v>44778</v>
      </c>
    </row>
    <row r="3982" spans="1:10" x14ac:dyDescent="0.35">
      <c r="A3982" s="2">
        <v>44786</v>
      </c>
      <c r="B3982" s="3">
        <v>4.1435185185185186E-3</v>
      </c>
      <c r="C3982">
        <v>4553</v>
      </c>
      <c r="D3982" t="str">
        <f>VLOOKUP(H3982,Produkt!$A$2:$B$5,2,FALSE)</f>
        <v>C</v>
      </c>
      <c r="H3982">
        <v>3</v>
      </c>
      <c r="I3982">
        <v>0.87534722222222217</v>
      </c>
      <c r="J3982">
        <v>44799</v>
      </c>
    </row>
    <row r="3983" spans="1:10" x14ac:dyDescent="0.35">
      <c r="A3983" s="2">
        <v>44786</v>
      </c>
      <c r="B3983" s="3">
        <v>0.99589120370370365</v>
      </c>
      <c r="C3983">
        <v>4560</v>
      </c>
      <c r="D3983" t="str">
        <f>VLOOKUP(H3983,Produkt!$A$2:$B$5,2,FALSE)</f>
        <v>A</v>
      </c>
      <c r="H3983">
        <v>1</v>
      </c>
      <c r="I3983">
        <v>0.41706018518518517</v>
      </c>
      <c r="J3983">
        <v>44782</v>
      </c>
    </row>
    <row r="3984" spans="1:10" x14ac:dyDescent="0.35">
      <c r="A3984" s="2">
        <v>44786</v>
      </c>
      <c r="B3984" s="3">
        <v>0.89327546296296301</v>
      </c>
      <c r="C3984">
        <v>4569</v>
      </c>
      <c r="D3984" t="str">
        <f>VLOOKUP(H3984,Produkt!$A$2:$B$5,2,FALSE)</f>
        <v>C</v>
      </c>
      <c r="H3984">
        <v>3</v>
      </c>
      <c r="I3984">
        <v>0.67277777777777781</v>
      </c>
      <c r="J3984">
        <v>44791</v>
      </c>
    </row>
    <row r="3985" spans="1:10" x14ac:dyDescent="0.35">
      <c r="A3985" s="2">
        <v>44786</v>
      </c>
      <c r="B3985" s="3">
        <v>0.71725694444444443</v>
      </c>
      <c r="C3985">
        <v>4579</v>
      </c>
      <c r="D3985" t="str">
        <f>VLOOKUP(H3985,Produkt!$A$2:$B$5,2,FALSE)</f>
        <v>A</v>
      </c>
      <c r="H3985">
        <v>1</v>
      </c>
      <c r="I3985">
        <v>0.86231481481481476</v>
      </c>
      <c r="J3985">
        <v>44804</v>
      </c>
    </row>
    <row r="3986" spans="1:10" x14ac:dyDescent="0.35">
      <c r="A3986" s="2">
        <v>44786</v>
      </c>
      <c r="B3986" s="3">
        <v>0.36767361111111113</v>
      </c>
      <c r="C3986">
        <v>4601</v>
      </c>
      <c r="D3986" t="str">
        <f>VLOOKUP(H3986,Produkt!$A$2:$B$5,2,FALSE)</f>
        <v>D</v>
      </c>
      <c r="H3986">
        <v>4</v>
      </c>
      <c r="I3986">
        <v>0.60993055555555553</v>
      </c>
      <c r="J3986">
        <v>44801</v>
      </c>
    </row>
    <row r="3987" spans="1:10" x14ac:dyDescent="0.35">
      <c r="A3987" s="2">
        <v>44786</v>
      </c>
      <c r="B3987" s="3">
        <v>0.58041666666666669</v>
      </c>
      <c r="C3987">
        <v>4633</v>
      </c>
      <c r="D3987" t="str">
        <f>VLOOKUP(H3987,Produkt!$A$2:$B$5,2,FALSE)</f>
        <v>A</v>
      </c>
      <c r="H3987">
        <v>1</v>
      </c>
      <c r="I3987">
        <v>0.62067129629629625</v>
      </c>
      <c r="J3987">
        <v>44782</v>
      </c>
    </row>
    <row r="3988" spans="1:10" x14ac:dyDescent="0.35">
      <c r="A3988" s="2">
        <v>44786</v>
      </c>
      <c r="B3988" s="3">
        <v>0.44021990740740741</v>
      </c>
      <c r="C3988">
        <v>4663</v>
      </c>
      <c r="D3988" t="str">
        <f>VLOOKUP(H3988,Produkt!$A$2:$B$5,2,FALSE)</f>
        <v>B</v>
      </c>
      <c r="H3988">
        <v>2</v>
      </c>
      <c r="I3988">
        <v>3.9189814814814872E-2</v>
      </c>
      <c r="J3988">
        <v>44789</v>
      </c>
    </row>
    <row r="3989" spans="1:10" x14ac:dyDescent="0.35">
      <c r="A3989" s="2">
        <v>44786</v>
      </c>
      <c r="B3989" s="3">
        <v>0.31733796296296296</v>
      </c>
      <c r="C3989">
        <v>4664</v>
      </c>
      <c r="D3989" t="str">
        <f>VLOOKUP(H3989,Produkt!$A$2:$B$5,2,FALSE)</f>
        <v>C</v>
      </c>
      <c r="H3989">
        <v>3</v>
      </c>
      <c r="I3989">
        <v>5.3125000000000533E-3</v>
      </c>
      <c r="J3989">
        <v>44787</v>
      </c>
    </row>
    <row r="3990" spans="1:10" x14ac:dyDescent="0.35">
      <c r="A3990" s="2">
        <v>44786</v>
      </c>
      <c r="B3990" s="3">
        <v>0.74256944444444439</v>
      </c>
      <c r="C3990">
        <v>4679</v>
      </c>
      <c r="D3990" t="str">
        <f>VLOOKUP(H3990,Produkt!$A$2:$B$5,2,FALSE)</f>
        <v>D</v>
      </c>
      <c r="H3990">
        <v>4</v>
      </c>
      <c r="I3990">
        <v>0.30813657407407408</v>
      </c>
      <c r="J3990">
        <v>44797</v>
      </c>
    </row>
    <row r="3991" spans="1:10" x14ac:dyDescent="0.35">
      <c r="A3991" s="2">
        <v>44786</v>
      </c>
      <c r="B3991" s="3">
        <v>0.16943287037037036</v>
      </c>
      <c r="C3991">
        <v>4699</v>
      </c>
      <c r="D3991" t="str">
        <f>VLOOKUP(H3991,Produkt!$A$2:$B$5,2,FALSE)</f>
        <v>A</v>
      </c>
      <c r="H3991">
        <v>1</v>
      </c>
      <c r="I3991">
        <v>0.51734953703703701</v>
      </c>
      <c r="J3991">
        <v>44791</v>
      </c>
    </row>
    <row r="3992" spans="1:10" x14ac:dyDescent="0.35">
      <c r="A3992" s="2">
        <v>44786</v>
      </c>
      <c r="B3992" s="3">
        <v>0.72112268518518519</v>
      </c>
      <c r="C3992">
        <v>4754</v>
      </c>
      <c r="D3992" t="str">
        <f>VLOOKUP(H3992,Produkt!$A$2:$B$5,2,FALSE)</f>
        <v>D</v>
      </c>
      <c r="H3992">
        <v>4</v>
      </c>
      <c r="I3992">
        <v>0.7439930555555555</v>
      </c>
      <c r="J3992">
        <v>44804</v>
      </c>
    </row>
    <row r="3993" spans="1:10" x14ac:dyDescent="0.35">
      <c r="A3993" s="2">
        <v>44786</v>
      </c>
      <c r="B3993" s="3">
        <v>0.91835648148148152</v>
      </c>
      <c r="C3993">
        <v>4833</v>
      </c>
      <c r="D3993" t="str">
        <f>VLOOKUP(H3993,Produkt!$A$2:$B$5,2,FALSE)</f>
        <v>B</v>
      </c>
      <c r="H3993">
        <v>2</v>
      </c>
      <c r="I3993">
        <v>0.75084490740740739</v>
      </c>
      <c r="J3993">
        <v>44799</v>
      </c>
    </row>
    <row r="3994" spans="1:10" x14ac:dyDescent="0.35">
      <c r="A3994" s="2">
        <v>44786</v>
      </c>
      <c r="B3994" s="3">
        <v>0.18341435185185184</v>
      </c>
      <c r="C3994">
        <v>4868</v>
      </c>
      <c r="D3994" t="str">
        <f>VLOOKUP(H3994,Produkt!$A$2:$B$5,2,FALSE)</f>
        <v>D</v>
      </c>
      <c r="H3994">
        <v>4</v>
      </c>
      <c r="I3994">
        <v>0.72341435185185177</v>
      </c>
      <c r="J3994">
        <v>44794</v>
      </c>
    </row>
    <row r="3995" spans="1:10" x14ac:dyDescent="0.35">
      <c r="A3995" s="2">
        <v>44786</v>
      </c>
      <c r="B3995" s="3">
        <v>0.8960069444444444</v>
      </c>
      <c r="C3995">
        <v>4913</v>
      </c>
      <c r="D3995" t="str">
        <f>VLOOKUP(H3995,Produkt!$A$2:$B$5,2,FALSE)</f>
        <v>A</v>
      </c>
      <c r="H3995">
        <v>1</v>
      </c>
      <c r="I3995">
        <v>0.80835648148148154</v>
      </c>
      <c r="J3995">
        <v>44789</v>
      </c>
    </row>
    <row r="3996" spans="1:10" x14ac:dyDescent="0.35">
      <c r="A3996" s="2">
        <v>44786</v>
      </c>
      <c r="B3996" s="3">
        <v>0.57902777777777781</v>
      </c>
      <c r="C3996">
        <v>4919</v>
      </c>
      <c r="D3996" t="str">
        <f>VLOOKUP(H3996,Produkt!$A$2:$B$5,2,FALSE)</f>
        <v>B</v>
      </c>
      <c r="H3996">
        <v>2</v>
      </c>
      <c r="I3996">
        <v>0.9234837962962964</v>
      </c>
      <c r="J3996">
        <v>44804</v>
      </c>
    </row>
    <row r="3997" spans="1:10" x14ac:dyDescent="0.35">
      <c r="A3997" s="2">
        <v>44786</v>
      </c>
      <c r="B3997" s="3">
        <v>0.77660879629629631</v>
      </c>
      <c r="C3997">
        <v>4942</v>
      </c>
      <c r="D3997" t="str">
        <f>VLOOKUP(H3997,Produkt!$A$2:$B$5,2,FALSE)</f>
        <v>D</v>
      </c>
      <c r="H3997">
        <v>4</v>
      </c>
      <c r="I3997">
        <v>2.0011574074074057E-2</v>
      </c>
      <c r="J3997">
        <v>44798</v>
      </c>
    </row>
    <row r="3998" spans="1:10" x14ac:dyDescent="0.35">
      <c r="A3998" s="2">
        <v>44786</v>
      </c>
      <c r="B3998" s="3">
        <v>0.88276620370370373</v>
      </c>
      <c r="C3998">
        <v>4961</v>
      </c>
      <c r="D3998" t="str">
        <f>VLOOKUP(H3998,Produkt!$A$2:$B$5,2,FALSE)</f>
        <v>A</v>
      </c>
      <c r="H3998">
        <v>1</v>
      </c>
      <c r="I3998">
        <v>0.55128472222222225</v>
      </c>
      <c r="J3998">
        <v>44779</v>
      </c>
    </row>
    <row r="3999" spans="1:10" x14ac:dyDescent="0.35">
      <c r="A3999" s="2">
        <v>44786</v>
      </c>
      <c r="B3999" s="3">
        <v>2.4537037037037024E-2</v>
      </c>
      <c r="C3999">
        <v>4963</v>
      </c>
      <c r="D3999" t="str">
        <f>VLOOKUP(H3999,Produkt!$A$2:$B$5,2,FALSE)</f>
        <v>C</v>
      </c>
      <c r="H3999">
        <v>3</v>
      </c>
      <c r="I3999">
        <v>3.650462962962963E-2</v>
      </c>
      <c r="J3999">
        <v>44783</v>
      </c>
    </row>
    <row r="4000" spans="1:10" x14ac:dyDescent="0.35">
      <c r="A4000" s="2">
        <v>44786</v>
      </c>
      <c r="B4000" s="3">
        <v>0.78879629629629633</v>
      </c>
      <c r="C4000">
        <v>4967</v>
      </c>
      <c r="D4000" t="str">
        <f>VLOOKUP(H4000,Produkt!$A$2:$B$5,2,FALSE)</f>
        <v>B</v>
      </c>
      <c r="H4000">
        <v>2</v>
      </c>
      <c r="I4000">
        <v>0.13076388888888887</v>
      </c>
      <c r="J4000">
        <v>44782</v>
      </c>
    </row>
    <row r="4001" spans="1:10" x14ac:dyDescent="0.35">
      <c r="A4001" s="2">
        <v>44786</v>
      </c>
      <c r="B4001" s="3">
        <v>0.86805555555555547</v>
      </c>
      <c r="C4001">
        <v>4983</v>
      </c>
      <c r="D4001" t="str">
        <f>VLOOKUP(H4001,Produkt!$A$2:$B$5,2,FALSE)</f>
        <v>B</v>
      </c>
      <c r="H4001">
        <v>2</v>
      </c>
      <c r="I4001">
        <v>0.40765046296296298</v>
      </c>
      <c r="J4001">
        <v>44788</v>
      </c>
    </row>
    <row r="4002" spans="1:10" x14ac:dyDescent="0.35">
      <c r="A4002" s="2">
        <v>44786</v>
      </c>
      <c r="B4002" s="3">
        <v>0.30284722222222221</v>
      </c>
      <c r="C4002">
        <v>4987</v>
      </c>
      <c r="D4002" t="str">
        <f>VLOOKUP(H4002,Produkt!$A$2:$B$5,2,FALSE)</f>
        <v>D</v>
      </c>
      <c r="H4002">
        <v>4</v>
      </c>
      <c r="I4002">
        <v>0.74391203703703701</v>
      </c>
      <c r="J4002">
        <v>44797</v>
      </c>
    </row>
    <row r="4003" spans="1:10" x14ac:dyDescent="0.35">
      <c r="A4003" s="2">
        <v>44786</v>
      </c>
      <c r="B4003" s="3">
        <v>0.45876157407407409</v>
      </c>
      <c r="C4003">
        <v>5019</v>
      </c>
      <c r="D4003" t="str">
        <f>VLOOKUP(H4003,Produkt!$A$2:$B$5,2,FALSE)</f>
        <v>B</v>
      </c>
      <c r="H4003">
        <v>2</v>
      </c>
      <c r="I4003">
        <v>0.37645833333333334</v>
      </c>
      <c r="J4003">
        <v>44786</v>
      </c>
    </row>
    <row r="4004" spans="1:10" x14ac:dyDescent="0.35">
      <c r="A4004" s="2">
        <v>44786</v>
      </c>
      <c r="B4004" s="3">
        <v>0.18364583333333331</v>
      </c>
      <c r="C4004">
        <v>5037</v>
      </c>
      <c r="D4004" t="str">
        <f>VLOOKUP(H4004,Produkt!$A$2:$B$5,2,FALSE)</f>
        <v>A</v>
      </c>
      <c r="H4004">
        <v>1</v>
      </c>
      <c r="I4004">
        <v>8.5752314814814823E-2</v>
      </c>
      <c r="J4004">
        <v>44781</v>
      </c>
    </row>
    <row r="4005" spans="1:10" x14ac:dyDescent="0.35">
      <c r="A4005" s="2">
        <v>44786</v>
      </c>
      <c r="B4005" s="3">
        <v>2.0925925925925928E-2</v>
      </c>
      <c r="C4005">
        <v>5059</v>
      </c>
      <c r="D4005" t="str">
        <f>VLOOKUP(H4005,Produkt!$A$2:$B$5,2,FALSE)</f>
        <v>A</v>
      </c>
      <c r="H4005">
        <v>1</v>
      </c>
      <c r="I4005">
        <v>0.65591435185185187</v>
      </c>
      <c r="J4005">
        <v>44800</v>
      </c>
    </row>
    <row r="4006" spans="1:10" x14ac:dyDescent="0.35">
      <c r="A4006" s="2">
        <v>44786</v>
      </c>
      <c r="B4006" s="3">
        <v>3.4131944444444444E-2</v>
      </c>
      <c r="C4006">
        <v>5088</v>
      </c>
      <c r="D4006" t="str">
        <f>VLOOKUP(H4006,Produkt!$A$2:$B$5,2,FALSE)</f>
        <v>A</v>
      </c>
      <c r="H4006">
        <v>1</v>
      </c>
      <c r="I4006">
        <v>0.17724537037037036</v>
      </c>
      <c r="J4006">
        <v>44795</v>
      </c>
    </row>
    <row r="4007" spans="1:10" x14ac:dyDescent="0.35">
      <c r="A4007" s="2">
        <v>44786</v>
      </c>
      <c r="B4007" s="3">
        <v>0.13543981481481482</v>
      </c>
      <c r="C4007">
        <v>5139</v>
      </c>
      <c r="D4007" t="str">
        <f>VLOOKUP(H4007,Produkt!$A$2:$B$5,2,FALSE)</f>
        <v>D</v>
      </c>
      <c r="H4007">
        <v>4</v>
      </c>
      <c r="I4007">
        <v>0.5582407407407407</v>
      </c>
      <c r="J4007">
        <v>44802</v>
      </c>
    </row>
    <row r="4008" spans="1:10" x14ac:dyDescent="0.35">
      <c r="A4008" s="2">
        <v>44786</v>
      </c>
      <c r="B4008" s="3">
        <v>0.85775462962962967</v>
      </c>
      <c r="C4008">
        <v>5181</v>
      </c>
      <c r="D4008" t="str">
        <f>VLOOKUP(H4008,Produkt!$A$2:$B$5,2,FALSE)</f>
        <v>A</v>
      </c>
      <c r="H4008">
        <v>1</v>
      </c>
      <c r="I4008">
        <v>0.33875000000000005</v>
      </c>
      <c r="J4008">
        <v>44792</v>
      </c>
    </row>
    <row r="4009" spans="1:10" x14ac:dyDescent="0.35">
      <c r="A4009" s="2">
        <v>44786</v>
      </c>
      <c r="B4009" s="3">
        <v>0.70062500000000005</v>
      </c>
      <c r="C4009">
        <v>5184</v>
      </c>
      <c r="D4009" t="str">
        <f>VLOOKUP(H4009,Produkt!$A$2:$B$5,2,FALSE)</f>
        <v>B</v>
      </c>
      <c r="H4009">
        <v>2</v>
      </c>
      <c r="I4009">
        <v>0.27190972222222221</v>
      </c>
      <c r="J4009">
        <v>44781</v>
      </c>
    </row>
    <row r="4010" spans="1:10" x14ac:dyDescent="0.35">
      <c r="A4010" s="2">
        <v>44786</v>
      </c>
      <c r="B4010" s="3">
        <v>0.4796643518518518</v>
      </c>
      <c r="C4010">
        <v>5209</v>
      </c>
      <c r="D4010" t="str">
        <f>VLOOKUP(H4010,Produkt!$A$2:$B$5,2,FALSE)</f>
        <v>C</v>
      </c>
      <c r="H4010">
        <v>3</v>
      </c>
      <c r="I4010">
        <v>0.88878472222222227</v>
      </c>
      <c r="J4010">
        <v>44798</v>
      </c>
    </row>
    <row r="4011" spans="1:10" x14ac:dyDescent="0.35">
      <c r="A4011" s="2">
        <v>44786</v>
      </c>
      <c r="B4011" s="3">
        <v>0.15079861111111112</v>
      </c>
      <c r="C4011">
        <v>5234</v>
      </c>
      <c r="D4011" t="str">
        <f>VLOOKUP(H4011,Produkt!$A$2:$B$5,2,FALSE)</f>
        <v>D</v>
      </c>
      <c r="H4011">
        <v>4</v>
      </c>
      <c r="I4011">
        <v>0.71074074074074067</v>
      </c>
      <c r="J4011">
        <v>44793</v>
      </c>
    </row>
    <row r="4012" spans="1:10" x14ac:dyDescent="0.35">
      <c r="A4012" s="2">
        <v>44786</v>
      </c>
      <c r="B4012" s="3">
        <v>0.87584490740740739</v>
      </c>
      <c r="C4012">
        <v>5235</v>
      </c>
      <c r="D4012" t="str">
        <f>VLOOKUP(H4012,Produkt!$A$2:$B$5,2,FALSE)</f>
        <v>B</v>
      </c>
      <c r="H4012">
        <v>2</v>
      </c>
      <c r="I4012">
        <v>0.87915509259259261</v>
      </c>
      <c r="J4012">
        <v>44793</v>
      </c>
    </row>
    <row r="4013" spans="1:10" x14ac:dyDescent="0.35">
      <c r="A4013" s="2">
        <v>44786</v>
      </c>
      <c r="B4013" s="3">
        <v>0.28666666666666668</v>
      </c>
      <c r="C4013">
        <v>5301</v>
      </c>
      <c r="D4013" t="str">
        <f>VLOOKUP(H4013,Produkt!$A$2:$B$5,2,FALSE)</f>
        <v>C</v>
      </c>
      <c r="H4013">
        <v>3</v>
      </c>
      <c r="I4013">
        <v>0.55863425925925925</v>
      </c>
      <c r="J4013">
        <v>44796</v>
      </c>
    </row>
    <row r="4014" spans="1:10" x14ac:dyDescent="0.35">
      <c r="A4014" s="2">
        <v>44786</v>
      </c>
      <c r="B4014" s="3">
        <v>2.4548611111111063E-2</v>
      </c>
      <c r="C4014">
        <v>5309</v>
      </c>
      <c r="D4014" t="str">
        <f>VLOOKUP(H4014,Produkt!$A$2:$B$5,2,FALSE)</f>
        <v>D</v>
      </c>
      <c r="H4014">
        <v>4</v>
      </c>
      <c r="I4014">
        <v>0.44217592592592592</v>
      </c>
      <c r="J4014">
        <v>44781</v>
      </c>
    </row>
    <row r="4015" spans="1:10" x14ac:dyDescent="0.35">
      <c r="A4015" s="2">
        <v>44786</v>
      </c>
      <c r="B4015" s="3">
        <v>0.17458333333333334</v>
      </c>
      <c r="C4015">
        <v>5337</v>
      </c>
      <c r="D4015" t="str">
        <f>VLOOKUP(H4015,Produkt!$A$2:$B$5,2,FALSE)</f>
        <v>D</v>
      </c>
      <c r="H4015">
        <v>4</v>
      </c>
      <c r="I4015">
        <v>0.5335185185185185</v>
      </c>
      <c r="J4015">
        <v>44782</v>
      </c>
    </row>
    <row r="4016" spans="1:10" x14ac:dyDescent="0.35">
      <c r="A4016" s="2">
        <v>44786</v>
      </c>
      <c r="B4016" s="3">
        <v>0.7700231481481481</v>
      </c>
      <c r="C4016">
        <v>5412</v>
      </c>
      <c r="D4016" t="str">
        <f>VLOOKUP(H4016,Produkt!$A$2:$B$5,2,FALSE)</f>
        <v>C</v>
      </c>
      <c r="H4016">
        <v>3</v>
      </c>
      <c r="I4016">
        <v>0.18174768518518516</v>
      </c>
      <c r="J4016">
        <v>44787</v>
      </c>
    </row>
    <row r="4017" spans="1:10" x14ac:dyDescent="0.35">
      <c r="A4017" s="2">
        <v>44786</v>
      </c>
      <c r="B4017" s="3">
        <v>2.732638888888889E-2</v>
      </c>
      <c r="C4017">
        <v>5433</v>
      </c>
      <c r="D4017" t="str">
        <f>VLOOKUP(H4017,Produkt!$A$2:$B$5,2,FALSE)</f>
        <v>A</v>
      </c>
      <c r="H4017">
        <v>1</v>
      </c>
      <c r="I4017">
        <v>0.42974537037037036</v>
      </c>
      <c r="J4017">
        <v>44799</v>
      </c>
    </row>
    <row r="4018" spans="1:10" x14ac:dyDescent="0.35">
      <c r="A4018" s="2">
        <v>44786</v>
      </c>
      <c r="B4018" s="3">
        <v>6.9791666666666674E-3</v>
      </c>
      <c r="C4018">
        <v>5440</v>
      </c>
      <c r="D4018" t="str">
        <f>VLOOKUP(H4018,Produkt!$A$2:$B$5,2,FALSE)</f>
        <v>B</v>
      </c>
      <c r="H4018">
        <v>2</v>
      </c>
      <c r="I4018">
        <v>0.94611111111111112</v>
      </c>
      <c r="J4018">
        <v>44783</v>
      </c>
    </row>
    <row r="4019" spans="1:10" x14ac:dyDescent="0.35">
      <c r="A4019" s="2">
        <v>44786</v>
      </c>
      <c r="B4019" s="3">
        <v>0.73862268518518526</v>
      </c>
      <c r="C4019">
        <v>5443</v>
      </c>
      <c r="D4019" t="str">
        <f>VLOOKUP(H4019,Produkt!$A$2:$B$5,2,FALSE)</f>
        <v>B</v>
      </c>
      <c r="H4019">
        <v>2</v>
      </c>
      <c r="I4019">
        <v>7.3842592592592585E-2</v>
      </c>
      <c r="J4019">
        <v>44787</v>
      </c>
    </row>
    <row r="4020" spans="1:10" x14ac:dyDescent="0.35">
      <c r="A4020" s="2">
        <v>44786</v>
      </c>
      <c r="B4020" s="3">
        <v>0.3283449074074074</v>
      </c>
      <c r="C4020">
        <v>5513</v>
      </c>
      <c r="D4020" t="str">
        <f>VLOOKUP(H4020,Produkt!$A$2:$B$5,2,FALSE)</f>
        <v>C</v>
      </c>
      <c r="H4020">
        <v>3</v>
      </c>
      <c r="I4020">
        <v>0.37193287037037037</v>
      </c>
      <c r="J4020">
        <v>44781</v>
      </c>
    </row>
    <row r="4021" spans="1:10" x14ac:dyDescent="0.35">
      <c r="A4021" s="2">
        <v>44786</v>
      </c>
      <c r="B4021" s="3">
        <v>0.34314814814814815</v>
      </c>
      <c r="C4021">
        <v>5532</v>
      </c>
      <c r="D4021" t="str">
        <f>VLOOKUP(H4021,Produkt!$A$2:$B$5,2,FALSE)</f>
        <v>A</v>
      </c>
      <c r="H4021">
        <v>1</v>
      </c>
      <c r="I4021">
        <v>0.20396990740740742</v>
      </c>
      <c r="J4021">
        <v>44774</v>
      </c>
    </row>
    <row r="4022" spans="1:10" x14ac:dyDescent="0.35">
      <c r="A4022" s="2">
        <v>44786</v>
      </c>
      <c r="B4022" s="3">
        <v>0.15027777777777776</v>
      </c>
      <c r="C4022">
        <v>5543</v>
      </c>
      <c r="D4022" t="str">
        <f>VLOOKUP(H4022,Produkt!$A$2:$B$5,2,FALSE)</f>
        <v>A</v>
      </c>
      <c r="H4022">
        <v>1</v>
      </c>
      <c r="I4022">
        <v>0.75552083333333331</v>
      </c>
      <c r="J4022">
        <v>44789</v>
      </c>
    </row>
    <row r="4023" spans="1:10" x14ac:dyDescent="0.35">
      <c r="A4023" s="2">
        <v>44786</v>
      </c>
      <c r="B4023" s="3">
        <v>0.26148148148148148</v>
      </c>
      <c r="C4023">
        <v>5658</v>
      </c>
      <c r="D4023" t="str">
        <f>VLOOKUP(H4023,Produkt!$A$2:$B$5,2,FALSE)</f>
        <v>D</v>
      </c>
      <c r="H4023">
        <v>4</v>
      </c>
      <c r="I4023">
        <v>0.93229166666666663</v>
      </c>
      <c r="J4023">
        <v>44794</v>
      </c>
    </row>
    <row r="4024" spans="1:10" x14ac:dyDescent="0.35">
      <c r="A4024" s="2">
        <v>44786</v>
      </c>
      <c r="B4024" s="3">
        <v>0.24576388888888889</v>
      </c>
      <c r="C4024">
        <v>5685</v>
      </c>
      <c r="D4024" t="str">
        <f>VLOOKUP(H4024,Produkt!$A$2:$B$5,2,FALSE)</f>
        <v>D</v>
      </c>
      <c r="H4024">
        <v>4</v>
      </c>
      <c r="I4024">
        <v>0.79152777777777772</v>
      </c>
      <c r="J4024">
        <v>44796</v>
      </c>
    </row>
    <row r="4025" spans="1:10" x14ac:dyDescent="0.35">
      <c r="A4025" s="2">
        <v>44786</v>
      </c>
      <c r="B4025" s="3">
        <v>0.39706018518518515</v>
      </c>
      <c r="C4025">
        <v>5689</v>
      </c>
      <c r="D4025" t="str">
        <f>VLOOKUP(H4025,Produkt!$A$2:$B$5,2,FALSE)</f>
        <v>C</v>
      </c>
      <c r="H4025">
        <v>3</v>
      </c>
      <c r="I4025">
        <v>0.44546296296296295</v>
      </c>
      <c r="J4025">
        <v>44795</v>
      </c>
    </row>
    <row r="4026" spans="1:10" x14ac:dyDescent="0.35">
      <c r="A4026" s="2">
        <v>44786</v>
      </c>
      <c r="B4026" s="3">
        <v>0.40675925925925926</v>
      </c>
      <c r="C4026">
        <v>5710</v>
      </c>
      <c r="D4026" t="str">
        <f>VLOOKUP(H4026,Produkt!$A$2:$B$5,2,FALSE)</f>
        <v>A</v>
      </c>
      <c r="H4026">
        <v>1</v>
      </c>
      <c r="I4026">
        <v>0.55366898148148147</v>
      </c>
      <c r="J4026">
        <v>44789</v>
      </c>
    </row>
    <row r="4027" spans="1:10" x14ac:dyDescent="0.35">
      <c r="A4027" s="2">
        <v>44786</v>
      </c>
      <c r="B4027" s="3">
        <v>0.7620717592592593</v>
      </c>
      <c r="C4027">
        <v>5733</v>
      </c>
      <c r="D4027" t="str">
        <f>VLOOKUP(H4027,Produkt!$A$2:$B$5,2,FALSE)</f>
        <v>A</v>
      </c>
      <c r="H4027">
        <v>1</v>
      </c>
      <c r="I4027">
        <v>0.3414814814814815</v>
      </c>
      <c r="J4027">
        <v>44796</v>
      </c>
    </row>
    <row r="4028" spans="1:10" x14ac:dyDescent="0.35">
      <c r="A4028" s="2">
        <v>44786</v>
      </c>
      <c r="B4028" s="3">
        <v>2.3715277777777821E-2</v>
      </c>
      <c r="C4028">
        <v>5781</v>
      </c>
      <c r="D4028" t="str">
        <f>VLOOKUP(H4028,Produkt!$A$2:$B$5,2,FALSE)</f>
        <v>D</v>
      </c>
      <c r="H4028">
        <v>4</v>
      </c>
      <c r="I4028">
        <v>0.409212962962963</v>
      </c>
      <c r="J4028">
        <v>44789</v>
      </c>
    </row>
    <row r="4029" spans="1:10" x14ac:dyDescent="0.35">
      <c r="A4029" s="2">
        <v>44786</v>
      </c>
      <c r="B4029" s="3">
        <v>6.2615740740740736E-2</v>
      </c>
      <c r="C4029">
        <v>5821</v>
      </c>
      <c r="D4029" t="str">
        <f>VLOOKUP(H4029,Produkt!$A$2:$B$5,2,FALSE)</f>
        <v>A</v>
      </c>
      <c r="H4029">
        <v>1</v>
      </c>
      <c r="I4029">
        <v>0.17246527777777776</v>
      </c>
      <c r="J4029">
        <v>44775</v>
      </c>
    </row>
    <row r="4030" spans="1:10" x14ac:dyDescent="0.35">
      <c r="A4030" s="2">
        <v>44786</v>
      </c>
      <c r="B4030" s="3">
        <v>0.7839814814814815</v>
      </c>
      <c r="C4030">
        <v>5839</v>
      </c>
      <c r="D4030" t="str">
        <f>VLOOKUP(H4030,Produkt!$A$2:$B$5,2,FALSE)</f>
        <v>D</v>
      </c>
      <c r="H4030">
        <v>4</v>
      </c>
      <c r="I4030">
        <v>0.59474537037037034</v>
      </c>
      <c r="J4030">
        <v>44789</v>
      </c>
    </row>
    <row r="4031" spans="1:10" x14ac:dyDescent="0.35">
      <c r="A4031" s="2">
        <v>44786</v>
      </c>
      <c r="B4031" s="3">
        <v>0.63402777777777775</v>
      </c>
      <c r="C4031">
        <v>5875</v>
      </c>
      <c r="D4031" t="str">
        <f>VLOOKUP(H4031,Produkt!$A$2:$B$5,2,FALSE)</f>
        <v>A</v>
      </c>
      <c r="H4031">
        <v>1</v>
      </c>
      <c r="I4031">
        <v>0.52482638888888888</v>
      </c>
      <c r="J4031">
        <v>44803</v>
      </c>
    </row>
    <row r="4032" spans="1:10" x14ac:dyDescent="0.35">
      <c r="A4032" s="2">
        <v>44786</v>
      </c>
      <c r="B4032" s="3">
        <v>0.79192129629629626</v>
      </c>
      <c r="C4032">
        <v>5968</v>
      </c>
      <c r="D4032" t="str">
        <f>VLOOKUP(H4032,Produkt!$A$2:$B$5,2,FALSE)</f>
        <v>A</v>
      </c>
      <c r="H4032">
        <v>1</v>
      </c>
      <c r="I4032">
        <v>0.27990740740740744</v>
      </c>
      <c r="J4032">
        <v>44779</v>
      </c>
    </row>
    <row r="4033" spans="1:10" x14ac:dyDescent="0.35">
      <c r="A4033" s="2">
        <v>44786</v>
      </c>
      <c r="B4033" s="3">
        <v>0.27429398148148149</v>
      </c>
      <c r="C4033">
        <v>6020</v>
      </c>
      <c r="D4033" t="str">
        <f>VLOOKUP(H4033,Produkt!$A$2:$B$5,2,FALSE)</f>
        <v>C</v>
      </c>
      <c r="H4033">
        <v>3</v>
      </c>
      <c r="I4033">
        <v>0.53079861111111104</v>
      </c>
      <c r="J4033">
        <v>44803</v>
      </c>
    </row>
    <row r="4034" spans="1:10" x14ac:dyDescent="0.35">
      <c r="A4034" s="2">
        <v>44786</v>
      </c>
      <c r="B4034" s="3">
        <v>2.6504629629629625E-3</v>
      </c>
      <c r="C4034">
        <v>6066</v>
      </c>
      <c r="D4034" t="str">
        <f>VLOOKUP(H4034,Produkt!$A$2:$B$5,2,FALSE)</f>
        <v>B</v>
      </c>
      <c r="H4034">
        <v>2</v>
      </c>
      <c r="I4034">
        <v>0.96248842592592598</v>
      </c>
      <c r="J4034">
        <v>44804</v>
      </c>
    </row>
    <row r="4035" spans="1:10" x14ac:dyDescent="0.35">
      <c r="A4035" s="2">
        <v>44786</v>
      </c>
      <c r="B4035" s="3">
        <v>0.50471064814814814</v>
      </c>
      <c r="C4035">
        <v>6069</v>
      </c>
      <c r="D4035" t="str">
        <f>VLOOKUP(H4035,Produkt!$A$2:$B$5,2,FALSE)</f>
        <v>B</v>
      </c>
      <c r="H4035">
        <v>2</v>
      </c>
      <c r="I4035">
        <v>3.1296296296296301E-2</v>
      </c>
      <c r="J4035">
        <v>44801</v>
      </c>
    </row>
    <row r="4036" spans="1:10" x14ac:dyDescent="0.35">
      <c r="A4036" s="2">
        <v>44786</v>
      </c>
      <c r="B4036" s="3">
        <v>0.62851851851851859</v>
      </c>
      <c r="C4036">
        <v>6079</v>
      </c>
      <c r="D4036" t="str">
        <f>VLOOKUP(H4036,Produkt!$A$2:$B$5,2,FALSE)</f>
        <v>D</v>
      </c>
      <c r="H4036">
        <v>4</v>
      </c>
      <c r="I4036">
        <v>0.5718981481481481</v>
      </c>
      <c r="J4036">
        <v>44790</v>
      </c>
    </row>
    <row r="4037" spans="1:10" x14ac:dyDescent="0.35">
      <c r="A4037" s="2">
        <v>44786</v>
      </c>
      <c r="B4037" s="3">
        <v>0.9698148148148148</v>
      </c>
      <c r="C4037">
        <v>6115</v>
      </c>
      <c r="D4037" t="str">
        <f>VLOOKUP(H4037,Produkt!$A$2:$B$5,2,FALSE)</f>
        <v>D</v>
      </c>
      <c r="H4037">
        <v>4</v>
      </c>
      <c r="I4037">
        <v>0.61149305555555555</v>
      </c>
      <c r="J4037">
        <v>44776</v>
      </c>
    </row>
    <row r="4038" spans="1:10" x14ac:dyDescent="0.35">
      <c r="A4038" s="2">
        <v>44786</v>
      </c>
      <c r="B4038" s="3">
        <v>0.64234953703703701</v>
      </c>
      <c r="C4038">
        <v>6120</v>
      </c>
      <c r="D4038" t="str">
        <f>VLOOKUP(H4038,Produkt!$A$2:$B$5,2,FALSE)</f>
        <v>C</v>
      </c>
      <c r="H4038">
        <v>3</v>
      </c>
      <c r="I4038">
        <v>0.4303819444444445</v>
      </c>
      <c r="J4038">
        <v>44801</v>
      </c>
    </row>
    <row r="4039" spans="1:10" x14ac:dyDescent="0.35">
      <c r="A4039" s="2">
        <v>44786</v>
      </c>
      <c r="B4039" s="3">
        <v>0.25912037037037033</v>
      </c>
      <c r="C4039">
        <v>6177</v>
      </c>
      <c r="D4039" t="str">
        <f>VLOOKUP(H4039,Produkt!$A$2:$B$5,2,FALSE)</f>
        <v>B</v>
      </c>
      <c r="H4039">
        <v>2</v>
      </c>
      <c r="I4039">
        <v>2.3969907407407409E-2</v>
      </c>
      <c r="J4039">
        <v>44793</v>
      </c>
    </row>
    <row r="4040" spans="1:10" x14ac:dyDescent="0.35">
      <c r="A4040" s="2">
        <v>44786</v>
      </c>
      <c r="B4040" s="3">
        <v>0.37559027777777776</v>
      </c>
      <c r="C4040">
        <v>6185</v>
      </c>
      <c r="D4040" t="str">
        <f>VLOOKUP(H4040,Produkt!$A$2:$B$5,2,FALSE)</f>
        <v>C</v>
      </c>
      <c r="H4040">
        <v>3</v>
      </c>
      <c r="I4040">
        <v>0.61833333333333329</v>
      </c>
      <c r="J4040">
        <v>44790</v>
      </c>
    </row>
    <row r="4041" spans="1:10" x14ac:dyDescent="0.35">
      <c r="A4041" s="2">
        <v>44786</v>
      </c>
      <c r="B4041" s="3">
        <v>0.15753472222222223</v>
      </c>
      <c r="C4041">
        <v>6199</v>
      </c>
      <c r="D4041" t="str">
        <f>VLOOKUP(H4041,Produkt!$A$2:$B$5,2,FALSE)</f>
        <v>D</v>
      </c>
      <c r="H4041">
        <v>4</v>
      </c>
      <c r="I4041">
        <v>0.66694444444444445</v>
      </c>
      <c r="J4041">
        <v>44786</v>
      </c>
    </row>
    <row r="4042" spans="1:10" x14ac:dyDescent="0.35">
      <c r="A4042" s="2">
        <v>44786</v>
      </c>
      <c r="B4042" s="3">
        <v>0.97809027777777768</v>
      </c>
      <c r="C4042">
        <v>6338</v>
      </c>
      <c r="D4042" t="str">
        <f>VLOOKUP(H4042,Produkt!$A$2:$B$5,2,FALSE)</f>
        <v>C</v>
      </c>
      <c r="H4042">
        <v>3</v>
      </c>
      <c r="I4042">
        <v>0.47152777777777777</v>
      </c>
      <c r="J4042">
        <v>44790</v>
      </c>
    </row>
    <row r="4043" spans="1:10" x14ac:dyDescent="0.35">
      <c r="A4043" s="2">
        <v>44786</v>
      </c>
      <c r="B4043" s="3">
        <v>0.84927083333333331</v>
      </c>
      <c r="C4043">
        <v>6405</v>
      </c>
      <c r="D4043" t="str">
        <f>VLOOKUP(H4043,Produkt!$A$2:$B$5,2,FALSE)</f>
        <v>C</v>
      </c>
      <c r="H4043">
        <v>3</v>
      </c>
      <c r="I4043">
        <v>2.5624999999999998E-2</v>
      </c>
      <c r="J4043">
        <v>44800</v>
      </c>
    </row>
    <row r="4044" spans="1:10" x14ac:dyDescent="0.35">
      <c r="A4044" s="2">
        <v>44786</v>
      </c>
      <c r="B4044" s="3">
        <v>0.25908564814814816</v>
      </c>
      <c r="C4044">
        <v>6443</v>
      </c>
      <c r="D4044" t="str">
        <f>VLOOKUP(H4044,Produkt!$A$2:$B$5,2,FALSE)</f>
        <v>B</v>
      </c>
      <c r="H4044">
        <v>2</v>
      </c>
      <c r="I4044">
        <v>0.14548611111111112</v>
      </c>
      <c r="J4044">
        <v>44785</v>
      </c>
    </row>
    <row r="4045" spans="1:10" x14ac:dyDescent="0.35">
      <c r="A4045" s="2">
        <v>44786</v>
      </c>
      <c r="B4045" s="3">
        <v>0.54047453703703707</v>
      </c>
      <c r="C4045">
        <v>6458</v>
      </c>
      <c r="D4045" t="str">
        <f>VLOOKUP(H4045,Produkt!$A$2:$B$5,2,FALSE)</f>
        <v>B</v>
      </c>
      <c r="H4045">
        <v>2</v>
      </c>
      <c r="I4045">
        <v>0.37586805555555558</v>
      </c>
      <c r="J4045">
        <v>44785</v>
      </c>
    </row>
    <row r="4046" spans="1:10" x14ac:dyDescent="0.35">
      <c r="A4046" s="2">
        <v>44786</v>
      </c>
      <c r="B4046" s="3">
        <v>0.70886574074074071</v>
      </c>
      <c r="C4046">
        <v>6467</v>
      </c>
      <c r="D4046" t="str">
        <f>VLOOKUP(H4046,Produkt!$A$2:$B$5,2,FALSE)</f>
        <v>B</v>
      </c>
      <c r="H4046">
        <v>2</v>
      </c>
      <c r="I4046">
        <v>0.78590277777777784</v>
      </c>
      <c r="J4046">
        <v>44784</v>
      </c>
    </row>
    <row r="4047" spans="1:10" x14ac:dyDescent="0.35">
      <c r="A4047" s="2">
        <v>44786</v>
      </c>
      <c r="B4047" s="3">
        <v>3.3946759259259274E-2</v>
      </c>
      <c r="C4047">
        <v>6511</v>
      </c>
      <c r="D4047" t="str">
        <f>VLOOKUP(H4047,Produkt!$A$2:$B$5,2,FALSE)</f>
        <v>A</v>
      </c>
      <c r="H4047">
        <v>1</v>
      </c>
      <c r="I4047">
        <v>0.48791666666666672</v>
      </c>
      <c r="J4047">
        <v>44802</v>
      </c>
    </row>
    <row r="4048" spans="1:10" x14ac:dyDescent="0.35">
      <c r="A4048" s="2">
        <v>44786</v>
      </c>
      <c r="B4048" s="3">
        <v>3.3229166666666643E-2</v>
      </c>
      <c r="C4048">
        <v>6570</v>
      </c>
      <c r="D4048" t="str">
        <f>VLOOKUP(H4048,Produkt!$A$2:$B$5,2,FALSE)</f>
        <v>B</v>
      </c>
      <c r="H4048">
        <v>2</v>
      </c>
      <c r="I4048">
        <v>0.30913194444444442</v>
      </c>
      <c r="J4048">
        <v>44783</v>
      </c>
    </row>
    <row r="4049" spans="1:10" x14ac:dyDescent="0.35">
      <c r="A4049" s="2">
        <v>44786</v>
      </c>
      <c r="B4049" s="3">
        <v>0.32167824074074075</v>
      </c>
      <c r="C4049">
        <v>6573</v>
      </c>
      <c r="D4049" t="str">
        <f>VLOOKUP(H4049,Produkt!$A$2:$B$5,2,FALSE)</f>
        <v>A</v>
      </c>
      <c r="H4049">
        <v>1</v>
      </c>
      <c r="I4049">
        <v>0.14570601851851853</v>
      </c>
      <c r="J4049">
        <v>44774</v>
      </c>
    </row>
    <row r="4050" spans="1:10" x14ac:dyDescent="0.35">
      <c r="A4050" s="2">
        <v>44786</v>
      </c>
      <c r="B4050" s="3">
        <v>0.76508101851851851</v>
      </c>
      <c r="C4050">
        <v>6594</v>
      </c>
      <c r="D4050" t="str">
        <f>VLOOKUP(H4050,Produkt!$A$2:$B$5,2,FALSE)</f>
        <v>A</v>
      </c>
      <c r="H4050">
        <v>1</v>
      </c>
      <c r="I4050">
        <v>6.3888888888887774E-3</v>
      </c>
      <c r="J4050">
        <v>44785</v>
      </c>
    </row>
    <row r="4051" spans="1:10" x14ac:dyDescent="0.35">
      <c r="A4051" s="2">
        <v>44786</v>
      </c>
      <c r="B4051" s="3">
        <v>0.93847222222222226</v>
      </c>
      <c r="C4051">
        <v>6608</v>
      </c>
      <c r="D4051" t="str">
        <f>VLOOKUP(H4051,Produkt!$A$2:$B$5,2,FALSE)</f>
        <v>D</v>
      </c>
      <c r="H4051">
        <v>4</v>
      </c>
      <c r="I4051">
        <v>0.18489583333333334</v>
      </c>
      <c r="J4051">
        <v>44799</v>
      </c>
    </row>
    <row r="4052" spans="1:10" x14ac:dyDescent="0.35">
      <c r="A4052" s="2">
        <v>44786</v>
      </c>
      <c r="B4052" s="3">
        <v>0.39356481481481481</v>
      </c>
      <c r="C4052">
        <v>6657</v>
      </c>
      <c r="D4052" t="str">
        <f>VLOOKUP(H4052,Produkt!$A$2:$B$5,2,FALSE)</f>
        <v>C</v>
      </c>
      <c r="H4052">
        <v>3</v>
      </c>
      <c r="I4052">
        <v>3.2291666666666607E-2</v>
      </c>
      <c r="J4052">
        <v>44784</v>
      </c>
    </row>
    <row r="4053" spans="1:10" x14ac:dyDescent="0.35">
      <c r="A4053" s="2">
        <v>44786</v>
      </c>
      <c r="B4053" s="3">
        <v>0.61222222222222222</v>
      </c>
      <c r="C4053">
        <v>6705</v>
      </c>
      <c r="D4053" t="str">
        <f>VLOOKUP(H4053,Produkt!$A$2:$B$5,2,FALSE)</f>
        <v>D</v>
      </c>
      <c r="H4053">
        <v>4</v>
      </c>
      <c r="I4053">
        <v>0.34087962962962964</v>
      </c>
      <c r="J4053">
        <v>44803</v>
      </c>
    </row>
    <row r="4054" spans="1:10" x14ac:dyDescent="0.35">
      <c r="A4054" s="2">
        <v>44786</v>
      </c>
      <c r="B4054" s="3">
        <v>0.91394675925925928</v>
      </c>
      <c r="C4054">
        <v>6719</v>
      </c>
      <c r="D4054" t="str">
        <f>VLOOKUP(H4054,Produkt!$A$2:$B$5,2,FALSE)</f>
        <v>C</v>
      </c>
      <c r="H4054">
        <v>3</v>
      </c>
      <c r="I4054">
        <v>0.93671296296296302</v>
      </c>
      <c r="J4054">
        <v>44774</v>
      </c>
    </row>
    <row r="4055" spans="1:10" x14ac:dyDescent="0.35">
      <c r="A4055" s="2">
        <v>44786</v>
      </c>
      <c r="B4055" s="3">
        <v>0.77038194444444441</v>
      </c>
      <c r="C4055">
        <v>6721</v>
      </c>
      <c r="D4055" t="str">
        <f>VLOOKUP(H4055,Produkt!$A$2:$B$5,2,FALSE)</f>
        <v>A</v>
      </c>
      <c r="H4055">
        <v>1</v>
      </c>
      <c r="I4055">
        <v>0.66697916666666668</v>
      </c>
      <c r="J4055">
        <v>44785</v>
      </c>
    </row>
    <row r="4056" spans="1:10" x14ac:dyDescent="0.35">
      <c r="A4056" s="2">
        <v>44786</v>
      </c>
      <c r="B4056" s="3">
        <v>0.60965277777777771</v>
      </c>
      <c r="C4056">
        <v>6739</v>
      </c>
      <c r="D4056" t="str">
        <f>VLOOKUP(H4056,Produkt!$A$2:$B$5,2,FALSE)</f>
        <v>D</v>
      </c>
      <c r="H4056">
        <v>4</v>
      </c>
      <c r="I4056">
        <v>0.86503472222222222</v>
      </c>
      <c r="J4056">
        <v>44790</v>
      </c>
    </row>
    <row r="4057" spans="1:10" x14ac:dyDescent="0.35">
      <c r="A4057" s="2">
        <v>44786</v>
      </c>
      <c r="B4057" s="3">
        <v>0.28957175925925926</v>
      </c>
      <c r="C4057">
        <v>6744</v>
      </c>
      <c r="D4057" t="str">
        <f>VLOOKUP(H4057,Produkt!$A$2:$B$5,2,FALSE)</f>
        <v>B</v>
      </c>
      <c r="H4057">
        <v>2</v>
      </c>
      <c r="I4057">
        <v>0.21331018518518519</v>
      </c>
      <c r="J4057">
        <v>44804</v>
      </c>
    </row>
    <row r="4058" spans="1:10" x14ac:dyDescent="0.35">
      <c r="A4058" s="2">
        <v>44786</v>
      </c>
      <c r="B4058" s="3">
        <v>0.91256944444444443</v>
      </c>
      <c r="C4058">
        <v>6801</v>
      </c>
      <c r="D4058" t="str">
        <f>VLOOKUP(H4058,Produkt!$A$2:$B$5,2,FALSE)</f>
        <v>C</v>
      </c>
      <c r="H4058">
        <v>3</v>
      </c>
      <c r="I4058">
        <v>0.13766203703703703</v>
      </c>
      <c r="J4058">
        <v>44774</v>
      </c>
    </row>
    <row r="4059" spans="1:10" x14ac:dyDescent="0.35">
      <c r="A4059" s="2">
        <v>44786</v>
      </c>
      <c r="B4059" s="3">
        <v>1.6666666666666607E-2</v>
      </c>
      <c r="C4059">
        <v>6849</v>
      </c>
      <c r="D4059" t="str">
        <f>VLOOKUP(H4059,Produkt!$A$2:$B$5,2,FALSE)</f>
        <v>B</v>
      </c>
      <c r="H4059">
        <v>2</v>
      </c>
      <c r="I4059">
        <v>0.21879629629629629</v>
      </c>
      <c r="J4059">
        <v>44780</v>
      </c>
    </row>
    <row r="4060" spans="1:10" x14ac:dyDescent="0.35">
      <c r="A4060" s="2">
        <v>44786</v>
      </c>
      <c r="B4060" s="3">
        <v>8.5173611111111103E-2</v>
      </c>
      <c r="C4060">
        <v>6872</v>
      </c>
      <c r="D4060" t="str">
        <f>VLOOKUP(H4060,Produkt!$A$2:$B$5,2,FALSE)</f>
        <v>D</v>
      </c>
      <c r="H4060">
        <v>4</v>
      </c>
      <c r="I4060">
        <v>0.9186805555555555</v>
      </c>
      <c r="J4060">
        <v>44794</v>
      </c>
    </row>
    <row r="4061" spans="1:10" x14ac:dyDescent="0.35">
      <c r="A4061" s="2">
        <v>44786</v>
      </c>
      <c r="B4061" s="3">
        <v>0.86564814814814817</v>
      </c>
      <c r="C4061">
        <v>6875</v>
      </c>
      <c r="D4061" t="str">
        <f>VLOOKUP(H4061,Produkt!$A$2:$B$5,2,FALSE)</f>
        <v>D</v>
      </c>
      <c r="H4061">
        <v>4</v>
      </c>
      <c r="I4061">
        <v>0.77708333333333324</v>
      </c>
      <c r="J4061">
        <v>44798</v>
      </c>
    </row>
    <row r="4062" spans="1:10" x14ac:dyDescent="0.35">
      <c r="A4062" s="2">
        <v>44786</v>
      </c>
      <c r="B4062" s="3">
        <v>0.79375000000000007</v>
      </c>
      <c r="C4062">
        <v>6880</v>
      </c>
      <c r="D4062" t="str">
        <f>VLOOKUP(H4062,Produkt!$A$2:$B$5,2,FALSE)</f>
        <v>B</v>
      </c>
      <c r="H4062">
        <v>2</v>
      </c>
      <c r="I4062">
        <v>0.85902777777777783</v>
      </c>
      <c r="J4062">
        <v>44785</v>
      </c>
    </row>
    <row r="4063" spans="1:10" x14ac:dyDescent="0.35">
      <c r="A4063" s="2">
        <v>44786</v>
      </c>
      <c r="B4063" s="3">
        <v>0.11232638888888889</v>
      </c>
      <c r="C4063">
        <v>7013</v>
      </c>
      <c r="D4063" t="str">
        <f>VLOOKUP(H4063,Produkt!$A$2:$B$5,2,FALSE)</f>
        <v>A</v>
      </c>
      <c r="H4063">
        <v>1</v>
      </c>
      <c r="I4063">
        <v>0.23706018518518521</v>
      </c>
      <c r="J4063">
        <v>44780</v>
      </c>
    </row>
    <row r="4064" spans="1:10" x14ac:dyDescent="0.35">
      <c r="A4064" s="2">
        <v>44786</v>
      </c>
      <c r="B4064" s="3">
        <v>0.54526620370370371</v>
      </c>
      <c r="C4064">
        <v>7015</v>
      </c>
      <c r="D4064" t="str">
        <f>VLOOKUP(H4064,Produkt!$A$2:$B$5,2,FALSE)</f>
        <v>C</v>
      </c>
      <c r="H4064">
        <v>3</v>
      </c>
      <c r="I4064">
        <v>0.86434027777777767</v>
      </c>
      <c r="J4064">
        <v>44790</v>
      </c>
    </row>
    <row r="4065" spans="1:10" x14ac:dyDescent="0.35">
      <c r="A4065" s="2">
        <v>44786</v>
      </c>
      <c r="B4065" s="3">
        <v>3.9328703703703782E-2</v>
      </c>
      <c r="C4065">
        <v>7033</v>
      </c>
      <c r="D4065" t="str">
        <f>VLOOKUP(H4065,Produkt!$A$2:$B$5,2,FALSE)</f>
        <v>D</v>
      </c>
      <c r="H4065">
        <v>4</v>
      </c>
      <c r="I4065">
        <v>0.28262731481481479</v>
      </c>
      <c r="J4065">
        <v>44804</v>
      </c>
    </row>
    <row r="4066" spans="1:10" x14ac:dyDescent="0.35">
      <c r="A4066" s="2">
        <v>44786</v>
      </c>
      <c r="B4066" s="3">
        <v>0.82767361111111104</v>
      </c>
      <c r="C4066">
        <v>7043</v>
      </c>
      <c r="D4066" t="str">
        <f>VLOOKUP(H4066,Produkt!$A$2:$B$5,2,FALSE)</f>
        <v>B</v>
      </c>
      <c r="H4066">
        <v>2</v>
      </c>
      <c r="I4066">
        <v>9.9768518518519311E-3</v>
      </c>
      <c r="J4066">
        <v>44781</v>
      </c>
    </row>
    <row r="4067" spans="1:10" x14ac:dyDescent="0.35">
      <c r="A4067" s="2">
        <v>44786</v>
      </c>
      <c r="B4067" s="3">
        <v>0.46015046296296297</v>
      </c>
      <c r="C4067">
        <v>7044</v>
      </c>
      <c r="D4067" t="str">
        <f>VLOOKUP(H4067,Produkt!$A$2:$B$5,2,FALSE)</f>
        <v>A</v>
      </c>
      <c r="H4067">
        <v>1</v>
      </c>
      <c r="I4067">
        <v>0.92975694444444434</v>
      </c>
      <c r="J4067">
        <v>44795</v>
      </c>
    </row>
    <row r="4068" spans="1:10" x14ac:dyDescent="0.35">
      <c r="A4068" s="2">
        <v>44786</v>
      </c>
      <c r="B4068" s="3">
        <v>0.62410879629629623</v>
      </c>
      <c r="C4068">
        <v>7064</v>
      </c>
      <c r="D4068" t="str">
        <f>VLOOKUP(H4068,Produkt!$A$2:$B$5,2,FALSE)</f>
        <v>A</v>
      </c>
      <c r="H4068">
        <v>1</v>
      </c>
      <c r="I4068">
        <v>0.90957175925925926</v>
      </c>
      <c r="J4068">
        <v>44787</v>
      </c>
    </row>
    <row r="4069" spans="1:10" x14ac:dyDescent="0.35">
      <c r="A4069" s="2">
        <v>44786</v>
      </c>
      <c r="B4069" s="3">
        <v>0.61140046296296291</v>
      </c>
      <c r="C4069">
        <v>7091</v>
      </c>
      <c r="D4069" t="str">
        <f>VLOOKUP(H4069,Produkt!$A$2:$B$5,2,FALSE)</f>
        <v>C</v>
      </c>
      <c r="H4069">
        <v>3</v>
      </c>
      <c r="I4069">
        <v>0.21030092592592595</v>
      </c>
      <c r="J4069">
        <v>44791</v>
      </c>
    </row>
    <row r="4070" spans="1:10" x14ac:dyDescent="0.35">
      <c r="A4070" s="2">
        <v>44786</v>
      </c>
      <c r="B4070" s="3">
        <v>0.98842592592592593</v>
      </c>
      <c r="C4070">
        <v>7101</v>
      </c>
      <c r="D4070" t="str">
        <f>VLOOKUP(H4070,Produkt!$A$2:$B$5,2,FALSE)</f>
        <v>B</v>
      </c>
      <c r="H4070">
        <v>2</v>
      </c>
      <c r="I4070">
        <v>0.94016203703703705</v>
      </c>
      <c r="J4070">
        <v>44802</v>
      </c>
    </row>
    <row r="4071" spans="1:10" x14ac:dyDescent="0.35">
      <c r="A4071" s="2">
        <v>44786</v>
      </c>
      <c r="B4071" s="3">
        <v>0.16636574074074076</v>
      </c>
      <c r="C4071">
        <v>7138</v>
      </c>
      <c r="D4071" t="str">
        <f>VLOOKUP(H4071,Produkt!$A$2:$B$5,2,FALSE)</f>
        <v>D</v>
      </c>
      <c r="H4071">
        <v>4</v>
      </c>
      <c r="I4071">
        <v>0.37504629629629632</v>
      </c>
      <c r="J4071">
        <v>44798</v>
      </c>
    </row>
    <row r="4072" spans="1:10" x14ac:dyDescent="0.35">
      <c r="A4072" s="2">
        <v>44786</v>
      </c>
      <c r="B4072" s="3">
        <v>0.61113425925925924</v>
      </c>
      <c r="C4072">
        <v>7164</v>
      </c>
      <c r="D4072" t="str">
        <f>VLOOKUP(H4072,Produkt!$A$2:$B$5,2,FALSE)</f>
        <v>C</v>
      </c>
      <c r="H4072">
        <v>3</v>
      </c>
      <c r="I4072">
        <v>0.35969907407407403</v>
      </c>
      <c r="J4072">
        <v>44790</v>
      </c>
    </row>
    <row r="4073" spans="1:10" x14ac:dyDescent="0.35">
      <c r="A4073" s="2">
        <v>44786</v>
      </c>
      <c r="B4073" s="3">
        <v>0.72459490740740751</v>
      </c>
      <c r="C4073">
        <v>7173</v>
      </c>
      <c r="D4073" t="str">
        <f>VLOOKUP(H4073,Produkt!$A$2:$B$5,2,FALSE)</f>
        <v>C</v>
      </c>
      <c r="H4073">
        <v>3</v>
      </c>
      <c r="I4073">
        <v>0.1529513888888889</v>
      </c>
      <c r="J4073">
        <v>44790</v>
      </c>
    </row>
    <row r="4074" spans="1:10" x14ac:dyDescent="0.35">
      <c r="A4074" s="2">
        <v>44786</v>
      </c>
      <c r="B4074" s="3">
        <v>0.27046296296296296</v>
      </c>
      <c r="C4074">
        <v>7249</v>
      </c>
      <c r="D4074" t="str">
        <f>VLOOKUP(H4074,Produkt!$A$2:$B$5,2,FALSE)</f>
        <v>A</v>
      </c>
      <c r="H4074">
        <v>1</v>
      </c>
      <c r="I4074">
        <v>0.37101851851851847</v>
      </c>
      <c r="J4074">
        <v>44782</v>
      </c>
    </row>
    <row r="4075" spans="1:10" x14ac:dyDescent="0.35">
      <c r="A4075" s="2">
        <v>44786</v>
      </c>
      <c r="B4075" s="3">
        <v>0.62718750000000001</v>
      </c>
      <c r="C4075">
        <v>7313</v>
      </c>
      <c r="D4075" t="str">
        <f>VLOOKUP(H4075,Produkt!$A$2:$B$5,2,FALSE)</f>
        <v>C</v>
      </c>
      <c r="H4075">
        <v>3</v>
      </c>
      <c r="I4075">
        <v>0.40222222222222226</v>
      </c>
      <c r="J4075">
        <v>44785</v>
      </c>
    </row>
    <row r="4076" spans="1:10" x14ac:dyDescent="0.35">
      <c r="A4076" s="2">
        <v>44786</v>
      </c>
      <c r="B4076" s="3">
        <v>4.0509259259269292E-4</v>
      </c>
      <c r="C4076">
        <v>7350</v>
      </c>
      <c r="D4076" t="str">
        <f>VLOOKUP(H4076,Produkt!$A$2:$B$5,2,FALSE)</f>
        <v>C</v>
      </c>
      <c r="H4076">
        <v>3</v>
      </c>
      <c r="I4076">
        <v>0.96339120370370368</v>
      </c>
      <c r="J4076">
        <v>44794</v>
      </c>
    </row>
    <row r="4077" spans="1:10" x14ac:dyDescent="0.35">
      <c r="A4077" s="2">
        <v>44786</v>
      </c>
      <c r="B4077" s="3">
        <v>0.59232638888888889</v>
      </c>
      <c r="C4077">
        <v>7453</v>
      </c>
      <c r="D4077" t="str">
        <f>VLOOKUP(H4077,Produkt!$A$2:$B$5,2,FALSE)</f>
        <v>D</v>
      </c>
      <c r="H4077">
        <v>4</v>
      </c>
      <c r="I4077">
        <v>0.25248842592592591</v>
      </c>
      <c r="J4077">
        <v>44785</v>
      </c>
    </row>
    <row r="4078" spans="1:10" x14ac:dyDescent="0.35">
      <c r="A4078" s="2">
        <v>44786</v>
      </c>
      <c r="B4078" s="3">
        <v>0.88256944444444452</v>
      </c>
      <c r="C4078">
        <v>7470</v>
      </c>
      <c r="D4078" t="str">
        <f>VLOOKUP(H4078,Produkt!$A$2:$B$5,2,FALSE)</f>
        <v>B</v>
      </c>
      <c r="H4078">
        <v>2</v>
      </c>
      <c r="I4078">
        <v>0.65668981481481481</v>
      </c>
      <c r="J4078">
        <v>44782</v>
      </c>
    </row>
    <row r="4079" spans="1:10" x14ac:dyDescent="0.35">
      <c r="A4079" s="2">
        <v>44786</v>
      </c>
      <c r="B4079" s="3">
        <v>0.93756944444444434</v>
      </c>
      <c r="C4079">
        <v>7479</v>
      </c>
      <c r="D4079" t="str">
        <f>VLOOKUP(H4079,Produkt!$A$2:$B$5,2,FALSE)</f>
        <v>B</v>
      </c>
      <c r="H4079">
        <v>2</v>
      </c>
      <c r="I4079">
        <v>0.88424768518518515</v>
      </c>
      <c r="J4079">
        <v>44791</v>
      </c>
    </row>
    <row r="4080" spans="1:10" x14ac:dyDescent="0.35">
      <c r="A4080" s="2">
        <v>44786</v>
      </c>
      <c r="B4080" s="3">
        <v>0.65138888888888891</v>
      </c>
      <c r="C4080">
        <v>7508</v>
      </c>
      <c r="D4080" t="str">
        <f>VLOOKUP(H4080,Produkt!$A$2:$B$5,2,FALSE)</f>
        <v>B</v>
      </c>
      <c r="H4080">
        <v>2</v>
      </c>
      <c r="I4080">
        <v>0.39045138888888892</v>
      </c>
      <c r="J4080">
        <v>44799</v>
      </c>
    </row>
    <row r="4081" spans="1:10" x14ac:dyDescent="0.35">
      <c r="A4081" s="2">
        <v>44786</v>
      </c>
      <c r="B4081" s="3">
        <v>0.71587962962962959</v>
      </c>
      <c r="C4081">
        <v>7542</v>
      </c>
      <c r="D4081" t="str">
        <f>VLOOKUP(H4081,Produkt!$A$2:$B$5,2,FALSE)</f>
        <v>D</v>
      </c>
      <c r="H4081">
        <v>4</v>
      </c>
      <c r="I4081">
        <v>0.45878472222222227</v>
      </c>
      <c r="J4081">
        <v>44788</v>
      </c>
    </row>
    <row r="4082" spans="1:10" x14ac:dyDescent="0.35">
      <c r="A4082" s="2">
        <v>44786</v>
      </c>
      <c r="B4082" s="3">
        <v>0.86298611111111112</v>
      </c>
      <c r="C4082">
        <v>7589</v>
      </c>
      <c r="D4082" t="str">
        <f>VLOOKUP(H4082,Produkt!$A$2:$B$5,2,FALSE)</f>
        <v>C</v>
      </c>
      <c r="H4082">
        <v>3</v>
      </c>
      <c r="I4082">
        <v>0.3740046296296296</v>
      </c>
      <c r="J4082">
        <v>44780</v>
      </c>
    </row>
    <row r="4083" spans="1:10" x14ac:dyDescent="0.35">
      <c r="A4083" s="2">
        <v>44786</v>
      </c>
      <c r="B4083" s="3">
        <v>0.22420138888888888</v>
      </c>
      <c r="C4083">
        <v>7630</v>
      </c>
      <c r="D4083" t="str">
        <f>VLOOKUP(H4083,Produkt!$A$2:$B$5,2,FALSE)</f>
        <v>D</v>
      </c>
      <c r="H4083">
        <v>4</v>
      </c>
      <c r="I4083">
        <v>0.5773611111111111</v>
      </c>
      <c r="J4083">
        <v>44778</v>
      </c>
    </row>
    <row r="4084" spans="1:10" x14ac:dyDescent="0.35">
      <c r="A4084" s="2">
        <v>44786</v>
      </c>
      <c r="B4084" s="3">
        <v>0.53188657407407403</v>
      </c>
      <c r="C4084">
        <v>7657</v>
      </c>
      <c r="D4084" t="str">
        <f>VLOOKUP(H4084,Produkt!$A$2:$B$5,2,FALSE)</f>
        <v>D</v>
      </c>
      <c r="H4084">
        <v>4</v>
      </c>
      <c r="I4084">
        <v>0.75027777777777782</v>
      </c>
      <c r="J4084">
        <v>44790</v>
      </c>
    </row>
    <row r="4085" spans="1:10" x14ac:dyDescent="0.35">
      <c r="A4085" s="2">
        <v>44786</v>
      </c>
      <c r="B4085" s="3">
        <v>0.5860995370370371</v>
      </c>
      <c r="C4085">
        <v>7702</v>
      </c>
      <c r="D4085" t="str">
        <f>VLOOKUP(H4085,Produkt!$A$2:$B$5,2,FALSE)</f>
        <v>B</v>
      </c>
      <c r="H4085">
        <v>2</v>
      </c>
      <c r="I4085">
        <v>0.96054398148148146</v>
      </c>
      <c r="J4085">
        <v>44796</v>
      </c>
    </row>
    <row r="4086" spans="1:10" x14ac:dyDescent="0.35">
      <c r="A4086" s="2">
        <v>44786</v>
      </c>
      <c r="B4086" s="3">
        <v>0.99478009259259259</v>
      </c>
      <c r="C4086">
        <v>7838</v>
      </c>
      <c r="D4086" t="str">
        <f>VLOOKUP(H4086,Produkt!$A$2:$B$5,2,FALSE)</f>
        <v>B</v>
      </c>
      <c r="H4086">
        <v>2</v>
      </c>
      <c r="I4086">
        <v>0.92642361111111116</v>
      </c>
      <c r="J4086">
        <v>44795</v>
      </c>
    </row>
    <row r="4087" spans="1:10" x14ac:dyDescent="0.35">
      <c r="A4087" s="2">
        <v>44786</v>
      </c>
      <c r="B4087" s="3">
        <v>0.44124999999999998</v>
      </c>
      <c r="C4087">
        <v>7860</v>
      </c>
      <c r="D4087" t="str">
        <f>VLOOKUP(H4087,Produkt!$A$2:$B$5,2,FALSE)</f>
        <v>D</v>
      </c>
      <c r="H4087">
        <v>4</v>
      </c>
      <c r="I4087">
        <v>0.7559837962962962</v>
      </c>
      <c r="J4087">
        <v>44799</v>
      </c>
    </row>
    <row r="4088" spans="1:10" x14ac:dyDescent="0.35">
      <c r="A4088" s="2">
        <v>44786</v>
      </c>
      <c r="B4088" s="3">
        <v>0.59370370370370373</v>
      </c>
      <c r="C4088">
        <v>7888</v>
      </c>
      <c r="D4088" t="str">
        <f>VLOOKUP(H4088,Produkt!$A$2:$B$5,2,FALSE)</f>
        <v>B</v>
      </c>
      <c r="H4088">
        <v>2</v>
      </c>
      <c r="I4088">
        <v>0.21056712962962965</v>
      </c>
      <c r="J4088">
        <v>44789</v>
      </c>
    </row>
    <row r="4089" spans="1:10" x14ac:dyDescent="0.35">
      <c r="A4089" s="2">
        <v>44786</v>
      </c>
      <c r="B4089" s="3">
        <v>7.314814814814774E-3</v>
      </c>
      <c r="C4089">
        <v>7907</v>
      </c>
      <c r="D4089" t="str">
        <f>VLOOKUP(H4089,Produkt!$A$2:$B$5,2,FALSE)</f>
        <v>C</v>
      </c>
      <c r="H4089">
        <v>3</v>
      </c>
      <c r="I4089">
        <v>0.22410879629629629</v>
      </c>
      <c r="J4089">
        <v>44787</v>
      </c>
    </row>
    <row r="4090" spans="1:10" x14ac:dyDescent="0.35">
      <c r="A4090" s="2">
        <v>44786</v>
      </c>
      <c r="B4090" s="3">
        <v>0.25975694444444447</v>
      </c>
      <c r="C4090">
        <v>7925</v>
      </c>
      <c r="D4090" t="str">
        <f>VLOOKUP(H4090,Produkt!$A$2:$B$5,2,FALSE)</f>
        <v>B</v>
      </c>
      <c r="H4090">
        <v>2</v>
      </c>
      <c r="I4090">
        <v>0.97315972222222225</v>
      </c>
      <c r="J4090">
        <v>44792</v>
      </c>
    </row>
    <row r="4091" spans="1:10" x14ac:dyDescent="0.35">
      <c r="A4091" s="2">
        <v>44786</v>
      </c>
      <c r="B4091" s="3">
        <v>0.65665509259259258</v>
      </c>
      <c r="C4091">
        <v>7935</v>
      </c>
      <c r="D4091" t="str">
        <f>VLOOKUP(H4091,Produkt!$A$2:$B$5,2,FALSE)</f>
        <v>D</v>
      </c>
      <c r="H4091">
        <v>4</v>
      </c>
      <c r="I4091">
        <v>0.25412037037037039</v>
      </c>
      <c r="J4091">
        <v>44788</v>
      </c>
    </row>
    <row r="4092" spans="1:10" x14ac:dyDescent="0.35">
      <c r="A4092" s="2">
        <v>44786</v>
      </c>
      <c r="B4092" s="3">
        <v>0.61496527777777776</v>
      </c>
      <c r="C4092">
        <v>7939</v>
      </c>
      <c r="D4092" t="str">
        <f>VLOOKUP(H4092,Produkt!$A$2:$B$5,2,FALSE)</f>
        <v>B</v>
      </c>
      <c r="H4092">
        <v>2</v>
      </c>
      <c r="I4092">
        <v>0.37156250000000002</v>
      </c>
      <c r="J4092">
        <v>44774</v>
      </c>
    </row>
    <row r="4093" spans="1:10" x14ac:dyDescent="0.35">
      <c r="A4093" s="2">
        <v>44786</v>
      </c>
      <c r="B4093" s="3">
        <v>4.9618055555555561E-2</v>
      </c>
      <c r="C4093">
        <v>7941</v>
      </c>
      <c r="D4093" t="str">
        <f>VLOOKUP(H4093,Produkt!$A$2:$B$5,2,FALSE)</f>
        <v>D</v>
      </c>
      <c r="H4093">
        <v>4</v>
      </c>
      <c r="I4093">
        <v>0.75491898148148151</v>
      </c>
      <c r="J4093">
        <v>44782</v>
      </c>
    </row>
    <row r="4094" spans="1:10" x14ac:dyDescent="0.35">
      <c r="A4094" s="2">
        <v>44786</v>
      </c>
      <c r="B4094" s="3">
        <v>5.6296296296296296E-2</v>
      </c>
      <c r="C4094">
        <v>8005</v>
      </c>
      <c r="D4094" t="str">
        <f>VLOOKUP(H4094,Produkt!$A$2:$B$5,2,FALSE)</f>
        <v>C</v>
      </c>
      <c r="H4094">
        <v>3</v>
      </c>
      <c r="I4094">
        <v>0.31153935185185183</v>
      </c>
      <c r="J4094">
        <v>44775</v>
      </c>
    </row>
    <row r="4095" spans="1:10" x14ac:dyDescent="0.35">
      <c r="A4095" s="2">
        <v>44786</v>
      </c>
      <c r="B4095" s="3">
        <v>0.31864583333333335</v>
      </c>
      <c r="C4095">
        <v>8024</v>
      </c>
      <c r="D4095" t="str">
        <f>VLOOKUP(H4095,Produkt!$A$2:$B$5,2,FALSE)</f>
        <v>B</v>
      </c>
      <c r="H4095">
        <v>2</v>
      </c>
      <c r="I4095">
        <v>0.92108796296296302</v>
      </c>
      <c r="J4095">
        <v>44800</v>
      </c>
    </row>
    <row r="4096" spans="1:10" x14ac:dyDescent="0.35">
      <c r="A4096" s="2">
        <v>44786</v>
      </c>
      <c r="B4096" s="3">
        <v>0.2928472222222222</v>
      </c>
      <c r="C4096">
        <v>8062</v>
      </c>
      <c r="D4096" t="str">
        <f>VLOOKUP(H4096,Produkt!$A$2:$B$5,2,FALSE)</f>
        <v>B</v>
      </c>
      <c r="H4096">
        <v>2</v>
      </c>
      <c r="I4096">
        <v>0.46914351851851849</v>
      </c>
      <c r="J4096">
        <v>44804</v>
      </c>
    </row>
    <row r="4097" spans="1:10" x14ac:dyDescent="0.35">
      <c r="A4097" s="2">
        <v>44786</v>
      </c>
      <c r="B4097" s="3">
        <v>0.61927083333333333</v>
      </c>
      <c r="C4097">
        <v>8064</v>
      </c>
      <c r="D4097" t="str">
        <f>VLOOKUP(H4097,Produkt!$A$2:$B$5,2,FALSE)</f>
        <v>A</v>
      </c>
      <c r="H4097">
        <v>1</v>
      </c>
      <c r="I4097">
        <v>0.72880787037037031</v>
      </c>
      <c r="J4097">
        <v>44793</v>
      </c>
    </row>
    <row r="4098" spans="1:10" x14ac:dyDescent="0.35">
      <c r="A4098" s="2">
        <v>44786</v>
      </c>
      <c r="B4098" s="3">
        <v>0.39096064814814818</v>
      </c>
      <c r="C4098">
        <v>8068</v>
      </c>
      <c r="D4098" t="str">
        <f>VLOOKUP(H4098,Produkt!$A$2:$B$5,2,FALSE)</f>
        <v>B</v>
      </c>
      <c r="H4098">
        <v>2</v>
      </c>
      <c r="I4098">
        <v>0.79480324074074071</v>
      </c>
      <c r="J4098">
        <v>44788</v>
      </c>
    </row>
    <row r="4099" spans="1:10" x14ac:dyDescent="0.35">
      <c r="A4099" s="2">
        <v>44786</v>
      </c>
      <c r="B4099" s="3">
        <v>0.64487268518518526</v>
      </c>
      <c r="C4099">
        <v>8151</v>
      </c>
      <c r="D4099" t="str">
        <f>VLOOKUP(H4099,Produkt!$A$2:$B$5,2,FALSE)</f>
        <v>A</v>
      </c>
      <c r="H4099">
        <v>1</v>
      </c>
      <c r="I4099">
        <v>0.67267361111111112</v>
      </c>
      <c r="J4099">
        <v>44774</v>
      </c>
    </row>
    <row r="4100" spans="1:10" x14ac:dyDescent="0.35">
      <c r="A4100" s="2">
        <v>44786</v>
      </c>
      <c r="B4100" s="3">
        <v>0.51175925925925925</v>
      </c>
      <c r="C4100">
        <v>8225</v>
      </c>
      <c r="D4100" t="str">
        <f>VLOOKUP(H4100,Produkt!$A$2:$B$5,2,FALSE)</f>
        <v>A</v>
      </c>
      <c r="H4100">
        <v>1</v>
      </c>
      <c r="I4100">
        <v>0.41729166666666667</v>
      </c>
      <c r="J4100">
        <v>44783</v>
      </c>
    </row>
    <row r="4101" spans="1:10" x14ac:dyDescent="0.35">
      <c r="A4101" s="2">
        <v>44786</v>
      </c>
      <c r="B4101" s="3">
        <v>0.40251157407407406</v>
      </c>
      <c r="C4101">
        <v>8227</v>
      </c>
      <c r="D4101" t="str">
        <f>VLOOKUP(H4101,Produkt!$A$2:$B$5,2,FALSE)</f>
        <v>C</v>
      </c>
      <c r="H4101">
        <v>3</v>
      </c>
      <c r="I4101">
        <v>7.3715277777777768E-2</v>
      </c>
      <c r="J4101">
        <v>44799</v>
      </c>
    </row>
    <row r="4102" spans="1:10" x14ac:dyDescent="0.35">
      <c r="A4102" s="2">
        <v>44786</v>
      </c>
      <c r="B4102" s="3">
        <v>0.41038194444444448</v>
      </c>
      <c r="C4102">
        <v>8238</v>
      </c>
      <c r="D4102" t="str">
        <f>VLOOKUP(H4102,Produkt!$A$2:$B$5,2,FALSE)</f>
        <v>B</v>
      </c>
      <c r="H4102">
        <v>2</v>
      </c>
      <c r="I4102">
        <v>0.6088541666666667</v>
      </c>
      <c r="J4102">
        <v>44796</v>
      </c>
    </row>
    <row r="4103" spans="1:10" x14ac:dyDescent="0.35">
      <c r="A4103" s="2">
        <v>44786</v>
      </c>
      <c r="B4103" s="3">
        <v>0.43024305555555559</v>
      </c>
      <c r="C4103">
        <v>8257</v>
      </c>
      <c r="D4103" t="str">
        <f>VLOOKUP(H4103,Produkt!$A$2:$B$5,2,FALSE)</f>
        <v>B</v>
      </c>
      <c r="H4103">
        <v>2</v>
      </c>
      <c r="I4103">
        <v>0.19521990740740738</v>
      </c>
      <c r="J4103">
        <v>44788</v>
      </c>
    </row>
    <row r="4104" spans="1:10" x14ac:dyDescent="0.35">
      <c r="A4104" s="2">
        <v>44786</v>
      </c>
      <c r="B4104" s="3">
        <v>1.4386574074074066E-2</v>
      </c>
      <c r="C4104">
        <v>8269</v>
      </c>
      <c r="D4104" t="str">
        <f>VLOOKUP(H4104,Produkt!$A$2:$B$5,2,FALSE)</f>
        <v>A</v>
      </c>
      <c r="H4104">
        <v>1</v>
      </c>
      <c r="I4104">
        <v>0.64649305555555558</v>
      </c>
      <c r="J4104">
        <v>44776</v>
      </c>
    </row>
    <row r="4105" spans="1:10" x14ac:dyDescent="0.35">
      <c r="A4105" s="2">
        <v>44786</v>
      </c>
      <c r="B4105" s="3">
        <v>0.42631944444444447</v>
      </c>
      <c r="C4105">
        <v>8298</v>
      </c>
      <c r="D4105" t="str">
        <f>VLOOKUP(H4105,Produkt!$A$2:$B$5,2,FALSE)</f>
        <v>D</v>
      </c>
      <c r="H4105">
        <v>4</v>
      </c>
      <c r="I4105">
        <v>0.98708333333333342</v>
      </c>
      <c r="J4105">
        <v>44778</v>
      </c>
    </row>
    <row r="4106" spans="1:10" x14ac:dyDescent="0.35">
      <c r="A4106" s="2">
        <v>44786</v>
      </c>
      <c r="B4106" s="3">
        <v>0.3946527777777778</v>
      </c>
      <c r="C4106">
        <v>8345</v>
      </c>
      <c r="D4106" t="str">
        <f>VLOOKUP(H4106,Produkt!$A$2:$B$5,2,FALSE)</f>
        <v>C</v>
      </c>
      <c r="H4106">
        <v>3</v>
      </c>
      <c r="I4106">
        <v>0.55888888888888888</v>
      </c>
      <c r="J4106">
        <v>44794</v>
      </c>
    </row>
    <row r="4107" spans="1:10" x14ac:dyDescent="0.35">
      <c r="A4107" s="2">
        <v>44786</v>
      </c>
      <c r="B4107" s="3">
        <v>0.42748842592592595</v>
      </c>
      <c r="C4107">
        <v>8355</v>
      </c>
      <c r="D4107" t="str">
        <f>VLOOKUP(H4107,Produkt!$A$2:$B$5,2,FALSE)</f>
        <v>C</v>
      </c>
      <c r="H4107">
        <v>3</v>
      </c>
      <c r="I4107">
        <v>0.9234606481481481</v>
      </c>
      <c r="J4107">
        <v>44800</v>
      </c>
    </row>
    <row r="4108" spans="1:10" x14ac:dyDescent="0.35">
      <c r="A4108" s="2">
        <v>44786</v>
      </c>
      <c r="B4108" s="3">
        <v>0.79114583333333333</v>
      </c>
      <c r="C4108">
        <v>8362</v>
      </c>
      <c r="D4108" t="str">
        <f>VLOOKUP(H4108,Produkt!$A$2:$B$5,2,FALSE)</f>
        <v>B</v>
      </c>
      <c r="H4108">
        <v>2</v>
      </c>
      <c r="I4108">
        <v>8.2361111111111107E-2</v>
      </c>
      <c r="J4108">
        <v>44783</v>
      </c>
    </row>
    <row r="4109" spans="1:10" x14ac:dyDescent="0.35">
      <c r="A4109" s="2">
        <v>44786</v>
      </c>
      <c r="B4109" s="3">
        <v>0.84089120370370374</v>
      </c>
      <c r="C4109">
        <v>8388</v>
      </c>
      <c r="D4109" t="str">
        <f>VLOOKUP(H4109,Produkt!$A$2:$B$5,2,FALSE)</f>
        <v>C</v>
      </c>
      <c r="H4109">
        <v>3</v>
      </c>
      <c r="I4109">
        <v>0.88282407407407415</v>
      </c>
      <c r="J4109">
        <v>44779</v>
      </c>
    </row>
    <row r="4110" spans="1:10" x14ac:dyDescent="0.35">
      <c r="A4110" s="2">
        <v>44786</v>
      </c>
      <c r="B4110" s="3">
        <v>0.20491898148148149</v>
      </c>
      <c r="C4110">
        <v>8406</v>
      </c>
      <c r="D4110" t="str">
        <f>VLOOKUP(H4110,Produkt!$A$2:$B$5,2,FALSE)</f>
        <v>D</v>
      </c>
      <c r="H4110">
        <v>4</v>
      </c>
      <c r="I4110">
        <v>0.76729166666666659</v>
      </c>
      <c r="J4110">
        <v>44783</v>
      </c>
    </row>
    <row r="4111" spans="1:10" x14ac:dyDescent="0.35">
      <c r="A4111" s="2">
        <v>44786</v>
      </c>
      <c r="B4111" s="3">
        <v>0.73321759259259256</v>
      </c>
      <c r="C4111">
        <v>8417</v>
      </c>
      <c r="D4111" t="str">
        <f>VLOOKUP(H4111,Produkt!$A$2:$B$5,2,FALSE)</f>
        <v>D</v>
      </c>
      <c r="H4111">
        <v>4</v>
      </c>
      <c r="I4111">
        <v>0.37859953703703703</v>
      </c>
      <c r="J4111">
        <v>44794</v>
      </c>
    </row>
    <row r="4112" spans="1:10" x14ac:dyDescent="0.35">
      <c r="A4112" s="2">
        <v>44786</v>
      </c>
      <c r="B4112" s="3">
        <v>1.525462962962963E-2</v>
      </c>
      <c r="C4112">
        <v>8420</v>
      </c>
      <c r="D4112" t="str">
        <f>VLOOKUP(H4112,Produkt!$A$2:$B$5,2,FALSE)</f>
        <v>B</v>
      </c>
      <c r="H4112">
        <v>2</v>
      </c>
      <c r="I4112">
        <v>0.65674768518518511</v>
      </c>
      <c r="J4112">
        <v>44776</v>
      </c>
    </row>
    <row r="4113" spans="1:10" x14ac:dyDescent="0.35">
      <c r="A4113" s="2">
        <v>44786</v>
      </c>
      <c r="B4113" s="3">
        <v>0.86325231481481479</v>
      </c>
      <c r="C4113">
        <v>8434</v>
      </c>
      <c r="D4113" t="str">
        <f>VLOOKUP(H4113,Produkt!$A$2:$B$5,2,FALSE)</f>
        <v>B</v>
      </c>
      <c r="H4113">
        <v>2</v>
      </c>
      <c r="I4113">
        <v>0.87950231481481478</v>
      </c>
      <c r="J4113">
        <v>44775</v>
      </c>
    </row>
    <row r="4114" spans="1:10" x14ac:dyDescent="0.35">
      <c r="A4114" s="2">
        <v>44786</v>
      </c>
      <c r="B4114" s="3">
        <v>5.8622685185185187E-2</v>
      </c>
      <c r="C4114">
        <v>8447</v>
      </c>
      <c r="D4114" t="str">
        <f>VLOOKUP(H4114,Produkt!$A$2:$B$5,2,FALSE)</f>
        <v>A</v>
      </c>
      <c r="H4114">
        <v>1</v>
      </c>
      <c r="I4114">
        <v>0.62267361111111108</v>
      </c>
      <c r="J4114">
        <v>44797</v>
      </c>
    </row>
    <row r="4115" spans="1:10" x14ac:dyDescent="0.35">
      <c r="A4115" s="2">
        <v>44786</v>
      </c>
      <c r="B4115" s="3">
        <v>0.42809027777777775</v>
      </c>
      <c r="C4115">
        <v>8491</v>
      </c>
      <c r="D4115" t="str">
        <f>VLOOKUP(H4115,Produkt!$A$2:$B$5,2,FALSE)</f>
        <v>B</v>
      </c>
      <c r="H4115">
        <v>2</v>
      </c>
      <c r="I4115">
        <v>3.7280092592592462E-2</v>
      </c>
      <c r="J4115">
        <v>44803</v>
      </c>
    </row>
    <row r="4116" spans="1:10" x14ac:dyDescent="0.35">
      <c r="A4116" s="2">
        <v>44786</v>
      </c>
      <c r="B4116" s="3">
        <v>0.90356481481481488</v>
      </c>
      <c r="C4116">
        <v>8502</v>
      </c>
      <c r="D4116" t="str">
        <f>VLOOKUP(H4116,Produkt!$A$2:$B$5,2,FALSE)</f>
        <v>D</v>
      </c>
      <c r="H4116">
        <v>4</v>
      </c>
      <c r="I4116">
        <v>0.42959490740740741</v>
      </c>
      <c r="J4116">
        <v>44794</v>
      </c>
    </row>
    <row r="4117" spans="1:10" x14ac:dyDescent="0.35">
      <c r="A4117" s="2">
        <v>44786</v>
      </c>
      <c r="B4117" s="3">
        <v>0.82818287037037042</v>
      </c>
      <c r="C4117">
        <v>8503</v>
      </c>
      <c r="D4117" t="str">
        <f>VLOOKUP(H4117,Produkt!$A$2:$B$5,2,FALSE)</f>
        <v>A</v>
      </c>
      <c r="H4117">
        <v>1</v>
      </c>
      <c r="I4117">
        <v>2.7928240740740743E-2</v>
      </c>
      <c r="J4117">
        <v>44792</v>
      </c>
    </row>
    <row r="4118" spans="1:10" x14ac:dyDescent="0.35">
      <c r="A4118" s="2">
        <v>44786</v>
      </c>
      <c r="B4118" s="3">
        <v>0.56335648148148143</v>
      </c>
      <c r="C4118">
        <v>8510</v>
      </c>
      <c r="D4118" t="str">
        <f>VLOOKUP(H4118,Produkt!$A$2:$B$5,2,FALSE)</f>
        <v>A</v>
      </c>
      <c r="H4118">
        <v>1</v>
      </c>
      <c r="I4118">
        <v>0.25188657407407405</v>
      </c>
      <c r="J4118">
        <v>44799</v>
      </c>
    </row>
    <row r="4119" spans="1:10" x14ac:dyDescent="0.35">
      <c r="A4119" s="2">
        <v>44786</v>
      </c>
      <c r="B4119" s="3">
        <v>3.4942129629629504E-2</v>
      </c>
      <c r="C4119">
        <v>8529</v>
      </c>
      <c r="D4119" t="str">
        <f>VLOOKUP(H4119,Produkt!$A$2:$B$5,2,FALSE)</f>
        <v>B</v>
      </c>
      <c r="H4119">
        <v>2</v>
      </c>
      <c r="I4119">
        <v>0.39453703703703707</v>
      </c>
      <c r="J4119">
        <v>44787</v>
      </c>
    </row>
    <row r="4120" spans="1:10" x14ac:dyDescent="0.35">
      <c r="A4120" s="2">
        <v>44786</v>
      </c>
      <c r="B4120" s="3">
        <v>0.85964120370370367</v>
      </c>
      <c r="C4120">
        <v>8533</v>
      </c>
      <c r="D4120" t="str">
        <f>VLOOKUP(H4120,Produkt!$A$2:$B$5,2,FALSE)</f>
        <v>B</v>
      </c>
      <c r="H4120">
        <v>2</v>
      </c>
      <c r="I4120">
        <v>0.20018518518518516</v>
      </c>
      <c r="J4120">
        <v>44797</v>
      </c>
    </row>
    <row r="4121" spans="1:10" x14ac:dyDescent="0.35">
      <c r="A4121" s="2">
        <v>44786</v>
      </c>
      <c r="B4121" s="3">
        <v>8.8842592592592584E-2</v>
      </c>
      <c r="C4121">
        <v>8545</v>
      </c>
      <c r="D4121" t="str">
        <f>VLOOKUP(H4121,Produkt!$A$2:$B$5,2,FALSE)</f>
        <v>B</v>
      </c>
      <c r="H4121">
        <v>2</v>
      </c>
      <c r="I4121">
        <v>2.5636574074074072E-2</v>
      </c>
      <c r="J4121">
        <v>44792</v>
      </c>
    </row>
    <row r="4122" spans="1:10" x14ac:dyDescent="0.35">
      <c r="A4122" s="2">
        <v>44786</v>
      </c>
      <c r="B4122" s="3">
        <v>0.89856481481481476</v>
      </c>
      <c r="C4122">
        <v>8570</v>
      </c>
      <c r="D4122" t="str">
        <f>VLOOKUP(H4122,Produkt!$A$2:$B$5,2,FALSE)</f>
        <v>B</v>
      </c>
      <c r="H4122">
        <v>2</v>
      </c>
      <c r="I4122">
        <v>0.87149305555555545</v>
      </c>
      <c r="J4122">
        <v>44801</v>
      </c>
    </row>
    <row r="4123" spans="1:10" x14ac:dyDescent="0.35">
      <c r="A4123" s="2">
        <v>44786</v>
      </c>
      <c r="B4123" s="3">
        <v>0.48314814814814816</v>
      </c>
      <c r="C4123">
        <v>8577</v>
      </c>
      <c r="D4123" t="str">
        <f>VLOOKUP(H4123,Produkt!$A$2:$B$5,2,FALSE)</f>
        <v>A</v>
      </c>
      <c r="H4123">
        <v>1</v>
      </c>
      <c r="I4123">
        <v>0.74364583333333334</v>
      </c>
      <c r="J4123">
        <v>44785</v>
      </c>
    </row>
    <row r="4124" spans="1:10" x14ac:dyDescent="0.35">
      <c r="A4124" s="2">
        <v>44786</v>
      </c>
      <c r="B4124" s="3">
        <v>0.41879629629629633</v>
      </c>
      <c r="C4124">
        <v>8601</v>
      </c>
      <c r="D4124" t="str">
        <f>VLOOKUP(H4124,Produkt!$A$2:$B$5,2,FALSE)</f>
        <v>C</v>
      </c>
      <c r="H4124">
        <v>3</v>
      </c>
      <c r="I4124">
        <v>0.51273148148148151</v>
      </c>
      <c r="J4124">
        <v>44780</v>
      </c>
    </row>
    <row r="4125" spans="1:10" x14ac:dyDescent="0.35">
      <c r="A4125" s="2">
        <v>44786</v>
      </c>
      <c r="B4125" s="3">
        <v>7.5243055555555563E-2</v>
      </c>
      <c r="C4125">
        <v>8609</v>
      </c>
      <c r="D4125" t="str">
        <f>VLOOKUP(H4125,Produkt!$A$2:$B$5,2,FALSE)</f>
        <v>B</v>
      </c>
      <c r="H4125">
        <v>2</v>
      </c>
      <c r="I4125">
        <v>0.82130787037037034</v>
      </c>
      <c r="J4125">
        <v>44803</v>
      </c>
    </row>
    <row r="4126" spans="1:10" x14ac:dyDescent="0.35">
      <c r="A4126" s="2">
        <v>44786</v>
      </c>
      <c r="B4126" s="3">
        <v>0.81355324074074076</v>
      </c>
      <c r="C4126">
        <v>8628</v>
      </c>
      <c r="D4126" t="str">
        <f>VLOOKUP(H4126,Produkt!$A$2:$B$5,2,FALSE)</f>
        <v>C</v>
      </c>
      <c r="H4126">
        <v>3</v>
      </c>
      <c r="I4126">
        <v>0.83600694444444434</v>
      </c>
      <c r="J4126">
        <v>44795</v>
      </c>
    </row>
    <row r="4127" spans="1:10" x14ac:dyDescent="0.35">
      <c r="A4127" s="2">
        <v>44786</v>
      </c>
      <c r="B4127" s="3">
        <v>0.96856481481481482</v>
      </c>
      <c r="C4127">
        <v>8673</v>
      </c>
      <c r="D4127" t="str">
        <f>VLOOKUP(H4127,Produkt!$A$2:$B$5,2,FALSE)</f>
        <v>A</v>
      </c>
      <c r="H4127">
        <v>1</v>
      </c>
      <c r="I4127">
        <v>0.28018518518518515</v>
      </c>
      <c r="J4127">
        <v>44781</v>
      </c>
    </row>
    <row r="4128" spans="1:10" x14ac:dyDescent="0.35">
      <c r="A4128" s="2">
        <v>44786</v>
      </c>
      <c r="B4128" s="3">
        <v>0.40910879629629626</v>
      </c>
      <c r="C4128">
        <v>8701</v>
      </c>
      <c r="D4128" t="str">
        <f>VLOOKUP(H4128,Produkt!$A$2:$B$5,2,FALSE)</f>
        <v>C</v>
      </c>
      <c r="H4128">
        <v>3</v>
      </c>
      <c r="I4128">
        <v>0.11645833333333333</v>
      </c>
      <c r="J4128">
        <v>44802</v>
      </c>
    </row>
    <row r="4129" spans="1:10" x14ac:dyDescent="0.35">
      <c r="A4129" s="2">
        <v>44786</v>
      </c>
      <c r="B4129" s="3">
        <v>0.62613425925925925</v>
      </c>
      <c r="C4129">
        <v>8728</v>
      </c>
      <c r="D4129" t="str">
        <f>VLOOKUP(H4129,Produkt!$A$2:$B$5,2,FALSE)</f>
        <v>B</v>
      </c>
      <c r="H4129">
        <v>2</v>
      </c>
      <c r="I4129">
        <v>0.4015393518518518</v>
      </c>
      <c r="J4129">
        <v>44800</v>
      </c>
    </row>
    <row r="4130" spans="1:10" x14ac:dyDescent="0.35">
      <c r="A4130" s="2">
        <v>44786</v>
      </c>
      <c r="B4130" s="3">
        <v>0.92375000000000007</v>
      </c>
      <c r="C4130">
        <v>8750</v>
      </c>
      <c r="D4130" t="str">
        <f>VLOOKUP(H4130,Produkt!$A$2:$B$5,2,FALSE)</f>
        <v>A</v>
      </c>
      <c r="H4130">
        <v>1</v>
      </c>
      <c r="I4130">
        <v>1.7256944444444446E-2</v>
      </c>
      <c r="J4130">
        <v>44796</v>
      </c>
    </row>
    <row r="4131" spans="1:10" x14ac:dyDescent="0.35">
      <c r="A4131" s="2">
        <v>44786</v>
      </c>
      <c r="B4131" s="3">
        <v>0.76065972222222211</v>
      </c>
      <c r="C4131">
        <v>8764</v>
      </c>
      <c r="D4131" t="str">
        <f>VLOOKUP(H4131,Produkt!$A$2:$B$5,2,FALSE)</f>
        <v>D</v>
      </c>
      <c r="H4131">
        <v>4</v>
      </c>
      <c r="I4131">
        <v>0.7139699074074074</v>
      </c>
      <c r="J4131">
        <v>44783</v>
      </c>
    </row>
    <row r="4132" spans="1:10" x14ac:dyDescent="0.35">
      <c r="A4132" s="2">
        <v>44786</v>
      </c>
      <c r="B4132" s="3">
        <v>0.83152777777777775</v>
      </c>
      <c r="C4132">
        <v>8765</v>
      </c>
      <c r="D4132" t="str">
        <f>VLOOKUP(H4132,Produkt!$A$2:$B$5,2,FALSE)</f>
        <v>A</v>
      </c>
      <c r="H4132">
        <v>1</v>
      </c>
      <c r="I4132">
        <v>0.36013888888888884</v>
      </c>
      <c r="J4132">
        <v>44789</v>
      </c>
    </row>
    <row r="4133" spans="1:10" x14ac:dyDescent="0.35">
      <c r="A4133" s="2">
        <v>44786</v>
      </c>
      <c r="B4133" s="3">
        <v>0.62504629629629627</v>
      </c>
      <c r="C4133">
        <v>8769</v>
      </c>
      <c r="D4133" t="str">
        <f>VLOOKUP(H4133,Produkt!$A$2:$B$5,2,FALSE)</f>
        <v>B</v>
      </c>
      <c r="H4133">
        <v>2</v>
      </c>
      <c r="I4133">
        <v>0.20625000000000002</v>
      </c>
      <c r="J4133">
        <v>44786</v>
      </c>
    </row>
    <row r="4134" spans="1:10" x14ac:dyDescent="0.35">
      <c r="A4134" s="2">
        <v>44786</v>
      </c>
      <c r="B4134" s="3">
        <v>0.87219907407407404</v>
      </c>
      <c r="C4134">
        <v>8804</v>
      </c>
      <c r="D4134" t="str">
        <f>VLOOKUP(H4134,Produkt!$A$2:$B$5,2,FALSE)</f>
        <v>B</v>
      </c>
      <c r="H4134">
        <v>2</v>
      </c>
      <c r="I4134">
        <v>8.3831018518518527E-2</v>
      </c>
      <c r="J4134">
        <v>44795</v>
      </c>
    </row>
    <row r="4135" spans="1:10" x14ac:dyDescent="0.35">
      <c r="A4135" s="2">
        <v>44786</v>
      </c>
      <c r="B4135" s="3">
        <v>0.50513888888888892</v>
      </c>
      <c r="C4135">
        <v>8819</v>
      </c>
      <c r="D4135" t="str">
        <f>VLOOKUP(H4135,Produkt!$A$2:$B$5,2,FALSE)</f>
        <v>B</v>
      </c>
      <c r="H4135">
        <v>2</v>
      </c>
      <c r="I4135">
        <v>0.72986111111111107</v>
      </c>
      <c r="J4135">
        <v>44797</v>
      </c>
    </row>
    <row r="4136" spans="1:10" x14ac:dyDescent="0.35">
      <c r="A4136" s="2">
        <v>44786</v>
      </c>
      <c r="B4136" s="3">
        <v>0.40687500000000004</v>
      </c>
      <c r="C4136">
        <v>8823</v>
      </c>
      <c r="D4136" t="str">
        <f>VLOOKUP(H4136,Produkt!$A$2:$B$5,2,FALSE)</f>
        <v>D</v>
      </c>
      <c r="H4136">
        <v>4</v>
      </c>
      <c r="I4136">
        <v>0.13928240740740741</v>
      </c>
      <c r="J4136">
        <v>44800</v>
      </c>
    </row>
    <row r="4137" spans="1:10" x14ac:dyDescent="0.35">
      <c r="A4137" s="2">
        <v>44786</v>
      </c>
      <c r="B4137" s="3">
        <v>0.70496527777777773</v>
      </c>
      <c r="C4137">
        <v>8836</v>
      </c>
      <c r="D4137" t="str">
        <f>VLOOKUP(H4137,Produkt!$A$2:$B$5,2,FALSE)</f>
        <v>C</v>
      </c>
      <c r="H4137">
        <v>3</v>
      </c>
      <c r="I4137">
        <v>0.97883101851851861</v>
      </c>
      <c r="J4137">
        <v>44775</v>
      </c>
    </row>
    <row r="4138" spans="1:10" x14ac:dyDescent="0.35">
      <c r="A4138" s="2">
        <v>44786</v>
      </c>
      <c r="B4138" s="3">
        <v>0.44649305555555557</v>
      </c>
      <c r="C4138">
        <v>8894</v>
      </c>
      <c r="D4138" t="str">
        <f>VLOOKUP(H4138,Produkt!$A$2:$B$5,2,FALSE)</f>
        <v>D</v>
      </c>
      <c r="H4138">
        <v>4</v>
      </c>
      <c r="I4138">
        <v>0.12944444444444445</v>
      </c>
      <c r="J4138">
        <v>44790</v>
      </c>
    </row>
    <row r="4139" spans="1:10" x14ac:dyDescent="0.35">
      <c r="A4139" s="2">
        <v>44786</v>
      </c>
      <c r="B4139" s="3">
        <v>0.93236111111111108</v>
      </c>
      <c r="C4139">
        <v>8930</v>
      </c>
      <c r="D4139" t="str">
        <f>VLOOKUP(H4139,Produkt!$A$2:$B$5,2,FALSE)</f>
        <v>B</v>
      </c>
      <c r="H4139">
        <v>2</v>
      </c>
      <c r="I4139">
        <v>0.62390046296296298</v>
      </c>
      <c r="J4139">
        <v>44800</v>
      </c>
    </row>
    <row r="4140" spans="1:10" x14ac:dyDescent="0.35">
      <c r="A4140" s="2">
        <v>44786</v>
      </c>
      <c r="B4140" s="3">
        <v>0.6366087962962963</v>
      </c>
      <c r="C4140">
        <v>8944</v>
      </c>
      <c r="D4140" t="str">
        <f>VLOOKUP(H4140,Produkt!$A$2:$B$5,2,FALSE)</f>
        <v>C</v>
      </c>
      <c r="H4140">
        <v>3</v>
      </c>
      <c r="I4140">
        <v>0.83634259259259258</v>
      </c>
      <c r="J4140">
        <v>44797</v>
      </c>
    </row>
    <row r="4141" spans="1:10" x14ac:dyDescent="0.35">
      <c r="A4141" s="2">
        <v>44786</v>
      </c>
      <c r="B4141" s="3">
        <v>3.75462962962963E-2</v>
      </c>
      <c r="C4141">
        <v>8946</v>
      </c>
      <c r="D4141" t="str">
        <f>VLOOKUP(H4141,Produkt!$A$2:$B$5,2,FALSE)</f>
        <v>D</v>
      </c>
      <c r="H4141">
        <v>4</v>
      </c>
      <c r="I4141">
        <v>6.9652777777777772E-2</v>
      </c>
      <c r="J4141">
        <v>44788</v>
      </c>
    </row>
    <row r="4142" spans="1:10" x14ac:dyDescent="0.35">
      <c r="A4142" s="2">
        <v>44786</v>
      </c>
      <c r="B4142" s="3">
        <v>0.24384259259259258</v>
      </c>
      <c r="C4142">
        <v>8959</v>
      </c>
      <c r="D4142" t="str">
        <f>VLOOKUP(H4142,Produkt!$A$2:$B$5,2,FALSE)</f>
        <v>B</v>
      </c>
      <c r="H4142">
        <v>2</v>
      </c>
      <c r="I4142">
        <v>0.35474537037037041</v>
      </c>
      <c r="J4142">
        <v>44786</v>
      </c>
    </row>
    <row r="4143" spans="1:10" x14ac:dyDescent="0.35">
      <c r="A4143" s="2">
        <v>44786</v>
      </c>
      <c r="B4143" s="3">
        <v>0.67475694444444445</v>
      </c>
      <c r="C4143">
        <v>8966</v>
      </c>
      <c r="D4143" t="str">
        <f>VLOOKUP(H4143,Produkt!$A$2:$B$5,2,FALSE)</f>
        <v>B</v>
      </c>
      <c r="H4143">
        <v>2</v>
      </c>
      <c r="I4143">
        <v>0.36822916666666666</v>
      </c>
      <c r="J4143">
        <v>44804</v>
      </c>
    </row>
    <row r="4144" spans="1:10" x14ac:dyDescent="0.35">
      <c r="A4144" s="2">
        <v>44786</v>
      </c>
      <c r="B4144" s="3">
        <v>0.20605324074074075</v>
      </c>
      <c r="C4144">
        <v>9053</v>
      </c>
      <c r="D4144" t="str">
        <f>VLOOKUP(H4144,Produkt!$A$2:$B$5,2,FALSE)</f>
        <v>C</v>
      </c>
      <c r="H4144">
        <v>3</v>
      </c>
      <c r="I4144">
        <v>0.66361111111111104</v>
      </c>
      <c r="J4144">
        <v>44803</v>
      </c>
    </row>
    <row r="4145" spans="1:10" x14ac:dyDescent="0.35">
      <c r="A4145" s="2">
        <v>44786</v>
      </c>
      <c r="B4145" s="3">
        <v>0.50296296296296295</v>
      </c>
      <c r="C4145">
        <v>9057</v>
      </c>
      <c r="D4145" t="str">
        <f>VLOOKUP(H4145,Produkt!$A$2:$B$5,2,FALSE)</f>
        <v>B</v>
      </c>
      <c r="H4145">
        <v>2</v>
      </c>
      <c r="I4145">
        <v>0.70873842592592595</v>
      </c>
      <c r="J4145">
        <v>44783</v>
      </c>
    </row>
    <row r="4146" spans="1:10" x14ac:dyDescent="0.35">
      <c r="A4146" s="2">
        <v>44786</v>
      </c>
      <c r="B4146" s="3">
        <v>0.18780092592592593</v>
      </c>
      <c r="C4146">
        <v>9061</v>
      </c>
      <c r="D4146" t="str">
        <f>VLOOKUP(H4146,Produkt!$A$2:$B$5,2,FALSE)</f>
        <v>D</v>
      </c>
      <c r="H4146">
        <v>4</v>
      </c>
      <c r="I4146">
        <v>0.20425925925925925</v>
      </c>
      <c r="J4146">
        <v>44804</v>
      </c>
    </row>
    <row r="4147" spans="1:10" x14ac:dyDescent="0.35">
      <c r="A4147" s="2">
        <v>44786</v>
      </c>
      <c r="B4147" s="3">
        <v>0.55001157407407408</v>
      </c>
      <c r="C4147">
        <v>9096</v>
      </c>
      <c r="D4147" t="str">
        <f>VLOOKUP(H4147,Produkt!$A$2:$B$5,2,FALSE)</f>
        <v>C</v>
      </c>
      <c r="H4147">
        <v>3</v>
      </c>
      <c r="I4147">
        <v>0.58416666666666661</v>
      </c>
      <c r="J4147">
        <v>44790</v>
      </c>
    </row>
    <row r="4148" spans="1:10" x14ac:dyDescent="0.35">
      <c r="A4148" s="2">
        <v>44786</v>
      </c>
      <c r="B4148" s="3">
        <v>0.79002314814814811</v>
      </c>
      <c r="C4148">
        <v>9100</v>
      </c>
      <c r="D4148" t="str">
        <f>VLOOKUP(H4148,Produkt!$A$2:$B$5,2,FALSE)</f>
        <v>A</v>
      </c>
      <c r="H4148">
        <v>1</v>
      </c>
      <c r="I4148">
        <v>0.49049768518518522</v>
      </c>
      <c r="J4148">
        <v>44780</v>
      </c>
    </row>
    <row r="4149" spans="1:10" x14ac:dyDescent="0.35">
      <c r="A4149" s="2">
        <v>44786</v>
      </c>
      <c r="B4149" s="3">
        <v>0.57649305555555552</v>
      </c>
      <c r="C4149">
        <v>9122</v>
      </c>
      <c r="D4149" t="str">
        <f>VLOOKUP(H4149,Produkt!$A$2:$B$5,2,FALSE)</f>
        <v>C</v>
      </c>
      <c r="H4149">
        <v>3</v>
      </c>
      <c r="I4149">
        <v>0.13753472222222221</v>
      </c>
      <c r="J4149">
        <v>44794</v>
      </c>
    </row>
    <row r="4150" spans="1:10" x14ac:dyDescent="0.35">
      <c r="A4150" s="2">
        <v>44786</v>
      </c>
      <c r="B4150" s="3">
        <v>0.19010416666666666</v>
      </c>
      <c r="C4150">
        <v>9136</v>
      </c>
      <c r="D4150" t="str">
        <f>VLOOKUP(H4150,Produkt!$A$2:$B$5,2,FALSE)</f>
        <v>B</v>
      </c>
      <c r="H4150">
        <v>2</v>
      </c>
      <c r="I4150">
        <v>0.69896990740740739</v>
      </c>
      <c r="J4150">
        <v>44798</v>
      </c>
    </row>
    <row r="4151" spans="1:10" x14ac:dyDescent="0.35">
      <c r="A4151" s="2">
        <v>44786</v>
      </c>
      <c r="B4151" s="3">
        <v>0.65085648148148145</v>
      </c>
      <c r="C4151">
        <v>9144</v>
      </c>
      <c r="D4151" t="str">
        <f>VLOOKUP(H4151,Produkt!$A$2:$B$5,2,FALSE)</f>
        <v>A</v>
      </c>
      <c r="H4151">
        <v>1</v>
      </c>
      <c r="I4151">
        <v>0.66008101851851853</v>
      </c>
      <c r="J4151">
        <v>44794</v>
      </c>
    </row>
    <row r="4152" spans="1:10" x14ac:dyDescent="0.35">
      <c r="A4152" s="2">
        <v>44786</v>
      </c>
      <c r="B4152" s="3">
        <v>0.70526620370370363</v>
      </c>
      <c r="C4152">
        <v>9158</v>
      </c>
      <c r="D4152" t="str">
        <f>VLOOKUP(H4152,Produkt!$A$2:$B$5,2,FALSE)</f>
        <v>A</v>
      </c>
      <c r="H4152">
        <v>1</v>
      </c>
      <c r="I4152">
        <v>0.55829861111111112</v>
      </c>
      <c r="J4152">
        <v>44797</v>
      </c>
    </row>
    <row r="4153" spans="1:10" x14ac:dyDescent="0.35">
      <c r="A4153" s="2">
        <v>44786</v>
      </c>
      <c r="B4153" s="3">
        <v>0.33390046296296294</v>
      </c>
      <c r="C4153">
        <v>9260</v>
      </c>
      <c r="D4153" t="str">
        <f>VLOOKUP(H4153,Produkt!$A$2:$B$5,2,FALSE)</f>
        <v>D</v>
      </c>
      <c r="H4153">
        <v>4</v>
      </c>
      <c r="I4153">
        <v>0.67171296296296301</v>
      </c>
      <c r="J4153">
        <v>44791</v>
      </c>
    </row>
    <row r="4154" spans="1:10" x14ac:dyDescent="0.35">
      <c r="A4154" s="2">
        <v>44786</v>
      </c>
      <c r="B4154" s="3">
        <v>0.52019675925925923</v>
      </c>
      <c r="C4154">
        <v>9296</v>
      </c>
      <c r="D4154" t="str">
        <f>VLOOKUP(H4154,Produkt!$A$2:$B$5,2,FALSE)</f>
        <v>C</v>
      </c>
      <c r="H4154">
        <v>3</v>
      </c>
      <c r="I4154">
        <v>0.78844907407407405</v>
      </c>
      <c r="J4154">
        <v>44778</v>
      </c>
    </row>
    <row r="4155" spans="1:10" x14ac:dyDescent="0.35">
      <c r="A4155" s="2">
        <v>44786</v>
      </c>
      <c r="B4155" s="3">
        <v>0.80637731481481489</v>
      </c>
      <c r="C4155">
        <v>9312</v>
      </c>
      <c r="D4155" t="str">
        <f>VLOOKUP(H4155,Produkt!$A$2:$B$5,2,FALSE)</f>
        <v>D</v>
      </c>
      <c r="H4155">
        <v>4</v>
      </c>
      <c r="I4155">
        <v>0.81744212962962959</v>
      </c>
      <c r="J4155">
        <v>44803</v>
      </c>
    </row>
    <row r="4156" spans="1:10" x14ac:dyDescent="0.35">
      <c r="A4156" s="2">
        <v>44786</v>
      </c>
      <c r="B4156" s="3">
        <v>0.9553356481481482</v>
      </c>
      <c r="C4156">
        <v>9330</v>
      </c>
      <c r="D4156" t="str">
        <f>VLOOKUP(H4156,Produkt!$A$2:$B$5,2,FALSE)</f>
        <v>C</v>
      </c>
      <c r="H4156">
        <v>3</v>
      </c>
      <c r="I4156">
        <v>0.34190972222222221</v>
      </c>
      <c r="J4156">
        <v>44790</v>
      </c>
    </row>
    <row r="4157" spans="1:10" x14ac:dyDescent="0.35">
      <c r="A4157" s="2">
        <v>44786</v>
      </c>
      <c r="B4157" s="3">
        <v>8.953703703703704E-2</v>
      </c>
      <c r="C4157">
        <v>9331</v>
      </c>
      <c r="D4157" t="str">
        <f>VLOOKUP(H4157,Produkt!$A$2:$B$5,2,FALSE)</f>
        <v>B</v>
      </c>
      <c r="H4157">
        <v>2</v>
      </c>
      <c r="I4157">
        <v>0.87555555555555553</v>
      </c>
      <c r="J4157">
        <v>44787</v>
      </c>
    </row>
    <row r="4158" spans="1:10" x14ac:dyDescent="0.35">
      <c r="A4158" s="2">
        <v>44786</v>
      </c>
      <c r="B4158" s="3">
        <v>0.90912037037037041</v>
      </c>
      <c r="C4158">
        <v>9360</v>
      </c>
      <c r="D4158" t="str">
        <f>VLOOKUP(H4158,Produkt!$A$2:$B$5,2,FALSE)</f>
        <v>D</v>
      </c>
      <c r="H4158">
        <v>4</v>
      </c>
      <c r="I4158">
        <v>0.98996527777777776</v>
      </c>
      <c r="J4158">
        <v>44799</v>
      </c>
    </row>
    <row r="4159" spans="1:10" x14ac:dyDescent="0.35">
      <c r="A4159" s="2">
        <v>44786</v>
      </c>
      <c r="B4159" s="3">
        <v>0.25482638888888892</v>
      </c>
      <c r="C4159">
        <v>9429</v>
      </c>
      <c r="D4159" t="str">
        <f>VLOOKUP(H4159,Produkt!$A$2:$B$5,2,FALSE)</f>
        <v>B</v>
      </c>
      <c r="H4159">
        <v>2</v>
      </c>
      <c r="I4159">
        <v>0.87910879629629635</v>
      </c>
      <c r="J4159">
        <v>44788</v>
      </c>
    </row>
    <row r="4160" spans="1:10" x14ac:dyDescent="0.35">
      <c r="A4160" s="2">
        <v>44786</v>
      </c>
      <c r="B4160" s="3">
        <v>0.77178240740740733</v>
      </c>
      <c r="C4160">
        <v>9443</v>
      </c>
      <c r="D4160" t="str">
        <f>VLOOKUP(H4160,Produkt!$A$2:$B$5,2,FALSE)</f>
        <v>D</v>
      </c>
      <c r="H4160">
        <v>4</v>
      </c>
      <c r="I4160">
        <v>0.208125</v>
      </c>
      <c r="J4160">
        <v>44787</v>
      </c>
    </row>
    <row r="4161" spans="1:10" x14ac:dyDescent="0.35">
      <c r="A4161" s="2">
        <v>44786</v>
      </c>
      <c r="B4161" s="3">
        <v>0.43608796296296298</v>
      </c>
      <c r="C4161">
        <v>9445</v>
      </c>
      <c r="D4161" t="str">
        <f>VLOOKUP(H4161,Produkt!$A$2:$B$5,2,FALSE)</f>
        <v>D</v>
      </c>
      <c r="H4161">
        <v>4</v>
      </c>
      <c r="I4161">
        <v>0.10940972222222223</v>
      </c>
      <c r="J4161">
        <v>44785</v>
      </c>
    </row>
    <row r="4162" spans="1:10" x14ac:dyDescent="0.35">
      <c r="A4162" s="2">
        <v>44786</v>
      </c>
      <c r="B4162" s="3">
        <v>0.71861111111111109</v>
      </c>
      <c r="C4162">
        <v>9451</v>
      </c>
      <c r="D4162" t="str">
        <f>VLOOKUP(H4162,Produkt!$A$2:$B$5,2,FALSE)</f>
        <v>A</v>
      </c>
      <c r="H4162">
        <v>1</v>
      </c>
      <c r="I4162">
        <v>5.0868055555555548E-2</v>
      </c>
      <c r="J4162">
        <v>44782</v>
      </c>
    </row>
    <row r="4163" spans="1:10" x14ac:dyDescent="0.35">
      <c r="A4163" s="2">
        <v>44786</v>
      </c>
      <c r="B4163" s="3">
        <v>0.48628472222222219</v>
      </c>
      <c r="C4163">
        <v>9459</v>
      </c>
      <c r="D4163" t="str">
        <f>VLOOKUP(H4163,Produkt!$A$2:$B$5,2,FALSE)</f>
        <v>B</v>
      </c>
      <c r="H4163">
        <v>2</v>
      </c>
      <c r="I4163">
        <v>0.86546296296296299</v>
      </c>
      <c r="J4163">
        <v>44778</v>
      </c>
    </row>
    <row r="4164" spans="1:10" x14ac:dyDescent="0.35">
      <c r="A4164" s="2">
        <v>44786</v>
      </c>
      <c r="B4164" s="3">
        <v>0.90149305555555559</v>
      </c>
      <c r="C4164">
        <v>9489</v>
      </c>
      <c r="D4164" t="str">
        <f>VLOOKUP(H4164,Produkt!$A$2:$B$5,2,FALSE)</f>
        <v>D</v>
      </c>
      <c r="H4164">
        <v>4</v>
      </c>
      <c r="I4164">
        <v>0.47181712962962963</v>
      </c>
      <c r="J4164">
        <v>44787</v>
      </c>
    </row>
    <row r="4165" spans="1:10" x14ac:dyDescent="0.35">
      <c r="A4165" s="2">
        <v>44786</v>
      </c>
      <c r="B4165" s="3">
        <v>0.2508333333333333</v>
      </c>
      <c r="C4165">
        <v>9492</v>
      </c>
      <c r="D4165" t="str">
        <f>VLOOKUP(H4165,Produkt!$A$2:$B$5,2,FALSE)</f>
        <v>C</v>
      </c>
      <c r="H4165">
        <v>3</v>
      </c>
      <c r="I4165">
        <v>0.16293981481481482</v>
      </c>
      <c r="J4165">
        <v>44801</v>
      </c>
    </row>
    <row r="4166" spans="1:10" x14ac:dyDescent="0.35">
      <c r="A4166" s="2">
        <v>44786</v>
      </c>
      <c r="B4166" s="3">
        <v>0.41662037037037036</v>
      </c>
      <c r="C4166">
        <v>9514</v>
      </c>
      <c r="D4166" t="str">
        <f>VLOOKUP(H4166,Produkt!$A$2:$B$5,2,FALSE)</f>
        <v>C</v>
      </c>
      <c r="H4166">
        <v>3</v>
      </c>
      <c r="I4166">
        <v>0.97400462962962964</v>
      </c>
      <c r="J4166">
        <v>44783</v>
      </c>
    </row>
    <row r="4167" spans="1:10" x14ac:dyDescent="0.35">
      <c r="A4167" s="2">
        <v>44786</v>
      </c>
      <c r="B4167" s="3">
        <v>0.22420138888888888</v>
      </c>
      <c r="C4167">
        <v>9526</v>
      </c>
      <c r="D4167" t="str">
        <f>VLOOKUP(H4167,Produkt!$A$2:$B$5,2,FALSE)</f>
        <v>A</v>
      </c>
      <c r="H4167">
        <v>1</v>
      </c>
      <c r="I4167">
        <v>0.78219907407407396</v>
      </c>
      <c r="J4167">
        <v>44785</v>
      </c>
    </row>
    <row r="4168" spans="1:10" x14ac:dyDescent="0.35">
      <c r="A4168" s="2">
        <v>44786</v>
      </c>
      <c r="B4168" s="3">
        <v>0.50298611111111113</v>
      </c>
      <c r="C4168">
        <v>9549</v>
      </c>
      <c r="D4168" t="str">
        <f>VLOOKUP(H4168,Produkt!$A$2:$B$5,2,FALSE)</f>
        <v>C</v>
      </c>
      <c r="H4168">
        <v>3</v>
      </c>
      <c r="I4168">
        <v>0.6841666666666667</v>
      </c>
      <c r="J4168">
        <v>44804</v>
      </c>
    </row>
    <row r="4169" spans="1:10" x14ac:dyDescent="0.35">
      <c r="A4169" s="2">
        <v>44786</v>
      </c>
      <c r="B4169" s="3">
        <v>0.73061342592592593</v>
      </c>
      <c r="C4169">
        <v>9558</v>
      </c>
      <c r="D4169" t="str">
        <f>VLOOKUP(H4169,Produkt!$A$2:$B$5,2,FALSE)</f>
        <v>A</v>
      </c>
      <c r="H4169">
        <v>1</v>
      </c>
      <c r="I4169">
        <v>0.71482638888888894</v>
      </c>
      <c r="J4169">
        <v>44782</v>
      </c>
    </row>
    <row r="4170" spans="1:10" x14ac:dyDescent="0.35">
      <c r="A4170" s="2">
        <v>44786</v>
      </c>
      <c r="B4170" s="3">
        <v>0.7958101851851852</v>
      </c>
      <c r="C4170">
        <v>9564</v>
      </c>
      <c r="D4170" t="str">
        <f>VLOOKUP(H4170,Produkt!$A$2:$B$5,2,FALSE)</f>
        <v>B</v>
      </c>
      <c r="H4170">
        <v>2</v>
      </c>
      <c r="I4170">
        <v>5.4016203703703712E-2</v>
      </c>
      <c r="J4170">
        <v>44782</v>
      </c>
    </row>
    <row r="4171" spans="1:10" x14ac:dyDescent="0.35">
      <c r="A4171" s="2">
        <v>44786</v>
      </c>
      <c r="B4171" s="3">
        <v>0.2777662037037037</v>
      </c>
      <c r="C4171">
        <v>9575</v>
      </c>
      <c r="D4171" t="str">
        <f>VLOOKUP(H4171,Produkt!$A$2:$B$5,2,FALSE)</f>
        <v>B</v>
      </c>
      <c r="H4171">
        <v>2</v>
      </c>
      <c r="I4171">
        <v>0.8563425925925926</v>
      </c>
      <c r="J4171">
        <v>44775</v>
      </c>
    </row>
    <row r="4172" spans="1:10" x14ac:dyDescent="0.35">
      <c r="A4172" s="2">
        <v>44786</v>
      </c>
      <c r="B4172" s="3">
        <v>0.66731481481481481</v>
      </c>
      <c r="C4172">
        <v>9590</v>
      </c>
      <c r="D4172" t="str">
        <f>VLOOKUP(H4172,Produkt!$A$2:$B$5,2,FALSE)</f>
        <v>D</v>
      </c>
      <c r="H4172">
        <v>4</v>
      </c>
      <c r="I4172">
        <v>0.93745370370370373</v>
      </c>
      <c r="J4172">
        <v>44796</v>
      </c>
    </row>
    <row r="4173" spans="1:10" x14ac:dyDescent="0.35">
      <c r="A4173" s="2">
        <v>44786</v>
      </c>
      <c r="B4173" s="3">
        <v>0.83381944444444445</v>
      </c>
      <c r="C4173">
        <v>9619</v>
      </c>
      <c r="D4173" t="str">
        <f>VLOOKUP(H4173,Produkt!$A$2:$B$5,2,FALSE)</f>
        <v>B</v>
      </c>
      <c r="H4173">
        <v>2</v>
      </c>
      <c r="I4173">
        <v>0.32351851851851854</v>
      </c>
      <c r="J4173">
        <v>44804</v>
      </c>
    </row>
    <row r="4174" spans="1:10" x14ac:dyDescent="0.35">
      <c r="A4174" s="2">
        <v>44786</v>
      </c>
      <c r="B4174" s="3">
        <v>0.91385416666666675</v>
      </c>
      <c r="C4174">
        <v>9645</v>
      </c>
      <c r="D4174" t="str">
        <f>VLOOKUP(H4174,Produkt!$A$2:$B$5,2,FALSE)</f>
        <v>B</v>
      </c>
      <c r="H4174">
        <v>2</v>
      </c>
      <c r="I4174">
        <v>0.93564814814814812</v>
      </c>
      <c r="J4174">
        <v>44788</v>
      </c>
    </row>
    <row r="4175" spans="1:10" x14ac:dyDescent="0.35">
      <c r="A4175" s="2">
        <v>44786</v>
      </c>
      <c r="B4175" s="3">
        <v>0.50528935185185186</v>
      </c>
      <c r="C4175">
        <v>9671</v>
      </c>
      <c r="D4175" t="str">
        <f>VLOOKUP(H4175,Produkt!$A$2:$B$5,2,FALSE)</f>
        <v>A</v>
      </c>
      <c r="H4175">
        <v>1</v>
      </c>
      <c r="I4175">
        <v>0.92625000000000002</v>
      </c>
      <c r="J4175">
        <v>44804</v>
      </c>
    </row>
    <row r="4176" spans="1:10" x14ac:dyDescent="0.35">
      <c r="A4176" s="2">
        <v>44786</v>
      </c>
      <c r="B4176" s="3">
        <v>0.13714120370370372</v>
      </c>
      <c r="C4176">
        <v>9779</v>
      </c>
      <c r="D4176" t="str">
        <f>VLOOKUP(H4176,Produkt!$A$2:$B$5,2,FALSE)</f>
        <v>D</v>
      </c>
      <c r="H4176">
        <v>4</v>
      </c>
      <c r="I4176">
        <v>0.46641203703703704</v>
      </c>
      <c r="J4176">
        <v>44788</v>
      </c>
    </row>
    <row r="4177" spans="1:10" x14ac:dyDescent="0.35">
      <c r="A4177" s="2">
        <v>44786</v>
      </c>
      <c r="B4177" s="3">
        <v>0.40332175925925928</v>
      </c>
      <c r="C4177">
        <v>9825</v>
      </c>
      <c r="D4177" t="str">
        <f>VLOOKUP(H4177,Produkt!$A$2:$B$5,2,FALSE)</f>
        <v>C</v>
      </c>
      <c r="H4177">
        <v>3</v>
      </c>
      <c r="I4177">
        <v>0.73796296296296304</v>
      </c>
      <c r="J4177">
        <v>44779</v>
      </c>
    </row>
    <row r="4178" spans="1:10" x14ac:dyDescent="0.35">
      <c r="A4178" s="2">
        <v>44786</v>
      </c>
      <c r="B4178" s="3">
        <v>0.55166666666666664</v>
      </c>
      <c r="C4178">
        <v>9830</v>
      </c>
      <c r="D4178" t="str">
        <f>VLOOKUP(H4178,Produkt!$A$2:$B$5,2,FALSE)</f>
        <v>C</v>
      </c>
      <c r="H4178">
        <v>3</v>
      </c>
      <c r="I4178">
        <v>9.895833333333437E-3</v>
      </c>
      <c r="J4178">
        <v>44790</v>
      </c>
    </row>
    <row r="4179" spans="1:10" x14ac:dyDescent="0.35">
      <c r="A4179" s="2">
        <v>44786</v>
      </c>
      <c r="B4179" s="3">
        <v>0.21273148148148147</v>
      </c>
      <c r="C4179">
        <v>9843</v>
      </c>
      <c r="D4179" t="str">
        <f>VLOOKUP(H4179,Produkt!$A$2:$B$5,2,FALSE)</f>
        <v>B</v>
      </c>
      <c r="H4179">
        <v>2</v>
      </c>
      <c r="I4179">
        <v>0.50789351851851849</v>
      </c>
      <c r="J4179">
        <v>44792</v>
      </c>
    </row>
    <row r="4180" spans="1:10" x14ac:dyDescent="0.35">
      <c r="A4180" s="2">
        <v>44786</v>
      </c>
      <c r="B4180" s="3">
        <v>0.10971064814814814</v>
      </c>
      <c r="C4180">
        <v>9882</v>
      </c>
      <c r="D4180" t="str">
        <f>VLOOKUP(H4180,Produkt!$A$2:$B$5,2,FALSE)</f>
        <v>A</v>
      </c>
      <c r="H4180">
        <v>1</v>
      </c>
      <c r="I4180">
        <v>0.29258101851851853</v>
      </c>
      <c r="J4180">
        <v>44800</v>
      </c>
    </row>
    <row r="4181" spans="1:10" x14ac:dyDescent="0.35">
      <c r="A4181" s="2">
        <v>44786</v>
      </c>
      <c r="B4181" s="3">
        <v>0.18561342592592592</v>
      </c>
      <c r="C4181">
        <v>9906</v>
      </c>
      <c r="D4181" t="str">
        <f>VLOOKUP(H4181,Produkt!$A$2:$B$5,2,FALSE)</f>
        <v>C</v>
      </c>
      <c r="H4181">
        <v>3</v>
      </c>
      <c r="I4181">
        <v>9.2187499999999992E-2</v>
      </c>
      <c r="J4181">
        <v>44803</v>
      </c>
    </row>
    <row r="4182" spans="1:10" x14ac:dyDescent="0.35">
      <c r="A4182" s="2">
        <v>44787</v>
      </c>
      <c r="B4182" s="3">
        <v>0.95951388888888889</v>
      </c>
      <c r="C4182">
        <v>97</v>
      </c>
      <c r="D4182" t="str">
        <f>VLOOKUP(H4182,Produkt!$A$2:$B$5,2,FALSE)</f>
        <v>B</v>
      </c>
      <c r="H4182">
        <v>2</v>
      </c>
      <c r="I4182">
        <v>0.2918634259259259</v>
      </c>
      <c r="J4182">
        <v>44794</v>
      </c>
    </row>
    <row r="4183" spans="1:10" x14ac:dyDescent="0.35">
      <c r="A4183" s="2">
        <v>44787</v>
      </c>
      <c r="B4183" s="3">
        <v>0.96452546296296304</v>
      </c>
      <c r="C4183">
        <v>130</v>
      </c>
      <c r="D4183" t="str">
        <f>VLOOKUP(H4183,Produkt!$A$2:$B$5,2,FALSE)</f>
        <v>C</v>
      </c>
      <c r="H4183">
        <v>3</v>
      </c>
      <c r="I4183">
        <v>0.63197916666666665</v>
      </c>
      <c r="J4183">
        <v>44778</v>
      </c>
    </row>
    <row r="4184" spans="1:10" x14ac:dyDescent="0.35">
      <c r="A4184" s="2">
        <v>44787</v>
      </c>
      <c r="B4184" s="3">
        <v>0.44788194444444446</v>
      </c>
      <c r="C4184">
        <v>136</v>
      </c>
      <c r="D4184" t="str">
        <f>VLOOKUP(H4184,Produkt!$A$2:$B$5,2,FALSE)</f>
        <v>D</v>
      </c>
      <c r="H4184">
        <v>4</v>
      </c>
      <c r="I4184">
        <v>5.3148148148148146E-2</v>
      </c>
      <c r="J4184">
        <v>44789</v>
      </c>
    </row>
    <row r="4185" spans="1:10" x14ac:dyDescent="0.35">
      <c r="A4185" s="2">
        <v>44787</v>
      </c>
      <c r="B4185" s="3">
        <v>0.69438657407407411</v>
      </c>
      <c r="C4185">
        <v>148</v>
      </c>
      <c r="D4185" t="str">
        <f>VLOOKUP(H4185,Produkt!$A$2:$B$5,2,FALSE)</f>
        <v>C</v>
      </c>
      <c r="H4185">
        <v>3</v>
      </c>
      <c r="I4185">
        <v>0.37690972222222219</v>
      </c>
      <c r="J4185">
        <v>44799</v>
      </c>
    </row>
    <row r="4186" spans="1:10" x14ac:dyDescent="0.35">
      <c r="A4186" s="2">
        <v>44787</v>
      </c>
      <c r="B4186" s="3">
        <v>0.67090277777777774</v>
      </c>
      <c r="C4186">
        <v>151</v>
      </c>
      <c r="D4186" t="str">
        <f>VLOOKUP(H4186,Produkt!$A$2:$B$5,2,FALSE)</f>
        <v>B</v>
      </c>
      <c r="H4186">
        <v>2</v>
      </c>
      <c r="I4186">
        <v>0.66835648148148152</v>
      </c>
      <c r="J4186">
        <v>44795</v>
      </c>
    </row>
    <row r="4187" spans="1:10" x14ac:dyDescent="0.35">
      <c r="A4187" s="2">
        <v>44787</v>
      </c>
      <c r="B4187" s="3">
        <v>0.75037037037037047</v>
      </c>
      <c r="C4187">
        <v>327</v>
      </c>
      <c r="D4187" t="str">
        <f>VLOOKUP(H4187,Produkt!$A$2:$B$5,2,FALSE)</f>
        <v>B</v>
      </c>
      <c r="H4187">
        <v>2</v>
      </c>
      <c r="I4187">
        <v>0.78112268518518524</v>
      </c>
      <c r="J4187">
        <v>44781</v>
      </c>
    </row>
    <row r="4188" spans="1:10" x14ac:dyDescent="0.35">
      <c r="A4188" s="2">
        <v>44787</v>
      </c>
      <c r="B4188" s="3">
        <v>8.6122685185185177E-2</v>
      </c>
      <c r="C4188">
        <v>381</v>
      </c>
      <c r="D4188" t="str">
        <f>VLOOKUP(H4188,Produkt!$A$2:$B$5,2,FALSE)</f>
        <v>D</v>
      </c>
      <c r="H4188">
        <v>4</v>
      </c>
      <c r="I4188">
        <v>0.99641203703703696</v>
      </c>
      <c r="J4188">
        <v>44787</v>
      </c>
    </row>
    <row r="4189" spans="1:10" x14ac:dyDescent="0.35">
      <c r="A4189" s="2">
        <v>44787</v>
      </c>
      <c r="B4189" s="3">
        <v>0.35744212962962968</v>
      </c>
      <c r="C4189">
        <v>384</v>
      </c>
      <c r="D4189" t="str">
        <f>VLOOKUP(H4189,Produkt!$A$2:$B$5,2,FALSE)</f>
        <v>C</v>
      </c>
      <c r="H4189">
        <v>3</v>
      </c>
      <c r="I4189">
        <v>0.79135416666666669</v>
      </c>
      <c r="J4189">
        <v>44784</v>
      </c>
    </row>
    <row r="4190" spans="1:10" x14ac:dyDescent="0.35">
      <c r="A4190" s="2">
        <v>44787</v>
      </c>
      <c r="B4190" s="3">
        <v>0.49935185185185182</v>
      </c>
      <c r="C4190">
        <v>395</v>
      </c>
      <c r="D4190" t="str">
        <f>VLOOKUP(H4190,Produkt!$A$2:$B$5,2,FALSE)</f>
        <v>C</v>
      </c>
      <c r="H4190">
        <v>3</v>
      </c>
      <c r="I4190">
        <v>0.83297453703703705</v>
      </c>
      <c r="J4190">
        <v>44789</v>
      </c>
    </row>
    <row r="4191" spans="1:10" x14ac:dyDescent="0.35">
      <c r="A4191" s="2">
        <v>44787</v>
      </c>
      <c r="B4191" s="3">
        <v>0.28355324074074073</v>
      </c>
      <c r="C4191">
        <v>472</v>
      </c>
      <c r="D4191" t="str">
        <f>VLOOKUP(H4191,Produkt!$A$2:$B$5,2,FALSE)</f>
        <v>B</v>
      </c>
      <c r="H4191">
        <v>2</v>
      </c>
      <c r="I4191">
        <v>0.68931712962962965</v>
      </c>
      <c r="J4191">
        <v>44799</v>
      </c>
    </row>
    <row r="4192" spans="1:10" x14ac:dyDescent="0.35">
      <c r="A4192" s="2">
        <v>44787</v>
      </c>
      <c r="B4192" s="3">
        <v>0.75599537037037035</v>
      </c>
      <c r="C4192">
        <v>478</v>
      </c>
      <c r="D4192" t="str">
        <f>VLOOKUP(H4192,Produkt!$A$2:$B$5,2,FALSE)</f>
        <v>C</v>
      </c>
      <c r="H4192">
        <v>3</v>
      </c>
      <c r="I4192">
        <v>0.78813657407407411</v>
      </c>
      <c r="J4192">
        <v>44798</v>
      </c>
    </row>
    <row r="4193" spans="1:10" x14ac:dyDescent="0.35">
      <c r="A4193" s="2">
        <v>44787</v>
      </c>
      <c r="B4193" s="3">
        <v>0.99096064814814822</v>
      </c>
      <c r="C4193">
        <v>487</v>
      </c>
      <c r="D4193" t="str">
        <f>VLOOKUP(H4193,Produkt!$A$2:$B$5,2,FALSE)</f>
        <v>B</v>
      </c>
      <c r="H4193">
        <v>2</v>
      </c>
      <c r="I4193">
        <v>1.5416666666666667E-2</v>
      </c>
      <c r="J4193">
        <v>44795</v>
      </c>
    </row>
    <row r="4194" spans="1:10" x14ac:dyDescent="0.35">
      <c r="A4194" s="2">
        <v>44787</v>
      </c>
      <c r="B4194" s="3">
        <v>0.69697916666666659</v>
      </c>
      <c r="C4194">
        <v>489</v>
      </c>
      <c r="D4194" t="str">
        <f>VLOOKUP(H4194,Produkt!$A$2:$B$5,2,FALSE)</f>
        <v>D</v>
      </c>
      <c r="H4194">
        <v>4</v>
      </c>
      <c r="I4194">
        <v>7.3148148148148143E-2</v>
      </c>
      <c r="J4194">
        <v>44794</v>
      </c>
    </row>
    <row r="4195" spans="1:10" x14ac:dyDescent="0.35">
      <c r="A4195" s="2">
        <v>44787</v>
      </c>
      <c r="B4195" s="3">
        <v>0.1877199074074074</v>
      </c>
      <c r="C4195">
        <v>531</v>
      </c>
      <c r="D4195" t="str">
        <f>VLOOKUP(H4195,Produkt!$A$2:$B$5,2,FALSE)</f>
        <v>B</v>
      </c>
      <c r="H4195">
        <v>2</v>
      </c>
      <c r="I4195">
        <v>0.7235300925925926</v>
      </c>
      <c r="J4195">
        <v>44790</v>
      </c>
    </row>
    <row r="4196" spans="1:10" x14ac:dyDescent="0.35">
      <c r="A4196" s="2">
        <v>44787</v>
      </c>
      <c r="B4196" s="3">
        <v>0.26818287037037036</v>
      </c>
      <c r="C4196">
        <v>549</v>
      </c>
      <c r="D4196" t="str">
        <f>VLOOKUP(H4196,Produkt!$A$2:$B$5,2,FALSE)</f>
        <v>D</v>
      </c>
      <c r="H4196">
        <v>4</v>
      </c>
      <c r="I4196">
        <v>0.13263888888888889</v>
      </c>
      <c r="J4196">
        <v>44774</v>
      </c>
    </row>
    <row r="4197" spans="1:10" x14ac:dyDescent="0.35">
      <c r="A4197" s="2">
        <v>44787</v>
      </c>
      <c r="B4197" s="3">
        <v>0.40387731481481487</v>
      </c>
      <c r="C4197">
        <v>565</v>
      </c>
      <c r="D4197" t="str">
        <f>VLOOKUP(H4197,Produkt!$A$2:$B$5,2,FALSE)</f>
        <v>B</v>
      </c>
      <c r="H4197">
        <v>2</v>
      </c>
      <c r="I4197">
        <v>0.11027777777777777</v>
      </c>
      <c r="J4197">
        <v>44776</v>
      </c>
    </row>
    <row r="4198" spans="1:10" x14ac:dyDescent="0.35">
      <c r="A4198" s="2">
        <v>44787</v>
      </c>
      <c r="B4198" s="3">
        <v>0.65159722222222227</v>
      </c>
      <c r="C4198">
        <v>615</v>
      </c>
      <c r="D4198" t="str">
        <f>VLOOKUP(H4198,Produkt!$A$2:$B$5,2,FALSE)</f>
        <v>C</v>
      </c>
      <c r="H4198">
        <v>3</v>
      </c>
      <c r="I4198">
        <v>0.44949074074074075</v>
      </c>
      <c r="J4198">
        <v>44795</v>
      </c>
    </row>
    <row r="4199" spans="1:10" x14ac:dyDescent="0.35">
      <c r="A4199" s="2">
        <v>44787</v>
      </c>
      <c r="B4199" s="3">
        <v>0.75726851851851851</v>
      </c>
      <c r="C4199">
        <v>668</v>
      </c>
      <c r="D4199" t="str">
        <f>VLOOKUP(H4199,Produkt!$A$2:$B$5,2,FALSE)</f>
        <v>A</v>
      </c>
      <c r="H4199">
        <v>1</v>
      </c>
      <c r="I4199">
        <v>2.4930555555555553E-2</v>
      </c>
      <c r="J4199">
        <v>44788</v>
      </c>
    </row>
    <row r="4200" spans="1:10" x14ac:dyDescent="0.35">
      <c r="A4200" s="2">
        <v>44787</v>
      </c>
      <c r="B4200" s="3">
        <v>0.29567129629629629</v>
      </c>
      <c r="C4200">
        <v>669</v>
      </c>
      <c r="D4200" t="str">
        <f>VLOOKUP(H4200,Produkt!$A$2:$B$5,2,FALSE)</f>
        <v>B</v>
      </c>
      <c r="H4200">
        <v>2</v>
      </c>
      <c r="I4200">
        <v>0.17949074074074076</v>
      </c>
      <c r="J4200">
        <v>44792</v>
      </c>
    </row>
    <row r="4201" spans="1:10" x14ac:dyDescent="0.35">
      <c r="A4201" s="2">
        <v>44787</v>
      </c>
      <c r="B4201" s="3">
        <v>0.97280092592592593</v>
      </c>
      <c r="C4201">
        <v>750</v>
      </c>
      <c r="D4201" t="str">
        <f>VLOOKUP(H4201,Produkt!$A$2:$B$5,2,FALSE)</f>
        <v>A</v>
      </c>
      <c r="H4201">
        <v>1</v>
      </c>
      <c r="I4201">
        <v>0.57984953703703701</v>
      </c>
      <c r="J4201">
        <v>44791</v>
      </c>
    </row>
    <row r="4202" spans="1:10" x14ac:dyDescent="0.35">
      <c r="A4202" s="2">
        <v>44787</v>
      </c>
      <c r="B4202" s="3">
        <v>0.29381944444444447</v>
      </c>
      <c r="C4202">
        <v>752</v>
      </c>
      <c r="D4202" t="str">
        <f>VLOOKUP(H4202,Produkt!$A$2:$B$5,2,FALSE)</f>
        <v>C</v>
      </c>
      <c r="H4202">
        <v>3</v>
      </c>
      <c r="I4202">
        <v>0.56969907407407405</v>
      </c>
      <c r="J4202">
        <v>44789</v>
      </c>
    </row>
    <row r="4203" spans="1:10" x14ac:dyDescent="0.35">
      <c r="A4203" s="2">
        <v>44787</v>
      </c>
      <c r="B4203" s="3">
        <v>0.882349537037037</v>
      </c>
      <c r="C4203">
        <v>776</v>
      </c>
      <c r="D4203" t="str">
        <f>VLOOKUP(H4203,Produkt!$A$2:$B$5,2,FALSE)</f>
        <v>C</v>
      </c>
      <c r="H4203">
        <v>3</v>
      </c>
      <c r="I4203">
        <v>0.50266203703703705</v>
      </c>
      <c r="J4203">
        <v>44792</v>
      </c>
    </row>
    <row r="4204" spans="1:10" x14ac:dyDescent="0.35">
      <c r="A4204" s="2">
        <v>44787</v>
      </c>
      <c r="B4204" s="3">
        <v>0.79803240740740744</v>
      </c>
      <c r="C4204">
        <v>797</v>
      </c>
      <c r="D4204" t="str">
        <f>VLOOKUP(H4204,Produkt!$A$2:$B$5,2,FALSE)</f>
        <v>D</v>
      </c>
      <c r="H4204">
        <v>4</v>
      </c>
      <c r="I4204">
        <v>0.63549768518518512</v>
      </c>
      <c r="J4204">
        <v>44798</v>
      </c>
    </row>
    <row r="4205" spans="1:10" x14ac:dyDescent="0.35">
      <c r="A4205" s="2">
        <v>44787</v>
      </c>
      <c r="B4205" s="3">
        <v>0.82733796296296302</v>
      </c>
      <c r="C4205">
        <v>836</v>
      </c>
      <c r="D4205" t="str">
        <f>VLOOKUP(H4205,Produkt!$A$2:$B$5,2,FALSE)</f>
        <v>C</v>
      </c>
      <c r="H4205">
        <v>3</v>
      </c>
      <c r="I4205">
        <v>0.98702546296296301</v>
      </c>
      <c r="J4205">
        <v>44791</v>
      </c>
    </row>
    <row r="4206" spans="1:10" x14ac:dyDescent="0.35">
      <c r="A4206" s="2">
        <v>44787</v>
      </c>
      <c r="B4206" s="3">
        <v>0.36192129629629632</v>
      </c>
      <c r="C4206">
        <v>867</v>
      </c>
      <c r="D4206" t="str">
        <f>VLOOKUP(H4206,Produkt!$A$2:$B$5,2,FALSE)</f>
        <v>B</v>
      </c>
      <c r="H4206">
        <v>2</v>
      </c>
      <c r="I4206">
        <v>0.96098379629629627</v>
      </c>
      <c r="J4206">
        <v>44799</v>
      </c>
    </row>
    <row r="4207" spans="1:10" x14ac:dyDescent="0.35">
      <c r="A4207" s="2">
        <v>44787</v>
      </c>
      <c r="B4207" s="3">
        <v>0.14783564814814815</v>
      </c>
      <c r="C4207">
        <v>869</v>
      </c>
      <c r="D4207" t="str">
        <f>VLOOKUP(H4207,Produkt!$A$2:$B$5,2,FALSE)</f>
        <v>B</v>
      </c>
      <c r="H4207">
        <v>2</v>
      </c>
      <c r="I4207">
        <v>0.72106481481481488</v>
      </c>
      <c r="J4207">
        <v>44804</v>
      </c>
    </row>
    <row r="4208" spans="1:10" x14ac:dyDescent="0.35">
      <c r="A4208" s="2">
        <v>44787</v>
      </c>
      <c r="B4208" s="3">
        <v>0.85641203703703705</v>
      </c>
      <c r="C4208">
        <v>873</v>
      </c>
      <c r="D4208" t="str">
        <f>VLOOKUP(H4208,Produkt!$A$2:$B$5,2,FALSE)</f>
        <v>B</v>
      </c>
      <c r="H4208">
        <v>2</v>
      </c>
      <c r="I4208">
        <v>6.0752314814814821E-2</v>
      </c>
      <c r="J4208">
        <v>44774</v>
      </c>
    </row>
    <row r="4209" spans="1:10" x14ac:dyDescent="0.35">
      <c r="A4209" s="2">
        <v>44787</v>
      </c>
      <c r="B4209" s="3">
        <v>0.62282407407407414</v>
      </c>
      <c r="C4209">
        <v>877</v>
      </c>
      <c r="D4209" t="str">
        <f>VLOOKUP(H4209,Produkt!$A$2:$B$5,2,FALSE)</f>
        <v>D</v>
      </c>
      <c r="H4209">
        <v>4</v>
      </c>
      <c r="I4209">
        <v>0.36972222222222223</v>
      </c>
      <c r="J4209">
        <v>44803</v>
      </c>
    </row>
    <row r="4210" spans="1:10" x14ac:dyDescent="0.35">
      <c r="A4210" s="2">
        <v>44787</v>
      </c>
      <c r="B4210" s="3">
        <v>0.92065972222222225</v>
      </c>
      <c r="C4210">
        <v>885</v>
      </c>
      <c r="D4210" t="str">
        <f>VLOOKUP(H4210,Produkt!$A$2:$B$5,2,FALSE)</f>
        <v>D</v>
      </c>
      <c r="H4210">
        <v>4</v>
      </c>
      <c r="I4210">
        <v>0.56204861111111104</v>
      </c>
      <c r="J4210">
        <v>44787</v>
      </c>
    </row>
    <row r="4211" spans="1:10" x14ac:dyDescent="0.35">
      <c r="A4211" s="2">
        <v>44787</v>
      </c>
      <c r="B4211" s="3">
        <v>0.64872685185185186</v>
      </c>
      <c r="C4211">
        <v>914</v>
      </c>
      <c r="D4211" t="str">
        <f>VLOOKUP(H4211,Produkt!$A$2:$B$5,2,FALSE)</f>
        <v>B</v>
      </c>
      <c r="H4211">
        <v>2</v>
      </c>
      <c r="I4211">
        <v>0.92203703703703699</v>
      </c>
      <c r="J4211">
        <v>44796</v>
      </c>
    </row>
    <row r="4212" spans="1:10" x14ac:dyDescent="0.35">
      <c r="A4212" s="2">
        <v>44787</v>
      </c>
      <c r="B4212" s="3">
        <v>0.47809027777777779</v>
      </c>
      <c r="C4212">
        <v>924</v>
      </c>
      <c r="D4212" t="str">
        <f>VLOOKUP(H4212,Produkt!$A$2:$B$5,2,FALSE)</f>
        <v>C</v>
      </c>
      <c r="H4212">
        <v>3</v>
      </c>
      <c r="I4212">
        <v>0.94832175925925932</v>
      </c>
      <c r="J4212">
        <v>44804</v>
      </c>
    </row>
    <row r="4213" spans="1:10" x14ac:dyDescent="0.35">
      <c r="A4213" s="2">
        <v>44787</v>
      </c>
      <c r="B4213" s="3">
        <v>0.42069444444444443</v>
      </c>
      <c r="C4213">
        <v>925</v>
      </c>
      <c r="D4213" t="str">
        <f>VLOOKUP(H4213,Produkt!$A$2:$B$5,2,FALSE)</f>
        <v>B</v>
      </c>
      <c r="H4213">
        <v>2</v>
      </c>
      <c r="I4213">
        <v>0.22493055555555555</v>
      </c>
      <c r="J4213">
        <v>44783</v>
      </c>
    </row>
    <row r="4214" spans="1:10" x14ac:dyDescent="0.35">
      <c r="A4214" s="2">
        <v>44787</v>
      </c>
      <c r="B4214" s="3">
        <v>0.91109953703703705</v>
      </c>
      <c r="C4214">
        <v>937</v>
      </c>
      <c r="D4214" t="str">
        <f>VLOOKUP(H4214,Produkt!$A$2:$B$5,2,FALSE)</f>
        <v>C</v>
      </c>
      <c r="H4214">
        <v>3</v>
      </c>
      <c r="I4214">
        <v>0.29300925925925925</v>
      </c>
      <c r="J4214">
        <v>44779</v>
      </c>
    </row>
    <row r="4215" spans="1:10" x14ac:dyDescent="0.35">
      <c r="A4215" s="2">
        <v>44787</v>
      </c>
      <c r="B4215" s="3">
        <v>0.43119212962962966</v>
      </c>
      <c r="C4215">
        <v>965</v>
      </c>
      <c r="D4215" t="str">
        <f>VLOOKUP(H4215,Produkt!$A$2:$B$5,2,FALSE)</f>
        <v>B</v>
      </c>
      <c r="H4215">
        <v>2</v>
      </c>
      <c r="I4215">
        <v>0.46762731481481484</v>
      </c>
      <c r="J4215">
        <v>44776</v>
      </c>
    </row>
    <row r="4216" spans="1:10" x14ac:dyDescent="0.35">
      <c r="A4216" s="2">
        <v>44787</v>
      </c>
      <c r="B4216" s="3">
        <v>0.20668981481481483</v>
      </c>
      <c r="C4216">
        <v>969</v>
      </c>
      <c r="D4216" t="str">
        <f>VLOOKUP(H4216,Produkt!$A$2:$B$5,2,FALSE)</f>
        <v>D</v>
      </c>
      <c r="H4216">
        <v>4</v>
      </c>
      <c r="I4216">
        <v>0.57025462962962969</v>
      </c>
      <c r="J4216">
        <v>44789</v>
      </c>
    </row>
    <row r="4217" spans="1:10" x14ac:dyDescent="0.35">
      <c r="A4217" s="2">
        <v>44787</v>
      </c>
      <c r="B4217" s="3">
        <v>0.93936342592592592</v>
      </c>
      <c r="C4217">
        <v>978</v>
      </c>
      <c r="D4217" t="str">
        <f>VLOOKUP(H4217,Produkt!$A$2:$B$5,2,FALSE)</f>
        <v>C</v>
      </c>
      <c r="H4217">
        <v>3</v>
      </c>
      <c r="I4217">
        <v>0.78328703703703706</v>
      </c>
      <c r="J4217">
        <v>44802</v>
      </c>
    </row>
    <row r="4218" spans="1:10" x14ac:dyDescent="0.35">
      <c r="A4218" s="2">
        <v>44787</v>
      </c>
      <c r="B4218" s="3">
        <v>0.56299768518518511</v>
      </c>
      <c r="C4218">
        <v>1039</v>
      </c>
      <c r="D4218" t="str">
        <f>VLOOKUP(H4218,Produkt!$A$2:$B$5,2,FALSE)</f>
        <v>D</v>
      </c>
      <c r="H4218">
        <v>4</v>
      </c>
      <c r="I4218">
        <v>2.2280092592592591E-2</v>
      </c>
      <c r="J4218">
        <v>44774</v>
      </c>
    </row>
    <row r="4219" spans="1:10" x14ac:dyDescent="0.35">
      <c r="A4219" s="2">
        <v>44787</v>
      </c>
      <c r="B4219" s="3">
        <v>0.23488425925925926</v>
      </c>
      <c r="C4219">
        <v>1142</v>
      </c>
      <c r="D4219" t="str">
        <f>VLOOKUP(H4219,Produkt!$A$2:$B$5,2,FALSE)</f>
        <v>B</v>
      </c>
      <c r="H4219">
        <v>2</v>
      </c>
      <c r="I4219">
        <v>0.74447916666666669</v>
      </c>
      <c r="J4219">
        <v>44791</v>
      </c>
    </row>
    <row r="4220" spans="1:10" x14ac:dyDescent="0.35">
      <c r="A4220" s="2">
        <v>44787</v>
      </c>
      <c r="B4220" s="3">
        <v>0.85920138888888886</v>
      </c>
      <c r="C4220">
        <v>1165</v>
      </c>
      <c r="D4220" t="str">
        <f>VLOOKUP(H4220,Produkt!$A$2:$B$5,2,FALSE)</f>
        <v>B</v>
      </c>
      <c r="H4220">
        <v>2</v>
      </c>
      <c r="I4220">
        <v>0.39578703703703705</v>
      </c>
      <c r="J4220">
        <v>44782</v>
      </c>
    </row>
    <row r="4221" spans="1:10" x14ac:dyDescent="0.35">
      <c r="A4221" s="2">
        <v>44787</v>
      </c>
      <c r="B4221" s="3">
        <v>0.44651620370370365</v>
      </c>
      <c r="C4221">
        <v>1166</v>
      </c>
      <c r="D4221" t="str">
        <f>VLOOKUP(H4221,Produkt!$A$2:$B$5,2,FALSE)</f>
        <v>C</v>
      </c>
      <c r="H4221">
        <v>3</v>
      </c>
      <c r="I4221">
        <v>0.29576388888888888</v>
      </c>
      <c r="J4221">
        <v>44795</v>
      </c>
    </row>
    <row r="4222" spans="1:10" x14ac:dyDescent="0.35">
      <c r="A4222" s="2">
        <v>44787</v>
      </c>
      <c r="B4222" s="3">
        <v>0.51871527777777782</v>
      </c>
      <c r="C4222">
        <v>1201</v>
      </c>
      <c r="D4222" t="str">
        <f>VLOOKUP(H4222,Produkt!$A$2:$B$5,2,FALSE)</f>
        <v>A</v>
      </c>
      <c r="H4222">
        <v>1</v>
      </c>
      <c r="I4222">
        <v>0.85179398148148155</v>
      </c>
      <c r="J4222">
        <v>44791</v>
      </c>
    </row>
    <row r="4223" spans="1:10" x14ac:dyDescent="0.35">
      <c r="A4223" s="2">
        <v>44787</v>
      </c>
      <c r="B4223" s="3">
        <v>0.27278935185185188</v>
      </c>
      <c r="C4223">
        <v>1209</v>
      </c>
      <c r="D4223" t="str">
        <f>VLOOKUP(H4223,Produkt!$A$2:$B$5,2,FALSE)</f>
        <v>A</v>
      </c>
      <c r="H4223">
        <v>1</v>
      </c>
      <c r="I4223">
        <v>0.64749999999999996</v>
      </c>
      <c r="J4223">
        <v>44781</v>
      </c>
    </row>
    <row r="4224" spans="1:10" x14ac:dyDescent="0.35">
      <c r="A4224" s="2">
        <v>44787</v>
      </c>
      <c r="B4224" s="3">
        <v>0.80447916666666675</v>
      </c>
      <c r="C4224">
        <v>1213</v>
      </c>
      <c r="D4224" t="str">
        <f>VLOOKUP(H4224,Produkt!$A$2:$B$5,2,FALSE)</f>
        <v>B</v>
      </c>
      <c r="H4224">
        <v>2</v>
      </c>
      <c r="I4224">
        <v>0.37365740740740744</v>
      </c>
      <c r="J4224">
        <v>44800</v>
      </c>
    </row>
    <row r="4225" spans="1:10" x14ac:dyDescent="0.35">
      <c r="A4225" s="2">
        <v>44787</v>
      </c>
      <c r="B4225" s="3">
        <v>0.96133101851851854</v>
      </c>
      <c r="C4225">
        <v>1253</v>
      </c>
      <c r="D4225" t="str">
        <f>VLOOKUP(H4225,Produkt!$A$2:$B$5,2,FALSE)</f>
        <v>C</v>
      </c>
      <c r="H4225">
        <v>3</v>
      </c>
      <c r="I4225">
        <v>5.3935185185185475E-3</v>
      </c>
      <c r="J4225">
        <v>44785</v>
      </c>
    </row>
    <row r="4226" spans="1:10" x14ac:dyDescent="0.35">
      <c r="A4226" s="2">
        <v>44787</v>
      </c>
      <c r="B4226" s="3">
        <v>0.45346064814814818</v>
      </c>
      <c r="C4226">
        <v>1274</v>
      </c>
      <c r="D4226" t="str">
        <f>VLOOKUP(H4226,Produkt!$A$2:$B$5,2,FALSE)</f>
        <v>D</v>
      </c>
      <c r="H4226">
        <v>4</v>
      </c>
      <c r="I4226">
        <v>3.6203703703703738E-2</v>
      </c>
      <c r="J4226">
        <v>44777</v>
      </c>
    </row>
    <row r="4227" spans="1:10" x14ac:dyDescent="0.35">
      <c r="A4227" s="2">
        <v>44787</v>
      </c>
      <c r="B4227" s="3">
        <v>0.47960648148148149</v>
      </c>
      <c r="C4227">
        <v>1303</v>
      </c>
      <c r="D4227" t="str">
        <f>VLOOKUP(H4227,Produkt!$A$2:$B$5,2,FALSE)</f>
        <v>B</v>
      </c>
      <c r="H4227">
        <v>2</v>
      </c>
      <c r="I4227">
        <v>0.22777777777777777</v>
      </c>
      <c r="J4227">
        <v>44784</v>
      </c>
    </row>
    <row r="4228" spans="1:10" x14ac:dyDescent="0.35">
      <c r="A4228" s="2">
        <v>44787</v>
      </c>
      <c r="B4228" s="3">
        <v>0.52726851851851853</v>
      </c>
      <c r="C4228">
        <v>1339</v>
      </c>
      <c r="D4228" t="str">
        <f>VLOOKUP(H4228,Produkt!$A$2:$B$5,2,FALSE)</f>
        <v>A</v>
      </c>
      <c r="H4228">
        <v>1</v>
      </c>
      <c r="I4228">
        <v>0.92062499999999992</v>
      </c>
      <c r="J4228">
        <v>44776</v>
      </c>
    </row>
    <row r="4229" spans="1:10" x14ac:dyDescent="0.35">
      <c r="A4229" s="2">
        <v>44787</v>
      </c>
      <c r="B4229" s="3">
        <v>0.88512731481481488</v>
      </c>
      <c r="C4229">
        <v>1341</v>
      </c>
      <c r="D4229" t="str">
        <f>VLOOKUP(H4229,Produkt!$A$2:$B$5,2,FALSE)</f>
        <v>D</v>
      </c>
      <c r="H4229">
        <v>4</v>
      </c>
      <c r="I4229">
        <v>0.65843750000000001</v>
      </c>
      <c r="J4229">
        <v>44780</v>
      </c>
    </row>
    <row r="4230" spans="1:10" x14ac:dyDescent="0.35">
      <c r="A4230" s="2">
        <v>44787</v>
      </c>
      <c r="B4230" s="3">
        <v>0.74920138888888888</v>
      </c>
      <c r="C4230">
        <v>1377</v>
      </c>
      <c r="D4230" t="str">
        <f>VLOOKUP(H4230,Produkt!$A$2:$B$5,2,FALSE)</f>
        <v>D</v>
      </c>
      <c r="H4230">
        <v>4</v>
      </c>
      <c r="I4230">
        <v>0.81396990740740749</v>
      </c>
      <c r="J4230">
        <v>44801</v>
      </c>
    </row>
    <row r="4231" spans="1:10" x14ac:dyDescent="0.35">
      <c r="A4231" s="2">
        <v>44787</v>
      </c>
      <c r="B4231" s="3">
        <v>0.41491898148148149</v>
      </c>
      <c r="C4231">
        <v>1462</v>
      </c>
      <c r="D4231" t="str">
        <f>VLOOKUP(H4231,Produkt!$A$2:$B$5,2,FALSE)</f>
        <v>B</v>
      </c>
      <c r="H4231">
        <v>2</v>
      </c>
      <c r="I4231">
        <v>0.60559027777777774</v>
      </c>
      <c r="J4231">
        <v>44788</v>
      </c>
    </row>
    <row r="4232" spans="1:10" x14ac:dyDescent="0.35">
      <c r="A4232" s="2">
        <v>44787</v>
      </c>
      <c r="B4232" s="3">
        <v>0.22989583333333333</v>
      </c>
      <c r="C4232">
        <v>1490</v>
      </c>
      <c r="D4232" t="str">
        <f>VLOOKUP(H4232,Produkt!$A$2:$B$5,2,FALSE)</f>
        <v>B</v>
      </c>
      <c r="H4232">
        <v>2</v>
      </c>
      <c r="I4232">
        <v>0.12119212962962962</v>
      </c>
      <c r="J4232">
        <v>44777</v>
      </c>
    </row>
    <row r="4233" spans="1:10" x14ac:dyDescent="0.35">
      <c r="A4233" s="2">
        <v>44787</v>
      </c>
      <c r="B4233" s="3">
        <v>1.1064814814814814E-2</v>
      </c>
      <c r="C4233">
        <v>1521</v>
      </c>
      <c r="D4233" t="str">
        <f>VLOOKUP(H4233,Produkt!$A$2:$B$5,2,FALSE)</f>
        <v>D</v>
      </c>
      <c r="H4233">
        <v>4</v>
      </c>
      <c r="I4233">
        <v>0.67699074074074073</v>
      </c>
      <c r="J4233">
        <v>44774</v>
      </c>
    </row>
    <row r="4234" spans="1:10" x14ac:dyDescent="0.35">
      <c r="A4234" s="2">
        <v>44787</v>
      </c>
      <c r="B4234" s="3">
        <v>6.5682870370370364E-2</v>
      </c>
      <c r="C4234">
        <v>1526</v>
      </c>
      <c r="D4234" t="str">
        <f>VLOOKUP(H4234,Produkt!$A$2:$B$5,2,FALSE)</f>
        <v>C</v>
      </c>
      <c r="H4234">
        <v>3</v>
      </c>
      <c r="I4234">
        <v>0.59171296296296294</v>
      </c>
      <c r="J4234">
        <v>44778</v>
      </c>
    </row>
    <row r="4235" spans="1:10" x14ac:dyDescent="0.35">
      <c r="A4235" s="2">
        <v>44787</v>
      </c>
      <c r="B4235" s="3">
        <v>0.69943287037037039</v>
      </c>
      <c r="C4235">
        <v>1585</v>
      </c>
      <c r="D4235" t="str">
        <f>VLOOKUP(H4235,Produkt!$A$2:$B$5,2,FALSE)</f>
        <v>C</v>
      </c>
      <c r="H4235">
        <v>3</v>
      </c>
      <c r="I4235">
        <v>0.36015046296296299</v>
      </c>
      <c r="J4235">
        <v>44795</v>
      </c>
    </row>
    <row r="4236" spans="1:10" x14ac:dyDescent="0.35">
      <c r="A4236" s="2">
        <v>44787</v>
      </c>
      <c r="B4236" s="3">
        <v>0.23811342592592591</v>
      </c>
      <c r="C4236">
        <v>1601</v>
      </c>
      <c r="D4236" t="str">
        <f>VLOOKUP(H4236,Produkt!$A$2:$B$5,2,FALSE)</f>
        <v>A</v>
      </c>
      <c r="H4236">
        <v>1</v>
      </c>
      <c r="I4236">
        <v>0.10375000000000001</v>
      </c>
      <c r="J4236">
        <v>44803</v>
      </c>
    </row>
    <row r="4237" spans="1:10" x14ac:dyDescent="0.35">
      <c r="A4237" s="2">
        <v>44787</v>
      </c>
      <c r="B4237" s="3">
        <v>0.69006944444444451</v>
      </c>
      <c r="C4237">
        <v>1639</v>
      </c>
      <c r="D4237" t="str">
        <f>VLOOKUP(H4237,Produkt!$A$2:$B$5,2,FALSE)</f>
        <v>A</v>
      </c>
      <c r="H4237">
        <v>1</v>
      </c>
      <c r="I4237">
        <v>0.51127314814814817</v>
      </c>
      <c r="J4237">
        <v>44776</v>
      </c>
    </row>
    <row r="4238" spans="1:10" x14ac:dyDescent="0.35">
      <c r="A4238" s="2">
        <v>44787</v>
      </c>
      <c r="B4238" s="3">
        <v>0.61097222222222225</v>
      </c>
      <c r="C4238">
        <v>1651</v>
      </c>
      <c r="D4238" t="str">
        <f>VLOOKUP(H4238,Produkt!$A$2:$B$5,2,FALSE)</f>
        <v>D</v>
      </c>
      <c r="H4238">
        <v>4</v>
      </c>
      <c r="I4238">
        <v>0.41562499999999997</v>
      </c>
      <c r="J4238">
        <v>44793</v>
      </c>
    </row>
    <row r="4239" spans="1:10" x14ac:dyDescent="0.35">
      <c r="A4239" s="2">
        <v>44787</v>
      </c>
      <c r="B4239" s="3">
        <v>0.67949074074074067</v>
      </c>
      <c r="C4239">
        <v>1667</v>
      </c>
      <c r="D4239" t="str">
        <f>VLOOKUP(H4239,Produkt!$A$2:$B$5,2,FALSE)</f>
        <v>C</v>
      </c>
      <c r="H4239">
        <v>3</v>
      </c>
      <c r="I4239">
        <v>2.9976851851851949E-2</v>
      </c>
      <c r="J4239">
        <v>44786</v>
      </c>
    </row>
    <row r="4240" spans="1:10" x14ac:dyDescent="0.35">
      <c r="A4240" s="2">
        <v>44787</v>
      </c>
      <c r="B4240" s="3">
        <v>0.69</v>
      </c>
      <c r="C4240">
        <v>1684</v>
      </c>
      <c r="D4240" t="str">
        <f>VLOOKUP(H4240,Produkt!$A$2:$B$5,2,FALSE)</f>
        <v>D</v>
      </c>
      <c r="H4240">
        <v>4</v>
      </c>
      <c r="I4240">
        <v>0.11162037037037037</v>
      </c>
      <c r="J4240">
        <v>44792</v>
      </c>
    </row>
    <row r="4241" spans="1:10" x14ac:dyDescent="0.35">
      <c r="A4241" s="2">
        <v>44787</v>
      </c>
      <c r="B4241" s="3">
        <v>2.0138888888888928E-2</v>
      </c>
      <c r="C4241">
        <v>1689</v>
      </c>
      <c r="D4241" t="str">
        <f>VLOOKUP(H4241,Produkt!$A$2:$B$5,2,FALSE)</f>
        <v>A</v>
      </c>
      <c r="H4241">
        <v>1</v>
      </c>
      <c r="I4241">
        <v>0.65881944444444451</v>
      </c>
      <c r="J4241">
        <v>44790</v>
      </c>
    </row>
    <row r="4242" spans="1:10" x14ac:dyDescent="0.35">
      <c r="A4242" s="2">
        <v>44787</v>
      </c>
      <c r="B4242" s="3">
        <v>0.73644675925925929</v>
      </c>
      <c r="C4242">
        <v>1722</v>
      </c>
      <c r="D4242" t="str">
        <f>VLOOKUP(H4242,Produkt!$A$2:$B$5,2,FALSE)</f>
        <v>D</v>
      </c>
      <c r="H4242">
        <v>4</v>
      </c>
      <c r="I4242">
        <v>0.10351851851851852</v>
      </c>
      <c r="J4242">
        <v>44798</v>
      </c>
    </row>
    <row r="4243" spans="1:10" x14ac:dyDescent="0.35">
      <c r="A4243" s="2">
        <v>44787</v>
      </c>
      <c r="B4243" s="3">
        <v>0.54341435185185183</v>
      </c>
      <c r="C4243">
        <v>1778</v>
      </c>
      <c r="D4243" t="str">
        <f>VLOOKUP(H4243,Produkt!$A$2:$B$5,2,FALSE)</f>
        <v>B</v>
      </c>
      <c r="H4243">
        <v>2</v>
      </c>
      <c r="I4243">
        <v>0.26392361111111112</v>
      </c>
      <c r="J4243">
        <v>44795</v>
      </c>
    </row>
    <row r="4244" spans="1:10" x14ac:dyDescent="0.35">
      <c r="A4244" s="2">
        <v>44787</v>
      </c>
      <c r="B4244" s="3">
        <v>0.56913194444444437</v>
      </c>
      <c r="C4244">
        <v>1869</v>
      </c>
      <c r="D4244" t="str">
        <f>VLOOKUP(H4244,Produkt!$A$2:$B$5,2,FALSE)</f>
        <v>A</v>
      </c>
      <c r="H4244">
        <v>1</v>
      </c>
      <c r="I4244">
        <v>0.82850694444444439</v>
      </c>
      <c r="J4244">
        <v>44798</v>
      </c>
    </row>
    <row r="4245" spans="1:10" x14ac:dyDescent="0.35">
      <c r="A4245" s="2">
        <v>44787</v>
      </c>
      <c r="B4245" s="3">
        <v>0.57776620370370368</v>
      </c>
      <c r="C4245">
        <v>1885</v>
      </c>
      <c r="D4245" t="str">
        <f>VLOOKUP(H4245,Produkt!$A$2:$B$5,2,FALSE)</f>
        <v>B</v>
      </c>
      <c r="H4245">
        <v>2</v>
      </c>
      <c r="I4245">
        <v>0.7163425925925927</v>
      </c>
      <c r="J4245">
        <v>44774</v>
      </c>
    </row>
    <row r="4246" spans="1:10" x14ac:dyDescent="0.35">
      <c r="A4246" s="2">
        <v>44787</v>
      </c>
      <c r="B4246" s="3">
        <v>0.54361111111111116</v>
      </c>
      <c r="C4246">
        <v>1937</v>
      </c>
      <c r="D4246" t="str">
        <f>VLOOKUP(H4246,Produkt!$A$2:$B$5,2,FALSE)</f>
        <v>B</v>
      </c>
      <c r="H4246">
        <v>2</v>
      </c>
      <c r="I4246">
        <v>0.31059027777777776</v>
      </c>
      <c r="J4246">
        <v>44788</v>
      </c>
    </row>
    <row r="4247" spans="1:10" x14ac:dyDescent="0.35">
      <c r="A4247" s="2">
        <v>44787</v>
      </c>
      <c r="B4247" s="3">
        <v>0.18938657407407408</v>
      </c>
      <c r="C4247">
        <v>1955</v>
      </c>
      <c r="D4247" t="str">
        <f>VLOOKUP(H4247,Produkt!$A$2:$B$5,2,FALSE)</f>
        <v>A</v>
      </c>
      <c r="H4247">
        <v>1</v>
      </c>
      <c r="I4247">
        <v>0.43026620370370372</v>
      </c>
      <c r="J4247">
        <v>44796</v>
      </c>
    </row>
    <row r="4248" spans="1:10" x14ac:dyDescent="0.35">
      <c r="A4248" s="2">
        <v>44787</v>
      </c>
      <c r="B4248" s="3">
        <v>0.82290509259259259</v>
      </c>
      <c r="C4248">
        <v>1985</v>
      </c>
      <c r="D4248" t="str">
        <f>VLOOKUP(H4248,Produkt!$A$2:$B$5,2,FALSE)</f>
        <v>A</v>
      </c>
      <c r="H4248">
        <v>1</v>
      </c>
      <c r="I4248">
        <v>2.0138888888888928E-2</v>
      </c>
      <c r="J4248">
        <v>44788</v>
      </c>
    </row>
    <row r="4249" spans="1:10" x14ac:dyDescent="0.35">
      <c r="A4249" s="2">
        <v>44787</v>
      </c>
      <c r="B4249" s="3">
        <v>4.1273148148148087E-2</v>
      </c>
      <c r="C4249">
        <v>1990</v>
      </c>
      <c r="D4249" t="str">
        <f>VLOOKUP(H4249,Produkt!$A$2:$B$5,2,FALSE)</f>
        <v>B</v>
      </c>
      <c r="H4249">
        <v>2</v>
      </c>
      <c r="I4249">
        <v>0.82097222222222221</v>
      </c>
      <c r="J4249">
        <v>44784</v>
      </c>
    </row>
    <row r="4250" spans="1:10" x14ac:dyDescent="0.35">
      <c r="A4250" s="2">
        <v>44787</v>
      </c>
      <c r="B4250" s="3">
        <v>8.7071759259259252E-2</v>
      </c>
      <c r="C4250">
        <v>1994</v>
      </c>
      <c r="D4250" t="str">
        <f>VLOOKUP(H4250,Produkt!$A$2:$B$5,2,FALSE)</f>
        <v>A</v>
      </c>
      <c r="H4250">
        <v>1</v>
      </c>
      <c r="I4250">
        <v>1.8055555555555557E-2</v>
      </c>
      <c r="J4250">
        <v>44788</v>
      </c>
    </row>
    <row r="4251" spans="1:10" x14ac:dyDescent="0.35">
      <c r="A4251" s="2">
        <v>44787</v>
      </c>
      <c r="B4251" s="3">
        <v>0.61310185185185184</v>
      </c>
      <c r="C4251">
        <v>2003</v>
      </c>
      <c r="D4251" t="str">
        <f>VLOOKUP(H4251,Produkt!$A$2:$B$5,2,FALSE)</f>
        <v>C</v>
      </c>
      <c r="H4251">
        <v>3</v>
      </c>
      <c r="I4251">
        <v>0.70113425925925921</v>
      </c>
      <c r="J4251">
        <v>44791</v>
      </c>
    </row>
    <row r="4252" spans="1:10" x14ac:dyDescent="0.35">
      <c r="A4252" s="2">
        <v>44787</v>
      </c>
      <c r="B4252" s="3">
        <v>0.97745370370370377</v>
      </c>
      <c r="C4252">
        <v>2040</v>
      </c>
      <c r="D4252" t="str">
        <f>VLOOKUP(H4252,Produkt!$A$2:$B$5,2,FALSE)</f>
        <v>C</v>
      </c>
      <c r="H4252">
        <v>3</v>
      </c>
      <c r="I4252">
        <v>0.34956018518518522</v>
      </c>
      <c r="J4252">
        <v>44791</v>
      </c>
    </row>
    <row r="4253" spans="1:10" x14ac:dyDescent="0.35">
      <c r="A4253" s="2">
        <v>44787</v>
      </c>
      <c r="B4253" s="3">
        <v>0.3444444444444445</v>
      </c>
      <c r="C4253">
        <v>2074</v>
      </c>
      <c r="D4253" t="str">
        <f>VLOOKUP(H4253,Produkt!$A$2:$B$5,2,FALSE)</f>
        <v>C</v>
      </c>
      <c r="H4253">
        <v>3</v>
      </c>
      <c r="I4253">
        <v>0.78186342592592595</v>
      </c>
      <c r="J4253">
        <v>44793</v>
      </c>
    </row>
    <row r="4254" spans="1:10" x14ac:dyDescent="0.35">
      <c r="A4254" s="2">
        <v>44787</v>
      </c>
      <c r="B4254" s="3">
        <v>6.7384259259259269E-2</v>
      </c>
      <c r="C4254">
        <v>2118</v>
      </c>
      <c r="D4254" t="str">
        <f>VLOOKUP(H4254,Produkt!$A$2:$B$5,2,FALSE)</f>
        <v>B</v>
      </c>
      <c r="H4254">
        <v>2</v>
      </c>
      <c r="I4254">
        <v>0.8208333333333333</v>
      </c>
      <c r="J4254">
        <v>44780</v>
      </c>
    </row>
    <row r="4255" spans="1:10" x14ac:dyDescent="0.35">
      <c r="A4255" s="2">
        <v>44787</v>
      </c>
      <c r="B4255" s="3">
        <v>0.52777777777777779</v>
      </c>
      <c r="C4255">
        <v>2122</v>
      </c>
      <c r="D4255" t="str">
        <f>VLOOKUP(H4255,Produkt!$A$2:$B$5,2,FALSE)</f>
        <v>A</v>
      </c>
      <c r="H4255">
        <v>1</v>
      </c>
      <c r="I4255">
        <v>0.78811342592592604</v>
      </c>
      <c r="J4255">
        <v>44802</v>
      </c>
    </row>
    <row r="4256" spans="1:10" x14ac:dyDescent="0.35">
      <c r="A4256" s="2">
        <v>44787</v>
      </c>
      <c r="B4256" s="3">
        <v>0.97343750000000007</v>
      </c>
      <c r="C4256">
        <v>2136</v>
      </c>
      <c r="D4256" t="str">
        <f>VLOOKUP(H4256,Produkt!$A$2:$B$5,2,FALSE)</f>
        <v>B</v>
      </c>
      <c r="H4256">
        <v>2</v>
      </c>
      <c r="I4256">
        <v>0.7709259259259259</v>
      </c>
      <c r="J4256">
        <v>44804</v>
      </c>
    </row>
    <row r="4257" spans="1:10" x14ac:dyDescent="0.35">
      <c r="A4257" s="2">
        <v>44787</v>
      </c>
      <c r="B4257" s="3">
        <v>0.32395833333333335</v>
      </c>
      <c r="C4257">
        <v>2207</v>
      </c>
      <c r="D4257" t="str">
        <f>VLOOKUP(H4257,Produkt!$A$2:$B$5,2,FALSE)</f>
        <v>A</v>
      </c>
      <c r="H4257">
        <v>1</v>
      </c>
      <c r="I4257">
        <v>0.92855324074074075</v>
      </c>
      <c r="J4257">
        <v>44775</v>
      </c>
    </row>
    <row r="4258" spans="1:10" x14ac:dyDescent="0.35">
      <c r="A4258" s="2">
        <v>44787</v>
      </c>
      <c r="B4258" s="3">
        <v>0.59881944444444446</v>
      </c>
      <c r="C4258">
        <v>2249</v>
      </c>
      <c r="D4258" t="str">
        <f>VLOOKUP(H4258,Produkt!$A$2:$B$5,2,FALSE)</f>
        <v>B</v>
      </c>
      <c r="H4258">
        <v>2</v>
      </c>
      <c r="I4258">
        <v>4.9328703703703701E-2</v>
      </c>
      <c r="J4258">
        <v>44776</v>
      </c>
    </row>
    <row r="4259" spans="1:10" x14ac:dyDescent="0.35">
      <c r="A4259" s="2">
        <v>44787</v>
      </c>
      <c r="B4259" s="3">
        <v>0.40190972222222227</v>
      </c>
      <c r="C4259">
        <v>2265</v>
      </c>
      <c r="D4259" t="str">
        <f>VLOOKUP(H4259,Produkt!$A$2:$B$5,2,FALSE)</f>
        <v>A</v>
      </c>
      <c r="H4259">
        <v>1</v>
      </c>
      <c r="I4259">
        <v>0.47222222222222227</v>
      </c>
      <c r="J4259">
        <v>44792</v>
      </c>
    </row>
    <row r="4260" spans="1:10" x14ac:dyDescent="0.35">
      <c r="A4260" s="2">
        <v>44787</v>
      </c>
      <c r="B4260" s="3">
        <v>0.70331018518518518</v>
      </c>
      <c r="C4260">
        <v>2334</v>
      </c>
      <c r="D4260" t="str">
        <f>VLOOKUP(H4260,Produkt!$A$2:$B$5,2,FALSE)</f>
        <v>D</v>
      </c>
      <c r="H4260">
        <v>4</v>
      </c>
      <c r="I4260">
        <v>1.3738425925925926E-2</v>
      </c>
      <c r="J4260">
        <v>44787</v>
      </c>
    </row>
    <row r="4261" spans="1:10" x14ac:dyDescent="0.35">
      <c r="A4261" s="2">
        <v>44787</v>
      </c>
      <c r="B4261" s="3">
        <v>0.73263888888888884</v>
      </c>
      <c r="C4261">
        <v>2441</v>
      </c>
      <c r="D4261" t="str">
        <f>VLOOKUP(H4261,Produkt!$A$2:$B$5,2,FALSE)</f>
        <v>B</v>
      </c>
      <c r="H4261">
        <v>2</v>
      </c>
      <c r="I4261">
        <v>0.1645486111111111</v>
      </c>
      <c r="J4261">
        <v>44782</v>
      </c>
    </row>
    <row r="4262" spans="1:10" x14ac:dyDescent="0.35">
      <c r="A4262" s="2">
        <v>44787</v>
      </c>
      <c r="B4262" s="3">
        <v>0.63777777777777778</v>
      </c>
      <c r="C4262">
        <v>2470</v>
      </c>
      <c r="D4262" t="str">
        <f>VLOOKUP(H4262,Produkt!$A$2:$B$5,2,FALSE)</f>
        <v>B</v>
      </c>
      <c r="H4262">
        <v>2</v>
      </c>
      <c r="I4262">
        <v>0.32232638888888893</v>
      </c>
      <c r="J4262">
        <v>44783</v>
      </c>
    </row>
    <row r="4263" spans="1:10" x14ac:dyDescent="0.35">
      <c r="A4263" s="2">
        <v>44787</v>
      </c>
      <c r="B4263" s="3">
        <v>0.44410879629629635</v>
      </c>
      <c r="C4263">
        <v>2474</v>
      </c>
      <c r="D4263" t="str">
        <f>VLOOKUP(H4263,Produkt!$A$2:$B$5,2,FALSE)</f>
        <v>B</v>
      </c>
      <c r="H4263">
        <v>2</v>
      </c>
      <c r="I4263">
        <v>0.48136574074074073</v>
      </c>
      <c r="J4263">
        <v>44786</v>
      </c>
    </row>
    <row r="4264" spans="1:10" x14ac:dyDescent="0.35">
      <c r="A4264" s="2">
        <v>44787</v>
      </c>
      <c r="B4264" s="3">
        <v>0.86157407407407405</v>
      </c>
      <c r="C4264">
        <v>2481</v>
      </c>
      <c r="D4264" t="str">
        <f>VLOOKUP(H4264,Produkt!$A$2:$B$5,2,FALSE)</f>
        <v>C</v>
      </c>
      <c r="H4264">
        <v>3</v>
      </c>
      <c r="I4264">
        <v>0.73121527777777784</v>
      </c>
      <c r="J4264">
        <v>44795</v>
      </c>
    </row>
    <row r="4265" spans="1:10" x14ac:dyDescent="0.35">
      <c r="A4265" s="2">
        <v>44787</v>
      </c>
      <c r="B4265" s="3">
        <v>0.96184027777777781</v>
      </c>
      <c r="C4265">
        <v>2513</v>
      </c>
      <c r="D4265" t="str">
        <f>VLOOKUP(H4265,Produkt!$A$2:$B$5,2,FALSE)</f>
        <v>C</v>
      </c>
      <c r="H4265">
        <v>3</v>
      </c>
      <c r="I4265">
        <v>0.62186342592592592</v>
      </c>
      <c r="J4265">
        <v>44792</v>
      </c>
    </row>
    <row r="4266" spans="1:10" x14ac:dyDescent="0.35">
      <c r="A4266" s="2">
        <v>44787</v>
      </c>
      <c r="B4266" s="3">
        <v>0.88328703703703704</v>
      </c>
      <c r="C4266">
        <v>2520</v>
      </c>
      <c r="D4266" t="str">
        <f>VLOOKUP(H4266,Produkt!$A$2:$B$5,2,FALSE)</f>
        <v>D</v>
      </c>
      <c r="H4266">
        <v>4</v>
      </c>
      <c r="I4266">
        <v>0.74271990740740745</v>
      </c>
      <c r="J4266">
        <v>44785</v>
      </c>
    </row>
    <row r="4267" spans="1:10" x14ac:dyDescent="0.35">
      <c r="A4267" s="2">
        <v>44787</v>
      </c>
      <c r="B4267" s="3">
        <v>0.24528935185185186</v>
      </c>
      <c r="C4267">
        <v>2532</v>
      </c>
      <c r="D4267" t="str">
        <f>VLOOKUP(H4267,Produkt!$A$2:$B$5,2,FALSE)</f>
        <v>A</v>
      </c>
      <c r="H4267">
        <v>1</v>
      </c>
      <c r="I4267">
        <v>0.55239583333333331</v>
      </c>
      <c r="J4267">
        <v>44779</v>
      </c>
    </row>
    <row r="4268" spans="1:10" x14ac:dyDescent="0.35">
      <c r="A4268" s="2">
        <v>44787</v>
      </c>
      <c r="B4268" s="3">
        <v>0.11055555555555556</v>
      </c>
      <c r="C4268">
        <v>2590</v>
      </c>
      <c r="D4268" t="str">
        <f>VLOOKUP(H4268,Produkt!$A$2:$B$5,2,FALSE)</f>
        <v>C</v>
      </c>
      <c r="H4268">
        <v>3</v>
      </c>
      <c r="I4268">
        <v>0.32993055555555556</v>
      </c>
      <c r="J4268">
        <v>44795</v>
      </c>
    </row>
    <row r="4269" spans="1:10" x14ac:dyDescent="0.35">
      <c r="A4269" s="2">
        <v>44787</v>
      </c>
      <c r="B4269" s="3">
        <v>0.72327546296296286</v>
      </c>
      <c r="C4269">
        <v>2632</v>
      </c>
      <c r="D4269" t="str">
        <f>VLOOKUP(H4269,Produkt!$A$2:$B$5,2,FALSE)</f>
        <v>B</v>
      </c>
      <c r="H4269">
        <v>2</v>
      </c>
      <c r="I4269">
        <v>0.83245370370370375</v>
      </c>
      <c r="J4269">
        <v>44790</v>
      </c>
    </row>
    <row r="4270" spans="1:10" x14ac:dyDescent="0.35">
      <c r="A4270" s="2">
        <v>44787</v>
      </c>
      <c r="B4270" s="3">
        <v>0.22421296296296298</v>
      </c>
      <c r="C4270">
        <v>2649</v>
      </c>
      <c r="D4270" t="str">
        <f>VLOOKUP(H4270,Produkt!$A$2:$B$5,2,FALSE)</f>
        <v>B</v>
      </c>
      <c r="H4270">
        <v>2</v>
      </c>
      <c r="I4270">
        <v>0.34407407407407403</v>
      </c>
      <c r="J4270">
        <v>44797</v>
      </c>
    </row>
    <row r="4271" spans="1:10" x14ac:dyDescent="0.35">
      <c r="A4271" s="2">
        <v>44787</v>
      </c>
      <c r="B4271" s="3">
        <v>0.36620370370370375</v>
      </c>
      <c r="C4271">
        <v>2662</v>
      </c>
      <c r="D4271" t="str">
        <f>VLOOKUP(H4271,Produkt!$A$2:$B$5,2,FALSE)</f>
        <v>C</v>
      </c>
      <c r="H4271">
        <v>3</v>
      </c>
      <c r="I4271">
        <v>0.1769212962962963</v>
      </c>
      <c r="J4271">
        <v>44795</v>
      </c>
    </row>
    <row r="4272" spans="1:10" x14ac:dyDescent="0.35">
      <c r="A4272" s="2">
        <v>44787</v>
      </c>
      <c r="B4272" s="3">
        <v>0.25548611111111114</v>
      </c>
      <c r="C4272">
        <v>2664</v>
      </c>
      <c r="D4272" t="str">
        <f>VLOOKUP(H4272,Produkt!$A$2:$B$5,2,FALSE)</f>
        <v>A</v>
      </c>
      <c r="H4272">
        <v>1</v>
      </c>
      <c r="I4272">
        <v>0.72298611111111111</v>
      </c>
      <c r="J4272">
        <v>44789</v>
      </c>
    </row>
    <row r="4273" spans="1:10" x14ac:dyDescent="0.35">
      <c r="A4273" s="2">
        <v>44787</v>
      </c>
      <c r="B4273" s="3">
        <v>0.51096064814814812</v>
      </c>
      <c r="C4273">
        <v>2756</v>
      </c>
      <c r="D4273" t="str">
        <f>VLOOKUP(H4273,Produkt!$A$2:$B$5,2,FALSE)</f>
        <v>D</v>
      </c>
      <c r="H4273">
        <v>4</v>
      </c>
      <c r="I4273">
        <v>8.8402777777777775E-2</v>
      </c>
      <c r="J4273">
        <v>44803</v>
      </c>
    </row>
    <row r="4274" spans="1:10" x14ac:dyDescent="0.35">
      <c r="A4274" s="2">
        <v>44787</v>
      </c>
      <c r="B4274" s="3">
        <v>0.95837962962962964</v>
      </c>
      <c r="C4274">
        <v>2808</v>
      </c>
      <c r="D4274" t="str">
        <f>VLOOKUP(H4274,Produkt!$A$2:$B$5,2,FALSE)</f>
        <v>B</v>
      </c>
      <c r="H4274">
        <v>2</v>
      </c>
      <c r="I4274">
        <v>5.7754629629629628E-2</v>
      </c>
      <c r="J4274">
        <v>44785</v>
      </c>
    </row>
    <row r="4275" spans="1:10" x14ac:dyDescent="0.35">
      <c r="A4275" s="2">
        <v>44787</v>
      </c>
      <c r="B4275" s="3">
        <v>0.20811342592592594</v>
      </c>
      <c r="C4275">
        <v>2915</v>
      </c>
      <c r="D4275" t="str">
        <f>VLOOKUP(H4275,Produkt!$A$2:$B$5,2,FALSE)</f>
        <v>D</v>
      </c>
      <c r="H4275">
        <v>4</v>
      </c>
      <c r="I4275">
        <v>0.73084490740740737</v>
      </c>
      <c r="J4275">
        <v>44800</v>
      </c>
    </row>
    <row r="4276" spans="1:10" x14ac:dyDescent="0.35">
      <c r="A4276" s="2">
        <v>44787</v>
      </c>
      <c r="B4276" s="3">
        <v>5.4305555555555551E-2</v>
      </c>
      <c r="C4276">
        <v>2937</v>
      </c>
      <c r="D4276" t="str">
        <f>VLOOKUP(H4276,Produkt!$A$2:$B$5,2,FALSE)</f>
        <v>C</v>
      </c>
      <c r="H4276">
        <v>3</v>
      </c>
      <c r="I4276">
        <v>0.62062499999999998</v>
      </c>
      <c r="J4276">
        <v>44774</v>
      </c>
    </row>
    <row r="4277" spans="1:10" x14ac:dyDescent="0.35">
      <c r="A4277" s="2">
        <v>44787</v>
      </c>
      <c r="B4277" s="3">
        <v>0.62334490740740744</v>
      </c>
      <c r="C4277">
        <v>2955</v>
      </c>
      <c r="D4277" t="str">
        <f>VLOOKUP(H4277,Produkt!$A$2:$B$5,2,FALSE)</f>
        <v>D</v>
      </c>
      <c r="H4277">
        <v>4</v>
      </c>
      <c r="I4277">
        <v>0.27902777777777776</v>
      </c>
      <c r="J4277">
        <v>44798</v>
      </c>
    </row>
    <row r="4278" spans="1:10" x14ac:dyDescent="0.35">
      <c r="A4278" s="2">
        <v>44787</v>
      </c>
      <c r="B4278" s="3">
        <v>0.7596412037037038</v>
      </c>
      <c r="C4278">
        <v>2966</v>
      </c>
      <c r="D4278" t="str">
        <f>VLOOKUP(H4278,Produkt!$A$2:$B$5,2,FALSE)</f>
        <v>A</v>
      </c>
      <c r="H4278">
        <v>1</v>
      </c>
      <c r="I4278">
        <v>9.418981481481481E-2</v>
      </c>
      <c r="J4278">
        <v>44774</v>
      </c>
    </row>
    <row r="4279" spans="1:10" x14ac:dyDescent="0.35">
      <c r="A4279" s="2">
        <v>44787</v>
      </c>
      <c r="B4279" s="3">
        <v>0.11450231481481482</v>
      </c>
      <c r="C4279">
        <v>2991</v>
      </c>
      <c r="D4279" t="str">
        <f>VLOOKUP(H4279,Produkt!$A$2:$B$5,2,FALSE)</f>
        <v>B</v>
      </c>
      <c r="H4279">
        <v>2</v>
      </c>
      <c r="I4279">
        <v>0.33004629629629628</v>
      </c>
      <c r="J4279">
        <v>44774</v>
      </c>
    </row>
    <row r="4280" spans="1:10" x14ac:dyDescent="0.35">
      <c r="A4280" s="2">
        <v>44787</v>
      </c>
      <c r="B4280" s="3">
        <v>0.34652777777777777</v>
      </c>
      <c r="C4280">
        <v>3012</v>
      </c>
      <c r="D4280" t="str">
        <f>VLOOKUP(H4280,Produkt!$A$2:$B$5,2,FALSE)</f>
        <v>A</v>
      </c>
      <c r="H4280">
        <v>1</v>
      </c>
      <c r="I4280">
        <v>0.4031481481481482</v>
      </c>
      <c r="J4280">
        <v>44774</v>
      </c>
    </row>
    <row r="4281" spans="1:10" x14ac:dyDescent="0.35">
      <c r="A4281" s="2">
        <v>44787</v>
      </c>
      <c r="B4281" s="3">
        <v>0.88484953703703706</v>
      </c>
      <c r="C4281">
        <v>3031</v>
      </c>
      <c r="D4281" t="str">
        <f>VLOOKUP(H4281,Produkt!$A$2:$B$5,2,FALSE)</f>
        <v>A</v>
      </c>
      <c r="H4281">
        <v>1</v>
      </c>
      <c r="I4281">
        <v>0.92822916666666666</v>
      </c>
      <c r="J4281">
        <v>44791</v>
      </c>
    </row>
    <row r="4282" spans="1:10" x14ac:dyDescent="0.35">
      <c r="A4282" s="2">
        <v>44787</v>
      </c>
      <c r="B4282" s="3">
        <v>0.78023148148148147</v>
      </c>
      <c r="C4282">
        <v>3048</v>
      </c>
      <c r="D4282" t="str">
        <f>VLOOKUP(H4282,Produkt!$A$2:$B$5,2,FALSE)</f>
        <v>D</v>
      </c>
      <c r="H4282">
        <v>4</v>
      </c>
      <c r="I4282">
        <v>0.56313657407407403</v>
      </c>
      <c r="J4282">
        <v>44779</v>
      </c>
    </row>
    <row r="4283" spans="1:10" x14ac:dyDescent="0.35">
      <c r="A4283" s="2">
        <v>44787</v>
      </c>
      <c r="B4283" s="3">
        <v>2.2337962962962976E-2</v>
      </c>
      <c r="C4283">
        <v>3050</v>
      </c>
      <c r="D4283" t="str">
        <f>VLOOKUP(H4283,Produkt!$A$2:$B$5,2,FALSE)</f>
        <v>A</v>
      </c>
      <c r="H4283">
        <v>1</v>
      </c>
      <c r="I4283">
        <v>0.47563657407407406</v>
      </c>
      <c r="J4283">
        <v>44794</v>
      </c>
    </row>
    <row r="4284" spans="1:10" x14ac:dyDescent="0.35">
      <c r="A4284" s="2">
        <v>44787</v>
      </c>
      <c r="B4284" s="3">
        <v>1.9907407407407408E-2</v>
      </c>
      <c r="C4284">
        <v>3057</v>
      </c>
      <c r="D4284" t="str">
        <f>VLOOKUP(H4284,Produkt!$A$2:$B$5,2,FALSE)</f>
        <v>D</v>
      </c>
      <c r="H4284">
        <v>4</v>
      </c>
      <c r="I4284">
        <v>0.37944444444444447</v>
      </c>
      <c r="J4284">
        <v>44803</v>
      </c>
    </row>
    <row r="4285" spans="1:10" x14ac:dyDescent="0.35">
      <c r="A4285" s="2">
        <v>44787</v>
      </c>
      <c r="B4285" s="3">
        <v>0.19121527777777778</v>
      </c>
      <c r="C4285">
        <v>3115</v>
      </c>
      <c r="D4285" t="str">
        <f>VLOOKUP(H4285,Produkt!$A$2:$B$5,2,FALSE)</f>
        <v>D</v>
      </c>
      <c r="H4285">
        <v>4</v>
      </c>
      <c r="I4285">
        <v>0.61777777777777776</v>
      </c>
      <c r="J4285">
        <v>44785</v>
      </c>
    </row>
    <row r="4286" spans="1:10" x14ac:dyDescent="0.35">
      <c r="A4286" s="2">
        <v>44787</v>
      </c>
      <c r="B4286" s="3">
        <v>0.35214120370370372</v>
      </c>
      <c r="C4286">
        <v>3249</v>
      </c>
      <c r="D4286" t="str">
        <f>VLOOKUP(H4286,Produkt!$A$2:$B$5,2,FALSE)</f>
        <v>C</v>
      </c>
      <c r="H4286">
        <v>3</v>
      </c>
      <c r="I4286">
        <v>0.69898148148148154</v>
      </c>
      <c r="J4286">
        <v>44793</v>
      </c>
    </row>
    <row r="4287" spans="1:10" x14ac:dyDescent="0.35">
      <c r="A4287" s="2">
        <v>44787</v>
      </c>
      <c r="B4287" s="3">
        <v>0.16259259259259259</v>
      </c>
      <c r="C4287">
        <v>3307</v>
      </c>
      <c r="D4287" t="str">
        <f>VLOOKUP(H4287,Produkt!$A$2:$B$5,2,FALSE)</f>
        <v>A</v>
      </c>
      <c r="H4287">
        <v>1</v>
      </c>
      <c r="I4287">
        <v>0.52660879629629631</v>
      </c>
      <c r="J4287">
        <v>44774</v>
      </c>
    </row>
    <row r="4288" spans="1:10" x14ac:dyDescent="0.35">
      <c r="A4288" s="2">
        <v>44787</v>
      </c>
      <c r="B4288" s="3">
        <v>0.82913194444444438</v>
      </c>
      <c r="C4288">
        <v>3312</v>
      </c>
      <c r="D4288" t="str">
        <f>VLOOKUP(H4288,Produkt!$A$2:$B$5,2,FALSE)</f>
        <v>D</v>
      </c>
      <c r="H4288">
        <v>4</v>
      </c>
      <c r="I4288">
        <v>3.2256944444444491E-2</v>
      </c>
      <c r="J4288">
        <v>44782</v>
      </c>
    </row>
    <row r="4289" spans="1:10" x14ac:dyDescent="0.35">
      <c r="A4289" s="2">
        <v>44787</v>
      </c>
      <c r="B4289" s="3">
        <v>2.4687499999999998E-2</v>
      </c>
      <c r="C4289">
        <v>3372</v>
      </c>
      <c r="D4289" t="str">
        <f>VLOOKUP(H4289,Produkt!$A$2:$B$5,2,FALSE)</f>
        <v>B</v>
      </c>
      <c r="H4289">
        <v>2</v>
      </c>
      <c r="I4289">
        <v>0.14916666666666667</v>
      </c>
      <c r="J4289">
        <v>44777</v>
      </c>
    </row>
    <row r="4290" spans="1:10" x14ac:dyDescent="0.35">
      <c r="A4290" s="2">
        <v>44787</v>
      </c>
      <c r="B4290" s="3">
        <v>0.14677083333333332</v>
      </c>
      <c r="C4290">
        <v>3374</v>
      </c>
      <c r="D4290" t="str">
        <f>VLOOKUP(H4290,Produkt!$A$2:$B$5,2,FALSE)</f>
        <v>C</v>
      </c>
      <c r="H4290">
        <v>3</v>
      </c>
      <c r="I4290">
        <v>0.43328703703703703</v>
      </c>
      <c r="J4290">
        <v>44800</v>
      </c>
    </row>
    <row r="4291" spans="1:10" x14ac:dyDescent="0.35">
      <c r="A4291" s="2">
        <v>44787</v>
      </c>
      <c r="B4291" s="3">
        <v>0.97547453703703713</v>
      </c>
      <c r="C4291">
        <v>3383</v>
      </c>
      <c r="D4291" t="str">
        <f>VLOOKUP(H4291,Produkt!$A$2:$B$5,2,FALSE)</f>
        <v>A</v>
      </c>
      <c r="H4291">
        <v>1</v>
      </c>
      <c r="I4291">
        <v>0.2701736111111111</v>
      </c>
      <c r="J4291">
        <v>44802</v>
      </c>
    </row>
    <row r="4292" spans="1:10" x14ac:dyDescent="0.35">
      <c r="A4292" s="2">
        <v>44787</v>
      </c>
      <c r="B4292" s="3">
        <v>0.4472800925925926</v>
      </c>
      <c r="C4292">
        <v>3482</v>
      </c>
      <c r="D4292" t="str">
        <f>VLOOKUP(H4292,Produkt!$A$2:$B$5,2,FALSE)</f>
        <v>B</v>
      </c>
      <c r="H4292">
        <v>2</v>
      </c>
      <c r="I4292">
        <v>0.52266203703703706</v>
      </c>
      <c r="J4292">
        <v>44797</v>
      </c>
    </row>
    <row r="4293" spans="1:10" x14ac:dyDescent="0.35">
      <c r="A4293" s="2">
        <v>44787</v>
      </c>
      <c r="B4293" s="3">
        <v>3.761574074074181E-3</v>
      </c>
      <c r="C4293">
        <v>3501</v>
      </c>
      <c r="D4293" t="str">
        <f>VLOOKUP(H4293,Produkt!$A$2:$B$5,2,FALSE)</f>
        <v>D</v>
      </c>
      <c r="H4293">
        <v>4</v>
      </c>
      <c r="I4293">
        <v>0.37321759259259263</v>
      </c>
      <c r="J4293">
        <v>44793</v>
      </c>
    </row>
    <row r="4294" spans="1:10" x14ac:dyDescent="0.35">
      <c r="A4294" s="2">
        <v>44787</v>
      </c>
      <c r="B4294" s="3">
        <v>0.87805555555555559</v>
      </c>
      <c r="C4294">
        <v>3529</v>
      </c>
      <c r="D4294" t="str">
        <f>VLOOKUP(H4294,Produkt!$A$2:$B$5,2,FALSE)</f>
        <v>C</v>
      </c>
      <c r="H4294">
        <v>3</v>
      </c>
      <c r="I4294">
        <v>0.87365740740740738</v>
      </c>
      <c r="J4294">
        <v>44794</v>
      </c>
    </row>
    <row r="4295" spans="1:10" x14ac:dyDescent="0.35">
      <c r="A4295" s="2">
        <v>44787</v>
      </c>
      <c r="B4295" s="3">
        <v>0.61883101851851852</v>
      </c>
      <c r="C4295">
        <v>3537</v>
      </c>
      <c r="D4295" t="str">
        <f>VLOOKUP(H4295,Produkt!$A$2:$B$5,2,FALSE)</f>
        <v>D</v>
      </c>
      <c r="H4295">
        <v>4</v>
      </c>
      <c r="I4295">
        <v>0.22622685185185185</v>
      </c>
      <c r="J4295">
        <v>44794</v>
      </c>
    </row>
    <row r="4296" spans="1:10" x14ac:dyDescent="0.35">
      <c r="A4296" s="2">
        <v>44787</v>
      </c>
      <c r="B4296" s="3">
        <v>3.2685185185185262E-2</v>
      </c>
      <c r="C4296">
        <v>3585</v>
      </c>
      <c r="D4296" t="str">
        <f>VLOOKUP(H4296,Produkt!$A$2:$B$5,2,FALSE)</f>
        <v>B</v>
      </c>
      <c r="H4296">
        <v>2</v>
      </c>
      <c r="I4296">
        <v>0.62853009259259263</v>
      </c>
      <c r="J4296">
        <v>44801</v>
      </c>
    </row>
    <row r="4297" spans="1:10" x14ac:dyDescent="0.35">
      <c r="A4297" s="2">
        <v>44787</v>
      </c>
      <c r="B4297" s="3">
        <v>0.11180555555555556</v>
      </c>
      <c r="C4297">
        <v>3703</v>
      </c>
      <c r="D4297" t="str">
        <f>VLOOKUP(H4297,Produkt!$A$2:$B$5,2,FALSE)</f>
        <v>A</v>
      </c>
      <c r="H4297">
        <v>1</v>
      </c>
      <c r="I4297">
        <v>9.0671296296296292E-2</v>
      </c>
      <c r="J4297">
        <v>44799</v>
      </c>
    </row>
    <row r="4298" spans="1:10" x14ac:dyDescent="0.35">
      <c r="A4298" s="2">
        <v>44787</v>
      </c>
      <c r="B4298" s="3">
        <v>3.8831018518518515E-2</v>
      </c>
      <c r="C4298">
        <v>3749</v>
      </c>
      <c r="D4298" t="str">
        <f>VLOOKUP(H4298,Produkt!$A$2:$B$5,2,FALSE)</f>
        <v>C</v>
      </c>
      <c r="H4298">
        <v>3</v>
      </c>
      <c r="I4298">
        <v>7.2337962962962965E-2</v>
      </c>
      <c r="J4298">
        <v>44791</v>
      </c>
    </row>
    <row r="4299" spans="1:10" x14ac:dyDescent="0.35">
      <c r="A4299" s="2">
        <v>44787</v>
      </c>
      <c r="B4299" s="3">
        <v>4.0775462962962965E-2</v>
      </c>
      <c r="C4299">
        <v>3827</v>
      </c>
      <c r="D4299" t="str">
        <f>VLOOKUP(H4299,Produkt!$A$2:$B$5,2,FALSE)</f>
        <v>B</v>
      </c>
      <c r="H4299">
        <v>2</v>
      </c>
      <c r="I4299">
        <v>8.1504629629629635E-2</v>
      </c>
      <c r="J4299">
        <v>44779</v>
      </c>
    </row>
    <row r="4300" spans="1:10" x14ac:dyDescent="0.35">
      <c r="A4300" s="2">
        <v>44787</v>
      </c>
      <c r="B4300" s="3">
        <v>0.26991898148148147</v>
      </c>
      <c r="C4300">
        <v>3828</v>
      </c>
      <c r="D4300" t="str">
        <f>VLOOKUP(H4300,Produkt!$A$2:$B$5,2,FALSE)</f>
        <v>A</v>
      </c>
      <c r="H4300">
        <v>1</v>
      </c>
      <c r="I4300">
        <v>0.55496527777777771</v>
      </c>
      <c r="J4300">
        <v>44801</v>
      </c>
    </row>
    <row r="4301" spans="1:10" x14ac:dyDescent="0.35">
      <c r="A4301" s="2">
        <v>44787</v>
      </c>
      <c r="B4301" s="3">
        <v>0.61439814814814808</v>
      </c>
      <c r="C4301">
        <v>3844</v>
      </c>
      <c r="D4301" t="str">
        <f>VLOOKUP(H4301,Produkt!$A$2:$B$5,2,FALSE)</f>
        <v>B</v>
      </c>
      <c r="H4301">
        <v>2</v>
      </c>
      <c r="I4301">
        <v>0.90209490740740739</v>
      </c>
      <c r="J4301">
        <v>44787</v>
      </c>
    </row>
    <row r="4302" spans="1:10" x14ac:dyDescent="0.35">
      <c r="A4302" s="2">
        <v>44787</v>
      </c>
      <c r="B4302" s="3">
        <v>0.43806712962962963</v>
      </c>
      <c r="C4302">
        <v>3847</v>
      </c>
      <c r="D4302" t="str">
        <f>VLOOKUP(H4302,Produkt!$A$2:$B$5,2,FALSE)</f>
        <v>D</v>
      </c>
      <c r="H4302">
        <v>4</v>
      </c>
      <c r="I4302">
        <v>0.50510416666666669</v>
      </c>
      <c r="J4302">
        <v>44785</v>
      </c>
    </row>
    <row r="4303" spans="1:10" x14ac:dyDescent="0.35">
      <c r="A4303" s="2">
        <v>44787</v>
      </c>
      <c r="B4303" s="3">
        <v>0.80835648148148154</v>
      </c>
      <c r="C4303">
        <v>3994</v>
      </c>
      <c r="D4303" t="str">
        <f>VLOOKUP(H4303,Produkt!$A$2:$B$5,2,FALSE)</f>
        <v>D</v>
      </c>
      <c r="H4303">
        <v>4</v>
      </c>
      <c r="I4303">
        <v>3.4212962962963056E-2</v>
      </c>
      <c r="J4303">
        <v>44776</v>
      </c>
    </row>
    <row r="4304" spans="1:10" x14ac:dyDescent="0.35">
      <c r="A4304" s="2">
        <v>44787</v>
      </c>
      <c r="B4304" s="3">
        <v>2.0011574074074057E-2</v>
      </c>
      <c r="C4304">
        <v>3996</v>
      </c>
      <c r="D4304" t="str">
        <f>VLOOKUP(H4304,Produkt!$A$2:$B$5,2,FALSE)</f>
        <v>D</v>
      </c>
      <c r="H4304">
        <v>4</v>
      </c>
      <c r="I4304">
        <v>0.5471759259259259</v>
      </c>
      <c r="J4304">
        <v>44794</v>
      </c>
    </row>
    <row r="4305" spans="1:10" x14ac:dyDescent="0.35">
      <c r="A4305" s="2">
        <v>44787</v>
      </c>
      <c r="B4305" s="3">
        <v>0.27190972222222221</v>
      </c>
      <c r="C4305">
        <v>4008</v>
      </c>
      <c r="D4305" t="str">
        <f>VLOOKUP(H4305,Produkt!$A$2:$B$5,2,FALSE)</f>
        <v>D</v>
      </c>
      <c r="H4305">
        <v>4</v>
      </c>
      <c r="I4305">
        <v>0.16452546296296297</v>
      </c>
      <c r="J4305">
        <v>44774</v>
      </c>
    </row>
    <row r="4306" spans="1:10" x14ac:dyDescent="0.35">
      <c r="A4306" s="2">
        <v>44787</v>
      </c>
      <c r="B4306" s="3">
        <v>0.21331018518518519</v>
      </c>
      <c r="C4306">
        <v>4056</v>
      </c>
      <c r="D4306" t="str">
        <f>VLOOKUP(H4306,Produkt!$A$2:$B$5,2,FALSE)</f>
        <v>D</v>
      </c>
      <c r="H4306">
        <v>4</v>
      </c>
      <c r="I4306">
        <v>9.5335648148148155E-2</v>
      </c>
      <c r="J4306">
        <v>44794</v>
      </c>
    </row>
    <row r="4307" spans="1:10" x14ac:dyDescent="0.35">
      <c r="A4307" s="2">
        <v>44787</v>
      </c>
      <c r="B4307" s="3">
        <v>0.9186805555555555</v>
      </c>
      <c r="C4307">
        <v>4059</v>
      </c>
      <c r="D4307" t="str">
        <f>VLOOKUP(H4307,Produkt!$A$2:$B$5,2,FALSE)</f>
        <v>A</v>
      </c>
      <c r="H4307">
        <v>1</v>
      </c>
      <c r="I4307">
        <v>0.7818518518518518</v>
      </c>
      <c r="J4307">
        <v>44778</v>
      </c>
    </row>
    <row r="4308" spans="1:10" x14ac:dyDescent="0.35">
      <c r="A4308" s="2">
        <v>44787</v>
      </c>
      <c r="B4308" s="3">
        <v>0.5773611111111111</v>
      </c>
      <c r="C4308">
        <v>4082</v>
      </c>
      <c r="D4308" t="str">
        <f>VLOOKUP(H4308,Produkt!$A$2:$B$5,2,FALSE)</f>
        <v>C</v>
      </c>
      <c r="H4308">
        <v>3</v>
      </c>
      <c r="I4308">
        <v>0.9337847222222222</v>
      </c>
      <c r="J4308">
        <v>44792</v>
      </c>
    </row>
    <row r="4309" spans="1:10" x14ac:dyDescent="0.35">
      <c r="A4309" s="2">
        <v>44787</v>
      </c>
      <c r="B4309" s="3">
        <v>0.47181712962962963</v>
      </c>
      <c r="C4309">
        <v>4163</v>
      </c>
      <c r="D4309" t="str">
        <f>VLOOKUP(H4309,Produkt!$A$2:$B$5,2,FALSE)</f>
        <v>D</v>
      </c>
      <c r="H4309">
        <v>4</v>
      </c>
      <c r="I4309">
        <v>0.17655092592592592</v>
      </c>
      <c r="J4309">
        <v>44779</v>
      </c>
    </row>
    <row r="4310" spans="1:10" x14ac:dyDescent="0.35">
      <c r="A4310" s="2">
        <v>44787</v>
      </c>
      <c r="B4310" s="3">
        <v>2.4930555555555553E-2</v>
      </c>
      <c r="C4310">
        <v>4198</v>
      </c>
      <c r="D4310" t="str">
        <f>VLOOKUP(H4310,Produkt!$A$2:$B$5,2,FALSE)</f>
        <v>A</v>
      </c>
      <c r="H4310">
        <v>1</v>
      </c>
      <c r="I4310">
        <v>0.46149305555555559</v>
      </c>
      <c r="J4310">
        <v>44794</v>
      </c>
    </row>
    <row r="4311" spans="1:10" x14ac:dyDescent="0.35">
      <c r="A4311" s="2">
        <v>44787</v>
      </c>
      <c r="B4311" s="3">
        <v>0.72106481481481488</v>
      </c>
      <c r="C4311">
        <v>4206</v>
      </c>
      <c r="D4311" t="str">
        <f>VLOOKUP(H4311,Produkt!$A$2:$B$5,2,FALSE)</f>
        <v>C</v>
      </c>
      <c r="H4311">
        <v>3</v>
      </c>
      <c r="I4311">
        <v>0.44410879629629635</v>
      </c>
      <c r="J4311">
        <v>44786</v>
      </c>
    </row>
    <row r="4312" spans="1:10" x14ac:dyDescent="0.35">
      <c r="A4312" s="2">
        <v>44787</v>
      </c>
      <c r="B4312" s="3">
        <v>0.74447916666666669</v>
      </c>
      <c r="C4312">
        <v>4218</v>
      </c>
      <c r="D4312" t="str">
        <f>VLOOKUP(H4312,Produkt!$A$2:$B$5,2,FALSE)</f>
        <v>B</v>
      </c>
      <c r="H4312">
        <v>2</v>
      </c>
      <c r="I4312">
        <v>0.72502314814814817</v>
      </c>
      <c r="J4312">
        <v>44783</v>
      </c>
    </row>
    <row r="4313" spans="1:10" x14ac:dyDescent="0.35">
      <c r="A4313" s="2">
        <v>44787</v>
      </c>
      <c r="B4313" s="3">
        <v>0.27902777777777776</v>
      </c>
      <c r="C4313">
        <v>4276</v>
      </c>
      <c r="D4313" t="str">
        <f>VLOOKUP(H4313,Produkt!$A$2:$B$5,2,FALSE)</f>
        <v>C</v>
      </c>
      <c r="H4313">
        <v>3</v>
      </c>
      <c r="I4313">
        <v>0.31829861111111107</v>
      </c>
      <c r="J4313">
        <v>44783</v>
      </c>
    </row>
    <row r="4314" spans="1:10" x14ac:dyDescent="0.35">
      <c r="A4314" s="2">
        <v>44787</v>
      </c>
      <c r="B4314" s="3">
        <v>0.47563657407407406</v>
      </c>
      <c r="C4314">
        <v>4282</v>
      </c>
      <c r="D4314" t="str">
        <f>VLOOKUP(H4314,Produkt!$A$2:$B$5,2,FALSE)</f>
        <v>D</v>
      </c>
      <c r="H4314">
        <v>4</v>
      </c>
      <c r="I4314">
        <v>0.91148148148148145</v>
      </c>
      <c r="J4314">
        <v>44784</v>
      </c>
    </row>
    <row r="4315" spans="1:10" x14ac:dyDescent="0.35">
      <c r="A4315" s="2">
        <v>44787</v>
      </c>
      <c r="B4315" s="3">
        <v>0.61777777777777776</v>
      </c>
      <c r="C4315">
        <v>4284</v>
      </c>
      <c r="D4315" t="str">
        <f>VLOOKUP(H4315,Produkt!$A$2:$B$5,2,FALSE)</f>
        <v>B</v>
      </c>
      <c r="H4315">
        <v>2</v>
      </c>
      <c r="I4315">
        <v>0.55290509259259257</v>
      </c>
      <c r="J4315">
        <v>44793</v>
      </c>
    </row>
    <row r="4316" spans="1:10" x14ac:dyDescent="0.35">
      <c r="A4316" s="2">
        <v>44787</v>
      </c>
      <c r="B4316" s="3">
        <v>0.48836805555555557</v>
      </c>
      <c r="C4316">
        <v>4357</v>
      </c>
      <c r="D4316" t="str">
        <f>VLOOKUP(H4316,Produkt!$A$2:$B$5,2,FALSE)</f>
        <v>D</v>
      </c>
      <c r="H4316">
        <v>4</v>
      </c>
      <c r="I4316">
        <v>0.39329861111111114</v>
      </c>
      <c r="J4316">
        <v>44783</v>
      </c>
    </row>
    <row r="4317" spans="1:10" x14ac:dyDescent="0.35">
      <c r="A4317" s="2">
        <v>44787</v>
      </c>
      <c r="B4317" s="3">
        <v>0.97348379629629633</v>
      </c>
      <c r="C4317">
        <v>4390</v>
      </c>
      <c r="D4317" t="str">
        <f>VLOOKUP(H4317,Produkt!$A$2:$B$5,2,FALSE)</f>
        <v>B</v>
      </c>
      <c r="H4317">
        <v>2</v>
      </c>
      <c r="I4317">
        <v>0.77976851851851858</v>
      </c>
      <c r="J4317">
        <v>44774</v>
      </c>
    </row>
    <row r="4318" spans="1:10" x14ac:dyDescent="0.35">
      <c r="A4318" s="2">
        <v>44787</v>
      </c>
      <c r="B4318" s="3">
        <v>0.52505787037037044</v>
      </c>
      <c r="C4318">
        <v>4397</v>
      </c>
      <c r="D4318" t="str">
        <f>VLOOKUP(H4318,Produkt!$A$2:$B$5,2,FALSE)</f>
        <v>D</v>
      </c>
      <c r="H4318">
        <v>4</v>
      </c>
      <c r="I4318">
        <v>0.13472222222222222</v>
      </c>
      <c r="J4318">
        <v>44800</v>
      </c>
    </row>
    <row r="4319" spans="1:10" x14ac:dyDescent="0.35">
      <c r="A4319" s="2">
        <v>44787</v>
      </c>
      <c r="B4319" s="3">
        <v>0.63556712962962958</v>
      </c>
      <c r="C4319">
        <v>4526</v>
      </c>
      <c r="D4319" t="str">
        <f>VLOOKUP(H4319,Produkt!$A$2:$B$5,2,FALSE)</f>
        <v>A</v>
      </c>
      <c r="H4319">
        <v>1</v>
      </c>
      <c r="I4319">
        <v>0.69082175925925926</v>
      </c>
      <c r="J4319">
        <v>44777</v>
      </c>
    </row>
    <row r="4320" spans="1:10" x14ac:dyDescent="0.35">
      <c r="A4320" s="2">
        <v>44787</v>
      </c>
      <c r="B4320" s="3">
        <v>0.94120370370370365</v>
      </c>
      <c r="C4320">
        <v>4535</v>
      </c>
      <c r="D4320" t="str">
        <f>VLOOKUP(H4320,Produkt!$A$2:$B$5,2,FALSE)</f>
        <v>A</v>
      </c>
      <c r="H4320">
        <v>1</v>
      </c>
      <c r="I4320">
        <v>0.80053240740740739</v>
      </c>
      <c r="J4320">
        <v>44776</v>
      </c>
    </row>
    <row r="4321" spans="1:10" x14ac:dyDescent="0.35">
      <c r="A4321" s="2">
        <v>44787</v>
      </c>
      <c r="B4321" s="3">
        <v>0.76939814814814822</v>
      </c>
      <c r="C4321">
        <v>4670</v>
      </c>
      <c r="D4321" t="str">
        <f>VLOOKUP(H4321,Produkt!$A$2:$B$5,2,FALSE)</f>
        <v>A</v>
      </c>
      <c r="H4321">
        <v>1</v>
      </c>
      <c r="I4321">
        <v>0.4924884259259259</v>
      </c>
      <c r="J4321">
        <v>44788</v>
      </c>
    </row>
    <row r="4322" spans="1:10" x14ac:dyDescent="0.35">
      <c r="A4322" s="2">
        <v>44787</v>
      </c>
      <c r="B4322" s="3">
        <v>0.35302083333333334</v>
      </c>
      <c r="C4322">
        <v>4692</v>
      </c>
      <c r="D4322" t="str">
        <f>VLOOKUP(H4322,Produkt!$A$2:$B$5,2,FALSE)</f>
        <v>B</v>
      </c>
      <c r="H4322">
        <v>2</v>
      </c>
      <c r="I4322">
        <v>0.14871527777777779</v>
      </c>
      <c r="J4322">
        <v>44778</v>
      </c>
    </row>
    <row r="4323" spans="1:10" x14ac:dyDescent="0.35">
      <c r="A4323" s="2">
        <v>44787</v>
      </c>
      <c r="B4323" s="3">
        <v>6.069444444444444E-2</v>
      </c>
      <c r="C4323">
        <v>4728</v>
      </c>
      <c r="D4323" t="str">
        <f>VLOOKUP(H4323,Produkt!$A$2:$B$5,2,FALSE)</f>
        <v>D</v>
      </c>
      <c r="H4323">
        <v>4</v>
      </c>
      <c r="I4323">
        <v>0.24834490740740742</v>
      </c>
      <c r="J4323">
        <v>44798</v>
      </c>
    </row>
    <row r="4324" spans="1:10" x14ac:dyDescent="0.35">
      <c r="A4324" s="2">
        <v>44787</v>
      </c>
      <c r="B4324" s="3">
        <v>0.54813657407407412</v>
      </c>
      <c r="C4324">
        <v>4737</v>
      </c>
      <c r="D4324" t="str">
        <f>VLOOKUP(H4324,Produkt!$A$2:$B$5,2,FALSE)</f>
        <v>C</v>
      </c>
      <c r="H4324">
        <v>3</v>
      </c>
      <c r="I4324">
        <v>2.48842592592593E-2</v>
      </c>
      <c r="J4324">
        <v>44783</v>
      </c>
    </row>
    <row r="4325" spans="1:10" x14ac:dyDescent="0.35">
      <c r="A4325" s="2">
        <v>44787</v>
      </c>
      <c r="B4325" s="3">
        <v>0.76369212962962962</v>
      </c>
      <c r="C4325">
        <v>4761</v>
      </c>
      <c r="D4325" t="str">
        <f>VLOOKUP(H4325,Produkt!$A$2:$B$5,2,FALSE)</f>
        <v>D</v>
      </c>
      <c r="H4325">
        <v>4</v>
      </c>
      <c r="I4325">
        <v>0.21925925925925926</v>
      </c>
      <c r="J4325">
        <v>44784</v>
      </c>
    </row>
    <row r="4326" spans="1:10" x14ac:dyDescent="0.35">
      <c r="A4326" s="2">
        <v>44787</v>
      </c>
      <c r="B4326" s="3">
        <v>0.72546296296296298</v>
      </c>
      <c r="C4326">
        <v>4769</v>
      </c>
      <c r="D4326" t="str">
        <f>VLOOKUP(H4326,Produkt!$A$2:$B$5,2,FALSE)</f>
        <v>D</v>
      </c>
      <c r="H4326">
        <v>4</v>
      </c>
      <c r="I4326">
        <v>0.25694444444444448</v>
      </c>
      <c r="J4326">
        <v>44785</v>
      </c>
    </row>
    <row r="4327" spans="1:10" x14ac:dyDescent="0.35">
      <c r="A4327" s="2">
        <v>44787</v>
      </c>
      <c r="B4327" s="3">
        <v>0.55655092592592592</v>
      </c>
      <c r="C4327">
        <v>4798</v>
      </c>
      <c r="D4327" t="str">
        <f>VLOOKUP(H4327,Produkt!$A$2:$B$5,2,FALSE)</f>
        <v>D</v>
      </c>
      <c r="H4327">
        <v>4</v>
      </c>
      <c r="I4327">
        <v>0.85449074074074083</v>
      </c>
      <c r="J4327">
        <v>44797</v>
      </c>
    </row>
    <row r="4328" spans="1:10" x14ac:dyDescent="0.35">
      <c r="A4328" s="2">
        <v>44787</v>
      </c>
      <c r="B4328" s="3">
        <v>0.21129629629629629</v>
      </c>
      <c r="C4328">
        <v>4837</v>
      </c>
      <c r="D4328" t="str">
        <f>VLOOKUP(H4328,Produkt!$A$2:$B$5,2,FALSE)</f>
        <v>C</v>
      </c>
      <c r="H4328">
        <v>3</v>
      </c>
      <c r="I4328">
        <v>0.75297453703703709</v>
      </c>
      <c r="J4328">
        <v>44781</v>
      </c>
    </row>
    <row r="4329" spans="1:10" x14ac:dyDescent="0.35">
      <c r="A4329" s="2">
        <v>44787</v>
      </c>
      <c r="B4329" s="3">
        <v>0.64356481481481487</v>
      </c>
      <c r="C4329">
        <v>4866</v>
      </c>
      <c r="D4329" t="str">
        <f>VLOOKUP(H4329,Produkt!$A$2:$B$5,2,FALSE)</f>
        <v>A</v>
      </c>
      <c r="H4329">
        <v>1</v>
      </c>
      <c r="I4329">
        <v>3.5219907407407408E-2</v>
      </c>
      <c r="J4329">
        <v>44786</v>
      </c>
    </row>
    <row r="4330" spans="1:10" x14ac:dyDescent="0.35">
      <c r="A4330" s="2">
        <v>44787</v>
      </c>
      <c r="B4330" s="3">
        <v>0.82570601851851855</v>
      </c>
      <c r="C4330">
        <v>4872</v>
      </c>
      <c r="D4330" t="str">
        <f>VLOOKUP(H4330,Produkt!$A$2:$B$5,2,FALSE)</f>
        <v>B</v>
      </c>
      <c r="H4330">
        <v>2</v>
      </c>
      <c r="I4330">
        <v>0.49224537037037036</v>
      </c>
      <c r="J4330">
        <v>44802</v>
      </c>
    </row>
    <row r="4331" spans="1:10" x14ac:dyDescent="0.35">
      <c r="A4331" s="2">
        <v>44787</v>
      </c>
      <c r="B4331" s="3">
        <v>0.45164351851851853</v>
      </c>
      <c r="C4331">
        <v>4883</v>
      </c>
      <c r="D4331" t="str">
        <f>VLOOKUP(H4331,Produkt!$A$2:$B$5,2,FALSE)</f>
        <v>B</v>
      </c>
      <c r="H4331">
        <v>2</v>
      </c>
      <c r="I4331">
        <v>2.6388888888888795E-2</v>
      </c>
      <c r="J4331">
        <v>44798</v>
      </c>
    </row>
    <row r="4332" spans="1:10" x14ac:dyDescent="0.35">
      <c r="A4332" s="2">
        <v>44787</v>
      </c>
      <c r="B4332" s="3">
        <v>9.0856481481481469E-2</v>
      </c>
      <c r="C4332">
        <v>4884</v>
      </c>
      <c r="D4332" t="str">
        <f>VLOOKUP(H4332,Produkt!$A$2:$B$5,2,FALSE)</f>
        <v>B</v>
      </c>
      <c r="H4332">
        <v>2</v>
      </c>
      <c r="I4332">
        <v>0.70964120370370365</v>
      </c>
      <c r="J4332">
        <v>44774</v>
      </c>
    </row>
    <row r="4333" spans="1:10" x14ac:dyDescent="0.35">
      <c r="A4333" s="2">
        <v>44787</v>
      </c>
      <c r="B4333" s="3">
        <v>0.22211805555555555</v>
      </c>
      <c r="C4333">
        <v>4903</v>
      </c>
      <c r="D4333" t="str">
        <f>VLOOKUP(H4333,Produkt!$A$2:$B$5,2,FALSE)</f>
        <v>B</v>
      </c>
      <c r="H4333">
        <v>2</v>
      </c>
      <c r="I4333">
        <v>0.11258101851851852</v>
      </c>
      <c r="J4333">
        <v>44775</v>
      </c>
    </row>
    <row r="4334" spans="1:10" x14ac:dyDescent="0.35">
      <c r="A4334" s="2">
        <v>44787</v>
      </c>
      <c r="B4334" s="3">
        <v>0.49614583333333334</v>
      </c>
      <c r="C4334">
        <v>4904</v>
      </c>
      <c r="D4334" t="str">
        <f>VLOOKUP(H4334,Produkt!$A$2:$B$5,2,FALSE)</f>
        <v>D</v>
      </c>
      <c r="H4334">
        <v>4</v>
      </c>
      <c r="I4334">
        <v>0.79820601851851858</v>
      </c>
      <c r="J4334">
        <v>44791</v>
      </c>
    </row>
    <row r="4335" spans="1:10" x14ac:dyDescent="0.35">
      <c r="A4335" s="2">
        <v>44787</v>
      </c>
      <c r="B4335" s="3">
        <v>3.8020833333333393E-2</v>
      </c>
      <c r="C4335">
        <v>4907</v>
      </c>
      <c r="D4335" t="str">
        <f>VLOOKUP(H4335,Produkt!$A$2:$B$5,2,FALSE)</f>
        <v>D</v>
      </c>
      <c r="H4335">
        <v>4</v>
      </c>
      <c r="I4335">
        <v>0.22962962962962963</v>
      </c>
      <c r="J4335">
        <v>44794</v>
      </c>
    </row>
    <row r="4336" spans="1:10" x14ac:dyDescent="0.35">
      <c r="A4336" s="2">
        <v>44787</v>
      </c>
      <c r="B4336" s="3">
        <v>0.91841435185185183</v>
      </c>
      <c r="C4336">
        <v>4910</v>
      </c>
      <c r="D4336" t="str">
        <f>VLOOKUP(H4336,Produkt!$A$2:$B$5,2,FALSE)</f>
        <v>B</v>
      </c>
      <c r="H4336">
        <v>2</v>
      </c>
      <c r="I4336">
        <v>0.52244212962962966</v>
      </c>
      <c r="J4336">
        <v>44792</v>
      </c>
    </row>
    <row r="4337" spans="1:10" x14ac:dyDescent="0.35">
      <c r="A4337" s="2">
        <v>44787</v>
      </c>
      <c r="B4337" s="3">
        <v>0.89063657407407415</v>
      </c>
      <c r="C4337">
        <v>4912</v>
      </c>
      <c r="D4337" t="str">
        <f>VLOOKUP(H4337,Produkt!$A$2:$B$5,2,FALSE)</f>
        <v>C</v>
      </c>
      <c r="H4337">
        <v>3</v>
      </c>
      <c r="I4337">
        <v>0.10712962962962963</v>
      </c>
      <c r="J4337">
        <v>44788</v>
      </c>
    </row>
    <row r="4338" spans="1:10" x14ac:dyDescent="0.35">
      <c r="A4338" s="2">
        <v>44787</v>
      </c>
      <c r="B4338" s="3">
        <v>0.94210648148148157</v>
      </c>
      <c r="C4338">
        <v>4955</v>
      </c>
      <c r="D4338" t="str">
        <f>VLOOKUP(H4338,Produkt!$A$2:$B$5,2,FALSE)</f>
        <v>D</v>
      </c>
      <c r="H4338">
        <v>4</v>
      </c>
      <c r="I4338">
        <v>6.8634259259259256E-3</v>
      </c>
      <c r="J4338">
        <v>44788</v>
      </c>
    </row>
    <row r="4339" spans="1:10" x14ac:dyDescent="0.35">
      <c r="A4339" s="2">
        <v>44787</v>
      </c>
      <c r="B4339" s="3">
        <v>0.94111111111111112</v>
      </c>
      <c r="C4339">
        <v>5044</v>
      </c>
      <c r="D4339" t="str">
        <f>VLOOKUP(H4339,Produkt!$A$2:$B$5,2,FALSE)</f>
        <v>C</v>
      </c>
      <c r="H4339">
        <v>3</v>
      </c>
      <c r="I4339">
        <v>0.58748842592592598</v>
      </c>
      <c r="J4339">
        <v>44796</v>
      </c>
    </row>
    <row r="4340" spans="1:10" x14ac:dyDescent="0.35">
      <c r="A4340" s="2">
        <v>44787</v>
      </c>
      <c r="B4340" s="3">
        <v>9.1284722222222225E-2</v>
      </c>
      <c r="C4340">
        <v>5058</v>
      </c>
      <c r="D4340" t="str">
        <f>VLOOKUP(H4340,Produkt!$A$2:$B$5,2,FALSE)</f>
        <v>D</v>
      </c>
      <c r="H4340">
        <v>4</v>
      </c>
      <c r="I4340">
        <v>0.9588310185185186</v>
      </c>
      <c r="J4340">
        <v>44798</v>
      </c>
    </row>
    <row r="4341" spans="1:10" x14ac:dyDescent="0.35">
      <c r="A4341" s="2">
        <v>44787</v>
      </c>
      <c r="B4341" s="3">
        <v>6.1828703703703712E-2</v>
      </c>
      <c r="C4341">
        <v>5064</v>
      </c>
      <c r="D4341" t="str">
        <f>VLOOKUP(H4341,Produkt!$A$2:$B$5,2,FALSE)</f>
        <v>C</v>
      </c>
      <c r="H4341">
        <v>3</v>
      </c>
      <c r="I4341">
        <v>0.12465277777777778</v>
      </c>
      <c r="J4341">
        <v>44786</v>
      </c>
    </row>
    <row r="4342" spans="1:10" x14ac:dyDescent="0.35">
      <c r="A4342" s="2">
        <v>44787</v>
      </c>
      <c r="B4342" s="3">
        <v>0.17255787037037038</v>
      </c>
      <c r="C4342">
        <v>5093</v>
      </c>
      <c r="D4342" t="str">
        <f>VLOOKUP(H4342,Produkt!$A$2:$B$5,2,FALSE)</f>
        <v>A</v>
      </c>
      <c r="H4342">
        <v>1</v>
      </c>
      <c r="I4342">
        <v>0.61376157407407406</v>
      </c>
      <c r="J4342">
        <v>44804</v>
      </c>
    </row>
    <row r="4343" spans="1:10" x14ac:dyDescent="0.35">
      <c r="A4343" s="2">
        <v>44787</v>
      </c>
      <c r="B4343" s="3">
        <v>0.96846064814814825</v>
      </c>
      <c r="C4343">
        <v>5156</v>
      </c>
      <c r="D4343" t="str">
        <f>VLOOKUP(H4343,Produkt!$A$2:$B$5,2,FALSE)</f>
        <v>D</v>
      </c>
      <c r="H4343">
        <v>4</v>
      </c>
      <c r="I4343">
        <v>8.6608796296296295E-2</v>
      </c>
      <c r="J4343">
        <v>44799</v>
      </c>
    </row>
    <row r="4344" spans="1:10" x14ac:dyDescent="0.35">
      <c r="A4344" s="2">
        <v>44787</v>
      </c>
      <c r="B4344" s="3">
        <v>0.81390046296296292</v>
      </c>
      <c r="C4344">
        <v>5157</v>
      </c>
      <c r="D4344" t="str">
        <f>VLOOKUP(H4344,Produkt!$A$2:$B$5,2,FALSE)</f>
        <v>B</v>
      </c>
      <c r="H4344">
        <v>2</v>
      </c>
      <c r="I4344">
        <v>0.46192129629629625</v>
      </c>
      <c r="J4344">
        <v>44781</v>
      </c>
    </row>
    <row r="4345" spans="1:10" x14ac:dyDescent="0.35">
      <c r="A4345" s="2">
        <v>44787</v>
      </c>
      <c r="B4345" s="3">
        <v>0.74699074074074068</v>
      </c>
      <c r="C4345">
        <v>5203</v>
      </c>
      <c r="D4345" t="str">
        <f>VLOOKUP(H4345,Produkt!$A$2:$B$5,2,FALSE)</f>
        <v>D</v>
      </c>
      <c r="H4345">
        <v>4</v>
      </c>
      <c r="I4345">
        <v>0.95884259259259252</v>
      </c>
      <c r="J4345">
        <v>44780</v>
      </c>
    </row>
    <row r="4346" spans="1:10" x14ac:dyDescent="0.35">
      <c r="A4346" s="2">
        <v>44787</v>
      </c>
      <c r="B4346" s="3">
        <v>2.49537037037037E-2</v>
      </c>
      <c r="C4346">
        <v>5254</v>
      </c>
      <c r="D4346" t="str">
        <f>VLOOKUP(H4346,Produkt!$A$2:$B$5,2,FALSE)</f>
        <v>D</v>
      </c>
      <c r="H4346">
        <v>4</v>
      </c>
      <c r="I4346">
        <v>0.8090046296296296</v>
      </c>
      <c r="J4346">
        <v>44800</v>
      </c>
    </row>
    <row r="4347" spans="1:10" x14ac:dyDescent="0.35">
      <c r="A4347" s="2">
        <v>44787</v>
      </c>
      <c r="B4347" s="3">
        <v>0.83392361111111113</v>
      </c>
      <c r="C4347">
        <v>5259</v>
      </c>
      <c r="D4347" t="str">
        <f>VLOOKUP(H4347,Produkt!$A$2:$B$5,2,FALSE)</f>
        <v>D</v>
      </c>
      <c r="H4347">
        <v>4</v>
      </c>
      <c r="I4347">
        <v>0.69715277777777773</v>
      </c>
      <c r="J4347">
        <v>44793</v>
      </c>
    </row>
    <row r="4348" spans="1:10" x14ac:dyDescent="0.35">
      <c r="A4348" s="2">
        <v>44787</v>
      </c>
      <c r="B4348" s="3">
        <v>0.47878472222222218</v>
      </c>
      <c r="C4348">
        <v>5321</v>
      </c>
      <c r="D4348" t="str">
        <f>VLOOKUP(H4348,Produkt!$A$2:$B$5,2,FALSE)</f>
        <v>D</v>
      </c>
      <c r="H4348">
        <v>4</v>
      </c>
      <c r="I4348">
        <v>0.25109953703703702</v>
      </c>
      <c r="J4348">
        <v>44792</v>
      </c>
    </row>
    <row r="4349" spans="1:10" x14ac:dyDescent="0.35">
      <c r="A4349" s="2">
        <v>44787</v>
      </c>
      <c r="B4349" s="3">
        <v>0.97697916666666673</v>
      </c>
      <c r="C4349">
        <v>5373</v>
      </c>
      <c r="D4349" t="str">
        <f>VLOOKUP(H4349,Produkt!$A$2:$B$5,2,FALSE)</f>
        <v>B</v>
      </c>
      <c r="H4349">
        <v>2</v>
      </c>
      <c r="I4349">
        <v>0.93649305555555562</v>
      </c>
      <c r="J4349">
        <v>44796</v>
      </c>
    </row>
    <row r="4350" spans="1:10" x14ac:dyDescent="0.35">
      <c r="A4350" s="2">
        <v>44787</v>
      </c>
      <c r="B4350" s="3">
        <v>0.40634259259259259</v>
      </c>
      <c r="C4350">
        <v>5390</v>
      </c>
      <c r="D4350" t="str">
        <f>VLOOKUP(H4350,Produkt!$A$2:$B$5,2,FALSE)</f>
        <v>D</v>
      </c>
      <c r="H4350">
        <v>4</v>
      </c>
      <c r="I4350">
        <v>0.37784722222222222</v>
      </c>
      <c r="J4350">
        <v>44800</v>
      </c>
    </row>
    <row r="4351" spans="1:10" x14ac:dyDescent="0.35">
      <c r="A4351" s="2">
        <v>44787</v>
      </c>
      <c r="B4351" s="3">
        <v>8.965277777777779E-2</v>
      </c>
      <c r="C4351">
        <v>5425</v>
      </c>
      <c r="D4351" t="str">
        <f>VLOOKUP(H4351,Produkt!$A$2:$B$5,2,FALSE)</f>
        <v>B</v>
      </c>
      <c r="H4351">
        <v>2</v>
      </c>
      <c r="I4351">
        <v>0.79386574074074068</v>
      </c>
      <c r="J4351">
        <v>44788</v>
      </c>
    </row>
    <row r="4352" spans="1:10" x14ac:dyDescent="0.35">
      <c r="A4352" s="2">
        <v>44787</v>
      </c>
      <c r="B4352" s="3">
        <v>0.50185185185185188</v>
      </c>
      <c r="C4352">
        <v>5449</v>
      </c>
      <c r="D4352" t="str">
        <f>VLOOKUP(H4352,Produkt!$A$2:$B$5,2,FALSE)</f>
        <v>C</v>
      </c>
      <c r="H4352">
        <v>3</v>
      </c>
      <c r="I4352">
        <v>0.90719907407407396</v>
      </c>
      <c r="J4352">
        <v>44789</v>
      </c>
    </row>
    <row r="4353" spans="1:10" x14ac:dyDescent="0.35">
      <c r="A4353" s="2">
        <v>44787</v>
      </c>
      <c r="B4353" s="3">
        <v>0.28584490740740742</v>
      </c>
      <c r="C4353">
        <v>5505</v>
      </c>
      <c r="D4353" t="str">
        <f>VLOOKUP(H4353,Produkt!$A$2:$B$5,2,FALSE)</f>
        <v>B</v>
      </c>
      <c r="H4353">
        <v>2</v>
      </c>
      <c r="I4353">
        <v>4.8958333333333328E-3</v>
      </c>
      <c r="J4353">
        <v>44793</v>
      </c>
    </row>
    <row r="4354" spans="1:10" x14ac:dyDescent="0.35">
      <c r="A4354" s="2">
        <v>44787</v>
      </c>
      <c r="B4354" s="3">
        <v>0.77282407407407405</v>
      </c>
      <c r="C4354">
        <v>5511</v>
      </c>
      <c r="D4354" t="str">
        <f>VLOOKUP(H4354,Produkt!$A$2:$B$5,2,FALSE)</f>
        <v>B</v>
      </c>
      <c r="H4354">
        <v>2</v>
      </c>
      <c r="I4354">
        <v>0.61597222222222225</v>
      </c>
      <c r="J4354">
        <v>44794</v>
      </c>
    </row>
    <row r="4355" spans="1:10" x14ac:dyDescent="0.35">
      <c r="A4355" s="2">
        <v>44787</v>
      </c>
      <c r="B4355" s="3">
        <v>0.58241898148148141</v>
      </c>
      <c r="C4355">
        <v>5530</v>
      </c>
      <c r="D4355" t="str">
        <f>VLOOKUP(H4355,Produkt!$A$2:$B$5,2,FALSE)</f>
        <v>D</v>
      </c>
      <c r="H4355">
        <v>4</v>
      </c>
      <c r="I4355">
        <v>0.21346064814814814</v>
      </c>
      <c r="J4355">
        <v>44774</v>
      </c>
    </row>
    <row r="4356" spans="1:10" x14ac:dyDescent="0.35">
      <c r="A4356" s="2">
        <v>44787</v>
      </c>
      <c r="B4356" s="3">
        <v>0.62055555555555553</v>
      </c>
      <c r="C4356">
        <v>5575</v>
      </c>
      <c r="D4356" t="str">
        <f>VLOOKUP(H4356,Produkt!$A$2:$B$5,2,FALSE)</f>
        <v>C</v>
      </c>
      <c r="H4356">
        <v>3</v>
      </c>
      <c r="I4356">
        <v>0.97972222222222216</v>
      </c>
      <c r="J4356">
        <v>44800</v>
      </c>
    </row>
    <row r="4357" spans="1:10" x14ac:dyDescent="0.35">
      <c r="A4357" s="2">
        <v>44787</v>
      </c>
      <c r="B4357" s="3">
        <v>0.57359953703703703</v>
      </c>
      <c r="C4357">
        <v>5646</v>
      </c>
      <c r="D4357" t="str">
        <f>VLOOKUP(H4357,Produkt!$A$2:$B$5,2,FALSE)</f>
        <v>B</v>
      </c>
      <c r="H4357">
        <v>2</v>
      </c>
      <c r="I4357">
        <v>1.9444444444444445E-2</v>
      </c>
      <c r="J4357">
        <v>44785</v>
      </c>
    </row>
    <row r="4358" spans="1:10" x14ac:dyDescent="0.35">
      <c r="A4358" s="2">
        <v>44787</v>
      </c>
      <c r="B4358" s="3">
        <v>0.28255787037037039</v>
      </c>
      <c r="C4358">
        <v>5717</v>
      </c>
      <c r="D4358" t="str">
        <f>VLOOKUP(H4358,Produkt!$A$2:$B$5,2,FALSE)</f>
        <v>D</v>
      </c>
      <c r="H4358">
        <v>4</v>
      </c>
      <c r="I4358">
        <v>0.48836805555555557</v>
      </c>
      <c r="J4358">
        <v>44803</v>
      </c>
    </row>
    <row r="4359" spans="1:10" x14ac:dyDescent="0.35">
      <c r="A4359" s="2">
        <v>44787</v>
      </c>
      <c r="B4359" s="3">
        <v>0.31064814814814817</v>
      </c>
      <c r="C4359">
        <v>5726</v>
      </c>
      <c r="D4359" t="str">
        <f>VLOOKUP(H4359,Produkt!$A$2:$B$5,2,FALSE)</f>
        <v>D</v>
      </c>
      <c r="H4359">
        <v>4</v>
      </c>
      <c r="I4359">
        <v>0.98572916666666666</v>
      </c>
      <c r="J4359">
        <v>44799</v>
      </c>
    </row>
    <row r="4360" spans="1:10" x14ac:dyDescent="0.35">
      <c r="A4360" s="2">
        <v>44787</v>
      </c>
      <c r="B4360" s="3">
        <v>6.2812499999999993E-2</v>
      </c>
      <c r="C4360">
        <v>5763</v>
      </c>
      <c r="D4360" t="str">
        <f>VLOOKUP(H4360,Produkt!$A$2:$B$5,2,FALSE)</f>
        <v>A</v>
      </c>
      <c r="H4360">
        <v>1</v>
      </c>
      <c r="I4360">
        <v>0.70861111111111119</v>
      </c>
      <c r="J4360">
        <v>44784</v>
      </c>
    </row>
    <row r="4361" spans="1:10" x14ac:dyDescent="0.35">
      <c r="A4361" s="2">
        <v>44787</v>
      </c>
      <c r="B4361" s="3">
        <v>0.78153935185185175</v>
      </c>
      <c r="C4361">
        <v>5811</v>
      </c>
      <c r="D4361" t="str">
        <f>VLOOKUP(H4361,Produkt!$A$2:$B$5,2,FALSE)</f>
        <v>A</v>
      </c>
      <c r="H4361">
        <v>1</v>
      </c>
      <c r="I4361">
        <v>8.4398148148148153E-2</v>
      </c>
      <c r="J4361">
        <v>44796</v>
      </c>
    </row>
    <row r="4362" spans="1:10" x14ac:dyDescent="0.35">
      <c r="A4362" s="2">
        <v>44787</v>
      </c>
      <c r="B4362" s="3">
        <v>0.24788194444444445</v>
      </c>
      <c r="C4362">
        <v>5833</v>
      </c>
      <c r="D4362" t="str">
        <f>VLOOKUP(H4362,Produkt!$A$2:$B$5,2,FALSE)</f>
        <v>B</v>
      </c>
      <c r="H4362">
        <v>2</v>
      </c>
      <c r="I4362">
        <v>0.54267361111111112</v>
      </c>
      <c r="J4362">
        <v>44791</v>
      </c>
    </row>
    <row r="4363" spans="1:10" x14ac:dyDescent="0.35">
      <c r="A4363" s="2">
        <v>44787</v>
      </c>
      <c r="B4363" s="3">
        <v>3.7592592592592594E-2</v>
      </c>
      <c r="C4363">
        <v>5917</v>
      </c>
      <c r="D4363" t="str">
        <f>VLOOKUP(H4363,Produkt!$A$2:$B$5,2,FALSE)</f>
        <v>C</v>
      </c>
      <c r="H4363">
        <v>3</v>
      </c>
      <c r="I4363">
        <v>0.31590277777777781</v>
      </c>
      <c r="J4363">
        <v>44785</v>
      </c>
    </row>
    <row r="4364" spans="1:10" x14ac:dyDescent="0.35">
      <c r="A4364" s="2">
        <v>44787</v>
      </c>
      <c r="B4364" s="3">
        <v>7.4131944444444445E-2</v>
      </c>
      <c r="C4364">
        <v>5946</v>
      </c>
      <c r="D4364" t="str">
        <f>VLOOKUP(H4364,Produkt!$A$2:$B$5,2,FALSE)</f>
        <v>C</v>
      </c>
      <c r="H4364">
        <v>3</v>
      </c>
      <c r="I4364">
        <v>0.71341435185185187</v>
      </c>
      <c r="J4364">
        <v>44802</v>
      </c>
    </row>
    <row r="4365" spans="1:10" x14ac:dyDescent="0.35">
      <c r="A4365" s="2">
        <v>44787</v>
      </c>
      <c r="B4365" s="3">
        <v>0.73871527777777779</v>
      </c>
      <c r="C4365">
        <v>5984</v>
      </c>
      <c r="D4365" t="str">
        <f>VLOOKUP(H4365,Produkt!$A$2:$B$5,2,FALSE)</f>
        <v>D</v>
      </c>
      <c r="H4365">
        <v>4</v>
      </c>
      <c r="I4365">
        <v>0.67976851851851849</v>
      </c>
      <c r="J4365">
        <v>44781</v>
      </c>
    </row>
    <row r="4366" spans="1:10" x14ac:dyDescent="0.35">
      <c r="A4366" s="2">
        <v>44787</v>
      </c>
      <c r="B4366" s="3">
        <v>0.99535879629629631</v>
      </c>
      <c r="C4366">
        <v>5988</v>
      </c>
      <c r="D4366" t="str">
        <f>VLOOKUP(H4366,Produkt!$A$2:$B$5,2,FALSE)</f>
        <v>A</v>
      </c>
      <c r="H4366">
        <v>1</v>
      </c>
      <c r="I4366">
        <v>1.5092592592592593E-2</v>
      </c>
      <c r="J4366">
        <v>44794</v>
      </c>
    </row>
    <row r="4367" spans="1:10" x14ac:dyDescent="0.35">
      <c r="A4367" s="2">
        <v>44787</v>
      </c>
      <c r="B4367" s="3">
        <v>0.18561342592592592</v>
      </c>
      <c r="C4367">
        <v>6024</v>
      </c>
      <c r="D4367" t="str">
        <f>VLOOKUP(H4367,Produkt!$A$2:$B$5,2,FALSE)</f>
        <v>C</v>
      </c>
      <c r="H4367">
        <v>3</v>
      </c>
      <c r="I4367">
        <v>0.24979166666666666</v>
      </c>
      <c r="J4367">
        <v>44776</v>
      </c>
    </row>
    <row r="4368" spans="1:10" x14ac:dyDescent="0.35">
      <c r="A4368" s="2">
        <v>44787</v>
      </c>
      <c r="B4368" s="3">
        <v>0.4287731481481481</v>
      </c>
      <c r="C4368">
        <v>6044</v>
      </c>
      <c r="D4368" t="str">
        <f>VLOOKUP(H4368,Produkt!$A$2:$B$5,2,FALSE)</f>
        <v>A</v>
      </c>
      <c r="H4368">
        <v>1</v>
      </c>
      <c r="I4368">
        <v>0.43788194444444445</v>
      </c>
      <c r="J4368">
        <v>44793</v>
      </c>
    </row>
    <row r="4369" spans="1:10" x14ac:dyDescent="0.35">
      <c r="A4369" s="2">
        <v>44787</v>
      </c>
      <c r="B4369" s="3">
        <v>0.77249999999999996</v>
      </c>
      <c r="C4369">
        <v>6090</v>
      </c>
      <c r="D4369" t="str">
        <f>VLOOKUP(H4369,Produkt!$A$2:$B$5,2,FALSE)</f>
        <v>D</v>
      </c>
      <c r="H4369">
        <v>4</v>
      </c>
      <c r="I4369">
        <v>0.26456018518518515</v>
      </c>
      <c r="J4369">
        <v>44790</v>
      </c>
    </row>
    <row r="4370" spans="1:10" x14ac:dyDescent="0.35">
      <c r="A4370" s="2">
        <v>44787</v>
      </c>
      <c r="B4370" s="3">
        <v>0.95065972222222228</v>
      </c>
      <c r="C4370">
        <v>6102</v>
      </c>
      <c r="D4370" t="str">
        <f>VLOOKUP(H4370,Produkt!$A$2:$B$5,2,FALSE)</f>
        <v>A</v>
      </c>
      <c r="H4370">
        <v>1</v>
      </c>
      <c r="I4370">
        <v>0.12621527777777777</v>
      </c>
      <c r="J4370">
        <v>44782</v>
      </c>
    </row>
    <row r="4371" spans="1:10" x14ac:dyDescent="0.35">
      <c r="A4371" s="2">
        <v>44787</v>
      </c>
      <c r="B4371" s="3">
        <v>0.74721064814814808</v>
      </c>
      <c r="C4371">
        <v>6112</v>
      </c>
      <c r="D4371" t="str">
        <f>VLOOKUP(H4371,Produkt!$A$2:$B$5,2,FALSE)</f>
        <v>D</v>
      </c>
      <c r="H4371">
        <v>4</v>
      </c>
      <c r="I4371">
        <v>7.2303240740740737E-2</v>
      </c>
      <c r="J4371">
        <v>44778</v>
      </c>
    </row>
    <row r="4372" spans="1:10" x14ac:dyDescent="0.35">
      <c r="A4372" s="2">
        <v>44787</v>
      </c>
      <c r="B4372" s="3">
        <v>0.55070601851851853</v>
      </c>
      <c r="C4372">
        <v>6131</v>
      </c>
      <c r="D4372" t="str">
        <f>VLOOKUP(H4372,Produkt!$A$2:$B$5,2,FALSE)</f>
        <v>D</v>
      </c>
      <c r="H4372">
        <v>4</v>
      </c>
      <c r="I4372">
        <v>0.7037268518518518</v>
      </c>
      <c r="J4372">
        <v>44780</v>
      </c>
    </row>
    <row r="4373" spans="1:10" x14ac:dyDescent="0.35">
      <c r="A4373" s="2">
        <v>44787</v>
      </c>
      <c r="B4373" s="3">
        <v>0.64317129629629632</v>
      </c>
      <c r="C4373">
        <v>6179</v>
      </c>
      <c r="D4373" t="str">
        <f>VLOOKUP(H4373,Produkt!$A$2:$B$5,2,FALSE)</f>
        <v>D</v>
      </c>
      <c r="H4373">
        <v>4</v>
      </c>
      <c r="I4373">
        <v>0.20199074074074075</v>
      </c>
      <c r="J4373">
        <v>44788</v>
      </c>
    </row>
    <row r="4374" spans="1:10" x14ac:dyDescent="0.35">
      <c r="A4374" s="2">
        <v>44787</v>
      </c>
      <c r="B4374" s="3">
        <v>9.8379629629629636E-2</v>
      </c>
      <c r="C4374">
        <v>6211</v>
      </c>
      <c r="D4374" t="str">
        <f>VLOOKUP(H4374,Produkt!$A$2:$B$5,2,FALSE)</f>
        <v>A</v>
      </c>
      <c r="H4374">
        <v>1</v>
      </c>
      <c r="I4374">
        <v>2.8252314814814813E-2</v>
      </c>
      <c r="J4374">
        <v>44791</v>
      </c>
    </row>
    <row r="4375" spans="1:10" x14ac:dyDescent="0.35">
      <c r="A4375" s="2">
        <v>44787</v>
      </c>
      <c r="B4375" s="3">
        <v>0.42715277777777777</v>
      </c>
      <c r="C4375">
        <v>6292</v>
      </c>
      <c r="D4375" t="str">
        <f>VLOOKUP(H4375,Produkt!$A$2:$B$5,2,FALSE)</f>
        <v>D</v>
      </c>
      <c r="H4375">
        <v>4</v>
      </c>
      <c r="I4375">
        <v>0.96289351851851857</v>
      </c>
      <c r="J4375">
        <v>44797</v>
      </c>
    </row>
    <row r="4376" spans="1:10" x14ac:dyDescent="0.35">
      <c r="A4376" s="2">
        <v>44787</v>
      </c>
      <c r="B4376" s="3">
        <v>3.9814814814815858E-3</v>
      </c>
      <c r="C4376">
        <v>6357</v>
      </c>
      <c r="D4376" t="str">
        <f>VLOOKUP(H4376,Produkt!$A$2:$B$5,2,FALSE)</f>
        <v>D</v>
      </c>
      <c r="H4376">
        <v>4</v>
      </c>
      <c r="I4376">
        <v>0.45697916666666666</v>
      </c>
      <c r="J4376">
        <v>44774</v>
      </c>
    </row>
    <row r="4377" spans="1:10" x14ac:dyDescent="0.35">
      <c r="A4377" s="2">
        <v>44787</v>
      </c>
      <c r="B4377" s="3">
        <v>9.2245370370369617E-3</v>
      </c>
      <c r="C4377">
        <v>6365</v>
      </c>
      <c r="D4377" t="str">
        <f>VLOOKUP(H4377,Produkt!$A$2:$B$5,2,FALSE)</f>
        <v>B</v>
      </c>
      <c r="H4377">
        <v>2</v>
      </c>
      <c r="I4377">
        <v>0.52958333333333341</v>
      </c>
      <c r="J4377">
        <v>44804</v>
      </c>
    </row>
    <row r="4378" spans="1:10" x14ac:dyDescent="0.35">
      <c r="A4378" s="2">
        <v>44787</v>
      </c>
      <c r="B4378" s="3">
        <v>0.53472222222222221</v>
      </c>
      <c r="C4378">
        <v>6418</v>
      </c>
      <c r="D4378" t="str">
        <f>VLOOKUP(H4378,Produkt!$A$2:$B$5,2,FALSE)</f>
        <v>D</v>
      </c>
      <c r="H4378">
        <v>4</v>
      </c>
      <c r="I4378">
        <v>0.42949074074074073</v>
      </c>
      <c r="J4378">
        <v>44789</v>
      </c>
    </row>
    <row r="4379" spans="1:10" x14ac:dyDescent="0.35">
      <c r="A4379" s="2">
        <v>44787</v>
      </c>
      <c r="B4379" s="3">
        <v>0.36868055555555551</v>
      </c>
      <c r="C4379">
        <v>6431</v>
      </c>
      <c r="D4379" t="str">
        <f>VLOOKUP(H4379,Produkt!$A$2:$B$5,2,FALSE)</f>
        <v>C</v>
      </c>
      <c r="H4379">
        <v>3</v>
      </c>
      <c r="I4379">
        <v>0.54089120370370369</v>
      </c>
      <c r="J4379">
        <v>44781</v>
      </c>
    </row>
    <row r="4380" spans="1:10" x14ac:dyDescent="0.35">
      <c r="A4380" s="2">
        <v>44787</v>
      </c>
      <c r="B4380" s="3">
        <v>0.80421296296296296</v>
      </c>
      <c r="C4380">
        <v>6484</v>
      </c>
      <c r="D4380" t="str">
        <f>VLOOKUP(H4380,Produkt!$A$2:$B$5,2,FALSE)</f>
        <v>A</v>
      </c>
      <c r="H4380">
        <v>1</v>
      </c>
      <c r="I4380">
        <v>0.99870370370370365</v>
      </c>
      <c r="J4380">
        <v>44779</v>
      </c>
    </row>
    <row r="4381" spans="1:10" x14ac:dyDescent="0.35">
      <c r="A4381" s="2">
        <v>44787</v>
      </c>
      <c r="B4381" s="3">
        <v>7.0335648148148147E-2</v>
      </c>
      <c r="C4381">
        <v>6591</v>
      </c>
      <c r="D4381" t="str">
        <f>VLOOKUP(H4381,Produkt!$A$2:$B$5,2,FALSE)</f>
        <v>A</v>
      </c>
      <c r="H4381">
        <v>1</v>
      </c>
      <c r="I4381">
        <v>0.54214120370370367</v>
      </c>
      <c r="J4381">
        <v>44780</v>
      </c>
    </row>
    <row r="4382" spans="1:10" x14ac:dyDescent="0.35">
      <c r="A4382" s="2">
        <v>44787</v>
      </c>
      <c r="B4382" s="3">
        <v>8.0613425925925922E-2</v>
      </c>
      <c r="C4382">
        <v>6642</v>
      </c>
      <c r="D4382" t="str">
        <f>VLOOKUP(H4382,Produkt!$A$2:$B$5,2,FALSE)</f>
        <v>D</v>
      </c>
      <c r="H4382">
        <v>4</v>
      </c>
      <c r="I4382">
        <v>0</v>
      </c>
      <c r="J4382">
        <v>44792</v>
      </c>
    </row>
    <row r="4383" spans="1:10" x14ac:dyDescent="0.35">
      <c r="A4383" s="2">
        <v>44787</v>
      </c>
      <c r="B4383" s="3">
        <v>0.78244212962962967</v>
      </c>
      <c r="C4383">
        <v>6655</v>
      </c>
      <c r="D4383" t="str">
        <f>VLOOKUP(H4383,Produkt!$A$2:$B$5,2,FALSE)</f>
        <v>B</v>
      </c>
      <c r="H4383">
        <v>2</v>
      </c>
      <c r="I4383">
        <v>4.1643518518518663E-2</v>
      </c>
      <c r="J4383">
        <v>44784</v>
      </c>
    </row>
    <row r="4384" spans="1:10" x14ac:dyDescent="0.35">
      <c r="A4384" s="2">
        <v>44787</v>
      </c>
      <c r="B4384" s="3">
        <v>0.59851851851851856</v>
      </c>
      <c r="C4384">
        <v>6674</v>
      </c>
      <c r="D4384" t="str">
        <f>VLOOKUP(H4384,Produkt!$A$2:$B$5,2,FALSE)</f>
        <v>D</v>
      </c>
      <c r="H4384">
        <v>4</v>
      </c>
      <c r="I4384">
        <v>0.21428240740740742</v>
      </c>
      <c r="J4384">
        <v>44795</v>
      </c>
    </row>
    <row r="4385" spans="1:10" x14ac:dyDescent="0.35">
      <c r="A4385" s="2">
        <v>44787</v>
      </c>
      <c r="B4385" s="3">
        <v>0.49136574074074074</v>
      </c>
      <c r="C4385">
        <v>6702</v>
      </c>
      <c r="D4385" t="str">
        <f>VLOOKUP(H4385,Produkt!$A$2:$B$5,2,FALSE)</f>
        <v>D</v>
      </c>
      <c r="H4385">
        <v>4</v>
      </c>
      <c r="I4385">
        <v>0.10665509259259259</v>
      </c>
      <c r="J4385">
        <v>44797</v>
      </c>
    </row>
    <row r="4386" spans="1:10" x14ac:dyDescent="0.35">
      <c r="A4386" s="2">
        <v>44787</v>
      </c>
      <c r="B4386" s="3">
        <v>3.8576388888888813E-2</v>
      </c>
      <c r="C4386">
        <v>6728</v>
      </c>
      <c r="D4386" t="str">
        <f>VLOOKUP(H4386,Produkt!$A$2:$B$5,2,FALSE)</f>
        <v>B</v>
      </c>
      <c r="H4386">
        <v>2</v>
      </c>
      <c r="I4386">
        <v>0.42075231481481484</v>
      </c>
      <c r="J4386">
        <v>44803</v>
      </c>
    </row>
    <row r="4387" spans="1:10" x14ac:dyDescent="0.35">
      <c r="A4387" s="2">
        <v>44787</v>
      </c>
      <c r="B4387" s="3">
        <v>0.85078703703703706</v>
      </c>
      <c r="C4387">
        <v>6757</v>
      </c>
      <c r="D4387" t="str">
        <f>VLOOKUP(H4387,Produkt!$A$2:$B$5,2,FALSE)</f>
        <v>C</v>
      </c>
      <c r="H4387">
        <v>3</v>
      </c>
      <c r="I4387">
        <v>1.3310185185185187E-2</v>
      </c>
      <c r="J4387">
        <v>44776</v>
      </c>
    </row>
    <row r="4388" spans="1:10" x14ac:dyDescent="0.35">
      <c r="A4388" s="2">
        <v>44787</v>
      </c>
      <c r="B4388" s="3">
        <v>0.31370370370370371</v>
      </c>
      <c r="C4388">
        <v>6761</v>
      </c>
      <c r="D4388" t="str">
        <f>VLOOKUP(H4388,Produkt!$A$2:$B$5,2,FALSE)</f>
        <v>A</v>
      </c>
      <c r="H4388">
        <v>1</v>
      </c>
      <c r="I4388">
        <v>0.25324074074074071</v>
      </c>
      <c r="J4388">
        <v>44786</v>
      </c>
    </row>
    <row r="4389" spans="1:10" x14ac:dyDescent="0.35">
      <c r="A4389" s="2">
        <v>44787</v>
      </c>
      <c r="B4389" s="3">
        <v>0.83146990740740734</v>
      </c>
      <c r="C4389">
        <v>6800</v>
      </c>
      <c r="D4389" t="str">
        <f>VLOOKUP(H4389,Produkt!$A$2:$B$5,2,FALSE)</f>
        <v>D</v>
      </c>
      <c r="H4389">
        <v>4</v>
      </c>
      <c r="I4389">
        <v>0.63189814814814815</v>
      </c>
      <c r="J4389">
        <v>44804</v>
      </c>
    </row>
    <row r="4390" spans="1:10" x14ac:dyDescent="0.35">
      <c r="A4390" s="2">
        <v>44787</v>
      </c>
      <c r="B4390" s="3">
        <v>0.55986111111111114</v>
      </c>
      <c r="C4390">
        <v>6832</v>
      </c>
      <c r="D4390" t="str">
        <f>VLOOKUP(H4390,Produkt!$A$2:$B$5,2,FALSE)</f>
        <v>A</v>
      </c>
      <c r="H4390">
        <v>1</v>
      </c>
      <c r="I4390">
        <v>0.34569444444444447</v>
      </c>
      <c r="J4390">
        <v>44788</v>
      </c>
    </row>
    <row r="4391" spans="1:10" x14ac:dyDescent="0.35">
      <c r="A4391" s="2">
        <v>44787</v>
      </c>
      <c r="B4391" s="3">
        <v>0.93030092592592595</v>
      </c>
      <c r="C4391">
        <v>6844</v>
      </c>
      <c r="D4391" t="str">
        <f>VLOOKUP(H4391,Produkt!$A$2:$B$5,2,FALSE)</f>
        <v>B</v>
      </c>
      <c r="H4391">
        <v>2</v>
      </c>
      <c r="I4391">
        <v>0.97348379629629633</v>
      </c>
      <c r="J4391">
        <v>44774</v>
      </c>
    </row>
    <row r="4392" spans="1:10" x14ac:dyDescent="0.35">
      <c r="A4392" s="2">
        <v>44787</v>
      </c>
      <c r="B4392" s="3">
        <v>8.398148148148149E-2</v>
      </c>
      <c r="C4392">
        <v>6861</v>
      </c>
      <c r="D4392" t="str">
        <f>VLOOKUP(H4392,Produkt!$A$2:$B$5,2,FALSE)</f>
        <v>A</v>
      </c>
      <c r="H4392">
        <v>1</v>
      </c>
      <c r="I4392">
        <v>0.51569444444444446</v>
      </c>
      <c r="J4392">
        <v>44783</v>
      </c>
    </row>
    <row r="4393" spans="1:10" x14ac:dyDescent="0.35">
      <c r="A4393" s="2">
        <v>44787</v>
      </c>
      <c r="B4393" s="3">
        <v>0.99986111111111109</v>
      </c>
      <c r="C4393">
        <v>6868</v>
      </c>
      <c r="D4393" t="str">
        <f>VLOOKUP(H4393,Produkt!$A$2:$B$5,2,FALSE)</f>
        <v>A</v>
      </c>
      <c r="H4393">
        <v>1</v>
      </c>
      <c r="I4393">
        <v>1.2893518518518519E-2</v>
      </c>
      <c r="J4393">
        <v>44799</v>
      </c>
    </row>
    <row r="4394" spans="1:10" x14ac:dyDescent="0.35">
      <c r="A4394" s="2">
        <v>44787</v>
      </c>
      <c r="B4394" s="3">
        <v>7.3865740740740746E-2</v>
      </c>
      <c r="C4394">
        <v>6869</v>
      </c>
      <c r="D4394" t="str">
        <f>VLOOKUP(H4394,Produkt!$A$2:$B$5,2,FALSE)</f>
        <v>B</v>
      </c>
      <c r="H4394">
        <v>2</v>
      </c>
      <c r="I4394">
        <v>0.53377314814814814</v>
      </c>
      <c r="J4394">
        <v>44781</v>
      </c>
    </row>
    <row r="4395" spans="1:10" x14ac:dyDescent="0.35">
      <c r="A4395" s="2">
        <v>44787</v>
      </c>
      <c r="B4395" s="3">
        <v>0.77085648148148145</v>
      </c>
      <c r="C4395">
        <v>6874</v>
      </c>
      <c r="D4395" t="str">
        <f>VLOOKUP(H4395,Produkt!$A$2:$B$5,2,FALSE)</f>
        <v>C</v>
      </c>
      <c r="H4395">
        <v>3</v>
      </c>
      <c r="I4395">
        <v>1.5266203703703705E-2</v>
      </c>
      <c r="J4395">
        <v>44802</v>
      </c>
    </row>
    <row r="4396" spans="1:10" x14ac:dyDescent="0.35">
      <c r="A4396" s="2">
        <v>44787</v>
      </c>
      <c r="B4396" s="3">
        <v>0.17343749999999999</v>
      </c>
      <c r="C4396">
        <v>6876</v>
      </c>
      <c r="D4396" t="str">
        <f>VLOOKUP(H4396,Produkt!$A$2:$B$5,2,FALSE)</f>
        <v>D</v>
      </c>
      <c r="H4396">
        <v>4</v>
      </c>
      <c r="I4396">
        <v>2.9050925925925928E-3</v>
      </c>
      <c r="J4396">
        <v>44794</v>
      </c>
    </row>
    <row r="4397" spans="1:10" x14ac:dyDescent="0.35">
      <c r="A4397" s="2">
        <v>44787</v>
      </c>
      <c r="B4397" s="3">
        <v>2.3842592592592693E-2</v>
      </c>
      <c r="C4397">
        <v>6896</v>
      </c>
      <c r="D4397" t="str">
        <f>VLOOKUP(H4397,Produkt!$A$2:$B$5,2,FALSE)</f>
        <v>C</v>
      </c>
      <c r="H4397">
        <v>3</v>
      </c>
      <c r="I4397">
        <v>0.32804398148148145</v>
      </c>
      <c r="J4397">
        <v>44786</v>
      </c>
    </row>
    <row r="4398" spans="1:10" x14ac:dyDescent="0.35">
      <c r="A4398" s="2">
        <v>44787</v>
      </c>
      <c r="B4398" s="3">
        <v>0.59701388888888884</v>
      </c>
      <c r="C4398">
        <v>6939</v>
      </c>
      <c r="D4398" t="str">
        <f>VLOOKUP(H4398,Produkt!$A$2:$B$5,2,FALSE)</f>
        <v>D</v>
      </c>
      <c r="H4398">
        <v>4</v>
      </c>
      <c r="I4398">
        <v>0.52505787037037044</v>
      </c>
      <c r="J4398">
        <v>44794</v>
      </c>
    </row>
    <row r="4399" spans="1:10" x14ac:dyDescent="0.35">
      <c r="A4399" s="2">
        <v>44787</v>
      </c>
      <c r="B4399" s="3">
        <v>0.33696759259259257</v>
      </c>
      <c r="C4399">
        <v>6951</v>
      </c>
      <c r="D4399" t="str">
        <f>VLOOKUP(H4399,Produkt!$A$2:$B$5,2,FALSE)</f>
        <v>A</v>
      </c>
      <c r="H4399">
        <v>1</v>
      </c>
      <c r="I4399">
        <v>0.69878472222222221</v>
      </c>
      <c r="J4399">
        <v>44775</v>
      </c>
    </row>
    <row r="4400" spans="1:10" x14ac:dyDescent="0.35">
      <c r="A4400" s="2">
        <v>44787</v>
      </c>
      <c r="B4400" s="3">
        <v>0.69480324074074085</v>
      </c>
      <c r="C4400">
        <v>6958</v>
      </c>
      <c r="D4400" t="str">
        <f>VLOOKUP(H4400,Produkt!$A$2:$B$5,2,FALSE)</f>
        <v>B</v>
      </c>
      <c r="H4400">
        <v>2</v>
      </c>
      <c r="I4400">
        <v>0.22609953703703703</v>
      </c>
      <c r="J4400">
        <v>44781</v>
      </c>
    </row>
    <row r="4401" spans="1:10" x14ac:dyDescent="0.35">
      <c r="A4401" s="2">
        <v>44787</v>
      </c>
      <c r="B4401" s="3">
        <v>0.44363425925925926</v>
      </c>
      <c r="C4401">
        <v>6967</v>
      </c>
      <c r="D4401" t="str">
        <f>VLOOKUP(H4401,Produkt!$A$2:$B$5,2,FALSE)</f>
        <v>C</v>
      </c>
      <c r="H4401">
        <v>3</v>
      </c>
      <c r="I4401">
        <v>0.90099537037037036</v>
      </c>
      <c r="J4401">
        <v>44783</v>
      </c>
    </row>
    <row r="4402" spans="1:10" x14ac:dyDescent="0.35">
      <c r="A4402" s="2">
        <v>44787</v>
      </c>
      <c r="B4402" s="3">
        <v>0.40399305555555554</v>
      </c>
      <c r="C4402">
        <v>6969</v>
      </c>
      <c r="D4402" t="str">
        <f>VLOOKUP(H4402,Produkt!$A$2:$B$5,2,FALSE)</f>
        <v>A</v>
      </c>
      <c r="H4402">
        <v>1</v>
      </c>
      <c r="I4402">
        <v>0.12280092592592594</v>
      </c>
      <c r="J4402">
        <v>44804</v>
      </c>
    </row>
    <row r="4403" spans="1:10" x14ac:dyDescent="0.35">
      <c r="A4403" s="2">
        <v>44787</v>
      </c>
      <c r="B4403" s="3">
        <v>0.15461805555555555</v>
      </c>
      <c r="C4403">
        <v>6980</v>
      </c>
      <c r="D4403" t="str">
        <f>VLOOKUP(H4403,Produkt!$A$2:$B$5,2,FALSE)</f>
        <v>B</v>
      </c>
      <c r="H4403">
        <v>2</v>
      </c>
      <c r="I4403">
        <v>0.52105324074074078</v>
      </c>
      <c r="J4403">
        <v>44777</v>
      </c>
    </row>
    <row r="4404" spans="1:10" x14ac:dyDescent="0.35">
      <c r="A4404" s="2">
        <v>44787</v>
      </c>
      <c r="B4404" s="3">
        <v>0.76421296296296293</v>
      </c>
      <c r="C4404">
        <v>7014</v>
      </c>
      <c r="D4404" t="str">
        <f>VLOOKUP(H4404,Produkt!$A$2:$B$5,2,FALSE)</f>
        <v>B</v>
      </c>
      <c r="H4404">
        <v>2</v>
      </c>
      <c r="I4404">
        <v>2.7870370370370434E-2</v>
      </c>
      <c r="J4404">
        <v>44783</v>
      </c>
    </row>
    <row r="4405" spans="1:10" x14ac:dyDescent="0.35">
      <c r="A4405" s="2">
        <v>44787</v>
      </c>
      <c r="B4405" s="3">
        <v>0.74887731481481479</v>
      </c>
      <c r="C4405">
        <v>7053</v>
      </c>
      <c r="D4405" t="str">
        <f>VLOOKUP(H4405,Produkt!$A$2:$B$5,2,FALSE)</f>
        <v>A</v>
      </c>
      <c r="H4405">
        <v>1</v>
      </c>
      <c r="I4405">
        <v>0.72668981481481476</v>
      </c>
      <c r="J4405">
        <v>44799</v>
      </c>
    </row>
    <row r="4406" spans="1:10" x14ac:dyDescent="0.35">
      <c r="A4406" s="2">
        <v>44787</v>
      </c>
      <c r="B4406" s="3">
        <v>0.74886574074074075</v>
      </c>
      <c r="C4406">
        <v>7079</v>
      </c>
      <c r="D4406" t="str">
        <f>VLOOKUP(H4406,Produkt!$A$2:$B$5,2,FALSE)</f>
        <v>B</v>
      </c>
      <c r="H4406">
        <v>2</v>
      </c>
      <c r="I4406">
        <v>5.486111111111111E-2</v>
      </c>
      <c r="J4406">
        <v>44789</v>
      </c>
    </row>
    <row r="4407" spans="1:10" x14ac:dyDescent="0.35">
      <c r="A4407" s="2">
        <v>44787</v>
      </c>
      <c r="B4407" s="3">
        <v>0.19260416666666669</v>
      </c>
      <c r="C4407">
        <v>7098</v>
      </c>
      <c r="D4407" t="str">
        <f>VLOOKUP(H4407,Produkt!$A$2:$B$5,2,FALSE)</f>
        <v>A</v>
      </c>
      <c r="H4407">
        <v>1</v>
      </c>
      <c r="I4407">
        <v>0.62366898148148142</v>
      </c>
      <c r="J4407">
        <v>44775</v>
      </c>
    </row>
    <row r="4408" spans="1:10" x14ac:dyDescent="0.35">
      <c r="A4408" s="2">
        <v>44787</v>
      </c>
      <c r="B4408" s="3">
        <v>0.35228009259259263</v>
      </c>
      <c r="C4408">
        <v>7123</v>
      </c>
      <c r="D4408" t="str">
        <f>VLOOKUP(H4408,Produkt!$A$2:$B$5,2,FALSE)</f>
        <v>B</v>
      </c>
      <c r="H4408">
        <v>2</v>
      </c>
      <c r="I4408">
        <v>0.33298611111111115</v>
      </c>
      <c r="J4408">
        <v>44793</v>
      </c>
    </row>
    <row r="4409" spans="1:10" x14ac:dyDescent="0.35">
      <c r="A4409" s="2">
        <v>44787</v>
      </c>
      <c r="B4409" s="3">
        <v>0.66153935185185186</v>
      </c>
      <c r="C4409">
        <v>7146</v>
      </c>
      <c r="D4409" t="str">
        <f>VLOOKUP(H4409,Produkt!$A$2:$B$5,2,FALSE)</f>
        <v>A</v>
      </c>
      <c r="H4409">
        <v>1</v>
      </c>
      <c r="I4409">
        <v>8.0891203703703715E-2</v>
      </c>
      <c r="J4409">
        <v>44795</v>
      </c>
    </row>
    <row r="4410" spans="1:10" x14ac:dyDescent="0.35">
      <c r="A4410" s="2">
        <v>44787</v>
      </c>
      <c r="B4410" s="3">
        <v>0.63103009259259257</v>
      </c>
      <c r="C4410">
        <v>7161</v>
      </c>
      <c r="D4410" t="str">
        <f>VLOOKUP(H4410,Produkt!$A$2:$B$5,2,FALSE)</f>
        <v>C</v>
      </c>
      <c r="H4410">
        <v>3</v>
      </c>
      <c r="I4410">
        <v>0.49037037037037035</v>
      </c>
      <c r="J4410">
        <v>44774</v>
      </c>
    </row>
    <row r="4411" spans="1:10" x14ac:dyDescent="0.35">
      <c r="A4411" s="2">
        <v>44787</v>
      </c>
      <c r="B4411" s="3">
        <v>0.17364583333333336</v>
      </c>
      <c r="C4411">
        <v>7193</v>
      </c>
      <c r="D4411" t="str">
        <f>VLOOKUP(H4411,Produkt!$A$2:$B$5,2,FALSE)</f>
        <v>D</v>
      </c>
      <c r="H4411">
        <v>4</v>
      </c>
      <c r="I4411">
        <v>0.81484953703703711</v>
      </c>
      <c r="J4411">
        <v>44792</v>
      </c>
    </row>
    <row r="4412" spans="1:10" x14ac:dyDescent="0.35">
      <c r="A4412" s="2">
        <v>44787</v>
      </c>
      <c r="B4412" s="3">
        <v>0.42158564814814814</v>
      </c>
      <c r="C4412">
        <v>7257</v>
      </c>
      <c r="D4412" t="str">
        <f>VLOOKUP(H4412,Produkt!$A$2:$B$5,2,FALSE)</f>
        <v>C</v>
      </c>
      <c r="H4412">
        <v>3</v>
      </c>
      <c r="I4412">
        <v>0.9084374999999999</v>
      </c>
      <c r="J4412">
        <v>44786</v>
      </c>
    </row>
    <row r="4413" spans="1:10" x14ac:dyDescent="0.35">
      <c r="A4413" s="2">
        <v>44787</v>
      </c>
      <c r="B4413" s="3">
        <v>0.97891203703703711</v>
      </c>
      <c r="C4413">
        <v>7258</v>
      </c>
      <c r="D4413" t="str">
        <f>VLOOKUP(H4413,Produkt!$A$2:$B$5,2,FALSE)</f>
        <v>A</v>
      </c>
      <c r="H4413">
        <v>1</v>
      </c>
      <c r="I4413">
        <v>0.34991898148148143</v>
      </c>
      <c r="J4413">
        <v>44792</v>
      </c>
    </row>
    <row r="4414" spans="1:10" x14ac:dyDescent="0.35">
      <c r="A4414" s="2">
        <v>44787</v>
      </c>
      <c r="B4414" s="3">
        <v>0.36731481481481482</v>
      </c>
      <c r="C4414">
        <v>7269</v>
      </c>
      <c r="D4414" t="str">
        <f>VLOOKUP(H4414,Produkt!$A$2:$B$5,2,FALSE)</f>
        <v>C</v>
      </c>
      <c r="H4414">
        <v>3</v>
      </c>
      <c r="I4414">
        <v>0.71152777777777787</v>
      </c>
      <c r="J4414">
        <v>44786</v>
      </c>
    </row>
    <row r="4415" spans="1:10" x14ac:dyDescent="0.35">
      <c r="A4415" s="2">
        <v>44787</v>
      </c>
      <c r="B4415" s="3">
        <v>0.4704976851851852</v>
      </c>
      <c r="C4415">
        <v>7277</v>
      </c>
      <c r="D4415" t="str">
        <f>VLOOKUP(H4415,Produkt!$A$2:$B$5,2,FALSE)</f>
        <v>D</v>
      </c>
      <c r="H4415">
        <v>4</v>
      </c>
      <c r="I4415">
        <v>0.4480555555555556</v>
      </c>
      <c r="J4415">
        <v>44783</v>
      </c>
    </row>
    <row r="4416" spans="1:10" x14ac:dyDescent="0.35">
      <c r="A4416" s="2">
        <v>44787</v>
      </c>
      <c r="B4416" s="3">
        <v>0.20098379629629629</v>
      </c>
      <c r="C4416">
        <v>7326</v>
      </c>
      <c r="D4416" t="str">
        <f>VLOOKUP(H4416,Produkt!$A$2:$B$5,2,FALSE)</f>
        <v>D</v>
      </c>
      <c r="H4416">
        <v>4</v>
      </c>
      <c r="I4416">
        <v>0.48104166666666665</v>
      </c>
      <c r="J4416">
        <v>44799</v>
      </c>
    </row>
    <row r="4417" spans="1:10" x14ac:dyDescent="0.35">
      <c r="A4417" s="2">
        <v>44787</v>
      </c>
      <c r="B4417" s="3">
        <v>0.22103009259259257</v>
      </c>
      <c r="C4417">
        <v>7327</v>
      </c>
      <c r="D4417" t="str">
        <f>VLOOKUP(H4417,Produkt!$A$2:$B$5,2,FALSE)</f>
        <v>D</v>
      </c>
      <c r="H4417">
        <v>4</v>
      </c>
      <c r="I4417">
        <v>0.69324074074074071</v>
      </c>
      <c r="J4417">
        <v>44782</v>
      </c>
    </row>
    <row r="4418" spans="1:10" x14ac:dyDescent="0.35">
      <c r="A4418" s="2">
        <v>44787</v>
      </c>
      <c r="B4418" s="3">
        <v>0.57482638888888882</v>
      </c>
      <c r="C4418">
        <v>7385</v>
      </c>
      <c r="D4418" t="str">
        <f>VLOOKUP(H4418,Produkt!$A$2:$B$5,2,FALSE)</f>
        <v>C</v>
      </c>
      <c r="H4418">
        <v>3</v>
      </c>
      <c r="I4418">
        <v>0.56880787037037039</v>
      </c>
      <c r="J4418">
        <v>44778</v>
      </c>
    </row>
    <row r="4419" spans="1:10" x14ac:dyDescent="0.35">
      <c r="A4419" s="2">
        <v>44787</v>
      </c>
      <c r="B4419" s="3">
        <v>0.27568287037037037</v>
      </c>
      <c r="C4419">
        <v>7421</v>
      </c>
      <c r="D4419" t="str">
        <f>VLOOKUP(H4419,Produkt!$A$2:$B$5,2,FALSE)</f>
        <v>C</v>
      </c>
      <c r="H4419">
        <v>3</v>
      </c>
      <c r="I4419">
        <v>0.46736111111111112</v>
      </c>
      <c r="J4419">
        <v>44775</v>
      </c>
    </row>
    <row r="4420" spans="1:10" x14ac:dyDescent="0.35">
      <c r="A4420" s="2">
        <v>44787</v>
      </c>
      <c r="B4420" s="3">
        <v>0.23402777777777781</v>
      </c>
      <c r="C4420">
        <v>7474</v>
      </c>
      <c r="D4420" t="str">
        <f>VLOOKUP(H4420,Produkt!$A$2:$B$5,2,FALSE)</f>
        <v>D</v>
      </c>
      <c r="H4420">
        <v>4</v>
      </c>
      <c r="I4420">
        <v>0.18805555555555556</v>
      </c>
      <c r="J4420">
        <v>44804</v>
      </c>
    </row>
    <row r="4421" spans="1:10" x14ac:dyDescent="0.35">
      <c r="A4421" s="2">
        <v>44787</v>
      </c>
      <c r="B4421" s="3">
        <v>0.91820601851851846</v>
      </c>
      <c r="C4421">
        <v>7484</v>
      </c>
      <c r="D4421" t="str">
        <f>VLOOKUP(H4421,Produkt!$A$2:$B$5,2,FALSE)</f>
        <v>D</v>
      </c>
      <c r="H4421">
        <v>4</v>
      </c>
      <c r="I4421">
        <v>0.70780092592592592</v>
      </c>
      <c r="J4421">
        <v>44804</v>
      </c>
    </row>
    <row r="4422" spans="1:10" x14ac:dyDescent="0.35">
      <c r="A4422" s="2">
        <v>44787</v>
      </c>
      <c r="B4422" s="3">
        <v>8.7847222222222233E-3</v>
      </c>
      <c r="C4422">
        <v>7532</v>
      </c>
      <c r="D4422" t="str">
        <f>VLOOKUP(H4422,Produkt!$A$2:$B$5,2,FALSE)</f>
        <v>B</v>
      </c>
      <c r="H4422">
        <v>2</v>
      </c>
      <c r="I4422">
        <v>0.68767361111111114</v>
      </c>
      <c r="J4422">
        <v>44780</v>
      </c>
    </row>
    <row r="4423" spans="1:10" x14ac:dyDescent="0.35">
      <c r="A4423" s="2">
        <v>44787</v>
      </c>
      <c r="B4423" s="3">
        <v>0.75009259259259264</v>
      </c>
      <c r="C4423">
        <v>7539</v>
      </c>
      <c r="D4423" t="str">
        <f>VLOOKUP(H4423,Produkt!$A$2:$B$5,2,FALSE)</f>
        <v>D</v>
      </c>
      <c r="H4423">
        <v>4</v>
      </c>
      <c r="I4423">
        <v>0.82356481481481481</v>
      </c>
      <c r="J4423">
        <v>44786</v>
      </c>
    </row>
    <row r="4424" spans="1:10" x14ac:dyDescent="0.35">
      <c r="A4424" s="2">
        <v>44787</v>
      </c>
      <c r="B4424" s="3">
        <v>0.33466435185185189</v>
      </c>
      <c r="C4424">
        <v>7551</v>
      </c>
      <c r="D4424" t="str">
        <f>VLOOKUP(H4424,Produkt!$A$2:$B$5,2,FALSE)</f>
        <v>A</v>
      </c>
      <c r="H4424">
        <v>1</v>
      </c>
      <c r="I4424">
        <v>0.89679398148148148</v>
      </c>
      <c r="J4424">
        <v>44781</v>
      </c>
    </row>
    <row r="4425" spans="1:10" x14ac:dyDescent="0.35">
      <c r="A4425" s="2">
        <v>44787</v>
      </c>
      <c r="B4425" s="3">
        <v>2.615740740740741E-3</v>
      </c>
      <c r="C4425">
        <v>7600</v>
      </c>
      <c r="D4425" t="str">
        <f>VLOOKUP(H4425,Produkt!$A$2:$B$5,2,FALSE)</f>
        <v>A</v>
      </c>
      <c r="H4425">
        <v>1</v>
      </c>
      <c r="I4425">
        <v>0.20868055555555556</v>
      </c>
      <c r="J4425">
        <v>44782</v>
      </c>
    </row>
    <row r="4426" spans="1:10" x14ac:dyDescent="0.35">
      <c r="A4426" s="2">
        <v>44787</v>
      </c>
      <c r="B4426" s="3">
        <v>6.0729166666666667E-2</v>
      </c>
      <c r="C4426">
        <v>7617</v>
      </c>
      <c r="D4426" t="str">
        <f>VLOOKUP(H4426,Produkt!$A$2:$B$5,2,FALSE)</f>
        <v>C</v>
      </c>
      <c r="H4426">
        <v>3</v>
      </c>
      <c r="I4426">
        <v>0.78297453703703701</v>
      </c>
      <c r="J4426">
        <v>44795</v>
      </c>
    </row>
    <row r="4427" spans="1:10" x14ac:dyDescent="0.35">
      <c r="A4427" s="2">
        <v>44787</v>
      </c>
      <c r="B4427" s="3">
        <v>0.83069444444444451</v>
      </c>
      <c r="C4427">
        <v>7623</v>
      </c>
      <c r="D4427" t="str">
        <f>VLOOKUP(H4427,Produkt!$A$2:$B$5,2,FALSE)</f>
        <v>A</v>
      </c>
      <c r="H4427">
        <v>1</v>
      </c>
      <c r="I4427">
        <v>0.80865740740740744</v>
      </c>
      <c r="J4427">
        <v>44784</v>
      </c>
    </row>
    <row r="4428" spans="1:10" x14ac:dyDescent="0.35">
      <c r="A4428" s="2">
        <v>44787</v>
      </c>
      <c r="B4428" s="3">
        <v>0.84400462962962963</v>
      </c>
      <c r="C4428">
        <v>7664</v>
      </c>
      <c r="D4428" t="str">
        <f>VLOOKUP(H4428,Produkt!$A$2:$B$5,2,FALSE)</f>
        <v>A</v>
      </c>
      <c r="H4428">
        <v>1</v>
      </c>
      <c r="I4428">
        <v>0.83969907407407407</v>
      </c>
      <c r="J4428">
        <v>44783</v>
      </c>
    </row>
    <row r="4429" spans="1:10" x14ac:dyDescent="0.35">
      <c r="A4429" s="2">
        <v>44787</v>
      </c>
      <c r="B4429" s="3">
        <v>3.1064814814814712E-2</v>
      </c>
      <c r="C4429">
        <v>7710</v>
      </c>
      <c r="D4429" t="str">
        <f>VLOOKUP(H4429,Produkt!$A$2:$B$5,2,FALSE)</f>
        <v>C</v>
      </c>
      <c r="H4429">
        <v>3</v>
      </c>
      <c r="I4429">
        <v>0.92115740740740737</v>
      </c>
      <c r="J4429">
        <v>44804</v>
      </c>
    </row>
    <row r="4430" spans="1:10" x14ac:dyDescent="0.35">
      <c r="A4430" s="2">
        <v>44787</v>
      </c>
      <c r="B4430" s="3">
        <v>0.71232638888888899</v>
      </c>
      <c r="C4430">
        <v>7757</v>
      </c>
      <c r="D4430" t="str">
        <f>VLOOKUP(H4430,Produkt!$A$2:$B$5,2,FALSE)</f>
        <v>D</v>
      </c>
      <c r="H4430">
        <v>4</v>
      </c>
      <c r="I4430">
        <v>0.45059027777777777</v>
      </c>
      <c r="J4430">
        <v>44794</v>
      </c>
    </row>
    <row r="4431" spans="1:10" x14ac:dyDescent="0.35">
      <c r="A4431" s="2">
        <v>44787</v>
      </c>
      <c r="B4431" s="3">
        <v>0.74342592592592593</v>
      </c>
      <c r="C4431">
        <v>7799</v>
      </c>
      <c r="D4431" t="str">
        <f>VLOOKUP(H4431,Produkt!$A$2:$B$5,2,FALSE)</f>
        <v>C</v>
      </c>
      <c r="H4431">
        <v>3</v>
      </c>
      <c r="I4431">
        <v>9.0810185185185188E-2</v>
      </c>
      <c r="J4431">
        <v>44789</v>
      </c>
    </row>
    <row r="4432" spans="1:10" x14ac:dyDescent="0.35">
      <c r="A4432" s="2">
        <v>44787</v>
      </c>
      <c r="B4432" s="3">
        <v>0.4740625</v>
      </c>
      <c r="C4432">
        <v>7811</v>
      </c>
      <c r="D4432" t="str">
        <f>VLOOKUP(H4432,Produkt!$A$2:$B$5,2,FALSE)</f>
        <v>A</v>
      </c>
      <c r="H4432">
        <v>1</v>
      </c>
      <c r="I4432">
        <v>0.63872685185185185</v>
      </c>
      <c r="J4432">
        <v>44794</v>
      </c>
    </row>
    <row r="4433" spans="1:10" x14ac:dyDescent="0.35">
      <c r="A4433" s="2">
        <v>44787</v>
      </c>
      <c r="B4433" s="3">
        <v>1.8101851851851852E-2</v>
      </c>
      <c r="C4433">
        <v>7853</v>
      </c>
      <c r="D4433" t="str">
        <f>VLOOKUP(H4433,Produkt!$A$2:$B$5,2,FALSE)</f>
        <v>C</v>
      </c>
      <c r="H4433">
        <v>3</v>
      </c>
      <c r="I4433">
        <v>0.61063657407407412</v>
      </c>
      <c r="J4433">
        <v>44802</v>
      </c>
    </row>
    <row r="4434" spans="1:10" x14ac:dyDescent="0.35">
      <c r="A4434" s="2">
        <v>44787</v>
      </c>
      <c r="B4434" s="3">
        <v>0.25851851851851854</v>
      </c>
      <c r="C4434">
        <v>7891</v>
      </c>
      <c r="D4434" t="str">
        <f>VLOOKUP(H4434,Produkt!$A$2:$B$5,2,FALSE)</f>
        <v>D</v>
      </c>
      <c r="H4434">
        <v>4</v>
      </c>
      <c r="I4434">
        <v>0.77567129629629628</v>
      </c>
      <c r="J4434">
        <v>44793</v>
      </c>
    </row>
    <row r="4435" spans="1:10" x14ac:dyDescent="0.35">
      <c r="A4435" s="2">
        <v>44787</v>
      </c>
      <c r="B4435" s="3">
        <v>0.85103009259259255</v>
      </c>
      <c r="C4435">
        <v>7952</v>
      </c>
      <c r="D4435" t="str">
        <f>VLOOKUP(H4435,Produkt!$A$2:$B$5,2,FALSE)</f>
        <v>C</v>
      </c>
      <c r="H4435">
        <v>3</v>
      </c>
      <c r="I4435">
        <v>0.34646990740740741</v>
      </c>
      <c r="J4435">
        <v>44803</v>
      </c>
    </row>
    <row r="4436" spans="1:10" x14ac:dyDescent="0.35">
      <c r="A4436" s="2">
        <v>44787</v>
      </c>
      <c r="B4436" s="3">
        <v>0.54476851851851849</v>
      </c>
      <c r="C4436">
        <v>7986</v>
      </c>
      <c r="D4436" t="str">
        <f>VLOOKUP(H4436,Produkt!$A$2:$B$5,2,FALSE)</f>
        <v>C</v>
      </c>
      <c r="H4436">
        <v>3</v>
      </c>
      <c r="I4436">
        <v>0.4263657407407408</v>
      </c>
      <c r="J4436">
        <v>44783</v>
      </c>
    </row>
    <row r="4437" spans="1:10" x14ac:dyDescent="0.35">
      <c r="A4437" s="2">
        <v>44787</v>
      </c>
      <c r="B4437" s="3">
        <v>4.1909722222222223E-2</v>
      </c>
      <c r="C4437">
        <v>8049</v>
      </c>
      <c r="D4437" t="str">
        <f>VLOOKUP(H4437,Produkt!$A$2:$B$5,2,FALSE)</f>
        <v>A</v>
      </c>
      <c r="H4437">
        <v>1</v>
      </c>
      <c r="I4437">
        <v>0.41866898148148146</v>
      </c>
      <c r="J4437">
        <v>44796</v>
      </c>
    </row>
    <row r="4438" spans="1:10" x14ac:dyDescent="0.35">
      <c r="A4438" s="2">
        <v>44787</v>
      </c>
      <c r="B4438" s="3">
        <v>0.33533564814814815</v>
      </c>
      <c r="C4438">
        <v>8153</v>
      </c>
      <c r="D4438" t="str">
        <f>VLOOKUP(H4438,Produkt!$A$2:$B$5,2,FALSE)</f>
        <v>D</v>
      </c>
      <c r="H4438">
        <v>4</v>
      </c>
      <c r="I4438">
        <v>0.46003472222222225</v>
      </c>
      <c r="J4438">
        <v>44784</v>
      </c>
    </row>
    <row r="4439" spans="1:10" x14ac:dyDescent="0.35">
      <c r="A4439" s="2">
        <v>44787</v>
      </c>
      <c r="B4439" s="3">
        <v>0.14834490740740741</v>
      </c>
      <c r="C4439">
        <v>8218</v>
      </c>
      <c r="D4439" t="str">
        <f>VLOOKUP(H4439,Produkt!$A$2:$B$5,2,FALSE)</f>
        <v>A</v>
      </c>
      <c r="H4439">
        <v>1</v>
      </c>
      <c r="I4439">
        <v>0.46307870370370369</v>
      </c>
      <c r="J4439">
        <v>44804</v>
      </c>
    </row>
    <row r="4440" spans="1:10" x14ac:dyDescent="0.35">
      <c r="A4440" s="2">
        <v>44787</v>
      </c>
      <c r="B4440" s="3">
        <v>0.63878472222222216</v>
      </c>
      <c r="C4440">
        <v>8278</v>
      </c>
      <c r="D4440" t="str">
        <f>VLOOKUP(H4440,Produkt!$A$2:$B$5,2,FALSE)</f>
        <v>D</v>
      </c>
      <c r="H4440">
        <v>4</v>
      </c>
      <c r="I4440">
        <v>0.47719907407407408</v>
      </c>
      <c r="J4440">
        <v>44775</v>
      </c>
    </row>
    <row r="4441" spans="1:10" x14ac:dyDescent="0.35">
      <c r="A4441" s="2">
        <v>44787</v>
      </c>
      <c r="B4441" s="3">
        <v>0.22857638888888887</v>
      </c>
      <c r="C4441">
        <v>8285</v>
      </c>
      <c r="D4441" t="str">
        <f>VLOOKUP(H4441,Produkt!$A$2:$B$5,2,FALSE)</f>
        <v>C</v>
      </c>
      <c r="H4441">
        <v>3</v>
      </c>
      <c r="I4441">
        <v>0.50234953703703711</v>
      </c>
      <c r="J4441">
        <v>44775</v>
      </c>
    </row>
    <row r="4442" spans="1:10" x14ac:dyDescent="0.35">
      <c r="A4442" s="2">
        <v>44787</v>
      </c>
      <c r="B4442" s="3">
        <v>0.82055555555555559</v>
      </c>
      <c r="C4442">
        <v>8292</v>
      </c>
      <c r="D4442" t="str">
        <f>VLOOKUP(H4442,Produkt!$A$2:$B$5,2,FALSE)</f>
        <v>D</v>
      </c>
      <c r="H4442">
        <v>4</v>
      </c>
      <c r="I4442">
        <v>0.59008101851851846</v>
      </c>
      <c r="J4442">
        <v>44787</v>
      </c>
    </row>
    <row r="4443" spans="1:10" x14ac:dyDescent="0.35">
      <c r="A4443" s="2">
        <v>44787</v>
      </c>
      <c r="B4443" s="3">
        <v>0.67609953703703696</v>
      </c>
      <c r="C4443">
        <v>8305</v>
      </c>
      <c r="D4443" t="str">
        <f>VLOOKUP(H4443,Produkt!$A$2:$B$5,2,FALSE)</f>
        <v>B</v>
      </c>
      <c r="H4443">
        <v>2</v>
      </c>
      <c r="I4443">
        <v>0.4496296296296296</v>
      </c>
      <c r="J4443">
        <v>44784</v>
      </c>
    </row>
    <row r="4444" spans="1:10" x14ac:dyDescent="0.35">
      <c r="A4444" s="2">
        <v>44787</v>
      </c>
      <c r="B4444" s="3">
        <v>0.8989583333333333</v>
      </c>
      <c r="C4444">
        <v>8350</v>
      </c>
      <c r="D4444" t="str">
        <f>VLOOKUP(H4444,Produkt!$A$2:$B$5,2,FALSE)</f>
        <v>D</v>
      </c>
      <c r="H4444">
        <v>4</v>
      </c>
      <c r="I4444">
        <v>0.45380787037037035</v>
      </c>
      <c r="J4444">
        <v>44775</v>
      </c>
    </row>
    <row r="4445" spans="1:10" x14ac:dyDescent="0.35">
      <c r="A4445" s="2">
        <v>44787</v>
      </c>
      <c r="B4445" s="3">
        <v>0.14215277777777777</v>
      </c>
      <c r="C4445">
        <v>8382</v>
      </c>
      <c r="D4445" t="str">
        <f>VLOOKUP(H4445,Produkt!$A$2:$B$5,2,FALSE)</f>
        <v>C</v>
      </c>
      <c r="H4445">
        <v>3</v>
      </c>
      <c r="I4445">
        <v>0.26710648148148147</v>
      </c>
      <c r="J4445">
        <v>44789</v>
      </c>
    </row>
    <row r="4446" spans="1:10" x14ac:dyDescent="0.35">
      <c r="A4446" s="2">
        <v>44787</v>
      </c>
      <c r="B4446" s="3">
        <v>0.17228009259259258</v>
      </c>
      <c r="C4446">
        <v>8428</v>
      </c>
      <c r="D4446" t="str">
        <f>VLOOKUP(H4446,Produkt!$A$2:$B$5,2,FALSE)</f>
        <v>D</v>
      </c>
      <c r="H4446">
        <v>4</v>
      </c>
      <c r="I4446">
        <v>0.57322916666666668</v>
      </c>
      <c r="J4446">
        <v>44795</v>
      </c>
    </row>
    <row r="4447" spans="1:10" x14ac:dyDescent="0.35">
      <c r="A4447" s="2">
        <v>44787</v>
      </c>
      <c r="B4447" s="3">
        <v>0.60039351851851852</v>
      </c>
      <c r="C4447">
        <v>8446</v>
      </c>
      <c r="D4447" t="str">
        <f>VLOOKUP(H4447,Produkt!$A$2:$B$5,2,FALSE)</f>
        <v>A</v>
      </c>
      <c r="H4447">
        <v>1</v>
      </c>
      <c r="I4447">
        <v>9.3958333333333324E-2</v>
      </c>
      <c r="J4447">
        <v>44795</v>
      </c>
    </row>
    <row r="4448" spans="1:10" x14ac:dyDescent="0.35">
      <c r="A4448" s="2">
        <v>44787</v>
      </c>
      <c r="B4448" s="3">
        <v>0.283287037037037</v>
      </c>
      <c r="C4448">
        <v>8468</v>
      </c>
      <c r="D4448" t="str">
        <f>VLOOKUP(H4448,Produkt!$A$2:$B$5,2,FALSE)</f>
        <v>C</v>
      </c>
      <c r="H4448">
        <v>3</v>
      </c>
      <c r="I4448">
        <v>5.0115740740740738E-2</v>
      </c>
      <c r="J4448">
        <v>44786</v>
      </c>
    </row>
    <row r="4449" spans="1:10" x14ac:dyDescent="0.35">
      <c r="A4449" s="2">
        <v>44787</v>
      </c>
      <c r="B4449" s="3">
        <v>2.2337962962961644E-3</v>
      </c>
      <c r="C4449">
        <v>8475</v>
      </c>
      <c r="D4449" t="str">
        <f>VLOOKUP(H4449,Produkt!$A$2:$B$5,2,FALSE)</f>
        <v>C</v>
      </c>
      <c r="H4449">
        <v>3</v>
      </c>
      <c r="I4449">
        <v>0.15949074074074074</v>
      </c>
      <c r="J4449">
        <v>44798</v>
      </c>
    </row>
    <row r="4450" spans="1:10" x14ac:dyDescent="0.35">
      <c r="A4450" s="2">
        <v>44787</v>
      </c>
      <c r="B4450" s="3">
        <v>2.7199074074073515E-3</v>
      </c>
      <c r="C4450">
        <v>8499</v>
      </c>
      <c r="D4450" t="str">
        <f>VLOOKUP(H4450,Produkt!$A$2:$B$5,2,FALSE)</f>
        <v>B</v>
      </c>
      <c r="H4450">
        <v>2</v>
      </c>
      <c r="I4450">
        <v>0.55958333333333332</v>
      </c>
      <c r="J4450">
        <v>44798</v>
      </c>
    </row>
    <row r="4451" spans="1:10" x14ac:dyDescent="0.35">
      <c r="A4451" s="2">
        <v>44787</v>
      </c>
      <c r="B4451" s="3">
        <v>0.2084722222222222</v>
      </c>
      <c r="C4451">
        <v>8537</v>
      </c>
      <c r="D4451" t="str">
        <f>VLOOKUP(H4451,Produkt!$A$2:$B$5,2,FALSE)</f>
        <v>C</v>
      </c>
      <c r="H4451">
        <v>3</v>
      </c>
      <c r="I4451">
        <v>0.17685185185185184</v>
      </c>
      <c r="J4451">
        <v>44785</v>
      </c>
    </row>
    <row r="4452" spans="1:10" x14ac:dyDescent="0.35">
      <c r="A4452" s="2">
        <v>44787</v>
      </c>
      <c r="B4452" s="3">
        <v>0.75748842592592591</v>
      </c>
      <c r="C4452">
        <v>8553</v>
      </c>
      <c r="D4452" t="str">
        <f>VLOOKUP(H4452,Produkt!$A$2:$B$5,2,FALSE)</f>
        <v>C</v>
      </c>
      <c r="H4452">
        <v>3</v>
      </c>
      <c r="I4452">
        <v>0.37247685185185181</v>
      </c>
      <c r="J4452">
        <v>44784</v>
      </c>
    </row>
    <row r="4453" spans="1:10" x14ac:dyDescent="0.35">
      <c r="A4453" s="2">
        <v>44787</v>
      </c>
      <c r="B4453" s="3">
        <v>0.80936342592592592</v>
      </c>
      <c r="C4453">
        <v>8646</v>
      </c>
      <c r="D4453" t="str">
        <f>VLOOKUP(H4453,Produkt!$A$2:$B$5,2,FALSE)</f>
        <v>A</v>
      </c>
      <c r="H4453">
        <v>1</v>
      </c>
      <c r="I4453">
        <v>0.29756944444444444</v>
      </c>
      <c r="J4453">
        <v>44798</v>
      </c>
    </row>
    <row r="4454" spans="1:10" x14ac:dyDescent="0.35">
      <c r="A4454" s="2">
        <v>44787</v>
      </c>
      <c r="B4454" s="3">
        <v>0.65559027777777779</v>
      </c>
      <c r="C4454">
        <v>8650</v>
      </c>
      <c r="D4454" t="str">
        <f>VLOOKUP(H4454,Produkt!$A$2:$B$5,2,FALSE)</f>
        <v>D</v>
      </c>
      <c r="H4454">
        <v>4</v>
      </c>
      <c r="I4454">
        <v>0.18756944444444446</v>
      </c>
      <c r="J4454">
        <v>44786</v>
      </c>
    </row>
    <row r="4455" spans="1:10" x14ac:dyDescent="0.35">
      <c r="A4455" s="2">
        <v>44787</v>
      </c>
      <c r="B4455" s="3">
        <v>0.56530092592592596</v>
      </c>
      <c r="C4455">
        <v>8671</v>
      </c>
      <c r="D4455" t="str">
        <f>VLOOKUP(H4455,Produkt!$A$2:$B$5,2,FALSE)</f>
        <v>D</v>
      </c>
      <c r="H4455">
        <v>4</v>
      </c>
      <c r="I4455">
        <v>0.52225694444444437</v>
      </c>
      <c r="J4455">
        <v>44799</v>
      </c>
    </row>
    <row r="4456" spans="1:10" x14ac:dyDescent="0.35">
      <c r="A4456" s="2">
        <v>44787</v>
      </c>
      <c r="B4456" s="3">
        <v>0.11322916666666666</v>
      </c>
      <c r="C4456">
        <v>8686</v>
      </c>
      <c r="D4456" t="str">
        <f>VLOOKUP(H4456,Produkt!$A$2:$B$5,2,FALSE)</f>
        <v>D</v>
      </c>
      <c r="H4456">
        <v>4</v>
      </c>
      <c r="I4456">
        <v>0.54521990740740744</v>
      </c>
      <c r="J4456">
        <v>44795</v>
      </c>
    </row>
    <row r="4457" spans="1:10" x14ac:dyDescent="0.35">
      <c r="A4457" s="2">
        <v>44787</v>
      </c>
      <c r="B4457" s="3">
        <v>0.12674768518518517</v>
      </c>
      <c r="C4457">
        <v>8691</v>
      </c>
      <c r="D4457" t="str">
        <f>VLOOKUP(H4457,Produkt!$A$2:$B$5,2,FALSE)</f>
        <v>B</v>
      </c>
      <c r="H4457">
        <v>2</v>
      </c>
      <c r="I4457">
        <v>0.8302314814814814</v>
      </c>
      <c r="J4457">
        <v>44793</v>
      </c>
    </row>
    <row r="4458" spans="1:10" x14ac:dyDescent="0.35">
      <c r="A4458" s="2">
        <v>44787</v>
      </c>
      <c r="B4458" s="3">
        <v>0.64420138888888889</v>
      </c>
      <c r="C4458">
        <v>8708</v>
      </c>
      <c r="D4458" t="str">
        <f>VLOOKUP(H4458,Produkt!$A$2:$B$5,2,FALSE)</f>
        <v>B</v>
      </c>
      <c r="H4458">
        <v>2</v>
      </c>
      <c r="I4458">
        <v>0.72069444444444442</v>
      </c>
      <c r="J4458">
        <v>44796</v>
      </c>
    </row>
    <row r="4459" spans="1:10" x14ac:dyDescent="0.35">
      <c r="A4459" s="2">
        <v>44787</v>
      </c>
      <c r="B4459" s="3">
        <v>0.34393518518518523</v>
      </c>
      <c r="C4459">
        <v>8716</v>
      </c>
      <c r="D4459" t="str">
        <f>VLOOKUP(H4459,Produkt!$A$2:$B$5,2,FALSE)</f>
        <v>C</v>
      </c>
      <c r="H4459">
        <v>3</v>
      </c>
      <c r="I4459">
        <v>0.12658564814814816</v>
      </c>
      <c r="J4459">
        <v>44779</v>
      </c>
    </row>
    <row r="4460" spans="1:10" x14ac:dyDescent="0.35">
      <c r="A4460" s="2">
        <v>44787</v>
      </c>
      <c r="B4460" s="3">
        <v>0.81586805555555564</v>
      </c>
      <c r="C4460">
        <v>8721</v>
      </c>
      <c r="D4460" t="str">
        <f>VLOOKUP(H4460,Produkt!$A$2:$B$5,2,FALSE)</f>
        <v>C</v>
      </c>
      <c r="H4460">
        <v>3</v>
      </c>
      <c r="I4460">
        <v>0.27886574074074072</v>
      </c>
      <c r="J4460">
        <v>44803</v>
      </c>
    </row>
    <row r="4461" spans="1:10" x14ac:dyDescent="0.35">
      <c r="A4461" s="2">
        <v>44787</v>
      </c>
      <c r="B4461" s="3">
        <v>0.89946759259259268</v>
      </c>
      <c r="C4461">
        <v>8737</v>
      </c>
      <c r="D4461" t="str">
        <f>VLOOKUP(H4461,Produkt!$A$2:$B$5,2,FALSE)</f>
        <v>A</v>
      </c>
      <c r="H4461">
        <v>1</v>
      </c>
      <c r="I4461">
        <v>9.6064814814813548E-3</v>
      </c>
      <c r="J4461">
        <v>44789</v>
      </c>
    </row>
    <row r="4462" spans="1:10" x14ac:dyDescent="0.35">
      <c r="A4462" s="2">
        <v>44787</v>
      </c>
      <c r="B4462" s="3">
        <v>0.52511574074074074</v>
      </c>
      <c r="C4462">
        <v>8800</v>
      </c>
      <c r="D4462" t="str">
        <f>VLOOKUP(H4462,Produkt!$A$2:$B$5,2,FALSE)</f>
        <v>D</v>
      </c>
      <c r="H4462">
        <v>4</v>
      </c>
      <c r="I4462">
        <v>0.44623842592592594</v>
      </c>
      <c r="J4462">
        <v>44785</v>
      </c>
    </row>
    <row r="4463" spans="1:10" x14ac:dyDescent="0.35">
      <c r="A4463" s="2">
        <v>44787</v>
      </c>
      <c r="B4463" s="3">
        <v>0.31505787037037036</v>
      </c>
      <c r="C4463">
        <v>8820</v>
      </c>
      <c r="D4463" t="str">
        <f>VLOOKUP(H4463,Produkt!$A$2:$B$5,2,FALSE)</f>
        <v>C</v>
      </c>
      <c r="H4463">
        <v>3</v>
      </c>
      <c r="I4463">
        <v>0.87659722222222225</v>
      </c>
      <c r="J4463">
        <v>44797</v>
      </c>
    </row>
    <row r="4464" spans="1:10" x14ac:dyDescent="0.35">
      <c r="A4464" s="2">
        <v>44787</v>
      </c>
      <c r="B4464" s="3">
        <v>0.42697916666666669</v>
      </c>
      <c r="C4464">
        <v>8826</v>
      </c>
      <c r="D4464" t="str">
        <f>VLOOKUP(H4464,Produkt!$A$2:$B$5,2,FALSE)</f>
        <v>D</v>
      </c>
      <c r="H4464">
        <v>4</v>
      </c>
      <c r="I4464">
        <v>0.98440972222222223</v>
      </c>
      <c r="J4464">
        <v>44794</v>
      </c>
    </row>
    <row r="4465" spans="1:10" x14ac:dyDescent="0.35">
      <c r="A4465" s="2">
        <v>44787</v>
      </c>
      <c r="B4465" s="3">
        <v>0.30030092592592594</v>
      </c>
      <c r="C4465">
        <v>8847</v>
      </c>
      <c r="D4465" t="str">
        <f>VLOOKUP(H4465,Produkt!$A$2:$B$5,2,FALSE)</f>
        <v>B</v>
      </c>
      <c r="H4465">
        <v>2</v>
      </c>
      <c r="I4465">
        <v>0.8639930555555555</v>
      </c>
      <c r="J4465">
        <v>44781</v>
      </c>
    </row>
    <row r="4466" spans="1:10" x14ac:dyDescent="0.35">
      <c r="A4466" s="2">
        <v>44787</v>
      </c>
      <c r="B4466" s="3">
        <v>0.6971180555555555</v>
      </c>
      <c r="C4466">
        <v>8865</v>
      </c>
      <c r="D4466" t="str">
        <f>VLOOKUP(H4466,Produkt!$A$2:$B$5,2,FALSE)</f>
        <v>A</v>
      </c>
      <c r="H4466">
        <v>1</v>
      </c>
      <c r="I4466">
        <v>0.44680555555555551</v>
      </c>
      <c r="J4466">
        <v>44786</v>
      </c>
    </row>
    <row r="4467" spans="1:10" x14ac:dyDescent="0.35">
      <c r="A4467" s="2">
        <v>44787</v>
      </c>
      <c r="B4467" s="3">
        <v>0.87932870370370375</v>
      </c>
      <c r="C4467">
        <v>8910</v>
      </c>
      <c r="D4467" t="str">
        <f>VLOOKUP(H4467,Produkt!$A$2:$B$5,2,FALSE)</f>
        <v>A</v>
      </c>
      <c r="H4467">
        <v>1</v>
      </c>
      <c r="I4467">
        <v>8.9120370370370364E-2</v>
      </c>
      <c r="J4467">
        <v>44792</v>
      </c>
    </row>
    <row r="4468" spans="1:10" x14ac:dyDescent="0.35">
      <c r="A4468" s="2">
        <v>44787</v>
      </c>
      <c r="B4468" s="3">
        <v>0.34070601851851851</v>
      </c>
      <c r="C4468">
        <v>8955</v>
      </c>
      <c r="D4468" t="str">
        <f>VLOOKUP(H4468,Produkt!$A$2:$B$5,2,FALSE)</f>
        <v>C</v>
      </c>
      <c r="H4468">
        <v>3</v>
      </c>
      <c r="I4468">
        <v>0.93270833333333336</v>
      </c>
      <c r="J4468">
        <v>44783</v>
      </c>
    </row>
    <row r="4469" spans="1:10" x14ac:dyDescent="0.35">
      <c r="A4469" s="2">
        <v>44787</v>
      </c>
      <c r="B4469" s="3">
        <v>0.70833333333333337</v>
      </c>
      <c r="C4469">
        <v>8961</v>
      </c>
      <c r="D4469" t="str">
        <f>VLOOKUP(H4469,Produkt!$A$2:$B$5,2,FALSE)</f>
        <v>B</v>
      </c>
      <c r="H4469">
        <v>2</v>
      </c>
      <c r="I4469">
        <v>7.6979166666666668E-2</v>
      </c>
      <c r="J4469">
        <v>44774</v>
      </c>
    </row>
    <row r="4470" spans="1:10" x14ac:dyDescent="0.35">
      <c r="A4470" s="2">
        <v>44787</v>
      </c>
      <c r="B4470" s="3">
        <v>0.41466435185185185</v>
      </c>
      <c r="C4470">
        <v>8986</v>
      </c>
      <c r="D4470" t="str">
        <f>VLOOKUP(H4470,Produkt!$A$2:$B$5,2,FALSE)</f>
        <v>B</v>
      </c>
      <c r="H4470">
        <v>2</v>
      </c>
      <c r="I4470">
        <v>0.49494212962962963</v>
      </c>
      <c r="J4470">
        <v>44784</v>
      </c>
    </row>
    <row r="4471" spans="1:10" x14ac:dyDescent="0.35">
      <c r="A4471" s="2">
        <v>44787</v>
      </c>
      <c r="B4471" s="3">
        <v>0.21616898148148148</v>
      </c>
      <c r="C4471">
        <v>8994</v>
      </c>
      <c r="D4471" t="str">
        <f>VLOOKUP(H4471,Produkt!$A$2:$B$5,2,FALSE)</f>
        <v>C</v>
      </c>
      <c r="H4471">
        <v>3</v>
      </c>
      <c r="I4471">
        <v>0.75679398148148147</v>
      </c>
      <c r="J4471">
        <v>44793</v>
      </c>
    </row>
    <row r="4472" spans="1:10" x14ac:dyDescent="0.35">
      <c r="A4472" s="2">
        <v>44787</v>
      </c>
      <c r="B4472" s="3">
        <v>0.83228009259259261</v>
      </c>
      <c r="C4472">
        <v>9021</v>
      </c>
      <c r="D4472" t="str">
        <f>VLOOKUP(H4472,Produkt!$A$2:$B$5,2,FALSE)</f>
        <v>C</v>
      </c>
      <c r="H4472">
        <v>3</v>
      </c>
      <c r="I4472">
        <v>0.69814814814814818</v>
      </c>
      <c r="J4472">
        <v>44784</v>
      </c>
    </row>
    <row r="4473" spans="1:10" x14ac:dyDescent="0.35">
      <c r="A4473" s="2">
        <v>44787</v>
      </c>
      <c r="B4473" s="3">
        <v>0.84393518518518518</v>
      </c>
      <c r="C4473">
        <v>9069</v>
      </c>
      <c r="D4473" t="str">
        <f>VLOOKUP(H4473,Produkt!$A$2:$B$5,2,FALSE)</f>
        <v>A</v>
      </c>
      <c r="H4473">
        <v>1</v>
      </c>
      <c r="I4473">
        <v>0.1383912037037037</v>
      </c>
      <c r="J4473">
        <v>44797</v>
      </c>
    </row>
    <row r="4474" spans="1:10" x14ac:dyDescent="0.35">
      <c r="A4474" s="2">
        <v>44787</v>
      </c>
      <c r="B4474" s="3">
        <v>1.5960648148148151E-2</v>
      </c>
      <c r="C4474">
        <v>9071</v>
      </c>
      <c r="D4474" t="str">
        <f>VLOOKUP(H4474,Produkt!$A$2:$B$5,2,FALSE)</f>
        <v>B</v>
      </c>
      <c r="H4474">
        <v>2</v>
      </c>
      <c r="I4474">
        <v>0.55872685185185189</v>
      </c>
      <c r="J4474">
        <v>44787</v>
      </c>
    </row>
    <row r="4475" spans="1:10" x14ac:dyDescent="0.35">
      <c r="A4475" s="2">
        <v>44787</v>
      </c>
      <c r="B4475" s="3">
        <v>5.7800925925925929E-2</v>
      </c>
      <c r="C4475">
        <v>9112</v>
      </c>
      <c r="D4475" t="str">
        <f>VLOOKUP(H4475,Produkt!$A$2:$B$5,2,FALSE)</f>
        <v>A</v>
      </c>
      <c r="H4475">
        <v>1</v>
      </c>
      <c r="I4475">
        <v>0.27074074074074073</v>
      </c>
      <c r="J4475">
        <v>44786</v>
      </c>
    </row>
    <row r="4476" spans="1:10" x14ac:dyDescent="0.35">
      <c r="A4476" s="2">
        <v>44787</v>
      </c>
      <c r="B4476" s="3">
        <v>0.11523148148148148</v>
      </c>
      <c r="C4476">
        <v>9134</v>
      </c>
      <c r="D4476" t="str">
        <f>VLOOKUP(H4476,Produkt!$A$2:$B$5,2,FALSE)</f>
        <v>C</v>
      </c>
      <c r="H4476">
        <v>3</v>
      </c>
      <c r="I4476">
        <v>0.6705092592592593</v>
      </c>
      <c r="J4476">
        <v>44794</v>
      </c>
    </row>
    <row r="4477" spans="1:10" x14ac:dyDescent="0.35">
      <c r="A4477" s="2">
        <v>44787</v>
      </c>
      <c r="B4477" s="3">
        <v>0.97803240740740749</v>
      </c>
      <c r="C4477">
        <v>9143</v>
      </c>
      <c r="D4477" t="str">
        <f>VLOOKUP(H4477,Produkt!$A$2:$B$5,2,FALSE)</f>
        <v>D</v>
      </c>
      <c r="H4477">
        <v>4</v>
      </c>
      <c r="I4477">
        <v>3.2048611111111111E-2</v>
      </c>
      <c r="J4477">
        <v>44781</v>
      </c>
    </row>
    <row r="4478" spans="1:10" x14ac:dyDescent="0.35">
      <c r="A4478" s="2">
        <v>44787</v>
      </c>
      <c r="B4478" s="3">
        <v>0.2209837962962963</v>
      </c>
      <c r="C4478">
        <v>9147</v>
      </c>
      <c r="D4478" t="str">
        <f>VLOOKUP(H4478,Produkt!$A$2:$B$5,2,FALSE)</f>
        <v>C</v>
      </c>
      <c r="H4478">
        <v>3</v>
      </c>
      <c r="I4478">
        <v>0.80475694444444434</v>
      </c>
      <c r="J4478">
        <v>44796</v>
      </c>
    </row>
    <row r="4479" spans="1:10" x14ac:dyDescent="0.35">
      <c r="A4479" s="2">
        <v>44787</v>
      </c>
      <c r="B4479" s="3">
        <v>6.5266203703703715E-2</v>
      </c>
      <c r="C4479">
        <v>9228</v>
      </c>
      <c r="D4479" t="str">
        <f>VLOOKUP(H4479,Produkt!$A$2:$B$5,2,FALSE)</f>
        <v>B</v>
      </c>
      <c r="H4479">
        <v>2</v>
      </c>
      <c r="I4479">
        <v>3.6620370370370248E-2</v>
      </c>
      <c r="J4479">
        <v>44793</v>
      </c>
    </row>
    <row r="4480" spans="1:10" x14ac:dyDescent="0.35">
      <c r="A4480" s="2">
        <v>44787</v>
      </c>
      <c r="B4480" s="3">
        <v>0.10347222222222223</v>
      </c>
      <c r="C4480">
        <v>9232</v>
      </c>
      <c r="D4480" t="str">
        <f>VLOOKUP(H4480,Produkt!$A$2:$B$5,2,FALSE)</f>
        <v>C</v>
      </c>
      <c r="H4480">
        <v>3</v>
      </c>
      <c r="I4480">
        <v>0.31627314814814816</v>
      </c>
      <c r="J4480">
        <v>44804</v>
      </c>
    </row>
    <row r="4481" spans="1:10" x14ac:dyDescent="0.35">
      <c r="A4481" s="2">
        <v>44787</v>
      </c>
      <c r="B4481" s="3">
        <v>0.74454861111111104</v>
      </c>
      <c r="C4481">
        <v>9264</v>
      </c>
      <c r="D4481" t="str">
        <f>VLOOKUP(H4481,Produkt!$A$2:$B$5,2,FALSE)</f>
        <v>C</v>
      </c>
      <c r="H4481">
        <v>3</v>
      </c>
      <c r="I4481">
        <v>0.19108796296296296</v>
      </c>
      <c r="J4481">
        <v>44779</v>
      </c>
    </row>
    <row r="4482" spans="1:10" x14ac:dyDescent="0.35">
      <c r="A4482" s="2">
        <v>44787</v>
      </c>
      <c r="B4482" s="3">
        <v>0.63268518518518524</v>
      </c>
      <c r="C4482">
        <v>9309</v>
      </c>
      <c r="D4482" t="str">
        <f>VLOOKUP(H4482,Produkt!$A$2:$B$5,2,FALSE)</f>
        <v>A</v>
      </c>
      <c r="H4482">
        <v>1</v>
      </c>
      <c r="I4482">
        <v>0.88052083333333331</v>
      </c>
      <c r="J4482">
        <v>44784</v>
      </c>
    </row>
    <row r="4483" spans="1:10" x14ac:dyDescent="0.35">
      <c r="A4483" s="2">
        <v>44787</v>
      </c>
      <c r="B4483" s="3">
        <v>2.2650462962962914E-2</v>
      </c>
      <c r="C4483">
        <v>9344</v>
      </c>
      <c r="D4483" t="str">
        <f>VLOOKUP(H4483,Produkt!$A$2:$B$5,2,FALSE)</f>
        <v>B</v>
      </c>
      <c r="H4483">
        <v>2</v>
      </c>
      <c r="I4483">
        <v>0.385775462962963</v>
      </c>
      <c r="J4483">
        <v>44775</v>
      </c>
    </row>
    <row r="4484" spans="1:10" x14ac:dyDescent="0.35">
      <c r="A4484" s="2">
        <v>44787</v>
      </c>
      <c r="B4484" s="3">
        <v>6.6134259259259254E-2</v>
      </c>
      <c r="C4484">
        <v>9368</v>
      </c>
      <c r="D4484" t="str">
        <f>VLOOKUP(H4484,Produkt!$A$2:$B$5,2,FALSE)</f>
        <v>C</v>
      </c>
      <c r="H4484">
        <v>3</v>
      </c>
      <c r="I4484">
        <v>0.65421296296296294</v>
      </c>
      <c r="J4484">
        <v>44780</v>
      </c>
    </row>
    <row r="4485" spans="1:10" x14ac:dyDescent="0.35">
      <c r="A4485" s="2">
        <v>44787</v>
      </c>
      <c r="B4485" s="3">
        <v>0.64350694444444445</v>
      </c>
      <c r="C4485">
        <v>9411</v>
      </c>
      <c r="D4485" t="str">
        <f>VLOOKUP(H4485,Produkt!$A$2:$B$5,2,FALSE)</f>
        <v>D</v>
      </c>
      <c r="H4485">
        <v>4</v>
      </c>
      <c r="I4485">
        <v>0.56591435185185179</v>
      </c>
      <c r="J4485">
        <v>44775</v>
      </c>
    </row>
    <row r="4486" spans="1:10" x14ac:dyDescent="0.35">
      <c r="A4486" s="2">
        <v>44787</v>
      </c>
      <c r="B4486" s="3">
        <v>0.64523148148148146</v>
      </c>
      <c r="C4486">
        <v>9437</v>
      </c>
      <c r="D4486" t="str">
        <f>VLOOKUP(H4486,Produkt!$A$2:$B$5,2,FALSE)</f>
        <v>B</v>
      </c>
      <c r="H4486">
        <v>2</v>
      </c>
      <c r="I4486">
        <v>0.96026620370370364</v>
      </c>
      <c r="J4486">
        <v>44794</v>
      </c>
    </row>
    <row r="4487" spans="1:10" x14ac:dyDescent="0.35">
      <c r="A4487" s="2">
        <v>44787</v>
      </c>
      <c r="B4487" s="3">
        <v>0.64216435185185183</v>
      </c>
      <c r="C4487">
        <v>9446</v>
      </c>
      <c r="D4487" t="str">
        <f>VLOOKUP(H4487,Produkt!$A$2:$B$5,2,FALSE)</f>
        <v>A</v>
      </c>
      <c r="H4487">
        <v>1</v>
      </c>
      <c r="I4487">
        <v>0.82788194444444441</v>
      </c>
      <c r="J4487">
        <v>44784</v>
      </c>
    </row>
    <row r="4488" spans="1:10" x14ac:dyDescent="0.35">
      <c r="A4488" s="2">
        <v>44787</v>
      </c>
      <c r="B4488" s="3">
        <v>0.13902777777777778</v>
      </c>
      <c r="C4488">
        <v>9538</v>
      </c>
      <c r="D4488" t="str">
        <f>VLOOKUP(H4488,Produkt!$A$2:$B$5,2,FALSE)</f>
        <v>A</v>
      </c>
      <c r="H4488">
        <v>1</v>
      </c>
      <c r="I4488">
        <v>0.59875</v>
      </c>
      <c r="J4488">
        <v>44781</v>
      </c>
    </row>
    <row r="4489" spans="1:10" x14ac:dyDescent="0.35">
      <c r="A4489" s="2">
        <v>44787</v>
      </c>
      <c r="B4489" s="3">
        <v>0.49664351851851851</v>
      </c>
      <c r="C4489">
        <v>9553</v>
      </c>
      <c r="D4489" t="str">
        <f>VLOOKUP(H4489,Produkt!$A$2:$B$5,2,FALSE)</f>
        <v>A</v>
      </c>
      <c r="H4489">
        <v>1</v>
      </c>
      <c r="I4489">
        <v>0.97052083333333339</v>
      </c>
      <c r="J4489">
        <v>44796</v>
      </c>
    </row>
    <row r="4490" spans="1:10" x14ac:dyDescent="0.35">
      <c r="A4490" s="2">
        <v>44787</v>
      </c>
      <c r="B4490" s="3">
        <v>0.7327662037037036</v>
      </c>
      <c r="C4490">
        <v>9559</v>
      </c>
      <c r="D4490" t="str">
        <f>VLOOKUP(H4490,Produkt!$A$2:$B$5,2,FALSE)</f>
        <v>B</v>
      </c>
      <c r="H4490">
        <v>2</v>
      </c>
      <c r="I4490">
        <v>0.90582175925925934</v>
      </c>
      <c r="J4490">
        <v>44782</v>
      </c>
    </row>
    <row r="4491" spans="1:10" x14ac:dyDescent="0.35">
      <c r="A4491" s="2">
        <v>44787</v>
      </c>
      <c r="B4491" s="3">
        <v>2.8819444444444444E-3</v>
      </c>
      <c r="C4491">
        <v>9563</v>
      </c>
      <c r="D4491" t="str">
        <f>VLOOKUP(H4491,Produkt!$A$2:$B$5,2,FALSE)</f>
        <v>B</v>
      </c>
      <c r="H4491">
        <v>2</v>
      </c>
      <c r="I4491">
        <v>0.85268518518518521</v>
      </c>
      <c r="J4491">
        <v>44778</v>
      </c>
    </row>
    <row r="4492" spans="1:10" x14ac:dyDescent="0.35">
      <c r="A4492" s="2">
        <v>44787</v>
      </c>
      <c r="B4492" s="3">
        <v>0.69982638888888893</v>
      </c>
      <c r="C4492">
        <v>9578</v>
      </c>
      <c r="D4492" t="str">
        <f>VLOOKUP(H4492,Produkt!$A$2:$B$5,2,FALSE)</f>
        <v>B</v>
      </c>
      <c r="H4492">
        <v>2</v>
      </c>
      <c r="I4492">
        <v>0.43695601851851856</v>
      </c>
      <c r="J4492">
        <v>44795</v>
      </c>
    </row>
    <row r="4493" spans="1:10" x14ac:dyDescent="0.35">
      <c r="A4493" s="2">
        <v>44787</v>
      </c>
      <c r="B4493" s="3">
        <v>1.1574074074038876E-5</v>
      </c>
      <c r="C4493">
        <v>9649</v>
      </c>
      <c r="D4493" t="str">
        <f>VLOOKUP(H4493,Produkt!$A$2:$B$5,2,FALSE)</f>
        <v>C</v>
      </c>
      <c r="H4493">
        <v>3</v>
      </c>
      <c r="I4493">
        <v>0.62194444444444441</v>
      </c>
      <c r="J4493">
        <v>44784</v>
      </c>
    </row>
    <row r="4494" spans="1:10" x14ac:dyDescent="0.35">
      <c r="A4494" s="2">
        <v>44787</v>
      </c>
      <c r="B4494" s="3">
        <v>0.43824074074074071</v>
      </c>
      <c r="C4494">
        <v>9668</v>
      </c>
      <c r="D4494" t="str">
        <f>VLOOKUP(H4494,Produkt!$A$2:$B$5,2,FALSE)</f>
        <v>B</v>
      </c>
      <c r="H4494">
        <v>2</v>
      </c>
      <c r="I4494">
        <v>0.58128472222222227</v>
      </c>
      <c r="J4494">
        <v>44782</v>
      </c>
    </row>
    <row r="4495" spans="1:10" x14ac:dyDescent="0.35">
      <c r="A4495" s="2">
        <v>44787</v>
      </c>
      <c r="B4495" s="3">
        <v>2.7754629629629629E-2</v>
      </c>
      <c r="C4495">
        <v>9744</v>
      </c>
      <c r="D4495" t="str">
        <f>VLOOKUP(H4495,Produkt!$A$2:$B$5,2,FALSE)</f>
        <v>C</v>
      </c>
      <c r="H4495">
        <v>3</v>
      </c>
      <c r="I4495">
        <v>1.7245370370371216E-3</v>
      </c>
      <c r="J4495">
        <v>44801</v>
      </c>
    </row>
    <row r="4496" spans="1:10" x14ac:dyDescent="0.35">
      <c r="A4496" s="2">
        <v>44787</v>
      </c>
      <c r="B4496" s="3">
        <v>0.45863425925925921</v>
      </c>
      <c r="C4496">
        <v>9762</v>
      </c>
      <c r="D4496" t="str">
        <f>VLOOKUP(H4496,Produkt!$A$2:$B$5,2,FALSE)</f>
        <v>C</v>
      </c>
      <c r="H4496">
        <v>3</v>
      </c>
      <c r="I4496">
        <v>0.32177083333333334</v>
      </c>
      <c r="J4496">
        <v>44789</v>
      </c>
    </row>
    <row r="4497" spans="1:10" x14ac:dyDescent="0.35">
      <c r="A4497" s="2">
        <v>44787</v>
      </c>
      <c r="B4497" s="3">
        <v>1.3587962962962941E-2</v>
      </c>
      <c r="C4497">
        <v>9775</v>
      </c>
      <c r="D4497" t="str">
        <f>VLOOKUP(H4497,Produkt!$A$2:$B$5,2,FALSE)</f>
        <v>A</v>
      </c>
      <c r="H4497">
        <v>1</v>
      </c>
      <c r="I4497">
        <v>0.65600694444444441</v>
      </c>
      <c r="J4497">
        <v>44788</v>
      </c>
    </row>
    <row r="4498" spans="1:10" x14ac:dyDescent="0.35">
      <c r="A4498" s="2">
        <v>44787</v>
      </c>
      <c r="B4498" s="3">
        <v>0.83697916666666661</v>
      </c>
      <c r="C4498">
        <v>9943</v>
      </c>
      <c r="D4498" t="str">
        <f>VLOOKUP(H4498,Produkt!$A$2:$B$5,2,FALSE)</f>
        <v>B</v>
      </c>
      <c r="H4498">
        <v>2</v>
      </c>
      <c r="I4498">
        <v>0.76826388888888886</v>
      </c>
      <c r="J4498">
        <v>44803</v>
      </c>
    </row>
    <row r="4499" spans="1:10" x14ac:dyDescent="0.35">
      <c r="A4499" s="2">
        <v>44787</v>
      </c>
      <c r="B4499" s="3">
        <v>0.38329861111111113</v>
      </c>
      <c r="C4499">
        <v>9957</v>
      </c>
      <c r="D4499" t="str">
        <f>VLOOKUP(H4499,Produkt!$A$2:$B$5,2,FALSE)</f>
        <v>B</v>
      </c>
      <c r="H4499">
        <v>2</v>
      </c>
      <c r="I4499">
        <v>0.82802083333333332</v>
      </c>
      <c r="J4499">
        <v>44790</v>
      </c>
    </row>
    <row r="4500" spans="1:10" x14ac:dyDescent="0.35">
      <c r="A4500" s="2">
        <v>44787</v>
      </c>
      <c r="B4500" s="3">
        <v>0.20953703703703705</v>
      </c>
      <c r="C4500">
        <v>9995</v>
      </c>
      <c r="D4500" t="str">
        <f>VLOOKUP(H4500,Produkt!$A$2:$B$5,2,FALSE)</f>
        <v>B</v>
      </c>
      <c r="H4500">
        <v>2</v>
      </c>
      <c r="I4500">
        <v>0.94452546296296302</v>
      </c>
      <c r="J4500">
        <v>44788</v>
      </c>
    </row>
    <row r="4501" spans="1:10" x14ac:dyDescent="0.35">
      <c r="A4501" s="2">
        <v>44788</v>
      </c>
      <c r="B4501" s="3">
        <v>3.7962962962962963E-3</v>
      </c>
      <c r="C4501">
        <v>9</v>
      </c>
      <c r="D4501" t="str">
        <f>VLOOKUP(H4501,Produkt!$A$2:$B$5,2,FALSE)</f>
        <v>C</v>
      </c>
      <c r="H4501">
        <v>3</v>
      </c>
      <c r="I4501">
        <v>0.44685185185185183</v>
      </c>
      <c r="J4501">
        <v>44774</v>
      </c>
    </row>
    <row r="4502" spans="1:10" x14ac:dyDescent="0.35">
      <c r="A4502" s="2">
        <v>44788</v>
      </c>
      <c r="B4502" s="3">
        <v>0.93931712962962965</v>
      </c>
      <c r="C4502">
        <v>18</v>
      </c>
      <c r="D4502" t="str">
        <f>VLOOKUP(H4502,Produkt!$A$2:$B$5,2,FALSE)</f>
        <v>B</v>
      </c>
      <c r="H4502">
        <v>2</v>
      </c>
      <c r="I4502">
        <v>0.61630787037037038</v>
      </c>
      <c r="J4502">
        <v>44793</v>
      </c>
    </row>
    <row r="4503" spans="1:10" x14ac:dyDescent="0.35">
      <c r="A4503" s="2">
        <v>44788</v>
      </c>
      <c r="B4503" s="3">
        <v>0.69351851851851853</v>
      </c>
      <c r="C4503">
        <v>77</v>
      </c>
      <c r="D4503" t="str">
        <f>VLOOKUP(H4503,Produkt!$A$2:$B$5,2,FALSE)</f>
        <v>D</v>
      </c>
      <c r="H4503">
        <v>4</v>
      </c>
      <c r="I4503">
        <v>0.14321759259259259</v>
      </c>
      <c r="J4503">
        <v>44777</v>
      </c>
    </row>
    <row r="4504" spans="1:10" x14ac:dyDescent="0.35">
      <c r="A4504" s="2">
        <v>44788</v>
      </c>
      <c r="B4504" s="3">
        <v>0.22517361111111112</v>
      </c>
      <c r="C4504">
        <v>88</v>
      </c>
      <c r="D4504" t="str">
        <f>VLOOKUP(H4504,Produkt!$A$2:$B$5,2,FALSE)</f>
        <v>B</v>
      </c>
      <c r="H4504">
        <v>2</v>
      </c>
      <c r="I4504">
        <v>0.2754166666666667</v>
      </c>
      <c r="J4504">
        <v>44778</v>
      </c>
    </row>
    <row r="4505" spans="1:10" x14ac:dyDescent="0.35">
      <c r="A4505" s="2">
        <v>44788</v>
      </c>
      <c r="B4505" s="3">
        <v>0.79304398148148147</v>
      </c>
      <c r="C4505">
        <v>144</v>
      </c>
      <c r="D4505" t="str">
        <f>VLOOKUP(H4505,Produkt!$A$2:$B$5,2,FALSE)</f>
        <v>D</v>
      </c>
      <c r="H4505">
        <v>4</v>
      </c>
      <c r="I4505">
        <v>0.78400462962962969</v>
      </c>
      <c r="J4505">
        <v>44783</v>
      </c>
    </row>
    <row r="4506" spans="1:10" x14ac:dyDescent="0.35">
      <c r="A4506" s="2">
        <v>44788</v>
      </c>
      <c r="B4506" s="3">
        <v>0.27355324074074078</v>
      </c>
      <c r="C4506">
        <v>160</v>
      </c>
      <c r="D4506" t="str">
        <f>VLOOKUP(H4506,Produkt!$A$2:$B$5,2,FALSE)</f>
        <v>D</v>
      </c>
      <c r="H4506">
        <v>4</v>
      </c>
      <c r="I4506">
        <v>0.15038194444444444</v>
      </c>
      <c r="J4506">
        <v>44791</v>
      </c>
    </row>
    <row r="4507" spans="1:10" x14ac:dyDescent="0.35">
      <c r="A4507" s="2">
        <v>44788</v>
      </c>
      <c r="B4507" s="3">
        <v>0.49416666666666664</v>
      </c>
      <c r="C4507">
        <v>179</v>
      </c>
      <c r="D4507" t="str">
        <f>VLOOKUP(H4507,Produkt!$A$2:$B$5,2,FALSE)</f>
        <v>D</v>
      </c>
      <c r="H4507">
        <v>4</v>
      </c>
      <c r="I4507">
        <v>2.9768518518518517E-2</v>
      </c>
      <c r="J4507">
        <v>44797</v>
      </c>
    </row>
    <row r="4508" spans="1:10" x14ac:dyDescent="0.35">
      <c r="A4508" s="2">
        <v>44788</v>
      </c>
      <c r="B4508" s="3">
        <v>0.75278935185185192</v>
      </c>
      <c r="C4508">
        <v>182</v>
      </c>
      <c r="D4508" t="str">
        <f>VLOOKUP(H4508,Produkt!$A$2:$B$5,2,FALSE)</f>
        <v>C</v>
      </c>
      <c r="H4508">
        <v>3</v>
      </c>
      <c r="I4508">
        <v>0.80311342592592594</v>
      </c>
      <c r="J4508">
        <v>44795</v>
      </c>
    </row>
    <row r="4509" spans="1:10" x14ac:dyDescent="0.35">
      <c r="A4509" s="2">
        <v>44788</v>
      </c>
      <c r="B4509" s="3">
        <v>0.26873842592592595</v>
      </c>
      <c r="C4509">
        <v>183</v>
      </c>
      <c r="D4509" t="str">
        <f>VLOOKUP(H4509,Produkt!$A$2:$B$5,2,FALSE)</f>
        <v>B</v>
      </c>
      <c r="H4509">
        <v>2</v>
      </c>
      <c r="I4509">
        <v>0.81778935185185186</v>
      </c>
      <c r="J4509">
        <v>44785</v>
      </c>
    </row>
    <row r="4510" spans="1:10" x14ac:dyDescent="0.35">
      <c r="A4510" s="2">
        <v>44788</v>
      </c>
      <c r="B4510" s="3">
        <v>0.11104166666666666</v>
      </c>
      <c r="C4510">
        <v>209</v>
      </c>
      <c r="D4510" t="str">
        <f>VLOOKUP(H4510,Produkt!$A$2:$B$5,2,FALSE)</f>
        <v>A</v>
      </c>
      <c r="H4510">
        <v>1</v>
      </c>
      <c r="I4510">
        <v>0.7976388888888889</v>
      </c>
      <c r="J4510">
        <v>44776</v>
      </c>
    </row>
    <row r="4511" spans="1:10" x14ac:dyDescent="0.35">
      <c r="A4511" s="2">
        <v>44788</v>
      </c>
      <c r="B4511" s="3">
        <v>0.88972222222222219</v>
      </c>
      <c r="C4511">
        <v>241</v>
      </c>
      <c r="D4511" t="str">
        <f>VLOOKUP(H4511,Produkt!$A$2:$B$5,2,FALSE)</f>
        <v>D</v>
      </c>
      <c r="H4511">
        <v>4</v>
      </c>
      <c r="I4511">
        <v>7.4016203703703709E-2</v>
      </c>
      <c r="J4511">
        <v>44783</v>
      </c>
    </row>
    <row r="4512" spans="1:10" x14ac:dyDescent="0.35">
      <c r="A4512" s="2">
        <v>44788</v>
      </c>
      <c r="B4512" s="3">
        <v>0.76738425925925924</v>
      </c>
      <c r="C4512">
        <v>308</v>
      </c>
      <c r="D4512" t="str">
        <f>VLOOKUP(H4512,Produkt!$A$2:$B$5,2,FALSE)</f>
        <v>C</v>
      </c>
      <c r="H4512">
        <v>3</v>
      </c>
      <c r="I4512">
        <v>0.52398148148148149</v>
      </c>
      <c r="J4512">
        <v>44798</v>
      </c>
    </row>
    <row r="4513" spans="1:10" x14ac:dyDescent="0.35">
      <c r="A4513" s="2">
        <v>44788</v>
      </c>
      <c r="B4513" s="3">
        <v>0.74252314814814813</v>
      </c>
      <c r="C4513">
        <v>320</v>
      </c>
      <c r="D4513" t="str">
        <f>VLOOKUP(H4513,Produkt!$A$2:$B$5,2,FALSE)</f>
        <v>D</v>
      </c>
      <c r="H4513">
        <v>4</v>
      </c>
      <c r="I4513">
        <v>0.70166666666666666</v>
      </c>
      <c r="J4513">
        <v>44800</v>
      </c>
    </row>
    <row r="4514" spans="1:10" x14ac:dyDescent="0.35">
      <c r="A4514" s="2">
        <v>44788</v>
      </c>
      <c r="B4514" s="3">
        <v>1.0925925925925924E-2</v>
      </c>
      <c r="C4514">
        <v>374</v>
      </c>
      <c r="D4514" t="str">
        <f>VLOOKUP(H4514,Produkt!$A$2:$B$5,2,FALSE)</f>
        <v>D</v>
      </c>
      <c r="H4514">
        <v>4</v>
      </c>
      <c r="I4514">
        <v>0.27837962962962964</v>
      </c>
      <c r="J4514">
        <v>44777</v>
      </c>
    </row>
    <row r="4515" spans="1:10" x14ac:dyDescent="0.35">
      <c r="A4515" s="2">
        <v>44788</v>
      </c>
      <c r="B4515" s="3">
        <v>0.29451388888888891</v>
      </c>
      <c r="C4515">
        <v>410</v>
      </c>
      <c r="D4515" t="str">
        <f>VLOOKUP(H4515,Produkt!$A$2:$B$5,2,FALSE)</f>
        <v>C</v>
      </c>
      <c r="H4515">
        <v>3</v>
      </c>
      <c r="I4515">
        <v>0.11313657407407407</v>
      </c>
      <c r="J4515">
        <v>44802</v>
      </c>
    </row>
    <row r="4516" spans="1:10" x14ac:dyDescent="0.35">
      <c r="A4516" s="2">
        <v>44788</v>
      </c>
      <c r="B4516" s="3">
        <v>3.6574074074074074E-3</v>
      </c>
      <c r="C4516">
        <v>482</v>
      </c>
      <c r="D4516" t="str">
        <f>VLOOKUP(H4516,Produkt!$A$2:$B$5,2,FALSE)</f>
        <v>D</v>
      </c>
      <c r="H4516">
        <v>4</v>
      </c>
      <c r="I4516">
        <v>0.18710648148148148</v>
      </c>
      <c r="J4516">
        <v>44778</v>
      </c>
    </row>
    <row r="4517" spans="1:10" x14ac:dyDescent="0.35">
      <c r="A4517" s="2">
        <v>44788</v>
      </c>
      <c r="B4517" s="3">
        <v>0.22295138888888888</v>
      </c>
      <c r="C4517">
        <v>502</v>
      </c>
      <c r="D4517" t="str">
        <f>VLOOKUP(H4517,Produkt!$A$2:$B$5,2,FALSE)</f>
        <v>C</v>
      </c>
      <c r="H4517">
        <v>3</v>
      </c>
      <c r="I4517">
        <v>0.48841435185185184</v>
      </c>
      <c r="J4517">
        <v>44799</v>
      </c>
    </row>
    <row r="4518" spans="1:10" x14ac:dyDescent="0.35">
      <c r="A4518" s="2">
        <v>44788</v>
      </c>
      <c r="B4518" s="3">
        <v>0.11277777777777777</v>
      </c>
      <c r="C4518">
        <v>519</v>
      </c>
      <c r="D4518" t="str">
        <f>VLOOKUP(H4518,Produkt!$A$2:$B$5,2,FALSE)</f>
        <v>B</v>
      </c>
      <c r="H4518">
        <v>2</v>
      </c>
      <c r="I4518">
        <v>0.75695601851851846</v>
      </c>
      <c r="J4518">
        <v>44782</v>
      </c>
    </row>
    <row r="4519" spans="1:10" x14ac:dyDescent="0.35">
      <c r="A4519" s="2">
        <v>44788</v>
      </c>
      <c r="B4519" s="3">
        <v>0.98093750000000002</v>
      </c>
      <c r="C4519">
        <v>538</v>
      </c>
      <c r="D4519" t="str">
        <f>VLOOKUP(H4519,Produkt!$A$2:$B$5,2,FALSE)</f>
        <v>D</v>
      </c>
      <c r="H4519">
        <v>4</v>
      </c>
      <c r="I4519">
        <v>0.35552083333333334</v>
      </c>
      <c r="J4519">
        <v>44795</v>
      </c>
    </row>
    <row r="4520" spans="1:10" x14ac:dyDescent="0.35">
      <c r="A4520" s="2">
        <v>44788</v>
      </c>
      <c r="B4520" s="3">
        <v>0.29662037037037037</v>
      </c>
      <c r="C4520">
        <v>580</v>
      </c>
      <c r="D4520" t="str">
        <f>VLOOKUP(H4520,Produkt!$A$2:$B$5,2,FALSE)</f>
        <v>B</v>
      </c>
      <c r="H4520">
        <v>2</v>
      </c>
      <c r="I4520">
        <v>0.97721064814814806</v>
      </c>
      <c r="J4520">
        <v>44788</v>
      </c>
    </row>
    <row r="4521" spans="1:10" x14ac:dyDescent="0.35">
      <c r="A4521" s="2">
        <v>44788</v>
      </c>
      <c r="B4521" s="3">
        <v>0.63136574074074081</v>
      </c>
      <c r="C4521">
        <v>593</v>
      </c>
      <c r="D4521" t="str">
        <f>VLOOKUP(H4521,Produkt!$A$2:$B$5,2,FALSE)</f>
        <v>C</v>
      </c>
      <c r="H4521">
        <v>3</v>
      </c>
      <c r="I4521">
        <v>0.2600925925925926</v>
      </c>
      <c r="J4521">
        <v>44777</v>
      </c>
    </row>
    <row r="4522" spans="1:10" x14ac:dyDescent="0.35">
      <c r="A4522" s="2">
        <v>44788</v>
      </c>
      <c r="B4522" s="3">
        <v>0.24077546296296296</v>
      </c>
      <c r="C4522">
        <v>601</v>
      </c>
      <c r="D4522" t="str">
        <f>VLOOKUP(H4522,Produkt!$A$2:$B$5,2,FALSE)</f>
        <v>B</v>
      </c>
      <c r="H4522">
        <v>2</v>
      </c>
      <c r="I4522">
        <v>0.57414351851851853</v>
      </c>
      <c r="J4522">
        <v>44793</v>
      </c>
    </row>
    <row r="4523" spans="1:10" x14ac:dyDescent="0.35">
      <c r="A4523" s="2">
        <v>44788</v>
      </c>
      <c r="B4523" s="3">
        <v>8.9212962962962952E-2</v>
      </c>
      <c r="C4523">
        <v>618</v>
      </c>
      <c r="D4523" t="str">
        <f>VLOOKUP(H4523,Produkt!$A$2:$B$5,2,FALSE)</f>
        <v>D</v>
      </c>
      <c r="H4523">
        <v>4</v>
      </c>
      <c r="I4523">
        <v>0.42041666666666666</v>
      </c>
      <c r="J4523">
        <v>44776</v>
      </c>
    </row>
    <row r="4524" spans="1:10" x14ac:dyDescent="0.35">
      <c r="A4524" s="2">
        <v>44788</v>
      </c>
      <c r="B4524" s="3">
        <v>0.81995370370370368</v>
      </c>
      <c r="C4524">
        <v>624</v>
      </c>
      <c r="D4524" t="str">
        <f>VLOOKUP(H4524,Produkt!$A$2:$B$5,2,FALSE)</f>
        <v>B</v>
      </c>
      <c r="H4524">
        <v>2</v>
      </c>
      <c r="I4524">
        <v>7.9953703703703707E-2</v>
      </c>
      <c r="J4524">
        <v>44775</v>
      </c>
    </row>
    <row r="4525" spans="1:10" x14ac:dyDescent="0.35">
      <c r="A4525" s="2">
        <v>44788</v>
      </c>
      <c r="B4525" s="3">
        <v>0.94994212962962965</v>
      </c>
      <c r="C4525">
        <v>643</v>
      </c>
      <c r="D4525" t="str">
        <f>VLOOKUP(H4525,Produkt!$A$2:$B$5,2,FALSE)</f>
        <v>C</v>
      </c>
      <c r="H4525">
        <v>3</v>
      </c>
      <c r="I4525">
        <v>0.19792824074074075</v>
      </c>
      <c r="J4525">
        <v>44796</v>
      </c>
    </row>
    <row r="4526" spans="1:10" x14ac:dyDescent="0.35">
      <c r="A4526" s="2">
        <v>44788</v>
      </c>
      <c r="B4526" s="3">
        <v>0.33124999999999999</v>
      </c>
      <c r="C4526">
        <v>704</v>
      </c>
      <c r="D4526" t="str">
        <f>VLOOKUP(H4526,Produkt!$A$2:$B$5,2,FALSE)</f>
        <v>B</v>
      </c>
      <c r="H4526">
        <v>2</v>
      </c>
      <c r="I4526">
        <v>0.59069444444444441</v>
      </c>
      <c r="J4526">
        <v>44777</v>
      </c>
    </row>
    <row r="4527" spans="1:10" x14ac:dyDescent="0.35">
      <c r="A4527" s="2">
        <v>44788</v>
      </c>
      <c r="B4527" s="3">
        <v>1.6712962962962961E-2</v>
      </c>
      <c r="C4527">
        <v>714</v>
      </c>
      <c r="D4527" t="str">
        <f>VLOOKUP(H4527,Produkt!$A$2:$B$5,2,FALSE)</f>
        <v>C</v>
      </c>
      <c r="H4527">
        <v>3</v>
      </c>
      <c r="I4527">
        <v>0.63556712962962958</v>
      </c>
      <c r="J4527">
        <v>44777</v>
      </c>
    </row>
    <row r="4528" spans="1:10" x14ac:dyDescent="0.35">
      <c r="A4528" s="2">
        <v>44788</v>
      </c>
      <c r="B4528" s="3">
        <v>0.42079861111111111</v>
      </c>
      <c r="C4528">
        <v>733</v>
      </c>
      <c r="D4528" t="str">
        <f>VLOOKUP(H4528,Produkt!$A$2:$B$5,2,FALSE)</f>
        <v>B</v>
      </c>
      <c r="H4528">
        <v>2</v>
      </c>
      <c r="I4528">
        <v>0.64063657407407404</v>
      </c>
      <c r="J4528">
        <v>44803</v>
      </c>
    </row>
    <row r="4529" spans="1:10" x14ac:dyDescent="0.35">
      <c r="A4529" s="2">
        <v>44788</v>
      </c>
      <c r="B4529" s="3">
        <v>0.40906250000000005</v>
      </c>
      <c r="C4529">
        <v>741</v>
      </c>
      <c r="D4529" t="str">
        <f>VLOOKUP(H4529,Produkt!$A$2:$B$5,2,FALSE)</f>
        <v>B</v>
      </c>
      <c r="H4529">
        <v>2</v>
      </c>
      <c r="I4529">
        <v>0.32219907407407405</v>
      </c>
      <c r="J4529">
        <v>44791</v>
      </c>
    </row>
    <row r="4530" spans="1:10" x14ac:dyDescent="0.35">
      <c r="A4530" s="2">
        <v>44788</v>
      </c>
      <c r="B4530" s="3">
        <v>0.21510416666666665</v>
      </c>
      <c r="C4530">
        <v>770</v>
      </c>
      <c r="D4530" t="str">
        <f>VLOOKUP(H4530,Produkt!$A$2:$B$5,2,FALSE)</f>
        <v>A</v>
      </c>
      <c r="H4530">
        <v>1</v>
      </c>
      <c r="I4530">
        <v>0.72340277777777784</v>
      </c>
      <c r="J4530">
        <v>44779</v>
      </c>
    </row>
    <row r="4531" spans="1:10" x14ac:dyDescent="0.35">
      <c r="A4531" s="2">
        <v>44788</v>
      </c>
      <c r="B4531" s="3">
        <v>0.13650462962962964</v>
      </c>
      <c r="C4531">
        <v>780</v>
      </c>
      <c r="D4531" t="str">
        <f>VLOOKUP(H4531,Produkt!$A$2:$B$5,2,FALSE)</f>
        <v>B</v>
      </c>
      <c r="H4531">
        <v>2</v>
      </c>
      <c r="I4531">
        <v>0.86409722222222218</v>
      </c>
      <c r="J4531">
        <v>44775</v>
      </c>
    </row>
    <row r="4532" spans="1:10" x14ac:dyDescent="0.35">
      <c r="A4532" s="2">
        <v>44788</v>
      </c>
      <c r="B4532" s="3">
        <v>0.60373842592592586</v>
      </c>
      <c r="C4532">
        <v>805</v>
      </c>
      <c r="D4532" t="str">
        <f>VLOOKUP(H4532,Produkt!$A$2:$B$5,2,FALSE)</f>
        <v>C</v>
      </c>
      <c r="H4532">
        <v>3</v>
      </c>
      <c r="I4532">
        <v>5.8993055555555556E-2</v>
      </c>
      <c r="J4532">
        <v>44799</v>
      </c>
    </row>
    <row r="4533" spans="1:10" x14ac:dyDescent="0.35">
      <c r="A4533" s="2">
        <v>44788</v>
      </c>
      <c r="B4533" s="3">
        <v>0.29245370370370372</v>
      </c>
      <c r="C4533">
        <v>859</v>
      </c>
      <c r="D4533" t="str">
        <f>VLOOKUP(H4533,Produkt!$A$2:$B$5,2,FALSE)</f>
        <v>D</v>
      </c>
      <c r="H4533">
        <v>4</v>
      </c>
      <c r="I4533">
        <v>0.54756944444444444</v>
      </c>
      <c r="J4533">
        <v>44781</v>
      </c>
    </row>
    <row r="4534" spans="1:10" x14ac:dyDescent="0.35">
      <c r="A4534" s="2">
        <v>44788</v>
      </c>
      <c r="B4534" s="3">
        <v>0.61208333333333331</v>
      </c>
      <c r="C4534">
        <v>952</v>
      </c>
      <c r="D4534" t="str">
        <f>VLOOKUP(H4534,Produkt!$A$2:$B$5,2,FALSE)</f>
        <v>D</v>
      </c>
      <c r="H4534">
        <v>4</v>
      </c>
      <c r="I4534">
        <v>0.97741898148148154</v>
      </c>
      <c r="J4534">
        <v>44786</v>
      </c>
    </row>
    <row r="4535" spans="1:10" x14ac:dyDescent="0.35">
      <c r="A4535" s="2">
        <v>44788</v>
      </c>
      <c r="B4535" s="3">
        <v>0.58159722222222221</v>
      </c>
      <c r="C4535">
        <v>977</v>
      </c>
      <c r="D4535" t="str">
        <f>VLOOKUP(H4535,Produkt!$A$2:$B$5,2,FALSE)</f>
        <v>A</v>
      </c>
      <c r="H4535">
        <v>1</v>
      </c>
      <c r="I4535">
        <v>0.29435185185185186</v>
      </c>
      <c r="J4535">
        <v>44792</v>
      </c>
    </row>
    <row r="4536" spans="1:10" x14ac:dyDescent="0.35">
      <c r="A4536" s="2">
        <v>44788</v>
      </c>
      <c r="B4536" s="3">
        <v>0.14907407407407405</v>
      </c>
      <c r="C4536">
        <v>989</v>
      </c>
      <c r="D4536" t="str">
        <f>VLOOKUP(H4536,Produkt!$A$2:$B$5,2,FALSE)</f>
        <v>C</v>
      </c>
      <c r="H4536">
        <v>3</v>
      </c>
      <c r="I4536">
        <v>0.94120370370370365</v>
      </c>
      <c r="J4536">
        <v>44798</v>
      </c>
    </row>
    <row r="4537" spans="1:10" x14ac:dyDescent="0.35">
      <c r="A4537" s="2">
        <v>44788</v>
      </c>
      <c r="B4537" s="3">
        <v>0.56170138888888888</v>
      </c>
      <c r="C4537">
        <v>1001</v>
      </c>
      <c r="D4537" t="str">
        <f>VLOOKUP(H4537,Produkt!$A$2:$B$5,2,FALSE)</f>
        <v>D</v>
      </c>
      <c r="H4537">
        <v>4</v>
      </c>
      <c r="I4537">
        <v>0.71082175925925928</v>
      </c>
      <c r="J4537">
        <v>44782</v>
      </c>
    </row>
    <row r="4538" spans="1:10" x14ac:dyDescent="0.35">
      <c r="A4538" s="2">
        <v>44788</v>
      </c>
      <c r="B4538" s="3">
        <v>0.41009259259259262</v>
      </c>
      <c r="C4538">
        <v>1014</v>
      </c>
      <c r="D4538" t="str">
        <f>VLOOKUP(H4538,Produkt!$A$2:$B$5,2,FALSE)</f>
        <v>B</v>
      </c>
      <c r="H4538">
        <v>2</v>
      </c>
      <c r="I4538">
        <v>0.67025462962962967</v>
      </c>
      <c r="J4538">
        <v>44779</v>
      </c>
    </row>
    <row r="4539" spans="1:10" x14ac:dyDescent="0.35">
      <c r="A4539" s="2">
        <v>44788</v>
      </c>
      <c r="B4539" s="3">
        <v>0.84817129629629628</v>
      </c>
      <c r="C4539">
        <v>1042</v>
      </c>
      <c r="D4539" t="str">
        <f>VLOOKUP(H4539,Produkt!$A$2:$B$5,2,FALSE)</f>
        <v>D</v>
      </c>
      <c r="H4539">
        <v>4</v>
      </c>
      <c r="I4539">
        <v>0.92148148148148146</v>
      </c>
      <c r="J4539">
        <v>44782</v>
      </c>
    </row>
    <row r="4540" spans="1:10" x14ac:dyDescent="0.35">
      <c r="A4540" s="2">
        <v>44788</v>
      </c>
      <c r="B4540" s="3">
        <v>0.17712962962962964</v>
      </c>
      <c r="C4540">
        <v>1049</v>
      </c>
      <c r="D4540" t="str">
        <f>VLOOKUP(H4540,Produkt!$A$2:$B$5,2,FALSE)</f>
        <v>C</v>
      </c>
      <c r="H4540">
        <v>3</v>
      </c>
      <c r="I4540">
        <v>0.30482638888888886</v>
      </c>
      <c r="J4540">
        <v>44785</v>
      </c>
    </row>
    <row r="4541" spans="1:10" x14ac:dyDescent="0.35">
      <c r="A4541" s="2">
        <v>44788</v>
      </c>
      <c r="B4541" s="3">
        <v>0.1014236111111111</v>
      </c>
      <c r="C4541">
        <v>1053</v>
      </c>
      <c r="D4541" t="str">
        <f>VLOOKUP(H4541,Produkt!$A$2:$B$5,2,FALSE)</f>
        <v>C</v>
      </c>
      <c r="H4541">
        <v>3</v>
      </c>
      <c r="I4541">
        <v>0.15155092592592592</v>
      </c>
      <c r="J4541">
        <v>44775</v>
      </c>
    </row>
    <row r="4542" spans="1:10" x14ac:dyDescent="0.35">
      <c r="A4542" s="2">
        <v>44788</v>
      </c>
      <c r="B4542" s="3">
        <v>4.2361111111111106E-2</v>
      </c>
      <c r="C4542">
        <v>1075</v>
      </c>
      <c r="D4542" t="str">
        <f>VLOOKUP(H4542,Produkt!$A$2:$B$5,2,FALSE)</f>
        <v>A</v>
      </c>
      <c r="H4542">
        <v>1</v>
      </c>
      <c r="I4542">
        <v>0.41494212962962962</v>
      </c>
      <c r="J4542">
        <v>44798</v>
      </c>
    </row>
    <row r="4543" spans="1:10" x14ac:dyDescent="0.35">
      <c r="A4543" s="2">
        <v>44788</v>
      </c>
      <c r="B4543" s="3">
        <v>0.4927083333333333</v>
      </c>
      <c r="C4543">
        <v>1077</v>
      </c>
      <c r="D4543" t="str">
        <f>VLOOKUP(H4543,Produkt!$A$2:$B$5,2,FALSE)</f>
        <v>B</v>
      </c>
      <c r="H4543">
        <v>2</v>
      </c>
      <c r="I4543">
        <v>0.50057870370370372</v>
      </c>
      <c r="J4543">
        <v>44798</v>
      </c>
    </row>
    <row r="4544" spans="1:10" x14ac:dyDescent="0.35">
      <c r="A4544" s="2">
        <v>44788</v>
      </c>
      <c r="B4544" s="3">
        <v>0.64265046296296291</v>
      </c>
      <c r="C4544">
        <v>1127</v>
      </c>
      <c r="D4544" t="str">
        <f>VLOOKUP(H4544,Produkt!$A$2:$B$5,2,FALSE)</f>
        <v>C</v>
      </c>
      <c r="H4544">
        <v>3</v>
      </c>
      <c r="I4544">
        <v>0.11850694444444444</v>
      </c>
      <c r="J4544">
        <v>44776</v>
      </c>
    </row>
    <row r="4545" spans="1:10" x14ac:dyDescent="0.35">
      <c r="A4545" s="2">
        <v>44788</v>
      </c>
      <c r="B4545" s="3">
        <v>2.4629629629629557E-2</v>
      </c>
      <c r="C4545">
        <v>1230</v>
      </c>
      <c r="D4545" t="str">
        <f>VLOOKUP(H4545,Produkt!$A$2:$B$5,2,FALSE)</f>
        <v>A</v>
      </c>
      <c r="H4545">
        <v>1</v>
      </c>
      <c r="I4545">
        <v>0.85135416666666675</v>
      </c>
      <c r="J4545">
        <v>44783</v>
      </c>
    </row>
    <row r="4546" spans="1:10" x14ac:dyDescent="0.35">
      <c r="A4546" s="2">
        <v>44788</v>
      </c>
      <c r="B4546" s="3">
        <v>0.91983796296296294</v>
      </c>
      <c r="C4546">
        <v>1232</v>
      </c>
      <c r="D4546" t="str">
        <f>VLOOKUP(H4546,Produkt!$A$2:$B$5,2,FALSE)</f>
        <v>C</v>
      </c>
      <c r="H4546">
        <v>3</v>
      </c>
      <c r="I4546">
        <v>0.24082175925925928</v>
      </c>
      <c r="J4546">
        <v>44784</v>
      </c>
    </row>
    <row r="4547" spans="1:10" x14ac:dyDescent="0.35">
      <c r="A4547" s="2">
        <v>44788</v>
      </c>
      <c r="B4547" s="3">
        <v>0.79215277777777782</v>
      </c>
      <c r="C4547">
        <v>1238</v>
      </c>
      <c r="D4547" t="str">
        <f>VLOOKUP(H4547,Produkt!$A$2:$B$5,2,FALSE)</f>
        <v>A</v>
      </c>
      <c r="H4547">
        <v>1</v>
      </c>
      <c r="I4547">
        <v>0.55638888888888893</v>
      </c>
      <c r="J4547">
        <v>44776</v>
      </c>
    </row>
    <row r="4548" spans="1:10" x14ac:dyDescent="0.35">
      <c r="A4548" s="2">
        <v>44788</v>
      </c>
      <c r="B4548" s="3">
        <v>0.38361111111111112</v>
      </c>
      <c r="C4548">
        <v>1260</v>
      </c>
      <c r="D4548" t="str">
        <f>VLOOKUP(H4548,Produkt!$A$2:$B$5,2,FALSE)</f>
        <v>A</v>
      </c>
      <c r="H4548">
        <v>1</v>
      </c>
      <c r="I4548">
        <v>0.11487268518518519</v>
      </c>
      <c r="J4548">
        <v>44777</v>
      </c>
    </row>
    <row r="4549" spans="1:10" x14ac:dyDescent="0.35">
      <c r="A4549" s="2">
        <v>44788</v>
      </c>
      <c r="B4549" s="3">
        <v>0.34592592592592591</v>
      </c>
      <c r="C4549">
        <v>1272</v>
      </c>
      <c r="D4549" t="str">
        <f>VLOOKUP(H4549,Produkt!$A$2:$B$5,2,FALSE)</f>
        <v>C</v>
      </c>
      <c r="H4549">
        <v>3</v>
      </c>
      <c r="I4549">
        <v>0.62347222222222221</v>
      </c>
      <c r="J4549">
        <v>44781</v>
      </c>
    </row>
    <row r="4550" spans="1:10" x14ac:dyDescent="0.35">
      <c r="A4550" s="2">
        <v>44788</v>
      </c>
      <c r="B4550" s="3">
        <v>0.28638888888888886</v>
      </c>
      <c r="C4550">
        <v>1288</v>
      </c>
      <c r="D4550" t="str">
        <f>VLOOKUP(H4550,Produkt!$A$2:$B$5,2,FALSE)</f>
        <v>D</v>
      </c>
      <c r="H4550">
        <v>4</v>
      </c>
      <c r="I4550">
        <v>0.2557638888888889</v>
      </c>
      <c r="J4550">
        <v>44799</v>
      </c>
    </row>
    <row r="4551" spans="1:10" x14ac:dyDescent="0.35">
      <c r="A4551" s="2">
        <v>44788</v>
      </c>
      <c r="B4551" s="3">
        <v>0.53232638888888884</v>
      </c>
      <c r="C4551">
        <v>1325</v>
      </c>
      <c r="D4551" t="str">
        <f>VLOOKUP(H4551,Produkt!$A$2:$B$5,2,FALSE)</f>
        <v>D</v>
      </c>
      <c r="H4551">
        <v>4</v>
      </c>
      <c r="I4551">
        <v>0.7638194444444445</v>
      </c>
      <c r="J4551">
        <v>44800</v>
      </c>
    </row>
    <row r="4552" spans="1:10" x14ac:dyDescent="0.35">
      <c r="A4552" s="2">
        <v>44788</v>
      </c>
      <c r="B4552" s="3">
        <v>0.62592592592592589</v>
      </c>
      <c r="C4552">
        <v>1338</v>
      </c>
      <c r="D4552" t="str">
        <f>VLOOKUP(H4552,Produkt!$A$2:$B$5,2,FALSE)</f>
        <v>A</v>
      </c>
      <c r="H4552">
        <v>1</v>
      </c>
      <c r="I4552">
        <v>0.39374999999999999</v>
      </c>
      <c r="J4552">
        <v>44775</v>
      </c>
    </row>
    <row r="4553" spans="1:10" x14ac:dyDescent="0.35">
      <c r="A4553" s="2">
        <v>44788</v>
      </c>
      <c r="B4553" s="3">
        <v>0.64875000000000005</v>
      </c>
      <c r="C4553">
        <v>1392</v>
      </c>
      <c r="D4553" t="str">
        <f>VLOOKUP(H4553,Produkt!$A$2:$B$5,2,FALSE)</f>
        <v>C</v>
      </c>
      <c r="H4553">
        <v>3</v>
      </c>
      <c r="I4553">
        <v>0.37571759259259258</v>
      </c>
      <c r="J4553">
        <v>44775</v>
      </c>
    </row>
    <row r="4554" spans="1:10" x14ac:dyDescent="0.35">
      <c r="A4554" s="2">
        <v>44788</v>
      </c>
      <c r="B4554" s="3">
        <v>2.5138888888888891E-2</v>
      </c>
      <c r="C4554">
        <v>1394</v>
      </c>
      <c r="D4554" t="str">
        <f>VLOOKUP(H4554,Produkt!$A$2:$B$5,2,FALSE)</f>
        <v>B</v>
      </c>
      <c r="H4554">
        <v>2</v>
      </c>
      <c r="I4554">
        <v>4.1435185185185186E-3</v>
      </c>
      <c r="J4554">
        <v>44798</v>
      </c>
    </row>
    <row r="4555" spans="1:10" x14ac:dyDescent="0.35">
      <c r="A4555" s="2">
        <v>44788</v>
      </c>
      <c r="B4555" s="3">
        <v>0.18846064814814814</v>
      </c>
      <c r="C4555">
        <v>1561</v>
      </c>
      <c r="D4555" t="str">
        <f>VLOOKUP(H4555,Produkt!$A$2:$B$5,2,FALSE)</f>
        <v>D</v>
      </c>
      <c r="H4555">
        <v>4</v>
      </c>
      <c r="I4555">
        <v>0.73805555555555558</v>
      </c>
      <c r="J4555">
        <v>44796</v>
      </c>
    </row>
    <row r="4556" spans="1:10" x14ac:dyDescent="0.35">
      <c r="A4556" s="2">
        <v>44788</v>
      </c>
      <c r="B4556" s="3">
        <v>0.62450231481481489</v>
      </c>
      <c r="C4556">
        <v>1574</v>
      </c>
      <c r="D4556" t="str">
        <f>VLOOKUP(H4556,Produkt!$A$2:$B$5,2,FALSE)</f>
        <v>B</v>
      </c>
      <c r="H4556">
        <v>2</v>
      </c>
      <c r="I4556">
        <v>0.82074074074074066</v>
      </c>
      <c r="J4556">
        <v>44781</v>
      </c>
    </row>
    <row r="4557" spans="1:10" x14ac:dyDescent="0.35">
      <c r="A4557" s="2">
        <v>44788</v>
      </c>
      <c r="B4557" s="3">
        <v>0.41491898148148149</v>
      </c>
      <c r="C4557">
        <v>1627</v>
      </c>
      <c r="D4557" t="str">
        <f>VLOOKUP(H4557,Produkt!$A$2:$B$5,2,FALSE)</f>
        <v>B</v>
      </c>
      <c r="H4557">
        <v>2</v>
      </c>
      <c r="I4557">
        <v>0.54151620370370368</v>
      </c>
      <c r="J4557">
        <v>44801</v>
      </c>
    </row>
    <row r="4558" spans="1:10" x14ac:dyDescent="0.35">
      <c r="A4558" s="2">
        <v>44788</v>
      </c>
      <c r="B4558" s="3">
        <v>0.26400462962962962</v>
      </c>
      <c r="C4558">
        <v>1677</v>
      </c>
      <c r="D4558" t="str">
        <f>VLOOKUP(H4558,Produkt!$A$2:$B$5,2,FALSE)</f>
        <v>B</v>
      </c>
      <c r="H4558">
        <v>2</v>
      </c>
      <c r="I4558">
        <v>0.59106481481481488</v>
      </c>
      <c r="J4558">
        <v>44777</v>
      </c>
    </row>
    <row r="4559" spans="1:10" x14ac:dyDescent="0.35">
      <c r="A4559" s="2">
        <v>44788</v>
      </c>
      <c r="B4559" s="3">
        <v>0.61252314814814812</v>
      </c>
      <c r="C4559">
        <v>1694</v>
      </c>
      <c r="D4559" t="str">
        <f>VLOOKUP(H4559,Produkt!$A$2:$B$5,2,FALSE)</f>
        <v>D</v>
      </c>
      <c r="H4559">
        <v>4</v>
      </c>
      <c r="I4559">
        <v>0.35716435185185186</v>
      </c>
      <c r="J4559">
        <v>44791</v>
      </c>
    </row>
    <row r="4560" spans="1:10" x14ac:dyDescent="0.35">
      <c r="A4560" s="2">
        <v>44788</v>
      </c>
      <c r="B4560" s="3">
        <v>0.16625000000000001</v>
      </c>
      <c r="C4560">
        <v>1740</v>
      </c>
      <c r="D4560" t="str">
        <f>VLOOKUP(H4560,Produkt!$A$2:$B$5,2,FALSE)</f>
        <v>D</v>
      </c>
      <c r="H4560">
        <v>4</v>
      </c>
      <c r="I4560">
        <v>0.64677083333333341</v>
      </c>
      <c r="J4560">
        <v>44779</v>
      </c>
    </row>
    <row r="4561" spans="1:10" x14ac:dyDescent="0.35">
      <c r="A4561" s="2">
        <v>44788</v>
      </c>
      <c r="B4561" s="3">
        <v>0.53240740740740744</v>
      </c>
      <c r="C4561">
        <v>1747</v>
      </c>
      <c r="D4561" t="str">
        <f>VLOOKUP(H4561,Produkt!$A$2:$B$5,2,FALSE)</f>
        <v>D</v>
      </c>
      <c r="H4561">
        <v>4</v>
      </c>
      <c r="I4561">
        <v>0.99589120370370365</v>
      </c>
      <c r="J4561">
        <v>44785</v>
      </c>
    </row>
    <row r="4562" spans="1:10" x14ac:dyDescent="0.35">
      <c r="A4562" s="2">
        <v>44788</v>
      </c>
      <c r="B4562" s="3">
        <v>0.42099537037037038</v>
      </c>
      <c r="C4562">
        <v>1773</v>
      </c>
      <c r="D4562" t="str">
        <f>VLOOKUP(H4562,Produkt!$A$2:$B$5,2,FALSE)</f>
        <v>A</v>
      </c>
      <c r="H4562">
        <v>1</v>
      </c>
      <c r="I4562">
        <v>0.24519675925925924</v>
      </c>
      <c r="J4562">
        <v>44780</v>
      </c>
    </row>
    <row r="4563" spans="1:10" x14ac:dyDescent="0.35">
      <c r="A4563" s="2">
        <v>44788</v>
      </c>
      <c r="B4563" s="3">
        <v>0.43692129629629628</v>
      </c>
      <c r="C4563">
        <v>1806</v>
      </c>
      <c r="D4563" t="str">
        <f>VLOOKUP(H4563,Produkt!$A$2:$B$5,2,FALSE)</f>
        <v>A</v>
      </c>
      <c r="H4563">
        <v>1</v>
      </c>
      <c r="I4563">
        <v>0.68530092592592595</v>
      </c>
      <c r="J4563">
        <v>44776</v>
      </c>
    </row>
    <row r="4564" spans="1:10" x14ac:dyDescent="0.35">
      <c r="A4564" s="2">
        <v>44788</v>
      </c>
      <c r="B4564" s="3">
        <v>0.25003472222222223</v>
      </c>
      <c r="C4564">
        <v>1818</v>
      </c>
      <c r="D4564" t="str">
        <f>VLOOKUP(H4564,Produkt!$A$2:$B$5,2,FALSE)</f>
        <v>B</v>
      </c>
      <c r="H4564">
        <v>2</v>
      </c>
      <c r="I4564">
        <v>0.2682060185185185</v>
      </c>
      <c r="J4564">
        <v>44782</v>
      </c>
    </row>
    <row r="4565" spans="1:10" x14ac:dyDescent="0.35">
      <c r="A4565" s="2">
        <v>44788</v>
      </c>
      <c r="B4565" s="3">
        <v>6.8981481481481477E-2</v>
      </c>
      <c r="C4565">
        <v>1846</v>
      </c>
      <c r="D4565" t="str">
        <f>VLOOKUP(H4565,Produkt!$A$2:$B$5,2,FALSE)</f>
        <v>D</v>
      </c>
      <c r="H4565">
        <v>4</v>
      </c>
      <c r="I4565">
        <v>1.9398148148148147E-2</v>
      </c>
      <c r="J4565">
        <v>44787</v>
      </c>
    </row>
    <row r="4566" spans="1:10" x14ac:dyDescent="0.35">
      <c r="A4566" s="2">
        <v>44788</v>
      </c>
      <c r="B4566" s="3">
        <v>3.1192129629629584E-2</v>
      </c>
      <c r="C4566">
        <v>1878</v>
      </c>
      <c r="D4566" t="str">
        <f>VLOOKUP(H4566,Produkt!$A$2:$B$5,2,FALSE)</f>
        <v>A</v>
      </c>
      <c r="H4566">
        <v>1</v>
      </c>
      <c r="I4566">
        <v>0.22253472222222223</v>
      </c>
      <c r="J4566">
        <v>44795</v>
      </c>
    </row>
    <row r="4567" spans="1:10" x14ac:dyDescent="0.35">
      <c r="A4567" s="2">
        <v>44788</v>
      </c>
      <c r="B4567" s="3">
        <v>0.52370370370370367</v>
      </c>
      <c r="C4567">
        <v>1879</v>
      </c>
      <c r="D4567" t="str">
        <f>VLOOKUP(H4567,Produkt!$A$2:$B$5,2,FALSE)</f>
        <v>C</v>
      </c>
      <c r="H4567">
        <v>3</v>
      </c>
      <c r="I4567">
        <v>0.10381944444444445</v>
      </c>
      <c r="J4567">
        <v>44791</v>
      </c>
    </row>
    <row r="4568" spans="1:10" x14ac:dyDescent="0.35">
      <c r="A4568" s="2">
        <v>44788</v>
      </c>
      <c r="B4568" s="3">
        <v>3.8287037037037175E-2</v>
      </c>
      <c r="C4568">
        <v>1950</v>
      </c>
      <c r="D4568" t="str">
        <f>VLOOKUP(H4568,Produkt!$A$2:$B$5,2,FALSE)</f>
        <v>C</v>
      </c>
      <c r="H4568">
        <v>3</v>
      </c>
      <c r="I4568">
        <v>0.625462962962963</v>
      </c>
      <c r="J4568">
        <v>44798</v>
      </c>
    </row>
    <row r="4569" spans="1:10" x14ac:dyDescent="0.35">
      <c r="A4569" s="2">
        <v>44788</v>
      </c>
      <c r="B4569" s="3">
        <v>0.8849421296296297</v>
      </c>
      <c r="C4569">
        <v>2073</v>
      </c>
      <c r="D4569" t="str">
        <f>VLOOKUP(H4569,Produkt!$A$2:$B$5,2,FALSE)</f>
        <v>C</v>
      </c>
      <c r="H4569">
        <v>3</v>
      </c>
      <c r="I4569">
        <v>0.21055555555555558</v>
      </c>
      <c r="J4569">
        <v>44798</v>
      </c>
    </row>
    <row r="4570" spans="1:10" x14ac:dyDescent="0.35">
      <c r="A4570" s="2">
        <v>44788</v>
      </c>
      <c r="B4570" s="3">
        <v>0.97944444444444445</v>
      </c>
      <c r="C4570">
        <v>2078</v>
      </c>
      <c r="D4570" t="str">
        <f>VLOOKUP(H4570,Produkt!$A$2:$B$5,2,FALSE)</f>
        <v>B</v>
      </c>
      <c r="H4570">
        <v>2</v>
      </c>
      <c r="I4570">
        <v>0.89327546296296301</v>
      </c>
      <c r="J4570">
        <v>44799</v>
      </c>
    </row>
    <row r="4571" spans="1:10" x14ac:dyDescent="0.35">
      <c r="A4571" s="2">
        <v>44788</v>
      </c>
      <c r="B4571" s="3">
        <v>0.76553240740740736</v>
      </c>
      <c r="C4571">
        <v>2125</v>
      </c>
      <c r="D4571" t="str">
        <f>VLOOKUP(H4571,Produkt!$A$2:$B$5,2,FALSE)</f>
        <v>C</v>
      </c>
      <c r="H4571">
        <v>3</v>
      </c>
      <c r="I4571">
        <v>0.82170138888888899</v>
      </c>
      <c r="J4571">
        <v>44799</v>
      </c>
    </row>
    <row r="4572" spans="1:10" x14ac:dyDescent="0.35">
      <c r="A4572" s="2">
        <v>44788</v>
      </c>
      <c r="B4572" s="3">
        <v>0.52081018518518518</v>
      </c>
      <c r="C4572">
        <v>2172</v>
      </c>
      <c r="D4572" t="str">
        <f>VLOOKUP(H4572,Produkt!$A$2:$B$5,2,FALSE)</f>
        <v>A</v>
      </c>
      <c r="H4572">
        <v>1</v>
      </c>
      <c r="I4572">
        <v>0.91366898148148146</v>
      </c>
      <c r="J4572">
        <v>44785</v>
      </c>
    </row>
    <row r="4573" spans="1:10" x14ac:dyDescent="0.35">
      <c r="A4573" s="2">
        <v>44788</v>
      </c>
      <c r="B4573" s="3">
        <v>0.58787037037037038</v>
      </c>
      <c r="C4573">
        <v>2220</v>
      </c>
      <c r="D4573" t="str">
        <f>VLOOKUP(H4573,Produkt!$A$2:$B$5,2,FALSE)</f>
        <v>B</v>
      </c>
      <c r="H4573">
        <v>2</v>
      </c>
      <c r="I4573">
        <v>7.329861111111112E-2</v>
      </c>
      <c r="J4573">
        <v>44782</v>
      </c>
    </row>
    <row r="4574" spans="1:10" x14ac:dyDescent="0.35">
      <c r="A4574" s="2">
        <v>44788</v>
      </c>
      <c r="B4574" s="3">
        <v>0.19135416666666669</v>
      </c>
      <c r="C4574">
        <v>2239</v>
      </c>
      <c r="D4574" t="str">
        <f>VLOOKUP(H4574,Produkt!$A$2:$B$5,2,FALSE)</f>
        <v>C</v>
      </c>
      <c r="H4574">
        <v>3</v>
      </c>
      <c r="I4574">
        <v>0.17396990740740739</v>
      </c>
      <c r="J4574">
        <v>44793</v>
      </c>
    </row>
    <row r="4575" spans="1:10" x14ac:dyDescent="0.35">
      <c r="A4575" s="2">
        <v>44788</v>
      </c>
      <c r="B4575" s="3">
        <v>0.21398148148148147</v>
      </c>
      <c r="C4575">
        <v>2245</v>
      </c>
      <c r="D4575" t="str">
        <f>VLOOKUP(H4575,Produkt!$A$2:$B$5,2,FALSE)</f>
        <v>D</v>
      </c>
      <c r="H4575">
        <v>4</v>
      </c>
      <c r="I4575">
        <v>0.91748842592592583</v>
      </c>
      <c r="J4575">
        <v>44791</v>
      </c>
    </row>
    <row r="4576" spans="1:10" x14ac:dyDescent="0.35">
      <c r="A4576" s="2">
        <v>44788</v>
      </c>
      <c r="B4576" s="3">
        <v>0.60615740740740742</v>
      </c>
      <c r="C4576">
        <v>2311</v>
      </c>
      <c r="D4576" t="str">
        <f>VLOOKUP(H4576,Produkt!$A$2:$B$5,2,FALSE)</f>
        <v>D</v>
      </c>
      <c r="H4576">
        <v>4</v>
      </c>
      <c r="I4576">
        <v>0.65605324074074078</v>
      </c>
      <c r="J4576">
        <v>44785</v>
      </c>
    </row>
    <row r="4577" spans="1:10" x14ac:dyDescent="0.35">
      <c r="A4577" s="2">
        <v>44788</v>
      </c>
      <c r="B4577" s="3">
        <v>0.83792824074074079</v>
      </c>
      <c r="C4577">
        <v>2322</v>
      </c>
      <c r="D4577" t="str">
        <f>VLOOKUP(H4577,Produkt!$A$2:$B$5,2,FALSE)</f>
        <v>A</v>
      </c>
      <c r="H4577">
        <v>1</v>
      </c>
      <c r="I4577">
        <v>0.85969907407407409</v>
      </c>
      <c r="J4577">
        <v>44775</v>
      </c>
    </row>
    <row r="4578" spans="1:10" x14ac:dyDescent="0.35">
      <c r="A4578" s="2">
        <v>44788</v>
      </c>
      <c r="B4578" s="3">
        <v>0.46806712962962965</v>
      </c>
      <c r="C4578">
        <v>2326</v>
      </c>
      <c r="D4578" t="str">
        <f>VLOOKUP(H4578,Produkt!$A$2:$B$5,2,FALSE)</f>
        <v>B</v>
      </c>
      <c r="H4578">
        <v>2</v>
      </c>
      <c r="I4578">
        <v>0.10429398148148149</v>
      </c>
      <c r="J4578">
        <v>44799</v>
      </c>
    </row>
    <row r="4579" spans="1:10" x14ac:dyDescent="0.35">
      <c r="A4579" s="2">
        <v>44788</v>
      </c>
      <c r="B4579" s="3">
        <v>0.33957175925925925</v>
      </c>
      <c r="C4579">
        <v>2377</v>
      </c>
      <c r="D4579" t="str">
        <f>VLOOKUP(H4579,Produkt!$A$2:$B$5,2,FALSE)</f>
        <v>B</v>
      </c>
      <c r="H4579">
        <v>2</v>
      </c>
      <c r="I4579">
        <v>0.49471064814814819</v>
      </c>
      <c r="J4579">
        <v>44791</v>
      </c>
    </row>
    <row r="4580" spans="1:10" x14ac:dyDescent="0.35">
      <c r="A4580" s="2">
        <v>44788</v>
      </c>
      <c r="B4580" s="3">
        <v>0.10350694444444446</v>
      </c>
      <c r="C4580">
        <v>2397</v>
      </c>
      <c r="D4580" t="str">
        <f>VLOOKUP(H4580,Produkt!$A$2:$B$5,2,FALSE)</f>
        <v>B</v>
      </c>
      <c r="H4580">
        <v>2</v>
      </c>
      <c r="I4580">
        <v>0.71725694444444443</v>
      </c>
      <c r="J4580">
        <v>44794</v>
      </c>
    </row>
    <row r="4581" spans="1:10" x14ac:dyDescent="0.35">
      <c r="A4581" s="2">
        <v>44788</v>
      </c>
      <c r="B4581" s="3">
        <v>8.9513888888888893E-2</v>
      </c>
      <c r="C4581">
        <v>2415</v>
      </c>
      <c r="D4581" t="str">
        <f>VLOOKUP(H4581,Produkt!$A$2:$B$5,2,FALSE)</f>
        <v>A</v>
      </c>
      <c r="H4581">
        <v>1</v>
      </c>
      <c r="I4581">
        <v>0.99755787037037036</v>
      </c>
      <c r="J4581">
        <v>44776</v>
      </c>
    </row>
    <row r="4582" spans="1:10" x14ac:dyDescent="0.35">
      <c r="A4582" s="2">
        <v>44788</v>
      </c>
      <c r="B4582" s="3">
        <v>0.41880787037037037</v>
      </c>
      <c r="C4582">
        <v>2429</v>
      </c>
      <c r="D4582" t="str">
        <f>VLOOKUP(H4582,Produkt!$A$2:$B$5,2,FALSE)</f>
        <v>D</v>
      </c>
      <c r="H4582">
        <v>4</v>
      </c>
      <c r="I4582">
        <v>0.90396990740740746</v>
      </c>
      <c r="J4582">
        <v>44777</v>
      </c>
    </row>
    <row r="4583" spans="1:10" x14ac:dyDescent="0.35">
      <c r="A4583" s="2">
        <v>44788</v>
      </c>
      <c r="B4583" s="3">
        <v>4.65625E-2</v>
      </c>
      <c r="C4583">
        <v>2461</v>
      </c>
      <c r="D4583" t="str">
        <f>VLOOKUP(H4583,Produkt!$A$2:$B$5,2,FALSE)</f>
        <v>B</v>
      </c>
      <c r="H4583">
        <v>2</v>
      </c>
      <c r="I4583">
        <v>4.1469907407407414E-2</v>
      </c>
      <c r="J4583">
        <v>44798</v>
      </c>
    </row>
    <row r="4584" spans="1:10" x14ac:dyDescent="0.35">
      <c r="A4584" s="2">
        <v>44788</v>
      </c>
      <c r="B4584" s="3">
        <v>0.28202546296296299</v>
      </c>
      <c r="C4584">
        <v>2577</v>
      </c>
      <c r="D4584" t="str">
        <f>VLOOKUP(H4584,Produkt!$A$2:$B$5,2,FALSE)</f>
        <v>D</v>
      </c>
      <c r="H4584">
        <v>4</v>
      </c>
      <c r="I4584">
        <v>0.56144675925925924</v>
      </c>
      <c r="J4584">
        <v>44774</v>
      </c>
    </row>
    <row r="4585" spans="1:10" x14ac:dyDescent="0.35">
      <c r="A4585" s="2">
        <v>44788</v>
      </c>
      <c r="B4585" s="3">
        <v>0.84877314814814808</v>
      </c>
      <c r="C4585">
        <v>2581</v>
      </c>
      <c r="D4585" t="str">
        <f>VLOOKUP(H4585,Produkt!$A$2:$B$5,2,FALSE)</f>
        <v>D</v>
      </c>
      <c r="H4585">
        <v>4</v>
      </c>
      <c r="I4585">
        <v>5.4733796296296294E-2</v>
      </c>
      <c r="J4585">
        <v>44788</v>
      </c>
    </row>
    <row r="4586" spans="1:10" x14ac:dyDescent="0.35">
      <c r="A4586" s="2">
        <v>44788</v>
      </c>
      <c r="B4586" s="3">
        <v>6.8912037037037036E-2</v>
      </c>
      <c r="C4586">
        <v>2597</v>
      </c>
      <c r="D4586" t="str">
        <f>VLOOKUP(H4586,Produkt!$A$2:$B$5,2,FALSE)</f>
        <v>B</v>
      </c>
      <c r="H4586">
        <v>2</v>
      </c>
      <c r="I4586">
        <v>0.48858796296296297</v>
      </c>
      <c r="J4586">
        <v>44796</v>
      </c>
    </row>
    <row r="4587" spans="1:10" x14ac:dyDescent="0.35">
      <c r="A4587" s="2">
        <v>44788</v>
      </c>
      <c r="B4587" s="3">
        <v>0.56400462962962961</v>
      </c>
      <c r="C4587">
        <v>2668</v>
      </c>
      <c r="D4587" t="str">
        <f>VLOOKUP(H4587,Produkt!$A$2:$B$5,2,FALSE)</f>
        <v>C</v>
      </c>
      <c r="H4587">
        <v>3</v>
      </c>
      <c r="I4587">
        <v>0.85438657407407403</v>
      </c>
      <c r="J4587">
        <v>44784</v>
      </c>
    </row>
    <row r="4588" spans="1:10" x14ac:dyDescent="0.35">
      <c r="A4588" s="2">
        <v>44788</v>
      </c>
      <c r="B4588" s="3">
        <v>6.2905092592592596E-2</v>
      </c>
      <c r="C4588">
        <v>2776</v>
      </c>
      <c r="D4588" t="str">
        <f>VLOOKUP(H4588,Produkt!$A$2:$B$5,2,FALSE)</f>
        <v>A</v>
      </c>
      <c r="H4588">
        <v>1</v>
      </c>
      <c r="I4588">
        <v>0.76364583333333336</v>
      </c>
      <c r="J4588">
        <v>44802</v>
      </c>
    </row>
    <row r="4589" spans="1:10" x14ac:dyDescent="0.35">
      <c r="A4589" s="2">
        <v>44788</v>
      </c>
      <c r="B4589" s="3">
        <v>0.28628472222222223</v>
      </c>
      <c r="C4589">
        <v>2781</v>
      </c>
      <c r="D4589" t="str">
        <f>VLOOKUP(H4589,Produkt!$A$2:$B$5,2,FALSE)</f>
        <v>C</v>
      </c>
      <c r="H4589">
        <v>3</v>
      </c>
      <c r="I4589">
        <v>0.8699189814814815</v>
      </c>
      <c r="J4589">
        <v>44780</v>
      </c>
    </row>
    <row r="4590" spans="1:10" x14ac:dyDescent="0.35">
      <c r="A4590" s="2">
        <v>44788</v>
      </c>
      <c r="B4590" s="3">
        <v>0.8283449074074074</v>
      </c>
      <c r="C4590">
        <v>2790</v>
      </c>
      <c r="D4590" t="str">
        <f>VLOOKUP(H4590,Produkt!$A$2:$B$5,2,FALSE)</f>
        <v>C</v>
      </c>
      <c r="H4590">
        <v>3</v>
      </c>
      <c r="I4590">
        <v>0.18653935185185186</v>
      </c>
      <c r="J4590">
        <v>44795</v>
      </c>
    </row>
    <row r="4591" spans="1:10" x14ac:dyDescent="0.35">
      <c r="A4591" s="2">
        <v>44788</v>
      </c>
      <c r="B4591" s="3">
        <v>0.59886574074074073</v>
      </c>
      <c r="C4591">
        <v>2834</v>
      </c>
      <c r="D4591" t="str">
        <f>VLOOKUP(H4591,Produkt!$A$2:$B$5,2,FALSE)</f>
        <v>B</v>
      </c>
      <c r="H4591">
        <v>2</v>
      </c>
      <c r="I4591">
        <v>9.3645833333333331E-2</v>
      </c>
      <c r="J4591">
        <v>44785</v>
      </c>
    </row>
    <row r="4592" spans="1:10" x14ac:dyDescent="0.35">
      <c r="A4592" s="2">
        <v>44788</v>
      </c>
      <c r="B4592" s="3">
        <v>0.13010416666666666</v>
      </c>
      <c r="C4592">
        <v>2843</v>
      </c>
      <c r="D4592" t="str">
        <f>VLOOKUP(H4592,Produkt!$A$2:$B$5,2,FALSE)</f>
        <v>C</v>
      </c>
      <c r="H4592">
        <v>3</v>
      </c>
      <c r="I4592">
        <v>0.81667824074074069</v>
      </c>
      <c r="J4592">
        <v>44783</v>
      </c>
    </row>
    <row r="4593" spans="1:10" x14ac:dyDescent="0.35">
      <c r="A4593" s="2">
        <v>44788</v>
      </c>
      <c r="B4593" s="3">
        <v>8.0115740740740737E-2</v>
      </c>
      <c r="C4593">
        <v>2848</v>
      </c>
      <c r="D4593" t="str">
        <f>VLOOKUP(H4593,Produkt!$A$2:$B$5,2,FALSE)</f>
        <v>C</v>
      </c>
      <c r="H4593">
        <v>3</v>
      </c>
      <c r="I4593">
        <v>0.88296296296296306</v>
      </c>
      <c r="J4593">
        <v>44782</v>
      </c>
    </row>
    <row r="4594" spans="1:10" x14ac:dyDescent="0.35">
      <c r="A4594" s="2">
        <v>44788</v>
      </c>
      <c r="B4594" s="3">
        <v>0.48986111111111108</v>
      </c>
      <c r="C4594">
        <v>2985</v>
      </c>
      <c r="D4594" t="str">
        <f>VLOOKUP(H4594,Produkt!$A$2:$B$5,2,FALSE)</f>
        <v>D</v>
      </c>
      <c r="H4594">
        <v>4</v>
      </c>
      <c r="I4594">
        <v>0.57547453703703699</v>
      </c>
      <c r="J4594">
        <v>44782</v>
      </c>
    </row>
    <row r="4595" spans="1:10" x14ac:dyDescent="0.35">
      <c r="A4595" s="2">
        <v>44788</v>
      </c>
      <c r="B4595" s="3">
        <v>0.35454861111111113</v>
      </c>
      <c r="C4595">
        <v>3027</v>
      </c>
      <c r="D4595" t="str">
        <f>VLOOKUP(H4595,Produkt!$A$2:$B$5,2,FALSE)</f>
        <v>A</v>
      </c>
      <c r="H4595">
        <v>1</v>
      </c>
      <c r="I4595">
        <v>0.2651736111111111</v>
      </c>
      <c r="J4595">
        <v>44778</v>
      </c>
    </row>
    <row r="4596" spans="1:10" x14ac:dyDescent="0.35">
      <c r="A4596" s="2">
        <v>44788</v>
      </c>
      <c r="B4596" s="3">
        <v>0.80967592592592597</v>
      </c>
      <c r="C4596">
        <v>3094</v>
      </c>
      <c r="D4596" t="str">
        <f>VLOOKUP(H4596,Produkt!$A$2:$B$5,2,FALSE)</f>
        <v>A</v>
      </c>
      <c r="H4596">
        <v>1</v>
      </c>
      <c r="I4596">
        <v>0.12200231481481481</v>
      </c>
      <c r="J4596">
        <v>44802</v>
      </c>
    </row>
    <row r="4597" spans="1:10" x14ac:dyDescent="0.35">
      <c r="A4597" s="2">
        <v>44788</v>
      </c>
      <c r="B4597" s="3">
        <v>4.0787037037037122E-2</v>
      </c>
      <c r="C4597">
        <v>3100</v>
      </c>
      <c r="D4597" t="str">
        <f>VLOOKUP(H4597,Produkt!$A$2:$B$5,2,FALSE)</f>
        <v>D</v>
      </c>
      <c r="H4597">
        <v>4</v>
      </c>
      <c r="I4597">
        <v>0.6158217592592593</v>
      </c>
      <c r="J4597">
        <v>44791</v>
      </c>
    </row>
    <row r="4598" spans="1:10" x14ac:dyDescent="0.35">
      <c r="A4598" s="2">
        <v>44788</v>
      </c>
      <c r="B4598" s="3">
        <v>0.8334259259259259</v>
      </c>
      <c r="C4598">
        <v>3203</v>
      </c>
      <c r="D4598" t="str">
        <f>VLOOKUP(H4598,Produkt!$A$2:$B$5,2,FALSE)</f>
        <v>B</v>
      </c>
      <c r="H4598">
        <v>2</v>
      </c>
      <c r="I4598">
        <v>0.46429398148148149</v>
      </c>
      <c r="J4598">
        <v>44790</v>
      </c>
    </row>
    <row r="4599" spans="1:10" x14ac:dyDescent="0.35">
      <c r="A4599" s="2">
        <v>44788</v>
      </c>
      <c r="B4599" s="3">
        <v>0.40643518518518523</v>
      </c>
      <c r="C4599">
        <v>3206</v>
      </c>
      <c r="D4599" t="str">
        <f>VLOOKUP(H4599,Produkt!$A$2:$B$5,2,FALSE)</f>
        <v>D</v>
      </c>
      <c r="H4599">
        <v>4</v>
      </c>
      <c r="I4599">
        <v>0.72240740740740739</v>
      </c>
      <c r="J4599">
        <v>44777</v>
      </c>
    </row>
    <row r="4600" spans="1:10" x14ac:dyDescent="0.35">
      <c r="A4600" s="2">
        <v>44788</v>
      </c>
      <c r="B4600" s="3">
        <v>0.58851851851851855</v>
      </c>
      <c r="C4600">
        <v>3211</v>
      </c>
      <c r="D4600" t="str">
        <f>VLOOKUP(H4600,Produkt!$A$2:$B$5,2,FALSE)</f>
        <v>C</v>
      </c>
      <c r="H4600">
        <v>3</v>
      </c>
      <c r="I4600">
        <v>0.98299768518518515</v>
      </c>
      <c r="J4600">
        <v>44778</v>
      </c>
    </row>
    <row r="4601" spans="1:10" x14ac:dyDescent="0.35">
      <c r="A4601" s="2">
        <v>44788</v>
      </c>
      <c r="B4601" s="3">
        <v>0.39187499999999997</v>
      </c>
      <c r="C4601">
        <v>3251</v>
      </c>
      <c r="D4601" t="str">
        <f>VLOOKUP(H4601,Produkt!$A$2:$B$5,2,FALSE)</f>
        <v>C</v>
      </c>
      <c r="H4601">
        <v>3</v>
      </c>
      <c r="I4601">
        <v>1.0543981481481481E-2</v>
      </c>
      <c r="J4601">
        <v>44787</v>
      </c>
    </row>
    <row r="4602" spans="1:10" x14ac:dyDescent="0.35">
      <c r="A4602" s="2">
        <v>44788</v>
      </c>
      <c r="B4602" s="3">
        <v>0.65592592592592591</v>
      </c>
      <c r="C4602">
        <v>3280</v>
      </c>
      <c r="D4602" t="str">
        <f>VLOOKUP(H4602,Produkt!$A$2:$B$5,2,FALSE)</f>
        <v>D</v>
      </c>
      <c r="H4602">
        <v>4</v>
      </c>
      <c r="I4602">
        <v>0.36767361111111113</v>
      </c>
      <c r="J4602">
        <v>44796</v>
      </c>
    </row>
    <row r="4603" spans="1:10" x14ac:dyDescent="0.35">
      <c r="A4603" s="2">
        <v>44788</v>
      </c>
      <c r="B4603" s="3">
        <v>0.66074074074074074</v>
      </c>
      <c r="C4603">
        <v>3291</v>
      </c>
      <c r="D4603" t="str">
        <f>VLOOKUP(H4603,Produkt!$A$2:$B$5,2,FALSE)</f>
        <v>B</v>
      </c>
      <c r="H4603">
        <v>2</v>
      </c>
      <c r="I4603">
        <v>4.0636574074074075E-2</v>
      </c>
      <c r="J4603">
        <v>44788</v>
      </c>
    </row>
    <row r="4604" spans="1:10" x14ac:dyDescent="0.35">
      <c r="A4604" s="2">
        <v>44788</v>
      </c>
      <c r="B4604" s="3">
        <v>0.88056712962962969</v>
      </c>
      <c r="C4604">
        <v>3319</v>
      </c>
      <c r="D4604" t="str">
        <f>VLOOKUP(H4604,Produkt!$A$2:$B$5,2,FALSE)</f>
        <v>A</v>
      </c>
      <c r="H4604">
        <v>1</v>
      </c>
      <c r="I4604">
        <v>0.77358796296296306</v>
      </c>
      <c r="J4604">
        <v>44798</v>
      </c>
    </row>
    <row r="4605" spans="1:10" x14ac:dyDescent="0.35">
      <c r="A4605" s="2">
        <v>44788</v>
      </c>
      <c r="B4605" s="3">
        <v>0.78973379629629636</v>
      </c>
      <c r="C4605">
        <v>3335</v>
      </c>
      <c r="D4605" t="str">
        <f>VLOOKUP(H4605,Produkt!$A$2:$B$5,2,FALSE)</f>
        <v>D</v>
      </c>
      <c r="H4605">
        <v>4</v>
      </c>
      <c r="I4605">
        <v>0.24116898148148147</v>
      </c>
      <c r="J4605">
        <v>44786</v>
      </c>
    </row>
    <row r="4606" spans="1:10" x14ac:dyDescent="0.35">
      <c r="A4606" s="2">
        <v>44788</v>
      </c>
      <c r="B4606" s="3">
        <v>0.35045138888888888</v>
      </c>
      <c r="C4606">
        <v>3345</v>
      </c>
      <c r="D4606" t="str">
        <f>VLOOKUP(H4606,Produkt!$A$2:$B$5,2,FALSE)</f>
        <v>A</v>
      </c>
      <c r="H4606">
        <v>1</v>
      </c>
      <c r="I4606">
        <v>0.6937268518518519</v>
      </c>
      <c r="J4606">
        <v>44788</v>
      </c>
    </row>
    <row r="4607" spans="1:10" x14ac:dyDescent="0.35">
      <c r="A4607" s="2">
        <v>44788</v>
      </c>
      <c r="B4607" s="3">
        <v>0.54427083333333337</v>
      </c>
      <c r="C4607">
        <v>3367</v>
      </c>
      <c r="D4607" t="str">
        <f>VLOOKUP(H4607,Produkt!$A$2:$B$5,2,FALSE)</f>
        <v>D</v>
      </c>
      <c r="H4607">
        <v>4</v>
      </c>
      <c r="I4607">
        <v>0.5502083333333333</v>
      </c>
      <c r="J4607">
        <v>44781</v>
      </c>
    </row>
    <row r="4608" spans="1:10" x14ac:dyDescent="0.35">
      <c r="A4608" s="2">
        <v>44788</v>
      </c>
      <c r="B4608" s="3">
        <v>0.12273148148148148</v>
      </c>
      <c r="C4608">
        <v>3388</v>
      </c>
      <c r="D4608" t="str">
        <f>VLOOKUP(H4608,Produkt!$A$2:$B$5,2,FALSE)</f>
        <v>B</v>
      </c>
      <c r="H4608">
        <v>2</v>
      </c>
      <c r="I4608">
        <v>0.30381944444444448</v>
      </c>
      <c r="J4608">
        <v>44782</v>
      </c>
    </row>
    <row r="4609" spans="1:10" x14ac:dyDescent="0.35">
      <c r="A4609" s="2">
        <v>44788</v>
      </c>
      <c r="B4609" s="3">
        <v>8.519675925925925E-2</v>
      </c>
      <c r="C4609">
        <v>3397</v>
      </c>
      <c r="D4609" t="str">
        <f>VLOOKUP(H4609,Produkt!$A$2:$B$5,2,FALSE)</f>
        <v>D</v>
      </c>
      <c r="H4609">
        <v>4</v>
      </c>
      <c r="I4609">
        <v>4.2048611111111134E-2</v>
      </c>
      <c r="J4609">
        <v>44778</v>
      </c>
    </row>
    <row r="4610" spans="1:10" x14ac:dyDescent="0.35">
      <c r="A4610" s="2">
        <v>44788</v>
      </c>
      <c r="B4610" s="3">
        <v>0.39305555555555555</v>
      </c>
      <c r="C4610">
        <v>3410</v>
      </c>
      <c r="D4610" t="str">
        <f>VLOOKUP(H4610,Produkt!$A$2:$B$5,2,FALSE)</f>
        <v>A</v>
      </c>
      <c r="H4610">
        <v>1</v>
      </c>
      <c r="I4610">
        <v>0.176875</v>
      </c>
      <c r="J4610">
        <v>44800</v>
      </c>
    </row>
    <row r="4611" spans="1:10" x14ac:dyDescent="0.35">
      <c r="A4611" s="2">
        <v>44788</v>
      </c>
      <c r="B4611" s="3">
        <v>0.70557870370370368</v>
      </c>
      <c r="C4611">
        <v>3443</v>
      </c>
      <c r="D4611" t="str">
        <f>VLOOKUP(H4611,Produkt!$A$2:$B$5,2,FALSE)</f>
        <v>D</v>
      </c>
      <c r="H4611">
        <v>4</v>
      </c>
      <c r="I4611">
        <v>0.50817129629629632</v>
      </c>
      <c r="J4611">
        <v>44778</v>
      </c>
    </row>
    <row r="4612" spans="1:10" x14ac:dyDescent="0.35">
      <c r="A4612" s="2">
        <v>44788</v>
      </c>
      <c r="B4612" s="3">
        <v>0.47486111111111112</v>
      </c>
      <c r="C4612">
        <v>3545</v>
      </c>
      <c r="D4612" t="str">
        <f>VLOOKUP(H4612,Produkt!$A$2:$B$5,2,FALSE)</f>
        <v>B</v>
      </c>
      <c r="H4612">
        <v>2</v>
      </c>
      <c r="I4612">
        <v>0.33931712962962962</v>
      </c>
      <c r="J4612">
        <v>44796</v>
      </c>
    </row>
    <row r="4613" spans="1:10" x14ac:dyDescent="0.35">
      <c r="A4613" s="2">
        <v>44788</v>
      </c>
      <c r="B4613" s="3">
        <v>0.91423611111111114</v>
      </c>
      <c r="C4613">
        <v>3574</v>
      </c>
      <c r="D4613" t="str">
        <f>VLOOKUP(H4613,Produkt!$A$2:$B$5,2,FALSE)</f>
        <v>A</v>
      </c>
      <c r="H4613">
        <v>1</v>
      </c>
      <c r="I4613">
        <v>0.87968750000000007</v>
      </c>
      <c r="J4613">
        <v>44776</v>
      </c>
    </row>
    <row r="4614" spans="1:10" x14ac:dyDescent="0.35">
      <c r="A4614" s="2">
        <v>44788</v>
      </c>
      <c r="B4614" s="3">
        <v>0.83887731481481476</v>
      </c>
      <c r="C4614">
        <v>3581</v>
      </c>
      <c r="D4614" t="str">
        <f>VLOOKUP(H4614,Produkt!$A$2:$B$5,2,FALSE)</f>
        <v>C</v>
      </c>
      <c r="H4614">
        <v>3</v>
      </c>
      <c r="I4614">
        <v>0.62664351851851852</v>
      </c>
      <c r="J4614">
        <v>44775</v>
      </c>
    </row>
    <row r="4615" spans="1:10" x14ac:dyDescent="0.35">
      <c r="A4615" s="2">
        <v>44788</v>
      </c>
      <c r="B4615" s="3">
        <v>5.7430555555555561E-2</v>
      </c>
      <c r="C4615">
        <v>3592</v>
      </c>
      <c r="D4615" t="str">
        <f>VLOOKUP(H4615,Produkt!$A$2:$B$5,2,FALSE)</f>
        <v>C</v>
      </c>
      <c r="H4615">
        <v>3</v>
      </c>
      <c r="I4615">
        <v>0.60923611111111109</v>
      </c>
      <c r="J4615">
        <v>44799</v>
      </c>
    </row>
    <row r="4616" spans="1:10" x14ac:dyDescent="0.35">
      <c r="A4616" s="2">
        <v>44788</v>
      </c>
      <c r="B4616" s="3">
        <v>0.84343749999999995</v>
      </c>
      <c r="C4616">
        <v>3599</v>
      </c>
      <c r="D4616" t="str">
        <f>VLOOKUP(H4616,Produkt!$A$2:$B$5,2,FALSE)</f>
        <v>B</v>
      </c>
      <c r="H4616">
        <v>2</v>
      </c>
      <c r="I4616">
        <v>0.91748842592592583</v>
      </c>
      <c r="J4616">
        <v>44800</v>
      </c>
    </row>
    <row r="4617" spans="1:10" x14ac:dyDescent="0.35">
      <c r="A4617" s="2">
        <v>44788</v>
      </c>
      <c r="B4617" s="3">
        <v>0.85850694444444453</v>
      </c>
      <c r="C4617">
        <v>3624</v>
      </c>
      <c r="D4617" t="str">
        <f>VLOOKUP(H4617,Produkt!$A$2:$B$5,2,FALSE)</f>
        <v>A</v>
      </c>
      <c r="H4617">
        <v>1</v>
      </c>
      <c r="I4617">
        <v>0.66027777777777774</v>
      </c>
      <c r="J4617">
        <v>44786</v>
      </c>
    </row>
    <row r="4618" spans="1:10" x14ac:dyDescent="0.35">
      <c r="A4618" s="2">
        <v>44788</v>
      </c>
      <c r="B4618" s="3">
        <v>0.54351851851851851</v>
      </c>
      <c r="C4618">
        <v>3632</v>
      </c>
      <c r="D4618" t="str">
        <f>VLOOKUP(H4618,Produkt!$A$2:$B$5,2,FALSE)</f>
        <v>D</v>
      </c>
      <c r="H4618">
        <v>4</v>
      </c>
      <c r="I4618">
        <v>7.5787037037037042E-2</v>
      </c>
      <c r="J4618">
        <v>44784</v>
      </c>
    </row>
    <row r="4619" spans="1:10" x14ac:dyDescent="0.35">
      <c r="A4619" s="2">
        <v>44788</v>
      </c>
      <c r="B4619" s="3">
        <v>0.97849537037037038</v>
      </c>
      <c r="C4619">
        <v>3633</v>
      </c>
      <c r="D4619" t="str">
        <f>VLOOKUP(H4619,Produkt!$A$2:$B$5,2,FALSE)</f>
        <v>B</v>
      </c>
      <c r="H4619">
        <v>2</v>
      </c>
      <c r="I4619">
        <v>0.92152777777777783</v>
      </c>
      <c r="J4619">
        <v>44792</v>
      </c>
    </row>
    <row r="4620" spans="1:10" x14ac:dyDescent="0.35">
      <c r="A4620" s="2">
        <v>44788</v>
      </c>
      <c r="B4620" s="3">
        <v>0.21652777777777776</v>
      </c>
      <c r="C4620">
        <v>3647</v>
      </c>
      <c r="D4620" t="str">
        <f>VLOOKUP(H4620,Produkt!$A$2:$B$5,2,FALSE)</f>
        <v>D</v>
      </c>
      <c r="H4620">
        <v>4</v>
      </c>
      <c r="I4620">
        <v>0.12381944444444444</v>
      </c>
      <c r="J4620">
        <v>44783</v>
      </c>
    </row>
    <row r="4621" spans="1:10" x14ac:dyDescent="0.35">
      <c r="A4621" s="2">
        <v>44788</v>
      </c>
      <c r="B4621" s="3">
        <v>9.2476851851851852E-2</v>
      </c>
      <c r="C4621">
        <v>3668</v>
      </c>
      <c r="D4621" t="str">
        <f>VLOOKUP(H4621,Produkt!$A$2:$B$5,2,FALSE)</f>
        <v>D</v>
      </c>
      <c r="H4621">
        <v>4</v>
      </c>
      <c r="I4621">
        <v>0.8238657407407407</v>
      </c>
      <c r="J4621">
        <v>44784</v>
      </c>
    </row>
    <row r="4622" spans="1:10" x14ac:dyDescent="0.35">
      <c r="A4622" s="2">
        <v>44788</v>
      </c>
      <c r="B4622" s="3">
        <v>0.90261574074074069</v>
      </c>
      <c r="C4622">
        <v>3680</v>
      </c>
      <c r="D4622" t="str">
        <f>VLOOKUP(H4622,Produkt!$A$2:$B$5,2,FALSE)</f>
        <v>C</v>
      </c>
      <c r="H4622">
        <v>3</v>
      </c>
      <c r="I4622">
        <v>0.27806712962962959</v>
      </c>
      <c r="J4622">
        <v>44775</v>
      </c>
    </row>
    <row r="4623" spans="1:10" x14ac:dyDescent="0.35">
      <c r="A4623" s="2">
        <v>44788</v>
      </c>
      <c r="B4623" s="3">
        <v>3.0659722222222224E-2</v>
      </c>
      <c r="C4623">
        <v>3686</v>
      </c>
      <c r="D4623" t="str">
        <f>VLOOKUP(H4623,Produkt!$A$2:$B$5,2,FALSE)</f>
        <v>D</v>
      </c>
      <c r="H4623">
        <v>4</v>
      </c>
      <c r="I4623">
        <v>0.92642361111111116</v>
      </c>
      <c r="J4623">
        <v>44792</v>
      </c>
    </row>
    <row r="4624" spans="1:10" x14ac:dyDescent="0.35">
      <c r="A4624" s="2">
        <v>44788</v>
      </c>
      <c r="B4624" s="3">
        <v>0.76489583333333344</v>
      </c>
      <c r="C4624">
        <v>3694</v>
      </c>
      <c r="D4624" t="str">
        <f>VLOOKUP(H4624,Produkt!$A$2:$B$5,2,FALSE)</f>
        <v>B</v>
      </c>
      <c r="H4624">
        <v>2</v>
      </c>
      <c r="I4624">
        <v>3.4907407407407387E-2</v>
      </c>
      <c r="J4624">
        <v>44789</v>
      </c>
    </row>
    <row r="4625" spans="1:10" x14ac:dyDescent="0.35">
      <c r="A4625" s="2">
        <v>44788</v>
      </c>
      <c r="B4625" s="3">
        <v>0.7456018518518519</v>
      </c>
      <c r="C4625">
        <v>3698</v>
      </c>
      <c r="D4625" t="str">
        <f>VLOOKUP(H4625,Produkt!$A$2:$B$5,2,FALSE)</f>
        <v>C</v>
      </c>
      <c r="H4625">
        <v>3</v>
      </c>
      <c r="I4625">
        <v>0.54843750000000002</v>
      </c>
      <c r="J4625">
        <v>44800</v>
      </c>
    </row>
    <row r="4626" spans="1:10" x14ac:dyDescent="0.35">
      <c r="A4626" s="2">
        <v>44788</v>
      </c>
      <c r="B4626" s="3">
        <v>0.44748842592592591</v>
      </c>
      <c r="C4626">
        <v>3741</v>
      </c>
      <c r="D4626" t="str">
        <f>VLOOKUP(H4626,Produkt!$A$2:$B$5,2,FALSE)</f>
        <v>D</v>
      </c>
      <c r="H4626">
        <v>4</v>
      </c>
      <c r="I4626">
        <v>0.16070601851851851</v>
      </c>
      <c r="J4626">
        <v>44797</v>
      </c>
    </row>
    <row r="4627" spans="1:10" x14ac:dyDescent="0.35">
      <c r="A4627" s="2">
        <v>44788</v>
      </c>
      <c r="B4627" s="3">
        <v>0.47753472222222221</v>
      </c>
      <c r="C4627">
        <v>3744</v>
      </c>
      <c r="D4627" t="str">
        <f>VLOOKUP(H4627,Produkt!$A$2:$B$5,2,FALSE)</f>
        <v>A</v>
      </c>
      <c r="H4627">
        <v>1</v>
      </c>
      <c r="I4627">
        <v>0.85081018518518514</v>
      </c>
      <c r="J4627">
        <v>44780</v>
      </c>
    </row>
    <row r="4628" spans="1:10" x14ac:dyDescent="0.35">
      <c r="A4628" s="2">
        <v>44788</v>
      </c>
      <c r="B4628" s="3">
        <v>0.19452546296296294</v>
      </c>
      <c r="C4628">
        <v>3759</v>
      </c>
      <c r="D4628" t="str">
        <f>VLOOKUP(H4628,Produkt!$A$2:$B$5,2,FALSE)</f>
        <v>C</v>
      </c>
      <c r="H4628">
        <v>3</v>
      </c>
      <c r="I4628">
        <v>0.44027777777777777</v>
      </c>
      <c r="J4628">
        <v>44777</v>
      </c>
    </row>
    <row r="4629" spans="1:10" x14ac:dyDescent="0.35">
      <c r="A4629" s="2">
        <v>44788</v>
      </c>
      <c r="B4629" s="3">
        <v>7.4745370370370365E-2</v>
      </c>
      <c r="C4629">
        <v>3825</v>
      </c>
      <c r="D4629" t="str">
        <f>VLOOKUP(H4629,Produkt!$A$2:$B$5,2,FALSE)</f>
        <v>A</v>
      </c>
      <c r="H4629">
        <v>1</v>
      </c>
      <c r="I4629">
        <v>0.44068287037037041</v>
      </c>
      <c r="J4629">
        <v>44784</v>
      </c>
    </row>
    <row r="4630" spans="1:10" x14ac:dyDescent="0.35">
      <c r="A4630" s="2">
        <v>44788</v>
      </c>
      <c r="B4630" s="3">
        <v>0.41736111111111113</v>
      </c>
      <c r="C4630">
        <v>3826</v>
      </c>
      <c r="D4630" t="str">
        <f>VLOOKUP(H4630,Produkt!$A$2:$B$5,2,FALSE)</f>
        <v>D</v>
      </c>
      <c r="H4630">
        <v>4</v>
      </c>
      <c r="I4630">
        <v>0.857488425925926</v>
      </c>
      <c r="J4630">
        <v>44787</v>
      </c>
    </row>
    <row r="4631" spans="1:10" x14ac:dyDescent="0.35">
      <c r="A4631" s="2">
        <v>44788</v>
      </c>
      <c r="B4631" s="3">
        <v>0.59858796296296302</v>
      </c>
      <c r="C4631">
        <v>3905</v>
      </c>
      <c r="D4631" t="str">
        <f>VLOOKUP(H4631,Produkt!$A$2:$B$5,2,FALSE)</f>
        <v>A</v>
      </c>
      <c r="H4631">
        <v>1</v>
      </c>
      <c r="I4631">
        <v>0.34079861111111115</v>
      </c>
      <c r="J4631">
        <v>44792</v>
      </c>
    </row>
    <row r="4632" spans="1:10" x14ac:dyDescent="0.35">
      <c r="A4632" s="2">
        <v>44788</v>
      </c>
      <c r="B4632" s="3">
        <v>0.74934027777777779</v>
      </c>
      <c r="C4632">
        <v>3931</v>
      </c>
      <c r="D4632" t="str">
        <f>VLOOKUP(H4632,Produkt!$A$2:$B$5,2,FALSE)</f>
        <v>A</v>
      </c>
      <c r="H4632">
        <v>1</v>
      </c>
      <c r="I4632">
        <v>0.75390046296296298</v>
      </c>
      <c r="J4632">
        <v>44789</v>
      </c>
    </row>
    <row r="4633" spans="1:10" x14ac:dyDescent="0.35">
      <c r="A4633" s="2">
        <v>44788</v>
      </c>
      <c r="B4633" s="3">
        <v>0.10248842592592593</v>
      </c>
      <c r="C4633">
        <v>3941</v>
      </c>
      <c r="D4633" t="str">
        <f>VLOOKUP(H4633,Produkt!$A$2:$B$5,2,FALSE)</f>
        <v>D</v>
      </c>
      <c r="H4633">
        <v>4</v>
      </c>
      <c r="I4633">
        <v>0.34575231481481478</v>
      </c>
      <c r="J4633">
        <v>44801</v>
      </c>
    </row>
    <row r="4634" spans="1:10" x14ac:dyDescent="0.35">
      <c r="A4634" s="2">
        <v>44788</v>
      </c>
      <c r="B4634" s="3">
        <v>0.87310185185185185</v>
      </c>
      <c r="C4634">
        <v>3972</v>
      </c>
      <c r="D4634" t="str">
        <f>VLOOKUP(H4634,Produkt!$A$2:$B$5,2,FALSE)</f>
        <v>A</v>
      </c>
      <c r="H4634">
        <v>1</v>
      </c>
      <c r="I4634">
        <v>0.58041666666666669</v>
      </c>
      <c r="J4634">
        <v>44784</v>
      </c>
    </row>
    <row r="4635" spans="1:10" x14ac:dyDescent="0.35">
      <c r="A4635" s="2">
        <v>44788</v>
      </c>
      <c r="B4635" s="3">
        <v>0.3689351851851852</v>
      </c>
      <c r="C4635">
        <v>3978</v>
      </c>
      <c r="D4635" t="str">
        <f>VLOOKUP(H4635,Produkt!$A$2:$B$5,2,FALSE)</f>
        <v>B</v>
      </c>
      <c r="H4635">
        <v>2</v>
      </c>
      <c r="I4635">
        <v>0.3755324074074074</v>
      </c>
      <c r="J4635">
        <v>44786</v>
      </c>
    </row>
    <row r="4636" spans="1:10" x14ac:dyDescent="0.35">
      <c r="A4636" s="2">
        <v>44788</v>
      </c>
      <c r="B4636" s="3">
        <v>0.20396990740740742</v>
      </c>
      <c r="C4636">
        <v>4020</v>
      </c>
      <c r="D4636" t="str">
        <f>VLOOKUP(H4636,Produkt!$A$2:$B$5,2,FALSE)</f>
        <v>D</v>
      </c>
      <c r="H4636">
        <v>4</v>
      </c>
      <c r="I4636">
        <v>0.68958333333333333</v>
      </c>
      <c r="J4636">
        <v>44803</v>
      </c>
    </row>
    <row r="4637" spans="1:10" x14ac:dyDescent="0.35">
      <c r="A4637" s="2">
        <v>44788</v>
      </c>
      <c r="B4637" s="3">
        <v>3.1296296296296301E-2</v>
      </c>
      <c r="C4637">
        <v>4034</v>
      </c>
      <c r="D4637" t="str">
        <f>VLOOKUP(H4637,Produkt!$A$2:$B$5,2,FALSE)</f>
        <v>D</v>
      </c>
      <c r="H4637">
        <v>4</v>
      </c>
      <c r="I4637">
        <v>0.92109953703703706</v>
      </c>
      <c r="J4637">
        <v>44778</v>
      </c>
    </row>
    <row r="4638" spans="1:10" x14ac:dyDescent="0.35">
      <c r="A4638" s="2">
        <v>44788</v>
      </c>
      <c r="B4638" s="3">
        <v>0.66694444444444445</v>
      </c>
      <c r="C4638">
        <v>4040</v>
      </c>
      <c r="D4638" t="str">
        <f>VLOOKUP(H4638,Produkt!$A$2:$B$5,2,FALSE)</f>
        <v>C</v>
      </c>
      <c r="H4638">
        <v>3</v>
      </c>
      <c r="I4638">
        <v>0.93905092592592598</v>
      </c>
      <c r="J4638">
        <v>44780</v>
      </c>
    </row>
    <row r="4639" spans="1:10" x14ac:dyDescent="0.35">
      <c r="A4639" s="2">
        <v>44788</v>
      </c>
      <c r="B4639" s="3">
        <v>0.86434027777777767</v>
      </c>
      <c r="C4639">
        <v>4063</v>
      </c>
      <c r="D4639" t="str">
        <f>VLOOKUP(H4639,Produkt!$A$2:$B$5,2,FALSE)</f>
        <v>C</v>
      </c>
      <c r="H4639">
        <v>3</v>
      </c>
      <c r="I4639">
        <v>0.21822916666666667</v>
      </c>
      <c r="J4639">
        <v>44792</v>
      </c>
    </row>
    <row r="4640" spans="1:10" x14ac:dyDescent="0.35">
      <c r="A4640" s="2">
        <v>44788</v>
      </c>
      <c r="B4640" s="3">
        <v>0.9234606481481481</v>
      </c>
      <c r="C4640">
        <v>4106</v>
      </c>
      <c r="D4640" t="str">
        <f>VLOOKUP(H4640,Produkt!$A$2:$B$5,2,FALSE)</f>
        <v>C</v>
      </c>
      <c r="H4640">
        <v>3</v>
      </c>
      <c r="I4640">
        <v>0.63005787037037042</v>
      </c>
      <c r="J4640">
        <v>44778</v>
      </c>
    </row>
    <row r="4641" spans="1:10" x14ac:dyDescent="0.35">
      <c r="A4641" s="2">
        <v>44788</v>
      </c>
      <c r="B4641" s="3">
        <v>0.37859953703703703</v>
      </c>
      <c r="C4641">
        <v>4110</v>
      </c>
      <c r="D4641" t="str">
        <f>VLOOKUP(H4641,Produkt!$A$2:$B$5,2,FALSE)</f>
        <v>B</v>
      </c>
      <c r="H4641">
        <v>2</v>
      </c>
      <c r="I4641">
        <v>0.34730324074074076</v>
      </c>
      <c r="J4641">
        <v>44792</v>
      </c>
    </row>
    <row r="4642" spans="1:10" x14ac:dyDescent="0.35">
      <c r="A4642" s="2">
        <v>44788</v>
      </c>
      <c r="B4642" s="3">
        <v>0.65674768518518511</v>
      </c>
      <c r="C4642">
        <v>4111</v>
      </c>
      <c r="D4642" t="str">
        <f>VLOOKUP(H4642,Produkt!$A$2:$B$5,2,FALSE)</f>
        <v>C</v>
      </c>
      <c r="H4642">
        <v>3</v>
      </c>
      <c r="I4642">
        <v>0.48292824074074076</v>
      </c>
      <c r="J4642">
        <v>44781</v>
      </c>
    </row>
    <row r="4643" spans="1:10" x14ac:dyDescent="0.35">
      <c r="A4643" s="2">
        <v>44788</v>
      </c>
      <c r="B4643" s="3">
        <v>0.87555555555555553</v>
      </c>
      <c r="C4643">
        <v>4156</v>
      </c>
      <c r="D4643" t="str">
        <f>VLOOKUP(H4643,Produkt!$A$2:$B$5,2,FALSE)</f>
        <v>B</v>
      </c>
      <c r="H4643">
        <v>2</v>
      </c>
      <c r="I4643">
        <v>0.61152777777777778</v>
      </c>
      <c r="J4643">
        <v>44797</v>
      </c>
    </row>
    <row r="4644" spans="1:10" x14ac:dyDescent="0.35">
      <c r="A4644" s="2">
        <v>44788</v>
      </c>
      <c r="B4644" s="3">
        <v>1.5416666666666667E-2</v>
      </c>
      <c r="C4644">
        <v>4192</v>
      </c>
      <c r="D4644" t="str">
        <f>VLOOKUP(H4644,Produkt!$A$2:$B$5,2,FALSE)</f>
        <v>C</v>
      </c>
      <c r="H4644">
        <v>3</v>
      </c>
      <c r="I4644">
        <v>0.70162037037037039</v>
      </c>
      <c r="J4644">
        <v>44794</v>
      </c>
    </row>
    <row r="4645" spans="1:10" x14ac:dyDescent="0.35">
      <c r="A4645" s="2">
        <v>44788</v>
      </c>
      <c r="B4645" s="3">
        <v>0.94832175925925932</v>
      </c>
      <c r="C4645">
        <v>4211</v>
      </c>
      <c r="D4645" t="str">
        <f>VLOOKUP(H4645,Produkt!$A$2:$B$5,2,FALSE)</f>
        <v>C</v>
      </c>
      <c r="H4645">
        <v>3</v>
      </c>
      <c r="I4645">
        <v>0.87028935185185186</v>
      </c>
      <c r="J4645">
        <v>44783</v>
      </c>
    </row>
    <row r="4646" spans="1:10" x14ac:dyDescent="0.35">
      <c r="A4646" s="2">
        <v>44788</v>
      </c>
      <c r="B4646" s="3">
        <v>0.59171296296296294</v>
      </c>
      <c r="C4646">
        <v>4233</v>
      </c>
      <c r="D4646" t="str">
        <f>VLOOKUP(H4646,Produkt!$A$2:$B$5,2,FALSE)</f>
        <v>D</v>
      </c>
      <c r="H4646">
        <v>4</v>
      </c>
      <c r="I4646">
        <v>0.22142361111111111</v>
      </c>
      <c r="J4646">
        <v>44791</v>
      </c>
    </row>
    <row r="4647" spans="1:10" x14ac:dyDescent="0.35">
      <c r="A4647" s="2">
        <v>44788</v>
      </c>
      <c r="B4647" s="3">
        <v>1.8055555555555557E-2</v>
      </c>
      <c r="C4647">
        <v>4249</v>
      </c>
      <c r="D4647" t="str">
        <f>VLOOKUP(H4647,Produkt!$A$2:$B$5,2,FALSE)</f>
        <v>C</v>
      </c>
      <c r="H4647">
        <v>3</v>
      </c>
      <c r="I4647">
        <v>0.13415509259259259</v>
      </c>
      <c r="J4647">
        <v>44799</v>
      </c>
    </row>
    <row r="4648" spans="1:10" x14ac:dyDescent="0.35">
      <c r="A4648" s="2">
        <v>44788</v>
      </c>
      <c r="B4648" s="3">
        <v>0.62062499999999998</v>
      </c>
      <c r="C4648">
        <v>4275</v>
      </c>
      <c r="D4648" t="str">
        <f>VLOOKUP(H4648,Produkt!$A$2:$B$5,2,FALSE)</f>
        <v>C</v>
      </c>
      <c r="H4648">
        <v>3</v>
      </c>
      <c r="I4648">
        <v>0.31329861111111112</v>
      </c>
      <c r="J4648">
        <v>44804</v>
      </c>
    </row>
    <row r="4649" spans="1:10" x14ac:dyDescent="0.35">
      <c r="A4649" s="2">
        <v>44788</v>
      </c>
      <c r="B4649" s="3">
        <v>0.43328703703703703</v>
      </c>
      <c r="C4649">
        <v>4289</v>
      </c>
      <c r="D4649" t="str">
        <f>VLOOKUP(H4649,Produkt!$A$2:$B$5,2,FALSE)</f>
        <v>B</v>
      </c>
      <c r="H4649">
        <v>2</v>
      </c>
      <c r="I4649">
        <v>0.21328703703703702</v>
      </c>
      <c r="J4649">
        <v>44796</v>
      </c>
    </row>
    <row r="4650" spans="1:10" x14ac:dyDescent="0.35">
      <c r="A4650" s="2">
        <v>44788</v>
      </c>
      <c r="B4650" s="3">
        <v>3.4212962962963056E-2</v>
      </c>
      <c r="C4650">
        <v>4302</v>
      </c>
      <c r="D4650" t="str">
        <f>VLOOKUP(H4650,Produkt!$A$2:$B$5,2,FALSE)</f>
        <v>C</v>
      </c>
      <c r="H4650">
        <v>3</v>
      </c>
      <c r="I4650">
        <v>0.59701388888888884</v>
      </c>
      <c r="J4650">
        <v>44797</v>
      </c>
    </row>
    <row r="4651" spans="1:10" x14ac:dyDescent="0.35">
      <c r="A4651" s="2">
        <v>44788</v>
      </c>
      <c r="B4651" s="3">
        <v>8.6608796296296295E-2</v>
      </c>
      <c r="C4651">
        <v>4342</v>
      </c>
      <c r="D4651" t="str">
        <f>VLOOKUP(H4651,Produkt!$A$2:$B$5,2,FALSE)</f>
        <v>A</v>
      </c>
      <c r="H4651">
        <v>1</v>
      </c>
      <c r="I4651">
        <v>0.88836805555555554</v>
      </c>
      <c r="J4651">
        <v>44783</v>
      </c>
    </row>
    <row r="4652" spans="1:10" x14ac:dyDescent="0.35">
      <c r="A4652" s="2">
        <v>44788</v>
      </c>
      <c r="B4652" s="3">
        <v>0.99870370370370365</v>
      </c>
      <c r="C4652">
        <v>4379</v>
      </c>
      <c r="D4652" t="str">
        <f>VLOOKUP(H4652,Produkt!$A$2:$B$5,2,FALSE)</f>
        <v>A</v>
      </c>
      <c r="H4652">
        <v>1</v>
      </c>
      <c r="I4652">
        <v>7.6273148148147119E-3</v>
      </c>
      <c r="J4652">
        <v>44774</v>
      </c>
    </row>
    <row r="4653" spans="1:10" x14ac:dyDescent="0.35">
      <c r="A4653" s="2">
        <v>44788</v>
      </c>
      <c r="B4653" s="3">
        <v>0.89679398148148148</v>
      </c>
      <c r="C4653">
        <v>4423</v>
      </c>
      <c r="D4653" t="str">
        <f>VLOOKUP(H4653,Produkt!$A$2:$B$5,2,FALSE)</f>
        <v>B</v>
      </c>
      <c r="H4653">
        <v>2</v>
      </c>
      <c r="I4653">
        <v>0.93204861111111104</v>
      </c>
      <c r="J4653">
        <v>44789</v>
      </c>
    </row>
    <row r="4654" spans="1:10" x14ac:dyDescent="0.35">
      <c r="A4654" s="2">
        <v>44788</v>
      </c>
      <c r="B4654" s="3">
        <v>0.83969907407407407</v>
      </c>
      <c r="C4654">
        <v>4427</v>
      </c>
      <c r="D4654" t="str">
        <f>VLOOKUP(H4654,Produkt!$A$2:$B$5,2,FALSE)</f>
        <v>D</v>
      </c>
      <c r="H4654">
        <v>4</v>
      </c>
      <c r="I4654">
        <v>0.53880787037037037</v>
      </c>
      <c r="J4654">
        <v>44789</v>
      </c>
    </row>
    <row r="4655" spans="1:10" x14ac:dyDescent="0.35">
      <c r="A4655" s="2">
        <v>44788</v>
      </c>
      <c r="B4655" s="3">
        <v>0.61063657407407412</v>
      </c>
      <c r="C4655">
        <v>4432</v>
      </c>
      <c r="D4655" t="str">
        <f>VLOOKUP(H4655,Produkt!$A$2:$B$5,2,FALSE)</f>
        <v>C</v>
      </c>
      <c r="H4655">
        <v>3</v>
      </c>
      <c r="I4655">
        <v>0.81666666666666676</v>
      </c>
      <c r="J4655">
        <v>44801</v>
      </c>
    </row>
    <row r="4656" spans="1:10" x14ac:dyDescent="0.35">
      <c r="A4656" s="2">
        <v>44788</v>
      </c>
      <c r="B4656" s="3">
        <v>0.59008101851851846</v>
      </c>
      <c r="C4656">
        <v>4441</v>
      </c>
      <c r="D4656" t="str">
        <f>VLOOKUP(H4656,Produkt!$A$2:$B$5,2,FALSE)</f>
        <v>A</v>
      </c>
      <c r="H4656">
        <v>1</v>
      </c>
      <c r="I4656">
        <v>0.46747685185185189</v>
      </c>
      <c r="J4656">
        <v>44777</v>
      </c>
    </row>
    <row r="4657" spans="1:10" x14ac:dyDescent="0.35">
      <c r="A4657" s="2">
        <v>44788</v>
      </c>
      <c r="B4657" s="3">
        <v>9.6064814814813548E-3</v>
      </c>
      <c r="C4657">
        <v>4460</v>
      </c>
      <c r="D4657" t="str">
        <f>VLOOKUP(H4657,Produkt!$A$2:$B$5,2,FALSE)</f>
        <v>B</v>
      </c>
      <c r="H4657">
        <v>2</v>
      </c>
      <c r="I4657">
        <v>0.41082175925925929</v>
      </c>
      <c r="J4657">
        <v>44804</v>
      </c>
    </row>
    <row r="4658" spans="1:10" x14ac:dyDescent="0.35">
      <c r="A4658" s="2">
        <v>44788</v>
      </c>
      <c r="B4658" s="3">
        <v>0.98440972222222223</v>
      </c>
      <c r="C4658">
        <v>4463</v>
      </c>
      <c r="D4658" t="str">
        <f>VLOOKUP(H4658,Produkt!$A$2:$B$5,2,FALSE)</f>
        <v>C</v>
      </c>
      <c r="H4658">
        <v>3</v>
      </c>
      <c r="I4658">
        <v>0.44824074074074072</v>
      </c>
      <c r="J4658">
        <v>44776</v>
      </c>
    </row>
    <row r="4659" spans="1:10" x14ac:dyDescent="0.35">
      <c r="A4659" s="2">
        <v>44788</v>
      </c>
      <c r="B4659" s="3">
        <v>1.7245370370371216E-3</v>
      </c>
      <c r="C4659">
        <v>4494</v>
      </c>
      <c r="D4659" t="str">
        <f>VLOOKUP(H4659,Produkt!$A$2:$B$5,2,FALSE)</f>
        <v>B</v>
      </c>
      <c r="H4659">
        <v>2</v>
      </c>
      <c r="I4659">
        <v>0.40184027777777781</v>
      </c>
      <c r="J4659">
        <v>44776</v>
      </c>
    </row>
    <row r="4660" spans="1:10" x14ac:dyDescent="0.35">
      <c r="A4660" s="2">
        <v>44788</v>
      </c>
      <c r="B4660" s="3">
        <v>0.94452546296296302</v>
      </c>
      <c r="C4660">
        <v>4499</v>
      </c>
      <c r="D4660" t="str">
        <f>VLOOKUP(H4660,Produkt!$A$2:$B$5,2,FALSE)</f>
        <v>B</v>
      </c>
      <c r="H4660">
        <v>2</v>
      </c>
      <c r="I4660">
        <v>0.78076388888888892</v>
      </c>
      <c r="J4660">
        <v>44800</v>
      </c>
    </row>
    <row r="4661" spans="1:10" x14ac:dyDescent="0.35">
      <c r="A4661" s="2">
        <v>44788</v>
      </c>
      <c r="B4661" s="3">
        <v>7.4016203703703709E-2</v>
      </c>
      <c r="C4661">
        <v>4510</v>
      </c>
      <c r="D4661" t="str">
        <f>VLOOKUP(H4661,Produkt!$A$2:$B$5,2,FALSE)</f>
        <v>A</v>
      </c>
      <c r="H4661">
        <v>1</v>
      </c>
      <c r="I4661">
        <v>0.25180555555555556</v>
      </c>
      <c r="J4661">
        <v>44797</v>
      </c>
    </row>
    <row r="4662" spans="1:10" x14ac:dyDescent="0.35">
      <c r="A4662" s="2">
        <v>44788</v>
      </c>
      <c r="B4662" s="3">
        <v>0.64063657407407404</v>
      </c>
      <c r="C4662">
        <v>4527</v>
      </c>
      <c r="D4662" t="str">
        <f>VLOOKUP(H4662,Produkt!$A$2:$B$5,2,FALSE)</f>
        <v>B</v>
      </c>
      <c r="H4662">
        <v>2</v>
      </c>
      <c r="I4662">
        <v>8.8078703703702299E-3</v>
      </c>
      <c r="J4662">
        <v>44802</v>
      </c>
    </row>
    <row r="4663" spans="1:10" x14ac:dyDescent="0.35">
      <c r="A4663" s="2">
        <v>44788</v>
      </c>
      <c r="B4663" s="3">
        <v>0.91748842592592583</v>
      </c>
      <c r="C4663">
        <v>4615</v>
      </c>
      <c r="D4663" t="str">
        <f>VLOOKUP(H4663,Produkt!$A$2:$B$5,2,FALSE)</f>
        <v>D</v>
      </c>
      <c r="H4663">
        <v>4</v>
      </c>
      <c r="I4663">
        <v>0.69469907407407405</v>
      </c>
      <c r="J4663">
        <v>44777</v>
      </c>
    </row>
    <row r="4664" spans="1:10" x14ac:dyDescent="0.35">
      <c r="A4664" s="2">
        <v>44788</v>
      </c>
      <c r="B4664" s="3">
        <v>4.1909722222222223E-2</v>
      </c>
      <c r="C4664">
        <v>4672</v>
      </c>
      <c r="D4664" t="str">
        <f>VLOOKUP(H4664,Produkt!$A$2:$B$5,2,FALSE)</f>
        <v>C</v>
      </c>
      <c r="H4664">
        <v>3</v>
      </c>
      <c r="I4664">
        <v>0.44021990740740741</v>
      </c>
      <c r="J4664">
        <v>44774</v>
      </c>
    </row>
    <row r="4665" spans="1:10" x14ac:dyDescent="0.35">
      <c r="A4665" s="2">
        <v>44788</v>
      </c>
      <c r="B4665" s="3">
        <v>0.16119212962962962</v>
      </c>
      <c r="C4665">
        <v>4681</v>
      </c>
      <c r="D4665" t="str">
        <f>VLOOKUP(H4665,Produkt!$A$2:$B$5,2,FALSE)</f>
        <v>B</v>
      </c>
      <c r="H4665">
        <v>2</v>
      </c>
      <c r="I4665">
        <v>0.31733796296296296</v>
      </c>
      <c r="J4665">
        <v>44777</v>
      </c>
    </row>
    <row r="4666" spans="1:10" x14ac:dyDescent="0.35">
      <c r="A4666" s="2">
        <v>44788</v>
      </c>
      <c r="B4666" s="3">
        <v>0.52021990740740742</v>
      </c>
      <c r="C4666">
        <v>4709</v>
      </c>
      <c r="D4666" t="str">
        <f>VLOOKUP(H4666,Produkt!$A$2:$B$5,2,FALSE)</f>
        <v>C</v>
      </c>
      <c r="H4666">
        <v>3</v>
      </c>
      <c r="I4666">
        <v>0.7338541666666667</v>
      </c>
      <c r="J4666">
        <v>44789</v>
      </c>
    </row>
    <row r="4667" spans="1:10" x14ac:dyDescent="0.35">
      <c r="A4667" s="2">
        <v>44788</v>
      </c>
      <c r="B4667" s="3">
        <v>0.5838078703703703</v>
      </c>
      <c r="C4667">
        <v>4738</v>
      </c>
      <c r="D4667" t="str">
        <f>VLOOKUP(H4667,Produkt!$A$2:$B$5,2,FALSE)</f>
        <v>A</v>
      </c>
      <c r="H4667">
        <v>1</v>
      </c>
      <c r="I4667">
        <v>0.23353009259259258</v>
      </c>
      <c r="J4667">
        <v>44790</v>
      </c>
    </row>
    <row r="4668" spans="1:10" x14ac:dyDescent="0.35">
      <c r="A4668" s="2">
        <v>44788</v>
      </c>
      <c r="B4668" s="3">
        <v>0.67167824074074067</v>
      </c>
      <c r="C4668">
        <v>4790</v>
      </c>
      <c r="D4668" t="str">
        <f>VLOOKUP(H4668,Produkt!$A$2:$B$5,2,FALSE)</f>
        <v>B</v>
      </c>
      <c r="H4668">
        <v>2</v>
      </c>
      <c r="I4668">
        <v>0.56458333333333333</v>
      </c>
      <c r="J4668">
        <v>44784</v>
      </c>
    </row>
    <row r="4669" spans="1:10" x14ac:dyDescent="0.35">
      <c r="A4669" s="2">
        <v>44788</v>
      </c>
      <c r="B4669" s="3">
        <v>0.63289351851851849</v>
      </c>
      <c r="C4669">
        <v>4816</v>
      </c>
      <c r="D4669" t="str">
        <f>VLOOKUP(H4669,Produkt!$A$2:$B$5,2,FALSE)</f>
        <v>C</v>
      </c>
      <c r="H4669">
        <v>3</v>
      </c>
      <c r="I4669">
        <v>0.48300925925925925</v>
      </c>
      <c r="J4669">
        <v>44801</v>
      </c>
    </row>
    <row r="4670" spans="1:10" x14ac:dyDescent="0.35">
      <c r="A4670" s="2">
        <v>44788</v>
      </c>
      <c r="B4670" s="3">
        <v>6.3055555555555545E-2</v>
      </c>
      <c r="C4670">
        <v>4914</v>
      </c>
      <c r="D4670" t="str">
        <f>VLOOKUP(H4670,Produkt!$A$2:$B$5,2,FALSE)</f>
        <v>A</v>
      </c>
      <c r="H4670">
        <v>1</v>
      </c>
      <c r="I4670">
        <v>0.92436342592592602</v>
      </c>
      <c r="J4670">
        <v>44783</v>
      </c>
    </row>
    <row r="4671" spans="1:10" x14ac:dyDescent="0.35">
      <c r="A4671" s="2">
        <v>44788</v>
      </c>
      <c r="B4671" s="3">
        <v>0.17980324074074075</v>
      </c>
      <c r="C4671">
        <v>4953</v>
      </c>
      <c r="D4671" t="str">
        <f>VLOOKUP(H4671,Produkt!$A$2:$B$5,2,FALSE)</f>
        <v>A</v>
      </c>
      <c r="H4671">
        <v>1</v>
      </c>
      <c r="I4671">
        <v>0.76939814814814822</v>
      </c>
      <c r="J4671">
        <v>44800</v>
      </c>
    </row>
    <row r="4672" spans="1:10" x14ac:dyDescent="0.35">
      <c r="A4672" s="2">
        <v>44788</v>
      </c>
      <c r="B4672" s="3">
        <v>0.85504629629629625</v>
      </c>
      <c r="C4672">
        <v>4974</v>
      </c>
      <c r="D4672" t="str">
        <f>VLOOKUP(H4672,Produkt!$A$2:$B$5,2,FALSE)</f>
        <v>D</v>
      </c>
      <c r="H4672">
        <v>4</v>
      </c>
      <c r="I4672">
        <v>0.98762731481481481</v>
      </c>
      <c r="J4672">
        <v>44778</v>
      </c>
    </row>
    <row r="4673" spans="1:10" x14ac:dyDescent="0.35">
      <c r="A4673" s="2">
        <v>44788</v>
      </c>
      <c r="B4673" s="3">
        <v>0.78833333333333344</v>
      </c>
      <c r="C4673">
        <v>5004</v>
      </c>
      <c r="D4673" t="str">
        <f>VLOOKUP(H4673,Produkt!$A$2:$B$5,2,FALSE)</f>
        <v>C</v>
      </c>
      <c r="H4673">
        <v>3</v>
      </c>
      <c r="I4673">
        <v>4.1909722222222223E-2</v>
      </c>
      <c r="J4673">
        <v>44784</v>
      </c>
    </row>
    <row r="4674" spans="1:10" x14ac:dyDescent="0.35">
      <c r="A4674" s="2">
        <v>44788</v>
      </c>
      <c r="B4674" s="3">
        <v>0.86021990740740739</v>
      </c>
      <c r="C4674">
        <v>5079</v>
      </c>
      <c r="D4674" t="str">
        <f>VLOOKUP(H4674,Produkt!$A$2:$B$5,2,FALSE)</f>
        <v>B</v>
      </c>
      <c r="H4674">
        <v>2</v>
      </c>
      <c r="I4674">
        <v>0.94421296296296298</v>
      </c>
      <c r="J4674">
        <v>44800</v>
      </c>
    </row>
    <row r="4675" spans="1:10" x14ac:dyDescent="0.35">
      <c r="A4675" s="2">
        <v>44788</v>
      </c>
      <c r="B4675" s="3">
        <v>0.11575231481481481</v>
      </c>
      <c r="C4675">
        <v>5083</v>
      </c>
      <c r="D4675" t="str">
        <f>VLOOKUP(H4675,Produkt!$A$2:$B$5,2,FALSE)</f>
        <v>C</v>
      </c>
      <c r="H4675">
        <v>3</v>
      </c>
      <c r="I4675">
        <v>0.16751157407407405</v>
      </c>
      <c r="J4675">
        <v>44778</v>
      </c>
    </row>
    <row r="4676" spans="1:10" x14ac:dyDescent="0.35">
      <c r="A4676" s="2">
        <v>44788</v>
      </c>
      <c r="B4676" s="3">
        <v>0.64598379629629632</v>
      </c>
      <c r="C4676">
        <v>5095</v>
      </c>
      <c r="D4676" t="str">
        <f>VLOOKUP(H4676,Produkt!$A$2:$B$5,2,FALSE)</f>
        <v>B</v>
      </c>
      <c r="H4676">
        <v>2</v>
      </c>
      <c r="I4676">
        <v>0.9819444444444444</v>
      </c>
      <c r="J4676">
        <v>44774</v>
      </c>
    </row>
    <row r="4677" spans="1:10" x14ac:dyDescent="0.35">
      <c r="A4677" s="2">
        <v>44788</v>
      </c>
      <c r="B4677" s="3">
        <v>0.15737268518518518</v>
      </c>
      <c r="C4677">
        <v>5119</v>
      </c>
      <c r="D4677" t="str">
        <f>VLOOKUP(H4677,Produkt!$A$2:$B$5,2,FALSE)</f>
        <v>B</v>
      </c>
      <c r="H4677">
        <v>2</v>
      </c>
      <c r="I4677">
        <v>0.46846064814814814</v>
      </c>
      <c r="J4677">
        <v>44776</v>
      </c>
    </row>
    <row r="4678" spans="1:10" x14ac:dyDescent="0.35">
      <c r="A4678" s="2">
        <v>44788</v>
      </c>
      <c r="B4678" s="3">
        <v>0.67668981481481483</v>
      </c>
      <c r="C4678">
        <v>5138</v>
      </c>
      <c r="D4678" t="str">
        <f>VLOOKUP(H4678,Produkt!$A$2:$B$5,2,FALSE)</f>
        <v>C</v>
      </c>
      <c r="H4678">
        <v>3</v>
      </c>
      <c r="I4678">
        <v>0.21998842592592593</v>
      </c>
      <c r="J4678">
        <v>44802</v>
      </c>
    </row>
    <row r="4679" spans="1:10" x14ac:dyDescent="0.35">
      <c r="A4679" s="2">
        <v>44788</v>
      </c>
      <c r="B4679" s="3">
        <v>0.45689814814814816</v>
      </c>
      <c r="C4679">
        <v>5175</v>
      </c>
      <c r="D4679" t="str">
        <f>VLOOKUP(H4679,Produkt!$A$2:$B$5,2,FALSE)</f>
        <v>B</v>
      </c>
      <c r="H4679">
        <v>2</v>
      </c>
      <c r="I4679">
        <v>0.87638888888888899</v>
      </c>
      <c r="J4679">
        <v>44775</v>
      </c>
    </row>
    <row r="4680" spans="1:10" x14ac:dyDescent="0.35">
      <c r="A4680" s="2">
        <v>44788</v>
      </c>
      <c r="B4680" s="3">
        <v>0.57245370370370374</v>
      </c>
      <c r="C4680">
        <v>5198</v>
      </c>
      <c r="D4680" t="str">
        <f>VLOOKUP(H4680,Produkt!$A$2:$B$5,2,FALSE)</f>
        <v>B</v>
      </c>
      <c r="H4680">
        <v>2</v>
      </c>
      <c r="I4680">
        <v>0.74256944444444439</v>
      </c>
      <c r="J4680">
        <v>44797</v>
      </c>
    </row>
    <row r="4681" spans="1:10" x14ac:dyDescent="0.35">
      <c r="A4681" s="2">
        <v>44788</v>
      </c>
      <c r="B4681" s="3">
        <v>0.89613425925925927</v>
      </c>
      <c r="C4681">
        <v>5212</v>
      </c>
      <c r="D4681" t="str">
        <f>VLOOKUP(H4681,Produkt!$A$2:$B$5,2,FALSE)</f>
        <v>A</v>
      </c>
      <c r="H4681">
        <v>1</v>
      </c>
      <c r="I4681">
        <v>0.89674768518518511</v>
      </c>
      <c r="J4681">
        <v>44802</v>
      </c>
    </row>
    <row r="4682" spans="1:10" x14ac:dyDescent="0.35">
      <c r="A4682" s="2">
        <v>44788</v>
      </c>
      <c r="B4682" s="3">
        <v>0.57537037037037042</v>
      </c>
      <c r="C4682">
        <v>5264</v>
      </c>
      <c r="D4682" t="str">
        <f>VLOOKUP(H4682,Produkt!$A$2:$B$5,2,FALSE)</f>
        <v>D</v>
      </c>
      <c r="H4682">
        <v>4</v>
      </c>
      <c r="I4682">
        <v>0.16119212962962962</v>
      </c>
      <c r="J4682">
        <v>44799</v>
      </c>
    </row>
    <row r="4683" spans="1:10" x14ac:dyDescent="0.35">
      <c r="A4683" s="2">
        <v>44788</v>
      </c>
      <c r="B4683" s="3">
        <v>0.58369212962962969</v>
      </c>
      <c r="C4683">
        <v>5277</v>
      </c>
      <c r="D4683" t="str">
        <f>VLOOKUP(H4683,Produkt!$A$2:$B$5,2,FALSE)</f>
        <v>C</v>
      </c>
      <c r="H4683">
        <v>3</v>
      </c>
      <c r="I4683">
        <v>0.19018518518518521</v>
      </c>
      <c r="J4683">
        <v>44789</v>
      </c>
    </row>
    <row r="4684" spans="1:10" x14ac:dyDescent="0.35">
      <c r="A4684" s="2">
        <v>44788</v>
      </c>
      <c r="B4684" s="3">
        <v>0.21858796296296298</v>
      </c>
      <c r="C4684">
        <v>5364</v>
      </c>
      <c r="D4684" t="str">
        <f>VLOOKUP(H4684,Produkt!$A$2:$B$5,2,FALSE)</f>
        <v>C</v>
      </c>
      <c r="H4684">
        <v>3</v>
      </c>
      <c r="I4684">
        <v>0.83831018518518519</v>
      </c>
      <c r="J4684">
        <v>44789</v>
      </c>
    </row>
    <row r="4685" spans="1:10" x14ac:dyDescent="0.35">
      <c r="A4685" s="2">
        <v>44788</v>
      </c>
      <c r="B4685" s="3">
        <v>6.4803240740740745E-2</v>
      </c>
      <c r="C4685">
        <v>5404</v>
      </c>
      <c r="D4685" t="str">
        <f>VLOOKUP(H4685,Produkt!$A$2:$B$5,2,FALSE)</f>
        <v>D</v>
      </c>
      <c r="H4685">
        <v>4</v>
      </c>
      <c r="I4685">
        <v>0.91288194444444448</v>
      </c>
      <c r="J4685">
        <v>44789</v>
      </c>
    </row>
    <row r="4686" spans="1:10" x14ac:dyDescent="0.35">
      <c r="A4686" s="2">
        <v>44788</v>
      </c>
      <c r="B4686" s="3">
        <v>0.21407407407407408</v>
      </c>
      <c r="C4686">
        <v>5409</v>
      </c>
      <c r="D4686" t="str">
        <f>VLOOKUP(H4686,Produkt!$A$2:$B$5,2,FALSE)</f>
        <v>A</v>
      </c>
      <c r="H4686">
        <v>1</v>
      </c>
      <c r="I4686">
        <v>0.84850694444444441</v>
      </c>
      <c r="J4686">
        <v>44783</v>
      </c>
    </row>
    <row r="4687" spans="1:10" x14ac:dyDescent="0.35">
      <c r="A4687" s="2">
        <v>44788</v>
      </c>
      <c r="B4687" s="3">
        <v>0.61592592592592588</v>
      </c>
      <c r="C4687">
        <v>5421</v>
      </c>
      <c r="D4687" t="str">
        <f>VLOOKUP(H4687,Produkt!$A$2:$B$5,2,FALSE)</f>
        <v>A</v>
      </c>
      <c r="H4687">
        <v>1</v>
      </c>
      <c r="I4687">
        <v>0.78812499999999996</v>
      </c>
      <c r="J4687">
        <v>44783</v>
      </c>
    </row>
    <row r="4688" spans="1:10" x14ac:dyDescent="0.35">
      <c r="A4688" s="2">
        <v>44788</v>
      </c>
      <c r="B4688" s="3">
        <v>0.86144675925925929</v>
      </c>
      <c r="C4688">
        <v>5442</v>
      </c>
      <c r="D4688" t="str">
        <f>VLOOKUP(H4688,Produkt!$A$2:$B$5,2,FALSE)</f>
        <v>A</v>
      </c>
      <c r="H4688">
        <v>1</v>
      </c>
      <c r="I4688">
        <v>0.76059027777777777</v>
      </c>
      <c r="J4688">
        <v>44780</v>
      </c>
    </row>
    <row r="4689" spans="1:10" x14ac:dyDescent="0.35">
      <c r="A4689" s="2">
        <v>44788</v>
      </c>
      <c r="B4689" s="3">
        <v>0.78107638888888886</v>
      </c>
      <c r="C4689">
        <v>5459</v>
      </c>
      <c r="D4689" t="str">
        <f>VLOOKUP(H4689,Produkt!$A$2:$B$5,2,FALSE)</f>
        <v>B</v>
      </c>
      <c r="H4689">
        <v>2</v>
      </c>
      <c r="I4689">
        <v>0.89450231481481479</v>
      </c>
      <c r="J4689">
        <v>44790</v>
      </c>
    </row>
    <row r="4690" spans="1:10" x14ac:dyDescent="0.35">
      <c r="A4690" s="2">
        <v>44788</v>
      </c>
      <c r="B4690" s="3">
        <v>2.1296296296296299E-2</v>
      </c>
      <c r="C4690">
        <v>5467</v>
      </c>
      <c r="D4690" t="str">
        <f>VLOOKUP(H4690,Produkt!$A$2:$B$5,2,FALSE)</f>
        <v>A</v>
      </c>
      <c r="H4690">
        <v>1</v>
      </c>
      <c r="I4690">
        <v>0.54843750000000002</v>
      </c>
      <c r="J4690">
        <v>44795</v>
      </c>
    </row>
    <row r="4691" spans="1:10" x14ac:dyDescent="0.35">
      <c r="A4691" s="2">
        <v>44788</v>
      </c>
      <c r="B4691" s="3">
        <v>0.77447916666666661</v>
      </c>
      <c r="C4691">
        <v>5471</v>
      </c>
      <c r="D4691" t="str">
        <f>VLOOKUP(H4691,Produkt!$A$2:$B$5,2,FALSE)</f>
        <v>B</v>
      </c>
      <c r="H4691">
        <v>2</v>
      </c>
      <c r="I4691">
        <v>0.29699074074074078</v>
      </c>
      <c r="J4691">
        <v>44783</v>
      </c>
    </row>
    <row r="4692" spans="1:10" x14ac:dyDescent="0.35">
      <c r="A4692" s="2">
        <v>44788</v>
      </c>
      <c r="B4692" s="3">
        <v>0.44197916666666665</v>
      </c>
      <c r="C4692">
        <v>5493</v>
      </c>
      <c r="D4692" t="str">
        <f>VLOOKUP(H4692,Produkt!$A$2:$B$5,2,FALSE)</f>
        <v>B</v>
      </c>
      <c r="H4692">
        <v>2</v>
      </c>
      <c r="I4692">
        <v>3.9143518518518494E-2</v>
      </c>
      <c r="J4692">
        <v>44782</v>
      </c>
    </row>
    <row r="4693" spans="1:10" x14ac:dyDescent="0.35">
      <c r="A4693" s="2">
        <v>44788</v>
      </c>
      <c r="B4693" s="3">
        <v>0.60857638888888888</v>
      </c>
      <c r="C4693">
        <v>5542</v>
      </c>
      <c r="D4693" t="str">
        <f>VLOOKUP(H4693,Produkt!$A$2:$B$5,2,FALSE)</f>
        <v>D</v>
      </c>
      <c r="H4693">
        <v>4</v>
      </c>
      <c r="I4693">
        <v>0.35302083333333334</v>
      </c>
      <c r="J4693">
        <v>44780</v>
      </c>
    </row>
    <row r="4694" spans="1:10" x14ac:dyDescent="0.35">
      <c r="A4694" s="2">
        <v>44788</v>
      </c>
      <c r="B4694" s="3">
        <v>0.1894675925925926</v>
      </c>
      <c r="C4694">
        <v>5614</v>
      </c>
      <c r="D4694" t="str">
        <f>VLOOKUP(H4694,Produkt!$A$2:$B$5,2,FALSE)</f>
        <v>B</v>
      </c>
      <c r="H4694">
        <v>2</v>
      </c>
      <c r="I4694">
        <v>9.7245370370370357E-2</v>
      </c>
      <c r="J4694">
        <v>44788</v>
      </c>
    </row>
    <row r="4695" spans="1:10" x14ac:dyDescent="0.35">
      <c r="A4695" s="2">
        <v>44788</v>
      </c>
      <c r="B4695" s="3">
        <v>0.42598379629629629</v>
      </c>
      <c r="C4695">
        <v>5635</v>
      </c>
      <c r="D4695" t="str">
        <f>VLOOKUP(H4695,Produkt!$A$2:$B$5,2,FALSE)</f>
        <v>D</v>
      </c>
      <c r="H4695">
        <v>4</v>
      </c>
      <c r="I4695">
        <v>0.61651620370370364</v>
      </c>
      <c r="J4695">
        <v>44786</v>
      </c>
    </row>
    <row r="4696" spans="1:10" x14ac:dyDescent="0.35">
      <c r="A4696" s="2">
        <v>44788</v>
      </c>
      <c r="B4696" s="3">
        <v>0.44796296296296295</v>
      </c>
      <c r="C4696">
        <v>5749</v>
      </c>
      <c r="D4696" t="str">
        <f>VLOOKUP(H4696,Produkt!$A$2:$B$5,2,FALSE)</f>
        <v>A</v>
      </c>
      <c r="H4696">
        <v>1</v>
      </c>
      <c r="I4696">
        <v>0.82716435185185189</v>
      </c>
      <c r="J4696">
        <v>44802</v>
      </c>
    </row>
    <row r="4697" spans="1:10" x14ac:dyDescent="0.35">
      <c r="A4697" s="2">
        <v>44788</v>
      </c>
      <c r="B4697" s="3">
        <v>0.32267361111111109</v>
      </c>
      <c r="C4697">
        <v>5787</v>
      </c>
      <c r="D4697" t="str">
        <f>VLOOKUP(H4697,Produkt!$A$2:$B$5,2,FALSE)</f>
        <v>D</v>
      </c>
      <c r="H4697">
        <v>4</v>
      </c>
      <c r="I4697">
        <v>0.93459490740740747</v>
      </c>
      <c r="J4697">
        <v>44800</v>
      </c>
    </row>
    <row r="4698" spans="1:10" x14ac:dyDescent="0.35">
      <c r="A4698" s="2">
        <v>44788</v>
      </c>
      <c r="B4698" s="3">
        <v>0.72333333333333327</v>
      </c>
      <c r="C4698">
        <v>5795</v>
      </c>
      <c r="D4698" t="str">
        <f>VLOOKUP(H4698,Produkt!$A$2:$B$5,2,FALSE)</f>
        <v>B</v>
      </c>
      <c r="H4698">
        <v>2</v>
      </c>
      <c r="I4698">
        <v>0.51549768518518524</v>
      </c>
      <c r="J4698">
        <v>44777</v>
      </c>
    </row>
    <row r="4699" spans="1:10" x14ac:dyDescent="0.35">
      <c r="A4699" s="2">
        <v>44788</v>
      </c>
      <c r="B4699" s="3">
        <v>0.28129629629629632</v>
      </c>
      <c r="C4699">
        <v>5820</v>
      </c>
      <c r="D4699" t="str">
        <f>VLOOKUP(H4699,Produkt!$A$2:$B$5,2,FALSE)</f>
        <v>C</v>
      </c>
      <c r="H4699">
        <v>3</v>
      </c>
      <c r="I4699">
        <v>0.69513888888888886</v>
      </c>
      <c r="J4699">
        <v>44782</v>
      </c>
    </row>
    <row r="4700" spans="1:10" x14ac:dyDescent="0.35">
      <c r="A4700" s="2">
        <v>44788</v>
      </c>
      <c r="B4700" s="3">
        <v>0.41116898148148145</v>
      </c>
      <c r="C4700">
        <v>5915</v>
      </c>
      <c r="D4700" t="str">
        <f>VLOOKUP(H4700,Produkt!$A$2:$B$5,2,FALSE)</f>
        <v>D</v>
      </c>
      <c r="H4700">
        <v>4</v>
      </c>
      <c r="I4700">
        <v>0.16943287037037036</v>
      </c>
      <c r="J4700">
        <v>44788</v>
      </c>
    </row>
    <row r="4701" spans="1:10" x14ac:dyDescent="0.35">
      <c r="A4701" s="2">
        <v>44788</v>
      </c>
      <c r="B4701" s="3">
        <v>3.2141203703703707E-2</v>
      </c>
      <c r="C4701">
        <v>5949</v>
      </c>
      <c r="D4701" t="str">
        <f>VLOOKUP(H4701,Produkt!$A$2:$B$5,2,FALSE)</f>
        <v>B</v>
      </c>
      <c r="H4701">
        <v>2</v>
      </c>
      <c r="I4701">
        <v>9.5370370370371216E-3</v>
      </c>
      <c r="J4701">
        <v>44775</v>
      </c>
    </row>
    <row r="4702" spans="1:10" x14ac:dyDescent="0.35">
      <c r="A4702" s="2">
        <v>44788</v>
      </c>
      <c r="B4702" s="3">
        <v>0.33480324074074069</v>
      </c>
      <c r="C4702">
        <v>6068</v>
      </c>
      <c r="D4702" t="str">
        <f>VLOOKUP(H4702,Produkt!$A$2:$B$5,2,FALSE)</f>
        <v>A</v>
      </c>
      <c r="H4702">
        <v>1</v>
      </c>
      <c r="I4702">
        <v>0.69131944444444438</v>
      </c>
      <c r="J4702">
        <v>44789</v>
      </c>
    </row>
    <row r="4703" spans="1:10" x14ac:dyDescent="0.35">
      <c r="A4703" s="2">
        <v>44788</v>
      </c>
      <c r="B4703" s="3">
        <v>0.21953703703703706</v>
      </c>
      <c r="C4703">
        <v>6072</v>
      </c>
      <c r="D4703" t="str">
        <f>VLOOKUP(H4703,Produkt!$A$2:$B$5,2,FALSE)</f>
        <v>A</v>
      </c>
      <c r="H4703">
        <v>1</v>
      </c>
      <c r="I4703">
        <v>0.75822916666666673</v>
      </c>
      <c r="J4703">
        <v>44786</v>
      </c>
    </row>
    <row r="4704" spans="1:10" x14ac:dyDescent="0.35">
      <c r="A4704" s="2">
        <v>44788</v>
      </c>
      <c r="B4704" s="3">
        <v>0.51863425925925932</v>
      </c>
      <c r="C4704">
        <v>6136</v>
      </c>
      <c r="D4704" t="str">
        <f>VLOOKUP(H4704,Produkt!$A$2:$B$5,2,FALSE)</f>
        <v>B</v>
      </c>
      <c r="H4704">
        <v>2</v>
      </c>
      <c r="I4704">
        <v>0.90854166666666669</v>
      </c>
      <c r="J4704">
        <v>44785</v>
      </c>
    </row>
    <row r="4705" spans="1:10" x14ac:dyDescent="0.35">
      <c r="A4705" s="2">
        <v>44788</v>
      </c>
      <c r="B4705" s="3">
        <v>0.61554398148148148</v>
      </c>
      <c r="C4705">
        <v>6169</v>
      </c>
      <c r="D4705" t="str">
        <f>VLOOKUP(H4705,Produkt!$A$2:$B$5,2,FALSE)</f>
        <v>C</v>
      </c>
      <c r="H4705">
        <v>3</v>
      </c>
      <c r="I4705">
        <v>0.3430555555555555</v>
      </c>
      <c r="J4705">
        <v>44786</v>
      </c>
    </row>
    <row r="4706" spans="1:10" x14ac:dyDescent="0.35">
      <c r="A4706" s="2">
        <v>44788</v>
      </c>
      <c r="B4706" s="3">
        <v>0.24858796296296296</v>
      </c>
      <c r="C4706">
        <v>6270</v>
      </c>
      <c r="D4706" t="str">
        <f>VLOOKUP(H4706,Produkt!$A$2:$B$5,2,FALSE)</f>
        <v>D</v>
      </c>
      <c r="H4706">
        <v>4</v>
      </c>
      <c r="I4706">
        <v>4.1620370370370363E-2</v>
      </c>
      <c r="J4706">
        <v>44789</v>
      </c>
    </row>
    <row r="4707" spans="1:10" x14ac:dyDescent="0.35">
      <c r="A4707" s="2">
        <v>44788</v>
      </c>
      <c r="B4707" s="3">
        <v>0.79959490740740735</v>
      </c>
      <c r="C4707">
        <v>6295</v>
      </c>
      <c r="D4707" t="str">
        <f>VLOOKUP(H4707,Produkt!$A$2:$B$5,2,FALSE)</f>
        <v>C</v>
      </c>
      <c r="H4707">
        <v>3</v>
      </c>
      <c r="I4707">
        <v>0.96734953703703708</v>
      </c>
      <c r="J4707">
        <v>44788</v>
      </c>
    </row>
    <row r="4708" spans="1:10" x14ac:dyDescent="0.35">
      <c r="A4708" s="2">
        <v>44788</v>
      </c>
      <c r="B4708" s="3">
        <v>0.13998842592592592</v>
      </c>
      <c r="C4708">
        <v>6299</v>
      </c>
      <c r="D4708" t="str">
        <f>VLOOKUP(H4708,Produkt!$A$2:$B$5,2,FALSE)</f>
        <v>B</v>
      </c>
      <c r="H4708">
        <v>2</v>
      </c>
      <c r="I4708">
        <v>0.49626157407407406</v>
      </c>
      <c r="J4708">
        <v>44802</v>
      </c>
    </row>
    <row r="4709" spans="1:10" x14ac:dyDescent="0.35">
      <c r="A4709" s="2">
        <v>44788</v>
      </c>
      <c r="B4709" s="3">
        <v>0.94416666666666671</v>
      </c>
      <c r="C4709">
        <v>6317</v>
      </c>
      <c r="D4709" t="str">
        <f>VLOOKUP(H4709,Produkt!$A$2:$B$5,2,FALSE)</f>
        <v>D</v>
      </c>
      <c r="H4709">
        <v>4</v>
      </c>
      <c r="I4709">
        <v>1.8298611111110974E-2</v>
      </c>
      <c r="J4709">
        <v>44775</v>
      </c>
    </row>
    <row r="4710" spans="1:10" x14ac:dyDescent="0.35">
      <c r="A4710" s="2">
        <v>44788</v>
      </c>
      <c r="B4710" s="3">
        <v>0.72212962962962957</v>
      </c>
      <c r="C4710">
        <v>6448</v>
      </c>
      <c r="D4710" t="str">
        <f>VLOOKUP(H4710,Produkt!$A$2:$B$5,2,FALSE)</f>
        <v>D</v>
      </c>
      <c r="H4710">
        <v>4</v>
      </c>
      <c r="I4710">
        <v>0.52021990740740742</v>
      </c>
      <c r="J4710">
        <v>44800</v>
      </c>
    </row>
    <row r="4711" spans="1:10" x14ac:dyDescent="0.35">
      <c r="A4711" s="2">
        <v>44788</v>
      </c>
      <c r="B4711" s="3">
        <v>0.24870370370370373</v>
      </c>
      <c r="C4711">
        <v>6449</v>
      </c>
      <c r="D4711" t="str">
        <f>VLOOKUP(H4711,Produkt!$A$2:$B$5,2,FALSE)</f>
        <v>D</v>
      </c>
      <c r="H4711">
        <v>4</v>
      </c>
      <c r="I4711">
        <v>0.34494212962962961</v>
      </c>
      <c r="J4711">
        <v>44782</v>
      </c>
    </row>
    <row r="4712" spans="1:10" x14ac:dyDescent="0.35">
      <c r="A4712" s="2">
        <v>44788</v>
      </c>
      <c r="B4712" s="3">
        <v>0.88440972222222225</v>
      </c>
      <c r="C4712">
        <v>6483</v>
      </c>
      <c r="D4712" t="str">
        <f>VLOOKUP(H4712,Produkt!$A$2:$B$5,2,FALSE)</f>
        <v>C</v>
      </c>
      <c r="H4712">
        <v>3</v>
      </c>
      <c r="I4712">
        <v>0.64930555555555558</v>
      </c>
      <c r="J4712">
        <v>44800</v>
      </c>
    </row>
    <row r="4713" spans="1:10" x14ac:dyDescent="0.35">
      <c r="A4713" s="2">
        <v>44788</v>
      </c>
      <c r="B4713" s="3">
        <v>0.1348263888888889</v>
      </c>
      <c r="C4713">
        <v>6513</v>
      </c>
      <c r="D4713" t="str">
        <f>VLOOKUP(H4713,Produkt!$A$2:$B$5,2,FALSE)</f>
        <v>B</v>
      </c>
      <c r="H4713">
        <v>2</v>
      </c>
      <c r="I4713">
        <v>0.49784722222222227</v>
      </c>
      <c r="J4713">
        <v>44801</v>
      </c>
    </row>
    <row r="4714" spans="1:10" x14ac:dyDescent="0.35">
      <c r="A4714" s="2">
        <v>44788</v>
      </c>
      <c r="B4714" s="3">
        <v>0.93754629629629627</v>
      </c>
      <c r="C4714">
        <v>6517</v>
      </c>
      <c r="D4714" t="str">
        <f>VLOOKUP(H4714,Produkt!$A$2:$B$5,2,FALSE)</f>
        <v>B</v>
      </c>
      <c r="H4714">
        <v>2</v>
      </c>
      <c r="I4714">
        <v>0.96180555555555547</v>
      </c>
      <c r="J4714">
        <v>44798</v>
      </c>
    </row>
    <row r="4715" spans="1:10" x14ac:dyDescent="0.35">
      <c r="A4715" s="2">
        <v>44788</v>
      </c>
      <c r="B4715" s="3">
        <v>0.27528935185185183</v>
      </c>
      <c r="C4715">
        <v>6525</v>
      </c>
      <c r="D4715" t="str">
        <f>VLOOKUP(H4715,Produkt!$A$2:$B$5,2,FALSE)</f>
        <v>A</v>
      </c>
      <c r="H4715">
        <v>1</v>
      </c>
      <c r="I4715">
        <v>0.46741898148148148</v>
      </c>
      <c r="J4715">
        <v>44782</v>
      </c>
    </row>
    <row r="4716" spans="1:10" x14ac:dyDescent="0.35">
      <c r="A4716" s="2">
        <v>44788</v>
      </c>
      <c r="B4716" s="3">
        <v>0.59261574074074075</v>
      </c>
      <c r="C4716">
        <v>6530</v>
      </c>
      <c r="D4716" t="str">
        <f>VLOOKUP(H4716,Produkt!$A$2:$B$5,2,FALSE)</f>
        <v>D</v>
      </c>
      <c r="H4716">
        <v>4</v>
      </c>
      <c r="I4716">
        <v>0.22068287037037038</v>
      </c>
      <c r="J4716">
        <v>44786</v>
      </c>
    </row>
    <row r="4717" spans="1:10" x14ac:dyDescent="0.35">
      <c r="A4717" s="2">
        <v>44788</v>
      </c>
      <c r="B4717" s="3">
        <v>0.39526620370370374</v>
      </c>
      <c r="C4717">
        <v>6559</v>
      </c>
      <c r="D4717" t="str">
        <f>VLOOKUP(H4717,Produkt!$A$2:$B$5,2,FALSE)</f>
        <v>B</v>
      </c>
      <c r="H4717">
        <v>2</v>
      </c>
      <c r="I4717">
        <v>0.74791666666666667</v>
      </c>
      <c r="J4717">
        <v>44803</v>
      </c>
    </row>
    <row r="4718" spans="1:10" x14ac:dyDescent="0.35">
      <c r="A4718" s="2">
        <v>44788</v>
      </c>
      <c r="B4718" s="3">
        <v>0.71303240740740748</v>
      </c>
      <c r="C4718">
        <v>6583</v>
      </c>
      <c r="D4718" t="str">
        <f>VLOOKUP(H4718,Produkt!$A$2:$B$5,2,FALSE)</f>
        <v>C</v>
      </c>
      <c r="H4718">
        <v>3</v>
      </c>
      <c r="I4718">
        <v>0.11431712962962963</v>
      </c>
      <c r="J4718">
        <v>44803</v>
      </c>
    </row>
    <row r="4719" spans="1:10" x14ac:dyDescent="0.35">
      <c r="A4719" s="2">
        <v>44788</v>
      </c>
      <c r="B4719" s="3">
        <v>7.1921296296296303E-2</v>
      </c>
      <c r="C4719">
        <v>6584</v>
      </c>
      <c r="D4719" t="str">
        <f>VLOOKUP(H4719,Produkt!$A$2:$B$5,2,FALSE)</f>
        <v>B</v>
      </c>
      <c r="H4719">
        <v>2</v>
      </c>
      <c r="I4719">
        <v>0.48282407407407407</v>
      </c>
      <c r="J4719">
        <v>44791</v>
      </c>
    </row>
    <row r="4720" spans="1:10" x14ac:dyDescent="0.35">
      <c r="A4720" s="2">
        <v>44788</v>
      </c>
      <c r="B4720" s="3">
        <v>0.17291666666666669</v>
      </c>
      <c r="C4720">
        <v>6623</v>
      </c>
      <c r="D4720" t="str">
        <f>VLOOKUP(H4720,Produkt!$A$2:$B$5,2,FALSE)</f>
        <v>C</v>
      </c>
      <c r="H4720">
        <v>3</v>
      </c>
      <c r="I4720">
        <v>0.24717592592592594</v>
      </c>
      <c r="J4720">
        <v>44792</v>
      </c>
    </row>
    <row r="4721" spans="1:10" x14ac:dyDescent="0.35">
      <c r="A4721" s="2">
        <v>44788</v>
      </c>
      <c r="B4721" s="3">
        <v>6.7037037037037034E-2</v>
      </c>
      <c r="C4721">
        <v>6691</v>
      </c>
      <c r="D4721" t="str">
        <f>VLOOKUP(H4721,Produkt!$A$2:$B$5,2,FALSE)</f>
        <v>A</v>
      </c>
      <c r="H4721">
        <v>1</v>
      </c>
      <c r="I4721">
        <v>0.62203703703703705</v>
      </c>
      <c r="J4721">
        <v>44781</v>
      </c>
    </row>
    <row r="4722" spans="1:10" x14ac:dyDescent="0.35">
      <c r="A4722" s="2">
        <v>44788</v>
      </c>
      <c r="B4722" s="3">
        <v>0.20836805555555557</v>
      </c>
      <c r="C4722">
        <v>6697</v>
      </c>
      <c r="D4722" t="str">
        <f>VLOOKUP(H4722,Produkt!$A$2:$B$5,2,FALSE)</f>
        <v>A</v>
      </c>
      <c r="H4722">
        <v>1</v>
      </c>
      <c r="I4722">
        <v>0.45015046296296296</v>
      </c>
      <c r="J4722">
        <v>44802</v>
      </c>
    </row>
    <row r="4723" spans="1:10" x14ac:dyDescent="0.35">
      <c r="A4723" s="2">
        <v>44788</v>
      </c>
      <c r="B4723" s="3">
        <v>0.57081018518518511</v>
      </c>
      <c r="C4723">
        <v>6715</v>
      </c>
      <c r="D4723" t="str">
        <f>VLOOKUP(H4723,Produkt!$A$2:$B$5,2,FALSE)</f>
        <v>D</v>
      </c>
      <c r="H4723">
        <v>4</v>
      </c>
      <c r="I4723">
        <v>0.13894675925925926</v>
      </c>
      <c r="J4723">
        <v>44798</v>
      </c>
    </row>
    <row r="4724" spans="1:10" x14ac:dyDescent="0.35">
      <c r="A4724" s="2">
        <v>44788</v>
      </c>
      <c r="B4724" s="3">
        <v>0.88687499999999997</v>
      </c>
      <c r="C4724">
        <v>6740</v>
      </c>
      <c r="D4724" t="str">
        <f>VLOOKUP(H4724,Produkt!$A$2:$B$5,2,FALSE)</f>
        <v>D</v>
      </c>
      <c r="H4724">
        <v>4</v>
      </c>
      <c r="I4724">
        <v>0.79100694444444442</v>
      </c>
      <c r="J4724">
        <v>44778</v>
      </c>
    </row>
    <row r="4725" spans="1:10" x14ac:dyDescent="0.35">
      <c r="A4725" s="2">
        <v>44788</v>
      </c>
      <c r="B4725" s="3">
        <v>0.24732638888888889</v>
      </c>
      <c r="C4725">
        <v>6790</v>
      </c>
      <c r="D4725" t="str">
        <f>VLOOKUP(H4725,Produkt!$A$2:$B$5,2,FALSE)</f>
        <v>C</v>
      </c>
      <c r="H4725">
        <v>3</v>
      </c>
      <c r="I4725">
        <v>0.61641203703703706</v>
      </c>
      <c r="J4725">
        <v>44775</v>
      </c>
    </row>
    <row r="4726" spans="1:10" x14ac:dyDescent="0.35">
      <c r="A4726" s="2">
        <v>44788</v>
      </c>
      <c r="B4726" s="3">
        <v>0.10774305555555556</v>
      </c>
      <c r="C4726">
        <v>6794</v>
      </c>
      <c r="D4726" t="str">
        <f>VLOOKUP(H4726,Produkt!$A$2:$B$5,2,FALSE)</f>
        <v>D</v>
      </c>
      <c r="H4726">
        <v>4</v>
      </c>
      <c r="I4726">
        <v>0.35912037037037042</v>
      </c>
      <c r="J4726">
        <v>44775</v>
      </c>
    </row>
    <row r="4727" spans="1:10" x14ac:dyDescent="0.35">
      <c r="A4727" s="2">
        <v>44788</v>
      </c>
      <c r="B4727" s="3">
        <v>0.98170138888888892</v>
      </c>
      <c r="C4727">
        <v>6799</v>
      </c>
      <c r="D4727" t="str">
        <f>VLOOKUP(H4727,Produkt!$A$2:$B$5,2,FALSE)</f>
        <v>C</v>
      </c>
      <c r="H4727">
        <v>3</v>
      </c>
      <c r="I4727">
        <v>0.32811342592592591</v>
      </c>
      <c r="J4727">
        <v>44779</v>
      </c>
    </row>
    <row r="4728" spans="1:10" x14ac:dyDescent="0.35">
      <c r="A4728" s="2">
        <v>44788</v>
      </c>
      <c r="B4728" s="3">
        <v>0.50928240740740738</v>
      </c>
      <c r="C4728">
        <v>6925</v>
      </c>
      <c r="D4728" t="str">
        <f>VLOOKUP(H4728,Produkt!$A$2:$B$5,2,FALSE)</f>
        <v>B</v>
      </c>
      <c r="H4728">
        <v>2</v>
      </c>
      <c r="I4728">
        <v>0.94534722222222223</v>
      </c>
      <c r="J4728">
        <v>44776</v>
      </c>
    </row>
    <row r="4729" spans="1:10" x14ac:dyDescent="0.35">
      <c r="A4729" s="2">
        <v>44788</v>
      </c>
      <c r="B4729" s="3">
        <v>0.27097222222222223</v>
      </c>
      <c r="C4729">
        <v>7031</v>
      </c>
      <c r="D4729" t="str">
        <f>VLOOKUP(H4729,Produkt!$A$2:$B$5,2,FALSE)</f>
        <v>A</v>
      </c>
      <c r="H4729">
        <v>1</v>
      </c>
      <c r="I4729">
        <v>6.069444444444444E-2</v>
      </c>
      <c r="J4729">
        <v>44781</v>
      </c>
    </row>
    <row r="4730" spans="1:10" x14ac:dyDescent="0.35">
      <c r="A4730" s="2">
        <v>44788</v>
      </c>
      <c r="B4730" s="3">
        <v>0.19324074074074074</v>
      </c>
      <c r="C4730">
        <v>7072</v>
      </c>
      <c r="D4730" t="str">
        <f>VLOOKUP(H4730,Produkt!$A$2:$B$5,2,FALSE)</f>
        <v>B</v>
      </c>
      <c r="H4730">
        <v>2</v>
      </c>
      <c r="I4730">
        <v>7.6157407407407415E-3</v>
      </c>
      <c r="J4730">
        <v>44803</v>
      </c>
    </row>
    <row r="4731" spans="1:10" x14ac:dyDescent="0.35">
      <c r="A4731" s="2">
        <v>44788</v>
      </c>
      <c r="B4731" s="3">
        <v>0.4425115740740741</v>
      </c>
      <c r="C4731">
        <v>7076</v>
      </c>
      <c r="D4731" t="str">
        <f>VLOOKUP(H4731,Produkt!$A$2:$B$5,2,FALSE)</f>
        <v>D</v>
      </c>
      <c r="H4731">
        <v>4</v>
      </c>
      <c r="I4731">
        <v>5.4421296296296294E-2</v>
      </c>
      <c r="J4731">
        <v>44775</v>
      </c>
    </row>
    <row r="4732" spans="1:10" x14ac:dyDescent="0.35">
      <c r="A4732" s="2">
        <v>44788</v>
      </c>
      <c r="B4732" s="3">
        <v>0.86069444444444443</v>
      </c>
      <c r="C4732">
        <v>7097</v>
      </c>
      <c r="D4732" t="str">
        <f>VLOOKUP(H4732,Produkt!$A$2:$B$5,2,FALSE)</f>
        <v>B</v>
      </c>
      <c r="H4732">
        <v>2</v>
      </c>
      <c r="I4732">
        <v>1.9583333333333286E-2</v>
      </c>
      <c r="J4732">
        <v>44783</v>
      </c>
    </row>
    <row r="4733" spans="1:10" x14ac:dyDescent="0.35">
      <c r="A4733" s="2">
        <v>44788</v>
      </c>
      <c r="B4733" s="3">
        <v>1.7928240740740842E-2</v>
      </c>
      <c r="C4733">
        <v>7158</v>
      </c>
      <c r="D4733" t="str">
        <f>VLOOKUP(H4733,Produkt!$A$2:$B$5,2,FALSE)</f>
        <v>C</v>
      </c>
      <c r="H4733">
        <v>3</v>
      </c>
      <c r="I4733">
        <v>0.3878240740740741</v>
      </c>
      <c r="J4733">
        <v>44792</v>
      </c>
    </row>
    <row r="4734" spans="1:10" x14ac:dyDescent="0.35">
      <c r="A4734" s="2">
        <v>44788</v>
      </c>
      <c r="B4734" s="3">
        <v>0.88181712962962966</v>
      </c>
      <c r="C4734">
        <v>7177</v>
      </c>
      <c r="D4734" t="str">
        <f>VLOOKUP(H4734,Produkt!$A$2:$B$5,2,FALSE)</f>
        <v>A</v>
      </c>
      <c r="H4734">
        <v>1</v>
      </c>
      <c r="I4734">
        <v>0.33982638888888889</v>
      </c>
      <c r="J4734">
        <v>44795</v>
      </c>
    </row>
    <row r="4735" spans="1:10" x14ac:dyDescent="0.35">
      <c r="A4735" s="2">
        <v>44788</v>
      </c>
      <c r="B4735" s="3">
        <v>0.4303819444444445</v>
      </c>
      <c r="C4735">
        <v>7220</v>
      </c>
      <c r="D4735" t="str">
        <f>VLOOKUP(H4735,Produkt!$A$2:$B$5,2,FALSE)</f>
        <v>B</v>
      </c>
      <c r="H4735">
        <v>2</v>
      </c>
      <c r="I4735">
        <v>0.30278935185185185</v>
      </c>
      <c r="J4735">
        <v>44787</v>
      </c>
    </row>
    <row r="4736" spans="1:10" x14ac:dyDescent="0.35">
      <c r="A4736" s="2">
        <v>44788</v>
      </c>
      <c r="B4736" s="3">
        <v>0.81340277777777781</v>
      </c>
      <c r="C4736">
        <v>7234</v>
      </c>
      <c r="D4736" t="str">
        <f>VLOOKUP(H4736,Produkt!$A$2:$B$5,2,FALSE)</f>
        <v>C</v>
      </c>
      <c r="H4736">
        <v>3</v>
      </c>
      <c r="I4736">
        <v>0.35773148148148143</v>
      </c>
      <c r="J4736">
        <v>44790</v>
      </c>
    </row>
    <row r="4737" spans="1:10" x14ac:dyDescent="0.35">
      <c r="A4737" s="2">
        <v>44788</v>
      </c>
      <c r="B4737" s="3">
        <v>0.79222222222222216</v>
      </c>
      <c r="C4737">
        <v>7256</v>
      </c>
      <c r="D4737" t="str">
        <f>VLOOKUP(H4737,Produkt!$A$2:$B$5,2,FALSE)</f>
        <v>D</v>
      </c>
      <c r="H4737">
        <v>4</v>
      </c>
      <c r="I4737">
        <v>0.78686342592592595</v>
      </c>
      <c r="J4737">
        <v>44782</v>
      </c>
    </row>
    <row r="4738" spans="1:10" x14ac:dyDescent="0.35">
      <c r="A4738" s="2">
        <v>44788</v>
      </c>
      <c r="B4738" s="3">
        <v>0.80038194444444455</v>
      </c>
      <c r="C4738">
        <v>7264</v>
      </c>
      <c r="D4738" t="str">
        <f>VLOOKUP(H4738,Produkt!$A$2:$B$5,2,FALSE)</f>
        <v>C</v>
      </c>
      <c r="H4738">
        <v>3</v>
      </c>
      <c r="I4738">
        <v>0.54813657407407412</v>
      </c>
      <c r="J4738">
        <v>44802</v>
      </c>
    </row>
    <row r="4739" spans="1:10" x14ac:dyDescent="0.35">
      <c r="A4739" s="2">
        <v>44788</v>
      </c>
      <c r="B4739" s="3">
        <v>0.63979166666666665</v>
      </c>
      <c r="C4739">
        <v>7302</v>
      </c>
      <c r="D4739" t="str">
        <f>VLOOKUP(H4739,Produkt!$A$2:$B$5,2,FALSE)</f>
        <v>D</v>
      </c>
      <c r="H4739">
        <v>4</v>
      </c>
      <c r="I4739">
        <v>0.5838078703703703</v>
      </c>
      <c r="J4739">
        <v>44790</v>
      </c>
    </row>
    <row r="4740" spans="1:10" x14ac:dyDescent="0.35">
      <c r="A4740" s="2">
        <v>44788</v>
      </c>
      <c r="B4740" s="3">
        <v>0.50868055555555558</v>
      </c>
      <c r="C4740">
        <v>7316</v>
      </c>
      <c r="D4740" t="str">
        <f>VLOOKUP(H4740,Produkt!$A$2:$B$5,2,FALSE)</f>
        <v>B</v>
      </c>
      <c r="H4740">
        <v>2</v>
      </c>
      <c r="I4740">
        <v>0.78653935185185186</v>
      </c>
      <c r="J4740">
        <v>44803</v>
      </c>
    </row>
    <row r="4741" spans="1:10" x14ac:dyDescent="0.35">
      <c r="A4741" s="2">
        <v>44788</v>
      </c>
      <c r="B4741" s="3">
        <v>0.93761574074074072</v>
      </c>
      <c r="C4741">
        <v>7333</v>
      </c>
      <c r="D4741" t="str">
        <f>VLOOKUP(H4741,Produkt!$A$2:$B$5,2,FALSE)</f>
        <v>D</v>
      </c>
      <c r="H4741">
        <v>4</v>
      </c>
      <c r="I4741">
        <v>0.10914351851851851</v>
      </c>
      <c r="J4741">
        <v>44778</v>
      </c>
    </row>
    <row r="4742" spans="1:10" x14ac:dyDescent="0.35">
      <c r="A4742" s="2">
        <v>44788</v>
      </c>
      <c r="B4742" s="3">
        <v>3.76157407407407E-2</v>
      </c>
      <c r="C4742">
        <v>7358</v>
      </c>
      <c r="D4742" t="str">
        <f>VLOOKUP(H4742,Produkt!$A$2:$B$5,2,FALSE)</f>
        <v>B</v>
      </c>
      <c r="H4742">
        <v>2</v>
      </c>
      <c r="I4742">
        <v>0.40273148148148147</v>
      </c>
      <c r="J4742">
        <v>44798</v>
      </c>
    </row>
    <row r="4743" spans="1:10" x14ac:dyDescent="0.35">
      <c r="A4743" s="2">
        <v>44788</v>
      </c>
      <c r="B4743" s="3">
        <v>0.21714120370370371</v>
      </c>
      <c r="C4743">
        <v>7369</v>
      </c>
      <c r="D4743" t="str">
        <f>VLOOKUP(H4743,Produkt!$A$2:$B$5,2,FALSE)</f>
        <v>D</v>
      </c>
      <c r="H4743">
        <v>4</v>
      </c>
      <c r="I4743">
        <v>0.73813657407407407</v>
      </c>
      <c r="J4743">
        <v>44794</v>
      </c>
    </row>
    <row r="4744" spans="1:10" x14ac:dyDescent="0.35">
      <c r="A4744" s="2">
        <v>44788</v>
      </c>
      <c r="B4744" s="3">
        <v>0.28125</v>
      </c>
      <c r="C4744">
        <v>7494</v>
      </c>
      <c r="D4744" t="str">
        <f>VLOOKUP(H4744,Produkt!$A$2:$B$5,2,FALSE)</f>
        <v>A</v>
      </c>
      <c r="H4744">
        <v>1</v>
      </c>
      <c r="I4744">
        <v>0.36344907407407406</v>
      </c>
      <c r="J4744">
        <v>44779</v>
      </c>
    </row>
    <row r="4745" spans="1:10" x14ac:dyDescent="0.35">
      <c r="A4745" s="2">
        <v>44788</v>
      </c>
      <c r="B4745" s="3">
        <v>0.89789351851851851</v>
      </c>
      <c r="C4745">
        <v>7503</v>
      </c>
      <c r="D4745" t="str">
        <f>VLOOKUP(H4745,Produkt!$A$2:$B$5,2,FALSE)</f>
        <v>D</v>
      </c>
      <c r="H4745">
        <v>4</v>
      </c>
      <c r="I4745">
        <v>0.82843750000000005</v>
      </c>
      <c r="J4745">
        <v>44794</v>
      </c>
    </row>
    <row r="4746" spans="1:10" x14ac:dyDescent="0.35">
      <c r="A4746" s="2">
        <v>44788</v>
      </c>
      <c r="B4746" s="3">
        <v>0.32769675925925928</v>
      </c>
      <c r="C4746">
        <v>7519</v>
      </c>
      <c r="D4746" t="str">
        <f>VLOOKUP(H4746,Produkt!$A$2:$B$5,2,FALSE)</f>
        <v>C</v>
      </c>
      <c r="H4746">
        <v>3</v>
      </c>
      <c r="I4746">
        <v>0.54865740740740743</v>
      </c>
      <c r="J4746">
        <v>44791</v>
      </c>
    </row>
    <row r="4747" spans="1:10" x14ac:dyDescent="0.35">
      <c r="A4747" s="2">
        <v>44788</v>
      </c>
      <c r="B4747" s="3">
        <v>0.18221064814814814</v>
      </c>
      <c r="C4747">
        <v>7528</v>
      </c>
      <c r="D4747" t="str">
        <f>VLOOKUP(H4747,Produkt!$A$2:$B$5,2,FALSE)</f>
        <v>D</v>
      </c>
      <c r="H4747">
        <v>4</v>
      </c>
      <c r="I4747">
        <v>3.4641203703703605E-2</v>
      </c>
      <c r="J4747">
        <v>44789</v>
      </c>
    </row>
    <row r="4748" spans="1:10" x14ac:dyDescent="0.35">
      <c r="A4748" s="2">
        <v>44788</v>
      </c>
      <c r="B4748" s="3">
        <v>0.57797453703703705</v>
      </c>
      <c r="C4748">
        <v>7530</v>
      </c>
      <c r="D4748" t="str">
        <f>VLOOKUP(H4748,Produkt!$A$2:$B$5,2,FALSE)</f>
        <v>D</v>
      </c>
      <c r="H4748">
        <v>4</v>
      </c>
      <c r="I4748">
        <v>0.52935185185185185</v>
      </c>
      <c r="J4748">
        <v>44781</v>
      </c>
    </row>
    <row r="4749" spans="1:10" x14ac:dyDescent="0.35">
      <c r="A4749" s="2">
        <v>44788</v>
      </c>
      <c r="B4749" s="3">
        <v>0.2706365740740741</v>
      </c>
      <c r="C4749">
        <v>7590</v>
      </c>
      <c r="D4749" t="str">
        <f>VLOOKUP(H4749,Produkt!$A$2:$B$5,2,FALSE)</f>
        <v>C</v>
      </c>
      <c r="H4749">
        <v>3</v>
      </c>
      <c r="I4749">
        <v>1.1921296296295569E-3</v>
      </c>
      <c r="J4749">
        <v>44798</v>
      </c>
    </row>
    <row r="4750" spans="1:10" x14ac:dyDescent="0.35">
      <c r="A4750" s="2">
        <v>44788</v>
      </c>
      <c r="B4750" s="3">
        <v>0.92659722222222218</v>
      </c>
      <c r="C4750">
        <v>7614</v>
      </c>
      <c r="D4750" t="str">
        <f>VLOOKUP(H4750,Produkt!$A$2:$B$5,2,FALSE)</f>
        <v>C</v>
      </c>
      <c r="H4750">
        <v>3</v>
      </c>
      <c r="I4750">
        <v>0.59425925925925926</v>
      </c>
      <c r="J4750">
        <v>44784</v>
      </c>
    </row>
    <row r="4751" spans="1:10" x14ac:dyDescent="0.35">
      <c r="A4751" s="2">
        <v>44788</v>
      </c>
      <c r="B4751" s="3">
        <v>0.42251157407407408</v>
      </c>
      <c r="C4751">
        <v>7638</v>
      </c>
      <c r="D4751" t="str">
        <f>VLOOKUP(H4751,Produkt!$A$2:$B$5,2,FALSE)</f>
        <v>A</v>
      </c>
      <c r="H4751">
        <v>1</v>
      </c>
      <c r="I4751">
        <v>0.71142361111111108</v>
      </c>
      <c r="J4751">
        <v>44798</v>
      </c>
    </row>
    <row r="4752" spans="1:10" x14ac:dyDescent="0.35">
      <c r="A4752" s="2">
        <v>44788</v>
      </c>
      <c r="B4752" s="3">
        <v>0.63048611111111108</v>
      </c>
      <c r="C4752">
        <v>7667</v>
      </c>
      <c r="D4752" t="str">
        <f>VLOOKUP(H4752,Produkt!$A$2:$B$5,2,FALSE)</f>
        <v>D</v>
      </c>
      <c r="H4752">
        <v>4</v>
      </c>
      <c r="I4752">
        <v>0.65666666666666662</v>
      </c>
      <c r="J4752">
        <v>44796</v>
      </c>
    </row>
    <row r="4753" spans="1:10" x14ac:dyDescent="0.35">
      <c r="A4753" s="2">
        <v>44788</v>
      </c>
      <c r="B4753" s="3">
        <v>4.731481481481481E-2</v>
      </c>
      <c r="C4753">
        <v>7685</v>
      </c>
      <c r="D4753" t="str">
        <f>VLOOKUP(H4753,Produkt!$A$2:$B$5,2,FALSE)</f>
        <v>B</v>
      </c>
      <c r="H4753">
        <v>2</v>
      </c>
      <c r="I4753">
        <v>0.20616898148148147</v>
      </c>
      <c r="J4753">
        <v>44778</v>
      </c>
    </row>
    <row r="4754" spans="1:10" x14ac:dyDescent="0.35">
      <c r="A4754" s="2">
        <v>44788</v>
      </c>
      <c r="B4754" s="3">
        <v>0.92534722222222221</v>
      </c>
      <c r="C4754">
        <v>7691</v>
      </c>
      <c r="D4754" t="str">
        <f>VLOOKUP(H4754,Produkt!$A$2:$B$5,2,FALSE)</f>
        <v>C</v>
      </c>
      <c r="H4754">
        <v>3</v>
      </c>
      <c r="I4754">
        <v>0.71248842592592598</v>
      </c>
      <c r="J4754">
        <v>44800</v>
      </c>
    </row>
    <row r="4755" spans="1:10" x14ac:dyDescent="0.35">
      <c r="A4755" s="2">
        <v>44788</v>
      </c>
      <c r="B4755" s="3">
        <v>0.73884259259259266</v>
      </c>
      <c r="C4755">
        <v>7718</v>
      </c>
      <c r="D4755" t="str">
        <f>VLOOKUP(H4755,Produkt!$A$2:$B$5,2,FALSE)</f>
        <v>D</v>
      </c>
      <c r="H4755">
        <v>4</v>
      </c>
      <c r="I4755">
        <v>0.72112268518518519</v>
      </c>
      <c r="J4755">
        <v>44797</v>
      </c>
    </row>
    <row r="4756" spans="1:10" x14ac:dyDescent="0.35">
      <c r="A4756" s="2">
        <v>44788</v>
      </c>
      <c r="B4756" s="3">
        <v>0.49238425925925927</v>
      </c>
      <c r="C4756">
        <v>7730</v>
      </c>
      <c r="D4756" t="str">
        <f>VLOOKUP(H4756,Produkt!$A$2:$B$5,2,FALSE)</f>
        <v>B</v>
      </c>
      <c r="H4756">
        <v>2</v>
      </c>
      <c r="I4756">
        <v>0.72525462962962972</v>
      </c>
      <c r="J4756">
        <v>44785</v>
      </c>
    </row>
    <row r="4757" spans="1:10" x14ac:dyDescent="0.35">
      <c r="A4757" s="2">
        <v>44788</v>
      </c>
      <c r="B4757" s="3">
        <v>0.53673611111111108</v>
      </c>
      <c r="C4757">
        <v>7758</v>
      </c>
      <c r="D4757" t="str">
        <f>VLOOKUP(H4757,Produkt!$A$2:$B$5,2,FALSE)</f>
        <v>C</v>
      </c>
      <c r="H4757">
        <v>3</v>
      </c>
      <c r="I4757">
        <v>0.37195601851851851</v>
      </c>
      <c r="J4757">
        <v>44777</v>
      </c>
    </row>
    <row r="4758" spans="1:10" x14ac:dyDescent="0.35">
      <c r="A4758" s="2">
        <v>44788</v>
      </c>
      <c r="B4758" s="3">
        <v>0.16291666666666668</v>
      </c>
      <c r="C4758">
        <v>7762</v>
      </c>
      <c r="D4758" t="str">
        <f>VLOOKUP(H4758,Produkt!$A$2:$B$5,2,FALSE)</f>
        <v>C</v>
      </c>
      <c r="H4758">
        <v>3</v>
      </c>
      <c r="I4758">
        <v>0.94476851851851851</v>
      </c>
      <c r="J4758">
        <v>44797</v>
      </c>
    </row>
    <row r="4759" spans="1:10" x14ac:dyDescent="0.35">
      <c r="A4759" s="2">
        <v>44788</v>
      </c>
      <c r="B4759" s="3">
        <v>0.55282407407407408</v>
      </c>
      <c r="C4759">
        <v>7807</v>
      </c>
      <c r="D4759" t="str">
        <f>VLOOKUP(H4759,Produkt!$A$2:$B$5,2,FALSE)</f>
        <v>B</v>
      </c>
      <c r="H4759">
        <v>2</v>
      </c>
      <c r="I4759">
        <v>5.1481481481481482E-2</v>
      </c>
      <c r="J4759">
        <v>44777</v>
      </c>
    </row>
    <row r="4760" spans="1:10" x14ac:dyDescent="0.35">
      <c r="A4760" s="2">
        <v>44788</v>
      </c>
      <c r="B4760" s="3">
        <v>0.98197916666666663</v>
      </c>
      <c r="C4760">
        <v>7808</v>
      </c>
      <c r="D4760" t="str">
        <f>VLOOKUP(H4760,Produkt!$A$2:$B$5,2,FALSE)</f>
        <v>A</v>
      </c>
      <c r="H4760">
        <v>1</v>
      </c>
      <c r="I4760">
        <v>0.25260416666666669</v>
      </c>
      <c r="J4760">
        <v>44779</v>
      </c>
    </row>
    <row r="4761" spans="1:10" x14ac:dyDescent="0.35">
      <c r="A4761" s="2">
        <v>44788</v>
      </c>
      <c r="B4761" s="3">
        <v>0.35153935185185187</v>
      </c>
      <c r="C4761">
        <v>7855</v>
      </c>
      <c r="D4761" t="str">
        <f>VLOOKUP(H4761,Produkt!$A$2:$B$5,2,FALSE)</f>
        <v>B</v>
      </c>
      <c r="H4761">
        <v>2</v>
      </c>
      <c r="I4761">
        <v>0.68142361111111116</v>
      </c>
      <c r="J4761">
        <v>44794</v>
      </c>
    </row>
    <row r="4762" spans="1:10" x14ac:dyDescent="0.35">
      <c r="A4762" s="2">
        <v>44788</v>
      </c>
      <c r="B4762" s="3">
        <v>0.65593749999999995</v>
      </c>
      <c r="C4762">
        <v>7905</v>
      </c>
      <c r="D4762" t="str">
        <f>VLOOKUP(H4762,Produkt!$A$2:$B$5,2,FALSE)</f>
        <v>C</v>
      </c>
      <c r="H4762">
        <v>3</v>
      </c>
      <c r="I4762">
        <v>0.76369212962962962</v>
      </c>
      <c r="J4762">
        <v>44774</v>
      </c>
    </row>
    <row r="4763" spans="1:10" x14ac:dyDescent="0.35">
      <c r="A4763" s="2">
        <v>44788</v>
      </c>
      <c r="B4763" s="3">
        <v>0.60486111111111118</v>
      </c>
      <c r="C4763">
        <v>7909</v>
      </c>
      <c r="D4763" t="str">
        <f>VLOOKUP(H4763,Produkt!$A$2:$B$5,2,FALSE)</f>
        <v>C</v>
      </c>
      <c r="H4763">
        <v>3</v>
      </c>
      <c r="I4763">
        <v>0.14288194444444444</v>
      </c>
      <c r="J4763">
        <v>44785</v>
      </c>
    </row>
    <row r="4764" spans="1:10" x14ac:dyDescent="0.35">
      <c r="A4764" s="2">
        <v>44788</v>
      </c>
      <c r="B4764" s="3">
        <v>0.57855324074074077</v>
      </c>
      <c r="C4764">
        <v>7910</v>
      </c>
      <c r="D4764" t="str">
        <f>VLOOKUP(H4764,Produkt!$A$2:$B$5,2,FALSE)</f>
        <v>A</v>
      </c>
      <c r="H4764">
        <v>1</v>
      </c>
      <c r="I4764">
        <v>6.6180555555555562E-2</v>
      </c>
      <c r="J4764">
        <v>44779</v>
      </c>
    </row>
    <row r="4765" spans="1:10" x14ac:dyDescent="0.35">
      <c r="A4765" s="2">
        <v>44788</v>
      </c>
      <c r="B4765" s="3">
        <v>4.7002314814814816E-2</v>
      </c>
      <c r="C4765">
        <v>7924</v>
      </c>
      <c r="D4765" t="str">
        <f>VLOOKUP(H4765,Produkt!$A$2:$B$5,2,FALSE)</f>
        <v>D</v>
      </c>
      <c r="H4765">
        <v>4</v>
      </c>
      <c r="I4765">
        <v>0.51001157407407405</v>
      </c>
      <c r="J4765">
        <v>44781</v>
      </c>
    </row>
    <row r="4766" spans="1:10" x14ac:dyDescent="0.35">
      <c r="A4766" s="2">
        <v>44788</v>
      </c>
      <c r="B4766" s="3">
        <v>0.71042824074074085</v>
      </c>
      <c r="C4766">
        <v>7989</v>
      </c>
      <c r="D4766" t="str">
        <f>VLOOKUP(H4766,Produkt!$A$2:$B$5,2,FALSE)</f>
        <v>B</v>
      </c>
      <c r="H4766">
        <v>2</v>
      </c>
      <c r="I4766">
        <v>0.19930555555555554</v>
      </c>
      <c r="J4766">
        <v>44774</v>
      </c>
    </row>
    <row r="4767" spans="1:10" x14ac:dyDescent="0.35">
      <c r="A4767" s="2">
        <v>44788</v>
      </c>
      <c r="B4767" s="3">
        <v>0.10550925925925926</v>
      </c>
      <c r="C4767">
        <v>7998</v>
      </c>
      <c r="D4767" t="str">
        <f>VLOOKUP(H4767,Produkt!$A$2:$B$5,2,FALSE)</f>
        <v>C</v>
      </c>
      <c r="H4767">
        <v>3</v>
      </c>
      <c r="I4767">
        <v>0.39501157407407406</v>
      </c>
      <c r="J4767">
        <v>44791</v>
      </c>
    </row>
    <row r="4768" spans="1:10" x14ac:dyDescent="0.35">
      <c r="A4768" s="2">
        <v>44788</v>
      </c>
      <c r="B4768" s="3">
        <v>0.92458333333333342</v>
      </c>
      <c r="C4768">
        <v>8020</v>
      </c>
      <c r="D4768" t="str">
        <f>VLOOKUP(H4768,Produkt!$A$2:$B$5,2,FALSE)</f>
        <v>D</v>
      </c>
      <c r="H4768">
        <v>4</v>
      </c>
      <c r="I4768">
        <v>2.6689814814814816E-2</v>
      </c>
      <c r="J4768">
        <v>44789</v>
      </c>
    </row>
    <row r="4769" spans="1:10" x14ac:dyDescent="0.35">
      <c r="A4769" s="2">
        <v>44788</v>
      </c>
      <c r="B4769" s="3">
        <v>0.25817129629629632</v>
      </c>
      <c r="C4769">
        <v>8021</v>
      </c>
      <c r="D4769" t="str">
        <f>VLOOKUP(H4769,Produkt!$A$2:$B$5,2,FALSE)</f>
        <v>C</v>
      </c>
      <c r="H4769">
        <v>3</v>
      </c>
      <c r="I4769">
        <v>0.2444212962962963</v>
      </c>
      <c r="J4769">
        <v>44795</v>
      </c>
    </row>
    <row r="4770" spans="1:10" x14ac:dyDescent="0.35">
      <c r="A4770" s="2">
        <v>44788</v>
      </c>
      <c r="B4770" s="3">
        <v>0.4622337962962963</v>
      </c>
      <c r="C4770">
        <v>8078</v>
      </c>
      <c r="D4770" t="str">
        <f>VLOOKUP(H4770,Produkt!$A$2:$B$5,2,FALSE)</f>
        <v>B</v>
      </c>
      <c r="H4770">
        <v>2</v>
      </c>
      <c r="I4770">
        <v>0.72546296296296298</v>
      </c>
      <c r="J4770">
        <v>44774</v>
      </c>
    </row>
    <row r="4771" spans="1:10" x14ac:dyDescent="0.35">
      <c r="A4771" s="2">
        <v>44788</v>
      </c>
      <c r="B4771" s="3">
        <v>0.68312499999999998</v>
      </c>
      <c r="C4771">
        <v>8138</v>
      </c>
      <c r="D4771" t="str">
        <f>VLOOKUP(H4771,Produkt!$A$2:$B$5,2,FALSE)</f>
        <v>A</v>
      </c>
      <c r="H4771">
        <v>1</v>
      </c>
      <c r="I4771">
        <v>9.5567129629629641E-2</v>
      </c>
      <c r="J4771">
        <v>44775</v>
      </c>
    </row>
    <row r="4772" spans="1:10" x14ac:dyDescent="0.35">
      <c r="A4772" s="2">
        <v>44788</v>
      </c>
      <c r="B4772" s="3">
        <v>0.72150462962962969</v>
      </c>
      <c r="C4772">
        <v>8211</v>
      </c>
      <c r="D4772" t="str">
        <f>VLOOKUP(H4772,Produkt!$A$2:$B$5,2,FALSE)</f>
        <v>D</v>
      </c>
      <c r="H4772">
        <v>4</v>
      </c>
      <c r="I4772">
        <v>0.76357638888888879</v>
      </c>
      <c r="J4772">
        <v>44791</v>
      </c>
    </row>
    <row r="4773" spans="1:10" x14ac:dyDescent="0.35">
      <c r="A4773" s="2">
        <v>44788</v>
      </c>
      <c r="B4773" s="3">
        <v>0.95840277777777771</v>
      </c>
      <c r="C4773">
        <v>8216</v>
      </c>
      <c r="D4773" t="str">
        <f>VLOOKUP(H4773,Produkt!$A$2:$B$5,2,FALSE)</f>
        <v>B</v>
      </c>
      <c r="H4773">
        <v>2</v>
      </c>
      <c r="I4773">
        <v>0.32603009259259258</v>
      </c>
      <c r="J4773">
        <v>44784</v>
      </c>
    </row>
    <row r="4774" spans="1:10" x14ac:dyDescent="0.35">
      <c r="A4774" s="2">
        <v>44788</v>
      </c>
      <c r="B4774" s="3">
        <v>0.75993055555555555</v>
      </c>
      <c r="C4774">
        <v>8223</v>
      </c>
      <c r="D4774" t="str">
        <f>VLOOKUP(H4774,Produkt!$A$2:$B$5,2,FALSE)</f>
        <v>A</v>
      </c>
      <c r="H4774">
        <v>1</v>
      </c>
      <c r="I4774">
        <v>0.12533564814814815</v>
      </c>
      <c r="J4774">
        <v>44790</v>
      </c>
    </row>
    <row r="4775" spans="1:10" x14ac:dyDescent="0.35">
      <c r="A4775" s="2">
        <v>44788</v>
      </c>
      <c r="B4775" s="3">
        <v>0.53886574074074078</v>
      </c>
      <c r="C4775">
        <v>8248</v>
      </c>
      <c r="D4775" t="str">
        <f>VLOOKUP(H4775,Produkt!$A$2:$B$5,2,FALSE)</f>
        <v>B</v>
      </c>
      <c r="H4775">
        <v>2</v>
      </c>
      <c r="I4775">
        <v>0.34798611111111111</v>
      </c>
      <c r="J4775">
        <v>44802</v>
      </c>
    </row>
    <row r="4776" spans="1:10" x14ac:dyDescent="0.35">
      <c r="A4776" s="2">
        <v>44788</v>
      </c>
      <c r="B4776" s="3">
        <v>0.77101851851851855</v>
      </c>
      <c r="C4776">
        <v>8255</v>
      </c>
      <c r="D4776" t="str">
        <f>VLOOKUP(H4776,Produkt!$A$2:$B$5,2,FALSE)</f>
        <v>C</v>
      </c>
      <c r="H4776">
        <v>3</v>
      </c>
      <c r="I4776">
        <v>0.72755787037037034</v>
      </c>
      <c r="J4776">
        <v>44776</v>
      </c>
    </row>
    <row r="4777" spans="1:10" x14ac:dyDescent="0.35">
      <c r="A4777" s="2">
        <v>44788</v>
      </c>
      <c r="B4777" s="3">
        <v>0.50067129629629636</v>
      </c>
      <c r="C4777">
        <v>8289</v>
      </c>
      <c r="D4777" t="str">
        <f>VLOOKUP(H4777,Produkt!$A$2:$B$5,2,FALSE)</f>
        <v>D</v>
      </c>
      <c r="H4777">
        <v>4</v>
      </c>
      <c r="I4777">
        <v>6.0879629629629643E-3</v>
      </c>
      <c r="J4777">
        <v>44776</v>
      </c>
    </row>
    <row r="4778" spans="1:10" x14ac:dyDescent="0.35">
      <c r="A4778" s="2">
        <v>44788</v>
      </c>
      <c r="B4778" s="3">
        <v>2.8715277777777781E-2</v>
      </c>
      <c r="C4778">
        <v>8301</v>
      </c>
      <c r="D4778" t="str">
        <f>VLOOKUP(H4778,Produkt!$A$2:$B$5,2,FALSE)</f>
        <v>C</v>
      </c>
      <c r="H4778">
        <v>3</v>
      </c>
      <c r="I4778">
        <v>0.56182870370370364</v>
      </c>
      <c r="J4778">
        <v>44782</v>
      </c>
    </row>
    <row r="4779" spans="1:10" x14ac:dyDescent="0.35">
      <c r="A4779" s="2">
        <v>44788</v>
      </c>
      <c r="B4779" s="3">
        <v>0.38401620370370365</v>
      </c>
      <c r="C4779">
        <v>8383</v>
      </c>
      <c r="D4779" t="str">
        <f>VLOOKUP(H4779,Produkt!$A$2:$B$5,2,FALSE)</f>
        <v>B</v>
      </c>
      <c r="H4779">
        <v>2</v>
      </c>
      <c r="I4779">
        <v>0.56010416666666674</v>
      </c>
      <c r="J4779">
        <v>44795</v>
      </c>
    </row>
    <row r="4780" spans="1:10" x14ac:dyDescent="0.35">
      <c r="A4780" s="2">
        <v>44788</v>
      </c>
      <c r="B4780" s="3">
        <v>0.65017361111111105</v>
      </c>
      <c r="C4780">
        <v>8463</v>
      </c>
      <c r="D4780" t="str">
        <f>VLOOKUP(H4780,Produkt!$A$2:$B$5,2,FALSE)</f>
        <v>A</v>
      </c>
      <c r="H4780">
        <v>1</v>
      </c>
      <c r="I4780">
        <v>2.3402777777777783E-2</v>
      </c>
      <c r="J4780">
        <v>44795</v>
      </c>
    </row>
    <row r="4781" spans="1:10" x14ac:dyDescent="0.35">
      <c r="A4781" s="2">
        <v>44788</v>
      </c>
      <c r="B4781" s="3">
        <v>0.88979166666666665</v>
      </c>
      <c r="C4781">
        <v>8500</v>
      </c>
      <c r="D4781" t="str">
        <f>VLOOKUP(H4781,Produkt!$A$2:$B$5,2,FALSE)</f>
        <v>B</v>
      </c>
      <c r="H4781">
        <v>2</v>
      </c>
      <c r="I4781">
        <v>0.89427083333333324</v>
      </c>
      <c r="J4781">
        <v>44779</v>
      </c>
    </row>
    <row r="4782" spans="1:10" x14ac:dyDescent="0.35">
      <c r="A4782" s="2">
        <v>44788</v>
      </c>
      <c r="B4782" s="3">
        <v>3.7951388888888937E-2</v>
      </c>
      <c r="C4782">
        <v>8522</v>
      </c>
      <c r="D4782" t="str">
        <f>VLOOKUP(H4782,Produkt!$A$2:$B$5,2,FALSE)</f>
        <v>B</v>
      </c>
      <c r="H4782">
        <v>2</v>
      </c>
      <c r="I4782">
        <v>0.36461805555555554</v>
      </c>
      <c r="J4782">
        <v>44789</v>
      </c>
    </row>
    <row r="4783" spans="1:10" x14ac:dyDescent="0.35">
      <c r="A4783" s="2">
        <v>44788</v>
      </c>
      <c r="B4783" s="3">
        <v>0.83759259259259267</v>
      </c>
      <c r="C4783">
        <v>8580</v>
      </c>
      <c r="D4783" t="str">
        <f>VLOOKUP(H4783,Produkt!$A$2:$B$5,2,FALSE)</f>
        <v>A</v>
      </c>
      <c r="H4783">
        <v>1</v>
      </c>
      <c r="I4783">
        <v>8.1250000000000003E-2</v>
      </c>
      <c r="J4783">
        <v>44784</v>
      </c>
    </row>
    <row r="4784" spans="1:10" x14ac:dyDescent="0.35">
      <c r="A4784" s="2">
        <v>44788</v>
      </c>
      <c r="B4784" s="3">
        <v>0.3238773148148148</v>
      </c>
      <c r="C4784">
        <v>8874</v>
      </c>
      <c r="D4784" t="str">
        <f>VLOOKUP(H4784,Produkt!$A$2:$B$5,2,FALSE)</f>
        <v>C</v>
      </c>
      <c r="H4784">
        <v>3</v>
      </c>
      <c r="I4784">
        <v>0.50112268518518521</v>
      </c>
      <c r="J4784">
        <v>44776</v>
      </c>
    </row>
    <row r="4785" spans="1:10" x14ac:dyDescent="0.35">
      <c r="A4785" s="2">
        <v>44788</v>
      </c>
      <c r="B4785" s="3">
        <v>0.53717592592592589</v>
      </c>
      <c r="C4785">
        <v>8906</v>
      </c>
      <c r="D4785" t="str">
        <f>VLOOKUP(H4785,Produkt!$A$2:$B$5,2,FALSE)</f>
        <v>B</v>
      </c>
      <c r="H4785">
        <v>2</v>
      </c>
      <c r="I4785">
        <v>0.8014930555555555</v>
      </c>
      <c r="J4785">
        <v>44777</v>
      </c>
    </row>
    <row r="4786" spans="1:10" x14ac:dyDescent="0.35">
      <c r="A4786" s="2">
        <v>44788</v>
      </c>
      <c r="B4786" s="3">
        <v>0.34945601851851849</v>
      </c>
      <c r="C4786">
        <v>9016</v>
      </c>
      <c r="D4786" t="str">
        <f>VLOOKUP(H4786,Produkt!$A$2:$B$5,2,FALSE)</f>
        <v>D</v>
      </c>
      <c r="H4786">
        <v>4</v>
      </c>
      <c r="I4786">
        <v>0.50981481481481483</v>
      </c>
      <c r="J4786">
        <v>44780</v>
      </c>
    </row>
    <row r="4787" spans="1:10" x14ac:dyDescent="0.35">
      <c r="A4787" s="2">
        <v>44788</v>
      </c>
      <c r="B4787" s="3">
        <v>0.95888888888888879</v>
      </c>
      <c r="C4787">
        <v>9045</v>
      </c>
      <c r="D4787" t="str">
        <f>VLOOKUP(H4787,Produkt!$A$2:$B$5,2,FALSE)</f>
        <v>A</v>
      </c>
      <c r="H4787">
        <v>1</v>
      </c>
      <c r="I4787">
        <v>0.43715277777777778</v>
      </c>
      <c r="J4787">
        <v>44802</v>
      </c>
    </row>
    <row r="4788" spans="1:10" x14ac:dyDescent="0.35">
      <c r="A4788" s="2">
        <v>44788</v>
      </c>
      <c r="B4788" s="3">
        <v>0.43788194444444445</v>
      </c>
      <c r="C4788">
        <v>9046</v>
      </c>
      <c r="D4788" t="str">
        <f>VLOOKUP(H4788,Produkt!$A$2:$B$5,2,FALSE)</f>
        <v>B</v>
      </c>
      <c r="H4788">
        <v>2</v>
      </c>
      <c r="I4788">
        <v>0.47542824074074069</v>
      </c>
      <c r="J4788">
        <v>44789</v>
      </c>
    </row>
    <row r="4789" spans="1:10" x14ac:dyDescent="0.35">
      <c r="A4789" s="2">
        <v>44788</v>
      </c>
      <c r="B4789" s="3">
        <v>0.79297453703703702</v>
      </c>
      <c r="C4789">
        <v>9102</v>
      </c>
      <c r="D4789" t="str">
        <f>VLOOKUP(H4789,Produkt!$A$2:$B$5,2,FALSE)</f>
        <v>C</v>
      </c>
      <c r="H4789">
        <v>3</v>
      </c>
      <c r="I4789">
        <v>0.7244328703703703</v>
      </c>
      <c r="J4789">
        <v>44776</v>
      </c>
    </row>
    <row r="4790" spans="1:10" x14ac:dyDescent="0.35">
      <c r="A4790" s="2">
        <v>44788</v>
      </c>
      <c r="B4790" s="3">
        <v>0.45596064814814818</v>
      </c>
      <c r="C4790">
        <v>9129</v>
      </c>
      <c r="D4790" t="str">
        <f>VLOOKUP(H4790,Produkt!$A$2:$B$5,2,FALSE)</f>
        <v>B</v>
      </c>
      <c r="H4790">
        <v>2</v>
      </c>
      <c r="I4790">
        <v>0.79245370370370372</v>
      </c>
      <c r="J4790">
        <v>44798</v>
      </c>
    </row>
    <row r="4791" spans="1:10" x14ac:dyDescent="0.35">
      <c r="A4791" s="2">
        <v>44788</v>
      </c>
      <c r="B4791" s="3">
        <v>0.2678240740740741</v>
      </c>
      <c r="C4791">
        <v>9184</v>
      </c>
      <c r="D4791" t="str">
        <f>VLOOKUP(H4791,Produkt!$A$2:$B$5,2,FALSE)</f>
        <v>D</v>
      </c>
      <c r="H4791">
        <v>4</v>
      </c>
      <c r="I4791">
        <v>0.67167824074074067</v>
      </c>
      <c r="J4791">
        <v>44777</v>
      </c>
    </row>
    <row r="4792" spans="1:10" x14ac:dyDescent="0.35">
      <c r="A4792" s="2">
        <v>44788</v>
      </c>
      <c r="B4792" s="3">
        <v>0.32884259259259258</v>
      </c>
      <c r="C4792">
        <v>9247</v>
      </c>
      <c r="D4792" t="str">
        <f>VLOOKUP(H4792,Produkt!$A$2:$B$5,2,FALSE)</f>
        <v>C</v>
      </c>
      <c r="H4792">
        <v>3</v>
      </c>
      <c r="I4792">
        <v>0.87101851851851853</v>
      </c>
      <c r="J4792">
        <v>44787</v>
      </c>
    </row>
    <row r="4793" spans="1:10" x14ac:dyDescent="0.35">
      <c r="A4793" s="2">
        <v>44788</v>
      </c>
      <c r="B4793" s="3">
        <v>1.6342592592592593E-2</v>
      </c>
      <c r="C4793">
        <v>9256</v>
      </c>
      <c r="D4793" t="str">
        <f>VLOOKUP(H4793,Produkt!$A$2:$B$5,2,FALSE)</f>
        <v>B</v>
      </c>
      <c r="H4793">
        <v>2</v>
      </c>
      <c r="I4793">
        <v>0.90236111111111106</v>
      </c>
      <c r="J4793">
        <v>44785</v>
      </c>
    </row>
    <row r="4794" spans="1:10" x14ac:dyDescent="0.35">
      <c r="A4794" s="2">
        <v>44788</v>
      </c>
      <c r="B4794" s="3">
        <v>0.87853009259259263</v>
      </c>
      <c r="C4794">
        <v>9282</v>
      </c>
      <c r="D4794" t="str">
        <f>VLOOKUP(H4794,Produkt!$A$2:$B$5,2,FALSE)</f>
        <v>B</v>
      </c>
      <c r="H4794">
        <v>2</v>
      </c>
      <c r="I4794">
        <v>0.53273148148148153</v>
      </c>
      <c r="J4794">
        <v>44786</v>
      </c>
    </row>
    <row r="4795" spans="1:10" x14ac:dyDescent="0.35">
      <c r="A4795" s="2">
        <v>44788</v>
      </c>
      <c r="B4795" s="3">
        <v>0.67221064814814813</v>
      </c>
      <c r="C4795">
        <v>9290</v>
      </c>
      <c r="D4795" t="str">
        <f>VLOOKUP(H4795,Produkt!$A$2:$B$5,2,FALSE)</f>
        <v>A</v>
      </c>
      <c r="H4795">
        <v>1</v>
      </c>
      <c r="I4795">
        <v>0.38520833333333332</v>
      </c>
      <c r="J4795">
        <v>44799</v>
      </c>
    </row>
    <row r="4796" spans="1:10" x14ac:dyDescent="0.35">
      <c r="A4796" s="2">
        <v>44788</v>
      </c>
      <c r="B4796" s="3">
        <v>9.418981481481481E-2</v>
      </c>
      <c r="C4796">
        <v>9299</v>
      </c>
      <c r="D4796" t="str">
        <f>VLOOKUP(H4796,Produkt!$A$2:$B$5,2,FALSE)</f>
        <v>A</v>
      </c>
      <c r="H4796">
        <v>1</v>
      </c>
      <c r="I4796">
        <v>0.86844907407407401</v>
      </c>
      <c r="J4796">
        <v>44783</v>
      </c>
    </row>
    <row r="4797" spans="1:10" x14ac:dyDescent="0.35">
      <c r="A4797" s="2">
        <v>44788</v>
      </c>
      <c r="B4797" s="3">
        <v>0.22108796296296296</v>
      </c>
      <c r="C4797">
        <v>9347</v>
      </c>
      <c r="D4797" t="str">
        <f>VLOOKUP(H4797,Produkt!$A$2:$B$5,2,FALSE)</f>
        <v>A</v>
      </c>
      <c r="H4797">
        <v>1</v>
      </c>
      <c r="I4797">
        <v>0.53297453703703701</v>
      </c>
      <c r="J4797">
        <v>44786</v>
      </c>
    </row>
    <row r="4798" spans="1:10" x14ac:dyDescent="0.35">
      <c r="A4798" s="2">
        <v>44788</v>
      </c>
      <c r="B4798" s="3">
        <v>0.55908564814814821</v>
      </c>
      <c r="C4798">
        <v>9365</v>
      </c>
      <c r="D4798" t="str">
        <f>VLOOKUP(H4798,Produkt!$A$2:$B$5,2,FALSE)</f>
        <v>A</v>
      </c>
      <c r="H4798">
        <v>1</v>
      </c>
      <c r="I4798">
        <v>0.2830671296296296</v>
      </c>
      <c r="J4798">
        <v>44782</v>
      </c>
    </row>
    <row r="4799" spans="1:10" x14ac:dyDescent="0.35">
      <c r="A4799" s="2">
        <v>44788</v>
      </c>
      <c r="B4799" s="3">
        <v>0.6603472222222222</v>
      </c>
      <c r="C4799">
        <v>9370</v>
      </c>
      <c r="D4799" t="str">
        <f>VLOOKUP(H4799,Produkt!$A$2:$B$5,2,FALSE)</f>
        <v>A</v>
      </c>
      <c r="H4799">
        <v>1</v>
      </c>
      <c r="I4799">
        <v>0.55655092592592592</v>
      </c>
      <c r="J4799">
        <v>44791</v>
      </c>
    </row>
    <row r="4800" spans="1:10" x14ac:dyDescent="0.35">
      <c r="A4800" s="2">
        <v>44788</v>
      </c>
      <c r="B4800" s="3">
        <v>0.3309259259259259</v>
      </c>
      <c r="C4800">
        <v>9388</v>
      </c>
      <c r="D4800" t="str">
        <f>VLOOKUP(H4800,Produkt!$A$2:$B$5,2,FALSE)</f>
        <v>C</v>
      </c>
      <c r="H4800">
        <v>3</v>
      </c>
      <c r="I4800">
        <v>5.4004629629629632E-2</v>
      </c>
      <c r="J4800">
        <v>44781</v>
      </c>
    </row>
    <row r="4801" spans="1:10" x14ac:dyDescent="0.35">
      <c r="A4801" s="2">
        <v>44788</v>
      </c>
      <c r="B4801" s="3">
        <v>0.23559027777777777</v>
      </c>
      <c r="C4801">
        <v>9466</v>
      </c>
      <c r="D4801" t="str">
        <f>VLOOKUP(H4801,Produkt!$A$2:$B$5,2,FALSE)</f>
        <v>D</v>
      </c>
      <c r="H4801">
        <v>4</v>
      </c>
      <c r="I4801">
        <v>0.37537037037037035</v>
      </c>
      <c r="J4801">
        <v>44802</v>
      </c>
    </row>
    <row r="4802" spans="1:10" x14ac:dyDescent="0.35">
      <c r="A4802" s="2">
        <v>44788</v>
      </c>
      <c r="B4802" s="3">
        <v>0.24123842592592593</v>
      </c>
      <c r="C4802">
        <v>9487</v>
      </c>
      <c r="D4802" t="str">
        <f>VLOOKUP(H4802,Produkt!$A$2:$B$5,2,FALSE)</f>
        <v>D</v>
      </c>
      <c r="H4802">
        <v>4</v>
      </c>
      <c r="I4802">
        <v>0.77241898148148147</v>
      </c>
      <c r="J4802">
        <v>44783</v>
      </c>
    </row>
    <row r="4803" spans="1:10" x14ac:dyDescent="0.35">
      <c r="A4803" s="2">
        <v>44788</v>
      </c>
      <c r="B4803" s="3">
        <v>0.1464351851851852</v>
      </c>
      <c r="C4803">
        <v>9496</v>
      </c>
      <c r="D4803" t="str">
        <f>VLOOKUP(H4803,Produkt!$A$2:$B$5,2,FALSE)</f>
        <v>C</v>
      </c>
      <c r="H4803">
        <v>3</v>
      </c>
      <c r="I4803">
        <v>0.33748842592592593</v>
      </c>
      <c r="J4803">
        <v>44798</v>
      </c>
    </row>
    <row r="4804" spans="1:10" x14ac:dyDescent="0.35">
      <c r="A4804" s="2">
        <v>44788</v>
      </c>
      <c r="B4804" s="3">
        <v>0.86295138888888889</v>
      </c>
      <c r="C4804">
        <v>9501</v>
      </c>
      <c r="D4804" t="str">
        <f>VLOOKUP(H4804,Produkt!$A$2:$B$5,2,FALSE)</f>
        <v>B</v>
      </c>
      <c r="H4804">
        <v>2</v>
      </c>
      <c r="I4804">
        <v>0.49708333333333332</v>
      </c>
      <c r="J4804">
        <v>44778</v>
      </c>
    </row>
    <row r="4805" spans="1:10" x14ac:dyDescent="0.35">
      <c r="A4805" s="2">
        <v>44788</v>
      </c>
      <c r="B4805" s="3">
        <v>0.25899305555555557</v>
      </c>
      <c r="C4805">
        <v>9504</v>
      </c>
      <c r="D4805" t="str">
        <f>VLOOKUP(H4805,Produkt!$A$2:$B$5,2,FALSE)</f>
        <v>B</v>
      </c>
      <c r="H4805">
        <v>2</v>
      </c>
      <c r="I4805">
        <v>8.5914351851851853E-2</v>
      </c>
      <c r="J4805">
        <v>44790</v>
      </c>
    </row>
    <row r="4806" spans="1:10" x14ac:dyDescent="0.35">
      <c r="A4806" s="2">
        <v>44788</v>
      </c>
      <c r="B4806" s="3">
        <v>0.97157407407407403</v>
      </c>
      <c r="C4806">
        <v>9550</v>
      </c>
      <c r="D4806" t="str">
        <f>VLOOKUP(H4806,Produkt!$A$2:$B$5,2,FALSE)</f>
        <v>B</v>
      </c>
      <c r="H4806">
        <v>2</v>
      </c>
      <c r="I4806">
        <v>0.83315972222222223</v>
      </c>
      <c r="J4806">
        <v>44795</v>
      </c>
    </row>
    <row r="4807" spans="1:10" x14ac:dyDescent="0.35">
      <c r="A4807" s="2">
        <v>44788</v>
      </c>
      <c r="B4807" s="3">
        <v>0.59686342592592589</v>
      </c>
      <c r="C4807">
        <v>9616</v>
      </c>
      <c r="D4807" t="str">
        <f>VLOOKUP(H4807,Produkt!$A$2:$B$5,2,FALSE)</f>
        <v>C</v>
      </c>
      <c r="H4807">
        <v>3</v>
      </c>
      <c r="I4807">
        <v>0.57550925925925933</v>
      </c>
      <c r="J4807">
        <v>44798</v>
      </c>
    </row>
    <row r="4808" spans="1:10" x14ac:dyDescent="0.35">
      <c r="A4808" s="2">
        <v>44788</v>
      </c>
      <c r="B4808" s="3">
        <v>0.44462962962962965</v>
      </c>
      <c r="C4808">
        <v>9701</v>
      </c>
      <c r="D4808" t="str">
        <f>VLOOKUP(H4808,Produkt!$A$2:$B$5,2,FALSE)</f>
        <v>C</v>
      </c>
      <c r="H4808">
        <v>3</v>
      </c>
      <c r="I4808">
        <v>0.81042824074074071</v>
      </c>
      <c r="J4808">
        <v>44778</v>
      </c>
    </row>
    <row r="4809" spans="1:10" x14ac:dyDescent="0.35">
      <c r="A4809" s="2">
        <v>44788</v>
      </c>
      <c r="B4809" s="3">
        <v>0.52973379629629636</v>
      </c>
      <c r="C4809">
        <v>9709</v>
      </c>
      <c r="D4809" t="str">
        <f>VLOOKUP(H4809,Produkt!$A$2:$B$5,2,FALSE)</f>
        <v>A</v>
      </c>
      <c r="H4809">
        <v>1</v>
      </c>
      <c r="I4809">
        <v>0.72832175925925924</v>
      </c>
      <c r="J4809">
        <v>44800</v>
      </c>
    </row>
    <row r="4810" spans="1:10" x14ac:dyDescent="0.35">
      <c r="A4810" s="2">
        <v>44788</v>
      </c>
      <c r="B4810" s="3">
        <v>0.31758101851851855</v>
      </c>
      <c r="C4810">
        <v>9725</v>
      </c>
      <c r="D4810" t="str">
        <f>VLOOKUP(H4810,Produkt!$A$2:$B$5,2,FALSE)</f>
        <v>D</v>
      </c>
      <c r="H4810">
        <v>4</v>
      </c>
      <c r="I4810">
        <v>0.62534722222222217</v>
      </c>
      <c r="J4810">
        <v>44775</v>
      </c>
    </row>
    <row r="4811" spans="1:10" x14ac:dyDescent="0.35">
      <c r="A4811" s="2">
        <v>44788</v>
      </c>
      <c r="B4811" s="3">
        <v>0.21659722222222222</v>
      </c>
      <c r="C4811">
        <v>9776</v>
      </c>
      <c r="D4811" t="str">
        <f>VLOOKUP(H4811,Produkt!$A$2:$B$5,2,FALSE)</f>
        <v>D</v>
      </c>
      <c r="H4811">
        <v>4</v>
      </c>
      <c r="I4811">
        <v>0.12484953703703704</v>
      </c>
      <c r="J4811">
        <v>44799</v>
      </c>
    </row>
    <row r="4812" spans="1:10" x14ac:dyDescent="0.35">
      <c r="A4812" s="2">
        <v>44788</v>
      </c>
      <c r="B4812" s="3">
        <v>0.9692708333333333</v>
      </c>
      <c r="C4812">
        <v>9896</v>
      </c>
      <c r="D4812" t="str">
        <f>VLOOKUP(H4812,Produkt!$A$2:$B$5,2,FALSE)</f>
        <v>B</v>
      </c>
      <c r="H4812">
        <v>2</v>
      </c>
      <c r="I4812">
        <v>0.66694444444444445</v>
      </c>
      <c r="J4812">
        <v>44788</v>
      </c>
    </row>
    <row r="4813" spans="1:10" x14ac:dyDescent="0.35">
      <c r="A4813" s="2">
        <v>44788</v>
      </c>
      <c r="B4813" s="3">
        <v>0.49925925925925929</v>
      </c>
      <c r="C4813">
        <v>9922</v>
      </c>
      <c r="D4813" t="str">
        <f>VLOOKUP(H4813,Produkt!$A$2:$B$5,2,FALSE)</f>
        <v>C</v>
      </c>
      <c r="H4813">
        <v>3</v>
      </c>
      <c r="I4813">
        <v>0.96406249999999993</v>
      </c>
      <c r="J4813">
        <v>44804</v>
      </c>
    </row>
    <row r="4814" spans="1:10" x14ac:dyDescent="0.35">
      <c r="A4814" s="2">
        <v>44788</v>
      </c>
      <c r="B4814" s="3">
        <v>0.46084490740740741</v>
      </c>
      <c r="C4814">
        <v>9923</v>
      </c>
      <c r="D4814" t="str">
        <f>VLOOKUP(H4814,Produkt!$A$2:$B$5,2,FALSE)</f>
        <v>A</v>
      </c>
      <c r="H4814">
        <v>1</v>
      </c>
      <c r="I4814">
        <v>0.30746527777777777</v>
      </c>
      <c r="J4814">
        <v>44776</v>
      </c>
    </row>
    <row r="4815" spans="1:10" x14ac:dyDescent="0.35">
      <c r="A4815" s="2">
        <v>44788</v>
      </c>
      <c r="B4815" s="3">
        <v>0.3721990740740741</v>
      </c>
      <c r="C4815">
        <v>9940</v>
      </c>
      <c r="D4815" t="str">
        <f>VLOOKUP(H4815,Produkt!$A$2:$B$5,2,FALSE)</f>
        <v>D</v>
      </c>
      <c r="H4815">
        <v>4</v>
      </c>
      <c r="I4815">
        <v>0.44074074074074071</v>
      </c>
      <c r="J4815">
        <v>44796</v>
      </c>
    </row>
    <row r="4816" spans="1:10" x14ac:dyDescent="0.35">
      <c r="A4816" s="2">
        <v>44788</v>
      </c>
      <c r="B4816" s="3">
        <v>0.55931712962962965</v>
      </c>
      <c r="C4816">
        <v>9987</v>
      </c>
      <c r="D4816" t="str">
        <f>VLOOKUP(H4816,Produkt!$A$2:$B$5,2,FALSE)</f>
        <v>C</v>
      </c>
      <c r="H4816">
        <v>3</v>
      </c>
      <c r="I4816">
        <v>0.27972222222222221</v>
      </c>
      <c r="J4816">
        <v>44791</v>
      </c>
    </row>
    <row r="4817" spans="1:10" x14ac:dyDescent="0.35">
      <c r="A4817" s="2">
        <v>44788</v>
      </c>
      <c r="B4817" s="3">
        <v>0.41097222222222224</v>
      </c>
      <c r="C4817">
        <v>9994</v>
      </c>
      <c r="D4817" t="str">
        <f>VLOOKUP(H4817,Produkt!$A$2:$B$5,2,FALSE)</f>
        <v>A</v>
      </c>
      <c r="H4817">
        <v>1</v>
      </c>
      <c r="I4817">
        <v>0.63289351851851849</v>
      </c>
      <c r="J4817">
        <v>44797</v>
      </c>
    </row>
    <row r="4818" spans="1:10" x14ac:dyDescent="0.35">
      <c r="A4818" s="2">
        <v>44789</v>
      </c>
      <c r="B4818" s="3">
        <v>0.72769675925925925</v>
      </c>
      <c r="C4818">
        <v>7</v>
      </c>
      <c r="D4818" t="str">
        <f>VLOOKUP(H4818,Produkt!$A$2:$B$5,2,FALSE)</f>
        <v>C</v>
      </c>
      <c r="H4818">
        <v>3</v>
      </c>
      <c r="I4818">
        <v>0.54435185185185186</v>
      </c>
      <c r="J4818">
        <v>44797</v>
      </c>
    </row>
    <row r="4819" spans="1:10" x14ac:dyDescent="0.35">
      <c r="A4819" s="2">
        <v>44789</v>
      </c>
      <c r="B4819" s="3">
        <v>2.1006944444444443E-2</v>
      </c>
      <c r="C4819">
        <v>8</v>
      </c>
      <c r="D4819" t="str">
        <f>VLOOKUP(H4819,Produkt!$A$2:$B$5,2,FALSE)</f>
        <v>B</v>
      </c>
      <c r="H4819">
        <v>2</v>
      </c>
      <c r="I4819">
        <v>0.67121527777777779</v>
      </c>
      <c r="J4819">
        <v>44804</v>
      </c>
    </row>
    <row r="4820" spans="1:10" x14ac:dyDescent="0.35">
      <c r="A4820" s="2">
        <v>44789</v>
      </c>
      <c r="B4820" s="3">
        <v>0.75906250000000008</v>
      </c>
      <c r="C4820">
        <v>10</v>
      </c>
      <c r="D4820" t="str">
        <f>VLOOKUP(H4820,Produkt!$A$2:$B$5,2,FALSE)</f>
        <v>D</v>
      </c>
      <c r="H4820">
        <v>4</v>
      </c>
      <c r="I4820">
        <v>0.78123842592592585</v>
      </c>
      <c r="J4820">
        <v>44799</v>
      </c>
    </row>
    <row r="4821" spans="1:10" x14ac:dyDescent="0.35">
      <c r="A4821" s="2">
        <v>44789</v>
      </c>
      <c r="B4821" s="3">
        <v>9.8148148148148151E-2</v>
      </c>
      <c r="C4821">
        <v>29</v>
      </c>
      <c r="D4821" t="str">
        <f>VLOOKUP(H4821,Produkt!$A$2:$B$5,2,FALSE)</f>
        <v>B</v>
      </c>
      <c r="H4821">
        <v>2</v>
      </c>
      <c r="I4821">
        <v>0.26533564814814814</v>
      </c>
      <c r="J4821">
        <v>44790</v>
      </c>
    </row>
    <row r="4822" spans="1:10" x14ac:dyDescent="0.35">
      <c r="A4822" s="2">
        <v>44789</v>
      </c>
      <c r="B4822" s="3">
        <v>0.50871527777777781</v>
      </c>
      <c r="C4822">
        <v>30</v>
      </c>
      <c r="D4822" t="str">
        <f>VLOOKUP(H4822,Produkt!$A$2:$B$5,2,FALSE)</f>
        <v>B</v>
      </c>
      <c r="H4822">
        <v>2</v>
      </c>
      <c r="I4822">
        <v>0.62005787037037041</v>
      </c>
      <c r="J4822">
        <v>44779</v>
      </c>
    </row>
    <row r="4823" spans="1:10" x14ac:dyDescent="0.35">
      <c r="A4823" s="2">
        <v>44789</v>
      </c>
      <c r="B4823" s="3">
        <v>0.75846064814814806</v>
      </c>
      <c r="C4823">
        <v>66</v>
      </c>
      <c r="D4823" t="str">
        <f>VLOOKUP(H4823,Produkt!$A$2:$B$5,2,FALSE)</f>
        <v>D</v>
      </c>
      <c r="H4823">
        <v>4</v>
      </c>
      <c r="I4823">
        <v>0.52663194444444439</v>
      </c>
      <c r="J4823">
        <v>44782</v>
      </c>
    </row>
    <row r="4824" spans="1:10" x14ac:dyDescent="0.35">
      <c r="A4824" s="2">
        <v>44789</v>
      </c>
      <c r="B4824" s="3">
        <v>0.36651620370370369</v>
      </c>
      <c r="C4824">
        <v>69</v>
      </c>
      <c r="D4824" t="str">
        <f>VLOOKUP(H4824,Produkt!$A$2:$B$5,2,FALSE)</f>
        <v>D</v>
      </c>
      <c r="H4824">
        <v>4</v>
      </c>
      <c r="I4824">
        <v>5.1388888888888894E-2</v>
      </c>
      <c r="J4824">
        <v>44804</v>
      </c>
    </row>
    <row r="4825" spans="1:10" x14ac:dyDescent="0.35">
      <c r="A4825" s="2">
        <v>44789</v>
      </c>
      <c r="B4825" s="3">
        <v>0.10090277777777779</v>
      </c>
      <c r="C4825">
        <v>165</v>
      </c>
      <c r="D4825" t="str">
        <f>VLOOKUP(H4825,Produkt!$A$2:$B$5,2,FALSE)</f>
        <v>B</v>
      </c>
      <c r="H4825">
        <v>2</v>
      </c>
      <c r="I4825">
        <v>0.49927083333333333</v>
      </c>
      <c r="J4825">
        <v>44789</v>
      </c>
    </row>
    <row r="4826" spans="1:10" x14ac:dyDescent="0.35">
      <c r="A4826" s="2">
        <v>44789</v>
      </c>
      <c r="B4826" s="3">
        <v>0.18681712962962962</v>
      </c>
      <c r="C4826">
        <v>184</v>
      </c>
      <c r="D4826" t="str">
        <f>VLOOKUP(H4826,Produkt!$A$2:$B$5,2,FALSE)</f>
        <v>A</v>
      </c>
      <c r="H4826">
        <v>1</v>
      </c>
      <c r="I4826">
        <v>0.6381134259259259</v>
      </c>
      <c r="J4826">
        <v>44781</v>
      </c>
    </row>
    <row r="4827" spans="1:10" x14ac:dyDescent="0.35">
      <c r="A4827" s="2">
        <v>44789</v>
      </c>
      <c r="B4827" s="3">
        <v>7.3726851851851861E-3</v>
      </c>
      <c r="C4827">
        <v>206</v>
      </c>
      <c r="D4827" t="str">
        <f>VLOOKUP(H4827,Produkt!$A$2:$B$5,2,FALSE)</f>
        <v>A</v>
      </c>
      <c r="H4827">
        <v>1</v>
      </c>
      <c r="I4827">
        <v>5.4375E-2</v>
      </c>
      <c r="J4827">
        <v>44799</v>
      </c>
    </row>
    <row r="4828" spans="1:10" x14ac:dyDescent="0.35">
      <c r="A4828" s="2">
        <v>44789</v>
      </c>
      <c r="B4828" s="3">
        <v>0.55703703703703711</v>
      </c>
      <c r="C4828">
        <v>215</v>
      </c>
      <c r="D4828" t="str">
        <f>VLOOKUP(H4828,Produkt!$A$2:$B$5,2,FALSE)</f>
        <v>A</v>
      </c>
      <c r="H4828">
        <v>1</v>
      </c>
      <c r="I4828">
        <v>0.16033564814814816</v>
      </c>
      <c r="J4828">
        <v>44781</v>
      </c>
    </row>
    <row r="4829" spans="1:10" x14ac:dyDescent="0.35">
      <c r="A4829" s="2">
        <v>44789</v>
      </c>
      <c r="B4829" s="3">
        <v>0.26950231481481485</v>
      </c>
      <c r="C4829">
        <v>225</v>
      </c>
      <c r="D4829" t="str">
        <f>VLOOKUP(H4829,Produkt!$A$2:$B$5,2,FALSE)</f>
        <v>B</v>
      </c>
      <c r="H4829">
        <v>2</v>
      </c>
      <c r="I4829">
        <v>0.52853009259259254</v>
      </c>
      <c r="J4829">
        <v>44784</v>
      </c>
    </row>
    <row r="4830" spans="1:10" x14ac:dyDescent="0.35">
      <c r="A4830" s="2">
        <v>44789</v>
      </c>
      <c r="B4830" s="3">
        <v>0.54052083333333334</v>
      </c>
      <c r="C4830">
        <v>228</v>
      </c>
      <c r="D4830" t="str">
        <f>VLOOKUP(H4830,Produkt!$A$2:$B$5,2,FALSE)</f>
        <v>A</v>
      </c>
      <c r="H4830">
        <v>1</v>
      </c>
      <c r="I4830">
        <v>0.18534722222222222</v>
      </c>
      <c r="J4830">
        <v>44795</v>
      </c>
    </row>
    <row r="4831" spans="1:10" x14ac:dyDescent="0.35">
      <c r="A4831" s="2">
        <v>44789</v>
      </c>
      <c r="B4831" s="3">
        <v>0.2822337962962963</v>
      </c>
      <c r="C4831">
        <v>240</v>
      </c>
      <c r="D4831" t="str">
        <f>VLOOKUP(H4831,Produkt!$A$2:$B$5,2,FALSE)</f>
        <v>C</v>
      </c>
      <c r="H4831">
        <v>3</v>
      </c>
      <c r="I4831">
        <v>0.35493055555555553</v>
      </c>
      <c r="J4831">
        <v>44793</v>
      </c>
    </row>
    <row r="4832" spans="1:10" x14ac:dyDescent="0.35">
      <c r="A4832" s="2">
        <v>44789</v>
      </c>
      <c r="B4832" s="3">
        <v>0.39446759259259262</v>
      </c>
      <c r="C4832">
        <v>275</v>
      </c>
      <c r="D4832" t="str">
        <f>VLOOKUP(H4832,Produkt!$A$2:$B$5,2,FALSE)</f>
        <v>A</v>
      </c>
      <c r="H4832">
        <v>1</v>
      </c>
      <c r="I4832">
        <v>0.52060185185185182</v>
      </c>
      <c r="J4832">
        <v>44786</v>
      </c>
    </row>
    <row r="4833" spans="1:10" x14ac:dyDescent="0.35">
      <c r="A4833" s="2">
        <v>44789</v>
      </c>
      <c r="B4833" s="3">
        <v>5.9814814814814814E-2</v>
      </c>
      <c r="C4833">
        <v>343</v>
      </c>
      <c r="D4833" t="str">
        <f>VLOOKUP(H4833,Produkt!$A$2:$B$5,2,FALSE)</f>
        <v>B</v>
      </c>
      <c r="H4833">
        <v>2</v>
      </c>
      <c r="I4833">
        <v>0.6830208333333333</v>
      </c>
      <c r="J4833">
        <v>44790</v>
      </c>
    </row>
    <row r="4834" spans="1:10" x14ac:dyDescent="0.35">
      <c r="A4834" s="2">
        <v>44789</v>
      </c>
      <c r="B4834" s="3">
        <v>0.51968749999999997</v>
      </c>
      <c r="C4834">
        <v>416</v>
      </c>
      <c r="D4834" t="str">
        <f>VLOOKUP(H4834,Produkt!$A$2:$B$5,2,FALSE)</f>
        <v>C</v>
      </c>
      <c r="H4834">
        <v>3</v>
      </c>
      <c r="I4834">
        <v>0.91835648148148152</v>
      </c>
      <c r="J4834">
        <v>44797</v>
      </c>
    </row>
    <row r="4835" spans="1:10" x14ac:dyDescent="0.35">
      <c r="A4835" s="2">
        <v>44789</v>
      </c>
      <c r="B4835" s="3">
        <v>0.81199074074074085</v>
      </c>
      <c r="C4835">
        <v>499</v>
      </c>
      <c r="D4835" t="str">
        <f>VLOOKUP(H4835,Produkt!$A$2:$B$5,2,FALSE)</f>
        <v>C</v>
      </c>
      <c r="H4835">
        <v>3</v>
      </c>
      <c r="I4835">
        <v>6.3888888888888884E-2</v>
      </c>
      <c r="J4835">
        <v>44804</v>
      </c>
    </row>
    <row r="4836" spans="1:10" x14ac:dyDescent="0.35">
      <c r="A4836" s="2">
        <v>44789</v>
      </c>
      <c r="B4836" s="3">
        <v>7.4537037037036846E-3</v>
      </c>
      <c r="C4836">
        <v>507</v>
      </c>
      <c r="D4836" t="str">
        <f>VLOOKUP(H4836,Produkt!$A$2:$B$5,2,FALSE)</f>
        <v>A</v>
      </c>
      <c r="H4836">
        <v>1</v>
      </c>
      <c r="I4836">
        <v>0.17565972222222223</v>
      </c>
      <c r="J4836">
        <v>44787</v>
      </c>
    </row>
    <row r="4837" spans="1:10" x14ac:dyDescent="0.35">
      <c r="A4837" s="2">
        <v>44789</v>
      </c>
      <c r="B4837" s="3">
        <v>0.95885416666666667</v>
      </c>
      <c r="C4837">
        <v>533</v>
      </c>
      <c r="D4837" t="str">
        <f>VLOOKUP(H4837,Produkt!$A$2:$B$5,2,FALSE)</f>
        <v>C</v>
      </c>
      <c r="H4837">
        <v>3</v>
      </c>
      <c r="I4837">
        <v>0.80988425925925922</v>
      </c>
      <c r="J4837">
        <v>44781</v>
      </c>
    </row>
    <row r="4838" spans="1:10" x14ac:dyDescent="0.35">
      <c r="A4838" s="2">
        <v>44789</v>
      </c>
      <c r="B4838" s="3">
        <v>0.40207175925925925</v>
      </c>
      <c r="C4838">
        <v>594</v>
      </c>
      <c r="D4838" t="str">
        <f>VLOOKUP(H4838,Produkt!$A$2:$B$5,2,FALSE)</f>
        <v>C</v>
      </c>
      <c r="H4838">
        <v>3</v>
      </c>
      <c r="I4838">
        <v>0.21129629629629629</v>
      </c>
      <c r="J4838">
        <v>44786</v>
      </c>
    </row>
    <row r="4839" spans="1:10" x14ac:dyDescent="0.35">
      <c r="A4839" s="2">
        <v>44789</v>
      </c>
      <c r="B4839" s="3">
        <v>0.67969907407407415</v>
      </c>
      <c r="C4839">
        <v>703</v>
      </c>
      <c r="D4839" t="str">
        <f>VLOOKUP(H4839,Produkt!$A$2:$B$5,2,FALSE)</f>
        <v>C</v>
      </c>
      <c r="H4839">
        <v>3</v>
      </c>
      <c r="I4839">
        <v>0.94292824074074078</v>
      </c>
      <c r="J4839">
        <v>44777</v>
      </c>
    </row>
    <row r="4840" spans="1:10" x14ac:dyDescent="0.35">
      <c r="A4840" s="2">
        <v>44789</v>
      </c>
      <c r="B4840" s="3">
        <v>8.8159722222222223E-2</v>
      </c>
      <c r="C4840">
        <v>705</v>
      </c>
      <c r="D4840" t="str">
        <f>VLOOKUP(H4840,Produkt!$A$2:$B$5,2,FALSE)</f>
        <v>C</v>
      </c>
      <c r="H4840">
        <v>3</v>
      </c>
      <c r="I4840">
        <v>9.8263888888887596E-3</v>
      </c>
      <c r="J4840">
        <v>44790</v>
      </c>
    </row>
    <row r="4841" spans="1:10" x14ac:dyDescent="0.35">
      <c r="A4841" s="2">
        <v>44789</v>
      </c>
      <c r="B4841" s="3">
        <v>0.61622685185185189</v>
      </c>
      <c r="C4841">
        <v>742</v>
      </c>
      <c r="D4841" t="str">
        <f>VLOOKUP(H4841,Produkt!$A$2:$B$5,2,FALSE)</f>
        <v>B</v>
      </c>
      <c r="H4841">
        <v>2</v>
      </c>
      <c r="I4841">
        <v>0.70052083333333337</v>
      </c>
      <c r="J4841">
        <v>44800</v>
      </c>
    </row>
    <row r="4842" spans="1:10" x14ac:dyDescent="0.35">
      <c r="A4842" s="2">
        <v>44789</v>
      </c>
      <c r="B4842" s="3">
        <v>0.49030092592592589</v>
      </c>
      <c r="C4842">
        <v>821</v>
      </c>
      <c r="D4842" t="str">
        <f>VLOOKUP(H4842,Produkt!$A$2:$B$5,2,FALSE)</f>
        <v>D</v>
      </c>
      <c r="H4842">
        <v>4</v>
      </c>
      <c r="I4842">
        <v>0.15596064814814814</v>
      </c>
      <c r="J4842">
        <v>44781</v>
      </c>
    </row>
    <row r="4843" spans="1:10" x14ac:dyDescent="0.35">
      <c r="A4843" s="2">
        <v>44789</v>
      </c>
      <c r="B4843" s="3">
        <v>0.85745370370370377</v>
      </c>
      <c r="C4843">
        <v>822</v>
      </c>
      <c r="D4843" t="str">
        <f>VLOOKUP(H4843,Produkt!$A$2:$B$5,2,FALSE)</f>
        <v>D</v>
      </c>
      <c r="H4843">
        <v>4</v>
      </c>
      <c r="I4843">
        <v>8.3379629629629637E-2</v>
      </c>
      <c r="J4843">
        <v>44796</v>
      </c>
    </row>
    <row r="4844" spans="1:10" x14ac:dyDescent="0.35">
      <c r="A4844" s="2">
        <v>44789</v>
      </c>
      <c r="B4844" s="3">
        <v>0.39730324074074069</v>
      </c>
      <c r="C4844">
        <v>857</v>
      </c>
      <c r="D4844" t="str">
        <f>VLOOKUP(H4844,Produkt!$A$2:$B$5,2,FALSE)</f>
        <v>B</v>
      </c>
      <c r="H4844">
        <v>2</v>
      </c>
      <c r="I4844">
        <v>0.80047453703703697</v>
      </c>
      <c r="J4844">
        <v>44774</v>
      </c>
    </row>
    <row r="4845" spans="1:10" x14ac:dyDescent="0.35">
      <c r="A4845" s="2">
        <v>44789</v>
      </c>
      <c r="B4845" s="3">
        <v>0.73931712962962959</v>
      </c>
      <c r="C4845">
        <v>884</v>
      </c>
      <c r="D4845" t="str">
        <f>VLOOKUP(H4845,Produkt!$A$2:$B$5,2,FALSE)</f>
        <v>A</v>
      </c>
      <c r="H4845">
        <v>1</v>
      </c>
      <c r="I4845">
        <v>8.1979166666666659E-2</v>
      </c>
      <c r="J4845">
        <v>44781</v>
      </c>
    </row>
    <row r="4846" spans="1:10" x14ac:dyDescent="0.35">
      <c r="A4846" s="2">
        <v>44789</v>
      </c>
      <c r="B4846" s="3">
        <v>0.48390046296296302</v>
      </c>
      <c r="C4846">
        <v>912</v>
      </c>
      <c r="D4846" t="str">
        <f>VLOOKUP(H4846,Produkt!$A$2:$B$5,2,FALSE)</f>
        <v>A</v>
      </c>
      <c r="H4846">
        <v>1</v>
      </c>
      <c r="I4846">
        <v>0.3875231481481482</v>
      </c>
      <c r="J4846">
        <v>44803</v>
      </c>
    </row>
    <row r="4847" spans="1:10" x14ac:dyDescent="0.35">
      <c r="A4847" s="2">
        <v>44789</v>
      </c>
      <c r="B4847" s="3">
        <v>0.56283564814814813</v>
      </c>
      <c r="C4847">
        <v>918</v>
      </c>
      <c r="D4847" t="str">
        <f>VLOOKUP(H4847,Produkt!$A$2:$B$5,2,FALSE)</f>
        <v>C</v>
      </c>
      <c r="H4847">
        <v>3</v>
      </c>
      <c r="I4847">
        <v>0.51237268518518519</v>
      </c>
      <c r="J4847">
        <v>44775</v>
      </c>
    </row>
    <row r="4848" spans="1:10" x14ac:dyDescent="0.35">
      <c r="A4848" s="2">
        <v>44789</v>
      </c>
      <c r="B4848" s="3">
        <v>0.42702546296296301</v>
      </c>
      <c r="C4848">
        <v>927</v>
      </c>
      <c r="D4848" t="str">
        <f>VLOOKUP(H4848,Produkt!$A$2:$B$5,2,FALSE)</f>
        <v>A</v>
      </c>
      <c r="H4848">
        <v>1</v>
      </c>
      <c r="I4848">
        <v>0.14064814814814816</v>
      </c>
      <c r="J4848">
        <v>44779</v>
      </c>
    </row>
    <row r="4849" spans="1:10" x14ac:dyDescent="0.35">
      <c r="A4849" s="2">
        <v>44789</v>
      </c>
      <c r="B4849" s="3">
        <v>0.8804050925925927</v>
      </c>
      <c r="C4849">
        <v>946</v>
      </c>
      <c r="D4849" t="str">
        <f>VLOOKUP(H4849,Produkt!$A$2:$B$5,2,FALSE)</f>
        <v>A</v>
      </c>
      <c r="H4849">
        <v>1</v>
      </c>
      <c r="I4849">
        <v>0.31494212962962964</v>
      </c>
      <c r="J4849">
        <v>44804</v>
      </c>
    </row>
    <row r="4850" spans="1:10" x14ac:dyDescent="0.35">
      <c r="A4850" s="2">
        <v>44789</v>
      </c>
      <c r="B4850" s="3">
        <v>5.1967592592592595E-3</v>
      </c>
      <c r="C4850">
        <v>957</v>
      </c>
      <c r="D4850" t="str">
        <f>VLOOKUP(H4850,Produkt!$A$2:$B$5,2,FALSE)</f>
        <v>C</v>
      </c>
      <c r="H4850">
        <v>3</v>
      </c>
      <c r="I4850">
        <v>0.77686342592592583</v>
      </c>
      <c r="J4850">
        <v>44786</v>
      </c>
    </row>
    <row r="4851" spans="1:10" x14ac:dyDescent="0.35">
      <c r="A4851" s="2">
        <v>44789</v>
      </c>
      <c r="B4851" s="3">
        <v>0.24984953703703705</v>
      </c>
      <c r="C4851">
        <v>964</v>
      </c>
      <c r="D4851" t="str">
        <f>VLOOKUP(H4851,Produkt!$A$2:$B$5,2,FALSE)</f>
        <v>D</v>
      </c>
      <c r="H4851">
        <v>4</v>
      </c>
      <c r="I4851">
        <v>0.2326273148148148</v>
      </c>
      <c r="J4851">
        <v>44799</v>
      </c>
    </row>
    <row r="4852" spans="1:10" x14ac:dyDescent="0.35">
      <c r="A4852" s="2">
        <v>44789</v>
      </c>
      <c r="B4852" s="3">
        <v>5.0995370370370365E-2</v>
      </c>
      <c r="C4852">
        <v>980</v>
      </c>
      <c r="D4852" t="str">
        <f>VLOOKUP(H4852,Produkt!$A$2:$B$5,2,FALSE)</f>
        <v>C</v>
      </c>
      <c r="H4852">
        <v>3</v>
      </c>
      <c r="I4852">
        <v>0.93511574074074078</v>
      </c>
      <c r="J4852">
        <v>44792</v>
      </c>
    </row>
    <row r="4853" spans="1:10" x14ac:dyDescent="0.35">
      <c r="A4853" s="2">
        <v>44789</v>
      </c>
      <c r="B4853" s="3">
        <v>0.55003472222222227</v>
      </c>
      <c r="C4853">
        <v>999</v>
      </c>
      <c r="D4853" t="str">
        <f>VLOOKUP(H4853,Produkt!$A$2:$B$5,2,FALSE)</f>
        <v>A</v>
      </c>
      <c r="H4853">
        <v>1</v>
      </c>
      <c r="I4853">
        <v>5.4953703703703706E-2</v>
      </c>
      <c r="J4853">
        <v>44778</v>
      </c>
    </row>
    <row r="4854" spans="1:10" x14ac:dyDescent="0.35">
      <c r="A4854" s="2">
        <v>44789</v>
      </c>
      <c r="B4854" s="3">
        <v>5.8449074074074072E-3</v>
      </c>
      <c r="C4854">
        <v>1019</v>
      </c>
      <c r="D4854" t="str">
        <f>VLOOKUP(H4854,Produkt!$A$2:$B$5,2,FALSE)</f>
        <v>D</v>
      </c>
      <c r="H4854">
        <v>4</v>
      </c>
      <c r="I4854">
        <v>0.49687500000000001</v>
      </c>
      <c r="J4854">
        <v>44788</v>
      </c>
    </row>
    <row r="4855" spans="1:10" x14ac:dyDescent="0.35">
      <c r="A4855" s="2">
        <v>44789</v>
      </c>
      <c r="B4855" s="3">
        <v>0.40563657407407411</v>
      </c>
      <c r="C4855">
        <v>1130</v>
      </c>
      <c r="D4855" t="str">
        <f>VLOOKUP(H4855,Produkt!$A$2:$B$5,2,FALSE)</f>
        <v>B</v>
      </c>
      <c r="H4855">
        <v>2</v>
      </c>
      <c r="I4855">
        <v>0.43665509259259255</v>
      </c>
      <c r="J4855">
        <v>44796</v>
      </c>
    </row>
    <row r="4856" spans="1:10" x14ac:dyDescent="0.35">
      <c r="A4856" s="2">
        <v>44789</v>
      </c>
      <c r="B4856" s="3">
        <v>0.66648148148148145</v>
      </c>
      <c r="C4856">
        <v>1135</v>
      </c>
      <c r="D4856" t="str">
        <f>VLOOKUP(H4856,Produkt!$A$2:$B$5,2,FALSE)</f>
        <v>B</v>
      </c>
      <c r="H4856">
        <v>2</v>
      </c>
      <c r="I4856">
        <v>0.13629629629629628</v>
      </c>
      <c r="J4856">
        <v>44783</v>
      </c>
    </row>
    <row r="4857" spans="1:10" x14ac:dyDescent="0.35">
      <c r="A4857" s="2">
        <v>44789</v>
      </c>
      <c r="B4857" s="3">
        <v>0.89677083333333341</v>
      </c>
      <c r="C4857">
        <v>1202</v>
      </c>
      <c r="D4857" t="str">
        <f>VLOOKUP(H4857,Produkt!$A$2:$B$5,2,FALSE)</f>
        <v>D</v>
      </c>
      <c r="H4857">
        <v>4</v>
      </c>
      <c r="I4857">
        <v>0.87495370370370373</v>
      </c>
      <c r="J4857">
        <v>44786</v>
      </c>
    </row>
    <row r="4858" spans="1:10" x14ac:dyDescent="0.35">
      <c r="A4858" s="2">
        <v>44789</v>
      </c>
      <c r="B4858" s="3">
        <v>0.74773148148148139</v>
      </c>
      <c r="C4858">
        <v>1317</v>
      </c>
      <c r="D4858" t="str">
        <f>VLOOKUP(H4858,Produkt!$A$2:$B$5,2,FALSE)</f>
        <v>B</v>
      </c>
      <c r="H4858">
        <v>2</v>
      </c>
      <c r="I4858">
        <v>0.87878472222222215</v>
      </c>
      <c r="J4858">
        <v>44775</v>
      </c>
    </row>
    <row r="4859" spans="1:10" x14ac:dyDescent="0.35">
      <c r="A4859" s="2">
        <v>44789</v>
      </c>
      <c r="B4859" s="3">
        <v>0.90214120370370365</v>
      </c>
      <c r="C4859">
        <v>1355</v>
      </c>
      <c r="D4859" t="str">
        <f>VLOOKUP(H4859,Produkt!$A$2:$B$5,2,FALSE)</f>
        <v>B</v>
      </c>
      <c r="H4859">
        <v>2</v>
      </c>
      <c r="I4859">
        <v>0.59165509259259264</v>
      </c>
      <c r="J4859">
        <v>44786</v>
      </c>
    </row>
    <row r="4860" spans="1:10" x14ac:dyDescent="0.35">
      <c r="A4860" s="2">
        <v>44789</v>
      </c>
      <c r="B4860" s="3">
        <v>3.8657407407407307E-2</v>
      </c>
      <c r="C4860">
        <v>1365</v>
      </c>
      <c r="D4860" t="str">
        <f>VLOOKUP(H4860,Produkt!$A$2:$B$5,2,FALSE)</f>
        <v>A</v>
      </c>
      <c r="H4860">
        <v>1</v>
      </c>
      <c r="I4860">
        <v>0.13605324074074074</v>
      </c>
      <c r="J4860">
        <v>44783</v>
      </c>
    </row>
    <row r="4861" spans="1:10" x14ac:dyDescent="0.35">
      <c r="A4861" s="2">
        <v>44789</v>
      </c>
      <c r="B4861" s="3">
        <v>0.94284722222222228</v>
      </c>
      <c r="C4861">
        <v>1453</v>
      </c>
      <c r="D4861" t="str">
        <f>VLOOKUP(H4861,Produkt!$A$2:$B$5,2,FALSE)</f>
        <v>B</v>
      </c>
      <c r="H4861">
        <v>2</v>
      </c>
      <c r="I4861">
        <v>0.93082175925925925</v>
      </c>
      <c r="J4861">
        <v>44788</v>
      </c>
    </row>
    <row r="4862" spans="1:10" x14ac:dyDescent="0.35">
      <c r="A4862" s="2">
        <v>44789</v>
      </c>
      <c r="B4862" s="3">
        <v>0.15812499999999999</v>
      </c>
      <c r="C4862">
        <v>1485</v>
      </c>
      <c r="D4862" t="str">
        <f>VLOOKUP(H4862,Produkt!$A$2:$B$5,2,FALSE)</f>
        <v>B</v>
      </c>
      <c r="H4862">
        <v>2</v>
      </c>
      <c r="I4862">
        <v>0.19469907407407408</v>
      </c>
      <c r="J4862">
        <v>44788</v>
      </c>
    </row>
    <row r="4863" spans="1:10" x14ac:dyDescent="0.35">
      <c r="A4863" s="2">
        <v>44789</v>
      </c>
      <c r="B4863" s="3">
        <v>0.47937500000000005</v>
      </c>
      <c r="C4863">
        <v>1517</v>
      </c>
      <c r="D4863" t="str">
        <f>VLOOKUP(H4863,Produkt!$A$2:$B$5,2,FALSE)</f>
        <v>C</v>
      </c>
      <c r="H4863">
        <v>3</v>
      </c>
      <c r="I4863">
        <v>2.4618055555555518E-2</v>
      </c>
      <c r="J4863">
        <v>44775</v>
      </c>
    </row>
    <row r="4864" spans="1:10" x14ac:dyDescent="0.35">
      <c r="A4864" s="2">
        <v>44789</v>
      </c>
      <c r="B4864" s="3">
        <v>0.1423611111111111</v>
      </c>
      <c r="C4864">
        <v>1519</v>
      </c>
      <c r="D4864" t="str">
        <f>VLOOKUP(H4864,Produkt!$A$2:$B$5,2,FALSE)</f>
        <v>A</v>
      </c>
      <c r="H4864">
        <v>1</v>
      </c>
      <c r="I4864">
        <v>0.2547800925925926</v>
      </c>
      <c r="J4864">
        <v>44791</v>
      </c>
    </row>
    <row r="4865" spans="1:10" x14ac:dyDescent="0.35">
      <c r="A4865" s="2">
        <v>44789</v>
      </c>
      <c r="B4865" s="3">
        <v>0.34163194444444445</v>
      </c>
      <c r="C4865">
        <v>1542</v>
      </c>
      <c r="D4865" t="str">
        <f>VLOOKUP(H4865,Produkt!$A$2:$B$5,2,FALSE)</f>
        <v>A</v>
      </c>
      <c r="H4865">
        <v>1</v>
      </c>
      <c r="I4865">
        <v>0.10194444444444445</v>
      </c>
      <c r="J4865">
        <v>44776</v>
      </c>
    </row>
    <row r="4866" spans="1:10" x14ac:dyDescent="0.35">
      <c r="A4866" s="2">
        <v>44789</v>
      </c>
      <c r="B4866" s="3">
        <v>0.39075231481481482</v>
      </c>
      <c r="C4866">
        <v>1548</v>
      </c>
      <c r="D4866" t="str">
        <f>VLOOKUP(H4866,Produkt!$A$2:$B$5,2,FALSE)</f>
        <v>D</v>
      </c>
      <c r="H4866">
        <v>4</v>
      </c>
      <c r="I4866">
        <v>0.98260416666666661</v>
      </c>
      <c r="J4866">
        <v>44778</v>
      </c>
    </row>
    <row r="4867" spans="1:10" x14ac:dyDescent="0.35">
      <c r="A4867" s="2">
        <v>44789</v>
      </c>
      <c r="B4867" s="3">
        <v>0.86965277777777772</v>
      </c>
      <c r="C4867">
        <v>1597</v>
      </c>
      <c r="D4867" t="str">
        <f>VLOOKUP(H4867,Produkt!$A$2:$B$5,2,FALSE)</f>
        <v>A</v>
      </c>
      <c r="H4867">
        <v>1</v>
      </c>
      <c r="I4867">
        <v>0.64356481481481487</v>
      </c>
      <c r="J4867">
        <v>44782</v>
      </c>
    </row>
    <row r="4868" spans="1:10" x14ac:dyDescent="0.35">
      <c r="A4868" s="2">
        <v>44789</v>
      </c>
      <c r="B4868" s="3">
        <v>0.73665509259259254</v>
      </c>
      <c r="C4868">
        <v>1686</v>
      </c>
      <c r="D4868" t="str">
        <f>VLOOKUP(H4868,Produkt!$A$2:$B$5,2,FALSE)</f>
        <v>C</v>
      </c>
      <c r="H4868">
        <v>3</v>
      </c>
      <c r="I4868">
        <v>0.47837962962962965</v>
      </c>
      <c r="J4868">
        <v>44791</v>
      </c>
    </row>
    <row r="4869" spans="1:10" x14ac:dyDescent="0.35">
      <c r="A4869" s="2">
        <v>44789</v>
      </c>
      <c r="B4869" s="3">
        <v>0.20118055555555556</v>
      </c>
      <c r="C4869">
        <v>1687</v>
      </c>
      <c r="D4869" t="str">
        <f>VLOOKUP(H4869,Produkt!$A$2:$B$5,2,FALSE)</f>
        <v>B</v>
      </c>
      <c r="H4869">
        <v>2</v>
      </c>
      <c r="I4869">
        <v>0.18341435185185184</v>
      </c>
      <c r="J4869">
        <v>44783</v>
      </c>
    </row>
    <row r="4870" spans="1:10" x14ac:dyDescent="0.35">
      <c r="A4870" s="2">
        <v>44789</v>
      </c>
      <c r="B4870" s="3">
        <v>0.2678935185185185</v>
      </c>
      <c r="C4870">
        <v>1688</v>
      </c>
      <c r="D4870" t="str">
        <f>VLOOKUP(H4870,Produkt!$A$2:$B$5,2,FALSE)</f>
        <v>C</v>
      </c>
      <c r="H4870">
        <v>3</v>
      </c>
      <c r="I4870">
        <v>3.8923611111111089E-2</v>
      </c>
      <c r="J4870">
        <v>44779</v>
      </c>
    </row>
    <row r="4871" spans="1:10" x14ac:dyDescent="0.35">
      <c r="A4871" s="2">
        <v>44789</v>
      </c>
      <c r="B4871" s="3">
        <v>9.6064814814813548E-3</v>
      </c>
      <c r="C4871">
        <v>1695</v>
      </c>
      <c r="D4871" t="str">
        <f>VLOOKUP(H4871,Produkt!$A$2:$B$5,2,FALSE)</f>
        <v>C</v>
      </c>
      <c r="H4871">
        <v>3</v>
      </c>
      <c r="I4871">
        <v>0.44638888888888889</v>
      </c>
      <c r="J4871">
        <v>44801</v>
      </c>
    </row>
    <row r="4872" spans="1:10" x14ac:dyDescent="0.35">
      <c r="A4872" s="2">
        <v>44789</v>
      </c>
      <c r="B4872" s="3">
        <v>0.98800925925925931</v>
      </c>
      <c r="C4872">
        <v>1706</v>
      </c>
      <c r="D4872" t="str">
        <f>VLOOKUP(H4872,Produkt!$A$2:$B$5,2,FALSE)</f>
        <v>C</v>
      </c>
      <c r="H4872">
        <v>3</v>
      </c>
      <c r="I4872">
        <v>0.31107638888888889</v>
      </c>
      <c r="J4872">
        <v>44797</v>
      </c>
    </row>
    <row r="4873" spans="1:10" x14ac:dyDescent="0.35">
      <c r="A4873" s="2">
        <v>44789</v>
      </c>
      <c r="B4873" s="3">
        <v>0.62819444444444439</v>
      </c>
      <c r="C4873">
        <v>1718</v>
      </c>
      <c r="D4873" t="str">
        <f>VLOOKUP(H4873,Produkt!$A$2:$B$5,2,FALSE)</f>
        <v>A</v>
      </c>
      <c r="H4873">
        <v>1</v>
      </c>
      <c r="I4873">
        <v>0.82570601851851855</v>
      </c>
      <c r="J4873">
        <v>44774</v>
      </c>
    </row>
    <row r="4874" spans="1:10" x14ac:dyDescent="0.35">
      <c r="A4874" s="2">
        <v>44789</v>
      </c>
      <c r="B4874" s="3">
        <v>1.8506944444444562E-2</v>
      </c>
      <c r="C4874">
        <v>1719</v>
      </c>
      <c r="D4874" t="str">
        <f>VLOOKUP(H4874,Produkt!$A$2:$B$5,2,FALSE)</f>
        <v>D</v>
      </c>
      <c r="H4874">
        <v>4</v>
      </c>
      <c r="I4874">
        <v>0.87637731481481485</v>
      </c>
      <c r="J4874">
        <v>44787</v>
      </c>
    </row>
    <row r="4875" spans="1:10" x14ac:dyDescent="0.35">
      <c r="A4875" s="2">
        <v>44789</v>
      </c>
      <c r="B4875" s="3">
        <v>0.2457175925925926</v>
      </c>
      <c r="C4875">
        <v>1783</v>
      </c>
      <c r="D4875" t="str">
        <f>VLOOKUP(H4875,Produkt!$A$2:$B$5,2,FALSE)</f>
        <v>D</v>
      </c>
      <c r="H4875">
        <v>4</v>
      </c>
      <c r="I4875">
        <v>0.29099537037037038</v>
      </c>
      <c r="J4875">
        <v>44786</v>
      </c>
    </row>
    <row r="4876" spans="1:10" x14ac:dyDescent="0.35">
      <c r="A4876" s="2">
        <v>44789</v>
      </c>
      <c r="B4876" s="3">
        <v>0.9746527777777777</v>
      </c>
      <c r="C4876">
        <v>1858</v>
      </c>
      <c r="D4876" t="str">
        <f>VLOOKUP(H4876,Produkt!$A$2:$B$5,2,FALSE)</f>
        <v>C</v>
      </c>
      <c r="H4876">
        <v>3</v>
      </c>
      <c r="I4876">
        <v>0.33575231481481477</v>
      </c>
      <c r="J4876">
        <v>44774</v>
      </c>
    </row>
    <row r="4877" spans="1:10" x14ac:dyDescent="0.35">
      <c r="A4877" s="2">
        <v>44789</v>
      </c>
      <c r="B4877" s="3">
        <v>0.43109953703703702</v>
      </c>
      <c r="C4877">
        <v>1905</v>
      </c>
      <c r="D4877" t="str">
        <f>VLOOKUP(H4877,Produkt!$A$2:$B$5,2,FALSE)</f>
        <v>A</v>
      </c>
      <c r="H4877">
        <v>1</v>
      </c>
      <c r="I4877">
        <v>1.3888888888888889E-3</v>
      </c>
      <c r="J4877">
        <v>44781</v>
      </c>
    </row>
    <row r="4878" spans="1:10" x14ac:dyDescent="0.35">
      <c r="A4878" s="2">
        <v>44789</v>
      </c>
      <c r="B4878" s="3">
        <v>0.60651620370370374</v>
      </c>
      <c r="C4878">
        <v>1927</v>
      </c>
      <c r="D4878" t="str">
        <f>VLOOKUP(H4878,Produkt!$A$2:$B$5,2,FALSE)</f>
        <v>D</v>
      </c>
      <c r="H4878">
        <v>4</v>
      </c>
      <c r="I4878">
        <v>0.14304398148148148</v>
      </c>
      <c r="J4878">
        <v>44798</v>
      </c>
    </row>
    <row r="4879" spans="1:10" x14ac:dyDescent="0.35">
      <c r="A4879" s="2">
        <v>44789</v>
      </c>
      <c r="B4879" s="3">
        <v>0.80333333333333334</v>
      </c>
      <c r="C4879">
        <v>1940</v>
      </c>
      <c r="D4879" t="str">
        <f>VLOOKUP(H4879,Produkt!$A$2:$B$5,2,FALSE)</f>
        <v>C</v>
      </c>
      <c r="H4879">
        <v>3</v>
      </c>
      <c r="I4879">
        <v>0.87131944444444442</v>
      </c>
      <c r="J4879">
        <v>44799</v>
      </c>
    </row>
    <row r="4880" spans="1:10" x14ac:dyDescent="0.35">
      <c r="A4880" s="2">
        <v>44789</v>
      </c>
      <c r="B4880" s="3">
        <v>0.84925925925925927</v>
      </c>
      <c r="C4880">
        <v>1956</v>
      </c>
      <c r="D4880" t="str">
        <f>VLOOKUP(H4880,Produkt!$A$2:$B$5,2,FALSE)</f>
        <v>D</v>
      </c>
      <c r="H4880">
        <v>4</v>
      </c>
      <c r="I4880">
        <v>0.78393518518518512</v>
      </c>
      <c r="J4880">
        <v>44794</v>
      </c>
    </row>
    <row r="4881" spans="1:10" x14ac:dyDescent="0.35">
      <c r="A4881" s="2">
        <v>44789</v>
      </c>
      <c r="B4881" s="3">
        <v>0.40937499999999999</v>
      </c>
      <c r="C4881">
        <v>1961</v>
      </c>
      <c r="D4881" t="str">
        <f>VLOOKUP(H4881,Produkt!$A$2:$B$5,2,FALSE)</f>
        <v>C</v>
      </c>
      <c r="H4881">
        <v>3</v>
      </c>
      <c r="I4881">
        <v>0.38921296296296298</v>
      </c>
      <c r="J4881">
        <v>44784</v>
      </c>
    </row>
    <row r="4882" spans="1:10" x14ac:dyDescent="0.35">
      <c r="A4882" s="2">
        <v>44789</v>
      </c>
      <c r="B4882" s="3">
        <v>6.5601851851851856E-2</v>
      </c>
      <c r="C4882">
        <v>1979</v>
      </c>
      <c r="D4882" t="str">
        <f>VLOOKUP(H4882,Produkt!$A$2:$B$5,2,FALSE)</f>
        <v>A</v>
      </c>
      <c r="H4882">
        <v>1</v>
      </c>
      <c r="I4882">
        <v>0.90238425925925936</v>
      </c>
      <c r="J4882">
        <v>44797</v>
      </c>
    </row>
    <row r="4883" spans="1:10" x14ac:dyDescent="0.35">
      <c r="A4883" s="2">
        <v>44789</v>
      </c>
      <c r="B4883" s="3">
        <v>8.5972222222222228E-2</v>
      </c>
      <c r="C4883">
        <v>1998</v>
      </c>
      <c r="D4883" t="str">
        <f>VLOOKUP(H4883,Produkt!$A$2:$B$5,2,FALSE)</f>
        <v>D</v>
      </c>
      <c r="H4883">
        <v>4</v>
      </c>
      <c r="I4883">
        <v>0.20758101851851851</v>
      </c>
      <c r="J4883">
        <v>44779</v>
      </c>
    </row>
    <row r="4884" spans="1:10" x14ac:dyDescent="0.35">
      <c r="A4884" s="2">
        <v>44789</v>
      </c>
      <c r="B4884" s="3">
        <v>0.85076388888888888</v>
      </c>
      <c r="C4884">
        <v>2000</v>
      </c>
      <c r="D4884" t="str">
        <f>VLOOKUP(H4884,Produkt!$A$2:$B$5,2,FALSE)</f>
        <v>B</v>
      </c>
      <c r="H4884">
        <v>2</v>
      </c>
      <c r="I4884">
        <v>0.45164351851851853</v>
      </c>
      <c r="J4884">
        <v>44777</v>
      </c>
    </row>
    <row r="4885" spans="1:10" x14ac:dyDescent="0.35">
      <c r="A4885" s="2">
        <v>44789</v>
      </c>
      <c r="B4885" s="3">
        <v>0.2555324074074074</v>
      </c>
      <c r="C4885">
        <v>2057</v>
      </c>
      <c r="D4885" t="str">
        <f>VLOOKUP(H4885,Produkt!$A$2:$B$5,2,FALSE)</f>
        <v>D</v>
      </c>
      <c r="H4885">
        <v>4</v>
      </c>
      <c r="I4885">
        <v>9.0856481481481469E-2</v>
      </c>
      <c r="J4885">
        <v>44775</v>
      </c>
    </row>
    <row r="4886" spans="1:10" x14ac:dyDescent="0.35">
      <c r="A4886" s="2">
        <v>44789</v>
      </c>
      <c r="B4886" s="3">
        <v>0.11056712962962963</v>
      </c>
      <c r="C4886">
        <v>2059</v>
      </c>
      <c r="D4886" t="str">
        <f>VLOOKUP(H4886,Produkt!$A$2:$B$5,2,FALSE)</f>
        <v>C</v>
      </c>
      <c r="H4886">
        <v>3</v>
      </c>
      <c r="I4886">
        <v>0.19000000000000003</v>
      </c>
      <c r="J4886">
        <v>44795</v>
      </c>
    </row>
    <row r="4887" spans="1:10" x14ac:dyDescent="0.35">
      <c r="A4887" s="2">
        <v>44789</v>
      </c>
      <c r="B4887" s="3">
        <v>0.23508101851851851</v>
      </c>
      <c r="C4887">
        <v>2063</v>
      </c>
      <c r="D4887" t="str">
        <f>VLOOKUP(H4887,Produkt!$A$2:$B$5,2,FALSE)</f>
        <v>D</v>
      </c>
      <c r="H4887">
        <v>4</v>
      </c>
      <c r="I4887">
        <v>8.3333333333333339E-4</v>
      </c>
      <c r="J4887">
        <v>44779</v>
      </c>
    </row>
    <row r="4888" spans="1:10" x14ac:dyDescent="0.35">
      <c r="A4888" s="2">
        <v>44789</v>
      </c>
      <c r="B4888" s="3">
        <v>0.98451388888888891</v>
      </c>
      <c r="C4888">
        <v>2087</v>
      </c>
      <c r="D4888" t="str">
        <f>VLOOKUP(H4888,Produkt!$A$2:$B$5,2,FALSE)</f>
        <v>C</v>
      </c>
      <c r="H4888">
        <v>3</v>
      </c>
      <c r="I4888">
        <v>0.90690972222222221</v>
      </c>
      <c r="J4888">
        <v>44804</v>
      </c>
    </row>
    <row r="4889" spans="1:10" x14ac:dyDescent="0.35">
      <c r="A4889" s="2">
        <v>44789</v>
      </c>
      <c r="B4889" s="3">
        <v>0.5493055555555556</v>
      </c>
      <c r="C4889">
        <v>2093</v>
      </c>
      <c r="D4889" t="str">
        <f>VLOOKUP(H4889,Produkt!$A$2:$B$5,2,FALSE)</f>
        <v>A</v>
      </c>
      <c r="H4889">
        <v>1</v>
      </c>
      <c r="I4889">
        <v>0.83340277777777771</v>
      </c>
      <c r="J4889">
        <v>44774</v>
      </c>
    </row>
    <row r="4890" spans="1:10" x14ac:dyDescent="0.35">
      <c r="A4890" s="2">
        <v>44789</v>
      </c>
      <c r="B4890" s="3">
        <v>0.75097222222222226</v>
      </c>
      <c r="C4890">
        <v>2100</v>
      </c>
      <c r="D4890" t="str">
        <f>VLOOKUP(H4890,Produkt!$A$2:$B$5,2,FALSE)</f>
        <v>A</v>
      </c>
      <c r="H4890">
        <v>1</v>
      </c>
      <c r="I4890">
        <v>0.78430555555555559</v>
      </c>
      <c r="J4890">
        <v>44798</v>
      </c>
    </row>
    <row r="4891" spans="1:10" x14ac:dyDescent="0.35">
      <c r="A4891" s="2">
        <v>44789</v>
      </c>
      <c r="B4891" s="3">
        <v>0.51473379629629623</v>
      </c>
      <c r="C4891">
        <v>2158</v>
      </c>
      <c r="D4891" t="str">
        <f>VLOOKUP(H4891,Produkt!$A$2:$B$5,2,FALSE)</f>
        <v>B</v>
      </c>
      <c r="H4891">
        <v>2</v>
      </c>
      <c r="I4891">
        <v>0.92291666666666661</v>
      </c>
      <c r="J4891">
        <v>44799</v>
      </c>
    </row>
    <row r="4892" spans="1:10" x14ac:dyDescent="0.35">
      <c r="A4892" s="2">
        <v>44789</v>
      </c>
      <c r="B4892" s="3">
        <v>0.61546296296296299</v>
      </c>
      <c r="C4892">
        <v>2173</v>
      </c>
      <c r="D4892" t="str">
        <f>VLOOKUP(H4892,Produkt!$A$2:$B$5,2,FALSE)</f>
        <v>B</v>
      </c>
      <c r="H4892">
        <v>2</v>
      </c>
      <c r="I4892">
        <v>0.74665509259259266</v>
      </c>
      <c r="J4892">
        <v>44792</v>
      </c>
    </row>
    <row r="4893" spans="1:10" x14ac:dyDescent="0.35">
      <c r="A4893" s="2">
        <v>44789</v>
      </c>
      <c r="B4893" s="3">
        <v>0.29238425925925926</v>
      </c>
      <c r="C4893">
        <v>2223</v>
      </c>
      <c r="D4893" t="str">
        <f>VLOOKUP(H4893,Produkt!$A$2:$B$5,2,FALSE)</f>
        <v>C</v>
      </c>
      <c r="H4893">
        <v>3</v>
      </c>
      <c r="I4893">
        <v>0.99873842592592599</v>
      </c>
      <c r="J4893">
        <v>44785</v>
      </c>
    </row>
    <row r="4894" spans="1:10" x14ac:dyDescent="0.35">
      <c r="A4894" s="2">
        <v>44789</v>
      </c>
      <c r="B4894" s="3">
        <v>0.39812500000000001</v>
      </c>
      <c r="C4894">
        <v>2224</v>
      </c>
      <c r="D4894" t="str">
        <f>VLOOKUP(H4894,Produkt!$A$2:$B$5,2,FALSE)</f>
        <v>B</v>
      </c>
      <c r="H4894">
        <v>2</v>
      </c>
      <c r="I4894">
        <v>0.37122685185185184</v>
      </c>
      <c r="J4894">
        <v>44787</v>
      </c>
    </row>
    <row r="4895" spans="1:10" x14ac:dyDescent="0.35">
      <c r="A4895" s="2">
        <v>44789</v>
      </c>
      <c r="B4895" s="3">
        <v>2.1585648148148229E-2</v>
      </c>
      <c r="C4895">
        <v>2232</v>
      </c>
      <c r="D4895" t="str">
        <f>VLOOKUP(H4895,Produkt!$A$2:$B$5,2,FALSE)</f>
        <v>A</v>
      </c>
      <c r="H4895">
        <v>1</v>
      </c>
      <c r="I4895">
        <v>0.46932870370370372</v>
      </c>
      <c r="J4895">
        <v>44793</v>
      </c>
    </row>
    <row r="4896" spans="1:10" x14ac:dyDescent="0.35">
      <c r="A4896" s="2">
        <v>44789</v>
      </c>
      <c r="B4896" s="3">
        <v>0.26348379629629631</v>
      </c>
      <c r="C4896">
        <v>2238</v>
      </c>
      <c r="D4896" t="str">
        <f>VLOOKUP(H4896,Produkt!$A$2:$B$5,2,FALSE)</f>
        <v>D</v>
      </c>
      <c r="H4896">
        <v>4</v>
      </c>
      <c r="I4896">
        <v>0.42907407407407411</v>
      </c>
      <c r="J4896">
        <v>44784</v>
      </c>
    </row>
    <row r="4897" spans="1:10" x14ac:dyDescent="0.35">
      <c r="A4897" s="2">
        <v>44789</v>
      </c>
      <c r="B4897" s="3">
        <v>0.90318287037037026</v>
      </c>
      <c r="C4897">
        <v>2261</v>
      </c>
      <c r="D4897" t="str">
        <f>VLOOKUP(H4897,Produkt!$A$2:$B$5,2,FALSE)</f>
        <v>B</v>
      </c>
      <c r="H4897">
        <v>2</v>
      </c>
      <c r="I4897">
        <v>0.26217592592592592</v>
      </c>
      <c r="J4897">
        <v>44799</v>
      </c>
    </row>
    <row r="4898" spans="1:10" x14ac:dyDescent="0.35">
      <c r="A4898" s="2">
        <v>44789</v>
      </c>
      <c r="B4898" s="3">
        <v>0.3039236111111111</v>
      </c>
      <c r="C4898">
        <v>2271</v>
      </c>
      <c r="D4898" t="str">
        <f>VLOOKUP(H4898,Produkt!$A$2:$B$5,2,FALSE)</f>
        <v>A</v>
      </c>
      <c r="H4898">
        <v>1</v>
      </c>
      <c r="I4898">
        <v>0.41875000000000001</v>
      </c>
      <c r="J4898">
        <v>44780</v>
      </c>
    </row>
    <row r="4899" spans="1:10" x14ac:dyDescent="0.35">
      <c r="A4899" s="2">
        <v>44789</v>
      </c>
      <c r="B4899" s="3">
        <v>2.0729166666666687E-2</v>
      </c>
      <c r="C4899">
        <v>2318</v>
      </c>
      <c r="D4899" t="str">
        <f>VLOOKUP(H4899,Produkt!$A$2:$B$5,2,FALSE)</f>
        <v>C</v>
      </c>
      <c r="H4899">
        <v>3</v>
      </c>
      <c r="I4899">
        <v>0.13458333333333333</v>
      </c>
      <c r="J4899">
        <v>44782</v>
      </c>
    </row>
    <row r="4900" spans="1:10" x14ac:dyDescent="0.35">
      <c r="A4900" s="2">
        <v>44789</v>
      </c>
      <c r="B4900" s="3">
        <v>0.52738425925925925</v>
      </c>
      <c r="C4900">
        <v>2443</v>
      </c>
      <c r="D4900" t="str">
        <f>VLOOKUP(H4900,Produkt!$A$2:$B$5,2,FALSE)</f>
        <v>A</v>
      </c>
      <c r="H4900">
        <v>1</v>
      </c>
      <c r="I4900">
        <v>0.59895833333333337</v>
      </c>
      <c r="J4900">
        <v>44784</v>
      </c>
    </row>
    <row r="4901" spans="1:10" x14ac:dyDescent="0.35">
      <c r="A4901" s="2">
        <v>44789</v>
      </c>
      <c r="B4901" s="3">
        <v>0.17215277777777779</v>
      </c>
      <c r="C4901">
        <v>2453</v>
      </c>
      <c r="D4901" t="str">
        <f>VLOOKUP(H4901,Produkt!$A$2:$B$5,2,FALSE)</f>
        <v>C</v>
      </c>
      <c r="H4901">
        <v>3</v>
      </c>
      <c r="I4901">
        <v>0.81997685185185187</v>
      </c>
      <c r="J4901">
        <v>44791</v>
      </c>
    </row>
    <row r="4902" spans="1:10" x14ac:dyDescent="0.35">
      <c r="A4902" s="2">
        <v>44789</v>
      </c>
      <c r="B4902" s="3">
        <v>0.65290509259259266</v>
      </c>
      <c r="C4902">
        <v>2487</v>
      </c>
      <c r="D4902" t="str">
        <f>VLOOKUP(H4902,Produkt!$A$2:$B$5,2,FALSE)</f>
        <v>C</v>
      </c>
      <c r="H4902">
        <v>3</v>
      </c>
      <c r="I4902">
        <v>0.89891203703703704</v>
      </c>
      <c r="J4902">
        <v>44801</v>
      </c>
    </row>
    <row r="4903" spans="1:10" x14ac:dyDescent="0.35">
      <c r="A4903" s="2">
        <v>44789</v>
      </c>
      <c r="B4903" s="3">
        <v>4.403935185185185E-2</v>
      </c>
      <c r="C4903">
        <v>2574</v>
      </c>
      <c r="D4903" t="str">
        <f>VLOOKUP(H4903,Produkt!$A$2:$B$5,2,FALSE)</f>
        <v>A</v>
      </c>
      <c r="H4903">
        <v>1</v>
      </c>
      <c r="I4903">
        <v>0.84237268518518515</v>
      </c>
      <c r="J4903">
        <v>44774</v>
      </c>
    </row>
    <row r="4904" spans="1:10" x14ac:dyDescent="0.35">
      <c r="A4904" s="2">
        <v>44789</v>
      </c>
      <c r="B4904" s="3">
        <v>0.86506944444444445</v>
      </c>
      <c r="C4904">
        <v>2695</v>
      </c>
      <c r="D4904" t="str">
        <f>VLOOKUP(H4904,Produkt!$A$2:$B$5,2,FALSE)</f>
        <v>B</v>
      </c>
      <c r="H4904">
        <v>2</v>
      </c>
      <c r="I4904">
        <v>0.22211805555555555</v>
      </c>
      <c r="J4904">
        <v>44775</v>
      </c>
    </row>
    <row r="4905" spans="1:10" x14ac:dyDescent="0.35">
      <c r="A4905" s="2">
        <v>44789</v>
      </c>
      <c r="B4905" s="3">
        <v>0.95689814814814811</v>
      </c>
      <c r="C4905">
        <v>2700</v>
      </c>
      <c r="D4905" t="str">
        <f>VLOOKUP(H4905,Produkt!$A$2:$B$5,2,FALSE)</f>
        <v>B</v>
      </c>
      <c r="H4905">
        <v>2</v>
      </c>
      <c r="I4905">
        <v>0.49614583333333334</v>
      </c>
      <c r="J4905">
        <v>44783</v>
      </c>
    </row>
    <row r="4906" spans="1:10" x14ac:dyDescent="0.35">
      <c r="A4906" s="2">
        <v>44789</v>
      </c>
      <c r="B4906" s="3">
        <v>0.6381134259259259</v>
      </c>
      <c r="C4906">
        <v>2718</v>
      </c>
      <c r="D4906" t="str">
        <f>VLOOKUP(H4906,Produkt!$A$2:$B$5,2,FALSE)</f>
        <v>A</v>
      </c>
      <c r="H4906">
        <v>1</v>
      </c>
      <c r="I4906">
        <v>0.43231481481481482</v>
      </c>
      <c r="J4906">
        <v>44783</v>
      </c>
    </row>
    <row r="4907" spans="1:10" x14ac:dyDescent="0.35">
      <c r="A4907" s="2">
        <v>44789</v>
      </c>
      <c r="B4907" s="3">
        <v>0.53630787037037042</v>
      </c>
      <c r="C4907">
        <v>2732</v>
      </c>
      <c r="D4907" t="str">
        <f>VLOOKUP(H4907,Produkt!$A$2:$B$5,2,FALSE)</f>
        <v>C</v>
      </c>
      <c r="H4907">
        <v>3</v>
      </c>
      <c r="I4907">
        <v>0.14200231481481482</v>
      </c>
      <c r="J4907">
        <v>44784</v>
      </c>
    </row>
    <row r="4908" spans="1:10" x14ac:dyDescent="0.35">
      <c r="A4908" s="2">
        <v>44789</v>
      </c>
      <c r="B4908" s="3">
        <v>0.79451388888888885</v>
      </c>
      <c r="C4908">
        <v>2740</v>
      </c>
      <c r="D4908" t="str">
        <f>VLOOKUP(H4908,Produkt!$A$2:$B$5,2,FALSE)</f>
        <v>B</v>
      </c>
      <c r="H4908">
        <v>2</v>
      </c>
      <c r="I4908">
        <v>3.8020833333333393E-2</v>
      </c>
      <c r="J4908">
        <v>44783</v>
      </c>
    </row>
    <row r="4909" spans="1:10" x14ac:dyDescent="0.35">
      <c r="A4909" s="2">
        <v>44789</v>
      </c>
      <c r="B4909" s="3">
        <v>0.72906249999999995</v>
      </c>
      <c r="C4909">
        <v>2748</v>
      </c>
      <c r="D4909" t="str">
        <f>VLOOKUP(H4909,Produkt!$A$2:$B$5,2,FALSE)</f>
        <v>C</v>
      </c>
      <c r="H4909">
        <v>3</v>
      </c>
      <c r="I4909">
        <v>0.79391203703703705</v>
      </c>
      <c r="J4909">
        <v>44781</v>
      </c>
    </row>
    <row r="4910" spans="1:10" x14ac:dyDescent="0.35">
      <c r="A4910" s="2">
        <v>44789</v>
      </c>
      <c r="B4910" s="3">
        <v>0.85127314814814825</v>
      </c>
      <c r="C4910">
        <v>2780</v>
      </c>
      <c r="D4910" t="str">
        <f>VLOOKUP(H4910,Produkt!$A$2:$B$5,2,FALSE)</f>
        <v>C</v>
      </c>
      <c r="H4910">
        <v>3</v>
      </c>
      <c r="I4910">
        <v>2.4502314814814814E-2</v>
      </c>
      <c r="J4910">
        <v>44796</v>
      </c>
    </row>
    <row r="4911" spans="1:10" x14ac:dyDescent="0.35">
      <c r="A4911" s="2">
        <v>44789</v>
      </c>
      <c r="B4911" s="3">
        <v>0.22238425925925928</v>
      </c>
      <c r="C4911">
        <v>2787</v>
      </c>
      <c r="D4911" t="str">
        <f>VLOOKUP(H4911,Produkt!$A$2:$B$5,2,FALSE)</f>
        <v>D</v>
      </c>
      <c r="H4911">
        <v>4</v>
      </c>
      <c r="I4911">
        <v>0.91841435185185183</v>
      </c>
      <c r="J4911">
        <v>44784</v>
      </c>
    </row>
    <row r="4912" spans="1:10" x14ac:dyDescent="0.35">
      <c r="A4912" s="2">
        <v>44789</v>
      </c>
      <c r="B4912" s="3">
        <v>0.39565972222222223</v>
      </c>
      <c r="C4912">
        <v>2792</v>
      </c>
      <c r="D4912" t="str">
        <f>VLOOKUP(H4912,Produkt!$A$2:$B$5,2,FALSE)</f>
        <v>C</v>
      </c>
      <c r="H4912">
        <v>3</v>
      </c>
      <c r="I4912">
        <v>0.50320601851851854</v>
      </c>
      <c r="J4912">
        <v>44802</v>
      </c>
    </row>
    <row r="4913" spans="1:10" x14ac:dyDescent="0.35">
      <c r="A4913" s="2">
        <v>44789</v>
      </c>
      <c r="B4913" s="3">
        <v>0.47974537037037041</v>
      </c>
      <c r="C4913">
        <v>2796</v>
      </c>
      <c r="D4913" t="str">
        <f>VLOOKUP(H4913,Produkt!$A$2:$B$5,2,FALSE)</f>
        <v>B</v>
      </c>
      <c r="H4913">
        <v>2</v>
      </c>
      <c r="I4913">
        <v>0.89063657407407415</v>
      </c>
      <c r="J4913">
        <v>44794</v>
      </c>
    </row>
    <row r="4914" spans="1:10" x14ac:dyDescent="0.35">
      <c r="A4914" s="2">
        <v>44789</v>
      </c>
      <c r="B4914" s="3">
        <v>0.22234953703703705</v>
      </c>
      <c r="C4914">
        <v>2867</v>
      </c>
      <c r="D4914" t="str">
        <f>VLOOKUP(H4914,Produkt!$A$2:$B$5,2,FALSE)</f>
        <v>A</v>
      </c>
      <c r="H4914">
        <v>1</v>
      </c>
      <c r="I4914">
        <v>0.8960069444444444</v>
      </c>
      <c r="J4914">
        <v>44784</v>
      </c>
    </row>
    <row r="4915" spans="1:10" x14ac:dyDescent="0.35">
      <c r="A4915" s="2">
        <v>44789</v>
      </c>
      <c r="B4915" s="3">
        <v>0.1257638888888889</v>
      </c>
      <c r="C4915">
        <v>2879</v>
      </c>
      <c r="D4915" t="str">
        <f>VLOOKUP(H4915,Produkt!$A$2:$B$5,2,FALSE)</f>
        <v>A</v>
      </c>
      <c r="H4915">
        <v>1</v>
      </c>
      <c r="I4915">
        <v>6.3055555555555545E-2</v>
      </c>
      <c r="J4915">
        <v>44776</v>
      </c>
    </row>
    <row r="4916" spans="1:10" x14ac:dyDescent="0.35">
      <c r="A4916" s="2">
        <v>44789</v>
      </c>
      <c r="B4916" s="3">
        <v>0.68844907407407396</v>
      </c>
      <c r="C4916">
        <v>2901</v>
      </c>
      <c r="D4916" t="str">
        <f>VLOOKUP(H4916,Produkt!$A$2:$B$5,2,FALSE)</f>
        <v>D</v>
      </c>
      <c r="H4916">
        <v>4</v>
      </c>
      <c r="I4916">
        <v>0.85474537037037035</v>
      </c>
      <c r="J4916">
        <v>44776</v>
      </c>
    </row>
    <row r="4917" spans="1:10" x14ac:dyDescent="0.35">
      <c r="A4917" s="2">
        <v>44789</v>
      </c>
      <c r="B4917" s="3">
        <v>0.56662037037037039</v>
      </c>
      <c r="C4917">
        <v>2916</v>
      </c>
      <c r="D4917" t="str">
        <f>VLOOKUP(H4917,Produkt!$A$2:$B$5,2,FALSE)</f>
        <v>A</v>
      </c>
      <c r="H4917">
        <v>1</v>
      </c>
      <c r="I4917">
        <v>0.66401620370370373</v>
      </c>
      <c r="J4917">
        <v>44796</v>
      </c>
    </row>
    <row r="4918" spans="1:10" x14ac:dyDescent="0.35">
      <c r="A4918" s="2">
        <v>44789</v>
      </c>
      <c r="B4918" s="3">
        <v>0.29453703703703704</v>
      </c>
      <c r="C4918">
        <v>2940</v>
      </c>
      <c r="D4918" t="str">
        <f>VLOOKUP(H4918,Produkt!$A$2:$B$5,2,FALSE)</f>
        <v>B</v>
      </c>
      <c r="H4918">
        <v>2</v>
      </c>
      <c r="I4918">
        <v>0.38989583333333333</v>
      </c>
      <c r="J4918">
        <v>44791</v>
      </c>
    </row>
    <row r="4919" spans="1:10" x14ac:dyDescent="0.35">
      <c r="A4919" s="2">
        <v>44789</v>
      </c>
      <c r="B4919" s="3">
        <v>6.1805555555555558E-2</v>
      </c>
      <c r="C4919">
        <v>2973</v>
      </c>
      <c r="D4919" t="str">
        <f>VLOOKUP(H4919,Produkt!$A$2:$B$5,2,FALSE)</f>
        <v>C</v>
      </c>
      <c r="H4919">
        <v>3</v>
      </c>
      <c r="I4919">
        <v>0.96655092592592595</v>
      </c>
      <c r="J4919">
        <v>44784</v>
      </c>
    </row>
    <row r="4920" spans="1:10" x14ac:dyDescent="0.35">
      <c r="A4920" s="2">
        <v>44789</v>
      </c>
      <c r="B4920" s="3">
        <v>0.84513888888888899</v>
      </c>
      <c r="C4920">
        <v>3044</v>
      </c>
      <c r="D4920" t="str">
        <f>VLOOKUP(H4920,Produkt!$A$2:$B$5,2,FALSE)</f>
        <v>C</v>
      </c>
      <c r="H4920">
        <v>3</v>
      </c>
      <c r="I4920">
        <v>0.57902777777777781</v>
      </c>
      <c r="J4920">
        <v>44792</v>
      </c>
    </row>
    <row r="4921" spans="1:10" x14ac:dyDescent="0.35">
      <c r="A4921" s="2">
        <v>44789</v>
      </c>
      <c r="B4921" s="3">
        <v>0.45491898148148152</v>
      </c>
      <c r="C4921">
        <v>3054</v>
      </c>
      <c r="D4921" t="str">
        <f>VLOOKUP(H4921,Produkt!$A$2:$B$5,2,FALSE)</f>
        <v>A</v>
      </c>
      <c r="H4921">
        <v>1</v>
      </c>
      <c r="I4921">
        <v>0.48251157407407402</v>
      </c>
      <c r="J4921">
        <v>44777</v>
      </c>
    </row>
    <row r="4922" spans="1:10" x14ac:dyDescent="0.35">
      <c r="A4922" s="2">
        <v>44789</v>
      </c>
      <c r="B4922" s="3">
        <v>0.30456018518518518</v>
      </c>
      <c r="C4922">
        <v>3095</v>
      </c>
      <c r="D4922" t="str">
        <f>VLOOKUP(H4922,Produkt!$A$2:$B$5,2,FALSE)</f>
        <v>A</v>
      </c>
      <c r="H4922">
        <v>1</v>
      </c>
      <c r="I4922">
        <v>1.1261574074074071E-2</v>
      </c>
      <c r="J4922">
        <v>44798</v>
      </c>
    </row>
    <row r="4923" spans="1:10" x14ac:dyDescent="0.35">
      <c r="A4923" s="2">
        <v>44789</v>
      </c>
      <c r="B4923" s="3">
        <v>0.47194444444444444</v>
      </c>
      <c r="C4923">
        <v>3152</v>
      </c>
      <c r="D4923" t="str">
        <f>VLOOKUP(H4923,Produkt!$A$2:$B$5,2,FALSE)</f>
        <v>A</v>
      </c>
      <c r="H4923">
        <v>1</v>
      </c>
      <c r="I4923">
        <v>0.24182870370370368</v>
      </c>
      <c r="J4923">
        <v>44804</v>
      </c>
    </row>
    <row r="4924" spans="1:10" x14ac:dyDescent="0.35">
      <c r="A4924" s="2">
        <v>44789</v>
      </c>
      <c r="B4924" s="3">
        <v>0.48172453703703705</v>
      </c>
      <c r="C4924">
        <v>3194</v>
      </c>
      <c r="D4924" t="str">
        <f>VLOOKUP(H4924,Produkt!$A$2:$B$5,2,FALSE)</f>
        <v>A</v>
      </c>
      <c r="H4924">
        <v>1</v>
      </c>
      <c r="I4924">
        <v>0.44105324074074076</v>
      </c>
      <c r="J4924">
        <v>44781</v>
      </c>
    </row>
    <row r="4925" spans="1:10" x14ac:dyDescent="0.35">
      <c r="A4925" s="2">
        <v>44789</v>
      </c>
      <c r="B4925" s="3">
        <v>0.34224537037037034</v>
      </c>
      <c r="C4925">
        <v>3227</v>
      </c>
      <c r="D4925" t="str">
        <f>VLOOKUP(H4925,Produkt!$A$2:$B$5,2,FALSE)</f>
        <v>B</v>
      </c>
      <c r="H4925">
        <v>2</v>
      </c>
      <c r="I4925">
        <v>0.69039351851851849</v>
      </c>
      <c r="J4925">
        <v>44796</v>
      </c>
    </row>
    <row r="4926" spans="1:10" x14ac:dyDescent="0.35">
      <c r="A4926" s="2">
        <v>44789</v>
      </c>
      <c r="B4926" s="3">
        <v>0.86137731481481483</v>
      </c>
      <c r="C4926">
        <v>3232</v>
      </c>
      <c r="D4926" t="str">
        <f>VLOOKUP(H4926,Produkt!$A$2:$B$5,2,FALSE)</f>
        <v>D</v>
      </c>
      <c r="H4926">
        <v>4</v>
      </c>
      <c r="I4926">
        <v>0.25799768518518518</v>
      </c>
      <c r="J4926">
        <v>44786</v>
      </c>
    </row>
    <row r="4927" spans="1:10" x14ac:dyDescent="0.35">
      <c r="A4927" s="2">
        <v>44789</v>
      </c>
      <c r="B4927" s="3">
        <v>4.2118055555555589E-2</v>
      </c>
      <c r="C4927">
        <v>3239</v>
      </c>
      <c r="D4927" t="str">
        <f>VLOOKUP(H4927,Produkt!$A$2:$B$5,2,FALSE)</f>
        <v>A</v>
      </c>
      <c r="H4927">
        <v>1</v>
      </c>
      <c r="I4927">
        <v>0.32320601851851855</v>
      </c>
      <c r="J4927">
        <v>44783</v>
      </c>
    </row>
    <row r="4928" spans="1:10" x14ac:dyDescent="0.35">
      <c r="A4928" s="2">
        <v>44789</v>
      </c>
      <c r="B4928" s="3">
        <v>0.52055555555555555</v>
      </c>
      <c r="C4928">
        <v>3247</v>
      </c>
      <c r="D4928" t="str">
        <f>VLOOKUP(H4928,Produkt!$A$2:$B$5,2,FALSE)</f>
        <v>D</v>
      </c>
      <c r="H4928">
        <v>4</v>
      </c>
      <c r="I4928">
        <v>0.11499999999999999</v>
      </c>
      <c r="J4928">
        <v>44787</v>
      </c>
    </row>
    <row r="4929" spans="1:10" x14ac:dyDescent="0.35">
      <c r="A4929" s="2">
        <v>44789</v>
      </c>
      <c r="B4929" s="3">
        <v>0.8052083333333333</v>
      </c>
      <c r="C4929">
        <v>3264</v>
      </c>
      <c r="D4929" t="str">
        <f>VLOOKUP(H4929,Produkt!$A$2:$B$5,2,FALSE)</f>
        <v>C</v>
      </c>
      <c r="H4929">
        <v>3</v>
      </c>
      <c r="I4929">
        <v>0.3026388888888889</v>
      </c>
      <c r="J4929">
        <v>44786</v>
      </c>
    </row>
    <row r="4930" spans="1:10" x14ac:dyDescent="0.35">
      <c r="A4930" s="2">
        <v>44789</v>
      </c>
      <c r="B4930" s="3">
        <v>0.19518518518518521</v>
      </c>
      <c r="C4930">
        <v>3377</v>
      </c>
      <c r="D4930" t="str">
        <f>VLOOKUP(H4930,Produkt!$A$2:$B$5,2,FALSE)</f>
        <v>C</v>
      </c>
      <c r="H4930">
        <v>3</v>
      </c>
      <c r="I4930">
        <v>0.4679976851851852</v>
      </c>
      <c r="J4930">
        <v>44799</v>
      </c>
    </row>
    <row r="4931" spans="1:10" x14ac:dyDescent="0.35">
      <c r="A4931" s="2">
        <v>44789</v>
      </c>
      <c r="B4931" s="3">
        <v>0.57245370370370374</v>
      </c>
      <c r="C4931">
        <v>3540</v>
      </c>
      <c r="D4931" t="str">
        <f>VLOOKUP(H4931,Produkt!$A$2:$B$5,2,FALSE)</f>
        <v>C</v>
      </c>
      <c r="H4931">
        <v>3</v>
      </c>
      <c r="I4931">
        <v>0.19057870370370369</v>
      </c>
      <c r="J4931">
        <v>44796</v>
      </c>
    </row>
    <row r="4932" spans="1:10" x14ac:dyDescent="0.35">
      <c r="A4932" s="2">
        <v>44789</v>
      </c>
      <c r="B4932" s="3">
        <v>0.75696759259259261</v>
      </c>
      <c r="C4932">
        <v>3579</v>
      </c>
      <c r="D4932" t="str">
        <f>VLOOKUP(H4932,Produkt!$A$2:$B$5,2,FALSE)</f>
        <v>D</v>
      </c>
      <c r="H4932">
        <v>4</v>
      </c>
      <c r="I4932">
        <v>0.60994212962962957</v>
      </c>
      <c r="J4932">
        <v>44778</v>
      </c>
    </row>
    <row r="4933" spans="1:10" x14ac:dyDescent="0.35">
      <c r="A4933" s="2">
        <v>44789</v>
      </c>
      <c r="B4933" s="3">
        <v>1.3923611111111178E-2</v>
      </c>
      <c r="C4933">
        <v>3588</v>
      </c>
      <c r="D4933" t="str">
        <f>VLOOKUP(H4933,Produkt!$A$2:$B$5,2,FALSE)</f>
        <v>B</v>
      </c>
      <c r="H4933">
        <v>2</v>
      </c>
      <c r="I4933">
        <v>0.72940972222222233</v>
      </c>
      <c r="J4933">
        <v>44786</v>
      </c>
    </row>
    <row r="4934" spans="1:10" x14ac:dyDescent="0.35">
      <c r="A4934" s="2">
        <v>44789</v>
      </c>
      <c r="B4934" s="3">
        <v>2.3206018518518515E-2</v>
      </c>
      <c r="C4934">
        <v>3631</v>
      </c>
      <c r="D4934" t="str">
        <f>VLOOKUP(H4934,Produkt!$A$2:$B$5,2,FALSE)</f>
        <v>D</v>
      </c>
      <c r="H4934">
        <v>4</v>
      </c>
      <c r="I4934">
        <v>0.65334490740740747</v>
      </c>
      <c r="J4934">
        <v>44780</v>
      </c>
    </row>
    <row r="4935" spans="1:10" x14ac:dyDescent="0.35">
      <c r="A4935" s="2">
        <v>44789</v>
      </c>
      <c r="B4935" s="3">
        <v>0.4685185185185185</v>
      </c>
      <c r="C4935">
        <v>3659</v>
      </c>
      <c r="D4935" t="str">
        <f>VLOOKUP(H4935,Produkt!$A$2:$B$5,2,FALSE)</f>
        <v>C</v>
      </c>
      <c r="H4935">
        <v>3</v>
      </c>
      <c r="I4935">
        <v>0.2472337962962963</v>
      </c>
      <c r="J4935">
        <v>44786</v>
      </c>
    </row>
    <row r="4936" spans="1:10" x14ac:dyDescent="0.35">
      <c r="A4936" s="2">
        <v>44789</v>
      </c>
      <c r="B4936" s="3">
        <v>0.97837962962962965</v>
      </c>
      <c r="C4936">
        <v>3672</v>
      </c>
      <c r="D4936" t="str">
        <f>VLOOKUP(H4936,Produkt!$A$2:$B$5,2,FALSE)</f>
        <v>A</v>
      </c>
      <c r="H4936">
        <v>1</v>
      </c>
      <c r="I4936">
        <v>0.60354166666666664</v>
      </c>
      <c r="J4936">
        <v>44786</v>
      </c>
    </row>
    <row r="4937" spans="1:10" x14ac:dyDescent="0.35">
      <c r="A4937" s="2">
        <v>44789</v>
      </c>
      <c r="B4937" s="3">
        <v>0.74740740740740741</v>
      </c>
      <c r="C4937">
        <v>3682</v>
      </c>
      <c r="D4937" t="str">
        <f>VLOOKUP(H4937,Produkt!$A$2:$B$5,2,FALSE)</f>
        <v>D</v>
      </c>
      <c r="H4937">
        <v>4</v>
      </c>
      <c r="I4937">
        <v>0.11180555555555556</v>
      </c>
      <c r="J4937">
        <v>44786</v>
      </c>
    </row>
    <row r="4938" spans="1:10" x14ac:dyDescent="0.35">
      <c r="A4938" s="2">
        <v>44789</v>
      </c>
      <c r="B4938" s="3">
        <v>0.94388888888888889</v>
      </c>
      <c r="C4938">
        <v>3701</v>
      </c>
      <c r="D4938" t="str">
        <f>VLOOKUP(H4938,Produkt!$A$2:$B$5,2,FALSE)</f>
        <v>D</v>
      </c>
      <c r="H4938">
        <v>4</v>
      </c>
      <c r="I4938">
        <v>0.11450231481481482</v>
      </c>
      <c r="J4938">
        <v>44779</v>
      </c>
    </row>
    <row r="4939" spans="1:10" x14ac:dyDescent="0.35">
      <c r="A4939" s="2">
        <v>44789</v>
      </c>
      <c r="B4939" s="3">
        <v>2.3611111111112582E-3</v>
      </c>
      <c r="C4939">
        <v>3734</v>
      </c>
      <c r="D4939" t="str">
        <f>VLOOKUP(H4939,Produkt!$A$2:$B$5,2,FALSE)</f>
        <v>B</v>
      </c>
      <c r="H4939">
        <v>2</v>
      </c>
      <c r="I4939">
        <v>0.62015046296296295</v>
      </c>
      <c r="J4939">
        <v>44804</v>
      </c>
    </row>
    <row r="4940" spans="1:10" x14ac:dyDescent="0.35">
      <c r="A4940" s="2">
        <v>44789</v>
      </c>
      <c r="B4940" s="3">
        <v>0.24451388888888889</v>
      </c>
      <c r="C4940">
        <v>3778</v>
      </c>
      <c r="D4940" t="str">
        <f>VLOOKUP(H4940,Produkt!$A$2:$B$5,2,FALSE)</f>
        <v>B</v>
      </c>
      <c r="H4940">
        <v>2</v>
      </c>
      <c r="I4940">
        <v>0.64606481481481481</v>
      </c>
      <c r="J4940">
        <v>44799</v>
      </c>
    </row>
    <row r="4941" spans="1:10" x14ac:dyDescent="0.35">
      <c r="A4941" s="2">
        <v>44789</v>
      </c>
      <c r="B4941" s="3">
        <v>0.78166666666666673</v>
      </c>
      <c r="C4941">
        <v>3797</v>
      </c>
      <c r="D4941" t="str">
        <f>VLOOKUP(H4941,Produkt!$A$2:$B$5,2,FALSE)</f>
        <v>A</v>
      </c>
      <c r="H4941">
        <v>1</v>
      </c>
      <c r="I4941">
        <v>0.21387731481481484</v>
      </c>
      <c r="J4941">
        <v>44783</v>
      </c>
    </row>
    <row r="4942" spans="1:10" x14ac:dyDescent="0.35">
      <c r="A4942" s="2">
        <v>44789</v>
      </c>
      <c r="B4942" s="3">
        <v>0.80917824074074074</v>
      </c>
      <c r="C4942">
        <v>3801</v>
      </c>
      <c r="D4942" t="str">
        <f>VLOOKUP(H4942,Produkt!$A$2:$B$5,2,FALSE)</f>
        <v>A</v>
      </c>
      <c r="H4942">
        <v>1</v>
      </c>
      <c r="I4942">
        <v>0.13616898148148149</v>
      </c>
      <c r="J4942">
        <v>44790</v>
      </c>
    </row>
    <row r="4943" spans="1:10" x14ac:dyDescent="0.35">
      <c r="A4943" s="2">
        <v>44789</v>
      </c>
      <c r="B4943" s="3">
        <v>0.13034722222222223</v>
      </c>
      <c r="C4943">
        <v>3830</v>
      </c>
      <c r="D4943" t="str">
        <f>VLOOKUP(H4943,Produkt!$A$2:$B$5,2,FALSE)</f>
        <v>D</v>
      </c>
      <c r="H4943">
        <v>4</v>
      </c>
      <c r="I4943">
        <v>0.77660879629629631</v>
      </c>
      <c r="J4943">
        <v>44777</v>
      </c>
    </row>
    <row r="4944" spans="1:10" x14ac:dyDescent="0.35">
      <c r="A4944" s="2">
        <v>44789</v>
      </c>
      <c r="B4944" s="3">
        <v>0.85016203703703708</v>
      </c>
      <c r="C4944">
        <v>3840</v>
      </c>
      <c r="D4944" t="str">
        <f>VLOOKUP(H4944,Produkt!$A$2:$B$5,2,FALSE)</f>
        <v>A</v>
      </c>
      <c r="H4944">
        <v>1</v>
      </c>
      <c r="I4944">
        <v>0.40251157407407406</v>
      </c>
      <c r="J4944">
        <v>44799</v>
      </c>
    </row>
    <row r="4945" spans="1:10" x14ac:dyDescent="0.35">
      <c r="A4945" s="2">
        <v>44789</v>
      </c>
      <c r="B4945" s="3">
        <v>0.87210648148148151</v>
      </c>
      <c r="C4945">
        <v>3943</v>
      </c>
      <c r="D4945" t="str">
        <f>VLOOKUP(H4945,Produkt!$A$2:$B$5,2,FALSE)</f>
        <v>D</v>
      </c>
      <c r="H4945">
        <v>4</v>
      </c>
      <c r="I4945">
        <v>4.9768518518522598E-4</v>
      </c>
      <c r="J4945">
        <v>44800</v>
      </c>
    </row>
    <row r="4946" spans="1:10" x14ac:dyDescent="0.35">
      <c r="A4946" s="2">
        <v>44789</v>
      </c>
      <c r="B4946" s="3">
        <v>0.14548611111111112</v>
      </c>
      <c r="C4946">
        <v>4043</v>
      </c>
      <c r="D4946" t="str">
        <f>VLOOKUP(H4946,Produkt!$A$2:$B$5,2,FALSE)</f>
        <v>D</v>
      </c>
      <c r="H4946">
        <v>4</v>
      </c>
      <c r="I4946">
        <v>9.5486111111111101E-3</v>
      </c>
      <c r="J4946">
        <v>44777</v>
      </c>
    </row>
    <row r="4947" spans="1:10" x14ac:dyDescent="0.35">
      <c r="A4947" s="2">
        <v>44789</v>
      </c>
      <c r="B4947" s="3">
        <v>6.3888888888887774E-3</v>
      </c>
      <c r="C4947">
        <v>4049</v>
      </c>
      <c r="D4947" t="str">
        <f>VLOOKUP(H4947,Produkt!$A$2:$B$5,2,FALSE)</f>
        <v>D</v>
      </c>
      <c r="H4947">
        <v>4</v>
      </c>
      <c r="I4947">
        <v>0.64094907407407409</v>
      </c>
      <c r="J4947">
        <v>44782</v>
      </c>
    </row>
    <row r="4948" spans="1:10" x14ac:dyDescent="0.35">
      <c r="A4948" s="2">
        <v>44789</v>
      </c>
      <c r="B4948" s="3">
        <v>0.88424768518518515</v>
      </c>
      <c r="C4948">
        <v>4078</v>
      </c>
      <c r="D4948" t="str">
        <f>VLOOKUP(H4948,Produkt!$A$2:$B$5,2,FALSE)</f>
        <v>A</v>
      </c>
      <c r="H4948">
        <v>1</v>
      </c>
      <c r="I4948">
        <v>0.21432870370370372</v>
      </c>
      <c r="J4948">
        <v>44795</v>
      </c>
    </row>
    <row r="4949" spans="1:10" x14ac:dyDescent="0.35">
      <c r="A4949" s="2">
        <v>44789</v>
      </c>
      <c r="B4949" s="3">
        <v>0.86546296296296299</v>
      </c>
      <c r="C4949">
        <v>4162</v>
      </c>
      <c r="D4949" t="str">
        <f>VLOOKUP(H4949,Produkt!$A$2:$B$5,2,FALSE)</f>
        <v>C</v>
      </c>
      <c r="H4949">
        <v>3</v>
      </c>
      <c r="I4949">
        <v>0.33760416666666665</v>
      </c>
      <c r="J4949">
        <v>44775</v>
      </c>
    </row>
    <row r="4950" spans="1:10" x14ac:dyDescent="0.35">
      <c r="A4950" s="2">
        <v>44789</v>
      </c>
      <c r="B4950" s="3">
        <v>5.4016203703703712E-2</v>
      </c>
      <c r="C4950">
        <v>4169</v>
      </c>
      <c r="D4950" t="str">
        <f>VLOOKUP(H4950,Produkt!$A$2:$B$5,2,FALSE)</f>
        <v>C</v>
      </c>
      <c r="H4950">
        <v>3</v>
      </c>
      <c r="I4950">
        <v>0.83902777777777782</v>
      </c>
      <c r="J4950">
        <v>44787</v>
      </c>
    </row>
    <row r="4951" spans="1:10" x14ac:dyDescent="0.35">
      <c r="A4951" s="2">
        <v>44789</v>
      </c>
      <c r="B4951" s="3">
        <v>0.73796296296296304</v>
      </c>
      <c r="C4951">
        <v>4176</v>
      </c>
      <c r="D4951" t="str">
        <f>VLOOKUP(H4951,Produkt!$A$2:$B$5,2,FALSE)</f>
        <v>C</v>
      </c>
      <c r="H4951">
        <v>3</v>
      </c>
      <c r="I4951">
        <v>0.21745370370370368</v>
      </c>
      <c r="J4951">
        <v>44775</v>
      </c>
    </row>
    <row r="4952" spans="1:10" x14ac:dyDescent="0.35">
      <c r="A4952" s="2">
        <v>44789</v>
      </c>
      <c r="B4952" s="3">
        <v>0.92855324074074075</v>
      </c>
      <c r="C4952">
        <v>4256</v>
      </c>
      <c r="D4952" t="str">
        <f>VLOOKUP(H4952,Produkt!$A$2:$B$5,2,FALSE)</f>
        <v>A</v>
      </c>
      <c r="H4952">
        <v>1</v>
      </c>
      <c r="I4952">
        <v>0.33648148148148144</v>
      </c>
      <c r="J4952">
        <v>44804</v>
      </c>
    </row>
    <row r="4953" spans="1:10" x14ac:dyDescent="0.35">
      <c r="A4953" s="2">
        <v>44789</v>
      </c>
      <c r="B4953" s="3">
        <v>4.9328703703703701E-2</v>
      </c>
      <c r="C4953">
        <v>4257</v>
      </c>
      <c r="D4953" t="str">
        <f>VLOOKUP(H4953,Produkt!$A$2:$B$5,2,FALSE)</f>
        <v>B</v>
      </c>
      <c r="H4953">
        <v>2</v>
      </c>
      <c r="I4953">
        <v>0.22072916666666667</v>
      </c>
      <c r="J4953">
        <v>44797</v>
      </c>
    </row>
    <row r="4954" spans="1:10" x14ac:dyDescent="0.35">
      <c r="A4954" s="2">
        <v>44789</v>
      </c>
      <c r="B4954" s="3">
        <v>0.52660879629629631</v>
      </c>
      <c r="C4954">
        <v>4286</v>
      </c>
      <c r="D4954" t="str">
        <f>VLOOKUP(H4954,Produkt!$A$2:$B$5,2,FALSE)</f>
        <v>B</v>
      </c>
      <c r="H4954">
        <v>2</v>
      </c>
      <c r="I4954">
        <v>0.17980324074074075</v>
      </c>
      <c r="J4954">
        <v>44776</v>
      </c>
    </row>
    <row r="4955" spans="1:10" x14ac:dyDescent="0.35">
      <c r="A4955" s="2">
        <v>44789</v>
      </c>
      <c r="B4955" s="3">
        <v>3.2256944444444491E-2</v>
      </c>
      <c r="C4955">
        <v>4287</v>
      </c>
      <c r="D4955" t="str">
        <f>VLOOKUP(H4955,Produkt!$A$2:$B$5,2,FALSE)</f>
        <v>B</v>
      </c>
      <c r="H4955">
        <v>2</v>
      </c>
      <c r="I4955">
        <v>0.21626157407407409</v>
      </c>
      <c r="J4955">
        <v>44799</v>
      </c>
    </row>
    <row r="4956" spans="1:10" x14ac:dyDescent="0.35">
      <c r="A4956" s="2">
        <v>44789</v>
      </c>
      <c r="B4956" s="3">
        <v>0.46149305555555559</v>
      </c>
      <c r="C4956">
        <v>4309</v>
      </c>
      <c r="D4956" t="str">
        <f>VLOOKUP(H4956,Produkt!$A$2:$B$5,2,FALSE)</f>
        <v>C</v>
      </c>
      <c r="H4956">
        <v>3</v>
      </c>
      <c r="I4956">
        <v>0.94210648148148157</v>
      </c>
      <c r="J4956">
        <v>44784</v>
      </c>
    </row>
    <row r="4957" spans="1:10" x14ac:dyDescent="0.35">
      <c r="A4957" s="2">
        <v>44789</v>
      </c>
      <c r="B4957" s="3">
        <v>0.77976851851851858</v>
      </c>
      <c r="C4957">
        <v>4316</v>
      </c>
      <c r="D4957" t="str">
        <f>VLOOKUP(H4957,Produkt!$A$2:$B$5,2,FALSE)</f>
        <v>C</v>
      </c>
      <c r="H4957">
        <v>3</v>
      </c>
      <c r="I4957">
        <v>0.79025462962962967</v>
      </c>
      <c r="J4957">
        <v>44780</v>
      </c>
    </row>
    <row r="4958" spans="1:10" x14ac:dyDescent="0.35">
      <c r="A4958" s="2">
        <v>44789</v>
      </c>
      <c r="B4958" s="3">
        <v>0.22962962962962963</v>
      </c>
      <c r="C4958">
        <v>4334</v>
      </c>
      <c r="D4958" t="str">
        <f>VLOOKUP(H4958,Produkt!$A$2:$B$5,2,FALSE)</f>
        <v>D</v>
      </c>
      <c r="H4958">
        <v>4</v>
      </c>
      <c r="I4958">
        <v>3.4571759259259371E-2</v>
      </c>
      <c r="J4958">
        <v>44787</v>
      </c>
    </row>
    <row r="4959" spans="1:10" x14ac:dyDescent="0.35">
      <c r="A4959" s="2">
        <v>44789</v>
      </c>
      <c r="B4959" s="3">
        <v>0.68767361111111114</v>
      </c>
      <c r="C4959">
        <v>4421</v>
      </c>
      <c r="D4959" t="str">
        <f>VLOOKUP(H4959,Produkt!$A$2:$B$5,2,FALSE)</f>
        <v>C</v>
      </c>
      <c r="H4959">
        <v>3</v>
      </c>
      <c r="I4959">
        <v>0.36120370370370369</v>
      </c>
      <c r="J4959">
        <v>44800</v>
      </c>
    </row>
    <row r="4960" spans="1:10" x14ac:dyDescent="0.35">
      <c r="A4960" s="2">
        <v>44789</v>
      </c>
      <c r="B4960" s="3">
        <v>0.4263657407407408</v>
      </c>
      <c r="C4960">
        <v>4435</v>
      </c>
      <c r="D4960" t="str">
        <f>VLOOKUP(H4960,Produkt!$A$2:$B$5,2,FALSE)</f>
        <v>C</v>
      </c>
      <c r="H4960">
        <v>3</v>
      </c>
      <c r="I4960">
        <v>0.26461805555555556</v>
      </c>
      <c r="J4960">
        <v>44800</v>
      </c>
    </row>
    <row r="4961" spans="1:10" x14ac:dyDescent="0.35">
      <c r="A4961" s="2">
        <v>44789</v>
      </c>
      <c r="B4961" s="3">
        <v>0.54521990740740744</v>
      </c>
      <c r="C4961">
        <v>4455</v>
      </c>
      <c r="D4961" t="str">
        <f>VLOOKUP(H4961,Produkt!$A$2:$B$5,2,FALSE)</f>
        <v>C</v>
      </c>
      <c r="H4961">
        <v>3</v>
      </c>
      <c r="I4961">
        <v>0.71244212962962961</v>
      </c>
      <c r="J4961">
        <v>44787</v>
      </c>
    </row>
    <row r="4962" spans="1:10" x14ac:dyDescent="0.35">
      <c r="A4962" s="2">
        <v>44789</v>
      </c>
      <c r="B4962" s="3">
        <v>0.44623842592592594</v>
      </c>
      <c r="C4962">
        <v>4461</v>
      </c>
      <c r="D4962" t="str">
        <f>VLOOKUP(H4962,Produkt!$A$2:$B$5,2,FALSE)</f>
        <v>C</v>
      </c>
      <c r="H4962">
        <v>3</v>
      </c>
      <c r="I4962">
        <v>0.88276620370370373</v>
      </c>
      <c r="J4962">
        <v>44790</v>
      </c>
    </row>
    <row r="4963" spans="1:10" x14ac:dyDescent="0.35">
      <c r="A4963" s="2">
        <v>44789</v>
      </c>
      <c r="B4963" s="3">
        <v>0.58128472222222227</v>
      </c>
      <c r="C4963">
        <v>4493</v>
      </c>
      <c r="D4963" t="str">
        <f>VLOOKUP(H4963,Produkt!$A$2:$B$5,2,FALSE)</f>
        <v>D</v>
      </c>
      <c r="H4963">
        <v>4</v>
      </c>
      <c r="I4963">
        <v>0.25273148148148145</v>
      </c>
      <c r="J4963">
        <v>44774</v>
      </c>
    </row>
    <row r="4964" spans="1:10" x14ac:dyDescent="0.35">
      <c r="A4964" s="2">
        <v>44789</v>
      </c>
      <c r="B4964" s="3">
        <v>0.55638888888888893</v>
      </c>
      <c r="C4964">
        <v>4546</v>
      </c>
      <c r="D4964" t="str">
        <f>VLOOKUP(H4964,Produkt!$A$2:$B$5,2,FALSE)</f>
        <v>D</v>
      </c>
      <c r="H4964">
        <v>4</v>
      </c>
      <c r="I4964">
        <v>2.4537037037037024E-2</v>
      </c>
      <c r="J4964">
        <v>44804</v>
      </c>
    </row>
    <row r="4965" spans="1:10" x14ac:dyDescent="0.35">
      <c r="A4965" s="2">
        <v>44789</v>
      </c>
      <c r="B4965" s="3">
        <v>0.91366898148148146</v>
      </c>
      <c r="C4965">
        <v>4571</v>
      </c>
      <c r="D4965" t="str">
        <f>VLOOKUP(H4965,Produkt!$A$2:$B$5,2,FALSE)</f>
        <v>C</v>
      </c>
      <c r="H4965">
        <v>3</v>
      </c>
      <c r="I4965">
        <v>0.67822916666666666</v>
      </c>
      <c r="J4965">
        <v>44789</v>
      </c>
    </row>
    <row r="4966" spans="1:10" x14ac:dyDescent="0.35">
      <c r="A4966" s="2">
        <v>44789</v>
      </c>
      <c r="B4966" s="3">
        <v>4.1469907407407414E-2</v>
      </c>
      <c r="C4966">
        <v>4582</v>
      </c>
      <c r="D4966" t="str">
        <f>VLOOKUP(H4966,Produkt!$A$2:$B$5,2,FALSE)</f>
        <v>C</v>
      </c>
      <c r="H4966">
        <v>3</v>
      </c>
      <c r="I4966">
        <v>0.11127314814814815</v>
      </c>
      <c r="J4966">
        <v>44790</v>
      </c>
    </row>
    <row r="4967" spans="1:10" x14ac:dyDescent="0.35">
      <c r="A4967" s="2">
        <v>44789</v>
      </c>
      <c r="B4967" s="3">
        <v>0.6158217592592593</v>
      </c>
      <c r="C4967">
        <v>4596</v>
      </c>
      <c r="D4967" t="str">
        <f>VLOOKUP(H4967,Produkt!$A$2:$B$5,2,FALSE)</f>
        <v>D</v>
      </c>
      <c r="H4967">
        <v>4</v>
      </c>
      <c r="I4967">
        <v>0.48909722222222224</v>
      </c>
      <c r="J4967">
        <v>44797</v>
      </c>
    </row>
    <row r="4968" spans="1:10" x14ac:dyDescent="0.35">
      <c r="A4968" s="2">
        <v>44789</v>
      </c>
      <c r="B4968" s="3">
        <v>0.61152777777777778</v>
      </c>
      <c r="C4968">
        <v>4642</v>
      </c>
      <c r="D4968" t="str">
        <f>VLOOKUP(H4968,Produkt!$A$2:$B$5,2,FALSE)</f>
        <v>B</v>
      </c>
      <c r="H4968">
        <v>2</v>
      </c>
      <c r="I4968">
        <v>0.78879629629629633</v>
      </c>
      <c r="J4968">
        <v>44799</v>
      </c>
    </row>
    <row r="4969" spans="1:10" x14ac:dyDescent="0.35">
      <c r="A4969" s="2">
        <v>44789</v>
      </c>
      <c r="B4969" s="3">
        <v>0.40184027777777781</v>
      </c>
      <c r="C4969">
        <v>4658</v>
      </c>
      <c r="D4969" t="str">
        <f>VLOOKUP(H4969,Produkt!$A$2:$B$5,2,FALSE)</f>
        <v>C</v>
      </c>
      <c r="H4969">
        <v>3</v>
      </c>
      <c r="I4969">
        <v>0.56653935185185189</v>
      </c>
      <c r="J4969">
        <v>44795</v>
      </c>
    </row>
    <row r="4970" spans="1:10" x14ac:dyDescent="0.35">
      <c r="A4970" s="2">
        <v>44789</v>
      </c>
      <c r="B4970" s="3">
        <v>0.91288194444444448</v>
      </c>
      <c r="C4970">
        <v>4684</v>
      </c>
      <c r="D4970" t="str">
        <f>VLOOKUP(H4970,Produkt!$A$2:$B$5,2,FALSE)</f>
        <v>A</v>
      </c>
      <c r="H4970">
        <v>1</v>
      </c>
      <c r="I4970">
        <v>0.27512731481481484</v>
      </c>
      <c r="J4970">
        <v>44774</v>
      </c>
    </row>
    <row r="4971" spans="1:10" x14ac:dyDescent="0.35">
      <c r="A4971" s="2">
        <v>44789</v>
      </c>
      <c r="B4971" s="3">
        <v>0.79100694444444442</v>
      </c>
      <c r="C4971">
        <v>4723</v>
      </c>
      <c r="D4971" t="str">
        <f>VLOOKUP(H4971,Produkt!$A$2:$B$5,2,FALSE)</f>
        <v>C</v>
      </c>
      <c r="H4971">
        <v>3</v>
      </c>
      <c r="I4971">
        <v>0.31686342592592592</v>
      </c>
      <c r="J4971">
        <v>44776</v>
      </c>
    </row>
    <row r="4972" spans="1:10" x14ac:dyDescent="0.35">
      <c r="A4972" s="2">
        <v>44789</v>
      </c>
      <c r="B4972" s="3">
        <v>1.9583333333333286E-2</v>
      </c>
      <c r="C4972">
        <v>4731</v>
      </c>
      <c r="D4972" t="str">
        <f>VLOOKUP(H4972,Produkt!$A$2:$B$5,2,FALSE)</f>
        <v>A</v>
      </c>
      <c r="H4972">
        <v>1</v>
      </c>
      <c r="I4972">
        <v>0.43515046296296295</v>
      </c>
      <c r="J4972">
        <v>44801</v>
      </c>
    </row>
    <row r="4973" spans="1:10" x14ac:dyDescent="0.35">
      <c r="A4973" s="2">
        <v>44789</v>
      </c>
      <c r="B4973" s="3">
        <v>0.71248842592592598</v>
      </c>
      <c r="C4973">
        <v>4753</v>
      </c>
      <c r="D4973" t="str">
        <f>VLOOKUP(H4973,Produkt!$A$2:$B$5,2,FALSE)</f>
        <v>D</v>
      </c>
      <c r="H4973">
        <v>4</v>
      </c>
      <c r="I4973">
        <v>0.87655092592592598</v>
      </c>
      <c r="J4973">
        <v>44787</v>
      </c>
    </row>
    <row r="4974" spans="1:10" x14ac:dyDescent="0.35">
      <c r="A4974" s="2">
        <v>44789</v>
      </c>
      <c r="B4974" s="3">
        <v>0.12533564814814815</v>
      </c>
      <c r="C4974">
        <v>4773</v>
      </c>
      <c r="D4974" t="str">
        <f>VLOOKUP(H4974,Produkt!$A$2:$B$5,2,FALSE)</f>
        <v>C</v>
      </c>
      <c r="H4974">
        <v>3</v>
      </c>
      <c r="I4974">
        <v>0.51083333333333336</v>
      </c>
      <c r="J4974">
        <v>44785</v>
      </c>
    </row>
    <row r="4975" spans="1:10" x14ac:dyDescent="0.35">
      <c r="A4975" s="2">
        <v>44789</v>
      </c>
      <c r="B4975" s="3">
        <v>0.37537037037037035</v>
      </c>
      <c r="C4975">
        <v>4800</v>
      </c>
      <c r="D4975" t="str">
        <f>VLOOKUP(H4975,Produkt!$A$2:$B$5,2,FALSE)</f>
        <v>C</v>
      </c>
      <c r="H4975">
        <v>3</v>
      </c>
      <c r="I4975">
        <v>0.85504629629629625</v>
      </c>
      <c r="J4975">
        <v>44803</v>
      </c>
    </row>
    <row r="4976" spans="1:10" x14ac:dyDescent="0.35">
      <c r="A4976" s="2">
        <v>44789</v>
      </c>
      <c r="B4976" s="3">
        <v>0.66694444444444445</v>
      </c>
      <c r="C4976">
        <v>4811</v>
      </c>
      <c r="D4976" t="str">
        <f>VLOOKUP(H4976,Produkt!$A$2:$B$5,2,FALSE)</f>
        <v>B</v>
      </c>
      <c r="H4976">
        <v>2</v>
      </c>
      <c r="I4976">
        <v>2.3611111111111111E-3</v>
      </c>
      <c r="J4976">
        <v>44777</v>
      </c>
    </row>
    <row r="4977" spans="1:10" x14ac:dyDescent="0.35">
      <c r="A4977" s="2">
        <v>44789</v>
      </c>
      <c r="B4977" s="3">
        <v>0.70052083333333337</v>
      </c>
      <c r="C4977">
        <v>4840</v>
      </c>
      <c r="D4977" t="str">
        <f>VLOOKUP(H4977,Produkt!$A$2:$B$5,2,FALSE)</f>
        <v>D</v>
      </c>
      <c r="H4977">
        <v>4</v>
      </c>
      <c r="I4977">
        <v>0.17853009259259259</v>
      </c>
      <c r="J4977">
        <v>44774</v>
      </c>
    </row>
    <row r="4978" spans="1:10" x14ac:dyDescent="0.35">
      <c r="A4978" s="2">
        <v>44789</v>
      </c>
      <c r="B4978" s="3">
        <v>0.14064814814814816</v>
      </c>
      <c r="C4978">
        <v>4847</v>
      </c>
      <c r="D4978" t="str">
        <f>VLOOKUP(H4978,Produkt!$A$2:$B$5,2,FALSE)</f>
        <v>D</v>
      </c>
      <c r="H4978">
        <v>4</v>
      </c>
      <c r="I4978">
        <v>0.7505208333333333</v>
      </c>
      <c r="J4978">
        <v>44785</v>
      </c>
    </row>
    <row r="4979" spans="1:10" x14ac:dyDescent="0.35">
      <c r="A4979" s="2">
        <v>44789</v>
      </c>
      <c r="B4979" s="3">
        <v>1.3888888888888889E-3</v>
      </c>
      <c r="C4979">
        <v>4876</v>
      </c>
      <c r="D4979" t="str">
        <f>VLOOKUP(H4979,Produkt!$A$2:$B$5,2,FALSE)</f>
        <v>C</v>
      </c>
      <c r="H4979">
        <v>3</v>
      </c>
      <c r="I4979">
        <v>0.5254861111111111</v>
      </c>
      <c r="J4979">
        <v>44774</v>
      </c>
    </row>
    <row r="4980" spans="1:10" x14ac:dyDescent="0.35">
      <c r="A4980" s="2">
        <v>44789</v>
      </c>
      <c r="B4980" s="3">
        <v>0.19057870370370369</v>
      </c>
      <c r="C4980">
        <v>4930</v>
      </c>
      <c r="D4980" t="str">
        <f>VLOOKUP(H4980,Produkt!$A$2:$B$5,2,FALSE)</f>
        <v>D</v>
      </c>
      <c r="H4980">
        <v>4</v>
      </c>
      <c r="I4980">
        <v>0.66745370370370372</v>
      </c>
      <c r="J4980">
        <v>44804</v>
      </c>
    </row>
    <row r="4981" spans="1:10" x14ac:dyDescent="0.35">
      <c r="A4981" s="2">
        <v>44789</v>
      </c>
      <c r="B4981" s="3">
        <v>0.2472337962962963</v>
      </c>
      <c r="C4981">
        <v>4934</v>
      </c>
      <c r="D4981" t="str">
        <f>VLOOKUP(H4981,Produkt!$A$2:$B$5,2,FALSE)</f>
        <v>A</v>
      </c>
      <c r="H4981">
        <v>1</v>
      </c>
      <c r="I4981">
        <v>0.73052083333333329</v>
      </c>
      <c r="J4981">
        <v>44790</v>
      </c>
    </row>
    <row r="4982" spans="1:10" x14ac:dyDescent="0.35">
      <c r="A4982" s="2">
        <v>44789</v>
      </c>
      <c r="B4982" s="3">
        <v>0.83902777777777782</v>
      </c>
      <c r="C4982">
        <v>4949</v>
      </c>
      <c r="D4982" t="str">
        <f>VLOOKUP(H4982,Produkt!$A$2:$B$5,2,FALSE)</f>
        <v>B</v>
      </c>
      <c r="H4982">
        <v>2</v>
      </c>
      <c r="I4982">
        <v>0.50863425925925931</v>
      </c>
      <c r="J4982">
        <v>44789</v>
      </c>
    </row>
    <row r="4983" spans="1:10" x14ac:dyDescent="0.35">
      <c r="A4983" s="2">
        <v>44789</v>
      </c>
      <c r="B4983" s="3">
        <v>0.79025462962962967</v>
      </c>
      <c r="C4983">
        <v>4956</v>
      </c>
      <c r="D4983" t="str">
        <f>VLOOKUP(H4983,Produkt!$A$2:$B$5,2,FALSE)</f>
        <v>B</v>
      </c>
      <c r="H4983">
        <v>2</v>
      </c>
      <c r="I4983">
        <v>0.81739583333333332</v>
      </c>
      <c r="J4983">
        <v>44780</v>
      </c>
    </row>
    <row r="4984" spans="1:10" x14ac:dyDescent="0.35">
      <c r="A4984" s="2">
        <v>44789</v>
      </c>
      <c r="B4984" s="3">
        <v>0.27512731481481484</v>
      </c>
      <c r="C4984">
        <v>4969</v>
      </c>
      <c r="D4984" t="str">
        <f>VLOOKUP(H4984,Produkt!$A$2:$B$5,2,FALSE)</f>
        <v>A</v>
      </c>
      <c r="H4984">
        <v>1</v>
      </c>
      <c r="I4984">
        <v>0.86805555555555547</v>
      </c>
      <c r="J4984">
        <v>44797</v>
      </c>
    </row>
    <row r="4985" spans="1:10" x14ac:dyDescent="0.35">
      <c r="A4985" s="2">
        <v>44789</v>
      </c>
      <c r="B4985" s="3">
        <v>0.7505208333333333</v>
      </c>
      <c r="C4985">
        <v>4995</v>
      </c>
      <c r="D4985" t="str">
        <f>VLOOKUP(H4985,Produkt!$A$2:$B$5,2,FALSE)</f>
        <v>C</v>
      </c>
      <c r="H4985">
        <v>3</v>
      </c>
      <c r="I4985">
        <v>0.54393518518518513</v>
      </c>
      <c r="J4985">
        <v>44788</v>
      </c>
    </row>
    <row r="4986" spans="1:10" x14ac:dyDescent="0.35">
      <c r="A4986" s="2">
        <v>44789</v>
      </c>
      <c r="B4986" s="3">
        <v>0.12380787037037037</v>
      </c>
      <c r="C4986">
        <v>5113</v>
      </c>
      <c r="D4986" t="str">
        <f>VLOOKUP(H4986,Produkt!$A$2:$B$5,2,FALSE)</f>
        <v>B</v>
      </c>
      <c r="H4986">
        <v>2</v>
      </c>
      <c r="I4986">
        <v>0.2608449074074074</v>
      </c>
      <c r="J4986">
        <v>44789</v>
      </c>
    </row>
    <row r="4987" spans="1:10" x14ac:dyDescent="0.35">
      <c r="A4987" s="2">
        <v>44789</v>
      </c>
      <c r="B4987" s="3">
        <v>0.72947916666666668</v>
      </c>
      <c r="C4987">
        <v>5118</v>
      </c>
      <c r="D4987" t="str">
        <f>VLOOKUP(H4987,Produkt!$A$2:$B$5,2,FALSE)</f>
        <v>C</v>
      </c>
      <c r="H4987">
        <v>3</v>
      </c>
      <c r="I4987">
        <v>0.43028935185185185</v>
      </c>
      <c r="J4987">
        <v>44799</v>
      </c>
    </row>
    <row r="4988" spans="1:10" x14ac:dyDescent="0.35">
      <c r="A4988" s="2">
        <v>44789</v>
      </c>
      <c r="B4988" s="3">
        <v>0.38504629629629633</v>
      </c>
      <c r="C4988">
        <v>5120</v>
      </c>
      <c r="D4988" t="str">
        <f>VLOOKUP(H4988,Produkt!$A$2:$B$5,2,FALSE)</f>
        <v>D</v>
      </c>
      <c r="H4988">
        <v>4</v>
      </c>
      <c r="I4988">
        <v>0.30284722222222221</v>
      </c>
      <c r="J4988">
        <v>44780</v>
      </c>
    </row>
    <row r="4989" spans="1:10" x14ac:dyDescent="0.35">
      <c r="A4989" s="2">
        <v>44789</v>
      </c>
      <c r="B4989" s="3">
        <v>3.2256944444444442E-2</v>
      </c>
      <c r="C4989">
        <v>5121</v>
      </c>
      <c r="D4989" t="str">
        <f>VLOOKUP(H4989,Produkt!$A$2:$B$5,2,FALSE)</f>
        <v>A</v>
      </c>
      <c r="H4989">
        <v>1</v>
      </c>
      <c r="I4989">
        <v>0.59952546296296294</v>
      </c>
      <c r="J4989">
        <v>44779</v>
      </c>
    </row>
    <row r="4990" spans="1:10" x14ac:dyDescent="0.35">
      <c r="A4990" s="2">
        <v>44789</v>
      </c>
      <c r="B4990" s="3">
        <v>0.99343750000000008</v>
      </c>
      <c r="C4990">
        <v>5125</v>
      </c>
      <c r="D4990" t="str">
        <f>VLOOKUP(H4990,Produkt!$A$2:$B$5,2,FALSE)</f>
        <v>A</v>
      </c>
      <c r="H4990">
        <v>1</v>
      </c>
      <c r="I4990">
        <v>0.8734143518518519</v>
      </c>
      <c r="J4990">
        <v>44776</v>
      </c>
    </row>
    <row r="4991" spans="1:10" x14ac:dyDescent="0.35">
      <c r="A4991" s="2">
        <v>44789</v>
      </c>
      <c r="B4991" s="3">
        <v>0.46133101851851849</v>
      </c>
      <c r="C4991">
        <v>5166</v>
      </c>
      <c r="D4991" t="str">
        <f>VLOOKUP(H4991,Produkt!$A$2:$B$5,2,FALSE)</f>
        <v>D</v>
      </c>
      <c r="H4991">
        <v>4</v>
      </c>
      <c r="I4991">
        <v>0.78855324074074085</v>
      </c>
      <c r="J4991">
        <v>44804</v>
      </c>
    </row>
    <row r="4992" spans="1:10" x14ac:dyDescent="0.35">
      <c r="A4992" s="2">
        <v>44789</v>
      </c>
      <c r="B4992" s="3">
        <v>0.96138888888888896</v>
      </c>
      <c r="C4992">
        <v>5194</v>
      </c>
      <c r="D4992" t="str">
        <f>VLOOKUP(H4992,Produkt!$A$2:$B$5,2,FALSE)</f>
        <v>D</v>
      </c>
      <c r="H4992">
        <v>4</v>
      </c>
      <c r="I4992">
        <v>0.27837962962962964</v>
      </c>
      <c r="J4992">
        <v>44792</v>
      </c>
    </row>
    <row r="4993" spans="1:10" x14ac:dyDescent="0.35">
      <c r="A4993" s="2">
        <v>44789</v>
      </c>
      <c r="B4993" s="3">
        <v>0.8534722222222223</v>
      </c>
      <c r="C4993">
        <v>5211</v>
      </c>
      <c r="D4993" t="str">
        <f>VLOOKUP(H4993,Produkt!$A$2:$B$5,2,FALSE)</f>
        <v>D</v>
      </c>
      <c r="H4993">
        <v>4</v>
      </c>
      <c r="I4993">
        <v>0.13188657407407409</v>
      </c>
      <c r="J4993">
        <v>44788</v>
      </c>
    </row>
    <row r="4994" spans="1:10" x14ac:dyDescent="0.35">
      <c r="A4994" s="2">
        <v>44789</v>
      </c>
      <c r="B4994" s="3">
        <v>0.25209490740740742</v>
      </c>
      <c r="C4994">
        <v>5239</v>
      </c>
      <c r="D4994" t="str">
        <f>VLOOKUP(H4994,Produkt!$A$2:$B$5,2,FALSE)</f>
        <v>B</v>
      </c>
      <c r="H4994">
        <v>2</v>
      </c>
      <c r="I4994">
        <v>0.70975694444444448</v>
      </c>
      <c r="J4994">
        <v>44804</v>
      </c>
    </row>
    <row r="4995" spans="1:10" x14ac:dyDescent="0.35">
      <c r="A4995" s="2">
        <v>44789</v>
      </c>
      <c r="B4995" s="3">
        <v>0.92949074074074067</v>
      </c>
      <c r="C4995">
        <v>5241</v>
      </c>
      <c r="D4995" t="str">
        <f>VLOOKUP(H4995,Produkt!$A$2:$B$5,2,FALSE)</f>
        <v>B</v>
      </c>
      <c r="H4995">
        <v>2</v>
      </c>
      <c r="I4995">
        <v>0.26111111111111113</v>
      </c>
      <c r="J4995">
        <v>44797</v>
      </c>
    </row>
    <row r="4996" spans="1:10" x14ac:dyDescent="0.35">
      <c r="A4996" s="2">
        <v>44789</v>
      </c>
      <c r="B4996" s="3">
        <v>0.1860185185185185</v>
      </c>
      <c r="C4996">
        <v>5288</v>
      </c>
      <c r="D4996" t="str">
        <f>VLOOKUP(H4996,Produkt!$A$2:$B$5,2,FALSE)</f>
        <v>A</v>
      </c>
      <c r="H4996">
        <v>1</v>
      </c>
      <c r="I4996">
        <v>0.7505208333333333</v>
      </c>
      <c r="J4996">
        <v>44780</v>
      </c>
    </row>
    <row r="4997" spans="1:10" x14ac:dyDescent="0.35">
      <c r="A4997" s="2">
        <v>44789</v>
      </c>
      <c r="B4997" s="3">
        <v>0.56085648148148148</v>
      </c>
      <c r="C4997">
        <v>5333</v>
      </c>
      <c r="D4997" t="str">
        <f>VLOOKUP(H4997,Produkt!$A$2:$B$5,2,FALSE)</f>
        <v>B</v>
      </c>
      <c r="H4997">
        <v>2</v>
      </c>
      <c r="I4997">
        <v>0.55068287037037034</v>
      </c>
      <c r="J4997">
        <v>44798</v>
      </c>
    </row>
    <row r="4998" spans="1:10" x14ac:dyDescent="0.35">
      <c r="A4998" s="2">
        <v>44789</v>
      </c>
      <c r="B4998" s="3">
        <v>0.20318287037037039</v>
      </c>
      <c r="C4998">
        <v>5348</v>
      </c>
      <c r="D4998" t="str">
        <f>VLOOKUP(H4998,Produkt!$A$2:$B$5,2,FALSE)</f>
        <v>D</v>
      </c>
      <c r="H4998">
        <v>4</v>
      </c>
      <c r="I4998">
        <v>0.41277777777777774</v>
      </c>
      <c r="J4998">
        <v>44779</v>
      </c>
    </row>
    <row r="4999" spans="1:10" x14ac:dyDescent="0.35">
      <c r="A4999" s="2">
        <v>44789</v>
      </c>
      <c r="B4999" s="3">
        <v>0.62163194444444447</v>
      </c>
      <c r="C4999">
        <v>5365</v>
      </c>
      <c r="D4999" t="str">
        <f>VLOOKUP(H4999,Produkt!$A$2:$B$5,2,FALSE)</f>
        <v>C</v>
      </c>
      <c r="H4999">
        <v>3</v>
      </c>
      <c r="I4999">
        <v>0.32451388888888888</v>
      </c>
      <c r="J4999">
        <v>44797</v>
      </c>
    </row>
    <row r="5000" spans="1:10" x14ac:dyDescent="0.35">
      <c r="A5000" s="2">
        <v>44789</v>
      </c>
      <c r="B5000" s="3">
        <v>0.18863425925925925</v>
      </c>
      <c r="C5000">
        <v>5377</v>
      </c>
      <c r="D5000" t="str">
        <f>VLOOKUP(H5000,Produkt!$A$2:$B$5,2,FALSE)</f>
        <v>C</v>
      </c>
      <c r="H5000">
        <v>3</v>
      </c>
      <c r="I5000">
        <v>0.87236111111111114</v>
      </c>
      <c r="J5000">
        <v>44795</v>
      </c>
    </row>
    <row r="5001" spans="1:10" x14ac:dyDescent="0.35">
      <c r="A5001" s="2">
        <v>44789</v>
      </c>
      <c r="B5001" s="3">
        <v>4.9641203703703701E-2</v>
      </c>
      <c r="C5001">
        <v>5434</v>
      </c>
      <c r="D5001" t="str">
        <f>VLOOKUP(H5001,Produkt!$A$2:$B$5,2,FALSE)</f>
        <v>D</v>
      </c>
      <c r="H5001">
        <v>4</v>
      </c>
      <c r="I5001">
        <v>0.34210648148148143</v>
      </c>
      <c r="J5001">
        <v>44783</v>
      </c>
    </row>
    <row r="5002" spans="1:10" x14ac:dyDescent="0.35">
      <c r="A5002" s="2">
        <v>44789</v>
      </c>
      <c r="B5002" s="3">
        <v>0.78271990740740749</v>
      </c>
      <c r="C5002">
        <v>5475</v>
      </c>
      <c r="D5002" t="str">
        <f>VLOOKUP(H5002,Produkt!$A$2:$B$5,2,FALSE)</f>
        <v>D</v>
      </c>
      <c r="H5002">
        <v>4</v>
      </c>
      <c r="I5002">
        <v>0.44645833333333335</v>
      </c>
      <c r="J5002">
        <v>44796</v>
      </c>
    </row>
    <row r="5003" spans="1:10" x14ac:dyDescent="0.35">
      <c r="A5003" s="2">
        <v>44789</v>
      </c>
      <c r="B5003" s="3">
        <v>2.7777777777777776E-2</v>
      </c>
      <c r="C5003">
        <v>5570</v>
      </c>
      <c r="D5003" t="str">
        <f>VLOOKUP(H5003,Produkt!$A$2:$B$5,2,FALSE)</f>
        <v>B</v>
      </c>
      <c r="H5003">
        <v>2</v>
      </c>
      <c r="I5003">
        <v>0.91063657407407417</v>
      </c>
      <c r="J5003">
        <v>44793</v>
      </c>
    </row>
    <row r="5004" spans="1:10" x14ac:dyDescent="0.35">
      <c r="A5004" s="2">
        <v>44789</v>
      </c>
      <c r="B5004" s="3">
        <v>0.30703703703703705</v>
      </c>
      <c r="C5004">
        <v>5582</v>
      </c>
      <c r="D5004" t="str">
        <f>VLOOKUP(H5004,Produkt!$A$2:$B$5,2,FALSE)</f>
        <v>D</v>
      </c>
      <c r="H5004">
        <v>4</v>
      </c>
      <c r="I5004">
        <v>0.7849652777777778</v>
      </c>
      <c r="J5004">
        <v>44788</v>
      </c>
    </row>
    <row r="5005" spans="1:10" x14ac:dyDescent="0.35">
      <c r="A5005" s="2">
        <v>44789</v>
      </c>
      <c r="B5005" s="3">
        <v>0.96185185185185185</v>
      </c>
      <c r="C5005">
        <v>5634</v>
      </c>
      <c r="D5005" t="str">
        <f>VLOOKUP(H5005,Produkt!$A$2:$B$5,2,FALSE)</f>
        <v>B</v>
      </c>
      <c r="H5005">
        <v>2</v>
      </c>
      <c r="I5005">
        <v>0.78833333333333344</v>
      </c>
      <c r="J5005">
        <v>44791</v>
      </c>
    </row>
    <row r="5006" spans="1:10" x14ac:dyDescent="0.35">
      <c r="A5006" s="2">
        <v>44789</v>
      </c>
      <c r="B5006" s="3">
        <v>0.86893518518518509</v>
      </c>
      <c r="C5006">
        <v>5713</v>
      </c>
      <c r="D5006" t="str">
        <f>VLOOKUP(H5006,Produkt!$A$2:$B$5,2,FALSE)</f>
        <v>D</v>
      </c>
      <c r="H5006">
        <v>4</v>
      </c>
      <c r="I5006">
        <v>0.80841435185185195</v>
      </c>
      <c r="J5006">
        <v>44800</v>
      </c>
    </row>
    <row r="5007" spans="1:10" x14ac:dyDescent="0.35">
      <c r="A5007" s="2">
        <v>44789</v>
      </c>
      <c r="B5007" s="3">
        <v>0.22818287037037036</v>
      </c>
      <c r="C5007">
        <v>5828</v>
      </c>
      <c r="D5007" t="str">
        <f>VLOOKUP(H5007,Produkt!$A$2:$B$5,2,FALSE)</f>
        <v>D</v>
      </c>
      <c r="H5007">
        <v>4</v>
      </c>
      <c r="I5007">
        <v>0.2401736111111111</v>
      </c>
      <c r="J5007">
        <v>44777</v>
      </c>
    </row>
    <row r="5008" spans="1:10" x14ac:dyDescent="0.35">
      <c r="A5008" s="2">
        <v>44789</v>
      </c>
      <c r="B5008" s="3">
        <v>0.76585648148148155</v>
      </c>
      <c r="C5008">
        <v>5890</v>
      </c>
      <c r="D5008" t="str">
        <f>VLOOKUP(H5008,Produkt!$A$2:$B$5,2,FALSE)</f>
        <v>B</v>
      </c>
      <c r="H5008">
        <v>2</v>
      </c>
      <c r="I5008">
        <v>0.7531944444444445</v>
      </c>
      <c r="J5008">
        <v>44783</v>
      </c>
    </row>
    <row r="5009" spans="1:10" x14ac:dyDescent="0.35">
      <c r="A5009" s="2">
        <v>44789</v>
      </c>
      <c r="B5009" s="3">
        <v>0.47202546296296299</v>
      </c>
      <c r="C5009">
        <v>5903</v>
      </c>
      <c r="D5009" t="str">
        <f>VLOOKUP(H5009,Produkt!$A$2:$B$5,2,FALSE)</f>
        <v>C</v>
      </c>
      <c r="H5009">
        <v>3</v>
      </c>
      <c r="I5009">
        <v>0.6545023148148148</v>
      </c>
      <c r="J5009">
        <v>44795</v>
      </c>
    </row>
    <row r="5010" spans="1:10" x14ac:dyDescent="0.35">
      <c r="A5010" s="2">
        <v>44789</v>
      </c>
      <c r="B5010" s="3">
        <v>0.57219907407407411</v>
      </c>
      <c r="C5010">
        <v>5938</v>
      </c>
      <c r="D5010" t="str">
        <f>VLOOKUP(H5010,Produkt!$A$2:$B$5,2,FALSE)</f>
        <v>B</v>
      </c>
      <c r="H5010">
        <v>2</v>
      </c>
      <c r="I5010">
        <v>2.616898148148139E-2</v>
      </c>
      <c r="J5010">
        <v>44778</v>
      </c>
    </row>
    <row r="5011" spans="1:10" x14ac:dyDescent="0.35">
      <c r="A5011" s="2">
        <v>44789</v>
      </c>
      <c r="B5011" s="3">
        <v>0.5939699074074074</v>
      </c>
      <c r="C5011">
        <v>5975</v>
      </c>
      <c r="D5011" t="str">
        <f>VLOOKUP(H5011,Produkt!$A$2:$B$5,2,FALSE)</f>
        <v>B</v>
      </c>
      <c r="H5011">
        <v>2</v>
      </c>
      <c r="I5011">
        <v>0.82452546296296303</v>
      </c>
      <c r="J5011">
        <v>44786</v>
      </c>
    </row>
    <row r="5012" spans="1:10" x14ac:dyDescent="0.35">
      <c r="A5012" s="2">
        <v>44789</v>
      </c>
      <c r="B5012" s="3">
        <v>0.4604050925925926</v>
      </c>
      <c r="C5012">
        <v>6019</v>
      </c>
      <c r="D5012" t="str">
        <f>VLOOKUP(H5012,Produkt!$A$2:$B$5,2,FALSE)</f>
        <v>A</v>
      </c>
      <c r="H5012">
        <v>1</v>
      </c>
      <c r="I5012">
        <v>0.36415509259259254</v>
      </c>
      <c r="J5012">
        <v>44801</v>
      </c>
    </row>
    <row r="5013" spans="1:10" x14ac:dyDescent="0.35">
      <c r="A5013" s="2">
        <v>44789</v>
      </c>
      <c r="B5013" s="3">
        <v>0.68680555555555556</v>
      </c>
      <c r="C5013">
        <v>6033</v>
      </c>
      <c r="D5013" t="str">
        <f>VLOOKUP(H5013,Produkt!$A$2:$B$5,2,FALSE)</f>
        <v>D</v>
      </c>
      <c r="H5013">
        <v>4</v>
      </c>
      <c r="I5013">
        <v>0.24078703703703705</v>
      </c>
      <c r="J5013">
        <v>44800</v>
      </c>
    </row>
    <row r="5014" spans="1:10" x14ac:dyDescent="0.35">
      <c r="A5014" s="2">
        <v>44789</v>
      </c>
      <c r="B5014" s="3">
        <v>0.93226851851851855</v>
      </c>
      <c r="C5014">
        <v>6051</v>
      </c>
      <c r="D5014" t="str">
        <f>VLOOKUP(H5014,Produkt!$A$2:$B$5,2,FALSE)</f>
        <v>C</v>
      </c>
      <c r="H5014">
        <v>3</v>
      </c>
      <c r="I5014">
        <v>0.80026620370370372</v>
      </c>
      <c r="J5014">
        <v>44774</v>
      </c>
    </row>
    <row r="5015" spans="1:10" x14ac:dyDescent="0.35">
      <c r="A5015" s="2">
        <v>44789</v>
      </c>
      <c r="B5015" s="3">
        <v>0.8746990740740741</v>
      </c>
      <c r="C5015">
        <v>6128</v>
      </c>
      <c r="D5015" t="str">
        <f>VLOOKUP(H5015,Produkt!$A$2:$B$5,2,FALSE)</f>
        <v>C</v>
      </c>
      <c r="H5015">
        <v>3</v>
      </c>
      <c r="I5015">
        <v>0.75410879629629635</v>
      </c>
      <c r="J5015">
        <v>44804</v>
      </c>
    </row>
    <row r="5016" spans="1:10" x14ac:dyDescent="0.35">
      <c r="A5016" s="2">
        <v>44789</v>
      </c>
      <c r="B5016" s="3">
        <v>0.56883101851851847</v>
      </c>
      <c r="C5016">
        <v>6144</v>
      </c>
      <c r="D5016" t="str">
        <f>VLOOKUP(H5016,Produkt!$A$2:$B$5,2,FALSE)</f>
        <v>A</v>
      </c>
      <c r="H5016">
        <v>1</v>
      </c>
      <c r="I5016">
        <v>0.78281250000000002</v>
      </c>
      <c r="J5016">
        <v>44798</v>
      </c>
    </row>
    <row r="5017" spans="1:10" x14ac:dyDescent="0.35">
      <c r="A5017" s="2">
        <v>44789</v>
      </c>
      <c r="B5017" s="3">
        <v>7.6736111111111111E-3</v>
      </c>
      <c r="C5017">
        <v>6158</v>
      </c>
      <c r="D5017" t="str">
        <f>VLOOKUP(H5017,Produkt!$A$2:$B$5,2,FALSE)</f>
        <v>B</v>
      </c>
      <c r="H5017">
        <v>2</v>
      </c>
      <c r="I5017">
        <v>0.97584490740740737</v>
      </c>
      <c r="J5017">
        <v>44781</v>
      </c>
    </row>
    <row r="5018" spans="1:10" x14ac:dyDescent="0.35">
      <c r="A5018" s="2">
        <v>44789</v>
      </c>
      <c r="B5018" s="3">
        <v>0.77631944444444445</v>
      </c>
      <c r="C5018">
        <v>6165</v>
      </c>
      <c r="D5018" t="str">
        <f>VLOOKUP(H5018,Produkt!$A$2:$B$5,2,FALSE)</f>
        <v>D</v>
      </c>
      <c r="H5018">
        <v>4</v>
      </c>
      <c r="I5018">
        <v>0.73517361111111112</v>
      </c>
      <c r="J5018">
        <v>44775</v>
      </c>
    </row>
    <row r="5019" spans="1:10" x14ac:dyDescent="0.35">
      <c r="A5019" s="2">
        <v>44789</v>
      </c>
      <c r="B5019" s="3">
        <v>0.60895833333333338</v>
      </c>
      <c r="C5019">
        <v>6204</v>
      </c>
      <c r="D5019" t="str">
        <f>VLOOKUP(H5019,Produkt!$A$2:$B$5,2,FALSE)</f>
        <v>D</v>
      </c>
      <c r="H5019">
        <v>4</v>
      </c>
      <c r="I5019">
        <v>0.13858796296296297</v>
      </c>
      <c r="J5019">
        <v>44781</v>
      </c>
    </row>
    <row r="5020" spans="1:10" x14ac:dyDescent="0.35">
      <c r="A5020" s="2">
        <v>44789</v>
      </c>
      <c r="B5020" s="3">
        <v>0.23089120370370372</v>
      </c>
      <c r="C5020">
        <v>6210</v>
      </c>
      <c r="D5020" t="str">
        <f>VLOOKUP(H5020,Produkt!$A$2:$B$5,2,FALSE)</f>
        <v>C</v>
      </c>
      <c r="H5020">
        <v>3</v>
      </c>
      <c r="I5020">
        <v>0.45876157407407409</v>
      </c>
      <c r="J5020">
        <v>44774</v>
      </c>
    </row>
    <row r="5021" spans="1:10" x14ac:dyDescent="0.35">
      <c r="A5021" s="2">
        <v>44789</v>
      </c>
      <c r="B5021" s="3">
        <v>0.69155092592592593</v>
      </c>
      <c r="C5021">
        <v>6247</v>
      </c>
      <c r="D5021" t="str">
        <f>VLOOKUP(H5021,Produkt!$A$2:$B$5,2,FALSE)</f>
        <v>B</v>
      </c>
      <c r="H5021">
        <v>2</v>
      </c>
      <c r="I5021">
        <v>0.24479166666666666</v>
      </c>
      <c r="J5021">
        <v>44802</v>
      </c>
    </row>
    <row r="5022" spans="1:10" x14ac:dyDescent="0.35">
      <c r="A5022" s="2">
        <v>44789</v>
      </c>
      <c r="B5022" s="3">
        <v>4.4282407407407409E-2</v>
      </c>
      <c r="C5022">
        <v>6278</v>
      </c>
      <c r="D5022" t="str">
        <f>VLOOKUP(H5022,Produkt!$A$2:$B$5,2,FALSE)</f>
        <v>C</v>
      </c>
      <c r="H5022">
        <v>3</v>
      </c>
      <c r="I5022">
        <v>6.4583333333334547E-3</v>
      </c>
      <c r="J5022">
        <v>44799</v>
      </c>
    </row>
    <row r="5023" spans="1:10" x14ac:dyDescent="0.35">
      <c r="A5023" s="2">
        <v>44789</v>
      </c>
      <c r="B5023" s="3">
        <v>0.59444444444444444</v>
      </c>
      <c r="C5023">
        <v>6305</v>
      </c>
      <c r="D5023" t="str">
        <f>VLOOKUP(H5023,Produkt!$A$2:$B$5,2,FALSE)</f>
        <v>A</v>
      </c>
      <c r="H5023">
        <v>1</v>
      </c>
      <c r="I5023">
        <v>0.23554398148148148</v>
      </c>
      <c r="J5023">
        <v>44784</v>
      </c>
    </row>
    <row r="5024" spans="1:10" x14ac:dyDescent="0.35">
      <c r="A5024" s="2">
        <v>44789</v>
      </c>
      <c r="B5024" s="3">
        <v>0.23225694444444445</v>
      </c>
      <c r="C5024">
        <v>6347</v>
      </c>
      <c r="D5024" t="str">
        <f>VLOOKUP(H5024,Produkt!$A$2:$B$5,2,FALSE)</f>
        <v>C</v>
      </c>
      <c r="H5024">
        <v>3</v>
      </c>
      <c r="I5024">
        <v>0.19841435185185186</v>
      </c>
      <c r="J5024">
        <v>44800</v>
      </c>
    </row>
    <row r="5025" spans="1:10" x14ac:dyDescent="0.35">
      <c r="A5025" s="2">
        <v>44789</v>
      </c>
      <c r="B5025" s="3">
        <v>0.8415625000000001</v>
      </c>
      <c r="C5025">
        <v>6352</v>
      </c>
      <c r="D5025" t="str">
        <f>VLOOKUP(H5025,Produkt!$A$2:$B$5,2,FALSE)</f>
        <v>B</v>
      </c>
      <c r="H5025">
        <v>2</v>
      </c>
      <c r="I5025">
        <v>0.17997685185185186</v>
      </c>
      <c r="J5025">
        <v>44789</v>
      </c>
    </row>
    <row r="5026" spans="1:10" x14ac:dyDescent="0.35">
      <c r="A5026" s="2">
        <v>44789</v>
      </c>
      <c r="B5026" s="3">
        <v>0.86491898148148139</v>
      </c>
      <c r="C5026">
        <v>6375</v>
      </c>
      <c r="D5026" t="str">
        <f>VLOOKUP(H5026,Produkt!$A$2:$B$5,2,FALSE)</f>
        <v>A</v>
      </c>
      <c r="H5026">
        <v>1</v>
      </c>
      <c r="I5026">
        <v>5.0671296296296298E-2</v>
      </c>
      <c r="J5026">
        <v>44790</v>
      </c>
    </row>
    <row r="5027" spans="1:10" x14ac:dyDescent="0.35">
      <c r="A5027" s="2">
        <v>44789</v>
      </c>
      <c r="B5027" s="3">
        <v>0.64930555555555558</v>
      </c>
      <c r="C5027">
        <v>6396</v>
      </c>
      <c r="D5027" t="str">
        <f>VLOOKUP(H5027,Produkt!$A$2:$B$5,2,FALSE)</f>
        <v>A</v>
      </c>
      <c r="H5027">
        <v>1</v>
      </c>
      <c r="I5027">
        <v>0.16545138888888888</v>
      </c>
      <c r="J5027">
        <v>44783</v>
      </c>
    </row>
    <row r="5028" spans="1:10" x14ac:dyDescent="0.35">
      <c r="A5028" s="2">
        <v>44789</v>
      </c>
      <c r="B5028" s="3">
        <v>0.81631944444444438</v>
      </c>
      <c r="C5028">
        <v>6422</v>
      </c>
      <c r="D5028" t="str">
        <f>VLOOKUP(H5028,Produkt!$A$2:$B$5,2,FALSE)</f>
        <v>A</v>
      </c>
      <c r="H5028">
        <v>1</v>
      </c>
      <c r="I5028">
        <v>0.58331018518518518</v>
      </c>
      <c r="J5028">
        <v>44780</v>
      </c>
    </row>
    <row r="5029" spans="1:10" x14ac:dyDescent="0.35">
      <c r="A5029" s="2">
        <v>44789</v>
      </c>
      <c r="B5029" s="3">
        <v>0.60293981481481485</v>
      </c>
      <c r="C5029">
        <v>6452</v>
      </c>
      <c r="D5029" t="str">
        <f>VLOOKUP(H5029,Produkt!$A$2:$B$5,2,FALSE)</f>
        <v>A</v>
      </c>
      <c r="H5029">
        <v>1</v>
      </c>
      <c r="I5029">
        <v>0.50015046296296295</v>
      </c>
      <c r="J5029">
        <v>44776</v>
      </c>
    </row>
    <row r="5030" spans="1:10" x14ac:dyDescent="0.35">
      <c r="A5030" s="2">
        <v>44789</v>
      </c>
      <c r="B5030" s="3">
        <v>0.77521990740740743</v>
      </c>
      <c r="C5030">
        <v>6516</v>
      </c>
      <c r="D5030" t="str">
        <f>VLOOKUP(H5030,Produkt!$A$2:$B$5,2,FALSE)</f>
        <v>C</v>
      </c>
      <c r="H5030">
        <v>3</v>
      </c>
      <c r="I5030">
        <v>0.8243287037037037</v>
      </c>
      <c r="J5030">
        <v>44798</v>
      </c>
    </row>
    <row r="5031" spans="1:10" x14ac:dyDescent="0.35">
      <c r="A5031" s="2">
        <v>44789</v>
      </c>
      <c r="B5031" s="3">
        <v>0.16626157407407408</v>
      </c>
      <c r="C5031">
        <v>6522</v>
      </c>
      <c r="D5031" t="str">
        <f>VLOOKUP(H5031,Produkt!$A$2:$B$5,2,FALSE)</f>
        <v>D</v>
      </c>
      <c r="H5031">
        <v>4</v>
      </c>
      <c r="I5031">
        <v>0.36174768518518513</v>
      </c>
      <c r="J5031">
        <v>44783</v>
      </c>
    </row>
    <row r="5032" spans="1:10" x14ac:dyDescent="0.35">
      <c r="A5032" s="2">
        <v>44789</v>
      </c>
      <c r="B5032" s="3">
        <v>7.2106481481482021E-3</v>
      </c>
      <c r="C5032">
        <v>6586</v>
      </c>
      <c r="D5032" t="str">
        <f>VLOOKUP(H5032,Produkt!$A$2:$B$5,2,FALSE)</f>
        <v>C</v>
      </c>
      <c r="H5032">
        <v>3</v>
      </c>
      <c r="I5032">
        <v>8.6805555555555566E-2</v>
      </c>
      <c r="J5032">
        <v>44784</v>
      </c>
    </row>
    <row r="5033" spans="1:10" x14ac:dyDescent="0.35">
      <c r="A5033" s="2">
        <v>44789</v>
      </c>
      <c r="B5033" s="3">
        <v>0.13245370370370371</v>
      </c>
      <c r="C5033">
        <v>6596</v>
      </c>
      <c r="D5033" t="str">
        <f>VLOOKUP(H5033,Produkt!$A$2:$B$5,2,FALSE)</f>
        <v>B</v>
      </c>
      <c r="H5033">
        <v>2</v>
      </c>
      <c r="I5033">
        <v>0.8834953703703704</v>
      </c>
      <c r="J5033">
        <v>44792</v>
      </c>
    </row>
    <row r="5034" spans="1:10" x14ac:dyDescent="0.35">
      <c r="A5034" s="2">
        <v>44789</v>
      </c>
      <c r="B5034" s="3">
        <v>3.5775462962962967E-2</v>
      </c>
      <c r="C5034">
        <v>6599</v>
      </c>
      <c r="D5034" t="str">
        <f>VLOOKUP(H5034,Produkt!$A$2:$B$5,2,FALSE)</f>
        <v>C</v>
      </c>
      <c r="H5034">
        <v>3</v>
      </c>
      <c r="I5034">
        <v>0.65017361111111105</v>
      </c>
      <c r="J5034">
        <v>44803</v>
      </c>
    </row>
    <row r="5035" spans="1:10" x14ac:dyDescent="0.35">
      <c r="A5035" s="2">
        <v>44789</v>
      </c>
      <c r="B5035" s="3">
        <v>0.5272337962962963</v>
      </c>
      <c r="C5035">
        <v>6638</v>
      </c>
      <c r="D5035" t="str">
        <f>VLOOKUP(H5035,Produkt!$A$2:$B$5,2,FALSE)</f>
        <v>A</v>
      </c>
      <c r="H5035">
        <v>1</v>
      </c>
      <c r="I5035">
        <v>0.79835648148148142</v>
      </c>
      <c r="J5035">
        <v>44801</v>
      </c>
    </row>
    <row r="5036" spans="1:10" x14ac:dyDescent="0.35">
      <c r="A5036" s="2">
        <v>44789</v>
      </c>
      <c r="B5036" s="3">
        <v>8.9131944444444444E-2</v>
      </c>
      <c r="C5036">
        <v>6664</v>
      </c>
      <c r="D5036" t="str">
        <f>VLOOKUP(H5036,Produkt!$A$2:$B$5,2,FALSE)</f>
        <v>B</v>
      </c>
      <c r="H5036">
        <v>2</v>
      </c>
      <c r="I5036">
        <v>0.84685185185185186</v>
      </c>
      <c r="J5036">
        <v>44777</v>
      </c>
    </row>
    <row r="5037" spans="1:10" x14ac:dyDescent="0.35">
      <c r="A5037" s="2">
        <v>44789</v>
      </c>
      <c r="B5037" s="3">
        <v>0.16442129629629629</v>
      </c>
      <c r="C5037">
        <v>6696</v>
      </c>
      <c r="D5037" t="str">
        <f>VLOOKUP(H5037,Produkt!$A$2:$B$5,2,FALSE)</f>
        <v>C</v>
      </c>
      <c r="H5037">
        <v>3</v>
      </c>
      <c r="I5037">
        <v>0.57452546296296292</v>
      </c>
      <c r="J5037">
        <v>44778</v>
      </c>
    </row>
    <row r="5038" spans="1:10" x14ac:dyDescent="0.35">
      <c r="A5038" s="2">
        <v>44789</v>
      </c>
      <c r="B5038" s="3">
        <v>0.41724537037037041</v>
      </c>
      <c r="C5038">
        <v>6706</v>
      </c>
      <c r="D5038" t="str">
        <f>VLOOKUP(H5038,Produkt!$A$2:$B$5,2,FALSE)</f>
        <v>D</v>
      </c>
      <c r="H5038">
        <v>4</v>
      </c>
      <c r="I5038">
        <v>0.18364583333333331</v>
      </c>
      <c r="J5038">
        <v>44789</v>
      </c>
    </row>
    <row r="5039" spans="1:10" x14ac:dyDescent="0.35">
      <c r="A5039" s="2">
        <v>44789</v>
      </c>
      <c r="B5039" s="3">
        <v>0.60623842592592592</v>
      </c>
      <c r="C5039">
        <v>6717</v>
      </c>
      <c r="D5039" t="str">
        <f>VLOOKUP(H5039,Produkt!$A$2:$B$5,2,FALSE)</f>
        <v>C</v>
      </c>
      <c r="H5039">
        <v>3</v>
      </c>
      <c r="I5039">
        <v>2.416666666666667E-2</v>
      </c>
      <c r="J5039">
        <v>44788</v>
      </c>
    </row>
    <row r="5040" spans="1:10" x14ac:dyDescent="0.35">
      <c r="A5040" s="2">
        <v>44789</v>
      </c>
      <c r="B5040" s="3">
        <v>0.5913194444444444</v>
      </c>
      <c r="C5040">
        <v>6734</v>
      </c>
      <c r="D5040" t="str">
        <f>VLOOKUP(H5040,Produkt!$A$2:$B$5,2,FALSE)</f>
        <v>C</v>
      </c>
      <c r="H5040">
        <v>3</v>
      </c>
      <c r="I5040">
        <v>1.5196759259259259E-2</v>
      </c>
      <c r="J5040">
        <v>44785</v>
      </c>
    </row>
    <row r="5041" spans="1:10" x14ac:dyDescent="0.35">
      <c r="A5041" s="2">
        <v>44789</v>
      </c>
      <c r="B5041" s="3">
        <v>0.5298842592592593</v>
      </c>
      <c r="C5041">
        <v>6791</v>
      </c>
      <c r="D5041" t="str">
        <f>VLOOKUP(H5041,Produkt!$A$2:$B$5,2,FALSE)</f>
        <v>C</v>
      </c>
      <c r="H5041">
        <v>3</v>
      </c>
      <c r="I5041">
        <v>0.9434027777777777</v>
      </c>
      <c r="J5041">
        <v>44797</v>
      </c>
    </row>
    <row r="5042" spans="1:10" x14ac:dyDescent="0.35">
      <c r="A5042" s="2">
        <v>44789</v>
      </c>
      <c r="B5042" s="3">
        <v>0.31528935185185186</v>
      </c>
      <c r="C5042">
        <v>6802</v>
      </c>
      <c r="D5042" t="str">
        <f>VLOOKUP(H5042,Produkt!$A$2:$B$5,2,FALSE)</f>
        <v>A</v>
      </c>
      <c r="H5042">
        <v>1</v>
      </c>
      <c r="I5042">
        <v>0.44978009259259261</v>
      </c>
      <c r="J5042">
        <v>44785</v>
      </c>
    </row>
    <row r="5043" spans="1:10" x14ac:dyDescent="0.35">
      <c r="A5043" s="2">
        <v>44789</v>
      </c>
      <c r="B5043" s="3">
        <v>0.54006944444444438</v>
      </c>
      <c r="C5043">
        <v>6806</v>
      </c>
      <c r="D5043" t="str">
        <f>VLOOKUP(H5043,Produkt!$A$2:$B$5,2,FALSE)</f>
        <v>B</v>
      </c>
      <c r="H5043">
        <v>2</v>
      </c>
      <c r="I5043">
        <v>0.99701388888888898</v>
      </c>
      <c r="J5043">
        <v>44793</v>
      </c>
    </row>
    <row r="5044" spans="1:10" x14ac:dyDescent="0.35">
      <c r="A5044" s="2">
        <v>44789</v>
      </c>
      <c r="B5044" s="3">
        <v>3.7372685185185217E-2</v>
      </c>
      <c r="C5044">
        <v>6905</v>
      </c>
      <c r="D5044" t="str">
        <f>VLOOKUP(H5044,Produkt!$A$2:$B$5,2,FALSE)</f>
        <v>D</v>
      </c>
      <c r="H5044">
        <v>4</v>
      </c>
      <c r="I5044">
        <v>0.52844907407407404</v>
      </c>
      <c r="J5044">
        <v>44795</v>
      </c>
    </row>
    <row r="5045" spans="1:10" x14ac:dyDescent="0.35">
      <c r="A5045" s="2">
        <v>44789</v>
      </c>
      <c r="B5045" s="3">
        <v>0.18369212962962964</v>
      </c>
      <c r="C5045">
        <v>6915</v>
      </c>
      <c r="D5045" t="str">
        <f>VLOOKUP(H5045,Produkt!$A$2:$B$5,2,FALSE)</f>
        <v>B</v>
      </c>
      <c r="H5045">
        <v>2</v>
      </c>
      <c r="I5045">
        <v>0.94111111111111112</v>
      </c>
      <c r="J5045">
        <v>44799</v>
      </c>
    </row>
    <row r="5046" spans="1:10" x14ac:dyDescent="0.35">
      <c r="A5046" s="2">
        <v>44789</v>
      </c>
      <c r="B5046" s="3">
        <v>4.7766203703703707E-2</v>
      </c>
      <c r="C5046">
        <v>6963</v>
      </c>
      <c r="D5046" t="str">
        <f>VLOOKUP(H5046,Produkt!$A$2:$B$5,2,FALSE)</f>
        <v>C</v>
      </c>
      <c r="H5046">
        <v>3</v>
      </c>
      <c r="I5046">
        <v>0.1958101851851852</v>
      </c>
      <c r="J5046">
        <v>44779</v>
      </c>
    </row>
    <row r="5047" spans="1:10" x14ac:dyDescent="0.35">
      <c r="A5047" s="2">
        <v>44789</v>
      </c>
      <c r="B5047" s="3">
        <v>0.56486111111111115</v>
      </c>
      <c r="C5047">
        <v>6991</v>
      </c>
      <c r="D5047" t="str">
        <f>VLOOKUP(H5047,Produkt!$A$2:$B$5,2,FALSE)</f>
        <v>A</v>
      </c>
      <c r="H5047">
        <v>1</v>
      </c>
      <c r="I5047">
        <v>0.92993055555555559</v>
      </c>
      <c r="J5047">
        <v>44775</v>
      </c>
    </row>
    <row r="5048" spans="1:10" x14ac:dyDescent="0.35">
      <c r="A5048" s="2">
        <v>44789</v>
      </c>
      <c r="B5048" s="3">
        <v>0.84841435185185177</v>
      </c>
      <c r="C5048">
        <v>7009</v>
      </c>
      <c r="D5048" t="str">
        <f>VLOOKUP(H5048,Produkt!$A$2:$B$5,2,FALSE)</f>
        <v>B</v>
      </c>
      <c r="H5048">
        <v>2</v>
      </c>
      <c r="I5048">
        <v>0.62292824074074071</v>
      </c>
      <c r="J5048">
        <v>44785</v>
      </c>
    </row>
    <row r="5049" spans="1:10" x14ac:dyDescent="0.35">
      <c r="A5049" s="2">
        <v>44789</v>
      </c>
      <c r="B5049" s="3">
        <v>0.9541087962962963</v>
      </c>
      <c r="C5049">
        <v>7017</v>
      </c>
      <c r="D5049" t="str">
        <f>VLOOKUP(H5049,Produkt!$A$2:$B$5,2,FALSE)</f>
        <v>D</v>
      </c>
      <c r="H5049">
        <v>4</v>
      </c>
      <c r="I5049">
        <v>0.89289351851851861</v>
      </c>
      <c r="J5049">
        <v>44774</v>
      </c>
    </row>
    <row r="5050" spans="1:10" x14ac:dyDescent="0.35">
      <c r="A5050" s="2">
        <v>44789</v>
      </c>
      <c r="B5050" s="3">
        <v>0.83018518518518514</v>
      </c>
      <c r="C5050">
        <v>7077</v>
      </c>
      <c r="D5050" t="str">
        <f>VLOOKUP(H5050,Produkt!$A$2:$B$5,2,FALSE)</f>
        <v>C</v>
      </c>
      <c r="H5050">
        <v>3</v>
      </c>
      <c r="I5050">
        <v>0.77925925925925921</v>
      </c>
      <c r="J5050">
        <v>44795</v>
      </c>
    </row>
    <row r="5051" spans="1:10" x14ac:dyDescent="0.35">
      <c r="A5051" s="2">
        <v>44789</v>
      </c>
      <c r="B5051" s="3">
        <v>0.98834490740740744</v>
      </c>
      <c r="C5051">
        <v>7094</v>
      </c>
      <c r="D5051" t="str">
        <f>VLOOKUP(H5051,Produkt!$A$2:$B$5,2,FALSE)</f>
        <v>C</v>
      </c>
      <c r="H5051">
        <v>3</v>
      </c>
      <c r="I5051">
        <v>0.96748842592592599</v>
      </c>
      <c r="J5051">
        <v>44795</v>
      </c>
    </row>
    <row r="5052" spans="1:10" x14ac:dyDescent="0.35">
      <c r="A5052" s="2">
        <v>44789</v>
      </c>
      <c r="B5052" s="3">
        <v>3.1516203703703706E-2</v>
      </c>
      <c r="C5052">
        <v>7112</v>
      </c>
      <c r="D5052" t="str">
        <f>VLOOKUP(H5052,Produkt!$A$2:$B$5,2,FALSE)</f>
        <v>C</v>
      </c>
      <c r="H5052">
        <v>3</v>
      </c>
      <c r="I5052">
        <v>0.22747685185185185</v>
      </c>
      <c r="J5052">
        <v>44792</v>
      </c>
    </row>
    <row r="5053" spans="1:10" x14ac:dyDescent="0.35">
      <c r="A5053" s="2">
        <v>44789</v>
      </c>
      <c r="B5053" s="3">
        <v>0.38707175925925924</v>
      </c>
      <c r="C5053">
        <v>7121</v>
      </c>
      <c r="D5053" t="str">
        <f>VLOOKUP(H5053,Produkt!$A$2:$B$5,2,FALSE)</f>
        <v>A</v>
      </c>
      <c r="H5053">
        <v>1</v>
      </c>
      <c r="I5053">
        <v>0.41116898148148145</v>
      </c>
      <c r="J5053">
        <v>44792</v>
      </c>
    </row>
    <row r="5054" spans="1:10" x14ac:dyDescent="0.35">
      <c r="A5054" s="2">
        <v>44789</v>
      </c>
      <c r="B5054" s="3">
        <v>0.1683564814814815</v>
      </c>
      <c r="C5054">
        <v>7185</v>
      </c>
      <c r="D5054" t="str">
        <f>VLOOKUP(H5054,Produkt!$A$2:$B$5,2,FALSE)</f>
        <v>C</v>
      </c>
      <c r="H5054">
        <v>3</v>
      </c>
      <c r="I5054">
        <v>6.0185185185186452E-3</v>
      </c>
      <c r="J5054">
        <v>44779</v>
      </c>
    </row>
    <row r="5055" spans="1:10" x14ac:dyDescent="0.35">
      <c r="A5055" s="2">
        <v>44789</v>
      </c>
      <c r="B5055" s="3">
        <v>0.21834490740740742</v>
      </c>
      <c r="C5055">
        <v>7228</v>
      </c>
      <c r="D5055" t="str">
        <f>VLOOKUP(H5055,Produkt!$A$2:$B$5,2,FALSE)</f>
        <v>D</v>
      </c>
      <c r="H5055">
        <v>4</v>
      </c>
      <c r="I5055">
        <v>0.65353009259259254</v>
      </c>
      <c r="J5055">
        <v>44777</v>
      </c>
    </row>
    <row r="5056" spans="1:10" x14ac:dyDescent="0.35">
      <c r="A5056" s="2">
        <v>44789</v>
      </c>
      <c r="B5056" s="3">
        <v>0.60430555555555554</v>
      </c>
      <c r="C5056">
        <v>7255</v>
      </c>
      <c r="D5056" t="str">
        <f>VLOOKUP(H5056,Produkt!$A$2:$B$5,2,FALSE)</f>
        <v>C</v>
      </c>
      <c r="H5056">
        <v>3</v>
      </c>
      <c r="I5056">
        <v>8.184027777777779E-2</v>
      </c>
      <c r="J5056">
        <v>44795</v>
      </c>
    </row>
    <row r="5057" spans="1:10" x14ac:dyDescent="0.35">
      <c r="A5057" s="2">
        <v>44789</v>
      </c>
      <c r="B5057" s="3">
        <v>0.78648148148148145</v>
      </c>
      <c r="C5057">
        <v>7280</v>
      </c>
      <c r="D5057" t="str">
        <f>VLOOKUP(H5057,Produkt!$A$2:$B$5,2,FALSE)</f>
        <v>A</v>
      </c>
      <c r="H5057">
        <v>1</v>
      </c>
      <c r="I5057">
        <v>0.388125</v>
      </c>
      <c r="J5057">
        <v>44795</v>
      </c>
    </row>
    <row r="5058" spans="1:10" x14ac:dyDescent="0.35">
      <c r="A5058" s="2">
        <v>44789</v>
      </c>
      <c r="B5058" s="3">
        <v>0.11907407407407407</v>
      </c>
      <c r="C5058">
        <v>7317</v>
      </c>
      <c r="D5058" t="str">
        <f>VLOOKUP(H5058,Produkt!$A$2:$B$5,2,FALSE)</f>
        <v>D</v>
      </c>
      <c r="H5058">
        <v>4</v>
      </c>
      <c r="I5058">
        <v>0.20197916666666668</v>
      </c>
      <c r="J5058">
        <v>44788</v>
      </c>
    </row>
    <row r="5059" spans="1:10" x14ac:dyDescent="0.35">
      <c r="A5059" s="2">
        <v>44789</v>
      </c>
      <c r="B5059" s="3">
        <v>0.583125</v>
      </c>
      <c r="C5059">
        <v>7339</v>
      </c>
      <c r="D5059" t="str">
        <f>VLOOKUP(H5059,Produkt!$A$2:$B$5,2,FALSE)</f>
        <v>A</v>
      </c>
      <c r="H5059">
        <v>1</v>
      </c>
      <c r="I5059">
        <v>9.1284722222222225E-2</v>
      </c>
      <c r="J5059">
        <v>44792</v>
      </c>
    </row>
    <row r="5060" spans="1:10" x14ac:dyDescent="0.35">
      <c r="A5060" s="2">
        <v>44789</v>
      </c>
      <c r="B5060" s="3">
        <v>0.70630787037037035</v>
      </c>
      <c r="C5060">
        <v>7352</v>
      </c>
      <c r="D5060" t="str">
        <f>VLOOKUP(H5060,Produkt!$A$2:$B$5,2,FALSE)</f>
        <v>B</v>
      </c>
      <c r="H5060">
        <v>2</v>
      </c>
      <c r="I5060">
        <v>2.0925925925925928E-2</v>
      </c>
      <c r="J5060">
        <v>44787</v>
      </c>
    </row>
    <row r="5061" spans="1:10" x14ac:dyDescent="0.35">
      <c r="A5061" s="2">
        <v>44789</v>
      </c>
      <c r="B5061" s="3">
        <v>0.21223379629629632</v>
      </c>
      <c r="C5061">
        <v>7375</v>
      </c>
      <c r="D5061" t="str">
        <f>VLOOKUP(H5061,Produkt!$A$2:$B$5,2,FALSE)</f>
        <v>D</v>
      </c>
      <c r="H5061">
        <v>4</v>
      </c>
      <c r="I5061">
        <v>0.26957175925925925</v>
      </c>
      <c r="J5061">
        <v>44786</v>
      </c>
    </row>
    <row r="5062" spans="1:10" x14ac:dyDescent="0.35">
      <c r="A5062" s="2">
        <v>44789</v>
      </c>
      <c r="B5062" s="3">
        <v>0.44893518518518521</v>
      </c>
      <c r="C5062">
        <v>7400</v>
      </c>
      <c r="D5062" t="str">
        <f>VLOOKUP(H5062,Produkt!$A$2:$B$5,2,FALSE)</f>
        <v>D</v>
      </c>
      <c r="H5062">
        <v>4</v>
      </c>
      <c r="I5062">
        <v>0.301724537037037</v>
      </c>
      <c r="J5062">
        <v>44783</v>
      </c>
    </row>
    <row r="5063" spans="1:10" x14ac:dyDescent="0.35">
      <c r="A5063" s="2">
        <v>44789</v>
      </c>
      <c r="B5063" s="3">
        <v>0.22542824074074075</v>
      </c>
      <c r="C5063">
        <v>7465</v>
      </c>
      <c r="D5063" t="str">
        <f>VLOOKUP(H5063,Produkt!$A$2:$B$5,2,FALSE)</f>
        <v>D</v>
      </c>
      <c r="H5063">
        <v>4</v>
      </c>
      <c r="I5063">
        <v>0.97138888888888886</v>
      </c>
      <c r="J5063">
        <v>44780</v>
      </c>
    </row>
    <row r="5064" spans="1:10" x14ac:dyDescent="0.35">
      <c r="A5064" s="2">
        <v>44789</v>
      </c>
      <c r="B5064" s="3">
        <v>0.72012731481481485</v>
      </c>
      <c r="C5064">
        <v>7467</v>
      </c>
      <c r="D5064" t="str">
        <f>VLOOKUP(H5064,Produkt!$A$2:$B$5,2,FALSE)</f>
        <v>C</v>
      </c>
      <c r="H5064">
        <v>3</v>
      </c>
      <c r="I5064">
        <v>0.49111111111111111</v>
      </c>
      <c r="J5064">
        <v>44791</v>
      </c>
    </row>
    <row r="5065" spans="1:10" x14ac:dyDescent="0.35">
      <c r="A5065" s="2">
        <v>44789</v>
      </c>
      <c r="B5065" s="3">
        <v>0.64212962962962961</v>
      </c>
      <c r="C5065">
        <v>7486</v>
      </c>
      <c r="D5065" t="str">
        <f>VLOOKUP(H5065,Produkt!$A$2:$B$5,2,FALSE)</f>
        <v>A</v>
      </c>
      <c r="H5065">
        <v>1</v>
      </c>
      <c r="I5065">
        <v>6.1828703703703712E-2</v>
      </c>
      <c r="J5065">
        <v>44801</v>
      </c>
    </row>
    <row r="5066" spans="1:10" x14ac:dyDescent="0.35">
      <c r="A5066" s="2">
        <v>44789</v>
      </c>
      <c r="B5066" s="3">
        <v>0.35493055555555553</v>
      </c>
      <c r="C5066">
        <v>7488</v>
      </c>
      <c r="D5066" t="str">
        <f>VLOOKUP(H5066,Produkt!$A$2:$B$5,2,FALSE)</f>
        <v>C</v>
      </c>
      <c r="H5066">
        <v>3</v>
      </c>
      <c r="I5066">
        <v>0.84354166666666675</v>
      </c>
      <c r="J5066">
        <v>44787</v>
      </c>
    </row>
    <row r="5067" spans="1:10" x14ac:dyDescent="0.35">
      <c r="A5067" s="2">
        <v>44789</v>
      </c>
      <c r="B5067" s="3">
        <v>0.30555555555555552</v>
      </c>
      <c r="C5067">
        <v>7578</v>
      </c>
      <c r="D5067" t="str">
        <f>VLOOKUP(H5067,Produkt!$A$2:$B$5,2,FALSE)</f>
        <v>C</v>
      </c>
      <c r="H5067">
        <v>3</v>
      </c>
      <c r="I5067">
        <v>0.18280092592592592</v>
      </c>
      <c r="J5067">
        <v>44785</v>
      </c>
    </row>
    <row r="5068" spans="1:10" x14ac:dyDescent="0.35">
      <c r="A5068" s="2">
        <v>44789</v>
      </c>
      <c r="B5068" s="3">
        <v>0.17318287037037036</v>
      </c>
      <c r="C5068">
        <v>7603</v>
      </c>
      <c r="D5068" t="str">
        <f>VLOOKUP(H5068,Produkt!$A$2:$B$5,2,FALSE)</f>
        <v>A</v>
      </c>
      <c r="H5068">
        <v>1</v>
      </c>
      <c r="I5068">
        <v>0.40370370370370368</v>
      </c>
      <c r="J5068">
        <v>44776</v>
      </c>
    </row>
    <row r="5069" spans="1:10" x14ac:dyDescent="0.35">
      <c r="A5069" s="2">
        <v>44789</v>
      </c>
      <c r="B5069" s="3">
        <v>0.18511574074074075</v>
      </c>
      <c r="C5069">
        <v>7608</v>
      </c>
      <c r="D5069" t="str">
        <f>VLOOKUP(H5069,Produkt!$A$2:$B$5,2,FALSE)</f>
        <v>B</v>
      </c>
      <c r="H5069">
        <v>2</v>
      </c>
      <c r="I5069">
        <v>0.89204861111111111</v>
      </c>
      <c r="J5069">
        <v>44782</v>
      </c>
    </row>
    <row r="5070" spans="1:10" x14ac:dyDescent="0.35">
      <c r="A5070" s="2">
        <v>44789</v>
      </c>
      <c r="B5070" s="3">
        <v>0.48082175925925924</v>
      </c>
      <c r="C5070">
        <v>7621</v>
      </c>
      <c r="D5070" t="str">
        <f>VLOOKUP(H5070,Produkt!$A$2:$B$5,2,FALSE)</f>
        <v>D</v>
      </c>
      <c r="H5070">
        <v>4</v>
      </c>
      <c r="I5070">
        <v>1.4143518518518583E-2</v>
      </c>
      <c r="J5070">
        <v>44775</v>
      </c>
    </row>
    <row r="5071" spans="1:10" x14ac:dyDescent="0.35">
      <c r="A5071" s="2">
        <v>44789</v>
      </c>
      <c r="B5071" s="3">
        <v>0.36679398148148151</v>
      </c>
      <c r="C5071">
        <v>7647</v>
      </c>
      <c r="D5071" t="str">
        <f>VLOOKUP(H5071,Produkt!$A$2:$B$5,2,FALSE)</f>
        <v>A</v>
      </c>
      <c r="H5071">
        <v>1</v>
      </c>
      <c r="I5071">
        <v>0.12509259259259259</v>
      </c>
      <c r="J5071">
        <v>44795</v>
      </c>
    </row>
    <row r="5072" spans="1:10" x14ac:dyDescent="0.35">
      <c r="A5072" s="2">
        <v>44789</v>
      </c>
      <c r="B5072" s="3">
        <v>1.1342592592591405E-3</v>
      </c>
      <c r="C5072">
        <v>7654</v>
      </c>
      <c r="D5072" t="str">
        <f>VLOOKUP(H5072,Produkt!$A$2:$B$5,2,FALSE)</f>
        <v>D</v>
      </c>
      <c r="H5072">
        <v>4</v>
      </c>
      <c r="I5072">
        <v>0.19881944444444444</v>
      </c>
      <c r="J5072">
        <v>44797</v>
      </c>
    </row>
    <row r="5073" spans="1:10" x14ac:dyDescent="0.35">
      <c r="A5073" s="2">
        <v>44789</v>
      </c>
      <c r="B5073" s="3">
        <v>0.78972222222222221</v>
      </c>
      <c r="C5073">
        <v>7733</v>
      </c>
      <c r="D5073" t="str">
        <f>VLOOKUP(H5073,Produkt!$A$2:$B$5,2,FALSE)</f>
        <v>A</v>
      </c>
      <c r="H5073">
        <v>1</v>
      </c>
      <c r="I5073">
        <v>0.63638888888888889</v>
      </c>
      <c r="J5073">
        <v>44783</v>
      </c>
    </row>
    <row r="5074" spans="1:10" x14ac:dyDescent="0.35">
      <c r="A5074" s="2">
        <v>44789</v>
      </c>
      <c r="B5074" s="3">
        <v>2.2430555555555554E-2</v>
      </c>
      <c r="C5074">
        <v>7735</v>
      </c>
      <c r="D5074" t="str">
        <f>VLOOKUP(H5074,Produkt!$A$2:$B$5,2,FALSE)</f>
        <v>C</v>
      </c>
      <c r="H5074">
        <v>3</v>
      </c>
      <c r="I5074">
        <v>0.27454861111111112</v>
      </c>
      <c r="J5074">
        <v>44783</v>
      </c>
    </row>
    <row r="5075" spans="1:10" x14ac:dyDescent="0.35">
      <c r="A5075" s="2">
        <v>44789</v>
      </c>
      <c r="B5075" s="3">
        <v>7.2175925925925921E-2</v>
      </c>
      <c r="C5075">
        <v>7835</v>
      </c>
      <c r="D5075" t="str">
        <f>VLOOKUP(H5075,Produkt!$A$2:$B$5,2,FALSE)</f>
        <v>C</v>
      </c>
      <c r="H5075">
        <v>3</v>
      </c>
      <c r="I5075">
        <v>0.96887731481481476</v>
      </c>
      <c r="J5075">
        <v>44779</v>
      </c>
    </row>
    <row r="5076" spans="1:10" x14ac:dyDescent="0.35">
      <c r="A5076" s="2">
        <v>44789</v>
      </c>
      <c r="B5076" s="3">
        <v>0.40052083333333338</v>
      </c>
      <c r="C5076">
        <v>7842</v>
      </c>
      <c r="D5076" t="str">
        <f>VLOOKUP(H5076,Produkt!$A$2:$B$5,2,FALSE)</f>
        <v>D</v>
      </c>
      <c r="H5076">
        <v>4</v>
      </c>
      <c r="I5076">
        <v>0.73739583333333336</v>
      </c>
      <c r="J5076">
        <v>44785</v>
      </c>
    </row>
    <row r="5077" spans="1:10" x14ac:dyDescent="0.35">
      <c r="A5077" s="2">
        <v>44789</v>
      </c>
      <c r="B5077" s="3">
        <v>0.53634259259259254</v>
      </c>
      <c r="C5077">
        <v>7943</v>
      </c>
      <c r="D5077" t="str">
        <f>VLOOKUP(H5077,Produkt!$A$2:$B$5,2,FALSE)</f>
        <v>B</v>
      </c>
      <c r="H5077">
        <v>2</v>
      </c>
      <c r="I5077">
        <v>0.3052199074074074</v>
      </c>
      <c r="J5077">
        <v>44802</v>
      </c>
    </row>
    <row r="5078" spans="1:10" x14ac:dyDescent="0.35">
      <c r="A5078" s="2">
        <v>44789</v>
      </c>
      <c r="B5078" s="3">
        <v>0.78620370370370374</v>
      </c>
      <c r="C5078">
        <v>7976</v>
      </c>
      <c r="D5078" t="str">
        <f>VLOOKUP(H5078,Produkt!$A$2:$B$5,2,FALSE)</f>
        <v>B</v>
      </c>
      <c r="H5078">
        <v>2</v>
      </c>
      <c r="I5078">
        <v>0.14997685185185186</v>
      </c>
      <c r="J5078">
        <v>44787</v>
      </c>
    </row>
    <row r="5079" spans="1:10" x14ac:dyDescent="0.35">
      <c r="A5079" s="2">
        <v>44789</v>
      </c>
      <c r="B5079" s="3">
        <v>0.98277777777777775</v>
      </c>
      <c r="C5079">
        <v>7988</v>
      </c>
      <c r="D5079" t="str">
        <f>VLOOKUP(H5079,Produkt!$A$2:$B$5,2,FALSE)</f>
        <v>B</v>
      </c>
      <c r="H5079">
        <v>2</v>
      </c>
      <c r="I5079">
        <v>2.6215277777777778E-2</v>
      </c>
      <c r="J5079">
        <v>44793</v>
      </c>
    </row>
    <row r="5080" spans="1:10" x14ac:dyDescent="0.35">
      <c r="A5080" s="2">
        <v>44789</v>
      </c>
      <c r="B5080" s="3">
        <v>0.50543981481481481</v>
      </c>
      <c r="C5080">
        <v>8022</v>
      </c>
      <c r="D5080" t="str">
        <f>VLOOKUP(H5080,Produkt!$A$2:$B$5,2,FALSE)</f>
        <v>B</v>
      </c>
      <c r="H5080">
        <v>2</v>
      </c>
      <c r="I5080">
        <v>0.86021990740740739</v>
      </c>
      <c r="J5080">
        <v>44803</v>
      </c>
    </row>
    <row r="5081" spans="1:10" x14ac:dyDescent="0.35">
      <c r="A5081" s="2">
        <v>44789</v>
      </c>
      <c r="B5081" s="3">
        <v>0.87466435185185187</v>
      </c>
      <c r="C5081">
        <v>8034</v>
      </c>
      <c r="D5081" t="str">
        <f>VLOOKUP(H5081,Produkt!$A$2:$B$5,2,FALSE)</f>
        <v>C</v>
      </c>
      <c r="H5081">
        <v>3</v>
      </c>
      <c r="I5081">
        <v>0.27793981481481483</v>
      </c>
      <c r="J5081">
        <v>44794</v>
      </c>
    </row>
    <row r="5082" spans="1:10" x14ac:dyDescent="0.35">
      <c r="A5082" s="2">
        <v>44789</v>
      </c>
      <c r="B5082" s="3">
        <v>0.95030092592592597</v>
      </c>
      <c r="C5082">
        <v>8056</v>
      </c>
      <c r="D5082" t="str">
        <f>VLOOKUP(H5082,Produkt!$A$2:$B$5,2,FALSE)</f>
        <v>B</v>
      </c>
      <c r="H5082">
        <v>2</v>
      </c>
      <c r="I5082">
        <v>0.52432870370370377</v>
      </c>
      <c r="J5082">
        <v>44778</v>
      </c>
    </row>
    <row r="5083" spans="1:10" x14ac:dyDescent="0.35">
      <c r="A5083" s="2">
        <v>44789</v>
      </c>
      <c r="B5083" s="3">
        <v>0.38092592592592589</v>
      </c>
      <c r="C5083">
        <v>8072</v>
      </c>
      <c r="D5083" t="str">
        <f>VLOOKUP(H5083,Produkt!$A$2:$B$5,2,FALSE)</f>
        <v>B</v>
      </c>
      <c r="H5083">
        <v>2</v>
      </c>
      <c r="I5083">
        <v>2.4270833333333242E-2</v>
      </c>
      <c r="J5083">
        <v>44774</v>
      </c>
    </row>
    <row r="5084" spans="1:10" x14ac:dyDescent="0.35">
      <c r="A5084" s="2">
        <v>44789</v>
      </c>
      <c r="B5084" s="3">
        <v>0.80451388888888886</v>
      </c>
      <c r="C5084">
        <v>8079</v>
      </c>
      <c r="D5084" t="str">
        <f>VLOOKUP(H5084,Produkt!$A$2:$B$5,2,FALSE)</f>
        <v>A</v>
      </c>
      <c r="H5084">
        <v>1</v>
      </c>
      <c r="I5084">
        <v>0.11575231481481481</v>
      </c>
      <c r="J5084">
        <v>44796</v>
      </c>
    </row>
    <row r="5085" spans="1:10" x14ac:dyDescent="0.35">
      <c r="A5085" s="2">
        <v>44789</v>
      </c>
      <c r="B5085" s="3">
        <v>0.52462962962962967</v>
      </c>
      <c r="C5085">
        <v>8103</v>
      </c>
      <c r="D5085" t="str">
        <f>VLOOKUP(H5085,Produkt!$A$2:$B$5,2,FALSE)</f>
        <v>D</v>
      </c>
      <c r="H5085">
        <v>4</v>
      </c>
      <c r="I5085">
        <v>0.77974537037037039</v>
      </c>
      <c r="J5085">
        <v>44801</v>
      </c>
    </row>
    <row r="5086" spans="1:10" x14ac:dyDescent="0.35">
      <c r="A5086" s="2">
        <v>44789</v>
      </c>
      <c r="B5086" s="3">
        <v>0.32065972222222222</v>
      </c>
      <c r="C5086">
        <v>8114</v>
      </c>
      <c r="D5086" t="str">
        <f>VLOOKUP(H5086,Produkt!$A$2:$B$5,2,FALSE)</f>
        <v>B</v>
      </c>
      <c r="H5086">
        <v>2</v>
      </c>
      <c r="I5086">
        <v>0.65942129629629631</v>
      </c>
      <c r="J5086">
        <v>44782</v>
      </c>
    </row>
    <row r="5087" spans="1:10" x14ac:dyDescent="0.35">
      <c r="A5087" s="2">
        <v>44789</v>
      </c>
      <c r="B5087" s="3">
        <v>0.35184027777777777</v>
      </c>
      <c r="C5087">
        <v>8150</v>
      </c>
      <c r="D5087" t="str">
        <f>VLOOKUP(H5087,Produkt!$A$2:$B$5,2,FALSE)</f>
        <v>C</v>
      </c>
      <c r="H5087">
        <v>3</v>
      </c>
      <c r="I5087">
        <v>0.6968981481481481</v>
      </c>
      <c r="J5087">
        <v>44800</v>
      </c>
    </row>
    <row r="5088" spans="1:10" x14ac:dyDescent="0.35">
      <c r="A5088" s="2">
        <v>44789</v>
      </c>
      <c r="B5088" s="3">
        <v>0.45450231481481485</v>
      </c>
      <c r="C5088">
        <v>8178</v>
      </c>
      <c r="D5088" t="str">
        <f>VLOOKUP(H5088,Produkt!$A$2:$B$5,2,FALSE)</f>
        <v>B</v>
      </c>
      <c r="H5088">
        <v>2</v>
      </c>
      <c r="I5088">
        <v>0.10385416666666668</v>
      </c>
      <c r="J5088">
        <v>44804</v>
      </c>
    </row>
    <row r="5089" spans="1:10" x14ac:dyDescent="0.35">
      <c r="A5089" s="2">
        <v>44789</v>
      </c>
      <c r="B5089" s="3">
        <v>0.39513888888888887</v>
      </c>
      <c r="C5089">
        <v>8261</v>
      </c>
      <c r="D5089" t="str">
        <f>VLOOKUP(H5089,Produkt!$A$2:$B$5,2,FALSE)</f>
        <v>A</v>
      </c>
      <c r="H5089">
        <v>1</v>
      </c>
      <c r="I5089">
        <v>3.4131944444444444E-2</v>
      </c>
      <c r="J5089">
        <v>44779</v>
      </c>
    </row>
    <row r="5090" spans="1:10" x14ac:dyDescent="0.35">
      <c r="A5090" s="2">
        <v>44789</v>
      </c>
      <c r="B5090" s="3">
        <v>0.16203703703703703</v>
      </c>
      <c r="C5090">
        <v>8323</v>
      </c>
      <c r="D5090" t="str">
        <f>VLOOKUP(H5090,Produkt!$A$2:$B$5,2,FALSE)</f>
        <v>C</v>
      </c>
      <c r="H5090">
        <v>3</v>
      </c>
      <c r="I5090">
        <v>0.67328703703703707</v>
      </c>
      <c r="J5090">
        <v>44781</v>
      </c>
    </row>
    <row r="5091" spans="1:10" x14ac:dyDescent="0.35">
      <c r="A5091" s="2">
        <v>44789</v>
      </c>
      <c r="B5091" s="3">
        <v>2.3298611111111089E-2</v>
      </c>
      <c r="C5091">
        <v>8376</v>
      </c>
      <c r="D5091" t="str">
        <f>VLOOKUP(H5091,Produkt!$A$2:$B$5,2,FALSE)</f>
        <v>D</v>
      </c>
      <c r="H5091">
        <v>4</v>
      </c>
      <c r="I5091">
        <v>0.68017361111111108</v>
      </c>
      <c r="J5091">
        <v>44791</v>
      </c>
    </row>
    <row r="5092" spans="1:10" x14ac:dyDescent="0.35">
      <c r="A5092" s="2">
        <v>44789</v>
      </c>
      <c r="B5092" s="3">
        <v>0.94802083333333342</v>
      </c>
      <c r="C5092">
        <v>8422</v>
      </c>
      <c r="D5092" t="str">
        <f>VLOOKUP(H5092,Produkt!$A$2:$B$5,2,FALSE)</f>
        <v>A</v>
      </c>
      <c r="H5092">
        <v>1</v>
      </c>
      <c r="I5092">
        <v>0.33185185185185184</v>
      </c>
      <c r="J5092">
        <v>44798</v>
      </c>
    </row>
    <row r="5093" spans="1:10" x14ac:dyDescent="0.35">
      <c r="A5093" s="2">
        <v>44789</v>
      </c>
      <c r="B5093" s="3">
        <v>0.18583333333333332</v>
      </c>
      <c r="C5093">
        <v>8461</v>
      </c>
      <c r="D5093" t="str">
        <f>VLOOKUP(H5093,Produkt!$A$2:$B$5,2,FALSE)</f>
        <v>B</v>
      </c>
      <c r="H5093">
        <v>2</v>
      </c>
      <c r="I5093">
        <v>0.14368055555555556</v>
      </c>
      <c r="J5093">
        <v>44790</v>
      </c>
    </row>
    <row r="5094" spans="1:10" x14ac:dyDescent="0.35">
      <c r="A5094" s="2">
        <v>44789</v>
      </c>
      <c r="B5094" s="3">
        <v>0.2089699074074074</v>
      </c>
      <c r="C5094">
        <v>8467</v>
      </c>
      <c r="D5094" t="str">
        <f>VLOOKUP(H5094,Produkt!$A$2:$B$5,2,FALSE)</f>
        <v>A</v>
      </c>
      <c r="H5094">
        <v>1</v>
      </c>
      <c r="I5094">
        <v>0.17255787037037038</v>
      </c>
      <c r="J5094">
        <v>44795</v>
      </c>
    </row>
    <row r="5095" spans="1:10" x14ac:dyDescent="0.35">
      <c r="A5095" s="2">
        <v>44789</v>
      </c>
      <c r="B5095" s="3">
        <v>0.13699074074074075</v>
      </c>
      <c r="C5095">
        <v>8479</v>
      </c>
      <c r="D5095" t="str">
        <f>VLOOKUP(H5095,Produkt!$A$2:$B$5,2,FALSE)</f>
        <v>B</v>
      </c>
      <c r="H5095">
        <v>2</v>
      </c>
      <c r="I5095">
        <v>0.21753472222222223</v>
      </c>
      <c r="J5095">
        <v>44800</v>
      </c>
    </row>
    <row r="5096" spans="1:10" x14ac:dyDescent="0.35">
      <c r="A5096" s="2">
        <v>44789</v>
      </c>
      <c r="B5096" s="3">
        <v>0.86285879629629625</v>
      </c>
      <c r="C5096">
        <v>8557</v>
      </c>
      <c r="D5096" t="str">
        <f>VLOOKUP(H5096,Produkt!$A$2:$B$5,2,FALSE)</f>
        <v>B</v>
      </c>
      <c r="H5096">
        <v>2</v>
      </c>
      <c r="I5096">
        <v>0.64598379629629632</v>
      </c>
      <c r="J5096">
        <v>44796</v>
      </c>
    </row>
    <row r="5097" spans="1:10" x14ac:dyDescent="0.35">
      <c r="A5097" s="2">
        <v>44789</v>
      </c>
      <c r="B5097" s="3">
        <v>0.88261574074074067</v>
      </c>
      <c r="C5097">
        <v>8658</v>
      </c>
      <c r="D5097" t="str">
        <f>VLOOKUP(H5097,Produkt!$A$2:$B$5,2,FALSE)</f>
        <v>D</v>
      </c>
      <c r="H5097">
        <v>4</v>
      </c>
      <c r="I5097">
        <v>0.23194444444444443</v>
      </c>
      <c r="J5097">
        <v>44793</v>
      </c>
    </row>
    <row r="5098" spans="1:10" x14ac:dyDescent="0.35">
      <c r="A5098" s="2">
        <v>44789</v>
      </c>
      <c r="B5098" s="3">
        <v>0.58710648148148148</v>
      </c>
      <c r="C5098">
        <v>8679</v>
      </c>
      <c r="D5098" t="str">
        <f>VLOOKUP(H5098,Produkt!$A$2:$B$5,2,FALSE)</f>
        <v>B</v>
      </c>
      <c r="H5098">
        <v>2</v>
      </c>
      <c r="I5098">
        <v>0.88444444444444448</v>
      </c>
      <c r="J5098">
        <v>44788</v>
      </c>
    </row>
    <row r="5099" spans="1:10" x14ac:dyDescent="0.35">
      <c r="A5099" s="2">
        <v>44789</v>
      </c>
      <c r="B5099" s="3">
        <v>7.6064814814814807E-2</v>
      </c>
      <c r="C5099">
        <v>8705</v>
      </c>
      <c r="D5099" t="str">
        <f>VLOOKUP(H5099,Produkt!$A$2:$B$5,2,FALSE)</f>
        <v>B</v>
      </c>
      <c r="H5099">
        <v>2</v>
      </c>
      <c r="I5099">
        <v>0.64748842592592593</v>
      </c>
      <c r="J5099">
        <v>44787</v>
      </c>
    </row>
    <row r="5100" spans="1:10" x14ac:dyDescent="0.35">
      <c r="A5100" s="2">
        <v>44789</v>
      </c>
      <c r="B5100" s="3">
        <v>0.91420138888888891</v>
      </c>
      <c r="C5100">
        <v>8707</v>
      </c>
      <c r="D5100" t="str">
        <f>VLOOKUP(H5100,Produkt!$A$2:$B$5,2,FALSE)</f>
        <v>C</v>
      </c>
      <c r="H5100">
        <v>3</v>
      </c>
      <c r="I5100">
        <v>0.23648148148148149</v>
      </c>
      <c r="J5100">
        <v>44792</v>
      </c>
    </row>
    <row r="5101" spans="1:10" x14ac:dyDescent="0.35">
      <c r="A5101" s="2">
        <v>44789</v>
      </c>
      <c r="B5101" s="3">
        <v>0.82196759259259267</v>
      </c>
      <c r="C5101">
        <v>8709</v>
      </c>
      <c r="D5101" t="str">
        <f>VLOOKUP(H5101,Produkt!$A$2:$B$5,2,FALSE)</f>
        <v>D</v>
      </c>
      <c r="H5101">
        <v>4</v>
      </c>
      <c r="I5101">
        <v>0.67402777777777778</v>
      </c>
      <c r="J5101">
        <v>44780</v>
      </c>
    </row>
    <row r="5102" spans="1:10" x14ac:dyDescent="0.35">
      <c r="A5102" s="2">
        <v>44789</v>
      </c>
      <c r="B5102" s="3">
        <v>4.063657407407395E-2</v>
      </c>
      <c r="C5102">
        <v>8710</v>
      </c>
      <c r="D5102" t="str">
        <f>VLOOKUP(H5102,Produkt!$A$2:$B$5,2,FALSE)</f>
        <v>C</v>
      </c>
      <c r="H5102">
        <v>3</v>
      </c>
      <c r="I5102">
        <v>8.4722222222222143E-3</v>
      </c>
      <c r="J5102">
        <v>44788</v>
      </c>
    </row>
    <row r="5103" spans="1:10" x14ac:dyDescent="0.35">
      <c r="A5103" s="2">
        <v>44789</v>
      </c>
      <c r="B5103" s="3">
        <v>0.41247685185185184</v>
      </c>
      <c r="C5103">
        <v>8715</v>
      </c>
      <c r="D5103" t="str">
        <f>VLOOKUP(H5103,Produkt!$A$2:$B$5,2,FALSE)</f>
        <v>A</v>
      </c>
      <c r="H5103">
        <v>1</v>
      </c>
      <c r="I5103">
        <v>6.0208333333333336E-2</v>
      </c>
      <c r="J5103">
        <v>44804</v>
      </c>
    </row>
    <row r="5104" spans="1:10" x14ac:dyDescent="0.35">
      <c r="A5104" s="2">
        <v>44789</v>
      </c>
      <c r="B5104" s="3">
        <v>0.99483796296296301</v>
      </c>
      <c r="C5104">
        <v>8777</v>
      </c>
      <c r="D5104" t="str">
        <f>VLOOKUP(H5104,Produkt!$A$2:$B$5,2,FALSE)</f>
        <v>D</v>
      </c>
      <c r="H5104">
        <v>4</v>
      </c>
      <c r="I5104">
        <v>0.92969907407407415</v>
      </c>
      <c r="J5104">
        <v>44804</v>
      </c>
    </row>
    <row r="5105" spans="1:10" x14ac:dyDescent="0.35">
      <c r="A5105" s="2">
        <v>44789</v>
      </c>
      <c r="B5105" s="3">
        <v>0.9684490740740741</v>
      </c>
      <c r="C5105">
        <v>8822</v>
      </c>
      <c r="D5105" t="str">
        <f>VLOOKUP(H5105,Produkt!$A$2:$B$5,2,FALSE)</f>
        <v>A</v>
      </c>
      <c r="H5105">
        <v>1</v>
      </c>
      <c r="I5105">
        <v>0.55758101851851849</v>
      </c>
      <c r="J5105">
        <v>44791</v>
      </c>
    </row>
    <row r="5106" spans="1:10" x14ac:dyDescent="0.35">
      <c r="A5106" s="2">
        <v>44789</v>
      </c>
      <c r="B5106" s="3">
        <v>0.49909722222222225</v>
      </c>
      <c r="C5106">
        <v>8828</v>
      </c>
      <c r="D5106" t="str">
        <f>VLOOKUP(H5106,Produkt!$A$2:$B$5,2,FALSE)</f>
        <v>B</v>
      </c>
      <c r="H5106">
        <v>2</v>
      </c>
      <c r="I5106">
        <v>0.46013888888888888</v>
      </c>
      <c r="J5106">
        <v>44778</v>
      </c>
    </row>
    <row r="5107" spans="1:10" x14ac:dyDescent="0.35">
      <c r="A5107" s="2">
        <v>44789</v>
      </c>
      <c r="B5107" s="3">
        <v>0.65063657407407405</v>
      </c>
      <c r="C5107">
        <v>8842</v>
      </c>
      <c r="D5107" t="str">
        <f>VLOOKUP(H5107,Produkt!$A$2:$B$5,2,FALSE)</f>
        <v>D</v>
      </c>
      <c r="H5107">
        <v>4</v>
      </c>
      <c r="I5107">
        <v>0.7659259259259259</v>
      </c>
      <c r="J5107">
        <v>44788</v>
      </c>
    </row>
    <row r="5108" spans="1:10" x14ac:dyDescent="0.35">
      <c r="A5108" s="2">
        <v>44789</v>
      </c>
      <c r="B5108" s="3">
        <v>0.16565972222222222</v>
      </c>
      <c r="C5108">
        <v>8866</v>
      </c>
      <c r="D5108" t="str">
        <f>VLOOKUP(H5108,Produkt!$A$2:$B$5,2,FALSE)</f>
        <v>A</v>
      </c>
      <c r="H5108">
        <v>1</v>
      </c>
      <c r="I5108">
        <v>4.9548611111111113E-2</v>
      </c>
      <c r="J5108">
        <v>44798</v>
      </c>
    </row>
    <row r="5109" spans="1:10" x14ac:dyDescent="0.35">
      <c r="A5109" s="2">
        <v>44789</v>
      </c>
      <c r="B5109" s="3">
        <v>0.35631944444444441</v>
      </c>
      <c r="C5109">
        <v>8956</v>
      </c>
      <c r="D5109" t="str">
        <f>VLOOKUP(H5109,Produkt!$A$2:$B$5,2,FALSE)</f>
        <v>C</v>
      </c>
      <c r="H5109">
        <v>3</v>
      </c>
      <c r="I5109">
        <v>0.66546296296296303</v>
      </c>
      <c r="J5109">
        <v>44796</v>
      </c>
    </row>
    <row r="5110" spans="1:10" x14ac:dyDescent="0.35">
      <c r="A5110" s="2">
        <v>44789</v>
      </c>
      <c r="B5110" s="3">
        <v>0.74310185185185185</v>
      </c>
      <c r="C5110">
        <v>8978</v>
      </c>
      <c r="D5110" t="str">
        <f>VLOOKUP(H5110,Produkt!$A$2:$B$5,2,FALSE)</f>
        <v>A</v>
      </c>
      <c r="H5110">
        <v>1</v>
      </c>
      <c r="I5110">
        <v>0.94445601851851846</v>
      </c>
      <c r="J5110">
        <v>44792</v>
      </c>
    </row>
    <row r="5111" spans="1:10" x14ac:dyDescent="0.35">
      <c r="A5111" s="2">
        <v>44789</v>
      </c>
      <c r="B5111" s="3">
        <v>0.35789351851851853</v>
      </c>
      <c r="C5111">
        <v>9032</v>
      </c>
      <c r="D5111" t="str">
        <f>VLOOKUP(H5111,Produkt!$A$2:$B$5,2,FALSE)</f>
        <v>B</v>
      </c>
      <c r="H5111">
        <v>2</v>
      </c>
      <c r="I5111">
        <v>6.128472222222222E-2</v>
      </c>
      <c r="J5111">
        <v>44781</v>
      </c>
    </row>
    <row r="5112" spans="1:10" x14ac:dyDescent="0.35">
      <c r="A5112" s="2">
        <v>44789</v>
      </c>
      <c r="B5112" s="3">
        <v>0.99506944444444445</v>
      </c>
      <c r="C5112">
        <v>9060</v>
      </c>
      <c r="D5112" t="str">
        <f>VLOOKUP(H5112,Produkt!$A$2:$B$5,2,FALSE)</f>
        <v>A</v>
      </c>
      <c r="H5112">
        <v>1</v>
      </c>
      <c r="I5112">
        <v>0.42987268518518523</v>
      </c>
      <c r="J5112">
        <v>44779</v>
      </c>
    </row>
    <row r="5113" spans="1:10" x14ac:dyDescent="0.35">
      <c r="A5113" s="2">
        <v>44789</v>
      </c>
      <c r="B5113" s="3">
        <v>0.13119212962962964</v>
      </c>
      <c r="C5113">
        <v>9085</v>
      </c>
      <c r="D5113" t="str">
        <f>VLOOKUP(H5113,Produkt!$A$2:$B$5,2,FALSE)</f>
        <v>D</v>
      </c>
      <c r="H5113">
        <v>4</v>
      </c>
      <c r="I5113">
        <v>0.95336805555555559</v>
      </c>
      <c r="J5113">
        <v>44786</v>
      </c>
    </row>
    <row r="5114" spans="1:10" x14ac:dyDescent="0.35">
      <c r="A5114" s="2">
        <v>44789</v>
      </c>
      <c r="B5114" s="3">
        <v>0.60718749999999999</v>
      </c>
      <c r="C5114">
        <v>9095</v>
      </c>
      <c r="D5114" t="str">
        <f>VLOOKUP(H5114,Produkt!$A$2:$B$5,2,FALSE)</f>
        <v>D</v>
      </c>
      <c r="H5114">
        <v>4</v>
      </c>
      <c r="I5114">
        <v>0.12380787037037037</v>
      </c>
      <c r="J5114">
        <v>44790</v>
      </c>
    </row>
    <row r="5115" spans="1:10" x14ac:dyDescent="0.35">
      <c r="A5115" s="2">
        <v>44789</v>
      </c>
      <c r="B5115" s="3">
        <v>7.2916666666666963E-3</v>
      </c>
      <c r="C5115">
        <v>9168</v>
      </c>
      <c r="D5115" t="str">
        <f>VLOOKUP(H5115,Produkt!$A$2:$B$5,2,FALSE)</f>
        <v>A</v>
      </c>
      <c r="H5115">
        <v>1</v>
      </c>
      <c r="I5115">
        <v>0.16583333333333333</v>
      </c>
      <c r="J5115">
        <v>44779</v>
      </c>
    </row>
    <row r="5116" spans="1:10" x14ac:dyDescent="0.35">
      <c r="A5116" s="2">
        <v>44789</v>
      </c>
      <c r="B5116" s="3">
        <v>0.4576157407407408</v>
      </c>
      <c r="C5116">
        <v>9170</v>
      </c>
      <c r="D5116" t="str">
        <f>VLOOKUP(H5116,Produkt!$A$2:$B$5,2,FALSE)</f>
        <v>D</v>
      </c>
      <c r="H5116">
        <v>4</v>
      </c>
      <c r="I5116">
        <v>0.91973379629629637</v>
      </c>
      <c r="J5116">
        <v>44799</v>
      </c>
    </row>
    <row r="5117" spans="1:10" x14ac:dyDescent="0.35">
      <c r="A5117" s="2">
        <v>44789</v>
      </c>
      <c r="B5117" s="3">
        <v>0.65685185185185191</v>
      </c>
      <c r="C5117">
        <v>9185</v>
      </c>
      <c r="D5117" t="str">
        <f>VLOOKUP(H5117,Produkt!$A$2:$B$5,2,FALSE)</f>
        <v>C</v>
      </c>
      <c r="H5117">
        <v>3</v>
      </c>
      <c r="I5117">
        <v>0.48440972222222217</v>
      </c>
      <c r="J5117">
        <v>44789</v>
      </c>
    </row>
    <row r="5118" spans="1:10" x14ac:dyDescent="0.35">
      <c r="A5118" s="2">
        <v>44789</v>
      </c>
      <c r="B5118" s="3">
        <v>0.55521990740740745</v>
      </c>
      <c r="C5118">
        <v>9198</v>
      </c>
      <c r="D5118" t="str">
        <f>VLOOKUP(H5118,Produkt!$A$2:$B$5,2,FALSE)</f>
        <v>B</v>
      </c>
      <c r="H5118">
        <v>2</v>
      </c>
      <c r="I5118">
        <v>0.55208333333333337</v>
      </c>
      <c r="J5118">
        <v>44781</v>
      </c>
    </row>
    <row r="5119" spans="1:10" x14ac:dyDescent="0.35">
      <c r="A5119" s="2">
        <v>44789</v>
      </c>
      <c r="B5119" s="3">
        <v>0.98283564814814817</v>
      </c>
      <c r="C5119">
        <v>9219</v>
      </c>
      <c r="D5119" t="str">
        <f>VLOOKUP(H5119,Produkt!$A$2:$B$5,2,FALSE)</f>
        <v>C</v>
      </c>
      <c r="H5119">
        <v>3</v>
      </c>
      <c r="I5119">
        <v>0.72947916666666668</v>
      </c>
      <c r="J5119">
        <v>44774</v>
      </c>
    </row>
    <row r="5120" spans="1:10" x14ac:dyDescent="0.35">
      <c r="A5120" s="2">
        <v>44789</v>
      </c>
      <c r="B5120" s="3">
        <v>0.79178240740740735</v>
      </c>
      <c r="C5120">
        <v>9244</v>
      </c>
      <c r="D5120" t="str">
        <f>VLOOKUP(H5120,Produkt!$A$2:$B$5,2,FALSE)</f>
        <v>D</v>
      </c>
      <c r="H5120">
        <v>4</v>
      </c>
      <c r="I5120">
        <v>0.15737268518518518</v>
      </c>
      <c r="J5120">
        <v>44784</v>
      </c>
    </row>
    <row r="5121" spans="1:10" x14ac:dyDescent="0.35">
      <c r="A5121" s="2">
        <v>44789</v>
      </c>
      <c r="B5121" s="3">
        <v>0.82709490740740732</v>
      </c>
      <c r="C5121">
        <v>9263</v>
      </c>
      <c r="D5121" t="str">
        <f>VLOOKUP(H5121,Produkt!$A$2:$B$5,2,FALSE)</f>
        <v>B</v>
      </c>
      <c r="H5121">
        <v>2</v>
      </c>
      <c r="I5121">
        <v>0.38504629629629633</v>
      </c>
      <c r="J5121">
        <v>44785</v>
      </c>
    </row>
    <row r="5122" spans="1:10" x14ac:dyDescent="0.35">
      <c r="A5122" s="2">
        <v>44789</v>
      </c>
      <c r="B5122" s="3">
        <v>0.7365856481481482</v>
      </c>
      <c r="C5122">
        <v>9300</v>
      </c>
      <c r="D5122" t="str">
        <f>VLOOKUP(H5122,Produkt!$A$2:$B$5,2,FALSE)</f>
        <v>C</v>
      </c>
      <c r="H5122">
        <v>3</v>
      </c>
      <c r="I5122">
        <v>3.2256944444444442E-2</v>
      </c>
      <c r="J5122">
        <v>44801</v>
      </c>
    </row>
    <row r="5123" spans="1:10" x14ac:dyDescent="0.35">
      <c r="A5123" s="2">
        <v>44789</v>
      </c>
      <c r="B5123" s="3">
        <v>0.11810185185185185</v>
      </c>
      <c r="C5123">
        <v>9342</v>
      </c>
      <c r="D5123" t="str">
        <f>VLOOKUP(H5123,Produkt!$A$2:$B$5,2,FALSE)</f>
        <v>C</v>
      </c>
      <c r="H5123">
        <v>3</v>
      </c>
      <c r="I5123">
        <v>5.7384259259259253E-2</v>
      </c>
      <c r="J5123">
        <v>44782</v>
      </c>
    </row>
    <row r="5124" spans="1:10" x14ac:dyDescent="0.35">
      <c r="A5124" s="2">
        <v>44789</v>
      </c>
      <c r="B5124" s="3">
        <v>1.3310185185185187E-2</v>
      </c>
      <c r="C5124">
        <v>9374</v>
      </c>
      <c r="D5124" t="str">
        <f>VLOOKUP(H5124,Produkt!$A$2:$B$5,2,FALSE)</f>
        <v>D</v>
      </c>
      <c r="H5124">
        <v>4</v>
      </c>
      <c r="I5124">
        <v>0.73380787037037043</v>
      </c>
      <c r="J5124">
        <v>44791</v>
      </c>
    </row>
    <row r="5125" spans="1:10" x14ac:dyDescent="0.35">
      <c r="A5125" s="2">
        <v>44789</v>
      </c>
      <c r="B5125" s="3">
        <v>0.9754976851851852</v>
      </c>
      <c r="C5125">
        <v>9434</v>
      </c>
      <c r="D5125" t="str">
        <f>VLOOKUP(H5125,Produkt!$A$2:$B$5,2,FALSE)</f>
        <v>D</v>
      </c>
      <c r="H5125">
        <v>4</v>
      </c>
      <c r="I5125">
        <v>0.39378472222222222</v>
      </c>
      <c r="J5125">
        <v>44777</v>
      </c>
    </row>
    <row r="5126" spans="1:10" x14ac:dyDescent="0.35">
      <c r="A5126" s="2">
        <v>44789</v>
      </c>
      <c r="B5126" s="3">
        <v>0.61231481481481487</v>
      </c>
      <c r="C5126">
        <v>9476</v>
      </c>
      <c r="D5126" t="str">
        <f>VLOOKUP(H5126,Produkt!$A$2:$B$5,2,FALSE)</f>
        <v>D</v>
      </c>
      <c r="H5126">
        <v>4</v>
      </c>
      <c r="I5126">
        <v>0.99343750000000008</v>
      </c>
      <c r="J5126">
        <v>44803</v>
      </c>
    </row>
    <row r="5127" spans="1:10" x14ac:dyDescent="0.35">
      <c r="A5127" s="2">
        <v>44789</v>
      </c>
      <c r="B5127" s="3">
        <v>3.260416666666667E-2</v>
      </c>
      <c r="C5127">
        <v>9490</v>
      </c>
      <c r="D5127" t="str">
        <f>VLOOKUP(H5127,Produkt!$A$2:$B$5,2,FALSE)</f>
        <v>A</v>
      </c>
      <c r="H5127">
        <v>1</v>
      </c>
      <c r="I5127">
        <v>0.4283912037037037</v>
      </c>
      <c r="J5127">
        <v>44782</v>
      </c>
    </row>
    <row r="5128" spans="1:10" x14ac:dyDescent="0.35">
      <c r="A5128" s="2">
        <v>44789</v>
      </c>
      <c r="B5128" s="3">
        <v>0.60099537037037043</v>
      </c>
      <c r="C5128">
        <v>9515</v>
      </c>
      <c r="D5128" t="str">
        <f>VLOOKUP(H5128,Produkt!$A$2:$B$5,2,FALSE)</f>
        <v>A</v>
      </c>
      <c r="H5128">
        <v>1</v>
      </c>
      <c r="I5128">
        <v>2.503472222222225E-2</v>
      </c>
      <c r="J5128">
        <v>44800</v>
      </c>
    </row>
    <row r="5129" spans="1:10" x14ac:dyDescent="0.35">
      <c r="A5129" s="2">
        <v>44789</v>
      </c>
      <c r="B5129" s="3">
        <v>0.5861574074074074</v>
      </c>
      <c r="C5129">
        <v>9568</v>
      </c>
      <c r="D5129" t="str">
        <f>VLOOKUP(H5129,Produkt!$A$2:$B$5,2,FALSE)</f>
        <v>C</v>
      </c>
      <c r="H5129">
        <v>3</v>
      </c>
      <c r="I5129">
        <v>0.10791666666666666</v>
      </c>
      <c r="J5129">
        <v>44803</v>
      </c>
    </row>
    <row r="5130" spans="1:10" x14ac:dyDescent="0.35">
      <c r="A5130" s="2">
        <v>44789</v>
      </c>
      <c r="B5130" s="3">
        <v>0.70138888888888884</v>
      </c>
      <c r="C5130">
        <v>9592</v>
      </c>
      <c r="D5130" t="str">
        <f>VLOOKUP(H5130,Produkt!$A$2:$B$5,2,FALSE)</f>
        <v>D</v>
      </c>
      <c r="H5130">
        <v>4</v>
      </c>
      <c r="I5130">
        <v>0.71309027777777778</v>
      </c>
      <c r="J5130">
        <v>44777</v>
      </c>
    </row>
    <row r="5131" spans="1:10" x14ac:dyDescent="0.35">
      <c r="A5131" s="2">
        <v>44789</v>
      </c>
      <c r="B5131" s="3">
        <v>0.21542824074074074</v>
      </c>
      <c r="C5131">
        <v>9615</v>
      </c>
      <c r="D5131" t="str">
        <f>VLOOKUP(H5131,Produkt!$A$2:$B$5,2,FALSE)</f>
        <v>D</v>
      </c>
      <c r="H5131">
        <v>4</v>
      </c>
      <c r="I5131">
        <v>0.29930555555555555</v>
      </c>
      <c r="J5131">
        <v>44777</v>
      </c>
    </row>
    <row r="5132" spans="1:10" x14ac:dyDescent="0.35">
      <c r="A5132" s="2">
        <v>44789</v>
      </c>
      <c r="B5132" s="3">
        <v>0.62787037037037041</v>
      </c>
      <c r="C5132">
        <v>9624</v>
      </c>
      <c r="D5132" t="str">
        <f>VLOOKUP(H5132,Produkt!$A$2:$B$5,2,FALSE)</f>
        <v>A</v>
      </c>
      <c r="H5132">
        <v>1</v>
      </c>
      <c r="I5132">
        <v>0.20795138888888889</v>
      </c>
      <c r="J5132">
        <v>44788</v>
      </c>
    </row>
    <row r="5133" spans="1:10" x14ac:dyDescent="0.35">
      <c r="A5133" s="2">
        <v>44789</v>
      </c>
      <c r="B5133" s="3">
        <v>0.10421296296296297</v>
      </c>
      <c r="C5133">
        <v>9654</v>
      </c>
      <c r="D5133" t="str">
        <f>VLOOKUP(H5133,Produkt!$A$2:$B$5,2,FALSE)</f>
        <v>A</v>
      </c>
      <c r="H5133">
        <v>1</v>
      </c>
      <c r="I5133">
        <v>0.72555555555555562</v>
      </c>
      <c r="J5133">
        <v>44787</v>
      </c>
    </row>
    <row r="5134" spans="1:10" x14ac:dyDescent="0.35">
      <c r="A5134" s="2">
        <v>44789</v>
      </c>
      <c r="B5134" s="3">
        <v>0.59490740740740744</v>
      </c>
      <c r="C5134">
        <v>9677</v>
      </c>
      <c r="D5134" t="str">
        <f>VLOOKUP(H5134,Produkt!$A$2:$B$5,2,FALSE)</f>
        <v>B</v>
      </c>
      <c r="H5134">
        <v>2</v>
      </c>
      <c r="I5134">
        <v>0.27549768518518519</v>
      </c>
      <c r="J5134">
        <v>44792</v>
      </c>
    </row>
    <row r="5135" spans="1:10" x14ac:dyDescent="0.35">
      <c r="A5135" s="2">
        <v>44789</v>
      </c>
      <c r="B5135" s="3">
        <v>0.49965277777777778</v>
      </c>
      <c r="C5135">
        <v>9682</v>
      </c>
      <c r="D5135" t="str">
        <f>VLOOKUP(H5135,Produkt!$A$2:$B$5,2,FALSE)</f>
        <v>C</v>
      </c>
      <c r="H5135">
        <v>3</v>
      </c>
      <c r="I5135">
        <v>0.50300925925925932</v>
      </c>
      <c r="J5135">
        <v>44781</v>
      </c>
    </row>
    <row r="5136" spans="1:10" x14ac:dyDescent="0.35">
      <c r="A5136" s="2">
        <v>44789</v>
      </c>
      <c r="B5136" s="3">
        <v>0.67353009259259267</v>
      </c>
      <c r="C5136">
        <v>9683</v>
      </c>
      <c r="D5136" t="str">
        <f>VLOOKUP(H5136,Produkt!$A$2:$B$5,2,FALSE)</f>
        <v>B</v>
      </c>
      <c r="H5136">
        <v>2</v>
      </c>
      <c r="I5136">
        <v>0.72016203703703707</v>
      </c>
      <c r="J5136">
        <v>44787</v>
      </c>
    </row>
    <row r="5137" spans="1:10" x14ac:dyDescent="0.35">
      <c r="A5137" s="2">
        <v>44789</v>
      </c>
      <c r="B5137" s="3">
        <v>0.18440972222222221</v>
      </c>
      <c r="C5137">
        <v>9726</v>
      </c>
      <c r="D5137" t="str">
        <f>VLOOKUP(H5137,Produkt!$A$2:$B$5,2,FALSE)</f>
        <v>D</v>
      </c>
      <c r="H5137">
        <v>4</v>
      </c>
      <c r="I5137">
        <v>0.11986111111111113</v>
      </c>
      <c r="J5137">
        <v>44803</v>
      </c>
    </row>
    <row r="5138" spans="1:10" x14ac:dyDescent="0.35">
      <c r="A5138" s="2">
        <v>44789</v>
      </c>
      <c r="B5138" s="3">
        <v>0.31540509259259258</v>
      </c>
      <c r="C5138">
        <v>9758</v>
      </c>
      <c r="D5138" t="str">
        <f>VLOOKUP(H5138,Produkt!$A$2:$B$5,2,FALSE)</f>
        <v>A</v>
      </c>
      <c r="H5138">
        <v>1</v>
      </c>
      <c r="I5138">
        <v>0.60365740740740736</v>
      </c>
      <c r="J5138">
        <v>44794</v>
      </c>
    </row>
    <row r="5139" spans="1:10" x14ac:dyDescent="0.35">
      <c r="A5139" s="2">
        <v>44789</v>
      </c>
      <c r="B5139" s="3">
        <v>1.3460648148148147E-2</v>
      </c>
      <c r="C5139">
        <v>9788</v>
      </c>
      <c r="D5139" t="str">
        <f>VLOOKUP(H5139,Produkt!$A$2:$B$5,2,FALSE)</f>
        <v>B</v>
      </c>
      <c r="H5139">
        <v>2</v>
      </c>
      <c r="I5139">
        <v>0.67668981481481483</v>
      </c>
      <c r="J5139">
        <v>44776</v>
      </c>
    </row>
    <row r="5140" spans="1:10" x14ac:dyDescent="0.35">
      <c r="A5140" s="2">
        <v>44789</v>
      </c>
      <c r="B5140" s="3">
        <v>0.5001620370370371</v>
      </c>
      <c r="C5140">
        <v>9796</v>
      </c>
      <c r="D5140" t="str">
        <f>VLOOKUP(H5140,Produkt!$A$2:$B$5,2,FALSE)</f>
        <v>D</v>
      </c>
      <c r="H5140">
        <v>4</v>
      </c>
      <c r="I5140">
        <v>0.13543981481481482</v>
      </c>
      <c r="J5140">
        <v>44801</v>
      </c>
    </row>
    <row r="5141" spans="1:10" x14ac:dyDescent="0.35">
      <c r="A5141" s="2">
        <v>44789</v>
      </c>
      <c r="B5141" s="3">
        <v>3.2546296296296295E-2</v>
      </c>
      <c r="C5141">
        <v>9802</v>
      </c>
      <c r="D5141" t="str">
        <f>VLOOKUP(H5141,Produkt!$A$2:$B$5,2,FALSE)</f>
        <v>B</v>
      </c>
      <c r="H5141">
        <v>2</v>
      </c>
      <c r="I5141">
        <v>0.23299768518518518</v>
      </c>
      <c r="J5141">
        <v>44797</v>
      </c>
    </row>
    <row r="5142" spans="1:10" x14ac:dyDescent="0.35">
      <c r="A5142" s="2">
        <v>44789</v>
      </c>
      <c r="B5142" s="3">
        <v>0.24324074074074073</v>
      </c>
      <c r="C5142">
        <v>9813</v>
      </c>
      <c r="D5142" t="str">
        <f>VLOOKUP(H5142,Produkt!$A$2:$B$5,2,FALSE)</f>
        <v>C</v>
      </c>
      <c r="H5142">
        <v>3</v>
      </c>
      <c r="I5142">
        <v>0.93466435185185182</v>
      </c>
      <c r="J5142">
        <v>44795</v>
      </c>
    </row>
    <row r="5143" spans="1:10" x14ac:dyDescent="0.35">
      <c r="A5143" s="2">
        <v>44789</v>
      </c>
      <c r="B5143" s="3">
        <v>7.9699074074074075E-2</v>
      </c>
      <c r="C5143">
        <v>9848</v>
      </c>
      <c r="D5143" t="str">
        <f>VLOOKUP(H5143,Produkt!$A$2:$B$5,2,FALSE)</f>
        <v>C</v>
      </c>
      <c r="H5143">
        <v>3</v>
      </c>
      <c r="I5143">
        <v>0.43396990740740743</v>
      </c>
      <c r="J5143">
        <v>44802</v>
      </c>
    </row>
    <row r="5144" spans="1:10" x14ac:dyDescent="0.35">
      <c r="A5144" s="2">
        <v>44789</v>
      </c>
      <c r="B5144" s="3">
        <v>0.53883101851851845</v>
      </c>
      <c r="C5144">
        <v>9871</v>
      </c>
      <c r="D5144" t="str">
        <f>VLOOKUP(H5144,Produkt!$A$2:$B$5,2,FALSE)</f>
        <v>C</v>
      </c>
      <c r="H5144">
        <v>3</v>
      </c>
      <c r="I5144">
        <v>0.2942939814814815</v>
      </c>
      <c r="J5144">
        <v>44803</v>
      </c>
    </row>
    <row r="5145" spans="1:10" x14ac:dyDescent="0.35">
      <c r="A5145" s="2">
        <v>44789</v>
      </c>
      <c r="B5145" s="3">
        <v>0.46081018518518518</v>
      </c>
      <c r="C5145">
        <v>9876</v>
      </c>
      <c r="D5145" t="str">
        <f>VLOOKUP(H5145,Produkt!$A$2:$B$5,2,FALSE)</f>
        <v>A</v>
      </c>
      <c r="H5145">
        <v>1</v>
      </c>
      <c r="I5145">
        <v>0.58865740740740746</v>
      </c>
      <c r="J5145">
        <v>44789</v>
      </c>
    </row>
    <row r="5146" spans="1:10" x14ac:dyDescent="0.35">
      <c r="A5146" s="2">
        <v>44789</v>
      </c>
      <c r="B5146" s="3">
        <v>0.88927083333333334</v>
      </c>
      <c r="C5146">
        <v>9924</v>
      </c>
      <c r="D5146" t="str">
        <f>VLOOKUP(H5146,Produkt!$A$2:$B$5,2,FALSE)</f>
        <v>D</v>
      </c>
      <c r="H5146">
        <v>4</v>
      </c>
      <c r="I5146">
        <v>0.48931712962962964</v>
      </c>
      <c r="J5146">
        <v>44775</v>
      </c>
    </row>
    <row r="5147" spans="1:10" x14ac:dyDescent="0.35">
      <c r="A5147" s="2">
        <v>44789</v>
      </c>
      <c r="B5147" s="3">
        <v>0.80418981481481477</v>
      </c>
      <c r="C5147">
        <v>9986</v>
      </c>
      <c r="D5147" t="str">
        <f>VLOOKUP(H5147,Produkt!$A$2:$B$5,2,FALSE)</f>
        <v>A</v>
      </c>
      <c r="H5147">
        <v>1</v>
      </c>
      <c r="I5147">
        <v>0.75753472222222218</v>
      </c>
      <c r="J5147">
        <v>44800</v>
      </c>
    </row>
    <row r="5148" spans="1:10" x14ac:dyDescent="0.35">
      <c r="A5148" s="2">
        <v>44790</v>
      </c>
      <c r="B5148" s="3">
        <v>0.2542476851851852</v>
      </c>
      <c r="C5148">
        <v>112</v>
      </c>
      <c r="D5148" t="str">
        <f>VLOOKUP(H5148,Produkt!$A$2:$B$5,2,FALSE)</f>
        <v>C</v>
      </c>
      <c r="H5148">
        <v>3</v>
      </c>
      <c r="I5148">
        <v>0.91395833333333332</v>
      </c>
      <c r="J5148">
        <v>44790</v>
      </c>
    </row>
    <row r="5149" spans="1:10" x14ac:dyDescent="0.35">
      <c r="A5149" s="2">
        <v>44790</v>
      </c>
      <c r="B5149" s="3">
        <v>0.772974537037037</v>
      </c>
      <c r="C5149">
        <v>114</v>
      </c>
      <c r="D5149" t="str">
        <f>VLOOKUP(H5149,Produkt!$A$2:$B$5,2,FALSE)</f>
        <v>B</v>
      </c>
      <c r="H5149">
        <v>2</v>
      </c>
      <c r="I5149">
        <v>0.10850694444444443</v>
      </c>
      <c r="J5149">
        <v>44790</v>
      </c>
    </row>
    <row r="5150" spans="1:10" x14ac:dyDescent="0.35">
      <c r="A5150" s="2">
        <v>44790</v>
      </c>
      <c r="B5150" s="3">
        <v>0.5788078703703704</v>
      </c>
      <c r="C5150">
        <v>137</v>
      </c>
      <c r="D5150" t="str">
        <f>VLOOKUP(H5150,Produkt!$A$2:$B$5,2,FALSE)</f>
        <v>A</v>
      </c>
      <c r="H5150">
        <v>1</v>
      </c>
      <c r="I5150">
        <v>0.69336805555555558</v>
      </c>
      <c r="J5150">
        <v>44792</v>
      </c>
    </row>
    <row r="5151" spans="1:10" x14ac:dyDescent="0.35">
      <c r="A5151" s="2">
        <v>44790</v>
      </c>
      <c r="B5151" s="3">
        <v>0.1125</v>
      </c>
      <c r="C5151">
        <v>155</v>
      </c>
      <c r="D5151" t="str">
        <f>VLOOKUP(H5151,Produkt!$A$2:$B$5,2,FALSE)</f>
        <v>D</v>
      </c>
      <c r="H5151">
        <v>4</v>
      </c>
      <c r="I5151">
        <v>3.1365740740740833E-3</v>
      </c>
      <c r="J5151">
        <v>44785</v>
      </c>
    </row>
    <row r="5152" spans="1:10" x14ac:dyDescent="0.35">
      <c r="A5152" s="2">
        <v>44790</v>
      </c>
      <c r="B5152" s="3">
        <v>0.86443287037037031</v>
      </c>
      <c r="C5152">
        <v>217</v>
      </c>
      <c r="D5152" t="str">
        <f>VLOOKUP(H5152,Produkt!$A$2:$B$5,2,FALSE)</f>
        <v>D</v>
      </c>
      <c r="H5152">
        <v>4</v>
      </c>
      <c r="I5152">
        <v>2.9282407407407406E-2</v>
      </c>
      <c r="J5152">
        <v>44775</v>
      </c>
    </row>
    <row r="5153" spans="1:10" x14ac:dyDescent="0.35">
      <c r="A5153" s="2">
        <v>44790</v>
      </c>
      <c r="B5153" s="3">
        <v>0.55012731481481481</v>
      </c>
      <c r="C5153">
        <v>312</v>
      </c>
      <c r="D5153" t="str">
        <f>VLOOKUP(H5153,Produkt!$A$2:$B$5,2,FALSE)</f>
        <v>A</v>
      </c>
      <c r="H5153">
        <v>1</v>
      </c>
      <c r="I5153">
        <v>0.84185185185185185</v>
      </c>
      <c r="J5153">
        <v>44785</v>
      </c>
    </row>
    <row r="5154" spans="1:10" x14ac:dyDescent="0.35">
      <c r="A5154" s="2">
        <v>44790</v>
      </c>
      <c r="B5154" s="3">
        <v>0.99343750000000008</v>
      </c>
      <c r="C5154">
        <v>338</v>
      </c>
      <c r="D5154" t="str">
        <f>VLOOKUP(H5154,Produkt!$A$2:$B$5,2,FALSE)</f>
        <v>C</v>
      </c>
      <c r="H5154">
        <v>3</v>
      </c>
      <c r="I5154">
        <v>0.39796296296296302</v>
      </c>
      <c r="J5154">
        <v>44798</v>
      </c>
    </row>
    <row r="5155" spans="1:10" x14ac:dyDescent="0.35">
      <c r="A5155" s="2">
        <v>44790</v>
      </c>
      <c r="B5155" s="3">
        <v>0.37936342592592592</v>
      </c>
      <c r="C5155">
        <v>341</v>
      </c>
      <c r="D5155" t="str">
        <f>VLOOKUP(H5155,Produkt!$A$2:$B$5,2,FALSE)</f>
        <v>A</v>
      </c>
      <c r="H5155">
        <v>1</v>
      </c>
      <c r="I5155">
        <v>0.44876157407407408</v>
      </c>
      <c r="J5155">
        <v>44786</v>
      </c>
    </row>
    <row r="5156" spans="1:10" x14ac:dyDescent="0.35">
      <c r="A5156" s="2">
        <v>44790</v>
      </c>
      <c r="B5156" s="3">
        <v>0.94104166666666667</v>
      </c>
      <c r="C5156">
        <v>350</v>
      </c>
      <c r="D5156" t="str">
        <f>VLOOKUP(H5156,Produkt!$A$2:$B$5,2,FALSE)</f>
        <v>C</v>
      </c>
      <c r="H5156">
        <v>3</v>
      </c>
      <c r="I5156">
        <v>0.93428240740740742</v>
      </c>
      <c r="J5156">
        <v>44788</v>
      </c>
    </row>
    <row r="5157" spans="1:10" x14ac:dyDescent="0.35">
      <c r="A5157" s="2">
        <v>44790</v>
      </c>
      <c r="B5157" s="3">
        <v>0.98413194444444441</v>
      </c>
      <c r="C5157">
        <v>404</v>
      </c>
      <c r="D5157" t="str">
        <f>VLOOKUP(H5157,Produkt!$A$2:$B$5,2,FALSE)</f>
        <v>B</v>
      </c>
      <c r="H5157">
        <v>2</v>
      </c>
      <c r="I5157">
        <v>0.96846064814814825</v>
      </c>
      <c r="J5157">
        <v>44803</v>
      </c>
    </row>
    <row r="5158" spans="1:10" x14ac:dyDescent="0.35">
      <c r="A5158" s="2">
        <v>44790</v>
      </c>
      <c r="B5158" s="3">
        <v>0.37266203703703704</v>
      </c>
      <c r="C5158">
        <v>418</v>
      </c>
      <c r="D5158" t="str">
        <f>VLOOKUP(H5158,Produkt!$A$2:$B$5,2,FALSE)</f>
        <v>D</v>
      </c>
      <c r="H5158">
        <v>4</v>
      </c>
      <c r="I5158">
        <v>0.81390046296296292</v>
      </c>
      <c r="J5158">
        <v>44804</v>
      </c>
    </row>
    <row r="5159" spans="1:10" x14ac:dyDescent="0.35">
      <c r="A5159" s="2">
        <v>44790</v>
      </c>
      <c r="B5159" s="3">
        <v>0.73583333333333334</v>
      </c>
      <c r="C5159">
        <v>455</v>
      </c>
      <c r="D5159" t="str">
        <f>VLOOKUP(H5159,Produkt!$A$2:$B$5,2,FALSE)</f>
        <v>B</v>
      </c>
      <c r="H5159">
        <v>2</v>
      </c>
      <c r="I5159">
        <v>0.24462962962962964</v>
      </c>
      <c r="J5159">
        <v>44777</v>
      </c>
    </row>
    <row r="5160" spans="1:10" x14ac:dyDescent="0.35">
      <c r="A5160" s="2">
        <v>44790</v>
      </c>
      <c r="B5160" s="3">
        <v>0.39696759259259262</v>
      </c>
      <c r="C5160">
        <v>501</v>
      </c>
      <c r="D5160" t="str">
        <f>VLOOKUP(H5160,Produkt!$A$2:$B$5,2,FALSE)</f>
        <v>B</v>
      </c>
      <c r="H5160">
        <v>2</v>
      </c>
      <c r="I5160">
        <v>0.79200231481481476</v>
      </c>
      <c r="J5160">
        <v>44796</v>
      </c>
    </row>
    <row r="5161" spans="1:10" x14ac:dyDescent="0.35">
      <c r="A5161" s="2">
        <v>44790</v>
      </c>
      <c r="B5161" s="3">
        <v>0.17524305555555555</v>
      </c>
      <c r="C5161">
        <v>600</v>
      </c>
      <c r="D5161" t="str">
        <f>VLOOKUP(H5161,Produkt!$A$2:$B$5,2,FALSE)</f>
        <v>C</v>
      </c>
      <c r="H5161">
        <v>3</v>
      </c>
      <c r="I5161">
        <v>0.96251157407407406</v>
      </c>
      <c r="J5161">
        <v>44800</v>
      </c>
    </row>
    <row r="5162" spans="1:10" x14ac:dyDescent="0.35">
      <c r="A5162" s="2">
        <v>44790</v>
      </c>
      <c r="B5162" s="3">
        <v>0.11559027777777779</v>
      </c>
      <c r="C5162">
        <v>617</v>
      </c>
      <c r="D5162" t="str">
        <f>VLOOKUP(H5162,Produkt!$A$2:$B$5,2,FALSE)</f>
        <v>A</v>
      </c>
      <c r="H5162">
        <v>1</v>
      </c>
      <c r="I5162">
        <v>0.46834490740740736</v>
      </c>
      <c r="J5162">
        <v>44781</v>
      </c>
    </row>
    <row r="5163" spans="1:10" x14ac:dyDescent="0.35">
      <c r="A5163" s="2">
        <v>44790</v>
      </c>
      <c r="B5163" s="3">
        <v>0.56043981481481475</v>
      </c>
      <c r="C5163">
        <v>620</v>
      </c>
      <c r="D5163" t="str">
        <f>VLOOKUP(H5163,Produkt!$A$2:$B$5,2,FALSE)</f>
        <v>B</v>
      </c>
      <c r="H5163">
        <v>2</v>
      </c>
      <c r="I5163">
        <v>0.89571759259259265</v>
      </c>
      <c r="J5163">
        <v>44780</v>
      </c>
    </row>
    <row r="5164" spans="1:10" x14ac:dyDescent="0.35">
      <c r="A5164" s="2">
        <v>44790</v>
      </c>
      <c r="B5164" s="3">
        <v>0.99674768518518519</v>
      </c>
      <c r="C5164">
        <v>623</v>
      </c>
      <c r="D5164" t="str">
        <f>VLOOKUP(H5164,Produkt!$A$2:$B$5,2,FALSE)</f>
        <v>A</v>
      </c>
      <c r="H5164">
        <v>1</v>
      </c>
      <c r="I5164">
        <v>0.2502314814814815</v>
      </c>
      <c r="J5164">
        <v>44800</v>
      </c>
    </row>
    <row r="5165" spans="1:10" x14ac:dyDescent="0.35">
      <c r="A5165" s="2">
        <v>44790</v>
      </c>
      <c r="B5165" s="3">
        <v>3.9641203703703706E-2</v>
      </c>
      <c r="C5165">
        <v>641</v>
      </c>
      <c r="D5165" t="str">
        <f>VLOOKUP(H5165,Produkt!$A$2:$B$5,2,FALSE)</f>
        <v>B</v>
      </c>
      <c r="H5165">
        <v>2</v>
      </c>
      <c r="I5165">
        <v>0.92040509259259251</v>
      </c>
      <c r="J5165">
        <v>44802</v>
      </c>
    </row>
    <row r="5166" spans="1:10" x14ac:dyDescent="0.35">
      <c r="A5166" s="2">
        <v>44790</v>
      </c>
      <c r="B5166" s="3">
        <v>0.71556712962962965</v>
      </c>
      <c r="C5166">
        <v>655</v>
      </c>
      <c r="D5166" t="str">
        <f>VLOOKUP(H5166,Produkt!$A$2:$B$5,2,FALSE)</f>
        <v>A</v>
      </c>
      <c r="H5166">
        <v>1</v>
      </c>
      <c r="I5166">
        <v>8.5694444444444448E-2</v>
      </c>
      <c r="J5166">
        <v>44804</v>
      </c>
    </row>
    <row r="5167" spans="1:10" x14ac:dyDescent="0.35">
      <c r="A5167" s="2">
        <v>44790</v>
      </c>
      <c r="B5167" s="3">
        <v>0.12740740740740741</v>
      </c>
      <c r="C5167">
        <v>666</v>
      </c>
      <c r="D5167" t="str">
        <f>VLOOKUP(H5167,Produkt!$A$2:$B$5,2,FALSE)</f>
        <v>A</v>
      </c>
      <c r="H5167">
        <v>1</v>
      </c>
      <c r="I5167">
        <v>0.46133101851851849</v>
      </c>
      <c r="J5167">
        <v>44802</v>
      </c>
    </row>
    <row r="5168" spans="1:10" x14ac:dyDescent="0.35">
      <c r="A5168" s="2">
        <v>44790</v>
      </c>
      <c r="B5168" s="3">
        <v>7.0879629629629626E-2</v>
      </c>
      <c r="C5168">
        <v>693</v>
      </c>
      <c r="D5168" t="str">
        <f>VLOOKUP(H5168,Produkt!$A$2:$B$5,2,FALSE)</f>
        <v>B</v>
      </c>
      <c r="H5168">
        <v>2</v>
      </c>
      <c r="I5168">
        <v>0.88611111111111107</v>
      </c>
      <c r="J5168">
        <v>44802</v>
      </c>
    </row>
    <row r="5169" spans="1:10" x14ac:dyDescent="0.35">
      <c r="A5169" s="2">
        <v>44790</v>
      </c>
      <c r="B5169" s="3">
        <v>5.8935185185185181E-2</v>
      </c>
      <c r="C5169">
        <v>755</v>
      </c>
      <c r="D5169" t="str">
        <f>VLOOKUP(H5169,Produkt!$A$2:$B$5,2,FALSE)</f>
        <v>A</v>
      </c>
      <c r="H5169">
        <v>1</v>
      </c>
      <c r="I5169">
        <v>0.2021412037037037</v>
      </c>
      <c r="J5169">
        <v>44804</v>
      </c>
    </row>
    <row r="5170" spans="1:10" x14ac:dyDescent="0.35">
      <c r="A5170" s="2">
        <v>44790</v>
      </c>
      <c r="B5170" s="3">
        <v>1.6238425925925837E-2</v>
      </c>
      <c r="C5170">
        <v>777</v>
      </c>
      <c r="D5170" t="str">
        <f>VLOOKUP(H5170,Produkt!$A$2:$B$5,2,FALSE)</f>
        <v>A</v>
      </c>
      <c r="H5170">
        <v>1</v>
      </c>
      <c r="I5170">
        <v>0.62703703703703706</v>
      </c>
      <c r="J5170">
        <v>44774</v>
      </c>
    </row>
    <row r="5171" spans="1:10" x14ac:dyDescent="0.35">
      <c r="A5171" s="2">
        <v>44790</v>
      </c>
      <c r="B5171" s="3">
        <v>0.14206018518518518</v>
      </c>
      <c r="C5171">
        <v>781</v>
      </c>
      <c r="D5171" t="str">
        <f>VLOOKUP(H5171,Produkt!$A$2:$B$5,2,FALSE)</f>
        <v>D</v>
      </c>
      <c r="H5171">
        <v>4</v>
      </c>
      <c r="I5171">
        <v>0.53984953703703698</v>
      </c>
      <c r="J5171">
        <v>44797</v>
      </c>
    </row>
    <row r="5172" spans="1:10" x14ac:dyDescent="0.35">
      <c r="A5172" s="2">
        <v>44790</v>
      </c>
      <c r="B5172" s="3">
        <v>0.87118055555555562</v>
      </c>
      <c r="C5172">
        <v>782</v>
      </c>
      <c r="D5172" t="str">
        <f>VLOOKUP(H5172,Produkt!$A$2:$B$5,2,FALSE)</f>
        <v>C</v>
      </c>
      <c r="H5172">
        <v>3</v>
      </c>
      <c r="I5172">
        <v>0.85010416666666666</v>
      </c>
      <c r="J5172">
        <v>44803</v>
      </c>
    </row>
    <row r="5173" spans="1:10" x14ac:dyDescent="0.35">
      <c r="A5173" s="2">
        <v>44790</v>
      </c>
      <c r="B5173" s="3">
        <v>0.69166666666666676</v>
      </c>
      <c r="C5173">
        <v>788</v>
      </c>
      <c r="D5173" t="str">
        <f>VLOOKUP(H5173,Produkt!$A$2:$B$5,2,FALSE)</f>
        <v>A</v>
      </c>
      <c r="H5173">
        <v>1</v>
      </c>
      <c r="I5173">
        <v>0.28578703703703706</v>
      </c>
      <c r="J5173">
        <v>44784</v>
      </c>
    </row>
    <row r="5174" spans="1:10" x14ac:dyDescent="0.35">
      <c r="A5174" s="2">
        <v>44790</v>
      </c>
      <c r="B5174" s="3">
        <v>0.36070601851851852</v>
      </c>
      <c r="C5174">
        <v>840</v>
      </c>
      <c r="D5174" t="str">
        <f>VLOOKUP(H5174,Produkt!$A$2:$B$5,2,FALSE)</f>
        <v>A</v>
      </c>
      <c r="H5174">
        <v>1</v>
      </c>
      <c r="I5174">
        <v>0.87269675925925927</v>
      </c>
      <c r="J5174">
        <v>44782</v>
      </c>
    </row>
    <row r="5175" spans="1:10" x14ac:dyDescent="0.35">
      <c r="A5175" s="2">
        <v>44790</v>
      </c>
      <c r="B5175" s="3">
        <v>0.5756944444444444</v>
      </c>
      <c r="C5175">
        <v>904</v>
      </c>
      <c r="D5175" t="str">
        <f>VLOOKUP(H5175,Produkt!$A$2:$B$5,2,FALSE)</f>
        <v>C</v>
      </c>
      <c r="H5175">
        <v>3</v>
      </c>
      <c r="I5175">
        <v>0.4060185185185185</v>
      </c>
      <c r="J5175">
        <v>44801</v>
      </c>
    </row>
    <row r="5176" spans="1:10" x14ac:dyDescent="0.35">
      <c r="A5176" s="2">
        <v>44790</v>
      </c>
      <c r="B5176" s="3">
        <v>0.86243055555555559</v>
      </c>
      <c r="C5176">
        <v>997</v>
      </c>
      <c r="D5176" t="str">
        <f>VLOOKUP(H5176,Produkt!$A$2:$B$5,2,FALSE)</f>
        <v>A</v>
      </c>
      <c r="H5176">
        <v>1</v>
      </c>
      <c r="I5176">
        <v>0.45689814814814816</v>
      </c>
      <c r="J5176">
        <v>44801</v>
      </c>
    </row>
    <row r="5177" spans="1:10" x14ac:dyDescent="0.35">
      <c r="A5177" s="2">
        <v>44790</v>
      </c>
      <c r="B5177" s="3">
        <v>5.7118055555555554E-2</v>
      </c>
      <c r="C5177">
        <v>1021</v>
      </c>
      <c r="D5177" t="str">
        <f>VLOOKUP(H5177,Produkt!$A$2:$B$5,2,FALSE)</f>
        <v>C</v>
      </c>
      <c r="H5177">
        <v>3</v>
      </c>
      <c r="I5177">
        <v>0.34947916666666662</v>
      </c>
      <c r="J5177">
        <v>44797</v>
      </c>
    </row>
    <row r="5178" spans="1:10" x14ac:dyDescent="0.35">
      <c r="A5178" s="2">
        <v>44790</v>
      </c>
      <c r="B5178" s="3">
        <v>0.89958333333333329</v>
      </c>
      <c r="C5178">
        <v>1033</v>
      </c>
      <c r="D5178" t="str">
        <f>VLOOKUP(H5178,Produkt!$A$2:$B$5,2,FALSE)</f>
        <v>A</v>
      </c>
      <c r="H5178">
        <v>1</v>
      </c>
      <c r="I5178">
        <v>0.66697916666666668</v>
      </c>
      <c r="J5178">
        <v>44804</v>
      </c>
    </row>
    <row r="5179" spans="1:10" x14ac:dyDescent="0.35">
      <c r="A5179" s="2">
        <v>44790</v>
      </c>
      <c r="B5179" s="3">
        <v>0.70636574074074077</v>
      </c>
      <c r="C5179">
        <v>1037</v>
      </c>
      <c r="D5179" t="str">
        <f>VLOOKUP(H5179,Produkt!$A$2:$B$5,2,FALSE)</f>
        <v>C</v>
      </c>
      <c r="H5179">
        <v>3</v>
      </c>
      <c r="I5179">
        <v>0.7412037037037037</v>
      </c>
      <c r="J5179">
        <v>44783</v>
      </c>
    </row>
    <row r="5180" spans="1:10" x14ac:dyDescent="0.35">
      <c r="A5180" s="2">
        <v>44790</v>
      </c>
      <c r="B5180" s="3">
        <v>7.9351851851851854E-2</v>
      </c>
      <c r="C5180">
        <v>1070</v>
      </c>
      <c r="D5180" t="str">
        <f>VLOOKUP(H5180,Produkt!$A$2:$B$5,2,FALSE)</f>
        <v>A</v>
      </c>
      <c r="H5180">
        <v>1</v>
      </c>
      <c r="I5180">
        <v>0.64968749999999997</v>
      </c>
      <c r="J5180">
        <v>44783</v>
      </c>
    </row>
    <row r="5181" spans="1:10" x14ac:dyDescent="0.35">
      <c r="A5181" s="2">
        <v>44790</v>
      </c>
      <c r="B5181" s="3">
        <v>0.9388657407407407</v>
      </c>
      <c r="C5181">
        <v>1079</v>
      </c>
      <c r="D5181" t="str">
        <f>VLOOKUP(H5181,Produkt!$A$2:$B$5,2,FALSE)</f>
        <v>A</v>
      </c>
      <c r="H5181">
        <v>1</v>
      </c>
      <c r="I5181">
        <v>0.96954861111111112</v>
      </c>
      <c r="J5181">
        <v>44798</v>
      </c>
    </row>
    <row r="5182" spans="1:10" x14ac:dyDescent="0.35">
      <c r="A5182" s="2">
        <v>44790</v>
      </c>
      <c r="B5182" s="3">
        <v>2.2199074074074076E-2</v>
      </c>
      <c r="C5182">
        <v>1089</v>
      </c>
      <c r="D5182" t="str">
        <f>VLOOKUP(H5182,Produkt!$A$2:$B$5,2,FALSE)</f>
        <v>B</v>
      </c>
      <c r="H5182">
        <v>2</v>
      </c>
      <c r="I5182">
        <v>0.85775462962962967</v>
      </c>
      <c r="J5182">
        <v>44774</v>
      </c>
    </row>
    <row r="5183" spans="1:10" x14ac:dyDescent="0.35">
      <c r="A5183" s="2">
        <v>44790</v>
      </c>
      <c r="B5183" s="3">
        <v>0.72369212962962959</v>
      </c>
      <c r="C5183">
        <v>1103</v>
      </c>
      <c r="D5183" t="str">
        <f>VLOOKUP(H5183,Produkt!$A$2:$B$5,2,FALSE)</f>
        <v>B</v>
      </c>
      <c r="H5183">
        <v>2</v>
      </c>
      <c r="I5183">
        <v>0.92700231481481488</v>
      </c>
      <c r="J5183">
        <v>44775</v>
      </c>
    </row>
    <row r="5184" spans="1:10" x14ac:dyDescent="0.35">
      <c r="A5184" s="2">
        <v>44790</v>
      </c>
      <c r="B5184" s="3">
        <v>0.10280092592592593</v>
      </c>
      <c r="C5184">
        <v>1180</v>
      </c>
      <c r="D5184" t="str">
        <f>VLOOKUP(H5184,Produkt!$A$2:$B$5,2,FALSE)</f>
        <v>A</v>
      </c>
      <c r="H5184">
        <v>1</v>
      </c>
      <c r="I5184">
        <v>5.5393518518518516E-2</v>
      </c>
      <c r="J5184">
        <v>44803</v>
      </c>
    </row>
    <row r="5185" spans="1:10" x14ac:dyDescent="0.35">
      <c r="A5185" s="2">
        <v>44790</v>
      </c>
      <c r="B5185" s="3">
        <v>0.33401620370370372</v>
      </c>
      <c r="C5185">
        <v>1187</v>
      </c>
      <c r="D5185" t="str">
        <f>VLOOKUP(H5185,Produkt!$A$2:$B$5,2,FALSE)</f>
        <v>C</v>
      </c>
      <c r="H5185">
        <v>3</v>
      </c>
      <c r="I5185">
        <v>0.70062500000000005</v>
      </c>
      <c r="J5185">
        <v>44798</v>
      </c>
    </row>
    <row r="5186" spans="1:10" x14ac:dyDescent="0.35">
      <c r="A5186" s="2">
        <v>44790</v>
      </c>
      <c r="B5186" s="3">
        <v>0.28763888888888889</v>
      </c>
      <c r="C5186">
        <v>1194</v>
      </c>
      <c r="D5186" t="str">
        <f>VLOOKUP(H5186,Produkt!$A$2:$B$5,2,FALSE)</f>
        <v>D</v>
      </c>
      <c r="H5186">
        <v>4</v>
      </c>
      <c r="I5186">
        <v>0.84144675925925927</v>
      </c>
      <c r="J5186">
        <v>44792</v>
      </c>
    </row>
    <row r="5187" spans="1:10" x14ac:dyDescent="0.35">
      <c r="A5187" s="2">
        <v>44790</v>
      </c>
      <c r="B5187" s="3">
        <v>0.53855324074074074</v>
      </c>
      <c r="C5187">
        <v>1216</v>
      </c>
      <c r="D5187" t="str">
        <f>VLOOKUP(H5187,Produkt!$A$2:$B$5,2,FALSE)</f>
        <v>C</v>
      </c>
      <c r="H5187">
        <v>3</v>
      </c>
      <c r="I5187">
        <v>0.79837962962962961</v>
      </c>
      <c r="J5187">
        <v>44782</v>
      </c>
    </row>
    <row r="5188" spans="1:10" x14ac:dyDescent="0.35">
      <c r="A5188" s="2">
        <v>44790</v>
      </c>
      <c r="B5188" s="3">
        <v>0.53962962962962957</v>
      </c>
      <c r="C5188">
        <v>1223</v>
      </c>
      <c r="D5188" t="str">
        <f>VLOOKUP(H5188,Produkt!$A$2:$B$5,2,FALSE)</f>
        <v>A</v>
      </c>
      <c r="H5188">
        <v>1</v>
      </c>
      <c r="I5188">
        <v>0.76208333333333333</v>
      </c>
      <c r="J5188">
        <v>44800</v>
      </c>
    </row>
    <row r="5189" spans="1:10" x14ac:dyDescent="0.35">
      <c r="A5189" s="2">
        <v>44790</v>
      </c>
      <c r="B5189" s="3">
        <v>0.32776620370370368</v>
      </c>
      <c r="C5189">
        <v>1227</v>
      </c>
      <c r="D5189" t="str">
        <f>VLOOKUP(H5189,Produkt!$A$2:$B$5,2,FALSE)</f>
        <v>D</v>
      </c>
      <c r="H5189">
        <v>4</v>
      </c>
      <c r="I5189">
        <v>0.80083333333333329</v>
      </c>
      <c r="J5189">
        <v>44800</v>
      </c>
    </row>
    <row r="5190" spans="1:10" x14ac:dyDescent="0.35">
      <c r="A5190" s="2">
        <v>44790</v>
      </c>
      <c r="B5190" s="3">
        <v>0.35518518518518521</v>
      </c>
      <c r="C5190">
        <v>1269</v>
      </c>
      <c r="D5190" t="str">
        <f>VLOOKUP(H5190,Produkt!$A$2:$B$5,2,FALSE)</f>
        <v>B</v>
      </c>
      <c r="H5190">
        <v>2</v>
      </c>
      <c r="I5190">
        <v>0.49685185185185188</v>
      </c>
      <c r="J5190">
        <v>44775</v>
      </c>
    </row>
    <row r="5191" spans="1:10" x14ac:dyDescent="0.35">
      <c r="A5191" s="2">
        <v>44790</v>
      </c>
      <c r="B5191" s="3">
        <v>0.54956018518518512</v>
      </c>
      <c r="C5191">
        <v>1302</v>
      </c>
      <c r="D5191" t="str">
        <f>VLOOKUP(H5191,Produkt!$A$2:$B$5,2,FALSE)</f>
        <v>A</v>
      </c>
      <c r="H5191">
        <v>1</v>
      </c>
      <c r="I5191">
        <v>1.9814814814814816E-2</v>
      </c>
      <c r="J5191">
        <v>44803</v>
      </c>
    </row>
    <row r="5192" spans="1:10" x14ac:dyDescent="0.35">
      <c r="A5192" s="2">
        <v>44790</v>
      </c>
      <c r="B5192" s="3">
        <v>0.60273148148148148</v>
      </c>
      <c r="C5192">
        <v>1307</v>
      </c>
      <c r="D5192" t="str">
        <f>VLOOKUP(H5192,Produkt!$A$2:$B$5,2,FALSE)</f>
        <v>C</v>
      </c>
      <c r="H5192">
        <v>3</v>
      </c>
      <c r="I5192">
        <v>1.9548611111111169E-2</v>
      </c>
      <c r="J5192">
        <v>44795</v>
      </c>
    </row>
    <row r="5193" spans="1:10" x14ac:dyDescent="0.35">
      <c r="A5193" s="2">
        <v>44790</v>
      </c>
      <c r="B5193" s="3">
        <v>8.8495370370370363E-2</v>
      </c>
      <c r="C5193">
        <v>1318</v>
      </c>
      <c r="D5193" t="str">
        <f>VLOOKUP(H5193,Produkt!$A$2:$B$5,2,FALSE)</f>
        <v>D</v>
      </c>
      <c r="H5193">
        <v>4</v>
      </c>
      <c r="I5193">
        <v>0.32393518518518521</v>
      </c>
      <c r="J5193">
        <v>44787</v>
      </c>
    </row>
    <row r="5194" spans="1:10" x14ac:dyDescent="0.35">
      <c r="A5194" s="2">
        <v>44790</v>
      </c>
      <c r="B5194" s="3">
        <v>0.81775462962962964</v>
      </c>
      <c r="C5194">
        <v>1335</v>
      </c>
      <c r="D5194" t="str">
        <f>VLOOKUP(H5194,Produkt!$A$2:$B$5,2,FALSE)</f>
        <v>A</v>
      </c>
      <c r="H5194">
        <v>1</v>
      </c>
      <c r="I5194">
        <v>0.51224537037037032</v>
      </c>
      <c r="J5194">
        <v>44782</v>
      </c>
    </row>
    <row r="5195" spans="1:10" x14ac:dyDescent="0.35">
      <c r="A5195" s="2">
        <v>44790</v>
      </c>
      <c r="B5195" s="3">
        <v>0.16266203703703705</v>
      </c>
      <c r="C5195">
        <v>1385</v>
      </c>
      <c r="D5195" t="str">
        <f>VLOOKUP(H5195,Produkt!$A$2:$B$5,2,FALSE)</f>
        <v>D</v>
      </c>
      <c r="H5195">
        <v>4</v>
      </c>
      <c r="I5195">
        <v>0.96138888888888896</v>
      </c>
      <c r="J5195">
        <v>44791</v>
      </c>
    </row>
    <row r="5196" spans="1:10" x14ac:dyDescent="0.35">
      <c r="A5196" s="2">
        <v>44790</v>
      </c>
      <c r="B5196" s="3">
        <v>0.17136574074074074</v>
      </c>
      <c r="C5196">
        <v>1401</v>
      </c>
      <c r="D5196" t="str">
        <f>VLOOKUP(H5196,Produkt!$A$2:$B$5,2,FALSE)</f>
        <v>C</v>
      </c>
      <c r="H5196">
        <v>3</v>
      </c>
      <c r="I5196">
        <v>0.77979166666666666</v>
      </c>
      <c r="J5196">
        <v>44779</v>
      </c>
    </row>
    <row r="5197" spans="1:10" x14ac:dyDescent="0.35">
      <c r="A5197" s="2">
        <v>44790</v>
      </c>
      <c r="B5197" s="3">
        <v>0.36677083333333332</v>
      </c>
      <c r="C5197">
        <v>1422</v>
      </c>
      <c r="D5197" t="str">
        <f>VLOOKUP(H5197,Produkt!$A$2:$B$5,2,FALSE)</f>
        <v>B</v>
      </c>
      <c r="H5197">
        <v>2</v>
      </c>
      <c r="I5197">
        <v>0.83181712962962961</v>
      </c>
      <c r="J5197">
        <v>44802</v>
      </c>
    </row>
    <row r="5198" spans="1:10" x14ac:dyDescent="0.35">
      <c r="A5198" s="2">
        <v>44790</v>
      </c>
      <c r="B5198" s="3">
        <v>0.88192129629629623</v>
      </c>
      <c r="C5198">
        <v>1442</v>
      </c>
      <c r="D5198" t="str">
        <f>VLOOKUP(H5198,Produkt!$A$2:$B$5,2,FALSE)</f>
        <v>A</v>
      </c>
      <c r="H5198">
        <v>1</v>
      </c>
      <c r="I5198">
        <v>0.2946759259259259</v>
      </c>
      <c r="J5198">
        <v>44777</v>
      </c>
    </row>
    <row r="5199" spans="1:10" x14ac:dyDescent="0.35">
      <c r="A5199" s="2">
        <v>44790</v>
      </c>
      <c r="B5199" s="3">
        <v>0.34781250000000002</v>
      </c>
      <c r="C5199">
        <v>1447</v>
      </c>
      <c r="D5199" t="str">
        <f>VLOOKUP(H5199,Produkt!$A$2:$B$5,2,FALSE)</f>
        <v>B</v>
      </c>
      <c r="H5199">
        <v>2</v>
      </c>
      <c r="I5199">
        <v>0.57245370370370374</v>
      </c>
      <c r="J5199">
        <v>44793</v>
      </c>
    </row>
    <row r="5200" spans="1:10" x14ac:dyDescent="0.35">
      <c r="A5200" s="2">
        <v>44790</v>
      </c>
      <c r="B5200" s="3">
        <v>0.90069444444444446</v>
      </c>
      <c r="C5200">
        <v>1483</v>
      </c>
      <c r="D5200" t="str">
        <f>VLOOKUP(H5200,Produkt!$A$2:$B$5,2,FALSE)</f>
        <v>C</v>
      </c>
      <c r="H5200">
        <v>3</v>
      </c>
      <c r="I5200">
        <v>0.44104166666666672</v>
      </c>
      <c r="J5200">
        <v>44782</v>
      </c>
    </row>
    <row r="5201" spans="1:10" x14ac:dyDescent="0.35">
      <c r="A5201" s="2">
        <v>44790</v>
      </c>
      <c r="B5201" s="3">
        <v>0.95172453703703708</v>
      </c>
      <c r="C5201">
        <v>1523</v>
      </c>
      <c r="D5201" t="str">
        <f>VLOOKUP(H5201,Produkt!$A$2:$B$5,2,FALSE)</f>
        <v>A</v>
      </c>
      <c r="H5201">
        <v>1</v>
      </c>
      <c r="I5201">
        <v>0.42987268518518523</v>
      </c>
      <c r="J5201">
        <v>44795</v>
      </c>
    </row>
    <row r="5202" spans="1:10" x14ac:dyDescent="0.35">
      <c r="A5202" s="2">
        <v>44790</v>
      </c>
      <c r="B5202" s="3">
        <v>0.91614583333333333</v>
      </c>
      <c r="C5202">
        <v>1541</v>
      </c>
      <c r="D5202" t="str">
        <f>VLOOKUP(H5202,Produkt!$A$2:$B$5,2,FALSE)</f>
        <v>D</v>
      </c>
      <c r="H5202">
        <v>4</v>
      </c>
      <c r="I5202">
        <v>0.89694444444444443</v>
      </c>
      <c r="J5202">
        <v>44794</v>
      </c>
    </row>
    <row r="5203" spans="1:10" x14ac:dyDescent="0.35">
      <c r="A5203" s="2">
        <v>44790</v>
      </c>
      <c r="B5203" s="3">
        <v>0.37031249999999999</v>
      </c>
      <c r="C5203">
        <v>1604</v>
      </c>
      <c r="D5203" t="str">
        <f>VLOOKUP(H5203,Produkt!$A$2:$B$5,2,FALSE)</f>
        <v>C</v>
      </c>
      <c r="H5203">
        <v>3</v>
      </c>
      <c r="I5203">
        <v>0.22251157407407407</v>
      </c>
      <c r="J5203">
        <v>44779</v>
      </c>
    </row>
    <row r="5204" spans="1:10" x14ac:dyDescent="0.35">
      <c r="A5204" s="2">
        <v>44790</v>
      </c>
      <c r="B5204" s="3">
        <v>0.12033564814814814</v>
      </c>
      <c r="C5204">
        <v>1615</v>
      </c>
      <c r="D5204" t="str">
        <f>VLOOKUP(H5204,Produkt!$A$2:$B$5,2,FALSE)</f>
        <v>C</v>
      </c>
      <c r="H5204">
        <v>3</v>
      </c>
      <c r="I5204">
        <v>0.74699074074074068</v>
      </c>
      <c r="J5204">
        <v>44786</v>
      </c>
    </row>
    <row r="5205" spans="1:10" x14ac:dyDescent="0.35">
      <c r="A5205" s="2">
        <v>44790</v>
      </c>
      <c r="B5205" s="3">
        <v>0.70386574074074071</v>
      </c>
      <c r="C5205">
        <v>1619</v>
      </c>
      <c r="D5205" t="str">
        <f>VLOOKUP(H5205,Produkt!$A$2:$B$5,2,FALSE)</f>
        <v>A</v>
      </c>
      <c r="H5205">
        <v>1</v>
      </c>
      <c r="I5205">
        <v>8.818287037037037E-2</v>
      </c>
      <c r="J5205">
        <v>44794</v>
      </c>
    </row>
    <row r="5206" spans="1:10" x14ac:dyDescent="0.35">
      <c r="A5206" s="2">
        <v>44790</v>
      </c>
      <c r="B5206" s="3">
        <v>0.87570601851851848</v>
      </c>
      <c r="C5206">
        <v>1624</v>
      </c>
      <c r="D5206" t="str">
        <f>VLOOKUP(H5206,Produkt!$A$2:$B$5,2,FALSE)</f>
        <v>A</v>
      </c>
      <c r="H5206">
        <v>1</v>
      </c>
      <c r="I5206">
        <v>0.10693287037037037</v>
      </c>
      <c r="J5206">
        <v>44800</v>
      </c>
    </row>
    <row r="5207" spans="1:10" x14ac:dyDescent="0.35">
      <c r="A5207" s="2">
        <v>44790</v>
      </c>
      <c r="B5207" s="3">
        <v>1.1354166666666776E-2</v>
      </c>
      <c r="C5207">
        <v>1648</v>
      </c>
      <c r="D5207" t="str">
        <f>VLOOKUP(H5207,Produkt!$A$2:$B$5,2,FALSE)</f>
        <v>B</v>
      </c>
      <c r="H5207">
        <v>2</v>
      </c>
      <c r="I5207">
        <v>0.73105324074074074</v>
      </c>
      <c r="J5207">
        <v>44775</v>
      </c>
    </row>
    <row r="5208" spans="1:10" x14ac:dyDescent="0.35">
      <c r="A5208" s="2">
        <v>44790</v>
      </c>
      <c r="B5208" s="3">
        <v>0.7082060185185185</v>
      </c>
      <c r="C5208">
        <v>1650</v>
      </c>
      <c r="D5208" t="str">
        <f>VLOOKUP(H5208,Produkt!$A$2:$B$5,2,FALSE)</f>
        <v>D</v>
      </c>
      <c r="H5208">
        <v>4</v>
      </c>
      <c r="I5208">
        <v>0.83280092592592592</v>
      </c>
      <c r="J5208">
        <v>44791</v>
      </c>
    </row>
    <row r="5209" spans="1:10" x14ac:dyDescent="0.35">
      <c r="A5209" s="2">
        <v>44790</v>
      </c>
      <c r="B5209" s="3">
        <v>0.64181712962962967</v>
      </c>
      <c r="C5209">
        <v>1654</v>
      </c>
      <c r="D5209" t="str">
        <f>VLOOKUP(H5209,Produkt!$A$2:$B$5,2,FALSE)</f>
        <v>C</v>
      </c>
      <c r="H5209">
        <v>3</v>
      </c>
      <c r="I5209">
        <v>0.49973379629629627</v>
      </c>
      <c r="J5209">
        <v>44778</v>
      </c>
    </row>
    <row r="5210" spans="1:10" x14ac:dyDescent="0.35">
      <c r="A5210" s="2">
        <v>44790</v>
      </c>
      <c r="B5210" s="3">
        <v>0.68631944444444448</v>
      </c>
      <c r="C5210">
        <v>1658</v>
      </c>
      <c r="D5210" t="str">
        <f>VLOOKUP(H5210,Produkt!$A$2:$B$5,2,FALSE)</f>
        <v>D</v>
      </c>
      <c r="H5210">
        <v>4</v>
      </c>
      <c r="I5210">
        <v>0.4796643518518518</v>
      </c>
      <c r="J5210">
        <v>44784</v>
      </c>
    </row>
    <row r="5211" spans="1:10" x14ac:dyDescent="0.35">
      <c r="A5211" s="2">
        <v>44790</v>
      </c>
      <c r="B5211" s="3">
        <v>0.10859953703703702</v>
      </c>
      <c r="C5211">
        <v>1752</v>
      </c>
      <c r="D5211" t="str">
        <f>VLOOKUP(H5211,Produkt!$A$2:$B$5,2,FALSE)</f>
        <v>A</v>
      </c>
      <c r="H5211">
        <v>1</v>
      </c>
      <c r="I5211">
        <v>0.20663194444444444</v>
      </c>
      <c r="J5211">
        <v>44786</v>
      </c>
    </row>
    <row r="5212" spans="1:10" x14ac:dyDescent="0.35">
      <c r="A5212" s="2">
        <v>44790</v>
      </c>
      <c r="B5212" s="3">
        <v>0.26394675925925926</v>
      </c>
      <c r="C5212">
        <v>1867</v>
      </c>
      <c r="D5212" t="str">
        <f>VLOOKUP(H5212,Produkt!$A$2:$B$5,2,FALSE)</f>
        <v>D</v>
      </c>
      <c r="H5212">
        <v>4</v>
      </c>
      <c r="I5212">
        <v>0.8534722222222223</v>
      </c>
      <c r="J5212">
        <v>44794</v>
      </c>
    </row>
    <row r="5213" spans="1:10" x14ac:dyDescent="0.35">
      <c r="A5213" s="2">
        <v>44790</v>
      </c>
      <c r="B5213" s="3">
        <v>0.12628472222222223</v>
      </c>
      <c r="C5213">
        <v>1887</v>
      </c>
      <c r="D5213" t="str">
        <f>VLOOKUP(H5213,Produkt!$A$2:$B$5,2,FALSE)</f>
        <v>C</v>
      </c>
      <c r="H5213">
        <v>3</v>
      </c>
      <c r="I5213">
        <v>0.89613425925925927</v>
      </c>
      <c r="J5213">
        <v>44777</v>
      </c>
    </row>
    <row r="5214" spans="1:10" x14ac:dyDescent="0.35">
      <c r="A5214" s="2">
        <v>44790</v>
      </c>
      <c r="B5214" s="3">
        <v>0.2824652777777778</v>
      </c>
      <c r="C5214">
        <v>1949</v>
      </c>
      <c r="D5214" t="str">
        <f>VLOOKUP(H5214,Produkt!$A$2:$B$5,2,FALSE)</f>
        <v>A</v>
      </c>
      <c r="H5214">
        <v>1</v>
      </c>
      <c r="I5214">
        <v>0.53826388888888888</v>
      </c>
      <c r="J5214">
        <v>44776</v>
      </c>
    </row>
    <row r="5215" spans="1:10" x14ac:dyDescent="0.35">
      <c r="A5215" s="2">
        <v>44790</v>
      </c>
      <c r="B5215" s="3">
        <v>0.78149305555555559</v>
      </c>
      <c r="C5215">
        <v>2041</v>
      </c>
      <c r="D5215" t="str">
        <f>VLOOKUP(H5215,Produkt!$A$2:$B$5,2,FALSE)</f>
        <v>D</v>
      </c>
      <c r="H5215">
        <v>4</v>
      </c>
      <c r="I5215">
        <v>0.29824074074074075</v>
      </c>
      <c r="J5215">
        <v>44783</v>
      </c>
    </row>
    <row r="5216" spans="1:10" x14ac:dyDescent="0.35">
      <c r="A5216" s="2">
        <v>44790</v>
      </c>
      <c r="B5216" s="3">
        <v>0.39276620370370369</v>
      </c>
      <c r="C5216">
        <v>2042</v>
      </c>
      <c r="D5216" t="str">
        <f>VLOOKUP(H5216,Produkt!$A$2:$B$5,2,FALSE)</f>
        <v>D</v>
      </c>
      <c r="H5216">
        <v>4</v>
      </c>
      <c r="I5216">
        <v>0.87015046296296295</v>
      </c>
      <c r="J5216">
        <v>44778</v>
      </c>
    </row>
    <row r="5217" spans="1:10" x14ac:dyDescent="0.35">
      <c r="A5217" s="2">
        <v>44790</v>
      </c>
      <c r="B5217" s="3">
        <v>0.10211805555555555</v>
      </c>
      <c r="C5217">
        <v>2046</v>
      </c>
      <c r="D5217" t="str">
        <f>VLOOKUP(H5217,Produkt!$A$2:$B$5,2,FALSE)</f>
        <v>A</v>
      </c>
      <c r="H5217">
        <v>1</v>
      </c>
      <c r="I5217">
        <v>0.96277777777777773</v>
      </c>
      <c r="J5217">
        <v>44778</v>
      </c>
    </row>
    <row r="5218" spans="1:10" x14ac:dyDescent="0.35">
      <c r="A5218" s="2">
        <v>44790</v>
      </c>
      <c r="B5218" s="3">
        <v>2.7083333333333348E-2</v>
      </c>
      <c r="C5218">
        <v>2062</v>
      </c>
      <c r="D5218" t="str">
        <f>VLOOKUP(H5218,Produkt!$A$2:$B$5,2,FALSE)</f>
        <v>C</v>
      </c>
      <c r="H5218">
        <v>3</v>
      </c>
      <c r="I5218">
        <v>0.68575231481481491</v>
      </c>
      <c r="J5218">
        <v>44780</v>
      </c>
    </row>
    <row r="5219" spans="1:10" x14ac:dyDescent="0.35">
      <c r="A5219" s="2">
        <v>44790</v>
      </c>
      <c r="B5219" s="3">
        <v>0.10760416666666667</v>
      </c>
      <c r="C5219">
        <v>2082</v>
      </c>
      <c r="D5219" t="str">
        <f>VLOOKUP(H5219,Produkt!$A$2:$B$5,2,FALSE)</f>
        <v>D</v>
      </c>
      <c r="H5219">
        <v>4</v>
      </c>
      <c r="I5219">
        <v>0.71050925925925934</v>
      </c>
      <c r="J5219">
        <v>44783</v>
      </c>
    </row>
    <row r="5220" spans="1:10" x14ac:dyDescent="0.35">
      <c r="A5220" s="2">
        <v>44790</v>
      </c>
      <c r="B5220" s="3">
        <v>0.7759490740740741</v>
      </c>
      <c r="C5220">
        <v>2096</v>
      </c>
      <c r="D5220" t="str">
        <f>VLOOKUP(H5220,Produkt!$A$2:$B$5,2,FALSE)</f>
        <v>D</v>
      </c>
      <c r="H5220">
        <v>4</v>
      </c>
      <c r="I5220">
        <v>0.62548611111111108</v>
      </c>
      <c r="J5220">
        <v>44804</v>
      </c>
    </row>
    <row r="5221" spans="1:10" x14ac:dyDescent="0.35">
      <c r="A5221" s="2">
        <v>44790</v>
      </c>
      <c r="B5221" s="3">
        <v>0.697199074074074</v>
      </c>
      <c r="C5221">
        <v>2105</v>
      </c>
      <c r="D5221" t="str">
        <f>VLOOKUP(H5221,Produkt!$A$2:$B$5,2,FALSE)</f>
        <v>C</v>
      </c>
      <c r="H5221">
        <v>3</v>
      </c>
      <c r="I5221">
        <v>0.73101851851851851</v>
      </c>
      <c r="J5221">
        <v>44785</v>
      </c>
    </row>
    <row r="5222" spans="1:10" x14ac:dyDescent="0.35">
      <c r="A5222" s="2">
        <v>44790</v>
      </c>
      <c r="B5222" s="3">
        <v>0.19702546296296297</v>
      </c>
      <c r="C5222">
        <v>2116</v>
      </c>
      <c r="D5222" t="str">
        <f>VLOOKUP(H5222,Produkt!$A$2:$B$5,2,FALSE)</f>
        <v>D</v>
      </c>
      <c r="H5222">
        <v>4</v>
      </c>
      <c r="I5222">
        <v>0.57938657407407412</v>
      </c>
      <c r="J5222">
        <v>44796</v>
      </c>
    </row>
    <row r="5223" spans="1:10" x14ac:dyDescent="0.35">
      <c r="A5223" s="2">
        <v>44790</v>
      </c>
      <c r="B5223" s="3">
        <v>5.4375E-2</v>
      </c>
      <c r="C5223">
        <v>2151</v>
      </c>
      <c r="D5223" t="str">
        <f>VLOOKUP(H5223,Produkt!$A$2:$B$5,2,FALSE)</f>
        <v>C</v>
      </c>
      <c r="H5223">
        <v>3</v>
      </c>
      <c r="I5223">
        <v>0.60856481481481484</v>
      </c>
      <c r="J5223">
        <v>44800</v>
      </c>
    </row>
    <row r="5224" spans="1:10" x14ac:dyDescent="0.35">
      <c r="A5224" s="2">
        <v>44790</v>
      </c>
      <c r="B5224" s="3">
        <v>0.11796296296296298</v>
      </c>
      <c r="C5224">
        <v>2181</v>
      </c>
      <c r="D5224" t="str">
        <f>VLOOKUP(H5224,Produkt!$A$2:$B$5,2,FALSE)</f>
        <v>C</v>
      </c>
      <c r="H5224">
        <v>3</v>
      </c>
      <c r="I5224">
        <v>2.9687500000000002E-2</v>
      </c>
      <c r="J5224">
        <v>44793</v>
      </c>
    </row>
    <row r="5225" spans="1:10" x14ac:dyDescent="0.35">
      <c r="A5225" s="2">
        <v>44790</v>
      </c>
      <c r="B5225" s="3">
        <v>0.54275462962962961</v>
      </c>
      <c r="C5225">
        <v>2182</v>
      </c>
      <c r="D5225" t="str">
        <f>VLOOKUP(H5225,Produkt!$A$2:$B$5,2,FALSE)</f>
        <v>B</v>
      </c>
      <c r="H5225">
        <v>2</v>
      </c>
      <c r="I5225">
        <v>0.36215277777777777</v>
      </c>
      <c r="J5225">
        <v>44801</v>
      </c>
    </row>
    <row r="5226" spans="1:10" x14ac:dyDescent="0.35">
      <c r="A5226" s="2">
        <v>44790</v>
      </c>
      <c r="B5226" s="3">
        <v>0.70432870370370371</v>
      </c>
      <c r="C5226">
        <v>2185</v>
      </c>
      <c r="D5226" t="str">
        <f>VLOOKUP(H5226,Produkt!$A$2:$B$5,2,FALSE)</f>
        <v>C</v>
      </c>
      <c r="H5226">
        <v>3</v>
      </c>
      <c r="I5226">
        <v>0.63780092592592597</v>
      </c>
      <c r="J5226">
        <v>44791</v>
      </c>
    </row>
    <row r="5227" spans="1:10" x14ac:dyDescent="0.35">
      <c r="A5227" s="2">
        <v>44790</v>
      </c>
      <c r="B5227" s="3">
        <v>1.6018518518518519E-2</v>
      </c>
      <c r="C5227">
        <v>2193</v>
      </c>
      <c r="D5227" t="str">
        <f>VLOOKUP(H5227,Produkt!$A$2:$B$5,2,FALSE)</f>
        <v>A</v>
      </c>
      <c r="H5227">
        <v>1</v>
      </c>
      <c r="I5227">
        <v>0.10563657407407408</v>
      </c>
      <c r="J5227">
        <v>44799</v>
      </c>
    </row>
    <row r="5228" spans="1:10" x14ac:dyDescent="0.35">
      <c r="A5228" s="2">
        <v>44790</v>
      </c>
      <c r="B5228" s="3">
        <v>0.66765046296296304</v>
      </c>
      <c r="C5228">
        <v>2228</v>
      </c>
      <c r="D5228" t="str">
        <f>VLOOKUP(H5228,Produkt!$A$2:$B$5,2,FALSE)</f>
        <v>C</v>
      </c>
      <c r="H5228">
        <v>3</v>
      </c>
      <c r="I5228">
        <v>0.76093749999999993</v>
      </c>
      <c r="J5228">
        <v>44782</v>
      </c>
    </row>
    <row r="5229" spans="1:10" x14ac:dyDescent="0.35">
      <c r="A5229" s="2">
        <v>44790</v>
      </c>
      <c r="B5229" s="3">
        <v>0.52945601851851853</v>
      </c>
      <c r="C5229">
        <v>2254</v>
      </c>
      <c r="D5229" t="str">
        <f>VLOOKUP(H5229,Produkt!$A$2:$B$5,2,FALSE)</f>
        <v>C</v>
      </c>
      <c r="H5229">
        <v>3</v>
      </c>
      <c r="I5229">
        <v>0.24079861111111112</v>
      </c>
      <c r="J5229">
        <v>44790</v>
      </c>
    </row>
    <row r="5230" spans="1:10" x14ac:dyDescent="0.35">
      <c r="A5230" s="2">
        <v>44790</v>
      </c>
      <c r="B5230" s="3">
        <v>0.66912037037037031</v>
      </c>
      <c r="C5230">
        <v>2256</v>
      </c>
      <c r="D5230" t="str">
        <f>VLOOKUP(H5230,Produkt!$A$2:$B$5,2,FALSE)</f>
        <v>A</v>
      </c>
      <c r="H5230">
        <v>1</v>
      </c>
      <c r="I5230">
        <v>0.51221064814814821</v>
      </c>
      <c r="J5230">
        <v>44789</v>
      </c>
    </row>
    <row r="5231" spans="1:10" x14ac:dyDescent="0.35">
      <c r="A5231" s="2">
        <v>44790</v>
      </c>
      <c r="B5231" s="3">
        <v>8.4976851851851845E-2</v>
      </c>
      <c r="C5231">
        <v>2275</v>
      </c>
      <c r="D5231" t="str">
        <f>VLOOKUP(H5231,Produkt!$A$2:$B$5,2,FALSE)</f>
        <v>B</v>
      </c>
      <c r="H5231">
        <v>2</v>
      </c>
      <c r="I5231">
        <v>0.70050925925925922</v>
      </c>
      <c r="J5231">
        <v>44781</v>
      </c>
    </row>
    <row r="5232" spans="1:10" x14ac:dyDescent="0.35">
      <c r="A5232" s="2">
        <v>44790</v>
      </c>
      <c r="B5232" s="3">
        <v>0.87</v>
      </c>
      <c r="C5232">
        <v>2287</v>
      </c>
      <c r="D5232" t="str">
        <f>VLOOKUP(H5232,Produkt!$A$2:$B$5,2,FALSE)</f>
        <v>B</v>
      </c>
      <c r="H5232">
        <v>2</v>
      </c>
      <c r="I5232">
        <v>3.1111111111111107E-2</v>
      </c>
      <c r="J5232">
        <v>44785</v>
      </c>
    </row>
    <row r="5233" spans="1:10" x14ac:dyDescent="0.35">
      <c r="A5233" s="2">
        <v>44790</v>
      </c>
      <c r="B5233" s="3">
        <v>0.62541666666666662</v>
      </c>
      <c r="C5233">
        <v>2288</v>
      </c>
      <c r="D5233" t="str">
        <f>VLOOKUP(H5233,Produkt!$A$2:$B$5,2,FALSE)</f>
        <v>B</v>
      </c>
      <c r="H5233">
        <v>2</v>
      </c>
      <c r="I5233">
        <v>0.83119212962962974</v>
      </c>
      <c r="J5233">
        <v>44779</v>
      </c>
    </row>
    <row r="5234" spans="1:10" x14ac:dyDescent="0.35">
      <c r="A5234" s="2">
        <v>44790</v>
      </c>
      <c r="B5234" s="3">
        <v>0.36429398148148145</v>
      </c>
      <c r="C5234">
        <v>2305</v>
      </c>
      <c r="D5234" t="str">
        <f>VLOOKUP(H5234,Produkt!$A$2:$B$5,2,FALSE)</f>
        <v>C</v>
      </c>
      <c r="H5234">
        <v>3</v>
      </c>
      <c r="I5234">
        <v>0.53240740740740744</v>
      </c>
      <c r="J5234">
        <v>44788</v>
      </c>
    </row>
    <row r="5235" spans="1:10" x14ac:dyDescent="0.35">
      <c r="A5235" s="2">
        <v>44790</v>
      </c>
      <c r="B5235" s="3">
        <v>0.65208333333333335</v>
      </c>
      <c r="C5235">
        <v>2348</v>
      </c>
      <c r="D5235" t="str">
        <f>VLOOKUP(H5235,Produkt!$A$2:$B$5,2,FALSE)</f>
        <v>D</v>
      </c>
      <c r="H5235">
        <v>4</v>
      </c>
      <c r="I5235">
        <v>0.15079861111111112</v>
      </c>
      <c r="J5235">
        <v>44791</v>
      </c>
    </row>
    <row r="5236" spans="1:10" x14ac:dyDescent="0.35">
      <c r="A5236" s="2">
        <v>44790</v>
      </c>
      <c r="B5236" s="3">
        <v>0.35375000000000001</v>
      </c>
      <c r="C5236">
        <v>2365</v>
      </c>
      <c r="D5236" t="str">
        <f>VLOOKUP(H5236,Produkt!$A$2:$B$5,2,FALSE)</f>
        <v>B</v>
      </c>
      <c r="H5236">
        <v>2</v>
      </c>
      <c r="I5236">
        <v>0.87584490740740739</v>
      </c>
      <c r="J5236">
        <v>44784</v>
      </c>
    </row>
    <row r="5237" spans="1:10" x14ac:dyDescent="0.35">
      <c r="A5237" s="2">
        <v>44790</v>
      </c>
      <c r="B5237" s="3">
        <v>0.86059027777777775</v>
      </c>
      <c r="C5237">
        <v>2400</v>
      </c>
      <c r="D5237" t="str">
        <f>VLOOKUP(H5237,Produkt!$A$2:$B$5,2,FALSE)</f>
        <v>B</v>
      </c>
      <c r="H5237">
        <v>2</v>
      </c>
      <c r="I5237">
        <v>0.25298611111111108</v>
      </c>
      <c r="J5237">
        <v>44778</v>
      </c>
    </row>
    <row r="5238" spans="1:10" x14ac:dyDescent="0.35">
      <c r="A5238" s="2">
        <v>44790</v>
      </c>
      <c r="B5238" s="3">
        <v>0.44192129629629634</v>
      </c>
      <c r="C5238">
        <v>2426</v>
      </c>
      <c r="D5238" t="str">
        <f>VLOOKUP(H5238,Produkt!$A$2:$B$5,2,FALSE)</f>
        <v>B</v>
      </c>
      <c r="H5238">
        <v>2</v>
      </c>
      <c r="I5238">
        <v>0.82613425925925921</v>
      </c>
      <c r="J5238">
        <v>44785</v>
      </c>
    </row>
    <row r="5239" spans="1:10" x14ac:dyDescent="0.35">
      <c r="A5239" s="2">
        <v>44790</v>
      </c>
      <c r="B5239" s="3">
        <v>0.46965277777777775</v>
      </c>
      <c r="C5239">
        <v>2428</v>
      </c>
      <c r="D5239" t="str">
        <f>VLOOKUP(H5239,Produkt!$A$2:$B$5,2,FALSE)</f>
        <v>A</v>
      </c>
      <c r="H5239">
        <v>1</v>
      </c>
      <c r="I5239">
        <v>0.61439814814814808</v>
      </c>
      <c r="J5239">
        <v>44774</v>
      </c>
    </row>
    <row r="5240" spans="1:10" x14ac:dyDescent="0.35">
      <c r="A5240" s="2">
        <v>44790</v>
      </c>
      <c r="B5240" s="3">
        <v>5.0115740740740737E-3</v>
      </c>
      <c r="C5240">
        <v>2452</v>
      </c>
      <c r="D5240" t="str">
        <f>VLOOKUP(H5240,Produkt!$A$2:$B$5,2,FALSE)</f>
        <v>C</v>
      </c>
      <c r="H5240">
        <v>3</v>
      </c>
      <c r="I5240">
        <v>0.25209490740740742</v>
      </c>
      <c r="J5240">
        <v>44804</v>
      </c>
    </row>
    <row r="5241" spans="1:10" x14ac:dyDescent="0.35">
      <c r="A5241" s="2">
        <v>44790</v>
      </c>
      <c r="B5241" s="3">
        <v>0.67917824074074085</v>
      </c>
      <c r="C5241">
        <v>2468</v>
      </c>
      <c r="D5241" t="str">
        <f>VLOOKUP(H5241,Produkt!$A$2:$B$5,2,FALSE)</f>
        <v>A</v>
      </c>
      <c r="H5241">
        <v>1</v>
      </c>
      <c r="I5241">
        <v>0.32861111111111113</v>
      </c>
      <c r="J5241">
        <v>44802</v>
      </c>
    </row>
    <row r="5242" spans="1:10" x14ac:dyDescent="0.35">
      <c r="A5242" s="2">
        <v>44790</v>
      </c>
      <c r="B5242" s="3">
        <v>0.4470486111111111</v>
      </c>
      <c r="C5242">
        <v>2485</v>
      </c>
      <c r="D5242" t="str">
        <f>VLOOKUP(H5242,Produkt!$A$2:$B$5,2,FALSE)</f>
        <v>A</v>
      </c>
      <c r="H5242">
        <v>1</v>
      </c>
      <c r="I5242">
        <v>0.92949074074074067</v>
      </c>
      <c r="J5242">
        <v>44797</v>
      </c>
    </row>
    <row r="5243" spans="1:10" x14ac:dyDescent="0.35">
      <c r="A5243" s="2">
        <v>44790</v>
      </c>
      <c r="B5243" s="3">
        <v>0.31069444444444444</v>
      </c>
      <c r="C5243">
        <v>2530</v>
      </c>
      <c r="D5243" t="str">
        <f>VLOOKUP(H5243,Produkt!$A$2:$B$5,2,FALSE)</f>
        <v>C</v>
      </c>
      <c r="H5243">
        <v>3</v>
      </c>
      <c r="I5243">
        <v>0.41493055555555558</v>
      </c>
      <c r="J5243">
        <v>44790</v>
      </c>
    </row>
    <row r="5244" spans="1:10" x14ac:dyDescent="0.35">
      <c r="A5244" s="2">
        <v>44790</v>
      </c>
      <c r="B5244" s="3">
        <v>0.27437499999999998</v>
      </c>
      <c r="C5244">
        <v>2591</v>
      </c>
      <c r="D5244" t="str">
        <f>VLOOKUP(H5244,Produkt!$A$2:$B$5,2,FALSE)</f>
        <v>D</v>
      </c>
      <c r="H5244">
        <v>4</v>
      </c>
      <c r="I5244">
        <v>2.8437500000000001E-2</v>
      </c>
      <c r="J5244">
        <v>44789</v>
      </c>
    </row>
    <row r="5245" spans="1:10" x14ac:dyDescent="0.35">
      <c r="A5245" s="2">
        <v>44790</v>
      </c>
      <c r="B5245" s="3">
        <v>6.7708333333333329E-2</v>
      </c>
      <c r="C5245">
        <v>2610</v>
      </c>
      <c r="D5245" t="str">
        <f>VLOOKUP(H5245,Produkt!$A$2:$B$5,2,FALSE)</f>
        <v>D</v>
      </c>
      <c r="H5245">
        <v>4</v>
      </c>
      <c r="I5245">
        <v>0.20767361111111113</v>
      </c>
      <c r="J5245">
        <v>44774</v>
      </c>
    </row>
    <row r="5246" spans="1:10" x14ac:dyDescent="0.35">
      <c r="A5246" s="2">
        <v>44790</v>
      </c>
      <c r="B5246" s="3">
        <v>0.9915046296296296</v>
      </c>
      <c r="C5246">
        <v>2613</v>
      </c>
      <c r="D5246" t="str">
        <f>VLOOKUP(H5246,Produkt!$A$2:$B$5,2,FALSE)</f>
        <v>D</v>
      </c>
      <c r="H5246">
        <v>4</v>
      </c>
      <c r="I5246">
        <v>0.8569444444444444</v>
      </c>
      <c r="J5246">
        <v>44798</v>
      </c>
    </row>
    <row r="5247" spans="1:10" x14ac:dyDescent="0.35">
      <c r="A5247" s="2">
        <v>44790</v>
      </c>
      <c r="B5247" s="3">
        <v>0.68631944444444448</v>
      </c>
      <c r="C5247">
        <v>2655</v>
      </c>
      <c r="D5247" t="str">
        <f>VLOOKUP(H5247,Produkt!$A$2:$B$5,2,FALSE)</f>
        <v>A</v>
      </c>
      <c r="H5247">
        <v>1</v>
      </c>
      <c r="I5247">
        <v>0.85094907407407405</v>
      </c>
      <c r="J5247">
        <v>44792</v>
      </c>
    </row>
    <row r="5248" spans="1:10" x14ac:dyDescent="0.35">
      <c r="A5248" s="2">
        <v>44790</v>
      </c>
      <c r="B5248" s="3">
        <v>0.11607638888888888</v>
      </c>
      <c r="C5248">
        <v>2673</v>
      </c>
      <c r="D5248" t="str">
        <f>VLOOKUP(H5248,Produkt!$A$2:$B$5,2,FALSE)</f>
        <v>A</v>
      </c>
      <c r="H5248">
        <v>1</v>
      </c>
      <c r="I5248">
        <v>0.26134259259259257</v>
      </c>
      <c r="J5248">
        <v>44804</v>
      </c>
    </row>
    <row r="5249" spans="1:10" x14ac:dyDescent="0.35">
      <c r="A5249" s="2">
        <v>44790</v>
      </c>
      <c r="B5249" s="3">
        <v>0.58402777777777781</v>
      </c>
      <c r="C5249">
        <v>2690</v>
      </c>
      <c r="D5249" t="str">
        <f>VLOOKUP(H5249,Produkt!$A$2:$B$5,2,FALSE)</f>
        <v>B</v>
      </c>
      <c r="H5249">
        <v>2</v>
      </c>
      <c r="I5249">
        <v>7.2881944444444444E-2</v>
      </c>
      <c r="J5249">
        <v>44780</v>
      </c>
    </row>
    <row r="5250" spans="1:10" x14ac:dyDescent="0.35">
      <c r="A5250" s="2">
        <v>44790</v>
      </c>
      <c r="B5250" s="3">
        <v>0.98231481481481486</v>
      </c>
      <c r="C5250">
        <v>2729</v>
      </c>
      <c r="D5250" t="str">
        <f>VLOOKUP(H5250,Produkt!$A$2:$B$5,2,FALSE)</f>
        <v>D</v>
      </c>
      <c r="H5250">
        <v>4</v>
      </c>
      <c r="I5250">
        <v>0.93496527777777771</v>
      </c>
      <c r="J5250">
        <v>44785</v>
      </c>
    </row>
    <row r="5251" spans="1:10" x14ac:dyDescent="0.35">
      <c r="A5251" s="2">
        <v>44790</v>
      </c>
      <c r="B5251" s="3">
        <v>0.14259259259259258</v>
      </c>
      <c r="C5251">
        <v>2741</v>
      </c>
      <c r="D5251" t="str">
        <f>VLOOKUP(H5251,Produkt!$A$2:$B$5,2,FALSE)</f>
        <v>D</v>
      </c>
      <c r="H5251">
        <v>4</v>
      </c>
      <c r="I5251">
        <v>0.15016203703703704</v>
      </c>
      <c r="J5251">
        <v>44774</v>
      </c>
    </row>
    <row r="5252" spans="1:10" x14ac:dyDescent="0.35">
      <c r="A5252" s="2">
        <v>44790</v>
      </c>
      <c r="B5252" s="3">
        <v>0.3682407407407407</v>
      </c>
      <c r="C5252">
        <v>2761</v>
      </c>
      <c r="D5252" t="str">
        <f>VLOOKUP(H5252,Produkt!$A$2:$B$5,2,FALSE)</f>
        <v>D</v>
      </c>
      <c r="H5252">
        <v>4</v>
      </c>
      <c r="I5252">
        <v>2.615740740740741E-3</v>
      </c>
      <c r="J5252">
        <v>44782</v>
      </c>
    </row>
    <row r="5253" spans="1:10" x14ac:dyDescent="0.35">
      <c r="A5253" s="2">
        <v>44790</v>
      </c>
      <c r="B5253" s="3">
        <v>0.83685185185185185</v>
      </c>
      <c r="C5253">
        <v>2769</v>
      </c>
      <c r="D5253" t="str">
        <f>VLOOKUP(H5253,Produkt!$A$2:$B$5,2,FALSE)</f>
        <v>C</v>
      </c>
      <c r="H5253">
        <v>3</v>
      </c>
      <c r="I5253">
        <v>0.39377314814814812</v>
      </c>
      <c r="J5253">
        <v>44800</v>
      </c>
    </row>
    <row r="5254" spans="1:10" x14ac:dyDescent="0.35">
      <c r="A5254" s="2">
        <v>44790</v>
      </c>
      <c r="B5254" s="3">
        <v>0.45768518518518514</v>
      </c>
      <c r="C5254">
        <v>2771</v>
      </c>
      <c r="D5254" t="str">
        <f>VLOOKUP(H5254,Produkt!$A$2:$B$5,2,FALSE)</f>
        <v>D</v>
      </c>
      <c r="H5254">
        <v>4</v>
      </c>
      <c r="I5254">
        <v>0.43061342592592594</v>
      </c>
      <c r="J5254">
        <v>44794</v>
      </c>
    </row>
    <row r="5255" spans="1:10" x14ac:dyDescent="0.35">
      <c r="A5255" s="2">
        <v>44790</v>
      </c>
      <c r="B5255" s="3">
        <v>0.69446759259259261</v>
      </c>
      <c r="C5255">
        <v>2774</v>
      </c>
      <c r="D5255" t="str">
        <f>VLOOKUP(H5255,Produkt!$A$2:$B$5,2,FALSE)</f>
        <v>A</v>
      </c>
      <c r="H5255">
        <v>1</v>
      </c>
      <c r="I5255">
        <v>2.49537037037037E-2</v>
      </c>
      <c r="J5255">
        <v>44791</v>
      </c>
    </row>
    <row r="5256" spans="1:10" x14ac:dyDescent="0.35">
      <c r="A5256" s="2">
        <v>44790</v>
      </c>
      <c r="B5256" s="3">
        <v>0.10542824074074074</v>
      </c>
      <c r="C5256">
        <v>2897</v>
      </c>
      <c r="D5256" t="str">
        <f>VLOOKUP(H5256,Produkt!$A$2:$B$5,2,FALSE)</f>
        <v>B</v>
      </c>
      <c r="H5256">
        <v>2</v>
      </c>
      <c r="I5256">
        <v>0.33408564814814817</v>
      </c>
      <c r="J5256">
        <v>44799</v>
      </c>
    </row>
    <row r="5257" spans="1:10" x14ac:dyDescent="0.35">
      <c r="A5257" s="2">
        <v>44790</v>
      </c>
      <c r="B5257" s="3">
        <v>0.62893518518518521</v>
      </c>
      <c r="C5257">
        <v>2922</v>
      </c>
      <c r="D5257" t="str">
        <f>VLOOKUP(H5257,Produkt!$A$2:$B$5,2,FALSE)</f>
        <v>C</v>
      </c>
      <c r="H5257">
        <v>3</v>
      </c>
      <c r="I5257">
        <v>0.39054398148148151</v>
      </c>
      <c r="J5257">
        <v>44783</v>
      </c>
    </row>
    <row r="5258" spans="1:10" x14ac:dyDescent="0.35">
      <c r="A5258" s="2">
        <v>44790</v>
      </c>
      <c r="B5258" s="3">
        <v>0.8531712962962964</v>
      </c>
      <c r="C5258">
        <v>3006</v>
      </c>
      <c r="D5258" t="str">
        <f>VLOOKUP(H5258,Produkt!$A$2:$B$5,2,FALSE)</f>
        <v>C</v>
      </c>
      <c r="H5258">
        <v>3</v>
      </c>
      <c r="I5258">
        <v>0.87943287037037043</v>
      </c>
      <c r="J5258">
        <v>44781</v>
      </c>
    </row>
    <row r="5259" spans="1:10" x14ac:dyDescent="0.35">
      <c r="A5259" s="2">
        <v>44790</v>
      </c>
      <c r="B5259" s="3">
        <v>0.71543981481481478</v>
      </c>
      <c r="C5259">
        <v>3092</v>
      </c>
      <c r="D5259" t="str">
        <f>VLOOKUP(H5259,Produkt!$A$2:$B$5,2,FALSE)</f>
        <v>D</v>
      </c>
      <c r="H5259">
        <v>4</v>
      </c>
      <c r="I5259">
        <v>0.5727430555555556</v>
      </c>
      <c r="J5259">
        <v>44783</v>
      </c>
    </row>
    <row r="5260" spans="1:10" x14ac:dyDescent="0.35">
      <c r="A5260" s="2">
        <v>44790</v>
      </c>
      <c r="B5260" s="3">
        <v>0.24627314814814816</v>
      </c>
      <c r="C5260">
        <v>3111</v>
      </c>
      <c r="D5260" t="str">
        <f>VLOOKUP(H5260,Produkt!$A$2:$B$5,2,FALSE)</f>
        <v>D</v>
      </c>
      <c r="H5260">
        <v>4</v>
      </c>
      <c r="I5260">
        <v>0.83392361111111113</v>
      </c>
      <c r="J5260">
        <v>44786</v>
      </c>
    </row>
    <row r="5261" spans="1:10" x14ac:dyDescent="0.35">
      <c r="A5261" s="2">
        <v>44790</v>
      </c>
      <c r="B5261" s="3">
        <v>0.56707175925925923</v>
      </c>
      <c r="C5261">
        <v>3151</v>
      </c>
      <c r="D5261" t="str">
        <f>VLOOKUP(H5261,Produkt!$A$2:$B$5,2,FALSE)</f>
        <v>A</v>
      </c>
      <c r="H5261">
        <v>1</v>
      </c>
      <c r="I5261">
        <v>0.71995370370370371</v>
      </c>
      <c r="J5261">
        <v>44783</v>
      </c>
    </row>
    <row r="5262" spans="1:10" x14ac:dyDescent="0.35">
      <c r="A5262" s="2">
        <v>44790</v>
      </c>
      <c r="B5262" s="3">
        <v>0.35498842592592594</v>
      </c>
      <c r="C5262">
        <v>3168</v>
      </c>
      <c r="D5262" t="str">
        <f>VLOOKUP(H5262,Produkt!$A$2:$B$5,2,FALSE)</f>
        <v>B</v>
      </c>
      <c r="H5262">
        <v>2</v>
      </c>
      <c r="I5262">
        <v>0.33562500000000001</v>
      </c>
      <c r="J5262">
        <v>44786</v>
      </c>
    </row>
    <row r="5263" spans="1:10" x14ac:dyDescent="0.35">
      <c r="A5263" s="2">
        <v>44790</v>
      </c>
      <c r="B5263" s="3">
        <v>3.2939814814814783E-2</v>
      </c>
      <c r="C5263">
        <v>3183</v>
      </c>
      <c r="D5263" t="str">
        <f>VLOOKUP(H5263,Produkt!$A$2:$B$5,2,FALSE)</f>
        <v>C</v>
      </c>
      <c r="H5263">
        <v>3</v>
      </c>
      <c r="I5263">
        <v>0.61393518518518519</v>
      </c>
      <c r="J5263">
        <v>44783</v>
      </c>
    </row>
    <row r="5264" spans="1:10" x14ac:dyDescent="0.35">
      <c r="A5264" s="2">
        <v>44790</v>
      </c>
      <c r="B5264" s="3">
        <v>0.58843750000000006</v>
      </c>
      <c r="C5264">
        <v>3204</v>
      </c>
      <c r="D5264" t="str">
        <f>VLOOKUP(H5264,Produkt!$A$2:$B$5,2,FALSE)</f>
        <v>A</v>
      </c>
      <c r="H5264">
        <v>1</v>
      </c>
      <c r="I5264">
        <v>0.44807870370370373</v>
      </c>
      <c r="J5264">
        <v>44776</v>
      </c>
    </row>
    <row r="5265" spans="1:10" x14ac:dyDescent="0.35">
      <c r="A5265" s="2">
        <v>44790</v>
      </c>
      <c r="B5265" s="3">
        <v>0.55193287037037042</v>
      </c>
      <c r="C5265">
        <v>3230</v>
      </c>
      <c r="D5265" t="str">
        <f>VLOOKUP(H5265,Produkt!$A$2:$B$5,2,FALSE)</f>
        <v>B</v>
      </c>
      <c r="H5265">
        <v>2</v>
      </c>
      <c r="I5265">
        <v>0.57537037037037042</v>
      </c>
      <c r="J5265">
        <v>44778</v>
      </c>
    </row>
    <row r="5266" spans="1:10" x14ac:dyDescent="0.35">
      <c r="A5266" s="2">
        <v>44790</v>
      </c>
      <c r="B5266" s="3">
        <v>0.73059027777777785</v>
      </c>
      <c r="C5266">
        <v>3241</v>
      </c>
      <c r="D5266" t="str">
        <f>VLOOKUP(H5266,Produkt!$A$2:$B$5,2,FALSE)</f>
        <v>B</v>
      </c>
      <c r="H5266">
        <v>2</v>
      </c>
      <c r="I5266">
        <v>0.32418981481481485</v>
      </c>
      <c r="J5266">
        <v>44779</v>
      </c>
    </row>
    <row r="5267" spans="1:10" x14ac:dyDescent="0.35">
      <c r="A5267" s="2">
        <v>44790</v>
      </c>
      <c r="B5267" s="3">
        <v>0.22609953703703703</v>
      </c>
      <c r="C5267">
        <v>3299</v>
      </c>
      <c r="D5267" t="str">
        <f>VLOOKUP(H5267,Produkt!$A$2:$B$5,2,FALSE)</f>
        <v>C</v>
      </c>
      <c r="H5267">
        <v>3</v>
      </c>
      <c r="I5267">
        <v>0.87873842592592588</v>
      </c>
      <c r="J5267">
        <v>44778</v>
      </c>
    </row>
    <row r="5268" spans="1:10" x14ac:dyDescent="0.35">
      <c r="A5268" s="2">
        <v>44790</v>
      </c>
      <c r="B5268" s="3">
        <v>0.77484953703703707</v>
      </c>
      <c r="C5268">
        <v>3326</v>
      </c>
      <c r="D5268" t="str">
        <f>VLOOKUP(H5268,Produkt!$A$2:$B$5,2,FALSE)</f>
        <v>C</v>
      </c>
      <c r="H5268">
        <v>3</v>
      </c>
      <c r="I5268">
        <v>0.99597222222222215</v>
      </c>
      <c r="J5268">
        <v>44777</v>
      </c>
    </row>
    <row r="5269" spans="1:10" x14ac:dyDescent="0.35">
      <c r="A5269" s="2">
        <v>44790</v>
      </c>
      <c r="B5269" s="3">
        <v>0.48855324074074075</v>
      </c>
      <c r="C5269">
        <v>3327</v>
      </c>
      <c r="D5269" t="str">
        <f>VLOOKUP(H5269,Produkt!$A$2:$B$5,2,FALSE)</f>
        <v>D</v>
      </c>
      <c r="H5269">
        <v>4</v>
      </c>
      <c r="I5269">
        <v>2.3564814814814813E-2</v>
      </c>
      <c r="J5269">
        <v>44796</v>
      </c>
    </row>
    <row r="5270" spans="1:10" x14ac:dyDescent="0.35">
      <c r="A5270" s="2">
        <v>44790</v>
      </c>
      <c r="B5270" s="3">
        <v>0.88032407407407398</v>
      </c>
      <c r="C5270">
        <v>3341</v>
      </c>
      <c r="D5270" t="str">
        <f>VLOOKUP(H5270,Produkt!$A$2:$B$5,2,FALSE)</f>
        <v>B</v>
      </c>
      <c r="H5270">
        <v>2</v>
      </c>
      <c r="I5270">
        <v>1.9942129629629601E-2</v>
      </c>
      <c r="J5270">
        <v>44776</v>
      </c>
    </row>
    <row r="5271" spans="1:10" x14ac:dyDescent="0.35">
      <c r="A5271" s="2">
        <v>44790</v>
      </c>
      <c r="B5271" s="3">
        <v>0.12744212962962961</v>
      </c>
      <c r="C5271">
        <v>3358</v>
      </c>
      <c r="D5271" t="str">
        <f>VLOOKUP(H5271,Produkt!$A$2:$B$5,2,FALSE)</f>
        <v>D</v>
      </c>
      <c r="H5271">
        <v>4</v>
      </c>
      <c r="I5271">
        <v>0.79035879629629635</v>
      </c>
      <c r="J5271">
        <v>44804</v>
      </c>
    </row>
    <row r="5272" spans="1:10" x14ac:dyDescent="0.35">
      <c r="A5272" s="2">
        <v>44790</v>
      </c>
      <c r="B5272" s="3">
        <v>6.1388888888888889E-2</v>
      </c>
      <c r="C5272">
        <v>3368</v>
      </c>
      <c r="D5272" t="str">
        <f>VLOOKUP(H5272,Produkt!$A$2:$B$5,2,FALSE)</f>
        <v>A</v>
      </c>
      <c r="H5272">
        <v>1</v>
      </c>
      <c r="I5272">
        <v>0.1877662037037037</v>
      </c>
      <c r="J5272">
        <v>44787</v>
      </c>
    </row>
    <row r="5273" spans="1:10" x14ac:dyDescent="0.35">
      <c r="A5273" s="2">
        <v>44790</v>
      </c>
      <c r="B5273" s="3">
        <v>0.59247685185185184</v>
      </c>
      <c r="C5273">
        <v>3478</v>
      </c>
      <c r="D5273" t="str">
        <f>VLOOKUP(H5273,Produkt!$A$2:$B$5,2,FALSE)</f>
        <v>B</v>
      </c>
      <c r="H5273">
        <v>2</v>
      </c>
      <c r="I5273">
        <v>0.12646990740740741</v>
      </c>
      <c r="J5273">
        <v>44804</v>
      </c>
    </row>
    <row r="5274" spans="1:10" x14ac:dyDescent="0.35">
      <c r="A5274" s="2">
        <v>44790</v>
      </c>
      <c r="B5274" s="3">
        <v>0.67215277777777782</v>
      </c>
      <c r="C5274">
        <v>3516</v>
      </c>
      <c r="D5274" t="str">
        <f>VLOOKUP(H5274,Produkt!$A$2:$B$5,2,FALSE)</f>
        <v>B</v>
      </c>
      <c r="H5274">
        <v>2</v>
      </c>
      <c r="I5274">
        <v>0.98335648148148147</v>
      </c>
      <c r="J5274">
        <v>44776</v>
      </c>
    </row>
    <row r="5275" spans="1:10" x14ac:dyDescent="0.35">
      <c r="A5275" s="2">
        <v>44790</v>
      </c>
      <c r="B5275" s="3">
        <v>0.40479166666666666</v>
      </c>
      <c r="C5275">
        <v>3589</v>
      </c>
      <c r="D5275" t="str">
        <f>VLOOKUP(H5275,Produkt!$A$2:$B$5,2,FALSE)</f>
        <v>D</v>
      </c>
      <c r="H5275">
        <v>4</v>
      </c>
      <c r="I5275">
        <v>7.8090277777777786E-2</v>
      </c>
      <c r="J5275">
        <v>44775</v>
      </c>
    </row>
    <row r="5276" spans="1:10" x14ac:dyDescent="0.35">
      <c r="A5276" s="2">
        <v>44790</v>
      </c>
      <c r="B5276" s="3">
        <v>0.9355902777777777</v>
      </c>
      <c r="C5276">
        <v>3616</v>
      </c>
      <c r="D5276" t="str">
        <f>VLOOKUP(H5276,Produkt!$A$2:$B$5,2,FALSE)</f>
        <v>D</v>
      </c>
      <c r="H5276">
        <v>4</v>
      </c>
      <c r="I5276">
        <v>0.63440972222222225</v>
      </c>
      <c r="J5276">
        <v>44783</v>
      </c>
    </row>
    <row r="5277" spans="1:10" x14ac:dyDescent="0.35">
      <c r="A5277" s="2">
        <v>44790</v>
      </c>
      <c r="B5277" s="3">
        <v>0.27712962962962967</v>
      </c>
      <c r="C5277">
        <v>3623</v>
      </c>
      <c r="D5277" t="str">
        <f>VLOOKUP(H5277,Produkt!$A$2:$B$5,2,FALSE)</f>
        <v>A</v>
      </c>
      <c r="H5277">
        <v>1</v>
      </c>
      <c r="I5277">
        <v>0.7489351851851852</v>
      </c>
      <c r="J5277">
        <v>44801</v>
      </c>
    </row>
    <row r="5278" spans="1:10" x14ac:dyDescent="0.35">
      <c r="A5278" s="2">
        <v>44790</v>
      </c>
      <c r="B5278" s="3">
        <v>0.19394675925925928</v>
      </c>
      <c r="C5278">
        <v>3626</v>
      </c>
      <c r="D5278" t="str">
        <f>VLOOKUP(H5278,Produkt!$A$2:$B$5,2,FALSE)</f>
        <v>D</v>
      </c>
      <c r="H5278">
        <v>4</v>
      </c>
      <c r="I5278">
        <v>0.58369212962962969</v>
      </c>
      <c r="J5278">
        <v>44798</v>
      </c>
    </row>
    <row r="5279" spans="1:10" x14ac:dyDescent="0.35">
      <c r="A5279" s="2">
        <v>44790</v>
      </c>
      <c r="B5279" s="3">
        <v>0.19293981481481481</v>
      </c>
      <c r="C5279">
        <v>3642</v>
      </c>
      <c r="D5279" t="str">
        <f>VLOOKUP(H5279,Produkt!$A$2:$B$5,2,FALSE)</f>
        <v>D</v>
      </c>
      <c r="H5279">
        <v>4</v>
      </c>
      <c r="I5279">
        <v>0.76856481481481476</v>
      </c>
      <c r="J5279">
        <v>44778</v>
      </c>
    </row>
    <row r="5280" spans="1:10" x14ac:dyDescent="0.35">
      <c r="A5280" s="2">
        <v>44790</v>
      </c>
      <c r="B5280" s="3">
        <v>5.634259259259259E-2</v>
      </c>
      <c r="C5280">
        <v>3644</v>
      </c>
      <c r="D5280" t="str">
        <f>VLOOKUP(H5280,Produkt!$A$2:$B$5,2,FALSE)</f>
        <v>D</v>
      </c>
      <c r="H5280">
        <v>4</v>
      </c>
      <c r="I5280">
        <v>0.97660879629629627</v>
      </c>
      <c r="J5280">
        <v>44788</v>
      </c>
    </row>
    <row r="5281" spans="1:10" x14ac:dyDescent="0.35">
      <c r="A5281" s="2">
        <v>44790</v>
      </c>
      <c r="B5281" s="3">
        <v>0.91090277777777784</v>
      </c>
      <c r="C5281">
        <v>3656</v>
      </c>
      <c r="D5281" t="str">
        <f>VLOOKUP(H5281,Produkt!$A$2:$B$5,2,FALSE)</f>
        <v>D</v>
      </c>
      <c r="H5281">
        <v>4</v>
      </c>
      <c r="I5281">
        <v>0.37182870370370374</v>
      </c>
      <c r="J5281">
        <v>44796</v>
      </c>
    </row>
    <row r="5282" spans="1:10" x14ac:dyDescent="0.35">
      <c r="A5282" s="2">
        <v>44790</v>
      </c>
      <c r="B5282" s="3">
        <v>0.68410879629629628</v>
      </c>
      <c r="C5282">
        <v>3696</v>
      </c>
      <c r="D5282" t="str">
        <f>VLOOKUP(H5282,Produkt!$A$2:$B$5,2,FALSE)</f>
        <v>B</v>
      </c>
      <c r="H5282">
        <v>2</v>
      </c>
      <c r="I5282">
        <v>0.43541666666666662</v>
      </c>
      <c r="J5282">
        <v>44799</v>
      </c>
    </row>
    <row r="5283" spans="1:10" x14ac:dyDescent="0.35">
      <c r="A5283" s="2">
        <v>44790</v>
      </c>
      <c r="B5283" s="3">
        <v>0.97053240740740743</v>
      </c>
      <c r="C5283">
        <v>3714</v>
      </c>
      <c r="D5283" t="str">
        <f>VLOOKUP(H5283,Produkt!$A$2:$B$5,2,FALSE)</f>
        <v>B</v>
      </c>
      <c r="H5283">
        <v>2</v>
      </c>
      <c r="I5283">
        <v>0.95594907407407403</v>
      </c>
      <c r="J5283">
        <v>44778</v>
      </c>
    </row>
    <row r="5284" spans="1:10" x14ac:dyDescent="0.35">
      <c r="A5284" s="2">
        <v>44790</v>
      </c>
      <c r="B5284" s="3">
        <v>3.2546296296296351E-2</v>
      </c>
      <c r="C5284">
        <v>3806</v>
      </c>
      <c r="D5284" t="str">
        <f>VLOOKUP(H5284,Produkt!$A$2:$B$5,2,FALSE)</f>
        <v>A</v>
      </c>
      <c r="H5284">
        <v>1</v>
      </c>
      <c r="I5284">
        <v>1.7615740740740682E-2</v>
      </c>
      <c r="J5284">
        <v>44790</v>
      </c>
    </row>
    <row r="5285" spans="1:10" x14ac:dyDescent="0.35">
      <c r="A5285" s="2">
        <v>44790</v>
      </c>
      <c r="B5285" s="3">
        <v>0.93101851851851858</v>
      </c>
      <c r="C5285">
        <v>3822</v>
      </c>
      <c r="D5285" t="str">
        <f>VLOOKUP(H5285,Produkt!$A$2:$B$5,2,FALSE)</f>
        <v>B</v>
      </c>
      <c r="H5285">
        <v>2</v>
      </c>
      <c r="I5285">
        <v>0.39283564814814814</v>
      </c>
      <c r="J5285">
        <v>44798</v>
      </c>
    </row>
    <row r="5286" spans="1:10" x14ac:dyDescent="0.35">
      <c r="A5286" s="2">
        <v>44790</v>
      </c>
      <c r="B5286" s="3">
        <v>0.35320601851851857</v>
      </c>
      <c r="C5286">
        <v>3869</v>
      </c>
      <c r="D5286" t="str">
        <f>VLOOKUP(H5286,Produkt!$A$2:$B$5,2,FALSE)</f>
        <v>C</v>
      </c>
      <c r="H5286">
        <v>3</v>
      </c>
      <c r="I5286">
        <v>0.56921296296296298</v>
      </c>
      <c r="J5286">
        <v>44775</v>
      </c>
    </row>
    <row r="5287" spans="1:10" x14ac:dyDescent="0.35">
      <c r="A5287" s="2">
        <v>44790</v>
      </c>
      <c r="B5287" s="3">
        <v>0.37285879629629631</v>
      </c>
      <c r="C5287">
        <v>3911</v>
      </c>
      <c r="D5287" t="str">
        <f>VLOOKUP(H5287,Produkt!$A$2:$B$5,2,FALSE)</f>
        <v>A</v>
      </c>
      <c r="H5287">
        <v>1</v>
      </c>
      <c r="I5287">
        <v>0.79849537037037033</v>
      </c>
      <c r="J5287">
        <v>44793</v>
      </c>
    </row>
    <row r="5288" spans="1:10" x14ac:dyDescent="0.35">
      <c r="A5288" s="2">
        <v>44790</v>
      </c>
      <c r="B5288" s="3">
        <v>0.31516203703703705</v>
      </c>
      <c r="C5288">
        <v>3914</v>
      </c>
      <c r="D5288" t="str">
        <f>VLOOKUP(H5288,Produkt!$A$2:$B$5,2,FALSE)</f>
        <v>C</v>
      </c>
      <c r="H5288">
        <v>3</v>
      </c>
      <c r="I5288">
        <v>0.12739583333333335</v>
      </c>
      <c r="J5288">
        <v>44786</v>
      </c>
    </row>
    <row r="5289" spans="1:10" x14ac:dyDescent="0.35">
      <c r="A5289" s="2">
        <v>44790</v>
      </c>
      <c r="B5289" s="3">
        <v>0.19468750000000001</v>
      </c>
      <c r="C5289">
        <v>3942</v>
      </c>
      <c r="D5289" t="str">
        <f>VLOOKUP(H5289,Produkt!$A$2:$B$5,2,FALSE)</f>
        <v>C</v>
      </c>
      <c r="H5289">
        <v>3</v>
      </c>
      <c r="I5289">
        <v>0.1860185185185185</v>
      </c>
      <c r="J5289">
        <v>44776</v>
      </c>
    </row>
    <row r="5290" spans="1:10" x14ac:dyDescent="0.35">
      <c r="A5290" s="2">
        <v>44790</v>
      </c>
      <c r="B5290" s="3">
        <v>0.17906250000000001</v>
      </c>
      <c r="C5290">
        <v>3945</v>
      </c>
      <c r="D5290" t="str">
        <f>VLOOKUP(H5290,Produkt!$A$2:$B$5,2,FALSE)</f>
        <v>B</v>
      </c>
      <c r="H5290">
        <v>2</v>
      </c>
      <c r="I5290">
        <v>2.9560185185185217E-2</v>
      </c>
      <c r="J5290">
        <v>44789</v>
      </c>
    </row>
    <row r="5291" spans="1:10" x14ac:dyDescent="0.35">
      <c r="A5291" s="2">
        <v>44790</v>
      </c>
      <c r="B5291" s="3">
        <v>0.9234837962962964</v>
      </c>
      <c r="C5291">
        <v>3995</v>
      </c>
      <c r="D5291" t="str">
        <f>VLOOKUP(H5291,Produkt!$A$2:$B$5,2,FALSE)</f>
        <v>C</v>
      </c>
      <c r="H5291">
        <v>3</v>
      </c>
      <c r="I5291">
        <v>0.22751157407407407</v>
      </c>
      <c r="J5291">
        <v>44791</v>
      </c>
    </row>
    <row r="5292" spans="1:10" x14ac:dyDescent="0.35">
      <c r="A5292" s="2">
        <v>44790</v>
      </c>
      <c r="B5292" s="3">
        <v>0.55128472222222225</v>
      </c>
      <c r="C5292">
        <v>3997</v>
      </c>
      <c r="D5292" t="str">
        <f>VLOOKUP(H5292,Produkt!$A$2:$B$5,2,FALSE)</f>
        <v>B</v>
      </c>
      <c r="H5292">
        <v>2</v>
      </c>
      <c r="I5292">
        <v>0.38721064814814815</v>
      </c>
      <c r="J5292">
        <v>44796</v>
      </c>
    </row>
    <row r="5293" spans="1:10" x14ac:dyDescent="0.35">
      <c r="A5293" s="2">
        <v>44790</v>
      </c>
      <c r="B5293" s="3">
        <v>0.74391203703703701</v>
      </c>
      <c r="C5293">
        <v>4001</v>
      </c>
      <c r="D5293" t="str">
        <f>VLOOKUP(H5293,Produkt!$A$2:$B$5,2,FALSE)</f>
        <v>D</v>
      </c>
      <c r="H5293">
        <v>4</v>
      </c>
      <c r="I5293">
        <v>9.5138888888888884E-2</v>
      </c>
      <c r="J5293">
        <v>44800</v>
      </c>
    </row>
    <row r="5294" spans="1:10" x14ac:dyDescent="0.35">
      <c r="A5294" s="2">
        <v>44790</v>
      </c>
      <c r="B5294" s="3">
        <v>0.93229166666666663</v>
      </c>
      <c r="C5294">
        <v>4022</v>
      </c>
      <c r="D5294" t="str">
        <f>VLOOKUP(H5294,Produkt!$A$2:$B$5,2,FALSE)</f>
        <v>B</v>
      </c>
      <c r="H5294">
        <v>2</v>
      </c>
      <c r="I5294">
        <v>0.54309027777777774</v>
      </c>
      <c r="J5294">
        <v>44781</v>
      </c>
    </row>
    <row r="5295" spans="1:10" x14ac:dyDescent="0.35">
      <c r="A5295" s="2">
        <v>44790</v>
      </c>
      <c r="B5295" s="3">
        <v>0.98996527777777776</v>
      </c>
      <c r="C5295">
        <v>4157</v>
      </c>
      <c r="D5295" t="str">
        <f>VLOOKUP(H5295,Produkt!$A$2:$B$5,2,FALSE)</f>
        <v>A</v>
      </c>
      <c r="H5295">
        <v>1</v>
      </c>
      <c r="I5295">
        <v>0.6705902777777778</v>
      </c>
      <c r="J5295">
        <v>44804</v>
      </c>
    </row>
    <row r="5296" spans="1:10" x14ac:dyDescent="0.35">
      <c r="A5296" s="2">
        <v>44790</v>
      </c>
      <c r="B5296" s="3">
        <v>5.0868055555555548E-2</v>
      </c>
      <c r="C5296">
        <v>4161</v>
      </c>
      <c r="D5296" t="str">
        <f>VLOOKUP(H5296,Produkt!$A$2:$B$5,2,FALSE)</f>
        <v>B</v>
      </c>
      <c r="H5296">
        <v>2</v>
      </c>
      <c r="I5296">
        <v>0.44865740740740739</v>
      </c>
      <c r="J5296">
        <v>44799</v>
      </c>
    </row>
    <row r="5297" spans="1:10" x14ac:dyDescent="0.35">
      <c r="A5297" s="2">
        <v>44790</v>
      </c>
      <c r="B5297" s="3">
        <v>0.92062499999999992</v>
      </c>
      <c r="C5297">
        <v>4227</v>
      </c>
      <c r="D5297" t="str">
        <f>VLOOKUP(H5297,Produkt!$A$2:$B$5,2,FALSE)</f>
        <v>D</v>
      </c>
      <c r="H5297">
        <v>4</v>
      </c>
      <c r="I5297">
        <v>0.25458333333333333</v>
      </c>
      <c r="J5297">
        <v>44795</v>
      </c>
    </row>
    <row r="5298" spans="1:10" x14ac:dyDescent="0.35">
      <c r="A5298" s="2">
        <v>44790</v>
      </c>
      <c r="B5298" s="3">
        <v>0.72502314814814817</v>
      </c>
      <c r="C5298">
        <v>4311</v>
      </c>
      <c r="D5298" t="str">
        <f>VLOOKUP(H5298,Produkt!$A$2:$B$5,2,FALSE)</f>
        <v>D</v>
      </c>
      <c r="H5298">
        <v>4</v>
      </c>
      <c r="I5298">
        <v>0.77223379629629629</v>
      </c>
      <c r="J5298">
        <v>44802</v>
      </c>
    </row>
    <row r="5299" spans="1:10" x14ac:dyDescent="0.35">
      <c r="A5299" s="2">
        <v>44790</v>
      </c>
      <c r="B5299" s="3">
        <v>0.75297453703703709</v>
      </c>
      <c r="C5299">
        <v>4327</v>
      </c>
      <c r="D5299" t="str">
        <f>VLOOKUP(H5299,Produkt!$A$2:$B$5,2,FALSE)</f>
        <v>C</v>
      </c>
      <c r="H5299">
        <v>3</v>
      </c>
      <c r="I5299">
        <v>9.5960648148148142E-2</v>
      </c>
      <c r="J5299">
        <v>44790</v>
      </c>
    </row>
    <row r="5300" spans="1:10" x14ac:dyDescent="0.35">
      <c r="A5300" s="2">
        <v>44790</v>
      </c>
      <c r="B5300" s="3">
        <v>0.10712962962962963</v>
      </c>
      <c r="C5300">
        <v>4336</v>
      </c>
      <c r="D5300" t="str">
        <f>VLOOKUP(H5300,Produkt!$A$2:$B$5,2,FALSE)</f>
        <v>D</v>
      </c>
      <c r="H5300">
        <v>4</v>
      </c>
      <c r="I5300">
        <v>0.69890046296296304</v>
      </c>
      <c r="J5300">
        <v>44792</v>
      </c>
    </row>
    <row r="5301" spans="1:10" x14ac:dyDescent="0.35">
      <c r="A5301" s="2">
        <v>44790</v>
      </c>
      <c r="B5301" s="3">
        <v>0.21346064814814814</v>
      </c>
      <c r="C5301">
        <v>4354</v>
      </c>
      <c r="D5301" t="str">
        <f>VLOOKUP(H5301,Produkt!$A$2:$B$5,2,FALSE)</f>
        <v>C</v>
      </c>
      <c r="H5301">
        <v>3</v>
      </c>
      <c r="I5301">
        <v>0.87495370370370373</v>
      </c>
      <c r="J5301">
        <v>44802</v>
      </c>
    </row>
    <row r="5302" spans="1:10" x14ac:dyDescent="0.35">
      <c r="A5302" s="2">
        <v>44790</v>
      </c>
      <c r="B5302" s="3">
        <v>0.52958333333333341</v>
      </c>
      <c r="C5302">
        <v>4376</v>
      </c>
      <c r="D5302" t="str">
        <f>VLOOKUP(H5302,Produkt!$A$2:$B$5,2,FALSE)</f>
        <v>B</v>
      </c>
      <c r="H5302">
        <v>2</v>
      </c>
      <c r="I5302">
        <v>0.28666666666666668</v>
      </c>
      <c r="J5302">
        <v>44774</v>
      </c>
    </row>
    <row r="5303" spans="1:10" x14ac:dyDescent="0.35">
      <c r="A5303" s="2">
        <v>44790</v>
      </c>
      <c r="B5303" s="3">
        <v>0.10665509259259259</v>
      </c>
      <c r="C5303">
        <v>4384</v>
      </c>
      <c r="D5303" t="str">
        <f>VLOOKUP(H5303,Produkt!$A$2:$B$5,2,FALSE)</f>
        <v>B</v>
      </c>
      <c r="H5303">
        <v>2</v>
      </c>
      <c r="I5303">
        <v>0.21381944444444445</v>
      </c>
      <c r="J5303">
        <v>44801</v>
      </c>
    </row>
    <row r="5304" spans="1:10" x14ac:dyDescent="0.35">
      <c r="A5304" s="2">
        <v>44790</v>
      </c>
      <c r="B5304" s="3">
        <v>0.81484953703703711</v>
      </c>
      <c r="C5304">
        <v>4410</v>
      </c>
      <c r="D5304" t="str">
        <f>VLOOKUP(H5304,Produkt!$A$2:$B$5,2,FALSE)</f>
        <v>A</v>
      </c>
      <c r="H5304">
        <v>1</v>
      </c>
      <c r="I5304">
        <v>0.60247685185185185</v>
      </c>
      <c r="J5304">
        <v>44788</v>
      </c>
    </row>
    <row r="5305" spans="1:10" x14ac:dyDescent="0.35">
      <c r="A5305" s="2">
        <v>44790</v>
      </c>
      <c r="B5305" s="3">
        <v>0.57322916666666668</v>
      </c>
      <c r="C5305">
        <v>4445</v>
      </c>
      <c r="D5305" t="str">
        <f>VLOOKUP(H5305,Produkt!$A$2:$B$5,2,FALSE)</f>
        <v>D</v>
      </c>
      <c r="H5305">
        <v>4</v>
      </c>
      <c r="I5305">
        <v>0.70787037037037026</v>
      </c>
      <c r="J5305">
        <v>44791</v>
      </c>
    </row>
    <row r="5306" spans="1:10" x14ac:dyDescent="0.35">
      <c r="A5306" s="2">
        <v>44790</v>
      </c>
      <c r="B5306" s="3">
        <v>0.72069444444444442</v>
      </c>
      <c r="C5306">
        <v>4457</v>
      </c>
      <c r="D5306" t="str">
        <f>VLOOKUP(H5306,Produkt!$A$2:$B$5,2,FALSE)</f>
        <v>A</v>
      </c>
      <c r="H5306">
        <v>1</v>
      </c>
      <c r="I5306">
        <v>0.28645833333333331</v>
      </c>
      <c r="J5306">
        <v>44789</v>
      </c>
    </row>
    <row r="5307" spans="1:10" x14ac:dyDescent="0.35">
      <c r="A5307" s="2">
        <v>44790</v>
      </c>
      <c r="B5307" s="3">
        <v>0.87659722222222225</v>
      </c>
      <c r="C5307">
        <v>4462</v>
      </c>
      <c r="D5307" t="str">
        <f>VLOOKUP(H5307,Produkt!$A$2:$B$5,2,FALSE)</f>
        <v>C</v>
      </c>
      <c r="H5307">
        <v>3</v>
      </c>
      <c r="I5307">
        <v>0.60055555555555562</v>
      </c>
      <c r="J5307">
        <v>44786</v>
      </c>
    </row>
    <row r="5308" spans="1:10" x14ac:dyDescent="0.35">
      <c r="A5308" s="2">
        <v>44790</v>
      </c>
      <c r="B5308" s="3">
        <v>0.27074074074074073</v>
      </c>
      <c r="C5308">
        <v>4474</v>
      </c>
      <c r="D5308" t="str">
        <f>VLOOKUP(H5308,Produkt!$A$2:$B$5,2,FALSE)</f>
        <v>C</v>
      </c>
      <c r="H5308">
        <v>3</v>
      </c>
      <c r="I5308">
        <v>0.76174768518518521</v>
      </c>
      <c r="J5308">
        <v>44793</v>
      </c>
    </row>
    <row r="5309" spans="1:10" x14ac:dyDescent="0.35">
      <c r="A5309" s="2">
        <v>44790</v>
      </c>
      <c r="B5309" s="3">
        <v>3.6620370370370248E-2</v>
      </c>
      <c r="C5309">
        <v>4478</v>
      </c>
      <c r="D5309" t="str">
        <f>VLOOKUP(H5309,Produkt!$A$2:$B$5,2,FALSE)</f>
        <v>A</v>
      </c>
      <c r="H5309">
        <v>1</v>
      </c>
      <c r="I5309">
        <v>0.27936342592592595</v>
      </c>
      <c r="J5309">
        <v>44778</v>
      </c>
    </row>
    <row r="5310" spans="1:10" x14ac:dyDescent="0.35">
      <c r="A5310" s="2">
        <v>44790</v>
      </c>
      <c r="B5310" s="3">
        <v>0.96026620370370364</v>
      </c>
      <c r="C5310">
        <v>4485</v>
      </c>
      <c r="D5310" t="str">
        <f>VLOOKUP(H5310,Produkt!$A$2:$B$5,2,FALSE)</f>
        <v>D</v>
      </c>
      <c r="H5310">
        <v>4</v>
      </c>
      <c r="I5310">
        <v>2.4548611111111063E-2</v>
      </c>
      <c r="J5310">
        <v>44776</v>
      </c>
    </row>
    <row r="5311" spans="1:10" x14ac:dyDescent="0.35">
      <c r="A5311" s="2">
        <v>44790</v>
      </c>
      <c r="B5311" s="3">
        <v>0.57547453703703699</v>
      </c>
      <c r="C5311">
        <v>4593</v>
      </c>
      <c r="D5311" t="str">
        <f>VLOOKUP(H5311,Produkt!$A$2:$B$5,2,FALSE)</f>
        <v>D</v>
      </c>
      <c r="H5311">
        <v>4</v>
      </c>
      <c r="I5311">
        <v>0.96741898148148142</v>
      </c>
      <c r="J5311">
        <v>44796</v>
      </c>
    </row>
    <row r="5312" spans="1:10" x14ac:dyDescent="0.35">
      <c r="A5312" s="2">
        <v>44790</v>
      </c>
      <c r="B5312" s="3">
        <v>0.2651736111111111</v>
      </c>
      <c r="C5312">
        <v>4594</v>
      </c>
      <c r="D5312" t="str">
        <f>VLOOKUP(H5312,Produkt!$A$2:$B$5,2,FALSE)</f>
        <v>A</v>
      </c>
      <c r="H5312">
        <v>1</v>
      </c>
      <c r="I5312">
        <v>0.56831018518518517</v>
      </c>
      <c r="J5312">
        <v>44787</v>
      </c>
    </row>
    <row r="5313" spans="1:10" x14ac:dyDescent="0.35">
      <c r="A5313" s="2">
        <v>44790</v>
      </c>
      <c r="B5313" s="3">
        <v>0.62664351851851852</v>
      </c>
      <c r="C5313">
        <v>4613</v>
      </c>
      <c r="D5313" t="str">
        <f>VLOOKUP(H5313,Produkt!$A$2:$B$5,2,FALSE)</f>
        <v>B</v>
      </c>
      <c r="H5313">
        <v>2</v>
      </c>
      <c r="I5313">
        <v>0.26449074074074075</v>
      </c>
      <c r="J5313">
        <v>44787</v>
      </c>
    </row>
    <row r="5314" spans="1:10" x14ac:dyDescent="0.35">
      <c r="A5314" s="2">
        <v>44790</v>
      </c>
      <c r="B5314" s="3">
        <v>0.59701388888888884</v>
      </c>
      <c r="C5314">
        <v>4649</v>
      </c>
      <c r="D5314" t="str">
        <f>VLOOKUP(H5314,Produkt!$A$2:$B$5,2,FALSE)</f>
        <v>C</v>
      </c>
      <c r="H5314">
        <v>3</v>
      </c>
      <c r="I5314">
        <v>6.1944444444444441E-2</v>
      </c>
      <c r="J5314">
        <v>44778</v>
      </c>
    </row>
    <row r="5315" spans="1:10" x14ac:dyDescent="0.35">
      <c r="A5315" s="2">
        <v>44790</v>
      </c>
      <c r="B5315" s="3">
        <v>0.93204861111111104</v>
      </c>
      <c r="C5315">
        <v>4652</v>
      </c>
      <c r="D5315" t="str">
        <f>VLOOKUP(H5315,Produkt!$A$2:$B$5,2,FALSE)</f>
        <v>A</v>
      </c>
      <c r="H5315">
        <v>1</v>
      </c>
      <c r="I5315">
        <v>0.95425925925925925</v>
      </c>
      <c r="J5315">
        <v>44797</v>
      </c>
    </row>
    <row r="5316" spans="1:10" x14ac:dyDescent="0.35">
      <c r="A5316" s="2">
        <v>44790</v>
      </c>
      <c r="B5316" s="3">
        <v>0.23353009259259258</v>
      </c>
      <c r="C5316">
        <v>4666</v>
      </c>
      <c r="D5316" t="str">
        <f>VLOOKUP(H5316,Produkt!$A$2:$B$5,2,FALSE)</f>
        <v>C</v>
      </c>
      <c r="H5316">
        <v>3</v>
      </c>
      <c r="I5316">
        <v>0.43861111111111112</v>
      </c>
      <c r="J5316">
        <v>44792</v>
      </c>
    </row>
    <row r="5317" spans="1:10" x14ac:dyDescent="0.35">
      <c r="A5317" s="2">
        <v>44790</v>
      </c>
      <c r="B5317" s="3">
        <v>0.87638888888888899</v>
      </c>
      <c r="C5317">
        <v>4678</v>
      </c>
      <c r="D5317" t="str">
        <f>VLOOKUP(H5317,Produkt!$A$2:$B$5,2,FALSE)</f>
        <v>A</v>
      </c>
      <c r="H5317">
        <v>1</v>
      </c>
      <c r="I5317">
        <v>6.627314814814815E-2</v>
      </c>
      <c r="J5317">
        <v>44774</v>
      </c>
    </row>
    <row r="5318" spans="1:10" x14ac:dyDescent="0.35">
      <c r="A5318" s="2">
        <v>44790</v>
      </c>
      <c r="B5318" s="3">
        <v>0.19018518518518521</v>
      </c>
      <c r="C5318">
        <v>4682</v>
      </c>
      <c r="D5318" t="str">
        <f>VLOOKUP(H5318,Produkt!$A$2:$B$5,2,FALSE)</f>
        <v>D</v>
      </c>
      <c r="H5318">
        <v>4</v>
      </c>
      <c r="I5318">
        <v>0.80702546296296296</v>
      </c>
      <c r="J5318">
        <v>44779</v>
      </c>
    </row>
    <row r="5319" spans="1:10" x14ac:dyDescent="0.35">
      <c r="A5319" s="2">
        <v>44790</v>
      </c>
      <c r="B5319" s="3">
        <v>4.1620370370370363E-2</v>
      </c>
      <c r="C5319">
        <v>4705</v>
      </c>
      <c r="D5319" t="str">
        <f>VLOOKUP(H5319,Produkt!$A$2:$B$5,2,FALSE)</f>
        <v>C</v>
      </c>
      <c r="H5319">
        <v>3</v>
      </c>
      <c r="I5319">
        <v>0.48386574074074074</v>
      </c>
      <c r="J5319">
        <v>44800</v>
      </c>
    </row>
    <row r="5320" spans="1:10" x14ac:dyDescent="0.35">
      <c r="A5320" s="2">
        <v>44790</v>
      </c>
      <c r="B5320" s="3">
        <v>0.49784722222222227</v>
      </c>
      <c r="C5320">
        <v>4712</v>
      </c>
      <c r="D5320" t="str">
        <f>VLOOKUP(H5320,Produkt!$A$2:$B$5,2,FALSE)</f>
        <v>B</v>
      </c>
      <c r="H5320">
        <v>2</v>
      </c>
      <c r="I5320">
        <v>0.87185185185185177</v>
      </c>
      <c r="J5320">
        <v>44783</v>
      </c>
    </row>
    <row r="5321" spans="1:10" x14ac:dyDescent="0.35">
      <c r="A5321" s="2">
        <v>44790</v>
      </c>
      <c r="B5321" s="3">
        <v>0.37195601851851851</v>
      </c>
      <c r="C5321">
        <v>4756</v>
      </c>
      <c r="D5321" t="str">
        <f>VLOOKUP(H5321,Produkt!$A$2:$B$5,2,FALSE)</f>
        <v>C</v>
      </c>
      <c r="H5321">
        <v>3</v>
      </c>
      <c r="I5321">
        <v>0.14636574074074074</v>
      </c>
      <c r="J5321">
        <v>44796</v>
      </c>
    </row>
    <row r="5322" spans="1:10" x14ac:dyDescent="0.35">
      <c r="A5322" s="2">
        <v>44790</v>
      </c>
      <c r="B5322" s="3">
        <v>0.19930555555555554</v>
      </c>
      <c r="C5322">
        <v>4765</v>
      </c>
      <c r="D5322" t="str">
        <f>VLOOKUP(H5322,Produkt!$A$2:$B$5,2,FALSE)</f>
        <v>B</v>
      </c>
      <c r="H5322">
        <v>2</v>
      </c>
      <c r="I5322">
        <v>0.47878472222222218</v>
      </c>
      <c r="J5322">
        <v>44785</v>
      </c>
    </row>
    <row r="5323" spans="1:10" x14ac:dyDescent="0.35">
      <c r="A5323" s="2">
        <v>44790</v>
      </c>
      <c r="B5323" s="3">
        <v>8.5914351851851853E-2</v>
      </c>
      <c r="C5323">
        <v>4804</v>
      </c>
      <c r="D5323" t="str">
        <f>VLOOKUP(H5323,Produkt!$A$2:$B$5,2,FALSE)</f>
        <v>B</v>
      </c>
      <c r="H5323">
        <v>2</v>
      </c>
      <c r="I5323">
        <v>7.1400462962962971E-2</v>
      </c>
      <c r="J5323">
        <v>44800</v>
      </c>
    </row>
    <row r="5324" spans="1:10" x14ac:dyDescent="0.35">
      <c r="A5324" s="2">
        <v>44790</v>
      </c>
      <c r="B5324" s="3">
        <v>0.3875231481481482</v>
      </c>
      <c r="C5324">
        <v>4845</v>
      </c>
      <c r="D5324" t="str">
        <f>VLOOKUP(H5324,Produkt!$A$2:$B$5,2,FALSE)</f>
        <v>A</v>
      </c>
      <c r="H5324">
        <v>1</v>
      </c>
      <c r="I5324">
        <v>0.16695601851851852</v>
      </c>
      <c r="J5324">
        <v>44780</v>
      </c>
    </row>
    <row r="5325" spans="1:10" x14ac:dyDescent="0.35">
      <c r="A5325" s="2">
        <v>44790</v>
      </c>
      <c r="B5325" s="3">
        <v>0.33760416666666665</v>
      </c>
      <c r="C5325">
        <v>4948</v>
      </c>
      <c r="D5325" t="str">
        <f>VLOOKUP(H5325,Produkt!$A$2:$B$5,2,FALSE)</f>
        <v>A</v>
      </c>
      <c r="H5325">
        <v>1</v>
      </c>
      <c r="I5325">
        <v>1.681712962962963E-2</v>
      </c>
      <c r="J5325">
        <v>44774</v>
      </c>
    </row>
    <row r="5326" spans="1:10" x14ac:dyDescent="0.35">
      <c r="A5326" s="2">
        <v>44790</v>
      </c>
      <c r="B5326" s="3">
        <v>0.52432870370370377</v>
      </c>
      <c r="C5326">
        <v>5081</v>
      </c>
      <c r="D5326" t="str">
        <f>VLOOKUP(H5326,Produkt!$A$2:$B$5,2,FALSE)</f>
        <v>B</v>
      </c>
      <c r="H5326">
        <v>2</v>
      </c>
      <c r="I5326">
        <v>5.347222222222222E-3</v>
      </c>
      <c r="J5326">
        <v>44785</v>
      </c>
    </row>
    <row r="5327" spans="1:10" x14ac:dyDescent="0.35">
      <c r="A5327" s="2">
        <v>44790</v>
      </c>
      <c r="B5327" s="3">
        <v>0.16583333333333333</v>
      </c>
      <c r="C5327">
        <v>5114</v>
      </c>
      <c r="D5327" t="str">
        <f>VLOOKUP(H5327,Produkt!$A$2:$B$5,2,FALSE)</f>
        <v>D</v>
      </c>
      <c r="H5327">
        <v>4</v>
      </c>
      <c r="I5327">
        <v>3.201388888888889E-2</v>
      </c>
      <c r="J5327">
        <v>44779</v>
      </c>
    </row>
    <row r="5328" spans="1:10" x14ac:dyDescent="0.35">
      <c r="A5328" s="2">
        <v>44790</v>
      </c>
      <c r="B5328" s="3">
        <v>0.58865740740740746</v>
      </c>
      <c r="C5328">
        <v>5144</v>
      </c>
      <c r="D5328" t="str">
        <f>VLOOKUP(H5328,Produkt!$A$2:$B$5,2,FALSE)</f>
        <v>B</v>
      </c>
      <c r="H5328">
        <v>2</v>
      </c>
      <c r="I5328">
        <v>0.77266203703703706</v>
      </c>
      <c r="J5328">
        <v>44782</v>
      </c>
    </row>
    <row r="5329" spans="1:10" x14ac:dyDescent="0.35">
      <c r="A5329" s="2">
        <v>44790</v>
      </c>
      <c r="B5329" s="3">
        <v>0.93428240740740742</v>
      </c>
      <c r="C5329">
        <v>5155</v>
      </c>
      <c r="D5329" t="str">
        <f>VLOOKUP(H5329,Produkt!$A$2:$B$5,2,FALSE)</f>
        <v>A</v>
      </c>
      <c r="H5329">
        <v>1</v>
      </c>
      <c r="I5329">
        <v>0.14460648148148147</v>
      </c>
      <c r="J5329">
        <v>44803</v>
      </c>
    </row>
    <row r="5330" spans="1:10" x14ac:dyDescent="0.35">
      <c r="A5330" s="2">
        <v>44790</v>
      </c>
      <c r="B5330" s="3">
        <v>0.34947916666666662</v>
      </c>
      <c r="C5330">
        <v>5176</v>
      </c>
      <c r="D5330" t="str">
        <f>VLOOKUP(H5330,Produkt!$A$2:$B$5,2,FALSE)</f>
        <v>B</v>
      </c>
      <c r="H5330">
        <v>2</v>
      </c>
      <c r="I5330">
        <v>3.4074074074074076E-2</v>
      </c>
      <c r="J5330">
        <v>44795</v>
      </c>
    </row>
    <row r="5331" spans="1:10" x14ac:dyDescent="0.35">
      <c r="A5331" s="2">
        <v>44790</v>
      </c>
      <c r="B5331" s="3">
        <v>0.32393518518518521</v>
      </c>
      <c r="C5331">
        <v>5192</v>
      </c>
      <c r="D5331" t="str">
        <f>VLOOKUP(H5331,Produkt!$A$2:$B$5,2,FALSE)</f>
        <v>B</v>
      </c>
      <c r="H5331">
        <v>2</v>
      </c>
      <c r="I5331">
        <v>0.4879398148148148</v>
      </c>
      <c r="J5331">
        <v>44795</v>
      </c>
    </row>
    <row r="5332" spans="1:10" x14ac:dyDescent="0.35">
      <c r="A5332" s="2">
        <v>44790</v>
      </c>
      <c r="B5332" s="3">
        <v>0.76093749999999993</v>
      </c>
      <c r="C5332">
        <v>5227</v>
      </c>
      <c r="D5332" t="str">
        <f>VLOOKUP(H5332,Produkt!$A$2:$B$5,2,FALSE)</f>
        <v>A</v>
      </c>
      <c r="H5332">
        <v>1</v>
      </c>
      <c r="I5332">
        <v>0.35651620370370374</v>
      </c>
      <c r="J5332">
        <v>44792</v>
      </c>
    </row>
    <row r="5333" spans="1:10" x14ac:dyDescent="0.35">
      <c r="A5333" s="2">
        <v>44790</v>
      </c>
      <c r="B5333" s="3">
        <v>2.615740740740741E-3</v>
      </c>
      <c r="C5333">
        <v>5251</v>
      </c>
      <c r="D5333" t="str">
        <f>VLOOKUP(H5333,Produkt!$A$2:$B$5,2,FALSE)</f>
        <v>D</v>
      </c>
      <c r="H5333">
        <v>4</v>
      </c>
      <c r="I5333">
        <v>0.43594907407407407</v>
      </c>
      <c r="J5333">
        <v>44774</v>
      </c>
    </row>
    <row r="5334" spans="1:10" x14ac:dyDescent="0.35">
      <c r="A5334" s="2">
        <v>44790</v>
      </c>
      <c r="B5334" s="3">
        <v>0.39377314814814812</v>
      </c>
      <c r="C5334">
        <v>5252</v>
      </c>
      <c r="D5334" t="str">
        <f>VLOOKUP(H5334,Produkt!$A$2:$B$5,2,FALSE)</f>
        <v>C</v>
      </c>
      <c r="H5334">
        <v>3</v>
      </c>
      <c r="I5334">
        <v>0.56085648148148148</v>
      </c>
      <c r="J5334">
        <v>44796</v>
      </c>
    </row>
    <row r="5335" spans="1:10" x14ac:dyDescent="0.35">
      <c r="A5335" s="2">
        <v>44790</v>
      </c>
      <c r="B5335" s="3">
        <v>0.43061342592592594</v>
      </c>
      <c r="C5335">
        <v>5253</v>
      </c>
      <c r="D5335" t="str">
        <f>VLOOKUP(H5335,Produkt!$A$2:$B$5,2,FALSE)</f>
        <v>C</v>
      </c>
      <c r="H5335">
        <v>3</v>
      </c>
      <c r="I5335">
        <v>0.71605324074074073</v>
      </c>
      <c r="J5335">
        <v>44778</v>
      </c>
    </row>
    <row r="5336" spans="1:10" x14ac:dyDescent="0.35">
      <c r="A5336" s="2">
        <v>44790</v>
      </c>
      <c r="B5336" s="3">
        <v>0.5727430555555556</v>
      </c>
      <c r="C5336">
        <v>5258</v>
      </c>
      <c r="D5336" t="str">
        <f>VLOOKUP(H5336,Produkt!$A$2:$B$5,2,FALSE)</f>
        <v>C</v>
      </c>
      <c r="H5336">
        <v>3</v>
      </c>
      <c r="I5336">
        <v>0.13686342592592593</v>
      </c>
      <c r="J5336">
        <v>44794</v>
      </c>
    </row>
    <row r="5337" spans="1:10" x14ac:dyDescent="0.35">
      <c r="A5337" s="2">
        <v>44790</v>
      </c>
      <c r="B5337" s="3">
        <v>0.39283564814814814</v>
      </c>
      <c r="C5337">
        <v>5284</v>
      </c>
      <c r="D5337" t="str">
        <f>VLOOKUP(H5337,Produkt!$A$2:$B$5,2,FALSE)</f>
        <v>C</v>
      </c>
      <c r="H5337">
        <v>3</v>
      </c>
      <c r="I5337">
        <v>0.45296296296296296</v>
      </c>
      <c r="J5337">
        <v>44793</v>
      </c>
    </row>
    <row r="5338" spans="1:10" x14ac:dyDescent="0.35">
      <c r="A5338" s="2">
        <v>44790</v>
      </c>
      <c r="B5338" s="3">
        <v>0.56921296296296298</v>
      </c>
      <c r="C5338">
        <v>5285</v>
      </c>
      <c r="D5338" t="str">
        <f>VLOOKUP(H5338,Produkt!$A$2:$B$5,2,FALSE)</f>
        <v>B</v>
      </c>
      <c r="H5338">
        <v>2</v>
      </c>
      <c r="I5338">
        <v>0.17458333333333334</v>
      </c>
      <c r="J5338">
        <v>44781</v>
      </c>
    </row>
    <row r="5339" spans="1:10" x14ac:dyDescent="0.35">
      <c r="A5339" s="2">
        <v>44790</v>
      </c>
      <c r="B5339" s="3">
        <v>0.55903935185185183</v>
      </c>
      <c r="C5339">
        <v>5338</v>
      </c>
      <c r="D5339" t="str">
        <f>VLOOKUP(H5339,Produkt!$A$2:$B$5,2,FALSE)</f>
        <v>B</v>
      </c>
      <c r="H5339">
        <v>2</v>
      </c>
      <c r="I5339">
        <v>0.55903935185185183</v>
      </c>
      <c r="J5339">
        <v>44795</v>
      </c>
    </row>
    <row r="5340" spans="1:10" x14ac:dyDescent="0.35">
      <c r="A5340" s="2">
        <v>44790</v>
      </c>
      <c r="B5340" s="3">
        <v>0.80653935185185188</v>
      </c>
      <c r="C5340">
        <v>5349</v>
      </c>
      <c r="D5340" t="str">
        <f>VLOOKUP(H5340,Produkt!$A$2:$B$5,2,FALSE)</f>
        <v>D</v>
      </c>
      <c r="H5340">
        <v>4</v>
      </c>
      <c r="I5340">
        <v>0.29297453703703702</v>
      </c>
      <c r="J5340">
        <v>44800</v>
      </c>
    </row>
    <row r="5341" spans="1:10" x14ac:dyDescent="0.35">
      <c r="A5341" s="2">
        <v>44790</v>
      </c>
      <c r="B5341" s="3">
        <v>0.15756944444444446</v>
      </c>
      <c r="C5341">
        <v>5394</v>
      </c>
      <c r="D5341" t="str">
        <f>VLOOKUP(H5341,Produkt!$A$2:$B$5,2,FALSE)</f>
        <v>C</v>
      </c>
      <c r="H5341">
        <v>3</v>
      </c>
      <c r="I5341">
        <v>0.71552083333333327</v>
      </c>
      <c r="J5341">
        <v>44784</v>
      </c>
    </row>
    <row r="5342" spans="1:10" x14ac:dyDescent="0.35">
      <c r="A5342" s="2">
        <v>44790</v>
      </c>
      <c r="B5342" s="3">
        <v>0.87042824074074077</v>
      </c>
      <c r="C5342">
        <v>5398</v>
      </c>
      <c r="D5342" t="str">
        <f>VLOOKUP(H5342,Produkt!$A$2:$B$5,2,FALSE)</f>
        <v>B</v>
      </c>
      <c r="H5342">
        <v>2</v>
      </c>
      <c r="I5342">
        <v>6.8518518518518867E-3</v>
      </c>
      <c r="J5342">
        <v>44782</v>
      </c>
    </row>
    <row r="5343" spans="1:10" x14ac:dyDescent="0.35">
      <c r="A5343" s="2">
        <v>44790</v>
      </c>
      <c r="B5343" s="3">
        <v>0.70142361111111118</v>
      </c>
      <c r="C5343">
        <v>5439</v>
      </c>
      <c r="D5343" t="str">
        <f>VLOOKUP(H5343,Produkt!$A$2:$B$5,2,FALSE)</f>
        <v>D</v>
      </c>
      <c r="H5343">
        <v>4</v>
      </c>
      <c r="I5343">
        <v>0.47409722222222223</v>
      </c>
      <c r="J5343">
        <v>44775</v>
      </c>
    </row>
    <row r="5344" spans="1:10" x14ac:dyDescent="0.35">
      <c r="A5344" s="2">
        <v>44790</v>
      </c>
      <c r="B5344" s="3">
        <v>0.74681712962962965</v>
      </c>
      <c r="C5344">
        <v>5612</v>
      </c>
      <c r="D5344" t="str">
        <f>VLOOKUP(H5344,Produkt!$A$2:$B$5,2,FALSE)</f>
        <v>C</v>
      </c>
      <c r="H5344">
        <v>3</v>
      </c>
      <c r="I5344">
        <v>0.62659722222222225</v>
      </c>
      <c r="J5344">
        <v>44781</v>
      </c>
    </row>
    <row r="5345" spans="1:10" x14ac:dyDescent="0.35">
      <c r="A5345" s="2">
        <v>44790</v>
      </c>
      <c r="B5345" s="3">
        <v>0.82292824074074078</v>
      </c>
      <c r="C5345">
        <v>5671</v>
      </c>
      <c r="D5345" t="str">
        <f>VLOOKUP(H5345,Produkt!$A$2:$B$5,2,FALSE)</f>
        <v>D</v>
      </c>
      <c r="H5345">
        <v>4</v>
      </c>
      <c r="I5345">
        <v>0.75839120370370372</v>
      </c>
      <c r="J5345">
        <v>44791</v>
      </c>
    </row>
    <row r="5346" spans="1:10" x14ac:dyDescent="0.35">
      <c r="A5346" s="2">
        <v>44790</v>
      </c>
      <c r="B5346" s="3">
        <v>0.90704861111111112</v>
      </c>
      <c r="C5346">
        <v>5858</v>
      </c>
      <c r="D5346" t="str">
        <f>VLOOKUP(H5346,Produkt!$A$2:$B$5,2,FALSE)</f>
        <v>B</v>
      </c>
      <c r="H5346">
        <v>2</v>
      </c>
      <c r="I5346">
        <v>0.27054398148148145</v>
      </c>
      <c r="J5346">
        <v>44803</v>
      </c>
    </row>
    <row r="5347" spans="1:10" x14ac:dyDescent="0.35">
      <c r="A5347" s="2">
        <v>44790</v>
      </c>
      <c r="B5347" s="3">
        <v>1.0300925925925927E-2</v>
      </c>
      <c r="C5347">
        <v>5913</v>
      </c>
      <c r="D5347" t="str">
        <f>VLOOKUP(H5347,Produkt!$A$2:$B$5,2,FALSE)</f>
        <v>C</v>
      </c>
      <c r="H5347">
        <v>3</v>
      </c>
      <c r="I5347">
        <v>0.65596064814814814</v>
      </c>
      <c r="J5347">
        <v>44787</v>
      </c>
    </row>
    <row r="5348" spans="1:10" x14ac:dyDescent="0.35">
      <c r="A5348" s="2">
        <v>44790</v>
      </c>
      <c r="B5348" s="3">
        <v>0.91020833333333329</v>
      </c>
      <c r="C5348">
        <v>5944</v>
      </c>
      <c r="D5348" t="str">
        <f>VLOOKUP(H5348,Produkt!$A$2:$B$5,2,FALSE)</f>
        <v>B</v>
      </c>
      <c r="H5348">
        <v>2</v>
      </c>
      <c r="I5348">
        <v>0.56899305555555557</v>
      </c>
      <c r="J5348">
        <v>44785</v>
      </c>
    </row>
    <row r="5349" spans="1:10" x14ac:dyDescent="0.35">
      <c r="A5349" s="2">
        <v>44790</v>
      </c>
      <c r="B5349" s="3">
        <v>0.16487268518518519</v>
      </c>
      <c r="C5349">
        <v>5947</v>
      </c>
      <c r="D5349" t="str">
        <f>VLOOKUP(H5349,Produkt!$A$2:$B$5,2,FALSE)</f>
        <v>A</v>
      </c>
      <c r="H5349">
        <v>1</v>
      </c>
      <c r="I5349">
        <v>0.20318287037037039</v>
      </c>
      <c r="J5349">
        <v>44779</v>
      </c>
    </row>
    <row r="5350" spans="1:10" x14ac:dyDescent="0.35">
      <c r="A5350" s="2">
        <v>44790</v>
      </c>
      <c r="B5350" s="3">
        <v>0.66984953703703709</v>
      </c>
      <c r="C5350">
        <v>5991</v>
      </c>
      <c r="D5350" t="str">
        <f>VLOOKUP(H5350,Produkt!$A$2:$B$5,2,FALSE)</f>
        <v>B</v>
      </c>
      <c r="H5350">
        <v>2</v>
      </c>
      <c r="I5350">
        <v>0.80653935185185188</v>
      </c>
      <c r="J5350">
        <v>44792</v>
      </c>
    </row>
    <row r="5351" spans="1:10" x14ac:dyDescent="0.35">
      <c r="A5351" s="2">
        <v>44790</v>
      </c>
      <c r="B5351" s="3">
        <v>0.16376157407407407</v>
      </c>
      <c r="C5351">
        <v>5995</v>
      </c>
      <c r="D5351" t="str">
        <f>VLOOKUP(H5351,Produkt!$A$2:$B$5,2,FALSE)</f>
        <v>A</v>
      </c>
      <c r="H5351">
        <v>1</v>
      </c>
      <c r="I5351">
        <v>0.68690972222222213</v>
      </c>
      <c r="J5351">
        <v>44798</v>
      </c>
    </row>
    <row r="5352" spans="1:10" x14ac:dyDescent="0.35">
      <c r="A5352" s="2">
        <v>44790</v>
      </c>
      <c r="B5352" s="3">
        <v>0.47483796296296293</v>
      </c>
      <c r="C5352">
        <v>6021</v>
      </c>
      <c r="D5352" t="str">
        <f>VLOOKUP(H5352,Produkt!$A$2:$B$5,2,FALSE)</f>
        <v>C</v>
      </c>
      <c r="H5352">
        <v>3</v>
      </c>
      <c r="I5352">
        <v>0.80785879629629631</v>
      </c>
      <c r="J5352">
        <v>44780</v>
      </c>
    </row>
    <row r="5353" spans="1:10" x14ac:dyDescent="0.35">
      <c r="A5353" s="2">
        <v>44790</v>
      </c>
      <c r="B5353" s="3">
        <v>0.38842592592592595</v>
      </c>
      <c r="C5353">
        <v>6030</v>
      </c>
      <c r="D5353" t="str">
        <f>VLOOKUP(H5353,Produkt!$A$2:$B$5,2,FALSE)</f>
        <v>B</v>
      </c>
      <c r="H5353">
        <v>2</v>
      </c>
      <c r="I5353">
        <v>6.177083333333333E-2</v>
      </c>
      <c r="J5353">
        <v>44800</v>
      </c>
    </row>
    <row r="5354" spans="1:10" x14ac:dyDescent="0.35">
      <c r="A5354" s="2">
        <v>44790</v>
      </c>
      <c r="B5354" s="3">
        <v>1.1666666666666667E-2</v>
      </c>
      <c r="C5354">
        <v>6050</v>
      </c>
      <c r="D5354" t="str">
        <f>VLOOKUP(H5354,Produkt!$A$2:$B$5,2,FALSE)</f>
        <v>C</v>
      </c>
      <c r="H5354">
        <v>3</v>
      </c>
      <c r="I5354">
        <v>6.8217592592592594E-2</v>
      </c>
      <c r="J5354">
        <v>44803</v>
      </c>
    </row>
    <row r="5355" spans="1:10" x14ac:dyDescent="0.35">
      <c r="A5355" s="2">
        <v>44790</v>
      </c>
      <c r="B5355" s="3">
        <v>0.20849537037037036</v>
      </c>
      <c r="C5355">
        <v>6053</v>
      </c>
      <c r="D5355" t="str">
        <f>VLOOKUP(H5355,Produkt!$A$2:$B$5,2,FALSE)</f>
        <v>C</v>
      </c>
      <c r="H5355">
        <v>3</v>
      </c>
      <c r="I5355">
        <v>0.73274305555555552</v>
      </c>
      <c r="J5355">
        <v>44785</v>
      </c>
    </row>
    <row r="5356" spans="1:10" x14ac:dyDescent="0.35">
      <c r="A5356" s="2">
        <v>44790</v>
      </c>
      <c r="B5356" s="3">
        <v>0.63322916666666662</v>
      </c>
      <c r="C5356">
        <v>6071</v>
      </c>
      <c r="D5356" t="str">
        <f>VLOOKUP(H5356,Produkt!$A$2:$B$5,2,FALSE)</f>
        <v>C</v>
      </c>
      <c r="H5356">
        <v>3</v>
      </c>
      <c r="I5356">
        <v>0.895625</v>
      </c>
      <c r="J5356">
        <v>44779</v>
      </c>
    </row>
    <row r="5357" spans="1:10" x14ac:dyDescent="0.35">
      <c r="A5357" s="2">
        <v>44790</v>
      </c>
      <c r="B5357" s="3">
        <v>0.37201388888888887</v>
      </c>
      <c r="C5357">
        <v>6097</v>
      </c>
      <c r="D5357" t="str">
        <f>VLOOKUP(H5357,Produkt!$A$2:$B$5,2,FALSE)</f>
        <v>A</v>
      </c>
      <c r="H5357">
        <v>1</v>
      </c>
      <c r="I5357">
        <v>0.42721064814814813</v>
      </c>
      <c r="J5357">
        <v>44800</v>
      </c>
    </row>
    <row r="5358" spans="1:10" x14ac:dyDescent="0.35">
      <c r="A5358" s="2">
        <v>44790</v>
      </c>
      <c r="B5358" s="3">
        <v>0.67134259259259255</v>
      </c>
      <c r="C5358">
        <v>6114</v>
      </c>
      <c r="D5358" t="str">
        <f>VLOOKUP(H5358,Produkt!$A$2:$B$5,2,FALSE)</f>
        <v>C</v>
      </c>
      <c r="H5358">
        <v>3</v>
      </c>
      <c r="I5358">
        <v>0.43711805555555555</v>
      </c>
      <c r="J5358">
        <v>44789</v>
      </c>
    </row>
    <row r="5359" spans="1:10" x14ac:dyDescent="0.35">
      <c r="A5359" s="2">
        <v>44790</v>
      </c>
      <c r="B5359" s="3">
        <v>0.98472222222222217</v>
      </c>
      <c r="C5359">
        <v>6116</v>
      </c>
      <c r="D5359" t="str">
        <f>VLOOKUP(H5359,Produkt!$A$2:$B$5,2,FALSE)</f>
        <v>A</v>
      </c>
      <c r="H5359">
        <v>1</v>
      </c>
      <c r="I5359">
        <v>0.97016203703703707</v>
      </c>
      <c r="J5359">
        <v>44797</v>
      </c>
    </row>
    <row r="5360" spans="1:10" x14ac:dyDescent="0.35">
      <c r="A5360" s="2">
        <v>44790</v>
      </c>
      <c r="B5360" s="3">
        <v>0.54424768518518518</v>
      </c>
      <c r="C5360">
        <v>6124</v>
      </c>
      <c r="D5360" t="str">
        <f>VLOOKUP(H5360,Produkt!$A$2:$B$5,2,FALSE)</f>
        <v>B</v>
      </c>
      <c r="H5360">
        <v>2</v>
      </c>
      <c r="I5360">
        <v>0.8752199074074074</v>
      </c>
      <c r="J5360">
        <v>44796</v>
      </c>
    </row>
    <row r="5361" spans="1:10" x14ac:dyDescent="0.35">
      <c r="A5361" s="2">
        <v>44790</v>
      </c>
      <c r="B5361" s="3">
        <v>0.84167824074074071</v>
      </c>
      <c r="C5361">
        <v>6187</v>
      </c>
      <c r="D5361" t="str">
        <f>VLOOKUP(H5361,Produkt!$A$2:$B$5,2,FALSE)</f>
        <v>A</v>
      </c>
      <c r="H5361">
        <v>1</v>
      </c>
      <c r="I5361">
        <v>8.1018518518518601E-3</v>
      </c>
      <c r="J5361">
        <v>44779</v>
      </c>
    </row>
    <row r="5362" spans="1:10" x14ac:dyDescent="0.35">
      <c r="A5362" s="2">
        <v>44790</v>
      </c>
      <c r="B5362" s="3">
        <v>0.16059027777777776</v>
      </c>
      <c r="C5362">
        <v>6230</v>
      </c>
      <c r="D5362" t="str">
        <f>VLOOKUP(H5362,Produkt!$A$2:$B$5,2,FALSE)</f>
        <v>C</v>
      </c>
      <c r="H5362">
        <v>3</v>
      </c>
      <c r="I5362">
        <v>5.6828703703703702E-3</v>
      </c>
      <c r="J5362">
        <v>44778</v>
      </c>
    </row>
    <row r="5363" spans="1:10" x14ac:dyDescent="0.35">
      <c r="A5363" s="2">
        <v>44790</v>
      </c>
      <c r="B5363" s="3">
        <v>0.51131944444444444</v>
      </c>
      <c r="C5363">
        <v>6277</v>
      </c>
      <c r="D5363" t="str">
        <f>VLOOKUP(H5363,Produkt!$A$2:$B$5,2,FALSE)</f>
        <v>A</v>
      </c>
      <c r="H5363">
        <v>1</v>
      </c>
      <c r="I5363">
        <v>0.93387731481481484</v>
      </c>
      <c r="J5363">
        <v>44774</v>
      </c>
    </row>
    <row r="5364" spans="1:10" x14ac:dyDescent="0.35">
      <c r="A5364" s="2">
        <v>44790</v>
      </c>
      <c r="B5364" s="3">
        <v>0.14123842592592592</v>
      </c>
      <c r="C5364">
        <v>6285</v>
      </c>
      <c r="D5364" t="str">
        <f>VLOOKUP(H5364,Produkt!$A$2:$B$5,2,FALSE)</f>
        <v>A</v>
      </c>
      <c r="H5364">
        <v>1</v>
      </c>
      <c r="I5364">
        <v>0.98995370370370372</v>
      </c>
      <c r="J5364">
        <v>44801</v>
      </c>
    </row>
    <row r="5365" spans="1:10" x14ac:dyDescent="0.35">
      <c r="A5365" s="2">
        <v>44790</v>
      </c>
      <c r="B5365" s="3">
        <v>0.20660879629629628</v>
      </c>
      <c r="C5365">
        <v>6294</v>
      </c>
      <c r="D5365" t="str">
        <f>VLOOKUP(H5365,Produkt!$A$2:$B$5,2,FALSE)</f>
        <v>D</v>
      </c>
      <c r="H5365">
        <v>4</v>
      </c>
      <c r="I5365">
        <v>0.21858796296296298</v>
      </c>
      <c r="J5365">
        <v>44799</v>
      </c>
    </row>
    <row r="5366" spans="1:10" x14ac:dyDescent="0.35">
      <c r="A5366" s="2">
        <v>44790</v>
      </c>
      <c r="B5366" s="3">
        <v>0.45591435185185186</v>
      </c>
      <c r="C5366">
        <v>6327</v>
      </c>
      <c r="D5366" t="str">
        <f>VLOOKUP(H5366,Produkt!$A$2:$B$5,2,FALSE)</f>
        <v>A</v>
      </c>
      <c r="H5366">
        <v>1</v>
      </c>
      <c r="I5366">
        <v>0.62163194444444447</v>
      </c>
      <c r="J5366">
        <v>44803</v>
      </c>
    </row>
    <row r="5367" spans="1:10" x14ac:dyDescent="0.35">
      <c r="A5367" s="2">
        <v>44790</v>
      </c>
      <c r="B5367" s="3">
        <v>0.4947685185185185</v>
      </c>
      <c r="C5367">
        <v>6361</v>
      </c>
      <c r="D5367" t="str">
        <f>VLOOKUP(H5367,Produkt!$A$2:$B$5,2,FALSE)</f>
        <v>C</v>
      </c>
      <c r="H5367">
        <v>3</v>
      </c>
      <c r="I5367">
        <v>0.79108796296296291</v>
      </c>
      <c r="J5367">
        <v>44792</v>
      </c>
    </row>
    <row r="5368" spans="1:10" x14ac:dyDescent="0.35">
      <c r="A5368" s="2">
        <v>44790</v>
      </c>
      <c r="B5368" s="3">
        <v>0.79978009259259253</v>
      </c>
      <c r="C5368">
        <v>6363</v>
      </c>
      <c r="D5368" t="str">
        <f>VLOOKUP(H5368,Produkt!$A$2:$B$5,2,FALSE)</f>
        <v>A</v>
      </c>
      <c r="H5368">
        <v>1</v>
      </c>
      <c r="I5368">
        <v>9.3148148148148147E-2</v>
      </c>
      <c r="J5368">
        <v>44785</v>
      </c>
    </row>
    <row r="5369" spans="1:10" x14ac:dyDescent="0.35">
      <c r="A5369" s="2">
        <v>44790</v>
      </c>
      <c r="B5369" s="3">
        <v>0.67726851851851855</v>
      </c>
      <c r="C5369">
        <v>6394</v>
      </c>
      <c r="D5369" t="str">
        <f>VLOOKUP(H5369,Produkt!$A$2:$B$5,2,FALSE)</f>
        <v>B</v>
      </c>
      <c r="H5369">
        <v>2</v>
      </c>
      <c r="I5369">
        <v>0.94784722222222229</v>
      </c>
      <c r="J5369">
        <v>44783</v>
      </c>
    </row>
    <row r="5370" spans="1:10" x14ac:dyDescent="0.35">
      <c r="A5370" s="2">
        <v>44790</v>
      </c>
      <c r="B5370" s="3">
        <v>0.79777777777777781</v>
      </c>
      <c r="C5370">
        <v>6400</v>
      </c>
      <c r="D5370" t="str">
        <f>VLOOKUP(H5370,Produkt!$A$2:$B$5,2,FALSE)</f>
        <v>A</v>
      </c>
      <c r="H5370">
        <v>1</v>
      </c>
      <c r="I5370">
        <v>0.51554398148148151</v>
      </c>
      <c r="J5370">
        <v>44783</v>
      </c>
    </row>
    <row r="5371" spans="1:10" x14ac:dyDescent="0.35">
      <c r="A5371" s="2">
        <v>44790</v>
      </c>
      <c r="B5371" s="3">
        <v>0.4271064814814815</v>
      </c>
      <c r="C5371">
        <v>6457</v>
      </c>
      <c r="D5371" t="str">
        <f>VLOOKUP(H5371,Produkt!$A$2:$B$5,2,FALSE)</f>
        <v>D</v>
      </c>
      <c r="H5371">
        <v>4</v>
      </c>
      <c r="I5371">
        <v>4.7060185185185184E-2</v>
      </c>
      <c r="J5371">
        <v>44780</v>
      </c>
    </row>
    <row r="5372" spans="1:10" x14ac:dyDescent="0.35">
      <c r="A5372" s="2">
        <v>44790</v>
      </c>
      <c r="B5372" s="3">
        <v>0.47407407407407409</v>
      </c>
      <c r="C5372">
        <v>6495</v>
      </c>
      <c r="D5372" t="str">
        <f>VLOOKUP(H5372,Produkt!$A$2:$B$5,2,FALSE)</f>
        <v>A</v>
      </c>
      <c r="H5372">
        <v>1</v>
      </c>
      <c r="I5372">
        <v>0.93377314814814805</v>
      </c>
      <c r="J5372">
        <v>44778</v>
      </c>
    </row>
    <row r="5373" spans="1:10" x14ac:dyDescent="0.35">
      <c r="A5373" s="2">
        <v>44790</v>
      </c>
      <c r="B5373" s="3">
        <v>0.4143634259259259</v>
      </c>
      <c r="C5373">
        <v>6569</v>
      </c>
      <c r="D5373" t="str">
        <f>VLOOKUP(H5373,Produkt!$A$2:$B$5,2,FALSE)</f>
        <v>A</v>
      </c>
      <c r="H5373">
        <v>1</v>
      </c>
      <c r="I5373">
        <v>0.75515046296296295</v>
      </c>
      <c r="J5373">
        <v>44792</v>
      </c>
    </row>
    <row r="5374" spans="1:10" x14ac:dyDescent="0.35">
      <c r="A5374" s="2">
        <v>44790</v>
      </c>
      <c r="B5374" s="3">
        <v>0.91392361111111109</v>
      </c>
      <c r="C5374">
        <v>6577</v>
      </c>
      <c r="D5374" t="str">
        <f>VLOOKUP(H5374,Produkt!$A$2:$B$5,2,FALSE)</f>
        <v>C</v>
      </c>
      <c r="H5374">
        <v>3</v>
      </c>
      <c r="I5374">
        <v>0.97697916666666673</v>
      </c>
      <c r="J5374">
        <v>44777</v>
      </c>
    </row>
    <row r="5375" spans="1:10" x14ac:dyDescent="0.35">
      <c r="A5375" s="2">
        <v>44790</v>
      </c>
      <c r="B5375" s="3">
        <v>1.7546296296296296E-2</v>
      </c>
      <c r="C5375">
        <v>6597</v>
      </c>
      <c r="D5375" t="str">
        <f>VLOOKUP(H5375,Produkt!$A$2:$B$5,2,FALSE)</f>
        <v>C</v>
      </c>
      <c r="H5375">
        <v>3</v>
      </c>
      <c r="I5375">
        <v>0.63637731481481474</v>
      </c>
      <c r="J5375">
        <v>44792</v>
      </c>
    </row>
    <row r="5376" spans="1:10" x14ac:dyDescent="0.35">
      <c r="A5376" s="2">
        <v>44790</v>
      </c>
      <c r="B5376" s="3">
        <v>0.66309027777777774</v>
      </c>
      <c r="C5376">
        <v>6646</v>
      </c>
      <c r="D5376" t="str">
        <f>VLOOKUP(H5376,Produkt!$A$2:$B$5,2,FALSE)</f>
        <v>B</v>
      </c>
      <c r="H5376">
        <v>2</v>
      </c>
      <c r="I5376">
        <v>0.3868287037037037</v>
      </c>
      <c r="J5376">
        <v>44796</v>
      </c>
    </row>
    <row r="5377" spans="1:10" x14ac:dyDescent="0.35">
      <c r="A5377" s="2">
        <v>44790</v>
      </c>
      <c r="B5377" s="3">
        <v>0.245</v>
      </c>
      <c r="C5377">
        <v>6690</v>
      </c>
      <c r="D5377" t="str">
        <f>VLOOKUP(H5377,Produkt!$A$2:$B$5,2,FALSE)</f>
        <v>A</v>
      </c>
      <c r="H5377">
        <v>1</v>
      </c>
      <c r="I5377">
        <v>0.86643518518518514</v>
      </c>
      <c r="J5377">
        <v>44797</v>
      </c>
    </row>
    <row r="5378" spans="1:10" x14ac:dyDescent="0.35">
      <c r="A5378" s="2">
        <v>44790</v>
      </c>
      <c r="B5378" s="3">
        <v>0.28460648148148149</v>
      </c>
      <c r="C5378">
        <v>6711</v>
      </c>
      <c r="D5378" t="str">
        <f>VLOOKUP(H5378,Produkt!$A$2:$B$5,2,FALSE)</f>
        <v>D</v>
      </c>
      <c r="H5378">
        <v>4</v>
      </c>
      <c r="I5378">
        <v>0.18863425925925925</v>
      </c>
      <c r="J5378">
        <v>44783</v>
      </c>
    </row>
    <row r="5379" spans="1:10" x14ac:dyDescent="0.35">
      <c r="A5379" s="2">
        <v>44790</v>
      </c>
      <c r="B5379" s="3">
        <v>0.2770023148148148</v>
      </c>
      <c r="C5379">
        <v>6755</v>
      </c>
      <c r="D5379" t="str">
        <f>VLOOKUP(H5379,Produkt!$A$2:$B$5,2,FALSE)</f>
        <v>B</v>
      </c>
      <c r="H5379">
        <v>2</v>
      </c>
      <c r="I5379">
        <v>8.3506944444444453E-2</v>
      </c>
      <c r="J5379">
        <v>44777</v>
      </c>
    </row>
    <row r="5380" spans="1:10" x14ac:dyDescent="0.35">
      <c r="A5380" s="2">
        <v>44790</v>
      </c>
      <c r="B5380" s="3">
        <v>0.17336805555555557</v>
      </c>
      <c r="C5380">
        <v>6781</v>
      </c>
      <c r="D5380" t="str">
        <f>VLOOKUP(H5380,Produkt!$A$2:$B$5,2,FALSE)</f>
        <v>A</v>
      </c>
      <c r="H5380">
        <v>1</v>
      </c>
      <c r="I5380">
        <v>0.78349537037037031</v>
      </c>
      <c r="J5380">
        <v>44776</v>
      </c>
    </row>
    <row r="5381" spans="1:10" x14ac:dyDescent="0.35">
      <c r="A5381" s="2">
        <v>44790</v>
      </c>
      <c r="B5381" s="3">
        <v>7.7858796296296287E-2</v>
      </c>
      <c r="C5381">
        <v>6796</v>
      </c>
      <c r="D5381" t="str">
        <f>VLOOKUP(H5381,Produkt!$A$2:$B$5,2,FALSE)</f>
        <v>B</v>
      </c>
      <c r="H5381">
        <v>2</v>
      </c>
      <c r="I5381">
        <v>0.62519675925925922</v>
      </c>
      <c r="J5381">
        <v>44804</v>
      </c>
    </row>
    <row r="5382" spans="1:10" x14ac:dyDescent="0.35">
      <c r="A5382" s="2">
        <v>44790</v>
      </c>
      <c r="B5382" s="3">
        <v>1.2951388888889026E-2</v>
      </c>
      <c r="C5382">
        <v>6860</v>
      </c>
      <c r="D5382" t="str">
        <f>VLOOKUP(H5382,Produkt!$A$2:$B$5,2,FALSE)</f>
        <v>A</v>
      </c>
      <c r="H5382">
        <v>1</v>
      </c>
      <c r="I5382">
        <v>0.17134259259259257</v>
      </c>
      <c r="J5382">
        <v>44784</v>
      </c>
    </row>
    <row r="5383" spans="1:10" x14ac:dyDescent="0.35">
      <c r="A5383" s="2">
        <v>44790</v>
      </c>
      <c r="B5383" s="3">
        <v>0.36762731481481481</v>
      </c>
      <c r="C5383">
        <v>7021</v>
      </c>
      <c r="D5383" t="str">
        <f>VLOOKUP(H5383,Produkt!$A$2:$B$5,2,FALSE)</f>
        <v>D</v>
      </c>
      <c r="H5383">
        <v>4</v>
      </c>
      <c r="I5383">
        <v>1.2094907407407485E-2</v>
      </c>
      <c r="J5383">
        <v>44789</v>
      </c>
    </row>
    <row r="5384" spans="1:10" x14ac:dyDescent="0.35">
      <c r="A5384" s="2">
        <v>44790</v>
      </c>
      <c r="B5384" s="3">
        <v>0.90803240740740743</v>
      </c>
      <c r="C5384">
        <v>7035</v>
      </c>
      <c r="D5384" t="str">
        <f>VLOOKUP(H5384,Produkt!$A$2:$B$5,2,FALSE)</f>
        <v>D</v>
      </c>
      <c r="H5384">
        <v>4</v>
      </c>
      <c r="I5384">
        <v>0.66113425925925928</v>
      </c>
      <c r="J5384">
        <v>44774</v>
      </c>
    </row>
    <row r="5385" spans="1:10" x14ac:dyDescent="0.35">
      <c r="A5385" s="2">
        <v>44790</v>
      </c>
      <c r="B5385" s="3">
        <v>0.46572916666666669</v>
      </c>
      <c r="C5385">
        <v>7065</v>
      </c>
      <c r="D5385" t="str">
        <f>VLOOKUP(H5385,Produkt!$A$2:$B$5,2,FALSE)</f>
        <v>D</v>
      </c>
      <c r="H5385">
        <v>4</v>
      </c>
      <c r="I5385">
        <v>3.5821759259259123E-2</v>
      </c>
      <c r="J5385">
        <v>44787</v>
      </c>
    </row>
    <row r="5386" spans="1:10" x14ac:dyDescent="0.35">
      <c r="A5386" s="2">
        <v>44790</v>
      </c>
      <c r="B5386" s="3">
        <v>0.29096064814814815</v>
      </c>
      <c r="C5386">
        <v>7068</v>
      </c>
      <c r="D5386" t="str">
        <f>VLOOKUP(H5386,Produkt!$A$2:$B$5,2,FALSE)</f>
        <v>C</v>
      </c>
      <c r="H5386">
        <v>3</v>
      </c>
      <c r="I5386">
        <v>0.50361111111111112</v>
      </c>
      <c r="J5386">
        <v>44779</v>
      </c>
    </row>
    <row r="5387" spans="1:10" x14ac:dyDescent="0.35">
      <c r="A5387" s="2">
        <v>44790</v>
      </c>
      <c r="B5387" s="3">
        <v>0.39013888888888887</v>
      </c>
      <c r="C5387">
        <v>7175</v>
      </c>
      <c r="D5387" t="str">
        <f>VLOOKUP(H5387,Produkt!$A$2:$B$5,2,FALSE)</f>
        <v>A</v>
      </c>
      <c r="H5387">
        <v>1</v>
      </c>
      <c r="I5387">
        <v>0.83315972222222223</v>
      </c>
      <c r="J5387">
        <v>44779</v>
      </c>
    </row>
    <row r="5388" spans="1:10" x14ac:dyDescent="0.35">
      <c r="A5388" s="2">
        <v>44790</v>
      </c>
      <c r="B5388" s="3">
        <v>0.84006944444444442</v>
      </c>
      <c r="C5388">
        <v>7211</v>
      </c>
      <c r="D5388" t="str">
        <f>VLOOKUP(H5388,Produkt!$A$2:$B$5,2,FALSE)</f>
        <v>A</v>
      </c>
      <c r="H5388">
        <v>1</v>
      </c>
      <c r="I5388">
        <v>0.74460648148148145</v>
      </c>
      <c r="J5388">
        <v>44789</v>
      </c>
    </row>
    <row r="5389" spans="1:10" x14ac:dyDescent="0.35">
      <c r="A5389" s="2">
        <v>44790</v>
      </c>
      <c r="B5389" s="3">
        <v>0.87059027777777775</v>
      </c>
      <c r="C5389">
        <v>7242</v>
      </c>
      <c r="D5389" t="str">
        <f>VLOOKUP(H5389,Produkt!$A$2:$B$5,2,FALSE)</f>
        <v>B</v>
      </c>
      <c r="H5389">
        <v>2</v>
      </c>
      <c r="I5389">
        <v>0.60258101851851853</v>
      </c>
      <c r="J5389">
        <v>44783</v>
      </c>
    </row>
    <row r="5390" spans="1:10" x14ac:dyDescent="0.35">
      <c r="A5390" s="2">
        <v>44790</v>
      </c>
      <c r="B5390" s="3">
        <v>0.42212962962962958</v>
      </c>
      <c r="C5390">
        <v>7365</v>
      </c>
      <c r="D5390" t="str">
        <f>VLOOKUP(H5390,Produkt!$A$2:$B$5,2,FALSE)</f>
        <v>D</v>
      </c>
      <c r="H5390">
        <v>4</v>
      </c>
      <c r="I5390">
        <v>0.65071759259259265</v>
      </c>
      <c r="J5390">
        <v>44799</v>
      </c>
    </row>
    <row r="5391" spans="1:10" x14ac:dyDescent="0.35">
      <c r="A5391" s="2">
        <v>44790</v>
      </c>
      <c r="B5391" s="3">
        <v>0.18909722222222222</v>
      </c>
      <c r="C5391">
        <v>7408</v>
      </c>
      <c r="D5391" t="str">
        <f>VLOOKUP(H5391,Produkt!$A$2:$B$5,2,FALSE)</f>
        <v>A</v>
      </c>
      <c r="H5391">
        <v>1</v>
      </c>
      <c r="I5391">
        <v>0.40634259259259259</v>
      </c>
      <c r="J5391">
        <v>44774</v>
      </c>
    </row>
    <row r="5392" spans="1:10" x14ac:dyDescent="0.35">
      <c r="A5392" s="2">
        <v>44790</v>
      </c>
      <c r="B5392" s="3">
        <v>5.8888888888888886E-2</v>
      </c>
      <c r="C5392">
        <v>7410</v>
      </c>
      <c r="D5392" t="str">
        <f>VLOOKUP(H5392,Produkt!$A$2:$B$5,2,FALSE)</f>
        <v>B</v>
      </c>
      <c r="H5392">
        <v>2</v>
      </c>
      <c r="I5392">
        <v>9.1643518518518527E-2</v>
      </c>
      <c r="J5392">
        <v>44775</v>
      </c>
    </row>
    <row r="5393" spans="1:10" x14ac:dyDescent="0.35">
      <c r="A5393" s="2">
        <v>44790</v>
      </c>
      <c r="B5393" s="3">
        <v>0.65004629629629629</v>
      </c>
      <c r="C5393">
        <v>7437</v>
      </c>
      <c r="D5393" t="str">
        <f>VLOOKUP(H5393,Produkt!$A$2:$B$5,2,FALSE)</f>
        <v>C</v>
      </c>
      <c r="H5393">
        <v>3</v>
      </c>
      <c r="I5393">
        <v>5.1423611111111107E-2</v>
      </c>
      <c r="J5393">
        <v>44794</v>
      </c>
    </row>
    <row r="5394" spans="1:10" x14ac:dyDescent="0.35">
      <c r="A5394" s="2">
        <v>44790</v>
      </c>
      <c r="B5394" s="3">
        <v>4.1608796296296297E-2</v>
      </c>
      <c r="C5394">
        <v>7460</v>
      </c>
      <c r="D5394" t="str">
        <f>VLOOKUP(H5394,Produkt!$A$2:$B$5,2,FALSE)</f>
        <v>C</v>
      </c>
      <c r="H5394">
        <v>3</v>
      </c>
      <c r="I5394">
        <v>0.67563657407407407</v>
      </c>
      <c r="J5394">
        <v>44789</v>
      </c>
    </row>
    <row r="5395" spans="1:10" x14ac:dyDescent="0.35">
      <c r="A5395" s="2">
        <v>44790</v>
      </c>
      <c r="B5395" s="3">
        <v>9.341435185185186E-2</v>
      </c>
      <c r="C5395">
        <v>7476</v>
      </c>
      <c r="D5395" t="str">
        <f>VLOOKUP(H5395,Produkt!$A$2:$B$5,2,FALSE)</f>
        <v>B</v>
      </c>
      <c r="H5395">
        <v>2</v>
      </c>
      <c r="I5395">
        <v>0.15756944444444446</v>
      </c>
      <c r="J5395">
        <v>44776</v>
      </c>
    </row>
    <row r="5396" spans="1:10" x14ac:dyDescent="0.35">
      <c r="A5396" s="2">
        <v>44790</v>
      </c>
      <c r="B5396" s="3">
        <v>0.4853703703703704</v>
      </c>
      <c r="C5396">
        <v>7495</v>
      </c>
      <c r="D5396" t="str">
        <f>VLOOKUP(H5396,Produkt!$A$2:$B$5,2,FALSE)</f>
        <v>B</v>
      </c>
      <c r="H5396">
        <v>2</v>
      </c>
      <c r="I5396">
        <v>2.6620370370370461E-2</v>
      </c>
      <c r="J5396">
        <v>44800</v>
      </c>
    </row>
    <row r="5397" spans="1:10" x14ac:dyDescent="0.35">
      <c r="A5397" s="2">
        <v>44790</v>
      </c>
      <c r="B5397" s="3">
        <v>3.3981481481481481E-2</v>
      </c>
      <c r="C5397">
        <v>7585</v>
      </c>
      <c r="D5397" t="str">
        <f>VLOOKUP(H5397,Produkt!$A$2:$B$5,2,FALSE)</f>
        <v>C</v>
      </c>
      <c r="H5397">
        <v>3</v>
      </c>
      <c r="I5397">
        <v>0.77355324074074072</v>
      </c>
      <c r="J5397">
        <v>44793</v>
      </c>
    </row>
    <row r="5398" spans="1:10" x14ac:dyDescent="0.35">
      <c r="A5398" s="2">
        <v>44790</v>
      </c>
      <c r="B5398" s="3">
        <v>0.89200231481481485</v>
      </c>
      <c r="C5398">
        <v>7616</v>
      </c>
      <c r="D5398" t="str">
        <f>VLOOKUP(H5398,Produkt!$A$2:$B$5,2,FALSE)</f>
        <v>B</v>
      </c>
      <c r="H5398">
        <v>2</v>
      </c>
      <c r="I5398">
        <v>0.75009259259259264</v>
      </c>
      <c r="J5398">
        <v>44780</v>
      </c>
    </row>
    <row r="5399" spans="1:10" x14ac:dyDescent="0.35">
      <c r="A5399" s="2">
        <v>44790</v>
      </c>
      <c r="B5399" s="3">
        <v>0.88116898148148148</v>
      </c>
      <c r="C5399">
        <v>7687</v>
      </c>
      <c r="D5399" t="str">
        <f>VLOOKUP(H5399,Produkt!$A$2:$B$5,2,FALSE)</f>
        <v>D</v>
      </c>
      <c r="H5399">
        <v>4</v>
      </c>
      <c r="I5399">
        <v>0.87042824074074077</v>
      </c>
      <c r="J5399">
        <v>44795</v>
      </c>
    </row>
    <row r="5400" spans="1:10" x14ac:dyDescent="0.35">
      <c r="A5400" s="2">
        <v>44790</v>
      </c>
      <c r="B5400" s="3">
        <v>3.2303240740740646E-2</v>
      </c>
      <c r="C5400">
        <v>7700</v>
      </c>
      <c r="D5400" t="str">
        <f>VLOOKUP(H5400,Produkt!$A$2:$B$5,2,FALSE)</f>
        <v>C</v>
      </c>
      <c r="H5400">
        <v>3</v>
      </c>
      <c r="I5400">
        <v>0.46677083333333336</v>
      </c>
      <c r="J5400">
        <v>44782</v>
      </c>
    </row>
    <row r="5401" spans="1:10" x14ac:dyDescent="0.35">
      <c r="A5401" s="2">
        <v>44790</v>
      </c>
      <c r="B5401" s="3">
        <v>0.38444444444444442</v>
      </c>
      <c r="C5401">
        <v>7728</v>
      </c>
      <c r="D5401" t="str">
        <f>VLOOKUP(H5401,Produkt!$A$2:$B$5,2,FALSE)</f>
        <v>D</v>
      </c>
      <c r="H5401">
        <v>4</v>
      </c>
      <c r="I5401">
        <v>0.52032407407407411</v>
      </c>
      <c r="J5401">
        <v>44775</v>
      </c>
    </row>
    <row r="5402" spans="1:10" x14ac:dyDescent="0.35">
      <c r="A5402" s="2">
        <v>44790</v>
      </c>
      <c r="B5402" s="3">
        <v>0.15671296296296297</v>
      </c>
      <c r="C5402">
        <v>7837</v>
      </c>
      <c r="D5402" t="str">
        <f>VLOOKUP(H5402,Produkt!$A$2:$B$5,2,FALSE)</f>
        <v>A</v>
      </c>
      <c r="H5402">
        <v>1</v>
      </c>
      <c r="I5402">
        <v>0.15840277777777778</v>
      </c>
      <c r="J5402">
        <v>44780</v>
      </c>
    </row>
    <row r="5403" spans="1:10" x14ac:dyDescent="0.35">
      <c r="A5403" s="2">
        <v>44790</v>
      </c>
      <c r="B5403" s="3">
        <v>0.85795138888888889</v>
      </c>
      <c r="C5403">
        <v>7867</v>
      </c>
      <c r="D5403" t="str">
        <f>VLOOKUP(H5403,Produkt!$A$2:$B$5,2,FALSE)</f>
        <v>C</v>
      </c>
      <c r="H5403">
        <v>3</v>
      </c>
      <c r="I5403">
        <v>0.19312499999999999</v>
      </c>
      <c r="J5403">
        <v>44798</v>
      </c>
    </row>
    <row r="5404" spans="1:10" x14ac:dyDescent="0.35">
      <c r="A5404" s="2">
        <v>44790</v>
      </c>
      <c r="B5404" s="3">
        <v>0.7270833333333333</v>
      </c>
      <c r="C5404">
        <v>7892</v>
      </c>
      <c r="D5404" t="str">
        <f>VLOOKUP(H5404,Produkt!$A$2:$B$5,2,FALSE)</f>
        <v>D</v>
      </c>
      <c r="H5404">
        <v>4</v>
      </c>
      <c r="I5404">
        <v>0.13513888888888889</v>
      </c>
      <c r="J5404">
        <v>44795</v>
      </c>
    </row>
    <row r="5405" spans="1:10" x14ac:dyDescent="0.35">
      <c r="A5405" s="2">
        <v>44790</v>
      </c>
      <c r="B5405" s="3">
        <v>0.92341435185185183</v>
      </c>
      <c r="C5405">
        <v>7902</v>
      </c>
      <c r="D5405" t="str">
        <f>VLOOKUP(H5405,Produkt!$A$2:$B$5,2,FALSE)</f>
        <v>C</v>
      </c>
      <c r="H5405">
        <v>3</v>
      </c>
      <c r="I5405">
        <v>6.4803240740740745E-2</v>
      </c>
      <c r="J5405">
        <v>44790</v>
      </c>
    </row>
    <row r="5406" spans="1:10" x14ac:dyDescent="0.35">
      <c r="A5406" s="2">
        <v>44790</v>
      </c>
      <c r="B5406" s="3">
        <v>0.67416666666666669</v>
      </c>
      <c r="C5406">
        <v>7978</v>
      </c>
      <c r="D5406" t="str">
        <f>VLOOKUP(H5406,Produkt!$A$2:$B$5,2,FALSE)</f>
        <v>C</v>
      </c>
      <c r="H5406">
        <v>3</v>
      </c>
      <c r="I5406">
        <v>9.3067129629629639E-2</v>
      </c>
      <c r="J5406">
        <v>44796</v>
      </c>
    </row>
    <row r="5407" spans="1:10" x14ac:dyDescent="0.35">
      <c r="A5407" s="2">
        <v>44790</v>
      </c>
      <c r="B5407" s="3">
        <v>0.36504629629629631</v>
      </c>
      <c r="C5407">
        <v>7997</v>
      </c>
      <c r="D5407" t="str">
        <f>VLOOKUP(H5407,Produkt!$A$2:$B$5,2,FALSE)</f>
        <v>B</v>
      </c>
      <c r="H5407">
        <v>2</v>
      </c>
      <c r="I5407">
        <v>0.91454861111111108</v>
      </c>
      <c r="J5407">
        <v>44791</v>
      </c>
    </row>
    <row r="5408" spans="1:10" x14ac:dyDescent="0.35">
      <c r="A5408" s="2">
        <v>44790</v>
      </c>
      <c r="B5408" s="3">
        <v>0.71364583333333342</v>
      </c>
      <c r="C5408">
        <v>8101</v>
      </c>
      <c r="D5408" t="str">
        <f>VLOOKUP(H5408,Produkt!$A$2:$B$5,2,FALSE)</f>
        <v>B</v>
      </c>
      <c r="H5408">
        <v>2</v>
      </c>
      <c r="I5408">
        <v>0.46055555555555555</v>
      </c>
      <c r="J5408">
        <v>44775</v>
      </c>
    </row>
    <row r="5409" spans="1:10" x14ac:dyDescent="0.35">
      <c r="A5409" s="2">
        <v>44790</v>
      </c>
      <c r="B5409" s="3">
        <v>1.9988425925925979E-2</v>
      </c>
      <c r="C5409">
        <v>8140</v>
      </c>
      <c r="D5409" t="str">
        <f>VLOOKUP(H5409,Produkt!$A$2:$B$5,2,FALSE)</f>
        <v>D</v>
      </c>
      <c r="H5409">
        <v>4</v>
      </c>
      <c r="I5409">
        <v>6.025462962962963E-2</v>
      </c>
      <c r="J5409">
        <v>44804</v>
      </c>
    </row>
    <row r="5410" spans="1:10" x14ac:dyDescent="0.35">
      <c r="A5410" s="2">
        <v>44790</v>
      </c>
      <c r="B5410" s="3">
        <v>0.45559027777777777</v>
      </c>
      <c r="C5410">
        <v>8147</v>
      </c>
      <c r="D5410" t="str">
        <f>VLOOKUP(H5410,Produkt!$A$2:$B$5,2,FALSE)</f>
        <v>B</v>
      </c>
      <c r="H5410">
        <v>2</v>
      </c>
      <c r="I5410">
        <v>0.21407407407407408</v>
      </c>
      <c r="J5410">
        <v>44778</v>
      </c>
    </row>
    <row r="5411" spans="1:10" x14ac:dyDescent="0.35">
      <c r="A5411" s="2">
        <v>44790</v>
      </c>
      <c r="B5411" s="3">
        <v>3.0914351851851984E-2</v>
      </c>
      <c r="C5411">
        <v>8157</v>
      </c>
      <c r="D5411" t="str">
        <f>VLOOKUP(H5411,Produkt!$A$2:$B$5,2,FALSE)</f>
        <v>C</v>
      </c>
      <c r="H5411">
        <v>3</v>
      </c>
      <c r="I5411">
        <v>0.71629629629629632</v>
      </c>
      <c r="J5411">
        <v>44781</v>
      </c>
    </row>
    <row r="5412" spans="1:10" x14ac:dyDescent="0.35">
      <c r="A5412" s="2">
        <v>44790</v>
      </c>
      <c r="B5412" s="3">
        <v>0.16839120370370372</v>
      </c>
      <c r="C5412">
        <v>8197</v>
      </c>
      <c r="D5412" t="str">
        <f>VLOOKUP(H5412,Produkt!$A$2:$B$5,2,FALSE)</f>
        <v>A</v>
      </c>
      <c r="H5412">
        <v>1</v>
      </c>
      <c r="I5412">
        <v>0.74023148148148143</v>
      </c>
      <c r="J5412">
        <v>44787</v>
      </c>
    </row>
    <row r="5413" spans="1:10" x14ac:dyDescent="0.35">
      <c r="A5413" s="2">
        <v>44790</v>
      </c>
      <c r="B5413" s="3">
        <v>4.0972222222222188E-2</v>
      </c>
      <c r="C5413">
        <v>8206</v>
      </c>
      <c r="D5413" t="str">
        <f>VLOOKUP(H5413,Produkt!$A$2:$B$5,2,FALSE)</f>
        <v>C</v>
      </c>
      <c r="H5413">
        <v>3</v>
      </c>
      <c r="I5413">
        <v>0.7700231481481481</v>
      </c>
      <c r="J5413">
        <v>44784</v>
      </c>
    </row>
    <row r="5414" spans="1:10" x14ac:dyDescent="0.35">
      <c r="A5414" s="2">
        <v>44790</v>
      </c>
      <c r="B5414" s="3">
        <v>0.4689814814814815</v>
      </c>
      <c r="C5414">
        <v>8233</v>
      </c>
      <c r="D5414" t="str">
        <f>VLOOKUP(H5414,Produkt!$A$2:$B$5,2,FALSE)</f>
        <v>B</v>
      </c>
      <c r="H5414">
        <v>2</v>
      </c>
      <c r="I5414">
        <v>0.1454398148148148</v>
      </c>
      <c r="J5414">
        <v>44793</v>
      </c>
    </row>
    <row r="5415" spans="1:10" x14ac:dyDescent="0.35">
      <c r="A5415" s="2">
        <v>44790</v>
      </c>
      <c r="B5415" s="3">
        <v>0.16994212962962962</v>
      </c>
      <c r="C5415">
        <v>8262</v>
      </c>
      <c r="D5415" t="str">
        <f>VLOOKUP(H5415,Produkt!$A$2:$B$5,2,FALSE)</f>
        <v>C</v>
      </c>
      <c r="H5415">
        <v>3</v>
      </c>
      <c r="I5415">
        <v>5.8217592592592592E-3</v>
      </c>
      <c r="J5415">
        <v>44786</v>
      </c>
    </row>
    <row r="5416" spans="1:10" x14ac:dyDescent="0.35">
      <c r="A5416" s="2">
        <v>44790</v>
      </c>
      <c r="B5416" s="3">
        <v>0.92415509259259254</v>
      </c>
      <c r="C5416">
        <v>8276</v>
      </c>
      <c r="D5416" t="str">
        <f>VLOOKUP(H5416,Produkt!$A$2:$B$5,2,FALSE)</f>
        <v>A</v>
      </c>
      <c r="H5416">
        <v>1</v>
      </c>
      <c r="I5416">
        <v>0.28645833333333331</v>
      </c>
      <c r="J5416">
        <v>44794</v>
      </c>
    </row>
    <row r="5417" spans="1:10" x14ac:dyDescent="0.35">
      <c r="A5417" s="2">
        <v>44790</v>
      </c>
      <c r="B5417" s="3">
        <v>0.70309027777777777</v>
      </c>
      <c r="C5417">
        <v>8357</v>
      </c>
      <c r="D5417" t="str">
        <f>VLOOKUP(H5417,Produkt!$A$2:$B$5,2,FALSE)</f>
        <v>D</v>
      </c>
      <c r="H5417">
        <v>4</v>
      </c>
      <c r="I5417">
        <v>0.48021990740740739</v>
      </c>
      <c r="J5417">
        <v>44786</v>
      </c>
    </row>
    <row r="5418" spans="1:10" x14ac:dyDescent="0.35">
      <c r="A5418" s="2">
        <v>44790</v>
      </c>
      <c r="B5418" s="3">
        <v>0.93844907407407396</v>
      </c>
      <c r="C5418">
        <v>8358</v>
      </c>
      <c r="D5418" t="str">
        <f>VLOOKUP(H5418,Produkt!$A$2:$B$5,2,FALSE)</f>
        <v>C</v>
      </c>
      <c r="H5418">
        <v>3</v>
      </c>
      <c r="I5418">
        <v>0.34346064814814814</v>
      </c>
      <c r="J5418">
        <v>44792</v>
      </c>
    </row>
    <row r="5419" spans="1:10" x14ac:dyDescent="0.35">
      <c r="A5419" s="2">
        <v>44790</v>
      </c>
      <c r="B5419" s="3">
        <v>7.3240740740740731E-2</v>
      </c>
      <c r="C5419">
        <v>8367</v>
      </c>
      <c r="D5419" t="str">
        <f>VLOOKUP(H5419,Produkt!$A$2:$B$5,2,FALSE)</f>
        <v>B</v>
      </c>
      <c r="H5419">
        <v>2</v>
      </c>
      <c r="I5419">
        <v>0.27553240740740742</v>
      </c>
      <c r="J5419">
        <v>44803</v>
      </c>
    </row>
    <row r="5420" spans="1:10" x14ac:dyDescent="0.35">
      <c r="A5420" s="2">
        <v>44790</v>
      </c>
      <c r="B5420" s="3">
        <v>0.97252314814814822</v>
      </c>
      <c r="C5420">
        <v>8386</v>
      </c>
      <c r="D5420" t="str">
        <f>VLOOKUP(H5420,Produkt!$A$2:$B$5,2,FALSE)</f>
        <v>A</v>
      </c>
      <c r="H5420">
        <v>1</v>
      </c>
      <c r="I5420">
        <v>0.24561342592592594</v>
      </c>
      <c r="J5420">
        <v>44790</v>
      </c>
    </row>
    <row r="5421" spans="1:10" x14ac:dyDescent="0.35">
      <c r="A5421" s="2">
        <v>44790</v>
      </c>
      <c r="B5421" s="3">
        <v>0.35378472222222218</v>
      </c>
      <c r="C5421">
        <v>8448</v>
      </c>
      <c r="D5421" t="str">
        <f>VLOOKUP(H5421,Produkt!$A$2:$B$5,2,FALSE)</f>
        <v>C</v>
      </c>
      <c r="H5421">
        <v>3</v>
      </c>
      <c r="I5421">
        <v>0.56320601851851848</v>
      </c>
      <c r="J5421">
        <v>44794</v>
      </c>
    </row>
    <row r="5422" spans="1:10" x14ac:dyDescent="0.35">
      <c r="A5422" s="2">
        <v>44790</v>
      </c>
      <c r="B5422" s="3">
        <v>6.6087962962962966E-3</v>
      </c>
      <c r="C5422">
        <v>8480</v>
      </c>
      <c r="D5422" t="str">
        <f>VLOOKUP(H5422,Produkt!$A$2:$B$5,2,FALSE)</f>
        <v>A</v>
      </c>
      <c r="H5422">
        <v>1</v>
      </c>
      <c r="I5422">
        <v>0.61592592592592588</v>
      </c>
      <c r="J5422">
        <v>44774</v>
      </c>
    </row>
    <row r="5423" spans="1:10" x14ac:dyDescent="0.35">
      <c r="A5423" s="2">
        <v>44790</v>
      </c>
      <c r="B5423" s="3">
        <v>0.3979166666666667</v>
      </c>
      <c r="C5423">
        <v>8560</v>
      </c>
      <c r="D5423" t="str">
        <f>VLOOKUP(H5423,Produkt!$A$2:$B$5,2,FALSE)</f>
        <v>C</v>
      </c>
      <c r="H5423">
        <v>3</v>
      </c>
      <c r="I5423">
        <v>0.49789351851851849</v>
      </c>
      <c r="J5423">
        <v>44789</v>
      </c>
    </row>
    <row r="5424" spans="1:10" x14ac:dyDescent="0.35">
      <c r="A5424" s="2">
        <v>44790</v>
      </c>
      <c r="B5424" s="3">
        <v>0.48641203703703706</v>
      </c>
      <c r="C5424">
        <v>8582</v>
      </c>
      <c r="D5424" t="str">
        <f>VLOOKUP(H5424,Produkt!$A$2:$B$5,2,FALSE)</f>
        <v>B</v>
      </c>
      <c r="H5424">
        <v>2</v>
      </c>
      <c r="I5424">
        <v>4.9317129629629634E-2</v>
      </c>
      <c r="J5424">
        <v>44779</v>
      </c>
    </row>
    <row r="5425" spans="1:10" x14ac:dyDescent="0.35">
      <c r="A5425" s="2">
        <v>44790</v>
      </c>
      <c r="B5425" s="3">
        <v>0.27880787037037036</v>
      </c>
      <c r="C5425">
        <v>8586</v>
      </c>
      <c r="D5425" t="str">
        <f>VLOOKUP(H5425,Produkt!$A$2:$B$5,2,FALSE)</f>
        <v>B</v>
      </c>
      <c r="H5425">
        <v>2</v>
      </c>
      <c r="I5425">
        <v>0.71964120370370377</v>
      </c>
      <c r="J5425">
        <v>44776</v>
      </c>
    </row>
    <row r="5426" spans="1:10" x14ac:dyDescent="0.35">
      <c r="A5426" s="2">
        <v>44790</v>
      </c>
      <c r="B5426" s="3">
        <v>0.97535879629629629</v>
      </c>
      <c r="C5426">
        <v>8591</v>
      </c>
      <c r="D5426" t="str">
        <f>VLOOKUP(H5426,Produkt!$A$2:$B$5,2,FALSE)</f>
        <v>D</v>
      </c>
      <c r="H5426">
        <v>4</v>
      </c>
      <c r="I5426">
        <v>8.965277777777779E-2</v>
      </c>
      <c r="J5426">
        <v>44788</v>
      </c>
    </row>
    <row r="5427" spans="1:10" x14ac:dyDescent="0.35">
      <c r="A5427" s="2">
        <v>44790</v>
      </c>
      <c r="B5427" s="3">
        <v>0.98408564814814825</v>
      </c>
      <c r="C5427">
        <v>8662</v>
      </c>
      <c r="D5427" t="str">
        <f>VLOOKUP(H5427,Produkt!$A$2:$B$5,2,FALSE)</f>
        <v>A</v>
      </c>
      <c r="H5427">
        <v>1</v>
      </c>
      <c r="I5427">
        <v>0.32981481481481484</v>
      </c>
      <c r="J5427">
        <v>44793</v>
      </c>
    </row>
    <row r="5428" spans="1:10" x14ac:dyDescent="0.35">
      <c r="A5428" s="2">
        <v>44790</v>
      </c>
      <c r="B5428" s="3">
        <v>0.40288194444444447</v>
      </c>
      <c r="C5428">
        <v>8754</v>
      </c>
      <c r="D5428" t="str">
        <f>VLOOKUP(H5428,Produkt!$A$2:$B$5,2,FALSE)</f>
        <v>D</v>
      </c>
      <c r="H5428">
        <v>4</v>
      </c>
      <c r="I5428">
        <v>0.73136574074074068</v>
      </c>
      <c r="J5428">
        <v>44801</v>
      </c>
    </row>
    <row r="5429" spans="1:10" x14ac:dyDescent="0.35">
      <c r="A5429" s="2">
        <v>44790</v>
      </c>
      <c r="B5429" s="3">
        <v>0.57696759259259256</v>
      </c>
      <c r="C5429">
        <v>8761</v>
      </c>
      <c r="D5429" t="str">
        <f>VLOOKUP(H5429,Produkt!$A$2:$B$5,2,FALSE)</f>
        <v>A</v>
      </c>
      <c r="H5429">
        <v>1</v>
      </c>
      <c r="I5429">
        <v>5.347222222222222E-2</v>
      </c>
      <c r="J5429">
        <v>44790</v>
      </c>
    </row>
    <row r="5430" spans="1:10" x14ac:dyDescent="0.35">
      <c r="A5430" s="2">
        <v>44790</v>
      </c>
      <c r="B5430" s="3">
        <v>0.9315162037037038</v>
      </c>
      <c r="C5430">
        <v>8797</v>
      </c>
      <c r="D5430" t="str">
        <f>VLOOKUP(H5430,Produkt!$A$2:$B$5,2,FALSE)</f>
        <v>C</v>
      </c>
      <c r="H5430">
        <v>3</v>
      </c>
      <c r="I5430">
        <v>7.604166666666666E-2</v>
      </c>
      <c r="J5430">
        <v>44776</v>
      </c>
    </row>
    <row r="5431" spans="1:10" x14ac:dyDescent="0.35">
      <c r="A5431" s="2">
        <v>44790</v>
      </c>
      <c r="B5431" s="3">
        <v>0.85524305555555558</v>
      </c>
      <c r="C5431">
        <v>8869</v>
      </c>
      <c r="D5431" t="str">
        <f>VLOOKUP(H5431,Produkt!$A$2:$B$5,2,FALSE)</f>
        <v>C</v>
      </c>
      <c r="H5431">
        <v>3</v>
      </c>
      <c r="I5431">
        <v>0.21938657407407405</v>
      </c>
      <c r="J5431">
        <v>44798</v>
      </c>
    </row>
    <row r="5432" spans="1:10" x14ac:dyDescent="0.35">
      <c r="A5432" s="2">
        <v>44790</v>
      </c>
      <c r="B5432" s="3">
        <v>0.21469907407407407</v>
      </c>
      <c r="C5432">
        <v>8878</v>
      </c>
      <c r="D5432" t="str">
        <f>VLOOKUP(H5432,Produkt!$A$2:$B$5,2,FALSE)</f>
        <v>C</v>
      </c>
      <c r="H5432">
        <v>3</v>
      </c>
      <c r="I5432">
        <v>0.86274305555555564</v>
      </c>
      <c r="J5432">
        <v>44785</v>
      </c>
    </row>
    <row r="5433" spans="1:10" x14ac:dyDescent="0.35">
      <c r="A5433" s="2">
        <v>44790</v>
      </c>
      <c r="B5433" s="3">
        <v>0.98351851851851846</v>
      </c>
      <c r="C5433">
        <v>9004</v>
      </c>
      <c r="D5433" t="str">
        <f>VLOOKUP(H5433,Produkt!$A$2:$B$5,2,FALSE)</f>
        <v>A</v>
      </c>
      <c r="H5433">
        <v>1</v>
      </c>
      <c r="I5433">
        <v>0.50015046296296295</v>
      </c>
      <c r="J5433">
        <v>44792</v>
      </c>
    </row>
    <row r="5434" spans="1:10" x14ac:dyDescent="0.35">
      <c r="A5434" s="2">
        <v>44790</v>
      </c>
      <c r="B5434" s="3">
        <v>0.28623842592592591</v>
      </c>
      <c r="C5434">
        <v>9073</v>
      </c>
      <c r="D5434" t="str">
        <f>VLOOKUP(H5434,Produkt!$A$2:$B$5,2,FALSE)</f>
        <v>A</v>
      </c>
      <c r="H5434">
        <v>1</v>
      </c>
      <c r="I5434">
        <v>2.732638888888889E-2</v>
      </c>
      <c r="J5434">
        <v>44793</v>
      </c>
    </row>
    <row r="5435" spans="1:10" x14ac:dyDescent="0.35">
      <c r="A5435" s="2">
        <v>44790</v>
      </c>
      <c r="B5435" s="3">
        <v>3.2384259259259141E-2</v>
      </c>
      <c r="C5435">
        <v>9098</v>
      </c>
      <c r="D5435" t="str">
        <f>VLOOKUP(H5435,Produkt!$A$2:$B$5,2,FALSE)</f>
        <v>B</v>
      </c>
      <c r="H5435">
        <v>2</v>
      </c>
      <c r="I5435">
        <v>4.9641203703703701E-2</v>
      </c>
      <c r="J5435">
        <v>44799</v>
      </c>
    </row>
    <row r="5436" spans="1:10" x14ac:dyDescent="0.35">
      <c r="A5436" s="2">
        <v>44790</v>
      </c>
      <c r="B5436" s="3">
        <v>0.49085648148148148</v>
      </c>
      <c r="C5436">
        <v>9151</v>
      </c>
      <c r="D5436" t="str">
        <f>VLOOKUP(H5436,Produkt!$A$2:$B$5,2,FALSE)</f>
        <v>D</v>
      </c>
      <c r="H5436">
        <v>4</v>
      </c>
      <c r="I5436">
        <v>0.72567129629629623</v>
      </c>
      <c r="J5436">
        <v>44788</v>
      </c>
    </row>
    <row r="5437" spans="1:10" x14ac:dyDescent="0.35">
      <c r="A5437" s="2">
        <v>44790</v>
      </c>
      <c r="B5437" s="3">
        <v>2.7071759259259257E-2</v>
      </c>
      <c r="C5437">
        <v>9152</v>
      </c>
      <c r="D5437" t="str">
        <f>VLOOKUP(H5437,Produkt!$A$2:$B$5,2,FALSE)</f>
        <v>B</v>
      </c>
      <c r="H5437">
        <v>2</v>
      </c>
      <c r="I5437">
        <v>0.8793981481481481</v>
      </c>
      <c r="J5437">
        <v>44779</v>
      </c>
    </row>
    <row r="5438" spans="1:10" x14ac:dyDescent="0.35">
      <c r="A5438" s="2">
        <v>44790</v>
      </c>
      <c r="B5438" s="3">
        <v>0.60834490740740743</v>
      </c>
      <c r="C5438">
        <v>9175</v>
      </c>
      <c r="D5438" t="str">
        <f>VLOOKUP(H5438,Produkt!$A$2:$B$5,2,FALSE)</f>
        <v>C</v>
      </c>
      <c r="H5438">
        <v>3</v>
      </c>
      <c r="I5438">
        <v>0.71119212962962963</v>
      </c>
      <c r="J5438">
        <v>44801</v>
      </c>
    </row>
    <row r="5439" spans="1:10" x14ac:dyDescent="0.35">
      <c r="A5439" s="2">
        <v>44790</v>
      </c>
      <c r="B5439" s="3">
        <v>0.35708333333333336</v>
      </c>
      <c r="C5439">
        <v>9192</v>
      </c>
      <c r="D5439" t="str">
        <f>VLOOKUP(H5439,Produkt!$A$2:$B$5,2,FALSE)</f>
        <v>A</v>
      </c>
      <c r="H5439">
        <v>1</v>
      </c>
      <c r="I5439">
        <v>0.20493055555555553</v>
      </c>
      <c r="J5439">
        <v>44781</v>
      </c>
    </row>
    <row r="5440" spans="1:10" x14ac:dyDescent="0.35">
      <c r="A5440" s="2">
        <v>44790</v>
      </c>
      <c r="B5440" s="3">
        <v>0.23049768518518518</v>
      </c>
      <c r="C5440">
        <v>9313</v>
      </c>
      <c r="D5440" t="str">
        <f>VLOOKUP(H5440,Produkt!$A$2:$B$5,2,FALSE)</f>
        <v>A</v>
      </c>
      <c r="H5440">
        <v>1</v>
      </c>
      <c r="I5440">
        <v>0.70142361111111118</v>
      </c>
      <c r="J5440">
        <v>44780</v>
      </c>
    </row>
    <row r="5441" spans="1:10" x14ac:dyDescent="0.35">
      <c r="A5441" s="2">
        <v>44790</v>
      </c>
      <c r="B5441" s="3">
        <v>0.75390046296296298</v>
      </c>
      <c r="C5441">
        <v>9345</v>
      </c>
      <c r="D5441" t="str">
        <f>VLOOKUP(H5441,Produkt!$A$2:$B$5,2,FALSE)</f>
        <v>B</v>
      </c>
      <c r="H5441">
        <v>2</v>
      </c>
      <c r="I5441">
        <v>6.9791666666666674E-3</v>
      </c>
      <c r="J5441">
        <v>44781</v>
      </c>
    </row>
    <row r="5442" spans="1:10" x14ac:dyDescent="0.35">
      <c r="A5442" s="2">
        <v>44790</v>
      </c>
      <c r="B5442" s="3">
        <v>0.24578703703703705</v>
      </c>
      <c r="C5442">
        <v>9461</v>
      </c>
      <c r="D5442" t="str">
        <f>VLOOKUP(H5442,Produkt!$A$2:$B$5,2,FALSE)</f>
        <v>C</v>
      </c>
      <c r="H5442">
        <v>3</v>
      </c>
      <c r="I5442">
        <v>0.50983796296296291</v>
      </c>
      <c r="J5442">
        <v>44787</v>
      </c>
    </row>
    <row r="5443" spans="1:10" x14ac:dyDescent="0.35">
      <c r="A5443" s="2">
        <v>44790</v>
      </c>
      <c r="B5443" s="3">
        <v>0.72434027777777776</v>
      </c>
      <c r="C5443">
        <v>9513</v>
      </c>
      <c r="D5443" t="str">
        <f>VLOOKUP(H5443,Produkt!$A$2:$B$5,2,FALSE)</f>
        <v>C</v>
      </c>
      <c r="H5443">
        <v>3</v>
      </c>
      <c r="I5443">
        <v>0.86144675925925929</v>
      </c>
      <c r="J5443">
        <v>44780</v>
      </c>
    </row>
    <row r="5444" spans="1:10" x14ac:dyDescent="0.35">
      <c r="A5444" s="2">
        <v>44790</v>
      </c>
      <c r="B5444" s="3">
        <v>1.0925925925925924E-2</v>
      </c>
      <c r="C5444">
        <v>9542</v>
      </c>
      <c r="D5444" t="str">
        <f>VLOOKUP(H5444,Produkt!$A$2:$B$5,2,FALSE)</f>
        <v>D</v>
      </c>
      <c r="H5444">
        <v>4</v>
      </c>
      <c r="I5444">
        <v>0.73862268518518526</v>
      </c>
      <c r="J5444">
        <v>44774</v>
      </c>
    </row>
    <row r="5445" spans="1:10" x14ac:dyDescent="0.35">
      <c r="A5445" s="2">
        <v>44790</v>
      </c>
      <c r="B5445" s="3">
        <v>0.53940972222222217</v>
      </c>
      <c r="C5445">
        <v>9548</v>
      </c>
      <c r="D5445" t="str">
        <f>VLOOKUP(H5445,Produkt!$A$2:$B$5,2,FALSE)</f>
        <v>D</v>
      </c>
      <c r="H5445">
        <v>4</v>
      </c>
      <c r="I5445">
        <v>0.14354166666666665</v>
      </c>
      <c r="J5445">
        <v>44792</v>
      </c>
    </row>
    <row r="5446" spans="1:10" x14ac:dyDescent="0.35">
      <c r="A5446" s="2">
        <v>44790</v>
      </c>
      <c r="B5446" s="3">
        <v>5.0208333333333334E-2</v>
      </c>
      <c r="C5446">
        <v>9662</v>
      </c>
      <c r="D5446" t="str">
        <f>VLOOKUP(H5446,Produkt!$A$2:$B$5,2,FALSE)</f>
        <v>C</v>
      </c>
      <c r="H5446">
        <v>3</v>
      </c>
      <c r="I5446">
        <v>0.4651851851851852</v>
      </c>
      <c r="J5446">
        <v>44794</v>
      </c>
    </row>
    <row r="5447" spans="1:10" x14ac:dyDescent="0.35">
      <c r="A5447" s="2">
        <v>44790</v>
      </c>
      <c r="B5447" s="3">
        <v>0.50055555555555553</v>
      </c>
      <c r="C5447">
        <v>9664</v>
      </c>
      <c r="D5447" t="str">
        <f>VLOOKUP(H5447,Produkt!$A$2:$B$5,2,FALSE)</f>
        <v>A</v>
      </c>
      <c r="H5447">
        <v>1</v>
      </c>
      <c r="I5447">
        <v>0.22734953703703706</v>
      </c>
      <c r="J5447">
        <v>44798</v>
      </c>
    </row>
    <row r="5448" spans="1:10" x14ac:dyDescent="0.35">
      <c r="A5448" s="2">
        <v>44790</v>
      </c>
      <c r="B5448" s="3">
        <v>0.76460648148148147</v>
      </c>
      <c r="C5448">
        <v>9674</v>
      </c>
      <c r="D5448" t="str">
        <f>VLOOKUP(H5448,Produkt!$A$2:$B$5,2,FALSE)</f>
        <v>D</v>
      </c>
      <c r="H5448">
        <v>4</v>
      </c>
      <c r="I5448">
        <v>0.98184027777777771</v>
      </c>
      <c r="J5448">
        <v>44791</v>
      </c>
    </row>
    <row r="5449" spans="1:10" x14ac:dyDescent="0.35">
      <c r="A5449" s="2">
        <v>44790</v>
      </c>
      <c r="B5449" s="3">
        <v>0.34476851851851853</v>
      </c>
      <c r="C5449">
        <v>9685</v>
      </c>
      <c r="D5449" t="str">
        <f>VLOOKUP(H5449,Produkt!$A$2:$B$5,2,FALSE)</f>
        <v>C</v>
      </c>
      <c r="H5449">
        <v>3</v>
      </c>
      <c r="I5449">
        <v>0.34239583333333329</v>
      </c>
      <c r="J5449">
        <v>44803</v>
      </c>
    </row>
    <row r="5450" spans="1:10" x14ac:dyDescent="0.35">
      <c r="A5450" s="2">
        <v>44790</v>
      </c>
      <c r="B5450" s="3">
        <v>0.95281249999999995</v>
      </c>
      <c r="C5450">
        <v>9740</v>
      </c>
      <c r="D5450" t="str">
        <f>VLOOKUP(H5450,Produkt!$A$2:$B$5,2,FALSE)</f>
        <v>D</v>
      </c>
      <c r="H5450">
        <v>4</v>
      </c>
      <c r="I5450">
        <v>0.50185185185185188</v>
      </c>
      <c r="J5450">
        <v>44778</v>
      </c>
    </row>
    <row r="5451" spans="1:10" x14ac:dyDescent="0.35">
      <c r="A5451" s="2">
        <v>44790</v>
      </c>
      <c r="B5451" s="3">
        <v>0.79234953703703714</v>
      </c>
      <c r="C5451">
        <v>9820</v>
      </c>
      <c r="D5451" t="str">
        <f>VLOOKUP(H5451,Produkt!$A$2:$B$5,2,FALSE)</f>
        <v>C</v>
      </c>
      <c r="H5451">
        <v>3</v>
      </c>
      <c r="I5451">
        <v>0.36379629629629634</v>
      </c>
      <c r="J5451">
        <v>44796</v>
      </c>
    </row>
    <row r="5452" spans="1:10" x14ac:dyDescent="0.35">
      <c r="A5452" s="2">
        <v>44790</v>
      </c>
      <c r="B5452" s="3">
        <v>0.57494212962962965</v>
      </c>
      <c r="C5452">
        <v>9823</v>
      </c>
      <c r="D5452" t="str">
        <f>VLOOKUP(H5452,Produkt!$A$2:$B$5,2,FALSE)</f>
        <v>C</v>
      </c>
      <c r="H5452">
        <v>3</v>
      </c>
      <c r="I5452">
        <v>0.3989699074074074</v>
      </c>
      <c r="J5452">
        <v>44795</v>
      </c>
    </row>
    <row r="5453" spans="1:10" x14ac:dyDescent="0.35">
      <c r="A5453" s="2">
        <v>44790</v>
      </c>
      <c r="B5453" s="3">
        <v>0.27528935185185183</v>
      </c>
      <c r="C5453">
        <v>9857</v>
      </c>
      <c r="D5453" t="str">
        <f>VLOOKUP(H5453,Produkt!$A$2:$B$5,2,FALSE)</f>
        <v>C</v>
      </c>
      <c r="H5453">
        <v>3</v>
      </c>
      <c r="I5453">
        <v>0.28443287037037041</v>
      </c>
      <c r="J5453">
        <v>44787</v>
      </c>
    </row>
    <row r="5454" spans="1:10" x14ac:dyDescent="0.35">
      <c r="A5454" s="2">
        <v>44790</v>
      </c>
      <c r="B5454" s="3">
        <v>0.90483796296296293</v>
      </c>
      <c r="C5454">
        <v>9889</v>
      </c>
      <c r="D5454" t="str">
        <f>VLOOKUP(H5454,Produkt!$A$2:$B$5,2,FALSE)</f>
        <v>B</v>
      </c>
      <c r="H5454">
        <v>2</v>
      </c>
      <c r="I5454">
        <v>0.38068287037037035</v>
      </c>
      <c r="J5454">
        <v>44776</v>
      </c>
    </row>
    <row r="5455" spans="1:10" x14ac:dyDescent="0.35">
      <c r="A5455" s="2">
        <v>44790</v>
      </c>
      <c r="B5455" s="3">
        <v>1.636574074074074E-2</v>
      </c>
      <c r="C5455">
        <v>9920</v>
      </c>
      <c r="D5455" t="str">
        <f>VLOOKUP(H5455,Produkt!$A$2:$B$5,2,FALSE)</f>
        <v>D</v>
      </c>
      <c r="H5455">
        <v>4</v>
      </c>
      <c r="I5455">
        <v>6.0902777777777778E-2</v>
      </c>
      <c r="J5455">
        <v>44799</v>
      </c>
    </row>
    <row r="5456" spans="1:10" x14ac:dyDescent="0.35">
      <c r="A5456" s="2">
        <v>44790</v>
      </c>
      <c r="B5456" s="3">
        <v>0.25802083333333331</v>
      </c>
      <c r="C5456">
        <v>9929</v>
      </c>
      <c r="D5456" t="str">
        <f>VLOOKUP(H5456,Produkt!$A$2:$B$5,2,FALSE)</f>
        <v>B</v>
      </c>
      <c r="H5456">
        <v>2</v>
      </c>
      <c r="I5456">
        <v>0.53905092592592596</v>
      </c>
      <c r="J5456">
        <v>44786</v>
      </c>
    </row>
    <row r="5457" spans="1:10" x14ac:dyDescent="0.35">
      <c r="A5457" s="2">
        <v>44790</v>
      </c>
      <c r="B5457" s="3">
        <v>0.59274305555555562</v>
      </c>
      <c r="C5457">
        <v>9930</v>
      </c>
      <c r="D5457" t="str">
        <f>VLOOKUP(H5457,Produkt!$A$2:$B$5,2,FALSE)</f>
        <v>D</v>
      </c>
      <c r="H5457">
        <v>4</v>
      </c>
      <c r="I5457">
        <v>0.7782175925925926</v>
      </c>
      <c r="J5457">
        <v>44775</v>
      </c>
    </row>
    <row r="5458" spans="1:10" x14ac:dyDescent="0.35">
      <c r="A5458" s="2">
        <v>44790</v>
      </c>
      <c r="B5458" s="3">
        <v>3.7037037037037646E-3</v>
      </c>
      <c r="C5458">
        <v>9933</v>
      </c>
      <c r="D5458" t="str">
        <f>VLOOKUP(H5458,Produkt!$A$2:$B$5,2,FALSE)</f>
        <v>C</v>
      </c>
      <c r="H5458">
        <v>3</v>
      </c>
      <c r="I5458">
        <v>0.51975694444444442</v>
      </c>
      <c r="J5458">
        <v>44787</v>
      </c>
    </row>
    <row r="5459" spans="1:10" x14ac:dyDescent="0.35">
      <c r="A5459" s="2">
        <v>44790</v>
      </c>
      <c r="B5459" s="3">
        <v>0.71393518518518517</v>
      </c>
      <c r="C5459">
        <v>9958</v>
      </c>
      <c r="D5459" t="str">
        <f>VLOOKUP(H5459,Produkt!$A$2:$B$5,2,FALSE)</f>
        <v>C</v>
      </c>
      <c r="H5459">
        <v>3</v>
      </c>
      <c r="I5459">
        <v>0.1603125</v>
      </c>
      <c r="J5459">
        <v>44781</v>
      </c>
    </row>
    <row r="5460" spans="1:10" x14ac:dyDescent="0.35">
      <c r="A5460" s="2">
        <v>44790</v>
      </c>
      <c r="B5460" s="3">
        <v>0.34157407407407409</v>
      </c>
      <c r="C5460">
        <v>9985</v>
      </c>
      <c r="D5460" t="str">
        <f>VLOOKUP(H5460,Produkt!$A$2:$B$5,2,FALSE)</f>
        <v>D</v>
      </c>
      <c r="H5460">
        <v>4</v>
      </c>
      <c r="I5460">
        <v>0.78107638888888886</v>
      </c>
      <c r="J5460">
        <v>44774</v>
      </c>
    </row>
    <row r="5461" spans="1:10" x14ac:dyDescent="0.35">
      <c r="A5461" s="2">
        <v>44791</v>
      </c>
      <c r="B5461" s="3">
        <v>0.56981481481481489</v>
      </c>
      <c r="C5461">
        <v>115</v>
      </c>
      <c r="D5461" t="str">
        <f>VLOOKUP(H5461,Produkt!$A$2:$B$5,2,FALSE)</f>
        <v>C</v>
      </c>
      <c r="H5461">
        <v>3</v>
      </c>
      <c r="I5461">
        <v>0.39966435185185184</v>
      </c>
      <c r="J5461">
        <v>44788</v>
      </c>
    </row>
    <row r="5462" spans="1:10" x14ac:dyDescent="0.35">
      <c r="A5462" s="2">
        <v>44791</v>
      </c>
      <c r="B5462" s="3">
        <v>0.21414351851851851</v>
      </c>
      <c r="C5462">
        <v>153</v>
      </c>
      <c r="D5462" t="str">
        <f>VLOOKUP(H5462,Produkt!$A$2:$B$5,2,FALSE)</f>
        <v>A</v>
      </c>
      <c r="H5462">
        <v>1</v>
      </c>
      <c r="I5462">
        <v>0.34202546296296293</v>
      </c>
      <c r="J5462">
        <v>44786</v>
      </c>
    </row>
    <row r="5463" spans="1:10" x14ac:dyDescent="0.35">
      <c r="A5463" s="2">
        <v>44791</v>
      </c>
      <c r="B5463" s="3">
        <v>0.54151620370370368</v>
      </c>
      <c r="C5463">
        <v>188</v>
      </c>
      <c r="D5463" t="str">
        <f>VLOOKUP(H5463,Produkt!$A$2:$B$5,2,FALSE)</f>
        <v>D</v>
      </c>
      <c r="H5463">
        <v>4</v>
      </c>
      <c r="I5463">
        <v>6.2696759259259258E-2</v>
      </c>
      <c r="J5463">
        <v>44784</v>
      </c>
    </row>
    <row r="5464" spans="1:10" x14ac:dyDescent="0.35">
      <c r="A5464" s="2">
        <v>44791</v>
      </c>
      <c r="B5464" s="3">
        <v>0.49640046296296297</v>
      </c>
      <c r="C5464">
        <v>212</v>
      </c>
      <c r="D5464" t="str">
        <f>VLOOKUP(H5464,Produkt!$A$2:$B$5,2,FALSE)</f>
        <v>A</v>
      </c>
      <c r="H5464">
        <v>1</v>
      </c>
      <c r="I5464">
        <v>0.4971180555555556</v>
      </c>
      <c r="J5464">
        <v>44801</v>
      </c>
    </row>
    <row r="5465" spans="1:10" x14ac:dyDescent="0.35">
      <c r="A5465" s="2">
        <v>44791</v>
      </c>
      <c r="B5465" s="3">
        <v>0.46511574074074075</v>
      </c>
      <c r="C5465">
        <v>213</v>
      </c>
      <c r="D5465" t="str">
        <f>VLOOKUP(H5465,Produkt!$A$2:$B$5,2,FALSE)</f>
        <v>C</v>
      </c>
      <c r="H5465">
        <v>3</v>
      </c>
      <c r="I5465">
        <v>0.77410879629629636</v>
      </c>
      <c r="J5465">
        <v>44781</v>
      </c>
    </row>
    <row r="5466" spans="1:10" x14ac:dyDescent="0.35">
      <c r="A5466" s="2">
        <v>44791</v>
      </c>
      <c r="B5466" s="3">
        <v>0.52462962962962967</v>
      </c>
      <c r="C5466">
        <v>281</v>
      </c>
      <c r="D5466" t="str">
        <f>VLOOKUP(H5466,Produkt!$A$2:$B$5,2,FALSE)</f>
        <v>C</v>
      </c>
      <c r="H5466">
        <v>3</v>
      </c>
      <c r="I5466">
        <v>0.77482638888888899</v>
      </c>
      <c r="J5466">
        <v>44794</v>
      </c>
    </row>
    <row r="5467" spans="1:10" x14ac:dyDescent="0.35">
      <c r="A5467" s="2">
        <v>44791</v>
      </c>
      <c r="B5467" s="3">
        <v>0.16439814814814815</v>
      </c>
      <c r="C5467">
        <v>405</v>
      </c>
      <c r="D5467" t="str">
        <f>VLOOKUP(H5467,Produkt!$A$2:$B$5,2,FALSE)</f>
        <v>A</v>
      </c>
      <c r="H5467">
        <v>1</v>
      </c>
      <c r="I5467">
        <v>0.54748842592592595</v>
      </c>
      <c r="J5467">
        <v>44790</v>
      </c>
    </row>
    <row r="5468" spans="1:10" x14ac:dyDescent="0.35">
      <c r="A5468" s="2">
        <v>44791</v>
      </c>
      <c r="B5468" s="3">
        <v>0.31937500000000002</v>
      </c>
      <c r="C5468">
        <v>459</v>
      </c>
      <c r="D5468" t="str">
        <f>VLOOKUP(H5468,Produkt!$A$2:$B$5,2,FALSE)</f>
        <v>B</v>
      </c>
      <c r="H5468">
        <v>2</v>
      </c>
      <c r="I5468">
        <v>2.1296296296296299E-2</v>
      </c>
      <c r="J5468">
        <v>44782</v>
      </c>
    </row>
    <row r="5469" spans="1:10" x14ac:dyDescent="0.35">
      <c r="A5469" s="2">
        <v>44791</v>
      </c>
      <c r="B5469" s="3">
        <v>0.45465277777777779</v>
      </c>
      <c r="C5469">
        <v>490</v>
      </c>
      <c r="D5469" t="str">
        <f>VLOOKUP(H5469,Produkt!$A$2:$B$5,2,FALSE)</f>
        <v>B</v>
      </c>
      <c r="H5469">
        <v>2</v>
      </c>
      <c r="I5469">
        <v>0.24414351851851854</v>
      </c>
      <c r="J5469">
        <v>44792</v>
      </c>
    </row>
    <row r="5470" spans="1:10" x14ac:dyDescent="0.35">
      <c r="A5470" s="2">
        <v>44791</v>
      </c>
      <c r="B5470" s="3">
        <v>7.5787037037037042E-2</v>
      </c>
      <c r="C5470">
        <v>535</v>
      </c>
      <c r="D5470" t="str">
        <f>VLOOKUP(H5470,Produkt!$A$2:$B$5,2,FALSE)</f>
        <v>A</v>
      </c>
      <c r="H5470">
        <v>1</v>
      </c>
      <c r="I5470">
        <v>0.88962962962962966</v>
      </c>
      <c r="J5470">
        <v>44797</v>
      </c>
    </row>
    <row r="5471" spans="1:10" x14ac:dyDescent="0.35">
      <c r="A5471" s="2">
        <v>44791</v>
      </c>
      <c r="B5471" s="3">
        <v>0.87461805555555561</v>
      </c>
      <c r="C5471">
        <v>570</v>
      </c>
      <c r="D5471" t="str">
        <f>VLOOKUP(H5471,Produkt!$A$2:$B$5,2,FALSE)</f>
        <v>B</v>
      </c>
      <c r="H5471">
        <v>2</v>
      </c>
      <c r="I5471">
        <v>0.89349537037037041</v>
      </c>
      <c r="J5471">
        <v>44781</v>
      </c>
    </row>
    <row r="5472" spans="1:10" x14ac:dyDescent="0.35">
      <c r="A5472" s="2">
        <v>44791</v>
      </c>
      <c r="B5472" s="3">
        <v>0.82019675925925928</v>
      </c>
      <c r="C5472">
        <v>591</v>
      </c>
      <c r="D5472" t="str">
        <f>VLOOKUP(H5472,Produkt!$A$2:$B$5,2,FALSE)</f>
        <v>C</v>
      </c>
      <c r="H5472">
        <v>3</v>
      </c>
      <c r="I5472">
        <v>0.77447916666666661</v>
      </c>
      <c r="J5472">
        <v>44794</v>
      </c>
    </row>
    <row r="5473" spans="1:10" x14ac:dyDescent="0.35">
      <c r="A5473" s="2">
        <v>44791</v>
      </c>
      <c r="B5473" s="3">
        <v>0.83939814814814817</v>
      </c>
      <c r="C5473">
        <v>629</v>
      </c>
      <c r="D5473" t="str">
        <f>VLOOKUP(H5473,Produkt!$A$2:$B$5,2,FALSE)</f>
        <v>C</v>
      </c>
      <c r="H5473">
        <v>3</v>
      </c>
      <c r="I5473">
        <v>1.2986111111111143E-2</v>
      </c>
      <c r="J5473">
        <v>44782</v>
      </c>
    </row>
    <row r="5474" spans="1:10" x14ac:dyDescent="0.35">
      <c r="A5474" s="2">
        <v>44791</v>
      </c>
      <c r="B5474" s="3">
        <v>0.7753472222222223</v>
      </c>
      <c r="C5474">
        <v>680</v>
      </c>
      <c r="D5474" t="str">
        <f>VLOOKUP(H5474,Produkt!$A$2:$B$5,2,FALSE)</f>
        <v>C</v>
      </c>
      <c r="H5474">
        <v>3</v>
      </c>
      <c r="I5474">
        <v>0.98662037037037031</v>
      </c>
      <c r="J5474">
        <v>44782</v>
      </c>
    </row>
    <row r="5475" spans="1:10" x14ac:dyDescent="0.35">
      <c r="A5475" s="2">
        <v>44791</v>
      </c>
      <c r="B5475" s="3">
        <v>0.14619212962962963</v>
      </c>
      <c r="C5475">
        <v>701</v>
      </c>
      <c r="D5475" t="str">
        <f>VLOOKUP(H5475,Produkt!$A$2:$B$5,2,FALSE)</f>
        <v>C</v>
      </c>
      <c r="H5475">
        <v>3</v>
      </c>
      <c r="I5475">
        <v>0.89124999999999999</v>
      </c>
      <c r="J5475">
        <v>44803</v>
      </c>
    </row>
    <row r="5476" spans="1:10" x14ac:dyDescent="0.35">
      <c r="A5476" s="2">
        <v>44791</v>
      </c>
      <c r="B5476" s="3">
        <v>0.74851851851851858</v>
      </c>
      <c r="C5476">
        <v>759</v>
      </c>
      <c r="D5476" t="str">
        <f>VLOOKUP(H5476,Produkt!$A$2:$B$5,2,FALSE)</f>
        <v>D</v>
      </c>
      <c r="H5476">
        <v>4</v>
      </c>
      <c r="I5476">
        <v>0.78271990740740749</v>
      </c>
      <c r="J5476">
        <v>44780</v>
      </c>
    </row>
    <row r="5477" spans="1:10" x14ac:dyDescent="0.35">
      <c r="A5477" s="2">
        <v>44791</v>
      </c>
      <c r="B5477" s="3">
        <v>0.31687500000000002</v>
      </c>
      <c r="C5477">
        <v>772</v>
      </c>
      <c r="D5477" t="str">
        <f>VLOOKUP(H5477,Produkt!$A$2:$B$5,2,FALSE)</f>
        <v>A</v>
      </c>
      <c r="H5477">
        <v>1</v>
      </c>
      <c r="I5477">
        <v>0.75921296296296292</v>
      </c>
      <c r="J5477">
        <v>44793</v>
      </c>
    </row>
    <row r="5478" spans="1:10" x14ac:dyDescent="0.35">
      <c r="A5478" s="2">
        <v>44791</v>
      </c>
      <c r="B5478" s="3">
        <v>0.22454861111111113</v>
      </c>
      <c r="C5478">
        <v>804</v>
      </c>
      <c r="D5478" t="str">
        <f>VLOOKUP(H5478,Produkt!$A$2:$B$5,2,FALSE)</f>
        <v>C</v>
      </c>
      <c r="H5478">
        <v>3</v>
      </c>
      <c r="I5478">
        <v>0.62865740740740739</v>
      </c>
      <c r="J5478">
        <v>44795</v>
      </c>
    </row>
    <row r="5479" spans="1:10" x14ac:dyDescent="0.35">
      <c r="A5479" s="2">
        <v>44791</v>
      </c>
      <c r="B5479" s="3">
        <v>0.83629629629629632</v>
      </c>
      <c r="C5479">
        <v>806</v>
      </c>
      <c r="D5479" t="str">
        <f>VLOOKUP(H5479,Produkt!$A$2:$B$5,2,FALSE)</f>
        <v>C</v>
      </c>
      <c r="H5479">
        <v>3</v>
      </c>
      <c r="I5479">
        <v>0.24722222222222223</v>
      </c>
      <c r="J5479">
        <v>44782</v>
      </c>
    </row>
    <row r="5480" spans="1:10" x14ac:dyDescent="0.35">
      <c r="A5480" s="2">
        <v>44791</v>
      </c>
      <c r="B5480" s="3">
        <v>0.3352430555555555</v>
      </c>
      <c r="C5480">
        <v>814</v>
      </c>
      <c r="D5480" t="str">
        <f>VLOOKUP(H5480,Produkt!$A$2:$B$5,2,FALSE)</f>
        <v>C</v>
      </c>
      <c r="H5480">
        <v>3</v>
      </c>
      <c r="I5480">
        <v>0.61843749999999997</v>
      </c>
      <c r="J5480">
        <v>44802</v>
      </c>
    </row>
    <row r="5481" spans="1:10" x14ac:dyDescent="0.35">
      <c r="A5481" s="2">
        <v>44791</v>
      </c>
      <c r="B5481" s="3">
        <v>0.69108796296296304</v>
      </c>
      <c r="C5481">
        <v>816</v>
      </c>
      <c r="D5481" t="str">
        <f>VLOOKUP(H5481,Produkt!$A$2:$B$5,2,FALSE)</f>
        <v>A</v>
      </c>
      <c r="H5481">
        <v>1</v>
      </c>
      <c r="I5481">
        <v>0.66584490740740743</v>
      </c>
      <c r="J5481">
        <v>44782</v>
      </c>
    </row>
    <row r="5482" spans="1:10" x14ac:dyDescent="0.35">
      <c r="A5482" s="2">
        <v>44791</v>
      </c>
      <c r="B5482" s="3">
        <v>0.409212962962963</v>
      </c>
      <c r="C5482">
        <v>817</v>
      </c>
      <c r="D5482" t="str">
        <f>VLOOKUP(H5482,Produkt!$A$2:$B$5,2,FALSE)</f>
        <v>B</v>
      </c>
      <c r="H5482">
        <v>2</v>
      </c>
      <c r="I5482">
        <v>0.72951388888888891</v>
      </c>
      <c r="J5482">
        <v>44804</v>
      </c>
    </row>
    <row r="5483" spans="1:10" x14ac:dyDescent="0.35">
      <c r="A5483" s="2">
        <v>44791</v>
      </c>
      <c r="B5483" s="3">
        <v>0.84530092592592598</v>
      </c>
      <c r="C5483">
        <v>826</v>
      </c>
      <c r="D5483" t="str">
        <f>VLOOKUP(H5483,Produkt!$A$2:$B$5,2,FALSE)</f>
        <v>B</v>
      </c>
      <c r="H5483">
        <v>2</v>
      </c>
      <c r="I5483">
        <v>0.99418981481481483</v>
      </c>
      <c r="J5483">
        <v>44795</v>
      </c>
    </row>
    <row r="5484" spans="1:10" x14ac:dyDescent="0.35">
      <c r="A5484" s="2">
        <v>44791</v>
      </c>
      <c r="B5484" s="3">
        <v>0.88939814814814822</v>
      </c>
      <c r="C5484">
        <v>847</v>
      </c>
      <c r="D5484" t="str">
        <f>VLOOKUP(H5484,Produkt!$A$2:$B$5,2,FALSE)</f>
        <v>C</v>
      </c>
      <c r="H5484">
        <v>3</v>
      </c>
      <c r="I5484">
        <v>0.57314814814814818</v>
      </c>
      <c r="J5484">
        <v>44792</v>
      </c>
    </row>
    <row r="5485" spans="1:10" x14ac:dyDescent="0.35">
      <c r="A5485" s="2">
        <v>44791</v>
      </c>
      <c r="B5485" s="3">
        <v>0.83210648148148147</v>
      </c>
      <c r="C5485">
        <v>853</v>
      </c>
      <c r="D5485" t="str">
        <f>VLOOKUP(H5485,Produkt!$A$2:$B$5,2,FALSE)</f>
        <v>B</v>
      </c>
      <c r="H5485">
        <v>2</v>
      </c>
      <c r="I5485">
        <v>2.3368055555555555E-2</v>
      </c>
      <c r="J5485">
        <v>44793</v>
      </c>
    </row>
    <row r="5486" spans="1:10" x14ac:dyDescent="0.35">
      <c r="A5486" s="2">
        <v>44791</v>
      </c>
      <c r="B5486" s="3">
        <v>0.96987268518518521</v>
      </c>
      <c r="C5486">
        <v>886</v>
      </c>
      <c r="D5486" t="str">
        <f>VLOOKUP(H5486,Produkt!$A$2:$B$5,2,FALSE)</f>
        <v>B</v>
      </c>
      <c r="H5486">
        <v>2</v>
      </c>
      <c r="I5486">
        <v>0.36554398148148143</v>
      </c>
      <c r="J5486">
        <v>44800</v>
      </c>
    </row>
    <row r="5487" spans="1:10" x14ac:dyDescent="0.35">
      <c r="A5487" s="2">
        <v>44791</v>
      </c>
      <c r="B5487" s="3">
        <v>0.67008101851851853</v>
      </c>
      <c r="C5487">
        <v>889</v>
      </c>
      <c r="D5487" t="str">
        <f>VLOOKUP(H5487,Produkt!$A$2:$B$5,2,FALSE)</f>
        <v>C</v>
      </c>
      <c r="H5487">
        <v>3</v>
      </c>
      <c r="I5487">
        <v>0.34421296296296294</v>
      </c>
      <c r="J5487">
        <v>44794</v>
      </c>
    </row>
    <row r="5488" spans="1:10" x14ac:dyDescent="0.35">
      <c r="A5488" s="2">
        <v>44791</v>
      </c>
      <c r="B5488" s="3">
        <v>0.66740740740740734</v>
      </c>
      <c r="C5488">
        <v>895</v>
      </c>
      <c r="D5488" t="str">
        <f>VLOOKUP(H5488,Produkt!$A$2:$B$5,2,FALSE)</f>
        <v>B</v>
      </c>
      <c r="H5488">
        <v>2</v>
      </c>
      <c r="I5488">
        <v>3.9907407407407502E-2</v>
      </c>
      <c r="J5488">
        <v>44792</v>
      </c>
    </row>
    <row r="5489" spans="1:10" x14ac:dyDescent="0.35">
      <c r="A5489" s="2">
        <v>44791</v>
      </c>
      <c r="B5489" s="3">
        <v>0.47689814814814818</v>
      </c>
      <c r="C5489">
        <v>906</v>
      </c>
      <c r="D5489" t="str">
        <f>VLOOKUP(H5489,Produkt!$A$2:$B$5,2,FALSE)</f>
        <v>C</v>
      </c>
      <c r="H5489">
        <v>3</v>
      </c>
      <c r="I5489">
        <v>0.26947916666666666</v>
      </c>
      <c r="J5489">
        <v>44783</v>
      </c>
    </row>
    <row r="5490" spans="1:10" x14ac:dyDescent="0.35">
      <c r="A5490" s="2">
        <v>44791</v>
      </c>
      <c r="B5490" s="3">
        <v>0.8064930555555555</v>
      </c>
      <c r="C5490">
        <v>953</v>
      </c>
      <c r="D5490" t="str">
        <f>VLOOKUP(H5490,Produkt!$A$2:$B$5,2,FALSE)</f>
        <v>A</v>
      </c>
      <c r="H5490">
        <v>1</v>
      </c>
      <c r="I5490">
        <v>0.8314583333333333</v>
      </c>
      <c r="J5490">
        <v>44801</v>
      </c>
    </row>
    <row r="5491" spans="1:10" x14ac:dyDescent="0.35">
      <c r="A5491" s="2">
        <v>44791</v>
      </c>
      <c r="B5491" s="3">
        <v>0.72452546296296294</v>
      </c>
      <c r="C5491">
        <v>956</v>
      </c>
      <c r="D5491" t="str">
        <f>VLOOKUP(H5491,Produkt!$A$2:$B$5,2,FALSE)</f>
        <v>C</v>
      </c>
      <c r="H5491">
        <v>3</v>
      </c>
      <c r="I5491">
        <v>0.67038194444444443</v>
      </c>
      <c r="J5491">
        <v>44786</v>
      </c>
    </row>
    <row r="5492" spans="1:10" x14ac:dyDescent="0.35">
      <c r="A5492" s="2">
        <v>44791</v>
      </c>
      <c r="B5492" s="3">
        <v>0.79281250000000003</v>
      </c>
      <c r="C5492">
        <v>970</v>
      </c>
      <c r="D5492" t="str">
        <f>VLOOKUP(H5492,Produkt!$A$2:$B$5,2,FALSE)</f>
        <v>D</v>
      </c>
      <c r="H5492">
        <v>4</v>
      </c>
      <c r="I5492">
        <v>0.10753472222222223</v>
      </c>
      <c r="J5492">
        <v>44800</v>
      </c>
    </row>
    <row r="5493" spans="1:10" x14ac:dyDescent="0.35">
      <c r="A5493" s="2">
        <v>44791</v>
      </c>
      <c r="B5493" s="3">
        <v>2.4525462962962968E-2</v>
      </c>
      <c r="C5493">
        <v>1003</v>
      </c>
      <c r="D5493" t="str">
        <f>VLOOKUP(H5493,Produkt!$A$2:$B$5,2,FALSE)</f>
        <v>C</v>
      </c>
      <c r="H5493">
        <v>3</v>
      </c>
      <c r="I5493">
        <v>0.48706018518518518</v>
      </c>
      <c r="J5493">
        <v>44795</v>
      </c>
    </row>
    <row r="5494" spans="1:10" x14ac:dyDescent="0.35">
      <c r="A5494" s="2">
        <v>44791</v>
      </c>
      <c r="B5494" s="3">
        <v>0.19252314814814817</v>
      </c>
      <c r="C5494">
        <v>1050</v>
      </c>
      <c r="D5494" t="str">
        <f>VLOOKUP(H5494,Produkt!$A$2:$B$5,2,FALSE)</f>
        <v>C</v>
      </c>
      <c r="H5494">
        <v>3</v>
      </c>
      <c r="I5494">
        <v>0.44197916666666665</v>
      </c>
      <c r="J5494">
        <v>44787</v>
      </c>
    </row>
    <row r="5495" spans="1:10" x14ac:dyDescent="0.35">
      <c r="A5495" s="2">
        <v>44791</v>
      </c>
      <c r="B5495" s="3">
        <v>0.77831018518518524</v>
      </c>
      <c r="C5495">
        <v>1124</v>
      </c>
      <c r="D5495" t="str">
        <f>VLOOKUP(H5495,Produkt!$A$2:$B$5,2,FALSE)</f>
        <v>D</v>
      </c>
      <c r="H5495">
        <v>4</v>
      </c>
      <c r="I5495">
        <v>0.15327546296296296</v>
      </c>
      <c r="J5495">
        <v>44792</v>
      </c>
    </row>
    <row r="5496" spans="1:10" x14ac:dyDescent="0.35">
      <c r="A5496" s="2">
        <v>44791</v>
      </c>
      <c r="B5496" s="3">
        <v>6.921296296296342E-3</v>
      </c>
      <c r="C5496">
        <v>1162</v>
      </c>
      <c r="D5496" t="str">
        <f>VLOOKUP(H5496,Produkt!$A$2:$B$5,2,FALSE)</f>
        <v>D</v>
      </c>
      <c r="H5496">
        <v>4</v>
      </c>
      <c r="I5496">
        <v>0.95589120370370362</v>
      </c>
      <c r="J5496">
        <v>44798</v>
      </c>
    </row>
    <row r="5497" spans="1:10" x14ac:dyDescent="0.35">
      <c r="A5497" s="2">
        <v>44791</v>
      </c>
      <c r="B5497" s="3">
        <v>0.57387731481481474</v>
      </c>
      <c r="C5497">
        <v>1171</v>
      </c>
      <c r="D5497" t="str">
        <f>VLOOKUP(H5497,Produkt!$A$2:$B$5,2,FALSE)</f>
        <v>A</v>
      </c>
      <c r="H5497">
        <v>1</v>
      </c>
      <c r="I5497">
        <v>0.12083333333333333</v>
      </c>
      <c r="J5497">
        <v>44778</v>
      </c>
    </row>
    <row r="5498" spans="1:10" x14ac:dyDescent="0.35">
      <c r="A5498" s="2">
        <v>44791</v>
      </c>
      <c r="B5498" s="3">
        <v>0.25950231481481484</v>
      </c>
      <c r="C5498">
        <v>1178</v>
      </c>
      <c r="D5498" t="str">
        <f>VLOOKUP(H5498,Produkt!$A$2:$B$5,2,FALSE)</f>
        <v>B</v>
      </c>
      <c r="H5498">
        <v>2</v>
      </c>
      <c r="I5498">
        <v>0.79190972222222233</v>
      </c>
      <c r="J5498">
        <v>44801</v>
      </c>
    </row>
    <row r="5499" spans="1:10" x14ac:dyDescent="0.35">
      <c r="A5499" s="2">
        <v>44791</v>
      </c>
      <c r="B5499" s="3">
        <v>0.38194444444444442</v>
      </c>
      <c r="C5499">
        <v>1195</v>
      </c>
      <c r="D5499" t="str">
        <f>VLOOKUP(H5499,Produkt!$A$2:$B$5,2,FALSE)</f>
        <v>D</v>
      </c>
      <c r="H5499">
        <v>4</v>
      </c>
      <c r="I5499">
        <v>0.61657407407407405</v>
      </c>
      <c r="J5499">
        <v>44791</v>
      </c>
    </row>
    <row r="5500" spans="1:10" x14ac:dyDescent="0.35">
      <c r="A5500" s="2">
        <v>44791</v>
      </c>
      <c r="B5500" s="3">
        <v>0.5430787037037037</v>
      </c>
      <c r="C5500">
        <v>1237</v>
      </c>
      <c r="D5500" t="str">
        <f>VLOOKUP(H5500,Produkt!$A$2:$B$5,2,FALSE)</f>
        <v>B</v>
      </c>
      <c r="H5500">
        <v>2</v>
      </c>
      <c r="I5500">
        <v>0.9237037037037038</v>
      </c>
      <c r="J5500">
        <v>44799</v>
      </c>
    </row>
    <row r="5501" spans="1:10" x14ac:dyDescent="0.35">
      <c r="A5501" s="2">
        <v>44791</v>
      </c>
      <c r="B5501" s="3">
        <v>0.19822916666666668</v>
      </c>
      <c r="C5501">
        <v>1299</v>
      </c>
      <c r="D5501" t="str">
        <f>VLOOKUP(H5501,Produkt!$A$2:$B$5,2,FALSE)</f>
        <v>B</v>
      </c>
      <c r="H5501">
        <v>2</v>
      </c>
      <c r="I5501">
        <v>7.1979166666666664E-2</v>
      </c>
      <c r="J5501">
        <v>44791</v>
      </c>
    </row>
    <row r="5502" spans="1:10" x14ac:dyDescent="0.35">
      <c r="A5502" s="2">
        <v>44791</v>
      </c>
      <c r="B5502" s="3">
        <v>0.59782407407407401</v>
      </c>
      <c r="C5502">
        <v>1300</v>
      </c>
      <c r="D5502" t="str">
        <f>VLOOKUP(H5502,Produkt!$A$2:$B$5,2,FALSE)</f>
        <v>A</v>
      </c>
      <c r="H5502">
        <v>1</v>
      </c>
      <c r="I5502">
        <v>0.48192129629629626</v>
      </c>
      <c r="J5502">
        <v>44793</v>
      </c>
    </row>
    <row r="5503" spans="1:10" x14ac:dyDescent="0.35">
      <c r="A5503" s="2">
        <v>44791</v>
      </c>
      <c r="B5503" s="3">
        <v>0.44896990740740739</v>
      </c>
      <c r="C5503">
        <v>1322</v>
      </c>
      <c r="D5503" t="str">
        <f>VLOOKUP(H5503,Produkt!$A$2:$B$5,2,FALSE)</f>
        <v>B</v>
      </c>
      <c r="H5503">
        <v>2</v>
      </c>
      <c r="I5503">
        <v>0.69953703703703696</v>
      </c>
      <c r="J5503">
        <v>44804</v>
      </c>
    </row>
    <row r="5504" spans="1:10" x14ac:dyDescent="0.35">
      <c r="A5504" s="2">
        <v>44791</v>
      </c>
      <c r="B5504" s="3">
        <v>0.1638425925925926</v>
      </c>
      <c r="C5504">
        <v>1345</v>
      </c>
      <c r="D5504" t="str">
        <f>VLOOKUP(H5504,Produkt!$A$2:$B$5,2,FALSE)</f>
        <v>D</v>
      </c>
      <c r="H5504">
        <v>4</v>
      </c>
      <c r="I5504">
        <v>0.54805555555555552</v>
      </c>
      <c r="J5504">
        <v>44792</v>
      </c>
    </row>
    <row r="5505" spans="1:10" x14ac:dyDescent="0.35">
      <c r="A5505" s="2">
        <v>44791</v>
      </c>
      <c r="B5505" s="3">
        <v>0.9254282407407407</v>
      </c>
      <c r="C5505">
        <v>1368</v>
      </c>
      <c r="D5505" t="str">
        <f>VLOOKUP(H5505,Produkt!$A$2:$B$5,2,FALSE)</f>
        <v>C</v>
      </c>
      <c r="H5505">
        <v>3</v>
      </c>
      <c r="I5505">
        <v>0.45332175925925927</v>
      </c>
      <c r="J5505">
        <v>44803</v>
      </c>
    </row>
    <row r="5506" spans="1:10" x14ac:dyDescent="0.35">
      <c r="A5506" s="2">
        <v>44791</v>
      </c>
      <c r="B5506" s="3">
        <v>0.31354166666666666</v>
      </c>
      <c r="C5506">
        <v>1371</v>
      </c>
      <c r="D5506" t="str">
        <f>VLOOKUP(H5506,Produkt!$A$2:$B$5,2,FALSE)</f>
        <v>D</v>
      </c>
      <c r="H5506">
        <v>4</v>
      </c>
      <c r="I5506">
        <v>0.28584490740740742</v>
      </c>
      <c r="J5506">
        <v>44793</v>
      </c>
    </row>
    <row r="5507" spans="1:10" x14ac:dyDescent="0.35">
      <c r="A5507" s="2">
        <v>44791</v>
      </c>
      <c r="B5507" s="3">
        <v>0.81496527777777772</v>
      </c>
      <c r="C5507">
        <v>1376</v>
      </c>
      <c r="D5507" t="str">
        <f>VLOOKUP(H5507,Produkt!$A$2:$B$5,2,FALSE)</f>
        <v>D</v>
      </c>
      <c r="H5507">
        <v>4</v>
      </c>
      <c r="I5507">
        <v>1.4710648148148148E-2</v>
      </c>
      <c r="J5507">
        <v>44797</v>
      </c>
    </row>
    <row r="5508" spans="1:10" x14ac:dyDescent="0.35">
      <c r="A5508" s="2">
        <v>44791</v>
      </c>
      <c r="B5508" s="3">
        <v>0.82400462962962961</v>
      </c>
      <c r="C5508">
        <v>1390</v>
      </c>
      <c r="D5508" t="str">
        <f>VLOOKUP(H5508,Produkt!$A$2:$B$5,2,FALSE)</f>
        <v>A</v>
      </c>
      <c r="H5508">
        <v>1</v>
      </c>
      <c r="I5508">
        <v>0.8477662037037037</v>
      </c>
      <c r="J5508">
        <v>44789</v>
      </c>
    </row>
    <row r="5509" spans="1:10" x14ac:dyDescent="0.35">
      <c r="A5509" s="2">
        <v>44791</v>
      </c>
      <c r="B5509" s="3">
        <v>8.2094907407407408E-2</v>
      </c>
      <c r="C5509">
        <v>1391</v>
      </c>
      <c r="D5509" t="str">
        <f>VLOOKUP(H5509,Produkt!$A$2:$B$5,2,FALSE)</f>
        <v>C</v>
      </c>
      <c r="H5509">
        <v>3</v>
      </c>
      <c r="I5509">
        <v>0.93821759259259263</v>
      </c>
      <c r="J5509">
        <v>44792</v>
      </c>
    </row>
    <row r="5510" spans="1:10" x14ac:dyDescent="0.35">
      <c r="A5510" s="2">
        <v>44791</v>
      </c>
      <c r="B5510" s="3">
        <v>9.7743055555555555E-2</v>
      </c>
      <c r="C5510">
        <v>1402</v>
      </c>
      <c r="D5510" t="str">
        <f>VLOOKUP(H5510,Produkt!$A$2:$B$5,2,FALSE)</f>
        <v>C</v>
      </c>
      <c r="H5510">
        <v>3</v>
      </c>
      <c r="I5510">
        <v>0.22609953703703703</v>
      </c>
      <c r="J5510">
        <v>44794</v>
      </c>
    </row>
    <row r="5511" spans="1:10" x14ac:dyDescent="0.35">
      <c r="A5511" s="2">
        <v>44791</v>
      </c>
      <c r="B5511" s="3">
        <v>0.17780092592592592</v>
      </c>
      <c r="C5511">
        <v>1439</v>
      </c>
      <c r="D5511" t="str">
        <f>VLOOKUP(H5511,Produkt!$A$2:$B$5,2,FALSE)</f>
        <v>A</v>
      </c>
      <c r="H5511">
        <v>1</v>
      </c>
      <c r="I5511">
        <v>0.32696759259259262</v>
      </c>
      <c r="J5511">
        <v>44793</v>
      </c>
    </row>
    <row r="5512" spans="1:10" x14ac:dyDescent="0.35">
      <c r="A5512" s="2">
        <v>44791</v>
      </c>
      <c r="B5512" s="3">
        <v>0.7322685185185186</v>
      </c>
      <c r="C5512">
        <v>1525</v>
      </c>
      <c r="D5512" t="str">
        <f>VLOOKUP(H5512,Produkt!$A$2:$B$5,2,FALSE)</f>
        <v>C</v>
      </c>
      <c r="H5512">
        <v>3</v>
      </c>
      <c r="I5512">
        <v>0.77282407407407405</v>
      </c>
      <c r="J5512">
        <v>44799</v>
      </c>
    </row>
    <row r="5513" spans="1:10" x14ac:dyDescent="0.35">
      <c r="A5513" s="2">
        <v>44791</v>
      </c>
      <c r="B5513" s="3">
        <v>0.6393402777777778</v>
      </c>
      <c r="C5513">
        <v>1545</v>
      </c>
      <c r="D5513" t="str">
        <f>VLOOKUP(H5513,Produkt!$A$2:$B$5,2,FALSE)</f>
        <v>C</v>
      </c>
      <c r="H5513">
        <v>3</v>
      </c>
      <c r="I5513">
        <v>0.10090277777777779</v>
      </c>
      <c r="J5513">
        <v>44790</v>
      </c>
    </row>
    <row r="5514" spans="1:10" x14ac:dyDescent="0.35">
      <c r="A5514" s="2">
        <v>44791</v>
      </c>
      <c r="B5514" s="3">
        <v>0.45435185185185184</v>
      </c>
      <c r="C5514">
        <v>1580</v>
      </c>
      <c r="D5514" t="str">
        <f>VLOOKUP(H5514,Produkt!$A$2:$B$5,2,FALSE)</f>
        <v>C</v>
      </c>
      <c r="H5514">
        <v>3</v>
      </c>
      <c r="I5514">
        <v>0.3283449074074074</v>
      </c>
      <c r="J5514">
        <v>44787</v>
      </c>
    </row>
    <row r="5515" spans="1:10" x14ac:dyDescent="0.35">
      <c r="A5515" s="2">
        <v>44791</v>
      </c>
      <c r="B5515" s="3">
        <v>0.66706018518518517</v>
      </c>
      <c r="C5515">
        <v>1598</v>
      </c>
      <c r="D5515" t="str">
        <f>VLOOKUP(H5515,Produkt!$A$2:$B$5,2,FALSE)</f>
        <v>B</v>
      </c>
      <c r="H5515">
        <v>2</v>
      </c>
      <c r="I5515">
        <v>0.1940625</v>
      </c>
      <c r="J5515">
        <v>44784</v>
      </c>
    </row>
    <row r="5516" spans="1:10" x14ac:dyDescent="0.35">
      <c r="A5516" s="2">
        <v>44791</v>
      </c>
      <c r="B5516" s="3">
        <v>0.66346064814814809</v>
      </c>
      <c r="C5516">
        <v>1644</v>
      </c>
      <c r="D5516" t="str">
        <f>VLOOKUP(H5516,Produkt!$A$2:$B$5,2,FALSE)</f>
        <v>D</v>
      </c>
      <c r="H5516">
        <v>4</v>
      </c>
      <c r="I5516">
        <v>0.61325231481481479</v>
      </c>
      <c r="J5516">
        <v>44803</v>
      </c>
    </row>
    <row r="5517" spans="1:10" x14ac:dyDescent="0.35">
      <c r="A5517" s="2">
        <v>44791</v>
      </c>
      <c r="B5517" s="3">
        <v>0.47186342592592595</v>
      </c>
      <c r="C5517">
        <v>1685</v>
      </c>
      <c r="D5517" t="str">
        <f>VLOOKUP(H5517,Produkt!$A$2:$B$5,2,FALSE)</f>
        <v>A</v>
      </c>
      <c r="H5517">
        <v>1</v>
      </c>
      <c r="I5517">
        <v>2.119212962962963E-2</v>
      </c>
      <c r="J5517">
        <v>44789</v>
      </c>
    </row>
    <row r="5518" spans="1:10" x14ac:dyDescent="0.35">
      <c r="A5518" s="2">
        <v>44791</v>
      </c>
      <c r="B5518" s="3">
        <v>0.48731481481481481</v>
      </c>
      <c r="C5518">
        <v>1731</v>
      </c>
      <c r="D5518" t="str">
        <f>VLOOKUP(H5518,Produkt!$A$2:$B$5,2,FALSE)</f>
        <v>D</v>
      </c>
      <c r="H5518">
        <v>4</v>
      </c>
      <c r="I5518">
        <v>0.97373842592592597</v>
      </c>
      <c r="J5518">
        <v>44778</v>
      </c>
    </row>
    <row r="5519" spans="1:10" x14ac:dyDescent="0.35">
      <c r="A5519" s="2">
        <v>44791</v>
      </c>
      <c r="B5519" s="3">
        <v>0.97265046296296298</v>
      </c>
      <c r="C5519">
        <v>1732</v>
      </c>
      <c r="D5519" t="str">
        <f>VLOOKUP(H5519,Produkt!$A$2:$B$5,2,FALSE)</f>
        <v>D</v>
      </c>
      <c r="H5519">
        <v>4</v>
      </c>
      <c r="I5519">
        <v>8.487268518518519E-2</v>
      </c>
      <c r="J5519">
        <v>44779</v>
      </c>
    </row>
    <row r="5520" spans="1:10" x14ac:dyDescent="0.35">
      <c r="A5520" s="2">
        <v>44791</v>
      </c>
      <c r="B5520" s="3">
        <v>0.41704861111111113</v>
      </c>
      <c r="C5520">
        <v>1757</v>
      </c>
      <c r="D5520" t="str">
        <f>VLOOKUP(H5520,Produkt!$A$2:$B$5,2,FALSE)</f>
        <v>C</v>
      </c>
      <c r="H5520">
        <v>3</v>
      </c>
      <c r="I5520">
        <v>0.40239583333333334</v>
      </c>
      <c r="J5520">
        <v>44787</v>
      </c>
    </row>
    <row r="5521" spans="1:10" x14ac:dyDescent="0.35">
      <c r="A5521" s="2">
        <v>44791</v>
      </c>
      <c r="B5521" s="3">
        <v>0.14438657407407407</v>
      </c>
      <c r="C5521">
        <v>1761</v>
      </c>
      <c r="D5521" t="str">
        <f>VLOOKUP(H5521,Produkt!$A$2:$B$5,2,FALSE)</f>
        <v>D</v>
      </c>
      <c r="H5521">
        <v>4</v>
      </c>
      <c r="I5521">
        <v>0.67947916666666675</v>
      </c>
      <c r="J5521">
        <v>44794</v>
      </c>
    </row>
    <row r="5522" spans="1:10" x14ac:dyDescent="0.35">
      <c r="A5522" s="2">
        <v>44791</v>
      </c>
      <c r="B5522" s="3">
        <v>0.30175925925925923</v>
      </c>
      <c r="C5522">
        <v>1831</v>
      </c>
      <c r="D5522" t="str">
        <f>VLOOKUP(H5522,Produkt!$A$2:$B$5,2,FALSE)</f>
        <v>D</v>
      </c>
      <c r="H5522">
        <v>4</v>
      </c>
      <c r="I5522">
        <v>0.72196759259259258</v>
      </c>
      <c r="J5522">
        <v>44779</v>
      </c>
    </row>
    <row r="5523" spans="1:10" x14ac:dyDescent="0.35">
      <c r="A5523" s="2">
        <v>44791</v>
      </c>
      <c r="B5523" s="3">
        <v>8.8437500000000002E-2</v>
      </c>
      <c r="C5523">
        <v>1852</v>
      </c>
      <c r="D5523" t="str">
        <f>VLOOKUP(H5523,Produkt!$A$2:$B$5,2,FALSE)</f>
        <v>D</v>
      </c>
      <c r="H5523">
        <v>4</v>
      </c>
      <c r="I5523">
        <v>0.26821759259259259</v>
      </c>
      <c r="J5523">
        <v>44788</v>
      </c>
    </row>
    <row r="5524" spans="1:10" x14ac:dyDescent="0.35">
      <c r="A5524" s="2">
        <v>44791</v>
      </c>
      <c r="B5524" s="3">
        <v>0.36053240740740744</v>
      </c>
      <c r="C5524">
        <v>1888</v>
      </c>
      <c r="D5524" t="str">
        <f>VLOOKUP(H5524,Produkt!$A$2:$B$5,2,FALSE)</f>
        <v>C</v>
      </c>
      <c r="H5524">
        <v>3</v>
      </c>
      <c r="I5524">
        <v>0.17074074074074075</v>
      </c>
      <c r="J5524">
        <v>44804</v>
      </c>
    </row>
    <row r="5525" spans="1:10" x14ac:dyDescent="0.35">
      <c r="A5525" s="2">
        <v>44791</v>
      </c>
      <c r="B5525" s="3">
        <v>0.11719907407407408</v>
      </c>
      <c r="C5525">
        <v>1942</v>
      </c>
      <c r="D5525" t="str">
        <f>VLOOKUP(H5525,Produkt!$A$2:$B$5,2,FALSE)</f>
        <v>B</v>
      </c>
      <c r="H5525">
        <v>2</v>
      </c>
      <c r="I5525">
        <v>8.74537037037037E-2</v>
      </c>
      <c r="J5525">
        <v>44793</v>
      </c>
    </row>
    <row r="5526" spans="1:10" x14ac:dyDescent="0.35">
      <c r="A5526" s="2">
        <v>44791</v>
      </c>
      <c r="B5526" s="3">
        <v>5.9027777777777783E-2</v>
      </c>
      <c r="C5526">
        <v>1987</v>
      </c>
      <c r="D5526" t="str">
        <f>VLOOKUP(H5526,Produkt!$A$2:$B$5,2,FALSE)</f>
        <v>B</v>
      </c>
      <c r="H5526">
        <v>2</v>
      </c>
      <c r="I5526">
        <v>0.80997685185185186</v>
      </c>
      <c r="J5526">
        <v>44801</v>
      </c>
    </row>
    <row r="5527" spans="1:10" x14ac:dyDescent="0.35">
      <c r="A5527" s="2">
        <v>44791</v>
      </c>
      <c r="B5527" s="3">
        <v>0.91839120370370375</v>
      </c>
      <c r="C5527">
        <v>1991</v>
      </c>
      <c r="D5527" t="str">
        <f>VLOOKUP(H5527,Produkt!$A$2:$B$5,2,FALSE)</f>
        <v>D</v>
      </c>
      <c r="H5527">
        <v>4</v>
      </c>
      <c r="I5527">
        <v>0.82568287037037036</v>
      </c>
      <c r="J5527">
        <v>44780</v>
      </c>
    </row>
    <row r="5528" spans="1:10" x14ac:dyDescent="0.35">
      <c r="A5528" s="2">
        <v>44791</v>
      </c>
      <c r="B5528" s="3">
        <v>0.33162037037037034</v>
      </c>
      <c r="C5528">
        <v>1995</v>
      </c>
      <c r="D5528" t="str">
        <f>VLOOKUP(H5528,Produkt!$A$2:$B$5,2,FALSE)</f>
        <v>D</v>
      </c>
      <c r="H5528">
        <v>4</v>
      </c>
      <c r="I5528">
        <v>0.49322916666666666</v>
      </c>
      <c r="J5528">
        <v>44786</v>
      </c>
    </row>
    <row r="5529" spans="1:10" x14ac:dyDescent="0.35">
      <c r="A5529" s="2">
        <v>44791</v>
      </c>
      <c r="B5529" s="3">
        <v>0.57155092592592593</v>
      </c>
      <c r="C5529">
        <v>2032</v>
      </c>
      <c r="D5529" t="str">
        <f>VLOOKUP(H5529,Produkt!$A$2:$B$5,2,FALSE)</f>
        <v>A</v>
      </c>
      <c r="H5529">
        <v>1</v>
      </c>
      <c r="I5529">
        <v>0.81295138888888896</v>
      </c>
      <c r="J5529">
        <v>44795</v>
      </c>
    </row>
    <row r="5530" spans="1:10" x14ac:dyDescent="0.35">
      <c r="A5530" s="2">
        <v>44791</v>
      </c>
      <c r="B5530" s="3">
        <v>0.98739583333333336</v>
      </c>
      <c r="C5530">
        <v>2050</v>
      </c>
      <c r="D5530" t="str">
        <f>VLOOKUP(H5530,Produkt!$A$2:$B$5,2,FALSE)</f>
        <v>D</v>
      </c>
      <c r="H5530">
        <v>4</v>
      </c>
      <c r="I5530">
        <v>0.31140046296296298</v>
      </c>
      <c r="J5530">
        <v>44802</v>
      </c>
    </row>
    <row r="5531" spans="1:10" x14ac:dyDescent="0.35">
      <c r="A5531" s="2">
        <v>44791</v>
      </c>
      <c r="B5531" s="3">
        <v>1.8518518518528815E-4</v>
      </c>
      <c r="C5531">
        <v>2069</v>
      </c>
      <c r="D5531" t="str">
        <f>VLOOKUP(H5531,Produkt!$A$2:$B$5,2,FALSE)</f>
        <v>A</v>
      </c>
      <c r="H5531">
        <v>1</v>
      </c>
      <c r="I5531">
        <v>0.58241898148148141</v>
      </c>
      <c r="J5531">
        <v>44776</v>
      </c>
    </row>
    <row r="5532" spans="1:10" x14ac:dyDescent="0.35">
      <c r="A5532" s="2">
        <v>44791</v>
      </c>
      <c r="B5532" s="3">
        <v>0.96930555555555553</v>
      </c>
      <c r="C5532">
        <v>2084</v>
      </c>
      <c r="D5532" t="str">
        <f>VLOOKUP(H5532,Produkt!$A$2:$B$5,2,FALSE)</f>
        <v>A</v>
      </c>
      <c r="H5532">
        <v>1</v>
      </c>
      <c r="I5532">
        <v>0.99861111111111101</v>
      </c>
      <c r="J5532">
        <v>44797</v>
      </c>
    </row>
    <row r="5533" spans="1:10" x14ac:dyDescent="0.35">
      <c r="A5533" s="2">
        <v>44791</v>
      </c>
      <c r="B5533" s="3">
        <v>0.63730324074074074</v>
      </c>
      <c r="C5533">
        <v>2095</v>
      </c>
      <c r="D5533" t="str">
        <f>VLOOKUP(H5533,Produkt!$A$2:$B$5,2,FALSE)</f>
        <v>B</v>
      </c>
      <c r="H5533">
        <v>2</v>
      </c>
      <c r="I5533">
        <v>0.34314814814814815</v>
      </c>
      <c r="J5533">
        <v>44774</v>
      </c>
    </row>
    <row r="5534" spans="1:10" x14ac:dyDescent="0.35">
      <c r="A5534" s="2">
        <v>44791</v>
      </c>
      <c r="B5534" s="3">
        <v>0.30006944444444444</v>
      </c>
      <c r="C5534">
        <v>2108</v>
      </c>
      <c r="D5534" t="str">
        <f>VLOOKUP(H5534,Produkt!$A$2:$B$5,2,FALSE)</f>
        <v>B</v>
      </c>
      <c r="H5534">
        <v>2</v>
      </c>
      <c r="I5534">
        <v>0.88293981481481476</v>
      </c>
      <c r="J5534">
        <v>44792</v>
      </c>
    </row>
    <row r="5535" spans="1:10" x14ac:dyDescent="0.35">
      <c r="A5535" s="2">
        <v>44791</v>
      </c>
      <c r="B5535" s="3">
        <v>0.23685185185185187</v>
      </c>
      <c r="C5535">
        <v>2128</v>
      </c>
      <c r="D5535" t="str">
        <f>VLOOKUP(H5535,Produkt!$A$2:$B$5,2,FALSE)</f>
        <v>C</v>
      </c>
      <c r="H5535">
        <v>3</v>
      </c>
      <c r="I5535">
        <v>0.96225694444444443</v>
      </c>
      <c r="J5535">
        <v>44778</v>
      </c>
    </row>
    <row r="5536" spans="1:10" x14ac:dyDescent="0.35">
      <c r="A5536" s="2">
        <v>44791</v>
      </c>
      <c r="B5536" s="3">
        <v>0.40425925925925926</v>
      </c>
      <c r="C5536">
        <v>2157</v>
      </c>
      <c r="D5536" t="str">
        <f>VLOOKUP(H5536,Produkt!$A$2:$B$5,2,FALSE)</f>
        <v>C</v>
      </c>
      <c r="H5536">
        <v>3</v>
      </c>
      <c r="I5536">
        <v>0.59502314814814816</v>
      </c>
      <c r="J5536">
        <v>44796</v>
      </c>
    </row>
    <row r="5537" spans="1:10" x14ac:dyDescent="0.35">
      <c r="A5537" s="2">
        <v>44791</v>
      </c>
      <c r="B5537" s="3">
        <v>0.63081018518518517</v>
      </c>
      <c r="C5537">
        <v>2160</v>
      </c>
      <c r="D5537" t="str">
        <f>VLOOKUP(H5537,Produkt!$A$2:$B$5,2,FALSE)</f>
        <v>B</v>
      </c>
      <c r="H5537">
        <v>2</v>
      </c>
      <c r="I5537">
        <v>0.33090277777777777</v>
      </c>
      <c r="J5537">
        <v>44786</v>
      </c>
    </row>
    <row r="5538" spans="1:10" x14ac:dyDescent="0.35">
      <c r="A5538" s="2">
        <v>44791</v>
      </c>
      <c r="B5538" s="3">
        <v>0.63688657407407401</v>
      </c>
      <c r="C5538">
        <v>2267</v>
      </c>
      <c r="D5538" t="str">
        <f>VLOOKUP(H5538,Produkt!$A$2:$B$5,2,FALSE)</f>
        <v>C</v>
      </c>
      <c r="H5538">
        <v>3</v>
      </c>
      <c r="I5538">
        <v>0.87111111111111106</v>
      </c>
      <c r="J5538">
        <v>44800</v>
      </c>
    </row>
    <row r="5539" spans="1:10" x14ac:dyDescent="0.35">
      <c r="A5539" s="2">
        <v>44791</v>
      </c>
      <c r="B5539" s="3">
        <v>0.96703703703703703</v>
      </c>
      <c r="C5539">
        <v>2372</v>
      </c>
      <c r="D5539" t="str">
        <f>VLOOKUP(H5539,Produkt!$A$2:$B$5,2,FALSE)</f>
        <v>C</v>
      </c>
      <c r="H5539">
        <v>3</v>
      </c>
      <c r="I5539">
        <v>0.73577546296296292</v>
      </c>
      <c r="J5539">
        <v>44791</v>
      </c>
    </row>
    <row r="5540" spans="1:10" x14ac:dyDescent="0.35">
      <c r="A5540" s="2">
        <v>44791</v>
      </c>
      <c r="B5540" s="3">
        <v>0.39684027777777775</v>
      </c>
      <c r="C5540">
        <v>2379</v>
      </c>
      <c r="D5540" t="str">
        <f>VLOOKUP(H5540,Produkt!$A$2:$B$5,2,FALSE)</f>
        <v>D</v>
      </c>
      <c r="H5540">
        <v>4</v>
      </c>
      <c r="I5540">
        <v>0.32975694444444442</v>
      </c>
      <c r="J5540">
        <v>44783</v>
      </c>
    </row>
    <row r="5541" spans="1:10" x14ac:dyDescent="0.35">
      <c r="A5541" s="2">
        <v>44791</v>
      </c>
      <c r="B5541" s="3">
        <v>0.67230324074074066</v>
      </c>
      <c r="C5541">
        <v>2399</v>
      </c>
      <c r="D5541" t="str">
        <f>VLOOKUP(H5541,Produkt!$A$2:$B$5,2,FALSE)</f>
        <v>C</v>
      </c>
      <c r="H5541">
        <v>3</v>
      </c>
      <c r="I5541">
        <v>0.4576157407407408</v>
      </c>
      <c r="J5541">
        <v>44799</v>
      </c>
    </row>
    <row r="5542" spans="1:10" x14ac:dyDescent="0.35">
      <c r="A5542" s="2">
        <v>44791</v>
      </c>
      <c r="B5542" s="3">
        <v>0.56334490740740739</v>
      </c>
      <c r="C5542">
        <v>2418</v>
      </c>
      <c r="D5542" t="str">
        <f>VLOOKUP(H5542,Produkt!$A$2:$B$5,2,FALSE)</f>
        <v>D</v>
      </c>
      <c r="H5542">
        <v>4</v>
      </c>
      <c r="I5542">
        <v>0.55634259259259256</v>
      </c>
      <c r="J5542">
        <v>44796</v>
      </c>
    </row>
    <row r="5543" spans="1:10" x14ac:dyDescent="0.35">
      <c r="A5543" s="2">
        <v>44791</v>
      </c>
      <c r="B5543" s="3">
        <v>0.18949074074074077</v>
      </c>
      <c r="C5543">
        <v>2448</v>
      </c>
      <c r="D5543" t="str">
        <f>VLOOKUP(H5543,Produkt!$A$2:$B$5,2,FALSE)</f>
        <v>D</v>
      </c>
      <c r="H5543">
        <v>4</v>
      </c>
      <c r="I5543">
        <v>0.60857638888888888</v>
      </c>
      <c r="J5543">
        <v>44789</v>
      </c>
    </row>
    <row r="5544" spans="1:10" x14ac:dyDescent="0.35">
      <c r="A5544" s="2">
        <v>44791</v>
      </c>
      <c r="B5544" s="3">
        <v>0.65268518518518526</v>
      </c>
      <c r="C5544">
        <v>2551</v>
      </c>
      <c r="D5544" t="str">
        <f>VLOOKUP(H5544,Produkt!$A$2:$B$5,2,FALSE)</f>
        <v>A</v>
      </c>
      <c r="H5544">
        <v>1</v>
      </c>
      <c r="I5544">
        <v>0.15027777777777776</v>
      </c>
      <c r="J5544">
        <v>44785</v>
      </c>
    </row>
    <row r="5545" spans="1:10" x14ac:dyDescent="0.35">
      <c r="A5545" s="2">
        <v>44791</v>
      </c>
      <c r="B5545" s="3">
        <v>0.59840277777777773</v>
      </c>
      <c r="C5545">
        <v>2567</v>
      </c>
      <c r="D5545" t="str">
        <f>VLOOKUP(H5545,Produkt!$A$2:$B$5,2,FALSE)</f>
        <v>B</v>
      </c>
      <c r="H5545">
        <v>2</v>
      </c>
      <c r="I5545">
        <v>0.56350694444444438</v>
      </c>
      <c r="J5545">
        <v>44793</v>
      </c>
    </row>
    <row r="5546" spans="1:10" x14ac:dyDescent="0.35">
      <c r="A5546" s="2">
        <v>44791</v>
      </c>
      <c r="B5546" s="3">
        <v>3.4826388888888893E-2</v>
      </c>
      <c r="C5546">
        <v>2580</v>
      </c>
      <c r="D5546" t="str">
        <f>VLOOKUP(H5546,Produkt!$A$2:$B$5,2,FALSE)</f>
        <v>D</v>
      </c>
      <c r="H5546">
        <v>4</v>
      </c>
      <c r="I5546">
        <v>0.96042824074074085</v>
      </c>
      <c r="J5546">
        <v>44784</v>
      </c>
    </row>
    <row r="5547" spans="1:10" x14ac:dyDescent="0.35">
      <c r="A5547" s="2">
        <v>44791</v>
      </c>
      <c r="B5547" s="3">
        <v>0.62238425925925933</v>
      </c>
      <c r="C5547">
        <v>2583</v>
      </c>
      <c r="D5547" t="str">
        <f>VLOOKUP(H5547,Produkt!$A$2:$B$5,2,FALSE)</f>
        <v>B</v>
      </c>
      <c r="H5547">
        <v>2</v>
      </c>
      <c r="I5547">
        <v>0.25163194444444442</v>
      </c>
      <c r="J5547">
        <v>44777</v>
      </c>
    </row>
    <row r="5548" spans="1:10" x14ac:dyDescent="0.35">
      <c r="A5548" s="2">
        <v>44791</v>
      </c>
      <c r="B5548" s="3">
        <v>2.2916666666666667E-3</v>
      </c>
      <c r="C5548">
        <v>2634</v>
      </c>
      <c r="D5548" t="str">
        <f>VLOOKUP(H5548,Produkt!$A$2:$B$5,2,FALSE)</f>
        <v>D</v>
      </c>
      <c r="H5548">
        <v>4</v>
      </c>
      <c r="I5548">
        <v>0.67186342592592585</v>
      </c>
      <c r="J5548">
        <v>44804</v>
      </c>
    </row>
    <row r="5549" spans="1:10" x14ac:dyDescent="0.35">
      <c r="A5549" s="2">
        <v>44791</v>
      </c>
      <c r="B5549" s="3">
        <v>0.25532407407407409</v>
      </c>
      <c r="C5549">
        <v>2635</v>
      </c>
      <c r="D5549" t="str">
        <f>VLOOKUP(H5549,Produkt!$A$2:$B$5,2,FALSE)</f>
        <v>D</v>
      </c>
      <c r="H5549">
        <v>4</v>
      </c>
      <c r="I5549">
        <v>0.76071759259259253</v>
      </c>
      <c r="J5549">
        <v>44801</v>
      </c>
    </row>
    <row r="5550" spans="1:10" x14ac:dyDescent="0.35">
      <c r="A5550" s="2">
        <v>44791</v>
      </c>
      <c r="B5550" s="3">
        <v>0.36644675925925929</v>
      </c>
      <c r="C5550">
        <v>2696</v>
      </c>
      <c r="D5550" t="str">
        <f>VLOOKUP(H5550,Produkt!$A$2:$B$5,2,FALSE)</f>
        <v>C</v>
      </c>
      <c r="H5550">
        <v>3</v>
      </c>
      <c r="I5550">
        <v>6.6770833333333335E-2</v>
      </c>
      <c r="J5550">
        <v>44800</v>
      </c>
    </row>
    <row r="5551" spans="1:10" x14ac:dyDescent="0.35">
      <c r="A5551" s="2">
        <v>44791</v>
      </c>
      <c r="B5551" s="3">
        <v>0.23940972222222223</v>
      </c>
      <c r="C5551">
        <v>2715</v>
      </c>
      <c r="D5551" t="str">
        <f>VLOOKUP(H5551,Produkt!$A$2:$B$5,2,FALSE)</f>
        <v>A</v>
      </c>
      <c r="H5551">
        <v>1</v>
      </c>
      <c r="I5551">
        <v>0.78762731481481474</v>
      </c>
      <c r="J5551">
        <v>44780</v>
      </c>
    </row>
    <row r="5552" spans="1:10" x14ac:dyDescent="0.35">
      <c r="A5552" s="2">
        <v>44791</v>
      </c>
      <c r="B5552" s="3">
        <v>0.94796296296296301</v>
      </c>
      <c r="C5552">
        <v>2738</v>
      </c>
      <c r="D5552" t="str">
        <f>VLOOKUP(H5552,Produkt!$A$2:$B$5,2,FALSE)</f>
        <v>B</v>
      </c>
      <c r="H5552">
        <v>2</v>
      </c>
      <c r="I5552">
        <v>0.48249999999999998</v>
      </c>
      <c r="J5552">
        <v>44797</v>
      </c>
    </row>
    <row r="5553" spans="1:10" x14ac:dyDescent="0.35">
      <c r="A5553" s="2">
        <v>44791</v>
      </c>
      <c r="B5553" s="3">
        <v>0.81652777777777785</v>
      </c>
      <c r="C5553">
        <v>2747</v>
      </c>
      <c r="D5553" t="str">
        <f>VLOOKUP(H5553,Produkt!$A$2:$B$5,2,FALSE)</f>
        <v>B</v>
      </c>
      <c r="H5553">
        <v>2</v>
      </c>
      <c r="I5553">
        <v>0.95079861111111119</v>
      </c>
      <c r="J5553">
        <v>44802</v>
      </c>
    </row>
    <row r="5554" spans="1:10" x14ac:dyDescent="0.35">
      <c r="A5554" s="2">
        <v>44791</v>
      </c>
      <c r="B5554" s="3">
        <v>0.42730324074074072</v>
      </c>
      <c r="C5554">
        <v>2783</v>
      </c>
      <c r="D5554" t="str">
        <f>VLOOKUP(H5554,Produkt!$A$2:$B$5,2,FALSE)</f>
        <v>B</v>
      </c>
      <c r="H5554">
        <v>2</v>
      </c>
      <c r="I5554">
        <v>3.9652777777777759E-2</v>
      </c>
      <c r="J5554">
        <v>44776</v>
      </c>
    </row>
    <row r="5555" spans="1:10" x14ac:dyDescent="0.35">
      <c r="A5555" s="2">
        <v>44791</v>
      </c>
      <c r="B5555" s="3">
        <v>7.8703703703704164E-3</v>
      </c>
      <c r="C5555">
        <v>2784</v>
      </c>
      <c r="D5555" t="str">
        <f>VLOOKUP(H5555,Produkt!$A$2:$B$5,2,FALSE)</f>
        <v>C</v>
      </c>
      <c r="H5555">
        <v>3</v>
      </c>
      <c r="I5555">
        <v>0.38556712962962963</v>
      </c>
      <c r="J5555">
        <v>44774</v>
      </c>
    </row>
    <row r="5556" spans="1:10" x14ac:dyDescent="0.35">
      <c r="A5556" s="2">
        <v>44791</v>
      </c>
      <c r="B5556" s="3">
        <v>0.54936342592592591</v>
      </c>
      <c r="C5556">
        <v>2838</v>
      </c>
      <c r="D5556" t="str">
        <f>VLOOKUP(H5556,Produkt!$A$2:$B$5,2,FALSE)</f>
        <v>A</v>
      </c>
      <c r="H5556">
        <v>1</v>
      </c>
      <c r="I5556">
        <v>0.78758101851851858</v>
      </c>
      <c r="J5556">
        <v>44795</v>
      </c>
    </row>
    <row r="5557" spans="1:10" x14ac:dyDescent="0.35">
      <c r="A5557" s="2">
        <v>44791</v>
      </c>
      <c r="B5557" s="3">
        <v>0.72089120370370363</v>
      </c>
      <c r="C5557">
        <v>2856</v>
      </c>
      <c r="D5557" t="str">
        <f>VLOOKUP(H5557,Produkt!$A$2:$B$5,2,FALSE)</f>
        <v>B</v>
      </c>
      <c r="H5557">
        <v>2</v>
      </c>
      <c r="I5557">
        <v>0.83861111111111108</v>
      </c>
      <c r="J5557">
        <v>44796</v>
      </c>
    </row>
    <row r="5558" spans="1:10" x14ac:dyDescent="0.35">
      <c r="A5558" s="2">
        <v>44791</v>
      </c>
      <c r="B5558" s="3">
        <v>0.47972222222222222</v>
      </c>
      <c r="C5558">
        <v>2873</v>
      </c>
      <c r="D5558" t="str">
        <f>VLOOKUP(H5558,Produkt!$A$2:$B$5,2,FALSE)</f>
        <v>D</v>
      </c>
      <c r="H5558">
        <v>4</v>
      </c>
      <c r="I5558">
        <v>0.64907407407407403</v>
      </c>
      <c r="J5558">
        <v>44788</v>
      </c>
    </row>
    <row r="5559" spans="1:10" x14ac:dyDescent="0.35">
      <c r="A5559" s="2">
        <v>44791</v>
      </c>
      <c r="B5559" s="3">
        <v>0.64518518518518519</v>
      </c>
      <c r="C5559">
        <v>2878</v>
      </c>
      <c r="D5559" t="str">
        <f>VLOOKUP(H5559,Produkt!$A$2:$B$5,2,FALSE)</f>
        <v>B</v>
      </c>
      <c r="H5559">
        <v>2</v>
      </c>
      <c r="I5559">
        <v>0.78326388888888887</v>
      </c>
      <c r="J5559">
        <v>44776</v>
      </c>
    </row>
    <row r="5560" spans="1:10" x14ac:dyDescent="0.35">
      <c r="A5560" s="2">
        <v>44791</v>
      </c>
      <c r="B5560" s="3">
        <v>0.75034722222222217</v>
      </c>
      <c r="C5560">
        <v>2954</v>
      </c>
      <c r="D5560" t="str">
        <f>VLOOKUP(H5560,Produkt!$A$2:$B$5,2,FALSE)</f>
        <v>C</v>
      </c>
      <c r="H5560">
        <v>3</v>
      </c>
      <c r="I5560">
        <v>0.40954861111111113</v>
      </c>
      <c r="J5560">
        <v>44792</v>
      </c>
    </row>
    <row r="5561" spans="1:10" x14ac:dyDescent="0.35">
      <c r="A5561" s="2">
        <v>44791</v>
      </c>
      <c r="B5561" s="3">
        <v>8.9918981481481475E-2</v>
      </c>
      <c r="C5561">
        <v>2964</v>
      </c>
      <c r="D5561" t="str">
        <f>VLOOKUP(H5561,Produkt!$A$2:$B$5,2,FALSE)</f>
        <v>B</v>
      </c>
      <c r="H5561">
        <v>2</v>
      </c>
      <c r="I5561">
        <v>0.57640046296296299</v>
      </c>
      <c r="J5561">
        <v>44793</v>
      </c>
    </row>
    <row r="5562" spans="1:10" x14ac:dyDescent="0.35">
      <c r="A5562" s="2">
        <v>44791</v>
      </c>
      <c r="B5562" s="3">
        <v>0.29944444444444446</v>
      </c>
      <c r="C5562">
        <v>2975</v>
      </c>
      <c r="D5562" t="str">
        <f>VLOOKUP(H5562,Produkt!$A$2:$B$5,2,FALSE)</f>
        <v>C</v>
      </c>
      <c r="H5562">
        <v>3</v>
      </c>
      <c r="I5562">
        <v>0.7771527777777778</v>
      </c>
      <c r="J5562">
        <v>44799</v>
      </c>
    </row>
    <row r="5563" spans="1:10" x14ac:dyDescent="0.35">
      <c r="A5563" s="2">
        <v>44791</v>
      </c>
      <c r="B5563" s="3">
        <v>0.6116435185185185</v>
      </c>
      <c r="C5563">
        <v>2976</v>
      </c>
      <c r="D5563" t="str">
        <f>VLOOKUP(H5563,Produkt!$A$2:$B$5,2,FALSE)</f>
        <v>C</v>
      </c>
      <c r="H5563">
        <v>3</v>
      </c>
      <c r="I5563">
        <v>0.17216435185185186</v>
      </c>
      <c r="J5563">
        <v>44799</v>
      </c>
    </row>
    <row r="5564" spans="1:10" x14ac:dyDescent="0.35">
      <c r="A5564" s="2">
        <v>44791</v>
      </c>
      <c r="B5564" s="3">
        <v>0.51869212962962963</v>
      </c>
      <c r="C5564">
        <v>2977</v>
      </c>
      <c r="D5564" t="str">
        <f>VLOOKUP(H5564,Produkt!$A$2:$B$5,2,FALSE)</f>
        <v>B</v>
      </c>
      <c r="H5564">
        <v>2</v>
      </c>
      <c r="I5564">
        <v>0.99336805555555552</v>
      </c>
      <c r="J5564">
        <v>44804</v>
      </c>
    </row>
    <row r="5565" spans="1:10" x14ac:dyDescent="0.35">
      <c r="A5565" s="2">
        <v>44791</v>
      </c>
      <c r="B5565" s="3">
        <v>0.5247222222222222</v>
      </c>
      <c r="C5565">
        <v>3024</v>
      </c>
      <c r="D5565" t="str">
        <f>VLOOKUP(H5565,Produkt!$A$2:$B$5,2,FALSE)</f>
        <v>B</v>
      </c>
      <c r="H5565">
        <v>2</v>
      </c>
      <c r="I5565">
        <v>0.75422453703703696</v>
      </c>
      <c r="J5565">
        <v>44775</v>
      </c>
    </row>
    <row r="5566" spans="1:10" x14ac:dyDescent="0.35">
      <c r="A5566" s="2">
        <v>44791</v>
      </c>
      <c r="B5566" s="3">
        <v>0.32083333333333336</v>
      </c>
      <c r="C5566">
        <v>3025</v>
      </c>
      <c r="D5566" t="str">
        <f>VLOOKUP(H5566,Produkt!$A$2:$B$5,2,FALSE)</f>
        <v>B</v>
      </c>
      <c r="H5566">
        <v>2</v>
      </c>
      <c r="I5566">
        <v>0.3336689814814815</v>
      </c>
      <c r="J5566">
        <v>44785</v>
      </c>
    </row>
    <row r="5567" spans="1:10" x14ac:dyDescent="0.35">
      <c r="A5567" s="2">
        <v>44791</v>
      </c>
      <c r="B5567" s="3">
        <v>0.53339120370370374</v>
      </c>
      <c r="C5567">
        <v>3062</v>
      </c>
      <c r="D5567" t="str">
        <f>VLOOKUP(H5567,Produkt!$A$2:$B$5,2,FALSE)</f>
        <v>D</v>
      </c>
      <c r="H5567">
        <v>4</v>
      </c>
      <c r="I5567">
        <v>0.75430555555555545</v>
      </c>
      <c r="J5567">
        <v>44779</v>
      </c>
    </row>
    <row r="5568" spans="1:10" x14ac:dyDescent="0.35">
      <c r="A5568" s="2">
        <v>44791</v>
      </c>
      <c r="B5568" s="3">
        <v>0.73819444444444438</v>
      </c>
      <c r="C5568">
        <v>3063</v>
      </c>
      <c r="D5568" t="str">
        <f>VLOOKUP(H5568,Produkt!$A$2:$B$5,2,FALSE)</f>
        <v>D</v>
      </c>
      <c r="H5568">
        <v>4</v>
      </c>
      <c r="I5568">
        <v>4.9085648148148149E-2</v>
      </c>
      <c r="J5568">
        <v>44796</v>
      </c>
    </row>
    <row r="5569" spans="1:10" x14ac:dyDescent="0.35">
      <c r="A5569" s="2">
        <v>44791</v>
      </c>
      <c r="B5569" s="3">
        <v>0.57557870370370368</v>
      </c>
      <c r="C5569">
        <v>3065</v>
      </c>
      <c r="D5569" t="str">
        <f>VLOOKUP(H5569,Produkt!$A$2:$B$5,2,FALSE)</f>
        <v>D</v>
      </c>
      <c r="H5569">
        <v>4</v>
      </c>
      <c r="I5569">
        <v>0.11945601851851852</v>
      </c>
      <c r="J5569">
        <v>44795</v>
      </c>
    </row>
    <row r="5570" spans="1:10" x14ac:dyDescent="0.35">
      <c r="A5570" s="2">
        <v>44791</v>
      </c>
      <c r="B5570" s="3">
        <v>0.81303240740740745</v>
      </c>
      <c r="C5570">
        <v>3099</v>
      </c>
      <c r="D5570" t="str">
        <f>VLOOKUP(H5570,Produkt!$A$2:$B$5,2,FALSE)</f>
        <v>C</v>
      </c>
      <c r="H5570">
        <v>3</v>
      </c>
      <c r="I5570">
        <v>4.5636574074074072E-2</v>
      </c>
      <c r="J5570">
        <v>44794</v>
      </c>
    </row>
    <row r="5571" spans="1:10" x14ac:dyDescent="0.35">
      <c r="A5571" s="2">
        <v>44791</v>
      </c>
      <c r="B5571" s="3">
        <v>0.55902777777777779</v>
      </c>
      <c r="C5571">
        <v>3184</v>
      </c>
      <c r="D5571" t="str">
        <f>VLOOKUP(H5571,Produkt!$A$2:$B$5,2,FALSE)</f>
        <v>C</v>
      </c>
      <c r="H5571">
        <v>3</v>
      </c>
      <c r="I5571">
        <v>2.7777777777777776E-2</v>
      </c>
      <c r="J5571">
        <v>44779</v>
      </c>
    </row>
    <row r="5572" spans="1:10" x14ac:dyDescent="0.35">
      <c r="A5572" s="2">
        <v>44791</v>
      </c>
      <c r="B5572" s="3">
        <v>0.87280092592592595</v>
      </c>
      <c r="C5572">
        <v>3202</v>
      </c>
      <c r="D5572" t="str">
        <f>VLOOKUP(H5572,Produkt!$A$2:$B$5,2,FALSE)</f>
        <v>B</v>
      </c>
      <c r="H5572">
        <v>2</v>
      </c>
      <c r="I5572">
        <v>0.12115740740740739</v>
      </c>
      <c r="J5572">
        <v>44793</v>
      </c>
    </row>
    <row r="5573" spans="1:10" x14ac:dyDescent="0.35">
      <c r="A5573" s="2">
        <v>44791</v>
      </c>
      <c r="B5573" s="3">
        <v>9.8229166666666659E-2</v>
      </c>
      <c r="C5573">
        <v>3212</v>
      </c>
      <c r="D5573" t="str">
        <f>VLOOKUP(H5573,Produkt!$A$2:$B$5,2,FALSE)</f>
        <v>A</v>
      </c>
      <c r="H5573">
        <v>1</v>
      </c>
      <c r="I5573">
        <v>0.5672800925925926</v>
      </c>
      <c r="J5573">
        <v>44794</v>
      </c>
    </row>
    <row r="5574" spans="1:10" x14ac:dyDescent="0.35">
      <c r="A5574" s="2">
        <v>44791</v>
      </c>
      <c r="B5574" s="3">
        <v>0.57643518518518522</v>
      </c>
      <c r="C5574">
        <v>3218</v>
      </c>
      <c r="D5574" t="str">
        <f>VLOOKUP(H5574,Produkt!$A$2:$B$5,2,FALSE)</f>
        <v>A</v>
      </c>
      <c r="H5574">
        <v>1</v>
      </c>
      <c r="I5574">
        <v>0.32247685185185188</v>
      </c>
      <c r="J5574">
        <v>44795</v>
      </c>
    </row>
    <row r="5575" spans="1:10" x14ac:dyDescent="0.35">
      <c r="A5575" s="2">
        <v>44791</v>
      </c>
      <c r="B5575" s="3">
        <v>0.31657407407407406</v>
      </c>
      <c r="C5575">
        <v>3304</v>
      </c>
      <c r="D5575" t="str">
        <f>VLOOKUP(H5575,Produkt!$A$2:$B$5,2,FALSE)</f>
        <v>C</v>
      </c>
      <c r="H5575">
        <v>3</v>
      </c>
      <c r="I5575">
        <v>0.34620370370370374</v>
      </c>
      <c r="J5575">
        <v>44776</v>
      </c>
    </row>
    <row r="5576" spans="1:10" x14ac:dyDescent="0.35">
      <c r="A5576" s="2">
        <v>44791</v>
      </c>
      <c r="B5576" s="3">
        <v>0.80650462962962965</v>
      </c>
      <c r="C5576">
        <v>3311</v>
      </c>
      <c r="D5576" t="str">
        <f>VLOOKUP(H5576,Produkt!$A$2:$B$5,2,FALSE)</f>
        <v>C</v>
      </c>
      <c r="H5576">
        <v>3</v>
      </c>
      <c r="I5576">
        <v>0.62055555555555553</v>
      </c>
      <c r="J5576">
        <v>44800</v>
      </c>
    </row>
    <row r="5577" spans="1:10" x14ac:dyDescent="0.35">
      <c r="A5577" s="2">
        <v>44791</v>
      </c>
      <c r="B5577" s="3">
        <v>0.46190972222222221</v>
      </c>
      <c r="C5577">
        <v>3328</v>
      </c>
      <c r="D5577" t="str">
        <f>VLOOKUP(H5577,Produkt!$A$2:$B$5,2,FALSE)</f>
        <v>D</v>
      </c>
      <c r="H5577">
        <v>4</v>
      </c>
      <c r="I5577">
        <v>0.36972222222222223</v>
      </c>
      <c r="J5577">
        <v>44789</v>
      </c>
    </row>
    <row r="5578" spans="1:10" x14ac:dyDescent="0.35">
      <c r="A5578" s="2">
        <v>44791</v>
      </c>
      <c r="B5578" s="3">
        <v>0.7612268518518519</v>
      </c>
      <c r="C5578">
        <v>3370</v>
      </c>
      <c r="D5578" t="str">
        <f>VLOOKUP(H5578,Produkt!$A$2:$B$5,2,FALSE)</f>
        <v>B</v>
      </c>
      <c r="H5578">
        <v>2</v>
      </c>
      <c r="I5578">
        <v>0.74241898148148155</v>
      </c>
      <c r="J5578">
        <v>44774</v>
      </c>
    </row>
    <row r="5579" spans="1:10" x14ac:dyDescent="0.35">
      <c r="A5579" s="2">
        <v>44791</v>
      </c>
      <c r="B5579" s="3">
        <v>0.3</v>
      </c>
      <c r="C5579">
        <v>3373</v>
      </c>
      <c r="D5579" t="str">
        <f>VLOOKUP(H5579,Produkt!$A$2:$B$5,2,FALSE)</f>
        <v>D</v>
      </c>
      <c r="H5579">
        <v>4</v>
      </c>
      <c r="I5579">
        <v>0.5067476851851852</v>
      </c>
      <c r="J5579">
        <v>44792</v>
      </c>
    </row>
    <row r="5580" spans="1:10" x14ac:dyDescent="0.35">
      <c r="A5580" s="2">
        <v>44791</v>
      </c>
      <c r="B5580" s="3">
        <v>0.83960648148148154</v>
      </c>
      <c r="C5580">
        <v>3380</v>
      </c>
      <c r="D5580" t="str">
        <f>VLOOKUP(H5580,Produkt!$A$2:$B$5,2,FALSE)</f>
        <v>A</v>
      </c>
      <c r="H5580">
        <v>1</v>
      </c>
      <c r="I5580">
        <v>0.74171296296296296</v>
      </c>
      <c r="J5580">
        <v>44797</v>
      </c>
    </row>
    <row r="5581" spans="1:10" x14ac:dyDescent="0.35">
      <c r="A5581" s="2">
        <v>44791</v>
      </c>
      <c r="B5581" s="3">
        <v>0.52878472222222228</v>
      </c>
      <c r="C5581">
        <v>3386</v>
      </c>
      <c r="D5581" t="str">
        <f>VLOOKUP(H5581,Produkt!$A$2:$B$5,2,FALSE)</f>
        <v>A</v>
      </c>
      <c r="H5581">
        <v>1</v>
      </c>
      <c r="I5581">
        <v>0.89983796296296292</v>
      </c>
      <c r="J5581">
        <v>44803</v>
      </c>
    </row>
    <row r="5582" spans="1:10" x14ac:dyDescent="0.35">
      <c r="A5582" s="2">
        <v>44791</v>
      </c>
      <c r="B5582" s="3">
        <v>0.42848379629629635</v>
      </c>
      <c r="C5582">
        <v>3477</v>
      </c>
      <c r="D5582" t="str">
        <f>VLOOKUP(H5582,Produkt!$A$2:$B$5,2,FALSE)</f>
        <v>D</v>
      </c>
      <c r="H5582">
        <v>4</v>
      </c>
      <c r="I5582">
        <v>0.11502314814814814</v>
      </c>
      <c r="J5582">
        <v>44775</v>
      </c>
    </row>
    <row r="5583" spans="1:10" x14ac:dyDescent="0.35">
      <c r="A5583" s="2">
        <v>44791</v>
      </c>
      <c r="B5583" s="3">
        <v>0.58034722222222224</v>
      </c>
      <c r="C5583">
        <v>3492</v>
      </c>
      <c r="D5583" t="str">
        <f>VLOOKUP(H5583,Produkt!$A$2:$B$5,2,FALSE)</f>
        <v>A</v>
      </c>
      <c r="H5583">
        <v>1</v>
      </c>
      <c r="I5583">
        <v>0.30703703703703705</v>
      </c>
      <c r="J5583">
        <v>44788</v>
      </c>
    </row>
    <row r="5584" spans="1:10" x14ac:dyDescent="0.35">
      <c r="A5584" s="2">
        <v>44791</v>
      </c>
      <c r="B5584" s="3">
        <v>0.13160879629629629</v>
      </c>
      <c r="C5584">
        <v>3515</v>
      </c>
      <c r="D5584" t="str">
        <f>VLOOKUP(H5584,Produkt!$A$2:$B$5,2,FALSE)</f>
        <v>C</v>
      </c>
      <c r="H5584">
        <v>3</v>
      </c>
      <c r="I5584">
        <v>5.873842592592593E-2</v>
      </c>
      <c r="J5584">
        <v>44786</v>
      </c>
    </row>
    <row r="5585" spans="1:10" x14ac:dyDescent="0.35">
      <c r="A5585" s="2">
        <v>44791</v>
      </c>
      <c r="B5585" s="3">
        <v>0.86835648148148137</v>
      </c>
      <c r="C5585">
        <v>3526</v>
      </c>
      <c r="D5585" t="str">
        <f>VLOOKUP(H5585,Produkt!$A$2:$B$5,2,FALSE)</f>
        <v>D</v>
      </c>
      <c r="H5585">
        <v>4</v>
      </c>
      <c r="I5585">
        <v>0.37724537037037037</v>
      </c>
      <c r="J5585">
        <v>44802</v>
      </c>
    </row>
    <row r="5586" spans="1:10" x14ac:dyDescent="0.35">
      <c r="A5586" s="2">
        <v>44791</v>
      </c>
      <c r="B5586" s="3">
        <v>0.67609953703703696</v>
      </c>
      <c r="C5586">
        <v>3535</v>
      </c>
      <c r="D5586" t="str">
        <f>VLOOKUP(H5586,Produkt!$A$2:$B$5,2,FALSE)</f>
        <v>A</v>
      </c>
      <c r="H5586">
        <v>1</v>
      </c>
      <c r="I5586">
        <v>0.91999999999999993</v>
      </c>
      <c r="J5586">
        <v>44800</v>
      </c>
    </row>
    <row r="5587" spans="1:10" x14ac:dyDescent="0.35">
      <c r="A5587" s="2">
        <v>44791</v>
      </c>
      <c r="B5587" s="3">
        <v>0.50628472222222221</v>
      </c>
      <c r="C5587">
        <v>3569</v>
      </c>
      <c r="D5587" t="str">
        <f>VLOOKUP(H5587,Produkt!$A$2:$B$5,2,FALSE)</f>
        <v>D</v>
      </c>
      <c r="H5587">
        <v>4</v>
      </c>
      <c r="I5587">
        <v>0.32695601851851852</v>
      </c>
      <c r="J5587">
        <v>44793</v>
      </c>
    </row>
    <row r="5588" spans="1:10" x14ac:dyDescent="0.35">
      <c r="A5588" s="2">
        <v>44791</v>
      </c>
      <c r="B5588" s="3">
        <v>0.96648148148148139</v>
      </c>
      <c r="C5588">
        <v>3612</v>
      </c>
      <c r="D5588" t="str">
        <f>VLOOKUP(H5588,Produkt!$A$2:$B$5,2,FALSE)</f>
        <v>D</v>
      </c>
      <c r="H5588">
        <v>4</v>
      </c>
      <c r="I5588">
        <v>0.32150462962962961</v>
      </c>
      <c r="J5588">
        <v>44779</v>
      </c>
    </row>
    <row r="5589" spans="1:10" x14ac:dyDescent="0.35">
      <c r="A5589" s="2">
        <v>44791</v>
      </c>
      <c r="B5589" s="3">
        <v>0.48449074074074078</v>
      </c>
      <c r="C5589">
        <v>3653</v>
      </c>
      <c r="D5589" t="str">
        <f>VLOOKUP(H5589,Produkt!$A$2:$B$5,2,FALSE)</f>
        <v>D</v>
      </c>
      <c r="H5589">
        <v>4</v>
      </c>
      <c r="I5589">
        <v>1.357638888888889E-2</v>
      </c>
      <c r="J5589">
        <v>44783</v>
      </c>
    </row>
    <row r="5590" spans="1:10" x14ac:dyDescent="0.35">
      <c r="A5590" s="2">
        <v>44791</v>
      </c>
      <c r="B5590" s="3">
        <v>0.4598842592592593</v>
      </c>
      <c r="C5590">
        <v>3662</v>
      </c>
      <c r="D5590" t="str">
        <f>VLOOKUP(H5590,Produkt!$A$2:$B$5,2,FALSE)</f>
        <v>C</v>
      </c>
      <c r="H5590">
        <v>3</v>
      </c>
      <c r="I5590">
        <v>0.18936342592592592</v>
      </c>
      <c r="J5590">
        <v>44785</v>
      </c>
    </row>
    <row r="5591" spans="1:10" x14ac:dyDescent="0.35">
      <c r="A5591" s="2">
        <v>44791</v>
      </c>
      <c r="B5591" s="3">
        <v>0.29236111111111113</v>
      </c>
      <c r="C5591">
        <v>3688</v>
      </c>
      <c r="D5591" t="str">
        <f>VLOOKUP(H5591,Produkt!$A$2:$B$5,2,FALSE)</f>
        <v>D</v>
      </c>
      <c r="H5591">
        <v>4</v>
      </c>
      <c r="I5591">
        <v>0.32959490740740743</v>
      </c>
      <c r="J5591">
        <v>44783</v>
      </c>
    </row>
    <row r="5592" spans="1:10" x14ac:dyDescent="0.35">
      <c r="A5592" s="2">
        <v>44791</v>
      </c>
      <c r="B5592" s="3">
        <v>0.31072916666666667</v>
      </c>
      <c r="C5592">
        <v>3725</v>
      </c>
      <c r="D5592" t="str">
        <f>VLOOKUP(H5592,Produkt!$A$2:$B$5,2,FALSE)</f>
        <v>B</v>
      </c>
      <c r="H5592">
        <v>2</v>
      </c>
      <c r="I5592">
        <v>4.1122685185185137E-2</v>
      </c>
      <c r="J5592">
        <v>44790</v>
      </c>
    </row>
    <row r="5593" spans="1:10" x14ac:dyDescent="0.35">
      <c r="A5593" s="2">
        <v>44791</v>
      </c>
      <c r="B5593" s="3">
        <v>0.41554398148148147</v>
      </c>
      <c r="C5593">
        <v>3736</v>
      </c>
      <c r="D5593" t="str">
        <f>VLOOKUP(H5593,Produkt!$A$2:$B$5,2,FALSE)</f>
        <v>C</v>
      </c>
      <c r="H5593">
        <v>3</v>
      </c>
      <c r="I5593">
        <v>0.16561342592592593</v>
      </c>
      <c r="J5593">
        <v>44789</v>
      </c>
    </row>
    <row r="5594" spans="1:10" x14ac:dyDescent="0.35">
      <c r="A5594" s="2">
        <v>44791</v>
      </c>
      <c r="B5594" s="3">
        <v>0.60995370370370372</v>
      </c>
      <c r="C5594">
        <v>3739</v>
      </c>
      <c r="D5594" t="str">
        <f>VLOOKUP(H5594,Produkt!$A$2:$B$5,2,FALSE)</f>
        <v>A</v>
      </c>
      <c r="H5594">
        <v>1</v>
      </c>
      <c r="I5594">
        <v>0.17458333333333334</v>
      </c>
      <c r="J5594">
        <v>44778</v>
      </c>
    </row>
    <row r="5595" spans="1:10" x14ac:dyDescent="0.35">
      <c r="A5595" s="2">
        <v>44791</v>
      </c>
      <c r="B5595" s="3">
        <v>0.48130787037037037</v>
      </c>
      <c r="C5595">
        <v>3758</v>
      </c>
      <c r="D5595" t="str">
        <f>VLOOKUP(H5595,Produkt!$A$2:$B$5,2,FALSE)</f>
        <v>C</v>
      </c>
      <c r="H5595">
        <v>3</v>
      </c>
      <c r="I5595">
        <v>1.7511574074074072E-2</v>
      </c>
      <c r="J5595">
        <v>44775</v>
      </c>
    </row>
    <row r="5596" spans="1:10" x14ac:dyDescent="0.35">
      <c r="A5596" s="2">
        <v>44791</v>
      </c>
      <c r="B5596" s="3">
        <v>0.7557060185185186</v>
      </c>
      <c r="C5596">
        <v>3773</v>
      </c>
      <c r="D5596" t="str">
        <f>VLOOKUP(H5596,Produkt!$A$2:$B$5,2,FALSE)</f>
        <v>C</v>
      </c>
      <c r="H5596">
        <v>3</v>
      </c>
      <c r="I5596">
        <v>0.32603009259259258</v>
      </c>
      <c r="J5596">
        <v>44804</v>
      </c>
    </row>
    <row r="5597" spans="1:10" x14ac:dyDescent="0.35">
      <c r="A5597" s="2">
        <v>44791</v>
      </c>
      <c r="B5597" s="3">
        <v>0.14206018518518518</v>
      </c>
      <c r="C5597">
        <v>3820</v>
      </c>
      <c r="D5597" t="str">
        <f>VLOOKUP(H5597,Produkt!$A$2:$B$5,2,FALSE)</f>
        <v>D</v>
      </c>
      <c r="H5597">
        <v>4</v>
      </c>
      <c r="I5597">
        <v>4.4085648148148145E-2</v>
      </c>
      <c r="J5597">
        <v>44787</v>
      </c>
    </row>
    <row r="5598" spans="1:10" x14ac:dyDescent="0.35">
      <c r="A5598" s="2">
        <v>44791</v>
      </c>
      <c r="B5598" s="3">
        <v>0.18726851851851853</v>
      </c>
      <c r="C5598">
        <v>3821</v>
      </c>
      <c r="D5598" t="str">
        <f>VLOOKUP(H5598,Produkt!$A$2:$B$5,2,FALSE)</f>
        <v>B</v>
      </c>
      <c r="H5598">
        <v>2</v>
      </c>
      <c r="I5598">
        <v>0.57840277777777771</v>
      </c>
      <c r="J5598">
        <v>44803</v>
      </c>
    </row>
    <row r="5599" spans="1:10" x14ac:dyDescent="0.35">
      <c r="A5599" s="2">
        <v>44791</v>
      </c>
      <c r="B5599" s="3">
        <v>0.23576388888888888</v>
      </c>
      <c r="C5599">
        <v>3852</v>
      </c>
      <c r="D5599" t="str">
        <f>VLOOKUP(H5599,Produkt!$A$2:$B$5,2,FALSE)</f>
        <v>C</v>
      </c>
      <c r="H5599">
        <v>3</v>
      </c>
      <c r="I5599">
        <v>0.28818287037037038</v>
      </c>
      <c r="J5599">
        <v>44786</v>
      </c>
    </row>
    <row r="5600" spans="1:10" x14ac:dyDescent="0.35">
      <c r="A5600" s="2">
        <v>44791</v>
      </c>
      <c r="B5600" s="3">
        <v>0.7900462962962963</v>
      </c>
      <c r="C5600">
        <v>3877</v>
      </c>
      <c r="D5600" t="str">
        <f>VLOOKUP(H5600,Produkt!$A$2:$B$5,2,FALSE)</f>
        <v>D</v>
      </c>
      <c r="H5600">
        <v>4</v>
      </c>
      <c r="I5600">
        <v>0.31309027777777776</v>
      </c>
      <c r="J5600">
        <v>44801</v>
      </c>
    </row>
    <row r="5601" spans="1:10" x14ac:dyDescent="0.35">
      <c r="A5601" s="2">
        <v>44791</v>
      </c>
      <c r="B5601" s="3">
        <v>0.65153935185185186</v>
      </c>
      <c r="C5601">
        <v>3885</v>
      </c>
      <c r="D5601" t="str">
        <f>VLOOKUP(H5601,Produkt!$A$2:$B$5,2,FALSE)</f>
        <v>D</v>
      </c>
      <c r="H5601">
        <v>4</v>
      </c>
      <c r="I5601">
        <v>0.36348379629629629</v>
      </c>
      <c r="J5601">
        <v>44777</v>
      </c>
    </row>
    <row r="5602" spans="1:10" x14ac:dyDescent="0.35">
      <c r="A5602" s="2">
        <v>44791</v>
      </c>
      <c r="B5602" s="3">
        <v>0.54946759259259259</v>
      </c>
      <c r="C5602">
        <v>3940</v>
      </c>
      <c r="D5602" t="str">
        <f>VLOOKUP(H5602,Produkt!$A$2:$B$5,2,FALSE)</f>
        <v>A</v>
      </c>
      <c r="H5602">
        <v>1</v>
      </c>
      <c r="I5602">
        <v>0.27042824074074073</v>
      </c>
      <c r="J5602">
        <v>44798</v>
      </c>
    </row>
    <row r="5603" spans="1:10" x14ac:dyDescent="0.35">
      <c r="A5603" s="2">
        <v>44791</v>
      </c>
      <c r="B5603" s="3">
        <v>3.4756944444444438E-2</v>
      </c>
      <c r="C5603">
        <v>3950</v>
      </c>
      <c r="D5603" t="str">
        <f>VLOOKUP(H5603,Produkt!$A$2:$B$5,2,FALSE)</f>
        <v>B</v>
      </c>
      <c r="H5603">
        <v>2</v>
      </c>
      <c r="I5603">
        <v>0.91855324074074074</v>
      </c>
      <c r="J5603">
        <v>44804</v>
      </c>
    </row>
    <row r="5604" spans="1:10" x14ac:dyDescent="0.35">
      <c r="A5604" s="2">
        <v>44791</v>
      </c>
      <c r="B5604" s="3">
        <v>0.79799768518518521</v>
      </c>
      <c r="C5604">
        <v>3951</v>
      </c>
      <c r="D5604" t="str">
        <f>VLOOKUP(H5604,Produkt!$A$2:$B$5,2,FALSE)</f>
        <v>C</v>
      </c>
      <c r="H5604">
        <v>3</v>
      </c>
      <c r="I5604">
        <v>0.73842592592592593</v>
      </c>
      <c r="J5604">
        <v>44779</v>
      </c>
    </row>
    <row r="5605" spans="1:10" x14ac:dyDescent="0.35">
      <c r="A5605" s="2">
        <v>44791</v>
      </c>
      <c r="B5605" s="3">
        <v>0.41706018518518517</v>
      </c>
      <c r="C5605">
        <v>3982</v>
      </c>
      <c r="D5605" t="str">
        <f>VLOOKUP(H5605,Produkt!$A$2:$B$5,2,FALSE)</f>
        <v>C</v>
      </c>
      <c r="H5605">
        <v>3</v>
      </c>
      <c r="I5605">
        <v>5.561342592592592E-2</v>
      </c>
      <c r="J5605">
        <v>44789</v>
      </c>
    </row>
    <row r="5606" spans="1:10" x14ac:dyDescent="0.35">
      <c r="A5606" s="2">
        <v>44791</v>
      </c>
      <c r="B5606" s="3">
        <v>0.66697916666666668</v>
      </c>
      <c r="C5606">
        <v>4054</v>
      </c>
      <c r="D5606" t="str">
        <f>VLOOKUP(H5606,Produkt!$A$2:$B$5,2,FALSE)</f>
        <v>C</v>
      </c>
      <c r="H5606">
        <v>3</v>
      </c>
      <c r="I5606">
        <v>8.5706018518518515E-2</v>
      </c>
      <c r="J5606">
        <v>44801</v>
      </c>
    </row>
    <row r="5607" spans="1:10" x14ac:dyDescent="0.35">
      <c r="A5607" s="2">
        <v>44791</v>
      </c>
      <c r="B5607" s="3">
        <v>2.7928240740740743E-2</v>
      </c>
      <c r="C5607">
        <v>4116</v>
      </c>
      <c r="D5607" t="str">
        <f>VLOOKUP(H5607,Produkt!$A$2:$B$5,2,FALSE)</f>
        <v>B</v>
      </c>
      <c r="H5607">
        <v>2</v>
      </c>
      <c r="I5607">
        <v>2.3981481481481604E-2</v>
      </c>
      <c r="J5607">
        <v>44776</v>
      </c>
    </row>
    <row r="5608" spans="1:10" x14ac:dyDescent="0.35">
      <c r="A5608" s="2">
        <v>44791</v>
      </c>
      <c r="B5608" s="3">
        <v>0.16293981481481482</v>
      </c>
      <c r="C5608">
        <v>4164</v>
      </c>
      <c r="D5608" t="str">
        <f>VLOOKUP(H5608,Produkt!$A$2:$B$5,2,FALSE)</f>
        <v>D</v>
      </c>
      <c r="H5608">
        <v>4</v>
      </c>
      <c r="I5608">
        <v>0.14719907407407407</v>
      </c>
      <c r="J5608">
        <v>44784</v>
      </c>
    </row>
    <row r="5609" spans="1:10" x14ac:dyDescent="0.35">
      <c r="A5609" s="2">
        <v>44791</v>
      </c>
      <c r="B5609" s="3">
        <v>0.93745370370370373</v>
      </c>
      <c r="C5609">
        <v>4171</v>
      </c>
      <c r="D5609" t="str">
        <f>VLOOKUP(H5609,Produkt!$A$2:$B$5,2,FALSE)</f>
        <v>C</v>
      </c>
      <c r="H5609">
        <v>3</v>
      </c>
      <c r="I5609">
        <v>0.65528935185185189</v>
      </c>
      <c r="J5609">
        <v>44782</v>
      </c>
    </row>
    <row r="5610" spans="1:10" x14ac:dyDescent="0.35">
      <c r="A5610" s="2">
        <v>44791</v>
      </c>
      <c r="B5610" s="3">
        <v>0.66835648148148152</v>
      </c>
      <c r="C5610">
        <v>4185</v>
      </c>
      <c r="D5610" t="str">
        <f>VLOOKUP(H5610,Produkt!$A$2:$B$5,2,FALSE)</f>
        <v>C</v>
      </c>
      <c r="H5610">
        <v>3</v>
      </c>
      <c r="I5610">
        <v>0.69968750000000002</v>
      </c>
      <c r="J5610">
        <v>44803</v>
      </c>
    </row>
    <row r="5611" spans="1:10" x14ac:dyDescent="0.35">
      <c r="A5611" s="2">
        <v>44791</v>
      </c>
      <c r="B5611" s="3">
        <v>0.52266203703703706</v>
      </c>
      <c r="C5611">
        <v>4291</v>
      </c>
      <c r="D5611" t="str">
        <f>VLOOKUP(H5611,Produkt!$A$2:$B$5,2,FALSE)</f>
        <v>C</v>
      </c>
      <c r="H5611">
        <v>3</v>
      </c>
      <c r="I5611">
        <v>0.15011574074074074</v>
      </c>
      <c r="J5611">
        <v>44779</v>
      </c>
    </row>
    <row r="5612" spans="1:10" x14ac:dyDescent="0.35">
      <c r="A5612" s="2">
        <v>44791</v>
      </c>
      <c r="B5612" s="3">
        <v>0.16452546296296297</v>
      </c>
      <c r="C5612">
        <v>4304</v>
      </c>
      <c r="D5612" t="str">
        <f>VLOOKUP(H5612,Produkt!$A$2:$B$5,2,FALSE)</f>
        <v>A</v>
      </c>
      <c r="H5612">
        <v>1</v>
      </c>
      <c r="I5612">
        <v>0.30782407407407408</v>
      </c>
      <c r="J5612">
        <v>44795</v>
      </c>
    </row>
    <row r="5613" spans="1:10" x14ac:dyDescent="0.35">
      <c r="A5613" s="2">
        <v>44791</v>
      </c>
      <c r="B5613" s="3">
        <v>0.91148148148148145</v>
      </c>
      <c r="C5613">
        <v>4313</v>
      </c>
      <c r="D5613" t="str">
        <f>VLOOKUP(H5613,Produkt!$A$2:$B$5,2,FALSE)</f>
        <v>B</v>
      </c>
      <c r="H5613">
        <v>2</v>
      </c>
      <c r="I5613">
        <v>0.74681712962962965</v>
      </c>
      <c r="J5613">
        <v>44775</v>
      </c>
    </row>
    <row r="5614" spans="1:10" x14ac:dyDescent="0.35">
      <c r="A5614" s="2">
        <v>44791</v>
      </c>
      <c r="B5614" s="3">
        <v>0.22609953703703703</v>
      </c>
      <c r="C5614">
        <v>4399</v>
      </c>
      <c r="D5614" t="str">
        <f>VLOOKUP(H5614,Produkt!$A$2:$B$5,2,FALSE)</f>
        <v>B</v>
      </c>
      <c r="H5614">
        <v>2</v>
      </c>
      <c r="I5614">
        <v>0.68322916666666667</v>
      </c>
      <c r="J5614">
        <v>44787</v>
      </c>
    </row>
    <row r="5615" spans="1:10" x14ac:dyDescent="0.35">
      <c r="A5615" s="2">
        <v>44791</v>
      </c>
      <c r="B5615" s="3">
        <v>0.97052083333333339</v>
      </c>
      <c r="C5615">
        <v>4488</v>
      </c>
      <c r="D5615" t="str">
        <f>VLOOKUP(H5615,Produkt!$A$2:$B$5,2,FALSE)</f>
        <v>B</v>
      </c>
      <c r="H5615">
        <v>2</v>
      </c>
      <c r="I5615">
        <v>0.1894675925925926</v>
      </c>
      <c r="J5615">
        <v>44777</v>
      </c>
    </row>
    <row r="5616" spans="1:10" x14ac:dyDescent="0.35">
      <c r="A5616" s="2">
        <v>44791</v>
      </c>
      <c r="B5616" s="3">
        <v>0.76826388888888886</v>
      </c>
      <c r="C5616">
        <v>4497</v>
      </c>
      <c r="D5616" t="str">
        <f>VLOOKUP(H5616,Produkt!$A$2:$B$5,2,FALSE)</f>
        <v>D</v>
      </c>
      <c r="H5616">
        <v>4</v>
      </c>
      <c r="I5616">
        <v>0.55034722222222221</v>
      </c>
      <c r="J5616">
        <v>44788</v>
      </c>
    </row>
    <row r="5617" spans="1:10" x14ac:dyDescent="0.35">
      <c r="A5617" s="2">
        <v>44791</v>
      </c>
      <c r="B5617" s="3">
        <v>0.14321759259259259</v>
      </c>
      <c r="C5617">
        <v>4502</v>
      </c>
      <c r="D5617" t="str">
        <f>VLOOKUP(H5617,Produkt!$A$2:$B$5,2,FALSE)</f>
        <v>B</v>
      </c>
      <c r="H5617">
        <v>2</v>
      </c>
      <c r="I5617">
        <v>0.50570601851851849</v>
      </c>
      <c r="J5617">
        <v>44783</v>
      </c>
    </row>
    <row r="5618" spans="1:10" x14ac:dyDescent="0.35">
      <c r="A5618" s="2">
        <v>44791</v>
      </c>
      <c r="B5618" s="3">
        <v>0.48841435185185184</v>
      </c>
      <c r="C5618">
        <v>4516</v>
      </c>
      <c r="D5618" t="str">
        <f>VLOOKUP(H5618,Produkt!$A$2:$B$5,2,FALSE)</f>
        <v>C</v>
      </c>
      <c r="H5618">
        <v>3</v>
      </c>
      <c r="I5618">
        <v>0.12935185185185186</v>
      </c>
      <c r="J5618">
        <v>44781</v>
      </c>
    </row>
    <row r="5619" spans="1:10" x14ac:dyDescent="0.35">
      <c r="A5619" s="2">
        <v>44791</v>
      </c>
      <c r="B5619" s="3">
        <v>0.12381944444444444</v>
      </c>
      <c r="C5619">
        <v>4619</v>
      </c>
      <c r="D5619" t="str">
        <f>VLOOKUP(H5619,Produkt!$A$2:$B$5,2,FALSE)</f>
        <v>B</v>
      </c>
      <c r="H5619">
        <v>2</v>
      </c>
      <c r="I5619">
        <v>0.41277777777777774</v>
      </c>
      <c r="J5619">
        <v>44801</v>
      </c>
    </row>
    <row r="5620" spans="1:10" x14ac:dyDescent="0.35">
      <c r="A5620" s="2">
        <v>44791</v>
      </c>
      <c r="B5620" s="3">
        <v>0.27806712962962959</v>
      </c>
      <c r="C5620">
        <v>4621</v>
      </c>
      <c r="D5620" t="str">
        <f>VLOOKUP(H5620,Produkt!$A$2:$B$5,2,FALSE)</f>
        <v>C</v>
      </c>
      <c r="H5620">
        <v>3</v>
      </c>
      <c r="I5620">
        <v>0.66342592592592597</v>
      </c>
      <c r="J5620">
        <v>44780</v>
      </c>
    </row>
    <row r="5621" spans="1:10" x14ac:dyDescent="0.35">
      <c r="A5621" s="2">
        <v>44791</v>
      </c>
      <c r="B5621" s="3">
        <v>0.56182870370370364</v>
      </c>
      <c r="C5621">
        <v>4777</v>
      </c>
      <c r="D5621" t="str">
        <f>VLOOKUP(H5621,Produkt!$A$2:$B$5,2,FALSE)</f>
        <v>A</v>
      </c>
      <c r="H5621">
        <v>1</v>
      </c>
      <c r="I5621">
        <v>4.3796296296296298E-2</v>
      </c>
      <c r="J5621">
        <v>44790</v>
      </c>
    </row>
    <row r="5622" spans="1:10" x14ac:dyDescent="0.35">
      <c r="A5622" s="2">
        <v>44791</v>
      </c>
      <c r="B5622" s="3">
        <v>0.17565972222222223</v>
      </c>
      <c r="C5622">
        <v>4835</v>
      </c>
      <c r="D5622" t="str">
        <f>VLOOKUP(H5622,Produkt!$A$2:$B$5,2,FALSE)</f>
        <v>D</v>
      </c>
      <c r="H5622">
        <v>4</v>
      </c>
      <c r="I5622">
        <v>4.7256944444444449E-2</v>
      </c>
      <c r="J5622">
        <v>44803</v>
      </c>
    </row>
    <row r="5623" spans="1:10" x14ac:dyDescent="0.35">
      <c r="A5623" s="2">
        <v>44791</v>
      </c>
      <c r="B5623" s="3">
        <v>0.20758101851851851</v>
      </c>
      <c r="C5623">
        <v>4882</v>
      </c>
      <c r="D5623" t="str">
        <f>VLOOKUP(H5623,Produkt!$A$2:$B$5,2,FALSE)</f>
        <v>A</v>
      </c>
      <c r="H5623">
        <v>1</v>
      </c>
      <c r="I5623">
        <v>0.87987268518518524</v>
      </c>
      <c r="J5623">
        <v>44798</v>
      </c>
    </row>
    <row r="5624" spans="1:10" x14ac:dyDescent="0.35">
      <c r="A5624" s="2">
        <v>44791</v>
      </c>
      <c r="B5624" s="3">
        <v>0.14200231481481482</v>
      </c>
      <c r="C5624">
        <v>4906</v>
      </c>
      <c r="D5624" t="str">
        <f>VLOOKUP(H5624,Produkt!$A$2:$B$5,2,FALSE)</f>
        <v>D</v>
      </c>
      <c r="H5624">
        <v>4</v>
      </c>
      <c r="I5624">
        <v>0.46584490740740742</v>
      </c>
      <c r="J5624">
        <v>44788</v>
      </c>
    </row>
    <row r="5625" spans="1:10" x14ac:dyDescent="0.35">
      <c r="A5625" s="2">
        <v>44791</v>
      </c>
      <c r="B5625" s="3">
        <v>0.38989583333333333</v>
      </c>
      <c r="C5625">
        <v>4917</v>
      </c>
      <c r="D5625" t="str">
        <f>VLOOKUP(H5625,Produkt!$A$2:$B$5,2,FALSE)</f>
        <v>B</v>
      </c>
      <c r="H5625">
        <v>2</v>
      </c>
      <c r="I5625">
        <v>0.59972222222222216</v>
      </c>
      <c r="J5625">
        <v>44787</v>
      </c>
    </row>
    <row r="5626" spans="1:10" x14ac:dyDescent="0.35">
      <c r="A5626" s="2">
        <v>44791</v>
      </c>
      <c r="B5626" s="3">
        <v>0.11499999999999999</v>
      </c>
      <c r="C5626">
        <v>4927</v>
      </c>
      <c r="D5626" t="str">
        <f>VLOOKUP(H5626,Produkt!$A$2:$B$5,2,FALSE)</f>
        <v>B</v>
      </c>
      <c r="H5626">
        <v>2</v>
      </c>
      <c r="I5626">
        <v>0.17232638888888888</v>
      </c>
      <c r="J5626">
        <v>44783</v>
      </c>
    </row>
    <row r="5627" spans="1:10" x14ac:dyDescent="0.35">
      <c r="A5627" s="2">
        <v>44791</v>
      </c>
      <c r="B5627" s="3">
        <v>0.60354166666666664</v>
      </c>
      <c r="C5627">
        <v>4935</v>
      </c>
      <c r="D5627" t="str">
        <f>VLOOKUP(H5627,Produkt!$A$2:$B$5,2,FALSE)</f>
        <v>B</v>
      </c>
      <c r="H5627">
        <v>2</v>
      </c>
      <c r="I5627">
        <v>0.9888541666666667</v>
      </c>
      <c r="J5627">
        <v>44779</v>
      </c>
    </row>
    <row r="5628" spans="1:10" x14ac:dyDescent="0.35">
      <c r="A5628" s="2">
        <v>44791</v>
      </c>
      <c r="B5628" s="3">
        <v>0.21745370370370368</v>
      </c>
      <c r="C5628">
        <v>4950</v>
      </c>
      <c r="D5628" t="str">
        <f>VLOOKUP(H5628,Produkt!$A$2:$B$5,2,FALSE)</f>
        <v>A</v>
      </c>
      <c r="H5628">
        <v>1</v>
      </c>
      <c r="I5628">
        <v>0.21707175925925926</v>
      </c>
      <c r="J5628">
        <v>44801</v>
      </c>
    </row>
    <row r="5629" spans="1:10" x14ac:dyDescent="0.35">
      <c r="A5629" s="2">
        <v>44791</v>
      </c>
      <c r="B5629" s="3">
        <v>0.73052083333333329</v>
      </c>
      <c r="C5629">
        <v>4980</v>
      </c>
      <c r="D5629" t="str">
        <f>VLOOKUP(H5629,Produkt!$A$2:$B$5,2,FALSE)</f>
        <v>C</v>
      </c>
      <c r="H5629">
        <v>3</v>
      </c>
      <c r="I5629">
        <v>0.11116898148148148</v>
      </c>
      <c r="J5629">
        <v>44800</v>
      </c>
    </row>
    <row r="5630" spans="1:10" x14ac:dyDescent="0.35">
      <c r="A5630" s="2">
        <v>44791</v>
      </c>
      <c r="B5630" s="3">
        <v>8.6805555555555566E-2</v>
      </c>
      <c r="C5630">
        <v>5031</v>
      </c>
      <c r="D5630" t="str">
        <f>VLOOKUP(H5630,Produkt!$A$2:$B$5,2,FALSE)</f>
        <v>C</v>
      </c>
      <c r="H5630">
        <v>3</v>
      </c>
      <c r="I5630">
        <v>0.15481481481481482</v>
      </c>
      <c r="J5630">
        <v>44800</v>
      </c>
    </row>
    <row r="5631" spans="1:10" x14ac:dyDescent="0.35">
      <c r="A5631" s="2">
        <v>44791</v>
      </c>
      <c r="B5631" s="3">
        <v>0.8834953703703704</v>
      </c>
      <c r="C5631">
        <v>5032</v>
      </c>
      <c r="D5631" t="str">
        <f>VLOOKUP(H5631,Produkt!$A$2:$B$5,2,FALSE)</f>
        <v>C</v>
      </c>
      <c r="H5631">
        <v>3</v>
      </c>
      <c r="I5631">
        <v>0.73738425925925932</v>
      </c>
      <c r="J5631">
        <v>44783</v>
      </c>
    </row>
    <row r="5632" spans="1:10" x14ac:dyDescent="0.35">
      <c r="A5632" s="2">
        <v>44791</v>
      </c>
      <c r="B5632" s="3">
        <v>0.14997685185185186</v>
      </c>
      <c r="C5632">
        <v>5077</v>
      </c>
      <c r="D5632" t="str">
        <f>VLOOKUP(H5632,Produkt!$A$2:$B$5,2,FALSE)</f>
        <v>A</v>
      </c>
      <c r="H5632">
        <v>1</v>
      </c>
      <c r="I5632">
        <v>0.64244212962962965</v>
      </c>
      <c r="J5632">
        <v>44778</v>
      </c>
    </row>
    <row r="5633" spans="1:10" x14ac:dyDescent="0.35">
      <c r="A5633" s="2">
        <v>44791</v>
      </c>
      <c r="B5633" s="3">
        <v>0.10791666666666666</v>
      </c>
      <c r="C5633">
        <v>5128</v>
      </c>
      <c r="D5633" t="str">
        <f>VLOOKUP(H5633,Produkt!$A$2:$B$5,2,FALSE)</f>
        <v>A</v>
      </c>
      <c r="H5633">
        <v>1</v>
      </c>
      <c r="I5633">
        <v>0.49592592592592594</v>
      </c>
      <c r="J5633">
        <v>44779</v>
      </c>
    </row>
    <row r="5634" spans="1:10" x14ac:dyDescent="0.35">
      <c r="A5634" s="2">
        <v>44791</v>
      </c>
      <c r="B5634" s="3">
        <v>2.9282407407407406E-2</v>
      </c>
      <c r="C5634">
        <v>5151</v>
      </c>
      <c r="D5634" t="str">
        <f>VLOOKUP(H5634,Produkt!$A$2:$B$5,2,FALSE)</f>
        <v>C</v>
      </c>
      <c r="H5634">
        <v>3</v>
      </c>
      <c r="I5634">
        <v>0.96390046296296295</v>
      </c>
      <c r="J5634">
        <v>44803</v>
      </c>
    </row>
    <row r="5635" spans="1:10" x14ac:dyDescent="0.35">
      <c r="A5635" s="2">
        <v>44791</v>
      </c>
      <c r="B5635" s="3">
        <v>0.39796296296296302</v>
      </c>
      <c r="C5635">
        <v>5153</v>
      </c>
      <c r="D5635" t="str">
        <f>VLOOKUP(H5635,Produkt!$A$2:$B$5,2,FALSE)</f>
        <v>D</v>
      </c>
      <c r="H5635">
        <v>4</v>
      </c>
      <c r="I5635">
        <v>0.96185185185185185</v>
      </c>
      <c r="J5635">
        <v>44778</v>
      </c>
    </row>
    <row r="5636" spans="1:10" x14ac:dyDescent="0.35">
      <c r="A5636" s="2">
        <v>44791</v>
      </c>
      <c r="B5636" s="3">
        <v>0.71050925925925934</v>
      </c>
      <c r="C5636">
        <v>5218</v>
      </c>
      <c r="D5636" t="str">
        <f>VLOOKUP(H5636,Produkt!$A$2:$B$5,2,FALSE)</f>
        <v>D</v>
      </c>
      <c r="H5636">
        <v>4</v>
      </c>
      <c r="I5636">
        <v>0.42598379629629629</v>
      </c>
      <c r="J5636">
        <v>44786</v>
      </c>
    </row>
    <row r="5637" spans="1:10" x14ac:dyDescent="0.35">
      <c r="A5637" s="2">
        <v>44791</v>
      </c>
      <c r="B5637" s="3">
        <v>0.25298611111111108</v>
      </c>
      <c r="C5637">
        <v>5236</v>
      </c>
      <c r="D5637" t="str">
        <f>VLOOKUP(H5637,Produkt!$A$2:$B$5,2,FALSE)</f>
        <v>A</v>
      </c>
      <c r="H5637">
        <v>1</v>
      </c>
      <c r="I5637">
        <v>0.45140046296296293</v>
      </c>
      <c r="J5637">
        <v>44783</v>
      </c>
    </row>
    <row r="5638" spans="1:10" x14ac:dyDescent="0.35">
      <c r="A5638" s="2">
        <v>44791</v>
      </c>
      <c r="B5638" s="3">
        <v>0.71995370370370371</v>
      </c>
      <c r="C5638">
        <v>5260</v>
      </c>
      <c r="D5638" t="str">
        <f>VLOOKUP(H5638,Produkt!$A$2:$B$5,2,FALSE)</f>
        <v>C</v>
      </c>
      <c r="H5638">
        <v>3</v>
      </c>
      <c r="I5638">
        <v>0.59700231481481481</v>
      </c>
      <c r="J5638">
        <v>44788</v>
      </c>
    </row>
    <row r="5639" spans="1:10" x14ac:dyDescent="0.35">
      <c r="A5639" s="2">
        <v>44791</v>
      </c>
      <c r="B5639" s="3">
        <v>0.22751157407407407</v>
      </c>
      <c r="C5639">
        <v>5290</v>
      </c>
      <c r="D5639" t="str">
        <f>VLOOKUP(H5639,Produkt!$A$2:$B$5,2,FALSE)</f>
        <v>A</v>
      </c>
      <c r="H5639">
        <v>1</v>
      </c>
      <c r="I5639">
        <v>0.37003472222222222</v>
      </c>
      <c r="J5639">
        <v>44801</v>
      </c>
    </row>
    <row r="5640" spans="1:10" x14ac:dyDescent="0.35">
      <c r="A5640" s="2">
        <v>44791</v>
      </c>
      <c r="B5640" s="3">
        <v>7.1400462962962971E-2</v>
      </c>
      <c r="C5640">
        <v>5322</v>
      </c>
      <c r="D5640" t="str">
        <f>VLOOKUP(H5640,Produkt!$A$2:$B$5,2,FALSE)</f>
        <v>A</v>
      </c>
      <c r="H5640">
        <v>1</v>
      </c>
      <c r="I5640">
        <v>0.30290509259259263</v>
      </c>
      <c r="J5640">
        <v>44799</v>
      </c>
    </row>
    <row r="5641" spans="1:10" x14ac:dyDescent="0.35">
      <c r="A5641" s="2">
        <v>44791</v>
      </c>
      <c r="B5641" s="3">
        <v>7.604166666666666E-2</v>
      </c>
      <c r="C5641">
        <v>5429</v>
      </c>
      <c r="D5641" t="str">
        <f>VLOOKUP(H5641,Produkt!$A$2:$B$5,2,FALSE)</f>
        <v>A</v>
      </c>
      <c r="H5641">
        <v>1</v>
      </c>
      <c r="I5641">
        <v>0.6871990740740741</v>
      </c>
      <c r="J5641">
        <v>44793</v>
      </c>
    </row>
    <row r="5642" spans="1:10" x14ac:dyDescent="0.35">
      <c r="A5642" s="2">
        <v>44791</v>
      </c>
      <c r="B5642" s="3">
        <v>0.62865740740740739</v>
      </c>
      <c r="C5642">
        <v>5477</v>
      </c>
      <c r="D5642" t="str">
        <f>VLOOKUP(H5642,Produkt!$A$2:$B$5,2,FALSE)</f>
        <v>B</v>
      </c>
      <c r="H5642">
        <v>2</v>
      </c>
      <c r="I5642">
        <v>0.85436342592592596</v>
      </c>
      <c r="J5642">
        <v>44781</v>
      </c>
    </row>
    <row r="5643" spans="1:10" x14ac:dyDescent="0.35">
      <c r="A5643" s="2">
        <v>44791</v>
      </c>
      <c r="B5643" s="3">
        <v>0.72951388888888891</v>
      </c>
      <c r="C5643">
        <v>5481</v>
      </c>
      <c r="D5643" t="str">
        <f>VLOOKUP(H5643,Produkt!$A$2:$B$5,2,FALSE)</f>
        <v>A</v>
      </c>
      <c r="H5643">
        <v>1</v>
      </c>
      <c r="I5643">
        <v>0.28717592592592595</v>
      </c>
      <c r="J5643">
        <v>44776</v>
      </c>
    </row>
    <row r="5644" spans="1:10" x14ac:dyDescent="0.35">
      <c r="A5644" s="2">
        <v>44791</v>
      </c>
      <c r="B5644" s="3">
        <v>0.17074074074074075</v>
      </c>
      <c r="C5644">
        <v>5523</v>
      </c>
      <c r="D5644" t="str">
        <f>VLOOKUP(H5644,Produkt!$A$2:$B$5,2,FALSE)</f>
        <v>D</v>
      </c>
      <c r="H5644">
        <v>4</v>
      </c>
      <c r="I5644">
        <v>0.78619212962962959</v>
      </c>
      <c r="J5644">
        <v>44802</v>
      </c>
    </row>
    <row r="5645" spans="1:10" x14ac:dyDescent="0.35">
      <c r="A5645" s="2">
        <v>44791</v>
      </c>
      <c r="B5645" s="3">
        <v>0.48249999999999998</v>
      </c>
      <c r="C5645">
        <v>5551</v>
      </c>
      <c r="D5645" t="str">
        <f>VLOOKUP(H5645,Produkt!$A$2:$B$5,2,FALSE)</f>
        <v>D</v>
      </c>
      <c r="H5645">
        <v>4</v>
      </c>
      <c r="I5645">
        <v>4.8935185185185186E-2</v>
      </c>
      <c r="J5645">
        <v>44802</v>
      </c>
    </row>
    <row r="5646" spans="1:10" x14ac:dyDescent="0.35">
      <c r="A5646" s="2">
        <v>44791</v>
      </c>
      <c r="B5646" s="3">
        <v>0.37724537037037037</v>
      </c>
      <c r="C5646">
        <v>5584</v>
      </c>
      <c r="D5646" t="str">
        <f>VLOOKUP(H5646,Produkt!$A$2:$B$5,2,FALSE)</f>
        <v>A</v>
      </c>
      <c r="H5646">
        <v>1</v>
      </c>
      <c r="I5646">
        <v>0.28555555555555556</v>
      </c>
      <c r="J5646">
        <v>44783</v>
      </c>
    </row>
    <row r="5647" spans="1:10" x14ac:dyDescent="0.35">
      <c r="A5647" s="2">
        <v>44791</v>
      </c>
      <c r="B5647" s="3">
        <v>4.4085648148148145E-2</v>
      </c>
      <c r="C5647">
        <v>5596</v>
      </c>
      <c r="D5647" t="str">
        <f>VLOOKUP(H5647,Produkt!$A$2:$B$5,2,FALSE)</f>
        <v>C</v>
      </c>
      <c r="H5647">
        <v>3</v>
      </c>
      <c r="I5647">
        <v>0.57359953703703703</v>
      </c>
      <c r="J5647">
        <v>44784</v>
      </c>
    </row>
    <row r="5648" spans="1:10" x14ac:dyDescent="0.35">
      <c r="A5648" s="2">
        <v>44791</v>
      </c>
      <c r="B5648" s="3">
        <v>0.75090277777777781</v>
      </c>
      <c r="C5648">
        <v>5651</v>
      </c>
      <c r="D5648" t="str">
        <f>VLOOKUP(H5648,Produkt!$A$2:$B$5,2,FALSE)</f>
        <v>C</v>
      </c>
      <c r="H5648">
        <v>3</v>
      </c>
      <c r="I5648">
        <v>0.95979166666666671</v>
      </c>
      <c r="J5648">
        <v>44788</v>
      </c>
    </row>
    <row r="5649" spans="1:10" x14ac:dyDescent="0.35">
      <c r="A5649" s="2">
        <v>44791</v>
      </c>
      <c r="B5649" s="3">
        <v>0.48547453703703702</v>
      </c>
      <c r="C5649">
        <v>5686</v>
      </c>
      <c r="D5649" t="str">
        <f>VLOOKUP(H5649,Produkt!$A$2:$B$5,2,FALSE)</f>
        <v>A</v>
      </c>
      <c r="H5649">
        <v>1</v>
      </c>
      <c r="I5649">
        <v>4.4444444444444731E-3</v>
      </c>
      <c r="J5649">
        <v>44803</v>
      </c>
    </row>
    <row r="5650" spans="1:10" x14ac:dyDescent="0.35">
      <c r="A5650" s="2">
        <v>44791</v>
      </c>
      <c r="B5650" s="3">
        <v>0.89093750000000005</v>
      </c>
      <c r="C5650">
        <v>5759</v>
      </c>
      <c r="D5650" t="str">
        <f>VLOOKUP(H5650,Produkt!$A$2:$B$5,2,FALSE)</f>
        <v>D</v>
      </c>
      <c r="H5650">
        <v>4</v>
      </c>
      <c r="I5650">
        <v>0.10339120370370369</v>
      </c>
      <c r="J5650">
        <v>44775</v>
      </c>
    </row>
    <row r="5651" spans="1:10" x14ac:dyDescent="0.35">
      <c r="A5651" s="2">
        <v>44791</v>
      </c>
      <c r="B5651" s="3">
        <v>0.68215277777777772</v>
      </c>
      <c r="C5651">
        <v>5762</v>
      </c>
      <c r="D5651" t="str">
        <f>VLOOKUP(H5651,Produkt!$A$2:$B$5,2,FALSE)</f>
        <v>C</v>
      </c>
      <c r="H5651">
        <v>3</v>
      </c>
      <c r="I5651">
        <v>1.4930555555555556E-3</v>
      </c>
      <c r="J5651">
        <v>44801</v>
      </c>
    </row>
    <row r="5652" spans="1:10" x14ac:dyDescent="0.35">
      <c r="A5652" s="2">
        <v>44791</v>
      </c>
      <c r="B5652" s="3">
        <v>0.99523148148148144</v>
      </c>
      <c r="C5652">
        <v>5798</v>
      </c>
      <c r="D5652" t="str">
        <f>VLOOKUP(H5652,Produkt!$A$2:$B$5,2,FALSE)</f>
        <v>B</v>
      </c>
      <c r="H5652">
        <v>2</v>
      </c>
      <c r="I5652">
        <v>0.75090277777777781</v>
      </c>
      <c r="J5652">
        <v>44787</v>
      </c>
    </row>
    <row r="5653" spans="1:10" x14ac:dyDescent="0.35">
      <c r="A5653" s="2">
        <v>44791</v>
      </c>
      <c r="B5653" s="3">
        <v>0.20650462962962965</v>
      </c>
      <c r="C5653">
        <v>5816</v>
      </c>
      <c r="D5653" t="str">
        <f>VLOOKUP(H5653,Produkt!$A$2:$B$5,2,FALSE)</f>
        <v>A</v>
      </c>
      <c r="H5653">
        <v>1</v>
      </c>
      <c r="I5653">
        <v>0.41587962962962965</v>
      </c>
      <c r="J5653">
        <v>44783</v>
      </c>
    </row>
    <row r="5654" spans="1:10" x14ac:dyDescent="0.35">
      <c r="A5654" s="2">
        <v>44791</v>
      </c>
      <c r="B5654" s="3">
        <v>0.4826388888888889</v>
      </c>
      <c r="C5654">
        <v>5825</v>
      </c>
      <c r="D5654" t="str">
        <f>VLOOKUP(H5654,Produkt!$A$2:$B$5,2,FALSE)</f>
        <v>B</v>
      </c>
      <c r="H5654">
        <v>2</v>
      </c>
      <c r="I5654">
        <v>0.709050925925926</v>
      </c>
      <c r="J5654">
        <v>44799</v>
      </c>
    </row>
    <row r="5655" spans="1:10" x14ac:dyDescent="0.35">
      <c r="A5655" s="2">
        <v>44791</v>
      </c>
      <c r="B5655" s="3">
        <v>0.76231481481481478</v>
      </c>
      <c r="C5655">
        <v>5844</v>
      </c>
      <c r="D5655" t="str">
        <f>VLOOKUP(H5655,Produkt!$A$2:$B$5,2,FALSE)</f>
        <v>C</v>
      </c>
      <c r="H5655">
        <v>3</v>
      </c>
      <c r="I5655">
        <v>0.12083333333333333</v>
      </c>
      <c r="J5655">
        <v>44781</v>
      </c>
    </row>
    <row r="5656" spans="1:10" x14ac:dyDescent="0.35">
      <c r="A5656" s="2">
        <v>44791</v>
      </c>
      <c r="B5656" s="3">
        <v>0.375</v>
      </c>
      <c r="C5656">
        <v>5922</v>
      </c>
      <c r="D5656" t="str">
        <f>VLOOKUP(H5656,Produkt!$A$2:$B$5,2,FALSE)</f>
        <v>A</v>
      </c>
      <c r="H5656">
        <v>1</v>
      </c>
      <c r="I5656">
        <v>0.89293981481481488</v>
      </c>
      <c r="J5656">
        <v>44803</v>
      </c>
    </row>
    <row r="5657" spans="1:10" x14ac:dyDescent="0.35">
      <c r="A5657" s="2">
        <v>44791</v>
      </c>
      <c r="B5657" s="3">
        <v>0.25437500000000002</v>
      </c>
      <c r="C5657">
        <v>5981</v>
      </c>
      <c r="D5657" t="str">
        <f>VLOOKUP(H5657,Produkt!$A$2:$B$5,2,FALSE)</f>
        <v>B</v>
      </c>
      <c r="H5657">
        <v>2</v>
      </c>
      <c r="I5657">
        <v>0.2124884259259259</v>
      </c>
      <c r="J5657">
        <v>44786</v>
      </c>
    </row>
    <row r="5658" spans="1:10" x14ac:dyDescent="0.35">
      <c r="A5658" s="2">
        <v>44791</v>
      </c>
      <c r="B5658" s="3">
        <v>0.42291666666666666</v>
      </c>
      <c r="C5658">
        <v>6022</v>
      </c>
      <c r="D5658" t="str">
        <f>VLOOKUP(H5658,Produkt!$A$2:$B$5,2,FALSE)</f>
        <v>D</v>
      </c>
      <c r="H5658">
        <v>4</v>
      </c>
      <c r="I5658">
        <v>8.9548611111111107E-2</v>
      </c>
      <c r="J5658">
        <v>44788</v>
      </c>
    </row>
    <row r="5659" spans="1:10" x14ac:dyDescent="0.35">
      <c r="A5659" s="2">
        <v>44791</v>
      </c>
      <c r="B5659" s="3">
        <v>0.26251157407407405</v>
      </c>
      <c r="C5659">
        <v>6150</v>
      </c>
      <c r="D5659" t="str">
        <f>VLOOKUP(H5659,Produkt!$A$2:$B$5,2,FALSE)</f>
        <v>D</v>
      </c>
      <c r="H5659">
        <v>4</v>
      </c>
      <c r="I5659">
        <v>0.26148148148148148</v>
      </c>
      <c r="J5659">
        <v>44790</v>
      </c>
    </row>
    <row r="5660" spans="1:10" x14ac:dyDescent="0.35">
      <c r="A5660" s="2">
        <v>44791</v>
      </c>
      <c r="B5660" s="3">
        <v>0.93258101851851849</v>
      </c>
      <c r="C5660">
        <v>6154</v>
      </c>
      <c r="D5660" t="str">
        <f>VLOOKUP(H5660,Produkt!$A$2:$B$5,2,FALSE)</f>
        <v>B</v>
      </c>
      <c r="H5660">
        <v>2</v>
      </c>
      <c r="I5660">
        <v>0.47208333333333335</v>
      </c>
      <c r="J5660">
        <v>44777</v>
      </c>
    </row>
    <row r="5661" spans="1:10" x14ac:dyDescent="0.35">
      <c r="A5661" s="2">
        <v>44791</v>
      </c>
      <c r="B5661" s="3">
        <v>0.1988310185185185</v>
      </c>
      <c r="C5661">
        <v>6160</v>
      </c>
      <c r="D5661" t="str">
        <f>VLOOKUP(H5661,Produkt!$A$2:$B$5,2,FALSE)</f>
        <v>B</v>
      </c>
      <c r="H5661">
        <v>2</v>
      </c>
      <c r="I5661">
        <v>0.53328703703703706</v>
      </c>
      <c r="J5661">
        <v>44791</v>
      </c>
    </row>
    <row r="5662" spans="1:10" x14ac:dyDescent="0.35">
      <c r="A5662" s="2">
        <v>44791</v>
      </c>
      <c r="B5662" s="3">
        <v>0.24629629629629632</v>
      </c>
      <c r="C5662">
        <v>6175</v>
      </c>
      <c r="D5662" t="str">
        <f>VLOOKUP(H5662,Produkt!$A$2:$B$5,2,FALSE)</f>
        <v>C</v>
      </c>
      <c r="H5662">
        <v>3</v>
      </c>
      <c r="I5662">
        <v>0.68891203703703707</v>
      </c>
      <c r="J5662">
        <v>44786</v>
      </c>
    </row>
    <row r="5663" spans="1:10" x14ac:dyDescent="0.35">
      <c r="A5663" s="2">
        <v>44791</v>
      </c>
      <c r="B5663" s="3">
        <v>0.22662037037037039</v>
      </c>
      <c r="C5663">
        <v>6205</v>
      </c>
      <c r="D5663" t="str">
        <f>VLOOKUP(H5663,Produkt!$A$2:$B$5,2,FALSE)</f>
        <v>D</v>
      </c>
      <c r="H5663">
        <v>4</v>
      </c>
      <c r="I5663">
        <v>0.86864583333333334</v>
      </c>
      <c r="J5663">
        <v>44799</v>
      </c>
    </row>
    <row r="5664" spans="1:10" x14ac:dyDescent="0.35">
      <c r="A5664" s="2">
        <v>44791</v>
      </c>
      <c r="B5664" s="3">
        <v>0.75395833333333329</v>
      </c>
      <c r="C5664">
        <v>6323</v>
      </c>
      <c r="D5664" t="str">
        <f>VLOOKUP(H5664,Produkt!$A$2:$B$5,2,FALSE)</f>
        <v>A</v>
      </c>
      <c r="H5664">
        <v>1</v>
      </c>
      <c r="I5664">
        <v>0.34355324074074073</v>
      </c>
      <c r="J5664">
        <v>44777</v>
      </c>
    </row>
    <row r="5665" spans="1:10" x14ac:dyDescent="0.35">
      <c r="A5665" s="2">
        <v>44791</v>
      </c>
      <c r="B5665" s="3">
        <v>0.4183912037037037</v>
      </c>
      <c r="C5665">
        <v>6326</v>
      </c>
      <c r="D5665" t="str">
        <f>VLOOKUP(H5665,Produkt!$A$2:$B$5,2,FALSE)</f>
        <v>B</v>
      </c>
      <c r="H5665">
        <v>2</v>
      </c>
      <c r="I5665">
        <v>0.76384259259259257</v>
      </c>
      <c r="J5665">
        <v>44801</v>
      </c>
    </row>
    <row r="5666" spans="1:10" x14ac:dyDescent="0.35">
      <c r="A5666" s="2">
        <v>44791</v>
      </c>
      <c r="B5666" s="3">
        <v>0.12472222222222222</v>
      </c>
      <c r="C5666">
        <v>6328</v>
      </c>
      <c r="D5666" t="str">
        <f>VLOOKUP(H5666,Produkt!$A$2:$B$5,2,FALSE)</f>
        <v>A</v>
      </c>
      <c r="H5666">
        <v>1</v>
      </c>
      <c r="I5666">
        <v>0.4450925925925926</v>
      </c>
      <c r="J5666">
        <v>44776</v>
      </c>
    </row>
    <row r="5667" spans="1:10" x14ac:dyDescent="0.35">
      <c r="A5667" s="2">
        <v>44791</v>
      </c>
      <c r="B5667" s="3">
        <v>0.29030092592592593</v>
      </c>
      <c r="C5667">
        <v>6381</v>
      </c>
      <c r="D5667" t="str">
        <f>VLOOKUP(H5667,Produkt!$A$2:$B$5,2,FALSE)</f>
        <v>A</v>
      </c>
      <c r="H5667">
        <v>1</v>
      </c>
      <c r="I5667">
        <v>0.90719907407407396</v>
      </c>
      <c r="J5667">
        <v>44779</v>
      </c>
    </row>
    <row r="5668" spans="1:10" x14ac:dyDescent="0.35">
      <c r="A5668" s="2">
        <v>44791</v>
      </c>
      <c r="B5668" s="3">
        <v>0.91652777777777772</v>
      </c>
      <c r="C5668">
        <v>6392</v>
      </c>
      <c r="D5668" t="str">
        <f>VLOOKUP(H5668,Produkt!$A$2:$B$5,2,FALSE)</f>
        <v>B</v>
      </c>
      <c r="H5668">
        <v>2</v>
      </c>
      <c r="I5668">
        <v>0.49042824074074076</v>
      </c>
      <c r="J5668">
        <v>44795</v>
      </c>
    </row>
    <row r="5669" spans="1:10" x14ac:dyDescent="0.35">
      <c r="A5669" s="2">
        <v>44791</v>
      </c>
      <c r="B5669" s="3">
        <v>0.5581828703703704</v>
      </c>
      <c r="C5669">
        <v>6438</v>
      </c>
      <c r="D5669" t="str">
        <f>VLOOKUP(H5669,Produkt!$A$2:$B$5,2,FALSE)</f>
        <v>C</v>
      </c>
      <c r="H5669">
        <v>3</v>
      </c>
      <c r="I5669">
        <v>0.53912037037037031</v>
      </c>
      <c r="J5669">
        <v>44796</v>
      </c>
    </row>
    <row r="5670" spans="1:10" x14ac:dyDescent="0.35">
      <c r="A5670" s="2">
        <v>44791</v>
      </c>
      <c r="B5670" s="3">
        <v>0.97021990740740749</v>
      </c>
      <c r="C5670">
        <v>6450</v>
      </c>
      <c r="D5670" t="str">
        <f>VLOOKUP(H5670,Produkt!$A$2:$B$5,2,FALSE)</f>
        <v>A</v>
      </c>
      <c r="H5670">
        <v>1</v>
      </c>
      <c r="I5670">
        <v>0.76178240740740744</v>
      </c>
      <c r="J5670">
        <v>44803</v>
      </c>
    </row>
    <row r="5671" spans="1:10" x14ac:dyDescent="0.35">
      <c r="A5671" s="2">
        <v>44791</v>
      </c>
      <c r="B5671" s="3">
        <v>0.84993055555555552</v>
      </c>
      <c r="C5671">
        <v>6524</v>
      </c>
      <c r="D5671" t="str">
        <f>VLOOKUP(H5671,Produkt!$A$2:$B$5,2,FALSE)</f>
        <v>D</v>
      </c>
      <c r="H5671">
        <v>4</v>
      </c>
      <c r="I5671">
        <v>2.5381944444444443E-2</v>
      </c>
      <c r="J5671">
        <v>44804</v>
      </c>
    </row>
    <row r="5672" spans="1:10" x14ac:dyDescent="0.35">
      <c r="A5672" s="2">
        <v>44791</v>
      </c>
      <c r="B5672" s="3">
        <v>0.42996527777777777</v>
      </c>
      <c r="C5672">
        <v>6566</v>
      </c>
      <c r="D5672" t="str">
        <f>VLOOKUP(H5672,Produkt!$A$2:$B$5,2,FALSE)</f>
        <v>B</v>
      </c>
      <c r="H5672">
        <v>2</v>
      </c>
      <c r="I5672">
        <v>0.82292824074074078</v>
      </c>
      <c r="J5672">
        <v>44783</v>
      </c>
    </row>
    <row r="5673" spans="1:10" x14ac:dyDescent="0.35">
      <c r="A5673" s="2">
        <v>44791</v>
      </c>
      <c r="B5673" s="3">
        <v>4.0682870370370328E-2</v>
      </c>
      <c r="C5673">
        <v>6571</v>
      </c>
      <c r="D5673" t="str">
        <f>VLOOKUP(H5673,Produkt!$A$2:$B$5,2,FALSE)</f>
        <v>B</v>
      </c>
      <c r="H5673">
        <v>2</v>
      </c>
      <c r="I5673">
        <v>0.59664351851851849</v>
      </c>
      <c r="J5673">
        <v>44791</v>
      </c>
    </row>
    <row r="5674" spans="1:10" x14ac:dyDescent="0.35">
      <c r="A5674" s="2">
        <v>44791</v>
      </c>
      <c r="B5674" s="3">
        <v>0.43812500000000004</v>
      </c>
      <c r="C5674">
        <v>6590</v>
      </c>
      <c r="D5674" t="str">
        <f>VLOOKUP(H5674,Produkt!$A$2:$B$5,2,FALSE)</f>
        <v>C</v>
      </c>
      <c r="H5674">
        <v>3</v>
      </c>
      <c r="I5674">
        <v>0.90453703703703703</v>
      </c>
      <c r="J5674">
        <v>44789</v>
      </c>
    </row>
    <row r="5675" spans="1:10" x14ac:dyDescent="0.35">
      <c r="A5675" s="2">
        <v>44791</v>
      </c>
      <c r="B5675" s="3">
        <v>0.3049074074074074</v>
      </c>
      <c r="C5675">
        <v>6612</v>
      </c>
      <c r="D5675" t="str">
        <f>VLOOKUP(H5675,Produkt!$A$2:$B$5,2,FALSE)</f>
        <v>A</v>
      </c>
      <c r="H5675">
        <v>1</v>
      </c>
      <c r="I5675">
        <v>0.10010416666666666</v>
      </c>
      <c r="J5675">
        <v>44803</v>
      </c>
    </row>
    <row r="5676" spans="1:10" x14ac:dyDescent="0.35">
      <c r="A5676" s="2">
        <v>44791</v>
      </c>
      <c r="B5676" s="3">
        <v>0.95497685185185188</v>
      </c>
      <c r="C5676">
        <v>6650</v>
      </c>
      <c r="D5676" t="str">
        <f>VLOOKUP(H5676,Produkt!$A$2:$B$5,2,FALSE)</f>
        <v>D</v>
      </c>
      <c r="H5676">
        <v>4</v>
      </c>
      <c r="I5676">
        <v>0.54721064814814813</v>
      </c>
      <c r="J5676">
        <v>44792</v>
      </c>
    </row>
    <row r="5677" spans="1:10" x14ac:dyDescent="0.35">
      <c r="A5677" s="2">
        <v>44791</v>
      </c>
      <c r="B5677" s="3">
        <v>0.16021990740740741</v>
      </c>
      <c r="C5677">
        <v>6708</v>
      </c>
      <c r="D5677" t="str">
        <f>VLOOKUP(H5677,Produkt!$A$2:$B$5,2,FALSE)</f>
        <v>D</v>
      </c>
      <c r="H5677">
        <v>4</v>
      </c>
      <c r="I5677">
        <v>0.85391203703703711</v>
      </c>
      <c r="J5677">
        <v>44788</v>
      </c>
    </row>
    <row r="5678" spans="1:10" x14ac:dyDescent="0.35">
      <c r="A5678" s="2">
        <v>44791</v>
      </c>
      <c r="B5678" s="3">
        <v>0.62479166666666663</v>
      </c>
      <c r="C5678">
        <v>6743</v>
      </c>
      <c r="D5678" t="str">
        <f>VLOOKUP(H5678,Produkt!$A$2:$B$5,2,FALSE)</f>
        <v>B</v>
      </c>
      <c r="H5678">
        <v>2</v>
      </c>
      <c r="I5678">
        <v>0.82937500000000008</v>
      </c>
      <c r="J5678">
        <v>44792</v>
      </c>
    </row>
    <row r="5679" spans="1:10" x14ac:dyDescent="0.35">
      <c r="A5679" s="2">
        <v>44791</v>
      </c>
      <c r="B5679" s="3">
        <v>3.819444444444442E-2</v>
      </c>
      <c r="C5679">
        <v>6900</v>
      </c>
      <c r="D5679" t="str">
        <f>VLOOKUP(H5679,Produkt!$A$2:$B$5,2,FALSE)</f>
        <v>A</v>
      </c>
      <c r="H5679">
        <v>1</v>
      </c>
      <c r="I5679">
        <v>0.23046296296296295</v>
      </c>
      <c r="J5679">
        <v>44774</v>
      </c>
    </row>
    <row r="5680" spans="1:10" x14ac:dyDescent="0.35">
      <c r="A5680" s="2">
        <v>44791</v>
      </c>
      <c r="B5680" s="3">
        <v>0.11422453703703704</v>
      </c>
      <c r="C5680">
        <v>6929</v>
      </c>
      <c r="D5680" t="str">
        <f>VLOOKUP(H5680,Produkt!$A$2:$B$5,2,FALSE)</f>
        <v>C</v>
      </c>
      <c r="H5680">
        <v>3</v>
      </c>
      <c r="I5680">
        <v>0.61905092592592592</v>
      </c>
      <c r="J5680">
        <v>44786</v>
      </c>
    </row>
    <row r="5681" spans="1:10" x14ac:dyDescent="0.35">
      <c r="A5681" s="2">
        <v>44791</v>
      </c>
      <c r="B5681" s="3">
        <v>0.39999999999999997</v>
      </c>
      <c r="C5681">
        <v>6941</v>
      </c>
      <c r="D5681" t="str">
        <f>VLOOKUP(H5681,Produkt!$A$2:$B$5,2,FALSE)</f>
        <v>A</v>
      </c>
      <c r="H5681">
        <v>1</v>
      </c>
      <c r="I5681">
        <v>0.59009259259259261</v>
      </c>
      <c r="J5681">
        <v>44792</v>
      </c>
    </row>
    <row r="5682" spans="1:10" x14ac:dyDescent="0.35">
      <c r="A5682" s="2">
        <v>44791</v>
      </c>
      <c r="B5682" s="3">
        <v>0.78594907407407411</v>
      </c>
      <c r="C5682">
        <v>6943</v>
      </c>
      <c r="D5682" t="str">
        <f>VLOOKUP(H5682,Produkt!$A$2:$B$5,2,FALSE)</f>
        <v>B</v>
      </c>
      <c r="H5682">
        <v>2</v>
      </c>
      <c r="I5682">
        <v>0.53645833333333337</v>
      </c>
      <c r="J5682">
        <v>44800</v>
      </c>
    </row>
    <row r="5683" spans="1:10" x14ac:dyDescent="0.35">
      <c r="A5683" s="2">
        <v>44791</v>
      </c>
      <c r="B5683" s="3">
        <v>5.7650462962962966E-2</v>
      </c>
      <c r="C5683">
        <v>6947</v>
      </c>
      <c r="D5683" t="str">
        <f>VLOOKUP(H5683,Produkt!$A$2:$B$5,2,FALSE)</f>
        <v>D</v>
      </c>
      <c r="H5683">
        <v>4</v>
      </c>
      <c r="I5683">
        <v>0.34297453703703701</v>
      </c>
      <c r="J5683">
        <v>44790</v>
      </c>
    </row>
    <row r="5684" spans="1:10" x14ac:dyDescent="0.35">
      <c r="A5684" s="2">
        <v>44791</v>
      </c>
      <c r="B5684" s="3">
        <v>0.76902777777777775</v>
      </c>
      <c r="C5684">
        <v>6986</v>
      </c>
      <c r="D5684" t="str">
        <f>VLOOKUP(H5684,Produkt!$A$2:$B$5,2,FALSE)</f>
        <v>C</v>
      </c>
      <c r="H5684">
        <v>3</v>
      </c>
      <c r="I5684">
        <v>0.95467592592592598</v>
      </c>
      <c r="J5684">
        <v>44780</v>
      </c>
    </row>
    <row r="5685" spans="1:10" x14ac:dyDescent="0.35">
      <c r="A5685" s="2">
        <v>44791</v>
      </c>
      <c r="B5685" s="3">
        <v>0.78298611111111116</v>
      </c>
      <c r="C5685">
        <v>7058</v>
      </c>
      <c r="D5685" t="str">
        <f>VLOOKUP(H5685,Produkt!$A$2:$B$5,2,FALSE)</f>
        <v>D</v>
      </c>
      <c r="H5685">
        <v>4</v>
      </c>
      <c r="I5685">
        <v>0.47403935185185181</v>
      </c>
      <c r="J5685">
        <v>44792</v>
      </c>
    </row>
    <row r="5686" spans="1:10" x14ac:dyDescent="0.35">
      <c r="A5686" s="2">
        <v>44791</v>
      </c>
      <c r="B5686" s="3">
        <v>0.1499537037037037</v>
      </c>
      <c r="C5686">
        <v>7113</v>
      </c>
      <c r="D5686" t="str">
        <f>VLOOKUP(H5686,Produkt!$A$2:$B$5,2,FALSE)</f>
        <v>B</v>
      </c>
      <c r="H5686">
        <v>2</v>
      </c>
      <c r="I5686">
        <v>0.24576388888888889</v>
      </c>
      <c r="J5686">
        <v>44791</v>
      </c>
    </row>
    <row r="5687" spans="1:10" x14ac:dyDescent="0.35">
      <c r="A5687" s="2">
        <v>44791</v>
      </c>
      <c r="B5687" s="3">
        <v>0.42454861111111114</v>
      </c>
      <c r="C5687">
        <v>7143</v>
      </c>
      <c r="D5687" t="str">
        <f>VLOOKUP(H5687,Produkt!$A$2:$B$5,2,FALSE)</f>
        <v>A</v>
      </c>
      <c r="H5687">
        <v>1</v>
      </c>
      <c r="I5687">
        <v>0.48547453703703702</v>
      </c>
      <c r="J5687">
        <v>44778</v>
      </c>
    </row>
    <row r="5688" spans="1:10" x14ac:dyDescent="0.35">
      <c r="A5688" s="2">
        <v>44791</v>
      </c>
      <c r="B5688" s="3">
        <v>0.85784722222222232</v>
      </c>
      <c r="C5688">
        <v>7153</v>
      </c>
      <c r="D5688" t="str">
        <f>VLOOKUP(H5688,Produkt!$A$2:$B$5,2,FALSE)</f>
        <v>B</v>
      </c>
      <c r="H5688">
        <v>2</v>
      </c>
      <c r="I5688">
        <v>0.79105324074074079</v>
      </c>
      <c r="J5688">
        <v>44782</v>
      </c>
    </row>
    <row r="5689" spans="1:10" x14ac:dyDescent="0.35">
      <c r="A5689" s="2">
        <v>44791</v>
      </c>
      <c r="B5689" s="3">
        <v>0.63292824074074072</v>
      </c>
      <c r="C5689">
        <v>7214</v>
      </c>
      <c r="D5689" t="str">
        <f>VLOOKUP(H5689,Produkt!$A$2:$B$5,2,FALSE)</f>
        <v>D</v>
      </c>
      <c r="H5689">
        <v>4</v>
      </c>
      <c r="I5689">
        <v>0.43373842592592587</v>
      </c>
      <c r="J5689">
        <v>44774</v>
      </c>
    </row>
    <row r="5690" spans="1:10" x14ac:dyDescent="0.35">
      <c r="A5690" s="2">
        <v>44791</v>
      </c>
      <c r="B5690" s="3">
        <v>0.37434027777777779</v>
      </c>
      <c r="C5690">
        <v>7276</v>
      </c>
      <c r="D5690" t="str">
        <f>VLOOKUP(H5690,Produkt!$A$2:$B$5,2,FALSE)</f>
        <v>D</v>
      </c>
      <c r="H5690">
        <v>4</v>
      </c>
      <c r="I5690">
        <v>0.39706018518518515</v>
      </c>
      <c r="J5690">
        <v>44779</v>
      </c>
    </row>
    <row r="5691" spans="1:10" x14ac:dyDescent="0.35">
      <c r="A5691" s="2">
        <v>44791</v>
      </c>
      <c r="B5691" s="3">
        <v>0.3553587962962963</v>
      </c>
      <c r="C5691">
        <v>7291</v>
      </c>
      <c r="D5691" t="str">
        <f>VLOOKUP(H5691,Produkt!$A$2:$B$5,2,FALSE)</f>
        <v>B</v>
      </c>
      <c r="H5691">
        <v>2</v>
      </c>
      <c r="I5691">
        <v>4.5104166666666667E-2</v>
      </c>
      <c r="J5691">
        <v>44803</v>
      </c>
    </row>
    <row r="5692" spans="1:10" x14ac:dyDescent="0.35">
      <c r="A5692" s="2">
        <v>44791</v>
      </c>
      <c r="B5692" s="3">
        <v>0.89693287037037039</v>
      </c>
      <c r="C5692">
        <v>7305</v>
      </c>
      <c r="D5692" t="str">
        <f>VLOOKUP(H5692,Produkt!$A$2:$B$5,2,FALSE)</f>
        <v>B</v>
      </c>
      <c r="H5692">
        <v>2</v>
      </c>
      <c r="I5692">
        <v>0.95876157407407403</v>
      </c>
      <c r="J5692">
        <v>44786</v>
      </c>
    </row>
    <row r="5693" spans="1:10" x14ac:dyDescent="0.35">
      <c r="A5693" s="2">
        <v>44791</v>
      </c>
      <c r="B5693" s="3">
        <v>1.2268518518518519E-2</v>
      </c>
      <c r="C5693">
        <v>7345</v>
      </c>
      <c r="D5693" t="str">
        <f>VLOOKUP(H5693,Produkt!$A$2:$B$5,2,FALSE)</f>
        <v>C</v>
      </c>
      <c r="H5693">
        <v>3</v>
      </c>
      <c r="I5693">
        <v>0.33928240740740739</v>
      </c>
      <c r="J5693">
        <v>44794</v>
      </c>
    </row>
    <row r="5694" spans="1:10" x14ac:dyDescent="0.35">
      <c r="A5694" s="2">
        <v>44791</v>
      </c>
      <c r="B5694" s="3">
        <v>0.77284722222222213</v>
      </c>
      <c r="C5694">
        <v>7393</v>
      </c>
      <c r="D5694" t="str">
        <f>VLOOKUP(H5694,Produkt!$A$2:$B$5,2,FALSE)</f>
        <v>B</v>
      </c>
      <c r="H5694">
        <v>2</v>
      </c>
      <c r="I5694">
        <v>0.91040509259259261</v>
      </c>
      <c r="J5694">
        <v>44781</v>
      </c>
    </row>
    <row r="5695" spans="1:10" x14ac:dyDescent="0.35">
      <c r="A5695" s="2">
        <v>44791</v>
      </c>
      <c r="B5695" s="3">
        <v>0.69057870370370367</v>
      </c>
      <c r="C5695">
        <v>7403</v>
      </c>
      <c r="D5695" t="str">
        <f>VLOOKUP(H5695,Produkt!$A$2:$B$5,2,FALSE)</f>
        <v>B</v>
      </c>
      <c r="H5695">
        <v>2</v>
      </c>
      <c r="I5695">
        <v>1.8518518518518379E-2</v>
      </c>
      <c r="J5695">
        <v>44789</v>
      </c>
    </row>
    <row r="5696" spans="1:10" x14ac:dyDescent="0.35">
      <c r="A5696" s="2">
        <v>44791</v>
      </c>
      <c r="B5696" s="3">
        <v>0.22490740740740742</v>
      </c>
      <c r="C5696">
        <v>7438</v>
      </c>
      <c r="D5696" t="str">
        <f>VLOOKUP(H5696,Produkt!$A$2:$B$5,2,FALSE)</f>
        <v>B</v>
      </c>
      <c r="H5696">
        <v>2</v>
      </c>
      <c r="I5696">
        <v>0.59908564814814813</v>
      </c>
      <c r="J5696">
        <v>44792</v>
      </c>
    </row>
    <row r="5697" spans="1:10" x14ac:dyDescent="0.35">
      <c r="A5697" s="2">
        <v>44791</v>
      </c>
      <c r="B5697" s="3">
        <v>0.95240740740740737</v>
      </c>
      <c r="C5697">
        <v>7447</v>
      </c>
      <c r="D5697" t="str">
        <f>VLOOKUP(H5697,Produkt!$A$2:$B$5,2,FALSE)</f>
        <v>D</v>
      </c>
      <c r="H5697">
        <v>4</v>
      </c>
      <c r="I5697">
        <v>0.1310763888888889</v>
      </c>
      <c r="J5697">
        <v>44799</v>
      </c>
    </row>
    <row r="5698" spans="1:10" x14ac:dyDescent="0.35">
      <c r="A5698" s="2">
        <v>44791</v>
      </c>
      <c r="B5698" s="3">
        <v>0.53997685185185185</v>
      </c>
      <c r="C5698">
        <v>7455</v>
      </c>
      <c r="D5698" t="str">
        <f>VLOOKUP(H5698,Produkt!$A$2:$B$5,2,FALSE)</f>
        <v>C</v>
      </c>
      <c r="H5698">
        <v>3</v>
      </c>
      <c r="I5698">
        <v>5.2164351851851858E-2</v>
      </c>
      <c r="J5698">
        <v>44778</v>
      </c>
    </row>
    <row r="5699" spans="1:10" x14ac:dyDescent="0.35">
      <c r="A5699" s="2">
        <v>44791</v>
      </c>
      <c r="B5699" s="3">
        <v>0.27752314814814816</v>
      </c>
      <c r="C5699">
        <v>7472</v>
      </c>
      <c r="D5699" t="str">
        <f>VLOOKUP(H5699,Produkt!$A$2:$B$5,2,FALSE)</f>
        <v>C</v>
      </c>
      <c r="H5699">
        <v>3</v>
      </c>
      <c r="I5699">
        <v>0.34266203703703701</v>
      </c>
      <c r="J5699">
        <v>44781</v>
      </c>
    </row>
    <row r="5700" spans="1:10" x14ac:dyDescent="0.35">
      <c r="A5700" s="2">
        <v>44791</v>
      </c>
      <c r="B5700" s="3">
        <v>0.76458333333333339</v>
      </c>
      <c r="C5700">
        <v>7524</v>
      </c>
      <c r="D5700" t="str">
        <f>VLOOKUP(H5700,Produkt!$A$2:$B$5,2,FALSE)</f>
        <v>D</v>
      </c>
      <c r="H5700">
        <v>4</v>
      </c>
      <c r="I5700">
        <v>0.84385416666666668</v>
      </c>
      <c r="J5700">
        <v>44775</v>
      </c>
    </row>
    <row r="5701" spans="1:10" x14ac:dyDescent="0.35">
      <c r="A5701" s="2">
        <v>44791</v>
      </c>
      <c r="B5701" s="3">
        <v>0.95559027777777772</v>
      </c>
      <c r="C5701">
        <v>7595</v>
      </c>
      <c r="D5701" t="str">
        <f>VLOOKUP(H5701,Produkt!$A$2:$B$5,2,FALSE)</f>
        <v>A</v>
      </c>
      <c r="H5701">
        <v>1</v>
      </c>
      <c r="I5701">
        <v>0.25104166666666666</v>
      </c>
      <c r="J5701">
        <v>44787</v>
      </c>
    </row>
    <row r="5702" spans="1:10" x14ac:dyDescent="0.35">
      <c r="A5702" s="2">
        <v>44791</v>
      </c>
      <c r="B5702" s="3">
        <v>0.34922453703703704</v>
      </c>
      <c r="C5702">
        <v>7659</v>
      </c>
      <c r="D5702" t="str">
        <f>VLOOKUP(H5702,Produkt!$A$2:$B$5,2,FALSE)</f>
        <v>A</v>
      </c>
      <c r="H5702">
        <v>1</v>
      </c>
      <c r="I5702">
        <v>0.43267361111111113</v>
      </c>
      <c r="J5702">
        <v>44795</v>
      </c>
    </row>
    <row r="5703" spans="1:10" x14ac:dyDescent="0.35">
      <c r="A5703" s="2">
        <v>44791</v>
      </c>
      <c r="B5703" s="3">
        <v>0.32797453703703705</v>
      </c>
      <c r="C5703">
        <v>7684</v>
      </c>
      <c r="D5703" t="str">
        <f>VLOOKUP(H5703,Produkt!$A$2:$B$5,2,FALSE)</f>
        <v>D</v>
      </c>
      <c r="H5703">
        <v>4</v>
      </c>
      <c r="I5703">
        <v>0.93763888888888891</v>
      </c>
      <c r="J5703">
        <v>44780</v>
      </c>
    </row>
    <row r="5704" spans="1:10" x14ac:dyDescent="0.35">
      <c r="A5704" s="2">
        <v>44791</v>
      </c>
      <c r="B5704" s="3">
        <v>0.28811342592592593</v>
      </c>
      <c r="C5704">
        <v>7703</v>
      </c>
      <c r="D5704" t="str">
        <f>VLOOKUP(H5704,Produkt!$A$2:$B$5,2,FALSE)</f>
        <v>B</v>
      </c>
      <c r="H5704">
        <v>2</v>
      </c>
      <c r="I5704">
        <v>0.15983796296296296</v>
      </c>
      <c r="J5704">
        <v>44797</v>
      </c>
    </row>
    <row r="5705" spans="1:10" x14ac:dyDescent="0.35">
      <c r="A5705" s="2">
        <v>44791</v>
      </c>
      <c r="B5705" s="3">
        <v>0.14384259259259261</v>
      </c>
      <c r="C5705">
        <v>7747</v>
      </c>
      <c r="D5705" t="str">
        <f>VLOOKUP(H5705,Produkt!$A$2:$B$5,2,FALSE)</f>
        <v>B</v>
      </c>
      <c r="H5705">
        <v>2</v>
      </c>
      <c r="I5705">
        <v>2.074074074074074E-2</v>
      </c>
      <c r="J5705">
        <v>44796</v>
      </c>
    </row>
    <row r="5706" spans="1:10" x14ac:dyDescent="0.35">
      <c r="A5706" s="2">
        <v>44791</v>
      </c>
      <c r="B5706" s="3">
        <v>5.7812499999999996E-2</v>
      </c>
      <c r="C5706">
        <v>7791</v>
      </c>
      <c r="D5706" t="str">
        <f>VLOOKUP(H5706,Produkt!$A$2:$B$5,2,FALSE)</f>
        <v>D</v>
      </c>
      <c r="H5706">
        <v>4</v>
      </c>
      <c r="I5706">
        <v>2.0138888888888888E-3</v>
      </c>
      <c r="J5706">
        <v>44802</v>
      </c>
    </row>
    <row r="5707" spans="1:10" x14ac:dyDescent="0.35">
      <c r="A5707" s="2">
        <v>44791</v>
      </c>
      <c r="B5707" s="3">
        <v>0.33802083333333338</v>
      </c>
      <c r="C5707">
        <v>7803</v>
      </c>
      <c r="D5707" t="str">
        <f>VLOOKUP(H5707,Produkt!$A$2:$B$5,2,FALSE)</f>
        <v>C</v>
      </c>
      <c r="H5707">
        <v>3</v>
      </c>
      <c r="I5707">
        <v>0.88561342592592596</v>
      </c>
      <c r="J5707">
        <v>44803</v>
      </c>
    </row>
    <row r="5708" spans="1:10" x14ac:dyDescent="0.35">
      <c r="A5708" s="2">
        <v>44791</v>
      </c>
      <c r="B5708" s="3">
        <v>0.1577314814814815</v>
      </c>
      <c r="C5708">
        <v>7858</v>
      </c>
      <c r="D5708" t="str">
        <f>VLOOKUP(H5708,Produkt!$A$2:$B$5,2,FALSE)</f>
        <v>B</v>
      </c>
      <c r="H5708">
        <v>2</v>
      </c>
      <c r="I5708">
        <v>0.92204861111111114</v>
      </c>
      <c r="J5708">
        <v>44778</v>
      </c>
    </row>
    <row r="5709" spans="1:10" x14ac:dyDescent="0.35">
      <c r="A5709" s="2">
        <v>44791</v>
      </c>
      <c r="B5709" s="3">
        <v>0.64136574074074071</v>
      </c>
      <c r="C5709">
        <v>7871</v>
      </c>
      <c r="D5709" t="str">
        <f>VLOOKUP(H5709,Produkt!$A$2:$B$5,2,FALSE)</f>
        <v>B</v>
      </c>
      <c r="H5709">
        <v>2</v>
      </c>
      <c r="I5709">
        <v>0.65694444444444444</v>
      </c>
      <c r="J5709">
        <v>44795</v>
      </c>
    </row>
    <row r="5710" spans="1:10" x14ac:dyDescent="0.35">
      <c r="A5710" s="2">
        <v>44791</v>
      </c>
      <c r="B5710" s="3">
        <v>0.94196759259259266</v>
      </c>
      <c r="C5710">
        <v>7913</v>
      </c>
      <c r="D5710" t="str">
        <f>VLOOKUP(H5710,Produkt!$A$2:$B$5,2,FALSE)</f>
        <v>B</v>
      </c>
      <c r="H5710">
        <v>2</v>
      </c>
      <c r="I5710">
        <v>0.94094907407407413</v>
      </c>
      <c r="J5710">
        <v>44793</v>
      </c>
    </row>
    <row r="5711" spans="1:10" x14ac:dyDescent="0.35">
      <c r="A5711" s="2">
        <v>44791</v>
      </c>
      <c r="B5711" s="3">
        <v>0.2320601851851852</v>
      </c>
      <c r="C5711">
        <v>7936</v>
      </c>
      <c r="D5711" t="str">
        <f>VLOOKUP(H5711,Produkt!$A$2:$B$5,2,FALSE)</f>
        <v>A</v>
      </c>
      <c r="H5711">
        <v>1</v>
      </c>
      <c r="I5711">
        <v>0.40675925925925926</v>
      </c>
      <c r="J5711">
        <v>44801</v>
      </c>
    </row>
    <row r="5712" spans="1:10" x14ac:dyDescent="0.35">
      <c r="A5712" s="2">
        <v>44791</v>
      </c>
      <c r="B5712" s="3">
        <v>0.72385416666666658</v>
      </c>
      <c r="C5712">
        <v>7954</v>
      </c>
      <c r="D5712" t="str">
        <f>VLOOKUP(H5712,Produkt!$A$2:$B$5,2,FALSE)</f>
        <v>B</v>
      </c>
      <c r="H5712">
        <v>2</v>
      </c>
      <c r="I5712">
        <v>0.71056712962962953</v>
      </c>
      <c r="J5712">
        <v>44795</v>
      </c>
    </row>
    <row r="5713" spans="1:10" x14ac:dyDescent="0.35">
      <c r="A5713" s="2">
        <v>44791</v>
      </c>
      <c r="B5713" s="3">
        <v>0.71934027777777787</v>
      </c>
      <c r="C5713">
        <v>7963</v>
      </c>
      <c r="D5713" t="str">
        <f>VLOOKUP(H5713,Produkt!$A$2:$B$5,2,FALSE)</f>
        <v>A</v>
      </c>
      <c r="H5713">
        <v>1</v>
      </c>
      <c r="I5713">
        <v>9.003472222222221E-2</v>
      </c>
      <c r="J5713">
        <v>44801</v>
      </c>
    </row>
    <row r="5714" spans="1:10" x14ac:dyDescent="0.35">
      <c r="A5714" s="2">
        <v>44791</v>
      </c>
      <c r="B5714" s="3">
        <v>0.51666666666666672</v>
      </c>
      <c r="C5714">
        <v>7979</v>
      </c>
      <c r="D5714" t="str">
        <f>VLOOKUP(H5714,Produkt!$A$2:$B$5,2,FALSE)</f>
        <v>D</v>
      </c>
      <c r="H5714">
        <v>4</v>
      </c>
      <c r="I5714">
        <v>0.86893518518518509</v>
      </c>
      <c r="J5714">
        <v>44793</v>
      </c>
    </row>
    <row r="5715" spans="1:10" x14ac:dyDescent="0.35">
      <c r="A5715" s="2">
        <v>44791</v>
      </c>
      <c r="B5715" s="3">
        <v>0.15087962962962961</v>
      </c>
      <c r="C5715">
        <v>8028</v>
      </c>
      <c r="D5715" t="str">
        <f>VLOOKUP(H5715,Produkt!$A$2:$B$5,2,FALSE)</f>
        <v>B</v>
      </c>
      <c r="H5715">
        <v>2</v>
      </c>
      <c r="I5715">
        <v>0.43687499999999996</v>
      </c>
      <c r="J5715">
        <v>44800</v>
      </c>
    </row>
    <row r="5716" spans="1:10" x14ac:dyDescent="0.35">
      <c r="A5716" s="2">
        <v>44791</v>
      </c>
      <c r="B5716" s="3">
        <v>0.52541666666666664</v>
      </c>
      <c r="C5716">
        <v>8038</v>
      </c>
      <c r="D5716" t="str">
        <f>VLOOKUP(H5716,Produkt!$A$2:$B$5,2,FALSE)</f>
        <v>D</v>
      </c>
      <c r="H5716">
        <v>4</v>
      </c>
      <c r="I5716">
        <v>3.9247685185185184E-2</v>
      </c>
      <c r="J5716">
        <v>44803</v>
      </c>
    </row>
    <row r="5717" spans="1:10" x14ac:dyDescent="0.35">
      <c r="A5717" s="2">
        <v>44791</v>
      </c>
      <c r="B5717" s="3">
        <v>0.95277777777777783</v>
      </c>
      <c r="C5717">
        <v>8039</v>
      </c>
      <c r="D5717" t="str">
        <f>VLOOKUP(H5717,Produkt!$A$2:$B$5,2,FALSE)</f>
        <v>D</v>
      </c>
      <c r="H5717">
        <v>4</v>
      </c>
      <c r="I5717">
        <v>0.13751157407407408</v>
      </c>
      <c r="J5717">
        <v>44797</v>
      </c>
    </row>
    <row r="5718" spans="1:10" x14ac:dyDescent="0.35">
      <c r="A5718" s="2">
        <v>44791</v>
      </c>
      <c r="B5718" s="3">
        <v>0.92270833333333335</v>
      </c>
      <c r="C5718">
        <v>8119</v>
      </c>
      <c r="D5718" t="str">
        <f>VLOOKUP(H5718,Produkt!$A$2:$B$5,2,FALSE)</f>
        <v>A</v>
      </c>
      <c r="H5718">
        <v>1</v>
      </c>
      <c r="I5718">
        <v>0.28255787037037039</v>
      </c>
      <c r="J5718">
        <v>44777</v>
      </c>
    </row>
    <row r="5719" spans="1:10" x14ac:dyDescent="0.35">
      <c r="A5719" s="2">
        <v>44791</v>
      </c>
      <c r="B5719" s="3">
        <v>0.91819444444444442</v>
      </c>
      <c r="C5719">
        <v>8173</v>
      </c>
      <c r="D5719" t="str">
        <f>VLOOKUP(H5719,Produkt!$A$2:$B$5,2,FALSE)</f>
        <v>C</v>
      </c>
      <c r="H5719">
        <v>3</v>
      </c>
      <c r="I5719">
        <v>0.25259259259259259</v>
      </c>
      <c r="J5719">
        <v>44774</v>
      </c>
    </row>
    <row r="5720" spans="1:10" x14ac:dyDescent="0.35">
      <c r="A5720" s="2">
        <v>44791</v>
      </c>
      <c r="B5720" s="3">
        <v>3.3738425925925929E-2</v>
      </c>
      <c r="C5720">
        <v>8282</v>
      </c>
      <c r="D5720" t="str">
        <f>VLOOKUP(H5720,Produkt!$A$2:$B$5,2,FALSE)</f>
        <v>B</v>
      </c>
      <c r="H5720">
        <v>2</v>
      </c>
      <c r="I5720">
        <v>0.60689814814814813</v>
      </c>
      <c r="J5720">
        <v>44798</v>
      </c>
    </row>
    <row r="5721" spans="1:10" x14ac:dyDescent="0.35">
      <c r="A5721" s="2">
        <v>44791</v>
      </c>
      <c r="B5721" s="3">
        <v>0.54866898148148147</v>
      </c>
      <c r="C5721">
        <v>8293</v>
      </c>
      <c r="D5721" t="str">
        <f>VLOOKUP(H5721,Produkt!$A$2:$B$5,2,FALSE)</f>
        <v>D</v>
      </c>
      <c r="H5721">
        <v>4</v>
      </c>
      <c r="I5721">
        <v>0.92236111111111108</v>
      </c>
      <c r="J5721">
        <v>44803</v>
      </c>
    </row>
    <row r="5722" spans="1:10" x14ac:dyDescent="0.35">
      <c r="A5722" s="2">
        <v>44791</v>
      </c>
      <c r="B5722" s="3">
        <v>0.3062037037037037</v>
      </c>
      <c r="C5722">
        <v>8309</v>
      </c>
      <c r="D5722" t="str">
        <f>VLOOKUP(H5722,Produkt!$A$2:$B$5,2,FALSE)</f>
        <v>D</v>
      </c>
      <c r="H5722">
        <v>4</v>
      </c>
      <c r="I5722">
        <v>0.32494212962962959</v>
      </c>
      <c r="J5722">
        <v>44788</v>
      </c>
    </row>
    <row r="5723" spans="1:10" x14ac:dyDescent="0.35">
      <c r="A5723" s="2">
        <v>44791</v>
      </c>
      <c r="B5723" s="3">
        <v>0.38138888888888883</v>
      </c>
      <c r="C5723">
        <v>8322</v>
      </c>
      <c r="D5723" t="str">
        <f>VLOOKUP(H5723,Produkt!$A$2:$B$5,2,FALSE)</f>
        <v>D</v>
      </c>
      <c r="H5723">
        <v>4</v>
      </c>
      <c r="I5723">
        <v>0.43513888888888891</v>
      </c>
      <c r="J5723">
        <v>44780</v>
      </c>
    </row>
    <row r="5724" spans="1:10" x14ac:dyDescent="0.35">
      <c r="A5724" s="2">
        <v>44791</v>
      </c>
      <c r="B5724" s="3">
        <v>3.4166666666666672E-2</v>
      </c>
      <c r="C5724">
        <v>8337</v>
      </c>
      <c r="D5724" t="str">
        <f>VLOOKUP(H5724,Produkt!$A$2:$B$5,2,FALSE)</f>
        <v>C</v>
      </c>
      <c r="H5724">
        <v>3</v>
      </c>
      <c r="I5724">
        <v>0.59237268518518515</v>
      </c>
      <c r="J5724">
        <v>44787</v>
      </c>
    </row>
    <row r="5725" spans="1:10" x14ac:dyDescent="0.35">
      <c r="A5725" s="2">
        <v>44791</v>
      </c>
      <c r="B5725" s="3">
        <v>0.47803240740740738</v>
      </c>
      <c r="C5725">
        <v>8389</v>
      </c>
      <c r="D5725" t="str">
        <f>VLOOKUP(H5725,Produkt!$A$2:$B$5,2,FALSE)</f>
        <v>B</v>
      </c>
      <c r="H5725">
        <v>2</v>
      </c>
      <c r="I5725">
        <v>0.81251157407407415</v>
      </c>
      <c r="J5725">
        <v>44793</v>
      </c>
    </row>
    <row r="5726" spans="1:10" x14ac:dyDescent="0.35">
      <c r="A5726" s="2">
        <v>44791</v>
      </c>
      <c r="B5726" s="3">
        <v>0.72283564814814805</v>
      </c>
      <c r="C5726">
        <v>8404</v>
      </c>
      <c r="D5726" t="str">
        <f>VLOOKUP(H5726,Produkt!$A$2:$B$5,2,FALSE)</f>
        <v>D</v>
      </c>
      <c r="H5726">
        <v>4</v>
      </c>
      <c r="I5726">
        <v>0.10665509259259259</v>
      </c>
      <c r="J5726">
        <v>44799</v>
      </c>
    </row>
    <row r="5727" spans="1:10" x14ac:dyDescent="0.35">
      <c r="A5727" s="2">
        <v>44791</v>
      </c>
      <c r="B5727" s="3">
        <v>0.85251157407407396</v>
      </c>
      <c r="C5727">
        <v>8412</v>
      </c>
      <c r="D5727" t="str">
        <f>VLOOKUP(H5727,Produkt!$A$2:$B$5,2,FALSE)</f>
        <v>C</v>
      </c>
      <c r="H5727">
        <v>3</v>
      </c>
      <c r="I5727">
        <v>0.31064814814814817</v>
      </c>
      <c r="J5727">
        <v>44775</v>
      </c>
    </row>
    <row r="5728" spans="1:10" x14ac:dyDescent="0.35">
      <c r="A5728" s="2">
        <v>44791</v>
      </c>
      <c r="B5728" s="3">
        <v>0.99673611111111116</v>
      </c>
      <c r="C5728">
        <v>8449</v>
      </c>
      <c r="D5728" t="str">
        <f>VLOOKUP(H5728,Produkt!$A$2:$B$5,2,FALSE)</f>
        <v>C</v>
      </c>
      <c r="H5728">
        <v>3</v>
      </c>
      <c r="I5728">
        <v>0.45021990740740742</v>
      </c>
      <c r="J5728">
        <v>44799</v>
      </c>
    </row>
    <row r="5729" spans="1:10" x14ac:dyDescent="0.35">
      <c r="A5729" s="2">
        <v>44791</v>
      </c>
      <c r="B5729" s="3">
        <v>0.68516203703703704</v>
      </c>
      <c r="C5729">
        <v>8462</v>
      </c>
      <c r="D5729" t="str">
        <f>VLOOKUP(H5729,Produkt!$A$2:$B$5,2,FALSE)</f>
        <v>B</v>
      </c>
      <c r="H5729">
        <v>2</v>
      </c>
      <c r="I5729">
        <v>0.51527777777777783</v>
      </c>
      <c r="J5729">
        <v>44804</v>
      </c>
    </row>
    <row r="5730" spans="1:10" x14ac:dyDescent="0.35">
      <c r="A5730" s="2">
        <v>44791</v>
      </c>
      <c r="B5730" s="3">
        <v>0.88195601851851846</v>
      </c>
      <c r="C5730">
        <v>8469</v>
      </c>
      <c r="D5730" t="str">
        <f>VLOOKUP(H5730,Produkt!$A$2:$B$5,2,FALSE)</f>
        <v>D</v>
      </c>
      <c r="H5730">
        <v>4</v>
      </c>
      <c r="I5730">
        <v>0.68890046296296292</v>
      </c>
      <c r="J5730">
        <v>44788</v>
      </c>
    </row>
    <row r="5731" spans="1:10" x14ac:dyDescent="0.35">
      <c r="A5731" s="2">
        <v>44791</v>
      </c>
      <c r="B5731" s="3">
        <v>6.5115740740740738E-2</v>
      </c>
      <c r="C5731">
        <v>8481</v>
      </c>
      <c r="D5731" t="str">
        <f>VLOOKUP(H5731,Produkt!$A$2:$B$5,2,FALSE)</f>
        <v>D</v>
      </c>
      <c r="H5731">
        <v>4</v>
      </c>
      <c r="I5731">
        <v>0.6283333333333333</v>
      </c>
      <c r="J5731">
        <v>44804</v>
      </c>
    </row>
    <row r="5732" spans="1:10" x14ac:dyDescent="0.35">
      <c r="A5732" s="2">
        <v>44791</v>
      </c>
      <c r="B5732" s="3">
        <v>0.10035879629629629</v>
      </c>
      <c r="C5732">
        <v>8482</v>
      </c>
      <c r="D5732" t="str">
        <f>VLOOKUP(H5732,Produkt!$A$2:$B$5,2,FALSE)</f>
        <v>D</v>
      </c>
      <c r="H5732">
        <v>4</v>
      </c>
      <c r="I5732">
        <v>1.1932870370370496E-2</v>
      </c>
      <c r="J5732">
        <v>44775</v>
      </c>
    </row>
    <row r="5733" spans="1:10" x14ac:dyDescent="0.35">
      <c r="A5733" s="2">
        <v>44791</v>
      </c>
      <c r="B5733" s="3">
        <v>0.64415509259259263</v>
      </c>
      <c r="C5733">
        <v>8485</v>
      </c>
      <c r="D5733" t="str">
        <f>VLOOKUP(H5733,Produkt!$A$2:$B$5,2,FALSE)</f>
        <v>A</v>
      </c>
      <c r="H5733">
        <v>1</v>
      </c>
      <c r="I5733">
        <v>0.6658680555555555</v>
      </c>
      <c r="J5733">
        <v>44801</v>
      </c>
    </row>
    <row r="5734" spans="1:10" x14ac:dyDescent="0.35">
      <c r="A5734" s="2">
        <v>44791</v>
      </c>
      <c r="B5734" s="3">
        <v>0.99570601851851848</v>
      </c>
      <c r="C5734">
        <v>8486</v>
      </c>
      <c r="D5734" t="str">
        <f>VLOOKUP(H5734,Produkt!$A$2:$B$5,2,FALSE)</f>
        <v>B</v>
      </c>
      <c r="H5734">
        <v>2</v>
      </c>
      <c r="I5734">
        <v>0.7620717592592593</v>
      </c>
      <c r="J5734">
        <v>44779</v>
      </c>
    </row>
    <row r="5735" spans="1:10" x14ac:dyDescent="0.35">
      <c r="A5735" s="2">
        <v>44791</v>
      </c>
      <c r="B5735" s="3">
        <v>3.44444444444445E-2</v>
      </c>
      <c r="C5735">
        <v>8492</v>
      </c>
      <c r="D5735" t="str">
        <f>VLOOKUP(H5735,Produkt!$A$2:$B$5,2,FALSE)</f>
        <v>B</v>
      </c>
      <c r="H5735">
        <v>2</v>
      </c>
      <c r="I5735">
        <v>0.65101851851851855</v>
      </c>
      <c r="J5735">
        <v>44775</v>
      </c>
    </row>
    <row r="5736" spans="1:10" x14ac:dyDescent="0.35">
      <c r="A5736" s="2">
        <v>44791</v>
      </c>
      <c r="B5736" s="3">
        <v>0.57934027777777775</v>
      </c>
      <c r="C5736">
        <v>8515</v>
      </c>
      <c r="D5736" t="str">
        <f>VLOOKUP(H5736,Produkt!$A$2:$B$5,2,FALSE)</f>
        <v>C</v>
      </c>
      <c r="H5736">
        <v>3</v>
      </c>
      <c r="I5736">
        <v>0.3379050925925926</v>
      </c>
      <c r="J5736">
        <v>44792</v>
      </c>
    </row>
    <row r="5737" spans="1:10" x14ac:dyDescent="0.35">
      <c r="A5737" s="2">
        <v>44791</v>
      </c>
      <c r="B5737" s="3">
        <v>0.38881944444444444</v>
      </c>
      <c r="C5737">
        <v>8564</v>
      </c>
      <c r="D5737" t="str">
        <f>VLOOKUP(H5737,Produkt!$A$2:$B$5,2,FALSE)</f>
        <v>B</v>
      </c>
      <c r="H5737">
        <v>2</v>
      </c>
      <c r="I5737">
        <v>0.95016203703703705</v>
      </c>
      <c r="J5737">
        <v>44792</v>
      </c>
    </row>
    <row r="5738" spans="1:10" x14ac:dyDescent="0.35">
      <c r="A5738" s="2">
        <v>44791</v>
      </c>
      <c r="B5738" s="3">
        <v>0.73299768518518515</v>
      </c>
      <c r="C5738">
        <v>8598</v>
      </c>
      <c r="D5738" t="str">
        <f>VLOOKUP(H5738,Produkt!$A$2:$B$5,2,FALSE)</f>
        <v>D</v>
      </c>
      <c r="H5738">
        <v>4</v>
      </c>
      <c r="I5738">
        <v>0.72615740740740742</v>
      </c>
      <c r="J5738">
        <v>44794</v>
      </c>
    </row>
    <row r="5739" spans="1:10" x14ac:dyDescent="0.35">
      <c r="A5739" s="2">
        <v>44791</v>
      </c>
      <c r="B5739" s="3">
        <v>0.82067129629629632</v>
      </c>
      <c r="C5739">
        <v>8638</v>
      </c>
      <c r="D5739" t="str">
        <f>VLOOKUP(H5739,Produkt!$A$2:$B$5,2,FALSE)</f>
        <v>D</v>
      </c>
      <c r="H5739">
        <v>4</v>
      </c>
      <c r="I5739">
        <v>0.73210648148148139</v>
      </c>
      <c r="J5739">
        <v>44788</v>
      </c>
    </row>
    <row r="5740" spans="1:10" x14ac:dyDescent="0.35">
      <c r="A5740" s="2">
        <v>44791</v>
      </c>
      <c r="B5740" s="3">
        <v>0.58726851851851858</v>
      </c>
      <c r="C5740">
        <v>8654</v>
      </c>
      <c r="D5740" t="str">
        <f>VLOOKUP(H5740,Produkt!$A$2:$B$5,2,FALSE)</f>
        <v>A</v>
      </c>
      <c r="H5740">
        <v>1</v>
      </c>
      <c r="I5740">
        <v>0.11319444444444444</v>
      </c>
      <c r="J5740">
        <v>44783</v>
      </c>
    </row>
    <row r="5741" spans="1:10" x14ac:dyDescent="0.35">
      <c r="A5741" s="2">
        <v>44791</v>
      </c>
      <c r="B5741" s="3">
        <v>0.86115740740740743</v>
      </c>
      <c r="C5741">
        <v>8657</v>
      </c>
      <c r="D5741" t="str">
        <f>VLOOKUP(H5741,Produkt!$A$2:$B$5,2,FALSE)</f>
        <v>A</v>
      </c>
      <c r="H5741">
        <v>1</v>
      </c>
      <c r="I5741">
        <v>0.77515046296296297</v>
      </c>
      <c r="J5741">
        <v>44799</v>
      </c>
    </row>
    <row r="5742" spans="1:10" x14ac:dyDescent="0.35">
      <c r="A5742" s="2">
        <v>44791</v>
      </c>
      <c r="B5742" s="3">
        <v>0.84047453703703701</v>
      </c>
      <c r="C5742">
        <v>8669</v>
      </c>
      <c r="D5742" t="str">
        <f>VLOOKUP(H5742,Produkt!$A$2:$B$5,2,FALSE)</f>
        <v>B</v>
      </c>
      <c r="H5742">
        <v>2</v>
      </c>
      <c r="I5742">
        <v>0.6586805555555556</v>
      </c>
      <c r="J5742">
        <v>44803</v>
      </c>
    </row>
    <row r="5743" spans="1:10" x14ac:dyDescent="0.35">
      <c r="A5743" s="2">
        <v>44791</v>
      </c>
      <c r="B5743" s="3">
        <v>0.85783564814814817</v>
      </c>
      <c r="C5743">
        <v>8724</v>
      </c>
      <c r="D5743" t="str">
        <f>VLOOKUP(H5743,Produkt!$A$2:$B$5,2,FALSE)</f>
        <v>B</v>
      </c>
      <c r="H5743">
        <v>2</v>
      </c>
      <c r="I5743">
        <v>0.82418981481481479</v>
      </c>
      <c r="J5743">
        <v>44797</v>
      </c>
    </row>
    <row r="5744" spans="1:10" x14ac:dyDescent="0.35">
      <c r="A5744" s="2">
        <v>44791</v>
      </c>
      <c r="B5744" s="3">
        <v>0.46596064814814814</v>
      </c>
      <c r="C5744">
        <v>8726</v>
      </c>
      <c r="D5744" t="str">
        <f>VLOOKUP(H5744,Produkt!$A$2:$B$5,2,FALSE)</f>
        <v>C</v>
      </c>
      <c r="H5744">
        <v>3</v>
      </c>
      <c r="I5744">
        <v>0.79002314814814811</v>
      </c>
      <c r="J5744">
        <v>44801</v>
      </c>
    </row>
    <row r="5745" spans="1:10" x14ac:dyDescent="0.35">
      <c r="A5745" s="2">
        <v>44791</v>
      </c>
      <c r="B5745" s="3">
        <v>9.5474537037037052E-2</v>
      </c>
      <c r="C5745">
        <v>8755</v>
      </c>
      <c r="D5745" t="str">
        <f>VLOOKUP(H5745,Produkt!$A$2:$B$5,2,FALSE)</f>
        <v>A</v>
      </c>
      <c r="H5745">
        <v>1</v>
      </c>
      <c r="I5745">
        <v>0.24857638888888889</v>
      </c>
      <c r="J5745">
        <v>44799</v>
      </c>
    </row>
    <row r="5746" spans="1:10" x14ac:dyDescent="0.35">
      <c r="A5746" s="2">
        <v>44791</v>
      </c>
      <c r="B5746" s="3">
        <v>0.25103009259259262</v>
      </c>
      <c r="C5746">
        <v>8784</v>
      </c>
      <c r="D5746" t="str">
        <f>VLOOKUP(H5746,Produkt!$A$2:$B$5,2,FALSE)</f>
        <v>D</v>
      </c>
      <c r="H5746">
        <v>4</v>
      </c>
      <c r="I5746">
        <v>8.2071759259259261E-2</v>
      </c>
      <c r="J5746">
        <v>44778</v>
      </c>
    </row>
    <row r="5747" spans="1:10" x14ac:dyDescent="0.35">
      <c r="A5747" s="2">
        <v>44791</v>
      </c>
      <c r="B5747" s="3">
        <v>2.2974537037036891E-2</v>
      </c>
      <c r="C5747">
        <v>8824</v>
      </c>
      <c r="D5747" t="str">
        <f>VLOOKUP(H5747,Produkt!$A$2:$B$5,2,FALSE)</f>
        <v>B</v>
      </c>
      <c r="H5747">
        <v>2</v>
      </c>
      <c r="I5747">
        <v>0.63091435185185185</v>
      </c>
      <c r="J5747">
        <v>44778</v>
      </c>
    </row>
    <row r="5748" spans="1:10" x14ac:dyDescent="0.35">
      <c r="A5748" s="2">
        <v>44791</v>
      </c>
      <c r="B5748" s="3">
        <v>0.39542824074074073</v>
      </c>
      <c r="C5748">
        <v>8825</v>
      </c>
      <c r="D5748" t="str">
        <f>VLOOKUP(H5748,Produkt!$A$2:$B$5,2,FALSE)</f>
        <v>C</v>
      </c>
      <c r="H5748">
        <v>3</v>
      </c>
      <c r="I5748">
        <v>0.15686342592592592</v>
      </c>
      <c r="J5748">
        <v>44792</v>
      </c>
    </row>
    <row r="5749" spans="1:10" x14ac:dyDescent="0.35">
      <c r="A5749" s="2">
        <v>44791</v>
      </c>
      <c r="B5749" s="3">
        <v>0.70248842592592586</v>
      </c>
      <c r="C5749">
        <v>8873</v>
      </c>
      <c r="D5749" t="str">
        <f>VLOOKUP(H5749,Produkt!$A$2:$B$5,2,FALSE)</f>
        <v>C</v>
      </c>
      <c r="H5749">
        <v>3</v>
      </c>
      <c r="I5749">
        <v>0.43355324074074075</v>
      </c>
      <c r="J5749">
        <v>44799</v>
      </c>
    </row>
    <row r="5750" spans="1:10" x14ac:dyDescent="0.35">
      <c r="A5750" s="2">
        <v>44791</v>
      </c>
      <c r="B5750" s="3">
        <v>0.60603009259259266</v>
      </c>
      <c r="C5750">
        <v>8902</v>
      </c>
      <c r="D5750" t="str">
        <f>VLOOKUP(H5750,Produkt!$A$2:$B$5,2,FALSE)</f>
        <v>B</v>
      </c>
      <c r="H5750">
        <v>2</v>
      </c>
      <c r="I5750">
        <v>0.44796296296296295</v>
      </c>
      <c r="J5750">
        <v>44794</v>
      </c>
    </row>
    <row r="5751" spans="1:10" x14ac:dyDescent="0.35">
      <c r="A5751" s="2">
        <v>44791</v>
      </c>
      <c r="B5751" s="3">
        <v>0.91692129629629626</v>
      </c>
      <c r="C5751">
        <v>8916</v>
      </c>
      <c r="D5751" t="str">
        <f>VLOOKUP(H5751,Produkt!$A$2:$B$5,2,FALSE)</f>
        <v>D</v>
      </c>
      <c r="H5751">
        <v>4</v>
      </c>
      <c r="I5751">
        <v>0.22777777777777777</v>
      </c>
      <c r="J5751">
        <v>44790</v>
      </c>
    </row>
    <row r="5752" spans="1:10" x14ac:dyDescent="0.35">
      <c r="A5752" s="2">
        <v>44791</v>
      </c>
      <c r="B5752" s="3">
        <v>0.50924768518518515</v>
      </c>
      <c r="C5752">
        <v>8937</v>
      </c>
      <c r="D5752" t="str">
        <f>VLOOKUP(H5752,Produkt!$A$2:$B$5,2,FALSE)</f>
        <v>A</v>
      </c>
      <c r="H5752">
        <v>1</v>
      </c>
      <c r="I5752">
        <v>0.15299768518518519</v>
      </c>
      <c r="J5752">
        <v>44783</v>
      </c>
    </row>
    <row r="5753" spans="1:10" x14ac:dyDescent="0.35">
      <c r="A5753" s="2">
        <v>44791</v>
      </c>
      <c r="B5753" s="3">
        <v>0.81793981481481481</v>
      </c>
      <c r="C5753">
        <v>8972</v>
      </c>
      <c r="D5753" t="str">
        <f>VLOOKUP(H5753,Produkt!$A$2:$B$5,2,FALSE)</f>
        <v>A</v>
      </c>
      <c r="H5753">
        <v>1</v>
      </c>
      <c r="I5753">
        <v>0.5257060185185185</v>
      </c>
      <c r="J5753">
        <v>44795</v>
      </c>
    </row>
    <row r="5754" spans="1:10" x14ac:dyDescent="0.35">
      <c r="A5754" s="2">
        <v>44791</v>
      </c>
      <c r="B5754" s="3">
        <v>3.6481481481481337E-2</v>
      </c>
      <c r="C5754">
        <v>9002</v>
      </c>
      <c r="D5754" t="str">
        <f>VLOOKUP(H5754,Produkt!$A$2:$B$5,2,FALSE)</f>
        <v>A</v>
      </c>
      <c r="H5754">
        <v>1</v>
      </c>
      <c r="I5754">
        <v>1.7905092592592542E-2</v>
      </c>
      <c r="J5754">
        <v>44794</v>
      </c>
    </row>
    <row r="5755" spans="1:10" x14ac:dyDescent="0.35">
      <c r="A5755" s="2">
        <v>44791</v>
      </c>
      <c r="B5755" s="3">
        <v>0.75871527777777781</v>
      </c>
      <c r="C5755">
        <v>9005</v>
      </c>
      <c r="D5755" t="str">
        <f>VLOOKUP(H5755,Produkt!$A$2:$B$5,2,FALSE)</f>
        <v>A</v>
      </c>
      <c r="H5755">
        <v>1</v>
      </c>
      <c r="I5755">
        <v>0.16585648148148149</v>
      </c>
      <c r="J5755">
        <v>44792</v>
      </c>
    </row>
    <row r="5756" spans="1:10" x14ac:dyDescent="0.35">
      <c r="A5756" s="2">
        <v>44791</v>
      </c>
      <c r="B5756" s="3">
        <v>0.8523842592592592</v>
      </c>
      <c r="C5756">
        <v>9006</v>
      </c>
      <c r="D5756" t="str">
        <f>VLOOKUP(H5756,Produkt!$A$2:$B$5,2,FALSE)</f>
        <v>D</v>
      </c>
      <c r="H5756">
        <v>4</v>
      </c>
      <c r="I5756">
        <v>0.30606481481481479</v>
      </c>
      <c r="J5756">
        <v>44804</v>
      </c>
    </row>
    <row r="5757" spans="1:10" x14ac:dyDescent="0.35">
      <c r="A5757" s="2">
        <v>44791</v>
      </c>
      <c r="B5757" s="3">
        <v>0.60699074074074078</v>
      </c>
      <c r="C5757">
        <v>9010</v>
      </c>
      <c r="D5757" t="str">
        <f>VLOOKUP(H5757,Produkt!$A$2:$B$5,2,FALSE)</f>
        <v>A</v>
      </c>
      <c r="H5757">
        <v>1</v>
      </c>
      <c r="I5757">
        <v>0.37803240740740746</v>
      </c>
      <c r="J5757">
        <v>44783</v>
      </c>
    </row>
    <row r="5758" spans="1:10" x14ac:dyDescent="0.35">
      <c r="A5758" s="2">
        <v>44791</v>
      </c>
      <c r="B5758" s="3">
        <v>0.67061342592592599</v>
      </c>
      <c r="C5758">
        <v>9048</v>
      </c>
      <c r="D5758" t="str">
        <f>VLOOKUP(H5758,Produkt!$A$2:$B$5,2,FALSE)</f>
        <v>B</v>
      </c>
      <c r="H5758">
        <v>2</v>
      </c>
      <c r="I5758">
        <v>0.93368055555555562</v>
      </c>
      <c r="J5758">
        <v>44774</v>
      </c>
    </row>
    <row r="5759" spans="1:10" x14ac:dyDescent="0.35">
      <c r="A5759" s="2">
        <v>44791</v>
      </c>
      <c r="B5759" s="3">
        <v>0.97723379629629636</v>
      </c>
      <c r="C5759">
        <v>9051</v>
      </c>
      <c r="D5759" t="str">
        <f>VLOOKUP(H5759,Produkt!$A$2:$B$5,2,FALSE)</f>
        <v>A</v>
      </c>
      <c r="H5759">
        <v>1</v>
      </c>
      <c r="I5759">
        <v>0.10078703703703702</v>
      </c>
      <c r="J5759">
        <v>44783</v>
      </c>
    </row>
    <row r="5760" spans="1:10" x14ac:dyDescent="0.35">
      <c r="A5760" s="2">
        <v>44791</v>
      </c>
      <c r="B5760" s="3">
        <v>5.4861111111110805E-3</v>
      </c>
      <c r="C5760">
        <v>9054</v>
      </c>
      <c r="D5760" t="str">
        <f>VLOOKUP(H5760,Produkt!$A$2:$B$5,2,FALSE)</f>
        <v>B</v>
      </c>
      <c r="H5760">
        <v>2</v>
      </c>
      <c r="I5760">
        <v>0.89093750000000005</v>
      </c>
      <c r="J5760">
        <v>44802</v>
      </c>
    </row>
    <row r="5761" spans="1:10" x14ac:dyDescent="0.35">
      <c r="A5761" s="2">
        <v>44791</v>
      </c>
      <c r="B5761" s="3">
        <v>0.54615740740740748</v>
      </c>
      <c r="C5761">
        <v>9064</v>
      </c>
      <c r="D5761" t="str">
        <f>VLOOKUP(H5761,Produkt!$A$2:$B$5,2,FALSE)</f>
        <v>A</v>
      </c>
      <c r="H5761">
        <v>1</v>
      </c>
      <c r="I5761">
        <v>0.5309490740740741</v>
      </c>
      <c r="J5761">
        <v>44790</v>
      </c>
    </row>
    <row r="5762" spans="1:10" x14ac:dyDescent="0.35">
      <c r="A5762" s="2">
        <v>44791</v>
      </c>
      <c r="B5762" s="3">
        <v>9.0856481481481483E-3</v>
      </c>
      <c r="C5762">
        <v>9078</v>
      </c>
      <c r="D5762" t="str">
        <f>VLOOKUP(H5762,Produkt!$A$2:$B$5,2,FALSE)</f>
        <v>C</v>
      </c>
      <c r="H5762">
        <v>3</v>
      </c>
      <c r="I5762">
        <v>1.9328703703703702E-2</v>
      </c>
      <c r="J5762">
        <v>44783</v>
      </c>
    </row>
    <row r="5763" spans="1:10" x14ac:dyDescent="0.35">
      <c r="A5763" s="2">
        <v>44791</v>
      </c>
      <c r="B5763" s="3">
        <v>0.30910879629629628</v>
      </c>
      <c r="C5763">
        <v>9086</v>
      </c>
      <c r="D5763" t="str">
        <f>VLOOKUP(H5763,Produkt!$A$2:$B$5,2,FALSE)</f>
        <v>B</v>
      </c>
      <c r="H5763">
        <v>2</v>
      </c>
      <c r="I5763">
        <v>0.68215277777777772</v>
      </c>
      <c r="J5763">
        <v>44797</v>
      </c>
    </row>
    <row r="5764" spans="1:10" x14ac:dyDescent="0.35">
      <c r="A5764" s="2">
        <v>44791</v>
      </c>
      <c r="B5764" s="3">
        <v>0.83348379629629632</v>
      </c>
      <c r="C5764">
        <v>9099</v>
      </c>
      <c r="D5764" t="str">
        <f>VLOOKUP(H5764,Produkt!$A$2:$B$5,2,FALSE)</f>
        <v>B</v>
      </c>
      <c r="H5764">
        <v>2</v>
      </c>
      <c r="I5764">
        <v>6.2812499999999993E-2</v>
      </c>
      <c r="J5764">
        <v>44793</v>
      </c>
    </row>
    <row r="5765" spans="1:10" x14ac:dyDescent="0.35">
      <c r="A5765" s="2">
        <v>44791</v>
      </c>
      <c r="B5765" s="3">
        <v>0.25939814814814816</v>
      </c>
      <c r="C5765">
        <v>9106</v>
      </c>
      <c r="D5765" t="str">
        <f>VLOOKUP(H5765,Produkt!$A$2:$B$5,2,FALSE)</f>
        <v>C</v>
      </c>
      <c r="H5765">
        <v>3</v>
      </c>
      <c r="I5765">
        <v>0.57341435185185186</v>
      </c>
      <c r="J5765">
        <v>44788</v>
      </c>
    </row>
    <row r="5766" spans="1:10" x14ac:dyDescent="0.35">
      <c r="A5766" s="2">
        <v>44791</v>
      </c>
      <c r="B5766" s="3">
        <v>0.20314814814814816</v>
      </c>
      <c r="C5766">
        <v>9194</v>
      </c>
      <c r="D5766" t="str">
        <f>VLOOKUP(H5766,Produkt!$A$2:$B$5,2,FALSE)</f>
        <v>C</v>
      </c>
      <c r="H5766">
        <v>3</v>
      </c>
      <c r="I5766">
        <v>0.7556250000000001</v>
      </c>
      <c r="J5766">
        <v>44792</v>
      </c>
    </row>
    <row r="5767" spans="1:10" x14ac:dyDescent="0.35">
      <c r="A5767" s="2">
        <v>44791</v>
      </c>
      <c r="B5767" s="3">
        <v>0.48055555555555557</v>
      </c>
      <c r="C5767">
        <v>9195</v>
      </c>
      <c r="D5767" t="str">
        <f>VLOOKUP(H5767,Produkt!$A$2:$B$5,2,FALSE)</f>
        <v>D</v>
      </c>
      <c r="H5767">
        <v>4</v>
      </c>
      <c r="I5767">
        <v>0.18606481481481482</v>
      </c>
      <c r="J5767">
        <v>44788</v>
      </c>
    </row>
    <row r="5768" spans="1:10" x14ac:dyDescent="0.35">
      <c r="A5768" s="2">
        <v>44791</v>
      </c>
      <c r="B5768" s="3">
        <v>0.1898148148148148</v>
      </c>
      <c r="C5768">
        <v>9223</v>
      </c>
      <c r="D5768" t="str">
        <f>VLOOKUP(H5768,Produkt!$A$2:$B$5,2,FALSE)</f>
        <v>D</v>
      </c>
      <c r="H5768">
        <v>4</v>
      </c>
      <c r="I5768">
        <v>0.17024305555555555</v>
      </c>
      <c r="J5768">
        <v>44802</v>
      </c>
    </row>
    <row r="5769" spans="1:10" x14ac:dyDescent="0.35">
      <c r="A5769" s="2">
        <v>44791</v>
      </c>
      <c r="B5769" s="3">
        <v>0.35771990740740739</v>
      </c>
      <c r="C5769">
        <v>9230</v>
      </c>
      <c r="D5769" t="str">
        <f>VLOOKUP(H5769,Produkt!$A$2:$B$5,2,FALSE)</f>
        <v>C</v>
      </c>
      <c r="H5769">
        <v>3</v>
      </c>
      <c r="I5769">
        <v>0.10956018518518518</v>
      </c>
      <c r="J5769">
        <v>44790</v>
      </c>
    </row>
    <row r="5770" spans="1:10" x14ac:dyDescent="0.35">
      <c r="A5770" s="2">
        <v>44791</v>
      </c>
      <c r="B5770" s="3">
        <v>2.521990740740741E-2</v>
      </c>
      <c r="C5770">
        <v>9238</v>
      </c>
      <c r="D5770" t="str">
        <f>VLOOKUP(H5770,Produkt!$A$2:$B$5,2,FALSE)</f>
        <v>D</v>
      </c>
      <c r="H5770">
        <v>4</v>
      </c>
      <c r="I5770">
        <v>0.96422453703703714</v>
      </c>
      <c r="J5770">
        <v>44780</v>
      </c>
    </row>
    <row r="5771" spans="1:10" x14ac:dyDescent="0.35">
      <c r="A5771" s="2">
        <v>44791</v>
      </c>
      <c r="B5771" s="3">
        <v>0.8359375</v>
      </c>
      <c r="C5771">
        <v>9241</v>
      </c>
      <c r="D5771" t="str">
        <f>VLOOKUP(H5771,Produkt!$A$2:$B$5,2,FALSE)</f>
        <v>D</v>
      </c>
      <c r="H5771">
        <v>4</v>
      </c>
      <c r="I5771">
        <v>0.93562499999999993</v>
      </c>
      <c r="J5771">
        <v>44793</v>
      </c>
    </row>
    <row r="5772" spans="1:10" x14ac:dyDescent="0.35">
      <c r="A5772" s="2">
        <v>44791</v>
      </c>
      <c r="B5772" s="3">
        <v>0.68130787037037033</v>
      </c>
      <c r="C5772">
        <v>9283</v>
      </c>
      <c r="D5772" t="str">
        <f>VLOOKUP(H5772,Produkt!$A$2:$B$5,2,FALSE)</f>
        <v>C</v>
      </c>
      <c r="H5772">
        <v>3</v>
      </c>
      <c r="I5772">
        <v>6.356481481481481E-2</v>
      </c>
      <c r="J5772">
        <v>44788</v>
      </c>
    </row>
    <row r="5773" spans="1:10" x14ac:dyDescent="0.35">
      <c r="A5773" s="2">
        <v>44791</v>
      </c>
      <c r="B5773" s="3">
        <v>0.90891203703703705</v>
      </c>
      <c r="C5773">
        <v>9306</v>
      </c>
      <c r="D5773" t="str">
        <f>VLOOKUP(H5773,Produkt!$A$2:$B$5,2,FALSE)</f>
        <v>C</v>
      </c>
      <c r="H5773">
        <v>3</v>
      </c>
      <c r="I5773">
        <v>0.78541666666666676</v>
      </c>
      <c r="J5773">
        <v>44782</v>
      </c>
    </row>
    <row r="5774" spans="1:10" x14ac:dyDescent="0.35">
      <c r="A5774" s="2">
        <v>44791</v>
      </c>
      <c r="B5774" s="3">
        <v>0.16229166666666667</v>
      </c>
      <c r="C5774">
        <v>9314</v>
      </c>
      <c r="D5774" t="str">
        <f>VLOOKUP(H5774,Produkt!$A$2:$B$5,2,FALSE)</f>
        <v>B</v>
      </c>
      <c r="H5774">
        <v>2</v>
      </c>
      <c r="I5774">
        <v>0.20281249999999998</v>
      </c>
      <c r="J5774">
        <v>44775</v>
      </c>
    </row>
    <row r="5775" spans="1:10" x14ac:dyDescent="0.35">
      <c r="A5775" s="2">
        <v>44791</v>
      </c>
      <c r="B5775" s="3">
        <v>0.22949074074074075</v>
      </c>
      <c r="C5775">
        <v>9332</v>
      </c>
      <c r="D5775" t="str">
        <f>VLOOKUP(H5775,Produkt!$A$2:$B$5,2,FALSE)</f>
        <v>A</v>
      </c>
      <c r="H5775">
        <v>1</v>
      </c>
      <c r="I5775">
        <v>0.24806712962962962</v>
      </c>
      <c r="J5775">
        <v>44791</v>
      </c>
    </row>
    <row r="5776" spans="1:10" x14ac:dyDescent="0.35">
      <c r="A5776" s="2">
        <v>44791</v>
      </c>
      <c r="B5776" s="3">
        <v>7.9293981481481479E-2</v>
      </c>
      <c r="C5776">
        <v>9352</v>
      </c>
      <c r="D5776" t="str">
        <f>VLOOKUP(H5776,Produkt!$A$2:$B$5,2,FALSE)</f>
        <v>D</v>
      </c>
      <c r="H5776">
        <v>4</v>
      </c>
      <c r="I5776">
        <v>0.61545138888888895</v>
      </c>
      <c r="J5776">
        <v>44801</v>
      </c>
    </row>
    <row r="5777" spans="1:10" x14ac:dyDescent="0.35">
      <c r="A5777" s="2">
        <v>44791</v>
      </c>
      <c r="B5777" s="3">
        <v>0.42373842592592598</v>
      </c>
      <c r="C5777">
        <v>9381</v>
      </c>
      <c r="D5777" t="str">
        <f>VLOOKUP(H5777,Produkt!$A$2:$B$5,2,FALSE)</f>
        <v>C</v>
      </c>
      <c r="H5777">
        <v>3</v>
      </c>
      <c r="I5777">
        <v>0.27006944444444442</v>
      </c>
      <c r="J5777">
        <v>44775</v>
      </c>
    </row>
    <row r="5778" spans="1:10" x14ac:dyDescent="0.35">
      <c r="A5778" s="2">
        <v>44791</v>
      </c>
      <c r="B5778" s="3">
        <v>0.70289351851851845</v>
      </c>
      <c r="C5778">
        <v>9404</v>
      </c>
      <c r="D5778" t="str">
        <f>VLOOKUP(H5778,Produkt!$A$2:$B$5,2,FALSE)</f>
        <v>D</v>
      </c>
      <c r="H5778">
        <v>4</v>
      </c>
      <c r="I5778">
        <v>0.83497685185185189</v>
      </c>
      <c r="J5778">
        <v>44784</v>
      </c>
    </row>
    <row r="5779" spans="1:10" x14ac:dyDescent="0.35">
      <c r="A5779" s="2">
        <v>44791</v>
      </c>
      <c r="B5779" s="3">
        <v>7.3402777777777775E-2</v>
      </c>
      <c r="C5779">
        <v>9412</v>
      </c>
      <c r="D5779" t="str">
        <f>VLOOKUP(H5779,Produkt!$A$2:$B$5,2,FALSE)</f>
        <v>C</v>
      </c>
      <c r="H5779">
        <v>3</v>
      </c>
      <c r="I5779">
        <v>0.38541666666666669</v>
      </c>
      <c r="J5779">
        <v>44774</v>
      </c>
    </row>
    <row r="5780" spans="1:10" x14ac:dyDescent="0.35">
      <c r="A5780" s="2">
        <v>44791</v>
      </c>
      <c r="B5780" s="3">
        <v>0.21707175925925926</v>
      </c>
      <c r="C5780">
        <v>9417</v>
      </c>
      <c r="D5780" t="str">
        <f>VLOOKUP(H5780,Produkt!$A$2:$B$5,2,FALSE)</f>
        <v>B</v>
      </c>
      <c r="H5780">
        <v>2</v>
      </c>
      <c r="I5780">
        <v>1.9212962962962963E-2</v>
      </c>
      <c r="J5780">
        <v>44797</v>
      </c>
    </row>
    <row r="5781" spans="1:10" x14ac:dyDescent="0.35">
      <c r="A5781" s="2">
        <v>44791</v>
      </c>
      <c r="B5781" s="3">
        <v>0.2099074074074074</v>
      </c>
      <c r="C5781">
        <v>9457</v>
      </c>
      <c r="D5781" t="str">
        <f>VLOOKUP(H5781,Produkt!$A$2:$B$5,2,FALSE)</f>
        <v>A</v>
      </c>
      <c r="H5781">
        <v>1</v>
      </c>
      <c r="I5781">
        <v>0.42106481481481484</v>
      </c>
      <c r="J5781">
        <v>44778</v>
      </c>
    </row>
    <row r="5782" spans="1:10" x14ac:dyDescent="0.35">
      <c r="A5782" s="2">
        <v>44791</v>
      </c>
      <c r="B5782" s="3">
        <v>0.84369212962962958</v>
      </c>
      <c r="C5782">
        <v>9508</v>
      </c>
      <c r="D5782" t="str">
        <f>VLOOKUP(H5782,Produkt!$A$2:$B$5,2,FALSE)</f>
        <v>D</v>
      </c>
      <c r="H5782">
        <v>4</v>
      </c>
      <c r="I5782">
        <v>2.3715277777777821E-2</v>
      </c>
      <c r="J5782">
        <v>44779</v>
      </c>
    </row>
    <row r="5783" spans="1:10" x14ac:dyDescent="0.35">
      <c r="A5783" s="2">
        <v>44791</v>
      </c>
      <c r="B5783" s="3">
        <v>0.99795138888888879</v>
      </c>
      <c r="C5783">
        <v>9570</v>
      </c>
      <c r="D5783" t="str">
        <f>VLOOKUP(H5783,Produkt!$A$2:$B$5,2,FALSE)</f>
        <v>D</v>
      </c>
      <c r="H5783">
        <v>4</v>
      </c>
      <c r="I5783">
        <v>0.95202546296296298</v>
      </c>
      <c r="J5783">
        <v>44804</v>
      </c>
    </row>
    <row r="5784" spans="1:10" x14ac:dyDescent="0.35">
      <c r="A5784" s="2">
        <v>44791</v>
      </c>
      <c r="B5784" s="3">
        <v>4.4328703703703709E-3</v>
      </c>
      <c r="C5784">
        <v>9582</v>
      </c>
      <c r="D5784" t="str">
        <f>VLOOKUP(H5784,Produkt!$A$2:$B$5,2,FALSE)</f>
        <v>A</v>
      </c>
      <c r="H5784">
        <v>1</v>
      </c>
      <c r="I5784">
        <v>9.2997685185185183E-2</v>
      </c>
      <c r="J5784">
        <v>44776</v>
      </c>
    </row>
    <row r="5785" spans="1:10" x14ac:dyDescent="0.35">
      <c r="A5785" s="2">
        <v>44791</v>
      </c>
      <c r="B5785" s="3">
        <v>0.95120370370370377</v>
      </c>
      <c r="C5785">
        <v>9618</v>
      </c>
      <c r="D5785" t="str">
        <f>VLOOKUP(H5785,Produkt!$A$2:$B$5,2,FALSE)</f>
        <v>C</v>
      </c>
      <c r="H5785">
        <v>3</v>
      </c>
      <c r="I5785">
        <v>0.79383101851851856</v>
      </c>
      <c r="J5785">
        <v>44798</v>
      </c>
    </row>
    <row r="5786" spans="1:10" x14ac:dyDescent="0.35">
      <c r="A5786" s="2">
        <v>44791</v>
      </c>
      <c r="B5786" s="3">
        <v>0.35652777777777778</v>
      </c>
      <c r="C5786">
        <v>9644</v>
      </c>
      <c r="D5786" t="str">
        <f>VLOOKUP(H5786,Produkt!$A$2:$B$5,2,FALSE)</f>
        <v>A</v>
      </c>
      <c r="H5786">
        <v>1</v>
      </c>
      <c r="I5786">
        <v>9.7870370370370371E-2</v>
      </c>
      <c r="J5786">
        <v>44790</v>
      </c>
    </row>
    <row r="5787" spans="1:10" x14ac:dyDescent="0.35">
      <c r="A5787" s="2">
        <v>44791</v>
      </c>
      <c r="B5787" s="3">
        <v>0.43920138888888888</v>
      </c>
      <c r="C5787">
        <v>9656</v>
      </c>
      <c r="D5787" t="str">
        <f>VLOOKUP(H5787,Produkt!$A$2:$B$5,2,FALSE)</f>
        <v>B</v>
      </c>
      <c r="H5787">
        <v>2</v>
      </c>
      <c r="I5787">
        <v>0.17887731481481481</v>
      </c>
      <c r="J5787">
        <v>44804</v>
      </c>
    </row>
    <row r="5788" spans="1:10" x14ac:dyDescent="0.35">
      <c r="A5788" s="2">
        <v>44791</v>
      </c>
      <c r="B5788" s="3">
        <v>3.8703703703703705E-2</v>
      </c>
      <c r="C5788">
        <v>9730</v>
      </c>
      <c r="D5788" t="str">
        <f>VLOOKUP(H5788,Produkt!$A$2:$B$5,2,FALSE)</f>
        <v>D</v>
      </c>
      <c r="H5788">
        <v>4</v>
      </c>
      <c r="I5788">
        <v>0.32267361111111109</v>
      </c>
      <c r="J5788">
        <v>44774</v>
      </c>
    </row>
    <row r="5789" spans="1:10" x14ac:dyDescent="0.35">
      <c r="A5789" s="2">
        <v>44791</v>
      </c>
      <c r="B5789" s="3">
        <v>0.75146990740740749</v>
      </c>
      <c r="C5789">
        <v>9736</v>
      </c>
      <c r="D5789" t="str">
        <f>VLOOKUP(H5789,Produkt!$A$2:$B$5,2,FALSE)</f>
        <v>B</v>
      </c>
      <c r="H5789">
        <v>2</v>
      </c>
      <c r="I5789">
        <v>2.3425925925925961E-2</v>
      </c>
      <c r="J5789">
        <v>44799</v>
      </c>
    </row>
    <row r="5790" spans="1:10" x14ac:dyDescent="0.35">
      <c r="A5790" s="2">
        <v>44791</v>
      </c>
      <c r="B5790" s="3">
        <v>6.0300925925925924E-2</v>
      </c>
      <c r="C5790">
        <v>9800</v>
      </c>
      <c r="D5790" t="str">
        <f>VLOOKUP(H5790,Produkt!$A$2:$B$5,2,FALSE)</f>
        <v>B</v>
      </c>
      <c r="H5790">
        <v>2</v>
      </c>
      <c r="I5790">
        <v>0.92834490740740738</v>
      </c>
      <c r="J5790">
        <v>44780</v>
      </c>
    </row>
    <row r="5791" spans="1:10" x14ac:dyDescent="0.35">
      <c r="A5791" s="2">
        <v>44791</v>
      </c>
      <c r="B5791" s="3">
        <v>0.95405092592592589</v>
      </c>
      <c r="C5791">
        <v>9808</v>
      </c>
      <c r="D5791" t="str">
        <f>VLOOKUP(H5791,Produkt!$A$2:$B$5,2,FALSE)</f>
        <v>B</v>
      </c>
      <c r="H5791">
        <v>2</v>
      </c>
      <c r="I5791">
        <v>7.7743055555555551E-2</v>
      </c>
      <c r="J5791">
        <v>44800</v>
      </c>
    </row>
    <row r="5792" spans="1:10" x14ac:dyDescent="0.35">
      <c r="A5792" s="2">
        <v>44791</v>
      </c>
      <c r="B5792" s="3">
        <v>0.60222222222222221</v>
      </c>
      <c r="C5792">
        <v>9818</v>
      </c>
      <c r="D5792" t="str">
        <f>VLOOKUP(H5792,Produkt!$A$2:$B$5,2,FALSE)</f>
        <v>C</v>
      </c>
      <c r="H5792">
        <v>3</v>
      </c>
      <c r="I5792">
        <v>0.44701388888888888</v>
      </c>
      <c r="J5792">
        <v>44786</v>
      </c>
    </row>
    <row r="5793" spans="1:10" x14ac:dyDescent="0.35">
      <c r="A5793" s="2">
        <v>44791</v>
      </c>
      <c r="B5793" s="3">
        <v>0.96234953703703707</v>
      </c>
      <c r="C5793">
        <v>9949</v>
      </c>
      <c r="D5793" t="str">
        <f>VLOOKUP(H5793,Produkt!$A$2:$B$5,2,FALSE)</f>
        <v>B</v>
      </c>
      <c r="H5793">
        <v>2</v>
      </c>
      <c r="I5793">
        <v>0.53118055555555554</v>
      </c>
      <c r="J5793">
        <v>44788</v>
      </c>
    </row>
    <row r="5794" spans="1:10" x14ac:dyDescent="0.35">
      <c r="A5794" s="2">
        <v>44792</v>
      </c>
      <c r="B5794" s="3">
        <v>0.31837962962962962</v>
      </c>
      <c r="C5794">
        <v>19</v>
      </c>
      <c r="D5794" t="str">
        <f>VLOOKUP(H5794,Produkt!$A$2:$B$5,2,FALSE)</f>
        <v>B</v>
      </c>
      <c r="H5794">
        <v>2</v>
      </c>
      <c r="I5794">
        <v>0.66704861111111102</v>
      </c>
      <c r="J5794">
        <v>44803</v>
      </c>
    </row>
    <row r="5795" spans="1:10" x14ac:dyDescent="0.35">
      <c r="A5795" s="2">
        <v>44792</v>
      </c>
      <c r="B5795" s="3">
        <v>0.34456018518518516</v>
      </c>
      <c r="C5795">
        <v>20</v>
      </c>
      <c r="D5795" t="str">
        <f>VLOOKUP(H5795,Produkt!$A$2:$B$5,2,FALSE)</f>
        <v>B</v>
      </c>
      <c r="H5795">
        <v>2</v>
      </c>
      <c r="I5795">
        <v>0.34097222222222223</v>
      </c>
      <c r="J5795">
        <v>44803</v>
      </c>
    </row>
    <row r="5796" spans="1:10" x14ac:dyDescent="0.35">
      <c r="A5796" s="2">
        <v>44792</v>
      </c>
      <c r="B5796" s="3">
        <v>0.58729166666666666</v>
      </c>
      <c r="C5796">
        <v>40</v>
      </c>
      <c r="D5796" t="str">
        <f>VLOOKUP(H5796,Produkt!$A$2:$B$5,2,FALSE)</f>
        <v>B</v>
      </c>
      <c r="H5796">
        <v>2</v>
      </c>
      <c r="I5796">
        <v>0.72333333333333327</v>
      </c>
      <c r="J5796">
        <v>44784</v>
      </c>
    </row>
    <row r="5797" spans="1:10" x14ac:dyDescent="0.35">
      <c r="A5797" s="2">
        <v>44792</v>
      </c>
      <c r="B5797" s="3">
        <v>0.97945601851851849</v>
      </c>
      <c r="C5797">
        <v>59</v>
      </c>
      <c r="D5797" t="str">
        <f>VLOOKUP(H5797,Produkt!$A$2:$B$5,2,FALSE)</f>
        <v>D</v>
      </c>
      <c r="H5797">
        <v>4</v>
      </c>
      <c r="I5797">
        <v>0.61015046296296294</v>
      </c>
      <c r="J5797">
        <v>44800</v>
      </c>
    </row>
    <row r="5798" spans="1:10" x14ac:dyDescent="0.35">
      <c r="A5798" s="2">
        <v>44792</v>
      </c>
      <c r="B5798" s="3">
        <v>0.23276620370370371</v>
      </c>
      <c r="C5798">
        <v>62</v>
      </c>
      <c r="D5798" t="str">
        <f>VLOOKUP(H5798,Produkt!$A$2:$B$5,2,FALSE)</f>
        <v>A</v>
      </c>
      <c r="H5798">
        <v>1</v>
      </c>
      <c r="I5798">
        <v>0.49353009259259256</v>
      </c>
      <c r="J5798">
        <v>44788</v>
      </c>
    </row>
    <row r="5799" spans="1:10" x14ac:dyDescent="0.35">
      <c r="A5799" s="2">
        <v>44792</v>
      </c>
      <c r="B5799" s="3">
        <v>0.19769675925925925</v>
      </c>
      <c r="C5799">
        <v>84</v>
      </c>
      <c r="D5799" t="str">
        <f>VLOOKUP(H5799,Produkt!$A$2:$B$5,2,FALSE)</f>
        <v>C</v>
      </c>
      <c r="H5799">
        <v>3</v>
      </c>
      <c r="I5799">
        <v>0.99523148148148144</v>
      </c>
      <c r="J5799">
        <v>44783</v>
      </c>
    </row>
    <row r="5800" spans="1:10" x14ac:dyDescent="0.35">
      <c r="A5800" s="2">
        <v>44792</v>
      </c>
      <c r="B5800" s="3">
        <v>0.28659722222222223</v>
      </c>
      <c r="C5800">
        <v>107</v>
      </c>
      <c r="D5800" t="str">
        <f>VLOOKUP(H5800,Produkt!$A$2:$B$5,2,FALSE)</f>
        <v>B</v>
      </c>
      <c r="H5800">
        <v>2</v>
      </c>
      <c r="I5800">
        <v>0.45461805555555551</v>
      </c>
      <c r="J5800">
        <v>44788</v>
      </c>
    </row>
    <row r="5801" spans="1:10" x14ac:dyDescent="0.35">
      <c r="A5801" s="2">
        <v>44792</v>
      </c>
      <c r="B5801" s="3">
        <v>7.1875000000000008E-2</v>
      </c>
      <c r="C5801">
        <v>120</v>
      </c>
      <c r="D5801" t="str">
        <f>VLOOKUP(H5801,Produkt!$A$2:$B$5,2,FALSE)</f>
        <v>D</v>
      </c>
      <c r="H5801">
        <v>4</v>
      </c>
      <c r="I5801">
        <v>0.86179398148148145</v>
      </c>
      <c r="J5801">
        <v>44785</v>
      </c>
    </row>
    <row r="5802" spans="1:10" x14ac:dyDescent="0.35">
      <c r="A5802" s="2">
        <v>44792</v>
      </c>
      <c r="B5802" s="3">
        <v>0.61626157407407411</v>
      </c>
      <c r="C5802">
        <v>122</v>
      </c>
      <c r="D5802" t="str">
        <f>VLOOKUP(H5802,Produkt!$A$2:$B$5,2,FALSE)</f>
        <v>D</v>
      </c>
      <c r="H5802">
        <v>4</v>
      </c>
      <c r="I5802">
        <v>0.71185185185185185</v>
      </c>
      <c r="J5802">
        <v>44792</v>
      </c>
    </row>
    <row r="5803" spans="1:10" x14ac:dyDescent="0.35">
      <c r="A5803" s="2">
        <v>44792</v>
      </c>
      <c r="B5803" s="3">
        <v>0.18155092592592592</v>
      </c>
      <c r="C5803">
        <v>200</v>
      </c>
      <c r="D5803" t="str">
        <f>VLOOKUP(H5803,Produkt!$A$2:$B$5,2,FALSE)</f>
        <v>D</v>
      </c>
      <c r="H5803">
        <v>4</v>
      </c>
      <c r="I5803">
        <v>0.75762731481481482</v>
      </c>
      <c r="J5803">
        <v>44796</v>
      </c>
    </row>
    <row r="5804" spans="1:10" x14ac:dyDescent="0.35">
      <c r="A5804" s="2">
        <v>44792</v>
      </c>
      <c r="B5804" s="3">
        <v>0.875</v>
      </c>
      <c r="C5804">
        <v>230</v>
      </c>
      <c r="D5804" t="str">
        <f>VLOOKUP(H5804,Produkt!$A$2:$B$5,2,FALSE)</f>
        <v>D</v>
      </c>
      <c r="H5804">
        <v>4</v>
      </c>
      <c r="I5804">
        <v>0.17739583333333334</v>
      </c>
      <c r="J5804">
        <v>44802</v>
      </c>
    </row>
    <row r="5805" spans="1:10" x14ac:dyDescent="0.35">
      <c r="A5805" s="2">
        <v>44792</v>
      </c>
      <c r="B5805" s="3">
        <v>0.29233796296296294</v>
      </c>
      <c r="C5805">
        <v>239</v>
      </c>
      <c r="D5805" t="str">
        <f>VLOOKUP(H5805,Produkt!$A$2:$B$5,2,FALSE)</f>
        <v>A</v>
      </c>
      <c r="H5805">
        <v>1</v>
      </c>
      <c r="I5805">
        <v>0.9431018518518518</v>
      </c>
      <c r="J5805">
        <v>44792</v>
      </c>
    </row>
    <row r="5806" spans="1:10" x14ac:dyDescent="0.35">
      <c r="A5806" s="2">
        <v>44792</v>
      </c>
      <c r="B5806" s="3">
        <v>0.47613425925925923</v>
      </c>
      <c r="C5806">
        <v>262</v>
      </c>
      <c r="D5806" t="str">
        <f>VLOOKUP(H5806,Produkt!$A$2:$B$5,2,FALSE)</f>
        <v>B</v>
      </c>
      <c r="H5806">
        <v>2</v>
      </c>
      <c r="I5806">
        <v>0.52379629629629632</v>
      </c>
      <c r="J5806">
        <v>44788</v>
      </c>
    </row>
    <row r="5807" spans="1:10" x14ac:dyDescent="0.35">
      <c r="A5807" s="2">
        <v>44792</v>
      </c>
      <c r="B5807" s="3">
        <v>0.99444444444444446</v>
      </c>
      <c r="C5807">
        <v>266</v>
      </c>
      <c r="D5807" t="str">
        <f>VLOOKUP(H5807,Produkt!$A$2:$B$5,2,FALSE)</f>
        <v>B</v>
      </c>
      <c r="H5807">
        <v>2</v>
      </c>
      <c r="I5807">
        <v>3.6724537037037042E-2</v>
      </c>
      <c r="J5807">
        <v>44784</v>
      </c>
    </row>
    <row r="5808" spans="1:10" x14ac:dyDescent="0.35">
      <c r="A5808" s="2">
        <v>44792</v>
      </c>
      <c r="B5808" s="3">
        <v>0.20673611111111112</v>
      </c>
      <c r="C5808">
        <v>273</v>
      </c>
      <c r="D5808" t="str">
        <f>VLOOKUP(H5808,Produkt!$A$2:$B$5,2,FALSE)</f>
        <v>A</v>
      </c>
      <c r="H5808">
        <v>1</v>
      </c>
      <c r="I5808">
        <v>0.24002314814814815</v>
      </c>
      <c r="J5808">
        <v>44775</v>
      </c>
    </row>
    <row r="5809" spans="1:10" x14ac:dyDescent="0.35">
      <c r="A5809" s="2">
        <v>44792</v>
      </c>
      <c r="B5809" s="3">
        <v>0.79766203703703698</v>
      </c>
      <c r="C5809">
        <v>304</v>
      </c>
      <c r="D5809" t="str">
        <f>VLOOKUP(H5809,Produkt!$A$2:$B$5,2,FALSE)</f>
        <v>C</v>
      </c>
      <c r="H5809">
        <v>3</v>
      </c>
      <c r="I5809">
        <v>0.80747685185185192</v>
      </c>
      <c r="J5809">
        <v>44780</v>
      </c>
    </row>
    <row r="5810" spans="1:10" x14ac:dyDescent="0.35">
      <c r="A5810" s="2">
        <v>44792</v>
      </c>
      <c r="B5810" s="3">
        <v>1.6597222222222152E-2</v>
      </c>
      <c r="C5810">
        <v>314</v>
      </c>
      <c r="D5810" t="str">
        <f>VLOOKUP(H5810,Produkt!$A$2:$B$5,2,FALSE)</f>
        <v>A</v>
      </c>
      <c r="H5810">
        <v>1</v>
      </c>
      <c r="I5810">
        <v>0.92203703703703699</v>
      </c>
      <c r="J5810">
        <v>44776</v>
      </c>
    </row>
    <row r="5811" spans="1:10" x14ac:dyDescent="0.35">
      <c r="A5811" s="2">
        <v>44792</v>
      </c>
      <c r="B5811" s="3">
        <v>0.13719907407407408</v>
      </c>
      <c r="C5811">
        <v>342</v>
      </c>
      <c r="D5811" t="str">
        <f>VLOOKUP(H5811,Produkt!$A$2:$B$5,2,FALSE)</f>
        <v>A</v>
      </c>
      <c r="H5811">
        <v>1</v>
      </c>
      <c r="I5811">
        <v>0.90959490740740734</v>
      </c>
      <c r="J5811">
        <v>44775</v>
      </c>
    </row>
    <row r="5812" spans="1:10" x14ac:dyDescent="0.35">
      <c r="A5812" s="2">
        <v>44792</v>
      </c>
      <c r="B5812" s="3">
        <v>0.79013888888888895</v>
      </c>
      <c r="C5812">
        <v>402</v>
      </c>
      <c r="D5812" t="str">
        <f>VLOOKUP(H5812,Produkt!$A$2:$B$5,2,FALSE)</f>
        <v>A</v>
      </c>
      <c r="H5812">
        <v>1</v>
      </c>
      <c r="I5812">
        <v>0.78153935185185175</v>
      </c>
      <c r="J5812">
        <v>44804</v>
      </c>
    </row>
    <row r="5813" spans="1:10" x14ac:dyDescent="0.35">
      <c r="A5813" s="2">
        <v>44792</v>
      </c>
      <c r="B5813" s="3">
        <v>0.46180555555555558</v>
      </c>
      <c r="C5813">
        <v>468</v>
      </c>
      <c r="D5813" t="str">
        <f>VLOOKUP(H5813,Produkt!$A$2:$B$5,2,FALSE)</f>
        <v>B</v>
      </c>
      <c r="H5813">
        <v>2</v>
      </c>
      <c r="I5813">
        <v>0.85486111111111107</v>
      </c>
      <c r="J5813">
        <v>44793</v>
      </c>
    </row>
    <row r="5814" spans="1:10" x14ac:dyDescent="0.35">
      <c r="A5814" s="2">
        <v>44792</v>
      </c>
      <c r="B5814" s="3">
        <v>1.3194444444444444E-2</v>
      </c>
      <c r="C5814">
        <v>517</v>
      </c>
      <c r="D5814" t="str">
        <f>VLOOKUP(H5814,Produkt!$A$2:$B$5,2,FALSE)</f>
        <v>C</v>
      </c>
      <c r="H5814">
        <v>3</v>
      </c>
      <c r="I5814">
        <v>0.82070601851851854</v>
      </c>
      <c r="J5814">
        <v>44796</v>
      </c>
    </row>
    <row r="5815" spans="1:10" x14ac:dyDescent="0.35">
      <c r="A5815" s="2">
        <v>44792</v>
      </c>
      <c r="B5815" s="3">
        <v>0.76086805555555559</v>
      </c>
      <c r="C5815">
        <v>541</v>
      </c>
      <c r="D5815" t="str">
        <f>VLOOKUP(H5815,Produkt!$A$2:$B$5,2,FALSE)</f>
        <v>C</v>
      </c>
      <c r="H5815">
        <v>3</v>
      </c>
      <c r="I5815">
        <v>0.54222222222222227</v>
      </c>
      <c r="J5815">
        <v>44786</v>
      </c>
    </row>
    <row r="5816" spans="1:10" x14ac:dyDescent="0.35">
      <c r="A5816" s="2">
        <v>44792</v>
      </c>
      <c r="B5816" s="3">
        <v>0.43634259259259256</v>
      </c>
      <c r="C5816">
        <v>638</v>
      </c>
      <c r="D5816" t="str">
        <f>VLOOKUP(H5816,Produkt!$A$2:$B$5,2,FALSE)</f>
        <v>A</v>
      </c>
      <c r="H5816">
        <v>1</v>
      </c>
      <c r="I5816">
        <v>2.1782407407407334E-2</v>
      </c>
      <c r="J5816">
        <v>44794</v>
      </c>
    </row>
    <row r="5817" spans="1:10" x14ac:dyDescent="0.35">
      <c r="A5817" s="2">
        <v>44792</v>
      </c>
      <c r="B5817" s="3">
        <v>0.63031249999999994</v>
      </c>
      <c r="C5817">
        <v>642</v>
      </c>
      <c r="D5817" t="str">
        <f>VLOOKUP(H5817,Produkt!$A$2:$B$5,2,FALSE)</f>
        <v>C</v>
      </c>
      <c r="H5817">
        <v>3</v>
      </c>
      <c r="I5817">
        <v>0.20650462962962965</v>
      </c>
      <c r="J5817">
        <v>44780</v>
      </c>
    </row>
    <row r="5818" spans="1:10" x14ac:dyDescent="0.35">
      <c r="A5818" s="2">
        <v>44792</v>
      </c>
      <c r="B5818" s="3">
        <v>0.641087962962963</v>
      </c>
      <c r="C5818">
        <v>679</v>
      </c>
      <c r="D5818" t="str">
        <f>VLOOKUP(H5818,Produkt!$A$2:$B$5,2,FALSE)</f>
        <v>C</v>
      </c>
      <c r="H5818">
        <v>3</v>
      </c>
      <c r="I5818">
        <v>0.55466435185185181</v>
      </c>
      <c r="J5818">
        <v>44774</v>
      </c>
    </row>
    <row r="5819" spans="1:10" x14ac:dyDescent="0.35">
      <c r="A5819" s="2">
        <v>44792</v>
      </c>
      <c r="B5819" s="3">
        <v>0.18172453703703703</v>
      </c>
      <c r="C5819">
        <v>864</v>
      </c>
      <c r="D5819" t="str">
        <f>VLOOKUP(H5819,Produkt!$A$2:$B$5,2,FALSE)</f>
        <v>C</v>
      </c>
      <c r="H5819">
        <v>3</v>
      </c>
      <c r="I5819">
        <v>0.76211805555555545</v>
      </c>
      <c r="J5819">
        <v>44789</v>
      </c>
    </row>
    <row r="5820" spans="1:10" x14ac:dyDescent="0.35">
      <c r="A5820" s="2">
        <v>44792</v>
      </c>
      <c r="B5820" s="3">
        <v>0.88449074074074074</v>
      </c>
      <c r="C5820">
        <v>890</v>
      </c>
      <c r="D5820" t="str">
        <f>VLOOKUP(H5820,Produkt!$A$2:$B$5,2,FALSE)</f>
        <v>B</v>
      </c>
      <c r="H5820">
        <v>2</v>
      </c>
      <c r="I5820">
        <v>0.15902777777777777</v>
      </c>
      <c r="J5820">
        <v>44796</v>
      </c>
    </row>
    <row r="5821" spans="1:10" x14ac:dyDescent="0.35">
      <c r="A5821" s="2">
        <v>44792</v>
      </c>
      <c r="B5821" s="3">
        <v>0.82916666666666661</v>
      </c>
      <c r="C5821">
        <v>907</v>
      </c>
      <c r="D5821" t="str">
        <f>VLOOKUP(H5821,Produkt!$A$2:$B$5,2,FALSE)</f>
        <v>B</v>
      </c>
      <c r="H5821">
        <v>2</v>
      </c>
      <c r="I5821">
        <v>0.28129629629629632</v>
      </c>
      <c r="J5821">
        <v>44790</v>
      </c>
    </row>
    <row r="5822" spans="1:10" x14ac:dyDescent="0.35">
      <c r="A5822" s="2">
        <v>44792</v>
      </c>
      <c r="B5822" s="3">
        <v>0.41706018518518517</v>
      </c>
      <c r="C5822">
        <v>915</v>
      </c>
      <c r="D5822" t="str">
        <f>VLOOKUP(H5822,Produkt!$A$2:$B$5,2,FALSE)</f>
        <v>B</v>
      </c>
      <c r="H5822">
        <v>2</v>
      </c>
      <c r="I5822">
        <v>6.2615740740740736E-2</v>
      </c>
      <c r="J5822">
        <v>44795</v>
      </c>
    </row>
    <row r="5823" spans="1:10" x14ac:dyDescent="0.35">
      <c r="A5823" s="2">
        <v>44792</v>
      </c>
      <c r="B5823" s="3">
        <v>0.70357638888888896</v>
      </c>
      <c r="C5823">
        <v>938</v>
      </c>
      <c r="D5823" t="str">
        <f>VLOOKUP(H5823,Produkt!$A$2:$B$5,2,FALSE)</f>
        <v>B</v>
      </c>
      <c r="H5823">
        <v>2</v>
      </c>
      <c r="I5823">
        <v>0.48814814814814816</v>
      </c>
      <c r="J5823">
        <v>44778</v>
      </c>
    </row>
    <row r="5824" spans="1:10" x14ac:dyDescent="0.35">
      <c r="A5824" s="2">
        <v>44792</v>
      </c>
      <c r="B5824" s="3">
        <v>0.88537037037037036</v>
      </c>
      <c r="C5824">
        <v>960</v>
      </c>
      <c r="D5824" t="str">
        <f>VLOOKUP(H5824,Produkt!$A$2:$B$5,2,FALSE)</f>
        <v>D</v>
      </c>
      <c r="H5824">
        <v>4</v>
      </c>
      <c r="I5824">
        <v>0.87959490740740742</v>
      </c>
      <c r="J5824">
        <v>44791</v>
      </c>
    </row>
    <row r="5825" spans="1:10" x14ac:dyDescent="0.35">
      <c r="A5825" s="2">
        <v>44792</v>
      </c>
      <c r="B5825" s="3">
        <v>0.69212962962962965</v>
      </c>
      <c r="C5825">
        <v>991</v>
      </c>
      <c r="D5825" t="str">
        <f>VLOOKUP(H5825,Produkt!$A$2:$B$5,2,FALSE)</f>
        <v>D</v>
      </c>
      <c r="H5825">
        <v>4</v>
      </c>
      <c r="I5825">
        <v>0.47057870370370369</v>
      </c>
      <c r="J5825">
        <v>44778</v>
      </c>
    </row>
    <row r="5826" spans="1:10" x14ac:dyDescent="0.35">
      <c r="A5826" s="2">
        <v>44792</v>
      </c>
      <c r="B5826" s="3">
        <v>7.1388888888888891E-2</v>
      </c>
      <c r="C5826">
        <v>1072</v>
      </c>
      <c r="D5826" t="str">
        <f>VLOOKUP(H5826,Produkt!$A$2:$B$5,2,FALSE)</f>
        <v>B</v>
      </c>
      <c r="H5826">
        <v>2</v>
      </c>
      <c r="I5826">
        <v>0.4826388888888889</v>
      </c>
      <c r="J5826">
        <v>44800</v>
      </c>
    </row>
    <row r="5827" spans="1:10" x14ac:dyDescent="0.35">
      <c r="A5827" s="2">
        <v>44792</v>
      </c>
      <c r="B5827" s="3">
        <v>0.68298611111111107</v>
      </c>
      <c r="C5827">
        <v>1094</v>
      </c>
      <c r="D5827" t="str">
        <f>VLOOKUP(H5827,Produkt!$A$2:$B$5,2,FALSE)</f>
        <v>B</v>
      </c>
      <c r="H5827">
        <v>2</v>
      </c>
      <c r="I5827">
        <v>4.1932870370370363E-2</v>
      </c>
      <c r="J5827">
        <v>44794</v>
      </c>
    </row>
    <row r="5828" spans="1:10" x14ac:dyDescent="0.35">
      <c r="A5828" s="2">
        <v>44792</v>
      </c>
      <c r="B5828" s="3">
        <v>0.72759259259259268</v>
      </c>
      <c r="C5828">
        <v>1119</v>
      </c>
      <c r="D5828" t="str">
        <f>VLOOKUP(H5828,Produkt!$A$2:$B$5,2,FALSE)</f>
        <v>D</v>
      </c>
      <c r="H5828">
        <v>4</v>
      </c>
      <c r="I5828">
        <v>0.53408564814814818</v>
      </c>
      <c r="J5828">
        <v>44793</v>
      </c>
    </row>
    <row r="5829" spans="1:10" x14ac:dyDescent="0.35">
      <c r="A5829" s="2">
        <v>44792</v>
      </c>
      <c r="B5829" s="3">
        <v>0.83761574074074074</v>
      </c>
      <c r="C5829">
        <v>1181</v>
      </c>
      <c r="D5829" t="str">
        <f>VLOOKUP(H5829,Produkt!$A$2:$B$5,2,FALSE)</f>
        <v>A</v>
      </c>
      <c r="H5829">
        <v>1</v>
      </c>
      <c r="I5829">
        <v>0.22818287037037036</v>
      </c>
      <c r="J5829">
        <v>44798</v>
      </c>
    </row>
    <row r="5830" spans="1:10" x14ac:dyDescent="0.35">
      <c r="A5830" s="2">
        <v>44792</v>
      </c>
      <c r="B5830" s="3">
        <v>0.20413194444444446</v>
      </c>
      <c r="C5830">
        <v>1188</v>
      </c>
      <c r="D5830" t="str">
        <f>VLOOKUP(H5830,Produkt!$A$2:$B$5,2,FALSE)</f>
        <v>B</v>
      </c>
      <c r="H5830">
        <v>2</v>
      </c>
      <c r="I5830">
        <v>0.18339120370370368</v>
      </c>
      <c r="J5830">
        <v>44775</v>
      </c>
    </row>
    <row r="5831" spans="1:10" x14ac:dyDescent="0.35">
      <c r="A5831" s="2">
        <v>44792</v>
      </c>
      <c r="B5831" s="3">
        <v>0.88626157407407413</v>
      </c>
      <c r="C5831">
        <v>1191</v>
      </c>
      <c r="D5831" t="str">
        <f>VLOOKUP(H5831,Produkt!$A$2:$B$5,2,FALSE)</f>
        <v>B</v>
      </c>
      <c r="H5831">
        <v>2</v>
      </c>
      <c r="I5831">
        <v>0.41658564814814819</v>
      </c>
      <c r="J5831">
        <v>44790</v>
      </c>
    </row>
    <row r="5832" spans="1:10" x14ac:dyDescent="0.35">
      <c r="A5832" s="2">
        <v>44792</v>
      </c>
      <c r="B5832" s="3">
        <v>8.2592592592592592E-2</v>
      </c>
      <c r="C5832">
        <v>1298</v>
      </c>
      <c r="D5832" t="str">
        <f>VLOOKUP(H5832,Produkt!$A$2:$B$5,2,FALSE)</f>
        <v>A</v>
      </c>
      <c r="H5832">
        <v>1</v>
      </c>
      <c r="I5832">
        <v>0.27664351851851854</v>
      </c>
      <c r="J5832">
        <v>44799</v>
      </c>
    </row>
    <row r="5833" spans="1:10" x14ac:dyDescent="0.35">
      <c r="A5833" s="2">
        <v>44792</v>
      </c>
      <c r="B5833" s="3">
        <v>0.54491898148148155</v>
      </c>
      <c r="C5833">
        <v>1379</v>
      </c>
      <c r="D5833" t="str">
        <f>VLOOKUP(H5833,Produkt!$A$2:$B$5,2,FALSE)</f>
        <v>A</v>
      </c>
      <c r="H5833">
        <v>1</v>
      </c>
      <c r="I5833">
        <v>1.2407407407407409E-2</v>
      </c>
      <c r="J5833">
        <v>44788</v>
      </c>
    </row>
    <row r="5834" spans="1:10" x14ac:dyDescent="0.35">
      <c r="A5834" s="2">
        <v>44792</v>
      </c>
      <c r="B5834" s="3">
        <v>0.44648148148148148</v>
      </c>
      <c r="C5834">
        <v>1400</v>
      </c>
      <c r="D5834" t="str">
        <f>VLOOKUP(H5834,Produkt!$A$2:$B$5,2,FALSE)</f>
        <v>B</v>
      </c>
      <c r="H5834">
        <v>2</v>
      </c>
      <c r="I5834">
        <v>0.24788194444444445</v>
      </c>
      <c r="J5834">
        <v>44777</v>
      </c>
    </row>
    <row r="5835" spans="1:10" x14ac:dyDescent="0.35">
      <c r="A5835" s="2">
        <v>44792</v>
      </c>
      <c r="B5835" s="3">
        <v>4.8148148148148152E-3</v>
      </c>
      <c r="C5835">
        <v>1407</v>
      </c>
      <c r="D5835" t="str">
        <f>VLOOKUP(H5835,Produkt!$A$2:$B$5,2,FALSE)</f>
        <v>C</v>
      </c>
      <c r="H5835">
        <v>3</v>
      </c>
      <c r="I5835">
        <v>0.38209490740740742</v>
      </c>
      <c r="J5835">
        <v>44782</v>
      </c>
    </row>
    <row r="5836" spans="1:10" x14ac:dyDescent="0.35">
      <c r="A5836" s="2">
        <v>44792</v>
      </c>
      <c r="B5836" s="3">
        <v>9.2743055555555565E-2</v>
      </c>
      <c r="C5836">
        <v>1458</v>
      </c>
      <c r="D5836" t="str">
        <f>VLOOKUP(H5836,Produkt!$A$2:$B$5,2,FALSE)</f>
        <v>D</v>
      </c>
      <c r="H5836">
        <v>4</v>
      </c>
      <c r="I5836">
        <v>0.85432870370370362</v>
      </c>
      <c r="J5836">
        <v>44803</v>
      </c>
    </row>
    <row r="5837" spans="1:10" x14ac:dyDescent="0.35">
      <c r="A5837" s="2">
        <v>44792</v>
      </c>
      <c r="B5837" s="3">
        <v>0.5292013888888889</v>
      </c>
      <c r="C5837">
        <v>1497</v>
      </c>
      <c r="D5837" t="str">
        <f>VLOOKUP(H5837,Produkt!$A$2:$B$5,2,FALSE)</f>
        <v>D</v>
      </c>
      <c r="H5837">
        <v>4</v>
      </c>
      <c r="I5837">
        <v>0.33929398148148149</v>
      </c>
      <c r="J5837">
        <v>44803</v>
      </c>
    </row>
    <row r="5838" spans="1:10" x14ac:dyDescent="0.35">
      <c r="A5838" s="2">
        <v>44792</v>
      </c>
      <c r="B5838" s="3">
        <v>0.99834490740740733</v>
      </c>
      <c r="C5838">
        <v>1504</v>
      </c>
      <c r="D5838" t="str">
        <f>VLOOKUP(H5838,Produkt!$A$2:$B$5,2,FALSE)</f>
        <v>C</v>
      </c>
      <c r="H5838">
        <v>3</v>
      </c>
      <c r="I5838">
        <v>0.99237268518518518</v>
      </c>
      <c r="J5838">
        <v>44804</v>
      </c>
    </row>
    <row r="5839" spans="1:10" x14ac:dyDescent="0.35">
      <c r="A5839" s="2">
        <v>44792</v>
      </c>
      <c r="B5839" s="3">
        <v>0.48623842592592598</v>
      </c>
      <c r="C5839">
        <v>1566</v>
      </c>
      <c r="D5839" t="str">
        <f>VLOOKUP(H5839,Produkt!$A$2:$B$5,2,FALSE)</f>
        <v>B</v>
      </c>
      <c r="H5839">
        <v>2</v>
      </c>
      <c r="I5839">
        <v>0.10230324074074075</v>
      </c>
      <c r="J5839">
        <v>44775</v>
      </c>
    </row>
    <row r="5840" spans="1:10" x14ac:dyDescent="0.35">
      <c r="A5840" s="2">
        <v>44792</v>
      </c>
      <c r="B5840" s="3">
        <v>0.71972222222222226</v>
      </c>
      <c r="C5840">
        <v>1582</v>
      </c>
      <c r="D5840" t="str">
        <f>VLOOKUP(H5840,Produkt!$A$2:$B$5,2,FALSE)</f>
        <v>B</v>
      </c>
      <c r="H5840">
        <v>2</v>
      </c>
      <c r="I5840">
        <v>0.7839814814814815</v>
      </c>
      <c r="J5840">
        <v>44784</v>
      </c>
    </row>
    <row r="5841" spans="1:10" x14ac:dyDescent="0.35">
      <c r="A5841" s="2">
        <v>44792</v>
      </c>
      <c r="B5841" s="3">
        <v>0.44254629629629627</v>
      </c>
      <c r="C5841">
        <v>1583</v>
      </c>
      <c r="D5841" t="str">
        <f>VLOOKUP(H5841,Produkt!$A$2:$B$5,2,FALSE)</f>
        <v>D</v>
      </c>
      <c r="H5841">
        <v>4</v>
      </c>
      <c r="I5841">
        <v>0.41480324074074071</v>
      </c>
      <c r="J5841">
        <v>44788</v>
      </c>
    </row>
    <row r="5842" spans="1:10" x14ac:dyDescent="0.35">
      <c r="A5842" s="2">
        <v>44792</v>
      </c>
      <c r="B5842" s="3">
        <v>6.5439814814814812E-2</v>
      </c>
      <c r="C5842">
        <v>1589</v>
      </c>
      <c r="D5842" t="str">
        <f>VLOOKUP(H5842,Produkt!$A$2:$B$5,2,FALSE)</f>
        <v>B</v>
      </c>
      <c r="H5842">
        <v>2</v>
      </c>
      <c r="I5842">
        <v>0.97952546296296295</v>
      </c>
      <c r="J5842">
        <v>44787</v>
      </c>
    </row>
    <row r="5843" spans="1:10" x14ac:dyDescent="0.35">
      <c r="A5843" s="2">
        <v>44792</v>
      </c>
      <c r="B5843" s="3">
        <v>0.96114583333333325</v>
      </c>
      <c r="C5843">
        <v>1611</v>
      </c>
      <c r="D5843" t="str">
        <f>VLOOKUP(H5843,Produkt!$A$2:$B$5,2,FALSE)</f>
        <v>D</v>
      </c>
      <c r="H5843">
        <v>4</v>
      </c>
      <c r="I5843">
        <v>0.85390046296296296</v>
      </c>
      <c r="J5843">
        <v>44803</v>
      </c>
    </row>
    <row r="5844" spans="1:10" x14ac:dyDescent="0.35">
      <c r="A5844" s="2">
        <v>44792</v>
      </c>
      <c r="B5844" s="3">
        <v>0.18234953703703705</v>
      </c>
      <c r="C5844">
        <v>1690</v>
      </c>
      <c r="D5844" t="str">
        <f>VLOOKUP(H5844,Produkt!$A$2:$B$5,2,FALSE)</f>
        <v>A</v>
      </c>
      <c r="H5844">
        <v>1</v>
      </c>
      <c r="I5844">
        <v>3.9097222222222117E-2</v>
      </c>
      <c r="J5844">
        <v>44776</v>
      </c>
    </row>
    <row r="5845" spans="1:10" x14ac:dyDescent="0.35">
      <c r="A5845" s="2">
        <v>44792</v>
      </c>
      <c r="B5845" s="3">
        <v>0.24184027777777781</v>
      </c>
      <c r="C5845">
        <v>1711</v>
      </c>
      <c r="D5845" t="str">
        <f>VLOOKUP(H5845,Produkt!$A$2:$B$5,2,FALSE)</f>
        <v>B</v>
      </c>
      <c r="H5845">
        <v>2</v>
      </c>
      <c r="I5845">
        <v>0.76231481481481478</v>
      </c>
      <c r="J5845">
        <v>44789</v>
      </c>
    </row>
    <row r="5846" spans="1:10" x14ac:dyDescent="0.35">
      <c r="A5846" s="2">
        <v>44792</v>
      </c>
      <c r="B5846" s="3">
        <v>0.90493055555555557</v>
      </c>
      <c r="C5846">
        <v>1776</v>
      </c>
      <c r="D5846" t="str">
        <f>VLOOKUP(H5846,Produkt!$A$2:$B$5,2,FALSE)</f>
        <v>C</v>
      </c>
      <c r="H5846">
        <v>3</v>
      </c>
      <c r="I5846">
        <v>0.50854166666666667</v>
      </c>
      <c r="J5846">
        <v>44804</v>
      </c>
    </row>
    <row r="5847" spans="1:10" x14ac:dyDescent="0.35">
      <c r="A5847" s="2">
        <v>44792</v>
      </c>
      <c r="B5847" s="3">
        <v>0.39407407407407408</v>
      </c>
      <c r="C5847">
        <v>1782</v>
      </c>
      <c r="D5847" t="str">
        <f>VLOOKUP(H5847,Produkt!$A$2:$B$5,2,FALSE)</f>
        <v>D</v>
      </c>
      <c r="H5847">
        <v>4</v>
      </c>
      <c r="I5847">
        <v>0.38271990740740741</v>
      </c>
      <c r="J5847">
        <v>44787</v>
      </c>
    </row>
    <row r="5848" spans="1:10" x14ac:dyDescent="0.35">
      <c r="A5848" s="2">
        <v>44792</v>
      </c>
      <c r="B5848" s="3">
        <v>0.94858796296296299</v>
      </c>
      <c r="C5848">
        <v>1808</v>
      </c>
      <c r="D5848" t="str">
        <f>VLOOKUP(H5848,Produkt!$A$2:$B$5,2,FALSE)</f>
        <v>C</v>
      </c>
      <c r="H5848">
        <v>3</v>
      </c>
      <c r="I5848">
        <v>0.54347222222222225</v>
      </c>
      <c r="J5848">
        <v>44776</v>
      </c>
    </row>
    <row r="5849" spans="1:10" x14ac:dyDescent="0.35">
      <c r="A5849" s="2">
        <v>44792</v>
      </c>
      <c r="B5849" s="3">
        <v>0.16215277777777778</v>
      </c>
      <c r="C5849">
        <v>1968</v>
      </c>
      <c r="D5849" t="str">
        <f>VLOOKUP(H5849,Produkt!$A$2:$B$5,2,FALSE)</f>
        <v>C</v>
      </c>
      <c r="H5849">
        <v>3</v>
      </c>
      <c r="I5849">
        <v>0.26399305555555558</v>
      </c>
      <c r="J5849">
        <v>44781</v>
      </c>
    </row>
    <row r="5850" spans="1:10" x14ac:dyDescent="0.35">
      <c r="A5850" s="2">
        <v>44792</v>
      </c>
      <c r="B5850" s="3">
        <v>0.73531250000000004</v>
      </c>
      <c r="C5850">
        <v>2068</v>
      </c>
      <c r="D5850" t="str">
        <f>VLOOKUP(H5850,Produkt!$A$2:$B$5,2,FALSE)</f>
        <v>B</v>
      </c>
      <c r="H5850">
        <v>2</v>
      </c>
      <c r="I5850">
        <v>0.87482638888888886</v>
      </c>
      <c r="J5850">
        <v>44780</v>
      </c>
    </row>
    <row r="5851" spans="1:10" x14ac:dyDescent="0.35">
      <c r="A5851" s="2">
        <v>44792</v>
      </c>
      <c r="B5851" s="3">
        <v>0.53535879629629635</v>
      </c>
      <c r="C5851">
        <v>2080</v>
      </c>
      <c r="D5851" t="str">
        <f>VLOOKUP(H5851,Produkt!$A$2:$B$5,2,FALSE)</f>
        <v>B</v>
      </c>
      <c r="H5851">
        <v>2</v>
      </c>
      <c r="I5851">
        <v>0.24484953703703705</v>
      </c>
      <c r="J5851">
        <v>44797</v>
      </c>
    </row>
    <row r="5852" spans="1:10" x14ac:dyDescent="0.35">
      <c r="A5852" s="2">
        <v>44792</v>
      </c>
      <c r="B5852" s="3">
        <v>0.49184027777777778</v>
      </c>
      <c r="C5852">
        <v>2090</v>
      </c>
      <c r="D5852" t="str">
        <f>VLOOKUP(H5852,Produkt!$A$2:$B$5,2,FALSE)</f>
        <v>C</v>
      </c>
      <c r="H5852">
        <v>3</v>
      </c>
      <c r="I5852">
        <v>1.5810185185185184E-2</v>
      </c>
      <c r="J5852">
        <v>44775</v>
      </c>
    </row>
    <row r="5853" spans="1:10" x14ac:dyDescent="0.35">
      <c r="A5853" s="2">
        <v>44792</v>
      </c>
      <c r="B5853" s="3">
        <v>0.9631481481481482</v>
      </c>
      <c r="C5853">
        <v>2119</v>
      </c>
      <c r="D5853" t="str">
        <f>VLOOKUP(H5853,Produkt!$A$2:$B$5,2,FALSE)</f>
        <v>A</v>
      </c>
      <c r="H5853">
        <v>1</v>
      </c>
      <c r="I5853">
        <v>0.42054398148148148</v>
      </c>
      <c r="J5853">
        <v>44778</v>
      </c>
    </row>
    <row r="5854" spans="1:10" x14ac:dyDescent="0.35">
      <c r="A5854" s="2">
        <v>44792</v>
      </c>
      <c r="B5854" s="3">
        <v>0.75215277777777778</v>
      </c>
      <c r="C5854">
        <v>2121</v>
      </c>
      <c r="D5854" t="str">
        <f>VLOOKUP(H5854,Produkt!$A$2:$B$5,2,FALSE)</f>
        <v>C</v>
      </c>
      <c r="H5854">
        <v>3</v>
      </c>
      <c r="I5854">
        <v>0.50991898148148151</v>
      </c>
      <c r="J5854">
        <v>44789</v>
      </c>
    </row>
    <row r="5855" spans="1:10" x14ac:dyDescent="0.35">
      <c r="A5855" s="2">
        <v>44792</v>
      </c>
      <c r="B5855" s="3">
        <v>0.66429398148148155</v>
      </c>
      <c r="C5855">
        <v>2133</v>
      </c>
      <c r="D5855" t="str">
        <f>VLOOKUP(H5855,Produkt!$A$2:$B$5,2,FALSE)</f>
        <v>C</v>
      </c>
      <c r="H5855">
        <v>3</v>
      </c>
      <c r="I5855">
        <v>0.16749999999999998</v>
      </c>
      <c r="J5855">
        <v>44799</v>
      </c>
    </row>
    <row r="5856" spans="1:10" x14ac:dyDescent="0.35">
      <c r="A5856" s="2">
        <v>44792</v>
      </c>
      <c r="B5856" s="3">
        <v>0.51094907407407408</v>
      </c>
      <c r="C5856">
        <v>2141</v>
      </c>
      <c r="D5856" t="str">
        <f>VLOOKUP(H5856,Produkt!$A$2:$B$5,2,FALSE)</f>
        <v>B</v>
      </c>
      <c r="H5856">
        <v>2</v>
      </c>
      <c r="I5856">
        <v>0.72034722222222225</v>
      </c>
      <c r="J5856">
        <v>44800</v>
      </c>
    </row>
    <row r="5857" spans="1:10" x14ac:dyDescent="0.35">
      <c r="A5857" s="2">
        <v>44792</v>
      </c>
      <c r="B5857" s="3">
        <v>0.93365740740740744</v>
      </c>
      <c r="C5857">
        <v>2262</v>
      </c>
      <c r="D5857" t="str">
        <f>VLOOKUP(H5857,Produkt!$A$2:$B$5,2,FALSE)</f>
        <v>D</v>
      </c>
      <c r="H5857">
        <v>4</v>
      </c>
      <c r="I5857">
        <v>0.1403587962962963</v>
      </c>
      <c r="J5857">
        <v>44802</v>
      </c>
    </row>
    <row r="5858" spans="1:10" x14ac:dyDescent="0.35">
      <c r="A5858" s="2">
        <v>44792</v>
      </c>
      <c r="B5858" s="3">
        <v>0.37459490740740736</v>
      </c>
      <c r="C5858">
        <v>2276</v>
      </c>
      <c r="D5858" t="str">
        <f>VLOOKUP(H5858,Produkt!$A$2:$B$5,2,FALSE)</f>
        <v>B</v>
      </c>
      <c r="H5858">
        <v>2</v>
      </c>
      <c r="I5858">
        <v>0.75053240740740745</v>
      </c>
      <c r="J5858">
        <v>44794</v>
      </c>
    </row>
    <row r="5859" spans="1:10" x14ac:dyDescent="0.35">
      <c r="A5859" s="2">
        <v>44792</v>
      </c>
      <c r="B5859" s="3">
        <v>0.52833333333333332</v>
      </c>
      <c r="C5859">
        <v>2299</v>
      </c>
      <c r="D5859" t="str">
        <f>VLOOKUP(H5859,Produkt!$A$2:$B$5,2,FALSE)</f>
        <v>B</v>
      </c>
      <c r="H5859">
        <v>2</v>
      </c>
      <c r="I5859">
        <v>0.90704861111111112</v>
      </c>
      <c r="J5859">
        <v>44791</v>
      </c>
    </row>
    <row r="5860" spans="1:10" x14ac:dyDescent="0.35">
      <c r="A5860" s="2">
        <v>44792</v>
      </c>
      <c r="B5860" s="3">
        <v>1.3425925925925952E-2</v>
      </c>
      <c r="C5860">
        <v>2367</v>
      </c>
      <c r="D5860" t="str">
        <f>VLOOKUP(H5860,Produkt!$A$2:$B$5,2,FALSE)</f>
        <v>C</v>
      </c>
      <c r="H5860">
        <v>3</v>
      </c>
      <c r="I5860">
        <v>0.63839120370370372</v>
      </c>
      <c r="J5860">
        <v>44794</v>
      </c>
    </row>
    <row r="5861" spans="1:10" x14ac:dyDescent="0.35">
      <c r="A5861" s="2">
        <v>44792</v>
      </c>
      <c r="B5861" s="3">
        <v>1.5127314814814774E-2</v>
      </c>
      <c r="C5861">
        <v>2378</v>
      </c>
      <c r="D5861" t="str">
        <f>VLOOKUP(H5861,Produkt!$A$2:$B$5,2,FALSE)</f>
        <v>A</v>
      </c>
      <c r="H5861">
        <v>1</v>
      </c>
      <c r="I5861">
        <v>6.6481481481481489E-2</v>
      </c>
      <c r="J5861">
        <v>44789</v>
      </c>
    </row>
    <row r="5862" spans="1:10" x14ac:dyDescent="0.35">
      <c r="A5862" s="2">
        <v>44792</v>
      </c>
      <c r="B5862" s="3">
        <v>0.28712962962962962</v>
      </c>
      <c r="C5862">
        <v>2393</v>
      </c>
      <c r="D5862" t="str">
        <f>VLOOKUP(H5862,Produkt!$A$2:$B$5,2,FALSE)</f>
        <v>D</v>
      </c>
      <c r="H5862">
        <v>4</v>
      </c>
      <c r="I5862">
        <v>0.53736111111111107</v>
      </c>
      <c r="J5862">
        <v>44801</v>
      </c>
    </row>
    <row r="5863" spans="1:10" x14ac:dyDescent="0.35">
      <c r="A5863" s="2">
        <v>44792</v>
      </c>
      <c r="B5863" s="3">
        <v>0.93346064814814822</v>
      </c>
      <c r="C5863">
        <v>2414</v>
      </c>
      <c r="D5863" t="str">
        <f>VLOOKUP(H5863,Produkt!$A$2:$B$5,2,FALSE)</f>
        <v>D</v>
      </c>
      <c r="H5863">
        <v>4</v>
      </c>
      <c r="I5863">
        <v>0.66341435185185182</v>
      </c>
      <c r="J5863">
        <v>44786</v>
      </c>
    </row>
    <row r="5864" spans="1:10" x14ac:dyDescent="0.35">
      <c r="A5864" s="2">
        <v>44792</v>
      </c>
      <c r="B5864" s="3">
        <v>0.4317361111111111</v>
      </c>
      <c r="C5864">
        <v>2416</v>
      </c>
      <c r="D5864" t="str">
        <f>VLOOKUP(H5864,Produkt!$A$2:$B$5,2,FALSE)</f>
        <v>C</v>
      </c>
      <c r="H5864">
        <v>3</v>
      </c>
      <c r="I5864">
        <v>0.73802083333333324</v>
      </c>
      <c r="J5864">
        <v>44803</v>
      </c>
    </row>
    <row r="5865" spans="1:10" x14ac:dyDescent="0.35">
      <c r="A5865" s="2">
        <v>44792</v>
      </c>
      <c r="B5865" s="3">
        <v>0.2202314814814815</v>
      </c>
      <c r="C5865">
        <v>2534</v>
      </c>
      <c r="D5865" t="str">
        <f>VLOOKUP(H5865,Produkt!$A$2:$B$5,2,FALSE)</f>
        <v>D</v>
      </c>
      <c r="H5865">
        <v>4</v>
      </c>
      <c r="I5865">
        <v>0.4059490740740741</v>
      </c>
      <c r="J5865">
        <v>44774</v>
      </c>
    </row>
    <row r="5866" spans="1:10" x14ac:dyDescent="0.35">
      <c r="A5866" s="2">
        <v>44792</v>
      </c>
      <c r="B5866" s="3">
        <v>0.90872685185185187</v>
      </c>
      <c r="C5866">
        <v>2541</v>
      </c>
      <c r="D5866" t="str">
        <f>VLOOKUP(H5866,Produkt!$A$2:$B$5,2,FALSE)</f>
        <v>A</v>
      </c>
      <c r="H5866">
        <v>1</v>
      </c>
      <c r="I5866">
        <v>0.86343749999999997</v>
      </c>
      <c r="J5866">
        <v>44797</v>
      </c>
    </row>
    <row r="5867" spans="1:10" x14ac:dyDescent="0.35">
      <c r="A5867" s="2">
        <v>44792</v>
      </c>
      <c r="B5867" s="3">
        <v>2.2083333333333333E-2</v>
      </c>
      <c r="C5867">
        <v>2549</v>
      </c>
      <c r="D5867" t="str">
        <f>VLOOKUP(H5867,Produkt!$A$2:$B$5,2,FALSE)</f>
        <v>C</v>
      </c>
      <c r="H5867">
        <v>3</v>
      </c>
      <c r="I5867">
        <v>0.6980439814814815</v>
      </c>
      <c r="J5867">
        <v>44798</v>
      </c>
    </row>
    <row r="5868" spans="1:10" x14ac:dyDescent="0.35">
      <c r="A5868" s="2">
        <v>44792</v>
      </c>
      <c r="B5868" s="3">
        <v>0.99974537037037037</v>
      </c>
      <c r="C5868">
        <v>2565</v>
      </c>
      <c r="D5868" t="str">
        <f>VLOOKUP(H5868,Produkt!$A$2:$B$5,2,FALSE)</f>
        <v>C</v>
      </c>
      <c r="H5868">
        <v>3</v>
      </c>
      <c r="I5868">
        <v>0.86460648148148145</v>
      </c>
      <c r="J5868">
        <v>44778</v>
      </c>
    </row>
    <row r="5869" spans="1:10" x14ac:dyDescent="0.35">
      <c r="A5869" s="2">
        <v>44792</v>
      </c>
      <c r="B5869" s="3">
        <v>0.26996527777777779</v>
      </c>
      <c r="C5869">
        <v>2586</v>
      </c>
      <c r="D5869" t="str">
        <f>VLOOKUP(H5869,Produkt!$A$2:$B$5,2,FALSE)</f>
        <v>A</v>
      </c>
      <c r="H5869">
        <v>1</v>
      </c>
      <c r="I5869">
        <v>0.57335648148148144</v>
      </c>
      <c r="J5869">
        <v>44797</v>
      </c>
    </row>
    <row r="5870" spans="1:10" x14ac:dyDescent="0.35">
      <c r="A5870" s="2">
        <v>44792</v>
      </c>
      <c r="B5870" s="3">
        <v>0.79770833333333335</v>
      </c>
      <c r="C5870">
        <v>2594</v>
      </c>
      <c r="D5870" t="str">
        <f>VLOOKUP(H5870,Produkt!$A$2:$B$5,2,FALSE)</f>
        <v>C</v>
      </c>
      <c r="H5870">
        <v>3</v>
      </c>
      <c r="I5870">
        <v>0.11613425925925926</v>
      </c>
      <c r="J5870">
        <v>44788</v>
      </c>
    </row>
    <row r="5871" spans="1:10" x14ac:dyDescent="0.35">
      <c r="A5871" s="2">
        <v>44792</v>
      </c>
      <c r="B5871" s="3">
        <v>0.41969907407407409</v>
      </c>
      <c r="C5871">
        <v>2624</v>
      </c>
      <c r="D5871" t="str">
        <f>VLOOKUP(H5871,Produkt!$A$2:$B$5,2,FALSE)</f>
        <v>D</v>
      </c>
      <c r="H5871">
        <v>4</v>
      </c>
      <c r="I5871">
        <v>5.0578703703703709E-2</v>
      </c>
      <c r="J5871">
        <v>44775</v>
      </c>
    </row>
    <row r="5872" spans="1:10" x14ac:dyDescent="0.35">
      <c r="A5872" s="2">
        <v>44792</v>
      </c>
      <c r="B5872" s="3">
        <v>0.66297453703703701</v>
      </c>
      <c r="C5872">
        <v>2645</v>
      </c>
      <c r="D5872" t="str">
        <f>VLOOKUP(H5872,Produkt!$A$2:$B$5,2,FALSE)</f>
        <v>B</v>
      </c>
      <c r="H5872">
        <v>2</v>
      </c>
      <c r="I5872">
        <v>0.96711805555555552</v>
      </c>
      <c r="J5872">
        <v>44791</v>
      </c>
    </row>
    <row r="5873" spans="1:10" x14ac:dyDescent="0.35">
      <c r="A5873" s="2">
        <v>44792</v>
      </c>
      <c r="B5873" s="3">
        <v>0.9080787037037038</v>
      </c>
      <c r="C5873">
        <v>2683</v>
      </c>
      <c r="D5873" t="str">
        <f>VLOOKUP(H5873,Produkt!$A$2:$B$5,2,FALSE)</f>
        <v>B</v>
      </c>
      <c r="H5873">
        <v>2</v>
      </c>
      <c r="I5873">
        <v>0.30679398148148146</v>
      </c>
      <c r="J5873">
        <v>44796</v>
      </c>
    </row>
    <row r="5874" spans="1:10" x14ac:dyDescent="0.35">
      <c r="A5874" s="2">
        <v>44792</v>
      </c>
      <c r="B5874" s="3">
        <v>0.43126157407407412</v>
      </c>
      <c r="C5874">
        <v>2691</v>
      </c>
      <c r="D5874" t="str">
        <f>VLOOKUP(H5874,Produkt!$A$2:$B$5,2,FALSE)</f>
        <v>A</v>
      </c>
      <c r="H5874">
        <v>1</v>
      </c>
      <c r="I5874">
        <v>0.56973379629629628</v>
      </c>
      <c r="J5874">
        <v>44791</v>
      </c>
    </row>
    <row r="5875" spans="1:10" x14ac:dyDescent="0.35">
      <c r="A5875" s="2">
        <v>44792</v>
      </c>
      <c r="B5875" s="3">
        <v>0.43722222222222223</v>
      </c>
      <c r="C5875">
        <v>2737</v>
      </c>
      <c r="D5875" t="str">
        <f>VLOOKUP(H5875,Produkt!$A$2:$B$5,2,FALSE)</f>
        <v>A</v>
      </c>
      <c r="H5875">
        <v>1</v>
      </c>
      <c r="I5875">
        <v>6.850694444444444E-2</v>
      </c>
      <c r="J5875">
        <v>44777</v>
      </c>
    </row>
    <row r="5876" spans="1:10" x14ac:dyDescent="0.35">
      <c r="A5876" s="2">
        <v>44792</v>
      </c>
      <c r="B5876" s="3">
        <v>0.15170138888888887</v>
      </c>
      <c r="C5876">
        <v>2745</v>
      </c>
      <c r="D5876" t="str">
        <f>VLOOKUP(H5876,Produkt!$A$2:$B$5,2,FALSE)</f>
        <v>B</v>
      </c>
      <c r="H5876">
        <v>2</v>
      </c>
      <c r="I5876">
        <v>0.63402777777777775</v>
      </c>
      <c r="J5876">
        <v>44787</v>
      </c>
    </row>
    <row r="5877" spans="1:10" x14ac:dyDescent="0.35">
      <c r="A5877" s="2">
        <v>44792</v>
      </c>
      <c r="B5877" s="3">
        <v>0.44457175925925929</v>
      </c>
      <c r="C5877">
        <v>2822</v>
      </c>
      <c r="D5877" t="str">
        <f>VLOOKUP(H5877,Produkt!$A$2:$B$5,2,FALSE)</f>
        <v>B</v>
      </c>
      <c r="H5877">
        <v>2</v>
      </c>
      <c r="I5877">
        <v>0.36850694444444443</v>
      </c>
      <c r="J5877">
        <v>44780</v>
      </c>
    </row>
    <row r="5878" spans="1:10" x14ac:dyDescent="0.35">
      <c r="A5878" s="2">
        <v>44792</v>
      </c>
      <c r="B5878" s="3">
        <v>8.9432870370370357E-2</v>
      </c>
      <c r="C5878">
        <v>2858</v>
      </c>
      <c r="D5878" t="str">
        <f>VLOOKUP(H5878,Produkt!$A$2:$B$5,2,FALSE)</f>
        <v>A</v>
      </c>
      <c r="H5878">
        <v>1</v>
      </c>
      <c r="I5878">
        <v>0.51137731481481474</v>
      </c>
      <c r="J5878">
        <v>44800</v>
      </c>
    </row>
    <row r="5879" spans="1:10" x14ac:dyDescent="0.35">
      <c r="A5879" s="2">
        <v>44792</v>
      </c>
      <c r="B5879" s="3">
        <v>0.68622685185185184</v>
      </c>
      <c r="C5879">
        <v>2860</v>
      </c>
      <c r="D5879" t="str">
        <f>VLOOKUP(H5879,Produkt!$A$2:$B$5,2,FALSE)</f>
        <v>A</v>
      </c>
      <c r="H5879">
        <v>1</v>
      </c>
      <c r="I5879">
        <v>1.511574074074074E-2</v>
      </c>
      <c r="J5879">
        <v>44796</v>
      </c>
    </row>
    <row r="5880" spans="1:10" x14ac:dyDescent="0.35">
      <c r="A5880" s="2">
        <v>44792</v>
      </c>
      <c r="B5880" s="3">
        <v>4.7094907407407405E-2</v>
      </c>
      <c r="C5880">
        <v>2882</v>
      </c>
      <c r="D5880" t="str">
        <f>VLOOKUP(H5880,Produkt!$A$2:$B$5,2,FALSE)</f>
        <v>C</v>
      </c>
      <c r="H5880">
        <v>3</v>
      </c>
      <c r="I5880">
        <v>0.39210648148148147</v>
      </c>
      <c r="J5880">
        <v>44787</v>
      </c>
    </row>
    <row r="5881" spans="1:10" x14ac:dyDescent="0.35">
      <c r="A5881" s="2">
        <v>44792</v>
      </c>
      <c r="B5881" s="3">
        <v>0.74888888888888883</v>
      </c>
      <c r="C5881">
        <v>2885</v>
      </c>
      <c r="D5881" t="str">
        <f>VLOOKUP(H5881,Produkt!$A$2:$B$5,2,FALSE)</f>
        <v>D</v>
      </c>
      <c r="H5881">
        <v>4</v>
      </c>
      <c r="I5881">
        <v>0.29847222222222219</v>
      </c>
      <c r="J5881">
        <v>44785</v>
      </c>
    </row>
    <row r="5882" spans="1:10" x14ac:dyDescent="0.35">
      <c r="A5882" s="2">
        <v>44792</v>
      </c>
      <c r="B5882" s="3">
        <v>0.10418981481481482</v>
      </c>
      <c r="C5882">
        <v>2943</v>
      </c>
      <c r="D5882" t="str">
        <f>VLOOKUP(H5882,Produkt!$A$2:$B$5,2,FALSE)</f>
        <v>C</v>
      </c>
      <c r="H5882">
        <v>3</v>
      </c>
      <c r="I5882">
        <v>3.8113425925925926E-2</v>
      </c>
      <c r="J5882">
        <v>44802</v>
      </c>
    </row>
    <row r="5883" spans="1:10" x14ac:dyDescent="0.35">
      <c r="A5883" s="2">
        <v>44792</v>
      </c>
      <c r="B5883" s="3">
        <v>0.84645833333333342</v>
      </c>
      <c r="C5883">
        <v>2996</v>
      </c>
      <c r="D5883" t="str">
        <f>VLOOKUP(H5883,Produkt!$A$2:$B$5,2,FALSE)</f>
        <v>A</v>
      </c>
      <c r="H5883">
        <v>1</v>
      </c>
      <c r="I5883">
        <v>0.68846064814814811</v>
      </c>
      <c r="J5883">
        <v>44779</v>
      </c>
    </row>
    <row r="5884" spans="1:10" x14ac:dyDescent="0.35">
      <c r="A5884" s="2">
        <v>44792</v>
      </c>
      <c r="B5884" s="3">
        <v>0.46013888888888888</v>
      </c>
      <c r="C5884">
        <v>3009</v>
      </c>
      <c r="D5884" t="str">
        <f>VLOOKUP(H5884,Produkt!$A$2:$B$5,2,FALSE)</f>
        <v>D</v>
      </c>
      <c r="H5884">
        <v>4</v>
      </c>
      <c r="I5884">
        <v>0.45869212962962963</v>
      </c>
      <c r="J5884">
        <v>44794</v>
      </c>
    </row>
    <row r="5885" spans="1:10" x14ac:dyDescent="0.35">
      <c r="A5885" s="2">
        <v>44792</v>
      </c>
      <c r="B5885" s="3">
        <v>0.76409722222222232</v>
      </c>
      <c r="C5885">
        <v>3075</v>
      </c>
      <c r="D5885" t="str">
        <f>VLOOKUP(H5885,Produkt!$A$2:$B$5,2,FALSE)</f>
        <v>A</v>
      </c>
      <c r="H5885">
        <v>1</v>
      </c>
      <c r="I5885">
        <v>0.71055555555555561</v>
      </c>
      <c r="J5885">
        <v>44799</v>
      </c>
    </row>
    <row r="5886" spans="1:10" x14ac:dyDescent="0.35">
      <c r="A5886" s="2">
        <v>44792</v>
      </c>
      <c r="B5886" s="3">
        <v>0.20659722222222221</v>
      </c>
      <c r="C5886">
        <v>3077</v>
      </c>
      <c r="D5886" t="str">
        <f>VLOOKUP(H5886,Produkt!$A$2:$B$5,2,FALSE)</f>
        <v>C</v>
      </c>
      <c r="H5886">
        <v>3</v>
      </c>
      <c r="I5886">
        <v>0.64971064814814816</v>
      </c>
      <c r="J5886">
        <v>44790</v>
      </c>
    </row>
    <row r="5887" spans="1:10" x14ac:dyDescent="0.35">
      <c r="A5887" s="2">
        <v>44792</v>
      </c>
      <c r="B5887" s="3">
        <v>0.1539699074074074</v>
      </c>
      <c r="C5887">
        <v>3083</v>
      </c>
      <c r="D5887" t="str">
        <f>VLOOKUP(H5887,Produkt!$A$2:$B$5,2,FALSE)</f>
        <v>D</v>
      </c>
      <c r="H5887">
        <v>4</v>
      </c>
      <c r="I5887">
        <v>0.89271990740740748</v>
      </c>
      <c r="J5887">
        <v>44789</v>
      </c>
    </row>
    <row r="5888" spans="1:10" x14ac:dyDescent="0.35">
      <c r="A5888" s="2">
        <v>44792</v>
      </c>
      <c r="B5888" s="3">
        <v>0.34908564814814813</v>
      </c>
      <c r="C5888">
        <v>3098</v>
      </c>
      <c r="D5888" t="str">
        <f>VLOOKUP(H5888,Produkt!$A$2:$B$5,2,FALSE)</f>
        <v>B</v>
      </c>
      <c r="H5888">
        <v>2</v>
      </c>
      <c r="I5888">
        <v>0.27129629629629631</v>
      </c>
      <c r="J5888">
        <v>44775</v>
      </c>
    </row>
    <row r="5889" spans="1:10" x14ac:dyDescent="0.35">
      <c r="A5889" s="2">
        <v>44792</v>
      </c>
      <c r="B5889" s="3">
        <v>0.42572916666666666</v>
      </c>
      <c r="C5889">
        <v>3140</v>
      </c>
      <c r="D5889" t="str">
        <f>VLOOKUP(H5889,Produkt!$A$2:$B$5,2,FALSE)</f>
        <v>B</v>
      </c>
      <c r="H5889">
        <v>2</v>
      </c>
      <c r="I5889">
        <v>0.43174768518518519</v>
      </c>
      <c r="J5889">
        <v>44797</v>
      </c>
    </row>
    <row r="5890" spans="1:10" x14ac:dyDescent="0.35">
      <c r="A5890" s="2">
        <v>44792</v>
      </c>
      <c r="B5890" s="3">
        <v>0.7946875000000001</v>
      </c>
      <c r="C5890">
        <v>3178</v>
      </c>
      <c r="D5890" t="str">
        <f>VLOOKUP(H5890,Produkt!$A$2:$B$5,2,FALSE)</f>
        <v>A</v>
      </c>
      <c r="H5890">
        <v>1</v>
      </c>
      <c r="I5890">
        <v>0.56687500000000002</v>
      </c>
      <c r="J5890">
        <v>44790</v>
      </c>
    </row>
    <row r="5891" spans="1:10" x14ac:dyDescent="0.35">
      <c r="A5891" s="2">
        <v>44792</v>
      </c>
      <c r="B5891" s="3">
        <v>9.1238425925925917E-2</v>
      </c>
      <c r="C5891">
        <v>3248</v>
      </c>
      <c r="D5891" t="str">
        <f>VLOOKUP(H5891,Produkt!$A$2:$B$5,2,FALSE)</f>
        <v>B</v>
      </c>
      <c r="H5891">
        <v>2</v>
      </c>
      <c r="I5891">
        <v>0.76585648148148155</v>
      </c>
      <c r="J5891">
        <v>44792</v>
      </c>
    </row>
    <row r="5892" spans="1:10" x14ac:dyDescent="0.35">
      <c r="A5892" s="2">
        <v>44792</v>
      </c>
      <c r="B5892" s="3">
        <v>0.36780092592592589</v>
      </c>
      <c r="C5892">
        <v>3255</v>
      </c>
      <c r="D5892" t="str">
        <f>VLOOKUP(H5892,Produkt!$A$2:$B$5,2,FALSE)</f>
        <v>D</v>
      </c>
      <c r="H5892">
        <v>4</v>
      </c>
      <c r="I5892">
        <v>0.79552083333333334</v>
      </c>
      <c r="J5892">
        <v>44776</v>
      </c>
    </row>
    <row r="5893" spans="1:10" x14ac:dyDescent="0.35">
      <c r="A5893" s="2">
        <v>44792</v>
      </c>
      <c r="B5893" s="3">
        <v>0.16974537037037038</v>
      </c>
      <c r="C5893">
        <v>3308</v>
      </c>
      <c r="D5893" t="str">
        <f>VLOOKUP(H5893,Produkt!$A$2:$B$5,2,FALSE)</f>
        <v>D</v>
      </c>
      <c r="H5893">
        <v>4</v>
      </c>
      <c r="I5893">
        <v>0.77142361111111113</v>
      </c>
      <c r="J5893">
        <v>44786</v>
      </c>
    </row>
    <row r="5894" spans="1:10" x14ac:dyDescent="0.35">
      <c r="A5894" s="2">
        <v>44792</v>
      </c>
      <c r="B5894" s="3">
        <v>0.3194791666666667</v>
      </c>
      <c r="C5894">
        <v>3366</v>
      </c>
      <c r="D5894" t="str">
        <f>VLOOKUP(H5894,Produkt!$A$2:$B$5,2,FALSE)</f>
        <v>B</v>
      </c>
      <c r="H5894">
        <v>2</v>
      </c>
      <c r="I5894">
        <v>0.32643518518518516</v>
      </c>
      <c r="J5894">
        <v>44802</v>
      </c>
    </row>
    <row r="5895" spans="1:10" x14ac:dyDescent="0.35">
      <c r="A5895" s="2">
        <v>44792</v>
      </c>
      <c r="B5895" s="3">
        <v>0.50167824074074074</v>
      </c>
      <c r="C5895">
        <v>3425</v>
      </c>
      <c r="D5895" t="str">
        <f>VLOOKUP(H5895,Produkt!$A$2:$B$5,2,FALSE)</f>
        <v>D</v>
      </c>
      <c r="H5895">
        <v>4</v>
      </c>
      <c r="I5895">
        <v>0.69798611111111108</v>
      </c>
      <c r="J5895">
        <v>44794</v>
      </c>
    </row>
    <row r="5896" spans="1:10" x14ac:dyDescent="0.35">
      <c r="A5896" s="2">
        <v>44792</v>
      </c>
      <c r="B5896" s="3">
        <v>0.91961805555555554</v>
      </c>
      <c r="C5896">
        <v>3458</v>
      </c>
      <c r="D5896" t="str">
        <f>VLOOKUP(H5896,Produkt!$A$2:$B$5,2,FALSE)</f>
        <v>B</v>
      </c>
      <c r="H5896">
        <v>2</v>
      </c>
      <c r="I5896">
        <v>0.91680555555555554</v>
      </c>
      <c r="J5896">
        <v>44803</v>
      </c>
    </row>
    <row r="5897" spans="1:10" x14ac:dyDescent="0.35">
      <c r="A5897" s="2">
        <v>44792</v>
      </c>
      <c r="B5897" s="3">
        <v>0.3743055555555555</v>
      </c>
      <c r="C5897">
        <v>3466</v>
      </c>
      <c r="D5897" t="str">
        <f>VLOOKUP(H5897,Produkt!$A$2:$B$5,2,FALSE)</f>
        <v>D</v>
      </c>
      <c r="H5897">
        <v>4</v>
      </c>
      <c r="I5897">
        <v>0.98472222222222217</v>
      </c>
      <c r="J5897">
        <v>44798</v>
      </c>
    </row>
    <row r="5898" spans="1:10" x14ac:dyDescent="0.35">
      <c r="A5898" s="2">
        <v>44792</v>
      </c>
      <c r="B5898" s="3">
        <v>0.70052083333333337</v>
      </c>
      <c r="C5898">
        <v>3493</v>
      </c>
      <c r="D5898" t="str">
        <f>VLOOKUP(H5898,Produkt!$A$2:$B$5,2,FALSE)</f>
        <v>A</v>
      </c>
      <c r="H5898">
        <v>1</v>
      </c>
      <c r="I5898">
        <v>0.44770833333333332</v>
      </c>
      <c r="J5898">
        <v>44776</v>
      </c>
    </row>
    <row r="5899" spans="1:10" x14ac:dyDescent="0.35">
      <c r="A5899" s="2">
        <v>44792</v>
      </c>
      <c r="B5899" s="3">
        <v>0.52339120370370373</v>
      </c>
      <c r="C5899">
        <v>3506</v>
      </c>
      <c r="D5899" t="str">
        <f>VLOOKUP(H5899,Produkt!$A$2:$B$5,2,FALSE)</f>
        <v>B</v>
      </c>
      <c r="H5899">
        <v>2</v>
      </c>
      <c r="I5899">
        <v>0.80033564814814817</v>
      </c>
      <c r="J5899">
        <v>44802</v>
      </c>
    </row>
    <row r="5900" spans="1:10" x14ac:dyDescent="0.35">
      <c r="A5900" s="2">
        <v>44792</v>
      </c>
      <c r="B5900" s="3">
        <v>0.59631944444444451</v>
      </c>
      <c r="C5900">
        <v>3521</v>
      </c>
      <c r="D5900" t="str">
        <f>VLOOKUP(H5900,Produkt!$A$2:$B$5,2,FALSE)</f>
        <v>B</v>
      </c>
      <c r="H5900">
        <v>2</v>
      </c>
      <c r="I5900">
        <v>0.53954861111111108</v>
      </c>
      <c r="J5900">
        <v>44789</v>
      </c>
    </row>
    <row r="5901" spans="1:10" x14ac:dyDescent="0.35">
      <c r="A5901" s="2">
        <v>44792</v>
      </c>
      <c r="B5901" s="3">
        <v>0.45537037037037037</v>
      </c>
      <c r="C5901">
        <v>3643</v>
      </c>
      <c r="D5901" t="str">
        <f>VLOOKUP(H5901,Produkt!$A$2:$B$5,2,FALSE)</f>
        <v>B</v>
      </c>
      <c r="H5901">
        <v>2</v>
      </c>
      <c r="I5901">
        <v>0.96965277777777781</v>
      </c>
      <c r="J5901">
        <v>44783</v>
      </c>
    </row>
    <row r="5902" spans="1:10" x14ac:dyDescent="0.35">
      <c r="A5902" s="2">
        <v>44792</v>
      </c>
      <c r="B5902" s="3">
        <v>0.41363425925925923</v>
      </c>
      <c r="C5902">
        <v>3665</v>
      </c>
      <c r="D5902" t="str">
        <f>VLOOKUP(H5902,Produkt!$A$2:$B$5,2,FALSE)</f>
        <v>A</v>
      </c>
      <c r="H5902">
        <v>1</v>
      </c>
      <c r="I5902">
        <v>0.33302083333333332</v>
      </c>
      <c r="J5902">
        <v>44796</v>
      </c>
    </row>
    <row r="5903" spans="1:10" x14ac:dyDescent="0.35">
      <c r="A5903" s="2">
        <v>44792</v>
      </c>
      <c r="B5903" s="3">
        <v>0.22024305555555557</v>
      </c>
      <c r="C5903">
        <v>3726</v>
      </c>
      <c r="D5903" t="str">
        <f>VLOOKUP(H5903,Produkt!$A$2:$B$5,2,FALSE)</f>
        <v>A</v>
      </c>
      <c r="H5903">
        <v>1</v>
      </c>
      <c r="I5903">
        <v>0.29938657407407404</v>
      </c>
      <c r="J5903">
        <v>44784</v>
      </c>
    </row>
    <row r="5904" spans="1:10" x14ac:dyDescent="0.35">
      <c r="A5904" s="2">
        <v>44792</v>
      </c>
      <c r="B5904" s="3">
        <v>0.73285879629629624</v>
      </c>
      <c r="C5904">
        <v>3733</v>
      </c>
      <c r="D5904" t="str">
        <f>VLOOKUP(H5904,Produkt!$A$2:$B$5,2,FALSE)</f>
        <v>D</v>
      </c>
      <c r="H5904">
        <v>4</v>
      </c>
      <c r="I5904">
        <v>0.47202546296296299</v>
      </c>
      <c r="J5904">
        <v>44804</v>
      </c>
    </row>
    <row r="5905" spans="1:10" x14ac:dyDescent="0.35">
      <c r="A5905" s="2">
        <v>44792</v>
      </c>
      <c r="B5905" s="3">
        <v>8.5555555555555551E-2</v>
      </c>
      <c r="C5905">
        <v>3748</v>
      </c>
      <c r="D5905" t="str">
        <f>VLOOKUP(H5905,Produkt!$A$2:$B$5,2,FALSE)</f>
        <v>B</v>
      </c>
      <c r="H5905">
        <v>2</v>
      </c>
      <c r="I5905">
        <v>0.6661111111111111</v>
      </c>
      <c r="J5905">
        <v>44781</v>
      </c>
    </row>
    <row r="5906" spans="1:10" x14ac:dyDescent="0.35">
      <c r="A5906" s="2">
        <v>44792</v>
      </c>
      <c r="B5906" s="3">
        <v>0.51665509259259257</v>
      </c>
      <c r="C5906">
        <v>3805</v>
      </c>
      <c r="D5906" t="str">
        <f>VLOOKUP(H5906,Produkt!$A$2:$B$5,2,FALSE)</f>
        <v>B</v>
      </c>
      <c r="H5906">
        <v>2</v>
      </c>
      <c r="I5906">
        <v>0.54008101851851853</v>
      </c>
      <c r="J5906">
        <v>44784</v>
      </c>
    </row>
    <row r="5907" spans="1:10" x14ac:dyDescent="0.35">
      <c r="A5907" s="2">
        <v>44792</v>
      </c>
      <c r="B5907" s="3">
        <v>0.83032407407407405</v>
      </c>
      <c r="C5907">
        <v>3918</v>
      </c>
      <c r="D5907" t="str">
        <f>VLOOKUP(H5907,Produkt!$A$2:$B$5,2,FALSE)</f>
        <v>D</v>
      </c>
      <c r="H5907">
        <v>4</v>
      </c>
      <c r="I5907">
        <v>0.56952546296296302</v>
      </c>
      <c r="J5907">
        <v>44803</v>
      </c>
    </row>
    <row r="5908" spans="1:10" x14ac:dyDescent="0.35">
      <c r="A5908" s="2">
        <v>44792</v>
      </c>
      <c r="B5908" s="3">
        <v>0.77896990740740746</v>
      </c>
      <c r="C5908">
        <v>3938</v>
      </c>
      <c r="D5908" t="str">
        <f>VLOOKUP(H5908,Produkt!$A$2:$B$5,2,FALSE)</f>
        <v>C</v>
      </c>
      <c r="H5908">
        <v>3</v>
      </c>
      <c r="I5908">
        <v>0.91917824074074073</v>
      </c>
      <c r="J5908">
        <v>44796</v>
      </c>
    </row>
    <row r="5909" spans="1:10" x14ac:dyDescent="0.35">
      <c r="A5909" s="2">
        <v>44792</v>
      </c>
      <c r="B5909" s="3">
        <v>0.98420138888888886</v>
      </c>
      <c r="C5909">
        <v>3971</v>
      </c>
      <c r="D5909" t="str">
        <f>VLOOKUP(H5909,Produkt!$A$2:$B$5,2,FALSE)</f>
        <v>C</v>
      </c>
      <c r="H5909">
        <v>3</v>
      </c>
      <c r="I5909">
        <v>0.93304398148148149</v>
      </c>
      <c r="J5909">
        <v>44776</v>
      </c>
    </row>
    <row r="5910" spans="1:10" x14ac:dyDescent="0.35">
      <c r="A5910" s="2">
        <v>44792</v>
      </c>
      <c r="B5910" s="3">
        <v>0.55863425925925925</v>
      </c>
      <c r="C5910">
        <v>4012</v>
      </c>
      <c r="D5910" t="str">
        <f>VLOOKUP(H5910,Produkt!$A$2:$B$5,2,FALSE)</f>
        <v>D</v>
      </c>
      <c r="H5910">
        <v>4</v>
      </c>
      <c r="I5910">
        <v>0.93475694444444446</v>
      </c>
      <c r="J5910">
        <v>44804</v>
      </c>
    </row>
    <row r="5911" spans="1:10" x14ac:dyDescent="0.35">
      <c r="A5911" s="2">
        <v>44792</v>
      </c>
      <c r="B5911" s="3">
        <v>0.27990740740740744</v>
      </c>
      <c r="C5911">
        <v>4031</v>
      </c>
      <c r="D5911" t="str">
        <f>VLOOKUP(H5911,Produkt!$A$2:$B$5,2,FALSE)</f>
        <v>C</v>
      </c>
      <c r="H5911">
        <v>3</v>
      </c>
      <c r="I5911">
        <v>0.83390046296296294</v>
      </c>
      <c r="J5911">
        <v>44793</v>
      </c>
    </row>
    <row r="5912" spans="1:10" x14ac:dyDescent="0.35">
      <c r="A5912" s="2">
        <v>44792</v>
      </c>
      <c r="B5912" s="3">
        <v>0.77708333333333324</v>
      </c>
      <c r="C5912">
        <v>4060</v>
      </c>
      <c r="D5912" t="str">
        <f>VLOOKUP(H5912,Produkt!$A$2:$B$5,2,FALSE)</f>
        <v>A</v>
      </c>
      <c r="H5912">
        <v>1</v>
      </c>
      <c r="I5912">
        <v>0.76694444444444443</v>
      </c>
      <c r="J5912">
        <v>44775</v>
      </c>
    </row>
    <row r="5913" spans="1:10" x14ac:dyDescent="0.35">
      <c r="A5913" s="2">
        <v>44792</v>
      </c>
      <c r="B5913" s="3">
        <v>0.79480324074074071</v>
      </c>
      <c r="C5913">
        <v>4097</v>
      </c>
      <c r="D5913" t="str">
        <f>VLOOKUP(H5913,Produkt!$A$2:$B$5,2,FALSE)</f>
        <v>D</v>
      </c>
      <c r="H5913">
        <v>4</v>
      </c>
      <c r="I5913">
        <v>0.51581018518518518</v>
      </c>
      <c r="J5913">
        <v>44802</v>
      </c>
    </row>
    <row r="5914" spans="1:10" x14ac:dyDescent="0.35">
      <c r="A5914" s="2">
        <v>44792</v>
      </c>
      <c r="B5914" s="3">
        <v>0.8563425925925926</v>
      </c>
      <c r="C5914">
        <v>4170</v>
      </c>
      <c r="D5914" t="str">
        <f>VLOOKUP(H5914,Produkt!$A$2:$B$5,2,FALSE)</f>
        <v>B</v>
      </c>
      <c r="H5914">
        <v>2</v>
      </c>
      <c r="I5914">
        <v>1.0300925925925927E-2</v>
      </c>
      <c r="J5914">
        <v>44788</v>
      </c>
    </row>
    <row r="5915" spans="1:10" x14ac:dyDescent="0.35">
      <c r="A5915" s="2">
        <v>44792</v>
      </c>
      <c r="B5915" s="3">
        <v>5.3148148148148146E-2</v>
      </c>
      <c r="C5915">
        <v>4183</v>
      </c>
      <c r="D5915" t="str">
        <f>VLOOKUP(H5915,Produkt!$A$2:$B$5,2,FALSE)</f>
        <v>C</v>
      </c>
      <c r="H5915">
        <v>3</v>
      </c>
      <c r="I5915">
        <v>0.31312499999999999</v>
      </c>
      <c r="J5915">
        <v>44776</v>
      </c>
    </row>
    <row r="5916" spans="1:10" x14ac:dyDescent="0.35">
      <c r="A5916" s="2">
        <v>44792</v>
      </c>
      <c r="B5916" s="3">
        <v>2.2280092592592591E-2</v>
      </c>
      <c r="C5916">
        <v>4217</v>
      </c>
      <c r="D5916" t="str">
        <f>VLOOKUP(H5916,Produkt!$A$2:$B$5,2,FALSE)</f>
        <v>D</v>
      </c>
      <c r="H5916">
        <v>4</v>
      </c>
      <c r="I5916">
        <v>0.41116898148148145</v>
      </c>
      <c r="J5916">
        <v>44786</v>
      </c>
    </row>
    <row r="5917" spans="1:10" x14ac:dyDescent="0.35">
      <c r="A5917" s="2">
        <v>44792</v>
      </c>
      <c r="B5917" s="3">
        <v>0.29576388888888888</v>
      </c>
      <c r="C5917">
        <v>4220</v>
      </c>
      <c r="D5917" t="str">
        <f>VLOOKUP(H5917,Produkt!$A$2:$B$5,2,FALSE)</f>
        <v>B</v>
      </c>
      <c r="H5917">
        <v>2</v>
      </c>
      <c r="I5917">
        <v>0.79336805555555545</v>
      </c>
      <c r="J5917">
        <v>44804</v>
      </c>
    </row>
    <row r="5918" spans="1:10" x14ac:dyDescent="0.35">
      <c r="A5918" s="2">
        <v>44792</v>
      </c>
      <c r="B5918" s="3">
        <v>0.7709259259259259</v>
      </c>
      <c r="C5918">
        <v>4255</v>
      </c>
      <c r="D5918" t="str">
        <f>VLOOKUP(H5918,Produkt!$A$2:$B$5,2,FALSE)</f>
        <v>D</v>
      </c>
      <c r="H5918">
        <v>4</v>
      </c>
      <c r="I5918">
        <v>3.7592592592592594E-2</v>
      </c>
      <c r="J5918">
        <v>44776</v>
      </c>
    </row>
    <row r="5919" spans="1:10" x14ac:dyDescent="0.35">
      <c r="A5919" s="2">
        <v>44792</v>
      </c>
      <c r="B5919" s="3">
        <v>1.3738425925925926E-2</v>
      </c>
      <c r="C5919">
        <v>4259</v>
      </c>
      <c r="D5919" t="str">
        <f>VLOOKUP(H5919,Produkt!$A$2:$B$5,2,FALSE)</f>
        <v>C</v>
      </c>
      <c r="H5919">
        <v>3</v>
      </c>
      <c r="I5919">
        <v>8.0358796296296289E-2</v>
      </c>
      <c r="J5919">
        <v>44791</v>
      </c>
    </row>
    <row r="5920" spans="1:10" x14ac:dyDescent="0.35">
      <c r="A5920" s="2">
        <v>44792</v>
      </c>
      <c r="B5920" s="3">
        <v>6.8634259259259256E-3</v>
      </c>
      <c r="C5920">
        <v>4337</v>
      </c>
      <c r="D5920" t="str">
        <f>VLOOKUP(H5920,Produkt!$A$2:$B$5,2,FALSE)</f>
        <v>D</v>
      </c>
      <c r="H5920">
        <v>4</v>
      </c>
      <c r="I5920">
        <v>0.87484953703703694</v>
      </c>
      <c r="J5920">
        <v>44786</v>
      </c>
    </row>
    <row r="5921" spans="1:10" x14ac:dyDescent="0.35">
      <c r="A5921" s="2">
        <v>44792</v>
      </c>
      <c r="B5921" s="3">
        <v>0.26456018518518515</v>
      </c>
      <c r="C5921">
        <v>4368</v>
      </c>
      <c r="D5921" t="str">
        <f>VLOOKUP(H5921,Produkt!$A$2:$B$5,2,FALSE)</f>
        <v>B</v>
      </c>
      <c r="H5921">
        <v>2</v>
      </c>
      <c r="I5921">
        <v>0.54230324074074077</v>
      </c>
      <c r="J5921">
        <v>44803</v>
      </c>
    </row>
    <row r="5922" spans="1:10" x14ac:dyDescent="0.35">
      <c r="A5922" s="2">
        <v>44792</v>
      </c>
      <c r="B5922" s="3">
        <v>0.54089120370370369</v>
      </c>
      <c r="C5922">
        <v>4378</v>
      </c>
      <c r="D5922" t="str">
        <f>VLOOKUP(H5922,Produkt!$A$2:$B$5,2,FALSE)</f>
        <v>C</v>
      </c>
      <c r="H5922">
        <v>3</v>
      </c>
      <c r="I5922">
        <v>0.59583333333333333</v>
      </c>
      <c r="J5922">
        <v>44792</v>
      </c>
    </row>
    <row r="5923" spans="1:10" x14ac:dyDescent="0.35">
      <c r="A5923" s="2">
        <v>44792</v>
      </c>
      <c r="B5923" s="3">
        <v>0.21428240740740742</v>
      </c>
      <c r="C5923">
        <v>4383</v>
      </c>
      <c r="D5923" t="str">
        <f>VLOOKUP(H5923,Produkt!$A$2:$B$5,2,FALSE)</f>
        <v>C</v>
      </c>
      <c r="H5923">
        <v>3</v>
      </c>
      <c r="I5923">
        <v>0.375</v>
      </c>
      <c r="J5923">
        <v>44774</v>
      </c>
    </row>
    <row r="5924" spans="1:10" x14ac:dyDescent="0.35">
      <c r="A5924" s="2">
        <v>44792</v>
      </c>
      <c r="B5924" s="3">
        <v>5.486111111111111E-2</v>
      </c>
      <c r="C5924">
        <v>4405</v>
      </c>
      <c r="D5924" t="str">
        <f>VLOOKUP(H5924,Produkt!$A$2:$B$5,2,FALSE)</f>
        <v>B</v>
      </c>
      <c r="H5924">
        <v>2</v>
      </c>
      <c r="I5924">
        <v>0.26158564814814816</v>
      </c>
      <c r="J5924">
        <v>44794</v>
      </c>
    </row>
    <row r="5925" spans="1:10" x14ac:dyDescent="0.35">
      <c r="A5925" s="2">
        <v>44792</v>
      </c>
      <c r="B5925" s="3">
        <v>0.70780092592592592</v>
      </c>
      <c r="C5925">
        <v>4420</v>
      </c>
      <c r="D5925" t="str">
        <f>VLOOKUP(H5925,Produkt!$A$2:$B$5,2,FALSE)</f>
        <v>C</v>
      </c>
      <c r="H5925">
        <v>3</v>
      </c>
      <c r="I5925">
        <v>0.74591435185185195</v>
      </c>
      <c r="J5925">
        <v>44802</v>
      </c>
    </row>
    <row r="5926" spans="1:10" x14ac:dyDescent="0.35">
      <c r="A5926" s="2">
        <v>44792</v>
      </c>
      <c r="B5926" s="3">
        <v>0.44680555555555551</v>
      </c>
      <c r="C5926">
        <v>4465</v>
      </c>
      <c r="D5926" t="str">
        <f>VLOOKUP(H5926,Produkt!$A$2:$B$5,2,FALSE)</f>
        <v>C</v>
      </c>
      <c r="H5926">
        <v>3</v>
      </c>
      <c r="I5926">
        <v>0.69328703703703709</v>
      </c>
      <c r="J5926">
        <v>44778</v>
      </c>
    </row>
    <row r="5927" spans="1:10" x14ac:dyDescent="0.35">
      <c r="A5927" s="2">
        <v>44792</v>
      </c>
      <c r="B5927" s="3">
        <v>7.6979166666666668E-2</v>
      </c>
      <c r="C5927">
        <v>4468</v>
      </c>
      <c r="D5927" t="str">
        <f>VLOOKUP(H5927,Produkt!$A$2:$B$5,2,FALSE)</f>
        <v>D</v>
      </c>
      <c r="H5927">
        <v>4</v>
      </c>
      <c r="I5927">
        <v>0.27553240740740742</v>
      </c>
      <c r="J5927">
        <v>44775</v>
      </c>
    </row>
    <row r="5928" spans="1:10" x14ac:dyDescent="0.35">
      <c r="A5928" s="2">
        <v>44792</v>
      </c>
      <c r="B5928" s="3">
        <v>0.18710648148148148</v>
      </c>
      <c r="C5928">
        <v>4515</v>
      </c>
      <c r="D5928" t="str">
        <f>VLOOKUP(H5928,Produkt!$A$2:$B$5,2,FALSE)</f>
        <v>C</v>
      </c>
      <c r="H5928">
        <v>3</v>
      </c>
      <c r="I5928">
        <v>0.45770833333333333</v>
      </c>
      <c r="J5928">
        <v>44790</v>
      </c>
    </row>
    <row r="5929" spans="1:10" x14ac:dyDescent="0.35">
      <c r="A5929" s="2">
        <v>44792</v>
      </c>
      <c r="B5929" s="3">
        <v>0.54756944444444444</v>
      </c>
      <c r="C5929">
        <v>4532</v>
      </c>
      <c r="D5929" t="str">
        <f>VLOOKUP(H5929,Produkt!$A$2:$B$5,2,FALSE)</f>
        <v>D</v>
      </c>
      <c r="H5929">
        <v>4</v>
      </c>
      <c r="I5929">
        <v>0.63721064814814821</v>
      </c>
      <c r="J5929">
        <v>44778</v>
      </c>
    </row>
    <row r="5930" spans="1:10" x14ac:dyDescent="0.35">
      <c r="A5930" s="2">
        <v>44792</v>
      </c>
      <c r="B5930" s="3">
        <v>0.30482638888888886</v>
      </c>
      <c r="C5930">
        <v>4539</v>
      </c>
      <c r="D5930" t="str">
        <f>VLOOKUP(H5930,Produkt!$A$2:$B$5,2,FALSE)</f>
        <v>C</v>
      </c>
      <c r="H5930">
        <v>3</v>
      </c>
      <c r="I5930">
        <v>0.15263888888888888</v>
      </c>
      <c r="J5930">
        <v>44783</v>
      </c>
    </row>
    <row r="5931" spans="1:10" x14ac:dyDescent="0.35">
      <c r="A5931" s="2">
        <v>44792</v>
      </c>
      <c r="B5931" s="3">
        <v>0.54151620370370368</v>
      </c>
      <c r="C5931">
        <v>4556</v>
      </c>
      <c r="D5931" t="str">
        <f>VLOOKUP(H5931,Produkt!$A$2:$B$5,2,FALSE)</f>
        <v>B</v>
      </c>
      <c r="H5931">
        <v>2</v>
      </c>
      <c r="I5931">
        <v>0.45857638888888891</v>
      </c>
      <c r="J5931">
        <v>44775</v>
      </c>
    </row>
    <row r="5932" spans="1:10" x14ac:dyDescent="0.35">
      <c r="A5932" s="2">
        <v>44792</v>
      </c>
      <c r="B5932" s="3">
        <v>0.64677083333333341</v>
      </c>
      <c r="C5932">
        <v>4559</v>
      </c>
      <c r="D5932" t="str">
        <f>VLOOKUP(H5932,Produkt!$A$2:$B$5,2,FALSE)</f>
        <v>B</v>
      </c>
      <c r="H5932">
        <v>2</v>
      </c>
      <c r="I5932">
        <v>1.9803240740740739E-2</v>
      </c>
      <c r="J5932">
        <v>44801</v>
      </c>
    </row>
    <row r="5933" spans="1:10" x14ac:dyDescent="0.35">
      <c r="A5933" s="2">
        <v>44792</v>
      </c>
      <c r="B5933" s="3">
        <v>0.92152777777777783</v>
      </c>
      <c r="C5933">
        <v>4618</v>
      </c>
      <c r="D5933" t="str">
        <f>VLOOKUP(H5933,Produkt!$A$2:$B$5,2,FALSE)</f>
        <v>C</v>
      </c>
      <c r="H5933">
        <v>3</v>
      </c>
      <c r="I5933">
        <v>0.77631944444444445</v>
      </c>
      <c r="J5933">
        <v>44779</v>
      </c>
    </row>
    <row r="5934" spans="1:10" x14ac:dyDescent="0.35">
      <c r="A5934" s="2">
        <v>44792</v>
      </c>
      <c r="B5934" s="3">
        <v>0.22142361111111111</v>
      </c>
      <c r="C5934">
        <v>4645</v>
      </c>
      <c r="D5934" t="str">
        <f>VLOOKUP(H5934,Produkt!$A$2:$B$5,2,FALSE)</f>
        <v>A</v>
      </c>
      <c r="H5934">
        <v>1</v>
      </c>
      <c r="I5934">
        <v>2.2083333333333455E-2</v>
      </c>
      <c r="J5934">
        <v>44785</v>
      </c>
    </row>
    <row r="5935" spans="1:10" x14ac:dyDescent="0.35">
      <c r="A5935" s="2">
        <v>44792</v>
      </c>
      <c r="B5935" s="3">
        <v>7.6273148148147119E-3</v>
      </c>
      <c r="C5935">
        <v>4651</v>
      </c>
      <c r="D5935" t="str">
        <f>VLOOKUP(H5935,Produkt!$A$2:$B$5,2,FALSE)</f>
        <v>C</v>
      </c>
      <c r="H5935">
        <v>3</v>
      </c>
      <c r="I5935">
        <v>0.59840277777777773</v>
      </c>
      <c r="J5935">
        <v>44794</v>
      </c>
    </row>
    <row r="5936" spans="1:10" x14ac:dyDescent="0.35">
      <c r="A5936" s="2">
        <v>44792</v>
      </c>
      <c r="B5936" s="3">
        <v>3.9143518518518494E-2</v>
      </c>
      <c r="C5936">
        <v>4691</v>
      </c>
      <c r="D5936" t="str">
        <f>VLOOKUP(H5936,Produkt!$A$2:$B$5,2,FALSE)</f>
        <v>B</v>
      </c>
      <c r="H5936">
        <v>2</v>
      </c>
      <c r="I5936">
        <v>0.67356481481481489</v>
      </c>
      <c r="J5936">
        <v>44791</v>
      </c>
    </row>
    <row r="5937" spans="1:10" x14ac:dyDescent="0.35">
      <c r="A5937" s="2">
        <v>44792</v>
      </c>
      <c r="B5937" s="3">
        <v>0.82716435185185189</v>
      </c>
      <c r="C5937">
        <v>4695</v>
      </c>
      <c r="D5937" t="str">
        <f>VLOOKUP(H5937,Produkt!$A$2:$B$5,2,FALSE)</f>
        <v>D</v>
      </c>
      <c r="H5937">
        <v>4</v>
      </c>
      <c r="I5937">
        <v>0.2890625</v>
      </c>
      <c r="J5937">
        <v>44788</v>
      </c>
    </row>
    <row r="5938" spans="1:10" x14ac:dyDescent="0.35">
      <c r="A5938" s="2">
        <v>44792</v>
      </c>
      <c r="B5938" s="3">
        <v>1.8298611111110974E-2</v>
      </c>
      <c r="C5938">
        <v>4708</v>
      </c>
      <c r="D5938" t="str">
        <f>VLOOKUP(H5938,Produkt!$A$2:$B$5,2,FALSE)</f>
        <v>B</v>
      </c>
      <c r="H5938">
        <v>2</v>
      </c>
      <c r="I5938">
        <v>0.92821759259259251</v>
      </c>
      <c r="J5938">
        <v>44793</v>
      </c>
    </row>
    <row r="5939" spans="1:10" x14ac:dyDescent="0.35">
      <c r="A5939" s="2">
        <v>44792</v>
      </c>
      <c r="B5939" s="3">
        <v>0.34494212962962961</v>
      </c>
      <c r="C5939">
        <v>4710</v>
      </c>
      <c r="D5939" t="str">
        <f>VLOOKUP(H5939,Produkt!$A$2:$B$5,2,FALSE)</f>
        <v>D</v>
      </c>
      <c r="H5939">
        <v>4</v>
      </c>
      <c r="I5939">
        <v>0.57219907407407411</v>
      </c>
      <c r="J5939">
        <v>44782</v>
      </c>
    </row>
    <row r="5940" spans="1:10" x14ac:dyDescent="0.35">
      <c r="A5940" s="2">
        <v>44792</v>
      </c>
      <c r="B5940" s="3">
        <v>0.3878240740740741</v>
      </c>
      <c r="C5940">
        <v>4732</v>
      </c>
      <c r="D5940" t="str">
        <f>VLOOKUP(H5940,Produkt!$A$2:$B$5,2,FALSE)</f>
        <v>B</v>
      </c>
      <c r="H5940">
        <v>2</v>
      </c>
      <c r="I5940">
        <v>0.79832175925925919</v>
      </c>
      <c r="J5940">
        <v>44793</v>
      </c>
    </row>
    <row r="5941" spans="1:10" x14ac:dyDescent="0.35">
      <c r="A5941" s="2">
        <v>44792</v>
      </c>
      <c r="B5941" s="3">
        <v>0.35773148148148143</v>
      </c>
      <c r="C5941">
        <v>4735</v>
      </c>
      <c r="D5941" t="str">
        <f>VLOOKUP(H5941,Produkt!$A$2:$B$5,2,FALSE)</f>
        <v>D</v>
      </c>
      <c r="H5941">
        <v>4</v>
      </c>
      <c r="I5941">
        <v>1.8518518518518521E-2</v>
      </c>
      <c r="J5941">
        <v>44788</v>
      </c>
    </row>
    <row r="5942" spans="1:10" x14ac:dyDescent="0.35">
      <c r="A5942" s="2">
        <v>44792</v>
      </c>
      <c r="B5942" s="3">
        <v>0.65666666666666662</v>
      </c>
      <c r="C5942">
        <v>4751</v>
      </c>
      <c r="D5942" t="str">
        <f>VLOOKUP(H5942,Produkt!$A$2:$B$5,2,FALSE)</f>
        <v>B</v>
      </c>
      <c r="H5942">
        <v>2</v>
      </c>
      <c r="I5942">
        <v>0.28245370370370371</v>
      </c>
      <c r="J5942">
        <v>44792</v>
      </c>
    </row>
    <row r="5943" spans="1:10" x14ac:dyDescent="0.35">
      <c r="A5943" s="2">
        <v>44792</v>
      </c>
      <c r="B5943" s="3">
        <v>8.1250000000000003E-2</v>
      </c>
      <c r="C5943">
        <v>4782</v>
      </c>
      <c r="D5943" t="str">
        <f>VLOOKUP(H5943,Produkt!$A$2:$B$5,2,FALSE)</f>
        <v>A</v>
      </c>
      <c r="H5943">
        <v>1</v>
      </c>
      <c r="I5943">
        <v>0.51976851851851846</v>
      </c>
      <c r="J5943">
        <v>44803</v>
      </c>
    </row>
    <row r="5944" spans="1:10" x14ac:dyDescent="0.35">
      <c r="A5944" s="2">
        <v>44792</v>
      </c>
      <c r="B5944" s="3">
        <v>0.87101851851851853</v>
      </c>
      <c r="C5944">
        <v>4791</v>
      </c>
      <c r="D5944" t="str">
        <f>VLOOKUP(H5944,Produkt!$A$2:$B$5,2,FALSE)</f>
        <v>A</v>
      </c>
      <c r="H5944">
        <v>1</v>
      </c>
      <c r="I5944">
        <v>0.27528935185185183</v>
      </c>
      <c r="J5944">
        <v>44788</v>
      </c>
    </row>
    <row r="5945" spans="1:10" x14ac:dyDescent="0.35">
      <c r="A5945" s="2">
        <v>44792</v>
      </c>
      <c r="B5945" s="3">
        <v>0.98260416666666661</v>
      </c>
      <c r="C5945">
        <v>4865</v>
      </c>
      <c r="D5945" t="str">
        <f>VLOOKUP(H5945,Produkt!$A$2:$B$5,2,FALSE)</f>
        <v>B</v>
      </c>
      <c r="H5945">
        <v>2</v>
      </c>
      <c r="I5945">
        <v>0.91020833333333329</v>
      </c>
      <c r="J5945">
        <v>44802</v>
      </c>
    </row>
    <row r="5946" spans="1:10" x14ac:dyDescent="0.35">
      <c r="A5946" s="2">
        <v>44792</v>
      </c>
      <c r="B5946" s="3">
        <v>0.44638888888888889</v>
      </c>
      <c r="C5946">
        <v>4870</v>
      </c>
      <c r="D5946" t="str">
        <f>VLOOKUP(H5946,Produkt!$A$2:$B$5,2,FALSE)</f>
        <v>C</v>
      </c>
      <c r="H5946">
        <v>3</v>
      </c>
      <c r="I5946">
        <v>0.16664351851851852</v>
      </c>
      <c r="J5946">
        <v>44777</v>
      </c>
    </row>
    <row r="5947" spans="1:10" x14ac:dyDescent="0.35">
      <c r="A5947" s="2">
        <v>44792</v>
      </c>
      <c r="B5947" s="3">
        <v>0.90690972222222221</v>
      </c>
      <c r="C5947">
        <v>4887</v>
      </c>
      <c r="D5947" t="str">
        <f>VLOOKUP(H5947,Produkt!$A$2:$B$5,2,FALSE)</f>
        <v>A</v>
      </c>
      <c r="H5947">
        <v>1</v>
      </c>
      <c r="I5947">
        <v>7.4131944444444445E-2</v>
      </c>
      <c r="J5947">
        <v>44774</v>
      </c>
    </row>
    <row r="5948" spans="1:10" x14ac:dyDescent="0.35">
      <c r="A5948" s="2">
        <v>44792</v>
      </c>
      <c r="B5948" s="3">
        <v>0.74665509259259266</v>
      </c>
      <c r="C5948">
        <v>4891</v>
      </c>
      <c r="D5948" t="str">
        <f>VLOOKUP(H5948,Produkt!$A$2:$B$5,2,FALSE)</f>
        <v>B</v>
      </c>
      <c r="H5948">
        <v>2</v>
      </c>
      <c r="I5948">
        <v>0.16487268518518519</v>
      </c>
      <c r="J5948">
        <v>44798</v>
      </c>
    </row>
    <row r="5949" spans="1:10" x14ac:dyDescent="0.35">
      <c r="A5949" s="2">
        <v>44792</v>
      </c>
      <c r="B5949" s="3">
        <v>0.24182870370370368</v>
      </c>
      <c r="C5949">
        <v>4922</v>
      </c>
      <c r="D5949" t="str">
        <f>VLOOKUP(H5949,Produkt!$A$2:$B$5,2,FALSE)</f>
        <v>C</v>
      </c>
      <c r="H5949">
        <v>3</v>
      </c>
      <c r="I5949">
        <v>0.34494212962962961</v>
      </c>
      <c r="J5949">
        <v>44799</v>
      </c>
    </row>
    <row r="5950" spans="1:10" x14ac:dyDescent="0.35">
      <c r="A5950" s="2">
        <v>44792</v>
      </c>
      <c r="B5950" s="3">
        <v>0.8734143518518519</v>
      </c>
      <c r="C5950">
        <v>4989</v>
      </c>
      <c r="D5950" t="str">
        <f>VLOOKUP(H5950,Produkt!$A$2:$B$5,2,FALSE)</f>
        <v>D</v>
      </c>
      <c r="H5950">
        <v>4</v>
      </c>
      <c r="I5950">
        <v>3.2141203703703707E-2</v>
      </c>
      <c r="J5950">
        <v>44779</v>
      </c>
    </row>
    <row r="5951" spans="1:10" x14ac:dyDescent="0.35">
      <c r="A5951" s="2">
        <v>44792</v>
      </c>
      <c r="B5951" s="3">
        <v>0.19841435185185186</v>
      </c>
      <c r="C5951">
        <v>5023</v>
      </c>
      <c r="D5951" t="str">
        <f>VLOOKUP(H5951,Produkt!$A$2:$B$5,2,FALSE)</f>
        <v>B</v>
      </c>
      <c r="H5951">
        <v>2</v>
      </c>
      <c r="I5951">
        <v>0.70197916666666671</v>
      </c>
      <c r="J5951">
        <v>44781</v>
      </c>
    </row>
    <row r="5952" spans="1:10" x14ac:dyDescent="0.35">
      <c r="A5952" s="2">
        <v>44792</v>
      </c>
      <c r="B5952" s="3">
        <v>0.79835648148148142</v>
      </c>
      <c r="C5952">
        <v>5034</v>
      </c>
      <c r="D5952" t="str">
        <f>VLOOKUP(H5952,Produkt!$A$2:$B$5,2,FALSE)</f>
        <v>B</v>
      </c>
      <c r="H5952">
        <v>2</v>
      </c>
      <c r="I5952">
        <v>0.5597685185185185</v>
      </c>
      <c r="J5952">
        <v>44790</v>
      </c>
    </row>
    <row r="5953" spans="1:10" x14ac:dyDescent="0.35">
      <c r="A5953" s="2">
        <v>44792</v>
      </c>
      <c r="B5953" s="3">
        <v>0.62292824074074071</v>
      </c>
      <c r="C5953">
        <v>5047</v>
      </c>
      <c r="D5953" t="str">
        <f>VLOOKUP(H5953,Produkt!$A$2:$B$5,2,FALSE)</f>
        <v>B</v>
      </c>
      <c r="H5953">
        <v>2</v>
      </c>
      <c r="I5953">
        <v>0.94795138888888886</v>
      </c>
      <c r="J5953">
        <v>44796</v>
      </c>
    </row>
    <row r="5954" spans="1:10" x14ac:dyDescent="0.35">
      <c r="A5954" s="2">
        <v>44792</v>
      </c>
      <c r="B5954" s="3">
        <v>8.184027777777779E-2</v>
      </c>
      <c r="C5954">
        <v>5055</v>
      </c>
      <c r="D5954" t="str">
        <f>VLOOKUP(H5954,Produkt!$A$2:$B$5,2,FALSE)</f>
        <v>C</v>
      </c>
      <c r="H5954">
        <v>3</v>
      </c>
      <c r="I5954">
        <v>0.83113425925925932</v>
      </c>
      <c r="J5954">
        <v>44780</v>
      </c>
    </row>
    <row r="5955" spans="1:10" x14ac:dyDescent="0.35">
      <c r="A5955" s="2">
        <v>44792</v>
      </c>
      <c r="B5955" s="3">
        <v>0.20197916666666668</v>
      </c>
      <c r="C5955">
        <v>5057</v>
      </c>
      <c r="D5955" t="str">
        <f>VLOOKUP(H5955,Produkt!$A$2:$B$5,2,FALSE)</f>
        <v>A</v>
      </c>
      <c r="H5955">
        <v>1</v>
      </c>
      <c r="I5955">
        <v>0.4261921296296296</v>
      </c>
      <c r="J5955">
        <v>44782</v>
      </c>
    </row>
    <row r="5956" spans="1:10" x14ac:dyDescent="0.35">
      <c r="A5956" s="2">
        <v>44792</v>
      </c>
      <c r="B5956" s="3">
        <v>0.4283912037037037</v>
      </c>
      <c r="C5956">
        <v>5126</v>
      </c>
      <c r="D5956" t="str">
        <f>VLOOKUP(H5956,Produkt!$A$2:$B$5,2,FALSE)</f>
        <v>A</v>
      </c>
      <c r="H5956">
        <v>1</v>
      </c>
      <c r="I5956">
        <v>3.6574074074074092E-2</v>
      </c>
      <c r="J5956">
        <v>44777</v>
      </c>
    </row>
    <row r="5957" spans="1:10" x14ac:dyDescent="0.35">
      <c r="A5957" s="2">
        <v>44792</v>
      </c>
      <c r="B5957" s="3">
        <v>0.23299768518518518</v>
      </c>
      <c r="C5957">
        <v>5140</v>
      </c>
      <c r="D5957" t="str">
        <f>VLOOKUP(H5957,Produkt!$A$2:$B$5,2,FALSE)</f>
        <v>C</v>
      </c>
      <c r="H5957">
        <v>3</v>
      </c>
      <c r="I5957">
        <v>0.90307870370370369</v>
      </c>
      <c r="J5957">
        <v>44784</v>
      </c>
    </row>
    <row r="5958" spans="1:10" x14ac:dyDescent="0.35">
      <c r="A5958" s="2">
        <v>44792</v>
      </c>
      <c r="B5958" s="3">
        <v>0.87943287037037043</v>
      </c>
      <c r="C5958">
        <v>5257</v>
      </c>
      <c r="D5958" t="str">
        <f>VLOOKUP(H5958,Produkt!$A$2:$B$5,2,FALSE)</f>
        <v>C</v>
      </c>
      <c r="H5958">
        <v>3</v>
      </c>
      <c r="I5958">
        <v>0.50364583333333335</v>
      </c>
      <c r="J5958">
        <v>44779</v>
      </c>
    </row>
    <row r="5959" spans="1:10" x14ac:dyDescent="0.35">
      <c r="A5959" s="2">
        <v>44792</v>
      </c>
      <c r="B5959" s="3">
        <v>0.44807870370370373</v>
      </c>
      <c r="C5959">
        <v>5263</v>
      </c>
      <c r="D5959" t="str">
        <f>VLOOKUP(H5959,Produkt!$A$2:$B$5,2,FALSE)</f>
        <v>A</v>
      </c>
      <c r="H5959">
        <v>1</v>
      </c>
      <c r="I5959">
        <v>0.80361111111111105</v>
      </c>
      <c r="J5959">
        <v>44792</v>
      </c>
    </row>
    <row r="5960" spans="1:10" x14ac:dyDescent="0.35">
      <c r="A5960" s="2">
        <v>44792</v>
      </c>
      <c r="B5960" s="3">
        <v>0.43861111111111112</v>
      </c>
      <c r="C5960">
        <v>5315</v>
      </c>
      <c r="D5960" t="str">
        <f>VLOOKUP(H5960,Produkt!$A$2:$B$5,2,FALSE)</f>
        <v>B</v>
      </c>
      <c r="H5960">
        <v>2</v>
      </c>
      <c r="I5960">
        <v>0.11938657407407406</v>
      </c>
      <c r="J5960">
        <v>44784</v>
      </c>
    </row>
    <row r="5961" spans="1:10" x14ac:dyDescent="0.35">
      <c r="A5961" s="2">
        <v>44792</v>
      </c>
      <c r="B5961" s="3">
        <v>0.13513888888888889</v>
      </c>
      <c r="C5961">
        <v>5403</v>
      </c>
      <c r="D5961" t="str">
        <f>VLOOKUP(H5961,Produkt!$A$2:$B$5,2,FALSE)</f>
        <v>D</v>
      </c>
      <c r="H5961">
        <v>4</v>
      </c>
      <c r="I5961">
        <v>0.8209143518518518</v>
      </c>
      <c r="J5961">
        <v>44795</v>
      </c>
    </row>
    <row r="5962" spans="1:10" x14ac:dyDescent="0.35">
      <c r="A5962" s="2">
        <v>44792</v>
      </c>
      <c r="B5962" s="3">
        <v>0.98662037037037031</v>
      </c>
      <c r="C5962">
        <v>5473</v>
      </c>
      <c r="D5962" t="str">
        <f>VLOOKUP(H5962,Produkt!$A$2:$B$5,2,FALSE)</f>
        <v>C</v>
      </c>
      <c r="H5962">
        <v>3</v>
      </c>
      <c r="I5962">
        <v>0.36428240740740742</v>
      </c>
      <c r="J5962">
        <v>44794</v>
      </c>
    </row>
    <row r="5963" spans="1:10" x14ac:dyDescent="0.35">
      <c r="A5963" s="2">
        <v>44792</v>
      </c>
      <c r="B5963" s="3">
        <v>0.78758101851851858</v>
      </c>
      <c r="C5963">
        <v>5555</v>
      </c>
      <c r="D5963" t="str">
        <f>VLOOKUP(H5963,Produkt!$A$2:$B$5,2,FALSE)</f>
        <v>C</v>
      </c>
      <c r="H5963">
        <v>3</v>
      </c>
      <c r="I5963">
        <v>0.55557870370370377</v>
      </c>
      <c r="J5963">
        <v>44793</v>
      </c>
    </row>
    <row r="5964" spans="1:10" x14ac:dyDescent="0.35">
      <c r="A5964" s="2">
        <v>44792</v>
      </c>
      <c r="B5964" s="3">
        <v>0.36972222222222223</v>
      </c>
      <c r="C5964">
        <v>5576</v>
      </c>
      <c r="D5964" t="str">
        <f>VLOOKUP(H5964,Produkt!$A$2:$B$5,2,FALSE)</f>
        <v>B</v>
      </c>
      <c r="H5964">
        <v>2</v>
      </c>
      <c r="I5964">
        <v>0.30582175925925925</v>
      </c>
      <c r="J5964">
        <v>44785</v>
      </c>
    </row>
    <row r="5965" spans="1:10" x14ac:dyDescent="0.35">
      <c r="A5965" s="2">
        <v>44792</v>
      </c>
      <c r="B5965" s="3">
        <v>0.15011574074074074</v>
      </c>
      <c r="C5965">
        <v>5610</v>
      </c>
      <c r="D5965" t="str">
        <f>VLOOKUP(H5965,Produkt!$A$2:$B$5,2,FALSE)</f>
        <v>A</v>
      </c>
      <c r="H5965">
        <v>1</v>
      </c>
      <c r="I5965">
        <v>2.5115740740739856E-3</v>
      </c>
      <c r="J5965">
        <v>44792</v>
      </c>
    </row>
    <row r="5966" spans="1:10" x14ac:dyDescent="0.35">
      <c r="A5966" s="2">
        <v>44792</v>
      </c>
      <c r="B5966" s="3">
        <v>0.66342592592592597</v>
      </c>
      <c r="C5966">
        <v>5619</v>
      </c>
      <c r="D5966" t="str">
        <f>VLOOKUP(H5966,Produkt!$A$2:$B$5,2,FALSE)</f>
        <v>B</v>
      </c>
      <c r="H5966">
        <v>2</v>
      </c>
      <c r="I5966">
        <v>0.33383101851851854</v>
      </c>
      <c r="J5966">
        <v>44792</v>
      </c>
    </row>
    <row r="5967" spans="1:10" x14ac:dyDescent="0.35">
      <c r="A5967" s="2">
        <v>44792</v>
      </c>
      <c r="B5967" s="3">
        <v>0.709050925925926</v>
      </c>
      <c r="C5967">
        <v>5653</v>
      </c>
      <c r="D5967" t="str">
        <f>VLOOKUP(H5967,Produkt!$A$2:$B$5,2,FALSE)</f>
        <v>B</v>
      </c>
      <c r="H5967">
        <v>2</v>
      </c>
      <c r="I5967">
        <v>0.27935185185185185</v>
      </c>
      <c r="J5967">
        <v>44790</v>
      </c>
    </row>
    <row r="5968" spans="1:10" x14ac:dyDescent="0.35">
      <c r="A5968" s="2">
        <v>44792</v>
      </c>
      <c r="B5968" s="3">
        <v>0.15902777777777777</v>
      </c>
      <c r="C5968">
        <v>5819</v>
      </c>
      <c r="D5968" t="str">
        <f>VLOOKUP(H5968,Produkt!$A$2:$B$5,2,FALSE)</f>
        <v>D</v>
      </c>
      <c r="H5968">
        <v>4</v>
      </c>
      <c r="I5968">
        <v>0.82060185185185175</v>
      </c>
      <c r="J5968">
        <v>44798</v>
      </c>
    </row>
    <row r="5969" spans="1:10" x14ac:dyDescent="0.35">
      <c r="A5969" s="2">
        <v>44792</v>
      </c>
      <c r="B5969" s="3">
        <v>0.75053240740740745</v>
      </c>
      <c r="C5969">
        <v>5857</v>
      </c>
      <c r="D5969" t="str">
        <f>VLOOKUP(H5969,Produkt!$A$2:$B$5,2,FALSE)</f>
        <v>B</v>
      </c>
      <c r="H5969">
        <v>2</v>
      </c>
      <c r="I5969">
        <v>0.79192129629629626</v>
      </c>
      <c r="J5969">
        <v>44784</v>
      </c>
    </row>
    <row r="5970" spans="1:10" x14ac:dyDescent="0.35">
      <c r="A5970" s="2">
        <v>44792</v>
      </c>
      <c r="B5970" s="3">
        <v>0.29938657407407404</v>
      </c>
      <c r="C5970">
        <v>5902</v>
      </c>
      <c r="D5970" t="str">
        <f>VLOOKUP(H5970,Produkt!$A$2:$B$5,2,FALSE)</f>
        <v>A</v>
      </c>
      <c r="H5970">
        <v>1</v>
      </c>
      <c r="I5970">
        <v>0.41091435185185188</v>
      </c>
      <c r="J5970">
        <v>44800</v>
      </c>
    </row>
    <row r="5971" spans="1:10" x14ac:dyDescent="0.35">
      <c r="A5971" s="2">
        <v>44792</v>
      </c>
      <c r="B5971" s="3">
        <v>0.74591435185185195</v>
      </c>
      <c r="C5971">
        <v>5924</v>
      </c>
      <c r="D5971" t="str">
        <f>VLOOKUP(H5971,Produkt!$A$2:$B$5,2,FALSE)</f>
        <v>B</v>
      </c>
      <c r="H5971">
        <v>2</v>
      </c>
      <c r="I5971">
        <v>0.23431712962962961</v>
      </c>
      <c r="J5971">
        <v>44794</v>
      </c>
    </row>
    <row r="5972" spans="1:10" x14ac:dyDescent="0.35">
      <c r="A5972" s="2">
        <v>44792</v>
      </c>
      <c r="B5972" s="3">
        <v>0.83923611111111107</v>
      </c>
      <c r="C5972">
        <v>6014</v>
      </c>
      <c r="D5972" t="str">
        <f>VLOOKUP(H5972,Produkt!$A$2:$B$5,2,FALSE)</f>
        <v>D</v>
      </c>
      <c r="H5972">
        <v>4</v>
      </c>
      <c r="I5972">
        <v>0.29670138888888892</v>
      </c>
      <c r="J5972">
        <v>44794</v>
      </c>
    </row>
    <row r="5973" spans="1:10" x14ac:dyDescent="0.35">
      <c r="A5973" s="2">
        <v>44792</v>
      </c>
      <c r="B5973" s="3">
        <v>0.98843749999999997</v>
      </c>
      <c r="C5973">
        <v>6029</v>
      </c>
      <c r="D5973" t="str">
        <f>VLOOKUP(H5973,Produkt!$A$2:$B$5,2,FALSE)</f>
        <v>C</v>
      </c>
      <c r="H5973">
        <v>3</v>
      </c>
      <c r="I5973">
        <v>0.24466435185185187</v>
      </c>
      <c r="J5973">
        <v>44796</v>
      </c>
    </row>
    <row r="5974" spans="1:10" x14ac:dyDescent="0.35">
      <c r="A5974" s="2">
        <v>44792</v>
      </c>
      <c r="B5974" s="3">
        <v>0.37188657407407405</v>
      </c>
      <c r="C5974">
        <v>6052</v>
      </c>
      <c r="D5974" t="str">
        <f>VLOOKUP(H5974,Produkt!$A$2:$B$5,2,FALSE)</f>
        <v>C</v>
      </c>
      <c r="H5974">
        <v>3</v>
      </c>
      <c r="I5974">
        <v>0.81898148148148142</v>
      </c>
      <c r="J5974">
        <v>44789</v>
      </c>
    </row>
    <row r="5975" spans="1:10" x14ac:dyDescent="0.35">
      <c r="A5975" s="2">
        <v>44792</v>
      </c>
      <c r="B5975" s="3">
        <v>0.25462962962962959</v>
      </c>
      <c r="C5975">
        <v>6074</v>
      </c>
      <c r="D5975" t="str">
        <f>VLOOKUP(H5975,Produkt!$A$2:$B$5,2,FALSE)</f>
        <v>C</v>
      </c>
      <c r="H5975">
        <v>3</v>
      </c>
      <c r="I5975">
        <v>2.2060185185185183E-2</v>
      </c>
      <c r="J5975">
        <v>44801</v>
      </c>
    </row>
    <row r="5976" spans="1:10" x14ac:dyDescent="0.35">
      <c r="A5976" s="2">
        <v>44792</v>
      </c>
      <c r="B5976" s="3">
        <v>0.91168981481481481</v>
      </c>
      <c r="C5976">
        <v>6077</v>
      </c>
      <c r="D5976" t="str">
        <f>VLOOKUP(H5976,Produkt!$A$2:$B$5,2,FALSE)</f>
        <v>D</v>
      </c>
      <c r="H5976">
        <v>4</v>
      </c>
      <c r="I5976">
        <v>0.5939699074074074</v>
      </c>
      <c r="J5976">
        <v>44777</v>
      </c>
    </row>
    <row r="5977" spans="1:10" x14ac:dyDescent="0.35">
      <c r="A5977" s="2">
        <v>44792</v>
      </c>
      <c r="B5977" s="3">
        <v>0.9891550925925926</v>
      </c>
      <c r="C5977">
        <v>6083</v>
      </c>
      <c r="D5977" t="str">
        <f>VLOOKUP(H5977,Produkt!$A$2:$B$5,2,FALSE)</f>
        <v>D</v>
      </c>
      <c r="H5977">
        <v>4</v>
      </c>
      <c r="I5977">
        <v>0.29994212962962963</v>
      </c>
      <c r="J5977">
        <v>44782</v>
      </c>
    </row>
    <row r="5978" spans="1:10" x14ac:dyDescent="0.35">
      <c r="A5978" s="2">
        <v>44792</v>
      </c>
      <c r="B5978" s="3">
        <v>3.8252314814814815E-2</v>
      </c>
      <c r="C5978">
        <v>6089</v>
      </c>
      <c r="D5978" t="str">
        <f>VLOOKUP(H5978,Produkt!$A$2:$B$5,2,FALSE)</f>
        <v>B</v>
      </c>
      <c r="H5978">
        <v>2</v>
      </c>
      <c r="I5978">
        <v>0.59488425925925925</v>
      </c>
      <c r="J5978">
        <v>44801</v>
      </c>
    </row>
    <row r="5979" spans="1:10" x14ac:dyDescent="0.35">
      <c r="A5979" s="2">
        <v>44792</v>
      </c>
      <c r="B5979" s="3">
        <v>0.52322916666666663</v>
      </c>
      <c r="C5979">
        <v>6180</v>
      </c>
      <c r="D5979" t="str">
        <f>VLOOKUP(H5979,Produkt!$A$2:$B$5,2,FALSE)</f>
        <v>A</v>
      </c>
      <c r="H5979">
        <v>1</v>
      </c>
      <c r="I5979">
        <v>0.33361111111111108</v>
      </c>
      <c r="J5979">
        <v>44794</v>
      </c>
    </row>
    <row r="5980" spans="1:10" x14ac:dyDescent="0.35">
      <c r="A5980" s="2">
        <v>44792</v>
      </c>
      <c r="B5980" s="3">
        <v>0.2978703703703704</v>
      </c>
      <c r="C5980">
        <v>6183</v>
      </c>
      <c r="D5980" t="str">
        <f>VLOOKUP(H5980,Produkt!$A$2:$B$5,2,FALSE)</f>
        <v>B</v>
      </c>
      <c r="H5980">
        <v>2</v>
      </c>
      <c r="I5980">
        <v>0.44193287037037038</v>
      </c>
      <c r="J5980">
        <v>44791</v>
      </c>
    </row>
    <row r="5981" spans="1:10" x14ac:dyDescent="0.35">
      <c r="A5981" s="2">
        <v>44792</v>
      </c>
      <c r="B5981" s="3">
        <v>0.56600694444444444</v>
      </c>
      <c r="C5981">
        <v>6193</v>
      </c>
      <c r="D5981" t="str">
        <f>VLOOKUP(H5981,Produkt!$A$2:$B$5,2,FALSE)</f>
        <v>A</v>
      </c>
      <c r="H5981">
        <v>1</v>
      </c>
      <c r="I5981">
        <v>0.92646990740740742</v>
      </c>
      <c r="J5981">
        <v>44790</v>
      </c>
    </row>
    <row r="5982" spans="1:10" x14ac:dyDescent="0.35">
      <c r="A5982" s="2">
        <v>44792</v>
      </c>
      <c r="B5982" s="3">
        <v>2.5034722222222222E-2</v>
      </c>
      <c r="C5982">
        <v>6221</v>
      </c>
      <c r="D5982" t="str">
        <f>VLOOKUP(H5982,Produkt!$A$2:$B$5,2,FALSE)</f>
        <v>A</v>
      </c>
      <c r="H5982">
        <v>1</v>
      </c>
      <c r="I5982">
        <v>0.25437500000000002</v>
      </c>
      <c r="J5982">
        <v>44800</v>
      </c>
    </row>
    <row r="5983" spans="1:10" x14ac:dyDescent="0.35">
      <c r="A5983" s="2">
        <v>44792</v>
      </c>
      <c r="B5983" s="3">
        <v>0.61797453703703698</v>
      </c>
      <c r="C5983">
        <v>6240</v>
      </c>
      <c r="D5983" t="str">
        <f>VLOOKUP(H5983,Produkt!$A$2:$B$5,2,FALSE)</f>
        <v>C</v>
      </c>
      <c r="H5983">
        <v>3</v>
      </c>
      <c r="I5983">
        <v>0.85011574074074081</v>
      </c>
      <c r="J5983">
        <v>44779</v>
      </c>
    </row>
    <row r="5984" spans="1:10" x14ac:dyDescent="0.35">
      <c r="A5984" s="2">
        <v>44792</v>
      </c>
      <c r="B5984" s="3">
        <v>0.16586805555555556</v>
      </c>
      <c r="C5984">
        <v>6315</v>
      </c>
      <c r="D5984" t="str">
        <f>VLOOKUP(H5984,Produkt!$A$2:$B$5,2,FALSE)</f>
        <v>D</v>
      </c>
      <c r="H5984">
        <v>4</v>
      </c>
      <c r="I5984">
        <v>8.3333333333333329E-2</v>
      </c>
      <c r="J5984">
        <v>44804</v>
      </c>
    </row>
    <row r="5985" spans="1:10" x14ac:dyDescent="0.35">
      <c r="A5985" s="2">
        <v>44792</v>
      </c>
      <c r="B5985" s="3">
        <v>0.45854166666666668</v>
      </c>
      <c r="C5985">
        <v>6318</v>
      </c>
      <c r="D5985" t="str">
        <f>VLOOKUP(H5985,Produkt!$A$2:$B$5,2,FALSE)</f>
        <v>C</v>
      </c>
      <c r="H5985">
        <v>3</v>
      </c>
      <c r="I5985">
        <v>0.73871527777777779</v>
      </c>
      <c r="J5985">
        <v>44794</v>
      </c>
    </row>
    <row r="5986" spans="1:10" x14ac:dyDescent="0.35">
      <c r="A5986" s="2">
        <v>44792</v>
      </c>
      <c r="B5986" s="3">
        <v>7.3379629629629628E-2</v>
      </c>
      <c r="C5986">
        <v>6322</v>
      </c>
      <c r="D5986" t="str">
        <f>VLOOKUP(H5986,Produkt!$A$2:$B$5,2,FALSE)</f>
        <v>D</v>
      </c>
      <c r="H5986">
        <v>4</v>
      </c>
      <c r="I5986">
        <v>0.58480324074074075</v>
      </c>
      <c r="J5986">
        <v>44790</v>
      </c>
    </row>
    <row r="5987" spans="1:10" x14ac:dyDescent="0.35">
      <c r="A5987" s="2">
        <v>44792</v>
      </c>
      <c r="B5987" s="3">
        <v>0.93478009259259265</v>
      </c>
      <c r="C5987">
        <v>6364</v>
      </c>
      <c r="D5987" t="str">
        <f>VLOOKUP(H5987,Produkt!$A$2:$B$5,2,FALSE)</f>
        <v>D</v>
      </c>
      <c r="H5987">
        <v>4</v>
      </c>
      <c r="I5987">
        <v>0.86350694444444442</v>
      </c>
      <c r="J5987">
        <v>44777</v>
      </c>
    </row>
    <row r="5988" spans="1:10" x14ac:dyDescent="0.35">
      <c r="A5988" s="2">
        <v>44792</v>
      </c>
      <c r="B5988" s="3">
        <v>0.22396990740740741</v>
      </c>
      <c r="C5988">
        <v>6426</v>
      </c>
      <c r="D5988" t="str">
        <f>VLOOKUP(H5988,Produkt!$A$2:$B$5,2,FALSE)</f>
        <v>A</v>
      </c>
      <c r="H5988">
        <v>1</v>
      </c>
      <c r="I5988">
        <v>1.3622685185185184E-2</v>
      </c>
      <c r="J5988">
        <v>44791</v>
      </c>
    </row>
    <row r="5989" spans="1:10" x14ac:dyDescent="0.35">
      <c r="A5989" s="2">
        <v>44792</v>
      </c>
      <c r="B5989" s="3">
        <v>0.97944444444444445</v>
      </c>
      <c r="C5989">
        <v>6447</v>
      </c>
      <c r="D5989" t="str">
        <f>VLOOKUP(H5989,Produkt!$A$2:$B$5,2,FALSE)</f>
        <v>D</v>
      </c>
      <c r="H5989">
        <v>4</v>
      </c>
      <c r="I5989">
        <v>0.99535879629629631</v>
      </c>
      <c r="J5989">
        <v>44783</v>
      </c>
    </row>
    <row r="5990" spans="1:10" x14ac:dyDescent="0.35">
      <c r="A5990" s="2">
        <v>44792</v>
      </c>
      <c r="B5990" s="3">
        <v>0.38958333333333334</v>
      </c>
      <c r="C5990">
        <v>6501</v>
      </c>
      <c r="D5990" t="str">
        <f>VLOOKUP(H5990,Produkt!$A$2:$B$5,2,FALSE)</f>
        <v>C</v>
      </c>
      <c r="H5990">
        <v>3</v>
      </c>
      <c r="I5990">
        <v>0.17545138888888889</v>
      </c>
      <c r="J5990">
        <v>44785</v>
      </c>
    </row>
    <row r="5991" spans="1:10" x14ac:dyDescent="0.35">
      <c r="A5991" s="2">
        <v>44792</v>
      </c>
      <c r="B5991" s="3">
        <v>0.33535879629629628</v>
      </c>
      <c r="C5991">
        <v>6563</v>
      </c>
      <c r="D5991" t="str">
        <f>VLOOKUP(H5991,Produkt!$A$2:$B$5,2,FALSE)</f>
        <v>A</v>
      </c>
      <c r="H5991">
        <v>1</v>
      </c>
      <c r="I5991">
        <v>0.41113425925925928</v>
      </c>
      <c r="J5991">
        <v>44803</v>
      </c>
    </row>
    <row r="5992" spans="1:10" x14ac:dyDescent="0.35">
      <c r="A5992" s="2">
        <v>44792</v>
      </c>
      <c r="B5992" s="3">
        <v>0.17233796296296297</v>
      </c>
      <c r="C5992">
        <v>6589</v>
      </c>
      <c r="D5992" t="str">
        <f>VLOOKUP(H5992,Produkt!$A$2:$B$5,2,FALSE)</f>
        <v>D</v>
      </c>
      <c r="H5992">
        <v>4</v>
      </c>
      <c r="I5992">
        <v>0.66984953703703709</v>
      </c>
      <c r="J5992">
        <v>44781</v>
      </c>
    </row>
    <row r="5993" spans="1:10" x14ac:dyDescent="0.35">
      <c r="A5993" s="2">
        <v>44792</v>
      </c>
      <c r="B5993" s="3">
        <v>0.93530092592592595</v>
      </c>
      <c r="C5993">
        <v>6680</v>
      </c>
      <c r="D5993" t="str">
        <f>VLOOKUP(H5993,Produkt!$A$2:$B$5,2,FALSE)</f>
        <v>A</v>
      </c>
      <c r="H5993">
        <v>1</v>
      </c>
      <c r="I5993">
        <v>0.19809027777777777</v>
      </c>
      <c r="J5993">
        <v>44788</v>
      </c>
    </row>
    <row r="5994" spans="1:10" x14ac:dyDescent="0.35">
      <c r="A5994" s="2">
        <v>44792</v>
      </c>
      <c r="B5994" s="3">
        <v>0.94466435185185194</v>
      </c>
      <c r="C5994">
        <v>6710</v>
      </c>
      <c r="D5994" t="str">
        <f>VLOOKUP(H5994,Produkt!$A$2:$B$5,2,FALSE)</f>
        <v>D</v>
      </c>
      <c r="H5994">
        <v>4</v>
      </c>
      <c r="I5994">
        <v>2.1759259259259258E-3</v>
      </c>
      <c r="J5994">
        <v>44780</v>
      </c>
    </row>
    <row r="5995" spans="1:10" x14ac:dyDescent="0.35">
      <c r="A5995" s="2">
        <v>44792</v>
      </c>
      <c r="B5995" s="3">
        <v>0.93122685185185183</v>
      </c>
      <c r="C5995">
        <v>6714</v>
      </c>
      <c r="D5995" t="str">
        <f>VLOOKUP(H5995,Produkt!$A$2:$B$5,2,FALSE)</f>
        <v>D</v>
      </c>
      <c r="H5995">
        <v>4</v>
      </c>
      <c r="I5995">
        <v>0.7459027777777778</v>
      </c>
      <c r="J5995">
        <v>44798</v>
      </c>
    </row>
    <row r="5996" spans="1:10" x14ac:dyDescent="0.35">
      <c r="A5996" s="2">
        <v>44792</v>
      </c>
      <c r="B5996" s="3">
        <v>0.96995370370370371</v>
      </c>
      <c r="C5996">
        <v>6789</v>
      </c>
      <c r="D5996" t="str">
        <f>VLOOKUP(H5996,Produkt!$A$2:$B$5,2,FALSE)</f>
        <v>B</v>
      </c>
      <c r="H5996">
        <v>2</v>
      </c>
      <c r="I5996">
        <v>0.16376157407407407</v>
      </c>
      <c r="J5996">
        <v>44790</v>
      </c>
    </row>
    <row r="5997" spans="1:10" x14ac:dyDescent="0.35">
      <c r="A5997" s="2">
        <v>44792</v>
      </c>
      <c r="B5997" s="3">
        <v>0.18748842592592593</v>
      </c>
      <c r="C5997">
        <v>6795</v>
      </c>
      <c r="D5997" t="str">
        <f>VLOOKUP(H5997,Produkt!$A$2:$B$5,2,FALSE)</f>
        <v>A</v>
      </c>
      <c r="H5997">
        <v>1</v>
      </c>
      <c r="I5997">
        <v>0.5582407407407407</v>
      </c>
      <c r="J5997">
        <v>44793</v>
      </c>
    </row>
    <row r="5998" spans="1:10" x14ac:dyDescent="0.35">
      <c r="A5998" s="2">
        <v>44792</v>
      </c>
      <c r="B5998" s="3">
        <v>5.6724537037037039E-2</v>
      </c>
      <c r="C5998">
        <v>6843</v>
      </c>
      <c r="D5998" t="str">
        <f>VLOOKUP(H5998,Produkt!$A$2:$B$5,2,FALSE)</f>
        <v>C</v>
      </c>
      <c r="H5998">
        <v>3</v>
      </c>
      <c r="I5998">
        <v>0.81543981481481476</v>
      </c>
      <c r="J5998">
        <v>44803</v>
      </c>
    </row>
    <row r="5999" spans="1:10" x14ac:dyDescent="0.35">
      <c r="A5999" s="2">
        <v>44792</v>
      </c>
      <c r="B5999" s="3">
        <v>0.76643518518518527</v>
      </c>
      <c r="C5999">
        <v>6852</v>
      </c>
      <c r="D5999" t="str">
        <f>VLOOKUP(H5999,Produkt!$A$2:$B$5,2,FALSE)</f>
        <v>B</v>
      </c>
      <c r="H5999">
        <v>2</v>
      </c>
      <c r="I5999">
        <v>0.82373842592592583</v>
      </c>
      <c r="J5999">
        <v>44801</v>
      </c>
    </row>
    <row r="6000" spans="1:10" x14ac:dyDescent="0.35">
      <c r="A6000" s="2">
        <v>44792</v>
      </c>
      <c r="B6000" s="3">
        <v>0.54049768518518515</v>
      </c>
      <c r="C6000">
        <v>6973</v>
      </c>
      <c r="D6000" t="str">
        <f>VLOOKUP(H6000,Produkt!$A$2:$B$5,2,FALSE)</f>
        <v>C</v>
      </c>
      <c r="H6000">
        <v>3</v>
      </c>
      <c r="I6000">
        <v>0.99924768518518514</v>
      </c>
      <c r="J6000">
        <v>44787</v>
      </c>
    </row>
    <row r="6001" spans="1:10" x14ac:dyDescent="0.35">
      <c r="A6001" s="2">
        <v>44792</v>
      </c>
      <c r="B6001" s="3">
        <v>0.11168981481481481</v>
      </c>
      <c r="C6001">
        <v>6987</v>
      </c>
      <c r="D6001" t="str">
        <f>VLOOKUP(H6001,Produkt!$A$2:$B$5,2,FALSE)</f>
        <v>B</v>
      </c>
      <c r="H6001">
        <v>2</v>
      </c>
      <c r="I6001">
        <v>0.44872685185185185</v>
      </c>
      <c r="J6001">
        <v>44785</v>
      </c>
    </row>
    <row r="6002" spans="1:10" x14ac:dyDescent="0.35">
      <c r="A6002" s="2">
        <v>44792</v>
      </c>
      <c r="B6002" s="3">
        <v>0.19998842592592592</v>
      </c>
      <c r="C6002">
        <v>7007</v>
      </c>
      <c r="D6002" t="str">
        <f>VLOOKUP(H6002,Produkt!$A$2:$B$5,2,FALSE)</f>
        <v>D</v>
      </c>
      <c r="H6002">
        <v>4</v>
      </c>
      <c r="I6002">
        <v>0.34532407407407412</v>
      </c>
      <c r="J6002">
        <v>44777</v>
      </c>
    </row>
    <row r="6003" spans="1:10" x14ac:dyDescent="0.35">
      <c r="A6003" s="2">
        <v>44792</v>
      </c>
      <c r="B6003" s="3">
        <v>0.85244212962962962</v>
      </c>
      <c r="C6003">
        <v>7080</v>
      </c>
      <c r="D6003" t="str">
        <f>VLOOKUP(H6003,Produkt!$A$2:$B$5,2,FALSE)</f>
        <v>A</v>
      </c>
      <c r="H6003">
        <v>1</v>
      </c>
      <c r="I6003">
        <v>1.475694444444442E-2</v>
      </c>
      <c r="J6003">
        <v>44794</v>
      </c>
    </row>
    <row r="6004" spans="1:10" x14ac:dyDescent="0.35">
      <c r="A6004" s="2">
        <v>44792</v>
      </c>
      <c r="B6004" s="3">
        <v>0.24337962962962964</v>
      </c>
      <c r="C6004">
        <v>7105</v>
      </c>
      <c r="D6004" t="str">
        <f>VLOOKUP(H6004,Produkt!$A$2:$B$5,2,FALSE)</f>
        <v>C</v>
      </c>
      <c r="H6004">
        <v>3</v>
      </c>
      <c r="I6004">
        <v>0.14034722222222221</v>
      </c>
      <c r="J6004">
        <v>44788</v>
      </c>
    </row>
    <row r="6005" spans="1:10" x14ac:dyDescent="0.35">
      <c r="A6005" s="2">
        <v>44792</v>
      </c>
      <c r="B6005" s="3">
        <v>0.71582175925925917</v>
      </c>
      <c r="C6005">
        <v>7135</v>
      </c>
      <c r="D6005" t="str">
        <f>VLOOKUP(H6005,Produkt!$A$2:$B$5,2,FALSE)</f>
        <v>B</v>
      </c>
      <c r="H6005">
        <v>2</v>
      </c>
      <c r="I6005">
        <v>5.5555555555555552E-2</v>
      </c>
      <c r="J6005">
        <v>44796</v>
      </c>
    </row>
    <row r="6006" spans="1:10" x14ac:dyDescent="0.35">
      <c r="A6006" s="2">
        <v>44792</v>
      </c>
      <c r="B6006" s="3">
        <v>0.23358796296296294</v>
      </c>
      <c r="C6006">
        <v>7230</v>
      </c>
      <c r="D6006" t="str">
        <f>VLOOKUP(H6006,Produkt!$A$2:$B$5,2,FALSE)</f>
        <v>B</v>
      </c>
      <c r="H6006">
        <v>2</v>
      </c>
      <c r="I6006">
        <v>0.52409722222222221</v>
      </c>
      <c r="J6006">
        <v>44796</v>
      </c>
    </row>
    <row r="6007" spans="1:10" x14ac:dyDescent="0.35">
      <c r="A6007" s="2">
        <v>44792</v>
      </c>
      <c r="B6007" s="3">
        <v>0.74572916666666667</v>
      </c>
      <c r="C6007">
        <v>7248</v>
      </c>
      <c r="D6007" t="str">
        <f>VLOOKUP(H6007,Produkt!$A$2:$B$5,2,FALSE)</f>
        <v>D</v>
      </c>
      <c r="H6007">
        <v>4</v>
      </c>
      <c r="I6007">
        <v>3.8379629629629632E-2</v>
      </c>
      <c r="J6007">
        <v>44781</v>
      </c>
    </row>
    <row r="6008" spans="1:10" x14ac:dyDescent="0.35">
      <c r="A6008" s="2">
        <v>44792</v>
      </c>
      <c r="B6008" s="3">
        <v>0.68526620370370372</v>
      </c>
      <c r="C6008">
        <v>7272</v>
      </c>
      <c r="D6008" t="str">
        <f>VLOOKUP(H6008,Produkt!$A$2:$B$5,2,FALSE)</f>
        <v>D</v>
      </c>
      <c r="H6008">
        <v>4</v>
      </c>
      <c r="I6008">
        <v>0.16748842592592594</v>
      </c>
      <c r="J6008">
        <v>44803</v>
      </c>
    </row>
    <row r="6009" spans="1:10" x14ac:dyDescent="0.35">
      <c r="A6009" s="2">
        <v>44792</v>
      </c>
      <c r="B6009" s="3">
        <v>0.98424768518518524</v>
      </c>
      <c r="C6009">
        <v>7288</v>
      </c>
      <c r="D6009" t="str">
        <f>VLOOKUP(H6009,Produkt!$A$2:$B$5,2,FALSE)</f>
        <v>A</v>
      </c>
      <c r="H6009">
        <v>1</v>
      </c>
      <c r="I6009">
        <v>4.280092592592593E-2</v>
      </c>
      <c r="J6009">
        <v>44797</v>
      </c>
    </row>
    <row r="6010" spans="1:10" x14ac:dyDescent="0.35">
      <c r="A6010" s="2">
        <v>44792</v>
      </c>
      <c r="B6010" s="3">
        <v>0.57903935185185185</v>
      </c>
      <c r="C6010">
        <v>7324</v>
      </c>
      <c r="D6010" t="str">
        <f>VLOOKUP(H6010,Produkt!$A$2:$B$5,2,FALSE)</f>
        <v>C</v>
      </c>
      <c r="H6010">
        <v>3</v>
      </c>
      <c r="I6010">
        <v>2.9803240740740741E-2</v>
      </c>
      <c r="J6010">
        <v>44784</v>
      </c>
    </row>
    <row r="6011" spans="1:10" x14ac:dyDescent="0.35">
      <c r="A6011" s="2">
        <v>44792</v>
      </c>
      <c r="B6011" s="3">
        <v>0.86398148148148157</v>
      </c>
      <c r="C6011">
        <v>7335</v>
      </c>
      <c r="D6011" t="str">
        <f>VLOOKUP(H6011,Produkt!$A$2:$B$5,2,FALSE)</f>
        <v>C</v>
      </c>
      <c r="H6011">
        <v>3</v>
      </c>
      <c r="I6011">
        <v>0.93788194444444439</v>
      </c>
      <c r="J6011">
        <v>44777</v>
      </c>
    </row>
    <row r="6012" spans="1:10" x14ac:dyDescent="0.35">
      <c r="A6012" s="2">
        <v>44792</v>
      </c>
      <c r="B6012" s="3">
        <v>0.3432175925925926</v>
      </c>
      <c r="C6012">
        <v>7341</v>
      </c>
      <c r="D6012" t="str">
        <f>VLOOKUP(H6012,Produkt!$A$2:$B$5,2,FALSE)</f>
        <v>B</v>
      </c>
      <c r="H6012">
        <v>2</v>
      </c>
      <c r="I6012">
        <v>0.62792824074074072</v>
      </c>
      <c r="J6012">
        <v>44802</v>
      </c>
    </row>
    <row r="6013" spans="1:10" x14ac:dyDescent="0.35">
      <c r="A6013" s="2">
        <v>44792</v>
      </c>
      <c r="B6013" s="3">
        <v>0.9159722222222223</v>
      </c>
      <c r="C6013">
        <v>7343</v>
      </c>
      <c r="D6013" t="str">
        <f>VLOOKUP(H6013,Produkt!$A$2:$B$5,2,FALSE)</f>
        <v>A</v>
      </c>
      <c r="H6013">
        <v>1</v>
      </c>
      <c r="I6013">
        <v>0.59534722222222225</v>
      </c>
      <c r="J6013">
        <v>44785</v>
      </c>
    </row>
    <row r="6014" spans="1:10" x14ac:dyDescent="0.35">
      <c r="A6014" s="2">
        <v>44792</v>
      </c>
      <c r="B6014" s="3">
        <v>9.4849537037037038E-2</v>
      </c>
      <c r="C6014">
        <v>7379</v>
      </c>
      <c r="D6014" t="str">
        <f>VLOOKUP(H6014,Produkt!$A$2:$B$5,2,FALSE)</f>
        <v>A</v>
      </c>
      <c r="H6014">
        <v>1</v>
      </c>
      <c r="I6014">
        <v>0.65050925925925929</v>
      </c>
      <c r="J6014">
        <v>44792</v>
      </c>
    </row>
    <row r="6015" spans="1:10" x14ac:dyDescent="0.35">
      <c r="A6015" s="2">
        <v>44792</v>
      </c>
      <c r="B6015" s="3">
        <v>0.96865740740740736</v>
      </c>
      <c r="C6015">
        <v>7405</v>
      </c>
      <c r="D6015" t="str">
        <f>VLOOKUP(H6015,Produkt!$A$2:$B$5,2,FALSE)</f>
        <v>D</v>
      </c>
      <c r="H6015">
        <v>4</v>
      </c>
      <c r="I6015">
        <v>0.83923611111111107</v>
      </c>
      <c r="J6015">
        <v>44785</v>
      </c>
    </row>
    <row r="6016" spans="1:10" x14ac:dyDescent="0.35">
      <c r="A6016" s="2">
        <v>44792</v>
      </c>
      <c r="B6016" s="3">
        <v>0.28745370370370371</v>
      </c>
      <c r="C6016">
        <v>7428</v>
      </c>
      <c r="D6016" t="str">
        <f>VLOOKUP(H6016,Produkt!$A$2:$B$5,2,FALSE)</f>
        <v>B</v>
      </c>
      <c r="H6016">
        <v>2</v>
      </c>
      <c r="I6016">
        <v>0.7531944444444445</v>
      </c>
      <c r="J6016">
        <v>44803</v>
      </c>
    </row>
    <row r="6017" spans="1:10" x14ac:dyDescent="0.35">
      <c r="A6017" s="2">
        <v>44792</v>
      </c>
      <c r="B6017" s="3">
        <v>0.29810185185185184</v>
      </c>
      <c r="C6017">
        <v>7444</v>
      </c>
      <c r="D6017" t="str">
        <f>VLOOKUP(H6017,Produkt!$A$2:$B$5,2,FALSE)</f>
        <v>A</v>
      </c>
      <c r="H6017">
        <v>1</v>
      </c>
      <c r="I6017">
        <v>0.4864236111111111</v>
      </c>
      <c r="J6017">
        <v>44794</v>
      </c>
    </row>
    <row r="6018" spans="1:10" x14ac:dyDescent="0.35">
      <c r="A6018" s="2">
        <v>44792</v>
      </c>
      <c r="B6018" s="3">
        <v>0.94836805555555559</v>
      </c>
      <c r="C6018">
        <v>7450</v>
      </c>
      <c r="D6018" t="str">
        <f>VLOOKUP(H6018,Produkt!$A$2:$B$5,2,FALSE)</f>
        <v>B</v>
      </c>
      <c r="H6018">
        <v>2</v>
      </c>
      <c r="I6018">
        <v>0.88295138888888891</v>
      </c>
      <c r="J6018">
        <v>44790</v>
      </c>
    </row>
    <row r="6019" spans="1:10" x14ac:dyDescent="0.35">
      <c r="A6019" s="2">
        <v>44792</v>
      </c>
      <c r="B6019" s="3">
        <v>0.28203703703703703</v>
      </c>
      <c r="C6019">
        <v>7480</v>
      </c>
      <c r="D6019" t="str">
        <f>VLOOKUP(H6019,Produkt!$A$2:$B$5,2,FALSE)</f>
        <v>C</v>
      </c>
      <c r="H6019">
        <v>3</v>
      </c>
      <c r="I6019">
        <v>0.38537037037037036</v>
      </c>
      <c r="J6019">
        <v>44779</v>
      </c>
    </row>
    <row r="6020" spans="1:10" x14ac:dyDescent="0.35">
      <c r="A6020" s="2">
        <v>44792</v>
      </c>
      <c r="B6020" s="3">
        <v>0.62815972222222227</v>
      </c>
      <c r="C6020">
        <v>7487</v>
      </c>
      <c r="D6020" t="str">
        <f>VLOOKUP(H6020,Produkt!$A$2:$B$5,2,FALSE)</f>
        <v>D</v>
      </c>
      <c r="H6020">
        <v>4</v>
      </c>
      <c r="I6020">
        <v>0.4604050925925926</v>
      </c>
      <c r="J6020">
        <v>44778</v>
      </c>
    </row>
    <row r="6021" spans="1:10" x14ac:dyDescent="0.35">
      <c r="A6021" s="2">
        <v>44792</v>
      </c>
      <c r="B6021" s="3">
        <v>0.34413194444444445</v>
      </c>
      <c r="C6021">
        <v>7497</v>
      </c>
      <c r="D6021" t="str">
        <f>VLOOKUP(H6021,Produkt!$A$2:$B$5,2,FALSE)</f>
        <v>A</v>
      </c>
      <c r="H6021">
        <v>1</v>
      </c>
      <c r="I6021">
        <v>0.27429398148148149</v>
      </c>
      <c r="J6021">
        <v>44779</v>
      </c>
    </row>
    <row r="6022" spans="1:10" x14ac:dyDescent="0.35">
      <c r="A6022" s="2">
        <v>44792</v>
      </c>
      <c r="B6022" s="3">
        <v>0.11355324074074075</v>
      </c>
      <c r="C6022">
        <v>7570</v>
      </c>
      <c r="D6022" t="str">
        <f>VLOOKUP(H6022,Produkt!$A$2:$B$5,2,FALSE)</f>
        <v>C</v>
      </c>
      <c r="H6022">
        <v>3</v>
      </c>
      <c r="I6022">
        <v>0.47483796296296293</v>
      </c>
      <c r="J6022">
        <v>44783</v>
      </c>
    </row>
    <row r="6023" spans="1:10" x14ac:dyDescent="0.35">
      <c r="A6023" s="2">
        <v>44792</v>
      </c>
      <c r="B6023" s="3">
        <v>0.45034722222222223</v>
      </c>
      <c r="C6023">
        <v>7592</v>
      </c>
      <c r="D6023" t="str">
        <f>VLOOKUP(H6023,Produkt!$A$2:$B$5,2,FALSE)</f>
        <v>A</v>
      </c>
      <c r="H6023">
        <v>1</v>
      </c>
      <c r="I6023">
        <v>0.42291666666666666</v>
      </c>
      <c r="J6023">
        <v>44795</v>
      </c>
    </row>
    <row r="6024" spans="1:10" x14ac:dyDescent="0.35">
      <c r="A6024" s="2">
        <v>44792</v>
      </c>
      <c r="B6024" s="3">
        <v>0.11931712962962963</v>
      </c>
      <c r="C6024">
        <v>7645</v>
      </c>
      <c r="D6024" t="str">
        <f>VLOOKUP(H6024,Produkt!$A$2:$B$5,2,FALSE)</f>
        <v>C</v>
      </c>
      <c r="H6024">
        <v>3</v>
      </c>
      <c r="I6024">
        <v>0.5960185185185185</v>
      </c>
      <c r="J6024">
        <v>44790</v>
      </c>
    </row>
    <row r="6025" spans="1:10" x14ac:dyDescent="0.35">
      <c r="A6025" s="2">
        <v>44792</v>
      </c>
      <c r="B6025" s="3">
        <v>0.19527777777777777</v>
      </c>
      <c r="C6025">
        <v>7666</v>
      </c>
      <c r="D6025" t="str">
        <f>VLOOKUP(H6025,Produkt!$A$2:$B$5,2,FALSE)</f>
        <v>B</v>
      </c>
      <c r="H6025">
        <v>2</v>
      </c>
      <c r="I6025">
        <v>0.18561342592592592</v>
      </c>
      <c r="J6025">
        <v>44787</v>
      </c>
    </row>
    <row r="6026" spans="1:10" x14ac:dyDescent="0.35">
      <c r="A6026" s="2">
        <v>44792</v>
      </c>
      <c r="B6026" s="3">
        <v>0.52953703703703703</v>
      </c>
      <c r="C6026">
        <v>7669</v>
      </c>
      <c r="D6026" t="str">
        <f>VLOOKUP(H6026,Produkt!$A$2:$B$5,2,FALSE)</f>
        <v>C</v>
      </c>
      <c r="H6026">
        <v>3</v>
      </c>
      <c r="I6026">
        <v>0.90902777777777777</v>
      </c>
      <c r="J6026">
        <v>44778</v>
      </c>
    </row>
    <row r="6027" spans="1:10" x14ac:dyDescent="0.35">
      <c r="A6027" s="2">
        <v>44792</v>
      </c>
      <c r="B6027" s="3">
        <v>0.49652777777777773</v>
      </c>
      <c r="C6027">
        <v>7771</v>
      </c>
      <c r="D6027" t="str">
        <f>VLOOKUP(H6027,Produkt!$A$2:$B$5,2,FALSE)</f>
        <v>D</v>
      </c>
      <c r="H6027">
        <v>4</v>
      </c>
      <c r="I6027">
        <v>0.18671296296296294</v>
      </c>
      <c r="J6027">
        <v>44788</v>
      </c>
    </row>
    <row r="6028" spans="1:10" x14ac:dyDescent="0.35">
      <c r="A6028" s="2">
        <v>44792</v>
      </c>
      <c r="B6028" s="3">
        <v>3.920138888888889E-2</v>
      </c>
      <c r="C6028">
        <v>7827</v>
      </c>
      <c r="D6028" t="str">
        <f>VLOOKUP(H6028,Produkt!$A$2:$B$5,2,FALSE)</f>
        <v>B</v>
      </c>
      <c r="H6028">
        <v>2</v>
      </c>
      <c r="I6028">
        <v>4.6828703703703706E-2</v>
      </c>
      <c r="J6028">
        <v>44775</v>
      </c>
    </row>
    <row r="6029" spans="1:10" x14ac:dyDescent="0.35">
      <c r="A6029" s="2">
        <v>44792</v>
      </c>
      <c r="B6029" s="3">
        <v>4.386574074074074E-2</v>
      </c>
      <c r="C6029">
        <v>7843</v>
      </c>
      <c r="D6029" t="str">
        <f>VLOOKUP(H6029,Produkt!$A$2:$B$5,2,FALSE)</f>
        <v>A</v>
      </c>
      <c r="H6029">
        <v>1</v>
      </c>
      <c r="I6029">
        <v>0.56548611111111113</v>
      </c>
      <c r="J6029">
        <v>44783</v>
      </c>
    </row>
    <row r="6030" spans="1:10" x14ac:dyDescent="0.35">
      <c r="A6030" s="2">
        <v>44792</v>
      </c>
      <c r="B6030" s="3">
        <v>0.24434027777777778</v>
      </c>
      <c r="C6030">
        <v>7847</v>
      </c>
      <c r="D6030" t="str">
        <f>VLOOKUP(H6030,Produkt!$A$2:$B$5,2,FALSE)</f>
        <v>A</v>
      </c>
      <c r="H6030">
        <v>1</v>
      </c>
      <c r="I6030">
        <v>0.98843749999999997</v>
      </c>
      <c r="J6030">
        <v>44794</v>
      </c>
    </row>
    <row r="6031" spans="1:10" x14ac:dyDescent="0.35">
      <c r="A6031" s="2">
        <v>44792</v>
      </c>
      <c r="B6031" s="3">
        <v>0.84001157407407412</v>
      </c>
      <c r="C6031">
        <v>7849</v>
      </c>
      <c r="D6031" t="str">
        <f>VLOOKUP(H6031,Produkt!$A$2:$B$5,2,FALSE)</f>
        <v>D</v>
      </c>
      <c r="H6031">
        <v>4</v>
      </c>
      <c r="I6031">
        <v>0.38842592592592595</v>
      </c>
      <c r="J6031">
        <v>44790</v>
      </c>
    </row>
    <row r="6032" spans="1:10" x14ac:dyDescent="0.35">
      <c r="A6032" s="2">
        <v>44792</v>
      </c>
      <c r="B6032" s="3">
        <v>6.671296296296296E-2</v>
      </c>
      <c r="C6032">
        <v>7870</v>
      </c>
      <c r="D6032" t="str">
        <f>VLOOKUP(H6032,Produkt!$A$2:$B$5,2,FALSE)</f>
        <v>B</v>
      </c>
      <c r="H6032">
        <v>2</v>
      </c>
      <c r="I6032">
        <v>0.78585648148148157</v>
      </c>
      <c r="J6032">
        <v>44790</v>
      </c>
    </row>
    <row r="6033" spans="1:10" x14ac:dyDescent="0.35">
      <c r="A6033" s="2">
        <v>44792</v>
      </c>
      <c r="B6033" s="3">
        <v>0.11387731481481482</v>
      </c>
      <c r="C6033">
        <v>7927</v>
      </c>
      <c r="D6033" t="str">
        <f>VLOOKUP(H6033,Produkt!$A$2:$B$5,2,FALSE)</f>
        <v>A</v>
      </c>
      <c r="H6033">
        <v>1</v>
      </c>
      <c r="I6033">
        <v>0.95300925925925928</v>
      </c>
      <c r="J6033">
        <v>44799</v>
      </c>
    </row>
    <row r="6034" spans="1:10" x14ac:dyDescent="0.35">
      <c r="A6034" s="2">
        <v>44792</v>
      </c>
      <c r="B6034" s="3">
        <v>0.52758101851851846</v>
      </c>
      <c r="C6034">
        <v>7934</v>
      </c>
      <c r="D6034" t="str">
        <f>VLOOKUP(H6034,Produkt!$A$2:$B$5,2,FALSE)</f>
        <v>A</v>
      </c>
      <c r="H6034">
        <v>1</v>
      </c>
      <c r="I6034">
        <v>0.68680555555555556</v>
      </c>
      <c r="J6034">
        <v>44797</v>
      </c>
    </row>
    <row r="6035" spans="1:10" x14ac:dyDescent="0.35">
      <c r="A6035" s="2">
        <v>44792</v>
      </c>
      <c r="B6035" s="3">
        <v>0.34509259259259256</v>
      </c>
      <c r="C6035">
        <v>7944</v>
      </c>
      <c r="D6035" t="str">
        <f>VLOOKUP(H6035,Produkt!$A$2:$B$5,2,FALSE)</f>
        <v>D</v>
      </c>
      <c r="H6035">
        <v>4</v>
      </c>
      <c r="I6035">
        <v>0.27229166666666665</v>
      </c>
      <c r="J6035">
        <v>44786</v>
      </c>
    </row>
    <row r="6036" spans="1:10" x14ac:dyDescent="0.35">
      <c r="A6036" s="2">
        <v>44792</v>
      </c>
      <c r="B6036" s="3">
        <v>0.95898148148148143</v>
      </c>
      <c r="C6036">
        <v>7947</v>
      </c>
      <c r="D6036" t="str">
        <f>VLOOKUP(H6036,Produkt!$A$2:$B$5,2,FALSE)</f>
        <v>B</v>
      </c>
      <c r="H6036">
        <v>2</v>
      </c>
      <c r="I6036">
        <v>0.79135416666666669</v>
      </c>
      <c r="J6036">
        <v>44790</v>
      </c>
    </row>
    <row r="6037" spans="1:10" x14ac:dyDescent="0.35">
      <c r="A6037" s="2">
        <v>44792</v>
      </c>
      <c r="B6037" s="3">
        <v>0.39186342592592593</v>
      </c>
      <c r="C6037">
        <v>7948</v>
      </c>
      <c r="D6037" t="str">
        <f>VLOOKUP(H6037,Produkt!$A$2:$B$5,2,FALSE)</f>
        <v>D</v>
      </c>
      <c r="H6037">
        <v>4</v>
      </c>
      <c r="I6037">
        <v>0.56545138888888891</v>
      </c>
      <c r="J6037">
        <v>44793</v>
      </c>
    </row>
    <row r="6038" spans="1:10" x14ac:dyDescent="0.35">
      <c r="A6038" s="2">
        <v>44792</v>
      </c>
      <c r="B6038" s="3">
        <v>0.4316550925925926</v>
      </c>
      <c r="C6038">
        <v>8023</v>
      </c>
      <c r="D6038" t="str">
        <f>VLOOKUP(H6038,Produkt!$A$2:$B$5,2,FALSE)</f>
        <v>A</v>
      </c>
      <c r="H6038">
        <v>1</v>
      </c>
      <c r="I6038">
        <v>0.41883101851851851</v>
      </c>
      <c r="J6038">
        <v>44782</v>
      </c>
    </row>
    <row r="6039" spans="1:10" x14ac:dyDescent="0.35">
      <c r="A6039" s="2">
        <v>44792</v>
      </c>
      <c r="B6039" s="3">
        <v>0.48898148148148146</v>
      </c>
      <c r="C6039">
        <v>8070</v>
      </c>
      <c r="D6039" t="str">
        <f>VLOOKUP(H6039,Produkt!$A$2:$B$5,2,FALSE)</f>
        <v>C</v>
      </c>
      <c r="H6039">
        <v>3</v>
      </c>
      <c r="I6039">
        <v>0.63365740740740739</v>
      </c>
      <c r="J6039">
        <v>44781</v>
      </c>
    </row>
    <row r="6040" spans="1:10" x14ac:dyDescent="0.35">
      <c r="A6040" s="2">
        <v>44792</v>
      </c>
      <c r="B6040" s="3">
        <v>0.481875</v>
      </c>
      <c r="C6040">
        <v>8122</v>
      </c>
      <c r="D6040" t="str">
        <f>VLOOKUP(H6040,Produkt!$A$2:$B$5,2,FALSE)</f>
        <v>A</v>
      </c>
      <c r="H6040">
        <v>1</v>
      </c>
      <c r="I6040">
        <v>1.9560185185185652E-3</v>
      </c>
      <c r="J6040">
        <v>44784</v>
      </c>
    </row>
    <row r="6041" spans="1:10" x14ac:dyDescent="0.35">
      <c r="A6041" s="2">
        <v>44792</v>
      </c>
      <c r="B6041" s="3">
        <v>0.65748842592592593</v>
      </c>
      <c r="C6041">
        <v>8235</v>
      </c>
      <c r="D6041" t="str">
        <f>VLOOKUP(H6041,Produkt!$A$2:$B$5,2,FALSE)</f>
        <v>C</v>
      </c>
      <c r="H6041">
        <v>3</v>
      </c>
      <c r="I6041">
        <v>0.28699074074074077</v>
      </c>
      <c r="J6041">
        <v>44778</v>
      </c>
    </row>
    <row r="6042" spans="1:10" x14ac:dyDescent="0.35">
      <c r="A6042" s="2">
        <v>44792</v>
      </c>
      <c r="B6042" s="3">
        <v>0.14613425925925927</v>
      </c>
      <c r="C6042">
        <v>8356</v>
      </c>
      <c r="D6042" t="str">
        <f>VLOOKUP(H6042,Produkt!$A$2:$B$5,2,FALSE)</f>
        <v>D</v>
      </c>
      <c r="H6042">
        <v>4</v>
      </c>
      <c r="I6042">
        <v>0.34373842592592596</v>
      </c>
      <c r="J6042">
        <v>44791</v>
      </c>
    </row>
    <row r="6043" spans="1:10" x14ac:dyDescent="0.35">
      <c r="A6043" s="2">
        <v>44792</v>
      </c>
      <c r="B6043" s="3">
        <v>0.67291666666666661</v>
      </c>
      <c r="C6043">
        <v>8372</v>
      </c>
      <c r="D6043" t="str">
        <f>VLOOKUP(H6043,Produkt!$A$2:$B$5,2,FALSE)</f>
        <v>B</v>
      </c>
      <c r="H6043">
        <v>2</v>
      </c>
      <c r="I6043">
        <v>0.90070601851851861</v>
      </c>
      <c r="J6043">
        <v>44788</v>
      </c>
    </row>
    <row r="6044" spans="1:10" x14ac:dyDescent="0.35">
      <c r="A6044" s="2">
        <v>44792</v>
      </c>
      <c r="B6044" s="3">
        <v>0.61133101851851845</v>
      </c>
      <c r="C6044">
        <v>8464</v>
      </c>
      <c r="D6044" t="str">
        <f>VLOOKUP(H6044,Produkt!$A$2:$B$5,2,FALSE)</f>
        <v>A</v>
      </c>
      <c r="H6044">
        <v>1</v>
      </c>
      <c r="I6044">
        <v>0.90535879629629623</v>
      </c>
      <c r="J6044">
        <v>44785</v>
      </c>
    </row>
    <row r="6045" spans="1:10" x14ac:dyDescent="0.35">
      <c r="A6045" s="2">
        <v>44792</v>
      </c>
      <c r="B6045" s="3">
        <v>0.5140393518518519</v>
      </c>
      <c r="C6045">
        <v>8474</v>
      </c>
      <c r="D6045" t="str">
        <f>VLOOKUP(H6045,Produkt!$A$2:$B$5,2,FALSE)</f>
        <v>B</v>
      </c>
      <c r="H6045">
        <v>2</v>
      </c>
      <c r="I6045">
        <v>0.4287731481481481</v>
      </c>
      <c r="J6045">
        <v>44785</v>
      </c>
    </row>
    <row r="6046" spans="1:10" x14ac:dyDescent="0.35">
      <c r="A6046" s="2">
        <v>44792</v>
      </c>
      <c r="B6046" s="3">
        <v>0.89187500000000008</v>
      </c>
      <c r="C6046">
        <v>8476</v>
      </c>
      <c r="D6046" t="str">
        <f>VLOOKUP(H6046,Produkt!$A$2:$B$5,2,FALSE)</f>
        <v>D</v>
      </c>
      <c r="H6046">
        <v>4</v>
      </c>
      <c r="I6046">
        <v>0.23122685185185185</v>
      </c>
      <c r="J6046">
        <v>44779</v>
      </c>
    </row>
    <row r="6047" spans="1:10" x14ac:dyDescent="0.35">
      <c r="A6047" s="2">
        <v>44792</v>
      </c>
      <c r="B6047" s="3">
        <v>0.5236574074074074</v>
      </c>
      <c r="C6047">
        <v>8518</v>
      </c>
      <c r="D6047" t="str">
        <f>VLOOKUP(H6047,Produkt!$A$2:$B$5,2,FALSE)</f>
        <v>D</v>
      </c>
      <c r="H6047">
        <v>4</v>
      </c>
      <c r="I6047">
        <v>0.65733796296296299</v>
      </c>
      <c r="J6047">
        <v>44790</v>
      </c>
    </row>
    <row r="6048" spans="1:10" x14ac:dyDescent="0.35">
      <c r="A6048" s="2">
        <v>44792</v>
      </c>
      <c r="B6048" s="3">
        <v>0.62972222222222218</v>
      </c>
      <c r="C6048">
        <v>8550</v>
      </c>
      <c r="D6048" t="str">
        <f>VLOOKUP(H6048,Produkt!$A$2:$B$5,2,FALSE)</f>
        <v>A</v>
      </c>
      <c r="H6048">
        <v>1</v>
      </c>
      <c r="I6048">
        <v>0.94415509259259256</v>
      </c>
      <c r="J6048">
        <v>44774</v>
      </c>
    </row>
    <row r="6049" spans="1:10" x14ac:dyDescent="0.35">
      <c r="A6049" s="2">
        <v>44792</v>
      </c>
      <c r="B6049" s="3">
        <v>2.1539351851851851E-2</v>
      </c>
      <c r="C6049">
        <v>8594</v>
      </c>
      <c r="D6049" t="str">
        <f>VLOOKUP(H6049,Produkt!$A$2:$B$5,2,FALSE)</f>
        <v>A</v>
      </c>
      <c r="H6049">
        <v>1</v>
      </c>
      <c r="I6049">
        <v>6.2037037037037113E-3</v>
      </c>
      <c r="J6049">
        <v>44793</v>
      </c>
    </row>
    <row r="6050" spans="1:10" x14ac:dyDescent="0.35">
      <c r="A6050" s="2">
        <v>44792</v>
      </c>
      <c r="B6050" s="3">
        <v>0.12660879629629629</v>
      </c>
      <c r="C6050">
        <v>8618</v>
      </c>
      <c r="D6050" t="str">
        <f>VLOOKUP(H6050,Produkt!$A$2:$B$5,2,FALSE)</f>
        <v>C</v>
      </c>
      <c r="H6050">
        <v>3</v>
      </c>
      <c r="I6050">
        <v>0.7003125</v>
      </c>
      <c r="J6050">
        <v>44804</v>
      </c>
    </row>
    <row r="6051" spans="1:10" x14ac:dyDescent="0.35">
      <c r="A6051" s="2">
        <v>44792</v>
      </c>
      <c r="B6051" s="3">
        <v>0.5294444444444445</v>
      </c>
      <c r="C6051">
        <v>8627</v>
      </c>
      <c r="D6051" t="str">
        <f>VLOOKUP(H6051,Produkt!$A$2:$B$5,2,FALSE)</f>
        <v>C</v>
      </c>
      <c r="H6051">
        <v>3</v>
      </c>
      <c r="I6051">
        <v>1.1666666666666667E-2</v>
      </c>
      <c r="J6051">
        <v>44788</v>
      </c>
    </row>
    <row r="6052" spans="1:10" x14ac:dyDescent="0.35">
      <c r="A6052" s="2">
        <v>44792</v>
      </c>
      <c r="B6052" s="3">
        <v>0.62780092592592596</v>
      </c>
      <c r="C6052">
        <v>8632</v>
      </c>
      <c r="D6052" t="str">
        <f>VLOOKUP(H6052,Produkt!$A$2:$B$5,2,FALSE)</f>
        <v>C</v>
      </c>
      <c r="H6052">
        <v>3</v>
      </c>
      <c r="I6052">
        <v>0.93226851851851855</v>
      </c>
      <c r="J6052">
        <v>44779</v>
      </c>
    </row>
    <row r="6053" spans="1:10" x14ac:dyDescent="0.35">
      <c r="A6053" s="2">
        <v>44792</v>
      </c>
      <c r="B6053" s="3">
        <v>0.41917824074074073</v>
      </c>
      <c r="C6053">
        <v>8664</v>
      </c>
      <c r="D6053" t="str">
        <f>VLOOKUP(H6053,Produkt!$A$2:$B$5,2,FALSE)</f>
        <v>C</v>
      </c>
      <c r="H6053">
        <v>3</v>
      </c>
      <c r="I6053">
        <v>0.37188657407407405</v>
      </c>
      <c r="J6053">
        <v>44783</v>
      </c>
    </row>
    <row r="6054" spans="1:10" x14ac:dyDescent="0.35">
      <c r="A6054" s="2">
        <v>44792</v>
      </c>
      <c r="B6054" s="3">
        <v>0.31460648148148146</v>
      </c>
      <c r="C6054">
        <v>8674</v>
      </c>
      <c r="D6054" t="str">
        <f>VLOOKUP(H6054,Produkt!$A$2:$B$5,2,FALSE)</f>
        <v>B</v>
      </c>
      <c r="H6054">
        <v>2</v>
      </c>
      <c r="I6054">
        <v>0.20849537037037036</v>
      </c>
      <c r="J6054">
        <v>44800</v>
      </c>
    </row>
    <row r="6055" spans="1:10" x14ac:dyDescent="0.35">
      <c r="A6055" s="2">
        <v>44792</v>
      </c>
      <c r="B6055" s="3">
        <v>0.25593749999999998</v>
      </c>
      <c r="C6055">
        <v>8795</v>
      </c>
      <c r="D6055" t="str">
        <f>VLOOKUP(H6055,Produkt!$A$2:$B$5,2,FALSE)</f>
        <v>B</v>
      </c>
      <c r="H6055">
        <v>2</v>
      </c>
      <c r="I6055">
        <v>0.34662037037037036</v>
      </c>
      <c r="J6055">
        <v>44784</v>
      </c>
    </row>
    <row r="6056" spans="1:10" x14ac:dyDescent="0.35">
      <c r="A6056" s="2">
        <v>44792</v>
      </c>
      <c r="B6056" s="3">
        <v>0.17098379629629631</v>
      </c>
      <c r="C6056">
        <v>8829</v>
      </c>
      <c r="D6056" t="str">
        <f>VLOOKUP(H6056,Produkt!$A$2:$B$5,2,FALSE)</f>
        <v>A</v>
      </c>
      <c r="H6056">
        <v>1</v>
      </c>
      <c r="I6056">
        <v>0.95168981481481474</v>
      </c>
      <c r="J6056">
        <v>44799</v>
      </c>
    </row>
    <row r="6057" spans="1:10" x14ac:dyDescent="0.35">
      <c r="A6057" s="2">
        <v>44792</v>
      </c>
      <c r="B6057" s="3">
        <v>0.44981481481481483</v>
      </c>
      <c r="C6057">
        <v>8870</v>
      </c>
      <c r="D6057" t="str">
        <f>VLOOKUP(H6057,Produkt!$A$2:$B$5,2,FALSE)</f>
        <v>A</v>
      </c>
      <c r="H6057">
        <v>1</v>
      </c>
      <c r="I6057">
        <v>0.24708333333333332</v>
      </c>
      <c r="J6057">
        <v>44800</v>
      </c>
    </row>
    <row r="6058" spans="1:10" x14ac:dyDescent="0.35">
      <c r="A6058" s="2">
        <v>44792</v>
      </c>
      <c r="B6058" s="3">
        <v>0.32601851851851854</v>
      </c>
      <c r="C6058">
        <v>8886</v>
      </c>
      <c r="D6058" t="str">
        <f>VLOOKUP(H6058,Produkt!$A$2:$B$5,2,FALSE)</f>
        <v>B</v>
      </c>
      <c r="H6058">
        <v>2</v>
      </c>
      <c r="I6058">
        <v>0.57982638888888893</v>
      </c>
      <c r="J6058">
        <v>44792</v>
      </c>
    </row>
    <row r="6059" spans="1:10" x14ac:dyDescent="0.35">
      <c r="A6059" s="2">
        <v>44792</v>
      </c>
      <c r="B6059" s="3">
        <v>0.57486111111111116</v>
      </c>
      <c r="C6059">
        <v>8899</v>
      </c>
      <c r="D6059" t="str">
        <f>VLOOKUP(H6059,Produkt!$A$2:$B$5,2,FALSE)</f>
        <v>A</v>
      </c>
      <c r="H6059">
        <v>1</v>
      </c>
      <c r="I6059">
        <v>0.78199074074074071</v>
      </c>
      <c r="J6059">
        <v>44781</v>
      </c>
    </row>
    <row r="6060" spans="1:10" x14ac:dyDescent="0.35">
      <c r="A6060" s="2">
        <v>44792</v>
      </c>
      <c r="B6060" s="3">
        <v>0.10741898148148148</v>
      </c>
      <c r="C6060">
        <v>8904</v>
      </c>
      <c r="D6060" t="str">
        <f>VLOOKUP(H6060,Produkt!$A$2:$B$5,2,FALSE)</f>
        <v>B</v>
      </c>
      <c r="H6060">
        <v>2</v>
      </c>
      <c r="I6060">
        <v>0.67844907407407407</v>
      </c>
      <c r="J6060">
        <v>44776</v>
      </c>
    </row>
    <row r="6061" spans="1:10" x14ac:dyDescent="0.35">
      <c r="A6061" s="2">
        <v>44792</v>
      </c>
      <c r="B6061" s="3">
        <v>0.91872685185185177</v>
      </c>
      <c r="C6061">
        <v>8933</v>
      </c>
      <c r="D6061" t="str">
        <f>VLOOKUP(H6061,Produkt!$A$2:$B$5,2,FALSE)</f>
        <v>B</v>
      </c>
      <c r="H6061">
        <v>2</v>
      </c>
      <c r="I6061">
        <v>0.92641203703703701</v>
      </c>
      <c r="J6061">
        <v>44795</v>
      </c>
    </row>
    <row r="6062" spans="1:10" x14ac:dyDescent="0.35">
      <c r="A6062" s="2">
        <v>44792</v>
      </c>
      <c r="B6062" s="3">
        <v>0.90642361111111114</v>
      </c>
      <c r="C6062">
        <v>9008</v>
      </c>
      <c r="D6062" t="str">
        <f>VLOOKUP(H6062,Produkt!$A$2:$B$5,2,FALSE)</f>
        <v>D</v>
      </c>
      <c r="H6062">
        <v>4</v>
      </c>
      <c r="I6062">
        <v>0.14951388888888889</v>
      </c>
      <c r="J6062">
        <v>44802</v>
      </c>
    </row>
    <row r="6063" spans="1:10" x14ac:dyDescent="0.35">
      <c r="A6063" s="2">
        <v>44792</v>
      </c>
      <c r="B6063" s="3">
        <v>0.3972222222222222</v>
      </c>
      <c r="C6063">
        <v>9047</v>
      </c>
      <c r="D6063" t="str">
        <f>VLOOKUP(H6063,Produkt!$A$2:$B$5,2,FALSE)</f>
        <v>A</v>
      </c>
      <c r="H6063">
        <v>1</v>
      </c>
      <c r="I6063">
        <v>0.51208333333333333</v>
      </c>
      <c r="J6063">
        <v>44794</v>
      </c>
    </row>
    <row r="6064" spans="1:10" x14ac:dyDescent="0.35">
      <c r="A6064" s="2">
        <v>44792</v>
      </c>
      <c r="B6064" s="3">
        <v>0.61868055555555557</v>
      </c>
      <c r="C6064">
        <v>9075</v>
      </c>
      <c r="D6064" t="str">
        <f>VLOOKUP(H6064,Produkt!$A$2:$B$5,2,FALSE)</f>
        <v>D</v>
      </c>
      <c r="H6064">
        <v>4</v>
      </c>
      <c r="I6064">
        <v>0.68026620370370372</v>
      </c>
      <c r="J6064">
        <v>44800</v>
      </c>
    </row>
    <row r="6065" spans="1:10" x14ac:dyDescent="0.35">
      <c r="A6065" s="2">
        <v>44792</v>
      </c>
      <c r="B6065" s="3">
        <v>0.41482638888888884</v>
      </c>
      <c r="C6065">
        <v>9105</v>
      </c>
      <c r="D6065" t="str">
        <f>VLOOKUP(H6065,Produkt!$A$2:$B$5,2,FALSE)</f>
        <v>D</v>
      </c>
      <c r="H6065">
        <v>4</v>
      </c>
      <c r="I6065">
        <v>0.15087962962962961</v>
      </c>
      <c r="J6065">
        <v>44777</v>
      </c>
    </row>
    <row r="6066" spans="1:10" x14ac:dyDescent="0.35">
      <c r="A6066" s="2">
        <v>44792</v>
      </c>
      <c r="B6066" s="3">
        <v>0.45903935185185185</v>
      </c>
      <c r="C6066">
        <v>9108</v>
      </c>
      <c r="D6066" t="str">
        <f>VLOOKUP(H6066,Produkt!$A$2:$B$5,2,FALSE)</f>
        <v>B</v>
      </c>
      <c r="H6066">
        <v>2</v>
      </c>
      <c r="I6066">
        <v>0.79995370370370367</v>
      </c>
      <c r="J6066">
        <v>44794</v>
      </c>
    </row>
    <row r="6067" spans="1:10" x14ac:dyDescent="0.35">
      <c r="A6067" s="2">
        <v>44792</v>
      </c>
      <c r="B6067" s="3">
        <v>0.27434027777777775</v>
      </c>
      <c r="C6067">
        <v>9242</v>
      </c>
      <c r="D6067" t="str">
        <f>VLOOKUP(H6067,Produkt!$A$2:$B$5,2,FALSE)</f>
        <v>C</v>
      </c>
      <c r="H6067">
        <v>3</v>
      </c>
      <c r="I6067">
        <v>2.6504629629629625E-3</v>
      </c>
      <c r="J6067">
        <v>44777</v>
      </c>
    </row>
    <row r="6068" spans="1:10" x14ac:dyDescent="0.35">
      <c r="A6068" s="2">
        <v>44792</v>
      </c>
      <c r="B6068" s="3">
        <v>0.3754513888888889</v>
      </c>
      <c r="C6068">
        <v>9265</v>
      </c>
      <c r="D6068" t="str">
        <f>VLOOKUP(H6068,Produkt!$A$2:$B$5,2,FALSE)</f>
        <v>D</v>
      </c>
      <c r="H6068">
        <v>4</v>
      </c>
      <c r="I6068">
        <v>0.56199074074074074</v>
      </c>
      <c r="J6068">
        <v>44789</v>
      </c>
    </row>
    <row r="6069" spans="1:10" x14ac:dyDescent="0.35">
      <c r="A6069" s="2">
        <v>44792</v>
      </c>
      <c r="B6069" s="3">
        <v>0.81795138888888896</v>
      </c>
      <c r="C6069">
        <v>9303</v>
      </c>
      <c r="D6069" t="str">
        <f>VLOOKUP(H6069,Produkt!$A$2:$B$5,2,FALSE)</f>
        <v>C</v>
      </c>
      <c r="H6069">
        <v>3</v>
      </c>
      <c r="I6069">
        <v>0.33480324074074069</v>
      </c>
      <c r="J6069">
        <v>44788</v>
      </c>
    </row>
    <row r="6070" spans="1:10" x14ac:dyDescent="0.35">
      <c r="A6070" s="2">
        <v>44792</v>
      </c>
      <c r="B6070" s="3">
        <v>0.8172800925925926</v>
      </c>
      <c r="C6070">
        <v>9315</v>
      </c>
      <c r="D6070" t="str">
        <f>VLOOKUP(H6070,Produkt!$A$2:$B$5,2,FALSE)</f>
        <v>C</v>
      </c>
      <c r="H6070">
        <v>3</v>
      </c>
      <c r="I6070">
        <v>0.50471064814814814</v>
      </c>
      <c r="J6070">
        <v>44779</v>
      </c>
    </row>
    <row r="6071" spans="1:10" x14ac:dyDescent="0.35">
      <c r="A6071" s="2">
        <v>44792</v>
      </c>
      <c r="B6071" s="3">
        <v>0.36170138888888892</v>
      </c>
      <c r="C6071">
        <v>9318</v>
      </c>
      <c r="D6071" t="str">
        <f>VLOOKUP(H6071,Produkt!$A$2:$B$5,2,FALSE)</f>
        <v>D</v>
      </c>
      <c r="H6071">
        <v>4</v>
      </c>
      <c r="I6071">
        <v>0.85953703703703699</v>
      </c>
      <c r="J6071">
        <v>44791</v>
      </c>
    </row>
    <row r="6072" spans="1:10" x14ac:dyDescent="0.35">
      <c r="A6072" s="2">
        <v>44792</v>
      </c>
      <c r="B6072" s="3">
        <v>0.39020833333333332</v>
      </c>
      <c r="C6072">
        <v>9392</v>
      </c>
      <c r="D6072" t="str">
        <f>VLOOKUP(H6072,Produkt!$A$2:$B$5,2,FALSE)</f>
        <v>C</v>
      </c>
      <c r="H6072">
        <v>3</v>
      </c>
      <c r="I6072">
        <v>0.63322916666666662</v>
      </c>
      <c r="J6072">
        <v>44802</v>
      </c>
    </row>
    <row r="6073" spans="1:10" x14ac:dyDescent="0.35">
      <c r="A6073" s="2">
        <v>44792</v>
      </c>
      <c r="B6073" s="3">
        <v>0.20100694444444445</v>
      </c>
      <c r="C6073">
        <v>9471</v>
      </c>
      <c r="D6073" t="str">
        <f>VLOOKUP(H6073,Produkt!$A$2:$B$5,2,FALSE)</f>
        <v>D</v>
      </c>
      <c r="H6073">
        <v>4</v>
      </c>
      <c r="I6073">
        <v>0.21953703703703706</v>
      </c>
      <c r="J6073">
        <v>44791</v>
      </c>
    </row>
    <row r="6074" spans="1:10" x14ac:dyDescent="0.35">
      <c r="A6074" s="2">
        <v>44792</v>
      </c>
      <c r="B6074" s="3">
        <v>0.97068287037037038</v>
      </c>
      <c r="C6074">
        <v>9500</v>
      </c>
      <c r="D6074" t="str">
        <f>VLOOKUP(H6074,Produkt!$A$2:$B$5,2,FALSE)</f>
        <v>A</v>
      </c>
      <c r="H6074">
        <v>1</v>
      </c>
      <c r="I6074">
        <v>0.79586805555555562</v>
      </c>
      <c r="J6074">
        <v>44803</v>
      </c>
    </row>
    <row r="6075" spans="1:10" x14ac:dyDescent="0.35">
      <c r="A6075" s="2">
        <v>44792</v>
      </c>
      <c r="B6075" s="3">
        <v>0.15931712962962963</v>
      </c>
      <c r="C6075">
        <v>9516</v>
      </c>
      <c r="D6075" t="str">
        <f>VLOOKUP(H6075,Produkt!$A$2:$B$5,2,FALSE)</f>
        <v>B</v>
      </c>
      <c r="H6075">
        <v>2</v>
      </c>
      <c r="I6075">
        <v>0.25462962962962959</v>
      </c>
      <c r="J6075">
        <v>44789</v>
      </c>
    </row>
    <row r="6076" spans="1:10" x14ac:dyDescent="0.35">
      <c r="A6076" s="2">
        <v>44792</v>
      </c>
      <c r="B6076" s="3">
        <v>0.68553240740740751</v>
      </c>
      <c r="C6076">
        <v>9533</v>
      </c>
      <c r="D6076" t="str">
        <f>VLOOKUP(H6076,Produkt!$A$2:$B$5,2,FALSE)</f>
        <v>B</v>
      </c>
      <c r="H6076">
        <v>2</v>
      </c>
      <c r="I6076">
        <v>0.20987268518518518</v>
      </c>
      <c r="J6076">
        <v>44793</v>
      </c>
    </row>
    <row r="6077" spans="1:10" x14ac:dyDescent="0.35">
      <c r="A6077" s="2">
        <v>44792</v>
      </c>
      <c r="B6077" s="3">
        <v>0.66249999999999998</v>
      </c>
      <c r="C6077">
        <v>9604</v>
      </c>
      <c r="D6077" t="str">
        <f>VLOOKUP(H6077,Produkt!$A$2:$B$5,2,FALSE)</f>
        <v>D</v>
      </c>
      <c r="H6077">
        <v>4</v>
      </c>
      <c r="I6077">
        <v>0.33258101851851851</v>
      </c>
      <c r="J6077">
        <v>44803</v>
      </c>
    </row>
    <row r="6078" spans="1:10" x14ac:dyDescent="0.35">
      <c r="A6078" s="2">
        <v>44792</v>
      </c>
      <c r="B6078" s="3">
        <v>0.52859953703703699</v>
      </c>
      <c r="C6078">
        <v>9613</v>
      </c>
      <c r="D6078" t="str">
        <f>VLOOKUP(H6078,Produkt!$A$2:$B$5,2,FALSE)</f>
        <v>D</v>
      </c>
      <c r="H6078">
        <v>4</v>
      </c>
      <c r="I6078">
        <v>0.91168981481481481</v>
      </c>
      <c r="J6078">
        <v>44774</v>
      </c>
    </row>
    <row r="6079" spans="1:10" x14ac:dyDescent="0.35">
      <c r="A6079" s="2">
        <v>44792</v>
      </c>
      <c r="B6079" s="3">
        <v>0.44277777777777777</v>
      </c>
      <c r="C6079">
        <v>9652</v>
      </c>
      <c r="D6079" t="str">
        <f>VLOOKUP(H6079,Produkt!$A$2:$B$5,2,FALSE)</f>
        <v>C</v>
      </c>
      <c r="H6079">
        <v>3</v>
      </c>
      <c r="I6079">
        <v>8.7037037037037031E-3</v>
      </c>
      <c r="J6079">
        <v>44785</v>
      </c>
    </row>
    <row r="6080" spans="1:10" x14ac:dyDescent="0.35">
      <c r="A6080" s="2">
        <v>44792</v>
      </c>
      <c r="B6080" s="3">
        <v>0.38520833333333332</v>
      </c>
      <c r="C6080">
        <v>9660</v>
      </c>
      <c r="D6080" t="str">
        <f>VLOOKUP(H6080,Produkt!$A$2:$B$5,2,FALSE)</f>
        <v>D</v>
      </c>
      <c r="H6080">
        <v>4</v>
      </c>
      <c r="I6080">
        <v>0.62851851851851859</v>
      </c>
      <c r="J6080">
        <v>44790</v>
      </c>
    </row>
    <row r="6081" spans="1:10" x14ac:dyDescent="0.35">
      <c r="A6081" s="2">
        <v>44792</v>
      </c>
      <c r="B6081" s="3">
        <v>0.49269675925925926</v>
      </c>
      <c r="C6081">
        <v>9695</v>
      </c>
      <c r="D6081" t="str">
        <f>VLOOKUP(H6081,Produkt!$A$2:$B$5,2,FALSE)</f>
        <v>B</v>
      </c>
      <c r="H6081">
        <v>2</v>
      </c>
      <c r="I6081">
        <v>0.39179398148148148</v>
      </c>
      <c r="J6081">
        <v>44800</v>
      </c>
    </row>
    <row r="6082" spans="1:10" x14ac:dyDescent="0.35">
      <c r="A6082" s="2">
        <v>44792</v>
      </c>
      <c r="B6082" s="3">
        <v>0.11380787037037036</v>
      </c>
      <c r="C6082">
        <v>9711</v>
      </c>
      <c r="D6082" t="str">
        <f>VLOOKUP(H6082,Produkt!$A$2:$B$5,2,FALSE)</f>
        <v>D</v>
      </c>
      <c r="H6082">
        <v>4</v>
      </c>
      <c r="I6082">
        <v>5.6851851851851855E-2</v>
      </c>
      <c r="J6082">
        <v>44776</v>
      </c>
    </row>
    <row r="6083" spans="1:10" x14ac:dyDescent="0.35">
      <c r="A6083" s="2">
        <v>44792</v>
      </c>
      <c r="B6083" s="3">
        <v>0.73465277777777782</v>
      </c>
      <c r="C6083">
        <v>9728</v>
      </c>
      <c r="D6083" t="str">
        <f>VLOOKUP(H6083,Produkt!$A$2:$B$5,2,FALSE)</f>
        <v>D</v>
      </c>
      <c r="H6083">
        <v>4</v>
      </c>
      <c r="I6083">
        <v>3.1944444444444449E-2</v>
      </c>
      <c r="J6083">
        <v>44782</v>
      </c>
    </row>
    <row r="6084" spans="1:10" x14ac:dyDescent="0.35">
      <c r="A6084" s="2">
        <v>44792</v>
      </c>
      <c r="B6084" s="3">
        <v>0.15800925925925927</v>
      </c>
      <c r="C6084">
        <v>9774</v>
      </c>
      <c r="D6084" t="str">
        <f>VLOOKUP(H6084,Produkt!$A$2:$B$5,2,FALSE)</f>
        <v>D</v>
      </c>
      <c r="H6084">
        <v>4</v>
      </c>
      <c r="I6084">
        <v>0.9891550925925926</v>
      </c>
      <c r="J6084">
        <v>44795</v>
      </c>
    </row>
    <row r="6085" spans="1:10" x14ac:dyDescent="0.35">
      <c r="A6085" s="2">
        <v>44792</v>
      </c>
      <c r="B6085" s="3">
        <v>0.30275462962962962</v>
      </c>
      <c r="C6085">
        <v>9784</v>
      </c>
      <c r="D6085" t="str">
        <f>VLOOKUP(H6085,Produkt!$A$2:$B$5,2,FALSE)</f>
        <v>D</v>
      </c>
      <c r="H6085">
        <v>4</v>
      </c>
      <c r="I6085">
        <v>0.86450231481481488</v>
      </c>
      <c r="J6085">
        <v>44779</v>
      </c>
    </row>
    <row r="6086" spans="1:10" x14ac:dyDescent="0.35">
      <c r="A6086" s="2">
        <v>44792</v>
      </c>
      <c r="B6086" s="3">
        <v>0.14393518518518519</v>
      </c>
      <c r="C6086">
        <v>9826</v>
      </c>
      <c r="D6086" t="str">
        <f>VLOOKUP(H6086,Produkt!$A$2:$B$5,2,FALSE)</f>
        <v>D</v>
      </c>
      <c r="H6086">
        <v>4</v>
      </c>
      <c r="I6086">
        <v>0.23179398148148148</v>
      </c>
      <c r="J6086">
        <v>44781</v>
      </c>
    </row>
    <row r="6087" spans="1:10" x14ac:dyDescent="0.35">
      <c r="A6087" s="2">
        <v>44792</v>
      </c>
      <c r="B6087" s="3">
        <v>0.32944444444444443</v>
      </c>
      <c r="C6087">
        <v>9853</v>
      </c>
      <c r="D6087" t="str">
        <f>VLOOKUP(H6087,Produkt!$A$2:$B$5,2,FALSE)</f>
        <v>D</v>
      </c>
      <c r="H6087">
        <v>4</v>
      </c>
      <c r="I6087">
        <v>0.33444444444444449</v>
      </c>
      <c r="J6087">
        <v>44781</v>
      </c>
    </row>
    <row r="6088" spans="1:10" x14ac:dyDescent="0.35">
      <c r="A6088" s="2">
        <v>44792</v>
      </c>
      <c r="B6088" s="3">
        <v>0.4392361111111111</v>
      </c>
      <c r="C6088">
        <v>9892</v>
      </c>
      <c r="D6088" t="str">
        <f>VLOOKUP(H6088,Produkt!$A$2:$B$5,2,FALSE)</f>
        <v>A</v>
      </c>
      <c r="H6088">
        <v>1</v>
      </c>
      <c r="I6088">
        <v>0.81972222222222213</v>
      </c>
      <c r="J6088">
        <v>44802</v>
      </c>
    </row>
    <row r="6089" spans="1:10" x14ac:dyDescent="0.35">
      <c r="A6089" s="2">
        <v>44792</v>
      </c>
      <c r="B6089" s="3">
        <v>0.41714120370370367</v>
      </c>
      <c r="C6089">
        <v>9915</v>
      </c>
      <c r="D6089" t="str">
        <f>VLOOKUP(H6089,Produkt!$A$2:$B$5,2,FALSE)</f>
        <v>D</v>
      </c>
      <c r="H6089">
        <v>4</v>
      </c>
      <c r="I6089">
        <v>0.75081018518518527</v>
      </c>
      <c r="J6089">
        <v>44803</v>
      </c>
    </row>
    <row r="6090" spans="1:10" x14ac:dyDescent="0.35">
      <c r="A6090" s="2">
        <v>44792</v>
      </c>
      <c r="B6090" s="3">
        <v>0.73111111111111116</v>
      </c>
      <c r="C6090">
        <v>9965</v>
      </c>
      <c r="D6090" t="str">
        <f>VLOOKUP(H6090,Produkt!$A$2:$B$5,2,FALSE)</f>
        <v>C</v>
      </c>
      <c r="H6090">
        <v>3</v>
      </c>
      <c r="I6090">
        <v>3.8252314814814815E-2</v>
      </c>
      <c r="J6090">
        <v>44780</v>
      </c>
    </row>
    <row r="6091" spans="1:10" x14ac:dyDescent="0.35">
      <c r="A6091" s="2">
        <v>44793</v>
      </c>
      <c r="B6091" s="3">
        <v>8.4108796296296293E-2</v>
      </c>
      <c r="C6091">
        <v>2</v>
      </c>
      <c r="D6091" t="str">
        <f>VLOOKUP(H6091,Produkt!$A$2:$B$5,2,FALSE)</f>
        <v>C</v>
      </c>
      <c r="H6091">
        <v>3</v>
      </c>
      <c r="I6091">
        <v>0.77249999999999996</v>
      </c>
      <c r="J6091">
        <v>44784</v>
      </c>
    </row>
    <row r="6092" spans="1:10" x14ac:dyDescent="0.35">
      <c r="A6092" s="2">
        <v>44793</v>
      </c>
      <c r="B6092" s="3">
        <v>0.12321759259259259</v>
      </c>
      <c r="C6092">
        <v>50</v>
      </c>
      <c r="D6092" t="str">
        <f>VLOOKUP(H6092,Produkt!$A$2:$B$5,2,FALSE)</f>
        <v>C</v>
      </c>
      <c r="H6092">
        <v>3</v>
      </c>
      <c r="I6092">
        <v>0.36027777777777775</v>
      </c>
      <c r="J6092">
        <v>44778</v>
      </c>
    </row>
    <row r="6093" spans="1:10" x14ac:dyDescent="0.35">
      <c r="A6093" s="2">
        <v>44793</v>
      </c>
      <c r="B6093" s="3">
        <v>0.41116898148148145</v>
      </c>
      <c r="C6093">
        <v>76</v>
      </c>
      <c r="D6093" t="str">
        <f>VLOOKUP(H6093,Produkt!$A$2:$B$5,2,FALSE)</f>
        <v>B</v>
      </c>
      <c r="H6093">
        <v>2</v>
      </c>
      <c r="I6093">
        <v>3.3576388888888892E-2</v>
      </c>
      <c r="J6093">
        <v>44802</v>
      </c>
    </row>
    <row r="6094" spans="1:10" x14ac:dyDescent="0.35">
      <c r="A6094" s="2">
        <v>44793</v>
      </c>
      <c r="B6094" s="3">
        <v>0.81960648148148152</v>
      </c>
      <c r="C6094">
        <v>82</v>
      </c>
      <c r="D6094" t="str">
        <f>VLOOKUP(H6094,Produkt!$A$2:$B$5,2,FALSE)</f>
        <v>B</v>
      </c>
      <c r="H6094">
        <v>2</v>
      </c>
      <c r="I6094">
        <v>0.72924768518518512</v>
      </c>
      <c r="J6094">
        <v>44793</v>
      </c>
    </row>
    <row r="6095" spans="1:10" x14ac:dyDescent="0.35">
      <c r="A6095" s="2">
        <v>44793</v>
      </c>
      <c r="B6095" s="3">
        <v>0.87732638888888881</v>
      </c>
      <c r="C6095">
        <v>90</v>
      </c>
      <c r="D6095" t="str">
        <f>VLOOKUP(H6095,Produkt!$A$2:$B$5,2,FALSE)</f>
        <v>D</v>
      </c>
      <c r="H6095">
        <v>4</v>
      </c>
      <c r="I6095">
        <v>0.68644675925925924</v>
      </c>
      <c r="J6095">
        <v>44792</v>
      </c>
    </row>
    <row r="6096" spans="1:10" x14ac:dyDescent="0.35">
      <c r="A6096" s="2">
        <v>44793</v>
      </c>
      <c r="B6096" s="3">
        <v>4.5706018518518521E-2</v>
      </c>
      <c r="C6096">
        <v>159</v>
      </c>
      <c r="D6096" t="str">
        <f>VLOOKUP(H6096,Produkt!$A$2:$B$5,2,FALSE)</f>
        <v>D</v>
      </c>
      <c r="H6096">
        <v>4</v>
      </c>
      <c r="I6096">
        <v>0.6897106481481482</v>
      </c>
      <c r="J6096">
        <v>44793</v>
      </c>
    </row>
    <row r="6097" spans="1:10" x14ac:dyDescent="0.35">
      <c r="A6097" s="2">
        <v>44793</v>
      </c>
      <c r="B6097" s="3">
        <v>0.76326388888888896</v>
      </c>
      <c r="C6097">
        <v>169</v>
      </c>
      <c r="D6097" t="str">
        <f>VLOOKUP(H6097,Produkt!$A$2:$B$5,2,FALSE)</f>
        <v>A</v>
      </c>
      <c r="H6097">
        <v>1</v>
      </c>
      <c r="I6097">
        <v>2.704861111111111E-2</v>
      </c>
      <c r="J6097">
        <v>44791</v>
      </c>
    </row>
    <row r="6098" spans="1:10" x14ac:dyDescent="0.35">
      <c r="A6098" s="2">
        <v>44793</v>
      </c>
      <c r="B6098" s="3">
        <v>1.6793981481481483E-2</v>
      </c>
      <c r="C6098">
        <v>191</v>
      </c>
      <c r="D6098" t="str">
        <f>VLOOKUP(H6098,Produkt!$A$2:$B$5,2,FALSE)</f>
        <v>D</v>
      </c>
      <c r="H6098">
        <v>4</v>
      </c>
      <c r="I6098">
        <v>0.37201388888888887</v>
      </c>
      <c r="J6098">
        <v>44779</v>
      </c>
    </row>
    <row r="6099" spans="1:10" x14ac:dyDescent="0.35">
      <c r="A6099" s="2">
        <v>44793</v>
      </c>
      <c r="B6099" s="3">
        <v>7.2476851851851862E-2</v>
      </c>
      <c r="C6099">
        <v>219</v>
      </c>
      <c r="D6099" t="str">
        <f>VLOOKUP(H6099,Produkt!$A$2:$B$5,2,FALSE)</f>
        <v>C</v>
      </c>
      <c r="H6099">
        <v>3</v>
      </c>
      <c r="I6099">
        <v>8.3622685185185189E-2</v>
      </c>
      <c r="J6099">
        <v>44789</v>
      </c>
    </row>
    <row r="6100" spans="1:10" x14ac:dyDescent="0.35">
      <c r="A6100" s="2">
        <v>44793</v>
      </c>
      <c r="B6100" s="3">
        <v>4.2569444444444444E-2</v>
      </c>
      <c r="C6100">
        <v>231</v>
      </c>
      <c r="D6100" t="str">
        <f>VLOOKUP(H6100,Produkt!$A$2:$B$5,2,FALSE)</f>
        <v>C</v>
      </c>
      <c r="H6100">
        <v>3</v>
      </c>
      <c r="I6100">
        <v>0.8508796296296296</v>
      </c>
      <c r="J6100">
        <v>44799</v>
      </c>
    </row>
    <row r="6101" spans="1:10" x14ac:dyDescent="0.35">
      <c r="A6101" s="2">
        <v>44793</v>
      </c>
      <c r="B6101" s="3">
        <v>0.31063657407407408</v>
      </c>
      <c r="C6101">
        <v>248</v>
      </c>
      <c r="D6101" t="str">
        <f>VLOOKUP(H6101,Produkt!$A$2:$B$5,2,FALSE)</f>
        <v>D</v>
      </c>
      <c r="H6101">
        <v>4</v>
      </c>
      <c r="I6101">
        <v>1.5416666666666634E-2</v>
      </c>
      <c r="J6101">
        <v>44798</v>
      </c>
    </row>
    <row r="6102" spans="1:10" x14ac:dyDescent="0.35">
      <c r="A6102" s="2">
        <v>44793</v>
      </c>
      <c r="B6102" s="3">
        <v>0.62980324074074068</v>
      </c>
      <c r="C6102">
        <v>249</v>
      </c>
      <c r="D6102" t="str">
        <f>VLOOKUP(H6102,Produkt!$A$2:$B$5,2,FALSE)</f>
        <v>A</v>
      </c>
      <c r="H6102">
        <v>1</v>
      </c>
      <c r="I6102">
        <v>0.98903935185185177</v>
      </c>
      <c r="J6102">
        <v>44784</v>
      </c>
    </row>
    <row r="6103" spans="1:10" x14ac:dyDescent="0.35">
      <c r="A6103" s="2">
        <v>44793</v>
      </c>
      <c r="B6103" s="3">
        <v>0.53692129629629626</v>
      </c>
      <c r="C6103">
        <v>287</v>
      </c>
      <c r="D6103" t="str">
        <f>VLOOKUP(H6103,Produkt!$A$2:$B$5,2,FALSE)</f>
        <v>D</v>
      </c>
      <c r="H6103">
        <v>4</v>
      </c>
      <c r="I6103">
        <v>0.95065972222222228</v>
      </c>
      <c r="J6103">
        <v>44788</v>
      </c>
    </row>
    <row r="6104" spans="1:10" x14ac:dyDescent="0.35">
      <c r="A6104" s="2">
        <v>44793</v>
      </c>
      <c r="B6104" s="3">
        <v>0.13789351851851853</v>
      </c>
      <c r="C6104">
        <v>299</v>
      </c>
      <c r="D6104" t="str">
        <f>VLOOKUP(H6104,Produkt!$A$2:$B$5,2,FALSE)</f>
        <v>D</v>
      </c>
      <c r="H6104">
        <v>4</v>
      </c>
      <c r="I6104">
        <v>0.76224537037037043</v>
      </c>
      <c r="J6104">
        <v>44793</v>
      </c>
    </row>
    <row r="6105" spans="1:10" x14ac:dyDescent="0.35">
      <c r="A6105" s="2">
        <v>44793</v>
      </c>
      <c r="B6105" s="3">
        <v>0.20769675925925926</v>
      </c>
      <c r="C6105">
        <v>306</v>
      </c>
      <c r="D6105" t="str">
        <f>VLOOKUP(H6105,Produkt!$A$2:$B$5,2,FALSE)</f>
        <v>D</v>
      </c>
      <c r="H6105">
        <v>4</v>
      </c>
      <c r="I6105">
        <v>0.27002314814814815</v>
      </c>
      <c r="J6105">
        <v>44800</v>
      </c>
    </row>
    <row r="6106" spans="1:10" x14ac:dyDescent="0.35">
      <c r="A6106" s="2">
        <v>44793</v>
      </c>
      <c r="B6106" s="3">
        <v>0.58105324074074072</v>
      </c>
      <c r="C6106">
        <v>334</v>
      </c>
      <c r="D6106" t="str">
        <f>VLOOKUP(H6106,Produkt!$A$2:$B$5,2,FALSE)</f>
        <v>C</v>
      </c>
      <c r="H6106">
        <v>3</v>
      </c>
      <c r="I6106">
        <v>0.17584490740740741</v>
      </c>
      <c r="J6106">
        <v>44788</v>
      </c>
    </row>
    <row r="6107" spans="1:10" x14ac:dyDescent="0.35">
      <c r="A6107" s="2">
        <v>44793</v>
      </c>
      <c r="B6107" s="3">
        <v>0.69451388888888888</v>
      </c>
      <c r="C6107">
        <v>361</v>
      </c>
      <c r="D6107" t="str">
        <f>VLOOKUP(H6107,Produkt!$A$2:$B$5,2,FALSE)</f>
        <v>C</v>
      </c>
      <c r="H6107">
        <v>3</v>
      </c>
      <c r="I6107">
        <v>0.63042824074074078</v>
      </c>
      <c r="J6107">
        <v>44787</v>
      </c>
    </row>
    <row r="6108" spans="1:10" x14ac:dyDescent="0.35">
      <c r="A6108" s="2">
        <v>44793</v>
      </c>
      <c r="B6108" s="3">
        <v>0.36350694444444448</v>
      </c>
      <c r="C6108">
        <v>366</v>
      </c>
      <c r="D6108" t="str">
        <f>VLOOKUP(H6108,Produkt!$A$2:$B$5,2,FALSE)</f>
        <v>D</v>
      </c>
      <c r="H6108">
        <v>4</v>
      </c>
      <c r="I6108">
        <v>0.35998842592592589</v>
      </c>
      <c r="J6108">
        <v>44790</v>
      </c>
    </row>
    <row r="6109" spans="1:10" x14ac:dyDescent="0.35">
      <c r="A6109" s="2">
        <v>44793</v>
      </c>
      <c r="B6109" s="3">
        <v>0.14346064814814816</v>
      </c>
      <c r="C6109">
        <v>396</v>
      </c>
      <c r="D6109" t="str">
        <f>VLOOKUP(H6109,Produkt!$A$2:$B$5,2,FALSE)</f>
        <v>D</v>
      </c>
      <c r="H6109">
        <v>4</v>
      </c>
      <c r="I6109">
        <v>0.48101851851851851</v>
      </c>
      <c r="J6109">
        <v>44786</v>
      </c>
    </row>
    <row r="6110" spans="1:10" x14ac:dyDescent="0.35">
      <c r="A6110" s="2">
        <v>44793</v>
      </c>
      <c r="B6110" s="3">
        <v>0.54071759259259256</v>
      </c>
      <c r="C6110">
        <v>419</v>
      </c>
      <c r="D6110" t="str">
        <f>VLOOKUP(H6110,Produkt!$A$2:$B$5,2,FALSE)</f>
        <v>A</v>
      </c>
      <c r="H6110">
        <v>1</v>
      </c>
      <c r="I6110">
        <v>0.68828703703703698</v>
      </c>
      <c r="J6110">
        <v>44792</v>
      </c>
    </row>
    <row r="6111" spans="1:10" x14ac:dyDescent="0.35">
      <c r="A6111" s="2">
        <v>44793</v>
      </c>
      <c r="B6111" s="3">
        <v>0.84430555555555553</v>
      </c>
      <c r="C6111">
        <v>427</v>
      </c>
      <c r="D6111" t="str">
        <f>VLOOKUP(H6111,Produkt!$A$2:$B$5,2,FALSE)</f>
        <v>D</v>
      </c>
      <c r="H6111">
        <v>4</v>
      </c>
      <c r="I6111">
        <v>0.95950231481481485</v>
      </c>
      <c r="J6111">
        <v>44792</v>
      </c>
    </row>
    <row r="6112" spans="1:10" x14ac:dyDescent="0.35">
      <c r="A6112" s="2">
        <v>44793</v>
      </c>
      <c r="B6112" s="3">
        <v>0.34210648148148143</v>
      </c>
      <c r="C6112">
        <v>430</v>
      </c>
      <c r="D6112" t="str">
        <f>VLOOKUP(H6112,Produkt!$A$2:$B$5,2,FALSE)</f>
        <v>D</v>
      </c>
      <c r="H6112">
        <v>4</v>
      </c>
      <c r="I6112">
        <v>0.44502314814814814</v>
      </c>
      <c r="J6112">
        <v>44797</v>
      </c>
    </row>
    <row r="6113" spans="1:10" x14ac:dyDescent="0.35">
      <c r="A6113" s="2">
        <v>44793</v>
      </c>
      <c r="B6113" s="3">
        <v>0.47403935185185181</v>
      </c>
      <c r="C6113">
        <v>436</v>
      </c>
      <c r="D6113" t="str">
        <f>VLOOKUP(H6113,Produkt!$A$2:$B$5,2,FALSE)</f>
        <v>C</v>
      </c>
      <c r="H6113">
        <v>3</v>
      </c>
      <c r="I6113">
        <v>0.74721064814814808</v>
      </c>
      <c r="J6113">
        <v>44781</v>
      </c>
    </row>
    <row r="6114" spans="1:10" x14ac:dyDescent="0.35">
      <c r="A6114" s="2">
        <v>44793</v>
      </c>
      <c r="B6114" s="3">
        <v>0.22755787037037037</v>
      </c>
      <c r="C6114">
        <v>447</v>
      </c>
      <c r="D6114" t="str">
        <f>VLOOKUP(H6114,Produkt!$A$2:$B$5,2,FALSE)</f>
        <v>B</v>
      </c>
      <c r="H6114">
        <v>2</v>
      </c>
      <c r="I6114">
        <v>0.46746527777777774</v>
      </c>
      <c r="J6114">
        <v>44788</v>
      </c>
    </row>
    <row r="6115" spans="1:10" x14ac:dyDescent="0.35">
      <c r="A6115" s="2">
        <v>44793</v>
      </c>
      <c r="B6115" s="3">
        <v>9.347222222222222E-2</v>
      </c>
      <c r="C6115">
        <v>448</v>
      </c>
      <c r="D6115" t="str">
        <f>VLOOKUP(H6115,Produkt!$A$2:$B$5,2,FALSE)</f>
        <v>D</v>
      </c>
      <c r="H6115">
        <v>4</v>
      </c>
      <c r="I6115">
        <v>0.67134259259259255</v>
      </c>
      <c r="J6115">
        <v>44786</v>
      </c>
    </row>
    <row r="6116" spans="1:10" x14ac:dyDescent="0.35">
      <c r="A6116" s="2">
        <v>44793</v>
      </c>
      <c r="B6116" s="3">
        <v>0.74318287037037034</v>
      </c>
      <c r="C6116">
        <v>496</v>
      </c>
      <c r="D6116" t="str">
        <f>VLOOKUP(H6116,Produkt!$A$2:$B$5,2,FALSE)</f>
        <v>B</v>
      </c>
      <c r="H6116">
        <v>2</v>
      </c>
      <c r="I6116">
        <v>0.9698148148148148</v>
      </c>
      <c r="J6116">
        <v>44804</v>
      </c>
    </row>
    <row r="6117" spans="1:10" x14ac:dyDescent="0.35">
      <c r="A6117" s="2">
        <v>44793</v>
      </c>
      <c r="B6117" s="3">
        <v>0.53128472222222223</v>
      </c>
      <c r="C6117">
        <v>561</v>
      </c>
      <c r="D6117" t="str">
        <f>VLOOKUP(H6117,Produkt!$A$2:$B$5,2,FALSE)</f>
        <v>A</v>
      </c>
      <c r="H6117">
        <v>1</v>
      </c>
      <c r="I6117">
        <v>0.98472222222222217</v>
      </c>
      <c r="J6117">
        <v>44802</v>
      </c>
    </row>
    <row r="6118" spans="1:10" x14ac:dyDescent="0.35">
      <c r="A6118" s="2">
        <v>44793</v>
      </c>
      <c r="B6118" s="3">
        <v>0.10100694444444445</v>
      </c>
      <c r="C6118">
        <v>667</v>
      </c>
      <c r="D6118" t="str">
        <f>VLOOKUP(H6118,Produkt!$A$2:$B$5,2,FALSE)</f>
        <v>A</v>
      </c>
      <c r="H6118">
        <v>1</v>
      </c>
      <c r="I6118">
        <v>0.9775462962962963</v>
      </c>
      <c r="J6118">
        <v>44784</v>
      </c>
    </row>
    <row r="6119" spans="1:10" x14ac:dyDescent="0.35">
      <c r="A6119" s="2">
        <v>44793</v>
      </c>
      <c r="B6119" s="3">
        <v>0.91145833333333337</v>
      </c>
      <c r="C6119">
        <v>712</v>
      </c>
      <c r="D6119" t="str">
        <f>VLOOKUP(H6119,Produkt!$A$2:$B$5,2,FALSE)</f>
        <v>A</v>
      </c>
      <c r="H6119">
        <v>1</v>
      </c>
      <c r="I6119">
        <v>0.2197337962962963</v>
      </c>
      <c r="J6119">
        <v>44803</v>
      </c>
    </row>
    <row r="6120" spans="1:10" x14ac:dyDescent="0.35">
      <c r="A6120" s="2">
        <v>44793</v>
      </c>
      <c r="B6120" s="3">
        <v>0.25355324074074076</v>
      </c>
      <c r="C6120">
        <v>716</v>
      </c>
      <c r="D6120" t="str">
        <f>VLOOKUP(H6120,Produkt!$A$2:$B$5,2,FALSE)</f>
        <v>B</v>
      </c>
      <c r="H6120">
        <v>2</v>
      </c>
      <c r="I6120">
        <v>0.59912037037037036</v>
      </c>
      <c r="J6120">
        <v>44801</v>
      </c>
    </row>
    <row r="6121" spans="1:10" x14ac:dyDescent="0.35">
      <c r="A6121" s="2">
        <v>44793</v>
      </c>
      <c r="B6121" s="3">
        <v>0.31074074074074071</v>
      </c>
      <c r="C6121">
        <v>719</v>
      </c>
      <c r="D6121" t="str">
        <f>VLOOKUP(H6121,Produkt!$A$2:$B$5,2,FALSE)</f>
        <v>C</v>
      </c>
      <c r="H6121">
        <v>3</v>
      </c>
      <c r="I6121">
        <v>0.64234953703703701</v>
      </c>
      <c r="J6121">
        <v>44775</v>
      </c>
    </row>
    <row r="6122" spans="1:10" x14ac:dyDescent="0.35">
      <c r="A6122" s="2">
        <v>44793</v>
      </c>
      <c r="B6122" s="3">
        <v>0.35638888888888887</v>
      </c>
      <c r="C6122">
        <v>745</v>
      </c>
      <c r="D6122" t="str">
        <f>VLOOKUP(H6122,Produkt!$A$2:$B$5,2,FALSE)</f>
        <v>D</v>
      </c>
      <c r="H6122">
        <v>4</v>
      </c>
      <c r="I6122">
        <v>2.907407407407403E-2</v>
      </c>
      <c r="J6122">
        <v>44791</v>
      </c>
    </row>
    <row r="6123" spans="1:10" x14ac:dyDescent="0.35">
      <c r="A6123" s="2">
        <v>44793</v>
      </c>
      <c r="B6123" s="3">
        <v>0.39892361111111113</v>
      </c>
      <c r="C6123">
        <v>779</v>
      </c>
      <c r="D6123" t="str">
        <f>VLOOKUP(H6123,Produkt!$A$2:$B$5,2,FALSE)</f>
        <v>B</v>
      </c>
      <c r="H6123">
        <v>2</v>
      </c>
      <c r="I6123">
        <v>2.2673611111111113E-2</v>
      </c>
      <c r="J6123">
        <v>44795</v>
      </c>
    </row>
    <row r="6124" spans="1:10" x14ac:dyDescent="0.35">
      <c r="A6124" s="2">
        <v>44793</v>
      </c>
      <c r="B6124" s="3">
        <v>0.62886574074074075</v>
      </c>
      <c r="C6124">
        <v>897</v>
      </c>
      <c r="D6124" t="str">
        <f>VLOOKUP(H6124,Produkt!$A$2:$B$5,2,FALSE)</f>
        <v>B</v>
      </c>
      <c r="H6124">
        <v>2</v>
      </c>
      <c r="I6124">
        <v>0.88211805555555556</v>
      </c>
      <c r="J6124">
        <v>44783</v>
      </c>
    </row>
    <row r="6125" spans="1:10" x14ac:dyDescent="0.35">
      <c r="A6125" s="2">
        <v>44793</v>
      </c>
      <c r="B6125" s="3">
        <v>0.36859953703703702</v>
      </c>
      <c r="C6125">
        <v>903</v>
      </c>
      <c r="D6125" t="str">
        <f>VLOOKUP(H6125,Produkt!$A$2:$B$5,2,FALSE)</f>
        <v>A</v>
      </c>
      <c r="H6125">
        <v>1</v>
      </c>
      <c r="I6125">
        <v>0.54424768518518518</v>
      </c>
      <c r="J6125">
        <v>44791</v>
      </c>
    </row>
    <row r="6126" spans="1:10" x14ac:dyDescent="0.35">
      <c r="A6126" s="2">
        <v>44793</v>
      </c>
      <c r="B6126" s="3">
        <v>0.37702546296296297</v>
      </c>
      <c r="C6126">
        <v>966</v>
      </c>
      <c r="D6126" t="str">
        <f>VLOOKUP(H6126,Produkt!$A$2:$B$5,2,FALSE)</f>
        <v>A</v>
      </c>
      <c r="H6126">
        <v>1</v>
      </c>
      <c r="I6126">
        <v>7.0092592592592595E-2</v>
      </c>
      <c r="J6126">
        <v>44783</v>
      </c>
    </row>
    <row r="6127" spans="1:10" x14ac:dyDescent="0.35">
      <c r="A6127" s="2">
        <v>44793</v>
      </c>
      <c r="B6127" s="3">
        <v>0.80510416666666673</v>
      </c>
      <c r="C6127">
        <v>1000</v>
      </c>
      <c r="D6127" t="str">
        <f>VLOOKUP(H6127,Produkt!$A$2:$B$5,2,FALSE)</f>
        <v>C</v>
      </c>
      <c r="H6127">
        <v>3</v>
      </c>
      <c r="I6127">
        <v>0.12192129629629629</v>
      </c>
      <c r="J6127">
        <v>44784</v>
      </c>
    </row>
    <row r="6128" spans="1:10" x14ac:dyDescent="0.35">
      <c r="A6128" s="2">
        <v>44793</v>
      </c>
      <c r="B6128" s="3">
        <v>0.75952546296296297</v>
      </c>
      <c r="C6128">
        <v>1004</v>
      </c>
      <c r="D6128" t="str">
        <f>VLOOKUP(H6128,Produkt!$A$2:$B$5,2,FALSE)</f>
        <v>B</v>
      </c>
      <c r="H6128">
        <v>2</v>
      </c>
      <c r="I6128">
        <v>0.79932870370370368</v>
      </c>
      <c r="J6128">
        <v>44796</v>
      </c>
    </row>
    <row r="6129" spans="1:10" x14ac:dyDescent="0.35">
      <c r="A6129" s="2">
        <v>44793</v>
      </c>
      <c r="B6129" s="3">
        <v>6.7361111111110539E-3</v>
      </c>
      <c r="C6129">
        <v>1024</v>
      </c>
      <c r="D6129" t="str">
        <f>VLOOKUP(H6129,Produkt!$A$2:$B$5,2,FALSE)</f>
        <v>B</v>
      </c>
      <c r="H6129">
        <v>2</v>
      </c>
      <c r="I6129">
        <v>0.8746990740740741</v>
      </c>
      <c r="J6129">
        <v>44784</v>
      </c>
    </row>
    <row r="6130" spans="1:10" x14ac:dyDescent="0.35">
      <c r="A6130" s="2">
        <v>44793</v>
      </c>
      <c r="B6130" s="3">
        <v>0.92606481481481484</v>
      </c>
      <c r="C6130">
        <v>1064</v>
      </c>
      <c r="D6130" t="str">
        <f>VLOOKUP(H6130,Produkt!$A$2:$B$5,2,FALSE)</f>
        <v>B</v>
      </c>
      <c r="H6130">
        <v>2</v>
      </c>
      <c r="I6130">
        <v>0.89414351851851848</v>
      </c>
      <c r="J6130">
        <v>44779</v>
      </c>
    </row>
    <row r="6131" spans="1:10" x14ac:dyDescent="0.35">
      <c r="A6131" s="2">
        <v>44793</v>
      </c>
      <c r="B6131" s="3">
        <v>0.29287037037037039</v>
      </c>
      <c r="C6131">
        <v>1095</v>
      </c>
      <c r="D6131" t="str">
        <f>VLOOKUP(H6131,Produkt!$A$2:$B$5,2,FALSE)</f>
        <v>D</v>
      </c>
      <c r="H6131">
        <v>4</v>
      </c>
      <c r="I6131">
        <v>0.75952546296296297</v>
      </c>
      <c r="J6131">
        <v>44796</v>
      </c>
    </row>
    <row r="6132" spans="1:10" x14ac:dyDescent="0.35">
      <c r="A6132" s="2">
        <v>44793</v>
      </c>
      <c r="B6132" s="3">
        <v>0.69643518518518521</v>
      </c>
      <c r="C6132">
        <v>1102</v>
      </c>
      <c r="D6132" t="str">
        <f>VLOOKUP(H6132,Produkt!$A$2:$B$5,2,FALSE)</f>
        <v>D</v>
      </c>
      <c r="H6132">
        <v>4</v>
      </c>
      <c r="I6132">
        <v>0.55070601851851853</v>
      </c>
      <c r="J6132">
        <v>44790</v>
      </c>
    </row>
    <row r="6133" spans="1:10" x14ac:dyDescent="0.35">
      <c r="A6133" s="2">
        <v>44793</v>
      </c>
      <c r="B6133" s="3">
        <v>0.36751157407407403</v>
      </c>
      <c r="C6133">
        <v>1200</v>
      </c>
      <c r="D6133" t="str">
        <f>VLOOKUP(H6133,Produkt!$A$2:$B$5,2,FALSE)</f>
        <v>A</v>
      </c>
      <c r="H6133">
        <v>1</v>
      </c>
      <c r="I6133">
        <v>1.8275462962962896E-2</v>
      </c>
      <c r="J6133">
        <v>44804</v>
      </c>
    </row>
    <row r="6134" spans="1:10" x14ac:dyDescent="0.35">
      <c r="A6134" s="2">
        <v>44793</v>
      </c>
      <c r="B6134" s="3">
        <v>0.9680671296296296</v>
      </c>
      <c r="C6134">
        <v>1228</v>
      </c>
      <c r="D6134" t="str">
        <f>VLOOKUP(H6134,Produkt!$A$2:$B$5,2,FALSE)</f>
        <v>D</v>
      </c>
      <c r="H6134">
        <v>4</v>
      </c>
      <c r="I6134">
        <v>5.3240740740740744E-4</v>
      </c>
      <c r="J6134">
        <v>44792</v>
      </c>
    </row>
    <row r="6135" spans="1:10" x14ac:dyDescent="0.35">
      <c r="A6135" s="2">
        <v>44793</v>
      </c>
      <c r="B6135" s="3">
        <v>0.24237268518518518</v>
      </c>
      <c r="C6135">
        <v>1235</v>
      </c>
      <c r="D6135" t="str">
        <f>VLOOKUP(H6135,Produkt!$A$2:$B$5,2,FALSE)</f>
        <v>B</v>
      </c>
      <c r="H6135">
        <v>2</v>
      </c>
      <c r="I6135">
        <v>0.58532407407407405</v>
      </c>
      <c r="J6135">
        <v>44782</v>
      </c>
    </row>
    <row r="6136" spans="1:10" x14ac:dyDescent="0.35">
      <c r="A6136" s="2">
        <v>44793</v>
      </c>
      <c r="B6136" s="3">
        <v>0.92555555555555558</v>
      </c>
      <c r="C6136">
        <v>1236</v>
      </c>
      <c r="D6136" t="str">
        <f>VLOOKUP(H6136,Produkt!$A$2:$B$5,2,FALSE)</f>
        <v>C</v>
      </c>
      <c r="H6136">
        <v>3</v>
      </c>
      <c r="I6136">
        <v>0.7238310185185185</v>
      </c>
      <c r="J6136">
        <v>44803</v>
      </c>
    </row>
    <row r="6137" spans="1:10" x14ac:dyDescent="0.35">
      <c r="A6137" s="2">
        <v>44793</v>
      </c>
      <c r="B6137" s="3">
        <v>0.49510416666666668</v>
      </c>
      <c r="C6137">
        <v>1252</v>
      </c>
      <c r="D6137" t="str">
        <f>VLOOKUP(H6137,Produkt!$A$2:$B$5,2,FALSE)</f>
        <v>D</v>
      </c>
      <c r="H6137">
        <v>4</v>
      </c>
      <c r="I6137">
        <v>0.51863425925925932</v>
      </c>
      <c r="J6137">
        <v>44790</v>
      </c>
    </row>
    <row r="6138" spans="1:10" x14ac:dyDescent="0.35">
      <c r="A6138" s="2">
        <v>44793</v>
      </c>
      <c r="B6138" s="3">
        <v>0.5615162037037037</v>
      </c>
      <c r="C6138">
        <v>1286</v>
      </c>
      <c r="D6138" t="str">
        <f>VLOOKUP(H6138,Produkt!$A$2:$B$5,2,FALSE)</f>
        <v>B</v>
      </c>
      <c r="H6138">
        <v>2</v>
      </c>
      <c r="I6138">
        <v>1.7361111111111112E-2</v>
      </c>
      <c r="J6138">
        <v>44802</v>
      </c>
    </row>
    <row r="6139" spans="1:10" x14ac:dyDescent="0.35">
      <c r="A6139" s="2">
        <v>44793</v>
      </c>
      <c r="B6139" s="3">
        <v>0.68254629629629626</v>
      </c>
      <c r="C6139">
        <v>1315</v>
      </c>
      <c r="D6139" t="str">
        <f>VLOOKUP(H6139,Produkt!$A$2:$B$5,2,FALSE)</f>
        <v>C</v>
      </c>
      <c r="H6139">
        <v>3</v>
      </c>
      <c r="I6139">
        <v>0.94284722222222228</v>
      </c>
      <c r="J6139">
        <v>44793</v>
      </c>
    </row>
    <row r="6140" spans="1:10" x14ac:dyDescent="0.35">
      <c r="A6140" s="2">
        <v>44793</v>
      </c>
      <c r="B6140" s="3">
        <v>0.23465277777777779</v>
      </c>
      <c r="C6140">
        <v>1332</v>
      </c>
      <c r="D6140" t="str">
        <f>VLOOKUP(H6140,Produkt!$A$2:$B$5,2,FALSE)</f>
        <v>C</v>
      </c>
      <c r="H6140">
        <v>3</v>
      </c>
      <c r="I6140">
        <v>7.137731481481481E-2</v>
      </c>
      <c r="J6140">
        <v>44776</v>
      </c>
    </row>
    <row r="6141" spans="1:10" x14ac:dyDescent="0.35">
      <c r="A6141" s="2">
        <v>44793</v>
      </c>
      <c r="B6141" s="3">
        <v>9.2708333333333337E-2</v>
      </c>
      <c r="C6141">
        <v>1409</v>
      </c>
      <c r="D6141" t="str">
        <f>VLOOKUP(H6141,Produkt!$A$2:$B$5,2,FALSE)</f>
        <v>B</v>
      </c>
      <c r="H6141">
        <v>2</v>
      </c>
      <c r="I6141">
        <v>0.43385416666666665</v>
      </c>
      <c r="J6141">
        <v>44781</v>
      </c>
    </row>
    <row r="6142" spans="1:10" x14ac:dyDescent="0.35">
      <c r="A6142" s="2">
        <v>44793</v>
      </c>
      <c r="B6142" s="3">
        <v>0.96342592592592602</v>
      </c>
      <c r="C6142">
        <v>1420</v>
      </c>
      <c r="D6142" t="str">
        <f>VLOOKUP(H6142,Produkt!$A$2:$B$5,2,FALSE)</f>
        <v>D</v>
      </c>
      <c r="H6142">
        <v>4</v>
      </c>
      <c r="I6142">
        <v>2.3055555555555607E-2</v>
      </c>
      <c r="J6142">
        <v>44798</v>
      </c>
    </row>
    <row r="6143" spans="1:10" x14ac:dyDescent="0.35">
      <c r="A6143" s="2">
        <v>44793</v>
      </c>
      <c r="B6143" s="3">
        <v>0.7847453703703704</v>
      </c>
      <c r="C6143">
        <v>1429</v>
      </c>
      <c r="D6143" t="str">
        <f>VLOOKUP(H6143,Produkt!$A$2:$B$5,2,FALSE)</f>
        <v>A</v>
      </c>
      <c r="H6143">
        <v>1</v>
      </c>
      <c r="I6143">
        <v>0.25486111111111109</v>
      </c>
      <c r="J6143">
        <v>44797</v>
      </c>
    </row>
    <row r="6144" spans="1:10" x14ac:dyDescent="0.35">
      <c r="A6144" s="2">
        <v>44793</v>
      </c>
      <c r="B6144" s="3">
        <v>0.49366898148148147</v>
      </c>
      <c r="C6144">
        <v>1482</v>
      </c>
      <c r="D6144" t="str">
        <f>VLOOKUP(H6144,Produkt!$A$2:$B$5,2,FALSE)</f>
        <v>A</v>
      </c>
      <c r="H6144">
        <v>1</v>
      </c>
      <c r="I6144">
        <v>0.10373842592592593</v>
      </c>
      <c r="J6144">
        <v>44781</v>
      </c>
    </row>
    <row r="6145" spans="1:10" x14ac:dyDescent="0.35">
      <c r="A6145" s="2">
        <v>44793</v>
      </c>
      <c r="B6145" s="3">
        <v>0.51736111111111105</v>
      </c>
      <c r="C6145">
        <v>1520</v>
      </c>
      <c r="D6145" t="str">
        <f>VLOOKUP(H6145,Produkt!$A$2:$B$5,2,FALSE)</f>
        <v>A</v>
      </c>
      <c r="H6145">
        <v>1</v>
      </c>
      <c r="I6145">
        <v>0.56883101851851847</v>
      </c>
      <c r="J6145">
        <v>44778</v>
      </c>
    </row>
    <row r="6146" spans="1:10" x14ac:dyDescent="0.35">
      <c r="A6146" s="2">
        <v>44793</v>
      </c>
      <c r="B6146" s="3">
        <v>0.7830787037037038</v>
      </c>
      <c r="C6146">
        <v>1528</v>
      </c>
      <c r="D6146" t="str">
        <f>VLOOKUP(H6146,Produkt!$A$2:$B$5,2,FALSE)</f>
        <v>C</v>
      </c>
      <c r="H6146">
        <v>3</v>
      </c>
      <c r="I6146">
        <v>0.9281018518518519</v>
      </c>
      <c r="J6146">
        <v>44778</v>
      </c>
    </row>
    <row r="6147" spans="1:10" x14ac:dyDescent="0.35">
      <c r="A6147" s="2">
        <v>44793</v>
      </c>
      <c r="B6147" s="3">
        <v>0.25504629629629633</v>
      </c>
      <c r="C6147">
        <v>1554</v>
      </c>
      <c r="D6147" t="str">
        <f>VLOOKUP(H6147,Produkt!$A$2:$B$5,2,FALSE)</f>
        <v>C</v>
      </c>
      <c r="H6147">
        <v>3</v>
      </c>
      <c r="I6147">
        <v>0.44103009259259257</v>
      </c>
      <c r="J6147">
        <v>44788</v>
      </c>
    </row>
    <row r="6148" spans="1:10" x14ac:dyDescent="0.35">
      <c r="A6148" s="2">
        <v>44793</v>
      </c>
      <c r="B6148" s="3">
        <v>0.60848379629629623</v>
      </c>
      <c r="C6148">
        <v>1591</v>
      </c>
      <c r="D6148" t="str">
        <f>VLOOKUP(H6148,Produkt!$A$2:$B$5,2,FALSE)</f>
        <v>A</v>
      </c>
      <c r="H6148">
        <v>1</v>
      </c>
      <c r="I6148">
        <v>0.13849537037037038</v>
      </c>
      <c r="J6148">
        <v>44792</v>
      </c>
    </row>
    <row r="6149" spans="1:10" x14ac:dyDescent="0.35">
      <c r="A6149" s="2">
        <v>44793</v>
      </c>
      <c r="B6149" s="3">
        <v>0.79049768518518526</v>
      </c>
      <c r="C6149">
        <v>1698</v>
      </c>
      <c r="D6149" t="str">
        <f>VLOOKUP(H6149,Produkt!$A$2:$B$5,2,FALSE)</f>
        <v>A</v>
      </c>
      <c r="H6149">
        <v>1</v>
      </c>
      <c r="I6149">
        <v>0.16775462962962961</v>
      </c>
      <c r="J6149">
        <v>44774</v>
      </c>
    </row>
    <row r="6150" spans="1:10" x14ac:dyDescent="0.35">
      <c r="A6150" s="2">
        <v>44793</v>
      </c>
      <c r="B6150" s="3">
        <v>0.58614583333333337</v>
      </c>
      <c r="C6150">
        <v>1699</v>
      </c>
      <c r="D6150" t="str">
        <f>VLOOKUP(H6150,Produkt!$A$2:$B$5,2,FALSE)</f>
        <v>D</v>
      </c>
      <c r="H6150">
        <v>4</v>
      </c>
      <c r="I6150">
        <v>9.1574074074074072E-2</v>
      </c>
      <c r="J6150">
        <v>44787</v>
      </c>
    </row>
    <row r="6151" spans="1:10" x14ac:dyDescent="0.35">
      <c r="A6151" s="2">
        <v>44793</v>
      </c>
      <c r="B6151" s="3">
        <v>0.37711805555555555</v>
      </c>
      <c r="C6151">
        <v>1909</v>
      </c>
      <c r="D6151" t="str">
        <f>VLOOKUP(H6151,Produkt!$A$2:$B$5,2,FALSE)</f>
        <v>C</v>
      </c>
      <c r="H6151">
        <v>3</v>
      </c>
      <c r="I6151">
        <v>0.26251157407407405</v>
      </c>
      <c r="J6151">
        <v>44784</v>
      </c>
    </row>
    <row r="6152" spans="1:10" x14ac:dyDescent="0.35">
      <c r="A6152" s="2">
        <v>44793</v>
      </c>
      <c r="B6152" s="3">
        <v>0.29350694444444442</v>
      </c>
      <c r="C6152">
        <v>1913</v>
      </c>
      <c r="D6152" t="str">
        <f>VLOOKUP(H6152,Produkt!$A$2:$B$5,2,FALSE)</f>
        <v>B</v>
      </c>
      <c r="H6152">
        <v>2</v>
      </c>
      <c r="I6152">
        <v>0.90991898148148154</v>
      </c>
      <c r="J6152">
        <v>44787</v>
      </c>
    </row>
    <row r="6153" spans="1:10" x14ac:dyDescent="0.35">
      <c r="A6153" s="2">
        <v>44793</v>
      </c>
      <c r="B6153" s="3">
        <v>0.79903935185185182</v>
      </c>
      <c r="C6153">
        <v>1915</v>
      </c>
      <c r="D6153" t="str">
        <f>VLOOKUP(H6153,Produkt!$A$2:$B$5,2,FALSE)</f>
        <v>B</v>
      </c>
      <c r="H6153">
        <v>2</v>
      </c>
      <c r="I6153">
        <v>0.44609953703703703</v>
      </c>
      <c r="J6153">
        <v>44778</v>
      </c>
    </row>
    <row r="6154" spans="1:10" x14ac:dyDescent="0.35">
      <c r="A6154" s="2">
        <v>44793</v>
      </c>
      <c r="B6154" s="3">
        <v>0.82122685185185185</v>
      </c>
      <c r="C6154">
        <v>1924</v>
      </c>
      <c r="D6154" t="str">
        <f>VLOOKUP(H6154,Produkt!$A$2:$B$5,2,FALSE)</f>
        <v>A</v>
      </c>
      <c r="H6154">
        <v>1</v>
      </c>
      <c r="I6154">
        <v>0.50218750000000001</v>
      </c>
      <c r="J6154">
        <v>44797</v>
      </c>
    </row>
    <row r="6155" spans="1:10" x14ac:dyDescent="0.35">
      <c r="A6155" s="2">
        <v>44793</v>
      </c>
      <c r="B6155" s="3">
        <v>0.7936805555555555</v>
      </c>
      <c r="C6155">
        <v>1935</v>
      </c>
      <c r="D6155" t="str">
        <f>VLOOKUP(H6155,Produkt!$A$2:$B$5,2,FALSE)</f>
        <v>C</v>
      </c>
      <c r="H6155">
        <v>3</v>
      </c>
      <c r="I6155">
        <v>0.93258101851851849</v>
      </c>
      <c r="J6155">
        <v>44775</v>
      </c>
    </row>
    <row r="6156" spans="1:10" x14ac:dyDescent="0.35">
      <c r="A6156" s="2">
        <v>44793</v>
      </c>
      <c r="B6156" s="3">
        <v>0.91621527777777778</v>
      </c>
      <c r="C6156">
        <v>1946</v>
      </c>
      <c r="D6156" t="str">
        <f>VLOOKUP(H6156,Produkt!$A$2:$B$5,2,FALSE)</f>
        <v>A</v>
      </c>
      <c r="H6156">
        <v>1</v>
      </c>
      <c r="I6156">
        <v>0.40365740740740735</v>
      </c>
      <c r="J6156">
        <v>44775</v>
      </c>
    </row>
    <row r="6157" spans="1:10" x14ac:dyDescent="0.35">
      <c r="A6157" s="2">
        <v>44793</v>
      </c>
      <c r="B6157" s="3">
        <v>0.91326388888888888</v>
      </c>
      <c r="C6157">
        <v>1974</v>
      </c>
      <c r="D6157" t="str">
        <f>VLOOKUP(H6157,Produkt!$A$2:$B$5,2,FALSE)</f>
        <v>B</v>
      </c>
      <c r="H6157">
        <v>2</v>
      </c>
      <c r="I6157">
        <v>0.51489583333333333</v>
      </c>
      <c r="J6157">
        <v>44795</v>
      </c>
    </row>
    <row r="6158" spans="1:10" x14ac:dyDescent="0.35">
      <c r="A6158" s="2">
        <v>44793</v>
      </c>
      <c r="B6158" s="3">
        <v>0.64041666666666663</v>
      </c>
      <c r="C6158">
        <v>2001</v>
      </c>
      <c r="D6158" t="str">
        <f>VLOOKUP(H6158,Produkt!$A$2:$B$5,2,FALSE)</f>
        <v>C</v>
      </c>
      <c r="H6158">
        <v>3</v>
      </c>
      <c r="I6158">
        <v>0.27750000000000002</v>
      </c>
      <c r="J6158">
        <v>44775</v>
      </c>
    </row>
    <row r="6159" spans="1:10" x14ac:dyDescent="0.35">
      <c r="A6159" s="2">
        <v>44793</v>
      </c>
      <c r="B6159" s="3">
        <v>0.90252314814814805</v>
      </c>
      <c r="C6159">
        <v>2148</v>
      </c>
      <c r="D6159" t="str">
        <f>VLOOKUP(H6159,Produkt!$A$2:$B$5,2,FALSE)</f>
        <v>C</v>
      </c>
      <c r="H6159">
        <v>3</v>
      </c>
      <c r="I6159">
        <v>7.6736111111111111E-3</v>
      </c>
      <c r="J6159">
        <v>44802</v>
      </c>
    </row>
    <row r="6160" spans="1:10" x14ac:dyDescent="0.35">
      <c r="A6160" s="2">
        <v>44793</v>
      </c>
      <c r="B6160" s="3">
        <v>0.30533564814814812</v>
      </c>
      <c r="C6160">
        <v>2175</v>
      </c>
      <c r="D6160" t="str">
        <f>VLOOKUP(H6160,Produkt!$A$2:$B$5,2,FALSE)</f>
        <v>B</v>
      </c>
      <c r="H6160">
        <v>2</v>
      </c>
      <c r="I6160">
        <v>0.64228009259259256</v>
      </c>
      <c r="J6160">
        <v>44802</v>
      </c>
    </row>
    <row r="6161" spans="1:10" x14ac:dyDescent="0.35">
      <c r="A6161" s="2">
        <v>44793</v>
      </c>
      <c r="B6161" s="3">
        <v>1.042824074074078E-2</v>
      </c>
      <c r="C6161">
        <v>2233</v>
      </c>
      <c r="D6161" t="str">
        <f>VLOOKUP(H6161,Produkt!$A$2:$B$5,2,FALSE)</f>
        <v>B</v>
      </c>
      <c r="H6161">
        <v>2</v>
      </c>
      <c r="I6161">
        <v>0.1988310185185185</v>
      </c>
      <c r="J6161">
        <v>44797</v>
      </c>
    </row>
    <row r="6162" spans="1:10" x14ac:dyDescent="0.35">
      <c r="A6162" s="2">
        <v>44793</v>
      </c>
      <c r="B6162" s="3">
        <v>0.15658564814814815</v>
      </c>
      <c r="C6162">
        <v>2248</v>
      </c>
      <c r="D6162" t="str">
        <f>VLOOKUP(H6162,Produkt!$A$2:$B$5,2,FALSE)</f>
        <v>D</v>
      </c>
      <c r="H6162">
        <v>4</v>
      </c>
      <c r="I6162">
        <v>0.47539351851851852</v>
      </c>
      <c r="J6162">
        <v>44795</v>
      </c>
    </row>
    <row r="6163" spans="1:10" x14ac:dyDescent="0.35">
      <c r="A6163" s="2">
        <v>44793</v>
      </c>
      <c r="B6163" s="3">
        <v>0.99927083333333344</v>
      </c>
      <c r="C6163">
        <v>2278</v>
      </c>
      <c r="D6163" t="str">
        <f>VLOOKUP(H6163,Produkt!$A$2:$B$5,2,FALSE)</f>
        <v>D</v>
      </c>
      <c r="H6163">
        <v>4</v>
      </c>
      <c r="I6163">
        <v>0.84866898148148151</v>
      </c>
      <c r="J6163">
        <v>44793</v>
      </c>
    </row>
    <row r="6164" spans="1:10" x14ac:dyDescent="0.35">
      <c r="A6164" s="2">
        <v>44793</v>
      </c>
      <c r="B6164" s="3">
        <v>0.3187962962962963</v>
      </c>
      <c r="C6164">
        <v>2283</v>
      </c>
      <c r="D6164" t="str">
        <f>VLOOKUP(H6164,Produkt!$A$2:$B$5,2,FALSE)</f>
        <v>A</v>
      </c>
      <c r="H6164">
        <v>1</v>
      </c>
      <c r="I6164">
        <v>0.85103009259259255</v>
      </c>
      <c r="J6164">
        <v>44775</v>
      </c>
    </row>
    <row r="6165" spans="1:10" x14ac:dyDescent="0.35">
      <c r="A6165" s="2">
        <v>44793</v>
      </c>
      <c r="B6165" s="3">
        <v>0.48887731481481483</v>
      </c>
      <c r="C6165">
        <v>2350</v>
      </c>
      <c r="D6165" t="str">
        <f>VLOOKUP(H6165,Produkt!$A$2:$B$5,2,FALSE)</f>
        <v>C</v>
      </c>
      <c r="H6165">
        <v>3</v>
      </c>
      <c r="I6165">
        <v>8.5555555555555551E-2</v>
      </c>
      <c r="J6165">
        <v>44778</v>
      </c>
    </row>
    <row r="6166" spans="1:10" x14ac:dyDescent="0.35">
      <c r="A6166" s="2">
        <v>44793</v>
      </c>
      <c r="B6166" s="3">
        <v>0.98810185185185195</v>
      </c>
      <c r="C6166">
        <v>2449</v>
      </c>
      <c r="D6166" t="str">
        <f>VLOOKUP(H6166,Produkt!$A$2:$B$5,2,FALSE)</f>
        <v>C</v>
      </c>
      <c r="H6166">
        <v>3</v>
      </c>
      <c r="I6166">
        <v>0.77631944444444445</v>
      </c>
      <c r="J6166">
        <v>44777</v>
      </c>
    </row>
    <row r="6167" spans="1:10" x14ac:dyDescent="0.35">
      <c r="A6167" s="2">
        <v>44793</v>
      </c>
      <c r="B6167" s="3">
        <v>0.51386574074074076</v>
      </c>
      <c r="C6167">
        <v>2466</v>
      </c>
      <c r="D6167" t="str">
        <f>VLOOKUP(H6167,Produkt!$A$2:$B$5,2,FALSE)</f>
        <v>C</v>
      </c>
      <c r="H6167">
        <v>3</v>
      </c>
      <c r="I6167">
        <v>0.15652777777777779</v>
      </c>
      <c r="J6167">
        <v>44791</v>
      </c>
    </row>
    <row r="6168" spans="1:10" x14ac:dyDescent="0.35">
      <c r="A6168" s="2">
        <v>44793</v>
      </c>
      <c r="B6168" s="3">
        <v>0.67776620370370377</v>
      </c>
      <c r="C6168">
        <v>2471</v>
      </c>
      <c r="D6168" t="str">
        <f>VLOOKUP(H6168,Produkt!$A$2:$B$5,2,FALSE)</f>
        <v>D</v>
      </c>
      <c r="H6168">
        <v>4</v>
      </c>
      <c r="I6168">
        <v>0.647974537037037</v>
      </c>
      <c r="J6168">
        <v>44782</v>
      </c>
    </row>
    <row r="6169" spans="1:10" x14ac:dyDescent="0.35">
      <c r="A6169" s="2">
        <v>44793</v>
      </c>
      <c r="B6169" s="3">
        <v>7.7314814814814822E-2</v>
      </c>
      <c r="C6169">
        <v>2494</v>
      </c>
      <c r="D6169" t="str">
        <f>VLOOKUP(H6169,Produkt!$A$2:$B$5,2,FALSE)</f>
        <v>C</v>
      </c>
      <c r="H6169">
        <v>3</v>
      </c>
      <c r="I6169">
        <v>0.3054513888888889</v>
      </c>
      <c r="J6169">
        <v>44804</v>
      </c>
    </row>
    <row r="6170" spans="1:10" x14ac:dyDescent="0.35">
      <c r="A6170" s="2">
        <v>44793</v>
      </c>
      <c r="B6170" s="3">
        <v>0.73133101851851856</v>
      </c>
      <c r="C6170">
        <v>2554</v>
      </c>
      <c r="D6170" t="str">
        <f>VLOOKUP(H6170,Produkt!$A$2:$B$5,2,FALSE)</f>
        <v>C</v>
      </c>
      <c r="H6170">
        <v>3</v>
      </c>
      <c r="I6170">
        <v>0.61554398148148148</v>
      </c>
      <c r="J6170">
        <v>44783</v>
      </c>
    </row>
    <row r="6171" spans="1:10" x14ac:dyDescent="0.35">
      <c r="A6171" s="2">
        <v>44793</v>
      </c>
      <c r="B6171" s="3">
        <v>0.46994212962962961</v>
      </c>
      <c r="C6171">
        <v>2555</v>
      </c>
      <c r="D6171" t="str">
        <f>VLOOKUP(H6171,Produkt!$A$2:$B$5,2,FALSE)</f>
        <v>B</v>
      </c>
      <c r="H6171">
        <v>2</v>
      </c>
      <c r="I6171">
        <v>0.97858796296296291</v>
      </c>
      <c r="J6171">
        <v>44796</v>
      </c>
    </row>
    <row r="6172" spans="1:10" x14ac:dyDescent="0.35">
      <c r="A6172" s="2">
        <v>44793</v>
      </c>
      <c r="B6172" s="3">
        <v>0.36905092592592598</v>
      </c>
      <c r="C6172">
        <v>2618</v>
      </c>
      <c r="D6172" t="str">
        <f>VLOOKUP(H6172,Produkt!$A$2:$B$5,2,FALSE)</f>
        <v>A</v>
      </c>
      <c r="H6172">
        <v>1</v>
      </c>
      <c r="I6172">
        <v>4.7951388888888891E-2</v>
      </c>
      <c r="J6172">
        <v>44794</v>
      </c>
    </row>
    <row r="6173" spans="1:10" x14ac:dyDescent="0.35">
      <c r="A6173" s="2">
        <v>44793</v>
      </c>
      <c r="B6173" s="3">
        <v>9.228009259259258E-2</v>
      </c>
      <c r="C6173">
        <v>2648</v>
      </c>
      <c r="D6173" t="str">
        <f>VLOOKUP(H6173,Produkt!$A$2:$B$5,2,FALSE)</f>
        <v>C</v>
      </c>
      <c r="H6173">
        <v>3</v>
      </c>
      <c r="I6173">
        <v>0.1851851851851852</v>
      </c>
      <c r="J6173">
        <v>44788</v>
      </c>
    </row>
    <row r="6174" spans="1:10" x14ac:dyDescent="0.35">
      <c r="A6174" s="2">
        <v>44793</v>
      </c>
      <c r="B6174" s="3">
        <v>7.0625000000000007E-2</v>
      </c>
      <c r="C6174">
        <v>2660</v>
      </c>
      <c r="D6174" t="str">
        <f>VLOOKUP(H6174,Produkt!$A$2:$B$5,2,FALSE)</f>
        <v>B</v>
      </c>
      <c r="H6174">
        <v>2</v>
      </c>
      <c r="I6174">
        <v>0.58765046296296297</v>
      </c>
      <c r="J6174">
        <v>44786</v>
      </c>
    </row>
    <row r="6175" spans="1:10" x14ac:dyDescent="0.35">
      <c r="A6175" s="2">
        <v>44793</v>
      </c>
      <c r="B6175" s="3">
        <v>4.2777777777777776E-2</v>
      </c>
      <c r="C6175">
        <v>2716</v>
      </c>
      <c r="D6175" t="str">
        <f>VLOOKUP(H6175,Produkt!$A$2:$B$5,2,FALSE)</f>
        <v>D</v>
      </c>
      <c r="H6175">
        <v>4</v>
      </c>
      <c r="I6175">
        <v>0.18652777777777776</v>
      </c>
      <c r="J6175">
        <v>44800</v>
      </c>
    </row>
    <row r="6176" spans="1:10" x14ac:dyDescent="0.35">
      <c r="A6176" s="2">
        <v>44793</v>
      </c>
      <c r="B6176" s="3">
        <v>0.9359143518518519</v>
      </c>
      <c r="C6176">
        <v>2777</v>
      </c>
      <c r="D6176" t="str">
        <f>VLOOKUP(H6176,Produkt!$A$2:$B$5,2,FALSE)</f>
        <v>D</v>
      </c>
      <c r="H6176">
        <v>4</v>
      </c>
      <c r="I6176">
        <v>0.24629629629629632</v>
      </c>
      <c r="J6176">
        <v>44774</v>
      </c>
    </row>
    <row r="6177" spans="1:10" x14ac:dyDescent="0.35">
      <c r="A6177" s="2">
        <v>44793</v>
      </c>
      <c r="B6177" s="3">
        <v>0.74998842592592585</v>
      </c>
      <c r="C6177">
        <v>2786</v>
      </c>
      <c r="D6177" t="str">
        <f>VLOOKUP(H6177,Produkt!$A$2:$B$5,2,FALSE)</f>
        <v>C</v>
      </c>
      <c r="H6177">
        <v>3</v>
      </c>
      <c r="I6177">
        <v>7.9699074074074075E-2</v>
      </c>
      <c r="J6177">
        <v>44787</v>
      </c>
    </row>
    <row r="6178" spans="1:10" x14ac:dyDescent="0.35">
      <c r="A6178" s="2">
        <v>44793</v>
      </c>
      <c r="B6178" s="3">
        <v>0.36280092592592594</v>
      </c>
      <c r="C6178">
        <v>2824</v>
      </c>
      <c r="D6178" t="str">
        <f>VLOOKUP(H6178,Produkt!$A$2:$B$5,2,FALSE)</f>
        <v>B</v>
      </c>
      <c r="H6178">
        <v>2</v>
      </c>
      <c r="I6178">
        <v>0.25912037037037033</v>
      </c>
      <c r="J6178">
        <v>44792</v>
      </c>
    </row>
    <row r="6179" spans="1:10" x14ac:dyDescent="0.35">
      <c r="A6179" s="2">
        <v>44793</v>
      </c>
      <c r="B6179" s="3">
        <v>0.75282407407407403</v>
      </c>
      <c r="C6179">
        <v>2933</v>
      </c>
      <c r="D6179" t="str">
        <f>VLOOKUP(H6179,Produkt!$A$2:$B$5,2,FALSE)</f>
        <v>B</v>
      </c>
      <c r="H6179">
        <v>2</v>
      </c>
      <c r="I6179">
        <v>0.86456018518518529</v>
      </c>
      <c r="J6179">
        <v>44777</v>
      </c>
    </row>
    <row r="6180" spans="1:10" x14ac:dyDescent="0.35">
      <c r="A6180" s="2">
        <v>44793</v>
      </c>
      <c r="B6180" s="3">
        <v>0.76549768518518524</v>
      </c>
      <c r="C6180">
        <v>2935</v>
      </c>
      <c r="D6180" t="str">
        <f>VLOOKUP(H6180,Produkt!$A$2:$B$5,2,FALSE)</f>
        <v>C</v>
      </c>
      <c r="H6180">
        <v>3</v>
      </c>
      <c r="I6180">
        <v>0.64317129629629632</v>
      </c>
      <c r="J6180">
        <v>44799</v>
      </c>
    </row>
    <row r="6181" spans="1:10" x14ac:dyDescent="0.35">
      <c r="A6181" s="2">
        <v>44793</v>
      </c>
      <c r="B6181" s="3">
        <v>0.79001157407407396</v>
      </c>
      <c r="C6181">
        <v>2942</v>
      </c>
      <c r="D6181" t="str">
        <f>VLOOKUP(H6181,Produkt!$A$2:$B$5,2,FALSE)</f>
        <v>C</v>
      </c>
      <c r="H6181">
        <v>3</v>
      </c>
      <c r="I6181">
        <v>0.52322916666666663</v>
      </c>
      <c r="J6181">
        <v>44775</v>
      </c>
    </row>
    <row r="6182" spans="1:10" x14ac:dyDescent="0.35">
      <c r="A6182" s="2">
        <v>44793</v>
      </c>
      <c r="B6182" s="3">
        <v>0.53557870370370375</v>
      </c>
      <c r="C6182">
        <v>2993</v>
      </c>
      <c r="D6182" t="str">
        <f>VLOOKUP(H6182,Produkt!$A$2:$B$5,2,FALSE)</f>
        <v>D</v>
      </c>
      <c r="H6182">
        <v>4</v>
      </c>
      <c r="I6182">
        <v>0.44762731481481483</v>
      </c>
      <c r="J6182">
        <v>44775</v>
      </c>
    </row>
    <row r="6183" spans="1:10" x14ac:dyDescent="0.35">
      <c r="A6183" s="2">
        <v>44793</v>
      </c>
      <c r="B6183" s="3">
        <v>0.2255324074074074</v>
      </c>
      <c r="C6183">
        <v>2995</v>
      </c>
      <c r="D6183" t="str">
        <f>VLOOKUP(H6183,Produkt!$A$2:$B$5,2,FALSE)</f>
        <v>C</v>
      </c>
      <c r="H6183">
        <v>3</v>
      </c>
      <c r="I6183">
        <v>0.47356481481481483</v>
      </c>
      <c r="J6183">
        <v>44799</v>
      </c>
    </row>
    <row r="6184" spans="1:10" x14ac:dyDescent="0.35">
      <c r="A6184" s="2">
        <v>44793</v>
      </c>
      <c r="B6184" s="3">
        <v>0.65392361111111108</v>
      </c>
      <c r="C6184">
        <v>3148</v>
      </c>
      <c r="D6184" t="str">
        <f>VLOOKUP(H6184,Produkt!$A$2:$B$5,2,FALSE)</f>
        <v>C</v>
      </c>
      <c r="H6184">
        <v>3</v>
      </c>
      <c r="I6184">
        <v>0.2978703703703704</v>
      </c>
      <c r="J6184">
        <v>44779</v>
      </c>
    </row>
    <row r="6185" spans="1:10" x14ac:dyDescent="0.35">
      <c r="A6185" s="2">
        <v>44793</v>
      </c>
      <c r="B6185" s="3">
        <v>0.57871527777777776</v>
      </c>
      <c r="C6185">
        <v>3154</v>
      </c>
      <c r="D6185" t="str">
        <f>VLOOKUP(H6185,Produkt!$A$2:$B$5,2,FALSE)</f>
        <v>A</v>
      </c>
      <c r="H6185">
        <v>1</v>
      </c>
      <c r="I6185">
        <v>0.99793981481481486</v>
      </c>
      <c r="J6185">
        <v>44796</v>
      </c>
    </row>
    <row r="6186" spans="1:10" x14ac:dyDescent="0.35">
      <c r="A6186" s="2">
        <v>44793</v>
      </c>
      <c r="B6186" s="3">
        <v>0.62296296296296294</v>
      </c>
      <c r="C6186">
        <v>3156</v>
      </c>
      <c r="D6186" t="str">
        <f>VLOOKUP(H6186,Produkt!$A$2:$B$5,2,FALSE)</f>
        <v>B</v>
      </c>
      <c r="H6186">
        <v>2</v>
      </c>
      <c r="I6186">
        <v>0.37559027777777776</v>
      </c>
      <c r="J6186">
        <v>44778</v>
      </c>
    </row>
    <row r="6187" spans="1:10" x14ac:dyDescent="0.35">
      <c r="A6187" s="2">
        <v>44793</v>
      </c>
      <c r="B6187" s="3">
        <v>0.40989583333333335</v>
      </c>
      <c r="C6187">
        <v>3163</v>
      </c>
      <c r="D6187" t="str">
        <f>VLOOKUP(H6187,Produkt!$A$2:$B$5,2,FALSE)</f>
        <v>B</v>
      </c>
      <c r="H6187">
        <v>2</v>
      </c>
      <c r="I6187">
        <v>0.13840277777777779</v>
      </c>
      <c r="J6187">
        <v>44804</v>
      </c>
    </row>
    <row r="6188" spans="1:10" x14ac:dyDescent="0.35">
      <c r="A6188" s="2">
        <v>44793</v>
      </c>
      <c r="B6188" s="3">
        <v>0.48418981481481477</v>
      </c>
      <c r="C6188">
        <v>3170</v>
      </c>
      <c r="D6188" t="str">
        <f>VLOOKUP(H6188,Produkt!$A$2:$B$5,2,FALSE)</f>
        <v>B</v>
      </c>
      <c r="H6188">
        <v>2</v>
      </c>
      <c r="I6188">
        <v>0.84167824074074071</v>
      </c>
      <c r="J6188">
        <v>44788</v>
      </c>
    </row>
    <row r="6189" spans="1:10" x14ac:dyDescent="0.35">
      <c r="A6189" s="2">
        <v>44793</v>
      </c>
      <c r="B6189" s="3">
        <v>0.46971064814814811</v>
      </c>
      <c r="C6189">
        <v>3196</v>
      </c>
      <c r="D6189" t="str">
        <f>VLOOKUP(H6189,Produkt!$A$2:$B$5,2,FALSE)</f>
        <v>D</v>
      </c>
      <c r="H6189">
        <v>4</v>
      </c>
      <c r="I6189">
        <v>0.6371296296296296</v>
      </c>
      <c r="J6189">
        <v>44804</v>
      </c>
    </row>
    <row r="6190" spans="1:10" x14ac:dyDescent="0.35">
      <c r="A6190" s="2">
        <v>44793</v>
      </c>
      <c r="B6190" s="3">
        <v>0.82439814814814805</v>
      </c>
      <c r="C6190">
        <v>3263</v>
      </c>
      <c r="D6190" t="str">
        <f>VLOOKUP(H6190,Produkt!$A$2:$B$5,2,FALSE)</f>
        <v>C</v>
      </c>
      <c r="H6190">
        <v>3</v>
      </c>
      <c r="I6190">
        <v>0.82806712962962958</v>
      </c>
      <c r="J6190">
        <v>44783</v>
      </c>
    </row>
    <row r="6191" spans="1:10" x14ac:dyDescent="0.35">
      <c r="A6191" s="2">
        <v>44793</v>
      </c>
      <c r="B6191" s="3">
        <v>0.43804398148148144</v>
      </c>
      <c r="C6191">
        <v>3278</v>
      </c>
      <c r="D6191" t="str">
        <f>VLOOKUP(H6191,Produkt!$A$2:$B$5,2,FALSE)</f>
        <v>B</v>
      </c>
      <c r="H6191">
        <v>2</v>
      </c>
      <c r="I6191">
        <v>0.72478009259259257</v>
      </c>
      <c r="J6191">
        <v>44804</v>
      </c>
    </row>
    <row r="6192" spans="1:10" x14ac:dyDescent="0.35">
      <c r="A6192" s="2">
        <v>44793</v>
      </c>
      <c r="B6192" s="3">
        <v>0.96079861111111109</v>
      </c>
      <c r="C6192">
        <v>3313</v>
      </c>
      <c r="D6192" t="str">
        <f>VLOOKUP(H6192,Produkt!$A$2:$B$5,2,FALSE)</f>
        <v>D</v>
      </c>
      <c r="H6192">
        <v>4</v>
      </c>
      <c r="I6192">
        <v>0.74113425925925924</v>
      </c>
      <c r="J6192">
        <v>44797</v>
      </c>
    </row>
    <row r="6193" spans="1:10" x14ac:dyDescent="0.35">
      <c r="A6193" s="2">
        <v>44793</v>
      </c>
      <c r="B6193" s="3">
        <v>3.0902777777777782E-3</v>
      </c>
      <c r="C6193">
        <v>3315</v>
      </c>
      <c r="D6193" t="str">
        <f>VLOOKUP(H6193,Produkt!$A$2:$B$5,2,FALSE)</f>
        <v>D</v>
      </c>
      <c r="H6193">
        <v>4</v>
      </c>
      <c r="I6193">
        <v>0.6582175925925926</v>
      </c>
      <c r="J6193">
        <v>44793</v>
      </c>
    </row>
    <row r="6194" spans="1:10" x14ac:dyDescent="0.35">
      <c r="A6194" s="2">
        <v>44793</v>
      </c>
      <c r="B6194" s="3">
        <v>0.86200231481481471</v>
      </c>
      <c r="C6194">
        <v>3324</v>
      </c>
      <c r="D6194" t="str">
        <f>VLOOKUP(H6194,Produkt!$A$2:$B$5,2,FALSE)</f>
        <v>D</v>
      </c>
      <c r="H6194">
        <v>4</v>
      </c>
      <c r="I6194">
        <v>0.56600694444444444</v>
      </c>
      <c r="J6194">
        <v>44774</v>
      </c>
    </row>
    <row r="6195" spans="1:10" x14ac:dyDescent="0.35">
      <c r="A6195" s="2">
        <v>44793</v>
      </c>
      <c r="B6195" s="3">
        <v>0.15568287037037037</v>
      </c>
      <c r="C6195">
        <v>3551</v>
      </c>
      <c r="D6195" t="str">
        <f>VLOOKUP(H6195,Produkt!$A$2:$B$5,2,FALSE)</f>
        <v>A</v>
      </c>
      <c r="H6195">
        <v>1</v>
      </c>
      <c r="I6195">
        <v>0.95868055555555554</v>
      </c>
      <c r="J6195">
        <v>44776</v>
      </c>
    </row>
    <row r="6196" spans="1:10" x14ac:dyDescent="0.35">
      <c r="A6196" s="2">
        <v>44793</v>
      </c>
      <c r="B6196" s="3">
        <v>0.65170138888888884</v>
      </c>
      <c r="C6196">
        <v>3563</v>
      </c>
      <c r="D6196" t="str">
        <f>VLOOKUP(H6196,Produkt!$A$2:$B$5,2,FALSE)</f>
        <v>D</v>
      </c>
      <c r="H6196">
        <v>4</v>
      </c>
      <c r="I6196">
        <v>6.548611111111112E-2</v>
      </c>
      <c r="J6196">
        <v>44777</v>
      </c>
    </row>
    <row r="6197" spans="1:10" x14ac:dyDescent="0.35">
      <c r="A6197" s="2">
        <v>44793</v>
      </c>
      <c r="B6197" s="3">
        <v>0.52171296296296299</v>
      </c>
      <c r="C6197">
        <v>3649</v>
      </c>
      <c r="D6197" t="str">
        <f>VLOOKUP(H6197,Produkt!$A$2:$B$5,2,FALSE)</f>
        <v>A</v>
      </c>
      <c r="H6197">
        <v>1</v>
      </c>
      <c r="I6197">
        <v>0.63517361111111115</v>
      </c>
      <c r="J6197">
        <v>44786</v>
      </c>
    </row>
    <row r="6198" spans="1:10" x14ac:dyDescent="0.35">
      <c r="A6198" s="2">
        <v>44793</v>
      </c>
      <c r="B6198" s="3">
        <v>0.51153935185185184</v>
      </c>
      <c r="C6198">
        <v>3715</v>
      </c>
      <c r="D6198" t="str">
        <f>VLOOKUP(H6198,Produkt!$A$2:$B$5,2,FALSE)</f>
        <v>A</v>
      </c>
      <c r="H6198">
        <v>1</v>
      </c>
      <c r="I6198">
        <v>0.80353009259259256</v>
      </c>
      <c r="J6198">
        <v>44780</v>
      </c>
    </row>
    <row r="6199" spans="1:10" x14ac:dyDescent="0.35">
      <c r="A6199" s="2">
        <v>44793</v>
      </c>
      <c r="B6199" s="3">
        <v>0.54069444444444448</v>
      </c>
      <c r="C6199">
        <v>3724</v>
      </c>
      <c r="D6199" t="str">
        <f>VLOOKUP(H6199,Produkt!$A$2:$B$5,2,FALSE)</f>
        <v>A</v>
      </c>
      <c r="H6199">
        <v>1</v>
      </c>
      <c r="I6199">
        <v>0.3835069444444445</v>
      </c>
      <c r="J6199">
        <v>44788</v>
      </c>
    </row>
    <row r="6200" spans="1:10" x14ac:dyDescent="0.35">
      <c r="A6200" s="2">
        <v>44793</v>
      </c>
      <c r="B6200" s="3">
        <v>0.92688657407407404</v>
      </c>
      <c r="C6200">
        <v>3728</v>
      </c>
      <c r="D6200" t="str">
        <f>VLOOKUP(H6200,Produkt!$A$2:$B$5,2,FALSE)</f>
        <v>A</v>
      </c>
      <c r="H6200">
        <v>1</v>
      </c>
      <c r="I6200">
        <v>0.15753472222222223</v>
      </c>
      <c r="J6200">
        <v>44798</v>
      </c>
    </row>
    <row r="6201" spans="1:10" x14ac:dyDescent="0.35">
      <c r="A6201" s="2">
        <v>44793</v>
      </c>
      <c r="B6201" s="3">
        <v>0.263587962962963</v>
      </c>
      <c r="C6201">
        <v>3757</v>
      </c>
      <c r="D6201" t="str">
        <f>VLOOKUP(H6201,Produkt!$A$2:$B$5,2,FALSE)</f>
        <v>A</v>
      </c>
      <c r="H6201">
        <v>1</v>
      </c>
      <c r="I6201">
        <v>0.68564814814814812</v>
      </c>
      <c r="J6201">
        <v>44797</v>
      </c>
    </row>
    <row r="6202" spans="1:10" x14ac:dyDescent="0.35">
      <c r="A6202" s="2">
        <v>44793</v>
      </c>
      <c r="B6202" s="3">
        <v>0.21467592592592591</v>
      </c>
      <c r="C6202">
        <v>3768</v>
      </c>
      <c r="D6202" t="str">
        <f>VLOOKUP(H6202,Produkt!$A$2:$B$5,2,FALSE)</f>
        <v>A</v>
      </c>
      <c r="H6202">
        <v>1</v>
      </c>
      <c r="I6202">
        <v>0.91297453703703713</v>
      </c>
      <c r="J6202">
        <v>44778</v>
      </c>
    </row>
    <row r="6203" spans="1:10" x14ac:dyDescent="0.35">
      <c r="A6203" s="2">
        <v>44793</v>
      </c>
      <c r="B6203" s="3">
        <v>0.44482638888888887</v>
      </c>
      <c r="C6203">
        <v>3804</v>
      </c>
      <c r="D6203" t="str">
        <f>VLOOKUP(H6203,Produkt!$A$2:$B$5,2,FALSE)</f>
        <v>B</v>
      </c>
      <c r="H6203">
        <v>2</v>
      </c>
      <c r="I6203">
        <v>0.68096064814814816</v>
      </c>
      <c r="J6203">
        <v>44798</v>
      </c>
    </row>
    <row r="6204" spans="1:10" x14ac:dyDescent="0.35">
      <c r="A6204" s="2">
        <v>44793</v>
      </c>
      <c r="B6204" s="3">
        <v>0.64953703703703702</v>
      </c>
      <c r="C6204">
        <v>3812</v>
      </c>
      <c r="D6204" t="str">
        <f>VLOOKUP(H6204,Produkt!$A$2:$B$5,2,FALSE)</f>
        <v>C</v>
      </c>
      <c r="H6204">
        <v>3</v>
      </c>
      <c r="I6204">
        <v>0.36909722222222219</v>
      </c>
      <c r="J6204">
        <v>44776</v>
      </c>
    </row>
    <row r="6205" spans="1:10" x14ac:dyDescent="0.35">
      <c r="A6205" s="2">
        <v>44793</v>
      </c>
      <c r="B6205" s="3">
        <v>0.86009259259259263</v>
      </c>
      <c r="C6205">
        <v>3813</v>
      </c>
      <c r="D6205" t="str">
        <f>VLOOKUP(H6205,Produkt!$A$2:$B$5,2,FALSE)</f>
        <v>D</v>
      </c>
      <c r="H6205">
        <v>4</v>
      </c>
      <c r="I6205">
        <v>0.60895833333333338</v>
      </c>
      <c r="J6205">
        <v>44804</v>
      </c>
    </row>
    <row r="6206" spans="1:10" x14ac:dyDescent="0.35">
      <c r="A6206" s="2">
        <v>44793</v>
      </c>
      <c r="B6206" s="3">
        <v>0.97511574074074081</v>
      </c>
      <c r="C6206">
        <v>3823</v>
      </c>
      <c r="D6206" t="str">
        <f>VLOOKUP(H6206,Produkt!$A$2:$B$5,2,FALSE)</f>
        <v>D</v>
      </c>
      <c r="H6206">
        <v>4</v>
      </c>
      <c r="I6206">
        <v>0.22662037037037039</v>
      </c>
      <c r="J6206">
        <v>44792</v>
      </c>
    </row>
    <row r="6207" spans="1:10" x14ac:dyDescent="0.35">
      <c r="A6207" s="2">
        <v>44793</v>
      </c>
      <c r="B6207" s="3">
        <v>0.84922453703703704</v>
      </c>
      <c r="C6207">
        <v>3833</v>
      </c>
      <c r="D6207" t="str">
        <f>VLOOKUP(H6207,Produkt!$A$2:$B$5,2,FALSE)</f>
        <v>A</v>
      </c>
      <c r="H6207">
        <v>1</v>
      </c>
      <c r="I6207">
        <v>0.82065972222222217</v>
      </c>
      <c r="J6207">
        <v>44792</v>
      </c>
    </row>
    <row r="6208" spans="1:10" x14ac:dyDescent="0.35">
      <c r="A6208" s="2">
        <v>44793</v>
      </c>
      <c r="B6208" s="3">
        <v>0.3105208333333333</v>
      </c>
      <c r="C6208">
        <v>3836</v>
      </c>
      <c r="D6208" t="str">
        <f>VLOOKUP(H6208,Produkt!$A$2:$B$5,2,FALSE)</f>
        <v>A</v>
      </c>
      <c r="H6208">
        <v>1</v>
      </c>
      <c r="I6208">
        <v>0.32862268518518517</v>
      </c>
      <c r="J6208">
        <v>44801</v>
      </c>
    </row>
    <row r="6209" spans="1:10" x14ac:dyDescent="0.35">
      <c r="A6209" s="2">
        <v>44793</v>
      </c>
      <c r="B6209" s="3">
        <v>0.71502314814814805</v>
      </c>
      <c r="C6209">
        <v>3848</v>
      </c>
      <c r="D6209" t="str">
        <f>VLOOKUP(H6209,Produkt!$A$2:$B$5,2,FALSE)</f>
        <v>D</v>
      </c>
      <c r="H6209">
        <v>4</v>
      </c>
      <c r="I6209">
        <v>0.65043981481481483</v>
      </c>
      <c r="J6209">
        <v>44791</v>
      </c>
    </row>
    <row r="6210" spans="1:10" x14ac:dyDescent="0.35">
      <c r="A6210" s="2">
        <v>44793</v>
      </c>
      <c r="B6210" s="3">
        <v>3.0266203703703708E-2</v>
      </c>
      <c r="C6210">
        <v>3854</v>
      </c>
      <c r="D6210" t="str">
        <f>VLOOKUP(H6210,Produkt!$A$2:$B$5,2,FALSE)</f>
        <v>B</v>
      </c>
      <c r="H6210">
        <v>2</v>
      </c>
      <c r="I6210">
        <v>0.16320601851851851</v>
      </c>
      <c r="J6210">
        <v>44785</v>
      </c>
    </row>
    <row r="6211" spans="1:10" x14ac:dyDescent="0.35">
      <c r="A6211" s="2">
        <v>44793</v>
      </c>
      <c r="B6211" s="3">
        <v>0.18638888888888891</v>
      </c>
      <c r="C6211">
        <v>3858</v>
      </c>
      <c r="D6211" t="str">
        <f>VLOOKUP(H6211,Produkt!$A$2:$B$5,2,FALSE)</f>
        <v>D</v>
      </c>
      <c r="H6211">
        <v>4</v>
      </c>
      <c r="I6211">
        <v>0.23089120370370372</v>
      </c>
      <c r="J6211">
        <v>44774</v>
      </c>
    </row>
    <row r="6212" spans="1:10" x14ac:dyDescent="0.35">
      <c r="A6212" s="2">
        <v>44793</v>
      </c>
      <c r="B6212" s="3">
        <v>0.80662037037037038</v>
      </c>
      <c r="C6212">
        <v>3884</v>
      </c>
      <c r="D6212" t="str">
        <f>VLOOKUP(H6212,Produkt!$A$2:$B$5,2,FALSE)</f>
        <v>B</v>
      </c>
      <c r="H6212">
        <v>2</v>
      </c>
      <c r="I6212">
        <v>9.8379629629629636E-2</v>
      </c>
      <c r="J6212">
        <v>44803</v>
      </c>
    </row>
    <row r="6213" spans="1:10" x14ac:dyDescent="0.35">
      <c r="A6213" s="2">
        <v>44793</v>
      </c>
      <c r="B6213" s="3">
        <v>0.45836805555555554</v>
      </c>
      <c r="C6213">
        <v>3889</v>
      </c>
      <c r="D6213" t="str">
        <f>VLOOKUP(H6213,Produkt!$A$2:$B$5,2,FALSE)</f>
        <v>A</v>
      </c>
      <c r="H6213">
        <v>1</v>
      </c>
      <c r="I6213">
        <v>0.80129629629629628</v>
      </c>
      <c r="J6213">
        <v>44800</v>
      </c>
    </row>
    <row r="6214" spans="1:10" x14ac:dyDescent="0.35">
      <c r="A6214" s="2">
        <v>44793</v>
      </c>
      <c r="B6214" s="3">
        <v>0.1038425925925926</v>
      </c>
      <c r="C6214">
        <v>3899</v>
      </c>
      <c r="D6214" t="str">
        <f>VLOOKUP(H6214,Produkt!$A$2:$B$5,2,FALSE)</f>
        <v>D</v>
      </c>
      <c r="H6214">
        <v>4</v>
      </c>
      <c r="I6214">
        <v>0.36921296296296297</v>
      </c>
      <c r="J6214">
        <v>44797</v>
      </c>
    </row>
    <row r="6215" spans="1:10" x14ac:dyDescent="0.35">
      <c r="A6215" s="2">
        <v>44793</v>
      </c>
      <c r="B6215" s="3">
        <v>0.17270833333333332</v>
      </c>
      <c r="C6215">
        <v>3934</v>
      </c>
      <c r="D6215" t="str">
        <f>VLOOKUP(H6215,Produkt!$A$2:$B$5,2,FALSE)</f>
        <v>A</v>
      </c>
      <c r="H6215">
        <v>1</v>
      </c>
      <c r="I6215">
        <v>0.83417824074074076</v>
      </c>
      <c r="J6215">
        <v>44789</v>
      </c>
    </row>
    <row r="6216" spans="1:10" x14ac:dyDescent="0.35">
      <c r="A6216" s="2">
        <v>44793</v>
      </c>
      <c r="B6216" s="3">
        <v>0.77460648148148137</v>
      </c>
      <c r="C6216">
        <v>3967</v>
      </c>
      <c r="D6216" t="str">
        <f>VLOOKUP(H6216,Produkt!$A$2:$B$5,2,FALSE)</f>
        <v>C</v>
      </c>
      <c r="H6216">
        <v>3</v>
      </c>
      <c r="I6216">
        <v>0.47320601851851851</v>
      </c>
      <c r="J6216">
        <v>44800</v>
      </c>
    </row>
    <row r="6217" spans="1:10" x14ac:dyDescent="0.35">
      <c r="A6217" s="2">
        <v>44793</v>
      </c>
      <c r="B6217" s="3">
        <v>0.17246527777777776</v>
      </c>
      <c r="C6217">
        <v>4028</v>
      </c>
      <c r="D6217" t="str">
        <f>VLOOKUP(H6217,Produkt!$A$2:$B$5,2,FALSE)</f>
        <v>D</v>
      </c>
      <c r="H6217">
        <v>4</v>
      </c>
      <c r="I6217">
        <v>0.84523148148148142</v>
      </c>
      <c r="J6217">
        <v>44778</v>
      </c>
    </row>
    <row r="6218" spans="1:10" x14ac:dyDescent="0.35">
      <c r="A6218" s="2">
        <v>44793</v>
      </c>
      <c r="B6218" s="3">
        <v>0.86503472222222222</v>
      </c>
      <c r="C6218">
        <v>4055</v>
      </c>
      <c r="D6218" t="str">
        <f>VLOOKUP(H6218,Produkt!$A$2:$B$5,2,FALSE)</f>
        <v>A</v>
      </c>
      <c r="H6218">
        <v>1</v>
      </c>
      <c r="I6218">
        <v>0.80923611111111116</v>
      </c>
      <c r="J6218">
        <v>44786</v>
      </c>
    </row>
    <row r="6219" spans="1:10" x14ac:dyDescent="0.35">
      <c r="A6219" s="2">
        <v>44793</v>
      </c>
      <c r="B6219" s="3">
        <v>0.96054398148148146</v>
      </c>
      <c r="C6219">
        <v>4084</v>
      </c>
      <c r="D6219" t="str">
        <f>VLOOKUP(H6219,Produkt!$A$2:$B$5,2,FALSE)</f>
        <v>A</v>
      </c>
      <c r="H6219">
        <v>1</v>
      </c>
      <c r="I6219">
        <v>0.49457175925925928</v>
      </c>
      <c r="J6219">
        <v>44797</v>
      </c>
    </row>
    <row r="6220" spans="1:10" x14ac:dyDescent="0.35">
      <c r="A6220" s="2">
        <v>44793</v>
      </c>
      <c r="B6220" s="3">
        <v>0.64649305555555558</v>
      </c>
      <c r="C6220">
        <v>4103</v>
      </c>
      <c r="D6220" t="str">
        <f>VLOOKUP(H6220,Produkt!$A$2:$B$5,2,FALSE)</f>
        <v>A</v>
      </c>
      <c r="H6220">
        <v>1</v>
      </c>
      <c r="I6220">
        <v>0.38173611111111111</v>
      </c>
      <c r="J6220">
        <v>44775</v>
      </c>
    </row>
    <row r="6221" spans="1:10" x14ac:dyDescent="0.35">
      <c r="A6221" s="2">
        <v>44793</v>
      </c>
      <c r="B6221" s="3">
        <v>0.62267361111111108</v>
      </c>
      <c r="C6221">
        <v>4113</v>
      </c>
      <c r="D6221" t="str">
        <f>VLOOKUP(H6221,Produkt!$A$2:$B$5,2,FALSE)</f>
        <v>B</v>
      </c>
      <c r="H6221">
        <v>2</v>
      </c>
      <c r="I6221">
        <v>3.3113425925926032E-2</v>
      </c>
      <c r="J6221">
        <v>44787</v>
      </c>
    </row>
    <row r="6222" spans="1:10" x14ac:dyDescent="0.35">
      <c r="A6222" s="2">
        <v>44793</v>
      </c>
      <c r="B6222" s="3">
        <v>0.83600694444444434</v>
      </c>
      <c r="C6222">
        <v>4125</v>
      </c>
      <c r="D6222" t="str">
        <f>VLOOKUP(H6222,Produkt!$A$2:$B$5,2,FALSE)</f>
        <v>C</v>
      </c>
      <c r="H6222">
        <v>3</v>
      </c>
      <c r="I6222">
        <v>2.5034722222222222E-2</v>
      </c>
      <c r="J6222">
        <v>44797</v>
      </c>
    </row>
    <row r="6223" spans="1:10" x14ac:dyDescent="0.35">
      <c r="A6223" s="2">
        <v>44793</v>
      </c>
      <c r="B6223" s="3">
        <v>0.55829861111111112</v>
      </c>
      <c r="C6223">
        <v>4151</v>
      </c>
      <c r="D6223" t="str">
        <f>VLOOKUP(H6223,Produkt!$A$2:$B$5,2,FALSE)</f>
        <v>D</v>
      </c>
      <c r="H6223">
        <v>4</v>
      </c>
      <c r="I6223">
        <v>0.71128472222222217</v>
      </c>
      <c r="J6223">
        <v>44789</v>
      </c>
    </row>
    <row r="6224" spans="1:10" x14ac:dyDescent="0.35">
      <c r="A6224" s="2">
        <v>44793</v>
      </c>
      <c r="B6224" s="3">
        <v>9.2187499999999992E-2</v>
      </c>
      <c r="C6224">
        <v>4180</v>
      </c>
      <c r="D6224" t="str">
        <f>VLOOKUP(H6224,Produkt!$A$2:$B$5,2,FALSE)</f>
        <v>C</v>
      </c>
      <c r="H6224">
        <v>3</v>
      </c>
      <c r="I6224">
        <v>0.62027777777777782</v>
      </c>
      <c r="J6224">
        <v>44776</v>
      </c>
    </row>
    <row r="6225" spans="1:10" x14ac:dyDescent="0.35">
      <c r="A6225" s="2">
        <v>44793</v>
      </c>
      <c r="B6225" s="3">
        <v>3.6203703703703738E-2</v>
      </c>
      <c r="C6225">
        <v>4225</v>
      </c>
      <c r="D6225" t="str">
        <f>VLOOKUP(H6225,Produkt!$A$2:$B$5,2,FALSE)</f>
        <v>D</v>
      </c>
      <c r="H6225">
        <v>4</v>
      </c>
      <c r="I6225">
        <v>0.8790972222222222</v>
      </c>
      <c r="J6225">
        <v>44789</v>
      </c>
    </row>
    <row r="6226" spans="1:10" x14ac:dyDescent="0.35">
      <c r="A6226" s="2">
        <v>44793</v>
      </c>
      <c r="B6226" s="3">
        <v>0.31059027777777776</v>
      </c>
      <c r="C6226">
        <v>4245</v>
      </c>
      <c r="D6226" t="str">
        <f>VLOOKUP(H6226,Produkt!$A$2:$B$5,2,FALSE)</f>
        <v>C</v>
      </c>
      <c r="H6226">
        <v>3</v>
      </c>
      <c r="I6226">
        <v>0.71965277777777781</v>
      </c>
      <c r="J6226">
        <v>44794</v>
      </c>
    </row>
    <row r="6227" spans="1:10" x14ac:dyDescent="0.35">
      <c r="A6227" s="2">
        <v>44793</v>
      </c>
      <c r="B6227" s="3">
        <v>1.3310185185185187E-2</v>
      </c>
      <c r="C6227">
        <v>4386</v>
      </c>
      <c r="D6227" t="str">
        <f>VLOOKUP(H6227,Produkt!$A$2:$B$5,2,FALSE)</f>
        <v>D</v>
      </c>
      <c r="H6227">
        <v>4</v>
      </c>
      <c r="I6227">
        <v>0.69891203703703697</v>
      </c>
      <c r="J6227">
        <v>44790</v>
      </c>
    </row>
    <row r="6228" spans="1:10" x14ac:dyDescent="0.35">
      <c r="A6228" s="2">
        <v>44793</v>
      </c>
      <c r="B6228" s="3">
        <v>0.46736111111111112</v>
      </c>
      <c r="C6228">
        <v>4418</v>
      </c>
      <c r="D6228" t="str">
        <f>VLOOKUP(H6228,Produkt!$A$2:$B$5,2,FALSE)</f>
        <v>C</v>
      </c>
      <c r="H6228">
        <v>3</v>
      </c>
      <c r="I6228">
        <v>0.61644675925925929</v>
      </c>
      <c r="J6228">
        <v>44801</v>
      </c>
    </row>
    <row r="6229" spans="1:10" x14ac:dyDescent="0.35">
      <c r="A6229" s="2">
        <v>44793</v>
      </c>
      <c r="B6229" s="3">
        <v>0.82356481481481481</v>
      </c>
      <c r="C6229">
        <v>4422</v>
      </c>
      <c r="D6229" t="str">
        <f>VLOOKUP(H6229,Produkt!$A$2:$B$5,2,FALSE)</f>
        <v>B</v>
      </c>
      <c r="H6229">
        <v>2</v>
      </c>
      <c r="I6229">
        <v>0.73033564814814822</v>
      </c>
      <c r="J6229">
        <v>44790</v>
      </c>
    </row>
    <row r="6230" spans="1:10" x14ac:dyDescent="0.35">
      <c r="A6230" s="2">
        <v>44793</v>
      </c>
      <c r="B6230" s="3">
        <v>0.41866898148148146</v>
      </c>
      <c r="C6230">
        <v>4436</v>
      </c>
      <c r="D6230" t="str">
        <f>VLOOKUP(H6230,Produkt!$A$2:$B$5,2,FALSE)</f>
        <v>A</v>
      </c>
      <c r="H6230">
        <v>1</v>
      </c>
      <c r="I6230">
        <v>0.88696759259259261</v>
      </c>
      <c r="J6230">
        <v>44800</v>
      </c>
    </row>
    <row r="6231" spans="1:10" x14ac:dyDescent="0.35">
      <c r="A6231" s="2">
        <v>44793</v>
      </c>
      <c r="B6231" s="3">
        <v>8.9120370370370364E-2</v>
      </c>
      <c r="C6231">
        <v>4466</v>
      </c>
      <c r="D6231" t="str">
        <f>VLOOKUP(H6231,Produkt!$A$2:$B$5,2,FALSE)</f>
        <v>A</v>
      </c>
      <c r="H6231">
        <v>1</v>
      </c>
      <c r="I6231">
        <v>0.16059027777777776</v>
      </c>
      <c r="J6231">
        <v>44775</v>
      </c>
    </row>
    <row r="6232" spans="1:10" x14ac:dyDescent="0.35">
      <c r="A6232" s="2">
        <v>44793</v>
      </c>
      <c r="B6232" s="3">
        <v>0.75679398148148147</v>
      </c>
      <c r="C6232">
        <v>4470</v>
      </c>
      <c r="D6232" t="str">
        <f>VLOOKUP(H6232,Produkt!$A$2:$B$5,2,FALSE)</f>
        <v>A</v>
      </c>
      <c r="H6232">
        <v>1</v>
      </c>
      <c r="I6232">
        <v>0.47923611111111114</v>
      </c>
      <c r="J6232">
        <v>44780</v>
      </c>
    </row>
    <row r="6233" spans="1:10" x14ac:dyDescent="0.35">
      <c r="A6233" s="2">
        <v>44793</v>
      </c>
      <c r="B6233" s="3">
        <v>0.385775462962963</v>
      </c>
      <c r="C6233">
        <v>4482</v>
      </c>
      <c r="D6233" t="str">
        <f>VLOOKUP(H6233,Produkt!$A$2:$B$5,2,FALSE)</f>
        <v>A</v>
      </c>
      <c r="H6233">
        <v>1</v>
      </c>
      <c r="I6233">
        <v>0.33753472222222225</v>
      </c>
      <c r="J6233">
        <v>44788</v>
      </c>
    </row>
    <row r="6234" spans="1:10" x14ac:dyDescent="0.35">
      <c r="A6234" s="2">
        <v>44793</v>
      </c>
      <c r="B6234" s="3">
        <v>0.57414351851851853</v>
      </c>
      <c r="C6234">
        <v>4521</v>
      </c>
      <c r="D6234" t="str">
        <f>VLOOKUP(H6234,Produkt!$A$2:$B$5,2,FALSE)</f>
        <v>B</v>
      </c>
      <c r="H6234">
        <v>2</v>
      </c>
      <c r="I6234">
        <v>0.96949074074074071</v>
      </c>
      <c r="J6234">
        <v>44775</v>
      </c>
    </row>
    <row r="6235" spans="1:10" x14ac:dyDescent="0.35">
      <c r="A6235" s="2">
        <v>44793</v>
      </c>
      <c r="B6235" s="3">
        <v>0.32219907407407405</v>
      </c>
      <c r="C6235">
        <v>4528</v>
      </c>
      <c r="D6235" t="str">
        <f>VLOOKUP(H6235,Produkt!$A$2:$B$5,2,FALSE)</f>
        <v>A</v>
      </c>
      <c r="H6235">
        <v>1</v>
      </c>
      <c r="I6235">
        <v>2.8726851851851753E-2</v>
      </c>
      <c r="J6235">
        <v>44803</v>
      </c>
    </row>
    <row r="6236" spans="1:10" x14ac:dyDescent="0.35">
      <c r="A6236" s="2">
        <v>44793</v>
      </c>
      <c r="B6236" s="3">
        <v>0.62347222222222221</v>
      </c>
      <c r="C6236">
        <v>4548</v>
      </c>
      <c r="D6236" t="str">
        <f>VLOOKUP(H6236,Produkt!$A$2:$B$5,2,FALSE)</f>
        <v>B</v>
      </c>
      <c r="H6236">
        <v>2</v>
      </c>
      <c r="I6236">
        <v>0.17807870370370371</v>
      </c>
      <c r="J6236">
        <v>44786</v>
      </c>
    </row>
    <row r="6237" spans="1:10" x14ac:dyDescent="0.35">
      <c r="A6237" s="2">
        <v>44793</v>
      </c>
      <c r="B6237" s="3">
        <v>9.5370370370371216E-3</v>
      </c>
      <c r="C6237">
        <v>4700</v>
      </c>
      <c r="D6237" t="str">
        <f>VLOOKUP(H6237,Produkt!$A$2:$B$5,2,FALSE)</f>
        <v>C</v>
      </c>
      <c r="H6237">
        <v>3</v>
      </c>
      <c r="I6237">
        <v>0.89504629629629628</v>
      </c>
      <c r="J6237">
        <v>44787</v>
      </c>
    </row>
    <row r="6238" spans="1:10" x14ac:dyDescent="0.35">
      <c r="A6238" s="2">
        <v>44793</v>
      </c>
      <c r="B6238" s="3">
        <v>0.73813657407407407</v>
      </c>
      <c r="C6238">
        <v>4742</v>
      </c>
      <c r="D6238" t="str">
        <f>VLOOKUP(H6238,Produkt!$A$2:$B$5,2,FALSE)</f>
        <v>C</v>
      </c>
      <c r="H6238">
        <v>3</v>
      </c>
      <c r="I6238">
        <v>6.3472222222222222E-2</v>
      </c>
      <c r="J6238">
        <v>44799</v>
      </c>
    </row>
    <row r="6239" spans="1:10" x14ac:dyDescent="0.35">
      <c r="A6239" s="2">
        <v>44793</v>
      </c>
      <c r="B6239" s="3">
        <v>1.1921296296295569E-3</v>
      </c>
      <c r="C6239">
        <v>4748</v>
      </c>
      <c r="D6239" t="str">
        <f>VLOOKUP(H6239,Produkt!$A$2:$B$5,2,FALSE)</f>
        <v>A</v>
      </c>
      <c r="H6239">
        <v>1</v>
      </c>
      <c r="I6239">
        <v>0.10434027777777777</v>
      </c>
      <c r="J6239">
        <v>44800</v>
      </c>
    </row>
    <row r="6240" spans="1:10" x14ac:dyDescent="0.35">
      <c r="A6240" s="2">
        <v>44793</v>
      </c>
      <c r="B6240" s="3">
        <v>0.30746527777777777</v>
      </c>
      <c r="C6240">
        <v>4813</v>
      </c>
      <c r="D6240" t="str">
        <f>VLOOKUP(H6240,Produkt!$A$2:$B$5,2,FALSE)</f>
        <v>A</v>
      </c>
      <c r="H6240">
        <v>1</v>
      </c>
      <c r="I6240">
        <v>0.82836805555555559</v>
      </c>
      <c r="J6240">
        <v>44802</v>
      </c>
    </row>
    <row r="6241" spans="1:10" x14ac:dyDescent="0.35">
      <c r="A6241" s="2">
        <v>44793</v>
      </c>
      <c r="B6241" s="3">
        <v>0.84237268518518515</v>
      </c>
      <c r="C6241">
        <v>4902</v>
      </c>
      <c r="D6241" t="str">
        <f>VLOOKUP(H6241,Produkt!$A$2:$B$5,2,FALSE)</f>
        <v>A</v>
      </c>
      <c r="H6241">
        <v>1</v>
      </c>
      <c r="I6241">
        <v>0.61797453703703698</v>
      </c>
      <c r="J6241">
        <v>44798</v>
      </c>
    </row>
    <row r="6242" spans="1:10" x14ac:dyDescent="0.35">
      <c r="A6242" s="2">
        <v>44793</v>
      </c>
      <c r="B6242" s="3">
        <v>0.43231481481481482</v>
      </c>
      <c r="C6242">
        <v>4905</v>
      </c>
      <c r="D6242" t="str">
        <f>VLOOKUP(H6242,Produkt!$A$2:$B$5,2,FALSE)</f>
        <v>C</v>
      </c>
      <c r="H6242">
        <v>3</v>
      </c>
      <c r="I6242">
        <v>6.0659722222222219E-2</v>
      </c>
      <c r="J6242">
        <v>44787</v>
      </c>
    </row>
    <row r="6243" spans="1:10" x14ac:dyDescent="0.35">
      <c r="A6243" s="2">
        <v>44793</v>
      </c>
      <c r="B6243" s="3">
        <v>0.21387731481481484</v>
      </c>
      <c r="C6243">
        <v>4940</v>
      </c>
      <c r="D6243" t="str">
        <f>VLOOKUP(H6243,Produkt!$A$2:$B$5,2,FALSE)</f>
        <v>D</v>
      </c>
      <c r="H6243">
        <v>4</v>
      </c>
      <c r="I6243">
        <v>0.52377314814814813</v>
      </c>
      <c r="J6243">
        <v>44799</v>
      </c>
    </row>
    <row r="6244" spans="1:10" x14ac:dyDescent="0.35">
      <c r="A6244" s="2">
        <v>44793</v>
      </c>
      <c r="B6244" s="3">
        <v>0.48909722222222224</v>
      </c>
      <c r="C6244">
        <v>4966</v>
      </c>
      <c r="D6244" t="str">
        <f>VLOOKUP(H6244,Produkt!$A$2:$B$5,2,FALSE)</f>
        <v>D</v>
      </c>
      <c r="H6244">
        <v>4</v>
      </c>
      <c r="I6244">
        <v>6.7627314814814821E-2</v>
      </c>
      <c r="J6244">
        <v>44788</v>
      </c>
    </row>
    <row r="6245" spans="1:10" x14ac:dyDescent="0.35">
      <c r="A6245" s="2">
        <v>44793</v>
      </c>
      <c r="B6245" s="3">
        <v>2.3611111111111111E-3</v>
      </c>
      <c r="C6245">
        <v>4975</v>
      </c>
      <c r="D6245" t="str">
        <f>VLOOKUP(H6245,Produkt!$A$2:$B$5,2,FALSE)</f>
        <v>A</v>
      </c>
      <c r="H6245">
        <v>1</v>
      </c>
      <c r="I6245">
        <v>0.37503472222222217</v>
      </c>
      <c r="J6245">
        <v>44775</v>
      </c>
    </row>
    <row r="6246" spans="1:10" x14ac:dyDescent="0.35">
      <c r="A6246" s="2">
        <v>44793</v>
      </c>
      <c r="B6246" s="3">
        <v>0.13188657407407409</v>
      </c>
      <c r="C6246">
        <v>4992</v>
      </c>
      <c r="D6246" t="str">
        <f>VLOOKUP(H6246,Produkt!$A$2:$B$5,2,FALSE)</f>
        <v>B</v>
      </c>
      <c r="H6246">
        <v>2</v>
      </c>
      <c r="I6246">
        <v>0.39549768518518519</v>
      </c>
      <c r="J6246">
        <v>44797</v>
      </c>
    </row>
    <row r="6247" spans="1:10" x14ac:dyDescent="0.35">
      <c r="A6247" s="2">
        <v>44793</v>
      </c>
      <c r="B6247" s="3">
        <v>0.17997685185185186</v>
      </c>
      <c r="C6247">
        <v>5024</v>
      </c>
      <c r="D6247" t="str">
        <f>VLOOKUP(H6247,Produkt!$A$2:$B$5,2,FALSE)</f>
        <v>C</v>
      </c>
      <c r="H6247">
        <v>3</v>
      </c>
      <c r="I6247">
        <v>0.97150462962962969</v>
      </c>
      <c r="J6247">
        <v>44784</v>
      </c>
    </row>
    <row r="6248" spans="1:10" x14ac:dyDescent="0.35">
      <c r="A6248" s="2">
        <v>44793</v>
      </c>
      <c r="B6248" s="3">
        <v>0.75753472222222218</v>
      </c>
      <c r="C6248">
        <v>5146</v>
      </c>
      <c r="D6248" t="str">
        <f>VLOOKUP(H6248,Produkt!$A$2:$B$5,2,FALSE)</f>
        <v>B</v>
      </c>
      <c r="H6248">
        <v>2</v>
      </c>
      <c r="I6248">
        <v>0.69155092592592593</v>
      </c>
      <c r="J6248">
        <v>44797</v>
      </c>
    </row>
    <row r="6249" spans="1:10" x14ac:dyDescent="0.35">
      <c r="A6249" s="2">
        <v>44793</v>
      </c>
      <c r="B6249" s="3">
        <v>0.24462962962962964</v>
      </c>
      <c r="C6249">
        <v>5158</v>
      </c>
      <c r="D6249" t="str">
        <f>VLOOKUP(H6249,Produkt!$A$2:$B$5,2,FALSE)</f>
        <v>C</v>
      </c>
      <c r="H6249">
        <v>3</v>
      </c>
      <c r="I6249">
        <v>0.74341435185185178</v>
      </c>
      <c r="J6249">
        <v>44789</v>
      </c>
    </row>
    <row r="6250" spans="1:10" x14ac:dyDescent="0.35">
      <c r="A6250" s="2">
        <v>44793</v>
      </c>
      <c r="B6250" s="3">
        <v>1.9548611111111169E-2</v>
      </c>
      <c r="C6250">
        <v>5191</v>
      </c>
      <c r="D6250" t="str">
        <f>VLOOKUP(H6250,Produkt!$A$2:$B$5,2,FALSE)</f>
        <v>D</v>
      </c>
      <c r="H6250">
        <v>4</v>
      </c>
      <c r="I6250">
        <v>0.71953703703703698</v>
      </c>
      <c r="J6250">
        <v>44794</v>
      </c>
    </row>
    <row r="6251" spans="1:10" x14ac:dyDescent="0.35">
      <c r="A6251" s="2">
        <v>44793</v>
      </c>
      <c r="B6251" s="3">
        <v>0.49973379629629627</v>
      </c>
      <c r="C6251">
        <v>5208</v>
      </c>
      <c r="D6251" t="str">
        <f>VLOOKUP(H6251,Produkt!$A$2:$B$5,2,FALSE)</f>
        <v>C</v>
      </c>
      <c r="H6251">
        <v>3</v>
      </c>
      <c r="I6251">
        <v>0.53214120370370377</v>
      </c>
      <c r="J6251">
        <v>44797</v>
      </c>
    </row>
    <row r="6252" spans="1:10" x14ac:dyDescent="0.35">
      <c r="A6252" s="2">
        <v>44793</v>
      </c>
      <c r="B6252" s="3">
        <v>0.68575231481481491</v>
      </c>
      <c r="C6252">
        <v>5217</v>
      </c>
      <c r="D6252" t="str">
        <f>VLOOKUP(H6252,Produkt!$A$2:$B$5,2,FALSE)</f>
        <v>A</v>
      </c>
      <c r="H6252">
        <v>1</v>
      </c>
      <c r="I6252">
        <v>0.31016203703703704</v>
      </c>
      <c r="J6252">
        <v>44778</v>
      </c>
    </row>
    <row r="6253" spans="1:10" x14ac:dyDescent="0.35">
      <c r="A6253" s="2">
        <v>44793</v>
      </c>
      <c r="B6253" s="3">
        <v>0.32861111111111113</v>
      </c>
      <c r="C6253">
        <v>5240</v>
      </c>
      <c r="D6253" t="str">
        <f>VLOOKUP(H6253,Produkt!$A$2:$B$5,2,FALSE)</f>
        <v>A</v>
      </c>
      <c r="H6253">
        <v>1</v>
      </c>
      <c r="I6253">
        <v>0.75710648148148152</v>
      </c>
      <c r="J6253">
        <v>44774</v>
      </c>
    </row>
    <row r="6254" spans="1:10" x14ac:dyDescent="0.35">
      <c r="A6254" s="2">
        <v>44793</v>
      </c>
      <c r="B6254" s="3">
        <v>0.98335648148148147</v>
      </c>
      <c r="C6254">
        <v>5273</v>
      </c>
      <c r="D6254" t="str">
        <f>VLOOKUP(H6254,Produkt!$A$2:$B$5,2,FALSE)</f>
        <v>A</v>
      </c>
      <c r="H6254">
        <v>1</v>
      </c>
      <c r="I6254">
        <v>3.6006944444444446E-2</v>
      </c>
      <c r="J6254">
        <v>44803</v>
      </c>
    </row>
    <row r="6255" spans="1:10" x14ac:dyDescent="0.35">
      <c r="A6255" s="2">
        <v>44793</v>
      </c>
      <c r="B6255" s="3">
        <v>0.37182870370370374</v>
      </c>
      <c r="C6255">
        <v>5280</v>
      </c>
      <c r="D6255" t="str">
        <f>VLOOKUP(H6255,Produkt!$A$2:$B$5,2,FALSE)</f>
        <v>A</v>
      </c>
      <c r="H6255">
        <v>1</v>
      </c>
      <c r="I6255">
        <v>0.74241898148148155</v>
      </c>
      <c r="J6255">
        <v>44775</v>
      </c>
    </row>
    <row r="6256" spans="1:10" x14ac:dyDescent="0.35">
      <c r="A6256" s="2">
        <v>44793</v>
      </c>
      <c r="B6256" s="3">
        <v>0.80702546296296296</v>
      </c>
      <c r="C6256">
        <v>5317</v>
      </c>
      <c r="D6256" t="str">
        <f>VLOOKUP(H6256,Produkt!$A$2:$B$5,2,FALSE)</f>
        <v>C</v>
      </c>
      <c r="H6256">
        <v>3</v>
      </c>
      <c r="I6256">
        <v>0.94625000000000004</v>
      </c>
      <c r="J6256">
        <v>44779</v>
      </c>
    </row>
    <row r="6257" spans="1:10" x14ac:dyDescent="0.35">
      <c r="A6257" s="2">
        <v>44793</v>
      </c>
      <c r="B6257" s="3">
        <v>0.27054398148148145</v>
      </c>
      <c r="C6257">
        <v>5345</v>
      </c>
      <c r="D6257" t="str">
        <f>VLOOKUP(H6257,Produkt!$A$2:$B$5,2,FALSE)</f>
        <v>B</v>
      </c>
      <c r="H6257">
        <v>2</v>
      </c>
      <c r="I6257">
        <v>0.16046296296296295</v>
      </c>
      <c r="J6257">
        <v>44791</v>
      </c>
    </row>
    <row r="6258" spans="1:10" x14ac:dyDescent="0.35">
      <c r="A6258" s="2">
        <v>44793</v>
      </c>
      <c r="B6258" s="3">
        <v>0.51554398148148151</v>
      </c>
      <c r="C6258">
        <v>5369</v>
      </c>
      <c r="D6258" t="str">
        <f>VLOOKUP(H6258,Produkt!$A$2:$B$5,2,FALSE)</f>
        <v>C</v>
      </c>
      <c r="H6258">
        <v>3</v>
      </c>
      <c r="I6258">
        <v>0.80760416666666668</v>
      </c>
      <c r="J6258">
        <v>44786</v>
      </c>
    </row>
    <row r="6259" spans="1:10" x14ac:dyDescent="0.35">
      <c r="A6259" s="2">
        <v>44793</v>
      </c>
      <c r="B6259" s="3">
        <v>4.7060185185185184E-2</v>
      </c>
      <c r="C6259">
        <v>5370</v>
      </c>
      <c r="D6259" t="str">
        <f>VLOOKUP(H6259,Produkt!$A$2:$B$5,2,FALSE)</f>
        <v>D</v>
      </c>
      <c r="H6259">
        <v>4</v>
      </c>
      <c r="I6259">
        <v>0.42193287037037036</v>
      </c>
      <c r="J6259">
        <v>44787</v>
      </c>
    </row>
    <row r="6260" spans="1:10" x14ac:dyDescent="0.35">
      <c r="A6260" s="2">
        <v>44793</v>
      </c>
      <c r="B6260" s="3">
        <v>0.86643518518518514</v>
      </c>
      <c r="C6260">
        <v>5376</v>
      </c>
      <c r="D6260" t="str">
        <f>VLOOKUP(H6260,Produkt!$A$2:$B$5,2,FALSE)</f>
        <v>C</v>
      </c>
      <c r="H6260">
        <v>3</v>
      </c>
      <c r="I6260">
        <v>1.7476851851851993E-3</v>
      </c>
      <c r="J6260">
        <v>44774</v>
      </c>
    </row>
    <row r="6261" spans="1:10" x14ac:dyDescent="0.35">
      <c r="A6261" s="2">
        <v>44793</v>
      </c>
      <c r="B6261" s="3">
        <v>0.78349537037037031</v>
      </c>
      <c r="C6261">
        <v>5379</v>
      </c>
      <c r="D6261" t="str">
        <f>VLOOKUP(H6261,Produkt!$A$2:$B$5,2,FALSE)</f>
        <v>C</v>
      </c>
      <c r="H6261">
        <v>3</v>
      </c>
      <c r="I6261">
        <v>0.56268518518518518</v>
      </c>
      <c r="J6261">
        <v>44800</v>
      </c>
    </row>
    <row r="6262" spans="1:10" x14ac:dyDescent="0.35">
      <c r="A6262" s="2">
        <v>44793</v>
      </c>
      <c r="B6262" s="3">
        <v>0.28645833333333331</v>
      </c>
      <c r="C6262">
        <v>5415</v>
      </c>
      <c r="D6262" t="str">
        <f>VLOOKUP(H6262,Produkt!$A$2:$B$5,2,FALSE)</f>
        <v>C</v>
      </c>
      <c r="H6262">
        <v>3</v>
      </c>
      <c r="I6262">
        <v>0.3795486111111111</v>
      </c>
      <c r="J6262">
        <v>44804</v>
      </c>
    </row>
    <row r="6263" spans="1:10" x14ac:dyDescent="0.35">
      <c r="A6263" s="2">
        <v>44793</v>
      </c>
      <c r="B6263" s="3">
        <v>0.21938657407407405</v>
      </c>
      <c r="C6263">
        <v>5430</v>
      </c>
      <c r="D6263" t="str">
        <f>VLOOKUP(H6263,Produkt!$A$2:$B$5,2,FALSE)</f>
        <v>A</v>
      </c>
      <c r="H6263">
        <v>1</v>
      </c>
      <c r="I6263">
        <v>0.70836805555555549</v>
      </c>
      <c r="J6263">
        <v>44780</v>
      </c>
    </row>
    <row r="6264" spans="1:10" x14ac:dyDescent="0.35">
      <c r="A6264" s="2">
        <v>44793</v>
      </c>
      <c r="B6264" s="3">
        <v>0.4651851851851852</v>
      </c>
      <c r="C6264">
        <v>5445</v>
      </c>
      <c r="D6264" t="str">
        <f>VLOOKUP(H6264,Produkt!$A$2:$B$5,2,FALSE)</f>
        <v>D</v>
      </c>
      <c r="H6264">
        <v>4</v>
      </c>
      <c r="I6264">
        <v>0.77016203703703701</v>
      </c>
      <c r="J6264">
        <v>44778</v>
      </c>
    </row>
    <row r="6265" spans="1:10" x14ac:dyDescent="0.35">
      <c r="A6265" s="2">
        <v>44793</v>
      </c>
      <c r="B6265" s="3">
        <v>0.4971180555555556</v>
      </c>
      <c r="C6265">
        <v>5463</v>
      </c>
      <c r="D6265" t="str">
        <f>VLOOKUP(H6265,Produkt!$A$2:$B$5,2,FALSE)</f>
        <v>B</v>
      </c>
      <c r="H6265">
        <v>2</v>
      </c>
      <c r="I6265">
        <v>0.9526041666666667</v>
      </c>
      <c r="J6265">
        <v>44795</v>
      </c>
    </row>
    <row r="6266" spans="1:10" x14ac:dyDescent="0.35">
      <c r="A6266" s="2">
        <v>44793</v>
      </c>
      <c r="B6266" s="3">
        <v>0.8314583333333333</v>
      </c>
      <c r="C6266">
        <v>5489</v>
      </c>
      <c r="D6266" t="str">
        <f>VLOOKUP(H6266,Produkt!$A$2:$B$5,2,FALSE)</f>
        <v>B</v>
      </c>
      <c r="H6266">
        <v>2</v>
      </c>
      <c r="I6266">
        <v>0.6560300925925926</v>
      </c>
      <c r="J6266">
        <v>44791</v>
      </c>
    </row>
    <row r="6267" spans="1:10" x14ac:dyDescent="0.35">
      <c r="A6267" s="2">
        <v>44793</v>
      </c>
      <c r="B6267" s="3">
        <v>0.33090277777777777</v>
      </c>
      <c r="C6267">
        <v>5536</v>
      </c>
      <c r="D6267" t="str">
        <f>VLOOKUP(H6267,Produkt!$A$2:$B$5,2,FALSE)</f>
        <v>B</v>
      </c>
      <c r="H6267">
        <v>2</v>
      </c>
      <c r="I6267">
        <v>0.72188657407407408</v>
      </c>
      <c r="J6267">
        <v>44795</v>
      </c>
    </row>
    <row r="6268" spans="1:10" x14ac:dyDescent="0.35">
      <c r="A6268" s="2">
        <v>44793</v>
      </c>
      <c r="B6268" s="3">
        <v>5.561342592592592E-2</v>
      </c>
      <c r="C6268">
        <v>5604</v>
      </c>
      <c r="D6268" t="str">
        <f>VLOOKUP(H6268,Produkt!$A$2:$B$5,2,FALSE)</f>
        <v>D</v>
      </c>
      <c r="H6268">
        <v>4</v>
      </c>
      <c r="I6268">
        <v>0.98457175925925933</v>
      </c>
      <c r="J6268">
        <v>44802</v>
      </c>
    </row>
    <row r="6269" spans="1:10" x14ac:dyDescent="0.35">
      <c r="A6269" s="2">
        <v>44793</v>
      </c>
      <c r="B6269" s="3">
        <v>0.17232638888888888</v>
      </c>
      <c r="C6269">
        <v>5625</v>
      </c>
      <c r="D6269" t="str">
        <f>VLOOKUP(H6269,Produkt!$A$2:$B$5,2,FALSE)</f>
        <v>B</v>
      </c>
      <c r="H6269">
        <v>2</v>
      </c>
      <c r="I6269">
        <v>0.87565972222222221</v>
      </c>
      <c r="J6269">
        <v>44794</v>
      </c>
    </row>
    <row r="6270" spans="1:10" x14ac:dyDescent="0.35">
      <c r="A6270" s="2">
        <v>44793</v>
      </c>
      <c r="B6270" s="3">
        <v>0.49042824074074076</v>
      </c>
      <c r="C6270">
        <v>5667</v>
      </c>
      <c r="D6270" t="str">
        <f>VLOOKUP(H6270,Produkt!$A$2:$B$5,2,FALSE)</f>
        <v>B</v>
      </c>
      <c r="H6270">
        <v>2</v>
      </c>
      <c r="I6270">
        <v>1.7858796296296164E-2</v>
      </c>
      <c r="J6270">
        <v>44803</v>
      </c>
    </row>
    <row r="6271" spans="1:10" x14ac:dyDescent="0.35">
      <c r="A6271" s="2">
        <v>44793</v>
      </c>
      <c r="B6271" s="3">
        <v>0.34297453703703701</v>
      </c>
      <c r="C6271">
        <v>5682</v>
      </c>
      <c r="D6271" t="str">
        <f>VLOOKUP(H6271,Produkt!$A$2:$B$5,2,FALSE)</f>
        <v>A</v>
      </c>
      <c r="H6271">
        <v>1</v>
      </c>
      <c r="I6271">
        <v>0.24858796296296296</v>
      </c>
      <c r="J6271">
        <v>44782</v>
      </c>
    </row>
    <row r="6272" spans="1:10" x14ac:dyDescent="0.35">
      <c r="A6272" s="2">
        <v>44793</v>
      </c>
      <c r="B6272" s="3">
        <v>0.95876157407407403</v>
      </c>
      <c r="C6272">
        <v>5691</v>
      </c>
      <c r="D6272" t="str">
        <f>VLOOKUP(H6272,Produkt!$A$2:$B$5,2,FALSE)</f>
        <v>A</v>
      </c>
      <c r="H6272">
        <v>1</v>
      </c>
      <c r="I6272">
        <v>0.98614583333333339</v>
      </c>
      <c r="J6272">
        <v>44777</v>
      </c>
    </row>
    <row r="6273" spans="1:10" x14ac:dyDescent="0.35">
      <c r="A6273" s="2">
        <v>44793</v>
      </c>
      <c r="B6273" s="3">
        <v>0.43513888888888891</v>
      </c>
      <c r="C6273">
        <v>5722</v>
      </c>
      <c r="D6273" t="str">
        <f>VLOOKUP(H6273,Produkt!$A$2:$B$5,2,FALSE)</f>
        <v>C</v>
      </c>
      <c r="H6273">
        <v>3</v>
      </c>
      <c r="I6273">
        <v>0.78123842592592585</v>
      </c>
      <c r="J6273">
        <v>44776</v>
      </c>
    </row>
    <row r="6274" spans="1:10" x14ac:dyDescent="0.35">
      <c r="A6274" s="2">
        <v>44793</v>
      </c>
      <c r="B6274" s="3">
        <v>0.24857638888888889</v>
      </c>
      <c r="C6274">
        <v>5744</v>
      </c>
      <c r="D6274" t="str">
        <f>VLOOKUP(H6274,Produkt!$A$2:$B$5,2,FALSE)</f>
        <v>A</v>
      </c>
      <c r="H6274">
        <v>1</v>
      </c>
      <c r="I6274">
        <v>0.73550925925925925</v>
      </c>
      <c r="J6274">
        <v>44780</v>
      </c>
    </row>
    <row r="6275" spans="1:10" x14ac:dyDescent="0.35">
      <c r="A6275" s="2">
        <v>44793</v>
      </c>
      <c r="B6275" s="3">
        <v>0.93368055555555562</v>
      </c>
      <c r="C6275">
        <v>5757</v>
      </c>
      <c r="D6275" t="str">
        <f>VLOOKUP(H6275,Produkt!$A$2:$B$5,2,FALSE)</f>
        <v>A</v>
      </c>
      <c r="H6275">
        <v>1</v>
      </c>
      <c r="I6275">
        <v>0.94648148148148137</v>
      </c>
      <c r="J6275">
        <v>44792</v>
      </c>
    </row>
    <row r="6276" spans="1:10" x14ac:dyDescent="0.35">
      <c r="A6276" s="2">
        <v>44793</v>
      </c>
      <c r="B6276" s="3">
        <v>1.9328703703703702E-2</v>
      </c>
      <c r="C6276">
        <v>5761</v>
      </c>
      <c r="D6276" t="str">
        <f>VLOOKUP(H6276,Produkt!$A$2:$B$5,2,FALSE)</f>
        <v>B</v>
      </c>
      <c r="H6276">
        <v>2</v>
      </c>
      <c r="I6276">
        <v>0.83327546296296295</v>
      </c>
      <c r="J6276">
        <v>44797</v>
      </c>
    </row>
    <row r="6277" spans="1:10" x14ac:dyDescent="0.35">
      <c r="A6277" s="2">
        <v>44793</v>
      </c>
      <c r="B6277" s="3">
        <v>0.57341435185185186</v>
      </c>
      <c r="C6277">
        <v>5764</v>
      </c>
      <c r="D6277" t="str">
        <f>VLOOKUP(H6277,Produkt!$A$2:$B$5,2,FALSE)</f>
        <v>D</v>
      </c>
      <c r="H6277">
        <v>4</v>
      </c>
      <c r="I6277">
        <v>0.77081018518518529</v>
      </c>
      <c r="J6277">
        <v>44792</v>
      </c>
    </row>
    <row r="6278" spans="1:10" x14ac:dyDescent="0.35">
      <c r="A6278" s="2">
        <v>44793</v>
      </c>
      <c r="B6278" s="3">
        <v>0.20281249999999998</v>
      </c>
      <c r="C6278">
        <v>5773</v>
      </c>
      <c r="D6278" t="str">
        <f>VLOOKUP(H6278,Produkt!$A$2:$B$5,2,FALSE)</f>
        <v>D</v>
      </c>
      <c r="H6278">
        <v>4</v>
      </c>
      <c r="I6278">
        <v>0.51131944444444444</v>
      </c>
      <c r="J6278">
        <v>44800</v>
      </c>
    </row>
    <row r="6279" spans="1:10" x14ac:dyDescent="0.35">
      <c r="A6279" s="2">
        <v>44793</v>
      </c>
      <c r="B6279" s="3">
        <v>0.95202546296296298</v>
      </c>
      <c r="C6279">
        <v>5782</v>
      </c>
      <c r="D6279" t="str">
        <f>VLOOKUP(H6279,Produkt!$A$2:$B$5,2,FALSE)</f>
        <v>B</v>
      </c>
      <c r="H6279">
        <v>2</v>
      </c>
      <c r="I6279">
        <v>4.4282407407407409E-2</v>
      </c>
      <c r="J6279">
        <v>44789</v>
      </c>
    </row>
    <row r="6280" spans="1:10" x14ac:dyDescent="0.35">
      <c r="A6280" s="2">
        <v>44793</v>
      </c>
      <c r="B6280" s="3">
        <v>7.7743055555555551E-2</v>
      </c>
      <c r="C6280">
        <v>5790</v>
      </c>
      <c r="D6280" t="str">
        <f>VLOOKUP(H6280,Produkt!$A$2:$B$5,2,FALSE)</f>
        <v>C</v>
      </c>
      <c r="H6280">
        <v>3</v>
      </c>
      <c r="I6280">
        <v>0.68026620370370372</v>
      </c>
      <c r="J6280">
        <v>44795</v>
      </c>
    </row>
    <row r="6281" spans="1:10" x14ac:dyDescent="0.35">
      <c r="A6281" s="2">
        <v>44793</v>
      </c>
      <c r="B6281" s="3">
        <v>0.71185185185185185</v>
      </c>
      <c r="C6281">
        <v>5801</v>
      </c>
      <c r="D6281" t="str">
        <f>VLOOKUP(H6281,Produkt!$A$2:$B$5,2,FALSE)</f>
        <v>B</v>
      </c>
      <c r="H6281">
        <v>2</v>
      </c>
      <c r="I6281">
        <v>0.16620370370370371</v>
      </c>
      <c r="J6281">
        <v>44783</v>
      </c>
    </row>
    <row r="6282" spans="1:10" x14ac:dyDescent="0.35">
      <c r="A6282" s="2">
        <v>44793</v>
      </c>
      <c r="B6282" s="3">
        <v>0.86343749999999997</v>
      </c>
      <c r="C6282">
        <v>5865</v>
      </c>
      <c r="D6282" t="str">
        <f>VLOOKUP(H6282,Produkt!$A$2:$B$5,2,FALSE)</f>
        <v>D</v>
      </c>
      <c r="H6282">
        <v>4</v>
      </c>
      <c r="I6282">
        <v>0.51951388888888894</v>
      </c>
      <c r="J6282">
        <v>44778</v>
      </c>
    </row>
    <row r="6283" spans="1:10" x14ac:dyDescent="0.35">
      <c r="A6283" s="2">
        <v>44793</v>
      </c>
      <c r="B6283" s="3">
        <v>0.6980439814814815</v>
      </c>
      <c r="C6283">
        <v>5866</v>
      </c>
      <c r="D6283" t="str">
        <f>VLOOKUP(H6283,Produkt!$A$2:$B$5,2,FALSE)</f>
        <v>C</v>
      </c>
      <c r="H6283">
        <v>3</v>
      </c>
      <c r="I6283">
        <v>0.28811342592592593</v>
      </c>
      <c r="J6283">
        <v>44781</v>
      </c>
    </row>
    <row r="6284" spans="1:10" x14ac:dyDescent="0.35">
      <c r="A6284" s="2">
        <v>44793</v>
      </c>
      <c r="B6284" s="3">
        <v>1.511574074074074E-2</v>
      </c>
      <c r="C6284">
        <v>5878</v>
      </c>
      <c r="D6284" t="str">
        <f>VLOOKUP(H6284,Produkt!$A$2:$B$5,2,FALSE)</f>
        <v>A</v>
      </c>
      <c r="H6284">
        <v>1</v>
      </c>
      <c r="I6284">
        <v>0.94798611111111108</v>
      </c>
      <c r="J6284">
        <v>44792</v>
      </c>
    </row>
    <row r="6285" spans="1:10" x14ac:dyDescent="0.35">
      <c r="A6285" s="2">
        <v>44793</v>
      </c>
      <c r="B6285" s="3">
        <v>0.2890625</v>
      </c>
      <c r="C6285">
        <v>5936</v>
      </c>
      <c r="D6285" t="str">
        <f>VLOOKUP(H6285,Produkt!$A$2:$B$5,2,FALSE)</f>
        <v>B</v>
      </c>
      <c r="H6285">
        <v>2</v>
      </c>
      <c r="I6285">
        <v>8.3981481481481476E-2</v>
      </c>
      <c r="J6285">
        <v>44788</v>
      </c>
    </row>
    <row r="6286" spans="1:10" x14ac:dyDescent="0.35">
      <c r="A6286" s="2">
        <v>44793</v>
      </c>
      <c r="B6286" s="3">
        <v>0.5597685185185185</v>
      </c>
      <c r="C6286">
        <v>5951</v>
      </c>
      <c r="D6286" t="str">
        <f>VLOOKUP(H6286,Produkt!$A$2:$B$5,2,FALSE)</f>
        <v>D</v>
      </c>
      <c r="H6286">
        <v>4</v>
      </c>
      <c r="I6286">
        <v>0.14123842592592592</v>
      </c>
      <c r="J6286">
        <v>44779</v>
      </c>
    </row>
    <row r="6287" spans="1:10" x14ac:dyDescent="0.35">
      <c r="A6287" s="2">
        <v>44793</v>
      </c>
      <c r="B6287" s="3">
        <v>0.90307870370370369</v>
      </c>
      <c r="C6287">
        <v>5956</v>
      </c>
      <c r="D6287" t="str">
        <f>VLOOKUP(H6287,Produkt!$A$2:$B$5,2,FALSE)</f>
        <v>A</v>
      </c>
      <c r="H6287">
        <v>1</v>
      </c>
      <c r="I6287">
        <v>0.80358796296296298</v>
      </c>
      <c r="J6287">
        <v>44777</v>
      </c>
    </row>
    <row r="6288" spans="1:10" x14ac:dyDescent="0.35">
      <c r="A6288" s="2">
        <v>44793</v>
      </c>
      <c r="B6288" s="3">
        <v>0.23431712962962961</v>
      </c>
      <c r="C6288">
        <v>5970</v>
      </c>
      <c r="D6288" t="str">
        <f>VLOOKUP(H6288,Produkt!$A$2:$B$5,2,FALSE)</f>
        <v>D</v>
      </c>
      <c r="H6288">
        <v>4</v>
      </c>
      <c r="I6288">
        <v>4.1620370370370363E-2</v>
      </c>
      <c r="J6288">
        <v>44791</v>
      </c>
    </row>
    <row r="6289" spans="1:10" x14ac:dyDescent="0.35">
      <c r="A6289" s="2">
        <v>44793</v>
      </c>
      <c r="B6289" s="3">
        <v>2.2060185185185183E-2</v>
      </c>
      <c r="C6289">
        <v>5974</v>
      </c>
      <c r="D6289" t="str">
        <f>VLOOKUP(H6289,Produkt!$A$2:$B$5,2,FALSE)</f>
        <v>A</v>
      </c>
      <c r="H6289">
        <v>1</v>
      </c>
      <c r="I6289">
        <v>0.23734953703703701</v>
      </c>
      <c r="J6289">
        <v>44792</v>
      </c>
    </row>
    <row r="6290" spans="1:10" x14ac:dyDescent="0.35">
      <c r="A6290" s="2">
        <v>44793</v>
      </c>
      <c r="B6290" s="3">
        <v>0.44872685185185185</v>
      </c>
      <c r="C6290">
        <v>6000</v>
      </c>
      <c r="D6290" t="str">
        <f>VLOOKUP(H6290,Produkt!$A$2:$B$5,2,FALSE)</f>
        <v>B</v>
      </c>
      <c r="H6290">
        <v>2</v>
      </c>
      <c r="I6290">
        <v>0.34185185185185185</v>
      </c>
      <c r="J6290">
        <v>44774</v>
      </c>
    </row>
    <row r="6291" spans="1:10" x14ac:dyDescent="0.35">
      <c r="A6291" s="2">
        <v>44793</v>
      </c>
      <c r="B6291" s="3">
        <v>0.4864236111111111</v>
      </c>
      <c r="C6291">
        <v>6016</v>
      </c>
      <c r="D6291" t="str">
        <f>VLOOKUP(H6291,Produkt!$A$2:$B$5,2,FALSE)</f>
        <v>A</v>
      </c>
      <c r="H6291">
        <v>1</v>
      </c>
      <c r="I6291">
        <v>0.35729166666666662</v>
      </c>
      <c r="J6291">
        <v>44804</v>
      </c>
    </row>
    <row r="6292" spans="1:10" x14ac:dyDescent="0.35">
      <c r="A6292" s="2">
        <v>44793</v>
      </c>
      <c r="B6292" s="3">
        <v>4.6828703703703706E-2</v>
      </c>
      <c r="C6292">
        <v>6027</v>
      </c>
      <c r="D6292" t="str">
        <f>VLOOKUP(H6292,Produkt!$A$2:$B$5,2,FALSE)</f>
        <v>D</v>
      </c>
      <c r="H6292">
        <v>4</v>
      </c>
      <c r="I6292">
        <v>0.25701388888888888</v>
      </c>
      <c r="J6292">
        <v>44777</v>
      </c>
    </row>
    <row r="6293" spans="1:10" x14ac:dyDescent="0.35">
      <c r="A6293" s="2">
        <v>44793</v>
      </c>
      <c r="B6293" s="3">
        <v>0.78199074074074071</v>
      </c>
      <c r="C6293">
        <v>6058</v>
      </c>
      <c r="D6293" t="str">
        <f>VLOOKUP(H6293,Produkt!$A$2:$B$5,2,FALSE)</f>
        <v>C</v>
      </c>
      <c r="H6293">
        <v>3</v>
      </c>
      <c r="I6293">
        <v>0.42715277777777777</v>
      </c>
      <c r="J6293">
        <v>44786</v>
      </c>
    </row>
    <row r="6294" spans="1:10" x14ac:dyDescent="0.35">
      <c r="A6294" s="2">
        <v>44793</v>
      </c>
      <c r="B6294" s="3">
        <v>0.33258101851851851</v>
      </c>
      <c r="C6294">
        <v>6076</v>
      </c>
      <c r="D6294" t="str">
        <f>VLOOKUP(H6294,Produkt!$A$2:$B$5,2,FALSE)</f>
        <v>A</v>
      </c>
      <c r="H6294">
        <v>1</v>
      </c>
      <c r="I6294">
        <v>0.44908564814814816</v>
      </c>
      <c r="J6294">
        <v>44780</v>
      </c>
    </row>
    <row r="6295" spans="1:10" x14ac:dyDescent="0.35">
      <c r="A6295" s="2">
        <v>44793</v>
      </c>
      <c r="B6295" s="3">
        <v>2.704861111111111E-2</v>
      </c>
      <c r="C6295">
        <v>6096</v>
      </c>
      <c r="D6295" t="str">
        <f>VLOOKUP(H6295,Produkt!$A$2:$B$5,2,FALSE)</f>
        <v>A</v>
      </c>
      <c r="H6295">
        <v>1</v>
      </c>
      <c r="I6295">
        <v>0.20660879629629628</v>
      </c>
      <c r="J6295">
        <v>44800</v>
      </c>
    </row>
    <row r="6296" spans="1:10" x14ac:dyDescent="0.35">
      <c r="A6296" s="2">
        <v>44793</v>
      </c>
      <c r="B6296" s="3">
        <v>0.43385416666666665</v>
      </c>
      <c r="C6296">
        <v>6140</v>
      </c>
      <c r="D6296" t="str">
        <f>VLOOKUP(H6296,Produkt!$A$2:$B$5,2,FALSE)</f>
        <v>D</v>
      </c>
      <c r="H6296">
        <v>4</v>
      </c>
      <c r="I6296">
        <v>0.79959490740740735</v>
      </c>
      <c r="J6296">
        <v>44791</v>
      </c>
    </row>
    <row r="6297" spans="1:10" x14ac:dyDescent="0.35">
      <c r="A6297" s="2">
        <v>44793</v>
      </c>
      <c r="B6297" s="3">
        <v>0.3835069444444445</v>
      </c>
      <c r="C6297">
        <v>6198</v>
      </c>
      <c r="D6297" t="str">
        <f>VLOOKUP(H6297,Produkt!$A$2:$B$5,2,FALSE)</f>
        <v>A</v>
      </c>
      <c r="H6297">
        <v>1</v>
      </c>
      <c r="I6297">
        <v>0.2562962962962963</v>
      </c>
      <c r="J6297">
        <v>44777</v>
      </c>
    </row>
    <row r="6298" spans="1:10" x14ac:dyDescent="0.35">
      <c r="A6298" s="2">
        <v>44793</v>
      </c>
      <c r="B6298" s="3">
        <v>0.80129629629629628</v>
      </c>
      <c r="C6298">
        <v>6212</v>
      </c>
      <c r="D6298" t="str">
        <f>VLOOKUP(H6298,Produkt!$A$2:$B$5,2,FALSE)</f>
        <v>B</v>
      </c>
      <c r="H6298">
        <v>2</v>
      </c>
      <c r="I6298">
        <v>0.40120370370370373</v>
      </c>
      <c r="J6298">
        <v>44802</v>
      </c>
    </row>
    <row r="6299" spans="1:10" x14ac:dyDescent="0.35">
      <c r="A6299" s="2">
        <v>44793</v>
      </c>
      <c r="B6299" s="3">
        <v>0.36921296296296297</v>
      </c>
      <c r="C6299">
        <v>6213</v>
      </c>
      <c r="D6299" t="str">
        <f>VLOOKUP(H6299,Produkt!$A$2:$B$5,2,FALSE)</f>
        <v>B</v>
      </c>
      <c r="H6299">
        <v>2</v>
      </c>
      <c r="I6299">
        <v>0.96337962962962964</v>
      </c>
      <c r="J6299">
        <v>44786</v>
      </c>
    </row>
    <row r="6300" spans="1:10" x14ac:dyDescent="0.35">
      <c r="A6300" s="2">
        <v>44793</v>
      </c>
      <c r="B6300" s="3">
        <v>0.62027777777777782</v>
      </c>
      <c r="C6300">
        <v>6223</v>
      </c>
      <c r="D6300" t="str">
        <f>VLOOKUP(H6300,Produkt!$A$2:$B$5,2,FALSE)</f>
        <v>C</v>
      </c>
      <c r="H6300">
        <v>3</v>
      </c>
      <c r="I6300">
        <v>0.13998842592592592</v>
      </c>
      <c r="J6300">
        <v>44794</v>
      </c>
    </row>
    <row r="6301" spans="1:10" x14ac:dyDescent="0.35">
      <c r="A6301" s="2">
        <v>44793</v>
      </c>
      <c r="B6301" s="3">
        <v>0.16046296296296295</v>
      </c>
      <c r="C6301">
        <v>6256</v>
      </c>
      <c r="D6301" t="str">
        <f>VLOOKUP(H6301,Produkt!$A$2:$B$5,2,FALSE)</f>
        <v>B</v>
      </c>
      <c r="H6301">
        <v>2</v>
      </c>
      <c r="I6301">
        <v>0.47986111111111113</v>
      </c>
      <c r="J6301">
        <v>44775</v>
      </c>
    </row>
    <row r="6302" spans="1:10" x14ac:dyDescent="0.35">
      <c r="A6302" s="2">
        <v>44793</v>
      </c>
      <c r="B6302" s="3">
        <v>0.77081018518518529</v>
      </c>
      <c r="C6302">
        <v>6276</v>
      </c>
      <c r="D6302" t="str">
        <f>VLOOKUP(H6302,Produkt!$A$2:$B$5,2,FALSE)</f>
        <v>A</v>
      </c>
      <c r="H6302">
        <v>1</v>
      </c>
      <c r="I6302">
        <v>0.91762731481481474</v>
      </c>
      <c r="J6302">
        <v>44791</v>
      </c>
    </row>
    <row r="6303" spans="1:10" x14ac:dyDescent="0.35">
      <c r="A6303" s="2">
        <v>44793</v>
      </c>
      <c r="B6303" s="3">
        <v>0.47986111111111113</v>
      </c>
      <c r="C6303">
        <v>6300</v>
      </c>
      <c r="D6303" t="str">
        <f>VLOOKUP(H6303,Produkt!$A$2:$B$5,2,FALSE)</f>
        <v>B</v>
      </c>
      <c r="H6303">
        <v>2</v>
      </c>
      <c r="I6303">
        <v>0.55320601851851847</v>
      </c>
      <c r="J6303">
        <v>44803</v>
      </c>
    </row>
    <row r="6304" spans="1:10" x14ac:dyDescent="0.35">
      <c r="A6304" s="2">
        <v>44793</v>
      </c>
      <c r="B6304" s="3">
        <v>0.81965277777777779</v>
      </c>
      <c r="C6304">
        <v>6321</v>
      </c>
      <c r="D6304" t="str">
        <f>VLOOKUP(H6304,Produkt!$A$2:$B$5,2,FALSE)</f>
        <v>C</v>
      </c>
      <c r="H6304">
        <v>3</v>
      </c>
      <c r="I6304">
        <v>0.78832175925925929</v>
      </c>
      <c r="J6304">
        <v>44803</v>
      </c>
    </row>
    <row r="6305" spans="1:10" x14ac:dyDescent="0.35">
      <c r="A6305" s="2">
        <v>44793</v>
      </c>
      <c r="B6305" s="3">
        <v>0.27114583333333336</v>
      </c>
      <c r="C6305">
        <v>6385</v>
      </c>
      <c r="D6305" t="str">
        <f>VLOOKUP(H6305,Produkt!$A$2:$B$5,2,FALSE)</f>
        <v>B</v>
      </c>
      <c r="H6305">
        <v>2</v>
      </c>
      <c r="I6305">
        <v>0.87351851851851858</v>
      </c>
      <c r="J6305">
        <v>44795</v>
      </c>
    </row>
    <row r="6306" spans="1:10" x14ac:dyDescent="0.35">
      <c r="A6306" s="2">
        <v>44793</v>
      </c>
      <c r="B6306" s="3">
        <v>0.45256944444444441</v>
      </c>
      <c r="C6306">
        <v>6419</v>
      </c>
      <c r="D6306" t="str">
        <f>VLOOKUP(H6306,Produkt!$A$2:$B$5,2,FALSE)</f>
        <v>B</v>
      </c>
      <c r="H6306">
        <v>2</v>
      </c>
      <c r="I6306">
        <v>0.59444444444444444</v>
      </c>
      <c r="J6306">
        <v>44789</v>
      </c>
    </row>
    <row r="6307" spans="1:10" x14ac:dyDescent="0.35">
      <c r="A6307" s="2">
        <v>44793</v>
      </c>
      <c r="B6307" s="3">
        <v>0.3747800925925926</v>
      </c>
      <c r="C6307">
        <v>6432</v>
      </c>
      <c r="D6307" t="str">
        <f>VLOOKUP(H6307,Produkt!$A$2:$B$5,2,FALSE)</f>
        <v>C</v>
      </c>
      <c r="H6307">
        <v>3</v>
      </c>
      <c r="I6307">
        <v>0.40003472222222225</v>
      </c>
      <c r="J6307">
        <v>44781</v>
      </c>
    </row>
    <row r="6308" spans="1:10" x14ac:dyDescent="0.35">
      <c r="A6308" s="2">
        <v>44793</v>
      </c>
      <c r="B6308" s="3">
        <v>0.31622685185185184</v>
      </c>
      <c r="C6308">
        <v>6459</v>
      </c>
      <c r="D6308" t="str">
        <f>VLOOKUP(H6308,Produkt!$A$2:$B$5,2,FALSE)</f>
        <v>C</v>
      </c>
      <c r="H6308">
        <v>3</v>
      </c>
      <c r="I6308">
        <v>4.1469907407407407E-2</v>
      </c>
      <c r="J6308">
        <v>44791</v>
      </c>
    </row>
    <row r="6309" spans="1:10" x14ac:dyDescent="0.35">
      <c r="A6309" s="2">
        <v>44793</v>
      </c>
      <c r="B6309" s="3">
        <v>0.43458333333333332</v>
      </c>
      <c r="C6309">
        <v>6475</v>
      </c>
      <c r="D6309" t="str">
        <f>VLOOKUP(H6309,Produkt!$A$2:$B$5,2,FALSE)</f>
        <v>B</v>
      </c>
      <c r="H6309">
        <v>2</v>
      </c>
      <c r="I6309">
        <v>7.4305555555555555E-2</v>
      </c>
      <c r="J6309">
        <v>44795</v>
      </c>
    </row>
    <row r="6310" spans="1:10" x14ac:dyDescent="0.35">
      <c r="A6310" s="2">
        <v>44793</v>
      </c>
      <c r="B6310" s="3">
        <v>0.81851851851851853</v>
      </c>
      <c r="C6310">
        <v>6544</v>
      </c>
      <c r="D6310" t="str">
        <f>VLOOKUP(H6310,Produkt!$A$2:$B$5,2,FALSE)</f>
        <v>D</v>
      </c>
      <c r="H6310">
        <v>4</v>
      </c>
      <c r="I6310">
        <v>0.45894675925925926</v>
      </c>
      <c r="J6310">
        <v>44776</v>
      </c>
    </row>
    <row r="6311" spans="1:10" x14ac:dyDescent="0.35">
      <c r="A6311" s="2">
        <v>44793</v>
      </c>
      <c r="B6311" s="3">
        <v>0.26461805555555556</v>
      </c>
      <c r="C6311">
        <v>6550</v>
      </c>
      <c r="D6311" t="str">
        <f>VLOOKUP(H6311,Produkt!$A$2:$B$5,2,FALSE)</f>
        <v>A</v>
      </c>
      <c r="H6311">
        <v>1</v>
      </c>
      <c r="I6311">
        <v>0.20465277777777779</v>
      </c>
      <c r="J6311">
        <v>44799</v>
      </c>
    </row>
    <row r="6312" spans="1:10" x14ac:dyDescent="0.35">
      <c r="A6312" s="2">
        <v>44793</v>
      </c>
      <c r="B6312" s="3">
        <v>0.46327546296296296</v>
      </c>
      <c r="C6312">
        <v>6557</v>
      </c>
      <c r="D6312" t="str">
        <f>VLOOKUP(H6312,Produkt!$A$2:$B$5,2,FALSE)</f>
        <v>A</v>
      </c>
      <c r="H6312">
        <v>1</v>
      </c>
      <c r="I6312">
        <v>0.47605324074074074</v>
      </c>
      <c r="J6312">
        <v>44795</v>
      </c>
    </row>
    <row r="6313" spans="1:10" x14ac:dyDescent="0.35">
      <c r="A6313" s="2">
        <v>44793</v>
      </c>
      <c r="B6313" s="3">
        <v>0.29652777777777778</v>
      </c>
      <c r="C6313">
        <v>6576</v>
      </c>
      <c r="D6313" t="str">
        <f>VLOOKUP(H6313,Produkt!$A$2:$B$5,2,FALSE)</f>
        <v>A</v>
      </c>
      <c r="H6313">
        <v>1</v>
      </c>
      <c r="I6313">
        <v>0.15291666666666667</v>
      </c>
      <c r="J6313">
        <v>44789</v>
      </c>
    </row>
    <row r="6314" spans="1:10" x14ac:dyDescent="0.35">
      <c r="A6314" s="2">
        <v>44793</v>
      </c>
      <c r="B6314" s="3">
        <v>0.75084490740740739</v>
      </c>
      <c r="C6314">
        <v>6598</v>
      </c>
      <c r="D6314" t="str">
        <f>VLOOKUP(H6314,Produkt!$A$2:$B$5,2,FALSE)</f>
        <v>B</v>
      </c>
      <c r="H6314">
        <v>2</v>
      </c>
      <c r="I6314">
        <v>0.78436342592592589</v>
      </c>
      <c r="J6314">
        <v>44779</v>
      </c>
    </row>
    <row r="6315" spans="1:10" x14ac:dyDescent="0.35">
      <c r="A6315" s="2">
        <v>44793</v>
      </c>
      <c r="B6315" s="3">
        <v>0.49984953703703705</v>
      </c>
      <c r="C6315">
        <v>6609</v>
      </c>
      <c r="D6315" t="str">
        <f>VLOOKUP(H6315,Produkt!$A$2:$B$5,2,FALSE)</f>
        <v>A</v>
      </c>
      <c r="H6315">
        <v>1</v>
      </c>
      <c r="I6315">
        <v>0.20877314814814815</v>
      </c>
      <c r="J6315">
        <v>44788</v>
      </c>
    </row>
    <row r="6316" spans="1:10" x14ac:dyDescent="0.35">
      <c r="A6316" s="2">
        <v>44793</v>
      </c>
      <c r="B6316" s="3">
        <v>0.28923611111111108</v>
      </c>
      <c r="C6316">
        <v>6622</v>
      </c>
      <c r="D6316" t="str">
        <f>VLOOKUP(H6316,Produkt!$A$2:$B$5,2,FALSE)</f>
        <v>B</v>
      </c>
      <c r="H6316">
        <v>2</v>
      </c>
      <c r="I6316">
        <v>0.16586805555555556</v>
      </c>
      <c r="J6316">
        <v>44778</v>
      </c>
    </row>
    <row r="6317" spans="1:10" x14ac:dyDescent="0.35">
      <c r="A6317" s="2">
        <v>44793</v>
      </c>
      <c r="B6317" s="3">
        <v>0.29167824074074072</v>
      </c>
      <c r="C6317">
        <v>6626</v>
      </c>
      <c r="D6317" t="str">
        <f>VLOOKUP(H6317,Produkt!$A$2:$B$5,2,FALSE)</f>
        <v>B</v>
      </c>
      <c r="H6317">
        <v>2</v>
      </c>
      <c r="I6317">
        <v>0.65052083333333333</v>
      </c>
      <c r="J6317">
        <v>44788</v>
      </c>
    </row>
    <row r="6318" spans="1:10" x14ac:dyDescent="0.35">
      <c r="A6318" s="2">
        <v>44793</v>
      </c>
      <c r="B6318" s="3">
        <v>0.28173611111111113</v>
      </c>
      <c r="C6318">
        <v>6627</v>
      </c>
      <c r="D6318" t="str">
        <f>VLOOKUP(H6318,Produkt!$A$2:$B$5,2,FALSE)</f>
        <v>C</v>
      </c>
      <c r="H6318">
        <v>3</v>
      </c>
      <c r="I6318">
        <v>0.94416666666666671</v>
      </c>
      <c r="J6318">
        <v>44775</v>
      </c>
    </row>
    <row r="6319" spans="1:10" x14ac:dyDescent="0.35">
      <c r="A6319" s="2">
        <v>44793</v>
      </c>
      <c r="B6319" s="3">
        <v>0.44806712962962963</v>
      </c>
      <c r="C6319">
        <v>6651</v>
      </c>
      <c r="D6319" t="str">
        <f>VLOOKUP(H6319,Produkt!$A$2:$B$5,2,FALSE)</f>
        <v>B</v>
      </c>
      <c r="H6319">
        <v>2</v>
      </c>
      <c r="I6319">
        <v>0.45854166666666668</v>
      </c>
      <c r="J6319">
        <v>44801</v>
      </c>
    </row>
    <row r="6320" spans="1:10" x14ac:dyDescent="0.35">
      <c r="A6320" s="2">
        <v>44793</v>
      </c>
      <c r="B6320" s="3">
        <v>0.18153935185185185</v>
      </c>
      <c r="C6320">
        <v>6677</v>
      </c>
      <c r="D6320" t="str">
        <f>VLOOKUP(H6320,Produkt!$A$2:$B$5,2,FALSE)</f>
        <v>A</v>
      </c>
      <c r="H6320">
        <v>1</v>
      </c>
      <c r="I6320">
        <v>0.33087962962962963</v>
      </c>
      <c r="J6320">
        <v>44792</v>
      </c>
    </row>
    <row r="6321" spans="1:10" x14ac:dyDescent="0.35">
      <c r="A6321" s="2">
        <v>44793</v>
      </c>
      <c r="B6321" s="3">
        <v>0.23938657407407407</v>
      </c>
      <c r="C6321">
        <v>6684</v>
      </c>
      <c r="D6321" t="str">
        <f>VLOOKUP(H6321,Produkt!$A$2:$B$5,2,FALSE)</f>
        <v>B</v>
      </c>
      <c r="H6321">
        <v>2</v>
      </c>
      <c r="I6321">
        <v>0.96548611111111116</v>
      </c>
      <c r="J6321">
        <v>44787</v>
      </c>
    </row>
    <row r="6322" spans="1:10" x14ac:dyDescent="0.35">
      <c r="A6322" s="2">
        <v>44793</v>
      </c>
      <c r="B6322" s="3">
        <v>0.46159722222222221</v>
      </c>
      <c r="C6322">
        <v>6732</v>
      </c>
      <c r="D6322" t="str">
        <f>VLOOKUP(H6322,Produkt!$A$2:$B$5,2,FALSE)</f>
        <v>A</v>
      </c>
      <c r="H6322">
        <v>1</v>
      </c>
      <c r="I6322">
        <v>0.81965277777777779</v>
      </c>
      <c r="J6322">
        <v>44784</v>
      </c>
    </row>
    <row r="6323" spans="1:10" x14ac:dyDescent="0.35">
      <c r="A6323" s="2">
        <v>44793</v>
      </c>
      <c r="B6323" s="3">
        <v>0.70333333333333325</v>
      </c>
      <c r="C6323">
        <v>6759</v>
      </c>
      <c r="D6323" t="str">
        <f>VLOOKUP(H6323,Produkt!$A$2:$B$5,2,FALSE)</f>
        <v>B</v>
      </c>
      <c r="H6323">
        <v>2</v>
      </c>
      <c r="I6323">
        <v>7.3379629629629628E-2</v>
      </c>
      <c r="J6323">
        <v>44804</v>
      </c>
    </row>
    <row r="6324" spans="1:10" x14ac:dyDescent="0.35">
      <c r="A6324" s="2">
        <v>44793</v>
      </c>
      <c r="B6324" s="3">
        <v>0.2275925925925926</v>
      </c>
      <c r="C6324">
        <v>6766</v>
      </c>
      <c r="D6324" t="str">
        <f>VLOOKUP(H6324,Produkt!$A$2:$B$5,2,FALSE)</f>
        <v>C</v>
      </c>
      <c r="H6324">
        <v>3</v>
      </c>
      <c r="I6324">
        <v>0.75395833333333329</v>
      </c>
      <c r="J6324">
        <v>44776</v>
      </c>
    </row>
    <row r="6325" spans="1:10" x14ac:dyDescent="0.35">
      <c r="A6325" s="2">
        <v>44793</v>
      </c>
      <c r="B6325" s="3">
        <v>0.91267361111111101</v>
      </c>
      <c r="C6325">
        <v>6774</v>
      </c>
      <c r="D6325" t="str">
        <f>VLOOKUP(H6325,Produkt!$A$2:$B$5,2,FALSE)</f>
        <v>D</v>
      </c>
      <c r="H6325">
        <v>4</v>
      </c>
      <c r="I6325">
        <v>0.9008680555555556</v>
      </c>
      <c r="J6325">
        <v>44778</v>
      </c>
    </row>
    <row r="6326" spans="1:10" x14ac:dyDescent="0.35">
      <c r="A6326" s="2">
        <v>44793</v>
      </c>
      <c r="B6326" s="3">
        <v>0.90372685185185186</v>
      </c>
      <c r="C6326">
        <v>6830</v>
      </c>
      <c r="D6326" t="str">
        <f>VLOOKUP(H6326,Produkt!$A$2:$B$5,2,FALSE)</f>
        <v>C</v>
      </c>
      <c r="H6326">
        <v>3</v>
      </c>
      <c r="I6326">
        <v>3.159722222222161E-3</v>
      </c>
      <c r="J6326">
        <v>44786</v>
      </c>
    </row>
    <row r="6327" spans="1:10" x14ac:dyDescent="0.35">
      <c r="A6327" s="2">
        <v>44793</v>
      </c>
      <c r="B6327" s="3">
        <v>9.5057870370370376E-2</v>
      </c>
      <c r="C6327">
        <v>6836</v>
      </c>
      <c r="D6327" t="str">
        <f>VLOOKUP(H6327,Produkt!$A$2:$B$5,2,FALSE)</f>
        <v>A</v>
      </c>
      <c r="H6327">
        <v>1</v>
      </c>
      <c r="I6327">
        <v>0.4183912037037037</v>
      </c>
      <c r="J6327">
        <v>44792</v>
      </c>
    </row>
    <row r="6328" spans="1:10" x14ac:dyDescent="0.35">
      <c r="A6328" s="2">
        <v>44793</v>
      </c>
      <c r="B6328" s="3">
        <v>9.9652777777777771E-2</v>
      </c>
      <c r="C6328">
        <v>6898</v>
      </c>
      <c r="D6328" t="str">
        <f>VLOOKUP(H6328,Produkt!$A$2:$B$5,2,FALSE)</f>
        <v>A</v>
      </c>
      <c r="H6328">
        <v>1</v>
      </c>
      <c r="I6328">
        <v>0.45591435185185186</v>
      </c>
      <c r="J6328">
        <v>44797</v>
      </c>
    </row>
    <row r="6329" spans="1:10" x14ac:dyDescent="0.35">
      <c r="A6329" s="2">
        <v>44793</v>
      </c>
      <c r="B6329" s="3">
        <v>0.4168055555555556</v>
      </c>
      <c r="C6329">
        <v>6918</v>
      </c>
      <c r="D6329" t="str">
        <f>VLOOKUP(H6329,Produkt!$A$2:$B$5,2,FALSE)</f>
        <v>D</v>
      </c>
      <c r="H6329">
        <v>4</v>
      </c>
      <c r="I6329">
        <v>0.12472222222222222</v>
      </c>
      <c r="J6329">
        <v>44775</v>
      </c>
    </row>
    <row r="6330" spans="1:10" x14ac:dyDescent="0.35">
      <c r="A6330" s="2">
        <v>44793</v>
      </c>
      <c r="B6330" s="3">
        <v>6.5324074074074076E-2</v>
      </c>
      <c r="C6330">
        <v>6948</v>
      </c>
      <c r="D6330" t="str">
        <f>VLOOKUP(H6330,Produkt!$A$2:$B$5,2,FALSE)</f>
        <v>C</v>
      </c>
      <c r="H6330">
        <v>3</v>
      </c>
      <c r="I6330">
        <v>0.80281249999999993</v>
      </c>
      <c r="J6330">
        <v>44791</v>
      </c>
    </row>
    <row r="6331" spans="1:10" x14ac:dyDescent="0.35">
      <c r="A6331" s="2">
        <v>44793</v>
      </c>
      <c r="B6331" s="3">
        <v>0.92064814814814822</v>
      </c>
      <c r="C6331">
        <v>6997</v>
      </c>
      <c r="D6331" t="str">
        <f>VLOOKUP(H6331,Produkt!$A$2:$B$5,2,FALSE)</f>
        <v>B</v>
      </c>
      <c r="H6331">
        <v>2</v>
      </c>
      <c r="I6331">
        <v>0.95869212962962969</v>
      </c>
      <c r="J6331">
        <v>44791</v>
      </c>
    </row>
    <row r="6332" spans="1:10" x14ac:dyDescent="0.35">
      <c r="A6332" s="2">
        <v>44793</v>
      </c>
      <c r="B6332" s="3">
        <v>0.70429398148148137</v>
      </c>
      <c r="C6332">
        <v>7029</v>
      </c>
      <c r="D6332" t="str">
        <f>VLOOKUP(H6332,Produkt!$A$2:$B$5,2,FALSE)</f>
        <v>A</v>
      </c>
      <c r="H6332">
        <v>1</v>
      </c>
      <c r="I6332">
        <v>0.61466435185185186</v>
      </c>
      <c r="J6332">
        <v>44778</v>
      </c>
    </row>
    <row r="6333" spans="1:10" x14ac:dyDescent="0.35">
      <c r="A6333" s="2">
        <v>44793</v>
      </c>
      <c r="B6333" s="3">
        <v>0.62489583333333332</v>
      </c>
      <c r="C6333">
        <v>7061</v>
      </c>
      <c r="D6333" t="str">
        <f>VLOOKUP(H6333,Produkt!$A$2:$B$5,2,FALSE)</f>
        <v>D</v>
      </c>
      <c r="H6333">
        <v>4</v>
      </c>
      <c r="I6333">
        <v>0.23662037037037034</v>
      </c>
      <c r="J6333">
        <v>44781</v>
      </c>
    </row>
    <row r="6334" spans="1:10" x14ac:dyDescent="0.35">
      <c r="A6334" s="2">
        <v>44793</v>
      </c>
      <c r="B6334" s="3">
        <v>0.94155092592592593</v>
      </c>
      <c r="C6334">
        <v>7137</v>
      </c>
      <c r="D6334" t="str">
        <f>VLOOKUP(H6334,Produkt!$A$2:$B$5,2,FALSE)</f>
        <v>C</v>
      </c>
      <c r="H6334">
        <v>3</v>
      </c>
      <c r="I6334">
        <v>0.45782407407407405</v>
      </c>
      <c r="J6334">
        <v>44788</v>
      </c>
    </row>
    <row r="6335" spans="1:10" x14ac:dyDescent="0.35">
      <c r="A6335" s="2">
        <v>44793</v>
      </c>
      <c r="B6335" s="3">
        <v>0.10907407407407409</v>
      </c>
      <c r="C6335">
        <v>7221</v>
      </c>
      <c r="D6335" t="str">
        <f>VLOOKUP(H6335,Produkt!$A$2:$B$5,2,FALSE)</f>
        <v>A</v>
      </c>
      <c r="H6335">
        <v>1</v>
      </c>
      <c r="I6335">
        <v>0.12708333333333333</v>
      </c>
      <c r="J6335">
        <v>44776</v>
      </c>
    </row>
    <row r="6336" spans="1:10" x14ac:dyDescent="0.35">
      <c r="A6336" s="2">
        <v>44793</v>
      </c>
      <c r="B6336" s="3">
        <v>0.70968749999999992</v>
      </c>
      <c r="C6336">
        <v>7223</v>
      </c>
      <c r="D6336" t="str">
        <f>VLOOKUP(H6336,Produkt!$A$2:$B$5,2,FALSE)</f>
        <v>B</v>
      </c>
      <c r="H6336">
        <v>2</v>
      </c>
      <c r="I6336">
        <v>0.67509259259259258</v>
      </c>
      <c r="J6336">
        <v>44794</v>
      </c>
    </row>
    <row r="6337" spans="1:10" x14ac:dyDescent="0.35">
      <c r="A6337" s="2">
        <v>44793</v>
      </c>
      <c r="B6337" s="3">
        <v>0.47924768518518518</v>
      </c>
      <c r="C6337">
        <v>7268</v>
      </c>
      <c r="D6337" t="str">
        <f>VLOOKUP(H6337,Produkt!$A$2:$B$5,2,FALSE)</f>
        <v>A</v>
      </c>
      <c r="H6337">
        <v>1</v>
      </c>
      <c r="I6337">
        <v>0.56574074074074077</v>
      </c>
      <c r="J6337">
        <v>44788</v>
      </c>
    </row>
    <row r="6338" spans="1:10" x14ac:dyDescent="0.35">
      <c r="A6338" s="2">
        <v>44793</v>
      </c>
      <c r="B6338" s="3">
        <v>0.49692129629629633</v>
      </c>
      <c r="C6338">
        <v>7285</v>
      </c>
      <c r="D6338" t="str">
        <f>VLOOKUP(H6338,Produkt!$A$2:$B$5,2,FALSE)</f>
        <v>C</v>
      </c>
      <c r="H6338">
        <v>3</v>
      </c>
      <c r="I6338">
        <v>0.2802662037037037</v>
      </c>
      <c r="J6338">
        <v>44785</v>
      </c>
    </row>
    <row r="6339" spans="1:10" x14ac:dyDescent="0.35">
      <c r="A6339" s="2">
        <v>44793</v>
      </c>
      <c r="B6339" s="3">
        <v>0.70341435185185175</v>
      </c>
      <c r="C6339">
        <v>7347</v>
      </c>
      <c r="D6339" t="str">
        <f>VLOOKUP(H6339,Produkt!$A$2:$B$5,2,FALSE)</f>
        <v>A</v>
      </c>
      <c r="H6339">
        <v>1</v>
      </c>
      <c r="I6339">
        <v>0.97809027777777768</v>
      </c>
      <c r="J6339">
        <v>44783</v>
      </c>
    </row>
    <row r="6340" spans="1:10" x14ac:dyDescent="0.35">
      <c r="A6340" s="2">
        <v>44793</v>
      </c>
      <c r="B6340" s="3">
        <v>0.60060185185185189</v>
      </c>
      <c r="C6340">
        <v>7441</v>
      </c>
      <c r="D6340" t="str">
        <f>VLOOKUP(H6340,Produkt!$A$2:$B$5,2,FALSE)</f>
        <v>A</v>
      </c>
      <c r="H6340">
        <v>1</v>
      </c>
      <c r="I6340">
        <v>0.16701388888888891</v>
      </c>
      <c r="J6340">
        <v>44775</v>
      </c>
    </row>
    <row r="6341" spans="1:10" x14ac:dyDescent="0.35">
      <c r="A6341" s="2">
        <v>44793</v>
      </c>
      <c r="B6341" s="3">
        <v>0.95773148148148157</v>
      </c>
      <c r="C6341">
        <v>7445</v>
      </c>
      <c r="D6341" t="str">
        <f>VLOOKUP(H6341,Produkt!$A$2:$B$5,2,FALSE)</f>
        <v>D</v>
      </c>
      <c r="H6341">
        <v>4</v>
      </c>
      <c r="I6341">
        <v>2.4733796296296351E-2</v>
      </c>
      <c r="J6341">
        <v>44774</v>
      </c>
    </row>
    <row r="6342" spans="1:10" x14ac:dyDescent="0.35">
      <c r="A6342" s="2">
        <v>44793</v>
      </c>
      <c r="B6342" s="3">
        <v>0.96292824074074079</v>
      </c>
      <c r="C6342">
        <v>7518</v>
      </c>
      <c r="D6342" t="str">
        <f>VLOOKUP(H6342,Produkt!$A$2:$B$5,2,FALSE)</f>
        <v>B</v>
      </c>
      <c r="H6342">
        <v>2</v>
      </c>
      <c r="I6342">
        <v>0.960474537037037</v>
      </c>
      <c r="J6342">
        <v>44785</v>
      </c>
    </row>
    <row r="6343" spans="1:10" x14ac:dyDescent="0.35">
      <c r="A6343" s="2">
        <v>44793</v>
      </c>
      <c r="B6343" s="3">
        <v>0.49256944444444445</v>
      </c>
      <c r="C6343">
        <v>7544</v>
      </c>
      <c r="D6343" t="str">
        <f>VLOOKUP(H6343,Produkt!$A$2:$B$5,2,FALSE)</f>
        <v>C</v>
      </c>
      <c r="H6343">
        <v>3</v>
      </c>
      <c r="I6343">
        <v>0.66623842592592586</v>
      </c>
      <c r="J6343">
        <v>44777</v>
      </c>
    </row>
    <row r="6344" spans="1:10" x14ac:dyDescent="0.35">
      <c r="A6344" s="2">
        <v>44793</v>
      </c>
      <c r="B6344" s="3">
        <v>0.10932870370370369</v>
      </c>
      <c r="C6344">
        <v>7547</v>
      </c>
      <c r="D6344" t="str">
        <f>VLOOKUP(H6344,Produkt!$A$2:$B$5,2,FALSE)</f>
        <v>B</v>
      </c>
      <c r="H6344">
        <v>2</v>
      </c>
      <c r="I6344">
        <v>0.75064814814814806</v>
      </c>
      <c r="J6344">
        <v>44794</v>
      </c>
    </row>
    <row r="6345" spans="1:10" x14ac:dyDescent="0.35">
      <c r="A6345" s="2">
        <v>44793</v>
      </c>
      <c r="B6345" s="3">
        <v>0.63737268518518519</v>
      </c>
      <c r="C6345">
        <v>7567</v>
      </c>
      <c r="D6345" t="str">
        <f>VLOOKUP(H6345,Produkt!$A$2:$B$5,2,FALSE)</f>
        <v>D</v>
      </c>
      <c r="H6345">
        <v>4</v>
      </c>
      <c r="I6345">
        <v>0.11354166666666667</v>
      </c>
      <c r="J6345">
        <v>44797</v>
      </c>
    </row>
    <row r="6346" spans="1:10" x14ac:dyDescent="0.35">
      <c r="A6346" s="2">
        <v>44793</v>
      </c>
      <c r="B6346" s="3">
        <v>0.65510416666666671</v>
      </c>
      <c r="C6346">
        <v>7568</v>
      </c>
      <c r="D6346" t="str">
        <f>VLOOKUP(H6346,Produkt!$A$2:$B$5,2,FALSE)</f>
        <v>C</v>
      </c>
      <c r="H6346">
        <v>3</v>
      </c>
      <c r="I6346">
        <v>0.72533564814814822</v>
      </c>
      <c r="J6346">
        <v>44787</v>
      </c>
    </row>
    <row r="6347" spans="1:10" x14ac:dyDescent="0.35">
      <c r="A6347" s="2">
        <v>44793</v>
      </c>
      <c r="B6347" s="3">
        <v>0.10119212962962963</v>
      </c>
      <c r="C6347">
        <v>7588</v>
      </c>
      <c r="D6347" t="str">
        <f>VLOOKUP(H6347,Produkt!$A$2:$B$5,2,FALSE)</f>
        <v>D</v>
      </c>
      <c r="H6347">
        <v>4</v>
      </c>
      <c r="I6347">
        <v>0.20797453703703703</v>
      </c>
      <c r="J6347">
        <v>44791</v>
      </c>
    </row>
    <row r="6348" spans="1:10" x14ac:dyDescent="0.35">
      <c r="A6348" s="2">
        <v>44793</v>
      </c>
      <c r="B6348" s="3">
        <v>0.15128472222222222</v>
      </c>
      <c r="C6348">
        <v>7597</v>
      </c>
      <c r="D6348" t="str">
        <f>VLOOKUP(H6348,Produkt!$A$2:$B$5,2,FALSE)</f>
        <v>D</v>
      </c>
      <c r="H6348">
        <v>4</v>
      </c>
      <c r="I6348">
        <v>0.23225694444444445</v>
      </c>
      <c r="J6348">
        <v>44793</v>
      </c>
    </row>
    <row r="6349" spans="1:10" x14ac:dyDescent="0.35">
      <c r="A6349" s="2">
        <v>44793</v>
      </c>
      <c r="B6349" s="3">
        <v>0.26703703703703702</v>
      </c>
      <c r="C6349">
        <v>7602</v>
      </c>
      <c r="D6349" t="str">
        <f>VLOOKUP(H6349,Produkt!$A$2:$B$5,2,FALSE)</f>
        <v>C</v>
      </c>
      <c r="H6349">
        <v>3</v>
      </c>
      <c r="I6349">
        <v>0.70444444444444443</v>
      </c>
      <c r="J6349">
        <v>44804</v>
      </c>
    </row>
    <row r="6350" spans="1:10" x14ac:dyDescent="0.35">
      <c r="A6350" s="2">
        <v>44793</v>
      </c>
      <c r="B6350" s="3">
        <v>0.88564814814814818</v>
      </c>
      <c r="C6350">
        <v>7618</v>
      </c>
      <c r="D6350" t="str">
        <f>VLOOKUP(H6350,Produkt!$A$2:$B$5,2,FALSE)</f>
        <v>B</v>
      </c>
      <c r="H6350">
        <v>2</v>
      </c>
      <c r="I6350">
        <v>0.26861111111111108</v>
      </c>
      <c r="J6350">
        <v>44786</v>
      </c>
    </row>
    <row r="6351" spans="1:10" x14ac:dyDescent="0.35">
      <c r="A6351" s="2">
        <v>44793</v>
      </c>
      <c r="B6351" s="3">
        <v>0.94107638888888889</v>
      </c>
      <c r="C6351">
        <v>7663</v>
      </c>
      <c r="D6351" t="str">
        <f>VLOOKUP(H6351,Produkt!$A$2:$B$5,2,FALSE)</f>
        <v>D</v>
      </c>
      <c r="H6351">
        <v>4</v>
      </c>
      <c r="I6351">
        <v>0.45532407407407405</v>
      </c>
      <c r="J6351">
        <v>44780</v>
      </c>
    </row>
    <row r="6352" spans="1:10" x14ac:dyDescent="0.35">
      <c r="A6352" s="2">
        <v>44793</v>
      </c>
      <c r="B6352" s="3">
        <v>0.13340277777777779</v>
      </c>
      <c r="C6352">
        <v>7698</v>
      </c>
      <c r="D6352" t="str">
        <f>VLOOKUP(H6352,Produkt!$A$2:$B$5,2,FALSE)</f>
        <v>B</v>
      </c>
      <c r="H6352">
        <v>2</v>
      </c>
      <c r="I6352">
        <v>0.17505787037037038</v>
      </c>
      <c r="J6352">
        <v>44794</v>
      </c>
    </row>
    <row r="6353" spans="1:10" x14ac:dyDescent="0.35">
      <c r="A6353" s="2">
        <v>44793</v>
      </c>
      <c r="B6353" s="3">
        <v>0.60312500000000002</v>
      </c>
      <c r="C6353">
        <v>7726</v>
      </c>
      <c r="D6353" t="str">
        <f>VLOOKUP(H6353,Produkt!$A$2:$B$5,2,FALSE)</f>
        <v>B</v>
      </c>
      <c r="H6353">
        <v>2</v>
      </c>
      <c r="I6353">
        <v>0.8415625000000001</v>
      </c>
      <c r="J6353">
        <v>44794</v>
      </c>
    </row>
    <row r="6354" spans="1:10" x14ac:dyDescent="0.35">
      <c r="A6354" s="2">
        <v>44793</v>
      </c>
      <c r="B6354" s="3">
        <v>0.32224537037037038</v>
      </c>
      <c r="C6354">
        <v>7737</v>
      </c>
      <c r="D6354" t="str">
        <f>VLOOKUP(H6354,Produkt!$A$2:$B$5,2,FALSE)</f>
        <v>B</v>
      </c>
      <c r="H6354">
        <v>2</v>
      </c>
      <c r="I6354">
        <v>0.45423611111111112</v>
      </c>
      <c r="J6354">
        <v>44779</v>
      </c>
    </row>
    <row r="6355" spans="1:10" x14ac:dyDescent="0.35">
      <c r="A6355" s="2">
        <v>44793</v>
      </c>
      <c r="B6355" s="3">
        <v>0.6246990740740741</v>
      </c>
      <c r="C6355">
        <v>7750</v>
      </c>
      <c r="D6355" t="str">
        <f>VLOOKUP(H6355,Produkt!$A$2:$B$5,2,FALSE)</f>
        <v>C</v>
      </c>
      <c r="H6355">
        <v>3</v>
      </c>
      <c r="I6355">
        <v>0.91021990740740744</v>
      </c>
      <c r="J6355">
        <v>44797</v>
      </c>
    </row>
    <row r="6356" spans="1:10" x14ac:dyDescent="0.35">
      <c r="A6356" s="2">
        <v>44793</v>
      </c>
      <c r="B6356" s="3">
        <v>0.37556712962962963</v>
      </c>
      <c r="C6356">
        <v>7755</v>
      </c>
      <c r="D6356" t="str">
        <f>VLOOKUP(H6356,Produkt!$A$2:$B$5,2,FALSE)</f>
        <v>B</v>
      </c>
      <c r="H6356">
        <v>2</v>
      </c>
      <c r="I6356">
        <v>4.0011574074074074E-2</v>
      </c>
      <c r="J6356">
        <v>44802</v>
      </c>
    </row>
    <row r="6357" spans="1:10" x14ac:dyDescent="0.35">
      <c r="A6357" s="2">
        <v>44793</v>
      </c>
      <c r="B6357" s="3">
        <v>0.7747222222222222</v>
      </c>
      <c r="C6357">
        <v>7829</v>
      </c>
      <c r="D6357" t="str">
        <f>VLOOKUP(H6357,Produkt!$A$2:$B$5,2,FALSE)</f>
        <v>A</v>
      </c>
      <c r="H6357">
        <v>1</v>
      </c>
      <c r="I6357">
        <v>2.6527777777777779E-2</v>
      </c>
      <c r="J6357">
        <v>44782</v>
      </c>
    </row>
    <row r="6358" spans="1:10" x14ac:dyDescent="0.35">
      <c r="A6358" s="2">
        <v>44793</v>
      </c>
      <c r="B6358" s="3">
        <v>0.27585648148148151</v>
      </c>
      <c r="C6358">
        <v>7876</v>
      </c>
      <c r="D6358" t="str">
        <f>VLOOKUP(H6358,Produkt!$A$2:$B$5,2,FALSE)</f>
        <v>C</v>
      </c>
      <c r="H6358">
        <v>3</v>
      </c>
      <c r="I6358">
        <v>3.9814814814815858E-3</v>
      </c>
      <c r="J6358">
        <v>44800</v>
      </c>
    </row>
    <row r="6359" spans="1:10" x14ac:dyDescent="0.35">
      <c r="A6359" s="2">
        <v>44793</v>
      </c>
      <c r="B6359" s="3">
        <v>0.19929398148148147</v>
      </c>
      <c r="C6359">
        <v>7981</v>
      </c>
      <c r="D6359" t="str">
        <f>VLOOKUP(H6359,Produkt!$A$2:$B$5,2,FALSE)</f>
        <v>A</v>
      </c>
      <c r="H6359">
        <v>1</v>
      </c>
      <c r="I6359">
        <v>0.5022685185185185</v>
      </c>
      <c r="J6359">
        <v>44798</v>
      </c>
    </row>
    <row r="6360" spans="1:10" x14ac:dyDescent="0.35">
      <c r="A6360" s="2">
        <v>44793</v>
      </c>
      <c r="B6360" s="3">
        <v>0.73890046296296286</v>
      </c>
      <c r="C6360">
        <v>8060</v>
      </c>
      <c r="D6360" t="str">
        <f>VLOOKUP(H6360,Produkt!$A$2:$B$5,2,FALSE)</f>
        <v>C</v>
      </c>
      <c r="H6360">
        <v>3</v>
      </c>
      <c r="I6360">
        <v>0.85685185185185186</v>
      </c>
      <c r="J6360">
        <v>44777</v>
      </c>
    </row>
    <row r="6361" spans="1:10" x14ac:dyDescent="0.35">
      <c r="A6361" s="2">
        <v>44793</v>
      </c>
      <c r="B6361" s="3">
        <v>0.8681712962962963</v>
      </c>
      <c r="C6361">
        <v>8061</v>
      </c>
      <c r="D6361" t="str">
        <f>VLOOKUP(H6361,Produkt!$A$2:$B$5,2,FALSE)</f>
        <v>D</v>
      </c>
      <c r="H6361">
        <v>4</v>
      </c>
      <c r="I6361">
        <v>0.84339120370370368</v>
      </c>
      <c r="J6361">
        <v>44787</v>
      </c>
    </row>
    <row r="6362" spans="1:10" x14ac:dyDescent="0.35">
      <c r="A6362" s="2">
        <v>44793</v>
      </c>
      <c r="B6362" s="3">
        <v>0.62804398148148144</v>
      </c>
      <c r="C6362">
        <v>8104</v>
      </c>
      <c r="D6362" t="str">
        <f>VLOOKUP(H6362,Produkt!$A$2:$B$5,2,FALSE)</f>
        <v>C</v>
      </c>
      <c r="H6362">
        <v>3</v>
      </c>
      <c r="I6362">
        <v>0.4947685185185185</v>
      </c>
      <c r="J6362">
        <v>44777</v>
      </c>
    </row>
    <row r="6363" spans="1:10" x14ac:dyDescent="0.35">
      <c r="A6363" s="2">
        <v>44793</v>
      </c>
      <c r="B6363" s="3">
        <v>0.19936342592592593</v>
      </c>
      <c r="C6363">
        <v>8181</v>
      </c>
      <c r="D6363" t="str">
        <f>VLOOKUP(H6363,Produkt!$A$2:$B$5,2,FALSE)</f>
        <v>D</v>
      </c>
      <c r="H6363">
        <v>4</v>
      </c>
      <c r="I6363">
        <v>0.95633101851851843</v>
      </c>
      <c r="J6363">
        <v>44786</v>
      </c>
    </row>
    <row r="6364" spans="1:10" x14ac:dyDescent="0.35">
      <c r="A6364" s="2">
        <v>44793</v>
      </c>
      <c r="B6364" s="3">
        <v>0.12892361111111111</v>
      </c>
      <c r="C6364">
        <v>8217</v>
      </c>
      <c r="D6364" t="str">
        <f>VLOOKUP(H6364,Produkt!$A$2:$B$5,2,FALSE)</f>
        <v>B</v>
      </c>
      <c r="H6364">
        <v>2</v>
      </c>
      <c r="I6364">
        <v>0.79978009259259253</v>
      </c>
      <c r="J6364">
        <v>44799</v>
      </c>
    </row>
    <row r="6365" spans="1:10" x14ac:dyDescent="0.35">
      <c r="A6365" s="2">
        <v>44793</v>
      </c>
      <c r="B6365" s="3">
        <v>0.66311342592592593</v>
      </c>
      <c r="C6365">
        <v>8266</v>
      </c>
      <c r="D6365" t="str">
        <f>VLOOKUP(H6365,Produkt!$A$2:$B$5,2,FALSE)</f>
        <v>A</v>
      </c>
      <c r="H6365">
        <v>1</v>
      </c>
      <c r="I6365">
        <v>0.93478009259259265</v>
      </c>
      <c r="J6365">
        <v>44795</v>
      </c>
    </row>
    <row r="6366" spans="1:10" x14ac:dyDescent="0.35">
      <c r="A6366" s="2">
        <v>44793</v>
      </c>
      <c r="B6366" s="3">
        <v>0.47027777777777779</v>
      </c>
      <c r="C6366">
        <v>8270</v>
      </c>
      <c r="D6366" t="str">
        <f>VLOOKUP(H6366,Produkt!$A$2:$B$5,2,FALSE)</f>
        <v>B</v>
      </c>
      <c r="H6366">
        <v>2</v>
      </c>
      <c r="I6366">
        <v>9.2245370370369617E-3</v>
      </c>
      <c r="J6366">
        <v>44780</v>
      </c>
    </row>
    <row r="6367" spans="1:10" x14ac:dyDescent="0.35">
      <c r="A6367" s="2">
        <v>44793</v>
      </c>
      <c r="B6367" s="3">
        <v>0.11038194444444445</v>
      </c>
      <c r="C6367">
        <v>8279</v>
      </c>
      <c r="D6367" t="str">
        <f>VLOOKUP(H6367,Produkt!$A$2:$B$5,2,FALSE)</f>
        <v>C</v>
      </c>
      <c r="H6367">
        <v>3</v>
      </c>
      <c r="I6367">
        <v>0.73231481481481486</v>
      </c>
      <c r="J6367">
        <v>44777</v>
      </c>
    </row>
    <row r="6368" spans="1:10" x14ac:dyDescent="0.35">
      <c r="A6368" s="2">
        <v>44793</v>
      </c>
      <c r="B6368" s="3">
        <v>0.40046296296296297</v>
      </c>
      <c r="C6368">
        <v>8313</v>
      </c>
      <c r="D6368" t="str">
        <f>VLOOKUP(H6368,Produkt!$A$2:$B$5,2,FALSE)</f>
        <v>B</v>
      </c>
      <c r="H6368">
        <v>2</v>
      </c>
      <c r="I6368">
        <v>0.34831018518518514</v>
      </c>
      <c r="J6368">
        <v>44786</v>
      </c>
    </row>
    <row r="6369" spans="1:10" x14ac:dyDescent="0.35">
      <c r="A6369" s="2">
        <v>44793</v>
      </c>
      <c r="B6369" s="3">
        <v>0.70138888888888884</v>
      </c>
      <c r="C6369">
        <v>8338</v>
      </c>
      <c r="D6369" t="str">
        <f>VLOOKUP(H6369,Produkt!$A$2:$B$5,2,FALSE)</f>
        <v>C</v>
      </c>
      <c r="H6369">
        <v>3</v>
      </c>
      <c r="I6369">
        <v>0.12612268518518518</v>
      </c>
      <c r="J6369">
        <v>44802</v>
      </c>
    </row>
    <row r="6370" spans="1:10" x14ac:dyDescent="0.35">
      <c r="A6370" s="2">
        <v>44793</v>
      </c>
      <c r="B6370" s="3">
        <v>0.16142361111111111</v>
      </c>
      <c r="C6370">
        <v>8343</v>
      </c>
      <c r="D6370" t="str">
        <f>VLOOKUP(H6370,Produkt!$A$2:$B$5,2,FALSE)</f>
        <v>A</v>
      </c>
      <c r="H6370">
        <v>1</v>
      </c>
      <c r="I6370">
        <v>0.3425347222222222</v>
      </c>
      <c r="J6370">
        <v>44792</v>
      </c>
    </row>
    <row r="6371" spans="1:10" x14ac:dyDescent="0.35">
      <c r="A6371" s="2">
        <v>44793</v>
      </c>
      <c r="B6371" s="3">
        <v>0.24335648148148148</v>
      </c>
      <c r="C6371">
        <v>8368</v>
      </c>
      <c r="D6371" t="str">
        <f>VLOOKUP(H6371,Produkt!$A$2:$B$5,2,FALSE)</f>
        <v>C</v>
      </c>
      <c r="H6371">
        <v>3</v>
      </c>
      <c r="I6371">
        <v>0.90270833333333333</v>
      </c>
      <c r="J6371">
        <v>44800</v>
      </c>
    </row>
    <row r="6372" spans="1:10" x14ac:dyDescent="0.35">
      <c r="A6372" s="2">
        <v>44793</v>
      </c>
      <c r="B6372" s="3">
        <v>0.84592592592592597</v>
      </c>
      <c r="C6372">
        <v>8391</v>
      </c>
      <c r="D6372" t="str">
        <f>VLOOKUP(H6372,Produkt!$A$2:$B$5,2,FALSE)</f>
        <v>B</v>
      </c>
      <c r="H6372">
        <v>2</v>
      </c>
      <c r="I6372">
        <v>0.20155092592592594</v>
      </c>
      <c r="J6372">
        <v>44797</v>
      </c>
    </row>
    <row r="6373" spans="1:10" x14ac:dyDescent="0.35">
      <c r="A6373" s="2">
        <v>44793</v>
      </c>
      <c r="B6373" s="3">
        <v>0.84233796296296293</v>
      </c>
      <c r="C6373">
        <v>8396</v>
      </c>
      <c r="D6373" t="str">
        <f>VLOOKUP(H6373,Produkt!$A$2:$B$5,2,FALSE)</f>
        <v>A</v>
      </c>
      <c r="H6373">
        <v>1</v>
      </c>
      <c r="I6373">
        <v>0.37495370370370368</v>
      </c>
      <c r="J6373">
        <v>44794</v>
      </c>
    </row>
    <row r="6374" spans="1:10" x14ac:dyDescent="0.35">
      <c r="A6374" s="2">
        <v>44793</v>
      </c>
      <c r="B6374" s="3">
        <v>0.2179861111111111</v>
      </c>
      <c r="C6374">
        <v>8397</v>
      </c>
      <c r="D6374" t="str">
        <f>VLOOKUP(H6374,Produkt!$A$2:$B$5,2,FALSE)</f>
        <v>D</v>
      </c>
      <c r="H6374">
        <v>4</v>
      </c>
      <c r="I6374">
        <v>0.88479166666666664</v>
      </c>
      <c r="J6374">
        <v>44779</v>
      </c>
    </row>
    <row r="6375" spans="1:10" x14ac:dyDescent="0.35">
      <c r="A6375" s="2">
        <v>44793</v>
      </c>
      <c r="B6375" s="3">
        <v>3.9861111111111125E-2</v>
      </c>
      <c r="C6375">
        <v>8459</v>
      </c>
      <c r="D6375" t="str">
        <f>VLOOKUP(H6375,Produkt!$A$2:$B$5,2,FALSE)</f>
        <v>C</v>
      </c>
      <c r="H6375">
        <v>3</v>
      </c>
      <c r="I6375">
        <v>3.7476851851851851E-2</v>
      </c>
      <c r="J6375">
        <v>44783</v>
      </c>
    </row>
    <row r="6376" spans="1:10" x14ac:dyDescent="0.35">
      <c r="A6376" s="2">
        <v>44793</v>
      </c>
      <c r="B6376" s="3">
        <v>0.85525462962962961</v>
      </c>
      <c r="C6376">
        <v>8466</v>
      </c>
      <c r="D6376" t="str">
        <f>VLOOKUP(H6376,Produkt!$A$2:$B$5,2,FALSE)</f>
        <v>D</v>
      </c>
      <c r="H6376">
        <v>4</v>
      </c>
      <c r="I6376">
        <v>0.86491898148148139</v>
      </c>
      <c r="J6376">
        <v>44783</v>
      </c>
    </row>
    <row r="6377" spans="1:10" x14ac:dyDescent="0.35">
      <c r="A6377" s="2">
        <v>44793</v>
      </c>
      <c r="B6377" s="3">
        <v>0.81952546296296302</v>
      </c>
      <c r="C6377">
        <v>8517</v>
      </c>
      <c r="D6377" t="str">
        <f>VLOOKUP(H6377,Produkt!$A$2:$B$5,2,FALSE)</f>
        <v>C</v>
      </c>
      <c r="H6377">
        <v>3</v>
      </c>
      <c r="I6377">
        <v>0.13471064814814815</v>
      </c>
      <c r="J6377">
        <v>44777</v>
      </c>
    </row>
    <row r="6378" spans="1:10" x14ac:dyDescent="0.35">
      <c r="A6378" s="2">
        <v>44793</v>
      </c>
      <c r="B6378" s="3">
        <v>3.9363425925925899E-2</v>
      </c>
      <c r="C6378">
        <v>8525</v>
      </c>
      <c r="D6378" t="str">
        <f>VLOOKUP(H6378,Produkt!$A$2:$B$5,2,FALSE)</f>
        <v>C</v>
      </c>
      <c r="H6378">
        <v>3</v>
      </c>
      <c r="I6378">
        <v>0.62361111111111112</v>
      </c>
      <c r="J6378">
        <v>44791</v>
      </c>
    </row>
    <row r="6379" spans="1:10" x14ac:dyDescent="0.35">
      <c r="A6379" s="2">
        <v>44793</v>
      </c>
      <c r="B6379" s="3">
        <v>3.6006944444444411E-2</v>
      </c>
      <c r="C6379">
        <v>8554</v>
      </c>
      <c r="D6379" t="str">
        <f>VLOOKUP(H6379,Produkt!$A$2:$B$5,2,FALSE)</f>
        <v>A</v>
      </c>
      <c r="H6379">
        <v>1</v>
      </c>
      <c r="I6379">
        <v>0.30959490740740742</v>
      </c>
      <c r="J6379">
        <v>44799</v>
      </c>
    </row>
    <row r="6380" spans="1:10" x14ac:dyDescent="0.35">
      <c r="A6380" s="2">
        <v>44793</v>
      </c>
      <c r="B6380" s="3">
        <v>0.89810185185185187</v>
      </c>
      <c r="C6380">
        <v>8563</v>
      </c>
      <c r="D6380" t="str">
        <f>VLOOKUP(H6380,Produkt!$A$2:$B$5,2,FALSE)</f>
        <v>B</v>
      </c>
      <c r="H6380">
        <v>2</v>
      </c>
      <c r="I6380">
        <v>0.41003472222222226</v>
      </c>
      <c r="J6380">
        <v>44786</v>
      </c>
    </row>
    <row r="6381" spans="1:10" x14ac:dyDescent="0.35">
      <c r="A6381" s="2">
        <v>44793</v>
      </c>
      <c r="B6381" s="3">
        <v>0.92651620370370369</v>
      </c>
      <c r="C6381">
        <v>8590</v>
      </c>
      <c r="D6381" t="str">
        <f>VLOOKUP(H6381,Produkt!$A$2:$B$5,2,FALSE)</f>
        <v>C</v>
      </c>
      <c r="H6381">
        <v>3</v>
      </c>
      <c r="I6381">
        <v>0.11578703703703704</v>
      </c>
      <c r="J6381">
        <v>44791</v>
      </c>
    </row>
    <row r="6382" spans="1:10" x14ac:dyDescent="0.35">
      <c r="A6382" s="2">
        <v>44793</v>
      </c>
      <c r="B6382" s="3">
        <v>0.21381944444444445</v>
      </c>
      <c r="C6382">
        <v>8605</v>
      </c>
      <c r="D6382" t="str">
        <f>VLOOKUP(H6382,Produkt!$A$2:$B$5,2,FALSE)</f>
        <v>D</v>
      </c>
      <c r="H6382">
        <v>4</v>
      </c>
      <c r="I6382">
        <v>0.29030092592592593</v>
      </c>
      <c r="J6382">
        <v>44787</v>
      </c>
    </row>
    <row r="6383" spans="1:10" x14ac:dyDescent="0.35">
      <c r="A6383" s="2">
        <v>44793</v>
      </c>
      <c r="B6383" s="3">
        <v>0.6827199074074074</v>
      </c>
      <c r="C6383">
        <v>8633</v>
      </c>
      <c r="D6383" t="str">
        <f>VLOOKUP(H6383,Produkt!$A$2:$B$5,2,FALSE)</f>
        <v>A</v>
      </c>
      <c r="H6383">
        <v>1</v>
      </c>
      <c r="I6383">
        <v>0.29876157407407405</v>
      </c>
      <c r="J6383">
        <v>44795</v>
      </c>
    </row>
    <row r="6384" spans="1:10" x14ac:dyDescent="0.35">
      <c r="A6384" s="2">
        <v>44793</v>
      </c>
      <c r="B6384" s="3">
        <v>0.92313657407407401</v>
      </c>
      <c r="C6384">
        <v>8636</v>
      </c>
      <c r="D6384" t="str">
        <f>VLOOKUP(H6384,Produkt!$A$2:$B$5,2,FALSE)</f>
        <v>C</v>
      </c>
      <c r="H6384">
        <v>3</v>
      </c>
      <c r="I6384">
        <v>0.61754629629629632</v>
      </c>
      <c r="J6384">
        <v>44797</v>
      </c>
    </row>
    <row r="6385" spans="1:10" x14ac:dyDescent="0.35">
      <c r="A6385" s="2">
        <v>44793</v>
      </c>
      <c r="B6385" s="3">
        <v>0.99335648148148137</v>
      </c>
      <c r="C6385">
        <v>8642</v>
      </c>
      <c r="D6385" t="str">
        <f>VLOOKUP(H6385,Produkt!$A$2:$B$5,2,FALSE)</f>
        <v>D</v>
      </c>
      <c r="H6385">
        <v>4</v>
      </c>
      <c r="I6385">
        <v>0.40964120370370366</v>
      </c>
      <c r="J6385">
        <v>44775</v>
      </c>
    </row>
    <row r="6386" spans="1:10" x14ac:dyDescent="0.35">
      <c r="A6386" s="2">
        <v>44793</v>
      </c>
      <c r="B6386" s="3">
        <v>0.71101851851851849</v>
      </c>
      <c r="C6386">
        <v>8775</v>
      </c>
      <c r="D6386" t="str">
        <f>VLOOKUP(H6386,Produkt!$A$2:$B$5,2,FALSE)</f>
        <v>B</v>
      </c>
      <c r="H6386">
        <v>2</v>
      </c>
      <c r="I6386">
        <v>0.27114583333333336</v>
      </c>
      <c r="J6386">
        <v>44781</v>
      </c>
    </row>
    <row r="6387" spans="1:10" x14ac:dyDescent="0.35">
      <c r="A6387" s="2">
        <v>44793</v>
      </c>
      <c r="B6387" s="3">
        <v>0.2820833333333333</v>
      </c>
      <c r="C6387">
        <v>8794</v>
      </c>
      <c r="D6387" t="str">
        <f>VLOOKUP(H6387,Produkt!$A$2:$B$5,2,FALSE)</f>
        <v>D</v>
      </c>
      <c r="H6387">
        <v>4</v>
      </c>
      <c r="I6387">
        <v>0.21734953703703705</v>
      </c>
      <c r="J6387">
        <v>44780</v>
      </c>
    </row>
    <row r="6388" spans="1:10" x14ac:dyDescent="0.35">
      <c r="A6388" s="2">
        <v>44793</v>
      </c>
      <c r="B6388" s="3">
        <v>0.97663194444444434</v>
      </c>
      <c r="C6388">
        <v>8830</v>
      </c>
      <c r="D6388" t="str">
        <f>VLOOKUP(H6388,Produkt!$A$2:$B$5,2,FALSE)</f>
        <v>A</v>
      </c>
      <c r="H6388">
        <v>1</v>
      </c>
      <c r="I6388">
        <v>4.7997685185185185E-2</v>
      </c>
      <c r="J6388">
        <v>44787</v>
      </c>
    </row>
    <row r="6389" spans="1:10" x14ac:dyDescent="0.35">
      <c r="A6389" s="2">
        <v>44793</v>
      </c>
      <c r="B6389" s="3">
        <v>0.6095370370370371</v>
      </c>
      <c r="C6389">
        <v>8843</v>
      </c>
      <c r="D6389" t="str">
        <f>VLOOKUP(H6389,Produkt!$A$2:$B$5,2,FALSE)</f>
        <v>D</v>
      </c>
      <c r="H6389">
        <v>4</v>
      </c>
      <c r="I6389">
        <v>0.6803703703703704</v>
      </c>
      <c r="J6389">
        <v>44804</v>
      </c>
    </row>
    <row r="6390" spans="1:10" x14ac:dyDescent="0.35">
      <c r="A6390" s="2">
        <v>44793</v>
      </c>
      <c r="B6390" s="3">
        <v>9.6250000000000002E-2</v>
      </c>
      <c r="C6390">
        <v>8850</v>
      </c>
      <c r="D6390" t="str">
        <f>VLOOKUP(H6390,Produkt!$A$2:$B$5,2,FALSE)</f>
        <v>D</v>
      </c>
      <c r="H6390">
        <v>4</v>
      </c>
      <c r="I6390">
        <v>0.60038194444444448</v>
      </c>
      <c r="J6390">
        <v>44783</v>
      </c>
    </row>
    <row r="6391" spans="1:10" x14ac:dyDescent="0.35">
      <c r="A6391" s="2">
        <v>44793</v>
      </c>
      <c r="B6391" s="3">
        <v>0.64350694444444445</v>
      </c>
      <c r="C6391">
        <v>8876</v>
      </c>
      <c r="D6391" t="str">
        <f>VLOOKUP(H6391,Produkt!$A$2:$B$5,2,FALSE)</f>
        <v>C</v>
      </c>
      <c r="H6391">
        <v>3</v>
      </c>
      <c r="I6391">
        <v>0.21767361111111114</v>
      </c>
      <c r="J6391">
        <v>44788</v>
      </c>
    </row>
    <row r="6392" spans="1:10" x14ac:dyDescent="0.35">
      <c r="A6392" s="2">
        <v>44793</v>
      </c>
      <c r="B6392" s="3">
        <v>0.92493055555555559</v>
      </c>
      <c r="C6392">
        <v>8896</v>
      </c>
      <c r="D6392" t="str">
        <f>VLOOKUP(H6392,Produkt!$A$2:$B$5,2,FALSE)</f>
        <v>C</v>
      </c>
      <c r="H6392">
        <v>3</v>
      </c>
      <c r="I6392">
        <v>0.35848379629629629</v>
      </c>
      <c r="J6392">
        <v>44777</v>
      </c>
    </row>
    <row r="6393" spans="1:10" x14ac:dyDescent="0.35">
      <c r="A6393" s="2">
        <v>44793</v>
      </c>
      <c r="B6393" s="3">
        <v>0.95890046296296294</v>
      </c>
      <c r="C6393">
        <v>8926</v>
      </c>
      <c r="D6393" t="str">
        <f>VLOOKUP(H6393,Produkt!$A$2:$B$5,2,FALSE)</f>
        <v>C</v>
      </c>
      <c r="H6393">
        <v>3</v>
      </c>
      <c r="I6393">
        <v>0.91652777777777772</v>
      </c>
      <c r="J6393">
        <v>44782</v>
      </c>
    </row>
    <row r="6394" spans="1:10" x14ac:dyDescent="0.35">
      <c r="A6394" s="2">
        <v>44793</v>
      </c>
      <c r="B6394" s="3">
        <v>2.4062500000000001E-2</v>
      </c>
      <c r="C6394">
        <v>8935</v>
      </c>
      <c r="D6394" t="str">
        <f>VLOOKUP(H6394,Produkt!$A$2:$B$5,2,FALSE)</f>
        <v>B</v>
      </c>
      <c r="H6394">
        <v>2</v>
      </c>
      <c r="I6394">
        <v>0.97560185185185189</v>
      </c>
      <c r="J6394">
        <v>44775</v>
      </c>
    </row>
    <row r="6395" spans="1:10" x14ac:dyDescent="0.35">
      <c r="A6395" s="2">
        <v>44793</v>
      </c>
      <c r="B6395" s="3">
        <v>0.82638888888888884</v>
      </c>
      <c r="C6395">
        <v>8968</v>
      </c>
      <c r="D6395" t="str">
        <f>VLOOKUP(H6395,Produkt!$A$2:$B$5,2,FALSE)</f>
        <v>A</v>
      </c>
      <c r="H6395">
        <v>1</v>
      </c>
      <c r="I6395">
        <v>0.67726851851851855</v>
      </c>
      <c r="J6395">
        <v>44795</v>
      </c>
    </row>
    <row r="6396" spans="1:10" x14ac:dyDescent="0.35">
      <c r="A6396" s="2">
        <v>44793</v>
      </c>
      <c r="B6396" s="3">
        <v>0.12818287037037038</v>
      </c>
      <c r="C6396">
        <v>9019</v>
      </c>
      <c r="D6396" t="str">
        <f>VLOOKUP(H6396,Produkt!$A$2:$B$5,2,FALSE)</f>
        <v>D</v>
      </c>
      <c r="H6396">
        <v>4</v>
      </c>
      <c r="I6396">
        <v>0.53194444444444444</v>
      </c>
      <c r="J6396">
        <v>44786</v>
      </c>
    </row>
    <row r="6397" spans="1:10" x14ac:dyDescent="0.35">
      <c r="A6397" s="2">
        <v>44793</v>
      </c>
      <c r="B6397" s="3">
        <v>0.84717592592592583</v>
      </c>
      <c r="C6397">
        <v>9077</v>
      </c>
      <c r="D6397" t="str">
        <f>VLOOKUP(H6397,Produkt!$A$2:$B$5,2,FALSE)</f>
        <v>C</v>
      </c>
      <c r="H6397">
        <v>3</v>
      </c>
      <c r="I6397">
        <v>0.64930555555555558</v>
      </c>
      <c r="J6397">
        <v>44780</v>
      </c>
    </row>
    <row r="6398" spans="1:10" x14ac:dyDescent="0.35">
      <c r="A6398" s="2">
        <v>44793</v>
      </c>
      <c r="B6398" s="3">
        <v>0.64229166666666659</v>
      </c>
      <c r="C6398">
        <v>9082</v>
      </c>
      <c r="D6398" t="str">
        <f>VLOOKUP(H6398,Produkt!$A$2:$B$5,2,FALSE)</f>
        <v>B</v>
      </c>
      <c r="H6398">
        <v>2</v>
      </c>
      <c r="I6398">
        <v>0.22519675925925928</v>
      </c>
      <c r="J6398">
        <v>44790</v>
      </c>
    </row>
    <row r="6399" spans="1:10" x14ac:dyDescent="0.35">
      <c r="A6399" s="2">
        <v>44793</v>
      </c>
      <c r="B6399" s="3">
        <v>7.1643518518518523E-2</v>
      </c>
      <c r="C6399">
        <v>9083</v>
      </c>
      <c r="D6399" t="str">
        <f>VLOOKUP(H6399,Produkt!$A$2:$B$5,2,FALSE)</f>
        <v>D</v>
      </c>
      <c r="H6399">
        <v>4</v>
      </c>
      <c r="I6399">
        <v>0.74173611111111104</v>
      </c>
      <c r="J6399">
        <v>44775</v>
      </c>
    </row>
    <row r="6400" spans="1:10" x14ac:dyDescent="0.35">
      <c r="A6400" s="2">
        <v>44793</v>
      </c>
      <c r="B6400" s="3">
        <v>0.25409722222222225</v>
      </c>
      <c r="C6400">
        <v>9137</v>
      </c>
      <c r="D6400" t="str">
        <f>VLOOKUP(H6400,Produkt!$A$2:$B$5,2,FALSE)</f>
        <v>B</v>
      </c>
      <c r="H6400">
        <v>2</v>
      </c>
      <c r="I6400">
        <v>0.23671296296296296</v>
      </c>
      <c r="J6400">
        <v>44780</v>
      </c>
    </row>
    <row r="6401" spans="1:10" x14ac:dyDescent="0.35">
      <c r="A6401" s="2">
        <v>44793</v>
      </c>
      <c r="B6401" s="3">
        <v>0.83009259259259249</v>
      </c>
      <c r="C6401">
        <v>9140</v>
      </c>
      <c r="D6401" t="str">
        <f>VLOOKUP(H6401,Produkt!$A$2:$B$5,2,FALSE)</f>
        <v>B</v>
      </c>
      <c r="H6401">
        <v>2</v>
      </c>
      <c r="I6401">
        <v>0.79777777777777781</v>
      </c>
      <c r="J6401">
        <v>44776</v>
      </c>
    </row>
    <row r="6402" spans="1:10" x14ac:dyDescent="0.35">
      <c r="A6402" s="2">
        <v>44793</v>
      </c>
      <c r="B6402" s="3">
        <v>0.80502314814814813</v>
      </c>
      <c r="C6402">
        <v>9243</v>
      </c>
      <c r="D6402" t="str">
        <f>VLOOKUP(H6402,Produkt!$A$2:$B$5,2,FALSE)</f>
        <v>C</v>
      </c>
      <c r="H6402">
        <v>3</v>
      </c>
      <c r="I6402">
        <v>0.37395833333333334</v>
      </c>
      <c r="J6402">
        <v>44799</v>
      </c>
    </row>
    <row r="6403" spans="1:10" x14ac:dyDescent="0.35">
      <c r="A6403" s="2">
        <v>44793</v>
      </c>
      <c r="B6403" s="3">
        <v>0.69960648148148152</v>
      </c>
      <c r="C6403">
        <v>9307</v>
      </c>
      <c r="D6403" t="str">
        <f>VLOOKUP(H6403,Produkt!$A$2:$B$5,2,FALSE)</f>
        <v>D</v>
      </c>
      <c r="H6403">
        <v>4</v>
      </c>
      <c r="I6403">
        <v>0.99711805555555555</v>
      </c>
      <c r="J6403">
        <v>44790</v>
      </c>
    </row>
    <row r="6404" spans="1:10" x14ac:dyDescent="0.35">
      <c r="A6404" s="2">
        <v>44793</v>
      </c>
      <c r="B6404" s="3">
        <v>0.27603009259259259</v>
      </c>
      <c r="C6404">
        <v>9348</v>
      </c>
      <c r="D6404" t="str">
        <f>VLOOKUP(H6404,Produkt!$A$2:$B$5,2,FALSE)</f>
        <v>B</v>
      </c>
      <c r="H6404">
        <v>2</v>
      </c>
      <c r="I6404">
        <v>0.95990740740740732</v>
      </c>
      <c r="J6404">
        <v>44802</v>
      </c>
    </row>
    <row r="6405" spans="1:10" x14ac:dyDescent="0.35">
      <c r="A6405" s="2">
        <v>44793</v>
      </c>
      <c r="B6405" s="3">
        <v>0.11451388888888887</v>
      </c>
      <c r="C6405">
        <v>9362</v>
      </c>
      <c r="D6405" t="str">
        <f>VLOOKUP(H6405,Produkt!$A$2:$B$5,2,FALSE)</f>
        <v>B</v>
      </c>
      <c r="H6405">
        <v>2</v>
      </c>
      <c r="I6405">
        <v>0.21894675925925924</v>
      </c>
      <c r="J6405">
        <v>44784</v>
      </c>
    </row>
    <row r="6406" spans="1:10" x14ac:dyDescent="0.35">
      <c r="A6406" s="2">
        <v>44793</v>
      </c>
      <c r="B6406" s="3">
        <v>0.49017361111111107</v>
      </c>
      <c r="C6406">
        <v>9382</v>
      </c>
      <c r="D6406" t="str">
        <f>VLOOKUP(H6406,Produkt!$A$2:$B$5,2,FALSE)</f>
        <v>B</v>
      </c>
      <c r="H6406">
        <v>2</v>
      </c>
      <c r="I6406">
        <v>0.84927083333333331</v>
      </c>
      <c r="J6406">
        <v>44795</v>
      </c>
    </row>
    <row r="6407" spans="1:10" x14ac:dyDescent="0.35">
      <c r="A6407" s="2">
        <v>44793</v>
      </c>
      <c r="B6407" s="3">
        <v>0.51184027777777785</v>
      </c>
      <c r="C6407">
        <v>9384</v>
      </c>
      <c r="D6407" t="str">
        <f>VLOOKUP(H6407,Produkt!$A$2:$B$5,2,FALSE)</f>
        <v>C</v>
      </c>
      <c r="H6407">
        <v>3</v>
      </c>
      <c r="I6407">
        <v>0.6353240740740741</v>
      </c>
      <c r="J6407">
        <v>44784</v>
      </c>
    </row>
    <row r="6408" spans="1:10" x14ac:dyDescent="0.35">
      <c r="A6408" s="2">
        <v>44793</v>
      </c>
      <c r="B6408" s="3">
        <v>0.30118055555555556</v>
      </c>
      <c r="C6408">
        <v>9395</v>
      </c>
      <c r="D6408" t="str">
        <f>VLOOKUP(H6408,Produkt!$A$2:$B$5,2,FALSE)</f>
        <v>D</v>
      </c>
      <c r="H6408">
        <v>4</v>
      </c>
      <c r="I6408">
        <v>0.88703703703703696</v>
      </c>
      <c r="J6408">
        <v>44783</v>
      </c>
    </row>
    <row r="6409" spans="1:10" x14ac:dyDescent="0.35">
      <c r="A6409" s="2">
        <v>44793</v>
      </c>
      <c r="B6409" s="3">
        <v>0.77865740740740741</v>
      </c>
      <c r="C6409">
        <v>9396</v>
      </c>
      <c r="D6409" t="str">
        <f>VLOOKUP(H6409,Produkt!$A$2:$B$5,2,FALSE)</f>
        <v>C</v>
      </c>
      <c r="H6409">
        <v>3</v>
      </c>
      <c r="I6409">
        <v>0.61752314814814813</v>
      </c>
      <c r="J6409">
        <v>44776</v>
      </c>
    </row>
    <row r="6410" spans="1:10" x14ac:dyDescent="0.35">
      <c r="A6410" s="2">
        <v>44793</v>
      </c>
      <c r="B6410" s="3">
        <v>0.37355324074074076</v>
      </c>
      <c r="C6410">
        <v>9415</v>
      </c>
      <c r="D6410" t="str">
        <f>VLOOKUP(H6410,Produkt!$A$2:$B$5,2,FALSE)</f>
        <v>C</v>
      </c>
      <c r="H6410">
        <v>3</v>
      </c>
      <c r="I6410">
        <v>0.10761574074074075</v>
      </c>
      <c r="J6410">
        <v>44803</v>
      </c>
    </row>
    <row r="6411" spans="1:10" x14ac:dyDescent="0.35">
      <c r="A6411" s="2">
        <v>44793</v>
      </c>
      <c r="B6411" s="3">
        <v>2.0891203703703676E-2</v>
      </c>
      <c r="C6411">
        <v>9467</v>
      </c>
      <c r="D6411" t="str">
        <f>VLOOKUP(H6411,Produkt!$A$2:$B$5,2,FALSE)</f>
        <v>C</v>
      </c>
      <c r="H6411">
        <v>3</v>
      </c>
      <c r="I6411">
        <v>0.35172453703703704</v>
      </c>
      <c r="J6411">
        <v>44789</v>
      </c>
    </row>
    <row r="6412" spans="1:10" x14ac:dyDescent="0.35">
      <c r="A6412" s="2">
        <v>44793</v>
      </c>
      <c r="B6412" s="3">
        <v>0.14043981481481482</v>
      </c>
      <c r="C6412">
        <v>9521</v>
      </c>
      <c r="D6412" t="str">
        <f>VLOOKUP(H6412,Produkt!$A$2:$B$5,2,FALSE)</f>
        <v>B</v>
      </c>
      <c r="H6412">
        <v>2</v>
      </c>
      <c r="I6412">
        <v>0.49906249999999996</v>
      </c>
      <c r="J6412">
        <v>44788</v>
      </c>
    </row>
    <row r="6413" spans="1:10" x14ac:dyDescent="0.35">
      <c r="A6413" s="2">
        <v>44793</v>
      </c>
      <c r="B6413" s="3">
        <v>9.6689814814814812E-2</v>
      </c>
      <c r="C6413">
        <v>9523</v>
      </c>
      <c r="D6413" t="str">
        <f>VLOOKUP(H6413,Produkt!$A$2:$B$5,2,FALSE)</f>
        <v>A</v>
      </c>
      <c r="H6413">
        <v>1</v>
      </c>
      <c r="I6413">
        <v>0.1105324074074074</v>
      </c>
      <c r="J6413">
        <v>44795</v>
      </c>
    </row>
    <row r="6414" spans="1:10" x14ac:dyDescent="0.35">
      <c r="A6414" s="2">
        <v>44793</v>
      </c>
      <c r="B6414" s="3">
        <v>0.17347222222222222</v>
      </c>
      <c r="C6414">
        <v>9536</v>
      </c>
      <c r="D6414" t="str">
        <f>VLOOKUP(H6414,Produkt!$A$2:$B$5,2,FALSE)</f>
        <v>C</v>
      </c>
      <c r="H6414">
        <v>3</v>
      </c>
      <c r="I6414">
        <v>0.92325231481481485</v>
      </c>
      <c r="J6414">
        <v>44798</v>
      </c>
    </row>
    <row r="6415" spans="1:10" x14ac:dyDescent="0.35">
      <c r="A6415" s="2">
        <v>44793</v>
      </c>
      <c r="B6415" s="3">
        <v>0.62508101851851849</v>
      </c>
      <c r="C6415">
        <v>9583</v>
      </c>
      <c r="D6415" t="str">
        <f>VLOOKUP(H6415,Produkt!$A$2:$B$5,2,FALSE)</f>
        <v>A</v>
      </c>
      <c r="H6415">
        <v>1</v>
      </c>
      <c r="I6415">
        <v>7.0358796296296308E-2</v>
      </c>
      <c r="J6415">
        <v>44790</v>
      </c>
    </row>
    <row r="6416" spans="1:10" x14ac:dyDescent="0.35">
      <c r="A6416" s="2">
        <v>44793</v>
      </c>
      <c r="B6416" s="3">
        <v>0.90659722222222217</v>
      </c>
      <c r="C6416">
        <v>9593</v>
      </c>
      <c r="D6416" t="str">
        <f>VLOOKUP(H6416,Produkt!$A$2:$B$5,2,FALSE)</f>
        <v>B</v>
      </c>
      <c r="H6416">
        <v>2</v>
      </c>
      <c r="I6416">
        <v>0.75395833333333329</v>
      </c>
      <c r="J6416">
        <v>44796</v>
      </c>
    </row>
    <row r="6417" spans="1:10" x14ac:dyDescent="0.35">
      <c r="A6417" s="2">
        <v>44793</v>
      </c>
      <c r="B6417" s="3">
        <v>0.64769675925925929</v>
      </c>
      <c r="C6417">
        <v>9608</v>
      </c>
      <c r="D6417" t="str">
        <f>VLOOKUP(H6417,Produkt!$A$2:$B$5,2,FALSE)</f>
        <v>B</v>
      </c>
      <c r="H6417">
        <v>2</v>
      </c>
      <c r="I6417">
        <v>0.68245370370370362</v>
      </c>
      <c r="J6417">
        <v>44787</v>
      </c>
    </row>
    <row r="6418" spans="1:10" x14ac:dyDescent="0.35">
      <c r="A6418" s="2">
        <v>44793</v>
      </c>
      <c r="B6418" s="3">
        <v>0.21667824074074074</v>
      </c>
      <c r="C6418">
        <v>9622</v>
      </c>
      <c r="D6418" t="str">
        <f>VLOOKUP(H6418,Produkt!$A$2:$B$5,2,FALSE)</f>
        <v>A</v>
      </c>
      <c r="H6418">
        <v>1</v>
      </c>
      <c r="I6418">
        <v>0.12535879629629629</v>
      </c>
      <c r="J6418">
        <v>44802</v>
      </c>
    </row>
    <row r="6419" spans="1:10" x14ac:dyDescent="0.35">
      <c r="A6419" s="2">
        <v>44793</v>
      </c>
      <c r="B6419" s="3">
        <v>0.54387731481481483</v>
      </c>
      <c r="C6419">
        <v>9658</v>
      </c>
      <c r="D6419" t="str">
        <f>VLOOKUP(H6419,Produkt!$A$2:$B$5,2,FALSE)</f>
        <v>D</v>
      </c>
      <c r="H6419">
        <v>4</v>
      </c>
      <c r="I6419">
        <v>0.53472222222222221</v>
      </c>
      <c r="J6419">
        <v>44775</v>
      </c>
    </row>
    <row r="6420" spans="1:10" x14ac:dyDescent="0.35">
      <c r="A6420" s="2">
        <v>44793</v>
      </c>
      <c r="B6420" s="3">
        <v>0.23431712962962961</v>
      </c>
      <c r="C6420">
        <v>9794</v>
      </c>
      <c r="D6420" t="str">
        <f>VLOOKUP(H6420,Produkt!$A$2:$B$5,2,FALSE)</f>
        <v>C</v>
      </c>
      <c r="H6420">
        <v>3</v>
      </c>
      <c r="I6420">
        <v>0.45256944444444441</v>
      </c>
      <c r="J6420">
        <v>44797</v>
      </c>
    </row>
    <row r="6421" spans="1:10" x14ac:dyDescent="0.35">
      <c r="A6421" s="2">
        <v>44793</v>
      </c>
      <c r="B6421" s="3">
        <v>0.30686342592592591</v>
      </c>
      <c r="C6421">
        <v>9805</v>
      </c>
      <c r="D6421" t="str">
        <f>VLOOKUP(H6421,Produkt!$A$2:$B$5,2,FALSE)</f>
        <v>B</v>
      </c>
      <c r="H6421">
        <v>2</v>
      </c>
      <c r="I6421">
        <v>0.49606481481481479</v>
      </c>
      <c r="J6421">
        <v>44775</v>
      </c>
    </row>
    <row r="6422" spans="1:10" x14ac:dyDescent="0.35">
      <c r="A6422" s="2">
        <v>44793</v>
      </c>
      <c r="B6422" s="3">
        <v>0.8866087962962963</v>
      </c>
      <c r="C6422">
        <v>9815</v>
      </c>
      <c r="D6422" t="str">
        <f>VLOOKUP(H6422,Produkt!$A$2:$B$5,2,FALSE)</f>
        <v>A</v>
      </c>
      <c r="H6422">
        <v>1</v>
      </c>
      <c r="I6422">
        <v>0.93414351851851851</v>
      </c>
      <c r="J6422">
        <v>44796</v>
      </c>
    </row>
    <row r="6423" spans="1:10" x14ac:dyDescent="0.35">
      <c r="A6423" s="2">
        <v>44793</v>
      </c>
      <c r="B6423" s="3">
        <v>0.46790509259259255</v>
      </c>
      <c r="C6423">
        <v>9819</v>
      </c>
      <c r="D6423" t="str">
        <f>VLOOKUP(H6423,Produkt!$A$2:$B$5,2,FALSE)</f>
        <v>C</v>
      </c>
      <c r="H6423">
        <v>3</v>
      </c>
      <c r="I6423">
        <v>0.81631944444444438</v>
      </c>
      <c r="J6423">
        <v>44803</v>
      </c>
    </row>
    <row r="6424" spans="1:10" x14ac:dyDescent="0.35">
      <c r="A6424" s="2">
        <v>44793</v>
      </c>
      <c r="B6424" s="3">
        <v>0.94059027777777782</v>
      </c>
      <c r="C6424">
        <v>9842</v>
      </c>
      <c r="D6424" t="str">
        <f>VLOOKUP(H6424,Produkt!$A$2:$B$5,2,FALSE)</f>
        <v>B</v>
      </c>
      <c r="H6424">
        <v>2</v>
      </c>
      <c r="I6424">
        <v>0.40483796296296298</v>
      </c>
      <c r="J6424">
        <v>44774</v>
      </c>
    </row>
    <row r="6425" spans="1:10" x14ac:dyDescent="0.35">
      <c r="A6425" s="2">
        <v>44793</v>
      </c>
      <c r="B6425" s="3">
        <v>0.23953703703703702</v>
      </c>
      <c r="C6425">
        <v>9849</v>
      </c>
      <c r="D6425" t="str">
        <f>VLOOKUP(H6425,Produkt!$A$2:$B$5,2,FALSE)</f>
        <v>D</v>
      </c>
      <c r="H6425">
        <v>4</v>
      </c>
      <c r="I6425">
        <v>7.9398148148148717E-3</v>
      </c>
      <c r="J6425">
        <v>44782</v>
      </c>
    </row>
    <row r="6426" spans="1:10" x14ac:dyDescent="0.35">
      <c r="A6426" s="2">
        <v>44793</v>
      </c>
      <c r="B6426" s="3">
        <v>0.93945601851851857</v>
      </c>
      <c r="C6426">
        <v>9858</v>
      </c>
      <c r="D6426" t="str">
        <f>VLOOKUP(H6426,Produkt!$A$2:$B$5,2,FALSE)</f>
        <v>D</v>
      </c>
      <c r="H6426">
        <v>4</v>
      </c>
      <c r="I6426">
        <v>0.65550925925925929</v>
      </c>
      <c r="J6426">
        <v>44778</v>
      </c>
    </row>
    <row r="6427" spans="1:10" x14ac:dyDescent="0.35">
      <c r="A6427" s="2">
        <v>44793</v>
      </c>
      <c r="B6427" s="3">
        <v>0.63133101851851847</v>
      </c>
      <c r="C6427">
        <v>9887</v>
      </c>
      <c r="D6427" t="str">
        <f>VLOOKUP(H6427,Produkt!$A$2:$B$5,2,FALSE)</f>
        <v>C</v>
      </c>
      <c r="H6427">
        <v>3</v>
      </c>
      <c r="I6427">
        <v>0.22396990740740741</v>
      </c>
      <c r="J6427">
        <v>44803</v>
      </c>
    </row>
    <row r="6428" spans="1:10" x14ac:dyDescent="0.35">
      <c r="A6428" s="2">
        <v>44793</v>
      </c>
      <c r="B6428" s="3">
        <v>0.25951388888888888</v>
      </c>
      <c r="C6428">
        <v>9900</v>
      </c>
      <c r="D6428" t="str">
        <f>VLOOKUP(H6428,Produkt!$A$2:$B$5,2,FALSE)</f>
        <v>A</v>
      </c>
      <c r="H6428">
        <v>1</v>
      </c>
      <c r="I6428">
        <v>0.25069444444444444</v>
      </c>
      <c r="J6428">
        <v>44790</v>
      </c>
    </row>
    <row r="6429" spans="1:10" x14ac:dyDescent="0.35">
      <c r="A6429" s="2">
        <v>44793</v>
      </c>
      <c r="B6429" s="3">
        <v>0.45423611111111112</v>
      </c>
      <c r="C6429">
        <v>9909</v>
      </c>
      <c r="D6429" t="str">
        <f>VLOOKUP(H6429,Produkt!$A$2:$B$5,2,FALSE)</f>
        <v>C</v>
      </c>
      <c r="H6429">
        <v>3</v>
      </c>
      <c r="I6429">
        <v>1.7905092592592594E-2</v>
      </c>
      <c r="J6429">
        <v>44801</v>
      </c>
    </row>
    <row r="6430" spans="1:10" x14ac:dyDescent="0.35">
      <c r="A6430" s="2">
        <v>44793</v>
      </c>
      <c r="B6430" s="3">
        <v>2.5358796296296296E-2</v>
      </c>
      <c r="C6430">
        <v>9919</v>
      </c>
      <c r="D6430" t="str">
        <f>VLOOKUP(H6430,Produkt!$A$2:$B$5,2,FALSE)</f>
        <v>A</v>
      </c>
      <c r="H6430">
        <v>1</v>
      </c>
      <c r="I6430">
        <v>0.6592824074074074</v>
      </c>
      <c r="J6430">
        <v>44775</v>
      </c>
    </row>
    <row r="6431" spans="1:10" x14ac:dyDescent="0.35">
      <c r="A6431" s="2">
        <v>44793</v>
      </c>
      <c r="B6431" s="3">
        <v>0.89039351851851845</v>
      </c>
      <c r="C6431">
        <v>9951</v>
      </c>
      <c r="D6431" t="str">
        <f>VLOOKUP(H6431,Produkt!$A$2:$B$5,2,FALSE)</f>
        <v>C</v>
      </c>
      <c r="H6431">
        <v>3</v>
      </c>
      <c r="I6431">
        <v>0.13234953703703703</v>
      </c>
      <c r="J6431">
        <v>44793</v>
      </c>
    </row>
    <row r="6432" spans="1:10" x14ac:dyDescent="0.35">
      <c r="A6432" s="2">
        <v>44793</v>
      </c>
      <c r="B6432" s="3">
        <v>0.41885416666666669</v>
      </c>
      <c r="C6432">
        <v>9966</v>
      </c>
      <c r="D6432" t="str">
        <f>VLOOKUP(H6432,Produkt!$A$2:$B$5,2,FALSE)</f>
        <v>D</v>
      </c>
      <c r="H6432">
        <v>4</v>
      </c>
      <c r="I6432">
        <v>0.36868055555555551</v>
      </c>
      <c r="J6432">
        <v>44794</v>
      </c>
    </row>
    <row r="6433" spans="1:10" x14ac:dyDescent="0.35">
      <c r="A6433" s="2">
        <v>44793</v>
      </c>
      <c r="B6433" s="3">
        <v>2.7592592592592613E-2</v>
      </c>
      <c r="C6433">
        <v>9967</v>
      </c>
      <c r="D6433" t="str">
        <f>VLOOKUP(H6433,Produkt!$A$2:$B$5,2,FALSE)</f>
        <v>B</v>
      </c>
      <c r="H6433">
        <v>2</v>
      </c>
      <c r="I6433">
        <v>0.3747800925925926</v>
      </c>
      <c r="J6433">
        <v>44799</v>
      </c>
    </row>
    <row r="6434" spans="1:10" x14ac:dyDescent="0.35">
      <c r="A6434" s="2">
        <v>44793</v>
      </c>
      <c r="B6434" s="3">
        <v>0.62484953703703705</v>
      </c>
      <c r="C6434">
        <v>9969</v>
      </c>
      <c r="D6434" t="str">
        <f>VLOOKUP(H6434,Produkt!$A$2:$B$5,2,FALSE)</f>
        <v>C</v>
      </c>
      <c r="H6434">
        <v>3</v>
      </c>
      <c r="I6434">
        <v>3.515046296296296E-2</v>
      </c>
      <c r="J6434">
        <v>44784</v>
      </c>
    </row>
    <row r="6435" spans="1:10" x14ac:dyDescent="0.35">
      <c r="A6435" s="2">
        <v>44793</v>
      </c>
      <c r="B6435" s="3">
        <v>0.12443287037037037</v>
      </c>
      <c r="C6435">
        <v>9982</v>
      </c>
      <c r="D6435" t="str">
        <f>VLOOKUP(H6435,Produkt!$A$2:$B$5,2,FALSE)</f>
        <v>A</v>
      </c>
      <c r="H6435">
        <v>1</v>
      </c>
      <c r="I6435">
        <v>0.98348379629629623</v>
      </c>
      <c r="J6435">
        <v>44796</v>
      </c>
    </row>
    <row r="6436" spans="1:10" x14ac:dyDescent="0.35">
      <c r="A6436" s="2">
        <v>44794</v>
      </c>
      <c r="B6436" s="3">
        <v>0.11269675925925926</v>
      </c>
      <c r="C6436">
        <v>32</v>
      </c>
      <c r="D6436" t="str">
        <f>VLOOKUP(H6436,Produkt!$A$2:$B$5,2,FALSE)</f>
        <v>D</v>
      </c>
      <c r="H6436">
        <v>4</v>
      </c>
      <c r="I6436">
        <v>0.87987268518518524</v>
      </c>
      <c r="J6436">
        <v>44787</v>
      </c>
    </row>
    <row r="6437" spans="1:10" x14ac:dyDescent="0.35">
      <c r="A6437" s="2">
        <v>44794</v>
      </c>
      <c r="B6437" s="3">
        <v>0.15275462962962963</v>
      </c>
      <c r="C6437">
        <v>52</v>
      </c>
      <c r="D6437" t="str">
        <f>VLOOKUP(H6437,Produkt!$A$2:$B$5,2,FALSE)</f>
        <v>D</v>
      </c>
      <c r="H6437">
        <v>4</v>
      </c>
      <c r="I6437">
        <v>0.13092592592592592</v>
      </c>
      <c r="J6437">
        <v>44785</v>
      </c>
    </row>
    <row r="6438" spans="1:10" x14ac:dyDescent="0.35">
      <c r="A6438" s="2">
        <v>44794</v>
      </c>
      <c r="B6438" s="3">
        <v>1.699074074074074E-2</v>
      </c>
      <c r="C6438">
        <v>83</v>
      </c>
      <c r="D6438" t="str">
        <f>VLOOKUP(H6438,Produkt!$A$2:$B$5,2,FALSE)</f>
        <v>C</v>
      </c>
      <c r="H6438">
        <v>3</v>
      </c>
      <c r="I6438">
        <v>0.86216435185185192</v>
      </c>
      <c r="J6438">
        <v>44790</v>
      </c>
    </row>
    <row r="6439" spans="1:10" x14ac:dyDescent="0.35">
      <c r="A6439" s="2">
        <v>44794</v>
      </c>
      <c r="B6439" s="3">
        <v>0.89547453703703705</v>
      </c>
      <c r="C6439">
        <v>94</v>
      </c>
      <c r="D6439" t="str">
        <f>VLOOKUP(H6439,Produkt!$A$2:$B$5,2,FALSE)</f>
        <v>B</v>
      </c>
      <c r="H6439">
        <v>2</v>
      </c>
      <c r="I6439">
        <v>0.5581828703703704</v>
      </c>
      <c r="J6439">
        <v>44774</v>
      </c>
    </row>
    <row r="6440" spans="1:10" x14ac:dyDescent="0.35">
      <c r="A6440" s="2">
        <v>44794</v>
      </c>
      <c r="B6440" s="3">
        <v>0.57422453703703702</v>
      </c>
      <c r="C6440">
        <v>95</v>
      </c>
      <c r="D6440" t="str">
        <f>VLOOKUP(H6440,Produkt!$A$2:$B$5,2,FALSE)</f>
        <v>C</v>
      </c>
      <c r="H6440">
        <v>3</v>
      </c>
      <c r="I6440">
        <v>0.6042939814814815</v>
      </c>
      <c r="J6440">
        <v>44803</v>
      </c>
    </row>
    <row r="6441" spans="1:10" x14ac:dyDescent="0.35">
      <c r="A6441" s="2">
        <v>44794</v>
      </c>
      <c r="B6441" s="3">
        <v>0.96763888888888883</v>
      </c>
      <c r="C6441">
        <v>111</v>
      </c>
      <c r="D6441" t="str">
        <f>VLOOKUP(H6441,Produkt!$A$2:$B$5,2,FALSE)</f>
        <v>B</v>
      </c>
      <c r="H6441">
        <v>2</v>
      </c>
      <c r="I6441">
        <v>0.53256944444444443</v>
      </c>
      <c r="J6441">
        <v>44787</v>
      </c>
    </row>
    <row r="6442" spans="1:10" x14ac:dyDescent="0.35">
      <c r="A6442" s="2">
        <v>44794</v>
      </c>
      <c r="B6442" s="3">
        <v>0.28424768518518517</v>
      </c>
      <c r="C6442">
        <v>117</v>
      </c>
      <c r="D6442" t="str">
        <f>VLOOKUP(H6442,Produkt!$A$2:$B$5,2,FALSE)</f>
        <v>B</v>
      </c>
      <c r="H6442">
        <v>2</v>
      </c>
      <c r="I6442">
        <v>0.35177083333333337</v>
      </c>
      <c r="J6442">
        <v>44781</v>
      </c>
    </row>
    <row r="6443" spans="1:10" x14ac:dyDescent="0.35">
      <c r="A6443" s="2">
        <v>44794</v>
      </c>
      <c r="B6443" s="3">
        <v>0.77776620370370375</v>
      </c>
      <c r="C6443">
        <v>157</v>
      </c>
      <c r="D6443" t="str">
        <f>VLOOKUP(H6443,Produkt!$A$2:$B$5,2,FALSE)</f>
        <v>D</v>
      </c>
      <c r="H6443">
        <v>4</v>
      </c>
      <c r="I6443">
        <v>0.96990740740740744</v>
      </c>
      <c r="J6443">
        <v>44774</v>
      </c>
    </row>
    <row r="6444" spans="1:10" x14ac:dyDescent="0.35">
      <c r="A6444" s="2">
        <v>44794</v>
      </c>
      <c r="B6444" s="3">
        <v>0.79182870370370362</v>
      </c>
      <c r="C6444">
        <v>180</v>
      </c>
      <c r="D6444" t="str">
        <f>VLOOKUP(H6444,Produkt!$A$2:$B$5,2,FALSE)</f>
        <v>D</v>
      </c>
      <c r="H6444">
        <v>4</v>
      </c>
      <c r="I6444">
        <v>0.25908564814814816</v>
      </c>
      <c r="J6444">
        <v>44793</v>
      </c>
    </row>
    <row r="6445" spans="1:10" x14ac:dyDescent="0.35">
      <c r="A6445" s="2">
        <v>44794</v>
      </c>
      <c r="B6445" s="3">
        <v>0.98160879629629638</v>
      </c>
      <c r="C6445">
        <v>202</v>
      </c>
      <c r="D6445" t="str">
        <f>VLOOKUP(H6445,Produkt!$A$2:$B$5,2,FALSE)</f>
        <v>B</v>
      </c>
      <c r="H6445">
        <v>2</v>
      </c>
      <c r="I6445">
        <v>0.62582175925925931</v>
      </c>
      <c r="J6445">
        <v>44790</v>
      </c>
    </row>
    <row r="6446" spans="1:10" x14ac:dyDescent="0.35">
      <c r="A6446" s="2">
        <v>44794</v>
      </c>
      <c r="B6446" s="3">
        <v>0.68283564814814823</v>
      </c>
      <c r="C6446">
        <v>235</v>
      </c>
      <c r="D6446" t="str">
        <f>VLOOKUP(H6446,Produkt!$A$2:$B$5,2,FALSE)</f>
        <v>C</v>
      </c>
      <c r="H6446">
        <v>3</v>
      </c>
      <c r="I6446">
        <v>0.39248842592592598</v>
      </c>
      <c r="J6446">
        <v>44774</v>
      </c>
    </row>
    <row r="6447" spans="1:10" x14ac:dyDescent="0.35">
      <c r="A6447" s="2">
        <v>44794</v>
      </c>
      <c r="B6447" s="3">
        <v>0.46379629629629626</v>
      </c>
      <c r="C6447">
        <v>310</v>
      </c>
      <c r="D6447" t="str">
        <f>VLOOKUP(H6447,Produkt!$A$2:$B$5,2,FALSE)</f>
        <v>B</v>
      </c>
      <c r="H6447">
        <v>2</v>
      </c>
      <c r="I6447">
        <v>0.92781249999999993</v>
      </c>
      <c r="J6447">
        <v>44780</v>
      </c>
    </row>
    <row r="6448" spans="1:10" x14ac:dyDescent="0.35">
      <c r="A6448" s="2">
        <v>44794</v>
      </c>
      <c r="B6448" s="3">
        <v>0.6141550925925926</v>
      </c>
      <c r="C6448">
        <v>311</v>
      </c>
      <c r="D6448" t="str">
        <f>VLOOKUP(H6448,Produkt!$A$2:$B$5,2,FALSE)</f>
        <v>A</v>
      </c>
      <c r="H6448">
        <v>1</v>
      </c>
      <c r="I6448">
        <v>0.97944444444444445</v>
      </c>
      <c r="J6448">
        <v>44791</v>
      </c>
    </row>
    <row r="6449" spans="1:10" x14ac:dyDescent="0.35">
      <c r="A6449" s="2">
        <v>44794</v>
      </c>
      <c r="B6449" s="3">
        <v>0.8453356481481481</v>
      </c>
      <c r="C6449">
        <v>329</v>
      </c>
      <c r="D6449" t="str">
        <f>VLOOKUP(H6449,Produkt!$A$2:$B$5,2,FALSE)</f>
        <v>D</v>
      </c>
      <c r="H6449">
        <v>4</v>
      </c>
      <c r="I6449">
        <v>0.72212962962962957</v>
      </c>
      <c r="J6449">
        <v>44789</v>
      </c>
    </row>
    <row r="6450" spans="1:10" x14ac:dyDescent="0.35">
      <c r="A6450" s="2">
        <v>44794</v>
      </c>
      <c r="B6450" s="3">
        <v>0.61484953703703704</v>
      </c>
      <c r="C6450">
        <v>344</v>
      </c>
      <c r="D6450" t="str">
        <f>VLOOKUP(H6450,Produkt!$A$2:$B$5,2,FALSE)</f>
        <v>B</v>
      </c>
      <c r="H6450">
        <v>2</v>
      </c>
      <c r="I6450">
        <v>0.24870370370370373</v>
      </c>
      <c r="J6450">
        <v>44777</v>
      </c>
    </row>
    <row r="6451" spans="1:10" x14ac:dyDescent="0.35">
      <c r="A6451" s="2">
        <v>44794</v>
      </c>
      <c r="B6451" s="3">
        <v>0.65019675925925924</v>
      </c>
      <c r="C6451">
        <v>425</v>
      </c>
      <c r="D6451" t="str">
        <f>VLOOKUP(H6451,Produkt!$A$2:$B$5,2,FALSE)</f>
        <v>D</v>
      </c>
      <c r="H6451">
        <v>4</v>
      </c>
      <c r="I6451">
        <v>0.97021990740740749</v>
      </c>
      <c r="J6451">
        <v>44802</v>
      </c>
    </row>
    <row r="6452" spans="1:10" x14ac:dyDescent="0.35">
      <c r="A6452" s="2">
        <v>44794</v>
      </c>
      <c r="B6452" s="3">
        <v>0.92623842592592587</v>
      </c>
      <c r="C6452">
        <v>474</v>
      </c>
      <c r="D6452" t="str">
        <f>VLOOKUP(H6452,Produkt!$A$2:$B$5,2,FALSE)</f>
        <v>B</v>
      </c>
      <c r="H6452">
        <v>2</v>
      </c>
      <c r="I6452">
        <v>0.99763888888888896</v>
      </c>
      <c r="J6452">
        <v>44786</v>
      </c>
    </row>
    <row r="6453" spans="1:10" x14ac:dyDescent="0.35">
      <c r="A6453" s="2">
        <v>44794</v>
      </c>
      <c r="B6453" s="3">
        <v>0.50443287037037032</v>
      </c>
      <c r="C6453">
        <v>510</v>
      </c>
      <c r="D6453" t="str">
        <f>VLOOKUP(H6453,Produkt!$A$2:$B$5,2,FALSE)</f>
        <v>B</v>
      </c>
      <c r="H6453">
        <v>2</v>
      </c>
      <c r="I6453">
        <v>0.60293981481481485</v>
      </c>
      <c r="J6453">
        <v>44784</v>
      </c>
    </row>
    <row r="6454" spans="1:10" x14ac:dyDescent="0.35">
      <c r="A6454" s="2">
        <v>44794</v>
      </c>
      <c r="B6454" s="3">
        <v>0.51785879629629628</v>
      </c>
      <c r="C6454">
        <v>557</v>
      </c>
      <c r="D6454" t="str">
        <f>VLOOKUP(H6454,Produkt!$A$2:$B$5,2,FALSE)</f>
        <v>D</v>
      </c>
      <c r="H6454">
        <v>4</v>
      </c>
      <c r="I6454">
        <v>6.0335648148148145E-2</v>
      </c>
      <c r="J6454">
        <v>44789</v>
      </c>
    </row>
    <row r="6455" spans="1:10" x14ac:dyDescent="0.35">
      <c r="A6455" s="2">
        <v>44794</v>
      </c>
      <c r="B6455" s="3">
        <v>0.36601851851851852</v>
      </c>
      <c r="C6455">
        <v>582</v>
      </c>
      <c r="D6455" t="str">
        <f>VLOOKUP(H6455,Produkt!$A$2:$B$5,2,FALSE)</f>
        <v>C</v>
      </c>
      <c r="H6455">
        <v>3</v>
      </c>
      <c r="I6455">
        <v>0.56381944444444443</v>
      </c>
      <c r="J6455">
        <v>44778</v>
      </c>
    </row>
    <row r="6456" spans="1:10" x14ac:dyDescent="0.35">
      <c r="A6456" s="2">
        <v>44794</v>
      </c>
      <c r="B6456" s="3">
        <v>0.1925</v>
      </c>
      <c r="C6456">
        <v>583</v>
      </c>
      <c r="D6456" t="str">
        <f>VLOOKUP(H6456,Produkt!$A$2:$B$5,2,FALSE)</f>
        <v>D</v>
      </c>
      <c r="H6456">
        <v>4</v>
      </c>
      <c r="I6456">
        <v>0.27487268518518521</v>
      </c>
      <c r="J6456">
        <v>44793</v>
      </c>
    </row>
    <row r="6457" spans="1:10" x14ac:dyDescent="0.35">
      <c r="A6457" s="2">
        <v>44794</v>
      </c>
      <c r="B6457" s="3">
        <v>0.26226851851851851</v>
      </c>
      <c r="C6457">
        <v>622</v>
      </c>
      <c r="D6457" t="str">
        <f>VLOOKUP(H6457,Produkt!$A$2:$B$5,2,FALSE)</f>
        <v>B</v>
      </c>
      <c r="H6457">
        <v>2</v>
      </c>
      <c r="I6457">
        <v>0.22246527777777778</v>
      </c>
      <c r="J6457">
        <v>44783</v>
      </c>
    </row>
    <row r="6458" spans="1:10" x14ac:dyDescent="0.35">
      <c r="A6458" s="2">
        <v>44794</v>
      </c>
      <c r="B6458" s="3">
        <v>0.39527777777777778</v>
      </c>
      <c r="C6458">
        <v>640</v>
      </c>
      <c r="D6458" t="str">
        <f>VLOOKUP(H6458,Produkt!$A$2:$B$5,2,FALSE)</f>
        <v>C</v>
      </c>
      <c r="H6458">
        <v>3</v>
      </c>
      <c r="I6458">
        <v>0.4271064814814815</v>
      </c>
      <c r="J6458">
        <v>44803</v>
      </c>
    </row>
    <row r="6459" spans="1:10" x14ac:dyDescent="0.35">
      <c r="A6459" s="2">
        <v>44794</v>
      </c>
      <c r="B6459" s="3">
        <v>0.52270833333333333</v>
      </c>
      <c r="C6459">
        <v>670</v>
      </c>
      <c r="D6459" t="str">
        <f>VLOOKUP(H6459,Produkt!$A$2:$B$5,2,FALSE)</f>
        <v>C</v>
      </c>
      <c r="H6459">
        <v>3</v>
      </c>
      <c r="I6459">
        <v>0.54047453703703707</v>
      </c>
      <c r="J6459">
        <v>44802</v>
      </c>
    </row>
    <row r="6460" spans="1:10" x14ac:dyDescent="0.35">
      <c r="A6460" s="2">
        <v>44794</v>
      </c>
      <c r="B6460" s="3">
        <v>0.61502314814814818</v>
      </c>
      <c r="C6460">
        <v>688</v>
      </c>
      <c r="D6460" t="str">
        <f>VLOOKUP(H6460,Produkt!$A$2:$B$5,2,FALSE)</f>
        <v>A</v>
      </c>
      <c r="H6460">
        <v>1</v>
      </c>
      <c r="I6460">
        <v>0.31622685185185184</v>
      </c>
      <c r="J6460">
        <v>44797</v>
      </c>
    </row>
    <row r="6461" spans="1:10" x14ac:dyDescent="0.35">
      <c r="A6461" s="2">
        <v>44794</v>
      </c>
      <c r="B6461" s="3">
        <v>2.2199074074074066E-2</v>
      </c>
      <c r="C6461">
        <v>697</v>
      </c>
      <c r="D6461" t="str">
        <f>VLOOKUP(H6461,Produkt!$A$2:$B$5,2,FALSE)</f>
        <v>B</v>
      </c>
      <c r="H6461">
        <v>2</v>
      </c>
      <c r="I6461">
        <v>0.73140046296296291</v>
      </c>
      <c r="J6461">
        <v>44794</v>
      </c>
    </row>
    <row r="6462" spans="1:10" x14ac:dyDescent="0.35">
      <c r="A6462" s="2">
        <v>44794</v>
      </c>
      <c r="B6462" s="3">
        <v>0.42767361111111107</v>
      </c>
      <c r="C6462">
        <v>707</v>
      </c>
      <c r="D6462" t="str">
        <f>VLOOKUP(H6462,Produkt!$A$2:$B$5,2,FALSE)</f>
        <v>B</v>
      </c>
      <c r="H6462">
        <v>2</v>
      </c>
      <c r="I6462">
        <v>0.24203703703703705</v>
      </c>
      <c r="J6462">
        <v>44786</v>
      </c>
    </row>
    <row r="6463" spans="1:10" x14ac:dyDescent="0.35">
      <c r="A6463" s="2">
        <v>44794</v>
      </c>
      <c r="B6463" s="3">
        <v>0.67416666666666669</v>
      </c>
      <c r="C6463">
        <v>731</v>
      </c>
      <c r="D6463" t="str">
        <f>VLOOKUP(H6463,Produkt!$A$2:$B$5,2,FALSE)</f>
        <v>D</v>
      </c>
      <c r="H6463">
        <v>4</v>
      </c>
      <c r="I6463">
        <v>0.19542824074074075</v>
      </c>
      <c r="J6463">
        <v>44784</v>
      </c>
    </row>
    <row r="6464" spans="1:10" x14ac:dyDescent="0.35">
      <c r="A6464" s="2">
        <v>44794</v>
      </c>
      <c r="B6464" s="3">
        <v>3.6805555555555557E-2</v>
      </c>
      <c r="C6464">
        <v>785</v>
      </c>
      <c r="D6464" t="str">
        <f>VLOOKUP(H6464,Produkt!$A$2:$B$5,2,FALSE)</f>
        <v>A</v>
      </c>
      <c r="H6464">
        <v>1</v>
      </c>
      <c r="I6464">
        <v>0.96635416666666663</v>
      </c>
      <c r="J6464">
        <v>44776</v>
      </c>
    </row>
    <row r="6465" spans="1:10" x14ac:dyDescent="0.35">
      <c r="A6465" s="2">
        <v>44794</v>
      </c>
      <c r="B6465" s="3">
        <v>0.41910879629629627</v>
      </c>
      <c r="C6465">
        <v>787</v>
      </c>
      <c r="D6465" t="str">
        <f>VLOOKUP(H6465,Produkt!$A$2:$B$5,2,FALSE)</f>
        <v>C</v>
      </c>
      <c r="H6465">
        <v>3</v>
      </c>
      <c r="I6465">
        <v>0.50025462962962963</v>
      </c>
      <c r="J6465">
        <v>44796</v>
      </c>
    </row>
    <row r="6466" spans="1:10" x14ac:dyDescent="0.35">
      <c r="A6466" s="2">
        <v>44794</v>
      </c>
      <c r="B6466" s="3">
        <v>0.54769675925925931</v>
      </c>
      <c r="C6466">
        <v>791</v>
      </c>
      <c r="D6466" t="str">
        <f>VLOOKUP(H6466,Produkt!$A$2:$B$5,2,FALSE)</f>
        <v>A</v>
      </c>
      <c r="H6466">
        <v>1</v>
      </c>
      <c r="I6466">
        <v>0.54423611111111114</v>
      </c>
      <c r="J6466">
        <v>44803</v>
      </c>
    </row>
    <row r="6467" spans="1:10" x14ac:dyDescent="0.35">
      <c r="A6467" s="2">
        <v>44794</v>
      </c>
      <c r="B6467" s="3">
        <v>0.32336805555555553</v>
      </c>
      <c r="C6467">
        <v>792</v>
      </c>
      <c r="D6467" t="str">
        <f>VLOOKUP(H6467,Produkt!$A$2:$B$5,2,FALSE)</f>
        <v>D</v>
      </c>
      <c r="H6467">
        <v>4</v>
      </c>
      <c r="I6467">
        <v>0.14224537037037036</v>
      </c>
      <c r="J6467">
        <v>44777</v>
      </c>
    </row>
    <row r="6468" spans="1:10" x14ac:dyDescent="0.35">
      <c r="A6468" s="2">
        <v>44794</v>
      </c>
      <c r="B6468" s="3">
        <v>6.4733796296296289E-2</v>
      </c>
      <c r="C6468">
        <v>811</v>
      </c>
      <c r="D6468" t="str">
        <f>VLOOKUP(H6468,Produkt!$A$2:$B$5,2,FALSE)</f>
        <v>A</v>
      </c>
      <c r="H6468">
        <v>1</v>
      </c>
      <c r="I6468">
        <v>0.70886574074074071</v>
      </c>
      <c r="J6468">
        <v>44803</v>
      </c>
    </row>
    <row r="6469" spans="1:10" x14ac:dyDescent="0.35">
      <c r="A6469" s="2">
        <v>44794</v>
      </c>
      <c r="B6469" s="3">
        <v>0.16734953703703703</v>
      </c>
      <c r="C6469">
        <v>854</v>
      </c>
      <c r="D6469" t="str">
        <f>VLOOKUP(H6469,Produkt!$A$2:$B$5,2,FALSE)</f>
        <v>D</v>
      </c>
      <c r="H6469">
        <v>4</v>
      </c>
      <c r="I6469">
        <v>0.70773148148148157</v>
      </c>
      <c r="J6469">
        <v>44775</v>
      </c>
    </row>
    <row r="6470" spans="1:10" x14ac:dyDescent="0.35">
      <c r="A6470" s="2">
        <v>44794</v>
      </c>
      <c r="B6470" s="3">
        <v>0.44493055555555555</v>
      </c>
      <c r="C6470">
        <v>878</v>
      </c>
      <c r="D6470" t="str">
        <f>VLOOKUP(H6470,Produkt!$A$2:$B$5,2,FALSE)</f>
        <v>A</v>
      </c>
      <c r="H6470">
        <v>1</v>
      </c>
      <c r="I6470">
        <v>2.9224537037036979E-2</v>
      </c>
      <c r="J6470">
        <v>44799</v>
      </c>
    </row>
    <row r="6471" spans="1:10" x14ac:dyDescent="0.35">
      <c r="A6471" s="2">
        <v>44794</v>
      </c>
      <c r="B6471" s="3">
        <v>4.5925925925925926E-2</v>
      </c>
      <c r="C6471">
        <v>883</v>
      </c>
      <c r="D6471" t="str">
        <f>VLOOKUP(H6471,Produkt!$A$2:$B$5,2,FALSE)</f>
        <v>A</v>
      </c>
      <c r="H6471">
        <v>1</v>
      </c>
      <c r="I6471">
        <v>0.67741898148148139</v>
      </c>
      <c r="J6471">
        <v>44784</v>
      </c>
    </row>
    <row r="6472" spans="1:10" x14ac:dyDescent="0.35">
      <c r="A6472" s="2">
        <v>44794</v>
      </c>
      <c r="B6472" s="3">
        <v>0.91954861111111119</v>
      </c>
      <c r="C6472">
        <v>926</v>
      </c>
      <c r="D6472" t="str">
        <f>VLOOKUP(H6472,Produkt!$A$2:$B$5,2,FALSE)</f>
        <v>B</v>
      </c>
      <c r="H6472">
        <v>2</v>
      </c>
      <c r="I6472">
        <v>0.57964120370370364</v>
      </c>
      <c r="J6472">
        <v>44790</v>
      </c>
    </row>
    <row r="6473" spans="1:10" x14ac:dyDescent="0.35">
      <c r="A6473" s="2">
        <v>44794</v>
      </c>
      <c r="B6473" s="3">
        <v>0.15349537037037037</v>
      </c>
      <c r="C6473">
        <v>936</v>
      </c>
      <c r="D6473" t="str">
        <f>VLOOKUP(H6473,Produkt!$A$2:$B$5,2,FALSE)</f>
        <v>A</v>
      </c>
      <c r="H6473">
        <v>1</v>
      </c>
      <c r="I6473">
        <v>0.3611111111111111</v>
      </c>
      <c r="J6473">
        <v>44776</v>
      </c>
    </row>
    <row r="6474" spans="1:10" x14ac:dyDescent="0.35">
      <c r="A6474" s="2">
        <v>44794</v>
      </c>
      <c r="B6474" s="3">
        <v>0.32913194444444444</v>
      </c>
      <c r="C6474">
        <v>1008</v>
      </c>
      <c r="D6474" t="str">
        <f>VLOOKUP(H6474,Produkt!$A$2:$B$5,2,FALSE)</f>
        <v>C</v>
      </c>
      <c r="H6474">
        <v>3</v>
      </c>
      <c r="I6474">
        <v>0.55142361111111116</v>
      </c>
      <c r="J6474">
        <v>44787</v>
      </c>
    </row>
    <row r="6475" spans="1:10" x14ac:dyDescent="0.35">
      <c r="A6475" s="2">
        <v>44794</v>
      </c>
      <c r="B6475" s="3">
        <v>0.75586805555555558</v>
      </c>
      <c r="C6475">
        <v>1027</v>
      </c>
      <c r="D6475" t="str">
        <f>VLOOKUP(H6475,Produkt!$A$2:$B$5,2,FALSE)</f>
        <v>B</v>
      </c>
      <c r="H6475">
        <v>2</v>
      </c>
      <c r="I6475">
        <v>0.53143518518518518</v>
      </c>
      <c r="J6475">
        <v>44803</v>
      </c>
    </row>
    <row r="6476" spans="1:10" x14ac:dyDescent="0.35">
      <c r="A6476" s="2">
        <v>44794</v>
      </c>
      <c r="B6476" s="3">
        <v>0.18074074074074076</v>
      </c>
      <c r="C6476">
        <v>1029</v>
      </c>
      <c r="D6476" t="str">
        <f>VLOOKUP(H6476,Produkt!$A$2:$B$5,2,FALSE)</f>
        <v>C</v>
      </c>
      <c r="H6476">
        <v>3</v>
      </c>
      <c r="I6476">
        <v>0.43458333333333332</v>
      </c>
      <c r="J6476">
        <v>44802</v>
      </c>
    </row>
    <row r="6477" spans="1:10" x14ac:dyDescent="0.35">
      <c r="A6477" s="2">
        <v>44794</v>
      </c>
      <c r="B6477" s="3">
        <v>0.18887731481481482</v>
      </c>
      <c r="C6477">
        <v>1035</v>
      </c>
      <c r="D6477" t="str">
        <f>VLOOKUP(H6477,Produkt!$A$2:$B$5,2,FALSE)</f>
        <v>C</v>
      </c>
      <c r="H6477">
        <v>3</v>
      </c>
      <c r="I6477">
        <v>0.37835648148148149</v>
      </c>
      <c r="J6477">
        <v>44789</v>
      </c>
    </row>
    <row r="6478" spans="1:10" x14ac:dyDescent="0.35">
      <c r="A6478" s="2">
        <v>44794</v>
      </c>
      <c r="B6478" s="3">
        <v>3.5937500000000004E-2</v>
      </c>
      <c r="C6478">
        <v>1122</v>
      </c>
      <c r="D6478" t="str">
        <f>VLOOKUP(H6478,Produkt!$A$2:$B$5,2,FALSE)</f>
        <v>D</v>
      </c>
      <c r="H6478">
        <v>4</v>
      </c>
      <c r="I6478">
        <v>0.58802083333333333</v>
      </c>
      <c r="J6478">
        <v>44794</v>
      </c>
    </row>
    <row r="6479" spans="1:10" x14ac:dyDescent="0.35">
      <c r="A6479" s="2">
        <v>44794</v>
      </c>
      <c r="B6479" s="3">
        <v>0.63033564814814813</v>
      </c>
      <c r="C6479">
        <v>1160</v>
      </c>
      <c r="D6479" t="str">
        <f>VLOOKUP(H6479,Produkt!$A$2:$B$5,2,FALSE)</f>
        <v>A</v>
      </c>
      <c r="H6479">
        <v>1</v>
      </c>
      <c r="I6479">
        <v>9.6759259259259264E-3</v>
      </c>
      <c r="J6479">
        <v>44791</v>
      </c>
    </row>
    <row r="6480" spans="1:10" x14ac:dyDescent="0.35">
      <c r="A6480" s="2">
        <v>44794</v>
      </c>
      <c r="B6480" s="3">
        <v>5.5555555555555552E-2</v>
      </c>
      <c r="C6480">
        <v>1220</v>
      </c>
      <c r="D6480" t="str">
        <f>VLOOKUP(H6480,Produkt!$A$2:$B$5,2,FALSE)</f>
        <v>B</v>
      </c>
      <c r="H6480">
        <v>2</v>
      </c>
      <c r="I6480">
        <v>0.63680555555555551</v>
      </c>
      <c r="J6480">
        <v>44790</v>
      </c>
    </row>
    <row r="6481" spans="1:10" x14ac:dyDescent="0.35">
      <c r="A6481" s="2">
        <v>44794</v>
      </c>
      <c r="B6481" s="3">
        <v>0.33353009259259259</v>
      </c>
      <c r="C6481">
        <v>1258</v>
      </c>
      <c r="D6481" t="str">
        <f>VLOOKUP(H6481,Produkt!$A$2:$B$5,2,FALSE)</f>
        <v>A</v>
      </c>
      <c r="H6481">
        <v>1</v>
      </c>
      <c r="I6481">
        <v>0.55656249999999996</v>
      </c>
      <c r="J6481">
        <v>44786</v>
      </c>
    </row>
    <row r="6482" spans="1:10" x14ac:dyDescent="0.35">
      <c r="A6482" s="2">
        <v>44794</v>
      </c>
      <c r="B6482" s="3">
        <v>0.92521990740740734</v>
      </c>
      <c r="C6482">
        <v>1431</v>
      </c>
      <c r="D6482" t="str">
        <f>VLOOKUP(H6482,Produkt!$A$2:$B$5,2,FALSE)</f>
        <v>D</v>
      </c>
      <c r="H6482">
        <v>4</v>
      </c>
      <c r="I6482">
        <v>0.41734953703703703</v>
      </c>
      <c r="J6482">
        <v>44777</v>
      </c>
    </row>
    <row r="6483" spans="1:10" x14ac:dyDescent="0.35">
      <c r="A6483" s="2">
        <v>44794</v>
      </c>
      <c r="B6483" s="3">
        <v>1.0787037037037095E-2</v>
      </c>
      <c r="C6483">
        <v>1498</v>
      </c>
      <c r="D6483" t="str">
        <f>VLOOKUP(H6483,Produkt!$A$2:$B$5,2,FALSE)</f>
        <v>D</v>
      </c>
      <c r="H6483">
        <v>4</v>
      </c>
      <c r="I6483">
        <v>0.49086805555555557</v>
      </c>
      <c r="J6483">
        <v>44802</v>
      </c>
    </row>
    <row r="6484" spans="1:10" x14ac:dyDescent="0.35">
      <c r="A6484" s="2">
        <v>44794</v>
      </c>
      <c r="B6484" s="3">
        <v>0.57385416666666667</v>
      </c>
      <c r="C6484">
        <v>1503</v>
      </c>
      <c r="D6484" t="str">
        <f>VLOOKUP(H6484,Produkt!$A$2:$B$5,2,FALSE)</f>
        <v>A</v>
      </c>
      <c r="H6484">
        <v>1</v>
      </c>
      <c r="I6484">
        <v>0.88440972222222225</v>
      </c>
      <c r="J6484">
        <v>44788</v>
      </c>
    </row>
    <row r="6485" spans="1:10" x14ac:dyDescent="0.35">
      <c r="A6485" s="2">
        <v>44794</v>
      </c>
      <c r="B6485" s="3">
        <v>0.91184027777777776</v>
      </c>
      <c r="C6485">
        <v>1572</v>
      </c>
      <c r="D6485" t="str">
        <f>VLOOKUP(H6485,Produkt!$A$2:$B$5,2,FALSE)</f>
        <v>D</v>
      </c>
      <c r="H6485">
        <v>4</v>
      </c>
      <c r="I6485">
        <v>0.80421296296296296</v>
      </c>
      <c r="J6485">
        <v>44791</v>
      </c>
    </row>
    <row r="6486" spans="1:10" x14ac:dyDescent="0.35">
      <c r="A6486" s="2">
        <v>44794</v>
      </c>
      <c r="B6486" s="3">
        <v>0.7440972222222223</v>
      </c>
      <c r="C6486">
        <v>1703</v>
      </c>
      <c r="D6486" t="str">
        <f>VLOOKUP(H6486,Produkt!$A$2:$B$5,2,FALSE)</f>
        <v>A</v>
      </c>
      <c r="H6486">
        <v>1</v>
      </c>
      <c r="I6486">
        <v>0.20409722222222224</v>
      </c>
      <c r="J6486">
        <v>44795</v>
      </c>
    </row>
    <row r="6487" spans="1:10" x14ac:dyDescent="0.35">
      <c r="A6487" s="2">
        <v>44794</v>
      </c>
      <c r="B6487" s="3">
        <v>0.23056712962962964</v>
      </c>
      <c r="C6487">
        <v>1705</v>
      </c>
      <c r="D6487" t="str">
        <f>VLOOKUP(H6487,Produkt!$A$2:$B$5,2,FALSE)</f>
        <v>B</v>
      </c>
      <c r="H6487">
        <v>2</v>
      </c>
      <c r="I6487">
        <v>0.68309027777777775</v>
      </c>
      <c r="J6487">
        <v>44777</v>
      </c>
    </row>
    <row r="6488" spans="1:10" x14ac:dyDescent="0.35">
      <c r="A6488" s="2">
        <v>44794</v>
      </c>
      <c r="B6488" s="3">
        <v>0.12946759259259258</v>
      </c>
      <c r="C6488">
        <v>1765</v>
      </c>
      <c r="D6488" t="str">
        <f>VLOOKUP(H6488,Produkt!$A$2:$B$5,2,FALSE)</f>
        <v>C</v>
      </c>
      <c r="H6488">
        <v>3</v>
      </c>
      <c r="I6488">
        <v>0.69217592592592592</v>
      </c>
      <c r="J6488">
        <v>44781</v>
      </c>
    </row>
    <row r="6489" spans="1:10" x14ac:dyDescent="0.35">
      <c r="A6489" s="2">
        <v>44794</v>
      </c>
      <c r="B6489" s="3">
        <v>0.1479398148148148</v>
      </c>
      <c r="C6489">
        <v>1771</v>
      </c>
      <c r="D6489" t="str">
        <f>VLOOKUP(H6489,Produkt!$A$2:$B$5,2,FALSE)</f>
        <v>A</v>
      </c>
      <c r="H6489">
        <v>1</v>
      </c>
      <c r="I6489">
        <v>0.64430555555555558</v>
      </c>
      <c r="J6489">
        <v>44788</v>
      </c>
    </row>
    <row r="6490" spans="1:10" x14ac:dyDescent="0.35">
      <c r="A6490" s="2">
        <v>44794</v>
      </c>
      <c r="B6490" s="3">
        <v>0.91581018518518509</v>
      </c>
      <c r="C6490">
        <v>1795</v>
      </c>
      <c r="D6490" t="str">
        <f>VLOOKUP(H6490,Produkt!$A$2:$B$5,2,FALSE)</f>
        <v>D</v>
      </c>
      <c r="H6490">
        <v>4</v>
      </c>
      <c r="I6490">
        <v>0.91710648148148144</v>
      </c>
      <c r="J6490">
        <v>44785</v>
      </c>
    </row>
    <row r="6491" spans="1:10" x14ac:dyDescent="0.35">
      <c r="A6491" s="2">
        <v>44794</v>
      </c>
      <c r="B6491" s="3">
        <v>0.21532407407407406</v>
      </c>
      <c r="C6491">
        <v>1810</v>
      </c>
      <c r="D6491" t="str">
        <f>VLOOKUP(H6491,Produkt!$A$2:$B$5,2,FALSE)</f>
        <v>A</v>
      </c>
      <c r="H6491">
        <v>1</v>
      </c>
      <c r="I6491">
        <v>0.62010416666666668</v>
      </c>
      <c r="J6491">
        <v>44801</v>
      </c>
    </row>
    <row r="6492" spans="1:10" x14ac:dyDescent="0.35">
      <c r="A6492" s="2">
        <v>44794</v>
      </c>
      <c r="B6492" s="3">
        <v>0.28502314814814816</v>
      </c>
      <c r="C6492">
        <v>1873</v>
      </c>
      <c r="D6492" t="str">
        <f>VLOOKUP(H6492,Produkt!$A$2:$B$5,2,FALSE)</f>
        <v>C</v>
      </c>
      <c r="H6492">
        <v>3</v>
      </c>
      <c r="I6492">
        <v>2.7199074074073515E-3</v>
      </c>
      <c r="J6492">
        <v>44802</v>
      </c>
    </row>
    <row r="6493" spans="1:10" x14ac:dyDescent="0.35">
      <c r="A6493" s="2">
        <v>44794</v>
      </c>
      <c r="B6493" s="3">
        <v>0.21111111111111111</v>
      </c>
      <c r="C6493">
        <v>1874</v>
      </c>
      <c r="D6493" t="str">
        <f>VLOOKUP(H6493,Produkt!$A$2:$B$5,2,FALSE)</f>
        <v>B</v>
      </c>
      <c r="H6493">
        <v>2</v>
      </c>
      <c r="I6493">
        <v>0.3001388888888889</v>
      </c>
      <c r="J6493">
        <v>44792</v>
      </c>
    </row>
    <row r="6494" spans="1:10" x14ac:dyDescent="0.35">
      <c r="A6494" s="2">
        <v>44794</v>
      </c>
      <c r="B6494" s="3">
        <v>0.46348379629629632</v>
      </c>
      <c r="C6494">
        <v>1876</v>
      </c>
      <c r="D6494" t="str">
        <f>VLOOKUP(H6494,Produkt!$A$2:$B$5,2,FALSE)</f>
        <v>D</v>
      </c>
      <c r="H6494">
        <v>4</v>
      </c>
      <c r="I6494">
        <v>0.69672453703703707</v>
      </c>
      <c r="J6494">
        <v>44803</v>
      </c>
    </row>
    <row r="6495" spans="1:10" x14ac:dyDescent="0.35">
      <c r="A6495" s="2">
        <v>44794</v>
      </c>
      <c r="B6495" s="3">
        <v>0.69082175925925926</v>
      </c>
      <c r="C6495">
        <v>1907</v>
      </c>
      <c r="D6495" t="str">
        <f>VLOOKUP(H6495,Produkt!$A$2:$B$5,2,FALSE)</f>
        <v>D</v>
      </c>
      <c r="H6495">
        <v>4</v>
      </c>
      <c r="I6495">
        <v>0.49371527777777779</v>
      </c>
      <c r="J6495">
        <v>44800</v>
      </c>
    </row>
    <row r="6496" spans="1:10" x14ac:dyDescent="0.35">
      <c r="A6496" s="2">
        <v>44794</v>
      </c>
      <c r="B6496" s="3">
        <v>0.18284722222222224</v>
      </c>
      <c r="C6496">
        <v>1944</v>
      </c>
      <c r="D6496" t="str">
        <f>VLOOKUP(H6496,Produkt!$A$2:$B$5,2,FALSE)</f>
        <v>B</v>
      </c>
      <c r="H6496">
        <v>2</v>
      </c>
      <c r="I6496">
        <v>0.47407407407407409</v>
      </c>
      <c r="J6496">
        <v>44776</v>
      </c>
    </row>
    <row r="6497" spans="1:10" x14ac:dyDescent="0.35">
      <c r="A6497" s="2">
        <v>44794</v>
      </c>
      <c r="B6497" s="3">
        <v>0.90628472222222223</v>
      </c>
      <c r="C6497">
        <v>2007</v>
      </c>
      <c r="D6497" t="str">
        <f>VLOOKUP(H6497,Produkt!$A$2:$B$5,2,FALSE)</f>
        <v>C</v>
      </c>
      <c r="H6497">
        <v>3</v>
      </c>
      <c r="I6497">
        <v>0.37119212962962966</v>
      </c>
      <c r="J6497">
        <v>44780</v>
      </c>
    </row>
    <row r="6498" spans="1:10" x14ac:dyDescent="0.35">
      <c r="A6498" s="2">
        <v>44794</v>
      </c>
      <c r="B6498" s="3">
        <v>0.90976851851851848</v>
      </c>
      <c r="C6498">
        <v>2052</v>
      </c>
      <c r="D6498" t="str">
        <f>VLOOKUP(H6498,Produkt!$A$2:$B$5,2,FALSE)</f>
        <v>D</v>
      </c>
      <c r="H6498">
        <v>4</v>
      </c>
      <c r="I6498">
        <v>0.45174768518518515</v>
      </c>
      <c r="J6498">
        <v>44789</v>
      </c>
    </row>
    <row r="6499" spans="1:10" x14ac:dyDescent="0.35">
      <c r="A6499" s="2">
        <v>44794</v>
      </c>
      <c r="B6499" s="3">
        <v>0.29136574074074073</v>
      </c>
      <c r="C6499">
        <v>2053</v>
      </c>
      <c r="D6499" t="str">
        <f>VLOOKUP(H6499,Produkt!$A$2:$B$5,2,FALSE)</f>
        <v>C</v>
      </c>
      <c r="H6499">
        <v>3</v>
      </c>
      <c r="I6499">
        <v>0.75105324074074076</v>
      </c>
      <c r="J6499">
        <v>44779</v>
      </c>
    </row>
    <row r="6500" spans="1:10" x14ac:dyDescent="0.35">
      <c r="A6500" s="2">
        <v>44794</v>
      </c>
      <c r="B6500" s="3">
        <v>0.61258101851851854</v>
      </c>
      <c r="C6500">
        <v>2098</v>
      </c>
      <c r="D6500" t="str">
        <f>VLOOKUP(H6500,Produkt!$A$2:$B$5,2,FALSE)</f>
        <v>A</v>
      </c>
      <c r="H6500">
        <v>1</v>
      </c>
      <c r="I6500">
        <v>0.88568287037037041</v>
      </c>
      <c r="J6500">
        <v>44802</v>
      </c>
    </row>
    <row r="6501" spans="1:10" x14ac:dyDescent="0.35">
      <c r="A6501" s="2">
        <v>44794</v>
      </c>
      <c r="B6501" s="3">
        <v>0.14341435185185183</v>
      </c>
      <c r="C6501">
        <v>2166</v>
      </c>
      <c r="D6501" t="str">
        <f>VLOOKUP(H6501,Produkt!$A$2:$B$5,2,FALSE)</f>
        <v>D</v>
      </c>
      <c r="H6501">
        <v>4</v>
      </c>
      <c r="I6501">
        <v>7.5462962962962177E-3</v>
      </c>
      <c r="J6501">
        <v>44791</v>
      </c>
    </row>
    <row r="6502" spans="1:10" x14ac:dyDescent="0.35">
      <c r="A6502" s="2">
        <v>44794</v>
      </c>
      <c r="B6502" s="3">
        <v>4.0868055555555553E-2</v>
      </c>
      <c r="C6502">
        <v>2201</v>
      </c>
      <c r="D6502" t="str">
        <f>VLOOKUP(H6502,Produkt!$A$2:$B$5,2,FALSE)</f>
        <v>A</v>
      </c>
      <c r="H6502">
        <v>1</v>
      </c>
      <c r="I6502">
        <v>0.38958333333333334</v>
      </c>
      <c r="J6502">
        <v>44791</v>
      </c>
    </row>
    <row r="6503" spans="1:10" x14ac:dyDescent="0.35">
      <c r="A6503" s="2">
        <v>44794</v>
      </c>
      <c r="B6503" s="3">
        <v>0.29815972222222226</v>
      </c>
      <c r="C6503">
        <v>2246</v>
      </c>
      <c r="D6503" t="str">
        <f>VLOOKUP(H6503,Produkt!$A$2:$B$5,2,FALSE)</f>
        <v>D</v>
      </c>
      <c r="H6503">
        <v>4</v>
      </c>
      <c r="I6503">
        <v>3.2962962962962861E-2</v>
      </c>
      <c r="J6503">
        <v>44793</v>
      </c>
    </row>
    <row r="6504" spans="1:10" x14ac:dyDescent="0.35">
      <c r="A6504" s="2">
        <v>44794</v>
      </c>
      <c r="B6504" s="3">
        <v>7.5462962962962177E-3</v>
      </c>
      <c r="C6504">
        <v>2284</v>
      </c>
      <c r="D6504" t="str">
        <f>VLOOKUP(H6504,Produkt!$A$2:$B$5,2,FALSE)</f>
        <v>C</v>
      </c>
      <c r="H6504">
        <v>3</v>
      </c>
      <c r="I6504">
        <v>0.12631944444444446</v>
      </c>
      <c r="J6504">
        <v>44791</v>
      </c>
    </row>
    <row r="6505" spans="1:10" x14ac:dyDescent="0.35">
      <c r="A6505" s="2">
        <v>44794</v>
      </c>
      <c r="B6505" s="3">
        <v>0.75020833333333325</v>
      </c>
      <c r="C6505">
        <v>2293</v>
      </c>
      <c r="D6505" t="str">
        <f>VLOOKUP(H6505,Produkt!$A$2:$B$5,2,FALSE)</f>
        <v>B</v>
      </c>
      <c r="H6505">
        <v>2</v>
      </c>
      <c r="I6505">
        <v>0.25740740740740742</v>
      </c>
      <c r="J6505">
        <v>44786</v>
      </c>
    </row>
    <row r="6506" spans="1:10" x14ac:dyDescent="0.35">
      <c r="A6506" s="2">
        <v>44794</v>
      </c>
      <c r="B6506" s="3">
        <v>0.20185185185185184</v>
      </c>
      <c r="C6506">
        <v>2314</v>
      </c>
      <c r="D6506" t="str">
        <f>VLOOKUP(H6506,Produkt!$A$2:$B$5,2,FALSE)</f>
        <v>B</v>
      </c>
      <c r="H6506">
        <v>2</v>
      </c>
      <c r="I6506">
        <v>0.49981481481481477</v>
      </c>
      <c r="J6506">
        <v>44800</v>
      </c>
    </row>
    <row r="6507" spans="1:10" x14ac:dyDescent="0.35">
      <c r="A6507" s="2">
        <v>44794</v>
      </c>
      <c r="B6507" s="3">
        <v>0.81074074074074076</v>
      </c>
      <c r="C6507">
        <v>2346</v>
      </c>
      <c r="D6507" t="str">
        <f>VLOOKUP(H6507,Produkt!$A$2:$B$5,2,FALSE)</f>
        <v>A</v>
      </c>
      <c r="H6507">
        <v>1</v>
      </c>
      <c r="I6507">
        <v>0.51395833333333341</v>
      </c>
      <c r="J6507">
        <v>44784</v>
      </c>
    </row>
    <row r="6508" spans="1:10" x14ac:dyDescent="0.35">
      <c r="A6508" s="2">
        <v>44794</v>
      </c>
      <c r="B6508" s="3">
        <v>0.66221064814814812</v>
      </c>
      <c r="C6508">
        <v>2392</v>
      </c>
      <c r="D6508" t="str">
        <f>VLOOKUP(H6508,Produkt!$A$2:$B$5,2,FALSE)</f>
        <v>D</v>
      </c>
      <c r="H6508">
        <v>4</v>
      </c>
      <c r="I6508">
        <v>0.11947916666666665</v>
      </c>
      <c r="J6508">
        <v>44774</v>
      </c>
    </row>
    <row r="6509" spans="1:10" x14ac:dyDescent="0.35">
      <c r="A6509" s="2">
        <v>44794</v>
      </c>
      <c r="B6509" s="3">
        <v>0.68449074074074068</v>
      </c>
      <c r="C6509">
        <v>2417</v>
      </c>
      <c r="D6509" t="str">
        <f>VLOOKUP(H6509,Produkt!$A$2:$B$5,2,FALSE)</f>
        <v>D</v>
      </c>
      <c r="H6509">
        <v>4</v>
      </c>
      <c r="I6509">
        <v>0.23436342592592593</v>
      </c>
      <c r="J6509">
        <v>44778</v>
      </c>
    </row>
    <row r="6510" spans="1:10" x14ac:dyDescent="0.35">
      <c r="A6510" s="2">
        <v>44794</v>
      </c>
      <c r="B6510" s="3">
        <v>0.26670138888888889</v>
      </c>
      <c r="C6510">
        <v>2459</v>
      </c>
      <c r="D6510" t="str">
        <f>VLOOKUP(H6510,Produkt!$A$2:$B$5,2,FALSE)</f>
        <v>B</v>
      </c>
      <c r="H6510">
        <v>2</v>
      </c>
      <c r="I6510">
        <v>0.72146990740740735</v>
      </c>
      <c r="J6510">
        <v>44801</v>
      </c>
    </row>
    <row r="6511" spans="1:10" x14ac:dyDescent="0.35">
      <c r="A6511" s="2">
        <v>44794</v>
      </c>
      <c r="B6511" s="3">
        <v>0.82459490740740737</v>
      </c>
      <c r="C6511">
        <v>2515</v>
      </c>
      <c r="D6511" t="str">
        <f>VLOOKUP(H6511,Produkt!$A$2:$B$5,2,FALSE)</f>
        <v>B</v>
      </c>
      <c r="H6511">
        <v>2</v>
      </c>
      <c r="I6511">
        <v>0.94339120370370377</v>
      </c>
      <c r="J6511">
        <v>44794</v>
      </c>
    </row>
    <row r="6512" spans="1:10" x14ac:dyDescent="0.35">
      <c r="A6512" s="2">
        <v>44794</v>
      </c>
      <c r="B6512" s="3">
        <v>0.98175925925925922</v>
      </c>
      <c r="C6512">
        <v>2528</v>
      </c>
      <c r="D6512" t="str">
        <f>VLOOKUP(H6512,Produkt!$A$2:$B$5,2,FALSE)</f>
        <v>B</v>
      </c>
      <c r="H6512">
        <v>2</v>
      </c>
      <c r="I6512">
        <v>3.3946759259259274E-2</v>
      </c>
      <c r="J6512">
        <v>44778</v>
      </c>
    </row>
    <row r="6513" spans="1:10" x14ac:dyDescent="0.35">
      <c r="A6513" s="2">
        <v>44794</v>
      </c>
      <c r="B6513" s="3">
        <v>0.95996527777777774</v>
      </c>
      <c r="C6513">
        <v>2600</v>
      </c>
      <c r="D6513" t="str">
        <f>VLOOKUP(H6513,Produkt!$A$2:$B$5,2,FALSE)</f>
        <v>D</v>
      </c>
      <c r="H6513">
        <v>4</v>
      </c>
      <c r="I6513">
        <v>0.28564814814814815</v>
      </c>
      <c r="J6513">
        <v>44801</v>
      </c>
    </row>
    <row r="6514" spans="1:10" x14ac:dyDescent="0.35">
      <c r="A6514" s="2">
        <v>44794</v>
      </c>
      <c r="B6514" s="3">
        <v>0.84564814814814815</v>
      </c>
      <c r="C6514">
        <v>2639</v>
      </c>
      <c r="D6514" t="str">
        <f>VLOOKUP(H6514,Produkt!$A$2:$B$5,2,FALSE)</f>
        <v>C</v>
      </c>
      <c r="H6514">
        <v>3</v>
      </c>
      <c r="I6514">
        <v>0.1348263888888889</v>
      </c>
      <c r="J6514">
        <v>44778</v>
      </c>
    </row>
    <row r="6515" spans="1:10" x14ac:dyDescent="0.35">
      <c r="A6515" s="2">
        <v>44794</v>
      </c>
      <c r="B6515" s="3">
        <v>0.34988425925925926</v>
      </c>
      <c r="C6515">
        <v>2675</v>
      </c>
      <c r="D6515" t="str">
        <f>VLOOKUP(H6515,Produkt!$A$2:$B$5,2,FALSE)</f>
        <v>D</v>
      </c>
      <c r="H6515">
        <v>4</v>
      </c>
      <c r="I6515">
        <v>0.80415509259259255</v>
      </c>
      <c r="J6515">
        <v>44796</v>
      </c>
    </row>
    <row r="6516" spans="1:10" x14ac:dyDescent="0.35">
      <c r="A6516" s="2">
        <v>44794</v>
      </c>
      <c r="B6516" s="3">
        <v>0.80733796296296301</v>
      </c>
      <c r="C6516">
        <v>2711</v>
      </c>
      <c r="D6516" t="str">
        <f>VLOOKUP(H6516,Produkt!$A$2:$B$5,2,FALSE)</f>
        <v>A</v>
      </c>
      <c r="H6516">
        <v>1</v>
      </c>
      <c r="I6516">
        <v>0.82151620370370371</v>
      </c>
      <c r="J6516">
        <v>44787</v>
      </c>
    </row>
    <row r="6517" spans="1:10" x14ac:dyDescent="0.35">
      <c r="A6517" s="2">
        <v>44794</v>
      </c>
      <c r="B6517" s="3">
        <v>3.9328703703703706E-2</v>
      </c>
      <c r="C6517">
        <v>2713</v>
      </c>
      <c r="D6517" t="str">
        <f>VLOOKUP(H6517,Produkt!$A$2:$B$5,2,FALSE)</f>
        <v>A</v>
      </c>
      <c r="H6517">
        <v>1</v>
      </c>
      <c r="I6517">
        <v>0.77521990740740743</v>
      </c>
      <c r="J6517">
        <v>44785</v>
      </c>
    </row>
    <row r="6518" spans="1:10" x14ac:dyDescent="0.35">
      <c r="A6518" s="2">
        <v>44794</v>
      </c>
      <c r="B6518" s="3">
        <v>0.71328703703703711</v>
      </c>
      <c r="C6518">
        <v>2719</v>
      </c>
      <c r="D6518" t="str">
        <f>VLOOKUP(H6518,Produkt!$A$2:$B$5,2,FALSE)</f>
        <v>B</v>
      </c>
      <c r="H6518">
        <v>2</v>
      </c>
      <c r="I6518">
        <v>0.93754629629629627</v>
      </c>
      <c r="J6518">
        <v>44789</v>
      </c>
    </row>
    <row r="6519" spans="1:10" x14ac:dyDescent="0.35">
      <c r="A6519" s="2">
        <v>44794</v>
      </c>
      <c r="B6519" s="3">
        <v>0.27981481481481479</v>
      </c>
      <c r="C6519">
        <v>2746</v>
      </c>
      <c r="D6519" t="str">
        <f>VLOOKUP(H6519,Produkt!$A$2:$B$5,2,FALSE)</f>
        <v>D</v>
      </c>
      <c r="H6519">
        <v>4</v>
      </c>
      <c r="I6519">
        <v>0.85851851851851846</v>
      </c>
      <c r="J6519">
        <v>44796</v>
      </c>
    </row>
    <row r="6520" spans="1:10" x14ac:dyDescent="0.35">
      <c r="A6520" s="2">
        <v>44794</v>
      </c>
      <c r="B6520" s="3">
        <v>0.48185185185185181</v>
      </c>
      <c r="C6520">
        <v>2762</v>
      </c>
      <c r="D6520" t="str">
        <f>VLOOKUP(H6520,Produkt!$A$2:$B$5,2,FALSE)</f>
        <v>B</v>
      </c>
      <c r="H6520">
        <v>2</v>
      </c>
      <c r="I6520">
        <v>0.67975694444444434</v>
      </c>
      <c r="J6520">
        <v>44787</v>
      </c>
    </row>
    <row r="6521" spans="1:10" x14ac:dyDescent="0.35">
      <c r="A6521" s="2">
        <v>44794</v>
      </c>
      <c r="B6521" s="3">
        <v>0.56359953703703702</v>
      </c>
      <c r="C6521">
        <v>2944</v>
      </c>
      <c r="D6521" t="str">
        <f>VLOOKUP(H6521,Produkt!$A$2:$B$5,2,FALSE)</f>
        <v>B</v>
      </c>
      <c r="H6521">
        <v>2</v>
      </c>
      <c r="I6521">
        <v>0.50979166666666664</v>
      </c>
      <c r="J6521">
        <v>44793</v>
      </c>
    </row>
    <row r="6522" spans="1:10" x14ac:dyDescent="0.35">
      <c r="A6522" s="2">
        <v>44794</v>
      </c>
      <c r="B6522" s="3">
        <v>0.64642361111111113</v>
      </c>
      <c r="C6522">
        <v>2979</v>
      </c>
      <c r="D6522" t="str">
        <f>VLOOKUP(H6522,Produkt!$A$2:$B$5,2,FALSE)</f>
        <v>D</v>
      </c>
      <c r="H6522">
        <v>4</v>
      </c>
      <c r="I6522">
        <v>0.53467592592592594</v>
      </c>
      <c r="J6522">
        <v>44803</v>
      </c>
    </row>
    <row r="6523" spans="1:10" x14ac:dyDescent="0.35">
      <c r="A6523" s="2">
        <v>44794</v>
      </c>
      <c r="B6523" s="3">
        <v>0.18380787037037039</v>
      </c>
      <c r="C6523">
        <v>2987</v>
      </c>
      <c r="D6523" t="str">
        <f>VLOOKUP(H6523,Produkt!$A$2:$B$5,2,FALSE)</f>
        <v>A</v>
      </c>
      <c r="H6523">
        <v>1</v>
      </c>
      <c r="I6523">
        <v>0.16626157407407408</v>
      </c>
      <c r="J6523">
        <v>44781</v>
      </c>
    </row>
    <row r="6524" spans="1:10" x14ac:dyDescent="0.35">
      <c r="A6524" s="2">
        <v>44794</v>
      </c>
      <c r="B6524" s="3">
        <v>0.94770833333333337</v>
      </c>
      <c r="C6524">
        <v>3007</v>
      </c>
      <c r="D6524" t="str">
        <f>VLOOKUP(H6524,Produkt!$A$2:$B$5,2,FALSE)</f>
        <v>B</v>
      </c>
      <c r="H6524">
        <v>2</v>
      </c>
      <c r="I6524">
        <v>0.92478009259259253</v>
      </c>
      <c r="J6524">
        <v>44790</v>
      </c>
    </row>
    <row r="6525" spans="1:10" x14ac:dyDescent="0.35">
      <c r="A6525" s="2">
        <v>44794</v>
      </c>
      <c r="B6525" s="3">
        <v>0.19525462962962961</v>
      </c>
      <c r="C6525">
        <v>3038</v>
      </c>
      <c r="D6525" t="str">
        <f>VLOOKUP(H6525,Produkt!$A$2:$B$5,2,FALSE)</f>
        <v>C</v>
      </c>
      <c r="H6525">
        <v>3</v>
      </c>
      <c r="I6525">
        <v>0.84993055555555552</v>
      </c>
      <c r="J6525">
        <v>44799</v>
      </c>
    </row>
    <row r="6526" spans="1:10" x14ac:dyDescent="0.35">
      <c r="A6526" s="2">
        <v>44794</v>
      </c>
      <c r="B6526" s="3">
        <v>0.78755787037037039</v>
      </c>
      <c r="C6526">
        <v>3043</v>
      </c>
      <c r="D6526" t="str">
        <f>VLOOKUP(H6526,Produkt!$A$2:$B$5,2,FALSE)</f>
        <v>A</v>
      </c>
      <c r="H6526">
        <v>1</v>
      </c>
      <c r="I6526">
        <v>0.27528935185185183</v>
      </c>
      <c r="J6526">
        <v>44796</v>
      </c>
    </row>
    <row r="6527" spans="1:10" x14ac:dyDescent="0.35">
      <c r="A6527" s="2">
        <v>44794</v>
      </c>
      <c r="B6527" s="3">
        <v>0.17339120370370373</v>
      </c>
      <c r="C6527">
        <v>3052</v>
      </c>
      <c r="D6527" t="str">
        <f>VLOOKUP(H6527,Produkt!$A$2:$B$5,2,FALSE)</f>
        <v>D</v>
      </c>
      <c r="H6527">
        <v>4</v>
      </c>
      <c r="I6527">
        <v>0.23193287037037036</v>
      </c>
      <c r="J6527">
        <v>44790</v>
      </c>
    </row>
    <row r="6528" spans="1:10" x14ac:dyDescent="0.35">
      <c r="A6528" s="2">
        <v>44794</v>
      </c>
      <c r="B6528" s="3">
        <v>0.75265046296296301</v>
      </c>
      <c r="C6528">
        <v>3053</v>
      </c>
      <c r="D6528" t="str">
        <f>VLOOKUP(H6528,Produkt!$A$2:$B$5,2,FALSE)</f>
        <v>B</v>
      </c>
      <c r="H6528">
        <v>2</v>
      </c>
      <c r="I6528">
        <v>8.2372685185185188E-2</v>
      </c>
      <c r="J6528">
        <v>44800</v>
      </c>
    </row>
    <row r="6529" spans="1:10" x14ac:dyDescent="0.35">
      <c r="A6529" s="2">
        <v>44794</v>
      </c>
      <c r="B6529" s="3">
        <v>0.68266203703703709</v>
      </c>
      <c r="C6529">
        <v>3118</v>
      </c>
      <c r="D6529" t="str">
        <f>VLOOKUP(H6529,Produkt!$A$2:$B$5,2,FALSE)</f>
        <v>B</v>
      </c>
      <c r="H6529">
        <v>2</v>
      </c>
      <c r="I6529">
        <v>0.29297453703703702</v>
      </c>
      <c r="J6529">
        <v>44795</v>
      </c>
    </row>
    <row r="6530" spans="1:10" x14ac:dyDescent="0.35">
      <c r="A6530" s="2">
        <v>44794</v>
      </c>
      <c r="B6530" s="3">
        <v>0.91895833333333332</v>
      </c>
      <c r="C6530">
        <v>3124</v>
      </c>
      <c r="D6530" t="str">
        <f>VLOOKUP(H6530,Produkt!$A$2:$B$5,2,FALSE)</f>
        <v>B</v>
      </c>
      <c r="H6530">
        <v>2</v>
      </c>
      <c r="I6530">
        <v>0.72326388888888893</v>
      </c>
      <c r="J6530">
        <v>44799</v>
      </c>
    </row>
    <row r="6531" spans="1:10" x14ac:dyDescent="0.35">
      <c r="A6531" s="2">
        <v>44794</v>
      </c>
      <c r="B6531" s="3">
        <v>0.73673611111111104</v>
      </c>
      <c r="C6531">
        <v>3146</v>
      </c>
      <c r="D6531" t="str">
        <f>VLOOKUP(H6531,Produkt!$A$2:$B$5,2,FALSE)</f>
        <v>C</v>
      </c>
      <c r="H6531">
        <v>3</v>
      </c>
      <c r="I6531">
        <v>0.59261574074074075</v>
      </c>
      <c r="J6531">
        <v>44786</v>
      </c>
    </row>
    <row r="6532" spans="1:10" x14ac:dyDescent="0.35">
      <c r="A6532" s="2">
        <v>44794</v>
      </c>
      <c r="B6532" s="3">
        <v>0.54604166666666665</v>
      </c>
      <c r="C6532">
        <v>3169</v>
      </c>
      <c r="D6532" t="str">
        <f>VLOOKUP(H6532,Produkt!$A$2:$B$5,2,FALSE)</f>
        <v>D</v>
      </c>
      <c r="H6532">
        <v>4</v>
      </c>
      <c r="I6532">
        <v>0.56891203703703697</v>
      </c>
      <c r="J6532">
        <v>44794</v>
      </c>
    </row>
    <row r="6533" spans="1:10" x14ac:dyDescent="0.35">
      <c r="A6533" s="2">
        <v>44794</v>
      </c>
      <c r="B6533" s="3">
        <v>0.53778935185185184</v>
      </c>
      <c r="C6533">
        <v>3192</v>
      </c>
      <c r="D6533" t="str">
        <f>VLOOKUP(H6533,Produkt!$A$2:$B$5,2,FALSE)</f>
        <v>A</v>
      </c>
      <c r="H6533">
        <v>1</v>
      </c>
      <c r="I6533">
        <v>0.58247685185185183</v>
      </c>
      <c r="J6533">
        <v>44802</v>
      </c>
    </row>
    <row r="6534" spans="1:10" x14ac:dyDescent="0.35">
      <c r="A6534" s="2">
        <v>44794</v>
      </c>
      <c r="B6534" s="3">
        <v>3.138888888888889E-2</v>
      </c>
      <c r="C6534">
        <v>3195</v>
      </c>
      <c r="D6534" t="str">
        <f>VLOOKUP(H6534,Produkt!$A$2:$B$5,2,FALSE)</f>
        <v>C</v>
      </c>
      <c r="H6534">
        <v>3</v>
      </c>
      <c r="I6534">
        <v>0.53943287037037035</v>
      </c>
      <c r="J6534">
        <v>44802</v>
      </c>
    </row>
    <row r="6535" spans="1:10" x14ac:dyDescent="0.35">
      <c r="A6535" s="2">
        <v>44794</v>
      </c>
      <c r="B6535" s="3">
        <v>0.37543981481481481</v>
      </c>
      <c r="C6535">
        <v>3198</v>
      </c>
      <c r="D6535" t="str">
        <f>VLOOKUP(H6535,Produkt!$A$2:$B$5,2,FALSE)</f>
        <v>A</v>
      </c>
      <c r="H6535">
        <v>1</v>
      </c>
      <c r="I6535">
        <v>0.8846412037037038</v>
      </c>
      <c r="J6535">
        <v>44784</v>
      </c>
    </row>
    <row r="6536" spans="1:10" x14ac:dyDescent="0.35">
      <c r="A6536" s="2">
        <v>44794</v>
      </c>
      <c r="B6536" s="3">
        <v>0.99578703703703697</v>
      </c>
      <c r="C6536">
        <v>3233</v>
      </c>
      <c r="D6536" t="str">
        <f>VLOOKUP(H6536,Produkt!$A$2:$B$5,2,FALSE)</f>
        <v>B</v>
      </c>
      <c r="H6536">
        <v>2</v>
      </c>
      <c r="I6536">
        <v>3.9421296296296295E-2</v>
      </c>
      <c r="J6536">
        <v>44776</v>
      </c>
    </row>
    <row r="6537" spans="1:10" x14ac:dyDescent="0.35">
      <c r="A6537" s="2">
        <v>44794</v>
      </c>
      <c r="B6537" s="3">
        <v>0.37964120370370374</v>
      </c>
      <c r="C6537">
        <v>3259</v>
      </c>
      <c r="D6537" t="str">
        <f>VLOOKUP(H6537,Produkt!$A$2:$B$5,2,FALSE)</f>
        <v>D</v>
      </c>
      <c r="H6537">
        <v>4</v>
      </c>
      <c r="I6537">
        <v>8.1122685185185187E-2</v>
      </c>
      <c r="J6537">
        <v>44791</v>
      </c>
    </row>
    <row r="6538" spans="1:10" x14ac:dyDescent="0.35">
      <c r="A6538" s="2">
        <v>44794</v>
      </c>
      <c r="B6538" s="3">
        <v>0.29344907407407406</v>
      </c>
      <c r="C6538">
        <v>3261</v>
      </c>
      <c r="D6538" t="str">
        <f>VLOOKUP(H6538,Produkt!$A$2:$B$5,2,FALSE)</f>
        <v>B</v>
      </c>
      <c r="H6538">
        <v>2</v>
      </c>
      <c r="I6538">
        <v>0.16052083333333333</v>
      </c>
      <c r="J6538">
        <v>44783</v>
      </c>
    </row>
    <row r="6539" spans="1:10" x14ac:dyDescent="0.35">
      <c r="A6539" s="2">
        <v>44794</v>
      </c>
      <c r="B6539" s="3">
        <v>0.75430555555555545</v>
      </c>
      <c r="C6539">
        <v>3276</v>
      </c>
      <c r="D6539" t="str">
        <f>VLOOKUP(H6539,Produkt!$A$2:$B$5,2,FALSE)</f>
        <v>A</v>
      </c>
      <c r="H6539">
        <v>1</v>
      </c>
      <c r="I6539">
        <v>2.7662037037037034E-3</v>
      </c>
      <c r="J6539">
        <v>44797</v>
      </c>
    </row>
    <row r="6540" spans="1:10" x14ac:dyDescent="0.35">
      <c r="A6540" s="2">
        <v>44794</v>
      </c>
      <c r="B6540" s="3">
        <v>0.21820601851851851</v>
      </c>
      <c r="C6540">
        <v>3416</v>
      </c>
      <c r="D6540" t="str">
        <f>VLOOKUP(H6540,Produkt!$A$2:$B$5,2,FALSE)</f>
        <v>B</v>
      </c>
      <c r="H6540">
        <v>2</v>
      </c>
      <c r="I6540">
        <v>0.5377777777777778</v>
      </c>
      <c r="J6540">
        <v>44777</v>
      </c>
    </row>
    <row r="6541" spans="1:10" x14ac:dyDescent="0.35">
      <c r="A6541" s="2">
        <v>44794</v>
      </c>
      <c r="B6541" s="3">
        <v>0.83581018518518524</v>
      </c>
      <c r="C6541">
        <v>3437</v>
      </c>
      <c r="D6541" t="str">
        <f>VLOOKUP(H6541,Produkt!$A$2:$B$5,2,FALSE)</f>
        <v>A</v>
      </c>
      <c r="H6541">
        <v>1</v>
      </c>
      <c r="I6541">
        <v>0.80559027777777781</v>
      </c>
      <c r="J6541">
        <v>44782</v>
      </c>
    </row>
    <row r="6542" spans="1:10" x14ac:dyDescent="0.35">
      <c r="A6542" s="2">
        <v>44794</v>
      </c>
      <c r="B6542" s="3">
        <v>0.59315972222222224</v>
      </c>
      <c r="C6542">
        <v>3499</v>
      </c>
      <c r="D6542" t="str">
        <f>VLOOKUP(H6542,Produkt!$A$2:$B$5,2,FALSE)</f>
        <v>D</v>
      </c>
      <c r="H6542">
        <v>4</v>
      </c>
      <c r="I6542">
        <v>0.30629629629629629</v>
      </c>
      <c r="J6542">
        <v>44793</v>
      </c>
    </row>
    <row r="6543" spans="1:10" x14ac:dyDescent="0.35">
      <c r="A6543" s="2">
        <v>44794</v>
      </c>
      <c r="B6543" s="3">
        <v>0.66909722222222223</v>
      </c>
      <c r="C6543">
        <v>3505</v>
      </c>
      <c r="D6543" t="str">
        <f>VLOOKUP(H6543,Produkt!$A$2:$B$5,2,FALSE)</f>
        <v>A</v>
      </c>
      <c r="H6543">
        <v>1</v>
      </c>
      <c r="I6543">
        <v>0.71010416666666665</v>
      </c>
      <c r="J6543">
        <v>44796</v>
      </c>
    </row>
    <row r="6544" spans="1:10" x14ac:dyDescent="0.35">
      <c r="A6544" s="2">
        <v>44794</v>
      </c>
      <c r="B6544" s="3">
        <v>0.54531249999999998</v>
      </c>
      <c r="C6544">
        <v>3570</v>
      </c>
      <c r="D6544" t="str">
        <f>VLOOKUP(H6544,Produkt!$A$2:$B$5,2,FALSE)</f>
        <v>C</v>
      </c>
      <c r="H6544">
        <v>3</v>
      </c>
      <c r="I6544">
        <v>0.44081018518518517</v>
      </c>
      <c r="J6544">
        <v>44795</v>
      </c>
    </row>
    <row r="6545" spans="1:10" x14ac:dyDescent="0.35">
      <c r="A6545" s="2">
        <v>44794</v>
      </c>
      <c r="B6545" s="3">
        <v>0.60828703703703701</v>
      </c>
      <c r="C6545">
        <v>3580</v>
      </c>
      <c r="D6545" t="str">
        <f>VLOOKUP(H6545,Produkt!$A$2:$B$5,2,FALSE)</f>
        <v>B</v>
      </c>
      <c r="H6545">
        <v>2</v>
      </c>
      <c r="I6545">
        <v>0.81851851851851853</v>
      </c>
      <c r="J6545">
        <v>44804</v>
      </c>
    </row>
    <row r="6546" spans="1:10" x14ac:dyDescent="0.35">
      <c r="A6546" s="2">
        <v>44794</v>
      </c>
      <c r="B6546" s="3">
        <v>0.65342592592592597</v>
      </c>
      <c r="C6546">
        <v>3646</v>
      </c>
      <c r="D6546" t="str">
        <f>VLOOKUP(H6546,Produkt!$A$2:$B$5,2,FALSE)</f>
        <v>A</v>
      </c>
      <c r="H6546">
        <v>1</v>
      </c>
      <c r="I6546">
        <v>0.68729166666666675</v>
      </c>
      <c r="J6546">
        <v>44781</v>
      </c>
    </row>
    <row r="6547" spans="1:10" x14ac:dyDescent="0.35">
      <c r="A6547" s="2">
        <v>44794</v>
      </c>
      <c r="B6547" s="3">
        <v>0.71269675925925924</v>
      </c>
      <c r="C6547">
        <v>3704</v>
      </c>
      <c r="D6547" t="str">
        <f>VLOOKUP(H6547,Produkt!$A$2:$B$5,2,FALSE)</f>
        <v>B</v>
      </c>
      <c r="H6547">
        <v>2</v>
      </c>
      <c r="I6547">
        <v>0.96347222222222229</v>
      </c>
      <c r="J6547">
        <v>44777</v>
      </c>
    </row>
    <row r="6548" spans="1:10" x14ac:dyDescent="0.35">
      <c r="A6548" s="2">
        <v>44794</v>
      </c>
      <c r="B6548" s="3">
        <v>2.449074074074074E-2</v>
      </c>
      <c r="C6548">
        <v>3710</v>
      </c>
      <c r="D6548" t="str">
        <f>VLOOKUP(H6548,Produkt!$A$2:$B$5,2,FALSE)</f>
        <v>C</v>
      </c>
      <c r="H6548">
        <v>3</v>
      </c>
      <c r="I6548">
        <v>0.51597222222222217</v>
      </c>
      <c r="J6548">
        <v>44803</v>
      </c>
    </row>
    <row r="6549" spans="1:10" x14ac:dyDescent="0.35">
      <c r="A6549" s="2">
        <v>44794</v>
      </c>
      <c r="B6549" s="3">
        <v>1.6585648148148148E-2</v>
      </c>
      <c r="C6549">
        <v>3800</v>
      </c>
      <c r="D6549" t="str">
        <f>VLOOKUP(H6549,Produkt!$A$2:$B$5,2,FALSE)</f>
        <v>A</v>
      </c>
      <c r="H6549">
        <v>1</v>
      </c>
      <c r="I6549">
        <v>0.41723379629629626</v>
      </c>
      <c r="J6549">
        <v>44785</v>
      </c>
    </row>
    <row r="6550" spans="1:10" x14ac:dyDescent="0.35">
      <c r="A6550" s="2">
        <v>44794</v>
      </c>
      <c r="B6550" s="3">
        <v>0.61057870370370371</v>
      </c>
      <c r="C6550">
        <v>3814</v>
      </c>
      <c r="D6550" t="str">
        <f>VLOOKUP(H6550,Produkt!$A$2:$B$5,2,FALSE)</f>
        <v>A</v>
      </c>
      <c r="H6550">
        <v>1</v>
      </c>
      <c r="I6550">
        <v>0.22849537037037038</v>
      </c>
      <c r="J6550">
        <v>44792</v>
      </c>
    </row>
    <row r="6551" spans="1:10" x14ac:dyDescent="0.35">
      <c r="A6551" s="2">
        <v>44794</v>
      </c>
      <c r="B6551" s="3">
        <v>0.78883101851851845</v>
      </c>
      <c r="C6551">
        <v>3829</v>
      </c>
      <c r="D6551" t="str">
        <f>VLOOKUP(H6551,Produkt!$A$2:$B$5,2,FALSE)</f>
        <v>B</v>
      </c>
      <c r="H6551">
        <v>2</v>
      </c>
      <c r="I6551">
        <v>0.26461805555555556</v>
      </c>
      <c r="J6551">
        <v>44796</v>
      </c>
    </row>
    <row r="6552" spans="1:10" x14ac:dyDescent="0.35">
      <c r="A6552" s="2">
        <v>44794</v>
      </c>
      <c r="B6552" s="3">
        <v>0.826238425925926</v>
      </c>
      <c r="C6552">
        <v>3862</v>
      </c>
      <c r="D6552" t="str">
        <f>VLOOKUP(H6552,Produkt!$A$2:$B$5,2,FALSE)</f>
        <v>A</v>
      </c>
      <c r="H6552">
        <v>1</v>
      </c>
      <c r="I6552">
        <v>0.77880787037037036</v>
      </c>
      <c r="J6552">
        <v>44788</v>
      </c>
    </row>
    <row r="6553" spans="1:10" x14ac:dyDescent="0.35">
      <c r="A6553" s="2">
        <v>44794</v>
      </c>
      <c r="B6553" s="3">
        <v>0.7087500000000001</v>
      </c>
      <c r="C6553">
        <v>3863</v>
      </c>
      <c r="D6553" t="str">
        <f>VLOOKUP(H6553,Produkt!$A$2:$B$5,2,FALSE)</f>
        <v>C</v>
      </c>
      <c r="H6553">
        <v>3</v>
      </c>
      <c r="I6553">
        <v>0.78046296296296302</v>
      </c>
      <c r="J6553">
        <v>44801</v>
      </c>
    </row>
    <row r="6554" spans="1:10" x14ac:dyDescent="0.35">
      <c r="A6554" s="2">
        <v>44794</v>
      </c>
      <c r="B6554" s="3">
        <v>0.66872685185185177</v>
      </c>
      <c r="C6554">
        <v>3878</v>
      </c>
      <c r="D6554" t="str">
        <f>VLOOKUP(H6554,Produkt!$A$2:$B$5,2,FALSE)</f>
        <v>B</v>
      </c>
      <c r="H6554">
        <v>2</v>
      </c>
      <c r="I6554">
        <v>0.16153935185185184</v>
      </c>
      <c r="J6554">
        <v>44795</v>
      </c>
    </row>
    <row r="6555" spans="1:10" x14ac:dyDescent="0.35">
      <c r="A6555" s="2">
        <v>44794</v>
      </c>
      <c r="B6555" s="3">
        <v>0.52458333333333329</v>
      </c>
      <c r="C6555">
        <v>3929</v>
      </c>
      <c r="D6555" t="str">
        <f>VLOOKUP(H6555,Produkt!$A$2:$B$5,2,FALSE)</f>
        <v>A</v>
      </c>
      <c r="H6555">
        <v>1</v>
      </c>
      <c r="I6555">
        <v>0.36953703703703705</v>
      </c>
      <c r="J6555">
        <v>44798</v>
      </c>
    </row>
    <row r="6556" spans="1:10" x14ac:dyDescent="0.35">
      <c r="A6556" s="2">
        <v>44794</v>
      </c>
      <c r="B6556" s="3">
        <v>0.40187499999999998</v>
      </c>
      <c r="C6556">
        <v>3960</v>
      </c>
      <c r="D6556" t="str">
        <f>VLOOKUP(H6556,Produkt!$A$2:$B$5,2,FALSE)</f>
        <v>B</v>
      </c>
      <c r="H6556">
        <v>2</v>
      </c>
      <c r="I6556">
        <v>0.61028935185185185</v>
      </c>
      <c r="J6556">
        <v>44782</v>
      </c>
    </row>
    <row r="6557" spans="1:10" x14ac:dyDescent="0.35">
      <c r="A6557" s="2">
        <v>44794</v>
      </c>
      <c r="B6557" s="3">
        <v>1.5497685185185186E-2</v>
      </c>
      <c r="C6557">
        <v>3961</v>
      </c>
      <c r="D6557" t="str">
        <f>VLOOKUP(H6557,Produkt!$A$2:$B$5,2,FALSE)</f>
        <v>C</v>
      </c>
      <c r="H6557">
        <v>3</v>
      </c>
      <c r="I6557">
        <v>0.84745370370370365</v>
      </c>
      <c r="J6557">
        <v>44799</v>
      </c>
    </row>
    <row r="6558" spans="1:10" x14ac:dyDescent="0.35">
      <c r="A6558" s="2">
        <v>44794</v>
      </c>
      <c r="B6558" s="3">
        <v>0.42974537037037036</v>
      </c>
      <c r="C6558">
        <v>4016</v>
      </c>
      <c r="D6558" t="str">
        <f>VLOOKUP(H6558,Produkt!$A$2:$B$5,2,FALSE)</f>
        <v>A</v>
      </c>
      <c r="H6558">
        <v>1</v>
      </c>
      <c r="I6558">
        <v>0.46327546296296296</v>
      </c>
      <c r="J6558">
        <v>44777</v>
      </c>
    </row>
    <row r="6559" spans="1:10" x14ac:dyDescent="0.35">
      <c r="A6559" s="2">
        <v>44794</v>
      </c>
      <c r="B6559" s="3">
        <v>0.55366898148148147</v>
      </c>
      <c r="C6559">
        <v>4025</v>
      </c>
      <c r="D6559" t="str">
        <f>VLOOKUP(H6559,Produkt!$A$2:$B$5,2,FALSE)</f>
        <v>B</v>
      </c>
      <c r="H6559">
        <v>2</v>
      </c>
      <c r="I6559">
        <v>0.16805555555555554</v>
      </c>
      <c r="J6559">
        <v>44788</v>
      </c>
    </row>
    <row r="6560" spans="1:10" x14ac:dyDescent="0.35">
      <c r="A6560" s="2">
        <v>44794</v>
      </c>
      <c r="B6560" s="3">
        <v>0.52482638888888888</v>
      </c>
      <c r="C6560">
        <v>4030</v>
      </c>
      <c r="D6560" t="str">
        <f>VLOOKUP(H6560,Produkt!$A$2:$B$5,2,FALSE)</f>
        <v>A</v>
      </c>
      <c r="H6560">
        <v>1</v>
      </c>
      <c r="I6560">
        <v>0.39526620370370374</v>
      </c>
      <c r="J6560">
        <v>44799</v>
      </c>
    </row>
    <row r="6561" spans="1:10" x14ac:dyDescent="0.35">
      <c r="A6561" s="2">
        <v>44794</v>
      </c>
      <c r="B6561" s="3">
        <v>0.47152777777777777</v>
      </c>
      <c r="C6561">
        <v>4041</v>
      </c>
      <c r="D6561" t="str">
        <f>VLOOKUP(H6561,Produkt!$A$2:$B$5,2,FALSE)</f>
        <v>C</v>
      </c>
      <c r="H6561">
        <v>3</v>
      </c>
      <c r="I6561">
        <v>0.75927083333333334</v>
      </c>
      <c r="J6561">
        <v>44780</v>
      </c>
    </row>
    <row r="6562" spans="1:10" x14ac:dyDescent="0.35">
      <c r="A6562" s="2">
        <v>44794</v>
      </c>
      <c r="B6562" s="3">
        <v>0.78590277777777784</v>
      </c>
      <c r="C6562">
        <v>4045</v>
      </c>
      <c r="D6562" t="str">
        <f>VLOOKUP(H6562,Produkt!$A$2:$B$5,2,FALSE)</f>
        <v>D</v>
      </c>
      <c r="H6562">
        <v>4</v>
      </c>
      <c r="I6562">
        <v>0.26868055555555553</v>
      </c>
      <c r="J6562">
        <v>44789</v>
      </c>
    </row>
    <row r="6563" spans="1:10" x14ac:dyDescent="0.35">
      <c r="A6563" s="2">
        <v>44794</v>
      </c>
      <c r="B6563" s="3">
        <v>0.93671296296296302</v>
      </c>
      <c r="C6563">
        <v>4053</v>
      </c>
      <c r="D6563" t="str">
        <f>VLOOKUP(H6563,Produkt!$A$2:$B$5,2,FALSE)</f>
        <v>D</v>
      </c>
      <c r="H6563">
        <v>4</v>
      </c>
      <c r="I6563">
        <v>0.59062500000000007</v>
      </c>
      <c r="J6563">
        <v>44783</v>
      </c>
    </row>
    <row r="6564" spans="1:10" x14ac:dyDescent="0.35">
      <c r="A6564" s="2">
        <v>44794</v>
      </c>
      <c r="B6564" s="3">
        <v>0.22410879629629629</v>
      </c>
      <c r="C6564">
        <v>4088</v>
      </c>
      <c r="D6564" t="str">
        <f>VLOOKUP(H6564,Produkt!$A$2:$B$5,2,FALSE)</f>
        <v>C</v>
      </c>
      <c r="H6564">
        <v>3</v>
      </c>
      <c r="I6564">
        <v>0.33535879629629628</v>
      </c>
      <c r="J6564">
        <v>44800</v>
      </c>
    </row>
    <row r="6565" spans="1:10" x14ac:dyDescent="0.35">
      <c r="A6565" s="2">
        <v>44794</v>
      </c>
      <c r="B6565" s="3">
        <v>0.25188657407407405</v>
      </c>
      <c r="C6565">
        <v>4117</v>
      </c>
      <c r="D6565" t="str">
        <f>VLOOKUP(H6565,Produkt!$A$2:$B$5,2,FALSE)</f>
        <v>D</v>
      </c>
      <c r="H6565">
        <v>4</v>
      </c>
      <c r="I6565">
        <v>0.6178703703703704</v>
      </c>
      <c r="J6565">
        <v>44774</v>
      </c>
    </row>
    <row r="6566" spans="1:10" x14ac:dyDescent="0.35">
      <c r="A6566" s="2">
        <v>44794</v>
      </c>
      <c r="B6566" s="3">
        <v>0.4015393518518518</v>
      </c>
      <c r="C6566">
        <v>4128</v>
      </c>
      <c r="D6566" t="str">
        <f>VLOOKUP(H6566,Produkt!$A$2:$B$5,2,FALSE)</f>
        <v>C</v>
      </c>
      <c r="H6566">
        <v>3</v>
      </c>
      <c r="I6566">
        <v>0.63473379629629634</v>
      </c>
      <c r="J6566">
        <v>44775</v>
      </c>
    </row>
    <row r="6567" spans="1:10" x14ac:dyDescent="0.35">
      <c r="A6567" s="2">
        <v>44794</v>
      </c>
      <c r="B6567" s="3">
        <v>0.97883101851851861</v>
      </c>
      <c r="C6567">
        <v>4136</v>
      </c>
      <c r="D6567" t="str">
        <f>VLOOKUP(H6567,Produkt!$A$2:$B$5,2,FALSE)</f>
        <v>A</v>
      </c>
      <c r="H6567">
        <v>1</v>
      </c>
      <c r="I6567">
        <v>0.42996527777777777</v>
      </c>
      <c r="J6567">
        <v>44804</v>
      </c>
    </row>
    <row r="6568" spans="1:10" x14ac:dyDescent="0.35">
      <c r="A6568" s="2">
        <v>44794</v>
      </c>
      <c r="B6568" s="3">
        <v>0.46641203703703704</v>
      </c>
      <c r="C6568">
        <v>4175</v>
      </c>
      <c r="D6568" t="str">
        <f>VLOOKUP(H6568,Produkt!$A$2:$B$5,2,FALSE)</f>
        <v>A</v>
      </c>
      <c r="H6568">
        <v>1</v>
      </c>
      <c r="I6568">
        <v>0.72722222222222221</v>
      </c>
      <c r="J6568">
        <v>44778</v>
      </c>
    </row>
    <row r="6569" spans="1:10" x14ac:dyDescent="0.35">
      <c r="A6569" s="2">
        <v>44794</v>
      </c>
      <c r="B6569" s="3">
        <v>0.68931712962962965</v>
      </c>
      <c r="C6569">
        <v>4190</v>
      </c>
      <c r="D6569" t="str">
        <f>VLOOKUP(H6569,Produkt!$A$2:$B$5,2,FALSE)</f>
        <v>C</v>
      </c>
      <c r="H6569">
        <v>3</v>
      </c>
      <c r="I6569">
        <v>0.24412037037037038</v>
      </c>
      <c r="J6569">
        <v>44790</v>
      </c>
    </row>
    <row r="6570" spans="1:10" x14ac:dyDescent="0.35">
      <c r="A6570" s="2">
        <v>44794</v>
      </c>
      <c r="B6570" s="3">
        <v>9.418981481481481E-2</v>
      </c>
      <c r="C6570">
        <v>4277</v>
      </c>
      <c r="D6570" t="str">
        <f>VLOOKUP(H6570,Produkt!$A$2:$B$5,2,FALSE)</f>
        <v>A</v>
      </c>
      <c r="H6570">
        <v>1</v>
      </c>
      <c r="I6570">
        <v>0.4143634259259259</v>
      </c>
      <c r="J6570">
        <v>44803</v>
      </c>
    </row>
    <row r="6571" spans="1:10" x14ac:dyDescent="0.35">
      <c r="A6571" s="2">
        <v>44794</v>
      </c>
      <c r="B6571" s="3">
        <v>0.14916666666666667</v>
      </c>
      <c r="C6571">
        <v>4288</v>
      </c>
      <c r="D6571" t="str">
        <f>VLOOKUP(H6571,Produkt!$A$2:$B$5,2,FALSE)</f>
        <v>A</v>
      </c>
      <c r="H6571">
        <v>1</v>
      </c>
      <c r="I6571">
        <v>3.3229166666666643E-2</v>
      </c>
      <c r="J6571">
        <v>44784</v>
      </c>
    </row>
    <row r="6572" spans="1:10" x14ac:dyDescent="0.35">
      <c r="A6572" s="2">
        <v>44794</v>
      </c>
      <c r="B6572" s="3">
        <v>0.22622685185185185</v>
      </c>
      <c r="C6572">
        <v>4294</v>
      </c>
      <c r="D6572" t="str">
        <f>VLOOKUP(H6572,Produkt!$A$2:$B$5,2,FALSE)</f>
        <v>D</v>
      </c>
      <c r="H6572">
        <v>4</v>
      </c>
      <c r="I6572">
        <v>4.0682870370370328E-2</v>
      </c>
      <c r="J6572">
        <v>44774</v>
      </c>
    </row>
    <row r="6573" spans="1:10" x14ac:dyDescent="0.35">
      <c r="A6573" s="2">
        <v>44794</v>
      </c>
      <c r="B6573" s="3">
        <v>9.0671296296296292E-2</v>
      </c>
      <c r="C6573">
        <v>4296</v>
      </c>
      <c r="D6573" t="str">
        <f>VLOOKUP(H6573,Produkt!$A$2:$B$5,2,FALSE)</f>
        <v>D</v>
      </c>
      <c r="H6573">
        <v>4</v>
      </c>
      <c r="I6573">
        <v>0.23898148148148146</v>
      </c>
      <c r="J6573">
        <v>44799</v>
      </c>
    </row>
    <row r="6574" spans="1:10" x14ac:dyDescent="0.35">
      <c r="A6574" s="2">
        <v>44794</v>
      </c>
      <c r="B6574" s="3">
        <v>0.54267361111111112</v>
      </c>
      <c r="C6574">
        <v>4361</v>
      </c>
      <c r="D6574" t="str">
        <f>VLOOKUP(H6574,Produkt!$A$2:$B$5,2,FALSE)</f>
        <v>A</v>
      </c>
      <c r="H6574">
        <v>1</v>
      </c>
      <c r="I6574">
        <v>0.32167824074074075</v>
      </c>
      <c r="J6574">
        <v>44797</v>
      </c>
    </row>
    <row r="6575" spans="1:10" x14ac:dyDescent="0.35">
      <c r="A6575" s="2">
        <v>44794</v>
      </c>
      <c r="B6575" s="3">
        <v>0.71341435185185187</v>
      </c>
      <c r="C6575">
        <v>4363</v>
      </c>
      <c r="D6575" t="str">
        <f>VLOOKUP(H6575,Produkt!$A$2:$B$5,2,FALSE)</f>
        <v>D</v>
      </c>
      <c r="H6575">
        <v>4</v>
      </c>
      <c r="I6575">
        <v>7.3969907407407401E-2</v>
      </c>
      <c r="J6575">
        <v>44791</v>
      </c>
    </row>
    <row r="6576" spans="1:10" x14ac:dyDescent="0.35">
      <c r="A6576" s="2">
        <v>44794</v>
      </c>
      <c r="B6576" s="3">
        <v>0.46003472222222225</v>
      </c>
      <c r="C6576">
        <v>4437</v>
      </c>
      <c r="D6576" t="str">
        <f>VLOOKUP(H6576,Produkt!$A$2:$B$5,2,FALSE)</f>
        <v>B</v>
      </c>
      <c r="H6576">
        <v>2</v>
      </c>
      <c r="I6576">
        <v>0.49008101851851849</v>
      </c>
      <c r="J6576">
        <v>44784</v>
      </c>
    </row>
    <row r="6577" spans="1:10" x14ac:dyDescent="0.35">
      <c r="A6577" s="2">
        <v>44794</v>
      </c>
      <c r="B6577" s="3">
        <v>0.85135416666666675</v>
      </c>
      <c r="C6577">
        <v>4544</v>
      </c>
      <c r="D6577" t="str">
        <f>VLOOKUP(H6577,Produkt!$A$2:$B$5,2,FALSE)</f>
        <v>C</v>
      </c>
      <c r="H6577">
        <v>3</v>
      </c>
      <c r="I6577">
        <v>0.29652777777777778</v>
      </c>
      <c r="J6577">
        <v>44802</v>
      </c>
    </row>
    <row r="6578" spans="1:10" x14ac:dyDescent="0.35">
      <c r="A6578" s="2">
        <v>44794</v>
      </c>
      <c r="B6578" s="3">
        <v>0.60923611111111109</v>
      </c>
      <c r="C6578">
        <v>4614</v>
      </c>
      <c r="D6578" t="str">
        <f>VLOOKUP(H6578,Produkt!$A$2:$B$5,2,FALSE)</f>
        <v>A</v>
      </c>
      <c r="H6578">
        <v>1</v>
      </c>
      <c r="I6578">
        <v>0.91392361111111109</v>
      </c>
      <c r="J6578">
        <v>44780</v>
      </c>
    </row>
    <row r="6579" spans="1:10" x14ac:dyDescent="0.35">
      <c r="A6579" s="2">
        <v>44794</v>
      </c>
      <c r="B6579" s="3">
        <v>0.8238657407407407</v>
      </c>
      <c r="C6579">
        <v>4620</v>
      </c>
      <c r="D6579" t="str">
        <f>VLOOKUP(H6579,Produkt!$A$2:$B$5,2,FALSE)</f>
        <v>D</v>
      </c>
      <c r="H6579">
        <v>4</v>
      </c>
      <c r="I6579">
        <v>0.15663194444444445</v>
      </c>
      <c r="J6579">
        <v>44774</v>
      </c>
    </row>
    <row r="6580" spans="1:10" x14ac:dyDescent="0.35">
      <c r="A6580" s="2">
        <v>44794</v>
      </c>
      <c r="B6580" s="3">
        <v>0.88836805555555554</v>
      </c>
      <c r="C6580">
        <v>4650</v>
      </c>
      <c r="D6580" t="str">
        <f>VLOOKUP(H6580,Produkt!$A$2:$B$5,2,FALSE)</f>
        <v>C</v>
      </c>
      <c r="H6580">
        <v>3</v>
      </c>
      <c r="I6580">
        <v>1.6944444444444429E-2</v>
      </c>
      <c r="J6580">
        <v>44780</v>
      </c>
    </row>
    <row r="6581" spans="1:10" x14ac:dyDescent="0.35">
      <c r="A6581" s="2">
        <v>44794</v>
      </c>
      <c r="B6581" s="3">
        <v>0.43715277777777778</v>
      </c>
      <c r="C6581">
        <v>4786</v>
      </c>
      <c r="D6581" t="str">
        <f>VLOOKUP(H6581,Produkt!$A$2:$B$5,2,FALSE)</f>
        <v>D</v>
      </c>
      <c r="H6581">
        <v>4</v>
      </c>
      <c r="I6581">
        <v>0.5333796296296297</v>
      </c>
      <c r="J6581">
        <v>44803</v>
      </c>
    </row>
    <row r="6582" spans="1:10" x14ac:dyDescent="0.35">
      <c r="A6582" s="2">
        <v>44794</v>
      </c>
      <c r="B6582" s="3">
        <v>0.67121527777777779</v>
      </c>
      <c r="C6582">
        <v>4818</v>
      </c>
      <c r="D6582" t="str">
        <f>VLOOKUP(H6582,Produkt!$A$2:$B$5,2,FALSE)</f>
        <v>D</v>
      </c>
      <c r="H6582">
        <v>4</v>
      </c>
      <c r="I6582">
        <v>3.1944444444444449E-2</v>
      </c>
      <c r="J6582">
        <v>44792</v>
      </c>
    </row>
    <row r="6583" spans="1:10" x14ac:dyDescent="0.35">
      <c r="A6583" s="2">
        <v>44794</v>
      </c>
      <c r="B6583" s="3">
        <v>5.4375E-2</v>
      </c>
      <c r="C6583">
        <v>4826</v>
      </c>
      <c r="D6583" t="str">
        <f>VLOOKUP(H6583,Produkt!$A$2:$B$5,2,FALSE)</f>
        <v>C</v>
      </c>
      <c r="H6583">
        <v>3</v>
      </c>
      <c r="I6583">
        <v>0.49121527777777779</v>
      </c>
      <c r="J6583">
        <v>44801</v>
      </c>
    </row>
    <row r="6584" spans="1:10" x14ac:dyDescent="0.35">
      <c r="A6584" s="2">
        <v>44794</v>
      </c>
      <c r="B6584" s="3">
        <v>0.80047453703703697</v>
      </c>
      <c r="C6584">
        <v>4843</v>
      </c>
      <c r="D6584" t="str">
        <f>VLOOKUP(H6584,Produkt!$A$2:$B$5,2,FALSE)</f>
        <v>C</v>
      </c>
      <c r="H6584">
        <v>3</v>
      </c>
      <c r="I6584">
        <v>0.71303240740740748</v>
      </c>
      <c r="J6584">
        <v>44779</v>
      </c>
    </row>
    <row r="6585" spans="1:10" x14ac:dyDescent="0.35">
      <c r="A6585" s="2">
        <v>44794</v>
      </c>
      <c r="B6585" s="3">
        <v>0.49687500000000001</v>
      </c>
      <c r="C6585">
        <v>4853</v>
      </c>
      <c r="D6585" t="str">
        <f>VLOOKUP(H6585,Produkt!$A$2:$B$5,2,FALSE)</f>
        <v>C</v>
      </c>
      <c r="H6585">
        <v>3</v>
      </c>
      <c r="I6585">
        <v>7.1921296296296303E-2</v>
      </c>
      <c r="J6585">
        <v>44792</v>
      </c>
    </row>
    <row r="6586" spans="1:10" x14ac:dyDescent="0.35">
      <c r="A6586" s="2">
        <v>44794</v>
      </c>
      <c r="B6586" s="3">
        <v>0.87495370370370373</v>
      </c>
      <c r="C6586">
        <v>4856</v>
      </c>
      <c r="D6586" t="str">
        <f>VLOOKUP(H6586,Produkt!$A$2:$B$5,2,FALSE)</f>
        <v>A</v>
      </c>
      <c r="H6586">
        <v>1</v>
      </c>
      <c r="I6586">
        <v>0.69690972222222225</v>
      </c>
      <c r="J6586">
        <v>44777</v>
      </c>
    </row>
    <row r="6587" spans="1:10" x14ac:dyDescent="0.35">
      <c r="A6587" s="2">
        <v>44794</v>
      </c>
      <c r="B6587" s="3">
        <v>0.10194444444444445</v>
      </c>
      <c r="C6587">
        <v>4864</v>
      </c>
      <c r="D6587" t="str">
        <f>VLOOKUP(H6587,Produkt!$A$2:$B$5,2,FALSE)</f>
        <v>C</v>
      </c>
      <c r="H6587">
        <v>3</v>
      </c>
      <c r="I6587">
        <v>7.2106481481482021E-3</v>
      </c>
      <c r="J6587">
        <v>44775</v>
      </c>
    </row>
    <row r="6588" spans="1:10" x14ac:dyDescent="0.35">
      <c r="A6588" s="2">
        <v>44794</v>
      </c>
      <c r="B6588" s="3">
        <v>0.87637731481481485</v>
      </c>
      <c r="C6588">
        <v>4873</v>
      </c>
      <c r="D6588" t="str">
        <f>VLOOKUP(H6588,Produkt!$A$2:$B$5,2,FALSE)</f>
        <v>A</v>
      </c>
      <c r="H6588">
        <v>1</v>
      </c>
      <c r="I6588">
        <v>0.46784722222222225</v>
      </c>
      <c r="J6588">
        <v>44774</v>
      </c>
    </row>
    <row r="6589" spans="1:10" x14ac:dyDescent="0.35">
      <c r="A6589" s="2">
        <v>44794</v>
      </c>
      <c r="B6589" s="3">
        <v>1.1261574074074071E-2</v>
      </c>
      <c r="C6589">
        <v>4921</v>
      </c>
      <c r="D6589" t="str">
        <f>VLOOKUP(H6589,Produkt!$A$2:$B$5,2,FALSE)</f>
        <v>A</v>
      </c>
      <c r="H6589">
        <v>1</v>
      </c>
      <c r="I6589">
        <v>0.22271990740740741</v>
      </c>
      <c r="J6589">
        <v>44798</v>
      </c>
    </row>
    <row r="6590" spans="1:10" x14ac:dyDescent="0.35">
      <c r="A6590" s="2">
        <v>44794</v>
      </c>
      <c r="B6590" s="3">
        <v>0.22072916666666667</v>
      </c>
      <c r="C6590">
        <v>4952</v>
      </c>
      <c r="D6590" t="str">
        <f>VLOOKUP(H6590,Produkt!$A$2:$B$5,2,FALSE)</f>
        <v>C</v>
      </c>
      <c r="H6590">
        <v>3</v>
      </c>
      <c r="I6590">
        <v>0.17233796296296297</v>
      </c>
      <c r="J6590">
        <v>44789</v>
      </c>
    </row>
    <row r="6591" spans="1:10" x14ac:dyDescent="0.35">
      <c r="A6591" s="2">
        <v>44794</v>
      </c>
      <c r="B6591" s="3">
        <v>0.7849652777777778</v>
      </c>
      <c r="C6591">
        <v>5003</v>
      </c>
      <c r="D6591" t="str">
        <f>VLOOKUP(H6591,Produkt!$A$2:$B$5,2,FALSE)</f>
        <v>C</v>
      </c>
      <c r="H6591">
        <v>3</v>
      </c>
      <c r="I6591">
        <v>0.43812500000000004</v>
      </c>
      <c r="J6591">
        <v>44779</v>
      </c>
    </row>
    <row r="6592" spans="1:10" x14ac:dyDescent="0.35">
      <c r="A6592" s="2">
        <v>44794</v>
      </c>
      <c r="B6592" s="3">
        <v>0.80026620370370372</v>
      </c>
      <c r="C6592">
        <v>5013</v>
      </c>
      <c r="D6592" t="str">
        <f>VLOOKUP(H6592,Produkt!$A$2:$B$5,2,FALSE)</f>
        <v>A</v>
      </c>
      <c r="H6592">
        <v>1</v>
      </c>
      <c r="I6592">
        <v>7.0335648148148147E-2</v>
      </c>
      <c r="J6592">
        <v>44789</v>
      </c>
    </row>
    <row r="6593" spans="1:10" x14ac:dyDescent="0.35">
      <c r="A6593" s="2">
        <v>44794</v>
      </c>
      <c r="B6593" s="3">
        <v>0.58331018518518518</v>
      </c>
      <c r="C6593">
        <v>5027</v>
      </c>
      <c r="D6593" t="str">
        <f>VLOOKUP(H6593,Produkt!$A$2:$B$5,2,FALSE)</f>
        <v>B</v>
      </c>
      <c r="H6593">
        <v>2</v>
      </c>
      <c r="I6593">
        <v>9.7152777777777768E-2</v>
      </c>
      <c r="J6593">
        <v>44776</v>
      </c>
    </row>
    <row r="6594" spans="1:10" x14ac:dyDescent="0.35">
      <c r="A6594" s="2">
        <v>44794</v>
      </c>
      <c r="B6594" s="3">
        <v>6.0185185185186452E-3</v>
      </c>
      <c r="C6594">
        <v>5053</v>
      </c>
      <c r="D6594" t="str">
        <f>VLOOKUP(H6594,Produkt!$A$2:$B$5,2,FALSE)</f>
        <v>B</v>
      </c>
      <c r="H6594">
        <v>2</v>
      </c>
      <c r="I6594">
        <v>0.38377314814814811</v>
      </c>
      <c r="J6594">
        <v>44779</v>
      </c>
    </row>
    <row r="6595" spans="1:10" x14ac:dyDescent="0.35">
      <c r="A6595" s="2">
        <v>44794</v>
      </c>
      <c r="B6595" s="3">
        <v>0.65353009259259254</v>
      </c>
      <c r="C6595">
        <v>5054</v>
      </c>
      <c r="D6595" t="str">
        <f>VLOOKUP(H6595,Produkt!$A$2:$B$5,2,FALSE)</f>
        <v>C</v>
      </c>
      <c r="H6595">
        <v>3</v>
      </c>
      <c r="I6595">
        <v>0.76508101851851851</v>
      </c>
      <c r="J6595">
        <v>44778</v>
      </c>
    </row>
    <row r="6596" spans="1:10" x14ac:dyDescent="0.35">
      <c r="A6596" s="2">
        <v>44794</v>
      </c>
      <c r="B6596" s="3">
        <v>0.21753472222222223</v>
      </c>
      <c r="C6596">
        <v>5094</v>
      </c>
      <c r="D6596" t="str">
        <f>VLOOKUP(H6596,Produkt!$A$2:$B$5,2,FALSE)</f>
        <v>A</v>
      </c>
      <c r="H6596">
        <v>1</v>
      </c>
      <c r="I6596">
        <v>0.91358796296296296</v>
      </c>
      <c r="J6596">
        <v>44795</v>
      </c>
    </row>
    <row r="6597" spans="1:10" x14ac:dyDescent="0.35">
      <c r="A6597" s="2">
        <v>44794</v>
      </c>
      <c r="B6597" s="3">
        <v>0.2021412037037037</v>
      </c>
      <c r="C6597">
        <v>5168</v>
      </c>
      <c r="D6597" t="str">
        <f>VLOOKUP(H6597,Produkt!$A$2:$B$5,2,FALSE)</f>
        <v>B</v>
      </c>
      <c r="H6597">
        <v>2</v>
      </c>
      <c r="I6597">
        <v>0.13245370370370371</v>
      </c>
      <c r="J6597">
        <v>44798</v>
      </c>
    </row>
    <row r="6598" spans="1:10" x14ac:dyDescent="0.35">
      <c r="A6598" s="2">
        <v>44794</v>
      </c>
      <c r="B6598" s="3">
        <v>0.84144675925925927</v>
      </c>
      <c r="C6598">
        <v>5185</v>
      </c>
      <c r="D6598" t="str">
        <f>VLOOKUP(H6598,Produkt!$A$2:$B$5,2,FALSE)</f>
        <v>D</v>
      </c>
      <c r="H6598">
        <v>4</v>
      </c>
      <c r="I6598">
        <v>1.7546296296296296E-2</v>
      </c>
      <c r="J6598">
        <v>44777</v>
      </c>
    </row>
    <row r="6599" spans="1:10" x14ac:dyDescent="0.35">
      <c r="A6599" s="2">
        <v>44794</v>
      </c>
      <c r="B6599" s="3">
        <v>0.33408564814814817</v>
      </c>
      <c r="C6599">
        <v>5255</v>
      </c>
      <c r="D6599" t="str">
        <f>VLOOKUP(H6599,Produkt!$A$2:$B$5,2,FALSE)</f>
        <v>A</v>
      </c>
      <c r="H6599">
        <v>1</v>
      </c>
      <c r="I6599">
        <v>0.75084490740740739</v>
      </c>
      <c r="J6599">
        <v>44803</v>
      </c>
    </row>
    <row r="6600" spans="1:10" x14ac:dyDescent="0.35">
      <c r="A6600" s="2">
        <v>44794</v>
      </c>
      <c r="B6600" s="3">
        <v>0.61393518518518519</v>
      </c>
      <c r="C6600">
        <v>5262</v>
      </c>
      <c r="D6600" t="str">
        <f>VLOOKUP(H6600,Produkt!$A$2:$B$5,2,FALSE)</f>
        <v>C</v>
      </c>
      <c r="H6600">
        <v>3</v>
      </c>
      <c r="I6600">
        <v>3.5775462962962967E-2</v>
      </c>
      <c r="J6600">
        <v>44797</v>
      </c>
    </row>
    <row r="6601" spans="1:10" x14ac:dyDescent="0.35">
      <c r="A6601" s="2">
        <v>44794</v>
      </c>
      <c r="B6601" s="3">
        <v>0.63440972222222225</v>
      </c>
      <c r="C6601">
        <v>5275</v>
      </c>
      <c r="D6601" t="str">
        <f>VLOOKUP(H6601,Produkt!$A$2:$B$5,2,FALSE)</f>
        <v>C</v>
      </c>
      <c r="H6601">
        <v>3</v>
      </c>
      <c r="I6601">
        <v>0.33047453703703705</v>
      </c>
      <c r="J6601">
        <v>44785</v>
      </c>
    </row>
    <row r="6602" spans="1:10" x14ac:dyDescent="0.35">
      <c r="A6602" s="2">
        <v>44794</v>
      </c>
      <c r="B6602" s="3">
        <v>0.895625</v>
      </c>
      <c r="C6602">
        <v>5355</v>
      </c>
      <c r="D6602" t="str">
        <f>VLOOKUP(H6602,Produkt!$A$2:$B$5,2,FALSE)</f>
        <v>A</v>
      </c>
      <c r="H6602">
        <v>1</v>
      </c>
      <c r="I6602">
        <v>0.19525462962962961</v>
      </c>
      <c r="J6602">
        <v>44789</v>
      </c>
    </row>
    <row r="6603" spans="1:10" x14ac:dyDescent="0.35">
      <c r="A6603" s="2">
        <v>44794</v>
      </c>
      <c r="B6603" s="3">
        <v>0.46055555555555555</v>
      </c>
      <c r="C6603">
        <v>5407</v>
      </c>
      <c r="D6603" t="str">
        <f>VLOOKUP(H6603,Produkt!$A$2:$B$5,2,FALSE)</f>
        <v>A</v>
      </c>
      <c r="H6603">
        <v>1</v>
      </c>
      <c r="I6603">
        <v>5.0671296296296298E-2</v>
      </c>
      <c r="J6603">
        <v>44785</v>
      </c>
    </row>
    <row r="6604" spans="1:10" x14ac:dyDescent="0.35">
      <c r="A6604" s="2">
        <v>44794</v>
      </c>
      <c r="B6604" s="3">
        <v>0.3989699074074074</v>
      </c>
      <c r="C6604">
        <v>5451</v>
      </c>
      <c r="D6604" t="str">
        <f>VLOOKUP(H6604,Produkt!$A$2:$B$5,2,FALSE)</f>
        <v>C</v>
      </c>
      <c r="H6604">
        <v>3</v>
      </c>
      <c r="I6604">
        <v>0.6775810185185186</v>
      </c>
      <c r="J6604">
        <v>44775</v>
      </c>
    </row>
    <row r="6605" spans="1:10" x14ac:dyDescent="0.35">
      <c r="A6605" s="2">
        <v>44794</v>
      </c>
      <c r="B6605" s="3">
        <v>6.0902777777777778E-2</v>
      </c>
      <c r="C6605">
        <v>5454</v>
      </c>
      <c r="D6605" t="str">
        <f>VLOOKUP(H6605,Produkt!$A$2:$B$5,2,FALSE)</f>
        <v>A</v>
      </c>
      <c r="H6605">
        <v>1</v>
      </c>
      <c r="I6605">
        <v>0.22059027777777776</v>
      </c>
      <c r="J6605">
        <v>44795</v>
      </c>
    </row>
    <row r="6606" spans="1:10" x14ac:dyDescent="0.35">
      <c r="A6606" s="2">
        <v>44794</v>
      </c>
      <c r="B6606" s="3">
        <v>0.1603125</v>
      </c>
      <c r="C6606">
        <v>5458</v>
      </c>
      <c r="D6606" t="str">
        <f>VLOOKUP(H6606,Produkt!$A$2:$B$5,2,FALSE)</f>
        <v>B</v>
      </c>
      <c r="H6606">
        <v>2</v>
      </c>
      <c r="I6606">
        <v>0.25063657407407408</v>
      </c>
      <c r="J6606">
        <v>44792</v>
      </c>
    </row>
    <row r="6607" spans="1:10" x14ac:dyDescent="0.35">
      <c r="A6607" s="2">
        <v>44794</v>
      </c>
      <c r="B6607" s="3">
        <v>0.48706018518518518</v>
      </c>
      <c r="C6607">
        <v>5492</v>
      </c>
      <c r="D6607" t="str">
        <f>VLOOKUP(H6607,Produkt!$A$2:$B$5,2,FALSE)</f>
        <v>A</v>
      </c>
      <c r="H6607">
        <v>1</v>
      </c>
      <c r="I6607">
        <v>0.91872685185185177</v>
      </c>
      <c r="J6607">
        <v>44804</v>
      </c>
    </row>
    <row r="6608" spans="1:10" x14ac:dyDescent="0.35">
      <c r="A6608" s="2">
        <v>44794</v>
      </c>
      <c r="B6608" s="3">
        <v>0.40239583333333334</v>
      </c>
      <c r="C6608">
        <v>5519</v>
      </c>
      <c r="D6608" t="str">
        <f>VLOOKUP(H6608,Produkt!$A$2:$B$5,2,FALSE)</f>
        <v>D</v>
      </c>
      <c r="H6608">
        <v>4</v>
      </c>
      <c r="I6608">
        <v>0.47390046296296301</v>
      </c>
      <c r="J6608">
        <v>44786</v>
      </c>
    </row>
    <row r="6609" spans="1:10" x14ac:dyDescent="0.35">
      <c r="A6609" s="2">
        <v>44794</v>
      </c>
      <c r="B6609" s="3">
        <v>0.56350694444444438</v>
      </c>
      <c r="C6609">
        <v>5544</v>
      </c>
      <c r="D6609" t="str">
        <f>VLOOKUP(H6609,Produkt!$A$2:$B$5,2,FALSE)</f>
        <v>D</v>
      </c>
      <c r="H6609">
        <v>4</v>
      </c>
      <c r="I6609">
        <v>0.93847222222222226</v>
      </c>
      <c r="J6609">
        <v>44802</v>
      </c>
    </row>
    <row r="6610" spans="1:10" x14ac:dyDescent="0.35">
      <c r="A6610" s="2">
        <v>44794</v>
      </c>
      <c r="B6610" s="3">
        <v>0.12115740740740739</v>
      </c>
      <c r="C6610">
        <v>5571</v>
      </c>
      <c r="D6610" t="str">
        <f>VLOOKUP(H6610,Produkt!$A$2:$B$5,2,FALSE)</f>
        <v>D</v>
      </c>
      <c r="H6610">
        <v>4</v>
      </c>
      <c r="I6610">
        <v>0.49984953703703705</v>
      </c>
      <c r="J6610">
        <v>44777</v>
      </c>
    </row>
    <row r="6611" spans="1:10" x14ac:dyDescent="0.35">
      <c r="A6611" s="2">
        <v>44794</v>
      </c>
      <c r="B6611" s="3">
        <v>1.7511574074074072E-2</v>
      </c>
      <c r="C6611">
        <v>5594</v>
      </c>
      <c r="D6611" t="str">
        <f>VLOOKUP(H6611,Produkt!$A$2:$B$5,2,FALSE)</f>
        <v>A</v>
      </c>
      <c r="H6611">
        <v>1</v>
      </c>
      <c r="I6611">
        <v>0.68954861111111121</v>
      </c>
      <c r="J6611">
        <v>44791</v>
      </c>
    </row>
    <row r="6612" spans="1:10" x14ac:dyDescent="0.35">
      <c r="A6612" s="2">
        <v>44794</v>
      </c>
      <c r="B6612" s="3">
        <v>0.68891203703703707</v>
      </c>
      <c r="C6612">
        <v>5661</v>
      </c>
      <c r="D6612" t="str">
        <f>VLOOKUP(H6612,Produkt!$A$2:$B$5,2,FALSE)</f>
        <v>A</v>
      </c>
      <c r="H6612">
        <v>1</v>
      </c>
      <c r="I6612">
        <v>8.880787037037037E-2</v>
      </c>
      <c r="J6612">
        <v>44796</v>
      </c>
    </row>
    <row r="6613" spans="1:10" x14ac:dyDescent="0.35">
      <c r="A6613" s="2">
        <v>44794</v>
      </c>
      <c r="B6613" s="3">
        <v>0.76384259259259257</v>
      </c>
      <c r="C6613">
        <v>5664</v>
      </c>
      <c r="D6613" t="str">
        <f>VLOOKUP(H6613,Produkt!$A$2:$B$5,2,FALSE)</f>
        <v>D</v>
      </c>
      <c r="H6613">
        <v>4</v>
      </c>
      <c r="I6613">
        <v>0.3049074074074074</v>
      </c>
      <c r="J6613">
        <v>44778</v>
      </c>
    </row>
    <row r="6614" spans="1:10" x14ac:dyDescent="0.35">
      <c r="A6614" s="2">
        <v>44794</v>
      </c>
      <c r="B6614" s="3">
        <v>0.4450925925925926</v>
      </c>
      <c r="C6614">
        <v>5665</v>
      </c>
      <c r="D6614" t="str">
        <f>VLOOKUP(H6614,Produkt!$A$2:$B$5,2,FALSE)</f>
        <v>C</v>
      </c>
      <c r="H6614">
        <v>3</v>
      </c>
      <c r="I6614">
        <v>0.95474537037037033</v>
      </c>
      <c r="J6614">
        <v>44779</v>
      </c>
    </row>
    <row r="6615" spans="1:10" x14ac:dyDescent="0.35">
      <c r="A6615" s="2">
        <v>44794</v>
      </c>
      <c r="B6615" s="3">
        <v>0.79105324074074079</v>
      </c>
      <c r="C6615">
        <v>5687</v>
      </c>
      <c r="D6615" t="str">
        <f>VLOOKUP(H6615,Produkt!$A$2:$B$5,2,FALSE)</f>
        <v>D</v>
      </c>
      <c r="H6615">
        <v>4</v>
      </c>
      <c r="I6615">
        <v>0.94766203703703711</v>
      </c>
      <c r="J6615">
        <v>44803</v>
      </c>
    </row>
    <row r="6616" spans="1:10" x14ac:dyDescent="0.35">
      <c r="A6616" s="2">
        <v>44794</v>
      </c>
      <c r="B6616" s="3">
        <v>0.6586805555555556</v>
      </c>
      <c r="C6616">
        <v>5741</v>
      </c>
      <c r="D6616" t="str">
        <f>VLOOKUP(H6616,Produkt!$A$2:$B$5,2,FALSE)</f>
        <v>B</v>
      </c>
      <c r="H6616">
        <v>2</v>
      </c>
      <c r="I6616">
        <v>0.97613425925925934</v>
      </c>
      <c r="J6616">
        <v>44779</v>
      </c>
    </row>
    <row r="6617" spans="1:10" x14ac:dyDescent="0.35">
      <c r="A6617" s="2">
        <v>44794</v>
      </c>
      <c r="B6617" s="3">
        <v>0.17024305555555555</v>
      </c>
      <c r="C6617">
        <v>5767</v>
      </c>
      <c r="D6617" t="str">
        <f>VLOOKUP(H6617,Produkt!$A$2:$B$5,2,FALSE)</f>
        <v>A</v>
      </c>
      <c r="H6617">
        <v>1</v>
      </c>
      <c r="I6617">
        <v>6.3576388888888891E-2</v>
      </c>
      <c r="J6617">
        <v>44780</v>
      </c>
    </row>
    <row r="6618" spans="1:10" x14ac:dyDescent="0.35">
      <c r="A6618" s="2">
        <v>44794</v>
      </c>
      <c r="B6618" s="3">
        <v>2.1782407407407334E-2</v>
      </c>
      <c r="C6618">
        <v>5815</v>
      </c>
      <c r="D6618" t="str">
        <f>VLOOKUP(H6618,Produkt!$A$2:$B$5,2,FALSE)</f>
        <v>B</v>
      </c>
      <c r="H6618">
        <v>2</v>
      </c>
      <c r="I6618">
        <v>0.59059027777777773</v>
      </c>
      <c r="J6618">
        <v>44794</v>
      </c>
    </row>
    <row r="6619" spans="1:10" x14ac:dyDescent="0.35">
      <c r="A6619" s="2">
        <v>44794</v>
      </c>
      <c r="B6619" s="3">
        <v>0.48814814814814816</v>
      </c>
      <c r="C6619">
        <v>5822</v>
      </c>
      <c r="D6619" t="str">
        <f>VLOOKUP(H6619,Produkt!$A$2:$B$5,2,FALSE)</f>
        <v>D</v>
      </c>
      <c r="H6619">
        <v>4</v>
      </c>
      <c r="I6619">
        <v>0.45770833333333333</v>
      </c>
      <c r="J6619">
        <v>44775</v>
      </c>
    </row>
    <row r="6620" spans="1:10" x14ac:dyDescent="0.35">
      <c r="A6620" s="2">
        <v>44794</v>
      </c>
      <c r="B6620" s="3">
        <v>0.47057870370370369</v>
      </c>
      <c r="C6620">
        <v>5824</v>
      </c>
      <c r="D6620" t="str">
        <f>VLOOKUP(H6620,Produkt!$A$2:$B$5,2,FALSE)</f>
        <v>B</v>
      </c>
      <c r="H6620">
        <v>2</v>
      </c>
      <c r="I6620">
        <v>0.9813425925925926</v>
      </c>
      <c r="J6620">
        <v>44800</v>
      </c>
    </row>
    <row r="6621" spans="1:10" x14ac:dyDescent="0.35">
      <c r="A6621" s="2">
        <v>44794</v>
      </c>
      <c r="B6621" s="3">
        <v>0.99237268518518518</v>
      </c>
      <c r="C6621">
        <v>5837</v>
      </c>
      <c r="D6621" t="str">
        <f>VLOOKUP(H6621,Produkt!$A$2:$B$5,2,FALSE)</f>
        <v>B</v>
      </c>
      <c r="H6621">
        <v>2</v>
      </c>
      <c r="I6621">
        <v>9.0868055555555549E-2</v>
      </c>
      <c r="J6621">
        <v>44784</v>
      </c>
    </row>
    <row r="6622" spans="1:10" x14ac:dyDescent="0.35">
      <c r="A6622" s="2">
        <v>44794</v>
      </c>
      <c r="B6622" s="3">
        <v>0.50854166666666667</v>
      </c>
      <c r="C6622">
        <v>5845</v>
      </c>
      <c r="D6622" t="str">
        <f>VLOOKUP(H6622,Produkt!$A$2:$B$5,2,FALSE)</f>
        <v>B</v>
      </c>
      <c r="H6622">
        <v>2</v>
      </c>
      <c r="I6622">
        <v>0.8429282407407408</v>
      </c>
      <c r="J6622">
        <v>44801</v>
      </c>
    </row>
    <row r="6623" spans="1:10" x14ac:dyDescent="0.35">
      <c r="A6623" s="2">
        <v>44794</v>
      </c>
      <c r="B6623" s="3">
        <v>0.11613425925925926</v>
      </c>
      <c r="C6623">
        <v>5869</v>
      </c>
      <c r="D6623" t="str">
        <f>VLOOKUP(H6623,Produkt!$A$2:$B$5,2,FALSE)</f>
        <v>C</v>
      </c>
      <c r="H6623">
        <v>3</v>
      </c>
      <c r="I6623">
        <v>0.28923611111111108</v>
      </c>
      <c r="J6623">
        <v>44802</v>
      </c>
    </row>
    <row r="6624" spans="1:10" x14ac:dyDescent="0.35">
      <c r="A6624" s="2">
        <v>44794</v>
      </c>
      <c r="B6624" s="3">
        <v>0.27553240740740742</v>
      </c>
      <c r="C6624">
        <v>5926</v>
      </c>
      <c r="D6624" t="str">
        <f>VLOOKUP(H6624,Produkt!$A$2:$B$5,2,FALSE)</f>
        <v>B</v>
      </c>
      <c r="H6624">
        <v>2</v>
      </c>
      <c r="I6624">
        <v>0.17291666666666669</v>
      </c>
      <c r="J6624">
        <v>44777</v>
      </c>
    </row>
    <row r="6625" spans="1:10" x14ac:dyDescent="0.35">
      <c r="A6625" s="2">
        <v>44794</v>
      </c>
      <c r="B6625" s="3">
        <v>0.27528935185185183</v>
      </c>
      <c r="C6625">
        <v>5943</v>
      </c>
      <c r="D6625" t="str">
        <f>VLOOKUP(H6625,Produkt!$A$2:$B$5,2,FALSE)</f>
        <v>B</v>
      </c>
      <c r="H6625">
        <v>2</v>
      </c>
      <c r="I6625">
        <v>2.7685185185185188E-2</v>
      </c>
      <c r="J6625">
        <v>44782</v>
      </c>
    </row>
    <row r="6626" spans="1:10" x14ac:dyDescent="0.35">
      <c r="A6626" s="2">
        <v>44794</v>
      </c>
      <c r="B6626" s="3">
        <v>0.24466435185185187</v>
      </c>
      <c r="C6626">
        <v>5972</v>
      </c>
      <c r="D6626" t="str">
        <f>VLOOKUP(H6626,Produkt!$A$2:$B$5,2,FALSE)</f>
        <v>A</v>
      </c>
      <c r="H6626">
        <v>1</v>
      </c>
      <c r="I6626">
        <v>0.69668981481481485</v>
      </c>
      <c r="J6626">
        <v>44788</v>
      </c>
    </row>
    <row r="6627" spans="1:10" x14ac:dyDescent="0.35">
      <c r="A6627" s="2">
        <v>44794</v>
      </c>
      <c r="B6627" s="3">
        <v>0.44193287037037038</v>
      </c>
      <c r="C6627">
        <v>5979</v>
      </c>
      <c r="D6627" t="str">
        <f>VLOOKUP(H6627,Produkt!$A$2:$B$5,2,FALSE)</f>
        <v>D</v>
      </c>
      <c r="H6627">
        <v>4</v>
      </c>
      <c r="I6627">
        <v>0.29167824074074072</v>
      </c>
      <c r="J6627">
        <v>44797</v>
      </c>
    </row>
    <row r="6628" spans="1:10" x14ac:dyDescent="0.35">
      <c r="A6628" s="2">
        <v>44794</v>
      </c>
      <c r="B6628" s="3">
        <v>0.58480324074074075</v>
      </c>
      <c r="C6628">
        <v>5985</v>
      </c>
      <c r="D6628" t="str">
        <f>VLOOKUP(H6628,Produkt!$A$2:$B$5,2,FALSE)</f>
        <v>A</v>
      </c>
      <c r="H6628">
        <v>1</v>
      </c>
      <c r="I6628">
        <v>0.28173611111111113</v>
      </c>
      <c r="J6628">
        <v>44801</v>
      </c>
    </row>
    <row r="6629" spans="1:10" x14ac:dyDescent="0.35">
      <c r="A6629" s="2">
        <v>44794</v>
      </c>
      <c r="B6629" s="3">
        <v>2.1759259259259258E-3</v>
      </c>
      <c r="C6629">
        <v>5993</v>
      </c>
      <c r="D6629" t="str">
        <f>VLOOKUP(H6629,Produkt!$A$2:$B$5,2,FALSE)</f>
        <v>C</v>
      </c>
      <c r="H6629">
        <v>3</v>
      </c>
      <c r="I6629">
        <v>0.15494212962962964</v>
      </c>
      <c r="J6629">
        <v>44798</v>
      </c>
    </row>
    <row r="6630" spans="1:10" x14ac:dyDescent="0.35">
      <c r="A6630" s="2">
        <v>44794</v>
      </c>
      <c r="B6630" s="3">
        <v>0.59534722222222225</v>
      </c>
      <c r="C6630">
        <v>6012</v>
      </c>
      <c r="D6630" t="str">
        <f>VLOOKUP(H6630,Produkt!$A$2:$B$5,2,FALSE)</f>
        <v>A</v>
      </c>
      <c r="H6630">
        <v>1</v>
      </c>
      <c r="I6630">
        <v>0.32997685185185183</v>
      </c>
      <c r="J6630">
        <v>44793</v>
      </c>
    </row>
    <row r="6631" spans="1:10" x14ac:dyDescent="0.35">
      <c r="A6631" s="2">
        <v>44794</v>
      </c>
      <c r="B6631" s="3">
        <v>0.58765046296296297</v>
      </c>
      <c r="C6631">
        <v>6173</v>
      </c>
      <c r="D6631" t="str">
        <f>VLOOKUP(H6631,Produkt!$A$2:$B$5,2,FALSE)</f>
        <v>B</v>
      </c>
      <c r="H6631">
        <v>2</v>
      </c>
      <c r="I6631">
        <v>0.20648148148148149</v>
      </c>
      <c r="J6631">
        <v>44804</v>
      </c>
    </row>
    <row r="6632" spans="1:10" x14ac:dyDescent="0.35">
      <c r="A6632" s="2">
        <v>44794</v>
      </c>
      <c r="B6632" s="3">
        <v>0.49457175925925928</v>
      </c>
      <c r="C6632">
        <v>6218</v>
      </c>
      <c r="D6632" t="str">
        <f>VLOOKUP(H6632,Produkt!$A$2:$B$5,2,FALSE)</f>
        <v>C</v>
      </c>
      <c r="H6632">
        <v>3</v>
      </c>
      <c r="I6632">
        <v>0.8194907407407408</v>
      </c>
      <c r="J6632">
        <v>44791</v>
      </c>
    </row>
    <row r="6633" spans="1:10" x14ac:dyDescent="0.35">
      <c r="A6633" s="2">
        <v>44794</v>
      </c>
      <c r="B6633" s="3">
        <v>0.61644675925925929</v>
      </c>
      <c r="C6633">
        <v>6227</v>
      </c>
      <c r="D6633" t="str">
        <f>VLOOKUP(H6633,Produkt!$A$2:$B$5,2,FALSE)</f>
        <v>D</v>
      </c>
      <c r="H6633">
        <v>4</v>
      </c>
      <c r="I6633">
        <v>0.7365856481481482</v>
      </c>
      <c r="J6633">
        <v>44801</v>
      </c>
    </row>
    <row r="6634" spans="1:10" x14ac:dyDescent="0.35">
      <c r="A6634" s="2">
        <v>44794</v>
      </c>
      <c r="B6634" s="3">
        <v>0.96949074074074071</v>
      </c>
      <c r="C6634">
        <v>6233</v>
      </c>
      <c r="D6634" t="str">
        <f>VLOOKUP(H6634,Produkt!$A$2:$B$5,2,FALSE)</f>
        <v>D</v>
      </c>
      <c r="H6634">
        <v>4</v>
      </c>
      <c r="I6634">
        <v>4.1018518518518517E-2</v>
      </c>
      <c r="J6634">
        <v>44775</v>
      </c>
    </row>
    <row r="6635" spans="1:10" x14ac:dyDescent="0.35">
      <c r="A6635" s="2">
        <v>44794</v>
      </c>
      <c r="B6635" s="3">
        <v>0.34185185185185185</v>
      </c>
      <c r="C6635">
        <v>6289</v>
      </c>
      <c r="D6635" t="str">
        <f>VLOOKUP(H6635,Produkt!$A$2:$B$5,2,FALSE)</f>
        <v>B</v>
      </c>
      <c r="H6635">
        <v>2</v>
      </c>
      <c r="I6635">
        <v>0.56851851851851853</v>
      </c>
      <c r="J6635">
        <v>44793</v>
      </c>
    </row>
    <row r="6636" spans="1:10" x14ac:dyDescent="0.35">
      <c r="A6636" s="2">
        <v>44794</v>
      </c>
      <c r="B6636" s="3">
        <v>0.80281249999999993</v>
      </c>
      <c r="C6636">
        <v>6329</v>
      </c>
      <c r="D6636" t="str">
        <f>VLOOKUP(H6636,Produkt!$A$2:$B$5,2,FALSE)</f>
        <v>D</v>
      </c>
      <c r="H6636">
        <v>4</v>
      </c>
      <c r="I6636">
        <v>0.12082175925925925</v>
      </c>
      <c r="J6636">
        <v>44783</v>
      </c>
    </row>
    <row r="6637" spans="1:10" x14ac:dyDescent="0.35">
      <c r="A6637" s="2">
        <v>44794</v>
      </c>
      <c r="B6637" s="3">
        <v>0.61466435185185186</v>
      </c>
      <c r="C6637">
        <v>6331</v>
      </c>
      <c r="D6637" t="str">
        <f>VLOOKUP(H6637,Produkt!$A$2:$B$5,2,FALSE)</f>
        <v>D</v>
      </c>
      <c r="H6637">
        <v>4</v>
      </c>
      <c r="I6637">
        <v>0.59820601851851851</v>
      </c>
      <c r="J6637">
        <v>44792</v>
      </c>
    </row>
    <row r="6638" spans="1:10" x14ac:dyDescent="0.35">
      <c r="A6638" s="2">
        <v>44794</v>
      </c>
      <c r="B6638" s="3">
        <v>2.4733796296296351E-2</v>
      </c>
      <c r="C6638">
        <v>6340</v>
      </c>
      <c r="D6638" t="str">
        <f>VLOOKUP(H6638,Produkt!$A$2:$B$5,2,FALSE)</f>
        <v>D</v>
      </c>
      <c r="H6638">
        <v>4</v>
      </c>
      <c r="I6638">
        <v>0.37008101851851855</v>
      </c>
      <c r="J6638">
        <v>44792</v>
      </c>
    </row>
    <row r="6639" spans="1:10" x14ac:dyDescent="0.35">
      <c r="A6639" s="2">
        <v>44794</v>
      </c>
      <c r="B6639" s="3">
        <v>0.11354166666666667</v>
      </c>
      <c r="C6639">
        <v>6344</v>
      </c>
      <c r="D6639" t="str">
        <f>VLOOKUP(H6639,Produkt!$A$2:$B$5,2,FALSE)</f>
        <v>C</v>
      </c>
      <c r="H6639">
        <v>3</v>
      </c>
      <c r="I6639">
        <v>0.5272337962962963</v>
      </c>
      <c r="J6639">
        <v>44799</v>
      </c>
    </row>
    <row r="6640" spans="1:10" x14ac:dyDescent="0.35">
      <c r="A6640" s="2">
        <v>44794</v>
      </c>
      <c r="B6640" s="3">
        <v>0.37395833333333334</v>
      </c>
      <c r="C6640">
        <v>6401</v>
      </c>
      <c r="D6640" t="str">
        <f>VLOOKUP(H6640,Produkt!$A$2:$B$5,2,FALSE)</f>
        <v>C</v>
      </c>
      <c r="H6640">
        <v>3</v>
      </c>
      <c r="I6640">
        <v>0.70306712962962958</v>
      </c>
      <c r="J6640">
        <v>44799</v>
      </c>
    </row>
    <row r="6641" spans="1:10" x14ac:dyDescent="0.35">
      <c r="A6641" s="2">
        <v>44794</v>
      </c>
      <c r="B6641" s="3">
        <v>3.515046296296296E-2</v>
      </c>
      <c r="C6641">
        <v>6433</v>
      </c>
      <c r="D6641" t="str">
        <f>VLOOKUP(H6641,Produkt!$A$2:$B$5,2,FALSE)</f>
        <v>C</v>
      </c>
      <c r="H6641">
        <v>3</v>
      </c>
      <c r="I6641">
        <v>0.42780092592592595</v>
      </c>
      <c r="J6641">
        <v>44790</v>
      </c>
    </row>
    <row r="6642" spans="1:10" x14ac:dyDescent="0.35">
      <c r="A6642" s="2">
        <v>44794</v>
      </c>
      <c r="B6642" s="3">
        <v>0.86216435185185192</v>
      </c>
      <c r="C6642">
        <v>6437</v>
      </c>
      <c r="D6642" t="str">
        <f>VLOOKUP(H6642,Produkt!$A$2:$B$5,2,FALSE)</f>
        <v>C</v>
      </c>
      <c r="H6642">
        <v>3</v>
      </c>
      <c r="I6642">
        <v>0.62158564814814821</v>
      </c>
      <c r="J6642">
        <v>44785</v>
      </c>
    </row>
    <row r="6643" spans="1:10" x14ac:dyDescent="0.35">
      <c r="A6643" s="2">
        <v>44794</v>
      </c>
      <c r="B6643" s="3">
        <v>0.96990740740740744</v>
      </c>
      <c r="C6643">
        <v>6442</v>
      </c>
      <c r="D6643" t="str">
        <f>VLOOKUP(H6643,Produkt!$A$2:$B$5,2,FALSE)</f>
        <v>C</v>
      </c>
      <c r="H6643">
        <v>3</v>
      </c>
      <c r="I6643">
        <v>8.0613425925925922E-2</v>
      </c>
      <c r="J6643">
        <v>44784</v>
      </c>
    </row>
    <row r="6644" spans="1:10" x14ac:dyDescent="0.35">
      <c r="A6644" s="2">
        <v>44794</v>
      </c>
      <c r="B6644" s="3">
        <v>0.50025462962962963</v>
      </c>
      <c r="C6644">
        <v>6464</v>
      </c>
      <c r="D6644" t="str">
        <f>VLOOKUP(H6644,Produkt!$A$2:$B$5,2,FALSE)</f>
        <v>D</v>
      </c>
      <c r="H6644">
        <v>4</v>
      </c>
      <c r="I6644">
        <v>0.64218750000000002</v>
      </c>
      <c r="J6644">
        <v>44783</v>
      </c>
    </row>
    <row r="6645" spans="1:10" x14ac:dyDescent="0.35">
      <c r="A6645" s="2">
        <v>44794</v>
      </c>
      <c r="B6645" s="3">
        <v>2.9224537037036979E-2</v>
      </c>
      <c r="C6645">
        <v>6469</v>
      </c>
      <c r="D6645" t="str">
        <f>VLOOKUP(H6645,Produkt!$A$2:$B$5,2,FALSE)</f>
        <v>A</v>
      </c>
      <c r="H6645">
        <v>1</v>
      </c>
      <c r="I6645">
        <v>0.55753472222222222</v>
      </c>
      <c r="J6645">
        <v>44803</v>
      </c>
    </row>
    <row r="6646" spans="1:10" x14ac:dyDescent="0.35">
      <c r="A6646" s="2">
        <v>44794</v>
      </c>
      <c r="B6646" s="3">
        <v>0.55656249999999996</v>
      </c>
      <c r="C6646">
        <v>6480</v>
      </c>
      <c r="D6646" t="str">
        <f>VLOOKUP(H6646,Produkt!$A$2:$B$5,2,FALSE)</f>
        <v>D</v>
      </c>
      <c r="H6646">
        <v>4</v>
      </c>
      <c r="I6646">
        <v>0.26068287037037036</v>
      </c>
      <c r="J6646">
        <v>44787</v>
      </c>
    </row>
    <row r="6647" spans="1:10" x14ac:dyDescent="0.35">
      <c r="A6647" s="2">
        <v>44794</v>
      </c>
      <c r="B6647" s="3">
        <v>0.85851851851851846</v>
      </c>
      <c r="C6647">
        <v>6518</v>
      </c>
      <c r="D6647" t="str">
        <f>VLOOKUP(H6647,Produkt!$A$2:$B$5,2,FALSE)</f>
        <v>B</v>
      </c>
      <c r="H6647">
        <v>2</v>
      </c>
      <c r="I6647">
        <v>0.66309027777777774</v>
      </c>
      <c r="J6647">
        <v>44778</v>
      </c>
    </row>
    <row r="6648" spans="1:10" x14ac:dyDescent="0.35">
      <c r="A6648" s="2">
        <v>44794</v>
      </c>
      <c r="B6648" s="3">
        <v>0.53943287037037035</v>
      </c>
      <c r="C6648">
        <v>6533</v>
      </c>
      <c r="D6648" t="str">
        <f>VLOOKUP(H6648,Produkt!$A$2:$B$5,2,FALSE)</f>
        <v>C</v>
      </c>
      <c r="H6648">
        <v>3</v>
      </c>
      <c r="I6648">
        <v>0.77105324074074078</v>
      </c>
      <c r="J6648">
        <v>44795</v>
      </c>
    </row>
    <row r="6649" spans="1:10" x14ac:dyDescent="0.35">
      <c r="A6649" s="2">
        <v>44794</v>
      </c>
      <c r="B6649" s="3">
        <v>0.16052083333333333</v>
      </c>
      <c r="C6649">
        <v>6537</v>
      </c>
      <c r="D6649" t="str">
        <f>VLOOKUP(H6649,Produkt!$A$2:$B$5,2,FALSE)</f>
        <v>D</v>
      </c>
      <c r="H6649">
        <v>4</v>
      </c>
      <c r="I6649">
        <v>0.91859953703703701</v>
      </c>
      <c r="J6649">
        <v>44797</v>
      </c>
    </row>
    <row r="6650" spans="1:10" x14ac:dyDescent="0.35">
      <c r="A6650" s="2">
        <v>44794</v>
      </c>
      <c r="B6650" s="3">
        <v>0.61028935185185185</v>
      </c>
      <c r="C6650">
        <v>6555</v>
      </c>
      <c r="D6650" t="str">
        <f>VLOOKUP(H6650,Produkt!$A$2:$B$5,2,FALSE)</f>
        <v>B</v>
      </c>
      <c r="H6650">
        <v>2</v>
      </c>
      <c r="I6650">
        <v>0.37269675925925921</v>
      </c>
      <c r="J6650">
        <v>44783</v>
      </c>
    </row>
    <row r="6651" spans="1:10" x14ac:dyDescent="0.35">
      <c r="A6651" s="2">
        <v>44794</v>
      </c>
      <c r="B6651" s="3">
        <v>0.59820601851851851</v>
      </c>
      <c r="C6651">
        <v>6636</v>
      </c>
      <c r="D6651" t="str">
        <f>VLOOKUP(H6651,Produkt!$A$2:$B$5,2,FALSE)</f>
        <v>D</v>
      </c>
      <c r="H6651">
        <v>4</v>
      </c>
      <c r="I6651">
        <v>0.95497685185185188</v>
      </c>
      <c r="J6651">
        <v>44803</v>
      </c>
    </row>
    <row r="6652" spans="1:10" x14ac:dyDescent="0.35">
      <c r="A6652" s="2">
        <v>44794</v>
      </c>
      <c r="B6652" s="3">
        <v>0.14496527777777776</v>
      </c>
      <c r="C6652">
        <v>6658</v>
      </c>
      <c r="D6652" t="str">
        <f>VLOOKUP(H6652,Produkt!$A$2:$B$5,2,FALSE)</f>
        <v>C</v>
      </c>
      <c r="H6652">
        <v>3</v>
      </c>
      <c r="I6652">
        <v>0.44806712962962963</v>
      </c>
      <c r="J6652">
        <v>44803</v>
      </c>
    </row>
    <row r="6653" spans="1:10" x14ac:dyDescent="0.35">
      <c r="A6653" s="2">
        <v>44794</v>
      </c>
      <c r="B6653" s="3">
        <v>0.16625000000000001</v>
      </c>
      <c r="C6653">
        <v>6703</v>
      </c>
      <c r="D6653" t="str">
        <f>VLOOKUP(H6653,Produkt!$A$2:$B$5,2,FALSE)</f>
        <v>D</v>
      </c>
      <c r="H6653">
        <v>4</v>
      </c>
      <c r="I6653">
        <v>0.56104166666666666</v>
      </c>
      <c r="J6653">
        <v>44794</v>
      </c>
    </row>
    <row r="6654" spans="1:10" x14ac:dyDescent="0.35">
      <c r="A6654" s="2">
        <v>44794</v>
      </c>
      <c r="B6654" s="3">
        <v>0.86025462962962962</v>
      </c>
      <c r="C6654">
        <v>6762</v>
      </c>
      <c r="D6654" t="str">
        <f>VLOOKUP(H6654,Produkt!$A$2:$B$5,2,FALSE)</f>
        <v>A</v>
      </c>
      <c r="H6654">
        <v>1</v>
      </c>
      <c r="I6654">
        <v>8.2407407407407707E-3</v>
      </c>
      <c r="J6654">
        <v>44777</v>
      </c>
    </row>
    <row r="6655" spans="1:10" x14ac:dyDescent="0.35">
      <c r="A6655" s="2">
        <v>44794</v>
      </c>
      <c r="B6655" s="3">
        <v>7.6967592592592601E-2</v>
      </c>
      <c r="C6655">
        <v>6772</v>
      </c>
      <c r="D6655" t="str">
        <f>VLOOKUP(H6655,Produkt!$A$2:$B$5,2,FALSE)</f>
        <v>B</v>
      </c>
      <c r="H6655">
        <v>2</v>
      </c>
      <c r="I6655">
        <v>0.67924768518518519</v>
      </c>
      <c r="J6655">
        <v>44778</v>
      </c>
    </row>
    <row r="6656" spans="1:10" x14ac:dyDescent="0.35">
      <c r="A6656" s="2">
        <v>44794</v>
      </c>
      <c r="B6656" s="3">
        <v>0.95223379629629623</v>
      </c>
      <c r="C6656">
        <v>6805</v>
      </c>
      <c r="D6656" t="str">
        <f>VLOOKUP(H6656,Produkt!$A$2:$B$5,2,FALSE)</f>
        <v>D</v>
      </c>
      <c r="H6656">
        <v>4</v>
      </c>
      <c r="I6656">
        <v>0.78244212962962967</v>
      </c>
      <c r="J6656">
        <v>44794</v>
      </c>
    </row>
    <row r="6657" spans="1:10" x14ac:dyDescent="0.35">
      <c r="A6657" s="2">
        <v>44794</v>
      </c>
      <c r="B6657" s="3">
        <v>0.4036689814814815</v>
      </c>
      <c r="C6657">
        <v>6834</v>
      </c>
      <c r="D6657" t="str">
        <f>VLOOKUP(H6657,Produkt!$A$2:$B$5,2,FALSE)</f>
        <v>D</v>
      </c>
      <c r="H6657">
        <v>4</v>
      </c>
      <c r="I6657">
        <v>0.21822916666666667</v>
      </c>
      <c r="J6657">
        <v>44795</v>
      </c>
    </row>
    <row r="6658" spans="1:10" x14ac:dyDescent="0.35">
      <c r="A6658" s="2">
        <v>44794</v>
      </c>
      <c r="B6658" s="3">
        <v>0.98549768518518521</v>
      </c>
      <c r="C6658">
        <v>6845</v>
      </c>
      <c r="D6658" t="str">
        <f>VLOOKUP(H6658,Produkt!$A$2:$B$5,2,FALSE)</f>
        <v>C</v>
      </c>
      <c r="H6658">
        <v>3</v>
      </c>
      <c r="I6658">
        <v>0.39356481481481481</v>
      </c>
      <c r="J6658">
        <v>44784</v>
      </c>
    </row>
    <row r="6659" spans="1:10" x14ac:dyDescent="0.35">
      <c r="A6659" s="2">
        <v>44794</v>
      </c>
      <c r="B6659" s="3">
        <v>9.4351851851851853E-2</v>
      </c>
      <c r="C6659">
        <v>6848</v>
      </c>
      <c r="D6659" t="str">
        <f>VLOOKUP(H6659,Produkt!$A$2:$B$5,2,FALSE)</f>
        <v>B</v>
      </c>
      <c r="H6659">
        <v>2</v>
      </c>
      <c r="I6659">
        <v>0.14496527777777776</v>
      </c>
      <c r="J6659">
        <v>44802</v>
      </c>
    </row>
    <row r="6660" spans="1:10" x14ac:dyDescent="0.35">
      <c r="A6660" s="2">
        <v>44794</v>
      </c>
      <c r="B6660" s="3">
        <v>0.32520833333333332</v>
      </c>
      <c r="C6660">
        <v>6938</v>
      </c>
      <c r="D6660" t="str">
        <f>VLOOKUP(H6660,Produkt!$A$2:$B$5,2,FALSE)</f>
        <v>B</v>
      </c>
      <c r="H6660">
        <v>2</v>
      </c>
      <c r="I6660">
        <v>0.72673611111111114</v>
      </c>
      <c r="J6660">
        <v>44785</v>
      </c>
    </row>
    <row r="6661" spans="1:10" x14ac:dyDescent="0.35">
      <c r="A6661" s="2">
        <v>44794</v>
      </c>
      <c r="B6661" s="3">
        <v>0.52555555555555555</v>
      </c>
      <c r="C6661">
        <v>6966</v>
      </c>
      <c r="D6661" t="str">
        <f>VLOOKUP(H6661,Produkt!$A$2:$B$5,2,FALSE)</f>
        <v>B</v>
      </c>
      <c r="H6661">
        <v>2</v>
      </c>
      <c r="I6661">
        <v>5.1168981481481489E-2</v>
      </c>
      <c r="J6661">
        <v>44776</v>
      </c>
    </row>
    <row r="6662" spans="1:10" x14ac:dyDescent="0.35">
      <c r="A6662" s="2">
        <v>44794</v>
      </c>
      <c r="B6662" s="3">
        <v>0.83388888888888879</v>
      </c>
      <c r="C6662">
        <v>6982</v>
      </c>
      <c r="D6662" t="str">
        <f>VLOOKUP(H6662,Produkt!$A$2:$B$5,2,FALSE)</f>
        <v>A</v>
      </c>
      <c r="H6662">
        <v>1</v>
      </c>
      <c r="I6662">
        <v>0.84219907407407402</v>
      </c>
      <c r="J6662">
        <v>44778</v>
      </c>
    </row>
    <row r="6663" spans="1:10" x14ac:dyDescent="0.35">
      <c r="A6663" s="2">
        <v>44794</v>
      </c>
      <c r="B6663" s="3">
        <v>2.8067129629629626E-2</v>
      </c>
      <c r="C6663">
        <v>6993</v>
      </c>
      <c r="D6663" t="str">
        <f>VLOOKUP(H6663,Produkt!$A$2:$B$5,2,FALSE)</f>
        <v>D</v>
      </c>
      <c r="H6663">
        <v>4</v>
      </c>
      <c r="I6663">
        <v>0.90806712962962965</v>
      </c>
      <c r="J6663">
        <v>44800</v>
      </c>
    </row>
    <row r="6664" spans="1:10" x14ac:dyDescent="0.35">
      <c r="A6664" s="2">
        <v>44794</v>
      </c>
      <c r="B6664" s="3">
        <v>0.11741898148148149</v>
      </c>
      <c r="C6664">
        <v>7011</v>
      </c>
      <c r="D6664" t="str">
        <f>VLOOKUP(H6664,Produkt!$A$2:$B$5,2,FALSE)</f>
        <v>B</v>
      </c>
      <c r="H6664">
        <v>2</v>
      </c>
      <c r="I6664">
        <v>8.8298611111111105E-2</v>
      </c>
      <c r="J6664">
        <v>44803</v>
      </c>
    </row>
    <row r="6665" spans="1:10" x14ac:dyDescent="0.35">
      <c r="A6665" s="2">
        <v>44794</v>
      </c>
      <c r="B6665" s="3">
        <v>0.7377893518518519</v>
      </c>
      <c r="C6665">
        <v>7111</v>
      </c>
      <c r="D6665" t="str">
        <f>VLOOKUP(H6665,Produkt!$A$2:$B$5,2,FALSE)</f>
        <v>C</v>
      </c>
      <c r="H6665">
        <v>3</v>
      </c>
      <c r="I6665">
        <v>8.9131944444444444E-2</v>
      </c>
      <c r="J6665">
        <v>44778</v>
      </c>
    </row>
    <row r="6666" spans="1:10" x14ac:dyDescent="0.35">
      <c r="A6666" s="2">
        <v>44794</v>
      </c>
      <c r="B6666" s="3">
        <v>0.59465277777777781</v>
      </c>
      <c r="C6666">
        <v>7145</v>
      </c>
      <c r="D6666" t="str">
        <f>VLOOKUP(H6666,Produkt!$A$2:$B$5,2,FALSE)</f>
        <v>C</v>
      </c>
      <c r="H6666">
        <v>3</v>
      </c>
      <c r="I6666">
        <v>0.17429398148148148</v>
      </c>
      <c r="J6666">
        <v>44782</v>
      </c>
    </row>
    <row r="6667" spans="1:10" x14ac:dyDescent="0.35">
      <c r="A6667" s="2">
        <v>44794</v>
      </c>
      <c r="B6667" s="3">
        <v>0.66601851851851845</v>
      </c>
      <c r="C6667">
        <v>7147</v>
      </c>
      <c r="D6667" t="str">
        <f>VLOOKUP(H6667,Produkt!$A$2:$B$5,2,FALSE)</f>
        <v>A</v>
      </c>
      <c r="H6667">
        <v>1</v>
      </c>
      <c r="I6667">
        <v>0.51031250000000006</v>
      </c>
      <c r="J6667">
        <v>44800</v>
      </c>
    </row>
    <row r="6668" spans="1:10" x14ac:dyDescent="0.35">
      <c r="A6668" s="2">
        <v>44794</v>
      </c>
      <c r="B6668" s="3">
        <v>0.63049768518518523</v>
      </c>
      <c r="C6668">
        <v>7159</v>
      </c>
      <c r="D6668" t="str">
        <f>VLOOKUP(H6668,Produkt!$A$2:$B$5,2,FALSE)</f>
        <v>C</v>
      </c>
      <c r="H6668">
        <v>3</v>
      </c>
      <c r="I6668">
        <v>0.74361111111111111</v>
      </c>
      <c r="J6668">
        <v>44785</v>
      </c>
    </row>
    <row r="6669" spans="1:10" x14ac:dyDescent="0.35">
      <c r="A6669" s="2">
        <v>44794</v>
      </c>
      <c r="B6669" s="3">
        <v>0.85259259259259268</v>
      </c>
      <c r="C6669">
        <v>7259</v>
      </c>
      <c r="D6669" t="str">
        <f>VLOOKUP(H6669,Produkt!$A$2:$B$5,2,FALSE)</f>
        <v>C</v>
      </c>
      <c r="H6669">
        <v>3</v>
      </c>
      <c r="I6669">
        <v>0.88365740740740739</v>
      </c>
      <c r="J6669">
        <v>44784</v>
      </c>
    </row>
    <row r="6670" spans="1:10" x14ac:dyDescent="0.35">
      <c r="A6670" s="2">
        <v>44794</v>
      </c>
      <c r="B6670" s="3">
        <v>0.74197916666666675</v>
      </c>
      <c r="C6670">
        <v>7271</v>
      </c>
      <c r="D6670" t="str">
        <f>VLOOKUP(H6670,Produkt!$A$2:$B$5,2,FALSE)</f>
        <v>C</v>
      </c>
      <c r="H6670">
        <v>3</v>
      </c>
      <c r="I6670">
        <v>2.7430555555555625E-2</v>
      </c>
      <c r="J6670">
        <v>44784</v>
      </c>
    </row>
    <row r="6671" spans="1:10" x14ac:dyDescent="0.35">
      <c r="A6671" s="2">
        <v>44794</v>
      </c>
      <c r="B6671" s="3">
        <v>0.77221064814814822</v>
      </c>
      <c r="C6671">
        <v>7356</v>
      </c>
      <c r="D6671" t="str">
        <f>VLOOKUP(H6671,Produkt!$A$2:$B$5,2,FALSE)</f>
        <v>D</v>
      </c>
      <c r="H6671">
        <v>4</v>
      </c>
      <c r="I6671">
        <v>0.96052083333333327</v>
      </c>
      <c r="J6671">
        <v>44781</v>
      </c>
    </row>
    <row r="6672" spans="1:10" x14ac:dyDescent="0.35">
      <c r="A6672" s="2">
        <v>44794</v>
      </c>
      <c r="B6672" s="3">
        <v>3.025462962962977E-2</v>
      </c>
      <c r="C6672">
        <v>7374</v>
      </c>
      <c r="D6672" t="str">
        <f>VLOOKUP(H6672,Produkt!$A$2:$B$5,2,FALSE)</f>
        <v>C</v>
      </c>
      <c r="H6672">
        <v>3</v>
      </c>
      <c r="I6672">
        <v>0.2272800925925926</v>
      </c>
      <c r="J6672">
        <v>44774</v>
      </c>
    </row>
    <row r="6673" spans="1:10" x14ac:dyDescent="0.35">
      <c r="A6673" s="2">
        <v>44794</v>
      </c>
      <c r="B6673" s="3">
        <v>0.51542824074074078</v>
      </c>
      <c r="C6673">
        <v>7417</v>
      </c>
      <c r="D6673" t="str">
        <f>VLOOKUP(H6673,Produkt!$A$2:$B$5,2,FALSE)</f>
        <v>D</v>
      </c>
      <c r="H6673">
        <v>4</v>
      </c>
      <c r="I6673">
        <v>0.84278935185185189</v>
      </c>
      <c r="J6673">
        <v>44803</v>
      </c>
    </row>
    <row r="6674" spans="1:10" x14ac:dyDescent="0.35">
      <c r="A6674" s="2">
        <v>44794</v>
      </c>
      <c r="B6674" s="3">
        <v>0.62692129629629634</v>
      </c>
      <c r="C6674">
        <v>7468</v>
      </c>
      <c r="D6674" t="str">
        <f>VLOOKUP(H6674,Produkt!$A$2:$B$5,2,FALSE)</f>
        <v>A</v>
      </c>
      <c r="H6674">
        <v>1</v>
      </c>
      <c r="I6674">
        <v>0.62526620370370367</v>
      </c>
      <c r="J6674">
        <v>44785</v>
      </c>
    </row>
    <row r="6675" spans="1:10" x14ac:dyDescent="0.35">
      <c r="A6675" s="2">
        <v>44794</v>
      </c>
      <c r="B6675" s="3">
        <v>2.7881944444444445E-2</v>
      </c>
      <c r="C6675">
        <v>7485</v>
      </c>
      <c r="D6675" t="str">
        <f>VLOOKUP(H6675,Produkt!$A$2:$B$5,2,FALSE)</f>
        <v>A</v>
      </c>
      <c r="H6675">
        <v>1</v>
      </c>
      <c r="I6675">
        <v>0.59851851851851856</v>
      </c>
      <c r="J6675">
        <v>44782</v>
      </c>
    </row>
    <row r="6676" spans="1:10" x14ac:dyDescent="0.35">
      <c r="A6676" s="2">
        <v>44794</v>
      </c>
      <c r="B6676" s="3">
        <v>0.44876157407407408</v>
      </c>
      <c r="C6676">
        <v>7496</v>
      </c>
      <c r="D6676" t="str">
        <f>VLOOKUP(H6676,Produkt!$A$2:$B$5,2,FALSE)</f>
        <v>A</v>
      </c>
      <c r="H6676">
        <v>1</v>
      </c>
      <c r="I6676">
        <v>0.45935185185185184</v>
      </c>
      <c r="J6676">
        <v>44793</v>
      </c>
    </row>
    <row r="6677" spans="1:10" x14ac:dyDescent="0.35">
      <c r="A6677" s="2">
        <v>44794</v>
      </c>
      <c r="B6677" s="3">
        <v>0.92440972222222229</v>
      </c>
      <c r="C6677">
        <v>7505</v>
      </c>
      <c r="D6677" t="str">
        <f>VLOOKUP(H6677,Produkt!$A$2:$B$5,2,FALSE)</f>
        <v>A</v>
      </c>
      <c r="H6677">
        <v>1</v>
      </c>
      <c r="I6677">
        <v>5.1932870370370365E-2</v>
      </c>
      <c r="J6677">
        <v>44775</v>
      </c>
    </row>
    <row r="6678" spans="1:10" x14ac:dyDescent="0.35">
      <c r="A6678" s="2">
        <v>44794</v>
      </c>
      <c r="B6678" s="3">
        <v>0.74384259259259267</v>
      </c>
      <c r="C6678">
        <v>7509</v>
      </c>
      <c r="D6678" t="str">
        <f>VLOOKUP(H6678,Produkt!$A$2:$B$5,2,FALSE)</f>
        <v>B</v>
      </c>
      <c r="H6678">
        <v>2</v>
      </c>
      <c r="I6678">
        <v>0.18153935185185185</v>
      </c>
      <c r="J6678">
        <v>44802</v>
      </c>
    </row>
    <row r="6679" spans="1:10" x14ac:dyDescent="0.35">
      <c r="A6679" s="2">
        <v>44794</v>
      </c>
      <c r="B6679" s="3">
        <v>0.34986111111111112</v>
      </c>
      <c r="C6679">
        <v>7554</v>
      </c>
      <c r="D6679" t="str">
        <f>VLOOKUP(H6679,Produkt!$A$2:$B$5,2,FALSE)</f>
        <v>A</v>
      </c>
      <c r="H6679">
        <v>1</v>
      </c>
      <c r="I6679">
        <v>0.25479166666666669</v>
      </c>
      <c r="J6679">
        <v>44778</v>
      </c>
    </row>
    <row r="6680" spans="1:10" x14ac:dyDescent="0.35">
      <c r="A6680" s="2">
        <v>44794</v>
      </c>
      <c r="B6680" s="3">
        <v>0.80872685185185178</v>
      </c>
      <c r="C6680">
        <v>7587</v>
      </c>
      <c r="D6680" t="str">
        <f>VLOOKUP(H6680,Produkt!$A$2:$B$5,2,FALSE)</f>
        <v>C</v>
      </c>
      <c r="H6680">
        <v>3</v>
      </c>
      <c r="I6680">
        <v>0.16236111111111109</v>
      </c>
      <c r="J6680">
        <v>44797</v>
      </c>
    </row>
    <row r="6681" spans="1:10" x14ac:dyDescent="0.35">
      <c r="A6681" s="2">
        <v>44794</v>
      </c>
      <c r="B6681" s="3">
        <v>0.44142361111111111</v>
      </c>
      <c r="C6681">
        <v>7613</v>
      </c>
      <c r="D6681" t="str">
        <f>VLOOKUP(H6681,Produkt!$A$2:$B$5,2,FALSE)</f>
        <v>B</v>
      </c>
      <c r="H6681">
        <v>2</v>
      </c>
      <c r="I6681">
        <v>0.93530092592592595</v>
      </c>
      <c r="J6681">
        <v>44797</v>
      </c>
    </row>
    <row r="6682" spans="1:10" x14ac:dyDescent="0.35">
      <c r="A6682" s="2">
        <v>44794</v>
      </c>
      <c r="B6682" s="3">
        <v>0.42159722222222223</v>
      </c>
      <c r="C6682">
        <v>7625</v>
      </c>
      <c r="D6682" t="str">
        <f>VLOOKUP(H6682,Produkt!$A$2:$B$5,2,FALSE)</f>
        <v>D</v>
      </c>
      <c r="H6682">
        <v>4</v>
      </c>
      <c r="I6682">
        <v>0.87481481481481482</v>
      </c>
      <c r="J6682">
        <v>44790</v>
      </c>
    </row>
    <row r="6683" spans="1:10" x14ac:dyDescent="0.35">
      <c r="A6683" s="2">
        <v>44794</v>
      </c>
      <c r="B6683" s="3">
        <v>0.82668981481481474</v>
      </c>
      <c r="C6683">
        <v>7643</v>
      </c>
      <c r="D6683" t="str">
        <f>VLOOKUP(H6683,Produkt!$A$2:$B$5,2,FALSE)</f>
        <v>B</v>
      </c>
      <c r="H6683">
        <v>2</v>
      </c>
      <c r="I6683">
        <v>0.60961805555555559</v>
      </c>
      <c r="J6683">
        <v>44785</v>
      </c>
    </row>
    <row r="6684" spans="1:10" x14ac:dyDescent="0.35">
      <c r="A6684" s="2">
        <v>44794</v>
      </c>
      <c r="B6684" s="3">
        <v>0.60746527777777781</v>
      </c>
      <c r="C6684">
        <v>7679</v>
      </c>
      <c r="D6684" t="str">
        <f>VLOOKUP(H6684,Produkt!$A$2:$B$5,2,FALSE)</f>
        <v>C</v>
      </c>
      <c r="H6684">
        <v>3</v>
      </c>
      <c r="I6684">
        <v>0.96354166666666663</v>
      </c>
      <c r="J6684">
        <v>44790</v>
      </c>
    </row>
    <row r="6685" spans="1:10" x14ac:dyDescent="0.35">
      <c r="A6685" s="2">
        <v>44794</v>
      </c>
      <c r="B6685" s="3">
        <v>0.75233796296296296</v>
      </c>
      <c r="C6685">
        <v>7695</v>
      </c>
      <c r="D6685" t="str">
        <f>VLOOKUP(H6685,Produkt!$A$2:$B$5,2,FALSE)</f>
        <v>D</v>
      </c>
      <c r="H6685">
        <v>4</v>
      </c>
      <c r="I6685">
        <v>0.23938657407407407</v>
      </c>
      <c r="J6685">
        <v>44793</v>
      </c>
    </row>
    <row r="6686" spans="1:10" x14ac:dyDescent="0.35">
      <c r="A6686" s="2">
        <v>44794</v>
      </c>
      <c r="B6686" s="3">
        <v>0.94517361111111109</v>
      </c>
      <c r="C6686">
        <v>7722</v>
      </c>
      <c r="D6686" t="str">
        <f>VLOOKUP(H6686,Produkt!$A$2:$B$5,2,FALSE)</f>
        <v>D</v>
      </c>
      <c r="H6686">
        <v>4</v>
      </c>
      <c r="I6686">
        <v>0.48577546296296298</v>
      </c>
      <c r="J6686">
        <v>44781</v>
      </c>
    </row>
    <row r="6687" spans="1:10" x14ac:dyDescent="0.35">
      <c r="A6687" s="2">
        <v>44794</v>
      </c>
      <c r="B6687" s="3">
        <v>0.87482638888888886</v>
      </c>
      <c r="C6687">
        <v>7781</v>
      </c>
      <c r="D6687" t="str">
        <f>VLOOKUP(H6687,Produkt!$A$2:$B$5,2,FALSE)</f>
        <v>D</v>
      </c>
      <c r="H6687">
        <v>4</v>
      </c>
      <c r="I6687">
        <v>0.31825231481481481</v>
      </c>
      <c r="J6687">
        <v>44775</v>
      </c>
    </row>
    <row r="6688" spans="1:10" x14ac:dyDescent="0.35">
      <c r="A6688" s="2">
        <v>44794</v>
      </c>
      <c r="B6688" s="3">
        <v>0.67552083333333324</v>
      </c>
      <c r="C6688">
        <v>7801</v>
      </c>
      <c r="D6688" t="str">
        <f>VLOOKUP(H6688,Produkt!$A$2:$B$5,2,FALSE)</f>
        <v>D</v>
      </c>
      <c r="H6688">
        <v>4</v>
      </c>
      <c r="I6688">
        <v>0.93133101851851852</v>
      </c>
      <c r="J6688">
        <v>44774</v>
      </c>
    </row>
    <row r="6689" spans="1:10" x14ac:dyDescent="0.35">
      <c r="A6689" s="2">
        <v>44794</v>
      </c>
      <c r="B6689" s="3">
        <v>0.16137731481481482</v>
      </c>
      <c r="C6689">
        <v>7813</v>
      </c>
      <c r="D6689" t="str">
        <f>VLOOKUP(H6689,Produkt!$A$2:$B$5,2,FALSE)</f>
        <v>D</v>
      </c>
      <c r="H6689">
        <v>4</v>
      </c>
      <c r="I6689">
        <v>0.39395833333333335</v>
      </c>
      <c r="J6689">
        <v>44777</v>
      </c>
    </row>
    <row r="6690" spans="1:10" x14ac:dyDescent="0.35">
      <c r="A6690" s="2">
        <v>44794</v>
      </c>
      <c r="B6690" s="3">
        <v>0.23234953703703706</v>
      </c>
      <c r="C6690">
        <v>7816</v>
      </c>
      <c r="D6690" t="str">
        <f>VLOOKUP(H6690,Produkt!$A$2:$B$5,2,FALSE)</f>
        <v>C</v>
      </c>
      <c r="H6690">
        <v>3</v>
      </c>
      <c r="I6690">
        <v>0.1393287037037037</v>
      </c>
      <c r="J6690">
        <v>44778</v>
      </c>
    </row>
    <row r="6691" spans="1:10" x14ac:dyDescent="0.35">
      <c r="A6691" s="2">
        <v>44794</v>
      </c>
      <c r="B6691" s="3">
        <v>0.15376157407407406</v>
      </c>
      <c r="C6691">
        <v>7869</v>
      </c>
      <c r="D6691" t="str">
        <f>VLOOKUP(H6691,Produkt!$A$2:$B$5,2,FALSE)</f>
        <v>C</v>
      </c>
      <c r="H6691">
        <v>3</v>
      </c>
      <c r="I6691">
        <v>0.245</v>
      </c>
      <c r="J6691">
        <v>44789</v>
      </c>
    </row>
    <row r="6692" spans="1:10" x14ac:dyDescent="0.35">
      <c r="A6692" s="2">
        <v>44794</v>
      </c>
      <c r="B6692" s="3">
        <v>1.6643518518518519E-2</v>
      </c>
      <c r="C6692">
        <v>7912</v>
      </c>
      <c r="D6692" t="str">
        <f>VLOOKUP(H6692,Produkt!$A$2:$B$5,2,FALSE)</f>
        <v>A</v>
      </c>
      <c r="H6692">
        <v>1</v>
      </c>
      <c r="I6692">
        <v>6.7037037037037034E-2</v>
      </c>
      <c r="J6692">
        <v>44786</v>
      </c>
    </row>
    <row r="6693" spans="1:10" x14ac:dyDescent="0.35">
      <c r="A6693" s="2">
        <v>44794</v>
      </c>
      <c r="B6693" s="3">
        <v>0.62422453703703706</v>
      </c>
      <c r="C6693">
        <v>7972</v>
      </c>
      <c r="D6693" t="str">
        <f>VLOOKUP(H6693,Produkt!$A$2:$B$5,2,FALSE)</f>
        <v>B</v>
      </c>
      <c r="H6693">
        <v>2</v>
      </c>
      <c r="I6693">
        <v>0.91084490740740742</v>
      </c>
      <c r="J6693">
        <v>44779</v>
      </c>
    </row>
    <row r="6694" spans="1:10" x14ac:dyDescent="0.35">
      <c r="A6694" s="2">
        <v>44794</v>
      </c>
      <c r="B6694" s="3">
        <v>0.98165509259259265</v>
      </c>
      <c r="C6694">
        <v>7982</v>
      </c>
      <c r="D6694" t="str">
        <f>VLOOKUP(H6694,Produkt!$A$2:$B$5,2,FALSE)</f>
        <v>C</v>
      </c>
      <c r="H6694">
        <v>3</v>
      </c>
      <c r="I6694">
        <v>0.2678935185185185</v>
      </c>
      <c r="J6694">
        <v>44804</v>
      </c>
    </row>
    <row r="6695" spans="1:10" x14ac:dyDescent="0.35">
      <c r="A6695" s="2">
        <v>44794</v>
      </c>
      <c r="B6695" s="3">
        <v>2.0173611111111111E-2</v>
      </c>
      <c r="C6695">
        <v>7995</v>
      </c>
      <c r="D6695" t="str">
        <f>VLOOKUP(H6695,Produkt!$A$2:$B$5,2,FALSE)</f>
        <v>D</v>
      </c>
      <c r="H6695">
        <v>4</v>
      </c>
      <c r="I6695">
        <v>0.13282407407407407</v>
      </c>
      <c r="J6695">
        <v>44786</v>
      </c>
    </row>
    <row r="6696" spans="1:10" x14ac:dyDescent="0.35">
      <c r="A6696" s="2">
        <v>44794</v>
      </c>
      <c r="B6696" s="3">
        <v>0.81805555555555554</v>
      </c>
      <c r="C6696">
        <v>8012</v>
      </c>
      <c r="D6696" t="str">
        <f>VLOOKUP(H6696,Produkt!$A$2:$B$5,2,FALSE)</f>
        <v>D</v>
      </c>
      <c r="H6696">
        <v>4</v>
      </c>
      <c r="I6696">
        <v>0.19841435185185186</v>
      </c>
      <c r="J6696">
        <v>44786</v>
      </c>
    </row>
    <row r="6697" spans="1:10" x14ac:dyDescent="0.35">
      <c r="A6697" s="2">
        <v>44794</v>
      </c>
      <c r="B6697" s="3">
        <v>0.19930555555555554</v>
      </c>
      <c r="C6697">
        <v>8054</v>
      </c>
      <c r="D6697" t="str">
        <f>VLOOKUP(H6697,Produkt!$A$2:$B$5,2,FALSE)</f>
        <v>C</v>
      </c>
      <c r="H6697">
        <v>3</v>
      </c>
      <c r="I6697">
        <v>0.16442129629629629</v>
      </c>
      <c r="J6697">
        <v>44777</v>
      </c>
    </row>
    <row r="6698" spans="1:10" x14ac:dyDescent="0.35">
      <c r="A6698" s="2">
        <v>44794</v>
      </c>
      <c r="B6698" s="3">
        <v>0.1809375</v>
      </c>
      <c r="C6698">
        <v>8161</v>
      </c>
      <c r="D6698" t="str">
        <f>VLOOKUP(H6698,Produkt!$A$2:$B$5,2,FALSE)</f>
        <v>B</v>
      </c>
      <c r="H6698">
        <v>2</v>
      </c>
      <c r="I6698">
        <v>0.20836805555555557</v>
      </c>
      <c r="J6698">
        <v>44801</v>
      </c>
    </row>
    <row r="6699" spans="1:10" x14ac:dyDescent="0.35">
      <c r="A6699" s="2">
        <v>44794</v>
      </c>
      <c r="B6699" s="3">
        <v>0.91031249999999997</v>
      </c>
      <c r="C6699">
        <v>8196</v>
      </c>
      <c r="D6699" t="str">
        <f>VLOOKUP(H6699,Produkt!$A$2:$B$5,2,FALSE)</f>
        <v>D</v>
      </c>
      <c r="H6699">
        <v>4</v>
      </c>
      <c r="I6699">
        <v>0.95728009259259261</v>
      </c>
      <c r="J6699">
        <v>44792</v>
      </c>
    </row>
    <row r="6700" spans="1:10" x14ac:dyDescent="0.35">
      <c r="A6700" s="2">
        <v>44794</v>
      </c>
      <c r="B6700" s="3">
        <v>6.712962962962532E-4</v>
      </c>
      <c r="C6700">
        <v>8207</v>
      </c>
      <c r="D6700" t="str">
        <f>VLOOKUP(H6700,Produkt!$A$2:$B$5,2,FALSE)</f>
        <v>D</v>
      </c>
      <c r="H6700">
        <v>4</v>
      </c>
      <c r="I6700">
        <v>0.61875000000000002</v>
      </c>
      <c r="J6700">
        <v>44774</v>
      </c>
    </row>
    <row r="6701" spans="1:10" x14ac:dyDescent="0.35">
      <c r="A6701" s="2">
        <v>44794</v>
      </c>
      <c r="B6701" s="3">
        <v>0.33318287037037037</v>
      </c>
      <c r="C6701">
        <v>8229</v>
      </c>
      <c r="D6701" t="str">
        <f>VLOOKUP(H6701,Produkt!$A$2:$B$5,2,FALSE)</f>
        <v>A</v>
      </c>
      <c r="H6701">
        <v>1</v>
      </c>
      <c r="I6701">
        <v>0.7893634259259259</v>
      </c>
      <c r="J6701">
        <v>44786</v>
      </c>
    </row>
    <row r="6702" spans="1:10" x14ac:dyDescent="0.35">
      <c r="A6702" s="2">
        <v>44794</v>
      </c>
      <c r="B6702" s="3">
        <v>0.20788194444444444</v>
      </c>
      <c r="C6702">
        <v>8287</v>
      </c>
      <c r="D6702" t="str">
        <f>VLOOKUP(H6702,Produkt!$A$2:$B$5,2,FALSE)</f>
        <v>A</v>
      </c>
      <c r="H6702">
        <v>1</v>
      </c>
      <c r="I6702">
        <v>0.23527777777777778</v>
      </c>
      <c r="J6702">
        <v>44793</v>
      </c>
    </row>
    <row r="6703" spans="1:10" x14ac:dyDescent="0.35">
      <c r="A6703" s="2">
        <v>44794</v>
      </c>
      <c r="B6703" s="3">
        <v>0.52265046296296302</v>
      </c>
      <c r="C6703">
        <v>8295</v>
      </c>
      <c r="D6703" t="str">
        <f>VLOOKUP(H6703,Produkt!$A$2:$B$5,2,FALSE)</f>
        <v>C</v>
      </c>
      <c r="H6703">
        <v>3</v>
      </c>
      <c r="I6703">
        <v>0.49136574074074074</v>
      </c>
      <c r="J6703">
        <v>44802</v>
      </c>
    </row>
    <row r="6704" spans="1:10" x14ac:dyDescent="0.35">
      <c r="A6704" s="2">
        <v>44794</v>
      </c>
      <c r="B6704" s="3">
        <v>3.2175925925925997E-2</v>
      </c>
      <c r="C6704">
        <v>8328</v>
      </c>
      <c r="D6704" t="str">
        <f>VLOOKUP(H6704,Produkt!$A$2:$B$5,2,FALSE)</f>
        <v>D</v>
      </c>
      <c r="H6704">
        <v>4</v>
      </c>
      <c r="I6704">
        <v>0.16625000000000001</v>
      </c>
      <c r="J6704">
        <v>44800</v>
      </c>
    </row>
    <row r="6705" spans="1:10" x14ac:dyDescent="0.35">
      <c r="A6705" s="2">
        <v>44794</v>
      </c>
      <c r="B6705" s="3">
        <v>0.77999999999999992</v>
      </c>
      <c r="C6705">
        <v>8364</v>
      </c>
      <c r="D6705" t="str">
        <f>VLOOKUP(H6705,Produkt!$A$2:$B$5,2,FALSE)</f>
        <v>B</v>
      </c>
      <c r="H6705">
        <v>2</v>
      </c>
      <c r="I6705">
        <v>0.26583333333333331</v>
      </c>
      <c r="J6705">
        <v>44800</v>
      </c>
    </row>
    <row r="6706" spans="1:10" x14ac:dyDescent="0.35">
      <c r="A6706" s="2">
        <v>44794</v>
      </c>
      <c r="B6706" s="3">
        <v>0.52314814814814814</v>
      </c>
      <c r="C6706">
        <v>8381</v>
      </c>
      <c r="D6706" t="str">
        <f>VLOOKUP(H6706,Produkt!$A$2:$B$5,2,FALSE)</f>
        <v>B</v>
      </c>
      <c r="H6706">
        <v>2</v>
      </c>
      <c r="I6706">
        <v>0.61222222222222222</v>
      </c>
      <c r="J6706">
        <v>44787</v>
      </c>
    </row>
    <row r="6707" spans="1:10" x14ac:dyDescent="0.35">
      <c r="A6707" s="2">
        <v>44794</v>
      </c>
      <c r="B6707" s="3">
        <v>0.17049768518518518</v>
      </c>
      <c r="C6707">
        <v>8390</v>
      </c>
      <c r="D6707" t="str">
        <f>VLOOKUP(H6707,Produkt!$A$2:$B$5,2,FALSE)</f>
        <v>A</v>
      </c>
      <c r="H6707">
        <v>1</v>
      </c>
      <c r="I6707">
        <v>0.41724537037037041</v>
      </c>
      <c r="J6707">
        <v>44774</v>
      </c>
    </row>
    <row r="6708" spans="1:10" x14ac:dyDescent="0.35">
      <c r="A6708" s="2">
        <v>44794</v>
      </c>
      <c r="B6708" s="3">
        <v>0.96962962962962962</v>
      </c>
      <c r="C6708">
        <v>8392</v>
      </c>
      <c r="D6708" t="str">
        <f>VLOOKUP(H6708,Produkt!$A$2:$B$5,2,FALSE)</f>
        <v>A</v>
      </c>
      <c r="H6708">
        <v>1</v>
      </c>
      <c r="I6708">
        <v>0.63475694444444442</v>
      </c>
      <c r="J6708">
        <v>44793</v>
      </c>
    </row>
    <row r="6709" spans="1:10" x14ac:dyDescent="0.35">
      <c r="A6709" s="2">
        <v>44794</v>
      </c>
      <c r="B6709" s="3">
        <v>0.71670138888888879</v>
      </c>
      <c r="C6709">
        <v>8409</v>
      </c>
      <c r="D6709" t="str">
        <f>VLOOKUP(H6709,Produkt!$A$2:$B$5,2,FALSE)</f>
        <v>B</v>
      </c>
      <c r="H6709">
        <v>2</v>
      </c>
      <c r="I6709">
        <v>0.16021990740740741</v>
      </c>
      <c r="J6709">
        <v>44775</v>
      </c>
    </row>
    <row r="6710" spans="1:10" x14ac:dyDescent="0.35">
      <c r="A6710" s="2">
        <v>44794</v>
      </c>
      <c r="B6710" s="3">
        <v>0.4991666666666667</v>
      </c>
      <c r="C6710">
        <v>8410</v>
      </c>
      <c r="D6710" t="str">
        <f>VLOOKUP(H6710,Produkt!$A$2:$B$5,2,FALSE)</f>
        <v>C</v>
      </c>
      <c r="H6710">
        <v>3</v>
      </c>
      <c r="I6710">
        <v>0.47054398148148152</v>
      </c>
      <c r="J6710">
        <v>44793</v>
      </c>
    </row>
    <row r="6711" spans="1:10" x14ac:dyDescent="0.35">
      <c r="A6711" s="2">
        <v>44794</v>
      </c>
      <c r="B6711" s="3">
        <v>0.75108796296296287</v>
      </c>
      <c r="C6711">
        <v>8418</v>
      </c>
      <c r="D6711" t="str">
        <f>VLOOKUP(H6711,Produkt!$A$2:$B$5,2,FALSE)</f>
        <v>B</v>
      </c>
      <c r="H6711">
        <v>2</v>
      </c>
      <c r="I6711">
        <v>0.94466435185185194</v>
      </c>
      <c r="J6711">
        <v>44799</v>
      </c>
    </row>
    <row r="6712" spans="1:10" x14ac:dyDescent="0.35">
      <c r="A6712" s="2">
        <v>44794</v>
      </c>
      <c r="B6712" s="3">
        <v>0.74717592592592597</v>
      </c>
      <c r="C6712">
        <v>8501</v>
      </c>
      <c r="D6712" t="str">
        <f>VLOOKUP(H6712,Produkt!$A$2:$B$5,2,FALSE)</f>
        <v>D</v>
      </c>
      <c r="H6712">
        <v>4</v>
      </c>
      <c r="I6712">
        <v>0.28460648148148149</v>
      </c>
      <c r="J6712">
        <v>44782</v>
      </c>
    </row>
    <row r="6713" spans="1:10" x14ac:dyDescent="0.35">
      <c r="A6713" s="2">
        <v>44794</v>
      </c>
      <c r="B6713" s="3">
        <v>0.54143518518518519</v>
      </c>
      <c r="C6713">
        <v>8507</v>
      </c>
      <c r="D6713" t="str">
        <f>VLOOKUP(H6713,Produkt!$A$2:$B$5,2,FALSE)</f>
        <v>D</v>
      </c>
      <c r="H6713">
        <v>4</v>
      </c>
      <c r="I6713">
        <v>0.46614583333333331</v>
      </c>
      <c r="J6713">
        <v>44799</v>
      </c>
    </row>
    <row r="6714" spans="1:10" x14ac:dyDescent="0.35">
      <c r="A6714" s="2">
        <v>44794</v>
      </c>
      <c r="B6714" s="3">
        <v>0.67241898148148149</v>
      </c>
      <c r="C6714">
        <v>8535</v>
      </c>
      <c r="D6714" t="str">
        <f>VLOOKUP(H6714,Produkt!$A$2:$B$5,2,FALSE)</f>
        <v>B</v>
      </c>
      <c r="H6714">
        <v>2</v>
      </c>
      <c r="I6714">
        <v>0.50575231481481475</v>
      </c>
      <c r="J6714">
        <v>44792</v>
      </c>
    </row>
    <row r="6715" spans="1:10" x14ac:dyDescent="0.35">
      <c r="A6715" s="2">
        <v>44794</v>
      </c>
      <c r="B6715" s="3">
        <v>8.7500000000000008E-2</v>
      </c>
      <c r="C6715">
        <v>8630</v>
      </c>
      <c r="D6715" t="str">
        <f>VLOOKUP(H6715,Produkt!$A$2:$B$5,2,FALSE)</f>
        <v>B</v>
      </c>
      <c r="H6715">
        <v>2</v>
      </c>
      <c r="I6715">
        <v>0.93122685185185183</v>
      </c>
      <c r="J6715">
        <v>44799</v>
      </c>
    </row>
    <row r="6716" spans="1:10" x14ac:dyDescent="0.35">
      <c r="A6716" s="2">
        <v>44794</v>
      </c>
      <c r="B6716" s="3">
        <v>0.65288194444444447</v>
      </c>
      <c r="C6716">
        <v>8727</v>
      </c>
      <c r="D6716" t="str">
        <f>VLOOKUP(H6716,Produkt!$A$2:$B$5,2,FALSE)</f>
        <v>A</v>
      </c>
      <c r="H6716">
        <v>1</v>
      </c>
      <c r="I6716">
        <v>0.57081018518518511</v>
      </c>
      <c r="J6716">
        <v>44791</v>
      </c>
    </row>
    <row r="6717" spans="1:10" x14ac:dyDescent="0.35">
      <c r="A6717" s="2">
        <v>44794</v>
      </c>
      <c r="B6717" s="3">
        <v>0.20157407407407404</v>
      </c>
      <c r="C6717">
        <v>8741</v>
      </c>
      <c r="D6717" t="str">
        <f>VLOOKUP(H6717,Produkt!$A$2:$B$5,2,FALSE)</f>
        <v>B</v>
      </c>
      <c r="H6717">
        <v>2</v>
      </c>
      <c r="I6717">
        <v>0.8109143518518519</v>
      </c>
      <c r="J6717">
        <v>44792</v>
      </c>
    </row>
    <row r="6718" spans="1:10" x14ac:dyDescent="0.35">
      <c r="A6718" s="2">
        <v>44794</v>
      </c>
      <c r="B6718" s="3">
        <v>0.27504629629629629</v>
      </c>
      <c r="C6718">
        <v>8747</v>
      </c>
      <c r="D6718" t="str">
        <f>VLOOKUP(H6718,Produkt!$A$2:$B$5,2,FALSE)</f>
        <v>C</v>
      </c>
      <c r="H6718">
        <v>3</v>
      </c>
      <c r="I6718">
        <v>0.60623842592592592</v>
      </c>
      <c r="J6718">
        <v>44799</v>
      </c>
    </row>
    <row r="6719" spans="1:10" x14ac:dyDescent="0.35">
      <c r="A6719" s="2">
        <v>44794</v>
      </c>
      <c r="B6719" s="3">
        <v>0.93144675925925924</v>
      </c>
      <c r="C6719">
        <v>8763</v>
      </c>
      <c r="D6719" t="str">
        <f>VLOOKUP(H6719,Produkt!$A$2:$B$5,2,FALSE)</f>
        <v>A</v>
      </c>
      <c r="H6719">
        <v>1</v>
      </c>
      <c r="I6719">
        <v>0.38608796296296299</v>
      </c>
      <c r="J6719">
        <v>44781</v>
      </c>
    </row>
    <row r="6720" spans="1:10" x14ac:dyDescent="0.35">
      <c r="A6720" s="2">
        <v>44794</v>
      </c>
      <c r="B6720" s="3">
        <v>4.0057870370370369E-2</v>
      </c>
      <c r="C6720">
        <v>8766</v>
      </c>
      <c r="D6720" t="str">
        <f>VLOOKUP(H6720,Produkt!$A$2:$B$5,2,FALSE)</f>
        <v>A</v>
      </c>
      <c r="H6720">
        <v>1</v>
      </c>
      <c r="I6720">
        <v>0.91394675925925928</v>
      </c>
      <c r="J6720">
        <v>44800</v>
      </c>
    </row>
    <row r="6721" spans="1:10" x14ac:dyDescent="0.35">
      <c r="A6721" s="2">
        <v>44794</v>
      </c>
      <c r="B6721" s="3">
        <v>4.8958333333333333E-2</v>
      </c>
      <c r="C6721">
        <v>8770</v>
      </c>
      <c r="D6721" t="str">
        <f>VLOOKUP(H6721,Produkt!$A$2:$B$5,2,FALSE)</f>
        <v>C</v>
      </c>
      <c r="H6721">
        <v>3</v>
      </c>
      <c r="I6721">
        <v>0.27678240740740739</v>
      </c>
      <c r="J6721">
        <v>44779</v>
      </c>
    </row>
    <row r="6722" spans="1:10" x14ac:dyDescent="0.35">
      <c r="A6722" s="2">
        <v>44794</v>
      </c>
      <c r="B6722" s="3">
        <v>0.49597222222222226</v>
      </c>
      <c r="C6722">
        <v>8810</v>
      </c>
      <c r="D6722" t="str">
        <f>VLOOKUP(H6722,Produkt!$A$2:$B$5,2,FALSE)</f>
        <v>B</v>
      </c>
      <c r="H6722">
        <v>2</v>
      </c>
      <c r="I6722">
        <v>0.77038194444444441</v>
      </c>
      <c r="J6722">
        <v>44787</v>
      </c>
    </row>
    <row r="6723" spans="1:10" x14ac:dyDescent="0.35">
      <c r="A6723" s="2">
        <v>44794</v>
      </c>
      <c r="B6723" s="3">
        <v>0.91440972222222217</v>
      </c>
      <c r="C6723">
        <v>8884</v>
      </c>
      <c r="D6723" t="str">
        <f>VLOOKUP(H6723,Produkt!$A$2:$B$5,2,FALSE)</f>
        <v>D</v>
      </c>
      <c r="H6723">
        <v>4</v>
      </c>
      <c r="I6723">
        <v>0.10642361111111111</v>
      </c>
      <c r="J6723">
        <v>44798</v>
      </c>
    </row>
    <row r="6724" spans="1:10" x14ac:dyDescent="0.35">
      <c r="A6724" s="2">
        <v>44794</v>
      </c>
      <c r="B6724" s="3">
        <v>0.42451388888888886</v>
      </c>
      <c r="C6724">
        <v>8903</v>
      </c>
      <c r="D6724" t="str">
        <f>VLOOKUP(H6724,Produkt!$A$2:$B$5,2,FALSE)</f>
        <v>B</v>
      </c>
      <c r="H6724">
        <v>2</v>
      </c>
      <c r="I6724">
        <v>0.9474999999999999</v>
      </c>
      <c r="J6724">
        <v>44792</v>
      </c>
    </row>
    <row r="6725" spans="1:10" x14ac:dyDescent="0.35">
      <c r="A6725" s="2">
        <v>44794</v>
      </c>
      <c r="B6725" s="3">
        <v>0.5909375</v>
      </c>
      <c r="C6725">
        <v>8915</v>
      </c>
      <c r="D6725" t="str">
        <f>VLOOKUP(H6725,Produkt!$A$2:$B$5,2,FALSE)</f>
        <v>C</v>
      </c>
      <c r="H6725">
        <v>3</v>
      </c>
      <c r="I6725">
        <v>3.2650462962962923E-2</v>
      </c>
      <c r="J6725">
        <v>44783</v>
      </c>
    </row>
    <row r="6726" spans="1:10" x14ac:dyDescent="0.35">
      <c r="A6726" s="2">
        <v>44794</v>
      </c>
      <c r="B6726" s="3">
        <v>0.70590277777777777</v>
      </c>
      <c r="C6726">
        <v>9017</v>
      </c>
      <c r="D6726" t="str">
        <f>VLOOKUP(H6726,Produkt!$A$2:$B$5,2,FALSE)</f>
        <v>D</v>
      </c>
      <c r="H6726">
        <v>4</v>
      </c>
      <c r="I6726">
        <v>0.29085648148148152</v>
      </c>
      <c r="J6726">
        <v>44784</v>
      </c>
    </row>
    <row r="6727" spans="1:10" x14ac:dyDescent="0.35">
      <c r="A6727" s="2">
        <v>44794</v>
      </c>
      <c r="B6727" s="3">
        <v>0.46743055555555557</v>
      </c>
      <c r="C6727">
        <v>9029</v>
      </c>
      <c r="D6727" t="str">
        <f>VLOOKUP(H6727,Produkt!$A$2:$B$5,2,FALSE)</f>
        <v>A</v>
      </c>
      <c r="H6727">
        <v>1</v>
      </c>
      <c r="I6727">
        <v>0.42798611111111112</v>
      </c>
      <c r="J6727">
        <v>44774</v>
      </c>
    </row>
    <row r="6728" spans="1:10" x14ac:dyDescent="0.35">
      <c r="A6728" s="2">
        <v>44794</v>
      </c>
      <c r="B6728" s="3">
        <v>4.8645833333333333E-2</v>
      </c>
      <c r="C6728">
        <v>9084</v>
      </c>
      <c r="D6728" t="str">
        <f>VLOOKUP(H6728,Produkt!$A$2:$B$5,2,FALSE)</f>
        <v>C</v>
      </c>
      <c r="H6728">
        <v>3</v>
      </c>
      <c r="I6728">
        <v>0.71875</v>
      </c>
      <c r="J6728">
        <v>44791</v>
      </c>
    </row>
    <row r="6729" spans="1:10" x14ac:dyDescent="0.35">
      <c r="A6729" s="2">
        <v>44794</v>
      </c>
      <c r="B6729" s="3">
        <v>0.26306712962962964</v>
      </c>
      <c r="C6729">
        <v>9130</v>
      </c>
      <c r="D6729" t="str">
        <f>VLOOKUP(H6729,Produkt!$A$2:$B$5,2,FALSE)</f>
        <v>D</v>
      </c>
      <c r="H6729">
        <v>4</v>
      </c>
      <c r="I6729">
        <v>3.8576388888888813E-2</v>
      </c>
      <c r="J6729">
        <v>44804</v>
      </c>
    </row>
    <row r="6730" spans="1:10" x14ac:dyDescent="0.35">
      <c r="A6730" s="2">
        <v>44794</v>
      </c>
      <c r="B6730" s="3">
        <v>0.85770833333333341</v>
      </c>
      <c r="C6730">
        <v>9160</v>
      </c>
      <c r="D6730" t="str">
        <f>VLOOKUP(H6730,Produkt!$A$2:$B$5,2,FALSE)</f>
        <v>C</v>
      </c>
      <c r="H6730">
        <v>3</v>
      </c>
      <c r="I6730">
        <v>0.34748842592592594</v>
      </c>
      <c r="J6730">
        <v>44800</v>
      </c>
    </row>
    <row r="6731" spans="1:10" x14ac:dyDescent="0.35">
      <c r="A6731" s="2">
        <v>44794</v>
      </c>
      <c r="B6731" s="3">
        <v>2.3773148148148151E-2</v>
      </c>
      <c r="C6731">
        <v>9176</v>
      </c>
      <c r="D6731" t="str">
        <f>VLOOKUP(H6731,Produkt!$A$2:$B$5,2,FALSE)</f>
        <v>A</v>
      </c>
      <c r="H6731">
        <v>1</v>
      </c>
      <c r="I6731">
        <v>0.69150462962962955</v>
      </c>
      <c r="J6731">
        <v>44786</v>
      </c>
    </row>
    <row r="6732" spans="1:10" x14ac:dyDescent="0.35">
      <c r="A6732" s="2">
        <v>44794</v>
      </c>
      <c r="B6732" s="3">
        <v>0.43113425925925924</v>
      </c>
      <c r="C6732">
        <v>9204</v>
      </c>
      <c r="D6732" t="str">
        <f>VLOOKUP(H6732,Produkt!$A$2:$B$5,2,FALSE)</f>
        <v>A</v>
      </c>
      <c r="H6732">
        <v>1</v>
      </c>
      <c r="I6732">
        <v>0.52377314814814813</v>
      </c>
      <c r="J6732">
        <v>44788</v>
      </c>
    </row>
    <row r="6733" spans="1:10" x14ac:dyDescent="0.35">
      <c r="A6733" s="2">
        <v>44794</v>
      </c>
      <c r="B6733" s="3">
        <v>0.29657407407407405</v>
      </c>
      <c r="C6733">
        <v>9254</v>
      </c>
      <c r="D6733" t="str">
        <f>VLOOKUP(H6733,Produkt!$A$2:$B$5,2,FALSE)</f>
        <v>B</v>
      </c>
      <c r="H6733">
        <v>2</v>
      </c>
      <c r="I6733">
        <v>0.46159722222222221</v>
      </c>
      <c r="J6733">
        <v>44792</v>
      </c>
    </row>
    <row r="6734" spans="1:10" x14ac:dyDescent="0.35">
      <c r="A6734" s="2">
        <v>44794</v>
      </c>
      <c r="B6734" s="3">
        <v>5.4143518518518514E-2</v>
      </c>
      <c r="C6734">
        <v>9269</v>
      </c>
      <c r="D6734" t="str">
        <f>VLOOKUP(H6734,Produkt!$A$2:$B$5,2,FALSE)</f>
        <v>A</v>
      </c>
      <c r="H6734">
        <v>1</v>
      </c>
      <c r="I6734">
        <v>0.53905092592592596</v>
      </c>
      <c r="J6734">
        <v>44787</v>
      </c>
    </row>
    <row r="6735" spans="1:10" x14ac:dyDescent="0.35">
      <c r="A6735" s="2">
        <v>44794</v>
      </c>
      <c r="B6735" s="3">
        <v>6.1134259259259256E-2</v>
      </c>
      <c r="C6735">
        <v>9271</v>
      </c>
      <c r="D6735" t="str">
        <f>VLOOKUP(H6735,Produkt!$A$2:$B$5,2,FALSE)</f>
        <v>D</v>
      </c>
      <c r="H6735">
        <v>4</v>
      </c>
      <c r="I6735">
        <v>0.5913194444444444</v>
      </c>
      <c r="J6735">
        <v>44779</v>
      </c>
    </row>
    <row r="6736" spans="1:10" x14ac:dyDescent="0.35">
      <c r="A6736" s="2">
        <v>44794</v>
      </c>
      <c r="B6736" s="3">
        <v>0.25062499999999999</v>
      </c>
      <c r="C6736">
        <v>9297</v>
      </c>
      <c r="D6736" t="str">
        <f>VLOOKUP(H6736,Produkt!$A$2:$B$5,2,FALSE)</f>
        <v>C</v>
      </c>
      <c r="H6736">
        <v>3</v>
      </c>
      <c r="I6736">
        <v>0.84561342592592592</v>
      </c>
      <c r="J6736">
        <v>44802</v>
      </c>
    </row>
    <row r="6737" spans="1:10" x14ac:dyDescent="0.35">
      <c r="A6737" s="2">
        <v>44794</v>
      </c>
      <c r="B6737" s="3">
        <v>0.59313657407407405</v>
      </c>
      <c r="C6737">
        <v>9308</v>
      </c>
      <c r="D6737" t="str">
        <f>VLOOKUP(H6737,Produkt!$A$2:$B$5,2,FALSE)</f>
        <v>A</v>
      </c>
      <c r="H6737">
        <v>1</v>
      </c>
      <c r="I6737">
        <v>5.7233796296296297E-2</v>
      </c>
      <c r="J6737">
        <v>44775</v>
      </c>
    </row>
    <row r="6738" spans="1:10" x14ac:dyDescent="0.35">
      <c r="A6738" s="2">
        <v>44794</v>
      </c>
      <c r="B6738" s="3">
        <v>0.7387731481481481</v>
      </c>
      <c r="C6738">
        <v>9328</v>
      </c>
      <c r="D6738" t="str">
        <f>VLOOKUP(H6738,Produkt!$A$2:$B$5,2,FALSE)</f>
        <v>D</v>
      </c>
      <c r="H6738">
        <v>4</v>
      </c>
      <c r="I6738">
        <v>0.32302083333333331</v>
      </c>
      <c r="J6738">
        <v>44800</v>
      </c>
    </row>
    <row r="6739" spans="1:10" x14ac:dyDescent="0.35">
      <c r="A6739" s="2">
        <v>44794</v>
      </c>
      <c r="B6739" s="3">
        <v>0.74675925925925923</v>
      </c>
      <c r="C6739">
        <v>9358</v>
      </c>
      <c r="D6739" t="str">
        <f>VLOOKUP(H6739,Produkt!$A$2:$B$5,2,FALSE)</f>
        <v>C</v>
      </c>
      <c r="H6739">
        <v>3</v>
      </c>
      <c r="I6739">
        <v>0.27284722222222224</v>
      </c>
      <c r="J6739">
        <v>44777</v>
      </c>
    </row>
    <row r="6740" spans="1:10" x14ac:dyDescent="0.35">
      <c r="A6740" s="2">
        <v>44794</v>
      </c>
      <c r="B6740" s="3">
        <v>0.18119212962962963</v>
      </c>
      <c r="C6740">
        <v>9371</v>
      </c>
      <c r="D6740" t="str">
        <f>VLOOKUP(H6740,Produkt!$A$2:$B$5,2,FALSE)</f>
        <v>D</v>
      </c>
      <c r="H6740">
        <v>4</v>
      </c>
      <c r="I6740">
        <v>0.60965277777777771</v>
      </c>
      <c r="J6740">
        <v>44801</v>
      </c>
    </row>
    <row r="6741" spans="1:10" x14ac:dyDescent="0.35">
      <c r="A6741" s="2">
        <v>44794</v>
      </c>
      <c r="B6741" s="3">
        <v>0.58901620370370367</v>
      </c>
      <c r="C6741">
        <v>9394</v>
      </c>
      <c r="D6741" t="str">
        <f>VLOOKUP(H6741,Produkt!$A$2:$B$5,2,FALSE)</f>
        <v>B</v>
      </c>
      <c r="H6741">
        <v>2</v>
      </c>
      <c r="I6741">
        <v>0.88687499999999997</v>
      </c>
      <c r="J6741">
        <v>44781</v>
      </c>
    </row>
    <row r="6742" spans="1:10" x14ac:dyDescent="0.35">
      <c r="A6742" s="2">
        <v>44794</v>
      </c>
      <c r="B6742" s="3">
        <v>0.69649305555555552</v>
      </c>
      <c r="C6742">
        <v>9403</v>
      </c>
      <c r="D6742" t="str">
        <f>VLOOKUP(H6742,Produkt!$A$2:$B$5,2,FALSE)</f>
        <v>A</v>
      </c>
      <c r="H6742">
        <v>1</v>
      </c>
      <c r="I6742">
        <v>0.42016203703703708</v>
      </c>
      <c r="J6742">
        <v>44784</v>
      </c>
    </row>
    <row r="6743" spans="1:10" x14ac:dyDescent="0.35">
      <c r="A6743" s="2">
        <v>44794</v>
      </c>
      <c r="B6743" s="3">
        <v>0.49276620370370372</v>
      </c>
      <c r="C6743">
        <v>9409</v>
      </c>
      <c r="D6743" t="str">
        <f>VLOOKUP(H6743,Produkt!$A$2:$B$5,2,FALSE)</f>
        <v>A</v>
      </c>
      <c r="H6743">
        <v>1</v>
      </c>
      <c r="I6743">
        <v>0.33833333333333332</v>
      </c>
      <c r="J6743">
        <v>44775</v>
      </c>
    </row>
    <row r="6744" spans="1:10" x14ac:dyDescent="0.35">
      <c r="A6744" s="2">
        <v>44794</v>
      </c>
      <c r="B6744" s="3">
        <v>0.92104166666666665</v>
      </c>
      <c r="C6744">
        <v>9473</v>
      </c>
      <c r="D6744" t="str">
        <f>VLOOKUP(H6744,Produkt!$A$2:$B$5,2,FALSE)</f>
        <v>B</v>
      </c>
      <c r="H6744">
        <v>2</v>
      </c>
      <c r="I6744">
        <v>0.62479166666666663</v>
      </c>
      <c r="J6744">
        <v>44783</v>
      </c>
    </row>
    <row r="6745" spans="1:10" x14ac:dyDescent="0.35">
      <c r="A6745" s="2">
        <v>44794</v>
      </c>
      <c r="B6745" s="3">
        <v>0.67924768518518519</v>
      </c>
      <c r="C6745">
        <v>9485</v>
      </c>
      <c r="D6745" t="str">
        <f>VLOOKUP(H6745,Produkt!$A$2:$B$5,2,FALSE)</f>
        <v>C</v>
      </c>
      <c r="H6745">
        <v>3</v>
      </c>
      <c r="I6745">
        <v>0.28957175925925926</v>
      </c>
      <c r="J6745">
        <v>44799</v>
      </c>
    </row>
    <row r="6746" spans="1:10" x14ac:dyDescent="0.35">
      <c r="A6746" s="2">
        <v>44794</v>
      </c>
      <c r="B6746" s="3">
        <v>0.54172453703703705</v>
      </c>
      <c r="C6746">
        <v>9505</v>
      </c>
      <c r="D6746" t="str">
        <f>VLOOKUP(H6746,Produkt!$A$2:$B$5,2,FALSE)</f>
        <v>A</v>
      </c>
      <c r="H6746">
        <v>1</v>
      </c>
      <c r="I6746">
        <v>0.3630902777777778</v>
      </c>
      <c r="J6746">
        <v>44788</v>
      </c>
    </row>
    <row r="6747" spans="1:10" x14ac:dyDescent="0.35">
      <c r="A6747" s="2">
        <v>44794</v>
      </c>
      <c r="B6747" s="3">
        <v>0.18021990740740743</v>
      </c>
      <c r="C6747">
        <v>9520</v>
      </c>
      <c r="D6747" t="str">
        <f>VLOOKUP(H6747,Produkt!$A$2:$B$5,2,FALSE)</f>
        <v>B</v>
      </c>
      <c r="H6747">
        <v>2</v>
      </c>
      <c r="I6747">
        <v>0.19571759259259258</v>
      </c>
      <c r="J6747">
        <v>44804</v>
      </c>
    </row>
    <row r="6748" spans="1:10" x14ac:dyDescent="0.35">
      <c r="A6748" s="2">
        <v>44794</v>
      </c>
      <c r="B6748" s="3">
        <v>0.94113425925925931</v>
      </c>
      <c r="C6748">
        <v>9530</v>
      </c>
      <c r="D6748" t="str">
        <f>VLOOKUP(H6748,Produkt!$A$2:$B$5,2,FALSE)</f>
        <v>C</v>
      </c>
      <c r="H6748">
        <v>3</v>
      </c>
      <c r="I6748">
        <v>2.9525462962962962E-2</v>
      </c>
      <c r="J6748">
        <v>44792</v>
      </c>
    </row>
    <row r="6749" spans="1:10" x14ac:dyDescent="0.35">
      <c r="A6749" s="2">
        <v>44794</v>
      </c>
      <c r="B6749" s="3">
        <v>0.72200231481481481</v>
      </c>
      <c r="C6749">
        <v>9544</v>
      </c>
      <c r="D6749" t="str">
        <f>VLOOKUP(H6749,Produkt!$A$2:$B$5,2,FALSE)</f>
        <v>C</v>
      </c>
      <c r="H6749">
        <v>3</v>
      </c>
      <c r="I6749">
        <v>0.34290509259259255</v>
      </c>
      <c r="J6749">
        <v>44784</v>
      </c>
    </row>
    <row r="6750" spans="1:10" x14ac:dyDescent="0.35">
      <c r="A6750" s="2">
        <v>44794</v>
      </c>
      <c r="B6750" s="3">
        <v>0.48120370370370374</v>
      </c>
      <c r="C6750">
        <v>9561</v>
      </c>
      <c r="D6750" t="str">
        <f>VLOOKUP(H6750,Produkt!$A$2:$B$5,2,FALSE)</f>
        <v>A</v>
      </c>
      <c r="H6750">
        <v>1</v>
      </c>
      <c r="I6750">
        <v>0.35248842592592594</v>
      </c>
      <c r="J6750">
        <v>44782</v>
      </c>
    </row>
    <row r="6751" spans="1:10" x14ac:dyDescent="0.35">
      <c r="A6751" s="2">
        <v>44794</v>
      </c>
      <c r="B6751" s="3">
        <v>0.27359953703703704</v>
      </c>
      <c r="C6751">
        <v>9581</v>
      </c>
      <c r="D6751" t="str">
        <f>VLOOKUP(H6751,Produkt!$A$2:$B$5,2,FALSE)</f>
        <v>A</v>
      </c>
      <c r="H6751">
        <v>1</v>
      </c>
      <c r="I6751">
        <v>0.42665509259259254</v>
      </c>
      <c r="J6751">
        <v>44795</v>
      </c>
    </row>
    <row r="6752" spans="1:10" x14ac:dyDescent="0.35">
      <c r="A6752" s="2">
        <v>44794</v>
      </c>
      <c r="B6752" s="3">
        <v>0.32776620370370368</v>
      </c>
      <c r="C6752">
        <v>9617</v>
      </c>
      <c r="D6752" t="str">
        <f>VLOOKUP(H6752,Produkt!$A$2:$B$5,2,FALSE)</f>
        <v>B</v>
      </c>
      <c r="H6752">
        <v>2</v>
      </c>
      <c r="I6752">
        <v>0.58280092592592592</v>
      </c>
      <c r="J6752">
        <v>44790</v>
      </c>
    </row>
    <row r="6753" spans="1:10" x14ac:dyDescent="0.35">
      <c r="A6753" s="2">
        <v>44794</v>
      </c>
      <c r="B6753" s="3">
        <v>8.6643518518518522E-2</v>
      </c>
      <c r="C6753">
        <v>9620</v>
      </c>
      <c r="D6753" t="str">
        <f>VLOOKUP(H6753,Produkt!$A$2:$B$5,2,FALSE)</f>
        <v>D</v>
      </c>
      <c r="H6753">
        <v>4</v>
      </c>
      <c r="I6753">
        <v>0.76659722222222226</v>
      </c>
      <c r="J6753">
        <v>44789</v>
      </c>
    </row>
    <row r="6754" spans="1:10" x14ac:dyDescent="0.35">
      <c r="A6754" s="2">
        <v>44794</v>
      </c>
      <c r="B6754" s="3">
        <v>0.55578703703703702</v>
      </c>
      <c r="C6754">
        <v>9629</v>
      </c>
      <c r="D6754" t="str">
        <f>VLOOKUP(H6754,Produkt!$A$2:$B$5,2,FALSE)</f>
        <v>D</v>
      </c>
      <c r="H6754">
        <v>4</v>
      </c>
      <c r="I6754">
        <v>0.77031250000000007</v>
      </c>
      <c r="J6754">
        <v>44798</v>
      </c>
    </row>
    <row r="6755" spans="1:10" x14ac:dyDescent="0.35">
      <c r="A6755" s="2">
        <v>44794</v>
      </c>
      <c r="B6755" s="3">
        <v>0.46909722222222222</v>
      </c>
      <c r="C6755">
        <v>9657</v>
      </c>
      <c r="D6755" t="str">
        <f>VLOOKUP(H6755,Produkt!$A$2:$B$5,2,FALSE)</f>
        <v>C</v>
      </c>
      <c r="H6755">
        <v>3</v>
      </c>
      <c r="I6755">
        <v>0.10591435185185184</v>
      </c>
      <c r="J6755">
        <v>44802</v>
      </c>
    </row>
    <row r="6756" spans="1:10" x14ac:dyDescent="0.35">
      <c r="A6756" s="2">
        <v>44794</v>
      </c>
      <c r="B6756" s="3">
        <v>0.79155092592592602</v>
      </c>
      <c r="C6756">
        <v>9666</v>
      </c>
      <c r="D6756" t="str">
        <f>VLOOKUP(H6756,Produkt!$A$2:$B$5,2,FALSE)</f>
        <v>C</v>
      </c>
      <c r="H6756">
        <v>3</v>
      </c>
      <c r="I6756">
        <v>0.2770023148148148</v>
      </c>
      <c r="J6756">
        <v>44801</v>
      </c>
    </row>
    <row r="6757" spans="1:10" x14ac:dyDescent="0.35">
      <c r="A6757" s="2">
        <v>44794</v>
      </c>
      <c r="B6757" s="3">
        <v>0.22555555555555554</v>
      </c>
      <c r="C6757">
        <v>9690</v>
      </c>
      <c r="D6757" t="str">
        <f>VLOOKUP(H6757,Produkt!$A$2:$B$5,2,FALSE)</f>
        <v>C</v>
      </c>
      <c r="H6757">
        <v>3</v>
      </c>
      <c r="I6757">
        <v>9.8310185185185195E-2</v>
      </c>
      <c r="J6757">
        <v>44790</v>
      </c>
    </row>
    <row r="6758" spans="1:10" x14ac:dyDescent="0.35">
      <c r="A6758" s="2">
        <v>44794</v>
      </c>
      <c r="B6758" s="3">
        <v>0.46137731481481481</v>
      </c>
      <c r="C6758">
        <v>9702</v>
      </c>
      <c r="D6758" t="str">
        <f>VLOOKUP(H6758,Produkt!$A$2:$B$5,2,FALSE)</f>
        <v>C</v>
      </c>
      <c r="H6758">
        <v>3</v>
      </c>
      <c r="I6758">
        <v>0.85078703703703706</v>
      </c>
      <c r="J6758">
        <v>44781</v>
      </c>
    </row>
    <row r="6759" spans="1:10" x14ac:dyDescent="0.35">
      <c r="A6759" s="2">
        <v>44794</v>
      </c>
      <c r="B6759" s="3">
        <v>0.77221064814814822</v>
      </c>
      <c r="C6759">
        <v>9729</v>
      </c>
      <c r="D6759" t="str">
        <f>VLOOKUP(H6759,Produkt!$A$2:$B$5,2,FALSE)</f>
        <v>D</v>
      </c>
      <c r="H6759">
        <v>4</v>
      </c>
      <c r="I6759">
        <v>0.71947916666666656</v>
      </c>
      <c r="J6759">
        <v>44795</v>
      </c>
    </row>
    <row r="6760" spans="1:10" x14ac:dyDescent="0.35">
      <c r="A6760" s="2">
        <v>44794</v>
      </c>
      <c r="B6760" s="3">
        <v>0.10494212962962964</v>
      </c>
      <c r="C6760">
        <v>9737</v>
      </c>
      <c r="D6760" t="str">
        <f>VLOOKUP(H6760,Produkt!$A$2:$B$5,2,FALSE)</f>
        <v>C</v>
      </c>
      <c r="H6760">
        <v>3</v>
      </c>
      <c r="I6760">
        <v>0.70333333333333325</v>
      </c>
      <c r="J6760">
        <v>44794</v>
      </c>
    </row>
    <row r="6761" spans="1:10" x14ac:dyDescent="0.35">
      <c r="A6761" s="2">
        <v>44794</v>
      </c>
      <c r="B6761" s="3">
        <v>7.4965277777777783E-2</v>
      </c>
      <c r="C6761">
        <v>9753</v>
      </c>
      <c r="D6761" t="str">
        <f>VLOOKUP(H6761,Produkt!$A$2:$B$5,2,FALSE)</f>
        <v>D</v>
      </c>
      <c r="H6761">
        <v>4</v>
      </c>
      <c r="I6761">
        <v>0.98032407407407407</v>
      </c>
      <c r="J6761">
        <v>44796</v>
      </c>
    </row>
    <row r="6762" spans="1:10" x14ac:dyDescent="0.35">
      <c r="A6762" s="2">
        <v>44794</v>
      </c>
      <c r="B6762" s="3">
        <v>9.6585648148148143E-2</v>
      </c>
      <c r="C6762">
        <v>9766</v>
      </c>
      <c r="D6762" t="str">
        <f>VLOOKUP(H6762,Produkt!$A$2:$B$5,2,FALSE)</f>
        <v>C</v>
      </c>
      <c r="H6762">
        <v>3</v>
      </c>
      <c r="I6762">
        <v>0.31370370370370371</v>
      </c>
      <c r="J6762">
        <v>44797</v>
      </c>
    </row>
    <row r="6763" spans="1:10" x14ac:dyDescent="0.35">
      <c r="A6763" s="2">
        <v>44794</v>
      </c>
      <c r="B6763" s="3">
        <v>0.53312499999999996</v>
      </c>
      <c r="C6763">
        <v>9821</v>
      </c>
      <c r="D6763" t="str">
        <f>VLOOKUP(H6763,Produkt!$A$2:$B$5,2,FALSE)</f>
        <v>B</v>
      </c>
      <c r="H6763">
        <v>2</v>
      </c>
      <c r="I6763">
        <v>0.86025462962962962</v>
      </c>
      <c r="J6763">
        <v>44785</v>
      </c>
    </row>
    <row r="6764" spans="1:10" x14ac:dyDescent="0.35">
      <c r="A6764" s="2">
        <v>44794</v>
      </c>
      <c r="B6764" s="3">
        <v>8.4490740740740741E-2</v>
      </c>
      <c r="C6764">
        <v>9832</v>
      </c>
      <c r="D6764" t="str">
        <f>VLOOKUP(H6764,Produkt!$A$2:$B$5,2,FALSE)</f>
        <v>D</v>
      </c>
      <c r="H6764">
        <v>4</v>
      </c>
      <c r="I6764">
        <v>3.9432870370370368E-2</v>
      </c>
      <c r="J6764">
        <v>44777</v>
      </c>
    </row>
    <row r="6765" spans="1:10" x14ac:dyDescent="0.35">
      <c r="A6765" s="2">
        <v>44794</v>
      </c>
      <c r="B6765" s="3">
        <v>0.44953703703703707</v>
      </c>
      <c r="C6765">
        <v>9847</v>
      </c>
      <c r="D6765" t="str">
        <f>VLOOKUP(H6765,Produkt!$A$2:$B$5,2,FALSE)</f>
        <v>C</v>
      </c>
      <c r="H6765">
        <v>3</v>
      </c>
      <c r="I6765">
        <v>0.17668981481481483</v>
      </c>
      <c r="J6765">
        <v>44776</v>
      </c>
    </row>
    <row r="6766" spans="1:10" x14ac:dyDescent="0.35">
      <c r="A6766" s="2">
        <v>44794</v>
      </c>
      <c r="B6766" s="3">
        <v>0.88607638888888884</v>
      </c>
      <c r="C6766">
        <v>9908</v>
      </c>
      <c r="D6766" t="str">
        <f>VLOOKUP(H6766,Produkt!$A$2:$B$5,2,FALSE)</f>
        <v>B</v>
      </c>
      <c r="H6766">
        <v>2</v>
      </c>
      <c r="I6766">
        <v>0.59009259259259261</v>
      </c>
      <c r="J6766">
        <v>44789</v>
      </c>
    </row>
    <row r="6767" spans="1:10" x14ac:dyDescent="0.35">
      <c r="A6767" s="2">
        <v>44794</v>
      </c>
      <c r="B6767" s="3">
        <v>6.1481481481481477E-2</v>
      </c>
      <c r="C6767">
        <v>9944</v>
      </c>
      <c r="D6767" t="str">
        <f>VLOOKUP(H6767,Produkt!$A$2:$B$5,2,FALSE)</f>
        <v>D</v>
      </c>
      <c r="H6767">
        <v>4</v>
      </c>
      <c r="I6767">
        <v>0.2275925925925926</v>
      </c>
      <c r="J6767">
        <v>44802</v>
      </c>
    </row>
    <row r="6768" spans="1:10" x14ac:dyDescent="0.35">
      <c r="A6768" s="2">
        <v>44794</v>
      </c>
      <c r="B6768" s="3">
        <v>0.54331018518518526</v>
      </c>
      <c r="C6768">
        <v>9947</v>
      </c>
      <c r="D6768" t="str">
        <f>VLOOKUP(H6768,Produkt!$A$2:$B$5,2,FALSE)</f>
        <v>B</v>
      </c>
      <c r="H6768">
        <v>2</v>
      </c>
      <c r="I6768">
        <v>0.99940972222222213</v>
      </c>
      <c r="J6768">
        <v>44801</v>
      </c>
    </row>
    <row r="6769" spans="1:10" x14ac:dyDescent="0.35">
      <c r="A6769" s="2">
        <v>44795</v>
      </c>
      <c r="B6769" s="3">
        <v>0.71564814814814814</v>
      </c>
      <c r="C6769">
        <v>1</v>
      </c>
      <c r="D6769" t="str">
        <f>VLOOKUP(H6769,Produkt!$A$2:$B$5,2,FALSE)</f>
        <v>D</v>
      </c>
      <c r="H6769">
        <v>4</v>
      </c>
      <c r="I6769">
        <v>0.71836805555555561</v>
      </c>
      <c r="J6769">
        <v>44783</v>
      </c>
    </row>
    <row r="6770" spans="1:10" x14ac:dyDescent="0.35">
      <c r="A6770" s="2">
        <v>44795</v>
      </c>
      <c r="B6770" s="3">
        <v>0.41627314814814814</v>
      </c>
      <c r="C6770">
        <v>21</v>
      </c>
      <c r="D6770" t="str">
        <f>VLOOKUP(H6770,Produkt!$A$2:$B$5,2,FALSE)</f>
        <v>B</v>
      </c>
      <c r="H6770">
        <v>2</v>
      </c>
      <c r="I6770">
        <v>0.75788194444444434</v>
      </c>
      <c r="J6770">
        <v>44795</v>
      </c>
    </row>
    <row r="6771" spans="1:10" x14ac:dyDescent="0.35">
      <c r="A6771" s="2">
        <v>44795</v>
      </c>
      <c r="B6771" s="3">
        <v>0.87675925925925924</v>
      </c>
      <c r="C6771">
        <v>42</v>
      </c>
      <c r="D6771" t="str">
        <f>VLOOKUP(H6771,Produkt!$A$2:$B$5,2,FALSE)</f>
        <v>D</v>
      </c>
      <c r="H6771">
        <v>4</v>
      </c>
      <c r="I6771">
        <v>0.83902777777777782</v>
      </c>
      <c r="J6771">
        <v>44780</v>
      </c>
    </row>
    <row r="6772" spans="1:10" x14ac:dyDescent="0.35">
      <c r="A6772" s="2">
        <v>44795</v>
      </c>
      <c r="B6772" s="3">
        <v>0.80335648148148142</v>
      </c>
      <c r="C6772">
        <v>126</v>
      </c>
      <c r="D6772" t="str">
        <f>VLOOKUP(H6772,Produkt!$A$2:$B$5,2,FALSE)</f>
        <v>C</v>
      </c>
      <c r="H6772">
        <v>3</v>
      </c>
      <c r="I6772">
        <v>0.8979166666666667</v>
      </c>
      <c r="J6772">
        <v>44787</v>
      </c>
    </row>
    <row r="6773" spans="1:10" x14ac:dyDescent="0.35">
      <c r="A6773" s="2">
        <v>44795</v>
      </c>
      <c r="B6773" s="3">
        <v>0.27657407407407408</v>
      </c>
      <c r="C6773">
        <v>150</v>
      </c>
      <c r="D6773" t="str">
        <f>VLOOKUP(H6773,Produkt!$A$2:$B$5,2,FALSE)</f>
        <v>B</v>
      </c>
      <c r="H6773">
        <v>2</v>
      </c>
      <c r="I6773">
        <v>7.6967592592592601E-2</v>
      </c>
      <c r="J6773">
        <v>44776</v>
      </c>
    </row>
    <row r="6774" spans="1:10" x14ac:dyDescent="0.35">
      <c r="A6774" s="2">
        <v>44795</v>
      </c>
      <c r="B6774" s="3">
        <v>0.45556712962962959</v>
      </c>
      <c r="C6774">
        <v>162</v>
      </c>
      <c r="D6774" t="str">
        <f>VLOOKUP(H6774,Produkt!$A$2:$B$5,2,FALSE)</f>
        <v>B</v>
      </c>
      <c r="H6774">
        <v>2</v>
      </c>
      <c r="I6774">
        <v>0.70508101851851857</v>
      </c>
      <c r="J6774">
        <v>44795</v>
      </c>
    </row>
    <row r="6775" spans="1:10" x14ac:dyDescent="0.35">
      <c r="A6775" s="2">
        <v>44795</v>
      </c>
      <c r="B6775" s="3">
        <v>0.3663541666666667</v>
      </c>
      <c r="C6775">
        <v>201</v>
      </c>
      <c r="D6775" t="str">
        <f>VLOOKUP(H6775,Produkt!$A$2:$B$5,2,FALSE)</f>
        <v>C</v>
      </c>
      <c r="H6775">
        <v>3</v>
      </c>
      <c r="I6775">
        <v>0.91267361111111101</v>
      </c>
      <c r="J6775">
        <v>44787</v>
      </c>
    </row>
    <row r="6776" spans="1:10" x14ac:dyDescent="0.35">
      <c r="A6776" s="2">
        <v>44795</v>
      </c>
      <c r="B6776" s="3">
        <v>0.7073842592592593</v>
      </c>
      <c r="C6776">
        <v>204</v>
      </c>
      <c r="D6776" t="str">
        <f>VLOOKUP(H6776,Produkt!$A$2:$B$5,2,FALSE)</f>
        <v>D</v>
      </c>
      <c r="H6776">
        <v>4</v>
      </c>
      <c r="I6776">
        <v>0.57618055555555558</v>
      </c>
      <c r="J6776">
        <v>44790</v>
      </c>
    </row>
    <row r="6777" spans="1:10" x14ac:dyDescent="0.35">
      <c r="A6777" s="2">
        <v>44795</v>
      </c>
      <c r="B6777" s="3">
        <v>0.51818287037037036</v>
      </c>
      <c r="C6777">
        <v>208</v>
      </c>
      <c r="D6777" t="str">
        <f>VLOOKUP(H6777,Produkt!$A$2:$B$5,2,FALSE)</f>
        <v>A</v>
      </c>
      <c r="H6777">
        <v>1</v>
      </c>
      <c r="I6777">
        <v>0.88187499999999996</v>
      </c>
      <c r="J6777">
        <v>44786</v>
      </c>
    </row>
    <row r="6778" spans="1:10" x14ac:dyDescent="0.35">
      <c r="A6778" s="2">
        <v>44795</v>
      </c>
      <c r="B6778" s="3">
        <v>0.12043981481481481</v>
      </c>
      <c r="C6778">
        <v>292</v>
      </c>
      <c r="D6778" t="str">
        <f>VLOOKUP(H6778,Produkt!$A$2:$B$5,2,FALSE)</f>
        <v>D</v>
      </c>
      <c r="H6778">
        <v>4</v>
      </c>
      <c r="I6778">
        <v>0.30201388888888886</v>
      </c>
      <c r="J6778">
        <v>44796</v>
      </c>
    </row>
    <row r="6779" spans="1:10" x14ac:dyDescent="0.35">
      <c r="A6779" s="2">
        <v>44795</v>
      </c>
      <c r="B6779" s="3">
        <v>0.58587962962962969</v>
      </c>
      <c r="C6779">
        <v>296</v>
      </c>
      <c r="D6779" t="str">
        <f>VLOOKUP(H6779,Produkt!$A$2:$B$5,2,FALSE)</f>
        <v>A</v>
      </c>
      <c r="H6779">
        <v>1</v>
      </c>
      <c r="I6779">
        <v>0.45156250000000003</v>
      </c>
      <c r="J6779">
        <v>44774</v>
      </c>
    </row>
    <row r="6780" spans="1:10" x14ac:dyDescent="0.35">
      <c r="A6780" s="2">
        <v>44795</v>
      </c>
      <c r="B6780" s="3">
        <v>0.34697916666666667</v>
      </c>
      <c r="C6780">
        <v>382</v>
      </c>
      <c r="D6780" t="str">
        <f>VLOOKUP(H6780,Produkt!$A$2:$B$5,2,FALSE)</f>
        <v>C</v>
      </c>
      <c r="H6780">
        <v>3</v>
      </c>
      <c r="I6780">
        <v>0.38927083333333329</v>
      </c>
      <c r="J6780">
        <v>44775</v>
      </c>
    </row>
    <row r="6781" spans="1:10" x14ac:dyDescent="0.35">
      <c r="A6781" s="2">
        <v>44795</v>
      </c>
      <c r="B6781" s="3">
        <v>0.40797453703703707</v>
      </c>
      <c r="C6781">
        <v>406</v>
      </c>
      <c r="D6781" t="str">
        <f>VLOOKUP(H6781,Produkt!$A$2:$B$5,2,FALSE)</f>
        <v>A</v>
      </c>
      <c r="H6781">
        <v>1</v>
      </c>
      <c r="I6781">
        <v>0.9875694444444445</v>
      </c>
      <c r="J6781">
        <v>44780</v>
      </c>
    </row>
    <row r="6782" spans="1:10" x14ac:dyDescent="0.35">
      <c r="A6782" s="2">
        <v>44795</v>
      </c>
      <c r="B6782" s="3">
        <v>0.10956018518518518</v>
      </c>
      <c r="C6782">
        <v>429</v>
      </c>
      <c r="D6782" t="str">
        <f>VLOOKUP(H6782,Produkt!$A$2:$B$5,2,FALSE)</f>
        <v>C</v>
      </c>
      <c r="H6782">
        <v>3</v>
      </c>
      <c r="I6782">
        <v>0.17336805555555557</v>
      </c>
      <c r="J6782">
        <v>44798</v>
      </c>
    </row>
    <row r="6783" spans="1:10" x14ac:dyDescent="0.35">
      <c r="A6783" s="2">
        <v>44795</v>
      </c>
      <c r="B6783" s="3">
        <v>0.93837962962962962</v>
      </c>
      <c r="C6783">
        <v>457</v>
      </c>
      <c r="D6783" t="str">
        <f>VLOOKUP(H6783,Produkt!$A$2:$B$5,2,FALSE)</f>
        <v>B</v>
      </c>
      <c r="H6783">
        <v>2</v>
      </c>
      <c r="I6783">
        <v>0.75664351851851841</v>
      </c>
      <c r="J6783">
        <v>44786</v>
      </c>
    </row>
    <row r="6784" spans="1:10" x14ac:dyDescent="0.35">
      <c r="A6784" s="2">
        <v>44795</v>
      </c>
      <c r="B6784" s="3">
        <v>0.81266203703703699</v>
      </c>
      <c r="C6784">
        <v>513</v>
      </c>
      <c r="D6784" t="str">
        <f>VLOOKUP(H6784,Produkt!$A$2:$B$5,2,FALSE)</f>
        <v>B</v>
      </c>
      <c r="H6784">
        <v>2</v>
      </c>
      <c r="I6784">
        <v>0.12504629629629629</v>
      </c>
      <c r="J6784">
        <v>44781</v>
      </c>
    </row>
    <row r="6785" spans="1:10" x14ac:dyDescent="0.35">
      <c r="A6785" s="2">
        <v>44795</v>
      </c>
      <c r="B6785" s="3">
        <v>0.1458912037037037</v>
      </c>
      <c r="C6785">
        <v>515</v>
      </c>
      <c r="D6785" t="str">
        <f>VLOOKUP(H6785,Produkt!$A$2:$B$5,2,FALSE)</f>
        <v>A</v>
      </c>
      <c r="H6785">
        <v>1</v>
      </c>
      <c r="I6785">
        <v>0.72259259259259256</v>
      </c>
      <c r="J6785">
        <v>44779</v>
      </c>
    </row>
    <row r="6786" spans="1:10" x14ac:dyDescent="0.35">
      <c r="A6786" s="2">
        <v>44795</v>
      </c>
      <c r="B6786" s="3">
        <v>0.18427083333333336</v>
      </c>
      <c r="C6786">
        <v>522</v>
      </c>
      <c r="D6786" t="str">
        <f>VLOOKUP(H6786,Produkt!$A$2:$B$5,2,FALSE)</f>
        <v>C</v>
      </c>
      <c r="H6786">
        <v>3</v>
      </c>
      <c r="I6786">
        <v>0.76436342592592599</v>
      </c>
      <c r="J6786">
        <v>44780</v>
      </c>
    </row>
    <row r="6787" spans="1:10" x14ac:dyDescent="0.35">
      <c r="A6787" s="2">
        <v>44795</v>
      </c>
      <c r="B6787" s="3">
        <v>0.2895949074074074</v>
      </c>
      <c r="C6787">
        <v>584</v>
      </c>
      <c r="D6787" t="str">
        <f>VLOOKUP(H6787,Produkt!$A$2:$B$5,2,FALSE)</f>
        <v>A</v>
      </c>
      <c r="H6787">
        <v>1</v>
      </c>
      <c r="I6787">
        <v>0.64539351851851856</v>
      </c>
      <c r="J6787">
        <v>44797</v>
      </c>
    </row>
    <row r="6788" spans="1:10" x14ac:dyDescent="0.35">
      <c r="A6788" s="2">
        <v>44795</v>
      </c>
      <c r="B6788" s="3">
        <v>0.88346064814814806</v>
      </c>
      <c r="C6788">
        <v>645</v>
      </c>
      <c r="D6788" t="str">
        <f>VLOOKUP(H6788,Produkt!$A$2:$B$5,2,FALSE)</f>
        <v>C</v>
      </c>
      <c r="H6788">
        <v>3</v>
      </c>
      <c r="I6788">
        <v>0.67906250000000001</v>
      </c>
      <c r="J6788">
        <v>44781</v>
      </c>
    </row>
    <row r="6789" spans="1:10" x14ac:dyDescent="0.35">
      <c r="A6789" s="2">
        <v>44795</v>
      </c>
      <c r="B6789" s="3">
        <v>0.51817129629629632</v>
      </c>
      <c r="C6789">
        <v>659</v>
      </c>
      <c r="D6789" t="str">
        <f>VLOOKUP(H6789,Produkt!$A$2:$B$5,2,FALSE)</f>
        <v>D</v>
      </c>
      <c r="H6789">
        <v>4</v>
      </c>
      <c r="I6789">
        <v>0.30728009259259259</v>
      </c>
      <c r="J6789">
        <v>44795</v>
      </c>
    </row>
    <row r="6790" spans="1:10" x14ac:dyDescent="0.35">
      <c r="A6790" s="2">
        <v>44795</v>
      </c>
      <c r="B6790" s="3">
        <v>1.4560185185185093E-2</v>
      </c>
      <c r="C6790">
        <v>663</v>
      </c>
      <c r="D6790" t="str">
        <f>VLOOKUP(H6790,Produkt!$A$2:$B$5,2,FALSE)</f>
        <v>C</v>
      </c>
      <c r="H6790">
        <v>3</v>
      </c>
      <c r="I6790">
        <v>0.96995370370370371</v>
      </c>
      <c r="J6790">
        <v>44790</v>
      </c>
    </row>
    <row r="6791" spans="1:10" x14ac:dyDescent="0.35">
      <c r="A6791" s="2">
        <v>44795</v>
      </c>
      <c r="B6791" s="3">
        <v>2.7824074074074074E-2</v>
      </c>
      <c r="C6791">
        <v>682</v>
      </c>
      <c r="D6791" t="str">
        <f>VLOOKUP(H6791,Produkt!$A$2:$B$5,2,FALSE)</f>
        <v>D</v>
      </c>
      <c r="H6791">
        <v>4</v>
      </c>
      <c r="I6791">
        <v>0.24732638888888889</v>
      </c>
      <c r="J6791">
        <v>44776</v>
      </c>
    </row>
    <row r="6792" spans="1:10" x14ac:dyDescent="0.35">
      <c r="A6792" s="2">
        <v>44795</v>
      </c>
      <c r="B6792" s="3">
        <v>0.48156249999999995</v>
      </c>
      <c r="C6792">
        <v>769</v>
      </c>
      <c r="D6792" t="str">
        <f>VLOOKUP(H6792,Produkt!$A$2:$B$5,2,FALSE)</f>
        <v>B</v>
      </c>
      <c r="H6792">
        <v>2</v>
      </c>
      <c r="I6792">
        <v>0.5298842592592593</v>
      </c>
      <c r="J6792">
        <v>44783</v>
      </c>
    </row>
    <row r="6793" spans="1:10" x14ac:dyDescent="0.35">
      <c r="A6793" s="2">
        <v>44795</v>
      </c>
      <c r="B6793" s="3">
        <v>0.99351851851851858</v>
      </c>
      <c r="C6793">
        <v>810</v>
      </c>
      <c r="D6793" t="str">
        <f>VLOOKUP(H6793,Produkt!$A$2:$B$5,2,FALSE)</f>
        <v>B</v>
      </c>
      <c r="H6793">
        <v>2</v>
      </c>
      <c r="I6793">
        <v>4.6863425925925926E-2</v>
      </c>
      <c r="J6793">
        <v>44798</v>
      </c>
    </row>
    <row r="6794" spans="1:10" x14ac:dyDescent="0.35">
      <c r="A6794" s="2">
        <v>44795</v>
      </c>
      <c r="B6794" s="3">
        <v>0.25785879629629632</v>
      </c>
      <c r="C6794">
        <v>892</v>
      </c>
      <c r="D6794" t="str">
        <f>VLOOKUP(H6794,Produkt!$A$2:$B$5,2,FALSE)</f>
        <v>A</v>
      </c>
      <c r="H6794">
        <v>1</v>
      </c>
      <c r="I6794">
        <v>0.68034722222222221</v>
      </c>
      <c r="J6794">
        <v>44778</v>
      </c>
    </row>
    <row r="6795" spans="1:10" x14ac:dyDescent="0.35">
      <c r="A6795" s="2">
        <v>44795</v>
      </c>
      <c r="B6795" s="3">
        <v>3.5289351851852002E-2</v>
      </c>
      <c r="C6795">
        <v>920</v>
      </c>
      <c r="D6795" t="str">
        <f>VLOOKUP(H6795,Produkt!$A$2:$B$5,2,FALSE)</f>
        <v>B</v>
      </c>
      <c r="H6795">
        <v>2</v>
      </c>
      <c r="I6795">
        <v>0.10774305555555556</v>
      </c>
      <c r="J6795">
        <v>44795</v>
      </c>
    </row>
    <row r="6796" spans="1:10" x14ac:dyDescent="0.35">
      <c r="A6796" s="2">
        <v>44795</v>
      </c>
      <c r="B6796" s="3">
        <v>0.16108796296296296</v>
      </c>
      <c r="C6796">
        <v>923</v>
      </c>
      <c r="D6796" t="str">
        <f>VLOOKUP(H6796,Produkt!$A$2:$B$5,2,FALSE)</f>
        <v>C</v>
      </c>
      <c r="H6796">
        <v>3</v>
      </c>
      <c r="I6796">
        <v>0.18748842592592593</v>
      </c>
      <c r="J6796">
        <v>44804</v>
      </c>
    </row>
    <row r="6797" spans="1:10" x14ac:dyDescent="0.35">
      <c r="A6797" s="2">
        <v>44795</v>
      </c>
      <c r="B6797" s="3">
        <v>0.59024305555555556</v>
      </c>
      <c r="C6797">
        <v>993</v>
      </c>
      <c r="D6797" t="str">
        <f>VLOOKUP(H6797,Produkt!$A$2:$B$5,2,FALSE)</f>
        <v>C</v>
      </c>
      <c r="H6797">
        <v>3</v>
      </c>
      <c r="I6797">
        <v>7.7858796296296287E-2</v>
      </c>
      <c r="J6797">
        <v>44777</v>
      </c>
    </row>
    <row r="6798" spans="1:10" x14ac:dyDescent="0.35">
      <c r="A6798" s="2">
        <v>44795</v>
      </c>
      <c r="B6798" s="3">
        <v>0.93096064814814816</v>
      </c>
      <c r="C6798">
        <v>1006</v>
      </c>
      <c r="D6798" t="str">
        <f>VLOOKUP(H6798,Produkt!$A$2:$B$5,2,FALSE)</f>
        <v>A</v>
      </c>
      <c r="H6798">
        <v>1</v>
      </c>
      <c r="I6798">
        <v>2.8831018518518547E-2</v>
      </c>
      <c r="J6798">
        <v>44803</v>
      </c>
    </row>
    <row r="6799" spans="1:10" x14ac:dyDescent="0.35">
      <c r="A6799" s="2">
        <v>44795</v>
      </c>
      <c r="B6799" s="3">
        <v>0.20876157407407406</v>
      </c>
      <c r="C6799">
        <v>1036</v>
      </c>
      <c r="D6799" t="str">
        <f>VLOOKUP(H6799,Produkt!$A$2:$B$5,2,FALSE)</f>
        <v>A</v>
      </c>
      <c r="H6799">
        <v>1</v>
      </c>
      <c r="I6799">
        <v>0.85740740740740751</v>
      </c>
      <c r="J6799">
        <v>44785</v>
      </c>
    </row>
    <row r="6800" spans="1:10" x14ac:dyDescent="0.35">
      <c r="A6800" s="2">
        <v>44795</v>
      </c>
      <c r="B6800" s="3">
        <v>6.9444444444444441E-3</v>
      </c>
      <c r="C6800">
        <v>1139</v>
      </c>
      <c r="D6800" t="str">
        <f>VLOOKUP(H6800,Produkt!$A$2:$B$5,2,FALSE)</f>
        <v>A</v>
      </c>
      <c r="H6800">
        <v>1</v>
      </c>
      <c r="I6800">
        <v>0.98170138888888892</v>
      </c>
      <c r="J6800">
        <v>44803</v>
      </c>
    </row>
    <row r="6801" spans="1:10" x14ac:dyDescent="0.35">
      <c r="A6801" s="2">
        <v>44795</v>
      </c>
      <c r="B6801" s="3">
        <v>0.4070833333333333</v>
      </c>
      <c r="C6801">
        <v>1167</v>
      </c>
      <c r="D6801" t="str">
        <f>VLOOKUP(H6801,Produkt!$A$2:$B$5,2,FALSE)</f>
        <v>D</v>
      </c>
      <c r="H6801">
        <v>4</v>
      </c>
      <c r="I6801">
        <v>0.83146990740740734</v>
      </c>
      <c r="J6801">
        <v>44792</v>
      </c>
    </row>
    <row r="6802" spans="1:10" x14ac:dyDescent="0.35">
      <c r="A6802" s="2">
        <v>44795</v>
      </c>
      <c r="B6802" s="3">
        <v>0.95811342592592597</v>
      </c>
      <c r="C6802">
        <v>1217</v>
      </c>
      <c r="D6802" t="str">
        <f>VLOOKUP(H6802,Produkt!$A$2:$B$5,2,FALSE)</f>
        <v>C</v>
      </c>
      <c r="H6802">
        <v>3</v>
      </c>
      <c r="I6802">
        <v>0.91256944444444443</v>
      </c>
      <c r="J6802">
        <v>44797</v>
      </c>
    </row>
    <row r="6803" spans="1:10" x14ac:dyDescent="0.35">
      <c r="A6803" s="2">
        <v>44795</v>
      </c>
      <c r="B6803" s="3">
        <v>0.14840277777777777</v>
      </c>
      <c r="C6803">
        <v>1218</v>
      </c>
      <c r="D6803" t="str">
        <f>VLOOKUP(H6803,Produkt!$A$2:$B$5,2,FALSE)</f>
        <v>C</v>
      </c>
      <c r="H6803">
        <v>3</v>
      </c>
      <c r="I6803">
        <v>0.31528935185185186</v>
      </c>
      <c r="J6803">
        <v>44798</v>
      </c>
    </row>
    <row r="6804" spans="1:10" x14ac:dyDescent="0.35">
      <c r="A6804" s="2">
        <v>44795</v>
      </c>
      <c r="B6804" s="3">
        <v>0.92680555555555555</v>
      </c>
      <c r="C6804">
        <v>1249</v>
      </c>
      <c r="D6804" t="str">
        <f>VLOOKUP(H6804,Produkt!$A$2:$B$5,2,FALSE)</f>
        <v>A</v>
      </c>
      <c r="H6804">
        <v>1</v>
      </c>
      <c r="I6804">
        <v>0.55768518518518517</v>
      </c>
      <c r="J6804">
        <v>44799</v>
      </c>
    </row>
    <row r="6805" spans="1:10" x14ac:dyDescent="0.35">
      <c r="A6805" s="2">
        <v>44795</v>
      </c>
      <c r="B6805" s="3">
        <v>0.94236111111111109</v>
      </c>
      <c r="C6805">
        <v>1275</v>
      </c>
      <c r="D6805" t="str">
        <f>VLOOKUP(H6805,Produkt!$A$2:$B$5,2,FALSE)</f>
        <v>B</v>
      </c>
      <c r="H6805">
        <v>2</v>
      </c>
      <c r="I6805">
        <v>0.33101851851851855</v>
      </c>
      <c r="J6805">
        <v>44785</v>
      </c>
    </row>
    <row r="6806" spans="1:10" x14ac:dyDescent="0.35">
      <c r="A6806" s="2">
        <v>44795</v>
      </c>
      <c r="B6806" s="3">
        <v>0.6605671296296296</v>
      </c>
      <c r="C6806">
        <v>1282</v>
      </c>
      <c r="D6806" t="str">
        <f>VLOOKUP(H6806,Produkt!$A$2:$B$5,2,FALSE)</f>
        <v>B</v>
      </c>
      <c r="H6806">
        <v>2</v>
      </c>
      <c r="I6806">
        <v>0.95223379629629623</v>
      </c>
      <c r="J6806">
        <v>44784</v>
      </c>
    </row>
    <row r="6807" spans="1:10" x14ac:dyDescent="0.35">
      <c r="A6807" s="2">
        <v>44795</v>
      </c>
      <c r="B6807" s="3">
        <v>9.8726851851851857E-3</v>
      </c>
      <c r="C6807">
        <v>1480</v>
      </c>
      <c r="D6807" t="str">
        <f>VLOOKUP(H6807,Produkt!$A$2:$B$5,2,FALSE)</f>
        <v>D</v>
      </c>
      <c r="H6807">
        <v>4</v>
      </c>
      <c r="I6807">
        <v>0.54006944444444438</v>
      </c>
      <c r="J6807">
        <v>44775</v>
      </c>
    </row>
    <row r="6808" spans="1:10" x14ac:dyDescent="0.35">
      <c r="A6808" s="2">
        <v>44795</v>
      </c>
      <c r="B6808" s="3">
        <v>0.31466435185185188</v>
      </c>
      <c r="C6808">
        <v>1486</v>
      </c>
      <c r="D6808" t="str">
        <f>VLOOKUP(H6808,Produkt!$A$2:$B$5,2,FALSE)</f>
        <v>C</v>
      </c>
      <c r="H6808">
        <v>3</v>
      </c>
      <c r="I6808">
        <v>0.5426967592592592</v>
      </c>
      <c r="J6808">
        <v>44803</v>
      </c>
    </row>
    <row r="6809" spans="1:10" x14ac:dyDescent="0.35">
      <c r="A6809" s="2">
        <v>44795</v>
      </c>
      <c r="B6809" s="3">
        <v>0.29078703703703707</v>
      </c>
      <c r="C6809">
        <v>1489</v>
      </c>
      <c r="D6809" t="str">
        <f>VLOOKUP(H6809,Produkt!$A$2:$B$5,2,FALSE)</f>
        <v>A</v>
      </c>
      <c r="H6809">
        <v>1</v>
      </c>
      <c r="I6809">
        <v>0.11582175925925926</v>
      </c>
      <c r="J6809">
        <v>44798</v>
      </c>
    </row>
    <row r="6810" spans="1:10" x14ac:dyDescent="0.35">
      <c r="A6810" s="2">
        <v>44795</v>
      </c>
      <c r="B6810" s="3">
        <v>0.97228009259259263</v>
      </c>
      <c r="C6810">
        <v>1491</v>
      </c>
      <c r="D6810" t="str">
        <f>VLOOKUP(H6810,Produkt!$A$2:$B$5,2,FALSE)</f>
        <v>A</v>
      </c>
      <c r="H6810">
        <v>1</v>
      </c>
      <c r="I6810">
        <v>0.37407407407407406</v>
      </c>
      <c r="J6810">
        <v>44777</v>
      </c>
    </row>
    <row r="6811" spans="1:10" x14ac:dyDescent="0.35">
      <c r="A6811" s="2">
        <v>44795</v>
      </c>
      <c r="B6811" s="3">
        <v>7.6273148148147119E-3</v>
      </c>
      <c r="C6811">
        <v>1512</v>
      </c>
      <c r="D6811" t="str">
        <f>VLOOKUP(H6811,Produkt!$A$2:$B$5,2,FALSE)</f>
        <v>A</v>
      </c>
      <c r="H6811">
        <v>1</v>
      </c>
      <c r="I6811">
        <v>0.20892361111111113</v>
      </c>
      <c r="J6811">
        <v>44804</v>
      </c>
    </row>
    <row r="6812" spans="1:10" x14ac:dyDescent="0.35">
      <c r="A6812" s="2">
        <v>44795</v>
      </c>
      <c r="B6812" s="3">
        <v>0.44361111111111112</v>
      </c>
      <c r="C6812">
        <v>1516</v>
      </c>
      <c r="D6812" t="str">
        <f>VLOOKUP(H6812,Produkt!$A$2:$B$5,2,FALSE)</f>
        <v>B</v>
      </c>
      <c r="H6812">
        <v>2</v>
      </c>
      <c r="I6812">
        <v>0.1925</v>
      </c>
      <c r="J6812">
        <v>44797</v>
      </c>
    </row>
    <row r="6813" spans="1:10" x14ac:dyDescent="0.35">
      <c r="A6813" s="2">
        <v>44795</v>
      </c>
      <c r="B6813" s="3">
        <v>0.45846064814814813</v>
      </c>
      <c r="C6813">
        <v>1522</v>
      </c>
      <c r="D6813" t="str">
        <f>VLOOKUP(H6813,Produkt!$A$2:$B$5,2,FALSE)</f>
        <v>D</v>
      </c>
      <c r="H6813">
        <v>4</v>
      </c>
      <c r="I6813">
        <v>0.40807870370370369</v>
      </c>
      <c r="J6813">
        <v>44798</v>
      </c>
    </row>
    <row r="6814" spans="1:10" x14ac:dyDescent="0.35">
      <c r="A6814" s="2">
        <v>44795</v>
      </c>
      <c r="B6814" s="3">
        <v>0.3084722222222222</v>
      </c>
      <c r="C6814">
        <v>1527</v>
      </c>
      <c r="D6814" t="str">
        <f>VLOOKUP(H6814,Produkt!$A$2:$B$5,2,FALSE)</f>
        <v>C</v>
      </c>
      <c r="H6814">
        <v>3</v>
      </c>
      <c r="I6814">
        <v>0.30843749999999998</v>
      </c>
      <c r="J6814">
        <v>44779</v>
      </c>
    </row>
    <row r="6815" spans="1:10" x14ac:dyDescent="0.35">
      <c r="A6815" s="2">
        <v>44795</v>
      </c>
      <c r="B6815" s="3">
        <v>0.61234953703703698</v>
      </c>
      <c r="C6815">
        <v>1596</v>
      </c>
      <c r="D6815" t="str">
        <f>VLOOKUP(H6815,Produkt!$A$2:$B$5,2,FALSE)</f>
        <v>D</v>
      </c>
      <c r="H6815">
        <v>4</v>
      </c>
      <c r="I6815">
        <v>0.82957175925925919</v>
      </c>
      <c r="J6815">
        <v>44782</v>
      </c>
    </row>
    <row r="6816" spans="1:10" x14ac:dyDescent="0.35">
      <c r="A6816" s="2">
        <v>44795</v>
      </c>
      <c r="B6816" s="3">
        <v>0.48228009259259258</v>
      </c>
      <c r="C6816">
        <v>1625</v>
      </c>
      <c r="D6816" t="str">
        <f>VLOOKUP(H6816,Produkt!$A$2:$B$5,2,FALSE)</f>
        <v>D</v>
      </c>
      <c r="H6816">
        <v>4</v>
      </c>
      <c r="I6816">
        <v>0.27812500000000001</v>
      </c>
      <c r="J6816">
        <v>44791</v>
      </c>
    </row>
    <row r="6817" spans="1:10" x14ac:dyDescent="0.35">
      <c r="A6817" s="2">
        <v>44795</v>
      </c>
      <c r="B6817" s="3">
        <v>0.15945601851851851</v>
      </c>
      <c r="C6817">
        <v>1657</v>
      </c>
      <c r="D6817" t="str">
        <f>VLOOKUP(H6817,Produkt!$A$2:$B$5,2,FALSE)</f>
        <v>C</v>
      </c>
      <c r="H6817">
        <v>3</v>
      </c>
      <c r="I6817">
        <v>0.12793981481481481</v>
      </c>
      <c r="J6817">
        <v>44794</v>
      </c>
    </row>
    <row r="6818" spans="1:10" x14ac:dyDescent="0.35">
      <c r="A6818" s="2">
        <v>44795</v>
      </c>
      <c r="B6818" s="3">
        <v>4.3171296296296298E-2</v>
      </c>
      <c r="C6818">
        <v>1679</v>
      </c>
      <c r="D6818" t="str">
        <f>VLOOKUP(H6818,Produkt!$A$2:$B$5,2,FALSE)</f>
        <v>D</v>
      </c>
      <c r="H6818">
        <v>4</v>
      </c>
      <c r="I6818">
        <v>0.74797453703703709</v>
      </c>
      <c r="J6818">
        <v>44776</v>
      </c>
    </row>
    <row r="6819" spans="1:10" x14ac:dyDescent="0.35">
      <c r="A6819" s="2">
        <v>44795</v>
      </c>
      <c r="B6819" s="3">
        <v>0.40915509259259258</v>
      </c>
      <c r="C6819">
        <v>1742</v>
      </c>
      <c r="D6819" t="str">
        <f>VLOOKUP(H6819,Produkt!$A$2:$B$5,2,FALSE)</f>
        <v>B</v>
      </c>
      <c r="H6819">
        <v>2</v>
      </c>
      <c r="I6819">
        <v>0.99024305555555558</v>
      </c>
      <c r="J6819">
        <v>44775</v>
      </c>
    </row>
    <row r="6820" spans="1:10" x14ac:dyDescent="0.35">
      <c r="A6820" s="2">
        <v>44795</v>
      </c>
      <c r="B6820" s="3">
        <v>0.84738425925925931</v>
      </c>
      <c r="C6820">
        <v>1744</v>
      </c>
      <c r="D6820" t="str">
        <f>VLOOKUP(H6820,Produkt!$A$2:$B$5,2,FALSE)</f>
        <v>D</v>
      </c>
      <c r="H6820">
        <v>4</v>
      </c>
      <c r="I6820">
        <v>2.6562499999999999E-2</v>
      </c>
      <c r="J6820">
        <v>44803</v>
      </c>
    </row>
    <row r="6821" spans="1:10" x14ac:dyDescent="0.35">
      <c r="A6821" s="2">
        <v>44795</v>
      </c>
      <c r="B6821" s="3">
        <v>0.61975694444444451</v>
      </c>
      <c r="C6821">
        <v>1745</v>
      </c>
      <c r="D6821" t="str">
        <f>VLOOKUP(H6821,Produkt!$A$2:$B$5,2,FALSE)</f>
        <v>A</v>
      </c>
      <c r="H6821">
        <v>1</v>
      </c>
      <c r="I6821">
        <v>0.92136574074074085</v>
      </c>
      <c r="J6821">
        <v>44794</v>
      </c>
    </row>
    <row r="6822" spans="1:10" x14ac:dyDescent="0.35">
      <c r="A6822" s="2">
        <v>44795</v>
      </c>
      <c r="B6822" s="3">
        <v>0.7402777777777777</v>
      </c>
      <c r="C6822">
        <v>1836</v>
      </c>
      <c r="D6822" t="str">
        <f>VLOOKUP(H6822,Produkt!$A$2:$B$5,2,FALSE)</f>
        <v>C</v>
      </c>
      <c r="H6822">
        <v>3</v>
      </c>
      <c r="I6822">
        <v>0.57089120370370372</v>
      </c>
      <c r="J6822">
        <v>44803</v>
      </c>
    </row>
    <row r="6823" spans="1:10" x14ac:dyDescent="0.35">
      <c r="A6823" s="2">
        <v>44795</v>
      </c>
      <c r="B6823" s="3">
        <v>0.22844907407407408</v>
      </c>
      <c r="C6823">
        <v>1875</v>
      </c>
      <c r="D6823" t="str">
        <f>VLOOKUP(H6823,Produkt!$A$2:$B$5,2,FALSE)</f>
        <v>B</v>
      </c>
      <c r="H6823">
        <v>2</v>
      </c>
      <c r="I6823">
        <v>3.1192129629629629E-2</v>
      </c>
      <c r="J6823">
        <v>44803</v>
      </c>
    </row>
    <row r="6824" spans="1:10" x14ac:dyDescent="0.35">
      <c r="A6824" s="2">
        <v>44795</v>
      </c>
      <c r="B6824" s="3">
        <v>0.8822916666666667</v>
      </c>
      <c r="C6824">
        <v>1904</v>
      </c>
      <c r="D6824" t="str">
        <f>VLOOKUP(H6824,Produkt!$A$2:$B$5,2,FALSE)</f>
        <v>A</v>
      </c>
      <c r="H6824">
        <v>1</v>
      </c>
      <c r="I6824">
        <v>0.57732638888888888</v>
      </c>
      <c r="J6824">
        <v>44774</v>
      </c>
    </row>
    <row r="6825" spans="1:10" x14ac:dyDescent="0.35">
      <c r="A6825" s="2">
        <v>44795</v>
      </c>
      <c r="B6825" s="3">
        <v>0.18124999999999999</v>
      </c>
      <c r="C6825">
        <v>2054</v>
      </c>
      <c r="D6825" t="str">
        <f>VLOOKUP(H6825,Produkt!$A$2:$B$5,2,FALSE)</f>
        <v>A</v>
      </c>
      <c r="H6825">
        <v>1</v>
      </c>
      <c r="I6825">
        <v>0.94870370370370372</v>
      </c>
      <c r="J6825">
        <v>44803</v>
      </c>
    </row>
    <row r="6826" spans="1:10" x14ac:dyDescent="0.35">
      <c r="A6826" s="2">
        <v>44795</v>
      </c>
      <c r="B6826" s="3">
        <v>0.69371527777777775</v>
      </c>
      <c r="C6826">
        <v>2106</v>
      </c>
      <c r="D6826" t="str">
        <f>VLOOKUP(H6826,Produkt!$A$2:$B$5,2,FALSE)</f>
        <v>D</v>
      </c>
      <c r="H6826">
        <v>4</v>
      </c>
      <c r="I6826">
        <v>0.35874999999999996</v>
      </c>
      <c r="J6826">
        <v>44778</v>
      </c>
    </row>
    <row r="6827" spans="1:10" x14ac:dyDescent="0.35">
      <c r="A6827" s="2">
        <v>44795</v>
      </c>
      <c r="B6827" s="3">
        <v>0.9877083333333333</v>
      </c>
      <c r="C6827">
        <v>2114</v>
      </c>
      <c r="D6827" t="str">
        <f>VLOOKUP(H6827,Produkt!$A$2:$B$5,2,FALSE)</f>
        <v>B</v>
      </c>
      <c r="H6827">
        <v>2</v>
      </c>
      <c r="I6827">
        <v>0.6560879629629629</v>
      </c>
      <c r="J6827">
        <v>44788</v>
      </c>
    </row>
    <row r="6828" spans="1:10" x14ac:dyDescent="0.35">
      <c r="A6828" s="2">
        <v>44795</v>
      </c>
      <c r="B6828" s="3">
        <v>0.77393518518518523</v>
      </c>
      <c r="C6828">
        <v>2217</v>
      </c>
      <c r="D6828" t="str">
        <f>VLOOKUP(H6828,Produkt!$A$2:$B$5,2,FALSE)</f>
        <v>C</v>
      </c>
      <c r="H6828">
        <v>3</v>
      </c>
      <c r="I6828">
        <v>0.43232638888888886</v>
      </c>
      <c r="J6828">
        <v>44783</v>
      </c>
    </row>
    <row r="6829" spans="1:10" x14ac:dyDescent="0.35">
      <c r="A6829" s="2">
        <v>44795</v>
      </c>
      <c r="B6829" s="3">
        <v>0.80815972222222221</v>
      </c>
      <c r="C6829">
        <v>2219</v>
      </c>
      <c r="D6829" t="str">
        <f>VLOOKUP(H6829,Produkt!$A$2:$B$5,2,FALSE)</f>
        <v>D</v>
      </c>
      <c r="H6829">
        <v>4</v>
      </c>
      <c r="I6829">
        <v>0.47870370370370369</v>
      </c>
      <c r="J6829">
        <v>44787</v>
      </c>
    </row>
    <row r="6830" spans="1:10" x14ac:dyDescent="0.35">
      <c r="A6830" s="2">
        <v>44795</v>
      </c>
      <c r="B6830" s="3">
        <v>0.87893518518518521</v>
      </c>
      <c r="C6830">
        <v>2231</v>
      </c>
      <c r="D6830" t="str">
        <f>VLOOKUP(H6830,Produkt!$A$2:$B$5,2,FALSE)</f>
        <v>A</v>
      </c>
      <c r="H6830">
        <v>1</v>
      </c>
      <c r="I6830">
        <v>0.65668981481481481</v>
      </c>
      <c r="J6830">
        <v>44795</v>
      </c>
    </row>
    <row r="6831" spans="1:10" x14ac:dyDescent="0.35">
      <c r="A6831" s="2">
        <v>44795</v>
      </c>
      <c r="B6831" s="3">
        <v>0.21085648148148148</v>
      </c>
      <c r="C6831">
        <v>2250</v>
      </c>
      <c r="D6831" t="str">
        <f>VLOOKUP(H6831,Produkt!$A$2:$B$5,2,FALSE)</f>
        <v>A</v>
      </c>
      <c r="H6831">
        <v>1</v>
      </c>
      <c r="I6831">
        <v>0.90372685185185186</v>
      </c>
      <c r="J6831">
        <v>44778</v>
      </c>
    </row>
    <row r="6832" spans="1:10" x14ac:dyDescent="0.35">
      <c r="A6832" s="2">
        <v>44795</v>
      </c>
      <c r="B6832" s="3">
        <v>0.73077546296296303</v>
      </c>
      <c r="C6832">
        <v>2323</v>
      </c>
      <c r="D6832" t="str">
        <f>VLOOKUP(H6832,Produkt!$A$2:$B$5,2,FALSE)</f>
        <v>B</v>
      </c>
      <c r="H6832">
        <v>2</v>
      </c>
      <c r="I6832">
        <v>0.26237268518518519</v>
      </c>
      <c r="J6832">
        <v>44787</v>
      </c>
    </row>
    <row r="6833" spans="1:10" x14ac:dyDescent="0.35">
      <c r="A6833" s="2">
        <v>44795</v>
      </c>
      <c r="B6833" s="3">
        <v>0.20989583333333331</v>
      </c>
      <c r="C6833">
        <v>2328</v>
      </c>
      <c r="D6833" t="str">
        <f>VLOOKUP(H6833,Produkt!$A$2:$B$5,2,FALSE)</f>
        <v>A</v>
      </c>
      <c r="H6833">
        <v>1</v>
      </c>
      <c r="I6833">
        <v>0.55986111111111114</v>
      </c>
      <c r="J6833">
        <v>44796</v>
      </c>
    </row>
    <row r="6834" spans="1:10" x14ac:dyDescent="0.35">
      <c r="A6834" s="2">
        <v>44795</v>
      </c>
      <c r="B6834" s="3">
        <v>0.12511574074074075</v>
      </c>
      <c r="C6834">
        <v>2347</v>
      </c>
      <c r="D6834" t="str">
        <f>VLOOKUP(H6834,Produkt!$A$2:$B$5,2,FALSE)</f>
        <v>C</v>
      </c>
      <c r="H6834">
        <v>3</v>
      </c>
      <c r="I6834">
        <v>0.3263888888888889</v>
      </c>
      <c r="J6834">
        <v>44797</v>
      </c>
    </row>
    <row r="6835" spans="1:10" x14ac:dyDescent="0.35">
      <c r="A6835" s="2">
        <v>44795</v>
      </c>
      <c r="B6835" s="3">
        <v>0.47458333333333336</v>
      </c>
      <c r="C6835">
        <v>2357</v>
      </c>
      <c r="D6835" t="str">
        <f>VLOOKUP(H6835,Produkt!$A$2:$B$5,2,FALSE)</f>
        <v>A</v>
      </c>
      <c r="H6835">
        <v>1</v>
      </c>
      <c r="I6835">
        <v>0.4036689814814815</v>
      </c>
      <c r="J6835">
        <v>44785</v>
      </c>
    </row>
    <row r="6836" spans="1:10" x14ac:dyDescent="0.35">
      <c r="A6836" s="2">
        <v>44795</v>
      </c>
      <c r="B6836" s="3">
        <v>0.86350694444444442</v>
      </c>
      <c r="C6836">
        <v>2389</v>
      </c>
      <c r="D6836" t="str">
        <f>VLOOKUP(H6836,Produkt!$A$2:$B$5,2,FALSE)</f>
        <v>B</v>
      </c>
      <c r="H6836">
        <v>2</v>
      </c>
      <c r="I6836">
        <v>0.86756944444444439</v>
      </c>
      <c r="J6836">
        <v>44801</v>
      </c>
    </row>
    <row r="6837" spans="1:10" x14ac:dyDescent="0.35">
      <c r="A6837" s="2">
        <v>44795</v>
      </c>
      <c r="B6837" s="3">
        <v>0.69697916666666659</v>
      </c>
      <c r="C6837">
        <v>2419</v>
      </c>
      <c r="D6837" t="str">
        <f>VLOOKUP(H6837,Produkt!$A$2:$B$5,2,FALSE)</f>
        <v>D</v>
      </c>
      <c r="H6837">
        <v>4</v>
      </c>
      <c r="I6837">
        <v>9.5057870370370376E-2</v>
      </c>
      <c r="J6837">
        <v>44779</v>
      </c>
    </row>
    <row r="6838" spans="1:10" x14ac:dyDescent="0.35">
      <c r="A6838" s="2">
        <v>44795</v>
      </c>
      <c r="B6838" s="3">
        <v>0.96042824074074085</v>
      </c>
      <c r="C6838">
        <v>2433</v>
      </c>
      <c r="D6838" t="str">
        <f>VLOOKUP(H6838,Produkt!$A$2:$B$5,2,FALSE)</f>
        <v>B</v>
      </c>
      <c r="H6838">
        <v>2</v>
      </c>
      <c r="I6838">
        <v>0.48128472222222224</v>
      </c>
      <c r="J6838">
        <v>44796</v>
      </c>
    </row>
    <row r="6839" spans="1:10" x14ac:dyDescent="0.35">
      <c r="A6839" s="2">
        <v>44795</v>
      </c>
      <c r="B6839" s="3">
        <v>1.423611111111111E-3</v>
      </c>
      <c r="C6839">
        <v>2488</v>
      </c>
      <c r="D6839" t="str">
        <f>VLOOKUP(H6839,Produkt!$A$2:$B$5,2,FALSE)</f>
        <v>A</v>
      </c>
      <c r="H6839">
        <v>1</v>
      </c>
      <c r="I6839">
        <v>0.11458333333333333</v>
      </c>
      <c r="J6839">
        <v>44801</v>
      </c>
    </row>
    <row r="6840" spans="1:10" x14ac:dyDescent="0.35">
      <c r="A6840" s="2">
        <v>44795</v>
      </c>
      <c r="B6840" s="3">
        <v>0.9094444444444445</v>
      </c>
      <c r="C6840">
        <v>2491</v>
      </c>
      <c r="D6840" t="str">
        <f>VLOOKUP(H6840,Produkt!$A$2:$B$5,2,FALSE)</f>
        <v>D</v>
      </c>
      <c r="H6840">
        <v>4</v>
      </c>
      <c r="I6840">
        <v>0.91773148148148154</v>
      </c>
      <c r="J6840">
        <v>44778</v>
      </c>
    </row>
    <row r="6841" spans="1:10" x14ac:dyDescent="0.35">
      <c r="A6841" s="2">
        <v>44795</v>
      </c>
      <c r="B6841" s="3">
        <v>2.3854166666666666E-2</v>
      </c>
      <c r="C6841">
        <v>2550</v>
      </c>
      <c r="D6841" t="str">
        <f>VLOOKUP(H6841,Produkt!$A$2:$B$5,2,FALSE)</f>
        <v>A</v>
      </c>
      <c r="H6841">
        <v>1</v>
      </c>
      <c r="I6841">
        <v>7.8518518518518529E-2</v>
      </c>
      <c r="J6841">
        <v>44804</v>
      </c>
    </row>
    <row r="6842" spans="1:10" x14ac:dyDescent="0.35">
      <c r="A6842" s="2">
        <v>44795</v>
      </c>
      <c r="B6842" s="3">
        <v>0.13741898148148149</v>
      </c>
      <c r="C6842">
        <v>2595</v>
      </c>
      <c r="D6842" t="str">
        <f>VLOOKUP(H6842,Produkt!$A$2:$B$5,2,FALSE)</f>
        <v>B</v>
      </c>
      <c r="H6842">
        <v>2</v>
      </c>
      <c r="I6842">
        <v>0.77814814814814814</v>
      </c>
      <c r="J6842">
        <v>44802</v>
      </c>
    </row>
    <row r="6843" spans="1:10" x14ac:dyDescent="0.35">
      <c r="A6843" s="2">
        <v>44795</v>
      </c>
      <c r="B6843" s="3">
        <v>0.22059027777777776</v>
      </c>
      <c r="C6843">
        <v>2602</v>
      </c>
      <c r="D6843" t="str">
        <f>VLOOKUP(H6843,Produkt!$A$2:$B$5,2,FALSE)</f>
        <v>A</v>
      </c>
      <c r="H6843">
        <v>1</v>
      </c>
      <c r="I6843">
        <v>0.17910879629629628</v>
      </c>
      <c r="J6843">
        <v>44778</v>
      </c>
    </row>
    <row r="6844" spans="1:10" x14ac:dyDescent="0.35">
      <c r="A6844" s="2">
        <v>44795</v>
      </c>
      <c r="B6844" s="3">
        <v>0.60780092592592594</v>
      </c>
      <c r="C6844">
        <v>2653</v>
      </c>
      <c r="D6844" t="str">
        <f>VLOOKUP(H6844,Produkt!$A$2:$B$5,2,FALSE)</f>
        <v>C</v>
      </c>
      <c r="H6844">
        <v>3</v>
      </c>
      <c r="I6844">
        <v>5.6724537037037039E-2</v>
      </c>
      <c r="J6844">
        <v>44774</v>
      </c>
    </row>
    <row r="6845" spans="1:10" x14ac:dyDescent="0.35">
      <c r="A6845" s="2">
        <v>44795</v>
      </c>
      <c r="B6845" s="3">
        <v>0.46607638888888886</v>
      </c>
      <c r="C6845">
        <v>2676</v>
      </c>
      <c r="D6845" t="str">
        <f>VLOOKUP(H6845,Produkt!$A$2:$B$5,2,FALSE)</f>
        <v>B</v>
      </c>
      <c r="H6845">
        <v>2</v>
      </c>
      <c r="I6845">
        <v>0.93030092592592595</v>
      </c>
      <c r="J6845">
        <v>44804</v>
      </c>
    </row>
    <row r="6846" spans="1:10" x14ac:dyDescent="0.35">
      <c r="A6846" s="2">
        <v>44795</v>
      </c>
      <c r="B6846" s="3">
        <v>0.77478009259259262</v>
      </c>
      <c r="C6846">
        <v>2767</v>
      </c>
      <c r="D6846" t="str">
        <f>VLOOKUP(H6846,Produkt!$A$2:$B$5,2,FALSE)</f>
        <v>A</v>
      </c>
      <c r="H6846">
        <v>1</v>
      </c>
      <c r="I6846">
        <v>0.98549768518518521</v>
      </c>
      <c r="J6846">
        <v>44776</v>
      </c>
    </row>
    <row r="6847" spans="1:10" x14ac:dyDescent="0.35">
      <c r="A6847" s="2">
        <v>44795</v>
      </c>
      <c r="B6847" s="3">
        <v>0.88486111111111121</v>
      </c>
      <c r="C6847">
        <v>2840</v>
      </c>
      <c r="D6847" t="str">
        <f>VLOOKUP(H6847,Produkt!$A$2:$B$5,2,FALSE)</f>
        <v>B</v>
      </c>
      <c r="H6847">
        <v>2</v>
      </c>
      <c r="I6847">
        <v>0.43905092592592593</v>
      </c>
      <c r="J6847">
        <v>44801</v>
      </c>
    </row>
    <row r="6848" spans="1:10" x14ac:dyDescent="0.35">
      <c r="A6848" s="2">
        <v>44795</v>
      </c>
      <c r="B6848" s="3">
        <v>0.80186342592592597</v>
      </c>
      <c r="C6848">
        <v>2841</v>
      </c>
      <c r="D6848" t="str">
        <f>VLOOKUP(H6848,Produkt!$A$2:$B$5,2,FALSE)</f>
        <v>D</v>
      </c>
      <c r="H6848">
        <v>4</v>
      </c>
      <c r="I6848">
        <v>0.29479166666666667</v>
      </c>
      <c r="J6848">
        <v>44789</v>
      </c>
    </row>
    <row r="6849" spans="1:10" x14ac:dyDescent="0.35">
      <c r="A6849" s="2">
        <v>44795</v>
      </c>
      <c r="B6849" s="3">
        <v>0.1446875</v>
      </c>
      <c r="C6849">
        <v>2877</v>
      </c>
      <c r="D6849" t="str">
        <f>VLOOKUP(H6849,Produkt!$A$2:$B$5,2,FALSE)</f>
        <v>D</v>
      </c>
      <c r="H6849">
        <v>4</v>
      </c>
      <c r="I6849">
        <v>9.4351851851851853E-2</v>
      </c>
      <c r="J6849">
        <v>44802</v>
      </c>
    </row>
    <row r="6850" spans="1:10" x14ac:dyDescent="0.35">
      <c r="A6850" s="2">
        <v>44795</v>
      </c>
      <c r="B6850" s="3">
        <v>0.36622685185185189</v>
      </c>
      <c r="C6850">
        <v>2909</v>
      </c>
      <c r="D6850" t="str">
        <f>VLOOKUP(H6850,Produkt!$A$2:$B$5,2,FALSE)</f>
        <v>A</v>
      </c>
      <c r="H6850">
        <v>1</v>
      </c>
      <c r="I6850">
        <v>1.6666666666666607E-2</v>
      </c>
      <c r="J6850">
        <v>44798</v>
      </c>
    </row>
    <row r="6851" spans="1:10" x14ac:dyDescent="0.35">
      <c r="A6851" s="2">
        <v>44795</v>
      </c>
      <c r="B6851" s="3">
        <v>0.37473379629629627</v>
      </c>
      <c r="C6851">
        <v>2931</v>
      </c>
      <c r="D6851" t="str">
        <f>VLOOKUP(H6851,Produkt!$A$2:$B$5,2,FALSE)</f>
        <v>D</v>
      </c>
      <c r="H6851">
        <v>4</v>
      </c>
      <c r="I6851">
        <v>0.64864583333333337</v>
      </c>
      <c r="J6851">
        <v>44794</v>
      </c>
    </row>
    <row r="6852" spans="1:10" x14ac:dyDescent="0.35">
      <c r="A6852" s="2">
        <v>44795</v>
      </c>
      <c r="B6852" s="3">
        <v>0.4522106481481481</v>
      </c>
      <c r="C6852">
        <v>2946</v>
      </c>
      <c r="D6852" t="str">
        <f>VLOOKUP(H6852,Produkt!$A$2:$B$5,2,FALSE)</f>
        <v>B</v>
      </c>
      <c r="H6852">
        <v>2</v>
      </c>
      <c r="I6852">
        <v>0.13649305555555555</v>
      </c>
      <c r="J6852">
        <v>44791</v>
      </c>
    </row>
    <row r="6853" spans="1:10" x14ac:dyDescent="0.35">
      <c r="A6853" s="2">
        <v>44795</v>
      </c>
      <c r="B6853" s="3">
        <v>0.13034722222222223</v>
      </c>
      <c r="C6853">
        <v>2950</v>
      </c>
      <c r="D6853" t="str">
        <f>VLOOKUP(H6853,Produkt!$A$2:$B$5,2,FALSE)</f>
        <v>D</v>
      </c>
      <c r="H6853">
        <v>4</v>
      </c>
      <c r="I6853">
        <v>0.76643518518518527</v>
      </c>
      <c r="J6853">
        <v>44801</v>
      </c>
    </row>
    <row r="6854" spans="1:10" x14ac:dyDescent="0.35">
      <c r="A6854" s="2">
        <v>44795</v>
      </c>
      <c r="B6854" s="3">
        <v>0.7931597222222222</v>
      </c>
      <c r="C6854">
        <v>3005</v>
      </c>
      <c r="D6854" t="str">
        <f>VLOOKUP(H6854,Produkt!$A$2:$B$5,2,FALSE)</f>
        <v>A</v>
      </c>
      <c r="H6854">
        <v>1</v>
      </c>
      <c r="I6854">
        <v>0.8895601851851852</v>
      </c>
      <c r="J6854">
        <v>44800</v>
      </c>
    </row>
    <row r="6855" spans="1:10" x14ac:dyDescent="0.35">
      <c r="A6855" s="2">
        <v>44795</v>
      </c>
      <c r="B6855" s="3">
        <v>0.68979166666666669</v>
      </c>
      <c r="C6855">
        <v>3039</v>
      </c>
      <c r="D6855" t="str">
        <f>VLOOKUP(H6855,Produkt!$A$2:$B$5,2,FALSE)</f>
        <v>C</v>
      </c>
      <c r="H6855">
        <v>3</v>
      </c>
      <c r="I6855">
        <v>0.80336805555555557</v>
      </c>
      <c r="J6855">
        <v>44793</v>
      </c>
    </row>
    <row r="6856" spans="1:10" x14ac:dyDescent="0.35">
      <c r="A6856" s="2">
        <v>44795</v>
      </c>
      <c r="B6856" s="3">
        <v>0.93031249999999999</v>
      </c>
      <c r="C6856">
        <v>3106</v>
      </c>
      <c r="D6856" t="str">
        <f>VLOOKUP(H6856,Produkt!$A$2:$B$5,2,FALSE)</f>
        <v>B</v>
      </c>
      <c r="H6856">
        <v>2</v>
      </c>
      <c r="I6856">
        <v>0.91097222222222218</v>
      </c>
      <c r="J6856">
        <v>44787</v>
      </c>
    </row>
    <row r="6857" spans="1:10" x14ac:dyDescent="0.35">
      <c r="A6857" s="2">
        <v>44795</v>
      </c>
      <c r="B6857" s="3">
        <v>7.8726851851851853E-2</v>
      </c>
      <c r="C6857">
        <v>3157</v>
      </c>
      <c r="D6857" t="str">
        <f>VLOOKUP(H6857,Produkt!$A$2:$B$5,2,FALSE)</f>
        <v>D</v>
      </c>
      <c r="H6857">
        <v>4</v>
      </c>
      <c r="I6857">
        <v>0.21469907407407407</v>
      </c>
      <c r="J6857">
        <v>44783</v>
      </c>
    </row>
    <row r="6858" spans="1:10" x14ac:dyDescent="0.35">
      <c r="A6858" s="2">
        <v>44795</v>
      </c>
      <c r="B6858" s="3">
        <v>3.1620370370370354E-2</v>
      </c>
      <c r="C6858">
        <v>3181</v>
      </c>
      <c r="D6858" t="str">
        <f>VLOOKUP(H6858,Produkt!$A$2:$B$5,2,FALSE)</f>
        <v>C</v>
      </c>
      <c r="H6858">
        <v>3</v>
      </c>
      <c r="I6858">
        <v>2.7175925925925926E-2</v>
      </c>
      <c r="J6858">
        <v>44777</v>
      </c>
    </row>
    <row r="6859" spans="1:10" x14ac:dyDescent="0.35">
      <c r="A6859" s="2">
        <v>44795</v>
      </c>
      <c r="B6859" s="3">
        <v>2.4270833333333242E-2</v>
      </c>
      <c r="C6859">
        <v>3234</v>
      </c>
      <c r="D6859" t="str">
        <f>VLOOKUP(H6859,Produkt!$A$2:$B$5,2,FALSE)</f>
        <v>B</v>
      </c>
      <c r="H6859">
        <v>2</v>
      </c>
      <c r="I6859">
        <v>0.76238425925925923</v>
      </c>
      <c r="J6859">
        <v>44793</v>
      </c>
    </row>
    <row r="6860" spans="1:10" x14ac:dyDescent="0.35">
      <c r="A6860" s="2">
        <v>44795</v>
      </c>
      <c r="B6860" s="3">
        <v>0.14554398148148148</v>
      </c>
      <c r="C6860">
        <v>3246</v>
      </c>
      <c r="D6860" t="str">
        <f>VLOOKUP(H6860,Produkt!$A$2:$B$5,2,FALSE)</f>
        <v>B</v>
      </c>
      <c r="H6860">
        <v>2</v>
      </c>
      <c r="I6860">
        <v>0.17321759259259259</v>
      </c>
      <c r="J6860">
        <v>44778</v>
      </c>
    </row>
    <row r="6861" spans="1:10" x14ac:dyDescent="0.35">
      <c r="A6861" s="2">
        <v>44795</v>
      </c>
      <c r="B6861" s="3">
        <v>1.1331018518518476E-2</v>
      </c>
      <c r="C6861">
        <v>3254</v>
      </c>
      <c r="D6861" t="str">
        <f>VLOOKUP(H6861,Produkt!$A$2:$B$5,2,FALSE)</f>
        <v>B</v>
      </c>
      <c r="H6861">
        <v>2</v>
      </c>
      <c r="I6861">
        <v>1.2951388888889026E-2</v>
      </c>
      <c r="J6861">
        <v>44776</v>
      </c>
    </row>
    <row r="6862" spans="1:10" x14ac:dyDescent="0.35">
      <c r="A6862" s="2">
        <v>44795</v>
      </c>
      <c r="B6862" s="3">
        <v>0.26545138888888892</v>
      </c>
      <c r="C6862">
        <v>3272</v>
      </c>
      <c r="D6862" t="str">
        <f>VLOOKUP(H6862,Produkt!$A$2:$B$5,2,FALSE)</f>
        <v>A</v>
      </c>
      <c r="H6862">
        <v>1</v>
      </c>
      <c r="I6862">
        <v>8.398148148148149E-2</v>
      </c>
      <c r="J6862">
        <v>44777</v>
      </c>
    </row>
    <row r="6863" spans="1:10" x14ac:dyDescent="0.35">
      <c r="A6863" s="2">
        <v>44795</v>
      </c>
      <c r="B6863" s="3">
        <v>0.56497685185185187</v>
      </c>
      <c r="C6863">
        <v>3282</v>
      </c>
      <c r="D6863" t="str">
        <f>VLOOKUP(H6863,Produkt!$A$2:$B$5,2,FALSE)</f>
        <v>A</v>
      </c>
      <c r="H6863">
        <v>1</v>
      </c>
      <c r="I6863">
        <v>0.62233796296296295</v>
      </c>
      <c r="J6863">
        <v>44782</v>
      </c>
    </row>
    <row r="6864" spans="1:10" x14ac:dyDescent="0.35">
      <c r="A6864" s="2">
        <v>44795</v>
      </c>
      <c r="B6864" s="3">
        <v>0.12841435185185185</v>
      </c>
      <c r="C6864">
        <v>3322</v>
      </c>
      <c r="D6864" t="str">
        <f>VLOOKUP(H6864,Produkt!$A$2:$B$5,2,FALSE)</f>
        <v>B</v>
      </c>
      <c r="H6864">
        <v>2</v>
      </c>
      <c r="I6864">
        <v>0.89478009259259261</v>
      </c>
      <c r="J6864">
        <v>44777</v>
      </c>
    </row>
    <row r="6865" spans="1:10" x14ac:dyDescent="0.35">
      <c r="A6865" s="2">
        <v>44795</v>
      </c>
      <c r="B6865" s="3">
        <v>0.87461805555555561</v>
      </c>
      <c r="C6865">
        <v>3330</v>
      </c>
      <c r="D6865" t="str">
        <f>VLOOKUP(H6865,Produkt!$A$2:$B$5,2,FALSE)</f>
        <v>C</v>
      </c>
      <c r="H6865">
        <v>3</v>
      </c>
      <c r="I6865">
        <v>0.98925925925925917</v>
      </c>
      <c r="J6865">
        <v>44788</v>
      </c>
    </row>
    <row r="6866" spans="1:10" x14ac:dyDescent="0.35">
      <c r="A6866" s="2">
        <v>44795</v>
      </c>
      <c r="B6866" s="3">
        <v>0.25707175925925924</v>
      </c>
      <c r="C6866">
        <v>3336</v>
      </c>
      <c r="D6866" t="str">
        <f>VLOOKUP(H6866,Produkt!$A$2:$B$5,2,FALSE)</f>
        <v>B</v>
      </c>
      <c r="H6866">
        <v>2</v>
      </c>
      <c r="I6866">
        <v>3.7928240740740859E-2</v>
      </c>
      <c r="J6866">
        <v>44779</v>
      </c>
    </row>
    <row r="6867" spans="1:10" x14ac:dyDescent="0.35">
      <c r="A6867" s="2">
        <v>44795</v>
      </c>
      <c r="B6867" s="3">
        <v>0.51377314814814812</v>
      </c>
      <c r="C6867">
        <v>3357</v>
      </c>
      <c r="D6867" t="str">
        <f>VLOOKUP(H6867,Produkt!$A$2:$B$5,2,FALSE)</f>
        <v>A</v>
      </c>
      <c r="H6867">
        <v>1</v>
      </c>
      <c r="I6867">
        <v>8.6319444444444449E-2</v>
      </c>
      <c r="J6867">
        <v>44792</v>
      </c>
    </row>
    <row r="6868" spans="1:10" x14ac:dyDescent="0.35">
      <c r="A6868" s="2">
        <v>44795</v>
      </c>
      <c r="B6868" s="3">
        <v>1.2881944444444446E-2</v>
      </c>
      <c r="C6868">
        <v>3389</v>
      </c>
      <c r="D6868" t="str">
        <f>VLOOKUP(H6868,Produkt!$A$2:$B$5,2,FALSE)</f>
        <v>D</v>
      </c>
      <c r="H6868">
        <v>4</v>
      </c>
      <c r="I6868">
        <v>0.12883101851851853</v>
      </c>
      <c r="J6868">
        <v>44788</v>
      </c>
    </row>
    <row r="6869" spans="1:10" x14ac:dyDescent="0.35">
      <c r="A6869" s="2">
        <v>44795</v>
      </c>
      <c r="B6869" s="3">
        <v>5.9861111111111108E-2</v>
      </c>
      <c r="C6869">
        <v>3393</v>
      </c>
      <c r="D6869" t="str">
        <f>VLOOKUP(H6869,Produkt!$A$2:$B$5,2,FALSE)</f>
        <v>B</v>
      </c>
      <c r="H6869">
        <v>2</v>
      </c>
      <c r="I6869">
        <v>0.99986111111111109</v>
      </c>
      <c r="J6869">
        <v>44775</v>
      </c>
    </row>
    <row r="6870" spans="1:10" x14ac:dyDescent="0.35">
      <c r="A6870" s="2">
        <v>44795</v>
      </c>
      <c r="B6870" s="3">
        <v>8.819444444444445E-2</v>
      </c>
      <c r="C6870">
        <v>3402</v>
      </c>
      <c r="D6870" t="str">
        <f>VLOOKUP(H6870,Produkt!$A$2:$B$5,2,FALSE)</f>
        <v>B</v>
      </c>
      <c r="H6870">
        <v>2</v>
      </c>
      <c r="I6870">
        <v>7.3865740740740746E-2</v>
      </c>
      <c r="J6870">
        <v>44790</v>
      </c>
    </row>
    <row r="6871" spans="1:10" x14ac:dyDescent="0.35">
      <c r="A6871" s="2">
        <v>44795</v>
      </c>
      <c r="B6871" s="3">
        <v>0.38856481481481481</v>
      </c>
      <c r="C6871">
        <v>3440</v>
      </c>
      <c r="D6871" t="str">
        <f>VLOOKUP(H6871,Produkt!$A$2:$B$5,2,FALSE)</f>
        <v>C</v>
      </c>
      <c r="H6871">
        <v>3</v>
      </c>
      <c r="I6871">
        <v>0.44701388888888888</v>
      </c>
      <c r="J6871">
        <v>44791</v>
      </c>
    </row>
    <row r="6872" spans="1:10" x14ac:dyDescent="0.35">
      <c r="A6872" s="2">
        <v>44795</v>
      </c>
      <c r="B6872" s="3">
        <v>0.59027777777777779</v>
      </c>
      <c r="C6872">
        <v>3453</v>
      </c>
      <c r="D6872" t="str">
        <f>VLOOKUP(H6872,Produkt!$A$2:$B$5,2,FALSE)</f>
        <v>A</v>
      </c>
      <c r="H6872">
        <v>1</v>
      </c>
      <c r="I6872">
        <v>0.29231481481481481</v>
      </c>
      <c r="J6872">
        <v>44789</v>
      </c>
    </row>
    <row r="6873" spans="1:10" x14ac:dyDescent="0.35">
      <c r="A6873" s="2">
        <v>44795</v>
      </c>
      <c r="B6873" s="3">
        <v>0.80251157407407403</v>
      </c>
      <c r="C6873">
        <v>3454</v>
      </c>
      <c r="D6873" t="str">
        <f>VLOOKUP(H6873,Produkt!$A$2:$B$5,2,FALSE)</f>
        <v>C</v>
      </c>
      <c r="H6873">
        <v>3</v>
      </c>
      <c r="I6873">
        <v>8.5173611111111103E-2</v>
      </c>
      <c r="J6873">
        <v>44797</v>
      </c>
    </row>
    <row r="6874" spans="1:10" x14ac:dyDescent="0.35">
      <c r="A6874" s="2">
        <v>44795</v>
      </c>
      <c r="B6874" s="3">
        <v>0.1218287037037037</v>
      </c>
      <c r="C6874">
        <v>3464</v>
      </c>
      <c r="D6874" t="str">
        <f>VLOOKUP(H6874,Produkt!$A$2:$B$5,2,FALSE)</f>
        <v>C</v>
      </c>
      <c r="H6874">
        <v>3</v>
      </c>
      <c r="I6874">
        <v>0.93694444444444447</v>
      </c>
      <c r="J6874">
        <v>44800</v>
      </c>
    </row>
    <row r="6875" spans="1:10" x14ac:dyDescent="0.35">
      <c r="A6875" s="2">
        <v>44795</v>
      </c>
      <c r="B6875" s="3">
        <v>0.19648148148148148</v>
      </c>
      <c r="C6875">
        <v>3494</v>
      </c>
      <c r="D6875" t="str">
        <f>VLOOKUP(H6875,Produkt!$A$2:$B$5,2,FALSE)</f>
        <v>A</v>
      </c>
      <c r="H6875">
        <v>1</v>
      </c>
      <c r="I6875">
        <v>0.77085648148148145</v>
      </c>
      <c r="J6875">
        <v>44799</v>
      </c>
    </row>
    <row r="6876" spans="1:10" x14ac:dyDescent="0.35">
      <c r="A6876" s="2">
        <v>44795</v>
      </c>
      <c r="B6876" s="3">
        <v>0.49974537037037042</v>
      </c>
      <c r="C6876">
        <v>3525</v>
      </c>
      <c r="D6876" t="str">
        <f>VLOOKUP(H6876,Produkt!$A$2:$B$5,2,FALSE)</f>
        <v>C</v>
      </c>
      <c r="H6876">
        <v>3</v>
      </c>
      <c r="I6876">
        <v>0.86564814814814817</v>
      </c>
      <c r="J6876">
        <v>44777</v>
      </c>
    </row>
    <row r="6877" spans="1:10" x14ac:dyDescent="0.35">
      <c r="A6877" s="2">
        <v>44795</v>
      </c>
      <c r="B6877" s="3">
        <v>0.8728125000000001</v>
      </c>
      <c r="C6877">
        <v>3544</v>
      </c>
      <c r="D6877" t="str">
        <f>VLOOKUP(H6877,Produkt!$A$2:$B$5,2,FALSE)</f>
        <v>B</v>
      </c>
      <c r="H6877">
        <v>2</v>
      </c>
      <c r="I6877">
        <v>0.17343749999999999</v>
      </c>
      <c r="J6877">
        <v>44775</v>
      </c>
    </row>
    <row r="6878" spans="1:10" x14ac:dyDescent="0.35">
      <c r="A6878" s="2">
        <v>44795</v>
      </c>
      <c r="B6878" s="3">
        <v>0.19909722222222223</v>
      </c>
      <c r="C6878">
        <v>3636</v>
      </c>
      <c r="D6878" t="str">
        <f>VLOOKUP(H6878,Produkt!$A$2:$B$5,2,FALSE)</f>
        <v>C</v>
      </c>
      <c r="H6878">
        <v>3</v>
      </c>
      <c r="I6878">
        <v>0.28672453703703704</v>
      </c>
      <c r="J6878">
        <v>44776</v>
      </c>
    </row>
    <row r="6879" spans="1:10" x14ac:dyDescent="0.35">
      <c r="A6879" s="2">
        <v>44795</v>
      </c>
      <c r="B6879" s="3">
        <v>0.1950462962962963</v>
      </c>
      <c r="C6879">
        <v>3651</v>
      </c>
      <c r="D6879" t="str">
        <f>VLOOKUP(H6879,Produkt!$A$2:$B$5,2,FALSE)</f>
        <v>B</v>
      </c>
      <c r="H6879">
        <v>2</v>
      </c>
      <c r="I6879">
        <v>0.47280092592592587</v>
      </c>
      <c r="J6879">
        <v>44778</v>
      </c>
    </row>
    <row r="6880" spans="1:10" x14ac:dyDescent="0.35">
      <c r="A6880" s="2">
        <v>44795</v>
      </c>
      <c r="B6880" s="3">
        <v>0.78109953703703694</v>
      </c>
      <c r="C6880">
        <v>3681</v>
      </c>
      <c r="D6880" t="str">
        <f>VLOOKUP(H6880,Produkt!$A$2:$B$5,2,FALSE)</f>
        <v>C</v>
      </c>
      <c r="H6880">
        <v>3</v>
      </c>
      <c r="I6880">
        <v>2.3240740740740742E-2</v>
      </c>
      <c r="J6880">
        <v>44801</v>
      </c>
    </row>
    <row r="6881" spans="1:10" x14ac:dyDescent="0.35">
      <c r="A6881" s="2">
        <v>44795</v>
      </c>
      <c r="B6881" s="3">
        <v>0.84652777777777777</v>
      </c>
      <c r="C6881">
        <v>3707</v>
      </c>
      <c r="D6881" t="str">
        <f>VLOOKUP(H6881,Produkt!$A$2:$B$5,2,FALSE)</f>
        <v>A</v>
      </c>
      <c r="H6881">
        <v>1</v>
      </c>
      <c r="I6881">
        <v>0.79375000000000007</v>
      </c>
      <c r="J6881">
        <v>44789</v>
      </c>
    </row>
    <row r="6882" spans="1:10" x14ac:dyDescent="0.35">
      <c r="A6882" s="2">
        <v>44795</v>
      </c>
      <c r="B6882" s="3">
        <v>0.86593749999999992</v>
      </c>
      <c r="C6882">
        <v>3711</v>
      </c>
      <c r="D6882" t="str">
        <f>VLOOKUP(H6882,Produkt!$A$2:$B$5,2,FALSE)</f>
        <v>D</v>
      </c>
      <c r="H6882">
        <v>4</v>
      </c>
      <c r="I6882">
        <v>0.2694212962962963</v>
      </c>
      <c r="J6882">
        <v>44793</v>
      </c>
    </row>
    <row r="6883" spans="1:10" x14ac:dyDescent="0.35">
      <c r="A6883" s="2">
        <v>44795</v>
      </c>
      <c r="B6883" s="3">
        <v>0.46732638888888883</v>
      </c>
      <c r="C6883">
        <v>3777</v>
      </c>
      <c r="D6883" t="str">
        <f>VLOOKUP(H6883,Produkt!$A$2:$B$5,2,FALSE)</f>
        <v>A</v>
      </c>
      <c r="H6883">
        <v>1</v>
      </c>
      <c r="I6883">
        <v>0.42061342592592593</v>
      </c>
      <c r="J6883">
        <v>44782</v>
      </c>
    </row>
    <row r="6884" spans="1:10" x14ac:dyDescent="0.35">
      <c r="A6884" s="2">
        <v>44795</v>
      </c>
      <c r="B6884" s="3">
        <v>2.3784722222222221E-2</v>
      </c>
      <c r="C6884">
        <v>3803</v>
      </c>
      <c r="D6884" t="str">
        <f>VLOOKUP(H6884,Produkt!$A$2:$B$5,2,FALSE)</f>
        <v>A</v>
      </c>
      <c r="H6884">
        <v>1</v>
      </c>
      <c r="I6884">
        <v>8.0798611111111113E-2</v>
      </c>
      <c r="J6884">
        <v>44775</v>
      </c>
    </row>
    <row r="6885" spans="1:10" x14ac:dyDescent="0.35">
      <c r="A6885" s="2">
        <v>44795</v>
      </c>
      <c r="B6885" s="3">
        <v>0.35108796296296302</v>
      </c>
      <c r="C6885">
        <v>3811</v>
      </c>
      <c r="D6885" t="str">
        <f>VLOOKUP(H6885,Produkt!$A$2:$B$5,2,FALSE)</f>
        <v>A</v>
      </c>
      <c r="H6885">
        <v>1</v>
      </c>
      <c r="I6885">
        <v>0.913599537037037</v>
      </c>
      <c r="J6885">
        <v>44775</v>
      </c>
    </row>
    <row r="6886" spans="1:10" x14ac:dyDescent="0.35">
      <c r="A6886" s="2">
        <v>44795</v>
      </c>
      <c r="B6886" s="3">
        <v>8.9895833333333341E-2</v>
      </c>
      <c r="C6886">
        <v>3865</v>
      </c>
      <c r="D6886" t="str">
        <f>VLOOKUP(H6886,Produkt!$A$2:$B$5,2,FALSE)</f>
        <v>D</v>
      </c>
      <c r="H6886">
        <v>4</v>
      </c>
      <c r="I6886">
        <v>0.65394675925925927</v>
      </c>
      <c r="J6886">
        <v>44799</v>
      </c>
    </row>
    <row r="6887" spans="1:10" x14ac:dyDescent="0.35">
      <c r="A6887" s="2">
        <v>44795</v>
      </c>
      <c r="B6887" s="3">
        <v>0.45699074074074075</v>
      </c>
      <c r="C6887">
        <v>3939</v>
      </c>
      <c r="D6887" t="str">
        <f>VLOOKUP(H6887,Produkt!$A$2:$B$5,2,FALSE)</f>
        <v>C</v>
      </c>
      <c r="H6887">
        <v>3</v>
      </c>
      <c r="I6887">
        <v>0.64953703703703702</v>
      </c>
      <c r="J6887">
        <v>44803</v>
      </c>
    </row>
    <row r="6888" spans="1:10" x14ac:dyDescent="0.35">
      <c r="A6888" s="2">
        <v>44795</v>
      </c>
      <c r="B6888" s="3">
        <v>0.86335648148148147</v>
      </c>
      <c r="C6888">
        <v>3958</v>
      </c>
      <c r="D6888" t="str">
        <f>VLOOKUP(H6888,Produkt!$A$2:$B$5,2,FALSE)</f>
        <v>D</v>
      </c>
      <c r="H6888">
        <v>4</v>
      </c>
      <c r="I6888">
        <v>0.23952546296296295</v>
      </c>
      <c r="J6888">
        <v>44804</v>
      </c>
    </row>
    <row r="6889" spans="1:10" x14ac:dyDescent="0.35">
      <c r="A6889" s="2">
        <v>44795</v>
      </c>
      <c r="B6889" s="3">
        <v>0.30674768518518519</v>
      </c>
      <c r="C6889">
        <v>3979</v>
      </c>
      <c r="D6889" t="str">
        <f>VLOOKUP(H6889,Produkt!$A$2:$B$5,2,FALSE)</f>
        <v>D</v>
      </c>
      <c r="H6889">
        <v>4</v>
      </c>
      <c r="I6889">
        <v>0.91920138888888892</v>
      </c>
      <c r="J6889">
        <v>44799</v>
      </c>
    </row>
    <row r="6890" spans="1:10" x14ac:dyDescent="0.35">
      <c r="A6890" s="2">
        <v>44795</v>
      </c>
      <c r="B6890" s="3">
        <v>0.72341435185185177</v>
      </c>
      <c r="C6890">
        <v>3993</v>
      </c>
      <c r="D6890" t="str">
        <f>VLOOKUP(H6890,Produkt!$A$2:$B$5,2,FALSE)</f>
        <v>B</v>
      </c>
      <c r="H6890">
        <v>2</v>
      </c>
      <c r="I6890">
        <v>0.85833333333333339</v>
      </c>
      <c r="J6890">
        <v>44796</v>
      </c>
    </row>
    <row r="6891" spans="1:10" x14ac:dyDescent="0.35">
      <c r="A6891" s="2">
        <v>44795</v>
      </c>
      <c r="B6891" s="3">
        <v>0.37645833333333334</v>
      </c>
      <c r="C6891">
        <v>4002</v>
      </c>
      <c r="D6891" t="str">
        <f>VLOOKUP(H6891,Produkt!$A$2:$B$5,2,FALSE)</f>
        <v>B</v>
      </c>
      <c r="H6891">
        <v>2</v>
      </c>
      <c r="I6891">
        <v>0.35981481481481481</v>
      </c>
      <c r="J6891">
        <v>44783</v>
      </c>
    </row>
    <row r="6892" spans="1:10" x14ac:dyDescent="0.35">
      <c r="A6892" s="2">
        <v>44795</v>
      </c>
      <c r="B6892" s="3">
        <v>0.71074074074074067</v>
      </c>
      <c r="C6892">
        <v>4010</v>
      </c>
      <c r="D6892" t="str">
        <f>VLOOKUP(H6892,Produkt!$A$2:$B$5,2,FALSE)</f>
        <v>D</v>
      </c>
      <c r="H6892">
        <v>4</v>
      </c>
      <c r="I6892">
        <v>3.2812500000000133E-2</v>
      </c>
      <c r="J6892">
        <v>44782</v>
      </c>
    </row>
    <row r="6893" spans="1:10" x14ac:dyDescent="0.35">
      <c r="A6893" s="2">
        <v>44795</v>
      </c>
      <c r="B6893" s="3">
        <v>2.5624999999999998E-2</v>
      </c>
      <c r="C6893">
        <v>4042</v>
      </c>
      <c r="D6893" t="str">
        <f>VLOOKUP(H6893,Produkt!$A$2:$B$5,2,FALSE)</f>
        <v>C</v>
      </c>
      <c r="H6893">
        <v>3</v>
      </c>
      <c r="I6893">
        <v>0.19210648148148146</v>
      </c>
      <c r="J6893">
        <v>44786</v>
      </c>
    </row>
    <row r="6894" spans="1:10" x14ac:dyDescent="0.35">
      <c r="A6894" s="2">
        <v>44795</v>
      </c>
      <c r="B6894" s="3">
        <v>0.78844907407407405</v>
      </c>
      <c r="C6894">
        <v>4153</v>
      </c>
      <c r="D6894" t="str">
        <f>VLOOKUP(H6894,Produkt!$A$2:$B$5,2,FALSE)</f>
        <v>D</v>
      </c>
      <c r="H6894">
        <v>4</v>
      </c>
      <c r="I6894">
        <v>0.88818287037037036</v>
      </c>
      <c r="J6894">
        <v>44782</v>
      </c>
    </row>
    <row r="6895" spans="1:10" x14ac:dyDescent="0.35">
      <c r="A6895" s="2">
        <v>44795</v>
      </c>
      <c r="B6895" s="3">
        <v>5.7754629629629628E-2</v>
      </c>
      <c r="C6895">
        <v>4273</v>
      </c>
      <c r="D6895" t="str">
        <f>VLOOKUP(H6895,Produkt!$A$2:$B$5,2,FALSE)</f>
        <v>B</v>
      </c>
      <c r="H6895">
        <v>2</v>
      </c>
      <c r="I6895">
        <v>6.7303240740740733E-2</v>
      </c>
      <c r="J6895">
        <v>44776</v>
      </c>
    </row>
    <row r="6896" spans="1:10" x14ac:dyDescent="0.35">
      <c r="A6896" s="2">
        <v>44795</v>
      </c>
      <c r="B6896" s="3">
        <v>0.56313657407407403</v>
      </c>
      <c r="C6896">
        <v>4281</v>
      </c>
      <c r="D6896" t="str">
        <f>VLOOKUP(H6896,Produkt!$A$2:$B$5,2,FALSE)</f>
        <v>A</v>
      </c>
      <c r="H6896">
        <v>1</v>
      </c>
      <c r="I6896">
        <v>0.53356481481481477</v>
      </c>
      <c r="J6896">
        <v>44796</v>
      </c>
    </row>
    <row r="6897" spans="1:10" x14ac:dyDescent="0.35">
      <c r="A6897" s="2">
        <v>44795</v>
      </c>
      <c r="B6897" s="3">
        <v>0.69082175925925926</v>
      </c>
      <c r="C6897">
        <v>4318</v>
      </c>
      <c r="D6897" t="str">
        <f>VLOOKUP(H6897,Produkt!$A$2:$B$5,2,FALSE)</f>
        <v>D</v>
      </c>
      <c r="H6897">
        <v>4</v>
      </c>
      <c r="I6897">
        <v>2.3842592592592693E-2</v>
      </c>
      <c r="J6897">
        <v>44795</v>
      </c>
    </row>
    <row r="6898" spans="1:10" x14ac:dyDescent="0.35">
      <c r="A6898" s="2">
        <v>44795</v>
      </c>
      <c r="B6898" s="3">
        <v>0.7037268518518518</v>
      </c>
      <c r="C6898">
        <v>4371</v>
      </c>
      <c r="D6898" t="str">
        <f>VLOOKUP(H6898,Produkt!$A$2:$B$5,2,FALSE)</f>
        <v>A</v>
      </c>
      <c r="H6898">
        <v>1</v>
      </c>
      <c r="I6898">
        <v>0.88260416666666675</v>
      </c>
      <c r="J6898">
        <v>44786</v>
      </c>
    </row>
    <row r="6899" spans="1:10" x14ac:dyDescent="0.35">
      <c r="A6899" s="2">
        <v>44795</v>
      </c>
      <c r="B6899" s="3">
        <v>4.1643518518518663E-2</v>
      </c>
      <c r="C6899">
        <v>4382</v>
      </c>
      <c r="D6899" t="str">
        <f>VLOOKUP(H6899,Produkt!$A$2:$B$5,2,FALSE)</f>
        <v>A</v>
      </c>
      <c r="H6899">
        <v>1</v>
      </c>
      <c r="I6899">
        <v>9.9652777777777771E-2</v>
      </c>
      <c r="J6899">
        <v>44795</v>
      </c>
    </row>
    <row r="6900" spans="1:10" x14ac:dyDescent="0.35">
      <c r="A6900" s="2">
        <v>44795</v>
      </c>
      <c r="B6900" s="3">
        <v>0.48104166666666665</v>
      </c>
      <c r="C6900">
        <v>4415</v>
      </c>
      <c r="D6900" t="str">
        <f>VLOOKUP(H6900,Produkt!$A$2:$B$5,2,FALSE)</f>
        <v>D</v>
      </c>
      <c r="H6900">
        <v>4</v>
      </c>
      <c r="I6900">
        <v>0.17600694444444445</v>
      </c>
      <c r="J6900">
        <v>44801</v>
      </c>
    </row>
    <row r="6901" spans="1:10" x14ac:dyDescent="0.35">
      <c r="A6901" s="2">
        <v>44795</v>
      </c>
      <c r="B6901" s="3">
        <v>0.62194444444444441</v>
      </c>
      <c r="C6901">
        <v>4492</v>
      </c>
      <c r="D6901" t="str">
        <f>VLOOKUP(H6901,Produkt!$A$2:$B$5,2,FALSE)</f>
        <v>C</v>
      </c>
      <c r="H6901">
        <v>3</v>
      </c>
      <c r="I6901">
        <v>3.819444444444442E-2</v>
      </c>
      <c r="J6901">
        <v>44781</v>
      </c>
    </row>
    <row r="6902" spans="1:10" x14ac:dyDescent="0.35">
      <c r="A6902" s="2">
        <v>44795</v>
      </c>
      <c r="B6902" s="3">
        <v>0.19792824074074075</v>
      </c>
      <c r="C6902">
        <v>4524</v>
      </c>
      <c r="D6902" t="str">
        <f>VLOOKUP(H6902,Produkt!$A$2:$B$5,2,FALSE)</f>
        <v>A</v>
      </c>
      <c r="H6902">
        <v>1</v>
      </c>
      <c r="I6902">
        <v>0.80406250000000001</v>
      </c>
      <c r="J6902">
        <v>44799</v>
      </c>
    </row>
    <row r="6903" spans="1:10" x14ac:dyDescent="0.35">
      <c r="A6903" s="2">
        <v>44795</v>
      </c>
      <c r="B6903" s="3">
        <v>0.68530092592592595</v>
      </c>
      <c r="C6903">
        <v>4562</v>
      </c>
      <c r="D6903" t="str">
        <f>VLOOKUP(H6903,Produkt!$A$2:$B$5,2,FALSE)</f>
        <v>C</v>
      </c>
      <c r="H6903">
        <v>3</v>
      </c>
      <c r="I6903">
        <v>0.46881944444444446</v>
      </c>
      <c r="J6903">
        <v>44797</v>
      </c>
    </row>
    <row r="6904" spans="1:10" x14ac:dyDescent="0.35">
      <c r="A6904" s="2">
        <v>44795</v>
      </c>
      <c r="B6904" s="3">
        <v>0.56458333333333333</v>
      </c>
      <c r="C6904">
        <v>4667</v>
      </c>
      <c r="D6904" t="str">
        <f>VLOOKUP(H6904,Produkt!$A$2:$B$5,2,FALSE)</f>
        <v>B</v>
      </c>
      <c r="H6904">
        <v>2</v>
      </c>
      <c r="I6904">
        <v>0.61618055555555562</v>
      </c>
      <c r="J6904">
        <v>44803</v>
      </c>
    </row>
    <row r="6905" spans="1:10" x14ac:dyDescent="0.35">
      <c r="A6905" s="2">
        <v>44795</v>
      </c>
      <c r="B6905" s="3">
        <v>0.89450231481481479</v>
      </c>
      <c r="C6905">
        <v>4688</v>
      </c>
      <c r="D6905" t="str">
        <f>VLOOKUP(H6905,Produkt!$A$2:$B$5,2,FALSE)</f>
        <v>D</v>
      </c>
      <c r="H6905">
        <v>4</v>
      </c>
      <c r="I6905">
        <v>0.91344907407407405</v>
      </c>
      <c r="J6905">
        <v>44792</v>
      </c>
    </row>
    <row r="6906" spans="1:10" x14ac:dyDescent="0.35">
      <c r="A6906" s="2">
        <v>44795</v>
      </c>
      <c r="B6906" s="3">
        <v>0.96406249999999993</v>
      </c>
      <c r="C6906">
        <v>4812</v>
      </c>
      <c r="D6906" t="str">
        <f>VLOOKUP(H6906,Produkt!$A$2:$B$5,2,FALSE)</f>
        <v>D</v>
      </c>
      <c r="H6906">
        <v>4</v>
      </c>
      <c r="I6906">
        <v>3.7372685185185217E-2</v>
      </c>
      <c r="J6906">
        <v>44785</v>
      </c>
    </row>
    <row r="6907" spans="1:10" x14ac:dyDescent="0.35">
      <c r="A6907" s="2">
        <v>44795</v>
      </c>
      <c r="B6907" s="3">
        <v>0.35493055555555553</v>
      </c>
      <c r="C6907">
        <v>4830</v>
      </c>
      <c r="D6907" t="str">
        <f>VLOOKUP(H6907,Produkt!$A$2:$B$5,2,FALSE)</f>
        <v>B</v>
      </c>
      <c r="H6907">
        <v>2</v>
      </c>
      <c r="I6907">
        <v>7.7256944444444434E-2</v>
      </c>
      <c r="J6907">
        <v>44783</v>
      </c>
    </row>
    <row r="6908" spans="1:10" x14ac:dyDescent="0.35">
      <c r="A6908" s="2">
        <v>44795</v>
      </c>
      <c r="B6908" s="3">
        <v>0.19469907407407408</v>
      </c>
      <c r="C6908">
        <v>4861</v>
      </c>
      <c r="D6908" t="str">
        <f>VLOOKUP(H6908,Produkt!$A$2:$B$5,2,FALSE)</f>
        <v>B</v>
      </c>
      <c r="H6908">
        <v>2</v>
      </c>
      <c r="I6908">
        <v>0.54770833333333335</v>
      </c>
      <c r="J6908">
        <v>44786</v>
      </c>
    </row>
    <row r="6909" spans="1:10" x14ac:dyDescent="0.35">
      <c r="A6909" s="2">
        <v>44795</v>
      </c>
      <c r="B6909" s="3">
        <v>0.99873842592592599</v>
      </c>
      <c r="C6909">
        <v>4892</v>
      </c>
      <c r="D6909" t="str">
        <f>VLOOKUP(H6909,Produkt!$A$2:$B$5,2,FALSE)</f>
        <v>A</v>
      </c>
      <c r="H6909">
        <v>1</v>
      </c>
      <c r="I6909">
        <v>8.3333333333333037E-3</v>
      </c>
      <c r="J6909">
        <v>44804</v>
      </c>
    </row>
    <row r="6910" spans="1:10" x14ac:dyDescent="0.35">
      <c r="A6910" s="2">
        <v>44795</v>
      </c>
      <c r="B6910" s="3">
        <v>0.87655092592592598</v>
      </c>
      <c r="C6910">
        <v>4972</v>
      </c>
      <c r="D6910" t="str">
        <f>VLOOKUP(H6910,Produkt!$A$2:$B$5,2,FALSE)</f>
        <v>B</v>
      </c>
      <c r="H6910">
        <v>2</v>
      </c>
      <c r="I6910">
        <v>7.4375000000000011E-2</v>
      </c>
      <c r="J6910">
        <v>44784</v>
      </c>
    </row>
    <row r="6911" spans="1:10" x14ac:dyDescent="0.35">
      <c r="A6911" s="2">
        <v>44795</v>
      </c>
      <c r="B6911" s="3">
        <v>0.51083333333333336</v>
      </c>
      <c r="C6911">
        <v>4973</v>
      </c>
      <c r="D6911" t="str">
        <f>VLOOKUP(H6911,Produkt!$A$2:$B$5,2,FALSE)</f>
        <v>D</v>
      </c>
      <c r="H6911">
        <v>4</v>
      </c>
      <c r="I6911">
        <v>0.59483796296296299</v>
      </c>
      <c r="J6911">
        <v>44787</v>
      </c>
    </row>
    <row r="6912" spans="1:10" x14ac:dyDescent="0.35">
      <c r="A6912" s="2">
        <v>44795</v>
      </c>
      <c r="B6912" s="3">
        <v>0.7505208333333333</v>
      </c>
      <c r="C6912">
        <v>4977</v>
      </c>
      <c r="D6912" t="str">
        <f>VLOOKUP(H6912,Produkt!$A$2:$B$5,2,FALSE)</f>
        <v>A</v>
      </c>
      <c r="H6912">
        <v>1</v>
      </c>
      <c r="I6912">
        <v>3.6539351851851753E-2</v>
      </c>
      <c r="J6912">
        <v>44786</v>
      </c>
    </row>
    <row r="6913" spans="1:10" x14ac:dyDescent="0.35">
      <c r="A6913" s="2">
        <v>44795</v>
      </c>
      <c r="B6913" s="3">
        <v>0.54393518518518513</v>
      </c>
      <c r="C6913">
        <v>4984</v>
      </c>
      <c r="D6913" t="str">
        <f>VLOOKUP(H6913,Produkt!$A$2:$B$5,2,FALSE)</f>
        <v>D</v>
      </c>
      <c r="H6913">
        <v>4</v>
      </c>
      <c r="I6913">
        <v>0.96950231481481486</v>
      </c>
      <c r="J6913">
        <v>44802</v>
      </c>
    </row>
    <row r="6914" spans="1:10" x14ac:dyDescent="0.35">
      <c r="A6914" s="2">
        <v>44795</v>
      </c>
      <c r="B6914" s="3">
        <v>0.2608449074074074</v>
      </c>
      <c r="C6914">
        <v>4985</v>
      </c>
      <c r="D6914" t="str">
        <f>VLOOKUP(H6914,Produkt!$A$2:$B$5,2,FALSE)</f>
        <v>B</v>
      </c>
      <c r="H6914">
        <v>2</v>
      </c>
      <c r="I6914">
        <v>0.59192129629629631</v>
      </c>
      <c r="J6914">
        <v>44782</v>
      </c>
    </row>
    <row r="6915" spans="1:10" x14ac:dyDescent="0.35">
      <c r="A6915" s="2">
        <v>44795</v>
      </c>
      <c r="B6915" s="3">
        <v>0.7531944444444445</v>
      </c>
      <c r="C6915">
        <v>5007</v>
      </c>
      <c r="D6915" t="str">
        <f>VLOOKUP(H6915,Produkt!$A$2:$B$5,2,FALSE)</f>
        <v>B</v>
      </c>
      <c r="H6915">
        <v>2</v>
      </c>
      <c r="I6915">
        <v>0.64905092592592595</v>
      </c>
      <c r="J6915">
        <v>44790</v>
      </c>
    </row>
    <row r="6916" spans="1:10" x14ac:dyDescent="0.35">
      <c r="A6916" s="2">
        <v>44795</v>
      </c>
      <c r="B6916" s="3">
        <v>0.22747685185185185</v>
      </c>
      <c r="C6916">
        <v>5051</v>
      </c>
      <c r="D6916" t="str">
        <f>VLOOKUP(H6916,Produkt!$A$2:$B$5,2,FALSE)</f>
        <v>C</v>
      </c>
      <c r="H6916">
        <v>3</v>
      </c>
      <c r="I6916">
        <v>0.18369212962962964</v>
      </c>
      <c r="J6916">
        <v>44776</v>
      </c>
    </row>
    <row r="6917" spans="1:10" x14ac:dyDescent="0.35">
      <c r="A6917" s="2">
        <v>44795</v>
      </c>
      <c r="B6917" s="3">
        <v>0.26957175925925925</v>
      </c>
      <c r="C6917">
        <v>5060</v>
      </c>
      <c r="D6917" t="str">
        <f>VLOOKUP(H6917,Produkt!$A$2:$B$5,2,FALSE)</f>
        <v>D</v>
      </c>
      <c r="H6917">
        <v>4</v>
      </c>
      <c r="I6917">
        <v>0.90018518518518509</v>
      </c>
      <c r="J6917">
        <v>44788</v>
      </c>
    </row>
    <row r="6918" spans="1:10" x14ac:dyDescent="0.35">
      <c r="A6918" s="2">
        <v>44795</v>
      </c>
      <c r="B6918" s="3">
        <v>0.87015046296296295</v>
      </c>
      <c r="C6918">
        <v>5215</v>
      </c>
      <c r="D6918" t="str">
        <f>VLOOKUP(H6918,Produkt!$A$2:$B$5,2,FALSE)</f>
        <v>A</v>
      </c>
      <c r="H6918">
        <v>1</v>
      </c>
      <c r="I6918">
        <v>0.15318287037037037</v>
      </c>
      <c r="J6918">
        <v>44789</v>
      </c>
    </row>
    <row r="6919" spans="1:10" x14ac:dyDescent="0.35">
      <c r="A6919" s="2">
        <v>44795</v>
      </c>
      <c r="B6919" s="3">
        <v>0.63780092592592597</v>
      </c>
      <c r="C6919">
        <v>5225</v>
      </c>
      <c r="D6919" t="str">
        <f>VLOOKUP(H6919,Produkt!$A$2:$B$5,2,FALSE)</f>
        <v>A</v>
      </c>
      <c r="H6919">
        <v>1</v>
      </c>
      <c r="I6919">
        <v>0.4168055555555556</v>
      </c>
      <c r="J6919">
        <v>44776</v>
      </c>
    </row>
    <row r="6920" spans="1:10" x14ac:dyDescent="0.35">
      <c r="A6920" s="2">
        <v>44795</v>
      </c>
      <c r="B6920" s="3">
        <v>0.79849537037037033</v>
      </c>
      <c r="C6920">
        <v>5286</v>
      </c>
      <c r="D6920" t="str">
        <f>VLOOKUP(H6920,Produkt!$A$2:$B$5,2,FALSE)</f>
        <v>C</v>
      </c>
      <c r="H6920">
        <v>3</v>
      </c>
      <c r="I6920">
        <v>0.45521990740740742</v>
      </c>
      <c r="J6920">
        <v>44778</v>
      </c>
    </row>
    <row r="6921" spans="1:10" x14ac:dyDescent="0.35">
      <c r="A6921" s="2">
        <v>44795</v>
      </c>
      <c r="B6921" s="3">
        <v>0.27936342592592595</v>
      </c>
      <c r="C6921">
        <v>5308</v>
      </c>
      <c r="D6921" t="str">
        <f>VLOOKUP(H6921,Produkt!$A$2:$B$5,2,FALSE)</f>
        <v>B</v>
      </c>
      <c r="H6921">
        <v>2</v>
      </c>
      <c r="I6921">
        <v>0.85237268518518527</v>
      </c>
      <c r="J6921">
        <v>44781</v>
      </c>
    </row>
    <row r="6922" spans="1:10" x14ac:dyDescent="0.35">
      <c r="A6922" s="2">
        <v>44795</v>
      </c>
      <c r="B6922" s="3">
        <v>6.8518518518518867E-3</v>
      </c>
      <c r="C6922">
        <v>5341</v>
      </c>
      <c r="D6922" t="str">
        <f>VLOOKUP(H6922,Produkt!$A$2:$B$5,2,FALSE)</f>
        <v>A</v>
      </c>
      <c r="H6922">
        <v>1</v>
      </c>
      <c r="I6922">
        <v>0.1754050925925926</v>
      </c>
      <c r="J6922">
        <v>44803</v>
      </c>
    </row>
    <row r="6923" spans="1:10" x14ac:dyDescent="0.35">
      <c r="A6923" s="2">
        <v>44795</v>
      </c>
      <c r="B6923" s="3">
        <v>0.65596064814814814</v>
      </c>
      <c r="C6923">
        <v>5346</v>
      </c>
      <c r="D6923" t="str">
        <f>VLOOKUP(H6923,Produkt!$A$2:$B$5,2,FALSE)</f>
        <v>B</v>
      </c>
      <c r="H6923">
        <v>2</v>
      </c>
      <c r="I6923">
        <v>0.8335069444444444</v>
      </c>
      <c r="J6923">
        <v>44798</v>
      </c>
    </row>
    <row r="6924" spans="1:10" x14ac:dyDescent="0.35">
      <c r="A6924" s="2">
        <v>44795</v>
      </c>
      <c r="B6924" s="3">
        <v>0.8752199074074074</v>
      </c>
      <c r="C6924">
        <v>5359</v>
      </c>
      <c r="D6924" t="str">
        <f>VLOOKUP(H6924,Produkt!$A$2:$B$5,2,FALSE)</f>
        <v>A</v>
      </c>
      <c r="H6924">
        <v>1</v>
      </c>
      <c r="I6924">
        <v>0.30863425925925925</v>
      </c>
      <c r="J6924">
        <v>44780</v>
      </c>
    </row>
    <row r="6925" spans="1:10" x14ac:dyDescent="0.35">
      <c r="A6925" s="2">
        <v>44795</v>
      </c>
      <c r="B6925" s="3">
        <v>0.63637731481481474</v>
      </c>
      <c r="C6925">
        <v>5374</v>
      </c>
      <c r="D6925" t="str">
        <f>VLOOKUP(H6925,Produkt!$A$2:$B$5,2,FALSE)</f>
        <v>A</v>
      </c>
      <c r="H6925">
        <v>1</v>
      </c>
      <c r="I6925">
        <v>0.18680555555555556</v>
      </c>
      <c r="J6925">
        <v>44802</v>
      </c>
    </row>
    <row r="6926" spans="1:10" x14ac:dyDescent="0.35">
      <c r="A6926" s="2">
        <v>44795</v>
      </c>
      <c r="B6926" s="3">
        <v>0.67563657407407407</v>
      </c>
      <c r="C6926">
        <v>5393</v>
      </c>
      <c r="D6926" t="str">
        <f>VLOOKUP(H6926,Produkt!$A$2:$B$5,2,FALSE)</f>
        <v>B</v>
      </c>
      <c r="H6926">
        <v>2</v>
      </c>
      <c r="I6926">
        <v>0.50928240740740738</v>
      </c>
      <c r="J6926">
        <v>44774</v>
      </c>
    </row>
    <row r="6927" spans="1:10" x14ac:dyDescent="0.35">
      <c r="A6927" s="2">
        <v>44795</v>
      </c>
      <c r="B6927" s="3">
        <v>0.19312499999999999</v>
      </c>
      <c r="C6927">
        <v>5402</v>
      </c>
      <c r="D6927" t="str">
        <f>VLOOKUP(H6927,Produkt!$A$2:$B$5,2,FALSE)</f>
        <v>C</v>
      </c>
      <c r="H6927">
        <v>3</v>
      </c>
      <c r="I6927">
        <v>0.48313657407407407</v>
      </c>
      <c r="J6927">
        <v>44778</v>
      </c>
    </row>
    <row r="6928" spans="1:10" x14ac:dyDescent="0.35">
      <c r="A6928" s="2">
        <v>44795</v>
      </c>
      <c r="B6928" s="3">
        <v>0.49322916666666666</v>
      </c>
      <c r="C6928">
        <v>5527</v>
      </c>
      <c r="D6928" t="str">
        <f>VLOOKUP(H6928,Produkt!$A$2:$B$5,2,FALSE)</f>
        <v>C</v>
      </c>
      <c r="H6928">
        <v>3</v>
      </c>
      <c r="I6928">
        <v>0.1590625</v>
      </c>
      <c r="J6928">
        <v>44797</v>
      </c>
    </row>
    <row r="6929" spans="1:10" x14ac:dyDescent="0.35">
      <c r="A6929" s="2">
        <v>44795</v>
      </c>
      <c r="B6929" s="3">
        <v>0.99861111111111101</v>
      </c>
      <c r="C6929">
        <v>5531</v>
      </c>
      <c r="D6929" t="str">
        <f>VLOOKUP(H6929,Produkt!$A$2:$B$5,2,FALSE)</f>
        <v>D</v>
      </c>
      <c r="H6929">
        <v>4</v>
      </c>
      <c r="I6929">
        <v>2.4814814814814817E-2</v>
      </c>
      <c r="J6929">
        <v>44804</v>
      </c>
    </row>
    <row r="6930" spans="1:10" x14ac:dyDescent="0.35">
      <c r="A6930" s="2">
        <v>44795</v>
      </c>
      <c r="B6930" s="3">
        <v>0.67186342592592585</v>
      </c>
      <c r="C6930">
        <v>5547</v>
      </c>
      <c r="D6930" t="str">
        <f>VLOOKUP(H6930,Produkt!$A$2:$B$5,2,FALSE)</f>
        <v>B</v>
      </c>
      <c r="H6930">
        <v>2</v>
      </c>
      <c r="I6930">
        <v>0.11422453703703704</v>
      </c>
      <c r="J6930">
        <v>44793</v>
      </c>
    </row>
    <row r="6931" spans="1:10" x14ac:dyDescent="0.35">
      <c r="A6931" s="2">
        <v>44795</v>
      </c>
      <c r="B6931" s="3">
        <v>0.49592592592592594</v>
      </c>
      <c r="C6931">
        <v>5632</v>
      </c>
      <c r="D6931" t="str">
        <f>VLOOKUP(H6931,Produkt!$A$2:$B$5,2,FALSE)</f>
        <v>B</v>
      </c>
      <c r="H6931">
        <v>2</v>
      </c>
      <c r="I6931">
        <v>0.42805555555555558</v>
      </c>
      <c r="J6931">
        <v>44788</v>
      </c>
    </row>
    <row r="6932" spans="1:10" x14ac:dyDescent="0.35">
      <c r="A6932" s="2">
        <v>44795</v>
      </c>
      <c r="B6932" s="3">
        <v>0.47208333333333335</v>
      </c>
      <c r="C6932">
        <v>5659</v>
      </c>
      <c r="D6932" t="str">
        <f>VLOOKUP(H6932,Produkt!$A$2:$B$5,2,FALSE)</f>
        <v>D</v>
      </c>
      <c r="H6932">
        <v>4</v>
      </c>
      <c r="I6932">
        <v>3.5995370370369706E-3</v>
      </c>
      <c r="J6932">
        <v>44796</v>
      </c>
    </row>
    <row r="6933" spans="1:10" x14ac:dyDescent="0.35">
      <c r="A6933" s="2">
        <v>44795</v>
      </c>
      <c r="B6933" s="3">
        <v>0.97952546296296295</v>
      </c>
      <c r="C6933">
        <v>5841</v>
      </c>
      <c r="D6933" t="str">
        <f>VLOOKUP(H6933,Produkt!$A$2:$B$5,2,FALSE)</f>
        <v>A</v>
      </c>
      <c r="H6933">
        <v>1</v>
      </c>
      <c r="I6933">
        <v>0.798761574074074</v>
      </c>
      <c r="J6933">
        <v>44802</v>
      </c>
    </row>
    <row r="6934" spans="1:10" x14ac:dyDescent="0.35">
      <c r="A6934" s="2">
        <v>44795</v>
      </c>
      <c r="B6934" s="3">
        <v>0.85390046296296296</v>
      </c>
      <c r="C6934">
        <v>5842</v>
      </c>
      <c r="D6934" t="str">
        <f>VLOOKUP(H6934,Produkt!$A$2:$B$5,2,FALSE)</f>
        <v>A</v>
      </c>
      <c r="H6934">
        <v>1</v>
      </c>
      <c r="I6934">
        <v>0.49035879629629631</v>
      </c>
      <c r="J6934">
        <v>44801</v>
      </c>
    </row>
    <row r="6935" spans="1:10" x14ac:dyDescent="0.35">
      <c r="A6935" s="2">
        <v>44795</v>
      </c>
      <c r="B6935" s="3">
        <v>0.57335648148148144</v>
      </c>
      <c r="C6935">
        <v>5868</v>
      </c>
      <c r="D6935" t="str">
        <f>VLOOKUP(H6935,Produkt!$A$2:$B$5,2,FALSE)</f>
        <v>A</v>
      </c>
      <c r="H6935">
        <v>1</v>
      </c>
      <c r="I6935">
        <v>0.58207175925925925</v>
      </c>
      <c r="J6935">
        <v>44782</v>
      </c>
    </row>
    <row r="6936" spans="1:10" x14ac:dyDescent="0.35">
      <c r="A6936" s="2">
        <v>44795</v>
      </c>
      <c r="B6936" s="3">
        <v>0.71055555555555561</v>
      </c>
      <c r="C6936">
        <v>5884</v>
      </c>
      <c r="D6936" t="str">
        <f>VLOOKUP(H6936,Produkt!$A$2:$B$5,2,FALSE)</f>
        <v>A</v>
      </c>
      <c r="H6936">
        <v>1</v>
      </c>
      <c r="I6936">
        <v>0.30858796296296298</v>
      </c>
      <c r="J6936">
        <v>44781</v>
      </c>
    </row>
    <row r="6937" spans="1:10" x14ac:dyDescent="0.35">
      <c r="A6937" s="2">
        <v>44795</v>
      </c>
      <c r="B6937" s="3">
        <v>0.56952546296296302</v>
      </c>
      <c r="C6937">
        <v>5906</v>
      </c>
      <c r="D6937" t="str">
        <f>VLOOKUP(H6937,Produkt!$A$2:$B$5,2,FALSE)</f>
        <v>A</v>
      </c>
      <c r="H6937">
        <v>1</v>
      </c>
      <c r="I6937">
        <v>0.99207175925925928</v>
      </c>
      <c r="J6937">
        <v>44795</v>
      </c>
    </row>
    <row r="6938" spans="1:10" x14ac:dyDescent="0.35">
      <c r="A6938" s="2">
        <v>44795</v>
      </c>
      <c r="B6938" s="3">
        <v>3.6574074074074092E-2</v>
      </c>
      <c r="C6938">
        <v>5955</v>
      </c>
      <c r="D6938" t="str">
        <f>VLOOKUP(H6938,Produkt!$A$2:$B$5,2,FALSE)</f>
        <v>B</v>
      </c>
      <c r="H6938">
        <v>2</v>
      </c>
      <c r="I6938">
        <v>0.24234953703703702</v>
      </c>
      <c r="J6938">
        <v>44795</v>
      </c>
    </row>
    <row r="6939" spans="1:10" x14ac:dyDescent="0.35">
      <c r="A6939" s="2">
        <v>44795</v>
      </c>
      <c r="B6939" s="3">
        <v>0.36428240740740742</v>
      </c>
      <c r="C6939">
        <v>5961</v>
      </c>
      <c r="D6939" t="str">
        <f>VLOOKUP(H6939,Produkt!$A$2:$B$5,2,FALSE)</f>
        <v>C</v>
      </c>
      <c r="H6939">
        <v>3</v>
      </c>
      <c r="I6939">
        <v>0.32520833333333332</v>
      </c>
      <c r="J6939">
        <v>44787</v>
      </c>
    </row>
    <row r="6940" spans="1:10" x14ac:dyDescent="0.35">
      <c r="A6940" s="2">
        <v>44795</v>
      </c>
      <c r="B6940" s="3">
        <v>1.3622685185185184E-2</v>
      </c>
      <c r="C6940">
        <v>5987</v>
      </c>
      <c r="D6940" t="str">
        <f>VLOOKUP(H6940,Produkt!$A$2:$B$5,2,FALSE)</f>
        <v>A</v>
      </c>
      <c r="H6940">
        <v>1</v>
      </c>
      <c r="I6940">
        <v>0.59701388888888884</v>
      </c>
      <c r="J6940">
        <v>44799</v>
      </c>
    </row>
    <row r="6941" spans="1:10" x14ac:dyDescent="0.35">
      <c r="A6941" s="2">
        <v>44795</v>
      </c>
      <c r="B6941" s="3">
        <v>0.19809027777777777</v>
      </c>
      <c r="C6941">
        <v>5992</v>
      </c>
      <c r="D6941" t="str">
        <f>VLOOKUP(H6941,Produkt!$A$2:$B$5,2,FALSE)</f>
        <v>B</v>
      </c>
      <c r="H6941">
        <v>2</v>
      </c>
      <c r="I6941">
        <v>0.60736111111111113</v>
      </c>
      <c r="J6941">
        <v>44803</v>
      </c>
    </row>
    <row r="6942" spans="1:10" x14ac:dyDescent="0.35">
      <c r="A6942" s="2">
        <v>44795</v>
      </c>
      <c r="B6942" s="3">
        <v>1.475694444444442E-2</v>
      </c>
      <c r="C6942">
        <v>6002</v>
      </c>
      <c r="D6942" t="str">
        <f>VLOOKUP(H6942,Produkt!$A$2:$B$5,2,FALSE)</f>
        <v>D</v>
      </c>
      <c r="H6942">
        <v>4</v>
      </c>
      <c r="I6942">
        <v>0.39999999999999997</v>
      </c>
      <c r="J6942">
        <v>44784</v>
      </c>
    </row>
    <row r="6943" spans="1:10" x14ac:dyDescent="0.35">
      <c r="A6943" s="2">
        <v>44795</v>
      </c>
      <c r="B6943" s="3">
        <v>0.67844907407407407</v>
      </c>
      <c r="C6943">
        <v>6059</v>
      </c>
      <c r="D6943" t="str">
        <f>VLOOKUP(H6943,Produkt!$A$2:$B$5,2,FALSE)</f>
        <v>A</v>
      </c>
      <c r="H6943">
        <v>1</v>
      </c>
      <c r="I6943">
        <v>0.25912037037037033</v>
      </c>
      <c r="J6943">
        <v>44796</v>
      </c>
    </row>
    <row r="6944" spans="1:10" x14ac:dyDescent="0.35">
      <c r="A6944" s="2">
        <v>44795</v>
      </c>
      <c r="B6944" s="3">
        <v>0.81972222222222213</v>
      </c>
      <c r="C6944">
        <v>6087</v>
      </c>
      <c r="D6944" t="str">
        <f>VLOOKUP(H6944,Produkt!$A$2:$B$5,2,FALSE)</f>
        <v>B</v>
      </c>
      <c r="H6944">
        <v>2</v>
      </c>
      <c r="I6944">
        <v>0.78594907407407411</v>
      </c>
      <c r="J6944">
        <v>44775</v>
      </c>
    </row>
    <row r="6945" spans="1:10" x14ac:dyDescent="0.35">
      <c r="A6945" s="2">
        <v>44795</v>
      </c>
      <c r="B6945" s="3">
        <v>0.63042824074074078</v>
      </c>
      <c r="C6945">
        <v>6106</v>
      </c>
      <c r="D6945" t="str">
        <f>VLOOKUP(H6945,Produkt!$A$2:$B$5,2,FALSE)</f>
        <v>D</v>
      </c>
      <c r="H6945">
        <v>4</v>
      </c>
      <c r="I6945">
        <v>0.59416666666666662</v>
      </c>
      <c r="J6945">
        <v>44781</v>
      </c>
    </row>
    <row r="6946" spans="1:10" x14ac:dyDescent="0.35">
      <c r="A6946" s="2">
        <v>44795</v>
      </c>
      <c r="B6946" s="3">
        <v>7.137731481481481E-2</v>
      </c>
      <c r="C6946">
        <v>6139</v>
      </c>
      <c r="D6946" t="str">
        <f>VLOOKUP(H6946,Produkt!$A$2:$B$5,2,FALSE)</f>
        <v>B</v>
      </c>
      <c r="H6946">
        <v>2</v>
      </c>
      <c r="I6946">
        <v>0.79916666666666669</v>
      </c>
      <c r="J6946">
        <v>44779</v>
      </c>
    </row>
    <row r="6947" spans="1:10" x14ac:dyDescent="0.35">
      <c r="A6947" s="2">
        <v>44795</v>
      </c>
      <c r="B6947" s="3">
        <v>0.39549768518518519</v>
      </c>
      <c r="C6947">
        <v>6245</v>
      </c>
      <c r="D6947" t="str">
        <f>VLOOKUP(H6947,Produkt!$A$2:$B$5,2,FALSE)</f>
        <v>C</v>
      </c>
      <c r="H6947">
        <v>3</v>
      </c>
      <c r="I6947">
        <v>0.18932870370370369</v>
      </c>
      <c r="J6947">
        <v>44799</v>
      </c>
    </row>
    <row r="6948" spans="1:10" x14ac:dyDescent="0.35">
      <c r="A6948" s="2">
        <v>44795</v>
      </c>
      <c r="B6948" s="3">
        <v>0.9008680555555556</v>
      </c>
      <c r="C6948">
        <v>6324</v>
      </c>
      <c r="D6948" t="str">
        <f>VLOOKUP(H6948,Produkt!$A$2:$B$5,2,FALSE)</f>
        <v>A</v>
      </c>
      <c r="H6948">
        <v>1</v>
      </c>
      <c r="I6948">
        <v>5.7650462962962966E-2</v>
      </c>
      <c r="J6948">
        <v>44786</v>
      </c>
    </row>
    <row r="6949" spans="1:10" x14ac:dyDescent="0.35">
      <c r="A6949" s="2">
        <v>44795</v>
      </c>
      <c r="B6949" s="3">
        <v>0.85685185185185186</v>
      </c>
      <c r="C6949">
        <v>6359</v>
      </c>
      <c r="D6949" t="str">
        <f>VLOOKUP(H6949,Produkt!$A$2:$B$5,2,FALSE)</f>
        <v>A</v>
      </c>
      <c r="H6949">
        <v>1</v>
      </c>
      <c r="I6949">
        <v>6.5324074074074076E-2</v>
      </c>
      <c r="J6949">
        <v>44781</v>
      </c>
    </row>
    <row r="6950" spans="1:10" x14ac:dyDescent="0.35">
      <c r="A6950" s="2">
        <v>44795</v>
      </c>
      <c r="B6950" s="3">
        <v>0.88479166666666664</v>
      </c>
      <c r="C6950">
        <v>6373</v>
      </c>
      <c r="D6950" t="str">
        <f>VLOOKUP(H6950,Produkt!$A$2:$B$5,2,FALSE)</f>
        <v>C</v>
      </c>
      <c r="H6950">
        <v>3</v>
      </c>
      <c r="I6950">
        <v>0.68957175925925929</v>
      </c>
      <c r="J6950">
        <v>44776</v>
      </c>
    </row>
    <row r="6951" spans="1:10" x14ac:dyDescent="0.35">
      <c r="A6951" s="2">
        <v>44795</v>
      </c>
      <c r="B6951" s="3">
        <v>0.99763888888888896</v>
      </c>
      <c r="C6951">
        <v>6451</v>
      </c>
      <c r="D6951" t="str">
        <f>VLOOKUP(H6951,Produkt!$A$2:$B$5,2,FALSE)</f>
        <v>D</v>
      </c>
      <c r="H6951">
        <v>4</v>
      </c>
      <c r="I6951">
        <v>0.14115740740740743</v>
      </c>
      <c r="J6951">
        <v>44777</v>
      </c>
    </row>
    <row r="6952" spans="1:10" x14ac:dyDescent="0.35">
      <c r="A6952" s="2">
        <v>44795</v>
      </c>
      <c r="B6952" s="3">
        <v>0.3611111111111111</v>
      </c>
      <c r="C6952">
        <v>6472</v>
      </c>
      <c r="D6952" t="str">
        <f>VLOOKUP(H6952,Produkt!$A$2:$B$5,2,FALSE)</f>
        <v>D</v>
      </c>
      <c r="H6952">
        <v>4</v>
      </c>
      <c r="I6952">
        <v>0.33696759259259257</v>
      </c>
      <c r="J6952">
        <v>44800</v>
      </c>
    </row>
    <row r="6953" spans="1:10" x14ac:dyDescent="0.35">
      <c r="A6953" s="2">
        <v>44795</v>
      </c>
      <c r="B6953" s="3">
        <v>0.55142361111111116</v>
      </c>
      <c r="C6953">
        <v>6473</v>
      </c>
      <c r="D6953" t="str">
        <f>VLOOKUP(H6953,Produkt!$A$2:$B$5,2,FALSE)</f>
        <v>B</v>
      </c>
      <c r="H6953">
        <v>2</v>
      </c>
      <c r="I6953">
        <v>0.93104166666666666</v>
      </c>
      <c r="J6953">
        <v>44799</v>
      </c>
    </row>
    <row r="6954" spans="1:10" x14ac:dyDescent="0.35">
      <c r="A6954" s="2">
        <v>44795</v>
      </c>
      <c r="B6954" s="3">
        <v>0.49371527777777779</v>
      </c>
      <c r="C6954">
        <v>6494</v>
      </c>
      <c r="D6954" t="str">
        <f>VLOOKUP(H6954,Produkt!$A$2:$B$5,2,FALSE)</f>
        <v>A</v>
      </c>
      <c r="H6954">
        <v>1</v>
      </c>
      <c r="I6954">
        <v>0.20836805555555557</v>
      </c>
      <c r="J6954">
        <v>44785</v>
      </c>
    </row>
    <row r="6955" spans="1:10" x14ac:dyDescent="0.35">
      <c r="A6955" s="2">
        <v>44795</v>
      </c>
      <c r="B6955" s="3">
        <v>0.72146990740740735</v>
      </c>
      <c r="C6955">
        <v>6509</v>
      </c>
      <c r="D6955" t="str">
        <f>VLOOKUP(H6955,Produkt!$A$2:$B$5,2,FALSE)</f>
        <v>C</v>
      </c>
      <c r="H6955">
        <v>3</v>
      </c>
      <c r="I6955">
        <v>0.98047453703703702</v>
      </c>
      <c r="J6955">
        <v>44793</v>
      </c>
    </row>
    <row r="6956" spans="1:10" x14ac:dyDescent="0.35">
      <c r="A6956" s="2">
        <v>44795</v>
      </c>
      <c r="B6956" s="3">
        <v>0.59062500000000007</v>
      </c>
      <c r="C6956">
        <v>6562</v>
      </c>
      <c r="D6956" t="str">
        <f>VLOOKUP(H6956,Produkt!$A$2:$B$5,2,FALSE)</f>
        <v>B</v>
      </c>
      <c r="H6956">
        <v>2</v>
      </c>
      <c r="I6956">
        <v>0.60430555555555554</v>
      </c>
      <c r="J6956">
        <v>44774</v>
      </c>
    </row>
    <row r="6957" spans="1:10" x14ac:dyDescent="0.35">
      <c r="A6957" s="2">
        <v>44795</v>
      </c>
      <c r="B6957" s="3">
        <v>2.7685185185185188E-2</v>
      </c>
      <c r="C6957">
        <v>6624</v>
      </c>
      <c r="D6957" t="str">
        <f>VLOOKUP(H6957,Produkt!$A$2:$B$5,2,FALSE)</f>
        <v>A</v>
      </c>
      <c r="H6957">
        <v>1</v>
      </c>
      <c r="I6957">
        <v>0.71751157407407407</v>
      </c>
      <c r="J6957">
        <v>44793</v>
      </c>
    </row>
    <row r="6958" spans="1:10" x14ac:dyDescent="0.35">
      <c r="A6958" s="2">
        <v>44795</v>
      </c>
      <c r="B6958" s="3">
        <v>0.37269675925925921</v>
      </c>
      <c r="C6958">
        <v>6649</v>
      </c>
      <c r="D6958" t="str">
        <f>VLOOKUP(H6958,Produkt!$A$2:$B$5,2,FALSE)</f>
        <v>A</v>
      </c>
      <c r="H6958">
        <v>1</v>
      </c>
      <c r="I6958">
        <v>0.75509259259259265</v>
      </c>
      <c r="J6958">
        <v>44801</v>
      </c>
    </row>
    <row r="6959" spans="1:10" x14ac:dyDescent="0.35">
      <c r="A6959" s="2">
        <v>44795</v>
      </c>
      <c r="B6959" s="3">
        <v>2.7430555555555625E-2</v>
      </c>
      <c r="C6959">
        <v>6669</v>
      </c>
      <c r="D6959" t="str">
        <f>VLOOKUP(H6959,Produkt!$A$2:$B$5,2,FALSE)</f>
        <v>B</v>
      </c>
      <c r="H6959">
        <v>2</v>
      </c>
      <c r="I6959">
        <v>0.69480324074074085</v>
      </c>
      <c r="J6959">
        <v>44790</v>
      </c>
    </row>
    <row r="6960" spans="1:10" x14ac:dyDescent="0.35">
      <c r="A6960" s="2">
        <v>44795</v>
      </c>
      <c r="B6960" s="3">
        <v>0.42665509259259254</v>
      </c>
      <c r="C6960">
        <v>6750</v>
      </c>
      <c r="D6960" t="str">
        <f>VLOOKUP(H6960,Produkt!$A$2:$B$5,2,FALSE)</f>
        <v>B</v>
      </c>
      <c r="H6960">
        <v>2</v>
      </c>
      <c r="I6960">
        <v>0.94090277777777775</v>
      </c>
      <c r="J6960">
        <v>44799</v>
      </c>
    </row>
    <row r="6961" spans="1:10" x14ac:dyDescent="0.35">
      <c r="A6961" s="2">
        <v>44795</v>
      </c>
      <c r="B6961" s="3">
        <v>3.9432870370370368E-2</v>
      </c>
      <c r="C6961">
        <v>6763</v>
      </c>
      <c r="D6961" t="str">
        <f>VLOOKUP(H6961,Produkt!$A$2:$B$5,2,FALSE)</f>
        <v>B</v>
      </c>
      <c r="H6961">
        <v>2</v>
      </c>
      <c r="I6961">
        <v>8.5949074074074081E-2</v>
      </c>
      <c r="J6961">
        <v>44787</v>
      </c>
    </row>
    <row r="6962" spans="1:10" x14ac:dyDescent="0.35">
      <c r="A6962" s="2">
        <v>44795</v>
      </c>
      <c r="B6962" s="3">
        <v>0.40807870370370369</v>
      </c>
      <c r="C6962">
        <v>6812</v>
      </c>
      <c r="D6962" t="str">
        <f>VLOOKUP(H6962,Produkt!$A$2:$B$5,2,FALSE)</f>
        <v>B</v>
      </c>
      <c r="H6962">
        <v>2</v>
      </c>
      <c r="I6962">
        <v>0.35802083333333329</v>
      </c>
      <c r="J6962">
        <v>44778</v>
      </c>
    </row>
    <row r="6963" spans="1:10" x14ac:dyDescent="0.35">
      <c r="A6963" s="2">
        <v>44795</v>
      </c>
      <c r="B6963" s="3">
        <v>0.29479166666666667</v>
      </c>
      <c r="C6963">
        <v>6847</v>
      </c>
      <c r="D6963" t="str">
        <f>VLOOKUP(H6963,Produkt!$A$2:$B$5,2,FALSE)</f>
        <v>B</v>
      </c>
      <c r="H6963">
        <v>2</v>
      </c>
      <c r="I6963">
        <v>0.75282407407407403</v>
      </c>
      <c r="J6963">
        <v>44801</v>
      </c>
    </row>
    <row r="6964" spans="1:10" x14ac:dyDescent="0.35">
      <c r="A6964" s="2">
        <v>44795</v>
      </c>
      <c r="B6964" s="3">
        <v>0.17321759259259259</v>
      </c>
      <c r="C6964">
        <v>6859</v>
      </c>
      <c r="D6964" t="str">
        <f>VLOOKUP(H6964,Produkt!$A$2:$B$5,2,FALSE)</f>
        <v>A</v>
      </c>
      <c r="H6964">
        <v>1</v>
      </c>
      <c r="I6964">
        <v>4.7766203703703707E-2</v>
      </c>
      <c r="J6964">
        <v>44801</v>
      </c>
    </row>
    <row r="6965" spans="1:10" x14ac:dyDescent="0.35">
      <c r="A6965" s="2">
        <v>44795</v>
      </c>
      <c r="B6965" s="3">
        <v>0.2694212962962963</v>
      </c>
      <c r="C6965">
        <v>6881</v>
      </c>
      <c r="D6965" t="str">
        <f>VLOOKUP(H6965,Produkt!$A$2:$B$5,2,FALSE)</f>
        <v>C</v>
      </c>
      <c r="H6965">
        <v>3</v>
      </c>
      <c r="I6965">
        <v>0.867650462962963</v>
      </c>
      <c r="J6965">
        <v>44793</v>
      </c>
    </row>
    <row r="6966" spans="1:10" x14ac:dyDescent="0.35">
      <c r="A6966" s="2">
        <v>44795</v>
      </c>
      <c r="B6966" s="3">
        <v>0.58207175925925925</v>
      </c>
      <c r="C6966">
        <v>6934</v>
      </c>
      <c r="D6966" t="str">
        <f>VLOOKUP(H6966,Produkt!$A$2:$B$5,2,FALSE)</f>
        <v>C</v>
      </c>
      <c r="H6966">
        <v>3</v>
      </c>
      <c r="I6966">
        <v>0.7521874999999999</v>
      </c>
      <c r="J6966">
        <v>44787</v>
      </c>
    </row>
    <row r="6967" spans="1:10" x14ac:dyDescent="0.35">
      <c r="A6967" s="2">
        <v>44795</v>
      </c>
      <c r="B6967" s="3">
        <v>0.98047453703703702</v>
      </c>
      <c r="C6967">
        <v>6954</v>
      </c>
      <c r="D6967" t="str">
        <f>VLOOKUP(H6967,Produkt!$A$2:$B$5,2,FALSE)</f>
        <v>A</v>
      </c>
      <c r="H6967">
        <v>1</v>
      </c>
      <c r="I6967">
        <v>0.52555555555555555</v>
      </c>
      <c r="J6967">
        <v>44794</v>
      </c>
    </row>
    <row r="6968" spans="1:10" x14ac:dyDescent="0.35">
      <c r="A6968" s="2">
        <v>44795</v>
      </c>
      <c r="B6968" s="3">
        <v>0.86271990740740734</v>
      </c>
      <c r="C6968">
        <v>6998</v>
      </c>
      <c r="D6968" t="str">
        <f>VLOOKUP(H6968,Produkt!$A$2:$B$5,2,FALSE)</f>
        <v>B</v>
      </c>
      <c r="H6968">
        <v>2</v>
      </c>
      <c r="I6968">
        <v>0.44363425925925926</v>
      </c>
      <c r="J6968">
        <v>44790</v>
      </c>
    </row>
    <row r="6969" spans="1:10" x14ac:dyDescent="0.35">
      <c r="A6969" s="2">
        <v>44795</v>
      </c>
      <c r="B6969" s="3">
        <v>1.214120370370364E-2</v>
      </c>
      <c r="C6969">
        <v>7025</v>
      </c>
      <c r="D6969" t="str">
        <f>VLOOKUP(H6969,Produkt!$A$2:$B$5,2,FALSE)</f>
        <v>D</v>
      </c>
      <c r="H6969">
        <v>4</v>
      </c>
      <c r="I6969">
        <v>0.51288194444444446</v>
      </c>
      <c r="J6969">
        <v>44793</v>
      </c>
    </row>
    <row r="6970" spans="1:10" x14ac:dyDescent="0.35">
      <c r="A6970" s="2">
        <v>44795</v>
      </c>
      <c r="B6970" s="3">
        <v>9.4560185185186274E-3</v>
      </c>
      <c r="C6970">
        <v>7063</v>
      </c>
      <c r="D6970" t="str">
        <f>VLOOKUP(H6970,Produkt!$A$2:$B$5,2,FALSE)</f>
        <v>C</v>
      </c>
      <c r="H6970">
        <v>3</v>
      </c>
      <c r="I6970">
        <v>0.40399305555555554</v>
      </c>
      <c r="J6970">
        <v>44779</v>
      </c>
    </row>
    <row r="6971" spans="1:10" x14ac:dyDescent="0.35">
      <c r="A6971" s="2">
        <v>44795</v>
      </c>
      <c r="B6971" s="3">
        <v>0.45043981481481482</v>
      </c>
      <c r="C6971">
        <v>7116</v>
      </c>
      <c r="D6971" t="str">
        <f>VLOOKUP(H6971,Produkt!$A$2:$B$5,2,FALSE)</f>
        <v>B</v>
      </c>
      <c r="H6971">
        <v>2</v>
      </c>
      <c r="I6971">
        <v>0.60503472222222221</v>
      </c>
      <c r="J6971">
        <v>44797</v>
      </c>
    </row>
    <row r="6972" spans="1:10" x14ac:dyDescent="0.35">
      <c r="A6972" s="2">
        <v>44795</v>
      </c>
      <c r="B6972" s="3">
        <v>0.35105324074074074</v>
      </c>
      <c r="C6972">
        <v>7128</v>
      </c>
      <c r="D6972" t="str">
        <f>VLOOKUP(H6972,Produkt!$A$2:$B$5,2,FALSE)</f>
        <v>D</v>
      </c>
      <c r="H6972">
        <v>4</v>
      </c>
      <c r="I6972">
        <v>0.55442129629629633</v>
      </c>
      <c r="J6972">
        <v>44801</v>
      </c>
    </row>
    <row r="6973" spans="1:10" x14ac:dyDescent="0.35">
      <c r="A6973" s="2">
        <v>44795</v>
      </c>
      <c r="B6973" s="3">
        <v>0.79732638888888896</v>
      </c>
      <c r="C6973">
        <v>7152</v>
      </c>
      <c r="D6973" t="str">
        <f>VLOOKUP(H6973,Produkt!$A$2:$B$5,2,FALSE)</f>
        <v>D</v>
      </c>
      <c r="H6973">
        <v>4</v>
      </c>
      <c r="I6973">
        <v>0.3132638888888889</v>
      </c>
      <c r="J6973">
        <v>44790</v>
      </c>
    </row>
    <row r="6974" spans="1:10" x14ac:dyDescent="0.35">
      <c r="A6974" s="2">
        <v>44795</v>
      </c>
      <c r="B6974" s="3">
        <v>0.62241898148148145</v>
      </c>
      <c r="C6974">
        <v>7209</v>
      </c>
      <c r="D6974" t="str">
        <f>VLOOKUP(H6974,Produkt!$A$2:$B$5,2,FALSE)</f>
        <v>A</v>
      </c>
      <c r="H6974">
        <v>1</v>
      </c>
      <c r="I6974">
        <v>0.54049768518518515</v>
      </c>
      <c r="J6974">
        <v>44779</v>
      </c>
    </row>
    <row r="6975" spans="1:10" x14ac:dyDescent="0.35">
      <c r="A6975" s="2">
        <v>44795</v>
      </c>
      <c r="B6975" s="3">
        <v>0.87581018518518527</v>
      </c>
      <c r="C6975">
        <v>7250</v>
      </c>
      <c r="D6975" t="str">
        <f>VLOOKUP(H6975,Produkt!$A$2:$B$5,2,FALSE)</f>
        <v>B</v>
      </c>
      <c r="H6975">
        <v>2</v>
      </c>
      <c r="I6975">
        <v>0.84991898148148148</v>
      </c>
      <c r="J6975">
        <v>44791</v>
      </c>
    </row>
    <row r="6976" spans="1:10" x14ac:dyDescent="0.35">
      <c r="A6976" s="2">
        <v>44795</v>
      </c>
      <c r="B6976" s="3">
        <v>0.29188657407407409</v>
      </c>
      <c r="C6976">
        <v>7322</v>
      </c>
      <c r="D6976" t="str">
        <f>VLOOKUP(H6976,Produkt!$A$2:$B$5,2,FALSE)</f>
        <v>D</v>
      </c>
      <c r="H6976">
        <v>4</v>
      </c>
      <c r="I6976">
        <v>0.6060416666666667</v>
      </c>
      <c r="J6976">
        <v>44794</v>
      </c>
    </row>
    <row r="6977" spans="1:10" x14ac:dyDescent="0.35">
      <c r="A6977" s="2">
        <v>44795</v>
      </c>
      <c r="B6977" s="3">
        <v>0.51908564814814817</v>
      </c>
      <c r="C6977">
        <v>7334</v>
      </c>
      <c r="D6977" t="str">
        <f>VLOOKUP(H6977,Produkt!$A$2:$B$5,2,FALSE)</f>
        <v>C</v>
      </c>
      <c r="H6977">
        <v>3</v>
      </c>
      <c r="I6977">
        <v>2.5787037037037039E-2</v>
      </c>
      <c r="J6977">
        <v>44799</v>
      </c>
    </row>
    <row r="6978" spans="1:10" x14ac:dyDescent="0.35">
      <c r="A6978" s="2">
        <v>44795</v>
      </c>
      <c r="B6978" s="3">
        <v>0.66271990740740738</v>
      </c>
      <c r="C6978">
        <v>7411</v>
      </c>
      <c r="D6978" t="str">
        <f>VLOOKUP(H6978,Produkt!$A$2:$B$5,2,FALSE)</f>
        <v>B</v>
      </c>
      <c r="H6978">
        <v>2</v>
      </c>
      <c r="I6978">
        <v>6.6666666666666671E-3</v>
      </c>
      <c r="J6978">
        <v>44781</v>
      </c>
    </row>
    <row r="6979" spans="1:10" x14ac:dyDescent="0.35">
      <c r="A6979" s="2">
        <v>44795</v>
      </c>
      <c r="B6979" s="3">
        <v>0.88085648148148143</v>
      </c>
      <c r="C6979">
        <v>7416</v>
      </c>
      <c r="D6979" t="str">
        <f>VLOOKUP(H6979,Produkt!$A$2:$B$5,2,FALSE)</f>
        <v>B</v>
      </c>
      <c r="H6979">
        <v>2</v>
      </c>
      <c r="I6979">
        <v>0.88936342592592599</v>
      </c>
      <c r="J6979">
        <v>44798</v>
      </c>
    </row>
    <row r="6980" spans="1:10" x14ac:dyDescent="0.35">
      <c r="A6980" s="2">
        <v>44795</v>
      </c>
      <c r="B6980" s="3">
        <v>0.92718750000000005</v>
      </c>
      <c r="C6980">
        <v>7520</v>
      </c>
      <c r="D6980" t="str">
        <f>VLOOKUP(H6980,Produkt!$A$2:$B$5,2,FALSE)</f>
        <v>A</v>
      </c>
      <c r="H6980">
        <v>1</v>
      </c>
      <c r="I6980">
        <v>0.2600925925925926</v>
      </c>
      <c r="J6980">
        <v>44782</v>
      </c>
    </row>
    <row r="6981" spans="1:10" x14ac:dyDescent="0.35">
      <c r="A6981" s="2">
        <v>44795</v>
      </c>
      <c r="B6981" s="3">
        <v>2.3043981481481568E-2</v>
      </c>
      <c r="C6981">
        <v>7543</v>
      </c>
      <c r="D6981" t="str">
        <f>VLOOKUP(H6981,Produkt!$A$2:$B$5,2,FALSE)</f>
        <v>A</v>
      </c>
      <c r="H6981">
        <v>1</v>
      </c>
      <c r="I6981">
        <v>0.15461805555555555</v>
      </c>
      <c r="J6981">
        <v>44779</v>
      </c>
    </row>
    <row r="6982" spans="1:10" x14ac:dyDescent="0.35">
      <c r="A6982" s="2">
        <v>44795</v>
      </c>
      <c r="B6982" s="3">
        <v>0.73334490740740732</v>
      </c>
      <c r="C6982">
        <v>7557</v>
      </c>
      <c r="D6982" t="str">
        <f>VLOOKUP(H6982,Produkt!$A$2:$B$5,2,FALSE)</f>
        <v>D</v>
      </c>
      <c r="H6982">
        <v>4</v>
      </c>
      <c r="I6982">
        <v>0.41820601851851852</v>
      </c>
      <c r="J6982">
        <v>44798</v>
      </c>
    </row>
    <row r="6983" spans="1:10" x14ac:dyDescent="0.35">
      <c r="A6983" s="2">
        <v>44795</v>
      </c>
      <c r="B6983" s="3">
        <v>0.33459490740740744</v>
      </c>
      <c r="C6983">
        <v>7571</v>
      </c>
      <c r="D6983" t="str">
        <f>VLOOKUP(H6983,Produkt!$A$2:$B$5,2,FALSE)</f>
        <v>D</v>
      </c>
      <c r="H6983">
        <v>4</v>
      </c>
      <c r="I6983">
        <v>0.83388888888888879</v>
      </c>
      <c r="J6983">
        <v>44801</v>
      </c>
    </row>
    <row r="6984" spans="1:10" x14ac:dyDescent="0.35">
      <c r="A6984" s="2">
        <v>44795</v>
      </c>
      <c r="B6984" s="3">
        <v>0.31146990740740738</v>
      </c>
      <c r="C6984">
        <v>7596</v>
      </c>
      <c r="D6984" t="str">
        <f>VLOOKUP(H6984,Produkt!$A$2:$B$5,2,FALSE)</f>
        <v>C</v>
      </c>
      <c r="H6984">
        <v>3</v>
      </c>
      <c r="I6984">
        <v>0.83195601851851853</v>
      </c>
      <c r="J6984">
        <v>44777</v>
      </c>
    </row>
    <row r="6985" spans="1:10" x14ac:dyDescent="0.35">
      <c r="A6985" s="2">
        <v>44795</v>
      </c>
      <c r="B6985" s="3">
        <v>0.91263888888888889</v>
      </c>
      <c r="C6985">
        <v>7628</v>
      </c>
      <c r="D6985" t="str">
        <f>VLOOKUP(H6985,Produkt!$A$2:$B$5,2,FALSE)</f>
        <v>A</v>
      </c>
      <c r="H6985">
        <v>1</v>
      </c>
      <c r="I6985">
        <v>0.13060185185185186</v>
      </c>
      <c r="J6985">
        <v>44796</v>
      </c>
    </row>
    <row r="6986" spans="1:10" x14ac:dyDescent="0.35">
      <c r="A6986" s="2">
        <v>44795</v>
      </c>
      <c r="B6986" s="3">
        <v>0.99458333333333337</v>
      </c>
      <c r="C6986">
        <v>7670</v>
      </c>
      <c r="D6986" t="str">
        <f>VLOOKUP(H6986,Produkt!$A$2:$B$5,2,FALSE)</f>
        <v>D</v>
      </c>
      <c r="H6986">
        <v>4</v>
      </c>
      <c r="I6986">
        <v>0.48850694444444448</v>
      </c>
      <c r="J6986">
        <v>44776</v>
      </c>
    </row>
    <row r="6987" spans="1:10" x14ac:dyDescent="0.35">
      <c r="A6987" s="2">
        <v>44795</v>
      </c>
      <c r="B6987" s="3">
        <v>0.63221064814814809</v>
      </c>
      <c r="C6987">
        <v>7682</v>
      </c>
      <c r="D6987" t="str">
        <f>VLOOKUP(H6987,Produkt!$A$2:$B$5,2,FALSE)</f>
        <v>C</v>
      </c>
      <c r="H6987">
        <v>3</v>
      </c>
      <c r="I6987">
        <v>0.76902777777777775</v>
      </c>
      <c r="J6987">
        <v>44779</v>
      </c>
    </row>
    <row r="6988" spans="1:10" x14ac:dyDescent="0.35">
      <c r="A6988" s="2">
        <v>44795</v>
      </c>
      <c r="B6988" s="3">
        <v>1.2719907407407407E-2</v>
      </c>
      <c r="C6988">
        <v>7699</v>
      </c>
      <c r="D6988" t="str">
        <f>VLOOKUP(H6988,Produkt!$A$2:$B$5,2,FALSE)</f>
        <v>D</v>
      </c>
      <c r="H6988">
        <v>4</v>
      </c>
      <c r="I6988">
        <v>0.11168981481481481</v>
      </c>
      <c r="J6988">
        <v>44796</v>
      </c>
    </row>
    <row r="6989" spans="1:10" x14ac:dyDescent="0.35">
      <c r="A6989" s="2">
        <v>44795</v>
      </c>
      <c r="B6989" s="3">
        <v>0.66079861111111116</v>
      </c>
      <c r="C6989">
        <v>7719</v>
      </c>
      <c r="D6989" t="str">
        <f>VLOOKUP(H6989,Produkt!$A$2:$B$5,2,FALSE)</f>
        <v>D</v>
      </c>
      <c r="H6989">
        <v>4</v>
      </c>
      <c r="I6989">
        <v>0.8803009259259259</v>
      </c>
      <c r="J6989">
        <v>44788</v>
      </c>
    </row>
    <row r="6990" spans="1:10" x14ac:dyDescent="0.35">
      <c r="A6990" s="2">
        <v>44795</v>
      </c>
      <c r="B6990" s="3">
        <v>0.73796296296296304</v>
      </c>
      <c r="C6990">
        <v>7742</v>
      </c>
      <c r="D6990" t="str">
        <f>VLOOKUP(H6990,Produkt!$A$2:$B$5,2,FALSE)</f>
        <v>A</v>
      </c>
      <c r="H6990">
        <v>1</v>
      </c>
      <c r="I6990">
        <v>0.57549768518518518</v>
      </c>
      <c r="J6990">
        <v>44780</v>
      </c>
    </row>
    <row r="6991" spans="1:10" x14ac:dyDescent="0.35">
      <c r="A6991" s="2">
        <v>44795</v>
      </c>
      <c r="B6991" s="3">
        <v>0.9916666666666667</v>
      </c>
      <c r="C6991">
        <v>7743</v>
      </c>
      <c r="D6991" t="str">
        <f>VLOOKUP(H6991,Produkt!$A$2:$B$5,2,FALSE)</f>
        <v>C</v>
      </c>
      <c r="H6991">
        <v>3</v>
      </c>
      <c r="I6991">
        <v>0.34567129629629628</v>
      </c>
      <c r="J6991">
        <v>44794</v>
      </c>
    </row>
    <row r="6992" spans="1:10" x14ac:dyDescent="0.35">
      <c r="A6992" s="2">
        <v>44795</v>
      </c>
      <c r="B6992" s="3">
        <v>0.82549768518518529</v>
      </c>
      <c r="C6992">
        <v>7804</v>
      </c>
      <c r="D6992" t="str">
        <f>VLOOKUP(H6992,Produkt!$A$2:$B$5,2,FALSE)</f>
        <v>B</v>
      </c>
      <c r="H6992">
        <v>2</v>
      </c>
      <c r="I6992">
        <v>0.56486111111111115</v>
      </c>
      <c r="J6992">
        <v>44796</v>
      </c>
    </row>
    <row r="6993" spans="1:10" x14ac:dyDescent="0.35">
      <c r="A6993" s="2">
        <v>44795</v>
      </c>
      <c r="B6993" s="3">
        <v>0.92177083333333332</v>
      </c>
      <c r="C6993">
        <v>7955</v>
      </c>
      <c r="D6993" t="str">
        <f>VLOOKUP(H6993,Produkt!$A$2:$B$5,2,FALSE)</f>
        <v>C</v>
      </c>
      <c r="H6993">
        <v>3</v>
      </c>
      <c r="I6993">
        <v>1.6342592592592631E-2</v>
      </c>
      <c r="J6993">
        <v>44780</v>
      </c>
    </row>
    <row r="6994" spans="1:10" x14ac:dyDescent="0.35">
      <c r="A6994" s="2">
        <v>44795</v>
      </c>
      <c r="B6994" s="3">
        <v>0.79353009259259266</v>
      </c>
      <c r="C6994">
        <v>7964</v>
      </c>
      <c r="D6994" t="str">
        <f>VLOOKUP(H6994,Produkt!$A$2:$B$5,2,FALSE)</f>
        <v>B</v>
      </c>
      <c r="H6994">
        <v>2</v>
      </c>
      <c r="I6994">
        <v>2.8067129629629626E-2</v>
      </c>
      <c r="J6994">
        <v>44779</v>
      </c>
    </row>
    <row r="6995" spans="1:10" x14ac:dyDescent="0.35">
      <c r="A6995" s="2">
        <v>44795</v>
      </c>
      <c r="B6995" s="3">
        <v>5.7523148148148628E-3</v>
      </c>
      <c r="C6995">
        <v>8033</v>
      </c>
      <c r="D6995" t="str">
        <f>VLOOKUP(H6995,Produkt!$A$2:$B$5,2,FALSE)</f>
        <v>D</v>
      </c>
      <c r="H6995">
        <v>4</v>
      </c>
      <c r="I6995">
        <v>3.3101851851851848E-2</v>
      </c>
      <c r="J6995">
        <v>44785</v>
      </c>
    </row>
    <row r="6996" spans="1:10" x14ac:dyDescent="0.35">
      <c r="A6996" s="2">
        <v>44795</v>
      </c>
      <c r="B6996" s="3">
        <v>0.88701388888888888</v>
      </c>
      <c r="C6996">
        <v>8037</v>
      </c>
      <c r="D6996" t="str">
        <f>VLOOKUP(H6996,Produkt!$A$2:$B$5,2,FALSE)</f>
        <v>B</v>
      </c>
      <c r="H6996">
        <v>2</v>
      </c>
      <c r="I6996">
        <v>0.66526620370370371</v>
      </c>
      <c r="J6996">
        <v>44801</v>
      </c>
    </row>
    <row r="6997" spans="1:10" x14ac:dyDescent="0.35">
      <c r="A6997" s="2">
        <v>44795</v>
      </c>
      <c r="B6997" s="3">
        <v>0.64187499999999997</v>
      </c>
      <c r="C6997">
        <v>8185</v>
      </c>
      <c r="D6997" t="str">
        <f>VLOOKUP(H6997,Produkt!$A$2:$B$5,2,FALSE)</f>
        <v>B</v>
      </c>
      <c r="H6997">
        <v>2</v>
      </c>
      <c r="I6997">
        <v>0.42583333333333334</v>
      </c>
      <c r="J6997">
        <v>44784</v>
      </c>
    </row>
    <row r="6998" spans="1:10" x14ac:dyDescent="0.35">
      <c r="A6998" s="2">
        <v>44795</v>
      </c>
      <c r="B6998" s="3">
        <v>2.327546296296296E-2</v>
      </c>
      <c r="C6998">
        <v>8190</v>
      </c>
      <c r="D6998" t="str">
        <f>VLOOKUP(H6998,Produkt!$A$2:$B$5,2,FALSE)</f>
        <v>D</v>
      </c>
      <c r="H6998">
        <v>4</v>
      </c>
      <c r="I6998">
        <v>0.92064814814814822</v>
      </c>
      <c r="J6998">
        <v>44789</v>
      </c>
    </row>
    <row r="6999" spans="1:10" x14ac:dyDescent="0.35">
      <c r="A6999" s="2">
        <v>44795</v>
      </c>
      <c r="B6999" s="3">
        <v>0.74123842592592604</v>
      </c>
      <c r="C6999">
        <v>8191</v>
      </c>
      <c r="D6999" t="str">
        <f>VLOOKUP(H6999,Produkt!$A$2:$B$5,2,FALSE)</f>
        <v>C</v>
      </c>
      <c r="H6999">
        <v>3</v>
      </c>
      <c r="I6999">
        <v>0.86271990740740734</v>
      </c>
      <c r="J6999">
        <v>44775</v>
      </c>
    </row>
    <row r="7000" spans="1:10" x14ac:dyDescent="0.35">
      <c r="A7000" s="2">
        <v>44795</v>
      </c>
      <c r="B7000" s="3">
        <v>2.8402777777777777E-2</v>
      </c>
      <c r="C7000">
        <v>8195</v>
      </c>
      <c r="D7000" t="str">
        <f>VLOOKUP(H7000,Produkt!$A$2:$B$5,2,FALSE)</f>
        <v>D</v>
      </c>
      <c r="H7000">
        <v>4</v>
      </c>
      <c r="I7000">
        <v>0.3140162037037037</v>
      </c>
      <c r="J7000">
        <v>44790</v>
      </c>
    </row>
    <row r="7001" spans="1:10" x14ac:dyDescent="0.35">
      <c r="A7001" s="2">
        <v>44795</v>
      </c>
      <c r="B7001" s="3">
        <v>0.58871527777777777</v>
      </c>
      <c r="C7001">
        <v>8246</v>
      </c>
      <c r="D7001" t="str">
        <f>VLOOKUP(H7001,Produkt!$A$2:$B$5,2,FALSE)</f>
        <v>C</v>
      </c>
      <c r="H7001">
        <v>3</v>
      </c>
      <c r="I7001">
        <v>7.5266203703703696E-2</v>
      </c>
      <c r="J7001">
        <v>44800</v>
      </c>
    </row>
    <row r="7002" spans="1:10" x14ac:dyDescent="0.35">
      <c r="A7002" s="2">
        <v>44795</v>
      </c>
      <c r="B7002" s="3">
        <v>2.9895833333333455E-2</v>
      </c>
      <c r="C7002">
        <v>8250</v>
      </c>
      <c r="D7002" t="str">
        <f>VLOOKUP(H7002,Produkt!$A$2:$B$5,2,FALSE)</f>
        <v>A</v>
      </c>
      <c r="H7002">
        <v>1</v>
      </c>
      <c r="I7002">
        <v>0.36594907407407407</v>
      </c>
      <c r="J7002">
        <v>44800</v>
      </c>
    </row>
    <row r="7003" spans="1:10" x14ac:dyDescent="0.35">
      <c r="A7003" s="2">
        <v>44795</v>
      </c>
      <c r="B7003" s="3">
        <v>7.4201388888888886E-2</v>
      </c>
      <c r="C7003">
        <v>8360</v>
      </c>
      <c r="D7003" t="str">
        <f>VLOOKUP(H7003,Produkt!$A$2:$B$5,2,FALSE)</f>
        <v>A</v>
      </c>
      <c r="H7003">
        <v>1</v>
      </c>
      <c r="I7003">
        <v>0.42207175925925927</v>
      </c>
      <c r="J7003">
        <v>44783</v>
      </c>
    </row>
    <row r="7004" spans="1:10" x14ac:dyDescent="0.35">
      <c r="A7004" s="2">
        <v>44795</v>
      </c>
      <c r="B7004" s="3">
        <v>0.18168981481481483</v>
      </c>
      <c r="C7004">
        <v>8374</v>
      </c>
      <c r="D7004" t="str">
        <f>VLOOKUP(H7004,Produkt!$A$2:$B$5,2,FALSE)</f>
        <v>C</v>
      </c>
      <c r="H7004">
        <v>3</v>
      </c>
      <c r="I7004">
        <v>0.66434027777777771</v>
      </c>
      <c r="J7004">
        <v>44783</v>
      </c>
    </row>
    <row r="7005" spans="1:10" x14ac:dyDescent="0.35">
      <c r="A7005" s="2">
        <v>44795</v>
      </c>
      <c r="B7005" s="3">
        <v>0.43775462962962958</v>
      </c>
      <c r="C7005">
        <v>8385</v>
      </c>
      <c r="D7005" t="str">
        <f>VLOOKUP(H7005,Produkt!$A$2:$B$5,2,FALSE)</f>
        <v>C</v>
      </c>
      <c r="H7005">
        <v>3</v>
      </c>
      <c r="I7005">
        <v>0.26859953703703704</v>
      </c>
      <c r="J7005">
        <v>44793</v>
      </c>
    </row>
    <row r="7006" spans="1:10" x14ac:dyDescent="0.35">
      <c r="A7006" s="2">
        <v>44795</v>
      </c>
      <c r="B7006" s="3">
        <v>0.60685185185185186</v>
      </c>
      <c r="C7006">
        <v>8403</v>
      </c>
      <c r="D7006" t="str">
        <f>VLOOKUP(H7006,Produkt!$A$2:$B$5,2,FALSE)</f>
        <v>A</v>
      </c>
      <c r="H7006">
        <v>1</v>
      </c>
      <c r="I7006">
        <v>0.25107638888888889</v>
      </c>
      <c r="J7006">
        <v>44802</v>
      </c>
    </row>
    <row r="7007" spans="1:10" x14ac:dyDescent="0.35">
      <c r="A7007" s="2">
        <v>44795</v>
      </c>
      <c r="B7007" s="3">
        <v>0.66538194444444443</v>
      </c>
      <c r="C7007">
        <v>8437</v>
      </c>
      <c r="D7007" t="str">
        <f>VLOOKUP(H7007,Produkt!$A$2:$B$5,2,FALSE)</f>
        <v>A</v>
      </c>
      <c r="H7007">
        <v>1</v>
      </c>
      <c r="I7007">
        <v>0.83741898148148142</v>
      </c>
      <c r="J7007">
        <v>44792</v>
      </c>
    </row>
    <row r="7008" spans="1:10" x14ac:dyDescent="0.35">
      <c r="A7008" s="2">
        <v>44795</v>
      </c>
      <c r="B7008" s="3">
        <v>0.17069444444444445</v>
      </c>
      <c r="C7008">
        <v>8465</v>
      </c>
      <c r="D7008" t="str">
        <f>VLOOKUP(H7008,Produkt!$A$2:$B$5,2,FALSE)</f>
        <v>C</v>
      </c>
      <c r="H7008">
        <v>3</v>
      </c>
      <c r="I7008">
        <v>0.19998842592592592</v>
      </c>
      <c r="J7008">
        <v>44787</v>
      </c>
    </row>
    <row r="7009" spans="1:10" x14ac:dyDescent="0.35">
      <c r="A7009" s="2">
        <v>44795</v>
      </c>
      <c r="B7009" s="3">
        <v>0.88232638888888892</v>
      </c>
      <c r="C7009">
        <v>8505</v>
      </c>
      <c r="D7009" t="str">
        <f>VLOOKUP(H7009,Produkt!$A$2:$B$5,2,FALSE)</f>
        <v>A</v>
      </c>
      <c r="H7009">
        <v>1</v>
      </c>
      <c r="I7009">
        <v>0.70491898148148147</v>
      </c>
      <c r="J7009">
        <v>44785</v>
      </c>
    </row>
    <row r="7010" spans="1:10" x14ac:dyDescent="0.35">
      <c r="A7010" s="2">
        <v>44795</v>
      </c>
      <c r="B7010" s="3">
        <v>0.72233796296296304</v>
      </c>
      <c r="C7010">
        <v>8519</v>
      </c>
      <c r="D7010" t="str">
        <f>VLOOKUP(H7010,Produkt!$A$2:$B$5,2,FALSE)</f>
        <v>D</v>
      </c>
      <c r="H7010">
        <v>4</v>
      </c>
      <c r="I7010">
        <v>0.84841435185185177</v>
      </c>
      <c r="J7010">
        <v>44795</v>
      </c>
    </row>
    <row r="7011" spans="1:10" x14ac:dyDescent="0.35">
      <c r="A7011" s="2">
        <v>44795</v>
      </c>
      <c r="B7011" s="3">
        <v>0.51466435185185189</v>
      </c>
      <c r="C7011">
        <v>8571</v>
      </c>
      <c r="D7011" t="str">
        <f>VLOOKUP(H7011,Produkt!$A$2:$B$5,2,FALSE)</f>
        <v>D</v>
      </c>
      <c r="H7011">
        <v>4</v>
      </c>
      <c r="I7011">
        <v>5.5520833333333332E-2</v>
      </c>
      <c r="J7011">
        <v>44800</v>
      </c>
    </row>
    <row r="7012" spans="1:10" x14ac:dyDescent="0.35">
      <c r="A7012" s="2">
        <v>44795</v>
      </c>
      <c r="B7012" s="3">
        <v>6.2800925925925927E-2</v>
      </c>
      <c r="C7012">
        <v>8583</v>
      </c>
      <c r="D7012" t="str">
        <f>VLOOKUP(H7012,Produkt!$A$2:$B$5,2,FALSE)</f>
        <v>A</v>
      </c>
      <c r="H7012">
        <v>1</v>
      </c>
      <c r="I7012">
        <v>0.11741898148148149</v>
      </c>
      <c r="J7012">
        <v>44803</v>
      </c>
    </row>
    <row r="7013" spans="1:10" x14ac:dyDescent="0.35">
      <c r="A7013" s="2">
        <v>44795</v>
      </c>
      <c r="B7013" s="3">
        <v>0.48616898148148152</v>
      </c>
      <c r="C7013">
        <v>8649</v>
      </c>
      <c r="D7013" t="str">
        <f>VLOOKUP(H7013,Produkt!$A$2:$B$5,2,FALSE)</f>
        <v>D</v>
      </c>
      <c r="H7013">
        <v>4</v>
      </c>
      <c r="I7013">
        <v>0.51981481481481484</v>
      </c>
      <c r="J7013">
        <v>44788</v>
      </c>
    </row>
    <row r="7014" spans="1:10" x14ac:dyDescent="0.35">
      <c r="A7014" s="2">
        <v>44795</v>
      </c>
      <c r="B7014" s="3">
        <v>0.10932870370370369</v>
      </c>
      <c r="C7014">
        <v>8652</v>
      </c>
      <c r="D7014" t="str">
        <f>VLOOKUP(H7014,Produkt!$A$2:$B$5,2,FALSE)</f>
        <v>C</v>
      </c>
      <c r="H7014">
        <v>3</v>
      </c>
      <c r="I7014">
        <v>0.11232638888888889</v>
      </c>
      <c r="J7014">
        <v>44778</v>
      </c>
    </row>
    <row r="7015" spans="1:10" x14ac:dyDescent="0.35">
      <c r="A7015" s="2">
        <v>44795</v>
      </c>
      <c r="B7015" s="3">
        <v>0.30741898148148145</v>
      </c>
      <c r="C7015">
        <v>8660</v>
      </c>
      <c r="D7015" t="str">
        <f>VLOOKUP(H7015,Produkt!$A$2:$B$5,2,FALSE)</f>
        <v>D</v>
      </c>
      <c r="H7015">
        <v>4</v>
      </c>
      <c r="I7015">
        <v>0.76421296296296293</v>
      </c>
      <c r="J7015">
        <v>44782</v>
      </c>
    </row>
    <row r="7016" spans="1:10" x14ac:dyDescent="0.35">
      <c r="A7016" s="2">
        <v>44795</v>
      </c>
      <c r="B7016" s="3">
        <v>0.93234953703703705</v>
      </c>
      <c r="C7016">
        <v>8706</v>
      </c>
      <c r="D7016" t="str">
        <f>VLOOKUP(H7016,Produkt!$A$2:$B$5,2,FALSE)</f>
        <v>D</v>
      </c>
      <c r="H7016">
        <v>4</v>
      </c>
      <c r="I7016">
        <v>0.54526620370370371</v>
      </c>
      <c r="J7016">
        <v>44792</v>
      </c>
    </row>
    <row r="7017" spans="1:10" x14ac:dyDescent="0.35">
      <c r="A7017" s="2">
        <v>44795</v>
      </c>
      <c r="B7017" s="3">
        <v>0.5394444444444445</v>
      </c>
      <c r="C7017">
        <v>8735</v>
      </c>
      <c r="D7017" t="str">
        <f>VLOOKUP(H7017,Produkt!$A$2:$B$5,2,FALSE)</f>
        <v>C</v>
      </c>
      <c r="H7017">
        <v>3</v>
      </c>
      <c r="I7017">
        <v>0.60417824074074067</v>
      </c>
      <c r="J7017">
        <v>44789</v>
      </c>
    </row>
    <row r="7018" spans="1:10" x14ac:dyDescent="0.35">
      <c r="A7018" s="2">
        <v>44795</v>
      </c>
      <c r="B7018" s="3">
        <v>2.2164351851851852E-2</v>
      </c>
      <c r="C7018">
        <v>8757</v>
      </c>
      <c r="D7018" t="str">
        <f>VLOOKUP(H7018,Produkt!$A$2:$B$5,2,FALSE)</f>
        <v>B</v>
      </c>
      <c r="H7018">
        <v>2</v>
      </c>
      <c r="I7018">
        <v>0.9541087962962963</v>
      </c>
      <c r="J7018">
        <v>44784</v>
      </c>
    </row>
    <row r="7019" spans="1:10" x14ac:dyDescent="0.35">
      <c r="A7019" s="2">
        <v>44795</v>
      </c>
      <c r="B7019" s="3">
        <v>0.84706018518518522</v>
      </c>
      <c r="C7019">
        <v>8780</v>
      </c>
      <c r="D7019" t="str">
        <f>VLOOKUP(H7019,Produkt!$A$2:$B$5,2,FALSE)</f>
        <v>B</v>
      </c>
      <c r="H7019">
        <v>2</v>
      </c>
      <c r="I7019">
        <v>1.2974537037037036E-2</v>
      </c>
      <c r="J7019">
        <v>44780</v>
      </c>
    </row>
    <row r="7020" spans="1:10" x14ac:dyDescent="0.35">
      <c r="A7020" s="2">
        <v>44795</v>
      </c>
      <c r="B7020" s="3">
        <v>0.29814814814814816</v>
      </c>
      <c r="C7020">
        <v>8790</v>
      </c>
      <c r="D7020" t="str">
        <f>VLOOKUP(H7020,Produkt!$A$2:$B$5,2,FALSE)</f>
        <v>B</v>
      </c>
      <c r="H7020">
        <v>2</v>
      </c>
      <c r="I7020">
        <v>0.75788194444444434</v>
      </c>
      <c r="J7020">
        <v>44801</v>
      </c>
    </row>
    <row r="7021" spans="1:10" x14ac:dyDescent="0.35">
      <c r="A7021" s="2">
        <v>44795</v>
      </c>
      <c r="B7021" s="3">
        <v>0.58488425925925924</v>
      </c>
      <c r="C7021">
        <v>8973</v>
      </c>
      <c r="D7021" t="str">
        <f>VLOOKUP(H7021,Produkt!$A$2:$B$5,2,FALSE)</f>
        <v>C</v>
      </c>
      <c r="H7021">
        <v>3</v>
      </c>
      <c r="I7021">
        <v>0.57034722222222223</v>
      </c>
      <c r="J7021">
        <v>44803</v>
      </c>
    </row>
    <row r="7022" spans="1:10" x14ac:dyDescent="0.35">
      <c r="A7022" s="2">
        <v>44795</v>
      </c>
      <c r="B7022" s="3">
        <v>0.98453703703703699</v>
      </c>
      <c r="C7022">
        <v>8975</v>
      </c>
      <c r="D7022" t="str">
        <f>VLOOKUP(H7022,Produkt!$A$2:$B$5,2,FALSE)</f>
        <v>D</v>
      </c>
      <c r="H7022">
        <v>4</v>
      </c>
      <c r="I7022">
        <v>0.36762731481481481</v>
      </c>
      <c r="J7022">
        <v>44784</v>
      </c>
    </row>
    <row r="7023" spans="1:10" x14ac:dyDescent="0.35">
      <c r="A7023" s="2">
        <v>44795</v>
      </c>
      <c r="B7023" s="3">
        <v>0.34180555555555553</v>
      </c>
      <c r="C7023">
        <v>9003</v>
      </c>
      <c r="D7023" t="str">
        <f>VLOOKUP(H7023,Produkt!$A$2:$B$5,2,FALSE)</f>
        <v>D</v>
      </c>
      <c r="H7023">
        <v>4</v>
      </c>
      <c r="I7023">
        <v>1.1111111111111072E-2</v>
      </c>
      <c r="J7023">
        <v>44798</v>
      </c>
    </row>
    <row r="7024" spans="1:10" x14ac:dyDescent="0.35">
      <c r="A7024" s="2">
        <v>44795</v>
      </c>
      <c r="B7024" s="3">
        <v>0.40489583333333329</v>
      </c>
      <c r="C7024">
        <v>9089</v>
      </c>
      <c r="D7024" t="str">
        <f>VLOOKUP(H7024,Produkt!$A$2:$B$5,2,FALSE)</f>
        <v>B</v>
      </c>
      <c r="H7024">
        <v>2</v>
      </c>
      <c r="I7024">
        <v>0.36423611111111115</v>
      </c>
      <c r="J7024">
        <v>44781</v>
      </c>
    </row>
    <row r="7025" spans="1:10" x14ac:dyDescent="0.35">
      <c r="A7025" s="2">
        <v>44795</v>
      </c>
      <c r="B7025" s="3">
        <v>0.34134259259259259</v>
      </c>
      <c r="C7025">
        <v>9117</v>
      </c>
      <c r="D7025" t="str">
        <f>VLOOKUP(H7025,Produkt!$A$2:$B$5,2,FALSE)</f>
        <v>D</v>
      </c>
      <c r="H7025">
        <v>4</v>
      </c>
      <c r="I7025">
        <v>1.1481481481481483E-2</v>
      </c>
      <c r="J7025">
        <v>44784</v>
      </c>
    </row>
    <row r="7026" spans="1:10" x14ac:dyDescent="0.35">
      <c r="A7026" s="2">
        <v>44795</v>
      </c>
      <c r="B7026" s="3">
        <v>0.53230324074074076</v>
      </c>
      <c r="C7026">
        <v>9155</v>
      </c>
      <c r="D7026" t="str">
        <f>VLOOKUP(H7026,Produkt!$A$2:$B$5,2,FALSE)</f>
        <v>B</v>
      </c>
      <c r="H7026">
        <v>2</v>
      </c>
      <c r="I7026">
        <v>1.214120370370364E-2</v>
      </c>
      <c r="J7026">
        <v>44784</v>
      </c>
    </row>
    <row r="7027" spans="1:10" x14ac:dyDescent="0.35">
      <c r="A7027" s="2">
        <v>44795</v>
      </c>
      <c r="B7027" s="3">
        <v>0.59777777777777785</v>
      </c>
      <c r="C7027">
        <v>9169</v>
      </c>
      <c r="D7027" t="str">
        <f>VLOOKUP(H7027,Produkt!$A$2:$B$5,2,FALSE)</f>
        <v>A</v>
      </c>
      <c r="H7027">
        <v>1</v>
      </c>
      <c r="I7027">
        <v>0.8998032407407407</v>
      </c>
      <c r="J7027">
        <v>44799</v>
      </c>
    </row>
    <row r="7028" spans="1:10" x14ac:dyDescent="0.35">
      <c r="A7028" s="2">
        <v>44795</v>
      </c>
      <c r="B7028" s="3">
        <v>0.84295138888888888</v>
      </c>
      <c r="C7028">
        <v>9182</v>
      </c>
      <c r="D7028" t="str">
        <f>VLOOKUP(H7028,Produkt!$A$2:$B$5,2,FALSE)</f>
        <v>C</v>
      </c>
      <c r="H7028">
        <v>3</v>
      </c>
      <c r="I7028">
        <v>0.86206018518518512</v>
      </c>
      <c r="J7028">
        <v>44791</v>
      </c>
    </row>
    <row r="7029" spans="1:10" x14ac:dyDescent="0.35">
      <c r="A7029" s="2">
        <v>44795</v>
      </c>
      <c r="B7029" s="3">
        <v>0.56413194444444448</v>
      </c>
      <c r="C7029">
        <v>9250</v>
      </c>
      <c r="D7029" t="str">
        <f>VLOOKUP(H7029,Produkt!$A$2:$B$5,2,FALSE)</f>
        <v>A</v>
      </c>
      <c r="H7029">
        <v>1</v>
      </c>
      <c r="I7029">
        <v>0.89802083333333327</v>
      </c>
      <c r="J7029">
        <v>44782</v>
      </c>
    </row>
    <row r="7030" spans="1:10" x14ac:dyDescent="0.35">
      <c r="A7030" s="2">
        <v>44795</v>
      </c>
      <c r="B7030" s="3">
        <v>0.31907407407407407</v>
      </c>
      <c r="C7030">
        <v>9258</v>
      </c>
      <c r="D7030" t="str">
        <f>VLOOKUP(H7030,Produkt!$A$2:$B$5,2,FALSE)</f>
        <v>B</v>
      </c>
      <c r="H7030">
        <v>2</v>
      </c>
      <c r="I7030">
        <v>0.70429398148148137</v>
      </c>
      <c r="J7030">
        <v>44790</v>
      </c>
    </row>
    <row r="7031" spans="1:10" x14ac:dyDescent="0.35">
      <c r="A7031" s="2">
        <v>44795</v>
      </c>
      <c r="B7031" s="3">
        <v>0.84513888888888899</v>
      </c>
      <c r="C7031">
        <v>9285</v>
      </c>
      <c r="D7031" t="str">
        <f>VLOOKUP(H7031,Produkt!$A$2:$B$5,2,FALSE)</f>
        <v>D</v>
      </c>
      <c r="H7031">
        <v>4</v>
      </c>
      <c r="I7031">
        <v>0.59582175925925929</v>
      </c>
      <c r="J7031">
        <v>44775</v>
      </c>
    </row>
    <row r="7032" spans="1:10" x14ac:dyDescent="0.35">
      <c r="A7032" s="2">
        <v>44795</v>
      </c>
      <c r="B7032" s="3">
        <v>0.15622685185185184</v>
      </c>
      <c r="C7032">
        <v>9311</v>
      </c>
      <c r="D7032" t="str">
        <f>VLOOKUP(H7032,Produkt!$A$2:$B$5,2,FALSE)</f>
        <v>A</v>
      </c>
      <c r="H7032">
        <v>1</v>
      </c>
      <c r="I7032">
        <v>0.27097222222222223</v>
      </c>
      <c r="J7032">
        <v>44804</v>
      </c>
    </row>
    <row r="7033" spans="1:10" x14ac:dyDescent="0.35">
      <c r="A7033" s="2">
        <v>44795</v>
      </c>
      <c r="B7033" s="3">
        <v>0.15009259259259258</v>
      </c>
      <c r="C7033">
        <v>9317</v>
      </c>
      <c r="D7033" t="str">
        <f>VLOOKUP(H7033,Produkt!$A$2:$B$5,2,FALSE)</f>
        <v>A</v>
      </c>
      <c r="H7033">
        <v>1</v>
      </c>
      <c r="I7033">
        <v>0.54574074074074075</v>
      </c>
      <c r="J7033">
        <v>44774</v>
      </c>
    </row>
    <row r="7034" spans="1:10" x14ac:dyDescent="0.35">
      <c r="A7034" s="2">
        <v>44795</v>
      </c>
      <c r="B7034" s="3">
        <v>0.3167476851851852</v>
      </c>
      <c r="C7034">
        <v>9326</v>
      </c>
      <c r="D7034" t="str">
        <f>VLOOKUP(H7034,Produkt!$A$2:$B$5,2,FALSE)</f>
        <v>C</v>
      </c>
      <c r="H7034">
        <v>3</v>
      </c>
      <c r="I7034">
        <v>3.9328703703703782E-2</v>
      </c>
      <c r="J7034">
        <v>44803</v>
      </c>
    </row>
    <row r="7035" spans="1:10" x14ac:dyDescent="0.35">
      <c r="A7035" s="2">
        <v>44795</v>
      </c>
      <c r="B7035" s="3">
        <v>0.74534722222222216</v>
      </c>
      <c r="C7035">
        <v>9333</v>
      </c>
      <c r="D7035" t="str">
        <f>VLOOKUP(H7035,Produkt!$A$2:$B$5,2,FALSE)</f>
        <v>C</v>
      </c>
      <c r="H7035">
        <v>3</v>
      </c>
      <c r="I7035">
        <v>0.28753472222222221</v>
      </c>
      <c r="J7035">
        <v>44781</v>
      </c>
    </row>
    <row r="7036" spans="1:10" x14ac:dyDescent="0.35">
      <c r="A7036" s="2">
        <v>44795</v>
      </c>
      <c r="B7036" s="3">
        <v>0.28469907407407408</v>
      </c>
      <c r="C7036">
        <v>9439</v>
      </c>
      <c r="D7036" t="str">
        <f>VLOOKUP(H7036,Produkt!$A$2:$B$5,2,FALSE)</f>
        <v>B</v>
      </c>
      <c r="H7036">
        <v>2</v>
      </c>
      <c r="I7036">
        <v>0.90803240740740743</v>
      </c>
      <c r="J7036">
        <v>44801</v>
      </c>
    </row>
    <row r="7037" spans="1:10" x14ac:dyDescent="0.35">
      <c r="A7037" s="2">
        <v>44795</v>
      </c>
      <c r="B7037" s="3">
        <v>0.46388888888888885</v>
      </c>
      <c r="C7037">
        <v>9484</v>
      </c>
      <c r="D7037" t="str">
        <f>VLOOKUP(H7037,Produkt!$A$2:$B$5,2,FALSE)</f>
        <v>B</v>
      </c>
      <c r="H7037">
        <v>2</v>
      </c>
      <c r="I7037">
        <v>0.89133101851851848</v>
      </c>
      <c r="J7037">
        <v>44781</v>
      </c>
    </row>
    <row r="7038" spans="1:10" x14ac:dyDescent="0.35">
      <c r="A7038" s="2">
        <v>44795</v>
      </c>
      <c r="B7038" s="3">
        <v>0.94739583333333333</v>
      </c>
      <c r="C7038">
        <v>9572</v>
      </c>
      <c r="D7038" t="str">
        <f>VLOOKUP(H7038,Produkt!$A$2:$B$5,2,FALSE)</f>
        <v>B</v>
      </c>
      <c r="H7038">
        <v>2</v>
      </c>
      <c r="I7038">
        <v>0.34077546296296296</v>
      </c>
      <c r="J7038">
        <v>44790</v>
      </c>
    </row>
    <row r="7039" spans="1:10" x14ac:dyDescent="0.35">
      <c r="A7039" s="2">
        <v>44795</v>
      </c>
      <c r="B7039" s="3">
        <v>0.15813657407407408</v>
      </c>
      <c r="C7039">
        <v>9599</v>
      </c>
      <c r="D7039" t="str">
        <f>VLOOKUP(H7039,Produkt!$A$2:$B$5,2,FALSE)</f>
        <v>C</v>
      </c>
      <c r="H7039">
        <v>3</v>
      </c>
      <c r="I7039">
        <v>0.57604166666666667</v>
      </c>
      <c r="J7039">
        <v>44785</v>
      </c>
    </row>
    <row r="7040" spans="1:10" x14ac:dyDescent="0.35">
      <c r="A7040" s="2">
        <v>44795</v>
      </c>
      <c r="B7040" s="3">
        <v>0.36096064814814816</v>
      </c>
      <c r="C7040">
        <v>9708</v>
      </c>
      <c r="D7040" t="str">
        <f>VLOOKUP(H7040,Produkt!$A$2:$B$5,2,FALSE)</f>
        <v>D</v>
      </c>
      <c r="H7040">
        <v>4</v>
      </c>
      <c r="I7040">
        <v>0.24417824074074077</v>
      </c>
      <c r="J7040">
        <v>44788</v>
      </c>
    </row>
    <row r="7041" spans="1:10" x14ac:dyDescent="0.35">
      <c r="A7041" s="2">
        <v>44795</v>
      </c>
      <c r="B7041" s="3">
        <v>0.57793981481481482</v>
      </c>
      <c r="C7041">
        <v>9723</v>
      </c>
      <c r="D7041" t="str">
        <f>VLOOKUP(H7041,Produkt!$A$2:$B$5,2,FALSE)</f>
        <v>A</v>
      </c>
      <c r="H7041">
        <v>1</v>
      </c>
      <c r="I7041">
        <v>0.15774305555555554</v>
      </c>
      <c r="J7041">
        <v>44794</v>
      </c>
    </row>
    <row r="7042" spans="1:10" x14ac:dyDescent="0.35">
      <c r="A7042" s="2">
        <v>44795</v>
      </c>
      <c r="B7042" s="3">
        <v>0.29620370370370369</v>
      </c>
      <c r="C7042">
        <v>9751</v>
      </c>
      <c r="D7042" t="str">
        <f>VLOOKUP(H7042,Produkt!$A$2:$B$5,2,FALSE)</f>
        <v>C</v>
      </c>
      <c r="H7042">
        <v>3</v>
      </c>
      <c r="I7042">
        <v>0.2590277777777778</v>
      </c>
      <c r="J7042">
        <v>44789</v>
      </c>
    </row>
    <row r="7043" spans="1:10" x14ac:dyDescent="0.35">
      <c r="A7043" s="2">
        <v>44795</v>
      </c>
      <c r="B7043" s="3">
        <v>0.18466435185185184</v>
      </c>
      <c r="C7043">
        <v>9763</v>
      </c>
      <c r="D7043" t="str">
        <f>VLOOKUP(H7043,Produkt!$A$2:$B$5,2,FALSE)</f>
        <v>D</v>
      </c>
      <c r="H7043">
        <v>4</v>
      </c>
      <c r="I7043">
        <v>0.21018518518518517</v>
      </c>
      <c r="J7043">
        <v>44801</v>
      </c>
    </row>
    <row r="7044" spans="1:10" x14ac:dyDescent="0.35">
      <c r="A7044" s="2">
        <v>44795</v>
      </c>
      <c r="B7044" s="3">
        <v>7.149305555555556E-2</v>
      </c>
      <c r="C7044">
        <v>9765</v>
      </c>
      <c r="D7044" t="str">
        <f>VLOOKUP(H7044,Produkt!$A$2:$B$5,2,FALSE)</f>
        <v>B</v>
      </c>
      <c r="H7044">
        <v>2</v>
      </c>
      <c r="I7044">
        <v>0.82767361111111104</v>
      </c>
      <c r="J7044">
        <v>44783</v>
      </c>
    </row>
    <row r="7045" spans="1:10" x14ac:dyDescent="0.35">
      <c r="A7045" s="2">
        <v>44795</v>
      </c>
      <c r="B7045" s="3">
        <v>4.6296296296296302E-3</v>
      </c>
      <c r="C7045">
        <v>9778</v>
      </c>
      <c r="D7045" t="str">
        <f>VLOOKUP(H7045,Produkt!$A$2:$B$5,2,FALSE)</f>
        <v>B</v>
      </c>
      <c r="H7045">
        <v>2</v>
      </c>
      <c r="I7045">
        <v>0.46015046296296297</v>
      </c>
      <c r="J7045">
        <v>44788</v>
      </c>
    </row>
    <row r="7046" spans="1:10" x14ac:dyDescent="0.35">
      <c r="A7046" s="2">
        <v>44795</v>
      </c>
      <c r="B7046" s="3">
        <v>0.4072453703703704</v>
      </c>
      <c r="C7046">
        <v>9786</v>
      </c>
      <c r="D7046" t="str">
        <f>VLOOKUP(H7046,Produkt!$A$2:$B$5,2,FALSE)</f>
        <v>D</v>
      </c>
      <c r="H7046">
        <v>4</v>
      </c>
      <c r="I7046">
        <v>0.63223379629629628</v>
      </c>
      <c r="J7046">
        <v>44783</v>
      </c>
    </row>
    <row r="7047" spans="1:10" x14ac:dyDescent="0.35">
      <c r="A7047" s="2">
        <v>44795</v>
      </c>
      <c r="B7047" s="3">
        <v>2.0833333333333259E-2</v>
      </c>
      <c r="C7047">
        <v>9789</v>
      </c>
      <c r="D7047" t="str">
        <f>VLOOKUP(H7047,Produkt!$A$2:$B$5,2,FALSE)</f>
        <v>B</v>
      </c>
      <c r="H7047">
        <v>2</v>
      </c>
      <c r="I7047">
        <v>0.58015046296296291</v>
      </c>
      <c r="J7047">
        <v>44794</v>
      </c>
    </row>
    <row r="7048" spans="1:10" x14ac:dyDescent="0.35">
      <c r="A7048" s="2">
        <v>44795</v>
      </c>
      <c r="B7048" s="3">
        <v>0.46968750000000004</v>
      </c>
      <c r="C7048">
        <v>9806</v>
      </c>
      <c r="D7048" t="str">
        <f>VLOOKUP(H7048,Produkt!$A$2:$B$5,2,FALSE)</f>
        <v>C</v>
      </c>
      <c r="H7048">
        <v>3</v>
      </c>
      <c r="I7048">
        <v>0.82015046296296301</v>
      </c>
      <c r="J7048">
        <v>44804</v>
      </c>
    </row>
    <row r="7049" spans="1:10" x14ac:dyDescent="0.35">
      <c r="A7049" s="2">
        <v>44795</v>
      </c>
      <c r="B7049" s="3">
        <v>0.44453703703703701</v>
      </c>
      <c r="C7049">
        <v>9846</v>
      </c>
      <c r="D7049" t="str">
        <f>VLOOKUP(H7049,Produkt!$A$2:$B$5,2,FALSE)</f>
        <v>D</v>
      </c>
      <c r="H7049">
        <v>4</v>
      </c>
      <c r="I7049">
        <v>0.28734953703703703</v>
      </c>
      <c r="J7049">
        <v>44799</v>
      </c>
    </row>
    <row r="7050" spans="1:10" x14ac:dyDescent="0.35">
      <c r="A7050" s="2">
        <v>44795</v>
      </c>
      <c r="B7050" s="3">
        <v>0.73008101851851848</v>
      </c>
      <c r="C7050">
        <v>9931</v>
      </c>
      <c r="D7050" t="str">
        <f>VLOOKUP(H7050,Produkt!$A$2:$B$5,2,FALSE)</f>
        <v>A</v>
      </c>
      <c r="H7050">
        <v>1</v>
      </c>
      <c r="I7050">
        <v>0.7098726851851852</v>
      </c>
      <c r="J7050">
        <v>44797</v>
      </c>
    </row>
    <row r="7051" spans="1:10" x14ac:dyDescent="0.35">
      <c r="A7051" s="2">
        <v>44795</v>
      </c>
      <c r="B7051" s="3">
        <v>0.19093749999999998</v>
      </c>
      <c r="C7051">
        <v>9959</v>
      </c>
      <c r="D7051" t="str">
        <f>VLOOKUP(H7051,Produkt!$A$2:$B$5,2,FALSE)</f>
        <v>B</v>
      </c>
      <c r="H7051">
        <v>2</v>
      </c>
      <c r="I7051">
        <v>0.33958333333333335</v>
      </c>
      <c r="J7051">
        <v>44798</v>
      </c>
    </row>
    <row r="7052" spans="1:10" x14ac:dyDescent="0.35">
      <c r="A7052" s="2">
        <v>44795</v>
      </c>
      <c r="B7052" s="3">
        <v>0.94048611111111102</v>
      </c>
      <c r="C7052">
        <v>9971</v>
      </c>
      <c r="D7052" t="str">
        <f>VLOOKUP(H7052,Produkt!$A$2:$B$5,2,FALSE)</f>
        <v>D</v>
      </c>
      <c r="H7052">
        <v>4</v>
      </c>
      <c r="I7052">
        <v>0.27315972222222223</v>
      </c>
      <c r="J7052">
        <v>44786</v>
      </c>
    </row>
    <row r="7053" spans="1:10" x14ac:dyDescent="0.35">
      <c r="A7053" s="2">
        <v>44796</v>
      </c>
      <c r="B7053" s="3">
        <v>0.47733796296296299</v>
      </c>
      <c r="C7053">
        <v>11</v>
      </c>
      <c r="D7053" t="str">
        <f>VLOOKUP(H7053,Produkt!$A$2:$B$5,2,FALSE)</f>
        <v>C</v>
      </c>
      <c r="H7053">
        <v>3</v>
      </c>
      <c r="I7053">
        <v>0.26682870370370371</v>
      </c>
      <c r="J7053">
        <v>44784</v>
      </c>
    </row>
    <row r="7054" spans="1:10" x14ac:dyDescent="0.35">
      <c r="A7054" s="2">
        <v>44796</v>
      </c>
      <c r="B7054" s="3">
        <v>0.65015046296296297</v>
      </c>
      <c r="C7054">
        <v>46</v>
      </c>
      <c r="D7054" t="str">
        <f>VLOOKUP(H7054,Produkt!$A$2:$B$5,2,FALSE)</f>
        <v>C</v>
      </c>
      <c r="H7054">
        <v>3</v>
      </c>
      <c r="I7054">
        <v>0.74887731481481479</v>
      </c>
      <c r="J7054">
        <v>44787</v>
      </c>
    </row>
    <row r="7055" spans="1:10" x14ac:dyDescent="0.35">
      <c r="A7055" s="2">
        <v>44796</v>
      </c>
      <c r="B7055" s="3">
        <v>0.31793981481481481</v>
      </c>
      <c r="C7055">
        <v>64</v>
      </c>
      <c r="D7055" t="str">
        <f>VLOOKUP(H7055,Produkt!$A$2:$B$5,2,FALSE)</f>
        <v>A</v>
      </c>
      <c r="H7055">
        <v>1</v>
      </c>
      <c r="I7055">
        <v>0.57942129629629624</v>
      </c>
      <c r="J7055">
        <v>44793</v>
      </c>
    </row>
    <row r="7056" spans="1:10" x14ac:dyDescent="0.35">
      <c r="A7056" s="2">
        <v>44796</v>
      </c>
      <c r="B7056" s="3">
        <v>0.46322916666666664</v>
      </c>
      <c r="C7056">
        <v>72</v>
      </c>
      <c r="D7056" t="str">
        <f>VLOOKUP(H7056,Produkt!$A$2:$B$5,2,FALSE)</f>
        <v>B</v>
      </c>
      <c r="H7056">
        <v>2</v>
      </c>
      <c r="I7056">
        <v>0.38512731481481483</v>
      </c>
      <c r="J7056">
        <v>44795</v>
      </c>
    </row>
    <row r="7057" spans="1:10" x14ac:dyDescent="0.35">
      <c r="A7057" s="2">
        <v>44796</v>
      </c>
      <c r="B7057" s="3">
        <v>7.0821759259259265E-2</v>
      </c>
      <c r="C7057">
        <v>91</v>
      </c>
      <c r="D7057" t="str">
        <f>VLOOKUP(H7057,Produkt!$A$2:$B$5,2,FALSE)</f>
        <v>A</v>
      </c>
      <c r="H7057">
        <v>1</v>
      </c>
      <c r="I7057">
        <v>0.15497685185185187</v>
      </c>
      <c r="J7057">
        <v>44790</v>
      </c>
    </row>
    <row r="7058" spans="1:10" x14ac:dyDescent="0.35">
      <c r="A7058" s="2">
        <v>44796</v>
      </c>
      <c r="B7058" s="3">
        <v>0.43484953703703705</v>
      </c>
      <c r="C7058">
        <v>253</v>
      </c>
      <c r="D7058" t="str">
        <f>VLOOKUP(H7058,Produkt!$A$2:$B$5,2,FALSE)</f>
        <v>C</v>
      </c>
      <c r="H7058">
        <v>3</v>
      </c>
      <c r="I7058">
        <v>0.50762731481481482</v>
      </c>
      <c r="J7058">
        <v>44796</v>
      </c>
    </row>
    <row r="7059" spans="1:10" x14ac:dyDescent="0.35">
      <c r="A7059" s="2">
        <v>44796</v>
      </c>
      <c r="B7059" s="3">
        <v>0.57113425925925931</v>
      </c>
      <c r="C7059">
        <v>254</v>
      </c>
      <c r="D7059" t="str">
        <f>VLOOKUP(H7059,Produkt!$A$2:$B$5,2,FALSE)</f>
        <v>D</v>
      </c>
      <c r="H7059">
        <v>4</v>
      </c>
      <c r="I7059">
        <v>0.78298611111111116</v>
      </c>
      <c r="J7059">
        <v>44797</v>
      </c>
    </row>
    <row r="7060" spans="1:10" x14ac:dyDescent="0.35">
      <c r="A7060" s="2">
        <v>44796</v>
      </c>
      <c r="B7060" s="3">
        <v>0.50329861111111118</v>
      </c>
      <c r="C7060">
        <v>278</v>
      </c>
      <c r="D7060" t="str">
        <f>VLOOKUP(H7060,Produkt!$A$2:$B$5,2,FALSE)</f>
        <v>B</v>
      </c>
      <c r="H7060">
        <v>2</v>
      </c>
      <c r="I7060">
        <v>9.734953703703704E-2</v>
      </c>
      <c r="J7060">
        <v>44804</v>
      </c>
    </row>
    <row r="7061" spans="1:10" x14ac:dyDescent="0.35">
      <c r="A7061" s="2">
        <v>44796</v>
      </c>
      <c r="B7061" s="3">
        <v>0.76503472222222213</v>
      </c>
      <c r="C7061">
        <v>284</v>
      </c>
      <c r="D7061" t="str">
        <f>VLOOKUP(H7061,Produkt!$A$2:$B$5,2,FALSE)</f>
        <v>D</v>
      </c>
      <c r="H7061">
        <v>4</v>
      </c>
      <c r="I7061">
        <v>0.22350694444444444</v>
      </c>
      <c r="J7061">
        <v>44783</v>
      </c>
    </row>
    <row r="7062" spans="1:10" x14ac:dyDescent="0.35">
      <c r="A7062" s="2">
        <v>44796</v>
      </c>
      <c r="B7062" s="3">
        <v>2.6284722222222223E-2</v>
      </c>
      <c r="C7062">
        <v>298</v>
      </c>
      <c r="D7062" t="str">
        <f>VLOOKUP(H7062,Produkt!$A$2:$B$5,2,FALSE)</f>
        <v>D</v>
      </c>
      <c r="H7062">
        <v>4</v>
      </c>
      <c r="I7062">
        <v>0.62489583333333332</v>
      </c>
      <c r="J7062">
        <v>44780</v>
      </c>
    </row>
    <row r="7063" spans="1:10" x14ac:dyDescent="0.35">
      <c r="A7063" s="2">
        <v>44796</v>
      </c>
      <c r="B7063" s="3">
        <v>0.66420138888888891</v>
      </c>
      <c r="C7063">
        <v>317</v>
      </c>
      <c r="D7063" t="str">
        <f>VLOOKUP(H7063,Produkt!$A$2:$B$5,2,FALSE)</f>
        <v>B</v>
      </c>
      <c r="H7063">
        <v>2</v>
      </c>
      <c r="I7063">
        <v>0.30857638888888889</v>
      </c>
      <c r="J7063">
        <v>44776</v>
      </c>
    </row>
    <row r="7064" spans="1:10" x14ac:dyDescent="0.35">
      <c r="A7064" s="2">
        <v>44796</v>
      </c>
      <c r="B7064" s="3">
        <v>2.9282407407407406E-2</v>
      </c>
      <c r="C7064">
        <v>364</v>
      </c>
      <c r="D7064" t="str">
        <f>VLOOKUP(H7064,Produkt!$A$2:$B$5,2,FALSE)</f>
        <v>A</v>
      </c>
      <c r="H7064">
        <v>1</v>
      </c>
      <c r="I7064">
        <v>9.4560185185186274E-3</v>
      </c>
      <c r="J7064">
        <v>44804</v>
      </c>
    </row>
    <row r="7065" spans="1:10" x14ac:dyDescent="0.35">
      <c r="A7065" s="2">
        <v>44796</v>
      </c>
      <c r="B7065" s="3">
        <v>0.21965277777777778</v>
      </c>
      <c r="C7065">
        <v>383</v>
      </c>
      <c r="D7065" t="str">
        <f>VLOOKUP(H7065,Produkt!$A$2:$B$5,2,FALSE)</f>
        <v>B</v>
      </c>
      <c r="H7065">
        <v>2</v>
      </c>
      <c r="I7065">
        <v>0.62410879629629623</v>
      </c>
      <c r="J7065">
        <v>44797</v>
      </c>
    </row>
    <row r="7066" spans="1:10" x14ac:dyDescent="0.35">
      <c r="A7066" s="2">
        <v>44796</v>
      </c>
      <c r="B7066" s="3">
        <v>0.28762731481481479</v>
      </c>
      <c r="C7066">
        <v>388</v>
      </c>
      <c r="D7066" t="str">
        <f>VLOOKUP(H7066,Produkt!$A$2:$B$5,2,FALSE)</f>
        <v>B</v>
      </c>
      <c r="H7066">
        <v>2</v>
      </c>
      <c r="I7066">
        <v>0.46572916666666669</v>
      </c>
      <c r="J7066">
        <v>44793</v>
      </c>
    </row>
    <row r="7067" spans="1:10" x14ac:dyDescent="0.35">
      <c r="A7067" s="2">
        <v>44796</v>
      </c>
      <c r="B7067" s="3">
        <v>0.2940625</v>
      </c>
      <c r="C7067">
        <v>390</v>
      </c>
      <c r="D7067" t="str">
        <f>VLOOKUP(H7067,Produkt!$A$2:$B$5,2,FALSE)</f>
        <v>C</v>
      </c>
      <c r="H7067">
        <v>3</v>
      </c>
      <c r="I7067">
        <v>0.89530092592592592</v>
      </c>
      <c r="J7067">
        <v>44802</v>
      </c>
    </row>
    <row r="7068" spans="1:10" x14ac:dyDescent="0.35">
      <c r="A7068" s="2">
        <v>44796</v>
      </c>
      <c r="B7068" s="3">
        <v>0.53754629629629636</v>
      </c>
      <c r="C7068">
        <v>417</v>
      </c>
      <c r="D7068" t="str">
        <f>VLOOKUP(H7068,Produkt!$A$2:$B$5,2,FALSE)</f>
        <v>A</v>
      </c>
      <c r="H7068">
        <v>1</v>
      </c>
      <c r="I7068">
        <v>0.59782407407407401</v>
      </c>
      <c r="J7068">
        <v>44782</v>
      </c>
    </row>
    <row r="7069" spans="1:10" x14ac:dyDescent="0.35">
      <c r="A7069" s="2">
        <v>44796</v>
      </c>
      <c r="B7069" s="3">
        <v>0.43292824074074071</v>
      </c>
      <c r="C7069">
        <v>424</v>
      </c>
      <c r="D7069" t="str">
        <f>VLOOKUP(H7069,Produkt!$A$2:$B$5,2,FALSE)</f>
        <v>D</v>
      </c>
      <c r="H7069">
        <v>4</v>
      </c>
      <c r="I7069">
        <v>0.29096064814814815</v>
      </c>
      <c r="J7069">
        <v>44795</v>
      </c>
    </row>
    <row r="7070" spans="1:10" x14ac:dyDescent="0.35">
      <c r="A7070" s="2">
        <v>44796</v>
      </c>
      <c r="B7070" s="3">
        <v>0.15851851851851853</v>
      </c>
      <c r="C7070">
        <v>480</v>
      </c>
      <c r="D7070" t="str">
        <f>VLOOKUP(H7070,Produkt!$A$2:$B$5,2,FALSE)</f>
        <v>B</v>
      </c>
      <c r="H7070">
        <v>2</v>
      </c>
      <c r="I7070">
        <v>0.75979166666666664</v>
      </c>
      <c r="J7070">
        <v>44775</v>
      </c>
    </row>
    <row r="7071" spans="1:10" x14ac:dyDescent="0.35">
      <c r="A7071" s="2">
        <v>44796</v>
      </c>
      <c r="B7071" s="3">
        <v>0.62361111111111112</v>
      </c>
      <c r="C7071">
        <v>504</v>
      </c>
      <c r="D7071" t="str">
        <f>VLOOKUP(H7071,Produkt!$A$2:$B$5,2,FALSE)</f>
        <v>B</v>
      </c>
      <c r="H7071">
        <v>2</v>
      </c>
      <c r="I7071">
        <v>0.88677083333333329</v>
      </c>
      <c r="J7071">
        <v>44793</v>
      </c>
    </row>
    <row r="7072" spans="1:10" x14ac:dyDescent="0.35">
      <c r="A7072" s="2">
        <v>44796</v>
      </c>
      <c r="B7072" s="3">
        <v>0.15042824074074074</v>
      </c>
      <c r="C7072">
        <v>520</v>
      </c>
      <c r="D7072" t="str">
        <f>VLOOKUP(H7072,Produkt!$A$2:$B$5,2,FALSE)</f>
        <v>D</v>
      </c>
      <c r="H7072">
        <v>4</v>
      </c>
      <c r="I7072">
        <v>0.88253472222222218</v>
      </c>
      <c r="J7072">
        <v>44802</v>
      </c>
    </row>
    <row r="7073" spans="1:10" x14ac:dyDescent="0.35">
      <c r="A7073" s="2">
        <v>44796</v>
      </c>
      <c r="B7073" s="3">
        <v>0.41623842592592591</v>
      </c>
      <c r="C7073">
        <v>534</v>
      </c>
      <c r="D7073" t="str">
        <f>VLOOKUP(H7073,Produkt!$A$2:$B$5,2,FALSE)</f>
        <v>A</v>
      </c>
      <c r="H7073">
        <v>1</v>
      </c>
      <c r="I7073">
        <v>0.19324074074074074</v>
      </c>
      <c r="J7073">
        <v>44790</v>
      </c>
    </row>
    <row r="7074" spans="1:10" x14ac:dyDescent="0.35">
      <c r="A7074" s="2">
        <v>44796</v>
      </c>
      <c r="B7074" s="3">
        <v>0.59817129629629628</v>
      </c>
      <c r="C7074">
        <v>540</v>
      </c>
      <c r="D7074" t="str">
        <f>VLOOKUP(H7074,Produkt!$A$2:$B$5,2,FALSE)</f>
        <v>D</v>
      </c>
      <c r="H7074">
        <v>4</v>
      </c>
      <c r="I7074">
        <v>0.95327546296296306</v>
      </c>
      <c r="J7074">
        <v>44784</v>
      </c>
    </row>
    <row r="7075" spans="1:10" x14ac:dyDescent="0.35">
      <c r="A7075" s="2">
        <v>44796</v>
      </c>
      <c r="B7075" s="3">
        <v>0.42872685185185189</v>
      </c>
      <c r="C7075">
        <v>573</v>
      </c>
      <c r="D7075" t="str">
        <f>VLOOKUP(H7075,Produkt!$A$2:$B$5,2,FALSE)</f>
        <v>C</v>
      </c>
      <c r="H7075">
        <v>3</v>
      </c>
      <c r="I7075">
        <v>2.2488425925925926E-2</v>
      </c>
      <c r="J7075">
        <v>44804</v>
      </c>
    </row>
    <row r="7076" spans="1:10" x14ac:dyDescent="0.35">
      <c r="A7076" s="2">
        <v>44796</v>
      </c>
      <c r="B7076" s="3">
        <v>0.62961805555555561</v>
      </c>
      <c r="C7076">
        <v>595</v>
      </c>
      <c r="D7076" t="str">
        <f>VLOOKUP(H7076,Produkt!$A$2:$B$5,2,FALSE)</f>
        <v>B</v>
      </c>
      <c r="H7076">
        <v>2</v>
      </c>
      <c r="I7076">
        <v>0.42043981481481479</v>
      </c>
      <c r="J7076">
        <v>44792</v>
      </c>
    </row>
    <row r="7077" spans="1:10" x14ac:dyDescent="0.35">
      <c r="A7077" s="2">
        <v>44796</v>
      </c>
      <c r="B7077" s="3">
        <v>3.9074074074074039E-2</v>
      </c>
      <c r="C7077">
        <v>608</v>
      </c>
      <c r="D7077" t="str">
        <f>VLOOKUP(H7077,Produkt!$A$2:$B$5,2,FALSE)</f>
        <v>D</v>
      </c>
      <c r="H7077">
        <v>4</v>
      </c>
      <c r="I7077">
        <v>0.4425115740740741</v>
      </c>
      <c r="J7077">
        <v>44781</v>
      </c>
    </row>
    <row r="7078" spans="1:10" x14ac:dyDescent="0.35">
      <c r="A7078" s="2">
        <v>44796</v>
      </c>
      <c r="B7078" s="3">
        <v>0.20421296296296299</v>
      </c>
      <c r="C7078">
        <v>633</v>
      </c>
      <c r="D7078" t="str">
        <f>VLOOKUP(H7078,Produkt!$A$2:$B$5,2,FALSE)</f>
        <v>A</v>
      </c>
      <c r="H7078">
        <v>1</v>
      </c>
      <c r="I7078">
        <v>0.83018518518518514</v>
      </c>
      <c r="J7078">
        <v>44802</v>
      </c>
    </row>
    <row r="7079" spans="1:10" x14ac:dyDescent="0.35">
      <c r="A7079" s="2">
        <v>44796</v>
      </c>
      <c r="B7079" s="3">
        <v>0.72646990740740736</v>
      </c>
      <c r="C7079">
        <v>649</v>
      </c>
      <c r="D7079" t="str">
        <f>VLOOKUP(H7079,Produkt!$A$2:$B$5,2,FALSE)</f>
        <v>D</v>
      </c>
      <c r="H7079">
        <v>4</v>
      </c>
      <c r="I7079">
        <v>0.64414351851851859</v>
      </c>
      <c r="J7079">
        <v>44774</v>
      </c>
    </row>
    <row r="7080" spans="1:10" x14ac:dyDescent="0.35">
      <c r="A7080" s="2">
        <v>44796</v>
      </c>
      <c r="B7080" s="3">
        <v>0.42937500000000001</v>
      </c>
      <c r="C7080">
        <v>681</v>
      </c>
      <c r="D7080" t="str">
        <f>VLOOKUP(H7080,Produkt!$A$2:$B$5,2,FALSE)</f>
        <v>B</v>
      </c>
      <c r="H7080">
        <v>2</v>
      </c>
      <c r="I7080">
        <v>0.74886574074074075</v>
      </c>
      <c r="J7080">
        <v>44801</v>
      </c>
    </row>
    <row r="7081" spans="1:10" x14ac:dyDescent="0.35">
      <c r="A7081" s="2">
        <v>44796</v>
      </c>
      <c r="B7081" s="3">
        <v>0.90071759259259254</v>
      </c>
      <c r="C7081">
        <v>686</v>
      </c>
      <c r="D7081" t="str">
        <f>VLOOKUP(H7081,Produkt!$A$2:$B$5,2,FALSE)</f>
        <v>B</v>
      </c>
      <c r="H7081">
        <v>2</v>
      </c>
      <c r="I7081">
        <v>0.85244212962962962</v>
      </c>
      <c r="J7081">
        <v>44777</v>
      </c>
    </row>
    <row r="7082" spans="1:10" x14ac:dyDescent="0.35">
      <c r="A7082" s="2">
        <v>44796</v>
      </c>
      <c r="B7082" s="3">
        <v>0.63526620370370368</v>
      </c>
      <c r="C7082">
        <v>692</v>
      </c>
      <c r="D7082" t="str">
        <f>VLOOKUP(H7082,Produkt!$A$2:$B$5,2,FALSE)</f>
        <v>A</v>
      </c>
      <c r="H7082">
        <v>1</v>
      </c>
      <c r="I7082">
        <v>0.35030092592592593</v>
      </c>
      <c r="J7082">
        <v>44781</v>
      </c>
    </row>
    <row r="7083" spans="1:10" x14ac:dyDescent="0.35">
      <c r="A7083" s="2">
        <v>44796</v>
      </c>
      <c r="B7083" s="3">
        <v>0.10380787037037037</v>
      </c>
      <c r="C7083">
        <v>728</v>
      </c>
      <c r="D7083" t="str">
        <f>VLOOKUP(H7083,Produkt!$A$2:$B$5,2,FALSE)</f>
        <v>C</v>
      </c>
      <c r="H7083">
        <v>3</v>
      </c>
      <c r="I7083">
        <v>0.75343749999999998</v>
      </c>
      <c r="J7083">
        <v>44798</v>
      </c>
    </row>
    <row r="7084" spans="1:10" x14ac:dyDescent="0.35">
      <c r="A7084" s="2">
        <v>44796</v>
      </c>
      <c r="B7084" s="3">
        <v>0.33802083333333338</v>
      </c>
      <c r="C7084">
        <v>775</v>
      </c>
      <c r="D7084" t="str">
        <f>VLOOKUP(H7084,Produkt!$A$2:$B$5,2,FALSE)</f>
        <v>B</v>
      </c>
      <c r="H7084">
        <v>2</v>
      </c>
      <c r="I7084">
        <v>0.41555555555555551</v>
      </c>
      <c r="J7084">
        <v>44790</v>
      </c>
    </row>
    <row r="7085" spans="1:10" x14ac:dyDescent="0.35">
      <c r="A7085" s="2">
        <v>44796</v>
      </c>
      <c r="B7085" s="3">
        <v>2.3611111111112582E-3</v>
      </c>
      <c r="C7085">
        <v>784</v>
      </c>
      <c r="D7085" t="str">
        <f>VLOOKUP(H7085,Produkt!$A$2:$B$5,2,FALSE)</f>
        <v>A</v>
      </c>
      <c r="H7085">
        <v>1</v>
      </c>
      <c r="I7085">
        <v>0.67462962962962969</v>
      </c>
      <c r="J7085">
        <v>44799</v>
      </c>
    </row>
    <row r="7086" spans="1:10" x14ac:dyDescent="0.35">
      <c r="A7086" s="2">
        <v>44796</v>
      </c>
      <c r="B7086" s="3">
        <v>0.62627314814814816</v>
      </c>
      <c r="C7086">
        <v>803</v>
      </c>
      <c r="D7086" t="str">
        <f>VLOOKUP(H7086,Produkt!$A$2:$B$5,2,FALSE)</f>
        <v>D</v>
      </c>
      <c r="H7086">
        <v>4</v>
      </c>
      <c r="I7086">
        <v>0.82388888888888889</v>
      </c>
      <c r="J7086">
        <v>44800</v>
      </c>
    </row>
    <row r="7087" spans="1:10" x14ac:dyDescent="0.35">
      <c r="A7087" s="2">
        <v>44796</v>
      </c>
      <c r="B7087" s="3">
        <v>0.28167824074074072</v>
      </c>
      <c r="C7087">
        <v>807</v>
      </c>
      <c r="D7087" t="str">
        <f>VLOOKUP(H7087,Produkt!$A$2:$B$5,2,FALSE)</f>
        <v>B</v>
      </c>
      <c r="H7087">
        <v>2</v>
      </c>
      <c r="I7087">
        <v>9.4432870370370361E-2</v>
      </c>
      <c r="J7087">
        <v>44789</v>
      </c>
    </row>
    <row r="7088" spans="1:10" x14ac:dyDescent="0.35">
      <c r="A7088" s="2">
        <v>44796</v>
      </c>
      <c r="B7088" s="3">
        <v>6.2650462962962963E-2</v>
      </c>
      <c r="C7088">
        <v>815</v>
      </c>
      <c r="D7088" t="str">
        <f>VLOOKUP(H7088,Produkt!$A$2:$B$5,2,FALSE)</f>
        <v>B</v>
      </c>
      <c r="H7088">
        <v>2</v>
      </c>
      <c r="I7088">
        <v>0.23314814814814813</v>
      </c>
      <c r="J7088">
        <v>44799</v>
      </c>
    </row>
    <row r="7089" spans="1:10" x14ac:dyDescent="0.35">
      <c r="A7089" s="2">
        <v>44796</v>
      </c>
      <c r="B7089" s="3">
        <v>0.22708333333333333</v>
      </c>
      <c r="C7089">
        <v>839</v>
      </c>
      <c r="D7089" t="str">
        <f>VLOOKUP(H7089,Produkt!$A$2:$B$5,2,FALSE)</f>
        <v>A</v>
      </c>
      <c r="H7089">
        <v>1</v>
      </c>
      <c r="I7089">
        <v>7.3055555555555554E-2</v>
      </c>
      <c r="J7089">
        <v>44779</v>
      </c>
    </row>
    <row r="7090" spans="1:10" x14ac:dyDescent="0.35">
      <c r="A7090" s="2">
        <v>44796</v>
      </c>
      <c r="B7090" s="3">
        <v>0.77755787037037039</v>
      </c>
      <c r="C7090">
        <v>959</v>
      </c>
      <c r="D7090" t="str">
        <f>VLOOKUP(H7090,Produkt!$A$2:$B$5,2,FALSE)</f>
        <v>C</v>
      </c>
      <c r="H7090">
        <v>3</v>
      </c>
      <c r="I7090">
        <v>0.86512731481481486</v>
      </c>
      <c r="J7090">
        <v>44802</v>
      </c>
    </row>
    <row r="7091" spans="1:10" x14ac:dyDescent="0.35">
      <c r="A7091" s="2">
        <v>44796</v>
      </c>
      <c r="B7091" s="3">
        <v>0.46934027777777776</v>
      </c>
      <c r="C7091">
        <v>987</v>
      </c>
      <c r="D7091" t="str">
        <f>VLOOKUP(H7091,Produkt!$A$2:$B$5,2,FALSE)</f>
        <v>A</v>
      </c>
      <c r="H7091">
        <v>1</v>
      </c>
      <c r="I7091">
        <v>0.42150462962962965</v>
      </c>
      <c r="J7091">
        <v>44803</v>
      </c>
    </row>
    <row r="7092" spans="1:10" x14ac:dyDescent="0.35">
      <c r="A7092" s="2">
        <v>44796</v>
      </c>
      <c r="B7092" s="3">
        <v>3.3043981481481487E-2</v>
      </c>
      <c r="C7092">
        <v>995</v>
      </c>
      <c r="D7092" t="str">
        <f>VLOOKUP(H7092,Produkt!$A$2:$B$5,2,FALSE)</f>
        <v>B</v>
      </c>
      <c r="H7092">
        <v>2</v>
      </c>
      <c r="I7092">
        <v>0.61140046296296291</v>
      </c>
      <c r="J7092">
        <v>44799</v>
      </c>
    </row>
    <row r="7093" spans="1:10" x14ac:dyDescent="0.35">
      <c r="A7093" s="2">
        <v>44796</v>
      </c>
      <c r="B7093" s="3">
        <v>0.41921296296296301</v>
      </c>
      <c r="C7093">
        <v>998</v>
      </c>
      <c r="D7093" t="str">
        <f>VLOOKUP(H7093,Produkt!$A$2:$B$5,2,FALSE)</f>
        <v>D</v>
      </c>
      <c r="H7093">
        <v>4</v>
      </c>
      <c r="I7093">
        <v>0.88653935185185195</v>
      </c>
      <c r="J7093">
        <v>44774</v>
      </c>
    </row>
    <row r="7094" spans="1:10" x14ac:dyDescent="0.35">
      <c r="A7094" s="2">
        <v>44796</v>
      </c>
      <c r="B7094" s="3">
        <v>0.69374999999999998</v>
      </c>
      <c r="C7094">
        <v>1002</v>
      </c>
      <c r="D7094" t="str">
        <f>VLOOKUP(H7094,Produkt!$A$2:$B$5,2,FALSE)</f>
        <v>B</v>
      </c>
      <c r="H7094">
        <v>2</v>
      </c>
      <c r="I7094">
        <v>0.34412037037037035</v>
      </c>
      <c r="J7094">
        <v>44803</v>
      </c>
    </row>
    <row r="7095" spans="1:10" x14ac:dyDescent="0.35">
      <c r="A7095" s="2">
        <v>44796</v>
      </c>
      <c r="B7095" s="3">
        <v>1.7407407407407538E-2</v>
      </c>
      <c r="C7095">
        <v>1012</v>
      </c>
      <c r="D7095" t="str">
        <f>VLOOKUP(H7095,Produkt!$A$2:$B$5,2,FALSE)</f>
        <v>B</v>
      </c>
      <c r="H7095">
        <v>2</v>
      </c>
      <c r="I7095">
        <v>0.98834490740740744</v>
      </c>
      <c r="J7095">
        <v>44782</v>
      </c>
    </row>
    <row r="7096" spans="1:10" x14ac:dyDescent="0.35">
      <c r="A7096" s="2">
        <v>44796</v>
      </c>
      <c r="B7096" s="3">
        <v>0.68717592592592591</v>
      </c>
      <c r="C7096">
        <v>1153</v>
      </c>
      <c r="D7096" t="str">
        <f>VLOOKUP(H7096,Produkt!$A$2:$B$5,2,FALSE)</f>
        <v>A</v>
      </c>
      <c r="H7096">
        <v>1</v>
      </c>
      <c r="I7096">
        <v>6.21875E-2</v>
      </c>
      <c r="J7096">
        <v>44796</v>
      </c>
    </row>
    <row r="7097" spans="1:10" x14ac:dyDescent="0.35">
      <c r="A7097" s="2">
        <v>44796</v>
      </c>
      <c r="B7097" s="3">
        <v>0.58793981481481483</v>
      </c>
      <c r="C7097">
        <v>1199</v>
      </c>
      <c r="D7097" t="str">
        <f>VLOOKUP(H7097,Produkt!$A$2:$B$5,2,FALSE)</f>
        <v>B</v>
      </c>
      <c r="H7097">
        <v>2</v>
      </c>
      <c r="I7097">
        <v>0.60282407407407412</v>
      </c>
      <c r="J7097">
        <v>44789</v>
      </c>
    </row>
    <row r="7098" spans="1:10" x14ac:dyDescent="0.35">
      <c r="A7098" s="2">
        <v>44796</v>
      </c>
      <c r="B7098" s="3">
        <v>2.9849537037037036E-2</v>
      </c>
      <c r="C7098">
        <v>1229</v>
      </c>
      <c r="D7098" t="str">
        <f>VLOOKUP(H7098,Produkt!$A$2:$B$5,2,FALSE)</f>
        <v>B</v>
      </c>
      <c r="H7098">
        <v>2</v>
      </c>
      <c r="I7098">
        <v>0.86069444444444443</v>
      </c>
      <c r="J7098">
        <v>44793</v>
      </c>
    </row>
    <row r="7099" spans="1:10" x14ac:dyDescent="0.35">
      <c r="A7099" s="2">
        <v>44796</v>
      </c>
      <c r="B7099" s="3">
        <v>0.72349537037037026</v>
      </c>
      <c r="C7099">
        <v>1241</v>
      </c>
      <c r="D7099" t="str">
        <f>VLOOKUP(H7099,Produkt!$A$2:$B$5,2,FALSE)</f>
        <v>B</v>
      </c>
      <c r="H7099">
        <v>2</v>
      </c>
      <c r="I7099">
        <v>0.19260416666666669</v>
      </c>
      <c r="J7099">
        <v>44780</v>
      </c>
    </row>
    <row r="7100" spans="1:10" x14ac:dyDescent="0.35">
      <c r="A7100" s="2">
        <v>44796</v>
      </c>
      <c r="B7100" s="3">
        <v>0.96089120370370373</v>
      </c>
      <c r="C7100">
        <v>1256</v>
      </c>
      <c r="D7100" t="str">
        <f>VLOOKUP(H7100,Produkt!$A$2:$B$5,2,FALSE)</f>
        <v>B</v>
      </c>
      <c r="H7100">
        <v>2</v>
      </c>
      <c r="I7100">
        <v>0.73515046296296294</v>
      </c>
      <c r="J7100">
        <v>44799</v>
      </c>
    </row>
    <row r="7101" spans="1:10" x14ac:dyDescent="0.35">
      <c r="A7101" s="2">
        <v>44796</v>
      </c>
      <c r="B7101" s="3">
        <v>0.52827546296296302</v>
      </c>
      <c r="C7101">
        <v>1261</v>
      </c>
      <c r="D7101" t="str">
        <f>VLOOKUP(H7101,Produkt!$A$2:$B$5,2,FALSE)</f>
        <v>B</v>
      </c>
      <c r="H7101">
        <v>2</v>
      </c>
      <c r="I7101">
        <v>0.87563657407407414</v>
      </c>
      <c r="J7101">
        <v>44803</v>
      </c>
    </row>
    <row r="7102" spans="1:10" x14ac:dyDescent="0.35">
      <c r="A7102" s="2">
        <v>44796</v>
      </c>
      <c r="B7102" s="3">
        <v>1.8148148148148146E-2</v>
      </c>
      <c r="C7102">
        <v>1266</v>
      </c>
      <c r="D7102" t="str">
        <f>VLOOKUP(H7102,Produkt!$A$2:$B$5,2,FALSE)</f>
        <v>A</v>
      </c>
      <c r="H7102">
        <v>1</v>
      </c>
      <c r="I7102">
        <v>0.98842592592592593</v>
      </c>
      <c r="J7102">
        <v>44796</v>
      </c>
    </row>
    <row r="7103" spans="1:10" x14ac:dyDescent="0.35">
      <c r="A7103" s="2">
        <v>44796</v>
      </c>
      <c r="B7103" s="3">
        <v>0.73347222222222219</v>
      </c>
      <c r="C7103">
        <v>1281</v>
      </c>
      <c r="D7103" t="str">
        <f>VLOOKUP(H7103,Produkt!$A$2:$B$5,2,FALSE)</f>
        <v>C</v>
      </c>
      <c r="H7103">
        <v>3</v>
      </c>
      <c r="I7103">
        <v>0.30476851851851855</v>
      </c>
      <c r="J7103">
        <v>44775</v>
      </c>
    </row>
    <row r="7104" spans="1:10" x14ac:dyDescent="0.35">
      <c r="A7104" s="2">
        <v>44796</v>
      </c>
      <c r="B7104" s="3">
        <v>9.5034722222222215E-2</v>
      </c>
      <c r="C7104">
        <v>1323</v>
      </c>
      <c r="D7104" t="str">
        <f>VLOOKUP(H7104,Produkt!$A$2:$B$5,2,FALSE)</f>
        <v>D</v>
      </c>
      <c r="H7104">
        <v>4</v>
      </c>
      <c r="I7104">
        <v>0.65592592592592591</v>
      </c>
      <c r="J7104">
        <v>44777</v>
      </c>
    </row>
    <row r="7105" spans="1:10" x14ac:dyDescent="0.35">
      <c r="A7105" s="2">
        <v>44796</v>
      </c>
      <c r="B7105" s="3">
        <v>0.79168981481481471</v>
      </c>
      <c r="C7105">
        <v>1359</v>
      </c>
      <c r="D7105" t="str">
        <f>VLOOKUP(H7105,Produkt!$A$2:$B$5,2,FALSE)</f>
        <v>B</v>
      </c>
      <c r="H7105">
        <v>2</v>
      </c>
      <c r="I7105">
        <v>4.3194444444444445E-2</v>
      </c>
      <c r="J7105">
        <v>44800</v>
      </c>
    </row>
    <row r="7106" spans="1:10" x14ac:dyDescent="0.35">
      <c r="A7106" s="2">
        <v>44796</v>
      </c>
      <c r="B7106" s="3">
        <v>0.79844907407407406</v>
      </c>
      <c r="C7106">
        <v>1364</v>
      </c>
      <c r="D7106" t="str">
        <f>VLOOKUP(H7106,Produkt!$A$2:$B$5,2,FALSE)</f>
        <v>B</v>
      </c>
      <c r="H7106">
        <v>2</v>
      </c>
      <c r="I7106">
        <v>0.24337962962962964</v>
      </c>
      <c r="J7106">
        <v>44789</v>
      </c>
    </row>
    <row r="7107" spans="1:10" x14ac:dyDescent="0.35">
      <c r="A7107" s="2">
        <v>44796</v>
      </c>
      <c r="B7107" s="3">
        <v>2.3182870370370479E-2</v>
      </c>
      <c r="C7107">
        <v>1367</v>
      </c>
      <c r="D7107" t="str">
        <f>VLOOKUP(H7107,Produkt!$A$2:$B$5,2,FALSE)</f>
        <v>D</v>
      </c>
      <c r="H7107">
        <v>4</v>
      </c>
      <c r="I7107">
        <v>5.3067129629629638E-2</v>
      </c>
      <c r="J7107">
        <v>44802</v>
      </c>
    </row>
    <row r="7108" spans="1:10" x14ac:dyDescent="0.35">
      <c r="A7108" s="2">
        <v>44796</v>
      </c>
      <c r="B7108" s="3">
        <v>0.49071759259259262</v>
      </c>
      <c r="C7108">
        <v>1389</v>
      </c>
      <c r="D7108" t="str">
        <f>VLOOKUP(H7108,Produkt!$A$2:$B$5,2,FALSE)</f>
        <v>C</v>
      </c>
      <c r="H7108">
        <v>3</v>
      </c>
      <c r="I7108">
        <v>0.30299768518518516</v>
      </c>
      <c r="J7108">
        <v>44793</v>
      </c>
    </row>
    <row r="7109" spans="1:10" x14ac:dyDescent="0.35">
      <c r="A7109" s="2">
        <v>44796</v>
      </c>
      <c r="B7109" s="3">
        <v>0.37547453703703698</v>
      </c>
      <c r="C7109">
        <v>1416</v>
      </c>
      <c r="D7109" t="str">
        <f>VLOOKUP(H7109,Produkt!$A$2:$B$5,2,FALSE)</f>
        <v>C</v>
      </c>
      <c r="H7109">
        <v>3</v>
      </c>
      <c r="I7109">
        <v>0.28907407407407409</v>
      </c>
      <c r="J7109">
        <v>44782</v>
      </c>
    </row>
    <row r="7110" spans="1:10" x14ac:dyDescent="0.35">
      <c r="A7110" s="2">
        <v>44796</v>
      </c>
      <c r="B7110" s="3">
        <v>0.851099537037037</v>
      </c>
      <c r="C7110">
        <v>1438</v>
      </c>
      <c r="D7110" t="str">
        <f>VLOOKUP(H7110,Produkt!$A$2:$B$5,2,FALSE)</f>
        <v>C</v>
      </c>
      <c r="H7110">
        <v>3</v>
      </c>
      <c r="I7110">
        <v>4.2268518518518518E-2</v>
      </c>
      <c r="J7110">
        <v>44787</v>
      </c>
    </row>
    <row r="7111" spans="1:10" x14ac:dyDescent="0.35">
      <c r="A7111" s="2">
        <v>44796</v>
      </c>
      <c r="B7111" s="3">
        <v>0.36357638888888894</v>
      </c>
      <c r="C7111">
        <v>1443</v>
      </c>
      <c r="D7111" t="str">
        <f>VLOOKUP(H7111,Produkt!$A$2:$B$5,2,FALSE)</f>
        <v>C</v>
      </c>
      <c r="H7111">
        <v>3</v>
      </c>
      <c r="I7111">
        <v>0.86728009259259264</v>
      </c>
      <c r="J7111">
        <v>44798</v>
      </c>
    </row>
    <row r="7112" spans="1:10" x14ac:dyDescent="0.35">
      <c r="A7112" s="2">
        <v>44796</v>
      </c>
      <c r="B7112" s="3">
        <v>0.85585648148148152</v>
      </c>
      <c r="C7112">
        <v>1450</v>
      </c>
      <c r="D7112" t="str">
        <f>VLOOKUP(H7112,Produkt!$A$2:$B$5,2,FALSE)</f>
        <v>D</v>
      </c>
      <c r="H7112">
        <v>4</v>
      </c>
      <c r="I7112">
        <v>0.7377893518518519</v>
      </c>
      <c r="J7112">
        <v>44801</v>
      </c>
    </row>
    <row r="7113" spans="1:10" x14ac:dyDescent="0.35">
      <c r="A7113" s="2">
        <v>44796</v>
      </c>
      <c r="B7113" s="3">
        <v>0.75083333333333335</v>
      </c>
      <c r="C7113">
        <v>1472</v>
      </c>
      <c r="D7113" t="str">
        <f>VLOOKUP(H7113,Produkt!$A$2:$B$5,2,FALSE)</f>
        <v>A</v>
      </c>
      <c r="H7113">
        <v>1</v>
      </c>
      <c r="I7113">
        <v>3.1516203703703706E-2</v>
      </c>
      <c r="J7113">
        <v>44782</v>
      </c>
    </row>
    <row r="7114" spans="1:10" x14ac:dyDescent="0.35">
      <c r="A7114" s="2">
        <v>44796</v>
      </c>
      <c r="B7114" s="3">
        <v>0.71493055555555562</v>
      </c>
      <c r="C7114">
        <v>1500</v>
      </c>
      <c r="D7114" t="str">
        <f>VLOOKUP(H7114,Produkt!$A$2:$B$5,2,FALSE)</f>
        <v>D</v>
      </c>
      <c r="H7114">
        <v>4</v>
      </c>
      <c r="I7114">
        <v>0.1499537037037037</v>
      </c>
      <c r="J7114">
        <v>44788</v>
      </c>
    </row>
    <row r="7115" spans="1:10" x14ac:dyDescent="0.35">
      <c r="A7115" s="2">
        <v>44796</v>
      </c>
      <c r="B7115" s="3">
        <v>0.38207175925925929</v>
      </c>
      <c r="C7115">
        <v>1534</v>
      </c>
      <c r="D7115" t="str">
        <f>VLOOKUP(H7115,Produkt!$A$2:$B$5,2,FALSE)</f>
        <v>A</v>
      </c>
      <c r="H7115">
        <v>1</v>
      </c>
      <c r="I7115">
        <v>0.21255787037037036</v>
      </c>
      <c r="J7115">
        <v>44783</v>
      </c>
    </row>
    <row r="7116" spans="1:10" x14ac:dyDescent="0.35">
      <c r="A7116" s="2">
        <v>44796</v>
      </c>
      <c r="B7116" s="3">
        <v>0.8443518518518518</v>
      </c>
      <c r="C7116">
        <v>1536</v>
      </c>
      <c r="D7116" t="str">
        <f>VLOOKUP(H7116,Produkt!$A$2:$B$5,2,FALSE)</f>
        <v>D</v>
      </c>
      <c r="H7116">
        <v>4</v>
      </c>
      <c r="I7116">
        <v>0.57550925925925933</v>
      </c>
      <c r="J7116">
        <v>44797</v>
      </c>
    </row>
    <row r="7117" spans="1:10" x14ac:dyDescent="0.35">
      <c r="A7117" s="2">
        <v>44796</v>
      </c>
      <c r="B7117" s="3">
        <v>0.91618055555555555</v>
      </c>
      <c r="C7117">
        <v>1540</v>
      </c>
      <c r="D7117" t="str">
        <f>VLOOKUP(H7117,Produkt!$A$2:$B$5,2,FALSE)</f>
        <v>B</v>
      </c>
      <c r="H7117">
        <v>2</v>
      </c>
      <c r="I7117">
        <v>0.45043981481481482</v>
      </c>
      <c r="J7117">
        <v>44786</v>
      </c>
    </row>
    <row r="7118" spans="1:10" x14ac:dyDescent="0.35">
      <c r="A7118" s="2">
        <v>44796</v>
      </c>
      <c r="B7118" s="3">
        <v>0.58351851851851855</v>
      </c>
      <c r="C7118">
        <v>1570</v>
      </c>
      <c r="D7118" t="str">
        <f>VLOOKUP(H7118,Produkt!$A$2:$B$5,2,FALSE)</f>
        <v>B</v>
      </c>
      <c r="H7118">
        <v>2</v>
      </c>
      <c r="I7118">
        <v>0.31445601851851851</v>
      </c>
      <c r="J7118">
        <v>44790</v>
      </c>
    </row>
    <row r="7119" spans="1:10" x14ac:dyDescent="0.35">
      <c r="A7119" s="2">
        <v>44796</v>
      </c>
      <c r="B7119" s="3">
        <v>0.54270833333333335</v>
      </c>
      <c r="C7119">
        <v>1593</v>
      </c>
      <c r="D7119" t="str">
        <f>VLOOKUP(H7119,Produkt!$A$2:$B$5,2,FALSE)</f>
        <v>A</v>
      </c>
      <c r="H7119">
        <v>1</v>
      </c>
      <c r="I7119">
        <v>0.96832175925925934</v>
      </c>
      <c r="J7119">
        <v>44775</v>
      </c>
    </row>
    <row r="7120" spans="1:10" x14ac:dyDescent="0.35">
      <c r="A7120" s="2">
        <v>44796</v>
      </c>
      <c r="B7120" s="3">
        <v>0.70599537037037041</v>
      </c>
      <c r="C7120">
        <v>1617</v>
      </c>
      <c r="D7120" t="str">
        <f>VLOOKUP(H7120,Produkt!$A$2:$B$5,2,FALSE)</f>
        <v>C</v>
      </c>
      <c r="H7120">
        <v>3</v>
      </c>
      <c r="I7120">
        <v>0.21136574074074074</v>
      </c>
      <c r="J7120">
        <v>44801</v>
      </c>
    </row>
    <row r="7121" spans="1:10" x14ac:dyDescent="0.35">
      <c r="A7121" s="2">
        <v>44796</v>
      </c>
      <c r="B7121" s="3">
        <v>3.8263888888888889E-2</v>
      </c>
      <c r="C7121">
        <v>1636</v>
      </c>
      <c r="D7121" t="str">
        <f>VLOOKUP(H7121,Produkt!$A$2:$B$5,2,FALSE)</f>
        <v>C</v>
      </c>
      <c r="H7121">
        <v>3</v>
      </c>
      <c r="I7121">
        <v>0.57723379629629623</v>
      </c>
      <c r="J7121">
        <v>44795</v>
      </c>
    </row>
    <row r="7122" spans="1:10" x14ac:dyDescent="0.35">
      <c r="A7122" s="2">
        <v>44796</v>
      </c>
      <c r="B7122" s="3">
        <v>0.46460648148148148</v>
      </c>
      <c r="C7122">
        <v>1642</v>
      </c>
      <c r="D7122" t="str">
        <f>VLOOKUP(H7122,Produkt!$A$2:$B$5,2,FALSE)</f>
        <v>C</v>
      </c>
      <c r="H7122">
        <v>3</v>
      </c>
      <c r="I7122">
        <v>0.38707175925925924</v>
      </c>
      <c r="J7122">
        <v>44779</v>
      </c>
    </row>
    <row r="7123" spans="1:10" x14ac:dyDescent="0.35">
      <c r="A7123" s="2">
        <v>44796</v>
      </c>
      <c r="B7123" s="3">
        <v>0.32373842592592594</v>
      </c>
      <c r="C7123">
        <v>1671</v>
      </c>
      <c r="D7123" t="str">
        <f>VLOOKUP(H7123,Produkt!$A$2:$B$5,2,FALSE)</f>
        <v>D</v>
      </c>
      <c r="H7123">
        <v>4</v>
      </c>
      <c r="I7123">
        <v>0.95814814814814808</v>
      </c>
      <c r="J7123">
        <v>44785</v>
      </c>
    </row>
    <row r="7124" spans="1:10" x14ac:dyDescent="0.35">
      <c r="A7124" s="2">
        <v>44796</v>
      </c>
      <c r="B7124" s="3">
        <v>0.70381944444444444</v>
      </c>
      <c r="C7124">
        <v>1712</v>
      </c>
      <c r="D7124" t="str">
        <f>VLOOKUP(H7124,Produkt!$A$2:$B$5,2,FALSE)</f>
        <v>A</v>
      </c>
      <c r="H7124">
        <v>1</v>
      </c>
      <c r="I7124">
        <v>0.35228009259259263</v>
      </c>
      <c r="J7124">
        <v>44790</v>
      </c>
    </row>
    <row r="7125" spans="1:10" x14ac:dyDescent="0.35">
      <c r="A7125" s="2">
        <v>44796</v>
      </c>
      <c r="B7125" s="3">
        <v>0.48228009259259258</v>
      </c>
      <c r="C7125">
        <v>1739</v>
      </c>
      <c r="D7125" t="str">
        <f>VLOOKUP(H7125,Produkt!$A$2:$B$5,2,FALSE)</f>
        <v>A</v>
      </c>
      <c r="H7125">
        <v>1</v>
      </c>
      <c r="I7125">
        <v>0.73833333333333329</v>
      </c>
      <c r="J7125">
        <v>44779</v>
      </c>
    </row>
    <row r="7126" spans="1:10" x14ac:dyDescent="0.35">
      <c r="A7126" s="2">
        <v>44796</v>
      </c>
      <c r="B7126" s="3">
        <v>0.48530092592592594</v>
      </c>
      <c r="C7126">
        <v>1763</v>
      </c>
      <c r="D7126" t="str">
        <f>VLOOKUP(H7126,Produkt!$A$2:$B$5,2,FALSE)</f>
        <v>A</v>
      </c>
      <c r="H7126">
        <v>1</v>
      </c>
      <c r="I7126">
        <v>0.68052083333333335</v>
      </c>
      <c r="J7126">
        <v>44785</v>
      </c>
    </row>
    <row r="7127" spans="1:10" x14ac:dyDescent="0.35">
      <c r="A7127" s="2">
        <v>44796</v>
      </c>
      <c r="B7127" s="3">
        <v>0.80210648148148145</v>
      </c>
      <c r="C7127">
        <v>1779</v>
      </c>
      <c r="D7127" t="str">
        <f>VLOOKUP(H7127,Produkt!$A$2:$B$5,2,FALSE)</f>
        <v>C</v>
      </c>
      <c r="H7127">
        <v>3</v>
      </c>
      <c r="I7127">
        <v>0.11623842592592593</v>
      </c>
      <c r="J7127">
        <v>44776</v>
      </c>
    </row>
    <row r="7128" spans="1:10" x14ac:dyDescent="0.35">
      <c r="A7128" s="2">
        <v>44796</v>
      </c>
      <c r="B7128" s="3">
        <v>0.94648148148148137</v>
      </c>
      <c r="C7128">
        <v>1789</v>
      </c>
      <c r="D7128" t="str">
        <f>VLOOKUP(H7128,Produkt!$A$2:$B$5,2,FALSE)</f>
        <v>B</v>
      </c>
      <c r="H7128">
        <v>2</v>
      </c>
      <c r="I7128">
        <v>0.15631944444444446</v>
      </c>
      <c r="J7128">
        <v>44792</v>
      </c>
    </row>
    <row r="7129" spans="1:10" x14ac:dyDescent="0.35">
      <c r="A7129" s="2">
        <v>44796</v>
      </c>
      <c r="B7129" s="3">
        <v>0.54513888888888895</v>
      </c>
      <c r="C7129">
        <v>1790</v>
      </c>
      <c r="D7129" t="str">
        <f>VLOOKUP(H7129,Produkt!$A$2:$B$5,2,FALSE)</f>
        <v>A</v>
      </c>
      <c r="H7129">
        <v>1</v>
      </c>
      <c r="I7129">
        <v>0.35105324074074074</v>
      </c>
      <c r="J7129">
        <v>44800</v>
      </c>
    </row>
    <row r="7130" spans="1:10" x14ac:dyDescent="0.35">
      <c r="A7130" s="2">
        <v>44796</v>
      </c>
      <c r="B7130" s="3">
        <v>0.59252314814814822</v>
      </c>
      <c r="C7130">
        <v>1794</v>
      </c>
      <c r="D7130" t="str">
        <f>VLOOKUP(H7130,Produkt!$A$2:$B$5,2,FALSE)</f>
        <v>D</v>
      </c>
      <c r="H7130">
        <v>4</v>
      </c>
      <c r="I7130">
        <v>0.19452546296296294</v>
      </c>
      <c r="J7130">
        <v>44804</v>
      </c>
    </row>
    <row r="7131" spans="1:10" x14ac:dyDescent="0.35">
      <c r="A7131" s="2">
        <v>44796</v>
      </c>
      <c r="B7131" s="3">
        <v>0.33493055555555556</v>
      </c>
      <c r="C7131">
        <v>1800</v>
      </c>
      <c r="D7131" t="str">
        <f>VLOOKUP(H7131,Produkt!$A$2:$B$5,2,FALSE)</f>
        <v>D</v>
      </c>
      <c r="H7131">
        <v>4</v>
      </c>
      <c r="I7131">
        <v>2.045138888888889E-2</v>
      </c>
      <c r="J7131">
        <v>44781</v>
      </c>
    </row>
    <row r="7132" spans="1:10" x14ac:dyDescent="0.35">
      <c r="A7132" s="2">
        <v>44796</v>
      </c>
      <c r="B7132" s="3">
        <v>0.90268518518518526</v>
      </c>
      <c r="C7132">
        <v>1815</v>
      </c>
      <c r="D7132" t="str">
        <f>VLOOKUP(H7132,Produkt!$A$2:$B$5,2,FALSE)</f>
        <v>C</v>
      </c>
      <c r="H7132">
        <v>3</v>
      </c>
      <c r="I7132">
        <v>0.31928240740740738</v>
      </c>
      <c r="J7132">
        <v>44796</v>
      </c>
    </row>
    <row r="7133" spans="1:10" x14ac:dyDescent="0.35">
      <c r="A7133" s="2">
        <v>44796</v>
      </c>
      <c r="B7133" s="3">
        <v>0.6289583333333334</v>
      </c>
      <c r="C7133">
        <v>1828</v>
      </c>
      <c r="D7133" t="str">
        <f>VLOOKUP(H7133,Produkt!$A$2:$B$5,2,FALSE)</f>
        <v>A</v>
      </c>
      <c r="H7133">
        <v>1</v>
      </c>
      <c r="I7133">
        <v>0.73609953703703701</v>
      </c>
      <c r="J7133">
        <v>44803</v>
      </c>
    </row>
    <row r="7134" spans="1:10" x14ac:dyDescent="0.35">
      <c r="A7134" s="2">
        <v>44796</v>
      </c>
      <c r="B7134" s="3">
        <v>2.2175925925925929E-2</v>
      </c>
      <c r="C7134">
        <v>1835</v>
      </c>
      <c r="D7134" t="str">
        <f>VLOOKUP(H7134,Produkt!$A$2:$B$5,2,FALSE)</f>
        <v>A</v>
      </c>
      <c r="H7134">
        <v>1</v>
      </c>
      <c r="I7134">
        <v>0.33333333333333331</v>
      </c>
      <c r="J7134">
        <v>44793</v>
      </c>
    </row>
    <row r="7135" spans="1:10" x14ac:dyDescent="0.35">
      <c r="A7135" s="2">
        <v>44796</v>
      </c>
      <c r="B7135" s="3">
        <v>0.50875000000000004</v>
      </c>
      <c r="C7135">
        <v>1850</v>
      </c>
      <c r="D7135" t="str">
        <f>VLOOKUP(H7135,Produkt!$A$2:$B$5,2,FALSE)</f>
        <v>C</v>
      </c>
      <c r="H7135">
        <v>3</v>
      </c>
      <c r="I7135">
        <v>0.71892361111111114</v>
      </c>
      <c r="J7135">
        <v>44803</v>
      </c>
    </row>
    <row r="7136" spans="1:10" x14ac:dyDescent="0.35">
      <c r="A7136" s="2">
        <v>44796</v>
      </c>
      <c r="B7136" s="3">
        <v>0.58188657407407407</v>
      </c>
      <c r="C7136">
        <v>1864</v>
      </c>
      <c r="D7136" t="str">
        <f>VLOOKUP(H7136,Produkt!$A$2:$B$5,2,FALSE)</f>
        <v>A</v>
      </c>
      <c r="H7136">
        <v>1</v>
      </c>
      <c r="I7136">
        <v>0.71582175925925917</v>
      </c>
      <c r="J7136">
        <v>44790</v>
      </c>
    </row>
    <row r="7137" spans="1:10" x14ac:dyDescent="0.35">
      <c r="A7137" s="2">
        <v>44796</v>
      </c>
      <c r="B7137" s="3">
        <v>0.41270833333333329</v>
      </c>
      <c r="C7137">
        <v>1865</v>
      </c>
      <c r="D7137" t="str">
        <f>VLOOKUP(H7137,Produkt!$A$2:$B$5,2,FALSE)</f>
        <v>C</v>
      </c>
      <c r="H7137">
        <v>3</v>
      </c>
      <c r="I7137">
        <v>0.20193287037037036</v>
      </c>
      <c r="J7137">
        <v>44788</v>
      </c>
    </row>
    <row r="7138" spans="1:10" x14ac:dyDescent="0.35">
      <c r="A7138" s="2">
        <v>44796</v>
      </c>
      <c r="B7138" s="3">
        <v>0.48202546296296295</v>
      </c>
      <c r="C7138">
        <v>1895</v>
      </c>
      <c r="D7138" t="str">
        <f>VLOOKUP(H7138,Produkt!$A$2:$B$5,2,FALSE)</f>
        <v>C</v>
      </c>
      <c r="H7138">
        <v>3</v>
      </c>
      <c r="I7138">
        <v>0.94155092592592593</v>
      </c>
      <c r="J7138">
        <v>44801</v>
      </c>
    </row>
    <row r="7139" spans="1:10" x14ac:dyDescent="0.35">
      <c r="A7139" s="2">
        <v>44796</v>
      </c>
      <c r="B7139" s="3">
        <v>0.4994791666666667</v>
      </c>
      <c r="C7139">
        <v>1954</v>
      </c>
      <c r="D7139" t="str">
        <f>VLOOKUP(H7139,Produkt!$A$2:$B$5,2,FALSE)</f>
        <v>D</v>
      </c>
      <c r="H7139">
        <v>4</v>
      </c>
      <c r="I7139">
        <v>0.16636574074074076</v>
      </c>
      <c r="J7139">
        <v>44804</v>
      </c>
    </row>
    <row r="7140" spans="1:10" x14ac:dyDescent="0.35">
      <c r="A7140" s="2">
        <v>44796</v>
      </c>
      <c r="B7140" s="3">
        <v>0.52023148148148146</v>
      </c>
      <c r="C7140">
        <v>1958</v>
      </c>
      <c r="D7140" t="str">
        <f>VLOOKUP(H7140,Produkt!$A$2:$B$5,2,FALSE)</f>
        <v>B</v>
      </c>
      <c r="H7140">
        <v>2</v>
      </c>
      <c r="I7140">
        <v>0.13087962962962962</v>
      </c>
      <c r="J7140">
        <v>44780</v>
      </c>
    </row>
    <row r="7141" spans="1:10" x14ac:dyDescent="0.35">
      <c r="A7141" s="2">
        <v>44796</v>
      </c>
      <c r="B7141" s="3">
        <v>0.44968750000000002</v>
      </c>
      <c r="C7141">
        <v>2025</v>
      </c>
      <c r="D7141" t="str">
        <f>VLOOKUP(H7141,Produkt!$A$2:$B$5,2,FALSE)</f>
        <v>C</v>
      </c>
      <c r="H7141">
        <v>3</v>
      </c>
      <c r="I7141">
        <v>0.54193287037037041</v>
      </c>
      <c r="J7141">
        <v>44793</v>
      </c>
    </row>
    <row r="7142" spans="1:10" x14ac:dyDescent="0.35">
      <c r="A7142" s="2">
        <v>44796</v>
      </c>
      <c r="B7142" s="3">
        <v>0.19818287037037038</v>
      </c>
      <c r="C7142">
        <v>2055</v>
      </c>
      <c r="D7142" t="str">
        <f>VLOOKUP(H7142,Produkt!$A$2:$B$5,2,FALSE)</f>
        <v>A</v>
      </c>
      <c r="H7142">
        <v>1</v>
      </c>
      <c r="I7142">
        <v>0.29116898148148146</v>
      </c>
      <c r="J7142">
        <v>44783</v>
      </c>
    </row>
    <row r="7143" spans="1:10" x14ac:dyDescent="0.35">
      <c r="A7143" s="2">
        <v>44796</v>
      </c>
      <c r="B7143" s="3">
        <v>0.10523148148148148</v>
      </c>
      <c r="C7143">
        <v>2081</v>
      </c>
      <c r="D7143" t="str">
        <f>VLOOKUP(H7143,Produkt!$A$2:$B$5,2,FALSE)</f>
        <v>A</v>
      </c>
      <c r="H7143">
        <v>1</v>
      </c>
      <c r="I7143">
        <v>0.90390046296296289</v>
      </c>
      <c r="J7143">
        <v>44777</v>
      </c>
    </row>
    <row r="7144" spans="1:10" x14ac:dyDescent="0.35">
      <c r="A7144" s="2">
        <v>44796</v>
      </c>
      <c r="B7144" s="3">
        <v>0.61143518518518525</v>
      </c>
      <c r="C7144">
        <v>2149</v>
      </c>
      <c r="D7144" t="str">
        <f>VLOOKUP(H7144,Produkt!$A$2:$B$5,2,FALSE)</f>
        <v>C</v>
      </c>
      <c r="H7144">
        <v>3</v>
      </c>
      <c r="I7144">
        <v>0.42454861111111114</v>
      </c>
      <c r="J7144">
        <v>44797</v>
      </c>
    </row>
    <row r="7145" spans="1:10" x14ac:dyDescent="0.35">
      <c r="A7145" s="2">
        <v>44796</v>
      </c>
      <c r="B7145" s="3">
        <v>0.2091898148148148</v>
      </c>
      <c r="C7145">
        <v>2161</v>
      </c>
      <c r="D7145" t="str">
        <f>VLOOKUP(H7145,Produkt!$A$2:$B$5,2,FALSE)</f>
        <v>A</v>
      </c>
      <c r="H7145">
        <v>1</v>
      </c>
      <c r="I7145">
        <v>0.93870370370370371</v>
      </c>
      <c r="J7145">
        <v>44794</v>
      </c>
    </row>
    <row r="7146" spans="1:10" x14ac:dyDescent="0.35">
      <c r="A7146" s="2">
        <v>44796</v>
      </c>
      <c r="B7146" s="3">
        <v>0.17053240740740741</v>
      </c>
      <c r="C7146">
        <v>2174</v>
      </c>
      <c r="D7146" t="str">
        <f>VLOOKUP(H7146,Produkt!$A$2:$B$5,2,FALSE)</f>
        <v>A</v>
      </c>
      <c r="H7146">
        <v>1</v>
      </c>
      <c r="I7146">
        <v>0.59465277777777781</v>
      </c>
      <c r="J7146">
        <v>44790</v>
      </c>
    </row>
    <row r="7147" spans="1:10" x14ac:dyDescent="0.35">
      <c r="A7147" s="2">
        <v>44796</v>
      </c>
      <c r="B7147" s="3">
        <v>0.27478009259259256</v>
      </c>
      <c r="C7147">
        <v>2230</v>
      </c>
      <c r="D7147" t="str">
        <f>VLOOKUP(H7147,Produkt!$A$2:$B$5,2,FALSE)</f>
        <v>A</v>
      </c>
      <c r="H7147">
        <v>1</v>
      </c>
      <c r="I7147">
        <v>0.66153935185185186</v>
      </c>
      <c r="J7147">
        <v>44779</v>
      </c>
    </row>
    <row r="7148" spans="1:10" x14ac:dyDescent="0.35">
      <c r="A7148" s="2">
        <v>44796</v>
      </c>
      <c r="B7148" s="3">
        <v>0.98910879629629633</v>
      </c>
      <c r="C7148">
        <v>2290</v>
      </c>
      <c r="D7148" t="str">
        <f>VLOOKUP(H7148,Produkt!$A$2:$B$5,2,FALSE)</f>
        <v>A</v>
      </c>
      <c r="H7148">
        <v>1</v>
      </c>
      <c r="I7148">
        <v>0.66601851851851845</v>
      </c>
      <c r="J7148">
        <v>44802</v>
      </c>
    </row>
    <row r="7149" spans="1:10" x14ac:dyDescent="0.35">
      <c r="A7149" s="2">
        <v>44796</v>
      </c>
      <c r="B7149" s="3">
        <v>3.5381944444444313E-2</v>
      </c>
      <c r="C7149">
        <v>2302</v>
      </c>
      <c r="D7149" t="str">
        <f>VLOOKUP(H7149,Produkt!$A$2:$B$5,2,FALSE)</f>
        <v>B</v>
      </c>
      <c r="H7149">
        <v>2</v>
      </c>
      <c r="I7149">
        <v>0.47674768518518523</v>
      </c>
      <c r="J7149">
        <v>44797</v>
      </c>
    </row>
    <row r="7150" spans="1:10" x14ac:dyDescent="0.35">
      <c r="A7150" s="2">
        <v>44796</v>
      </c>
      <c r="B7150" s="3">
        <v>0.71748842592592599</v>
      </c>
      <c r="C7150">
        <v>2344</v>
      </c>
      <c r="D7150" t="str">
        <f>VLOOKUP(H7150,Produkt!$A$2:$B$5,2,FALSE)</f>
        <v>A</v>
      </c>
      <c r="H7150">
        <v>1</v>
      </c>
      <c r="I7150">
        <v>0.71982638888888895</v>
      </c>
      <c r="J7150">
        <v>44796</v>
      </c>
    </row>
    <row r="7151" spans="1:10" x14ac:dyDescent="0.35">
      <c r="A7151" s="2">
        <v>44796</v>
      </c>
      <c r="B7151" s="3">
        <v>0.91218749999999993</v>
      </c>
      <c r="C7151">
        <v>2407</v>
      </c>
      <c r="D7151" t="str">
        <f>VLOOKUP(H7151,Produkt!$A$2:$B$5,2,FALSE)</f>
        <v>B</v>
      </c>
      <c r="H7151">
        <v>2</v>
      </c>
      <c r="I7151">
        <v>0.91501157407407396</v>
      </c>
      <c r="J7151">
        <v>44779</v>
      </c>
    </row>
    <row r="7152" spans="1:10" x14ac:dyDescent="0.35">
      <c r="A7152" s="2">
        <v>44796</v>
      </c>
      <c r="B7152" s="3">
        <v>0.9173958333333333</v>
      </c>
      <c r="C7152">
        <v>2408</v>
      </c>
      <c r="D7152" t="str">
        <f>VLOOKUP(H7152,Produkt!$A$2:$B$5,2,FALSE)</f>
        <v>B</v>
      </c>
      <c r="H7152">
        <v>2</v>
      </c>
      <c r="I7152">
        <v>0.95807870370370374</v>
      </c>
      <c r="J7152">
        <v>44782</v>
      </c>
    </row>
    <row r="7153" spans="1:10" x14ac:dyDescent="0.35">
      <c r="A7153" s="2">
        <v>44796</v>
      </c>
      <c r="B7153" s="3">
        <v>0.16972222222222222</v>
      </c>
      <c r="C7153">
        <v>2425</v>
      </c>
      <c r="D7153" t="str">
        <f>VLOOKUP(H7153,Produkt!$A$2:$B$5,2,FALSE)</f>
        <v>C</v>
      </c>
      <c r="H7153">
        <v>3</v>
      </c>
      <c r="I7153">
        <v>0.79732638888888896</v>
      </c>
      <c r="J7153">
        <v>44781</v>
      </c>
    </row>
    <row r="7154" spans="1:10" x14ac:dyDescent="0.35">
      <c r="A7154" s="2">
        <v>44796</v>
      </c>
      <c r="B7154" s="3">
        <v>0.97530092592592599</v>
      </c>
      <c r="C7154">
        <v>2599</v>
      </c>
      <c r="D7154" t="str">
        <f>VLOOKUP(H7154,Produkt!$A$2:$B$5,2,FALSE)</f>
        <v>A</v>
      </c>
      <c r="H7154">
        <v>1</v>
      </c>
      <c r="I7154">
        <v>0.85784722222222232</v>
      </c>
      <c r="J7154">
        <v>44793</v>
      </c>
    </row>
    <row r="7155" spans="1:10" x14ac:dyDescent="0.35">
      <c r="A7155" s="2">
        <v>44796</v>
      </c>
      <c r="B7155" s="3">
        <v>0.40361111111111114</v>
      </c>
      <c r="C7155">
        <v>2609</v>
      </c>
      <c r="D7155" t="str">
        <f>VLOOKUP(H7155,Produkt!$A$2:$B$5,2,FALSE)</f>
        <v>D</v>
      </c>
      <c r="H7155">
        <v>4</v>
      </c>
      <c r="I7155">
        <v>0.73312499999999992</v>
      </c>
      <c r="J7155">
        <v>44779</v>
      </c>
    </row>
    <row r="7156" spans="1:10" x14ac:dyDescent="0.35">
      <c r="A7156" s="2">
        <v>44796</v>
      </c>
      <c r="B7156" s="3">
        <v>6.9039351851851852E-2</v>
      </c>
      <c r="C7156">
        <v>2615</v>
      </c>
      <c r="D7156" t="str">
        <f>VLOOKUP(H7156,Produkt!$A$2:$B$5,2,FALSE)</f>
        <v>D</v>
      </c>
      <c r="H7156">
        <v>4</v>
      </c>
      <c r="I7156">
        <v>0.3271296296296296</v>
      </c>
      <c r="J7156">
        <v>44792</v>
      </c>
    </row>
    <row r="7157" spans="1:10" x14ac:dyDescent="0.35">
      <c r="A7157" s="2">
        <v>44796</v>
      </c>
      <c r="B7157" s="3">
        <v>0.18811342592592592</v>
      </c>
      <c r="C7157">
        <v>2638</v>
      </c>
      <c r="D7157" t="str">
        <f>VLOOKUP(H7157,Produkt!$A$2:$B$5,2,FALSE)</f>
        <v>A</v>
      </c>
      <c r="H7157">
        <v>1</v>
      </c>
      <c r="I7157">
        <v>0.73502314814814806</v>
      </c>
      <c r="J7157">
        <v>44798</v>
      </c>
    </row>
    <row r="7158" spans="1:10" x14ac:dyDescent="0.35">
      <c r="A7158" s="2">
        <v>44796</v>
      </c>
      <c r="B7158" s="3">
        <v>0.14261574074074074</v>
      </c>
      <c r="C7158">
        <v>2679</v>
      </c>
      <c r="D7158" t="str">
        <f>VLOOKUP(H7158,Produkt!$A$2:$B$5,2,FALSE)</f>
        <v>C</v>
      </c>
      <c r="H7158">
        <v>3</v>
      </c>
      <c r="I7158">
        <v>2.967592592592605E-2</v>
      </c>
      <c r="J7158">
        <v>44780</v>
      </c>
    </row>
    <row r="7159" spans="1:10" x14ac:dyDescent="0.35">
      <c r="A7159" s="2">
        <v>44796</v>
      </c>
      <c r="B7159" s="3">
        <v>0.34996527777777775</v>
      </c>
      <c r="C7159">
        <v>2720</v>
      </c>
      <c r="D7159" t="str">
        <f>VLOOKUP(H7159,Produkt!$A$2:$B$5,2,FALSE)</f>
        <v>C</v>
      </c>
      <c r="H7159">
        <v>3</v>
      </c>
      <c r="I7159">
        <v>1.7928240740740842E-2</v>
      </c>
      <c r="J7159">
        <v>44788</v>
      </c>
    </row>
    <row r="7160" spans="1:10" x14ac:dyDescent="0.35">
      <c r="A7160" s="2">
        <v>44796</v>
      </c>
      <c r="B7160" s="3">
        <v>0.44314814814814812</v>
      </c>
      <c r="C7160">
        <v>2733</v>
      </c>
      <c r="D7160" t="str">
        <f>VLOOKUP(H7160,Produkt!$A$2:$B$5,2,FALSE)</f>
        <v>D</v>
      </c>
      <c r="H7160">
        <v>4</v>
      </c>
      <c r="I7160">
        <v>0.63049768518518523</v>
      </c>
      <c r="J7160">
        <v>44786</v>
      </c>
    </row>
    <row r="7161" spans="1:10" x14ac:dyDescent="0.35">
      <c r="A7161" s="2">
        <v>44796</v>
      </c>
      <c r="B7161" s="3">
        <v>8.0729166666666671E-2</v>
      </c>
      <c r="C7161">
        <v>2742</v>
      </c>
      <c r="D7161" t="str">
        <f>VLOOKUP(H7161,Produkt!$A$2:$B$5,2,FALSE)</f>
        <v>A</v>
      </c>
      <c r="H7161">
        <v>1</v>
      </c>
      <c r="I7161">
        <v>0.99594907407407407</v>
      </c>
      <c r="J7161">
        <v>44801</v>
      </c>
    </row>
    <row r="7162" spans="1:10" x14ac:dyDescent="0.35">
      <c r="A7162" s="2">
        <v>44796</v>
      </c>
      <c r="B7162" s="3">
        <v>5.1666666666666666E-2</v>
      </c>
      <c r="C7162">
        <v>2760</v>
      </c>
      <c r="D7162" t="str">
        <f>VLOOKUP(H7162,Produkt!$A$2:$B$5,2,FALSE)</f>
        <v>D</v>
      </c>
      <c r="H7162">
        <v>4</v>
      </c>
      <c r="I7162">
        <v>0.63103009259259257</v>
      </c>
      <c r="J7162">
        <v>44797</v>
      </c>
    </row>
    <row r="7163" spans="1:10" x14ac:dyDescent="0.35">
      <c r="A7163" s="2">
        <v>44796</v>
      </c>
      <c r="B7163" s="3">
        <v>0.42011574074074076</v>
      </c>
      <c r="C7163">
        <v>2779</v>
      </c>
      <c r="D7163" t="str">
        <f>VLOOKUP(H7163,Produkt!$A$2:$B$5,2,FALSE)</f>
        <v>A</v>
      </c>
      <c r="H7163">
        <v>1</v>
      </c>
      <c r="I7163">
        <v>3.3518518518518517E-2</v>
      </c>
      <c r="J7163">
        <v>44778</v>
      </c>
    </row>
    <row r="7164" spans="1:10" x14ac:dyDescent="0.35">
      <c r="A7164" s="2">
        <v>44796</v>
      </c>
      <c r="B7164" s="3">
        <v>9.5833333333332771E-3</v>
      </c>
      <c r="C7164">
        <v>2801</v>
      </c>
      <c r="D7164" t="str">
        <f>VLOOKUP(H7164,Produkt!$A$2:$B$5,2,FALSE)</f>
        <v>D</v>
      </c>
      <c r="H7164">
        <v>4</v>
      </c>
      <c r="I7164">
        <v>0.57953703703703707</v>
      </c>
      <c r="J7164">
        <v>44776</v>
      </c>
    </row>
    <row r="7165" spans="1:10" x14ac:dyDescent="0.35">
      <c r="A7165" s="2">
        <v>44796</v>
      </c>
      <c r="B7165" s="3">
        <v>0.42460648148148145</v>
      </c>
      <c r="C7165">
        <v>2805</v>
      </c>
      <c r="D7165" t="str">
        <f>VLOOKUP(H7165,Produkt!$A$2:$B$5,2,FALSE)</f>
        <v>B</v>
      </c>
      <c r="H7165">
        <v>2</v>
      </c>
      <c r="I7165">
        <v>0.61113425925925924</v>
      </c>
      <c r="J7165">
        <v>44789</v>
      </c>
    </row>
    <row r="7166" spans="1:10" x14ac:dyDescent="0.35">
      <c r="A7166" s="2">
        <v>44796</v>
      </c>
      <c r="B7166" s="3">
        <v>0.91773148148148154</v>
      </c>
      <c r="C7166">
        <v>2823</v>
      </c>
      <c r="D7166" t="str">
        <f>VLOOKUP(H7166,Produkt!$A$2:$B$5,2,FALSE)</f>
        <v>A</v>
      </c>
      <c r="H7166">
        <v>1</v>
      </c>
      <c r="I7166">
        <v>0.86206018518518512</v>
      </c>
      <c r="J7166">
        <v>44789</v>
      </c>
    </row>
    <row r="7167" spans="1:10" x14ac:dyDescent="0.35">
      <c r="A7167" s="2">
        <v>44796</v>
      </c>
      <c r="B7167" s="3">
        <v>0.22641203703703705</v>
      </c>
      <c r="C7167">
        <v>2829</v>
      </c>
      <c r="D7167" t="str">
        <f>VLOOKUP(H7167,Produkt!$A$2:$B$5,2,FALSE)</f>
        <v>B</v>
      </c>
      <c r="H7167">
        <v>2</v>
      </c>
      <c r="I7167">
        <v>0.71960648148148154</v>
      </c>
      <c r="J7167">
        <v>44804</v>
      </c>
    </row>
    <row r="7168" spans="1:10" x14ac:dyDescent="0.35">
      <c r="A7168" s="2">
        <v>44796</v>
      </c>
      <c r="B7168" s="3">
        <v>3.3900462962962966E-2</v>
      </c>
      <c r="C7168">
        <v>2830</v>
      </c>
      <c r="D7168" t="str">
        <f>VLOOKUP(H7168,Produkt!$A$2:$B$5,2,FALSE)</f>
        <v>A</v>
      </c>
      <c r="H7168">
        <v>1</v>
      </c>
      <c r="I7168">
        <v>0.36216435185185186</v>
      </c>
      <c r="J7168">
        <v>44775</v>
      </c>
    </row>
    <row r="7169" spans="1:10" x14ac:dyDescent="0.35">
      <c r="A7169" s="2">
        <v>44796</v>
      </c>
      <c r="B7169" s="3">
        <v>0.3805324074074074</v>
      </c>
      <c r="C7169">
        <v>2887</v>
      </c>
      <c r="D7169" t="str">
        <f>VLOOKUP(H7169,Produkt!$A$2:$B$5,2,FALSE)</f>
        <v>C</v>
      </c>
      <c r="H7169">
        <v>3</v>
      </c>
      <c r="I7169">
        <v>0.72940972222222233</v>
      </c>
      <c r="J7169">
        <v>44776</v>
      </c>
    </row>
    <row r="7170" spans="1:10" x14ac:dyDescent="0.35">
      <c r="A7170" s="2">
        <v>44796</v>
      </c>
      <c r="B7170" s="3">
        <v>0.26175925925925925</v>
      </c>
      <c r="C7170">
        <v>2895</v>
      </c>
      <c r="D7170" t="str">
        <f>VLOOKUP(H7170,Produkt!$A$2:$B$5,2,FALSE)</f>
        <v>B</v>
      </c>
      <c r="H7170">
        <v>2</v>
      </c>
      <c r="I7170">
        <v>3.9247685185185184E-2</v>
      </c>
      <c r="J7170">
        <v>44795</v>
      </c>
    </row>
    <row r="7171" spans="1:10" x14ac:dyDescent="0.35">
      <c r="A7171" s="2">
        <v>44796</v>
      </c>
      <c r="B7171" s="3">
        <v>0.42212962962962958</v>
      </c>
      <c r="C7171">
        <v>2899</v>
      </c>
      <c r="D7171" t="str">
        <f>VLOOKUP(H7171,Produkt!$A$2:$B$5,2,FALSE)</f>
        <v>B</v>
      </c>
      <c r="H7171">
        <v>2</v>
      </c>
      <c r="I7171">
        <v>0.33971064814814816</v>
      </c>
      <c r="J7171">
        <v>44789</v>
      </c>
    </row>
    <row r="7172" spans="1:10" x14ac:dyDescent="0.35">
      <c r="A7172" s="2">
        <v>44796</v>
      </c>
      <c r="B7172" s="3">
        <v>0.39307870370370374</v>
      </c>
      <c r="C7172">
        <v>2904</v>
      </c>
      <c r="D7172" t="str">
        <f>VLOOKUP(H7172,Produkt!$A$2:$B$5,2,FALSE)</f>
        <v>A</v>
      </c>
      <c r="H7172">
        <v>1</v>
      </c>
      <c r="I7172">
        <v>0.52481481481481485</v>
      </c>
      <c r="J7172">
        <v>44774</v>
      </c>
    </row>
    <row r="7173" spans="1:10" x14ac:dyDescent="0.35">
      <c r="A7173" s="2">
        <v>44796</v>
      </c>
      <c r="B7173" s="3">
        <v>0.4133680555555555</v>
      </c>
      <c r="C7173">
        <v>2929</v>
      </c>
      <c r="D7173" t="str">
        <f>VLOOKUP(H7173,Produkt!$A$2:$B$5,2,FALSE)</f>
        <v>C</v>
      </c>
      <c r="H7173">
        <v>3</v>
      </c>
      <c r="I7173">
        <v>0.45537037037037037</v>
      </c>
      <c r="J7173">
        <v>44793</v>
      </c>
    </row>
    <row r="7174" spans="1:10" x14ac:dyDescent="0.35">
      <c r="A7174" s="2">
        <v>44796</v>
      </c>
      <c r="B7174" s="3">
        <v>2.1921296296296244E-2</v>
      </c>
      <c r="C7174">
        <v>2974</v>
      </c>
      <c r="D7174" t="str">
        <f>VLOOKUP(H7174,Produkt!$A$2:$B$5,2,FALSE)</f>
        <v>C</v>
      </c>
      <c r="H7174">
        <v>3</v>
      </c>
      <c r="I7174">
        <v>0.72459490740740751</v>
      </c>
      <c r="J7174">
        <v>44801</v>
      </c>
    </row>
    <row r="7175" spans="1:10" x14ac:dyDescent="0.35">
      <c r="A7175" s="2">
        <v>44796</v>
      </c>
      <c r="B7175" s="3">
        <v>0.37584490740740745</v>
      </c>
      <c r="C7175">
        <v>2982</v>
      </c>
      <c r="D7175" t="str">
        <f>VLOOKUP(H7175,Produkt!$A$2:$B$5,2,FALSE)</f>
        <v>C</v>
      </c>
      <c r="H7175">
        <v>3</v>
      </c>
      <c r="I7175">
        <v>0.46049768518518519</v>
      </c>
      <c r="J7175">
        <v>44794</v>
      </c>
    </row>
    <row r="7176" spans="1:10" x14ac:dyDescent="0.35">
      <c r="A7176" s="2">
        <v>44796</v>
      </c>
      <c r="B7176" s="3">
        <v>0.19810185185185183</v>
      </c>
      <c r="C7176">
        <v>2986</v>
      </c>
      <c r="D7176" t="str">
        <f>VLOOKUP(H7176,Produkt!$A$2:$B$5,2,FALSE)</f>
        <v>D</v>
      </c>
      <c r="H7176">
        <v>4</v>
      </c>
      <c r="I7176">
        <v>0.39013888888888887</v>
      </c>
      <c r="J7176">
        <v>44803</v>
      </c>
    </row>
    <row r="7177" spans="1:10" x14ac:dyDescent="0.35">
      <c r="A7177" s="2">
        <v>44796</v>
      </c>
      <c r="B7177" s="3">
        <v>0.68451388888888898</v>
      </c>
      <c r="C7177">
        <v>3013</v>
      </c>
      <c r="D7177" t="str">
        <f>VLOOKUP(H7177,Produkt!$A$2:$B$5,2,FALSE)</f>
        <v>A</v>
      </c>
      <c r="H7177">
        <v>1</v>
      </c>
      <c r="I7177">
        <v>0.18181712962962962</v>
      </c>
      <c r="J7177">
        <v>44789</v>
      </c>
    </row>
    <row r="7178" spans="1:10" x14ac:dyDescent="0.35">
      <c r="A7178" s="2">
        <v>44796</v>
      </c>
      <c r="B7178" s="3">
        <v>4.6793981481481478E-2</v>
      </c>
      <c r="C7178">
        <v>3041</v>
      </c>
      <c r="D7178" t="str">
        <f>VLOOKUP(H7178,Produkt!$A$2:$B$5,2,FALSE)</f>
        <v>B</v>
      </c>
      <c r="H7178">
        <v>2</v>
      </c>
      <c r="I7178">
        <v>0.88181712962962966</v>
      </c>
      <c r="J7178">
        <v>44782</v>
      </c>
    </row>
    <row r="7179" spans="1:10" x14ac:dyDescent="0.35">
      <c r="A7179" s="2">
        <v>44796</v>
      </c>
      <c r="B7179" s="3">
        <v>0.79953703703703705</v>
      </c>
      <c r="C7179">
        <v>3046</v>
      </c>
      <c r="D7179" t="str">
        <f>VLOOKUP(H7179,Produkt!$A$2:$B$5,2,FALSE)</f>
        <v>C</v>
      </c>
      <c r="H7179">
        <v>3</v>
      </c>
      <c r="I7179">
        <v>0.77589120370370368</v>
      </c>
      <c r="J7179">
        <v>44799</v>
      </c>
    </row>
    <row r="7180" spans="1:10" x14ac:dyDescent="0.35">
      <c r="A7180" s="2">
        <v>44796</v>
      </c>
      <c r="B7180" s="3">
        <v>0.52403935185185191</v>
      </c>
      <c r="C7180">
        <v>3061</v>
      </c>
      <c r="D7180" t="str">
        <f>VLOOKUP(H7180,Produkt!$A$2:$B$5,2,FALSE)</f>
        <v>B</v>
      </c>
      <c r="H7180">
        <v>2</v>
      </c>
      <c r="I7180">
        <v>0.3366319444444445</v>
      </c>
      <c r="J7180">
        <v>44795</v>
      </c>
    </row>
    <row r="7181" spans="1:10" x14ac:dyDescent="0.35">
      <c r="A7181" s="2">
        <v>44796</v>
      </c>
      <c r="B7181" s="3">
        <v>0.40634259259259259</v>
      </c>
      <c r="C7181">
        <v>3070</v>
      </c>
      <c r="D7181" t="str">
        <f>VLOOKUP(H7181,Produkt!$A$2:$B$5,2,FALSE)</f>
        <v>B</v>
      </c>
      <c r="H7181">
        <v>2</v>
      </c>
      <c r="I7181">
        <v>0.36920138888888893</v>
      </c>
      <c r="J7181">
        <v>44786</v>
      </c>
    </row>
    <row r="7182" spans="1:10" x14ac:dyDescent="0.35">
      <c r="A7182" s="2">
        <v>44796</v>
      </c>
      <c r="B7182" s="3">
        <v>0.80881944444444442</v>
      </c>
      <c r="C7182">
        <v>3074</v>
      </c>
      <c r="D7182" t="str">
        <f>VLOOKUP(H7182,Produkt!$A$2:$B$5,2,FALSE)</f>
        <v>D</v>
      </c>
      <c r="H7182">
        <v>4</v>
      </c>
      <c r="I7182">
        <v>0.81703703703703701</v>
      </c>
      <c r="J7182">
        <v>44798</v>
      </c>
    </row>
    <row r="7183" spans="1:10" x14ac:dyDescent="0.35">
      <c r="A7183" s="2">
        <v>44796</v>
      </c>
      <c r="B7183" s="3">
        <v>0.8601388888888889</v>
      </c>
      <c r="C7183">
        <v>3085</v>
      </c>
      <c r="D7183" t="str">
        <f>VLOOKUP(H7183,Produkt!$A$2:$B$5,2,FALSE)</f>
        <v>B</v>
      </c>
      <c r="H7183">
        <v>2</v>
      </c>
      <c r="I7183">
        <v>0.1630787037037037</v>
      </c>
      <c r="J7183">
        <v>44780</v>
      </c>
    </row>
    <row r="7184" spans="1:10" x14ac:dyDescent="0.35">
      <c r="A7184" s="2">
        <v>44796</v>
      </c>
      <c r="B7184" s="3">
        <v>0.80432870370370368</v>
      </c>
      <c r="C7184">
        <v>3161</v>
      </c>
      <c r="D7184" t="str">
        <f>VLOOKUP(H7184,Produkt!$A$2:$B$5,2,FALSE)</f>
        <v>A</v>
      </c>
      <c r="H7184">
        <v>1</v>
      </c>
      <c r="I7184">
        <v>0.54509259259259257</v>
      </c>
      <c r="J7184">
        <v>44786</v>
      </c>
    </row>
    <row r="7185" spans="1:10" x14ac:dyDescent="0.35">
      <c r="A7185" s="2">
        <v>44796</v>
      </c>
      <c r="B7185" s="3">
        <v>0.11937500000000001</v>
      </c>
      <c r="C7185">
        <v>3180</v>
      </c>
      <c r="D7185" t="str">
        <f>VLOOKUP(H7185,Produkt!$A$2:$B$5,2,FALSE)</f>
        <v>B</v>
      </c>
      <c r="H7185">
        <v>2</v>
      </c>
      <c r="I7185">
        <v>0.82256944444444446</v>
      </c>
      <c r="J7185">
        <v>44793</v>
      </c>
    </row>
    <row r="7186" spans="1:10" x14ac:dyDescent="0.35">
      <c r="A7186" s="2">
        <v>44796</v>
      </c>
      <c r="B7186" s="3">
        <v>0.54913194444444446</v>
      </c>
      <c r="C7186">
        <v>3182</v>
      </c>
      <c r="D7186" t="str">
        <f>VLOOKUP(H7186,Produkt!$A$2:$B$5,2,FALSE)</f>
        <v>C</v>
      </c>
      <c r="H7186">
        <v>3</v>
      </c>
      <c r="I7186">
        <v>0.1683564814814815</v>
      </c>
      <c r="J7186">
        <v>44800</v>
      </c>
    </row>
    <row r="7187" spans="1:10" x14ac:dyDescent="0.35">
      <c r="A7187" s="2">
        <v>44796</v>
      </c>
      <c r="B7187" s="3">
        <v>0.15126157407407406</v>
      </c>
      <c r="C7187">
        <v>3190</v>
      </c>
      <c r="D7187" t="str">
        <f>VLOOKUP(H7187,Produkt!$A$2:$B$5,2,FALSE)</f>
        <v>D</v>
      </c>
      <c r="H7187">
        <v>4</v>
      </c>
      <c r="I7187">
        <v>0.38814814814814813</v>
      </c>
      <c r="J7187">
        <v>44776</v>
      </c>
    </row>
    <row r="7188" spans="1:10" x14ac:dyDescent="0.35">
      <c r="A7188" s="2">
        <v>44796</v>
      </c>
      <c r="B7188" s="3">
        <v>0.99417824074074079</v>
      </c>
      <c r="C7188">
        <v>3292</v>
      </c>
      <c r="D7188" t="str">
        <f>VLOOKUP(H7188,Produkt!$A$2:$B$5,2,FALSE)</f>
        <v>D</v>
      </c>
      <c r="H7188">
        <v>4</v>
      </c>
      <c r="I7188">
        <v>0.69391203703703708</v>
      </c>
      <c r="J7188">
        <v>44800</v>
      </c>
    </row>
    <row r="7189" spans="1:10" x14ac:dyDescent="0.35">
      <c r="A7189" s="2">
        <v>44796</v>
      </c>
      <c r="B7189" s="3">
        <v>0.65577546296296296</v>
      </c>
      <c r="C7189">
        <v>3321</v>
      </c>
      <c r="D7189" t="str">
        <f>VLOOKUP(H7189,Produkt!$A$2:$B$5,2,FALSE)</f>
        <v>A</v>
      </c>
      <c r="H7189">
        <v>1</v>
      </c>
      <c r="I7189">
        <v>0.10811342592592592</v>
      </c>
      <c r="J7189">
        <v>44778</v>
      </c>
    </row>
    <row r="7190" spans="1:10" x14ac:dyDescent="0.35">
      <c r="A7190" s="2">
        <v>44796</v>
      </c>
      <c r="B7190" s="3">
        <v>0.50813657407407409</v>
      </c>
      <c r="C7190">
        <v>3323</v>
      </c>
      <c r="D7190" t="str">
        <f>VLOOKUP(H7190,Produkt!$A$2:$B$5,2,FALSE)</f>
        <v>D</v>
      </c>
      <c r="H7190">
        <v>4</v>
      </c>
      <c r="I7190">
        <v>0.21905092592592593</v>
      </c>
      <c r="J7190">
        <v>44787</v>
      </c>
    </row>
    <row r="7191" spans="1:10" x14ac:dyDescent="0.35">
      <c r="A7191" s="2">
        <v>44796</v>
      </c>
      <c r="B7191" s="3">
        <v>0.84901620370370379</v>
      </c>
      <c r="C7191">
        <v>3332</v>
      </c>
      <c r="D7191" t="str">
        <f>VLOOKUP(H7191,Produkt!$A$2:$B$5,2,FALSE)</f>
        <v>B</v>
      </c>
      <c r="H7191">
        <v>2</v>
      </c>
      <c r="I7191">
        <v>0.35394675925925928</v>
      </c>
      <c r="J7191">
        <v>44778</v>
      </c>
    </row>
    <row r="7192" spans="1:10" x14ac:dyDescent="0.35">
      <c r="A7192" s="2">
        <v>44796</v>
      </c>
      <c r="B7192" s="3">
        <v>0.13865740740740742</v>
      </c>
      <c r="C7192">
        <v>3379</v>
      </c>
      <c r="D7192" t="str">
        <f>VLOOKUP(H7192,Produkt!$A$2:$B$5,2,FALSE)</f>
        <v>B</v>
      </c>
      <c r="H7192">
        <v>2</v>
      </c>
      <c r="I7192">
        <v>0.41708333333333331</v>
      </c>
      <c r="J7192">
        <v>44789</v>
      </c>
    </row>
    <row r="7193" spans="1:10" x14ac:dyDescent="0.35">
      <c r="A7193" s="2">
        <v>44796</v>
      </c>
      <c r="B7193" s="3">
        <v>0.69944444444444442</v>
      </c>
      <c r="C7193">
        <v>3391</v>
      </c>
      <c r="D7193" t="str">
        <f>VLOOKUP(H7193,Produkt!$A$2:$B$5,2,FALSE)</f>
        <v>B</v>
      </c>
      <c r="H7193">
        <v>2</v>
      </c>
      <c r="I7193">
        <v>0.78653935185185186</v>
      </c>
      <c r="J7193">
        <v>44802</v>
      </c>
    </row>
    <row r="7194" spans="1:10" x14ac:dyDescent="0.35">
      <c r="A7194" s="2">
        <v>44796</v>
      </c>
      <c r="B7194" s="3">
        <v>0.64803240740740742</v>
      </c>
      <c r="C7194">
        <v>3412</v>
      </c>
      <c r="D7194" t="str">
        <f>VLOOKUP(H7194,Produkt!$A$2:$B$5,2,FALSE)</f>
        <v>D</v>
      </c>
      <c r="H7194">
        <v>4</v>
      </c>
      <c r="I7194">
        <v>0.17364583333333336</v>
      </c>
      <c r="J7194">
        <v>44800</v>
      </c>
    </row>
    <row r="7195" spans="1:10" x14ac:dyDescent="0.35">
      <c r="A7195" s="2">
        <v>44796</v>
      </c>
      <c r="B7195" s="3">
        <v>0.30783564814814818</v>
      </c>
      <c r="C7195">
        <v>3430</v>
      </c>
      <c r="D7195" t="str">
        <f>VLOOKUP(H7195,Produkt!$A$2:$B$5,2,FALSE)</f>
        <v>A</v>
      </c>
      <c r="H7195">
        <v>1</v>
      </c>
      <c r="I7195">
        <v>0.34645833333333331</v>
      </c>
      <c r="J7195">
        <v>44783</v>
      </c>
    </row>
    <row r="7196" spans="1:10" x14ac:dyDescent="0.35">
      <c r="A7196" s="2">
        <v>44796</v>
      </c>
      <c r="B7196" s="3">
        <v>0.33827546296296296</v>
      </c>
      <c r="C7196">
        <v>3451</v>
      </c>
      <c r="D7196" t="str">
        <f>VLOOKUP(H7196,Produkt!$A$2:$B$5,2,FALSE)</f>
        <v>D</v>
      </c>
      <c r="H7196">
        <v>4</v>
      </c>
      <c r="I7196">
        <v>0.49850694444444449</v>
      </c>
      <c r="J7196">
        <v>44778</v>
      </c>
    </row>
    <row r="7197" spans="1:10" x14ac:dyDescent="0.35">
      <c r="A7197" s="2">
        <v>44796</v>
      </c>
      <c r="B7197" s="3">
        <v>0.48564814814814811</v>
      </c>
      <c r="C7197">
        <v>3469</v>
      </c>
      <c r="D7197" t="str">
        <f>VLOOKUP(H7197,Produkt!$A$2:$B$5,2,FALSE)</f>
        <v>C</v>
      </c>
      <c r="H7197">
        <v>3</v>
      </c>
      <c r="I7197">
        <v>0.59762731481481479</v>
      </c>
      <c r="J7197">
        <v>44781</v>
      </c>
    </row>
    <row r="7198" spans="1:10" x14ac:dyDescent="0.35">
      <c r="A7198" s="2">
        <v>44796</v>
      </c>
      <c r="B7198" s="3">
        <v>0.82287037037037036</v>
      </c>
      <c r="C7198">
        <v>3530</v>
      </c>
      <c r="D7198" t="str">
        <f>VLOOKUP(H7198,Produkt!$A$2:$B$5,2,FALSE)</f>
        <v>B</v>
      </c>
      <c r="H7198">
        <v>2</v>
      </c>
      <c r="I7198">
        <v>0.16829861111111111</v>
      </c>
      <c r="J7198">
        <v>44795</v>
      </c>
    </row>
    <row r="7199" spans="1:10" x14ac:dyDescent="0.35">
      <c r="A7199" s="2">
        <v>44796</v>
      </c>
      <c r="B7199" s="3">
        <v>0.17189814814814816</v>
      </c>
      <c r="C7199">
        <v>3538</v>
      </c>
      <c r="D7199" t="str">
        <f>VLOOKUP(H7199,Produkt!$A$2:$B$5,2,FALSE)</f>
        <v>D</v>
      </c>
      <c r="H7199">
        <v>4</v>
      </c>
      <c r="I7199">
        <v>0.98263888888888884</v>
      </c>
      <c r="J7199">
        <v>44774</v>
      </c>
    </row>
    <row r="7200" spans="1:10" x14ac:dyDescent="0.35">
      <c r="A7200" s="2">
        <v>44796</v>
      </c>
      <c r="B7200" s="3">
        <v>0.7917939814814815</v>
      </c>
      <c r="C7200">
        <v>3564</v>
      </c>
      <c r="D7200" t="str">
        <f>VLOOKUP(H7200,Produkt!$A$2:$B$5,2,FALSE)</f>
        <v>B</v>
      </c>
      <c r="H7200">
        <v>2</v>
      </c>
      <c r="I7200">
        <v>0.6910532407407407</v>
      </c>
      <c r="J7200">
        <v>44789</v>
      </c>
    </row>
    <row r="7201" spans="1:10" x14ac:dyDescent="0.35">
      <c r="A7201" s="2">
        <v>44796</v>
      </c>
      <c r="B7201" s="3">
        <v>0.32862268518518517</v>
      </c>
      <c r="C7201">
        <v>3572</v>
      </c>
      <c r="D7201" t="str">
        <f>VLOOKUP(H7201,Produkt!$A$2:$B$5,2,FALSE)</f>
        <v>C</v>
      </c>
      <c r="H7201">
        <v>3</v>
      </c>
      <c r="I7201">
        <v>0.58098379629629626</v>
      </c>
      <c r="J7201">
        <v>44789</v>
      </c>
    </row>
    <row r="7202" spans="1:10" x14ac:dyDescent="0.35">
      <c r="A7202" s="2">
        <v>44796</v>
      </c>
      <c r="B7202" s="3">
        <v>0.34240740740740744</v>
      </c>
      <c r="C7202">
        <v>3573</v>
      </c>
      <c r="D7202" t="str">
        <f>VLOOKUP(H7202,Produkt!$A$2:$B$5,2,FALSE)</f>
        <v>D</v>
      </c>
      <c r="H7202">
        <v>4</v>
      </c>
      <c r="I7202">
        <v>0.98341435185185189</v>
      </c>
      <c r="J7202">
        <v>44790</v>
      </c>
    </row>
    <row r="7203" spans="1:10" x14ac:dyDescent="0.35">
      <c r="A7203" s="2">
        <v>44796</v>
      </c>
      <c r="B7203" s="3">
        <v>0.30662037037037038</v>
      </c>
      <c r="C7203">
        <v>3576</v>
      </c>
      <c r="D7203" t="str">
        <f>VLOOKUP(H7203,Produkt!$A$2:$B$5,2,FALSE)</f>
        <v>C</v>
      </c>
      <c r="H7203">
        <v>3</v>
      </c>
      <c r="I7203">
        <v>0.32376157407407408</v>
      </c>
      <c r="J7203">
        <v>44796</v>
      </c>
    </row>
    <row r="7204" spans="1:10" x14ac:dyDescent="0.35">
      <c r="A7204" s="2">
        <v>44796</v>
      </c>
      <c r="B7204" s="3">
        <v>0.72369212962962959</v>
      </c>
      <c r="C7204">
        <v>3598</v>
      </c>
      <c r="D7204" t="str">
        <f>VLOOKUP(H7204,Produkt!$A$2:$B$5,2,FALSE)</f>
        <v>D</v>
      </c>
      <c r="H7204">
        <v>4</v>
      </c>
      <c r="I7204">
        <v>8.8657407407407417E-3</v>
      </c>
      <c r="J7204">
        <v>44774</v>
      </c>
    </row>
    <row r="7205" spans="1:10" x14ac:dyDescent="0.35">
      <c r="A7205" s="2">
        <v>44796</v>
      </c>
      <c r="B7205" s="3">
        <v>0.45635416666666667</v>
      </c>
      <c r="C7205">
        <v>3604</v>
      </c>
      <c r="D7205" t="str">
        <f>VLOOKUP(H7205,Produkt!$A$2:$B$5,2,FALSE)</f>
        <v>C</v>
      </c>
      <c r="H7205">
        <v>3</v>
      </c>
      <c r="I7205">
        <v>0.91041666666666676</v>
      </c>
      <c r="J7205">
        <v>44786</v>
      </c>
    </row>
    <row r="7206" spans="1:10" x14ac:dyDescent="0.35">
      <c r="A7206" s="2">
        <v>44796</v>
      </c>
      <c r="B7206" s="3">
        <v>0.71690972222222227</v>
      </c>
      <c r="C7206">
        <v>3610</v>
      </c>
      <c r="D7206" t="str">
        <f>VLOOKUP(H7206,Produkt!$A$2:$B$5,2,FALSE)</f>
        <v>D</v>
      </c>
      <c r="H7206">
        <v>4</v>
      </c>
      <c r="I7206">
        <v>6.9560185185185185E-3</v>
      </c>
      <c r="J7206">
        <v>44784</v>
      </c>
    </row>
    <row r="7207" spans="1:10" x14ac:dyDescent="0.35">
      <c r="A7207" s="2">
        <v>44796</v>
      </c>
      <c r="B7207" s="3">
        <v>0.43</v>
      </c>
      <c r="C7207">
        <v>3611</v>
      </c>
      <c r="D7207" t="str">
        <f>VLOOKUP(H7207,Produkt!$A$2:$B$5,2,FALSE)</f>
        <v>C</v>
      </c>
      <c r="H7207">
        <v>3</v>
      </c>
      <c r="I7207">
        <v>0.41375000000000001</v>
      </c>
      <c r="J7207">
        <v>44783</v>
      </c>
    </row>
    <row r="7208" spans="1:10" x14ac:dyDescent="0.35">
      <c r="A7208" s="2">
        <v>44796</v>
      </c>
      <c r="B7208" s="3">
        <v>0.25593749999999998</v>
      </c>
      <c r="C7208">
        <v>3619</v>
      </c>
      <c r="D7208" t="str">
        <f>VLOOKUP(H7208,Produkt!$A$2:$B$5,2,FALSE)</f>
        <v>D</v>
      </c>
      <c r="H7208">
        <v>4</v>
      </c>
      <c r="I7208">
        <v>0.66508101851851853</v>
      </c>
      <c r="J7208">
        <v>44797</v>
      </c>
    </row>
    <row r="7209" spans="1:10" x14ac:dyDescent="0.35">
      <c r="A7209" s="2">
        <v>44796</v>
      </c>
      <c r="B7209" s="3">
        <v>0.12210648148148147</v>
      </c>
      <c r="C7209">
        <v>3629</v>
      </c>
      <c r="D7209" t="str">
        <f>VLOOKUP(H7209,Produkt!$A$2:$B$5,2,FALSE)</f>
        <v>D</v>
      </c>
      <c r="H7209">
        <v>4</v>
      </c>
      <c r="I7209">
        <v>0.45795138888888887</v>
      </c>
      <c r="J7209">
        <v>44793</v>
      </c>
    </row>
    <row r="7210" spans="1:10" x14ac:dyDescent="0.35">
      <c r="A7210" s="2">
        <v>44796</v>
      </c>
      <c r="B7210" s="3">
        <v>0.65979166666666667</v>
      </c>
      <c r="C7210">
        <v>3648</v>
      </c>
      <c r="D7210" t="str">
        <f>VLOOKUP(H7210,Produkt!$A$2:$B$5,2,FALSE)</f>
        <v>D</v>
      </c>
      <c r="H7210">
        <v>4</v>
      </c>
      <c r="I7210">
        <v>0.62241898148148145</v>
      </c>
      <c r="J7210">
        <v>44799</v>
      </c>
    </row>
    <row r="7211" spans="1:10" x14ac:dyDescent="0.35">
      <c r="A7211" s="2">
        <v>44796</v>
      </c>
      <c r="B7211" s="3">
        <v>0.71052083333333327</v>
      </c>
      <c r="C7211">
        <v>3706</v>
      </c>
      <c r="D7211" t="str">
        <f>VLOOKUP(H7211,Produkt!$A$2:$B$5,2,FALSE)</f>
        <v>B</v>
      </c>
      <c r="H7211">
        <v>2</v>
      </c>
      <c r="I7211">
        <v>0.67332175925925919</v>
      </c>
      <c r="J7211">
        <v>44781</v>
      </c>
    </row>
    <row r="7212" spans="1:10" x14ac:dyDescent="0.35">
      <c r="A7212" s="2">
        <v>44796</v>
      </c>
      <c r="B7212" s="3">
        <v>0.25464120370370369</v>
      </c>
      <c r="C7212">
        <v>3721</v>
      </c>
      <c r="D7212" t="str">
        <f>VLOOKUP(H7212,Produkt!$A$2:$B$5,2,FALSE)</f>
        <v>D</v>
      </c>
      <c r="H7212">
        <v>4</v>
      </c>
      <c r="I7212">
        <v>0.84006944444444442</v>
      </c>
      <c r="J7212">
        <v>44796</v>
      </c>
    </row>
    <row r="7213" spans="1:10" x14ac:dyDescent="0.35">
      <c r="A7213" s="2">
        <v>44796</v>
      </c>
      <c r="B7213" s="3">
        <v>0.25041666666666668</v>
      </c>
      <c r="C7213">
        <v>3775</v>
      </c>
      <c r="D7213" t="str">
        <f>VLOOKUP(H7213,Produkt!$A$2:$B$5,2,FALSE)</f>
        <v>D</v>
      </c>
      <c r="H7213">
        <v>4</v>
      </c>
      <c r="I7213">
        <v>0.22907407407407407</v>
      </c>
      <c r="J7213">
        <v>44779</v>
      </c>
    </row>
    <row r="7214" spans="1:10" x14ac:dyDescent="0.35">
      <c r="A7214" s="2">
        <v>44796</v>
      </c>
      <c r="B7214" s="3">
        <v>0.16581018518518517</v>
      </c>
      <c r="C7214">
        <v>3832</v>
      </c>
      <c r="D7214" t="str">
        <f>VLOOKUP(H7214,Produkt!$A$2:$B$5,2,FALSE)</f>
        <v>B</v>
      </c>
      <c r="H7214">
        <v>2</v>
      </c>
      <c r="I7214">
        <v>0.70604166666666668</v>
      </c>
      <c r="J7214">
        <v>44777</v>
      </c>
    </row>
    <row r="7215" spans="1:10" x14ac:dyDescent="0.35">
      <c r="A7215" s="2">
        <v>44796</v>
      </c>
      <c r="B7215" s="3">
        <v>0.94802083333333342</v>
      </c>
      <c r="C7215">
        <v>3879</v>
      </c>
      <c r="D7215" t="str">
        <f>VLOOKUP(H7215,Produkt!$A$2:$B$5,2,FALSE)</f>
        <v>B</v>
      </c>
      <c r="H7215">
        <v>2</v>
      </c>
      <c r="I7215">
        <v>0.63292824074074072</v>
      </c>
      <c r="J7215">
        <v>44788</v>
      </c>
    </row>
    <row r="7216" spans="1:10" x14ac:dyDescent="0.35">
      <c r="A7216" s="2">
        <v>44796</v>
      </c>
      <c r="B7216" s="3">
        <v>0.52979166666666666</v>
      </c>
      <c r="C7216">
        <v>3936</v>
      </c>
      <c r="D7216" t="str">
        <f>VLOOKUP(H7216,Produkt!$A$2:$B$5,2,FALSE)</f>
        <v>D</v>
      </c>
      <c r="H7216">
        <v>4</v>
      </c>
      <c r="I7216">
        <v>0.82565972222222228</v>
      </c>
      <c r="J7216">
        <v>44783</v>
      </c>
    </row>
    <row r="7217" spans="1:10" x14ac:dyDescent="0.35">
      <c r="A7217" s="2">
        <v>44796</v>
      </c>
      <c r="B7217" s="3">
        <v>0.52252314814814815</v>
      </c>
      <c r="C7217">
        <v>3948</v>
      </c>
      <c r="D7217" t="str">
        <f>VLOOKUP(H7217,Produkt!$A$2:$B$5,2,FALSE)</f>
        <v>B</v>
      </c>
      <c r="H7217">
        <v>2</v>
      </c>
      <c r="I7217">
        <v>9.178240740740741E-2</v>
      </c>
      <c r="J7217">
        <v>44778</v>
      </c>
    </row>
    <row r="7218" spans="1:10" x14ac:dyDescent="0.35">
      <c r="A7218" s="2">
        <v>44796</v>
      </c>
      <c r="B7218" s="3">
        <v>0.22337962962962962</v>
      </c>
      <c r="C7218">
        <v>3963</v>
      </c>
      <c r="D7218" t="str">
        <f>VLOOKUP(H7218,Produkt!$A$2:$B$5,2,FALSE)</f>
        <v>A</v>
      </c>
      <c r="H7218">
        <v>1</v>
      </c>
      <c r="I7218">
        <v>0.86657407407407405</v>
      </c>
      <c r="J7218">
        <v>44794</v>
      </c>
    </row>
    <row r="7219" spans="1:10" x14ac:dyDescent="0.35">
      <c r="A7219" s="2">
        <v>44796</v>
      </c>
      <c r="B7219" s="3">
        <v>1.8194444444444444E-2</v>
      </c>
      <c r="C7219">
        <v>3964</v>
      </c>
      <c r="D7219" t="str">
        <f>VLOOKUP(H7219,Produkt!$A$2:$B$5,2,FALSE)</f>
        <v>C</v>
      </c>
      <c r="H7219">
        <v>3</v>
      </c>
      <c r="I7219">
        <v>0.83709490740740744</v>
      </c>
      <c r="J7219">
        <v>44793</v>
      </c>
    </row>
    <row r="7220" spans="1:10" x14ac:dyDescent="0.35">
      <c r="A7220" s="2">
        <v>44796</v>
      </c>
      <c r="B7220" s="3">
        <v>0.86231481481481476</v>
      </c>
      <c r="C7220">
        <v>3984</v>
      </c>
      <c r="D7220" t="str">
        <f>VLOOKUP(H7220,Produkt!$A$2:$B$5,2,FALSE)</f>
        <v>A</v>
      </c>
      <c r="H7220">
        <v>1</v>
      </c>
      <c r="I7220">
        <v>8.9374999999999996E-2</v>
      </c>
      <c r="J7220">
        <v>44789</v>
      </c>
    </row>
    <row r="7221" spans="1:10" x14ac:dyDescent="0.35">
      <c r="A7221" s="2">
        <v>44796</v>
      </c>
      <c r="B7221" s="3">
        <v>0.62067129629629625</v>
      </c>
      <c r="C7221">
        <v>3986</v>
      </c>
      <c r="D7221" t="str">
        <f>VLOOKUP(H7221,Produkt!$A$2:$B$5,2,FALSE)</f>
        <v>D</v>
      </c>
      <c r="H7221">
        <v>4</v>
      </c>
      <c r="I7221">
        <v>0.4303819444444445</v>
      </c>
      <c r="J7221">
        <v>44791</v>
      </c>
    </row>
    <row r="7222" spans="1:10" x14ac:dyDescent="0.35">
      <c r="A7222" s="2">
        <v>44796</v>
      </c>
      <c r="B7222" s="3">
        <v>0.30813657407407408</v>
      </c>
      <c r="C7222">
        <v>3989</v>
      </c>
      <c r="D7222" t="str">
        <f>VLOOKUP(H7222,Produkt!$A$2:$B$5,2,FALSE)</f>
        <v>A</v>
      </c>
      <c r="H7222">
        <v>1</v>
      </c>
      <c r="I7222">
        <v>0.10907407407407409</v>
      </c>
      <c r="J7222">
        <v>44791</v>
      </c>
    </row>
    <row r="7223" spans="1:10" x14ac:dyDescent="0.35">
      <c r="A7223" s="2">
        <v>44796</v>
      </c>
      <c r="B7223" s="3">
        <v>0.5718981481481481</v>
      </c>
      <c r="C7223">
        <v>4035</v>
      </c>
      <c r="D7223" t="str">
        <f>VLOOKUP(H7223,Produkt!$A$2:$B$5,2,FALSE)</f>
        <v>A</v>
      </c>
      <c r="H7223">
        <v>1</v>
      </c>
      <c r="I7223">
        <v>0.14182870370370371</v>
      </c>
      <c r="J7223">
        <v>44781</v>
      </c>
    </row>
    <row r="7224" spans="1:10" x14ac:dyDescent="0.35">
      <c r="A7224" s="2">
        <v>44796</v>
      </c>
      <c r="B7224" s="3">
        <v>0.46914351851851849</v>
      </c>
      <c r="C7224">
        <v>4095</v>
      </c>
      <c r="D7224" t="str">
        <f>VLOOKUP(H7224,Produkt!$A$2:$B$5,2,FALSE)</f>
        <v>C</v>
      </c>
      <c r="H7224">
        <v>3</v>
      </c>
      <c r="I7224">
        <v>0.70968749999999992</v>
      </c>
      <c r="J7224">
        <v>44779</v>
      </c>
    </row>
    <row r="7225" spans="1:10" x14ac:dyDescent="0.35">
      <c r="A7225" s="2">
        <v>44796</v>
      </c>
      <c r="B7225" s="3">
        <v>0.72880787037037031</v>
      </c>
      <c r="C7225">
        <v>4096</v>
      </c>
      <c r="D7225" t="str">
        <f>VLOOKUP(H7225,Produkt!$A$2:$B$5,2,FALSE)</f>
        <v>C</v>
      </c>
      <c r="H7225">
        <v>3</v>
      </c>
      <c r="I7225">
        <v>0.40490740740740744</v>
      </c>
      <c r="J7225">
        <v>44779</v>
      </c>
    </row>
    <row r="7226" spans="1:10" x14ac:dyDescent="0.35">
      <c r="A7226" s="2">
        <v>44796</v>
      </c>
      <c r="B7226" s="3">
        <v>0.28018518518518515</v>
      </c>
      <c r="C7226">
        <v>4126</v>
      </c>
      <c r="D7226" t="str">
        <f>VLOOKUP(H7226,Produkt!$A$2:$B$5,2,FALSE)</f>
        <v>C</v>
      </c>
      <c r="H7226">
        <v>3</v>
      </c>
      <c r="I7226">
        <v>0.10274305555555556</v>
      </c>
      <c r="J7226">
        <v>44790</v>
      </c>
    </row>
    <row r="7227" spans="1:10" x14ac:dyDescent="0.35">
      <c r="A7227" s="2">
        <v>44796</v>
      </c>
      <c r="B7227" s="3">
        <v>0.2918634259259259</v>
      </c>
      <c r="C7227">
        <v>4181</v>
      </c>
      <c r="D7227" t="str">
        <f>VLOOKUP(H7227,Produkt!$A$2:$B$5,2,FALSE)</f>
        <v>D</v>
      </c>
      <c r="H7227">
        <v>4</v>
      </c>
      <c r="I7227">
        <v>0.83268518518518519</v>
      </c>
      <c r="J7227">
        <v>44794</v>
      </c>
    </row>
    <row r="7228" spans="1:10" x14ac:dyDescent="0.35">
      <c r="A7228" s="2">
        <v>44796</v>
      </c>
      <c r="B7228" s="3">
        <v>0.22493055555555555</v>
      </c>
      <c r="C7228">
        <v>4212</v>
      </c>
      <c r="D7228" t="str">
        <f>VLOOKUP(H7228,Produkt!$A$2:$B$5,2,FALSE)</f>
        <v>A</v>
      </c>
      <c r="H7228">
        <v>1</v>
      </c>
      <c r="I7228">
        <v>0.5230555555555555</v>
      </c>
      <c r="J7228">
        <v>44779</v>
      </c>
    </row>
    <row r="7229" spans="1:10" x14ac:dyDescent="0.35">
      <c r="A7229" s="2">
        <v>44796</v>
      </c>
      <c r="B7229" s="3">
        <v>0.67699074074074073</v>
      </c>
      <c r="C7229">
        <v>4232</v>
      </c>
      <c r="D7229" t="str">
        <f>VLOOKUP(H7229,Produkt!$A$2:$B$5,2,FALSE)</f>
        <v>A</v>
      </c>
      <c r="H7229">
        <v>1</v>
      </c>
      <c r="I7229">
        <v>0.21834490740740742</v>
      </c>
      <c r="J7229">
        <v>44787</v>
      </c>
    </row>
    <row r="7230" spans="1:10" x14ac:dyDescent="0.35">
      <c r="A7230" s="2">
        <v>44796</v>
      </c>
      <c r="B7230" s="3">
        <v>0.51127314814814817</v>
      </c>
      <c r="C7230">
        <v>4236</v>
      </c>
      <c r="D7230" t="str">
        <f>VLOOKUP(H7230,Produkt!$A$2:$B$5,2,FALSE)</f>
        <v>B</v>
      </c>
      <c r="H7230">
        <v>2</v>
      </c>
      <c r="I7230">
        <v>0.96173611111111112</v>
      </c>
      <c r="J7230">
        <v>44792</v>
      </c>
    </row>
    <row r="7231" spans="1:10" x14ac:dyDescent="0.35">
      <c r="A7231" s="2">
        <v>44796</v>
      </c>
      <c r="B7231" s="3">
        <v>0.73084490740740737</v>
      </c>
      <c r="C7231">
        <v>4274</v>
      </c>
      <c r="D7231" t="str">
        <f>VLOOKUP(H7231,Produkt!$A$2:$B$5,2,FALSE)</f>
        <v>A</v>
      </c>
      <c r="H7231">
        <v>1</v>
      </c>
      <c r="I7231">
        <v>0.23358796296296294</v>
      </c>
      <c r="J7231">
        <v>44774</v>
      </c>
    </row>
    <row r="7232" spans="1:10" x14ac:dyDescent="0.35">
      <c r="A7232" s="2">
        <v>44796</v>
      </c>
      <c r="B7232" s="3">
        <v>0.4031481481481482</v>
      </c>
      <c r="C7232">
        <v>4279</v>
      </c>
      <c r="D7232" t="str">
        <f>VLOOKUP(H7232,Produkt!$A$2:$B$5,2,FALSE)</f>
        <v>C</v>
      </c>
      <c r="H7232">
        <v>3</v>
      </c>
      <c r="I7232">
        <v>0.44260416666666669</v>
      </c>
      <c r="J7232">
        <v>44778</v>
      </c>
    </row>
    <row r="7233" spans="1:10" x14ac:dyDescent="0.35">
      <c r="A7233" s="2">
        <v>44796</v>
      </c>
      <c r="B7233" s="3">
        <v>0.55496527777777771</v>
      </c>
      <c r="C7233">
        <v>4299</v>
      </c>
      <c r="D7233" t="str">
        <f>VLOOKUP(H7233,Produkt!$A$2:$B$5,2,FALSE)</f>
        <v>A</v>
      </c>
      <c r="H7233">
        <v>1</v>
      </c>
      <c r="I7233">
        <v>0.43508101851851855</v>
      </c>
      <c r="J7233">
        <v>44796</v>
      </c>
    </row>
    <row r="7234" spans="1:10" x14ac:dyDescent="0.35">
      <c r="A7234" s="2">
        <v>44796</v>
      </c>
      <c r="B7234" s="3">
        <v>0.90209490740740739</v>
      </c>
      <c r="C7234">
        <v>4300</v>
      </c>
      <c r="D7234" t="str">
        <f>VLOOKUP(H7234,Produkt!$A$2:$B$5,2,FALSE)</f>
        <v>C</v>
      </c>
      <c r="H7234">
        <v>3</v>
      </c>
      <c r="I7234">
        <v>0.67822916666666666</v>
      </c>
      <c r="J7234">
        <v>44778</v>
      </c>
    </row>
    <row r="7235" spans="1:10" x14ac:dyDescent="0.35">
      <c r="A7235" s="2">
        <v>44796</v>
      </c>
      <c r="B7235" s="3">
        <v>0.39329861111111114</v>
      </c>
      <c r="C7235">
        <v>4315</v>
      </c>
      <c r="D7235" t="str">
        <f>VLOOKUP(H7235,Produkt!$A$2:$B$5,2,FALSE)</f>
        <v>C</v>
      </c>
      <c r="H7235">
        <v>3</v>
      </c>
      <c r="I7235">
        <v>0.81340277777777781</v>
      </c>
      <c r="J7235">
        <v>44793</v>
      </c>
    </row>
    <row r="7236" spans="1:10" x14ac:dyDescent="0.35">
      <c r="A7236" s="2">
        <v>44796</v>
      </c>
      <c r="B7236" s="3">
        <v>0.53377314814814814</v>
      </c>
      <c r="C7236">
        <v>4393</v>
      </c>
      <c r="D7236" t="str">
        <f>VLOOKUP(H7236,Produkt!$A$2:$B$5,2,FALSE)</f>
        <v>B</v>
      </c>
      <c r="H7236">
        <v>2</v>
      </c>
      <c r="I7236">
        <v>7.4942129629629636E-2</v>
      </c>
      <c r="J7236">
        <v>44804</v>
      </c>
    </row>
    <row r="7237" spans="1:10" x14ac:dyDescent="0.35">
      <c r="A7237" s="2">
        <v>44796</v>
      </c>
      <c r="B7237" s="3">
        <v>0.90099537037037036</v>
      </c>
      <c r="C7237">
        <v>4400</v>
      </c>
      <c r="D7237" t="str">
        <f>VLOOKUP(H7237,Produkt!$A$2:$B$5,2,FALSE)</f>
        <v>A</v>
      </c>
      <c r="H7237">
        <v>1</v>
      </c>
      <c r="I7237">
        <v>0.34180555555555553</v>
      </c>
      <c r="J7237">
        <v>44797</v>
      </c>
    </row>
    <row r="7238" spans="1:10" x14ac:dyDescent="0.35">
      <c r="A7238" s="2">
        <v>44796</v>
      </c>
      <c r="B7238" s="3">
        <v>0.46307870370370369</v>
      </c>
      <c r="C7238">
        <v>4438</v>
      </c>
      <c r="D7238" t="str">
        <f>VLOOKUP(H7238,Produkt!$A$2:$B$5,2,FALSE)</f>
        <v>B</v>
      </c>
      <c r="H7238">
        <v>2</v>
      </c>
      <c r="I7238">
        <v>0.66711805555555559</v>
      </c>
      <c r="J7238">
        <v>44791</v>
      </c>
    </row>
    <row r="7239" spans="1:10" x14ac:dyDescent="0.35">
      <c r="A7239" s="2">
        <v>44796</v>
      </c>
      <c r="B7239" s="3">
        <v>0.50234953703703711</v>
      </c>
      <c r="C7239">
        <v>4440</v>
      </c>
      <c r="D7239" t="str">
        <f>VLOOKUP(H7239,Produkt!$A$2:$B$5,2,FALSE)</f>
        <v>A</v>
      </c>
      <c r="H7239">
        <v>1</v>
      </c>
      <c r="I7239">
        <v>0.9170949074074074</v>
      </c>
      <c r="J7239">
        <v>44780</v>
      </c>
    </row>
    <row r="7240" spans="1:10" x14ac:dyDescent="0.35">
      <c r="A7240" s="2">
        <v>44796</v>
      </c>
      <c r="B7240" s="3">
        <v>0.56591435185185179</v>
      </c>
      <c r="C7240">
        <v>4484</v>
      </c>
      <c r="D7240" t="str">
        <f>VLOOKUP(H7240,Produkt!$A$2:$B$5,2,FALSE)</f>
        <v>A</v>
      </c>
      <c r="H7240">
        <v>1</v>
      </c>
      <c r="I7240">
        <v>0.21840277777777775</v>
      </c>
      <c r="J7240">
        <v>44784</v>
      </c>
    </row>
    <row r="7241" spans="1:10" x14ac:dyDescent="0.35">
      <c r="A7241" s="2">
        <v>44796</v>
      </c>
      <c r="B7241" s="3">
        <v>0.7976388888888889</v>
      </c>
      <c r="C7241">
        <v>4509</v>
      </c>
      <c r="D7241" t="str">
        <f>VLOOKUP(H7241,Produkt!$A$2:$B$5,2,FALSE)</f>
        <v>C</v>
      </c>
      <c r="H7241">
        <v>3</v>
      </c>
      <c r="I7241">
        <v>0.10421296296296297</v>
      </c>
      <c r="J7241">
        <v>44780</v>
      </c>
    </row>
    <row r="7242" spans="1:10" x14ac:dyDescent="0.35">
      <c r="A7242" s="2">
        <v>44796</v>
      </c>
      <c r="B7242" s="3">
        <v>0.82074074074074066</v>
      </c>
      <c r="C7242">
        <v>4555</v>
      </c>
      <c r="D7242" t="str">
        <f>VLOOKUP(H7242,Produkt!$A$2:$B$5,2,FALSE)</f>
        <v>C</v>
      </c>
      <c r="H7242">
        <v>3</v>
      </c>
      <c r="I7242">
        <v>0.83077546296296301</v>
      </c>
      <c r="J7242">
        <v>44801</v>
      </c>
    </row>
    <row r="7243" spans="1:10" x14ac:dyDescent="0.35">
      <c r="A7243" s="2">
        <v>44796</v>
      </c>
      <c r="B7243" s="3">
        <v>0.21822916666666667</v>
      </c>
      <c r="C7243">
        <v>4638</v>
      </c>
      <c r="D7243" t="str">
        <f>VLOOKUP(H7243,Produkt!$A$2:$B$5,2,FALSE)</f>
        <v>B</v>
      </c>
      <c r="H7243">
        <v>2</v>
      </c>
      <c r="I7243">
        <v>0.87059027777777775</v>
      </c>
      <c r="J7243">
        <v>44794</v>
      </c>
    </row>
    <row r="7244" spans="1:10" x14ac:dyDescent="0.35">
      <c r="A7244" s="2">
        <v>44796</v>
      </c>
      <c r="B7244" s="3">
        <v>0.13415509259259259</v>
      </c>
      <c r="C7244">
        <v>4646</v>
      </c>
      <c r="D7244" t="str">
        <f>VLOOKUP(H7244,Produkt!$A$2:$B$5,2,FALSE)</f>
        <v>B</v>
      </c>
      <c r="H7244">
        <v>2</v>
      </c>
      <c r="I7244">
        <v>0.84687499999999993</v>
      </c>
      <c r="J7244">
        <v>44795</v>
      </c>
    </row>
    <row r="7245" spans="1:10" x14ac:dyDescent="0.35">
      <c r="A7245" s="2">
        <v>44796</v>
      </c>
      <c r="B7245" s="3">
        <v>8.8078703703702299E-3</v>
      </c>
      <c r="C7245">
        <v>4661</v>
      </c>
      <c r="D7245" t="str">
        <f>VLOOKUP(H7245,Produkt!$A$2:$B$5,2,FALSE)</f>
        <v>C</v>
      </c>
      <c r="H7245">
        <v>3</v>
      </c>
      <c r="I7245">
        <v>0.49003472222222227</v>
      </c>
      <c r="J7245">
        <v>44785</v>
      </c>
    </row>
    <row r="7246" spans="1:10" x14ac:dyDescent="0.35">
      <c r="A7246" s="2">
        <v>44796</v>
      </c>
      <c r="B7246" s="3">
        <v>2.6689814814814816E-2</v>
      </c>
      <c r="C7246">
        <v>4767</v>
      </c>
      <c r="D7246" t="str">
        <f>VLOOKUP(H7246,Produkt!$A$2:$B$5,2,FALSE)</f>
        <v>B</v>
      </c>
      <c r="H7246">
        <v>2</v>
      </c>
      <c r="I7246">
        <v>0.23609953703703704</v>
      </c>
      <c r="J7246">
        <v>44777</v>
      </c>
    </row>
    <row r="7247" spans="1:10" x14ac:dyDescent="0.35">
      <c r="A7247" s="2">
        <v>44796</v>
      </c>
      <c r="B7247" s="3">
        <v>6.0879629629629643E-3</v>
      </c>
      <c r="C7247">
        <v>4776</v>
      </c>
      <c r="D7247" t="str">
        <f>VLOOKUP(H7247,Produkt!$A$2:$B$5,2,FALSE)</f>
        <v>C</v>
      </c>
      <c r="H7247">
        <v>3</v>
      </c>
      <c r="I7247">
        <v>0.29773148148148149</v>
      </c>
      <c r="J7247">
        <v>44800</v>
      </c>
    </row>
    <row r="7248" spans="1:10" x14ac:dyDescent="0.35">
      <c r="A7248" s="2">
        <v>44796</v>
      </c>
      <c r="B7248" s="3">
        <v>0.8014930555555555</v>
      </c>
      <c r="C7248">
        <v>4784</v>
      </c>
      <c r="D7248" t="str">
        <f>VLOOKUP(H7248,Produkt!$A$2:$B$5,2,FALSE)</f>
        <v>A</v>
      </c>
      <c r="H7248">
        <v>1</v>
      </c>
      <c r="I7248">
        <v>0.41667824074074072</v>
      </c>
      <c r="J7248">
        <v>44801</v>
      </c>
    </row>
    <row r="7249" spans="1:10" x14ac:dyDescent="0.35">
      <c r="A7249" s="2">
        <v>44796</v>
      </c>
      <c r="B7249" s="3">
        <v>0.19000000000000003</v>
      </c>
      <c r="C7249">
        <v>4885</v>
      </c>
      <c r="D7249" t="str">
        <f>VLOOKUP(H7249,Produkt!$A$2:$B$5,2,FALSE)</f>
        <v>D</v>
      </c>
      <c r="H7249">
        <v>4</v>
      </c>
      <c r="I7249">
        <v>0.74572916666666667</v>
      </c>
      <c r="J7249">
        <v>44797</v>
      </c>
    </row>
    <row r="7250" spans="1:10" x14ac:dyDescent="0.35">
      <c r="A7250" s="2">
        <v>44796</v>
      </c>
      <c r="B7250" s="3">
        <v>0.70975694444444448</v>
      </c>
      <c r="C7250">
        <v>4993</v>
      </c>
      <c r="D7250" t="str">
        <f>VLOOKUP(H7250,Produkt!$A$2:$B$5,2,FALSE)</f>
        <v>C</v>
      </c>
      <c r="H7250">
        <v>3</v>
      </c>
      <c r="I7250">
        <v>0.27046296296296296</v>
      </c>
      <c r="J7250">
        <v>44799</v>
      </c>
    </row>
    <row r="7251" spans="1:10" x14ac:dyDescent="0.35">
      <c r="A7251" s="2">
        <v>44796</v>
      </c>
      <c r="B7251" s="3">
        <v>0.48440972222222217</v>
      </c>
      <c r="C7251">
        <v>5116</v>
      </c>
      <c r="D7251" t="str">
        <f>VLOOKUP(H7251,Produkt!$A$2:$B$5,2,FALSE)</f>
        <v>C</v>
      </c>
      <c r="H7251">
        <v>3</v>
      </c>
      <c r="I7251">
        <v>0.87581018518518527</v>
      </c>
      <c r="J7251">
        <v>44791</v>
      </c>
    </row>
    <row r="7252" spans="1:10" x14ac:dyDescent="0.35">
      <c r="A7252" s="2">
        <v>44796</v>
      </c>
      <c r="B7252" s="3">
        <v>0.44876157407407408</v>
      </c>
      <c r="C7252">
        <v>5154</v>
      </c>
      <c r="D7252" t="str">
        <f>VLOOKUP(H7252,Produkt!$A$2:$B$5,2,FALSE)</f>
        <v>C</v>
      </c>
      <c r="H7252">
        <v>3</v>
      </c>
      <c r="I7252">
        <v>0.68325231481481474</v>
      </c>
      <c r="J7252">
        <v>44800</v>
      </c>
    </row>
    <row r="7253" spans="1:10" x14ac:dyDescent="0.35">
      <c r="A7253" s="2">
        <v>44796</v>
      </c>
      <c r="B7253" s="3">
        <v>0.79200231481481476</v>
      </c>
      <c r="C7253">
        <v>5159</v>
      </c>
      <c r="D7253" t="str">
        <f>VLOOKUP(H7253,Produkt!$A$2:$B$5,2,FALSE)</f>
        <v>D</v>
      </c>
      <c r="H7253">
        <v>4</v>
      </c>
      <c r="I7253">
        <v>2.0370370370370373E-3</v>
      </c>
      <c r="J7253">
        <v>44789</v>
      </c>
    </row>
    <row r="7254" spans="1:10" x14ac:dyDescent="0.35">
      <c r="A7254" s="2">
        <v>44796</v>
      </c>
      <c r="B7254" s="3">
        <v>0.80083333333333329</v>
      </c>
      <c r="C7254">
        <v>5188</v>
      </c>
      <c r="D7254" t="str">
        <f>VLOOKUP(H7254,Produkt!$A$2:$B$5,2,FALSE)</f>
        <v>C</v>
      </c>
      <c r="H7254">
        <v>3</v>
      </c>
      <c r="I7254">
        <v>0.31570601851851854</v>
      </c>
      <c r="J7254">
        <v>44780</v>
      </c>
    </row>
    <row r="7255" spans="1:10" x14ac:dyDescent="0.35">
      <c r="A7255" s="2">
        <v>44796</v>
      </c>
      <c r="B7255" s="3">
        <v>0.83280092592592592</v>
      </c>
      <c r="C7255">
        <v>5207</v>
      </c>
      <c r="D7255" t="str">
        <f>VLOOKUP(H7255,Produkt!$A$2:$B$5,2,FALSE)</f>
        <v>D</v>
      </c>
      <c r="H7255">
        <v>4</v>
      </c>
      <c r="I7255">
        <v>0.68057870370370377</v>
      </c>
      <c r="J7255">
        <v>44788</v>
      </c>
    </row>
    <row r="7256" spans="1:10" x14ac:dyDescent="0.35">
      <c r="A7256" s="2">
        <v>44796</v>
      </c>
      <c r="B7256" s="3">
        <v>0.53826388888888888</v>
      </c>
      <c r="C7256">
        <v>5213</v>
      </c>
      <c r="D7256" t="str">
        <f>VLOOKUP(H7256,Produkt!$A$2:$B$5,2,FALSE)</f>
        <v>A</v>
      </c>
      <c r="H7256">
        <v>1</v>
      </c>
      <c r="I7256">
        <v>0.60430555555555554</v>
      </c>
      <c r="J7256">
        <v>44793</v>
      </c>
    </row>
    <row r="7257" spans="1:10" x14ac:dyDescent="0.35">
      <c r="A7257" s="2">
        <v>44796</v>
      </c>
      <c r="B7257" s="3">
        <v>0.57938657407407412</v>
      </c>
      <c r="C7257">
        <v>5221</v>
      </c>
      <c r="D7257" t="str">
        <f>VLOOKUP(H7257,Produkt!$A$2:$B$5,2,FALSE)</f>
        <v>D</v>
      </c>
      <c r="H7257">
        <v>4</v>
      </c>
      <c r="I7257">
        <v>0.79222222222222216</v>
      </c>
      <c r="J7257">
        <v>44789</v>
      </c>
    </row>
    <row r="7258" spans="1:10" x14ac:dyDescent="0.35">
      <c r="A7258" s="2">
        <v>44796</v>
      </c>
      <c r="B7258" s="3">
        <v>0.24079861111111112</v>
      </c>
      <c r="C7258">
        <v>5228</v>
      </c>
      <c r="D7258" t="str">
        <f>VLOOKUP(H7258,Produkt!$A$2:$B$5,2,FALSE)</f>
        <v>B</v>
      </c>
      <c r="H7258">
        <v>2</v>
      </c>
      <c r="I7258">
        <v>0.42158564814814814</v>
      </c>
      <c r="J7258">
        <v>44794</v>
      </c>
    </row>
    <row r="7259" spans="1:10" x14ac:dyDescent="0.35">
      <c r="A7259" s="2">
        <v>44796</v>
      </c>
      <c r="B7259" s="3">
        <v>0.33562500000000001</v>
      </c>
      <c r="C7259">
        <v>5261</v>
      </c>
      <c r="D7259" t="str">
        <f>VLOOKUP(H7259,Produkt!$A$2:$B$5,2,FALSE)</f>
        <v>B</v>
      </c>
      <c r="H7259">
        <v>2</v>
      </c>
      <c r="I7259">
        <v>0.97891203703703711</v>
      </c>
      <c r="J7259">
        <v>44789</v>
      </c>
    </row>
    <row r="7260" spans="1:10" x14ac:dyDescent="0.35">
      <c r="A7260" s="2">
        <v>44796</v>
      </c>
      <c r="B7260" s="3">
        <v>0.60055555555555562</v>
      </c>
      <c r="C7260">
        <v>5306</v>
      </c>
      <c r="D7260" t="str">
        <f>VLOOKUP(H7260,Produkt!$A$2:$B$5,2,FALSE)</f>
        <v>C</v>
      </c>
      <c r="H7260">
        <v>3</v>
      </c>
      <c r="I7260">
        <v>0.85259259259259268</v>
      </c>
      <c r="J7260">
        <v>44780</v>
      </c>
    </row>
    <row r="7261" spans="1:10" x14ac:dyDescent="0.35">
      <c r="A7261" s="2">
        <v>44796</v>
      </c>
      <c r="B7261" s="3">
        <v>0.97016203703703707</v>
      </c>
      <c r="C7261">
        <v>5358</v>
      </c>
      <c r="D7261" t="str">
        <f>VLOOKUP(H7261,Produkt!$A$2:$B$5,2,FALSE)</f>
        <v>A</v>
      </c>
      <c r="H7261">
        <v>1</v>
      </c>
      <c r="I7261">
        <v>2.5555555555555554E-2</v>
      </c>
      <c r="J7261">
        <v>44800</v>
      </c>
    </row>
    <row r="7262" spans="1:10" x14ac:dyDescent="0.35">
      <c r="A7262" s="2">
        <v>44796</v>
      </c>
      <c r="B7262" s="3">
        <v>0.74023148148148143</v>
      </c>
      <c r="C7262">
        <v>5411</v>
      </c>
      <c r="D7262" t="str">
        <f>VLOOKUP(H7262,Produkt!$A$2:$B$5,2,FALSE)</f>
        <v>D</v>
      </c>
      <c r="H7262">
        <v>4</v>
      </c>
      <c r="I7262">
        <v>0.51001157407407405</v>
      </c>
      <c r="J7262">
        <v>44801</v>
      </c>
    </row>
    <row r="7263" spans="1:10" x14ac:dyDescent="0.35">
      <c r="A7263" s="2">
        <v>44796</v>
      </c>
      <c r="B7263" s="3">
        <v>0.38068287037037035</v>
      </c>
      <c r="C7263">
        <v>5453</v>
      </c>
      <c r="D7263" t="str">
        <f>VLOOKUP(H7263,Produkt!$A$2:$B$5,2,FALSE)</f>
        <v>D</v>
      </c>
      <c r="H7263">
        <v>4</v>
      </c>
      <c r="I7263">
        <v>0.377962962962963</v>
      </c>
      <c r="J7263">
        <v>44778</v>
      </c>
    </row>
    <row r="7264" spans="1:10" x14ac:dyDescent="0.35">
      <c r="A7264" s="2">
        <v>44796</v>
      </c>
      <c r="B7264" s="3">
        <v>0.77410879629629636</v>
      </c>
      <c r="C7264">
        <v>5464</v>
      </c>
      <c r="D7264" t="str">
        <f>VLOOKUP(H7264,Produkt!$A$2:$B$5,2,FALSE)</f>
        <v>D</v>
      </c>
      <c r="H7264">
        <v>4</v>
      </c>
      <c r="I7264">
        <v>0.43388888888888894</v>
      </c>
      <c r="J7264">
        <v>44789</v>
      </c>
    </row>
    <row r="7265" spans="1:10" x14ac:dyDescent="0.35">
      <c r="A7265" s="2">
        <v>44796</v>
      </c>
      <c r="B7265" s="3">
        <v>0.24722222222222223</v>
      </c>
      <c r="C7265">
        <v>5478</v>
      </c>
      <c r="D7265" t="str">
        <f>VLOOKUP(H7265,Produkt!$A$2:$B$5,2,FALSE)</f>
        <v>B</v>
      </c>
      <c r="H7265">
        <v>2</v>
      </c>
      <c r="I7265">
        <v>0.80038194444444455</v>
      </c>
      <c r="J7265">
        <v>44791</v>
      </c>
    </row>
    <row r="7266" spans="1:10" x14ac:dyDescent="0.35">
      <c r="A7266" s="2">
        <v>44796</v>
      </c>
      <c r="B7266" s="3">
        <v>7.1979166666666664E-2</v>
      </c>
      <c r="C7266">
        <v>5500</v>
      </c>
      <c r="D7266" t="str">
        <f>VLOOKUP(H7266,Produkt!$A$2:$B$5,2,FALSE)</f>
        <v>C</v>
      </c>
      <c r="H7266">
        <v>3</v>
      </c>
      <c r="I7266">
        <v>7.8935185185184942E-3</v>
      </c>
      <c r="J7266">
        <v>44793</v>
      </c>
    </row>
    <row r="7267" spans="1:10" x14ac:dyDescent="0.35">
      <c r="A7267" s="2">
        <v>44796</v>
      </c>
      <c r="B7267" s="3">
        <v>0.22609953703703703</v>
      </c>
      <c r="C7267">
        <v>5509</v>
      </c>
      <c r="D7267" t="str">
        <f>VLOOKUP(H7267,Produkt!$A$2:$B$5,2,FALSE)</f>
        <v>D</v>
      </c>
      <c r="H7267">
        <v>4</v>
      </c>
      <c r="I7267">
        <v>0.86488425925925927</v>
      </c>
      <c r="J7267">
        <v>44777</v>
      </c>
    </row>
    <row r="7268" spans="1:10" x14ac:dyDescent="0.35">
      <c r="A7268" s="2">
        <v>44796</v>
      </c>
      <c r="B7268" s="3">
        <v>0.26821759259259259</v>
      </c>
      <c r="C7268">
        <v>5522</v>
      </c>
      <c r="D7268" t="str">
        <f>VLOOKUP(H7268,Produkt!$A$2:$B$5,2,FALSE)</f>
        <v>A</v>
      </c>
      <c r="H7268">
        <v>1</v>
      </c>
      <c r="I7268">
        <v>0.16874999999999998</v>
      </c>
      <c r="J7268">
        <v>44782</v>
      </c>
    </row>
    <row r="7269" spans="1:10" x14ac:dyDescent="0.35">
      <c r="A7269" s="2">
        <v>44796</v>
      </c>
      <c r="B7269" s="3">
        <v>0.88293981481481476</v>
      </c>
      <c r="C7269">
        <v>5533</v>
      </c>
      <c r="D7269" t="str">
        <f>VLOOKUP(H7269,Produkt!$A$2:$B$5,2,FALSE)</f>
        <v>A</v>
      </c>
      <c r="H7269">
        <v>1</v>
      </c>
      <c r="I7269">
        <v>0.47924768518518518</v>
      </c>
      <c r="J7269">
        <v>44784</v>
      </c>
    </row>
    <row r="7270" spans="1:10" x14ac:dyDescent="0.35">
      <c r="A7270" s="2">
        <v>44796</v>
      </c>
      <c r="B7270" s="3">
        <v>0.40954861111111113</v>
      </c>
      <c r="C7270">
        <v>5559</v>
      </c>
      <c r="D7270" t="str">
        <f>VLOOKUP(H7270,Produkt!$A$2:$B$5,2,FALSE)</f>
        <v>C</v>
      </c>
      <c r="H7270">
        <v>3</v>
      </c>
      <c r="I7270">
        <v>0.36731481481481482</v>
      </c>
      <c r="J7270">
        <v>44774</v>
      </c>
    </row>
    <row r="7271" spans="1:10" x14ac:dyDescent="0.35">
      <c r="A7271" s="2">
        <v>44796</v>
      </c>
      <c r="B7271" s="3">
        <v>0.32959490740740743</v>
      </c>
      <c r="C7271">
        <v>5590</v>
      </c>
      <c r="D7271" t="str">
        <f>VLOOKUP(H7271,Produkt!$A$2:$B$5,2,FALSE)</f>
        <v>C</v>
      </c>
      <c r="H7271">
        <v>3</v>
      </c>
      <c r="I7271">
        <v>0.60385416666666669</v>
      </c>
      <c r="J7271">
        <v>44774</v>
      </c>
    </row>
    <row r="7272" spans="1:10" x14ac:dyDescent="0.35">
      <c r="A7272" s="2">
        <v>44796</v>
      </c>
      <c r="B7272" s="3">
        <v>0.82937500000000008</v>
      </c>
      <c r="C7272">
        <v>5677</v>
      </c>
      <c r="D7272" t="str">
        <f>VLOOKUP(H7272,Produkt!$A$2:$B$5,2,FALSE)</f>
        <v>A</v>
      </c>
      <c r="H7272">
        <v>1</v>
      </c>
      <c r="I7272">
        <v>0.74197916666666675</v>
      </c>
      <c r="J7272">
        <v>44784</v>
      </c>
    </row>
    <row r="7273" spans="1:10" x14ac:dyDescent="0.35">
      <c r="A7273" s="2">
        <v>44796</v>
      </c>
      <c r="B7273" s="3">
        <v>0.59237268518518515</v>
      </c>
      <c r="C7273">
        <v>5723</v>
      </c>
      <c r="D7273" t="str">
        <f>VLOOKUP(H7273,Produkt!$A$2:$B$5,2,FALSE)</f>
        <v>A</v>
      </c>
      <c r="H7273">
        <v>1</v>
      </c>
      <c r="I7273">
        <v>0.68526620370370372</v>
      </c>
      <c r="J7273">
        <v>44799</v>
      </c>
    </row>
    <row r="7274" spans="1:10" x14ac:dyDescent="0.35">
      <c r="A7274" s="2">
        <v>44796</v>
      </c>
      <c r="B7274" s="3">
        <v>1.9212962962962963E-2</v>
      </c>
      <c r="C7274">
        <v>5779</v>
      </c>
      <c r="D7274" t="str">
        <f>VLOOKUP(H7274,Produkt!$A$2:$B$5,2,FALSE)</f>
        <v>A</v>
      </c>
      <c r="H7274">
        <v>1</v>
      </c>
      <c r="I7274">
        <v>4.4085648148148145E-2</v>
      </c>
      <c r="J7274">
        <v>44788</v>
      </c>
    </row>
    <row r="7275" spans="1:10" x14ac:dyDescent="0.35">
      <c r="A7275" s="2">
        <v>44796</v>
      </c>
      <c r="B7275" s="3">
        <v>0.76211805555555545</v>
      </c>
      <c r="C7275">
        <v>5818</v>
      </c>
      <c r="D7275" t="str">
        <f>VLOOKUP(H7275,Produkt!$A$2:$B$5,2,FALSE)</f>
        <v>B</v>
      </c>
      <c r="H7275">
        <v>2</v>
      </c>
      <c r="I7275">
        <v>0.22570601851851854</v>
      </c>
      <c r="J7275">
        <v>44804</v>
      </c>
    </row>
    <row r="7276" spans="1:10" x14ac:dyDescent="0.35">
      <c r="A7276" s="2">
        <v>44796</v>
      </c>
      <c r="B7276" s="3">
        <v>0.87959490740740742</v>
      </c>
      <c r="C7276">
        <v>5823</v>
      </c>
      <c r="D7276" t="str">
        <f>VLOOKUP(H7276,Produkt!$A$2:$B$5,2,FALSE)</f>
        <v>A</v>
      </c>
      <c r="H7276">
        <v>1</v>
      </c>
      <c r="I7276">
        <v>0.82015046296296301</v>
      </c>
      <c r="J7276">
        <v>44777</v>
      </c>
    </row>
    <row r="7277" spans="1:10" x14ac:dyDescent="0.35">
      <c r="A7277" s="2">
        <v>44796</v>
      </c>
      <c r="B7277" s="3">
        <v>0.53408564814814818</v>
      </c>
      <c r="C7277">
        <v>5827</v>
      </c>
      <c r="D7277" t="str">
        <f>VLOOKUP(H7277,Produkt!$A$2:$B$5,2,FALSE)</f>
        <v>B</v>
      </c>
      <c r="H7277">
        <v>2</v>
      </c>
      <c r="I7277">
        <v>0.37434027777777779</v>
      </c>
      <c r="J7277">
        <v>44783</v>
      </c>
    </row>
    <row r="7278" spans="1:10" x14ac:dyDescent="0.35">
      <c r="A7278" s="2">
        <v>44796</v>
      </c>
      <c r="B7278" s="3">
        <v>0.86460648148148145</v>
      </c>
      <c r="C7278">
        <v>5867</v>
      </c>
      <c r="D7278" t="str">
        <f>VLOOKUP(H7278,Produkt!$A$2:$B$5,2,FALSE)</f>
        <v>C</v>
      </c>
      <c r="H7278">
        <v>3</v>
      </c>
      <c r="I7278">
        <v>0.4704976851851852</v>
      </c>
      <c r="J7278">
        <v>44792</v>
      </c>
    </row>
    <row r="7279" spans="1:10" x14ac:dyDescent="0.35">
      <c r="A7279" s="2">
        <v>44796</v>
      </c>
      <c r="B7279" s="3">
        <v>0.34494212962962961</v>
      </c>
      <c r="C7279">
        <v>5948</v>
      </c>
      <c r="D7279" t="str">
        <f>VLOOKUP(H7279,Produkt!$A$2:$B$5,2,FALSE)</f>
        <v>A</v>
      </c>
      <c r="H7279">
        <v>1</v>
      </c>
      <c r="I7279">
        <v>0.18097222222222223</v>
      </c>
      <c r="J7279">
        <v>44801</v>
      </c>
    </row>
    <row r="7280" spans="1:10" x14ac:dyDescent="0.35">
      <c r="A7280" s="2">
        <v>44796</v>
      </c>
      <c r="B7280" s="3">
        <v>0.90535879629629623</v>
      </c>
      <c r="C7280">
        <v>6043</v>
      </c>
      <c r="D7280" t="str">
        <f>VLOOKUP(H7280,Produkt!$A$2:$B$5,2,FALSE)</f>
        <v>C</v>
      </c>
      <c r="H7280">
        <v>3</v>
      </c>
      <c r="I7280">
        <v>1.375E-2</v>
      </c>
      <c r="J7280">
        <v>44804</v>
      </c>
    </row>
    <row r="7281" spans="1:10" x14ac:dyDescent="0.35">
      <c r="A7281" s="2">
        <v>44796</v>
      </c>
      <c r="B7281" s="3">
        <v>8.3622685185185189E-2</v>
      </c>
      <c r="C7281">
        <v>6098</v>
      </c>
      <c r="D7281" t="str">
        <f>VLOOKUP(H7281,Produkt!$A$2:$B$5,2,FALSE)</f>
        <v>A</v>
      </c>
      <c r="H7281">
        <v>1</v>
      </c>
      <c r="I7281">
        <v>0.78648148148148145</v>
      </c>
      <c r="J7281">
        <v>44786</v>
      </c>
    </row>
    <row r="7282" spans="1:10" x14ac:dyDescent="0.35">
      <c r="A7282" s="2">
        <v>44796</v>
      </c>
      <c r="B7282" s="3">
        <v>0.76224537037037043</v>
      </c>
      <c r="C7282">
        <v>6103</v>
      </c>
      <c r="D7282" t="str">
        <f>VLOOKUP(H7282,Produkt!$A$2:$B$5,2,FALSE)</f>
        <v>D</v>
      </c>
      <c r="H7282">
        <v>4</v>
      </c>
      <c r="I7282">
        <v>0.85393518518518519</v>
      </c>
      <c r="J7282">
        <v>44800</v>
      </c>
    </row>
    <row r="7283" spans="1:10" x14ac:dyDescent="0.35">
      <c r="A7283" s="2">
        <v>44796</v>
      </c>
      <c r="B7283" s="3">
        <v>0.95950231481481485</v>
      </c>
      <c r="C7283">
        <v>6110</v>
      </c>
      <c r="D7283" t="str">
        <f>VLOOKUP(H7283,Produkt!$A$2:$B$5,2,FALSE)</f>
        <v>D</v>
      </c>
      <c r="H7283">
        <v>4</v>
      </c>
      <c r="I7283">
        <v>0.69620370370370377</v>
      </c>
      <c r="J7283">
        <v>44786</v>
      </c>
    </row>
    <row r="7284" spans="1:10" x14ac:dyDescent="0.35">
      <c r="A7284" s="2">
        <v>44796</v>
      </c>
      <c r="B7284" s="3">
        <v>0.89504629629629628</v>
      </c>
      <c r="C7284">
        <v>6236</v>
      </c>
      <c r="D7284" t="str">
        <f>VLOOKUP(H7284,Produkt!$A$2:$B$5,2,FALSE)</f>
        <v>D</v>
      </c>
      <c r="H7284">
        <v>4</v>
      </c>
      <c r="I7284">
        <v>1.8321759259259274E-2</v>
      </c>
      <c r="J7284">
        <v>44792</v>
      </c>
    </row>
    <row r="7285" spans="1:10" x14ac:dyDescent="0.35">
      <c r="A7285" s="2">
        <v>44796</v>
      </c>
      <c r="B7285" s="3">
        <v>0.74341435185185178</v>
      </c>
      <c r="C7285">
        <v>6248</v>
      </c>
      <c r="D7285" t="str">
        <f>VLOOKUP(H7285,Produkt!$A$2:$B$5,2,FALSE)</f>
        <v>D</v>
      </c>
      <c r="H7285">
        <v>4</v>
      </c>
      <c r="I7285">
        <v>0.85295138888888899</v>
      </c>
      <c r="J7285">
        <v>44781</v>
      </c>
    </row>
    <row r="7286" spans="1:10" x14ac:dyDescent="0.35">
      <c r="A7286" s="2">
        <v>44796</v>
      </c>
      <c r="B7286" s="3">
        <v>0.51951388888888894</v>
      </c>
      <c r="C7286">
        <v>6281</v>
      </c>
      <c r="D7286" t="str">
        <f>VLOOKUP(H7286,Produkt!$A$2:$B$5,2,FALSE)</f>
        <v>D</v>
      </c>
      <c r="H7286">
        <v>4</v>
      </c>
      <c r="I7286">
        <v>0.49692129629629633</v>
      </c>
      <c r="J7286">
        <v>44789</v>
      </c>
    </row>
    <row r="7287" spans="1:10" x14ac:dyDescent="0.35">
      <c r="A7287" s="2">
        <v>44796</v>
      </c>
      <c r="B7287" s="3">
        <v>8.3981481481481476E-2</v>
      </c>
      <c r="C7287">
        <v>6284</v>
      </c>
      <c r="D7287" t="str">
        <f>VLOOKUP(H7287,Produkt!$A$2:$B$5,2,FALSE)</f>
        <v>C</v>
      </c>
      <c r="H7287">
        <v>3</v>
      </c>
      <c r="I7287">
        <v>0.15902777777777777</v>
      </c>
      <c r="J7287">
        <v>44779</v>
      </c>
    </row>
    <row r="7288" spans="1:10" x14ac:dyDescent="0.35">
      <c r="A7288" s="2">
        <v>44796</v>
      </c>
      <c r="B7288" s="3">
        <v>0.45423611111111112</v>
      </c>
      <c r="C7288">
        <v>6353</v>
      </c>
      <c r="D7288" t="str">
        <f>VLOOKUP(H7288,Produkt!$A$2:$B$5,2,FALSE)</f>
        <v>D</v>
      </c>
      <c r="H7288">
        <v>4</v>
      </c>
      <c r="I7288">
        <v>0.3366898148148148</v>
      </c>
      <c r="J7288">
        <v>44787</v>
      </c>
    </row>
    <row r="7289" spans="1:10" x14ac:dyDescent="0.35">
      <c r="A7289" s="2">
        <v>44796</v>
      </c>
      <c r="B7289" s="3">
        <v>0.11578703703703704</v>
      </c>
      <c r="C7289">
        <v>6380</v>
      </c>
      <c r="D7289" t="str">
        <f>VLOOKUP(H7289,Produkt!$A$2:$B$5,2,FALSE)</f>
        <v>B</v>
      </c>
      <c r="H7289">
        <v>2</v>
      </c>
      <c r="I7289">
        <v>0.98424768518518524</v>
      </c>
      <c r="J7289">
        <v>44788</v>
      </c>
    </row>
    <row r="7290" spans="1:10" x14ac:dyDescent="0.35">
      <c r="A7290" s="2">
        <v>44796</v>
      </c>
      <c r="B7290" s="3">
        <v>0.14224537037037036</v>
      </c>
      <c r="C7290">
        <v>6466</v>
      </c>
      <c r="D7290" t="str">
        <f>VLOOKUP(H7290,Produkt!$A$2:$B$5,2,FALSE)</f>
        <v>A</v>
      </c>
      <c r="H7290">
        <v>1</v>
      </c>
      <c r="I7290">
        <v>0.62991898148148151</v>
      </c>
      <c r="J7290">
        <v>44788</v>
      </c>
    </row>
    <row r="7291" spans="1:10" x14ac:dyDescent="0.35">
      <c r="A7291" s="2">
        <v>44796</v>
      </c>
      <c r="B7291" s="3">
        <v>0.67741898148148139</v>
      </c>
      <c r="C7291">
        <v>6470</v>
      </c>
      <c r="D7291" t="str">
        <f>VLOOKUP(H7291,Produkt!$A$2:$B$5,2,FALSE)</f>
        <v>B</v>
      </c>
      <c r="H7291">
        <v>2</v>
      </c>
      <c r="I7291">
        <v>0.60048611111111116</v>
      </c>
      <c r="J7291">
        <v>44790</v>
      </c>
    </row>
    <row r="7292" spans="1:10" x14ac:dyDescent="0.35">
      <c r="A7292" s="2">
        <v>44796</v>
      </c>
      <c r="B7292" s="3">
        <v>0.58802083333333333</v>
      </c>
      <c r="C7292">
        <v>6477</v>
      </c>
      <c r="D7292" t="str">
        <f>VLOOKUP(H7292,Produkt!$A$2:$B$5,2,FALSE)</f>
        <v>D</v>
      </c>
      <c r="H7292">
        <v>4</v>
      </c>
      <c r="I7292">
        <v>0.3553587962962963</v>
      </c>
      <c r="J7292">
        <v>44785</v>
      </c>
    </row>
    <row r="7293" spans="1:10" x14ac:dyDescent="0.35">
      <c r="A7293" s="2">
        <v>44796</v>
      </c>
      <c r="B7293" s="3">
        <v>0.63680555555555551</v>
      </c>
      <c r="C7293">
        <v>6479</v>
      </c>
      <c r="D7293" t="str">
        <f>VLOOKUP(H7293,Produkt!$A$2:$B$5,2,FALSE)</f>
        <v>D</v>
      </c>
      <c r="H7293">
        <v>4</v>
      </c>
      <c r="I7293">
        <v>0.18357638888888891</v>
      </c>
      <c r="J7293">
        <v>44781</v>
      </c>
    </row>
    <row r="7294" spans="1:10" x14ac:dyDescent="0.35">
      <c r="A7294" s="2">
        <v>44796</v>
      </c>
      <c r="B7294" s="3">
        <v>0.75105324074074076</v>
      </c>
      <c r="C7294">
        <v>6498</v>
      </c>
      <c r="D7294" t="str">
        <f>VLOOKUP(H7294,Produkt!$A$2:$B$5,2,FALSE)</f>
        <v>C</v>
      </c>
      <c r="H7294">
        <v>3</v>
      </c>
      <c r="I7294">
        <v>0.21585648148148148</v>
      </c>
      <c r="J7294">
        <v>44778</v>
      </c>
    </row>
    <row r="7295" spans="1:10" x14ac:dyDescent="0.35">
      <c r="A7295" s="2">
        <v>44796</v>
      </c>
      <c r="B7295" s="3">
        <v>2.7662037037037034E-3</v>
      </c>
      <c r="C7295">
        <v>6538</v>
      </c>
      <c r="D7295" t="str">
        <f>VLOOKUP(H7295,Produkt!$A$2:$B$5,2,FALSE)</f>
        <v>A</v>
      </c>
      <c r="H7295">
        <v>1</v>
      </c>
      <c r="I7295">
        <v>0.95347222222222217</v>
      </c>
      <c r="J7295">
        <v>44775</v>
      </c>
    </row>
    <row r="7296" spans="1:10" x14ac:dyDescent="0.35">
      <c r="A7296" s="2">
        <v>44796</v>
      </c>
      <c r="B7296" s="3">
        <v>0.22849537037037038</v>
      </c>
      <c r="C7296">
        <v>6549</v>
      </c>
      <c r="D7296" t="str">
        <f>VLOOKUP(H7296,Produkt!$A$2:$B$5,2,FALSE)</f>
        <v>B</v>
      </c>
      <c r="H7296">
        <v>2</v>
      </c>
      <c r="I7296">
        <v>0.873113425925926</v>
      </c>
      <c r="J7296">
        <v>44783</v>
      </c>
    </row>
    <row r="7297" spans="1:10" x14ac:dyDescent="0.35">
      <c r="A7297" s="2">
        <v>44796</v>
      </c>
      <c r="B7297" s="3">
        <v>0.49008101851851849</v>
      </c>
      <c r="C7297">
        <v>6575</v>
      </c>
      <c r="D7297" t="str">
        <f>VLOOKUP(H7297,Produkt!$A$2:$B$5,2,FALSE)</f>
        <v>D</v>
      </c>
      <c r="H7297">
        <v>4</v>
      </c>
      <c r="I7297">
        <v>0.35788194444444449</v>
      </c>
      <c r="J7297">
        <v>44774</v>
      </c>
    </row>
    <row r="7298" spans="1:10" x14ac:dyDescent="0.35">
      <c r="A7298" s="2">
        <v>44796</v>
      </c>
      <c r="B7298" s="3">
        <v>0.5333796296296297</v>
      </c>
      <c r="C7298">
        <v>6580</v>
      </c>
      <c r="D7298" t="str">
        <f>VLOOKUP(H7298,Produkt!$A$2:$B$5,2,FALSE)</f>
        <v>D</v>
      </c>
      <c r="H7298">
        <v>4</v>
      </c>
      <c r="I7298">
        <v>0.81329861111111112</v>
      </c>
      <c r="J7298">
        <v>44788</v>
      </c>
    </row>
    <row r="7299" spans="1:10" x14ac:dyDescent="0.35">
      <c r="A7299" s="2">
        <v>44796</v>
      </c>
      <c r="B7299" s="3">
        <v>0.22059027777777776</v>
      </c>
      <c r="C7299">
        <v>6604</v>
      </c>
      <c r="D7299" t="str">
        <f>VLOOKUP(H7299,Produkt!$A$2:$B$5,2,FALSE)</f>
        <v>B</v>
      </c>
      <c r="H7299">
        <v>2</v>
      </c>
      <c r="I7299">
        <v>0.73295138888888889</v>
      </c>
      <c r="J7299">
        <v>44785</v>
      </c>
    </row>
    <row r="7300" spans="1:10" x14ac:dyDescent="0.35">
      <c r="A7300" s="2">
        <v>44796</v>
      </c>
      <c r="B7300" s="3">
        <v>0.94766203703703711</v>
      </c>
      <c r="C7300">
        <v>6614</v>
      </c>
      <c r="D7300" t="str">
        <f>VLOOKUP(H7300,Produkt!$A$2:$B$5,2,FALSE)</f>
        <v>B</v>
      </c>
      <c r="H7300">
        <v>2</v>
      </c>
      <c r="I7300">
        <v>0.66002314814814811</v>
      </c>
      <c r="J7300">
        <v>44786</v>
      </c>
    </row>
    <row r="7301" spans="1:10" x14ac:dyDescent="0.35">
      <c r="A7301" s="2">
        <v>44796</v>
      </c>
      <c r="B7301" s="3">
        <v>0.69668981481481485</v>
      </c>
      <c r="C7301">
        <v>6625</v>
      </c>
      <c r="D7301" t="str">
        <f>VLOOKUP(H7301,Produkt!$A$2:$B$5,2,FALSE)</f>
        <v>D</v>
      </c>
      <c r="H7301">
        <v>4</v>
      </c>
      <c r="I7301">
        <v>0.86116898148148147</v>
      </c>
      <c r="J7301">
        <v>44783</v>
      </c>
    </row>
    <row r="7302" spans="1:10" x14ac:dyDescent="0.35">
      <c r="A7302" s="2">
        <v>44796</v>
      </c>
      <c r="B7302" s="3">
        <v>0.52377314814814813</v>
      </c>
      <c r="C7302">
        <v>6731</v>
      </c>
      <c r="D7302" t="str">
        <f>VLOOKUP(H7302,Produkt!$A$2:$B$5,2,FALSE)</f>
        <v>A</v>
      </c>
      <c r="H7302">
        <v>1</v>
      </c>
      <c r="I7302">
        <v>0.75631944444444443</v>
      </c>
      <c r="J7302">
        <v>44774</v>
      </c>
    </row>
    <row r="7303" spans="1:10" x14ac:dyDescent="0.35">
      <c r="A7303" s="2">
        <v>44796</v>
      </c>
      <c r="B7303" s="3">
        <v>0.27284722222222224</v>
      </c>
      <c r="C7303">
        <v>6738</v>
      </c>
      <c r="D7303" t="str">
        <f>VLOOKUP(H7303,Produkt!$A$2:$B$5,2,FALSE)</f>
        <v>A</v>
      </c>
      <c r="H7303">
        <v>1</v>
      </c>
      <c r="I7303">
        <v>0.63979166666666665</v>
      </c>
      <c r="J7303">
        <v>44800</v>
      </c>
    </row>
    <row r="7304" spans="1:10" x14ac:dyDescent="0.35">
      <c r="A7304" s="2">
        <v>44796</v>
      </c>
      <c r="B7304" s="3">
        <v>0.45156250000000003</v>
      </c>
      <c r="C7304">
        <v>6778</v>
      </c>
      <c r="D7304" t="str">
        <f>VLOOKUP(H7304,Produkt!$A$2:$B$5,2,FALSE)</f>
        <v>C</v>
      </c>
      <c r="H7304">
        <v>3</v>
      </c>
      <c r="I7304">
        <v>0.2465509259259259</v>
      </c>
      <c r="J7304">
        <v>44774</v>
      </c>
    </row>
    <row r="7305" spans="1:10" x14ac:dyDescent="0.35">
      <c r="A7305" s="2">
        <v>44796</v>
      </c>
      <c r="B7305" s="3">
        <v>0.86756944444444439</v>
      </c>
      <c r="C7305">
        <v>6835</v>
      </c>
      <c r="D7305" t="str">
        <f>VLOOKUP(H7305,Produkt!$A$2:$B$5,2,FALSE)</f>
        <v>D</v>
      </c>
      <c r="H7305">
        <v>4</v>
      </c>
      <c r="I7305">
        <v>2.6817129629629632E-2</v>
      </c>
      <c r="J7305">
        <v>44774</v>
      </c>
    </row>
    <row r="7306" spans="1:10" x14ac:dyDescent="0.35">
      <c r="A7306" s="2">
        <v>44796</v>
      </c>
      <c r="B7306" s="3">
        <v>0.19210648148148146</v>
      </c>
      <c r="C7306">
        <v>6892</v>
      </c>
      <c r="D7306" t="str">
        <f>VLOOKUP(H7306,Produkt!$A$2:$B$5,2,FALSE)</f>
        <v>B</v>
      </c>
      <c r="H7306">
        <v>2</v>
      </c>
      <c r="I7306">
        <v>0.89693287037037039</v>
      </c>
      <c r="J7306">
        <v>44798</v>
      </c>
    </row>
    <row r="7307" spans="1:10" x14ac:dyDescent="0.35">
      <c r="A7307" s="2">
        <v>44796</v>
      </c>
      <c r="B7307" s="3">
        <v>0.91344907407407405</v>
      </c>
      <c r="C7307">
        <v>6904</v>
      </c>
      <c r="D7307" t="str">
        <f>VLOOKUP(H7307,Produkt!$A$2:$B$5,2,FALSE)</f>
        <v>D</v>
      </c>
      <c r="H7307">
        <v>4</v>
      </c>
      <c r="I7307">
        <v>6.6979166666666659E-2</v>
      </c>
      <c r="J7307">
        <v>44774</v>
      </c>
    </row>
    <row r="7308" spans="1:10" x14ac:dyDescent="0.35">
      <c r="A7308" s="2">
        <v>44796</v>
      </c>
      <c r="B7308" s="3">
        <v>0.15318287037037037</v>
      </c>
      <c r="C7308">
        <v>6917</v>
      </c>
      <c r="D7308" t="str">
        <f>VLOOKUP(H7308,Produkt!$A$2:$B$5,2,FALSE)</f>
        <v>D</v>
      </c>
      <c r="H7308">
        <v>4</v>
      </c>
      <c r="I7308">
        <v>0.30321759259259257</v>
      </c>
      <c r="J7308">
        <v>44791</v>
      </c>
    </row>
    <row r="7309" spans="1:10" x14ac:dyDescent="0.35">
      <c r="A7309" s="2">
        <v>44796</v>
      </c>
      <c r="B7309" s="3">
        <v>0.1590625</v>
      </c>
      <c r="C7309">
        <v>6927</v>
      </c>
      <c r="D7309" t="str">
        <f>VLOOKUP(H7309,Produkt!$A$2:$B$5,2,FALSE)</f>
        <v>D</v>
      </c>
      <c r="H7309">
        <v>4</v>
      </c>
      <c r="I7309">
        <v>0.20877314814814815</v>
      </c>
      <c r="J7309">
        <v>44779</v>
      </c>
    </row>
    <row r="7310" spans="1:10" x14ac:dyDescent="0.35">
      <c r="A7310" s="2">
        <v>44796</v>
      </c>
      <c r="B7310" s="3">
        <v>0.18932870370370369</v>
      </c>
      <c r="C7310">
        <v>6946</v>
      </c>
      <c r="D7310" t="str">
        <f>VLOOKUP(H7310,Produkt!$A$2:$B$5,2,FALSE)</f>
        <v>A</v>
      </c>
      <c r="H7310">
        <v>1</v>
      </c>
      <c r="I7310">
        <v>0.45891203703703703</v>
      </c>
      <c r="J7310">
        <v>44774</v>
      </c>
    </row>
    <row r="7311" spans="1:10" x14ac:dyDescent="0.35">
      <c r="A7311" s="2">
        <v>44796</v>
      </c>
      <c r="B7311" s="3">
        <v>0.24417824074074077</v>
      </c>
      <c r="C7311">
        <v>7039</v>
      </c>
      <c r="D7311" t="str">
        <f>VLOOKUP(H7311,Produkt!$A$2:$B$5,2,FALSE)</f>
        <v>D</v>
      </c>
      <c r="H7311">
        <v>4</v>
      </c>
      <c r="I7311">
        <v>0.70879629629629637</v>
      </c>
      <c r="J7311">
        <v>44774</v>
      </c>
    </row>
    <row r="7312" spans="1:10" x14ac:dyDescent="0.35">
      <c r="A7312" s="2">
        <v>44796</v>
      </c>
      <c r="B7312" s="3">
        <v>0.82015046296296301</v>
      </c>
      <c r="C7312">
        <v>7047</v>
      </c>
      <c r="D7312" t="str">
        <f>VLOOKUP(H7312,Produkt!$A$2:$B$5,2,FALSE)</f>
        <v>C</v>
      </c>
      <c r="H7312">
        <v>3</v>
      </c>
      <c r="I7312">
        <v>0.41652777777777777</v>
      </c>
      <c r="J7312">
        <v>44785</v>
      </c>
    </row>
    <row r="7313" spans="1:10" x14ac:dyDescent="0.35">
      <c r="A7313" s="2">
        <v>44796</v>
      </c>
      <c r="B7313" s="3">
        <v>0.50762731481481482</v>
      </c>
      <c r="C7313">
        <v>7057</v>
      </c>
      <c r="D7313" t="str">
        <f>VLOOKUP(H7313,Produkt!$A$2:$B$5,2,FALSE)</f>
        <v>B</v>
      </c>
      <c r="H7313">
        <v>2</v>
      </c>
      <c r="I7313">
        <v>5.5300925925925927E-2</v>
      </c>
      <c r="J7313">
        <v>44774</v>
      </c>
    </row>
    <row r="7314" spans="1:10" x14ac:dyDescent="0.35">
      <c r="A7314" s="2">
        <v>44796</v>
      </c>
      <c r="B7314" s="3">
        <v>0.59782407407407401</v>
      </c>
      <c r="C7314">
        <v>7067</v>
      </c>
      <c r="D7314" t="str">
        <f>VLOOKUP(H7314,Produkt!$A$2:$B$5,2,FALSE)</f>
        <v>D</v>
      </c>
      <c r="H7314">
        <v>4</v>
      </c>
      <c r="I7314">
        <v>0.62718750000000001</v>
      </c>
      <c r="J7314">
        <v>44785</v>
      </c>
    </row>
    <row r="7315" spans="1:10" x14ac:dyDescent="0.35">
      <c r="A7315" s="2">
        <v>44796</v>
      </c>
      <c r="B7315" s="3">
        <v>2.2488425925925926E-2</v>
      </c>
      <c r="C7315">
        <v>7074</v>
      </c>
      <c r="D7315" t="str">
        <f>VLOOKUP(H7315,Produkt!$A$2:$B$5,2,FALSE)</f>
        <v>A</v>
      </c>
      <c r="H7315">
        <v>1</v>
      </c>
      <c r="I7315">
        <v>0.20215277777777776</v>
      </c>
      <c r="J7315">
        <v>44781</v>
      </c>
    </row>
    <row r="7316" spans="1:10" x14ac:dyDescent="0.35">
      <c r="A7316" s="2">
        <v>44796</v>
      </c>
      <c r="B7316" s="3">
        <v>0.71892361111111114</v>
      </c>
      <c r="C7316">
        <v>7134</v>
      </c>
      <c r="D7316" t="str">
        <f>VLOOKUP(H7316,Produkt!$A$2:$B$5,2,FALSE)</f>
        <v>A</v>
      </c>
      <c r="H7316">
        <v>1</v>
      </c>
      <c r="I7316">
        <v>0.37797453703703704</v>
      </c>
      <c r="J7316">
        <v>44783</v>
      </c>
    </row>
    <row r="7317" spans="1:10" x14ac:dyDescent="0.35">
      <c r="A7317" s="2">
        <v>44796</v>
      </c>
      <c r="B7317" s="3">
        <v>0.99594907407407407</v>
      </c>
      <c r="C7317">
        <v>7160</v>
      </c>
      <c r="D7317" t="str">
        <f>VLOOKUP(H7317,Produkt!$A$2:$B$5,2,FALSE)</f>
        <v>C</v>
      </c>
      <c r="H7317">
        <v>3</v>
      </c>
      <c r="I7317">
        <v>0.50868055555555558</v>
      </c>
      <c r="J7317">
        <v>44778</v>
      </c>
    </row>
    <row r="7318" spans="1:10" x14ac:dyDescent="0.35">
      <c r="A7318" s="2">
        <v>44796</v>
      </c>
      <c r="B7318" s="3">
        <v>0.16874999999999998</v>
      </c>
      <c r="C7318">
        <v>7267</v>
      </c>
      <c r="D7318" t="str">
        <f>VLOOKUP(H7318,Produkt!$A$2:$B$5,2,FALSE)</f>
        <v>C</v>
      </c>
      <c r="H7318">
        <v>3</v>
      </c>
      <c r="I7318">
        <v>0.11907407407407407</v>
      </c>
      <c r="J7318">
        <v>44789</v>
      </c>
    </row>
    <row r="7319" spans="1:10" x14ac:dyDescent="0.35">
      <c r="A7319" s="2">
        <v>44796</v>
      </c>
      <c r="B7319" s="3">
        <v>0.85393518518518519</v>
      </c>
      <c r="C7319">
        <v>7281</v>
      </c>
      <c r="D7319" t="str">
        <f>VLOOKUP(H7319,Produkt!$A$2:$B$5,2,FALSE)</f>
        <v>B</v>
      </c>
      <c r="H7319">
        <v>2</v>
      </c>
      <c r="I7319">
        <v>0.73185185185185186</v>
      </c>
      <c r="J7319">
        <v>44789</v>
      </c>
    </row>
    <row r="7320" spans="1:10" x14ac:dyDescent="0.35">
      <c r="A7320" s="2">
        <v>44796</v>
      </c>
      <c r="B7320" s="3">
        <v>0.35788194444444449</v>
      </c>
      <c r="C7320">
        <v>7296</v>
      </c>
      <c r="D7320" t="str">
        <f>VLOOKUP(H7320,Produkt!$A$2:$B$5,2,FALSE)</f>
        <v>A</v>
      </c>
      <c r="H7320">
        <v>1</v>
      </c>
      <c r="I7320">
        <v>0.52925925925925921</v>
      </c>
      <c r="J7320">
        <v>44774</v>
      </c>
    </row>
    <row r="7321" spans="1:10" x14ac:dyDescent="0.35">
      <c r="A7321" s="2">
        <v>44796</v>
      </c>
      <c r="B7321" s="3">
        <v>0.95539351851851861</v>
      </c>
      <c r="C7321">
        <v>7328</v>
      </c>
      <c r="D7321" t="str">
        <f>VLOOKUP(H7321,Produkt!$A$2:$B$5,2,FALSE)</f>
        <v>A</v>
      </c>
      <c r="H7321">
        <v>1</v>
      </c>
      <c r="I7321">
        <v>0.51565972222222223</v>
      </c>
      <c r="J7321">
        <v>44803</v>
      </c>
    </row>
    <row r="7322" spans="1:10" x14ac:dyDescent="0.35">
      <c r="A7322" s="2">
        <v>44796</v>
      </c>
      <c r="B7322" s="3">
        <v>0.3901736111111111</v>
      </c>
      <c r="C7322">
        <v>7354</v>
      </c>
      <c r="D7322" t="str">
        <f>VLOOKUP(H7322,Produkt!$A$2:$B$5,2,FALSE)</f>
        <v>B</v>
      </c>
      <c r="H7322">
        <v>2</v>
      </c>
      <c r="I7322">
        <v>0.50418981481481484</v>
      </c>
      <c r="J7322">
        <v>44800</v>
      </c>
    </row>
    <row r="7323" spans="1:10" x14ac:dyDescent="0.35">
      <c r="A7323" s="2">
        <v>44796</v>
      </c>
      <c r="B7323" s="3">
        <v>9.7222222222221877E-3</v>
      </c>
      <c r="C7323">
        <v>7360</v>
      </c>
      <c r="D7323" t="str">
        <f>VLOOKUP(H7323,Produkt!$A$2:$B$5,2,FALSE)</f>
        <v>A</v>
      </c>
      <c r="H7323">
        <v>1</v>
      </c>
      <c r="I7323">
        <v>0.29188657407407409</v>
      </c>
      <c r="J7323">
        <v>44775</v>
      </c>
    </row>
    <row r="7324" spans="1:10" x14ac:dyDescent="0.35">
      <c r="A7324" s="2">
        <v>44796</v>
      </c>
      <c r="B7324" s="3">
        <v>0.70854166666666663</v>
      </c>
      <c r="C7324">
        <v>7362</v>
      </c>
      <c r="D7324" t="str">
        <f>VLOOKUP(H7324,Produkt!$A$2:$B$5,2,FALSE)</f>
        <v>B</v>
      </c>
      <c r="H7324">
        <v>2</v>
      </c>
      <c r="I7324">
        <v>0.72369212962962959</v>
      </c>
      <c r="J7324">
        <v>44777</v>
      </c>
    </row>
    <row r="7325" spans="1:10" x14ac:dyDescent="0.35">
      <c r="A7325" s="2">
        <v>44796</v>
      </c>
      <c r="B7325" s="3">
        <v>0.53315972222222219</v>
      </c>
      <c r="C7325">
        <v>7363</v>
      </c>
      <c r="D7325" t="str">
        <f>VLOOKUP(H7325,Produkt!$A$2:$B$5,2,FALSE)</f>
        <v>C</v>
      </c>
      <c r="H7325">
        <v>3</v>
      </c>
      <c r="I7325">
        <v>0.57903935185185185</v>
      </c>
      <c r="J7325">
        <v>44792</v>
      </c>
    </row>
    <row r="7326" spans="1:10" x14ac:dyDescent="0.35">
      <c r="A7326" s="2">
        <v>44796</v>
      </c>
      <c r="B7326" s="3">
        <v>0.35335648148148152</v>
      </c>
      <c r="C7326">
        <v>7458</v>
      </c>
      <c r="D7326" t="str">
        <f>VLOOKUP(H7326,Produkt!$A$2:$B$5,2,FALSE)</f>
        <v>B</v>
      </c>
      <c r="H7326">
        <v>2</v>
      </c>
      <c r="I7326">
        <v>0.92976851851851849</v>
      </c>
      <c r="J7326">
        <v>44778</v>
      </c>
    </row>
    <row r="7327" spans="1:10" x14ac:dyDescent="0.35">
      <c r="A7327" s="2">
        <v>44796</v>
      </c>
      <c r="B7327" s="3">
        <v>0.13168981481481482</v>
      </c>
      <c r="C7327">
        <v>7482</v>
      </c>
      <c r="D7327" t="str">
        <f>VLOOKUP(H7327,Produkt!$A$2:$B$5,2,FALSE)</f>
        <v>C</v>
      </c>
      <c r="H7327">
        <v>3</v>
      </c>
      <c r="I7327">
        <v>0.20098379629629629</v>
      </c>
      <c r="J7327">
        <v>44800</v>
      </c>
    </row>
    <row r="7328" spans="1:10" x14ac:dyDescent="0.35">
      <c r="A7328" s="2">
        <v>44796</v>
      </c>
      <c r="B7328" s="3">
        <v>0.21752314814814813</v>
      </c>
      <c r="C7328">
        <v>7548</v>
      </c>
      <c r="D7328" t="str">
        <f>VLOOKUP(H7328,Produkt!$A$2:$B$5,2,FALSE)</f>
        <v>C</v>
      </c>
      <c r="H7328">
        <v>3</v>
      </c>
      <c r="I7328">
        <v>0.22103009259259257</v>
      </c>
      <c r="J7328">
        <v>44798</v>
      </c>
    </row>
    <row r="7329" spans="1:10" x14ac:dyDescent="0.35">
      <c r="A7329" s="2">
        <v>44796</v>
      </c>
      <c r="B7329" s="3">
        <v>0.52652777777777782</v>
      </c>
      <c r="C7329">
        <v>7555</v>
      </c>
      <c r="D7329" t="str">
        <f>VLOOKUP(H7329,Produkt!$A$2:$B$5,2,FALSE)</f>
        <v>B</v>
      </c>
      <c r="H7329">
        <v>2</v>
      </c>
      <c r="I7329">
        <v>0.95539351851851861</v>
      </c>
      <c r="J7329">
        <v>44788</v>
      </c>
    </row>
    <row r="7330" spans="1:10" x14ac:dyDescent="0.35">
      <c r="A7330" s="2">
        <v>44796</v>
      </c>
      <c r="B7330" s="3">
        <v>0.24015046296296297</v>
      </c>
      <c r="C7330">
        <v>7584</v>
      </c>
      <c r="D7330" t="str">
        <f>VLOOKUP(H7330,Produkt!$A$2:$B$5,2,FALSE)</f>
        <v>B</v>
      </c>
      <c r="H7330">
        <v>2</v>
      </c>
      <c r="I7330">
        <v>0.90611111111111109</v>
      </c>
      <c r="J7330">
        <v>44797</v>
      </c>
    </row>
    <row r="7331" spans="1:10" x14ac:dyDescent="0.35">
      <c r="A7331" s="2">
        <v>44796</v>
      </c>
      <c r="B7331" s="3">
        <v>0.50060185185185191</v>
      </c>
      <c r="C7331">
        <v>7624</v>
      </c>
      <c r="D7331" t="str">
        <f>VLOOKUP(H7331,Produkt!$A$2:$B$5,2,FALSE)</f>
        <v>D</v>
      </c>
      <c r="H7331">
        <v>4</v>
      </c>
      <c r="I7331">
        <v>0.36650462962962965</v>
      </c>
      <c r="J7331">
        <v>44794</v>
      </c>
    </row>
    <row r="7332" spans="1:10" x14ac:dyDescent="0.35">
      <c r="A7332" s="2">
        <v>44796</v>
      </c>
      <c r="B7332" s="3">
        <v>0.51681712962962967</v>
      </c>
      <c r="C7332">
        <v>7631</v>
      </c>
      <c r="D7332" t="str">
        <f>VLOOKUP(H7332,Produkt!$A$2:$B$5,2,FALSE)</f>
        <v>B</v>
      </c>
      <c r="H7332">
        <v>2</v>
      </c>
      <c r="I7332">
        <v>0.37218749999999995</v>
      </c>
      <c r="J7332">
        <v>44774</v>
      </c>
    </row>
    <row r="7333" spans="1:10" x14ac:dyDescent="0.35">
      <c r="A7333" s="2">
        <v>44796</v>
      </c>
      <c r="B7333" s="3">
        <v>0.75892361111111117</v>
      </c>
      <c r="C7333">
        <v>7727</v>
      </c>
      <c r="D7333" t="str">
        <f>VLOOKUP(H7333,Produkt!$A$2:$B$5,2,FALSE)</f>
        <v>A</v>
      </c>
      <c r="H7333">
        <v>1</v>
      </c>
      <c r="I7333">
        <v>0.81207175925925934</v>
      </c>
      <c r="J7333">
        <v>44799</v>
      </c>
    </row>
    <row r="7334" spans="1:10" x14ac:dyDescent="0.35">
      <c r="A7334" s="2">
        <v>44796</v>
      </c>
      <c r="B7334" s="3">
        <v>9.9409722222222219E-2</v>
      </c>
      <c r="C7334">
        <v>7760</v>
      </c>
      <c r="D7334" t="str">
        <f>VLOOKUP(H7334,Produkt!$A$2:$B$5,2,FALSE)</f>
        <v>B</v>
      </c>
      <c r="H7334">
        <v>2</v>
      </c>
      <c r="I7334">
        <v>0.93761574074074072</v>
      </c>
      <c r="J7334">
        <v>44780</v>
      </c>
    </row>
    <row r="7335" spans="1:10" x14ac:dyDescent="0.35">
      <c r="A7335" s="2">
        <v>44796</v>
      </c>
      <c r="B7335" s="3">
        <v>0.1898148148148148</v>
      </c>
      <c r="C7335">
        <v>7773</v>
      </c>
      <c r="D7335" t="str">
        <f>VLOOKUP(H7335,Produkt!$A$2:$B$5,2,FALSE)</f>
        <v>C</v>
      </c>
      <c r="H7335">
        <v>3</v>
      </c>
      <c r="I7335">
        <v>0.51908564814814817</v>
      </c>
      <c r="J7335">
        <v>44789</v>
      </c>
    </row>
    <row r="7336" spans="1:10" x14ac:dyDescent="0.35">
      <c r="A7336" s="2">
        <v>44796</v>
      </c>
      <c r="B7336" s="3">
        <v>0.88541666666666663</v>
      </c>
      <c r="C7336">
        <v>7792</v>
      </c>
      <c r="D7336" t="str">
        <f>VLOOKUP(H7336,Produkt!$A$2:$B$5,2,FALSE)</f>
        <v>C</v>
      </c>
      <c r="H7336">
        <v>3</v>
      </c>
      <c r="I7336">
        <v>0.86398148148148157</v>
      </c>
      <c r="J7336">
        <v>44789</v>
      </c>
    </row>
    <row r="7337" spans="1:10" x14ac:dyDescent="0.35">
      <c r="A7337" s="2">
        <v>44796</v>
      </c>
      <c r="B7337" s="3">
        <v>0.58833333333333326</v>
      </c>
      <c r="C7337">
        <v>7824</v>
      </c>
      <c r="D7337" t="str">
        <f>VLOOKUP(H7337,Produkt!$A$2:$B$5,2,FALSE)</f>
        <v>C</v>
      </c>
      <c r="H7337">
        <v>3</v>
      </c>
      <c r="I7337">
        <v>0.87870370370370365</v>
      </c>
      <c r="J7337">
        <v>44789</v>
      </c>
    </row>
    <row r="7338" spans="1:10" x14ac:dyDescent="0.35">
      <c r="A7338" s="2">
        <v>44796</v>
      </c>
      <c r="B7338" s="3">
        <v>2.8043981481481461E-2</v>
      </c>
      <c r="C7338">
        <v>7900</v>
      </c>
      <c r="D7338" t="str">
        <f>VLOOKUP(H7338,Produkt!$A$2:$B$5,2,FALSE)</f>
        <v>A</v>
      </c>
      <c r="H7338">
        <v>1</v>
      </c>
      <c r="I7338">
        <v>0.15444444444444444</v>
      </c>
      <c r="J7338">
        <v>44780</v>
      </c>
    </row>
    <row r="7339" spans="1:10" x14ac:dyDescent="0.35">
      <c r="A7339" s="2">
        <v>44796</v>
      </c>
      <c r="B7339" s="3">
        <v>7.4537037037036846E-3</v>
      </c>
      <c r="C7339">
        <v>7946</v>
      </c>
      <c r="D7339" t="str">
        <f>VLOOKUP(H7339,Produkt!$A$2:$B$5,2,FALSE)</f>
        <v>A</v>
      </c>
      <c r="H7339">
        <v>1</v>
      </c>
      <c r="I7339">
        <v>0.68608796296296293</v>
      </c>
      <c r="J7339">
        <v>44798</v>
      </c>
    </row>
    <row r="7340" spans="1:10" x14ac:dyDescent="0.35">
      <c r="A7340" s="2">
        <v>44796</v>
      </c>
      <c r="B7340" s="3">
        <v>0.34921296296296295</v>
      </c>
      <c r="C7340">
        <v>7968</v>
      </c>
      <c r="D7340" t="str">
        <f>VLOOKUP(H7340,Produkt!$A$2:$B$5,2,FALSE)</f>
        <v>A</v>
      </c>
      <c r="H7340">
        <v>1</v>
      </c>
      <c r="I7340">
        <v>0.583125</v>
      </c>
      <c r="J7340">
        <v>44797</v>
      </c>
    </row>
    <row r="7341" spans="1:10" x14ac:dyDescent="0.35">
      <c r="A7341" s="2">
        <v>44796</v>
      </c>
      <c r="B7341" s="3">
        <v>0.83543981481481477</v>
      </c>
      <c r="C7341">
        <v>7971</v>
      </c>
      <c r="D7341" t="str">
        <f>VLOOKUP(H7341,Produkt!$A$2:$B$5,2,FALSE)</f>
        <v>C</v>
      </c>
      <c r="H7341">
        <v>3</v>
      </c>
      <c r="I7341">
        <v>4.6828703703703706E-2</v>
      </c>
      <c r="J7341">
        <v>44797</v>
      </c>
    </row>
    <row r="7342" spans="1:10" x14ac:dyDescent="0.35">
      <c r="A7342" s="2">
        <v>44796</v>
      </c>
      <c r="B7342" s="3">
        <v>0.51393518518518522</v>
      </c>
      <c r="C7342">
        <v>8015</v>
      </c>
      <c r="D7342" t="str">
        <f>VLOOKUP(H7342,Produkt!$A$2:$B$5,2,FALSE)</f>
        <v>B</v>
      </c>
      <c r="H7342">
        <v>2</v>
      </c>
      <c r="I7342">
        <v>0.3432175925925926</v>
      </c>
      <c r="J7342">
        <v>44777</v>
      </c>
    </row>
    <row r="7343" spans="1:10" x14ac:dyDescent="0.35">
      <c r="A7343" s="2">
        <v>44796</v>
      </c>
      <c r="B7343" s="3">
        <v>0.94331018518518517</v>
      </c>
      <c r="C7343">
        <v>8047</v>
      </c>
      <c r="D7343" t="str">
        <f>VLOOKUP(H7343,Produkt!$A$2:$B$5,2,FALSE)</f>
        <v>C</v>
      </c>
      <c r="H7343">
        <v>3</v>
      </c>
      <c r="I7343">
        <v>0.64356481481481487</v>
      </c>
      <c r="J7343">
        <v>44801</v>
      </c>
    </row>
    <row r="7344" spans="1:10" x14ac:dyDescent="0.35">
      <c r="A7344" s="2">
        <v>44796</v>
      </c>
      <c r="B7344" s="3">
        <v>0.23842592592592593</v>
      </c>
      <c r="C7344">
        <v>8098</v>
      </c>
      <c r="D7344" t="str">
        <f>VLOOKUP(H7344,Produkt!$A$2:$B$5,2,FALSE)</f>
        <v>B</v>
      </c>
      <c r="H7344">
        <v>2</v>
      </c>
      <c r="I7344">
        <v>0.9159722222222223</v>
      </c>
      <c r="J7344">
        <v>44793</v>
      </c>
    </row>
    <row r="7345" spans="1:10" x14ac:dyDescent="0.35">
      <c r="A7345" s="2">
        <v>44796</v>
      </c>
      <c r="B7345" s="3">
        <v>0.4846064814814815</v>
      </c>
      <c r="C7345">
        <v>8102</v>
      </c>
      <c r="D7345" t="str">
        <f>VLOOKUP(H7345,Produkt!$A$2:$B$5,2,FALSE)</f>
        <v>C</v>
      </c>
      <c r="H7345">
        <v>3</v>
      </c>
      <c r="I7345">
        <v>0.89534722222222218</v>
      </c>
      <c r="J7345">
        <v>44775</v>
      </c>
    </row>
    <row r="7346" spans="1:10" x14ac:dyDescent="0.35">
      <c r="A7346" s="2">
        <v>44796</v>
      </c>
      <c r="B7346" s="3">
        <v>6.9594907407407411E-2</v>
      </c>
      <c r="C7346">
        <v>8106</v>
      </c>
      <c r="D7346" t="str">
        <f>VLOOKUP(H7346,Produkt!$A$2:$B$5,2,FALSE)</f>
        <v>C</v>
      </c>
      <c r="H7346">
        <v>3</v>
      </c>
      <c r="I7346">
        <v>1.2268518518518519E-2</v>
      </c>
      <c r="J7346">
        <v>44779</v>
      </c>
    </row>
    <row r="7347" spans="1:10" x14ac:dyDescent="0.35">
      <c r="A7347" s="2">
        <v>44796</v>
      </c>
      <c r="B7347" s="3">
        <v>0.49090277777777774</v>
      </c>
      <c r="C7347">
        <v>8110</v>
      </c>
      <c r="D7347" t="str">
        <f>VLOOKUP(H7347,Produkt!$A$2:$B$5,2,FALSE)</f>
        <v>D</v>
      </c>
      <c r="H7347">
        <v>4</v>
      </c>
      <c r="I7347">
        <v>0.28171296296296294</v>
      </c>
      <c r="J7347">
        <v>44798</v>
      </c>
    </row>
    <row r="7348" spans="1:10" x14ac:dyDescent="0.35">
      <c r="A7348" s="2">
        <v>44796</v>
      </c>
      <c r="B7348" s="3">
        <v>0.54393518518518513</v>
      </c>
      <c r="C7348">
        <v>8127</v>
      </c>
      <c r="D7348" t="str">
        <f>VLOOKUP(H7348,Produkt!$A$2:$B$5,2,FALSE)</f>
        <v>A</v>
      </c>
      <c r="H7348">
        <v>1</v>
      </c>
      <c r="I7348">
        <v>0.70341435185185175</v>
      </c>
      <c r="J7348">
        <v>44776</v>
      </c>
    </row>
    <row r="7349" spans="1:10" x14ac:dyDescent="0.35">
      <c r="A7349" s="2">
        <v>44796</v>
      </c>
      <c r="B7349" s="3">
        <v>0.29873842592592592</v>
      </c>
      <c r="C7349">
        <v>8143</v>
      </c>
      <c r="D7349" t="str">
        <f>VLOOKUP(H7349,Produkt!$A$2:$B$5,2,FALSE)</f>
        <v>B</v>
      </c>
      <c r="H7349">
        <v>2</v>
      </c>
      <c r="I7349">
        <v>0.25019675925925927</v>
      </c>
      <c r="J7349">
        <v>44779</v>
      </c>
    </row>
    <row r="7350" spans="1:10" x14ac:dyDescent="0.35">
      <c r="A7350" s="2">
        <v>44796</v>
      </c>
      <c r="B7350" s="3">
        <v>0.2991435185185185</v>
      </c>
      <c r="C7350">
        <v>8145</v>
      </c>
      <c r="D7350" t="str">
        <f>VLOOKUP(H7350,Produkt!$A$2:$B$5,2,FALSE)</f>
        <v>D</v>
      </c>
      <c r="H7350">
        <v>4</v>
      </c>
      <c r="I7350">
        <v>0.28202546296296299</v>
      </c>
      <c r="J7350">
        <v>44788</v>
      </c>
    </row>
    <row r="7351" spans="1:10" x14ac:dyDescent="0.35">
      <c r="A7351" s="2">
        <v>44796</v>
      </c>
      <c r="B7351" s="3">
        <v>0.78358796296296296</v>
      </c>
      <c r="C7351">
        <v>8175</v>
      </c>
      <c r="D7351" t="str">
        <f>VLOOKUP(H7351,Produkt!$A$2:$B$5,2,FALSE)</f>
        <v>B</v>
      </c>
      <c r="H7351">
        <v>2</v>
      </c>
      <c r="I7351">
        <v>4.0509259259269292E-4</v>
      </c>
      <c r="J7351">
        <v>44795</v>
      </c>
    </row>
    <row r="7352" spans="1:10" x14ac:dyDescent="0.35">
      <c r="A7352" s="2">
        <v>44796</v>
      </c>
      <c r="B7352" s="3">
        <v>0.76725694444444448</v>
      </c>
      <c r="C7352">
        <v>8186</v>
      </c>
      <c r="D7352" t="str">
        <f>VLOOKUP(H7352,Produkt!$A$2:$B$5,2,FALSE)</f>
        <v>B</v>
      </c>
      <c r="H7352">
        <v>2</v>
      </c>
      <c r="I7352">
        <v>5.5821759259259258E-2</v>
      </c>
      <c r="J7352">
        <v>44781</v>
      </c>
    </row>
    <row r="7353" spans="1:10" x14ac:dyDescent="0.35">
      <c r="A7353" s="2">
        <v>44796</v>
      </c>
      <c r="B7353" s="3">
        <v>8.7847222222221522E-3</v>
      </c>
      <c r="C7353">
        <v>8224</v>
      </c>
      <c r="D7353" t="str">
        <f>VLOOKUP(H7353,Produkt!$A$2:$B$5,2,FALSE)</f>
        <v>C</v>
      </c>
      <c r="H7353">
        <v>3</v>
      </c>
      <c r="I7353">
        <v>0.70630787037037035</v>
      </c>
      <c r="J7353">
        <v>44794</v>
      </c>
    </row>
    <row r="7354" spans="1:10" x14ac:dyDescent="0.35">
      <c r="A7354" s="2">
        <v>44796</v>
      </c>
      <c r="B7354" s="3">
        <v>0.45299768518518518</v>
      </c>
      <c r="C7354">
        <v>8312</v>
      </c>
      <c r="D7354" t="str">
        <f>VLOOKUP(H7354,Produkt!$A$2:$B$5,2,FALSE)</f>
        <v>B</v>
      </c>
      <c r="H7354">
        <v>2</v>
      </c>
      <c r="I7354">
        <v>2.4861111111111223E-2</v>
      </c>
      <c r="J7354">
        <v>44787</v>
      </c>
    </row>
    <row r="7355" spans="1:10" x14ac:dyDescent="0.35">
      <c r="A7355" s="2">
        <v>44796</v>
      </c>
      <c r="B7355" s="3">
        <v>0.69608796296296294</v>
      </c>
      <c r="C7355">
        <v>8324</v>
      </c>
      <c r="D7355" t="str">
        <f>VLOOKUP(H7355,Produkt!$A$2:$B$5,2,FALSE)</f>
        <v>B</v>
      </c>
      <c r="H7355">
        <v>2</v>
      </c>
      <c r="I7355">
        <v>0.3901736111111111</v>
      </c>
      <c r="J7355">
        <v>44779</v>
      </c>
    </row>
    <row r="7356" spans="1:10" x14ac:dyDescent="0.35">
      <c r="A7356" s="2">
        <v>44796</v>
      </c>
      <c r="B7356" s="3">
        <v>0.68876157407407401</v>
      </c>
      <c r="C7356">
        <v>8354</v>
      </c>
      <c r="D7356" t="str">
        <f>VLOOKUP(H7356,Produkt!$A$2:$B$5,2,FALSE)</f>
        <v>D</v>
      </c>
      <c r="H7356">
        <v>4</v>
      </c>
      <c r="I7356">
        <v>0.37170138888888887</v>
      </c>
      <c r="J7356">
        <v>44789</v>
      </c>
    </row>
    <row r="7357" spans="1:10" x14ac:dyDescent="0.35">
      <c r="A7357" s="2">
        <v>44796</v>
      </c>
      <c r="B7357" s="3">
        <v>0.68861111111111117</v>
      </c>
      <c r="C7357">
        <v>8439</v>
      </c>
      <c r="D7357" t="str">
        <f>VLOOKUP(H7357,Produkt!$A$2:$B$5,2,FALSE)</f>
        <v>A</v>
      </c>
      <c r="H7357">
        <v>1</v>
      </c>
      <c r="I7357">
        <v>0.77221064814814822</v>
      </c>
      <c r="J7357">
        <v>44788</v>
      </c>
    </row>
    <row r="7358" spans="1:10" x14ac:dyDescent="0.35">
      <c r="A7358" s="2">
        <v>44796</v>
      </c>
      <c r="B7358" s="3">
        <v>0.42952546296296296</v>
      </c>
      <c r="C7358">
        <v>8483</v>
      </c>
      <c r="D7358" t="str">
        <f>VLOOKUP(H7358,Produkt!$A$2:$B$5,2,FALSE)</f>
        <v>C</v>
      </c>
      <c r="H7358">
        <v>3</v>
      </c>
      <c r="I7358">
        <v>0.19087962962962965</v>
      </c>
      <c r="J7358">
        <v>44803</v>
      </c>
    </row>
    <row r="7359" spans="1:10" x14ac:dyDescent="0.35">
      <c r="A7359" s="2">
        <v>44796</v>
      </c>
      <c r="B7359" s="3">
        <v>0.73864583333333333</v>
      </c>
      <c r="C7359">
        <v>8549</v>
      </c>
      <c r="D7359" t="str">
        <f>VLOOKUP(H7359,Produkt!$A$2:$B$5,2,FALSE)</f>
        <v>C</v>
      </c>
      <c r="H7359">
        <v>3</v>
      </c>
      <c r="I7359">
        <v>3.76157407407407E-2</v>
      </c>
      <c r="J7359">
        <v>44774</v>
      </c>
    </row>
    <row r="7360" spans="1:10" x14ac:dyDescent="0.35">
      <c r="A7360" s="2">
        <v>44796</v>
      </c>
      <c r="B7360" s="3">
        <v>0.31090277777777781</v>
      </c>
      <c r="C7360">
        <v>8559</v>
      </c>
      <c r="D7360" t="str">
        <f>VLOOKUP(H7360,Produkt!$A$2:$B$5,2,FALSE)</f>
        <v>C</v>
      </c>
      <c r="H7360">
        <v>3</v>
      </c>
      <c r="I7360">
        <v>0.35246527777777775</v>
      </c>
      <c r="J7360">
        <v>44777</v>
      </c>
    </row>
    <row r="7361" spans="1:10" x14ac:dyDescent="0.35">
      <c r="A7361" s="2">
        <v>44796</v>
      </c>
      <c r="B7361" s="3">
        <v>0.47658564814814813</v>
      </c>
      <c r="C7361">
        <v>8568</v>
      </c>
      <c r="D7361" t="str">
        <f>VLOOKUP(H7361,Produkt!$A$2:$B$5,2,FALSE)</f>
        <v>B</v>
      </c>
      <c r="H7361">
        <v>2</v>
      </c>
      <c r="I7361">
        <v>9.7222222222221877E-3</v>
      </c>
      <c r="J7361">
        <v>44783</v>
      </c>
    </row>
    <row r="7362" spans="1:10" x14ac:dyDescent="0.35">
      <c r="A7362" s="2">
        <v>44796</v>
      </c>
      <c r="B7362" s="3">
        <v>4.1944444444444444E-2</v>
      </c>
      <c r="C7362">
        <v>8581</v>
      </c>
      <c r="D7362" t="str">
        <f>VLOOKUP(H7362,Produkt!$A$2:$B$5,2,FALSE)</f>
        <v>A</v>
      </c>
      <c r="H7362">
        <v>1</v>
      </c>
      <c r="I7362">
        <v>0.80521990740740745</v>
      </c>
      <c r="J7362">
        <v>44788</v>
      </c>
    </row>
    <row r="7363" spans="1:10" x14ac:dyDescent="0.35">
      <c r="A7363" s="2">
        <v>44796</v>
      </c>
      <c r="B7363" s="3">
        <v>0.78712962962962962</v>
      </c>
      <c r="C7363">
        <v>8584</v>
      </c>
      <c r="D7363" t="str">
        <f>VLOOKUP(H7363,Produkt!$A$2:$B$5,2,FALSE)</f>
        <v>D</v>
      </c>
      <c r="H7363">
        <v>4</v>
      </c>
      <c r="I7363">
        <v>0.70854166666666663</v>
      </c>
      <c r="J7363">
        <v>44781</v>
      </c>
    </row>
    <row r="7364" spans="1:10" x14ac:dyDescent="0.35">
      <c r="A7364" s="2">
        <v>44796</v>
      </c>
      <c r="B7364" s="3">
        <v>3.6574074074074071E-2</v>
      </c>
      <c r="C7364">
        <v>8676</v>
      </c>
      <c r="D7364" t="str">
        <f>VLOOKUP(H7364,Produkt!$A$2:$B$5,2,FALSE)</f>
        <v>A</v>
      </c>
      <c r="H7364">
        <v>1</v>
      </c>
      <c r="I7364">
        <v>0.53315972222222219</v>
      </c>
      <c r="J7364">
        <v>44775</v>
      </c>
    </row>
    <row r="7365" spans="1:10" x14ac:dyDescent="0.35">
      <c r="A7365" s="2">
        <v>44796</v>
      </c>
      <c r="B7365" s="3">
        <v>0.5627199074074074</v>
      </c>
      <c r="C7365">
        <v>8748</v>
      </c>
      <c r="D7365" t="str">
        <f>VLOOKUP(H7365,Produkt!$A$2:$B$5,2,FALSE)</f>
        <v>A</v>
      </c>
      <c r="H7365">
        <v>1</v>
      </c>
      <c r="I7365">
        <v>0.97947916666666668</v>
      </c>
      <c r="J7365">
        <v>44794</v>
      </c>
    </row>
    <row r="7366" spans="1:10" x14ac:dyDescent="0.35">
      <c r="A7366" s="2">
        <v>44796</v>
      </c>
      <c r="B7366" s="3">
        <v>9.1608796296296299E-2</v>
      </c>
      <c r="C7366">
        <v>8798</v>
      </c>
      <c r="D7366" t="str">
        <f>VLOOKUP(H7366,Produkt!$A$2:$B$5,2,FALSE)</f>
        <v>D</v>
      </c>
      <c r="H7366">
        <v>4</v>
      </c>
      <c r="I7366">
        <v>0.42212962962962958</v>
      </c>
      <c r="J7366">
        <v>44774</v>
      </c>
    </row>
    <row r="7367" spans="1:10" x14ac:dyDescent="0.35">
      <c r="A7367" s="2">
        <v>44796</v>
      </c>
      <c r="B7367" s="3">
        <v>0.17458333333333334</v>
      </c>
      <c r="C7367">
        <v>8815</v>
      </c>
      <c r="D7367" t="str">
        <f>VLOOKUP(H7367,Produkt!$A$2:$B$5,2,FALSE)</f>
        <v>C</v>
      </c>
      <c r="H7367">
        <v>3</v>
      </c>
      <c r="I7367">
        <v>0.81127314814814822</v>
      </c>
      <c r="J7367">
        <v>44789</v>
      </c>
    </row>
    <row r="7368" spans="1:10" x14ac:dyDescent="0.35">
      <c r="A7368" s="2">
        <v>44796</v>
      </c>
      <c r="B7368" s="3">
        <v>0.4722337962962963</v>
      </c>
      <c r="C7368">
        <v>8827</v>
      </c>
      <c r="D7368" t="str">
        <f>VLOOKUP(H7368,Produkt!$A$2:$B$5,2,FALSE)</f>
        <v>C</v>
      </c>
      <c r="H7368">
        <v>3</v>
      </c>
      <c r="I7368">
        <v>0.43964120370370369</v>
      </c>
      <c r="J7368">
        <v>44794</v>
      </c>
    </row>
    <row r="7369" spans="1:10" x14ac:dyDescent="0.35">
      <c r="A7369" s="2">
        <v>44796</v>
      </c>
      <c r="B7369" s="3">
        <v>0.22593750000000001</v>
      </c>
      <c r="C7369">
        <v>8833</v>
      </c>
      <c r="D7369" t="str">
        <f>VLOOKUP(H7369,Produkt!$A$2:$B$5,2,FALSE)</f>
        <v>B</v>
      </c>
      <c r="H7369">
        <v>2</v>
      </c>
      <c r="I7369">
        <v>0.30765046296296295</v>
      </c>
      <c r="J7369">
        <v>44784</v>
      </c>
    </row>
    <row r="7370" spans="1:10" x14ac:dyDescent="0.35">
      <c r="A7370" s="2">
        <v>44796</v>
      </c>
      <c r="B7370" s="3">
        <v>0.34133101851851855</v>
      </c>
      <c r="C7370">
        <v>8858</v>
      </c>
      <c r="D7370" t="str">
        <f>VLOOKUP(H7370,Produkt!$A$2:$B$5,2,FALSE)</f>
        <v>B</v>
      </c>
      <c r="H7370">
        <v>2</v>
      </c>
      <c r="I7370">
        <v>0.21714120370370371</v>
      </c>
      <c r="J7370">
        <v>44789</v>
      </c>
    </row>
    <row r="7371" spans="1:10" x14ac:dyDescent="0.35">
      <c r="A7371" s="2">
        <v>44796</v>
      </c>
      <c r="B7371" s="3">
        <v>5.4004629629629632E-2</v>
      </c>
      <c r="C7371">
        <v>8861</v>
      </c>
      <c r="D7371" t="str">
        <f>VLOOKUP(H7371,Produkt!$A$2:$B$5,2,FALSE)</f>
        <v>B</v>
      </c>
      <c r="H7371">
        <v>2</v>
      </c>
      <c r="I7371">
        <v>0.45317129629629632</v>
      </c>
      <c r="J7371">
        <v>44776</v>
      </c>
    </row>
    <row r="7372" spans="1:10" x14ac:dyDescent="0.35">
      <c r="A7372" s="2">
        <v>44796</v>
      </c>
      <c r="B7372" s="3">
        <v>0.24736111111111111</v>
      </c>
      <c r="C7372">
        <v>8872</v>
      </c>
      <c r="D7372" t="str">
        <f>VLOOKUP(H7372,Produkt!$A$2:$B$5,2,FALSE)</f>
        <v>A</v>
      </c>
      <c r="H7372">
        <v>1</v>
      </c>
      <c r="I7372">
        <v>0.88061342592592595</v>
      </c>
      <c r="J7372">
        <v>44776</v>
      </c>
    </row>
    <row r="7373" spans="1:10" x14ac:dyDescent="0.35">
      <c r="A7373" s="2">
        <v>44796</v>
      </c>
      <c r="B7373" s="3">
        <v>0.66940972222222228</v>
      </c>
      <c r="C7373">
        <v>8908</v>
      </c>
      <c r="D7373" t="str">
        <f>VLOOKUP(H7373,Produkt!$A$2:$B$5,2,FALSE)</f>
        <v>D</v>
      </c>
      <c r="H7373">
        <v>4</v>
      </c>
      <c r="I7373">
        <v>0.3880439814814815</v>
      </c>
      <c r="J7373">
        <v>44799</v>
      </c>
    </row>
    <row r="7374" spans="1:10" x14ac:dyDescent="0.35">
      <c r="A7374" s="2">
        <v>44796</v>
      </c>
      <c r="B7374" s="3">
        <v>5.2118055555555563E-2</v>
      </c>
      <c r="C7374">
        <v>8927</v>
      </c>
      <c r="D7374" t="str">
        <f>VLOOKUP(H7374,Produkt!$A$2:$B$5,2,FALSE)</f>
        <v>C</v>
      </c>
      <c r="H7374">
        <v>3</v>
      </c>
      <c r="I7374">
        <v>1.5555555555555553E-2</v>
      </c>
      <c r="J7374">
        <v>44781</v>
      </c>
    </row>
    <row r="7375" spans="1:10" x14ac:dyDescent="0.35">
      <c r="A7375" s="2">
        <v>44796</v>
      </c>
      <c r="B7375" s="3">
        <v>0.36204861111111114</v>
      </c>
      <c r="C7375">
        <v>8932</v>
      </c>
      <c r="D7375" t="str">
        <f>VLOOKUP(H7375,Produkt!$A$2:$B$5,2,FALSE)</f>
        <v>A</v>
      </c>
      <c r="H7375">
        <v>1</v>
      </c>
      <c r="I7375">
        <v>3.025462962962977E-2</v>
      </c>
      <c r="J7375">
        <v>44784</v>
      </c>
    </row>
    <row r="7376" spans="1:10" x14ac:dyDescent="0.35">
      <c r="A7376" s="2">
        <v>44796</v>
      </c>
      <c r="B7376" s="3">
        <v>9.9537037037036313E-3</v>
      </c>
      <c r="C7376">
        <v>8971</v>
      </c>
      <c r="D7376" t="str">
        <f>VLOOKUP(H7376,Produkt!$A$2:$B$5,2,FALSE)</f>
        <v>C</v>
      </c>
      <c r="H7376">
        <v>3</v>
      </c>
      <c r="I7376">
        <v>0.21223379629629632</v>
      </c>
      <c r="J7376">
        <v>44782</v>
      </c>
    </row>
    <row r="7377" spans="1:10" x14ac:dyDescent="0.35">
      <c r="A7377" s="2">
        <v>44796</v>
      </c>
      <c r="B7377" s="3">
        <v>0.62796296296296295</v>
      </c>
      <c r="C7377">
        <v>8981</v>
      </c>
      <c r="D7377" t="str">
        <f>VLOOKUP(H7377,Produkt!$A$2:$B$5,2,FALSE)</f>
        <v>D</v>
      </c>
      <c r="H7377">
        <v>4</v>
      </c>
      <c r="I7377">
        <v>0.80542824074074071</v>
      </c>
      <c r="J7377">
        <v>44795</v>
      </c>
    </row>
    <row r="7378" spans="1:10" x14ac:dyDescent="0.35">
      <c r="A7378" s="2">
        <v>44796</v>
      </c>
      <c r="B7378" s="3">
        <v>0.41089120370370374</v>
      </c>
      <c r="C7378">
        <v>8984</v>
      </c>
      <c r="D7378" t="str">
        <f>VLOOKUP(H7378,Produkt!$A$2:$B$5,2,FALSE)</f>
        <v>D</v>
      </c>
      <c r="H7378">
        <v>4</v>
      </c>
      <c r="I7378">
        <v>0.2901157407407407</v>
      </c>
      <c r="J7378">
        <v>44774</v>
      </c>
    </row>
    <row r="7379" spans="1:10" x14ac:dyDescent="0.35">
      <c r="A7379" s="2">
        <v>44796</v>
      </c>
      <c r="B7379" s="3">
        <v>7.9282407407407399E-2</v>
      </c>
      <c r="C7379">
        <v>9000</v>
      </c>
      <c r="D7379" t="str">
        <f>VLOOKUP(H7379,Produkt!$A$2:$B$5,2,FALSE)</f>
        <v>C</v>
      </c>
      <c r="H7379">
        <v>3</v>
      </c>
      <c r="I7379">
        <v>1.650462962962963E-2</v>
      </c>
      <c r="J7379">
        <v>44791</v>
      </c>
    </row>
    <row r="7380" spans="1:10" x14ac:dyDescent="0.35">
      <c r="A7380" s="2">
        <v>44796</v>
      </c>
      <c r="B7380" s="3">
        <v>0.39047453703703705</v>
      </c>
      <c r="C7380">
        <v>9015</v>
      </c>
      <c r="D7380" t="str">
        <f>VLOOKUP(H7380,Produkt!$A$2:$B$5,2,FALSE)</f>
        <v>A</v>
      </c>
      <c r="H7380">
        <v>1</v>
      </c>
      <c r="I7380">
        <v>9.4849537037037038E-2</v>
      </c>
      <c r="J7380">
        <v>44801</v>
      </c>
    </row>
    <row r="7381" spans="1:10" x14ac:dyDescent="0.35">
      <c r="A7381" s="2">
        <v>44796</v>
      </c>
      <c r="B7381" s="3">
        <v>0.53065972222222224</v>
      </c>
      <c r="C7381">
        <v>9024</v>
      </c>
      <c r="D7381" t="str">
        <f>VLOOKUP(H7381,Produkt!$A$2:$B$5,2,FALSE)</f>
        <v>C</v>
      </c>
      <c r="H7381">
        <v>3</v>
      </c>
      <c r="I7381">
        <v>0.31146990740740738</v>
      </c>
      <c r="J7381">
        <v>44785</v>
      </c>
    </row>
    <row r="7382" spans="1:10" x14ac:dyDescent="0.35">
      <c r="A7382" s="2">
        <v>44796</v>
      </c>
      <c r="B7382" s="3">
        <v>0.82854166666666673</v>
      </c>
      <c r="C7382">
        <v>9038</v>
      </c>
      <c r="D7382" t="str">
        <f>VLOOKUP(H7382,Produkt!$A$2:$B$5,2,FALSE)</f>
        <v>C</v>
      </c>
      <c r="H7382">
        <v>3</v>
      </c>
      <c r="I7382">
        <v>0.99289351851851848</v>
      </c>
      <c r="J7382">
        <v>44789</v>
      </c>
    </row>
    <row r="7383" spans="1:10" x14ac:dyDescent="0.35">
      <c r="A7383" s="2">
        <v>44796</v>
      </c>
      <c r="B7383" s="3">
        <v>0.40552083333333333</v>
      </c>
      <c r="C7383">
        <v>9156</v>
      </c>
      <c r="D7383" t="str">
        <f>VLOOKUP(H7383,Produkt!$A$2:$B$5,2,FALSE)</f>
        <v>D</v>
      </c>
      <c r="H7383">
        <v>4</v>
      </c>
      <c r="I7383">
        <v>0.89623842592592595</v>
      </c>
      <c r="J7383">
        <v>44804</v>
      </c>
    </row>
    <row r="7384" spans="1:10" x14ac:dyDescent="0.35">
      <c r="A7384" s="2">
        <v>44796</v>
      </c>
      <c r="B7384" s="3">
        <v>0.34833333333333333</v>
      </c>
      <c r="C7384">
        <v>9161</v>
      </c>
      <c r="D7384" t="str">
        <f>VLOOKUP(H7384,Produkt!$A$2:$B$5,2,FALSE)</f>
        <v>A</v>
      </c>
      <c r="H7384">
        <v>1</v>
      </c>
      <c r="I7384">
        <v>0.84201388888888884</v>
      </c>
      <c r="J7384">
        <v>44800</v>
      </c>
    </row>
    <row r="7385" spans="1:10" x14ac:dyDescent="0.35">
      <c r="A7385" s="2">
        <v>44796</v>
      </c>
      <c r="B7385" s="3">
        <v>0.42159722222222223</v>
      </c>
      <c r="C7385">
        <v>9205</v>
      </c>
      <c r="D7385" t="str">
        <f>VLOOKUP(H7385,Produkt!$A$2:$B$5,2,FALSE)</f>
        <v>D</v>
      </c>
      <c r="H7385">
        <v>4</v>
      </c>
      <c r="I7385">
        <v>0.14624999999999999</v>
      </c>
      <c r="J7385">
        <v>44790</v>
      </c>
    </row>
    <row r="7386" spans="1:10" x14ac:dyDescent="0.35">
      <c r="A7386" s="2">
        <v>44796</v>
      </c>
      <c r="B7386" s="3">
        <v>0.99612268518518521</v>
      </c>
      <c r="C7386">
        <v>9237</v>
      </c>
      <c r="D7386" t="str">
        <f>VLOOKUP(H7386,Produkt!$A$2:$B$5,2,FALSE)</f>
        <v>C</v>
      </c>
      <c r="H7386">
        <v>3</v>
      </c>
      <c r="I7386">
        <v>0.57482638888888882</v>
      </c>
      <c r="J7386">
        <v>44789</v>
      </c>
    </row>
    <row r="7387" spans="1:10" x14ac:dyDescent="0.35">
      <c r="A7387" s="2">
        <v>44796</v>
      </c>
      <c r="B7387" s="3">
        <v>0.41657407407407404</v>
      </c>
      <c r="C7387">
        <v>9259</v>
      </c>
      <c r="D7387" t="str">
        <f>VLOOKUP(H7387,Produkt!$A$2:$B$5,2,FALSE)</f>
        <v>C</v>
      </c>
      <c r="H7387">
        <v>3</v>
      </c>
      <c r="I7387">
        <v>0.58151620370370372</v>
      </c>
      <c r="J7387">
        <v>44785</v>
      </c>
    </row>
    <row r="7388" spans="1:10" x14ac:dyDescent="0.35">
      <c r="A7388" s="2">
        <v>44796</v>
      </c>
      <c r="B7388" s="3">
        <v>9.2013888888888892E-3</v>
      </c>
      <c r="C7388">
        <v>9267</v>
      </c>
      <c r="D7388" t="str">
        <f>VLOOKUP(H7388,Produkt!$A$2:$B$5,2,FALSE)</f>
        <v>D</v>
      </c>
      <c r="H7388">
        <v>4</v>
      </c>
      <c r="I7388">
        <v>0.81905092592592599</v>
      </c>
      <c r="J7388">
        <v>44796</v>
      </c>
    </row>
    <row r="7389" spans="1:10" x14ac:dyDescent="0.35">
      <c r="A7389" s="2">
        <v>44796</v>
      </c>
      <c r="B7389" s="3">
        <v>0.21606481481481479</v>
      </c>
      <c r="C7389">
        <v>9420</v>
      </c>
      <c r="D7389" t="str">
        <f>VLOOKUP(H7389,Produkt!$A$2:$B$5,2,FALSE)</f>
        <v>C</v>
      </c>
      <c r="H7389">
        <v>3</v>
      </c>
      <c r="I7389">
        <v>1.8599537037037036E-2</v>
      </c>
      <c r="J7389">
        <v>44787</v>
      </c>
    </row>
    <row r="7390" spans="1:10" x14ac:dyDescent="0.35">
      <c r="A7390" s="2">
        <v>44796</v>
      </c>
      <c r="B7390" s="3">
        <v>9.1550925925927285E-3</v>
      </c>
      <c r="C7390">
        <v>9425</v>
      </c>
      <c r="D7390" t="str">
        <f>VLOOKUP(H7390,Produkt!$A$2:$B$5,2,FALSE)</f>
        <v>A</v>
      </c>
      <c r="H7390">
        <v>1</v>
      </c>
      <c r="I7390">
        <v>0.55531249999999999</v>
      </c>
      <c r="J7390">
        <v>44790</v>
      </c>
    </row>
    <row r="7391" spans="1:10" x14ac:dyDescent="0.35">
      <c r="A7391" s="2">
        <v>44796</v>
      </c>
      <c r="B7391" s="3">
        <v>7.1921296296296303E-2</v>
      </c>
      <c r="C7391">
        <v>9432</v>
      </c>
      <c r="D7391" t="str">
        <f>VLOOKUP(H7391,Produkt!$A$2:$B$5,2,FALSE)</f>
        <v>D</v>
      </c>
      <c r="H7391">
        <v>4</v>
      </c>
      <c r="I7391">
        <v>0.61473379629629632</v>
      </c>
      <c r="J7391">
        <v>44798</v>
      </c>
    </row>
    <row r="7392" spans="1:10" x14ac:dyDescent="0.35">
      <c r="A7392" s="2">
        <v>44796</v>
      </c>
      <c r="B7392" s="3">
        <v>0.22952546296296297</v>
      </c>
      <c r="C7392">
        <v>9497</v>
      </c>
      <c r="D7392" t="str">
        <f>VLOOKUP(H7392,Produkt!$A$2:$B$5,2,FALSE)</f>
        <v>B</v>
      </c>
      <c r="H7392">
        <v>2</v>
      </c>
      <c r="I7392">
        <v>0.47859953703703706</v>
      </c>
      <c r="J7392">
        <v>44797</v>
      </c>
    </row>
    <row r="7393" spans="1:10" x14ac:dyDescent="0.35">
      <c r="A7393" s="2">
        <v>44796</v>
      </c>
      <c r="B7393" s="3">
        <v>0.20604166666666668</v>
      </c>
      <c r="C7393">
        <v>9503</v>
      </c>
      <c r="D7393" t="str">
        <f>VLOOKUP(H7393,Produkt!$A$2:$B$5,2,FALSE)</f>
        <v>D</v>
      </c>
      <c r="H7393">
        <v>4</v>
      </c>
      <c r="I7393">
        <v>0.45901620370370372</v>
      </c>
      <c r="J7393">
        <v>44781</v>
      </c>
    </row>
    <row r="7394" spans="1:10" x14ac:dyDescent="0.35">
      <c r="A7394" s="2">
        <v>44796</v>
      </c>
      <c r="B7394" s="3">
        <v>0.23047453703703705</v>
      </c>
      <c r="C7394">
        <v>9621</v>
      </c>
      <c r="D7394" t="str">
        <f>VLOOKUP(H7394,Produkt!$A$2:$B$5,2,FALSE)</f>
        <v>C</v>
      </c>
      <c r="H7394">
        <v>3</v>
      </c>
      <c r="I7394">
        <v>0.77284722222222213</v>
      </c>
      <c r="J7394">
        <v>44796</v>
      </c>
    </row>
    <row r="7395" spans="1:10" x14ac:dyDescent="0.35">
      <c r="A7395" s="2">
        <v>44796</v>
      </c>
      <c r="B7395" s="3">
        <v>0.8590740740740741</v>
      </c>
      <c r="C7395">
        <v>9810</v>
      </c>
      <c r="D7395" t="str">
        <f>VLOOKUP(H7395,Produkt!$A$2:$B$5,2,FALSE)</f>
        <v>D</v>
      </c>
      <c r="H7395">
        <v>4</v>
      </c>
      <c r="I7395">
        <v>0.30047453703703703</v>
      </c>
      <c r="J7395">
        <v>44782</v>
      </c>
    </row>
    <row r="7396" spans="1:10" x14ac:dyDescent="0.35">
      <c r="A7396" s="2">
        <v>44796</v>
      </c>
      <c r="B7396" s="3">
        <v>0.70707175925925936</v>
      </c>
      <c r="C7396">
        <v>9902</v>
      </c>
      <c r="D7396" t="str">
        <f>VLOOKUP(H7396,Produkt!$A$2:$B$5,2,FALSE)</f>
        <v>A</v>
      </c>
      <c r="H7396">
        <v>1</v>
      </c>
      <c r="I7396">
        <v>0.30296296296296293</v>
      </c>
      <c r="J7396">
        <v>44795</v>
      </c>
    </row>
    <row r="7397" spans="1:10" x14ac:dyDescent="0.35">
      <c r="A7397" s="2">
        <v>44796</v>
      </c>
      <c r="B7397" s="3">
        <v>0.86512731481481486</v>
      </c>
      <c r="C7397">
        <v>9903</v>
      </c>
      <c r="D7397" t="str">
        <f>VLOOKUP(H7397,Produkt!$A$2:$B$5,2,FALSE)</f>
        <v>B</v>
      </c>
      <c r="H7397">
        <v>2</v>
      </c>
      <c r="I7397">
        <v>0.27996527777777774</v>
      </c>
      <c r="J7397">
        <v>44783</v>
      </c>
    </row>
    <row r="7398" spans="1:10" x14ac:dyDescent="0.35">
      <c r="A7398" s="2">
        <v>44796</v>
      </c>
      <c r="B7398" s="3">
        <v>0.34866898148148145</v>
      </c>
      <c r="C7398">
        <v>9941</v>
      </c>
      <c r="D7398" t="str">
        <f>VLOOKUP(H7398,Produkt!$A$2:$B$5,2,FALSE)</f>
        <v>B</v>
      </c>
      <c r="H7398">
        <v>2</v>
      </c>
      <c r="I7398">
        <v>0.83966435185185195</v>
      </c>
      <c r="J7398">
        <v>44792</v>
      </c>
    </row>
    <row r="7399" spans="1:10" x14ac:dyDescent="0.35">
      <c r="A7399" s="2">
        <v>44796</v>
      </c>
      <c r="B7399" s="3">
        <v>0.36711805555555554</v>
      </c>
      <c r="C7399">
        <v>9989</v>
      </c>
      <c r="D7399" t="str">
        <f>VLOOKUP(H7399,Produkt!$A$2:$B$5,2,FALSE)</f>
        <v>C</v>
      </c>
      <c r="H7399">
        <v>3</v>
      </c>
      <c r="I7399">
        <v>0.8930324074074073</v>
      </c>
      <c r="J7399">
        <v>44774</v>
      </c>
    </row>
    <row r="7400" spans="1:10" x14ac:dyDescent="0.35">
      <c r="A7400" s="2">
        <v>44796</v>
      </c>
      <c r="B7400" s="3">
        <v>0.63594907407407408</v>
      </c>
      <c r="C7400">
        <v>9997</v>
      </c>
      <c r="D7400" t="str">
        <f>VLOOKUP(H7400,Produkt!$A$2:$B$5,2,FALSE)</f>
        <v>A</v>
      </c>
      <c r="H7400">
        <v>1</v>
      </c>
      <c r="I7400">
        <v>0.1527199074074074</v>
      </c>
      <c r="J7400">
        <v>44804</v>
      </c>
    </row>
    <row r="7401" spans="1:10" x14ac:dyDescent="0.35">
      <c r="A7401" s="2">
        <v>44797</v>
      </c>
      <c r="B7401" s="3">
        <v>2.0729166666666667E-2</v>
      </c>
      <c r="C7401">
        <v>81</v>
      </c>
      <c r="D7401" t="str">
        <f>VLOOKUP(H7401,Produkt!$A$2:$B$5,2,FALSE)</f>
        <v>A</v>
      </c>
      <c r="H7401">
        <v>1</v>
      </c>
      <c r="I7401">
        <v>0.44893518518518521</v>
      </c>
      <c r="J7401">
        <v>44789</v>
      </c>
    </row>
    <row r="7402" spans="1:10" x14ac:dyDescent="0.35">
      <c r="A7402" s="2">
        <v>44797</v>
      </c>
      <c r="B7402" s="3">
        <v>6.4583333333333333E-3</v>
      </c>
      <c r="C7402">
        <v>102</v>
      </c>
      <c r="D7402" t="str">
        <f>VLOOKUP(H7402,Produkt!$A$2:$B$5,2,FALSE)</f>
        <v>C</v>
      </c>
      <c r="H7402">
        <v>3</v>
      </c>
      <c r="I7402">
        <v>0.63157407407407407</v>
      </c>
      <c r="J7402">
        <v>44800</v>
      </c>
    </row>
    <row r="7403" spans="1:10" x14ac:dyDescent="0.35">
      <c r="A7403" s="2">
        <v>44797</v>
      </c>
      <c r="B7403" s="3">
        <v>6.083333333333333E-2</v>
      </c>
      <c r="C7403">
        <v>158</v>
      </c>
      <c r="D7403" t="str">
        <f>VLOOKUP(H7403,Produkt!$A$2:$B$5,2,FALSE)</f>
        <v>A</v>
      </c>
      <c r="H7403">
        <v>1</v>
      </c>
      <c r="I7403">
        <v>0.80034722222222221</v>
      </c>
      <c r="J7403">
        <v>44799</v>
      </c>
    </row>
    <row r="7404" spans="1:10" x14ac:dyDescent="0.35">
      <c r="A7404" s="2">
        <v>44797</v>
      </c>
      <c r="B7404" s="3">
        <v>4.1157407407407406E-2</v>
      </c>
      <c r="C7404">
        <v>194</v>
      </c>
      <c r="D7404" t="str">
        <f>VLOOKUP(H7404,Produkt!$A$2:$B$5,2,FALSE)</f>
        <v>D</v>
      </c>
      <c r="H7404">
        <v>4</v>
      </c>
      <c r="I7404">
        <v>0.69057870370370367</v>
      </c>
      <c r="J7404">
        <v>44799</v>
      </c>
    </row>
    <row r="7405" spans="1:10" x14ac:dyDescent="0.35">
      <c r="A7405" s="2">
        <v>44797</v>
      </c>
      <c r="B7405" s="3">
        <v>0.10075231481481482</v>
      </c>
      <c r="C7405">
        <v>226</v>
      </c>
      <c r="D7405" t="str">
        <f>VLOOKUP(H7405,Produkt!$A$2:$B$5,2,FALSE)</f>
        <v>C</v>
      </c>
      <c r="H7405">
        <v>3</v>
      </c>
      <c r="I7405">
        <v>0.37200231481481483</v>
      </c>
      <c r="J7405">
        <v>44783</v>
      </c>
    </row>
    <row r="7406" spans="1:10" x14ac:dyDescent="0.35">
      <c r="A7406" s="2">
        <v>44797</v>
      </c>
      <c r="B7406" s="3">
        <v>1.3333333333333419E-2</v>
      </c>
      <c r="C7406">
        <v>255</v>
      </c>
      <c r="D7406" t="str">
        <f>VLOOKUP(H7406,Produkt!$A$2:$B$5,2,FALSE)</f>
        <v>C</v>
      </c>
      <c r="H7406">
        <v>3</v>
      </c>
      <c r="I7406">
        <v>0.96865740740740736</v>
      </c>
      <c r="J7406">
        <v>44780</v>
      </c>
    </row>
    <row r="7407" spans="1:10" x14ac:dyDescent="0.35">
      <c r="A7407" s="2">
        <v>44797</v>
      </c>
      <c r="B7407" s="3">
        <v>0.4166435185185185</v>
      </c>
      <c r="C7407">
        <v>261</v>
      </c>
      <c r="D7407" t="str">
        <f>VLOOKUP(H7407,Produkt!$A$2:$B$5,2,FALSE)</f>
        <v>D</v>
      </c>
      <c r="H7407">
        <v>4</v>
      </c>
      <c r="I7407">
        <v>0.93677083333333344</v>
      </c>
      <c r="J7407">
        <v>44789</v>
      </c>
    </row>
    <row r="7408" spans="1:10" x14ac:dyDescent="0.35">
      <c r="A7408" s="2">
        <v>44797</v>
      </c>
      <c r="B7408" s="3">
        <v>0.47204861111111113</v>
      </c>
      <c r="C7408">
        <v>295</v>
      </c>
      <c r="D7408" t="str">
        <f>VLOOKUP(H7408,Produkt!$A$2:$B$5,2,FALSE)</f>
        <v>C</v>
      </c>
      <c r="H7408">
        <v>3</v>
      </c>
      <c r="I7408">
        <v>0.36376157407407406</v>
      </c>
      <c r="J7408">
        <v>44801</v>
      </c>
    </row>
    <row r="7409" spans="1:10" x14ac:dyDescent="0.35">
      <c r="A7409" s="2">
        <v>44797</v>
      </c>
      <c r="B7409" s="3">
        <v>0.60290509259259262</v>
      </c>
      <c r="C7409">
        <v>324</v>
      </c>
      <c r="D7409" t="str">
        <f>VLOOKUP(H7409,Produkt!$A$2:$B$5,2,FALSE)</f>
        <v>D</v>
      </c>
      <c r="H7409">
        <v>4</v>
      </c>
      <c r="I7409">
        <v>0.18909722222222222</v>
      </c>
      <c r="J7409">
        <v>44782</v>
      </c>
    </row>
    <row r="7410" spans="1:10" x14ac:dyDescent="0.35">
      <c r="A7410" s="2">
        <v>44797</v>
      </c>
      <c r="B7410" s="3">
        <v>0.44032407407407409</v>
      </c>
      <c r="C7410">
        <v>387</v>
      </c>
      <c r="D7410" t="str">
        <f>VLOOKUP(H7410,Produkt!$A$2:$B$5,2,FALSE)</f>
        <v>B</v>
      </c>
      <c r="H7410">
        <v>2</v>
      </c>
      <c r="I7410">
        <v>0.53064814814814809</v>
      </c>
      <c r="J7410">
        <v>44780</v>
      </c>
    </row>
    <row r="7411" spans="1:10" x14ac:dyDescent="0.35">
      <c r="A7411" s="2">
        <v>44797</v>
      </c>
      <c r="B7411" s="3">
        <v>0.22651620370370371</v>
      </c>
      <c r="C7411">
        <v>453</v>
      </c>
      <c r="D7411" t="str">
        <f>VLOOKUP(H7411,Produkt!$A$2:$B$5,2,FALSE)</f>
        <v>D</v>
      </c>
      <c r="H7411">
        <v>4</v>
      </c>
      <c r="I7411">
        <v>5.8888888888888886E-2</v>
      </c>
      <c r="J7411">
        <v>44797</v>
      </c>
    </row>
    <row r="7412" spans="1:10" x14ac:dyDescent="0.35">
      <c r="A7412" s="2">
        <v>44797</v>
      </c>
      <c r="B7412" s="3">
        <v>0.99468749999999995</v>
      </c>
      <c r="C7412">
        <v>492</v>
      </c>
      <c r="D7412" t="str">
        <f>VLOOKUP(H7412,Produkt!$A$2:$B$5,2,FALSE)</f>
        <v>B</v>
      </c>
      <c r="H7412">
        <v>2</v>
      </c>
      <c r="I7412">
        <v>0.66271990740740738</v>
      </c>
      <c r="J7412">
        <v>44779</v>
      </c>
    </row>
    <row r="7413" spans="1:10" x14ac:dyDescent="0.35">
      <c r="A7413" s="2">
        <v>44797</v>
      </c>
      <c r="B7413" s="3">
        <v>0.73509259259259263</v>
      </c>
      <c r="C7413">
        <v>506</v>
      </c>
      <c r="D7413" t="str">
        <f>VLOOKUP(H7413,Produkt!$A$2:$B$5,2,FALSE)</f>
        <v>D</v>
      </c>
      <c r="H7413">
        <v>4</v>
      </c>
      <c r="I7413">
        <v>0.60622685185185188</v>
      </c>
      <c r="J7413">
        <v>44796</v>
      </c>
    </row>
    <row r="7414" spans="1:10" x14ac:dyDescent="0.35">
      <c r="A7414" s="2">
        <v>44797</v>
      </c>
      <c r="B7414" s="3">
        <v>0.18285879629629631</v>
      </c>
      <c r="C7414">
        <v>634</v>
      </c>
      <c r="D7414" t="str">
        <f>VLOOKUP(H7414,Produkt!$A$2:$B$5,2,FALSE)</f>
        <v>D</v>
      </c>
      <c r="H7414">
        <v>4</v>
      </c>
      <c r="I7414">
        <v>0.49995370370370368</v>
      </c>
      <c r="J7414">
        <v>44779</v>
      </c>
    </row>
    <row r="7415" spans="1:10" x14ac:dyDescent="0.35">
      <c r="A7415" s="2">
        <v>44797</v>
      </c>
      <c r="B7415" s="3">
        <v>0.33731481481481485</v>
      </c>
      <c r="C7415">
        <v>654</v>
      </c>
      <c r="D7415" t="str">
        <f>VLOOKUP(H7415,Produkt!$A$2:$B$5,2,FALSE)</f>
        <v>D</v>
      </c>
      <c r="H7415">
        <v>4</v>
      </c>
      <c r="I7415">
        <v>0.20953703703703705</v>
      </c>
      <c r="J7415">
        <v>44801</v>
      </c>
    </row>
    <row r="7416" spans="1:10" x14ac:dyDescent="0.35">
      <c r="A7416" s="2">
        <v>44797</v>
      </c>
      <c r="B7416" s="3">
        <v>9.3425925925925926E-2</v>
      </c>
      <c r="C7416">
        <v>656</v>
      </c>
      <c r="D7416" t="str">
        <f>VLOOKUP(H7416,Produkt!$A$2:$B$5,2,FALSE)</f>
        <v>A</v>
      </c>
      <c r="H7416">
        <v>1</v>
      </c>
      <c r="I7416">
        <v>0.46770833333333334</v>
      </c>
      <c r="J7416">
        <v>44775</v>
      </c>
    </row>
    <row r="7417" spans="1:10" x14ac:dyDescent="0.35">
      <c r="A7417" s="2">
        <v>44797</v>
      </c>
      <c r="B7417" s="3">
        <v>2.9409722222222268E-2</v>
      </c>
      <c r="C7417">
        <v>706</v>
      </c>
      <c r="D7417" t="str">
        <f>VLOOKUP(H7417,Produkt!$A$2:$B$5,2,FALSE)</f>
        <v>C</v>
      </c>
      <c r="H7417">
        <v>3</v>
      </c>
      <c r="I7417">
        <v>0.88085648148148143</v>
      </c>
      <c r="J7417">
        <v>44798</v>
      </c>
    </row>
    <row r="7418" spans="1:10" x14ac:dyDescent="0.35">
      <c r="A7418" s="2">
        <v>44797</v>
      </c>
      <c r="B7418" s="3">
        <v>0.75998842592592597</v>
      </c>
      <c r="C7418">
        <v>766</v>
      </c>
      <c r="D7418" t="str">
        <f>VLOOKUP(H7418,Produkt!$A$2:$B$5,2,FALSE)</f>
        <v>C</v>
      </c>
      <c r="H7418">
        <v>3</v>
      </c>
      <c r="I7418">
        <v>0.51542824074074078</v>
      </c>
      <c r="J7418">
        <v>44799</v>
      </c>
    </row>
    <row r="7419" spans="1:10" x14ac:dyDescent="0.35">
      <c r="A7419" s="2">
        <v>44797</v>
      </c>
      <c r="B7419" s="3">
        <v>0.49025462962962968</v>
      </c>
      <c r="C7419">
        <v>767</v>
      </c>
      <c r="D7419" t="str">
        <f>VLOOKUP(H7419,Produkt!$A$2:$B$5,2,FALSE)</f>
        <v>B</v>
      </c>
      <c r="H7419">
        <v>2</v>
      </c>
      <c r="I7419">
        <v>0.99335648148148137</v>
      </c>
      <c r="J7419">
        <v>44785</v>
      </c>
    </row>
    <row r="7420" spans="1:10" x14ac:dyDescent="0.35">
      <c r="A7420" s="2">
        <v>44797</v>
      </c>
      <c r="B7420" s="3">
        <v>0.63445601851851852</v>
      </c>
      <c r="C7420">
        <v>774</v>
      </c>
      <c r="D7420" t="str">
        <f>VLOOKUP(H7420,Produkt!$A$2:$B$5,2,FALSE)</f>
        <v>D</v>
      </c>
      <c r="H7420">
        <v>4</v>
      </c>
      <c r="I7420">
        <v>0.77891203703703704</v>
      </c>
      <c r="J7420">
        <v>44780</v>
      </c>
    </row>
    <row r="7421" spans="1:10" x14ac:dyDescent="0.35">
      <c r="A7421" s="2">
        <v>44797</v>
      </c>
      <c r="B7421" s="3">
        <v>3.6145833333333321E-2</v>
      </c>
      <c r="C7421">
        <v>778</v>
      </c>
      <c r="D7421" t="str">
        <f>VLOOKUP(H7421,Produkt!$A$2:$B$5,2,FALSE)</f>
        <v>B</v>
      </c>
      <c r="H7421">
        <v>2</v>
      </c>
      <c r="I7421">
        <v>0.14674768518518519</v>
      </c>
      <c r="J7421">
        <v>44804</v>
      </c>
    </row>
    <row r="7422" spans="1:10" x14ac:dyDescent="0.35">
      <c r="A7422" s="2">
        <v>44797</v>
      </c>
      <c r="B7422" s="3">
        <v>0.96005787037037038</v>
      </c>
      <c r="C7422">
        <v>789</v>
      </c>
      <c r="D7422" t="str">
        <f>VLOOKUP(H7422,Produkt!$A$2:$B$5,2,FALSE)</f>
        <v>D</v>
      </c>
      <c r="H7422">
        <v>4</v>
      </c>
      <c r="I7422">
        <v>0.27568287037037037</v>
      </c>
      <c r="J7422">
        <v>44797</v>
      </c>
    </row>
    <row r="7423" spans="1:10" x14ac:dyDescent="0.35">
      <c r="A7423" s="2">
        <v>44797</v>
      </c>
      <c r="B7423" s="3">
        <v>0.71322916666666669</v>
      </c>
      <c r="C7423">
        <v>812</v>
      </c>
      <c r="D7423" t="str">
        <f>VLOOKUP(H7423,Produkt!$A$2:$B$5,2,FALSE)</f>
        <v>C</v>
      </c>
      <c r="H7423">
        <v>3</v>
      </c>
      <c r="I7423">
        <v>0.44321759259259258</v>
      </c>
      <c r="J7423">
        <v>44783</v>
      </c>
    </row>
    <row r="7424" spans="1:10" x14ac:dyDescent="0.35">
      <c r="A7424" s="2">
        <v>44797</v>
      </c>
      <c r="B7424" s="3">
        <v>0.18070601851851853</v>
      </c>
      <c r="C7424">
        <v>820</v>
      </c>
      <c r="D7424" t="str">
        <f>VLOOKUP(H7424,Produkt!$A$2:$B$5,2,FALSE)</f>
        <v>B</v>
      </c>
      <c r="H7424">
        <v>2</v>
      </c>
      <c r="I7424">
        <v>0.69016203703703705</v>
      </c>
      <c r="J7424">
        <v>44779</v>
      </c>
    </row>
    <row r="7425" spans="1:10" x14ac:dyDescent="0.35">
      <c r="A7425" s="2">
        <v>44797</v>
      </c>
      <c r="B7425" s="3">
        <v>0.92706018518518529</v>
      </c>
      <c r="C7425">
        <v>824</v>
      </c>
      <c r="D7425" t="str">
        <f>VLOOKUP(H7425,Produkt!$A$2:$B$5,2,FALSE)</f>
        <v>A</v>
      </c>
      <c r="H7425">
        <v>1</v>
      </c>
      <c r="I7425">
        <v>0.94537037037037042</v>
      </c>
      <c r="J7425">
        <v>44787</v>
      </c>
    </row>
    <row r="7426" spans="1:10" x14ac:dyDescent="0.35">
      <c r="A7426" s="2">
        <v>44797</v>
      </c>
      <c r="B7426" s="3">
        <v>0.17104166666666668</v>
      </c>
      <c r="C7426">
        <v>863</v>
      </c>
      <c r="D7426" t="str">
        <f>VLOOKUP(H7426,Produkt!$A$2:$B$5,2,FALSE)</f>
        <v>A</v>
      </c>
      <c r="H7426">
        <v>1</v>
      </c>
      <c r="I7426">
        <v>0.83097222222222233</v>
      </c>
      <c r="J7426">
        <v>44784</v>
      </c>
    </row>
    <row r="7427" spans="1:10" x14ac:dyDescent="0.35">
      <c r="A7427" s="2">
        <v>44797</v>
      </c>
      <c r="B7427" s="3">
        <v>0.47662037037037036</v>
      </c>
      <c r="C7427">
        <v>910</v>
      </c>
      <c r="D7427" t="str">
        <f>VLOOKUP(H7427,Produkt!$A$2:$B$5,2,FALSE)</f>
        <v>D</v>
      </c>
      <c r="H7427">
        <v>4</v>
      </c>
      <c r="I7427">
        <v>0.90499999999999992</v>
      </c>
      <c r="J7427">
        <v>44796</v>
      </c>
    </row>
    <row r="7428" spans="1:10" x14ac:dyDescent="0.35">
      <c r="A7428" s="2">
        <v>44797</v>
      </c>
      <c r="B7428" s="3">
        <v>0.46017361111111116</v>
      </c>
      <c r="C7428">
        <v>929</v>
      </c>
      <c r="D7428" t="str">
        <f>VLOOKUP(H7428,Produkt!$A$2:$B$5,2,FALSE)</f>
        <v>A</v>
      </c>
      <c r="H7428">
        <v>1</v>
      </c>
      <c r="I7428">
        <v>0.65150462962962963</v>
      </c>
      <c r="J7428">
        <v>44783</v>
      </c>
    </row>
    <row r="7429" spans="1:10" x14ac:dyDescent="0.35">
      <c r="A7429" s="2">
        <v>44797</v>
      </c>
      <c r="B7429" s="3">
        <v>0.45864583333333336</v>
      </c>
      <c r="C7429">
        <v>930</v>
      </c>
      <c r="D7429" t="str">
        <f>VLOOKUP(H7429,Produkt!$A$2:$B$5,2,FALSE)</f>
        <v>A</v>
      </c>
      <c r="H7429">
        <v>1</v>
      </c>
      <c r="I7429">
        <v>0.28745370370370371</v>
      </c>
      <c r="J7429">
        <v>44782</v>
      </c>
    </row>
    <row r="7430" spans="1:10" x14ac:dyDescent="0.35">
      <c r="A7430" s="2">
        <v>44797</v>
      </c>
      <c r="B7430" s="3">
        <v>0.17153935185185185</v>
      </c>
      <c r="C7430">
        <v>962</v>
      </c>
      <c r="D7430" t="str">
        <f>VLOOKUP(H7430,Produkt!$A$2:$B$5,2,FALSE)</f>
        <v>A</v>
      </c>
      <c r="H7430">
        <v>1</v>
      </c>
      <c r="I7430">
        <v>0.9060300925925926</v>
      </c>
      <c r="J7430">
        <v>44793</v>
      </c>
    </row>
    <row r="7431" spans="1:10" x14ac:dyDescent="0.35">
      <c r="A7431" s="2">
        <v>44797</v>
      </c>
      <c r="B7431" s="3">
        <v>0.18415509259259258</v>
      </c>
      <c r="C7431">
        <v>971</v>
      </c>
      <c r="D7431" t="str">
        <f>VLOOKUP(H7431,Produkt!$A$2:$B$5,2,FALSE)</f>
        <v>D</v>
      </c>
      <c r="H7431">
        <v>4</v>
      </c>
      <c r="I7431">
        <v>0.16005787037037036</v>
      </c>
      <c r="J7431">
        <v>44776</v>
      </c>
    </row>
    <row r="7432" spans="1:10" x14ac:dyDescent="0.35">
      <c r="A7432" s="2">
        <v>44797</v>
      </c>
      <c r="B7432" s="3">
        <v>0.39945601851851853</v>
      </c>
      <c r="C7432">
        <v>979</v>
      </c>
      <c r="D7432" t="str">
        <f>VLOOKUP(H7432,Produkt!$A$2:$B$5,2,FALSE)</f>
        <v>D</v>
      </c>
      <c r="H7432">
        <v>4</v>
      </c>
      <c r="I7432">
        <v>0.25626157407407407</v>
      </c>
      <c r="J7432">
        <v>44798</v>
      </c>
    </row>
    <row r="7433" spans="1:10" x14ac:dyDescent="0.35">
      <c r="A7433" s="2">
        <v>44797</v>
      </c>
      <c r="B7433" s="3">
        <v>0.36506944444444445</v>
      </c>
      <c r="C7433">
        <v>1018</v>
      </c>
      <c r="D7433" t="str">
        <f>VLOOKUP(H7433,Produkt!$A$2:$B$5,2,FALSE)</f>
        <v>B</v>
      </c>
      <c r="H7433">
        <v>2</v>
      </c>
      <c r="I7433">
        <v>0.55047453703703708</v>
      </c>
      <c r="J7433">
        <v>44798</v>
      </c>
    </row>
    <row r="7434" spans="1:10" x14ac:dyDescent="0.35">
      <c r="A7434" s="2">
        <v>44797</v>
      </c>
      <c r="B7434" s="3">
        <v>0.15332175925925925</v>
      </c>
      <c r="C7434">
        <v>1055</v>
      </c>
      <c r="D7434" t="str">
        <f>VLOOKUP(H7434,Produkt!$A$2:$B$5,2,FALSE)</f>
        <v>C</v>
      </c>
      <c r="H7434">
        <v>3</v>
      </c>
      <c r="I7434">
        <v>0.30459490740740741</v>
      </c>
      <c r="J7434">
        <v>44776</v>
      </c>
    </row>
    <row r="7435" spans="1:10" x14ac:dyDescent="0.35">
      <c r="A7435" s="2">
        <v>44797</v>
      </c>
      <c r="B7435" s="3">
        <v>0.21590277777777778</v>
      </c>
      <c r="C7435">
        <v>1065</v>
      </c>
      <c r="D7435" t="str">
        <f>VLOOKUP(H7435,Produkt!$A$2:$B$5,2,FALSE)</f>
        <v>D</v>
      </c>
      <c r="H7435">
        <v>4</v>
      </c>
      <c r="I7435">
        <v>0.53059027777777779</v>
      </c>
      <c r="J7435">
        <v>44777</v>
      </c>
    </row>
    <row r="7436" spans="1:10" x14ac:dyDescent="0.35">
      <c r="A7436" s="2">
        <v>44797</v>
      </c>
      <c r="B7436" s="3">
        <v>0.62798611111111113</v>
      </c>
      <c r="C7436">
        <v>1078</v>
      </c>
      <c r="D7436" t="str">
        <f>VLOOKUP(H7436,Produkt!$A$2:$B$5,2,FALSE)</f>
        <v>A</v>
      </c>
      <c r="H7436">
        <v>1</v>
      </c>
      <c r="I7436">
        <v>0.80292824074074076</v>
      </c>
      <c r="J7436">
        <v>44789</v>
      </c>
    </row>
    <row r="7437" spans="1:10" x14ac:dyDescent="0.35">
      <c r="A7437" s="2">
        <v>44797</v>
      </c>
      <c r="B7437" s="3">
        <v>0.48575231481481485</v>
      </c>
      <c r="C7437">
        <v>1081</v>
      </c>
      <c r="D7437" t="str">
        <f>VLOOKUP(H7437,Produkt!$A$2:$B$5,2,FALSE)</f>
        <v>D</v>
      </c>
      <c r="H7437">
        <v>4</v>
      </c>
      <c r="I7437">
        <v>0.19552083333333334</v>
      </c>
      <c r="J7437">
        <v>44800</v>
      </c>
    </row>
    <row r="7438" spans="1:10" x14ac:dyDescent="0.35">
      <c r="A7438" s="2">
        <v>44797</v>
      </c>
      <c r="B7438" s="3">
        <v>2.9826388888888777E-2</v>
      </c>
      <c r="C7438">
        <v>1096</v>
      </c>
      <c r="D7438" t="str">
        <f>VLOOKUP(H7438,Produkt!$A$2:$B$5,2,FALSE)</f>
        <v>D</v>
      </c>
      <c r="H7438">
        <v>4</v>
      </c>
      <c r="I7438">
        <v>0.65004629629629629</v>
      </c>
      <c r="J7438">
        <v>44800</v>
      </c>
    </row>
    <row r="7439" spans="1:10" x14ac:dyDescent="0.35">
      <c r="A7439" s="2">
        <v>44797</v>
      </c>
      <c r="B7439" s="3">
        <v>6.5509259259259262E-3</v>
      </c>
      <c r="C7439">
        <v>1097</v>
      </c>
      <c r="D7439" t="str">
        <f>VLOOKUP(H7439,Produkt!$A$2:$B$5,2,FALSE)</f>
        <v>D</v>
      </c>
      <c r="H7439">
        <v>4</v>
      </c>
      <c r="I7439">
        <v>0.22490740740740742</v>
      </c>
      <c r="J7439">
        <v>44804</v>
      </c>
    </row>
    <row r="7440" spans="1:10" x14ac:dyDescent="0.35">
      <c r="A7440" s="2">
        <v>44797</v>
      </c>
      <c r="B7440" s="3">
        <v>0.46523148148148147</v>
      </c>
      <c r="C7440">
        <v>1190</v>
      </c>
      <c r="D7440" t="str">
        <f>VLOOKUP(H7440,Produkt!$A$2:$B$5,2,FALSE)</f>
        <v>A</v>
      </c>
      <c r="H7440">
        <v>1</v>
      </c>
      <c r="I7440">
        <v>0.8127199074074074</v>
      </c>
      <c r="J7440">
        <v>44798</v>
      </c>
    </row>
    <row r="7441" spans="1:10" x14ac:dyDescent="0.35">
      <c r="A7441" s="2">
        <v>44797</v>
      </c>
      <c r="B7441" s="3">
        <v>7.7905092592592595E-2</v>
      </c>
      <c r="C7441">
        <v>1212</v>
      </c>
      <c r="D7441" t="str">
        <f>VLOOKUP(H7441,Produkt!$A$2:$B$5,2,FALSE)</f>
        <v>D</v>
      </c>
      <c r="H7441">
        <v>4</v>
      </c>
      <c r="I7441">
        <v>0.46565972222222224</v>
      </c>
      <c r="J7441">
        <v>44774</v>
      </c>
    </row>
    <row r="7442" spans="1:10" x14ac:dyDescent="0.35">
      <c r="A7442" s="2">
        <v>44797</v>
      </c>
      <c r="B7442" s="3">
        <v>0.49956018518518519</v>
      </c>
      <c r="C7442">
        <v>1290</v>
      </c>
      <c r="D7442" t="str">
        <f>VLOOKUP(H7442,Produkt!$A$2:$B$5,2,FALSE)</f>
        <v>D</v>
      </c>
      <c r="H7442">
        <v>4</v>
      </c>
      <c r="I7442">
        <v>0.60060185185185189</v>
      </c>
      <c r="J7442">
        <v>44790</v>
      </c>
    </row>
    <row r="7443" spans="1:10" x14ac:dyDescent="0.35">
      <c r="A7443" s="2">
        <v>44797</v>
      </c>
      <c r="B7443" s="3">
        <v>0.47783564814814811</v>
      </c>
      <c r="C7443">
        <v>1357</v>
      </c>
      <c r="D7443" t="str">
        <f>VLOOKUP(H7443,Produkt!$A$2:$B$5,2,FALSE)</f>
        <v>D</v>
      </c>
      <c r="H7443">
        <v>4</v>
      </c>
      <c r="I7443">
        <v>0.9563194444444445</v>
      </c>
      <c r="J7443">
        <v>44774</v>
      </c>
    </row>
    <row r="7444" spans="1:10" x14ac:dyDescent="0.35">
      <c r="A7444" s="2">
        <v>44797</v>
      </c>
      <c r="B7444" s="3">
        <v>0.5838078703703703</v>
      </c>
      <c r="C7444">
        <v>1372</v>
      </c>
      <c r="D7444" t="str">
        <f>VLOOKUP(H7444,Produkt!$A$2:$B$5,2,FALSE)</f>
        <v>B</v>
      </c>
      <c r="H7444">
        <v>2</v>
      </c>
      <c r="I7444">
        <v>0.69951388888888888</v>
      </c>
      <c r="J7444">
        <v>44802</v>
      </c>
    </row>
    <row r="7445" spans="1:10" x14ac:dyDescent="0.35">
      <c r="A7445" s="2">
        <v>44797</v>
      </c>
      <c r="B7445" s="3">
        <v>0.48491898148148144</v>
      </c>
      <c r="C7445">
        <v>1404</v>
      </c>
      <c r="D7445" t="str">
        <f>VLOOKUP(H7445,Produkt!$A$2:$B$5,2,FALSE)</f>
        <v>C</v>
      </c>
      <c r="H7445">
        <v>3</v>
      </c>
      <c r="I7445">
        <v>0.29810185185185184</v>
      </c>
      <c r="J7445">
        <v>44793</v>
      </c>
    </row>
    <row r="7446" spans="1:10" x14ac:dyDescent="0.35">
      <c r="A7446" s="2">
        <v>44797</v>
      </c>
      <c r="B7446" s="3">
        <v>0.31232638888888892</v>
      </c>
      <c r="C7446">
        <v>1419</v>
      </c>
      <c r="D7446" t="str">
        <f>VLOOKUP(H7446,Produkt!$A$2:$B$5,2,FALSE)</f>
        <v>B</v>
      </c>
      <c r="H7446">
        <v>2</v>
      </c>
      <c r="I7446">
        <v>0.95773148148148157</v>
      </c>
      <c r="J7446">
        <v>44799</v>
      </c>
    </row>
    <row r="7447" spans="1:10" x14ac:dyDescent="0.35">
      <c r="A7447" s="2">
        <v>44797</v>
      </c>
      <c r="B7447" s="3">
        <v>0.47841435185185183</v>
      </c>
      <c r="C7447">
        <v>1426</v>
      </c>
      <c r="D7447" t="str">
        <f>VLOOKUP(H7447,Produkt!$A$2:$B$5,2,FALSE)</f>
        <v>C</v>
      </c>
      <c r="H7447">
        <v>3</v>
      </c>
      <c r="I7447">
        <v>0.16733796296296297</v>
      </c>
      <c r="J7447">
        <v>44775</v>
      </c>
    </row>
    <row r="7448" spans="1:10" x14ac:dyDescent="0.35">
      <c r="A7448" s="2">
        <v>44797</v>
      </c>
      <c r="B7448" s="3">
        <v>0.61002314814814818</v>
      </c>
      <c r="C7448">
        <v>1466</v>
      </c>
      <c r="D7448" t="str">
        <f>VLOOKUP(H7448,Produkt!$A$2:$B$5,2,FALSE)</f>
        <v>C</v>
      </c>
      <c r="H7448">
        <v>3</v>
      </c>
      <c r="I7448">
        <v>0.95240740740740737</v>
      </c>
      <c r="J7448">
        <v>44785</v>
      </c>
    </row>
    <row r="7449" spans="1:10" x14ac:dyDescent="0.35">
      <c r="A7449" s="2">
        <v>44797</v>
      </c>
      <c r="B7449" s="3">
        <v>0.10561342592592593</v>
      </c>
      <c r="C7449">
        <v>1493</v>
      </c>
      <c r="D7449" t="str">
        <f>VLOOKUP(H7449,Produkt!$A$2:$B$5,2,FALSE)</f>
        <v>A</v>
      </c>
      <c r="H7449">
        <v>1</v>
      </c>
      <c r="I7449">
        <v>0.58628472222222217</v>
      </c>
      <c r="J7449">
        <v>44796</v>
      </c>
    </row>
    <row r="7450" spans="1:10" x14ac:dyDescent="0.35">
      <c r="A7450" s="2">
        <v>44797</v>
      </c>
      <c r="B7450" s="3">
        <v>0.15778935185185186</v>
      </c>
      <c r="C7450">
        <v>1495</v>
      </c>
      <c r="D7450" t="str">
        <f>VLOOKUP(H7450,Produkt!$A$2:$B$5,2,FALSE)</f>
        <v>D</v>
      </c>
      <c r="H7450">
        <v>4</v>
      </c>
      <c r="I7450">
        <v>0.80846064814814822</v>
      </c>
      <c r="J7450">
        <v>44776</v>
      </c>
    </row>
    <row r="7451" spans="1:10" x14ac:dyDescent="0.35">
      <c r="A7451" s="2">
        <v>44797</v>
      </c>
      <c r="B7451" s="3">
        <v>0.68304398148148149</v>
      </c>
      <c r="C7451">
        <v>1499</v>
      </c>
      <c r="D7451" t="str">
        <f>VLOOKUP(H7451,Produkt!$A$2:$B$5,2,FALSE)</f>
        <v>B</v>
      </c>
      <c r="H7451">
        <v>2</v>
      </c>
      <c r="I7451">
        <v>0.94836805555555559</v>
      </c>
      <c r="J7451">
        <v>44795</v>
      </c>
    </row>
    <row r="7452" spans="1:10" x14ac:dyDescent="0.35">
      <c r="A7452" s="2">
        <v>44797</v>
      </c>
      <c r="B7452" s="3">
        <v>0.12712962962962962</v>
      </c>
      <c r="C7452">
        <v>1530</v>
      </c>
      <c r="D7452" t="str">
        <f>VLOOKUP(H7452,Produkt!$A$2:$B$5,2,FALSE)</f>
        <v>C</v>
      </c>
      <c r="H7452">
        <v>3</v>
      </c>
      <c r="I7452">
        <v>0.96883101851851849</v>
      </c>
      <c r="J7452">
        <v>44775</v>
      </c>
    </row>
    <row r="7453" spans="1:10" x14ac:dyDescent="0.35">
      <c r="A7453" s="2">
        <v>44797</v>
      </c>
      <c r="B7453" s="3">
        <v>9.9479166666666674E-2</v>
      </c>
      <c r="C7453">
        <v>1552</v>
      </c>
      <c r="D7453" t="str">
        <f>VLOOKUP(H7453,Produkt!$A$2:$B$5,2,FALSE)</f>
        <v>D</v>
      </c>
      <c r="H7453">
        <v>4</v>
      </c>
      <c r="I7453">
        <v>0.24376157407407406</v>
      </c>
      <c r="J7453">
        <v>44791</v>
      </c>
    </row>
    <row r="7454" spans="1:10" x14ac:dyDescent="0.35">
      <c r="A7454" s="2">
        <v>44797</v>
      </c>
      <c r="B7454" s="3">
        <v>0.71203703703703702</v>
      </c>
      <c r="C7454">
        <v>1556</v>
      </c>
      <c r="D7454" t="str">
        <f>VLOOKUP(H7454,Produkt!$A$2:$B$5,2,FALSE)</f>
        <v>C</v>
      </c>
      <c r="H7454">
        <v>3</v>
      </c>
      <c r="I7454">
        <v>0.59232638888888889</v>
      </c>
      <c r="J7454">
        <v>44782</v>
      </c>
    </row>
    <row r="7455" spans="1:10" x14ac:dyDescent="0.35">
      <c r="A7455" s="2">
        <v>44797</v>
      </c>
      <c r="B7455" s="3">
        <v>0.98998842592592595</v>
      </c>
      <c r="C7455">
        <v>1560</v>
      </c>
      <c r="D7455" t="str">
        <f>VLOOKUP(H7455,Produkt!$A$2:$B$5,2,FALSE)</f>
        <v>D</v>
      </c>
      <c r="H7455">
        <v>4</v>
      </c>
      <c r="I7455">
        <v>0.32827546296296295</v>
      </c>
      <c r="J7455">
        <v>44799</v>
      </c>
    </row>
    <row r="7456" spans="1:10" x14ac:dyDescent="0.35">
      <c r="A7456" s="2">
        <v>44797</v>
      </c>
      <c r="B7456" s="3">
        <v>0.92440972222222229</v>
      </c>
      <c r="C7456">
        <v>1565</v>
      </c>
      <c r="D7456" t="str">
        <f>VLOOKUP(H7456,Produkt!$A$2:$B$5,2,FALSE)</f>
        <v>C</v>
      </c>
      <c r="H7456">
        <v>3</v>
      </c>
      <c r="I7456">
        <v>0.53997685185185185</v>
      </c>
      <c r="J7456">
        <v>44787</v>
      </c>
    </row>
    <row r="7457" spans="1:10" x14ac:dyDescent="0.35">
      <c r="A7457" s="2">
        <v>44797</v>
      </c>
      <c r="B7457" s="3">
        <v>0.45788194444444441</v>
      </c>
      <c r="C7457">
        <v>1632</v>
      </c>
      <c r="D7457" t="str">
        <f>VLOOKUP(H7457,Produkt!$A$2:$B$5,2,FALSE)</f>
        <v>B</v>
      </c>
      <c r="H7457">
        <v>2</v>
      </c>
      <c r="I7457">
        <v>0.17142361111111112</v>
      </c>
      <c r="J7457">
        <v>44798</v>
      </c>
    </row>
    <row r="7458" spans="1:10" x14ac:dyDescent="0.35">
      <c r="A7458" s="2">
        <v>44797</v>
      </c>
      <c r="B7458" s="3">
        <v>0.32268518518518519</v>
      </c>
      <c r="C7458">
        <v>1646</v>
      </c>
      <c r="D7458" t="str">
        <f>VLOOKUP(H7458,Produkt!$A$2:$B$5,2,FALSE)</f>
        <v>B</v>
      </c>
      <c r="H7458">
        <v>2</v>
      </c>
      <c r="I7458">
        <v>0.76493055555555556</v>
      </c>
      <c r="J7458">
        <v>44793</v>
      </c>
    </row>
    <row r="7459" spans="1:10" x14ac:dyDescent="0.35">
      <c r="A7459" s="2">
        <v>44797</v>
      </c>
      <c r="B7459" s="3">
        <v>0.63868055555555558</v>
      </c>
      <c r="C7459">
        <v>1653</v>
      </c>
      <c r="D7459" t="str">
        <f>VLOOKUP(H7459,Produkt!$A$2:$B$5,2,FALSE)</f>
        <v>D</v>
      </c>
      <c r="H7459">
        <v>4</v>
      </c>
      <c r="I7459">
        <v>0.35335648148148152</v>
      </c>
      <c r="J7459">
        <v>44788</v>
      </c>
    </row>
    <row r="7460" spans="1:10" x14ac:dyDescent="0.35">
      <c r="A7460" s="2">
        <v>44797</v>
      </c>
      <c r="B7460" s="3">
        <v>0.3197800925925926</v>
      </c>
      <c r="C7460">
        <v>1655</v>
      </c>
      <c r="D7460" t="str">
        <f>VLOOKUP(H7460,Produkt!$A$2:$B$5,2,FALSE)</f>
        <v>D</v>
      </c>
      <c r="H7460">
        <v>4</v>
      </c>
      <c r="I7460">
        <v>0.50784722222222223</v>
      </c>
      <c r="J7460">
        <v>44794</v>
      </c>
    </row>
    <row r="7461" spans="1:10" x14ac:dyDescent="0.35">
      <c r="A7461" s="2">
        <v>44797</v>
      </c>
      <c r="B7461" s="3">
        <v>0.24384259259259258</v>
      </c>
      <c r="C7461">
        <v>1664</v>
      </c>
      <c r="D7461" t="str">
        <f>VLOOKUP(H7461,Produkt!$A$2:$B$5,2,FALSE)</f>
        <v>B</v>
      </c>
      <c r="H7461">
        <v>2</v>
      </c>
      <c r="I7461">
        <v>4.1608796296296297E-2</v>
      </c>
      <c r="J7461">
        <v>44787</v>
      </c>
    </row>
    <row r="7462" spans="1:10" x14ac:dyDescent="0.35">
      <c r="A7462" s="2">
        <v>44797</v>
      </c>
      <c r="B7462" s="3">
        <v>0.26412037037037034</v>
      </c>
      <c r="C7462">
        <v>1670</v>
      </c>
      <c r="D7462" t="str">
        <f>VLOOKUP(H7462,Produkt!$A$2:$B$5,2,FALSE)</f>
        <v>D</v>
      </c>
      <c r="H7462">
        <v>4</v>
      </c>
      <c r="I7462">
        <v>0.87083333333333324</v>
      </c>
      <c r="J7462">
        <v>44796</v>
      </c>
    </row>
    <row r="7463" spans="1:10" x14ac:dyDescent="0.35">
      <c r="A7463" s="2">
        <v>44797</v>
      </c>
      <c r="B7463" s="3">
        <v>0.18069444444444446</v>
      </c>
      <c r="C7463">
        <v>1749</v>
      </c>
      <c r="D7463" t="str">
        <f>VLOOKUP(H7463,Produkt!$A$2:$B$5,2,FALSE)</f>
        <v>A</v>
      </c>
      <c r="H7463">
        <v>1</v>
      </c>
      <c r="I7463">
        <v>0.36958333333333332</v>
      </c>
      <c r="J7463">
        <v>44792</v>
      </c>
    </row>
    <row r="7464" spans="1:10" x14ac:dyDescent="0.35">
      <c r="A7464" s="2">
        <v>44797</v>
      </c>
      <c r="B7464" s="3">
        <v>6.1342592592592594E-2</v>
      </c>
      <c r="C7464">
        <v>1824</v>
      </c>
      <c r="D7464" t="str">
        <f>VLOOKUP(H7464,Produkt!$A$2:$B$5,2,FALSE)</f>
        <v>B</v>
      </c>
      <c r="H7464">
        <v>2</v>
      </c>
      <c r="I7464">
        <v>0.20464120370370367</v>
      </c>
      <c r="J7464">
        <v>44781</v>
      </c>
    </row>
    <row r="7465" spans="1:10" x14ac:dyDescent="0.35">
      <c r="A7465" s="2">
        <v>44797</v>
      </c>
      <c r="B7465" s="3">
        <v>0.82150462962962967</v>
      </c>
      <c r="C7465">
        <v>1833</v>
      </c>
      <c r="D7465" t="str">
        <f>VLOOKUP(H7465,Produkt!$A$2:$B$5,2,FALSE)</f>
        <v>D</v>
      </c>
      <c r="H7465">
        <v>4</v>
      </c>
      <c r="I7465">
        <v>0.45982638888888888</v>
      </c>
      <c r="J7465">
        <v>44795</v>
      </c>
    </row>
    <row r="7466" spans="1:10" x14ac:dyDescent="0.35">
      <c r="A7466" s="2">
        <v>44797</v>
      </c>
      <c r="B7466" s="3">
        <v>0.28848379629629628</v>
      </c>
      <c r="C7466">
        <v>1920</v>
      </c>
      <c r="D7466" t="str">
        <f>VLOOKUP(H7466,Produkt!$A$2:$B$5,2,FALSE)</f>
        <v>A</v>
      </c>
      <c r="H7466">
        <v>1</v>
      </c>
      <c r="I7466">
        <v>0.22542824074074075</v>
      </c>
      <c r="J7466">
        <v>44781</v>
      </c>
    </row>
    <row r="7467" spans="1:10" x14ac:dyDescent="0.35">
      <c r="A7467" s="2">
        <v>44797</v>
      </c>
      <c r="B7467" s="3">
        <v>0.77056712962962959</v>
      </c>
      <c r="C7467">
        <v>1939</v>
      </c>
      <c r="D7467" t="str">
        <f>VLOOKUP(H7467,Produkt!$A$2:$B$5,2,FALSE)</f>
        <v>A</v>
      </c>
      <c r="H7467">
        <v>1</v>
      </c>
      <c r="I7467">
        <v>0.96793981481481473</v>
      </c>
      <c r="J7467">
        <v>44791</v>
      </c>
    </row>
    <row r="7468" spans="1:10" x14ac:dyDescent="0.35">
      <c r="A7468" s="2">
        <v>44797</v>
      </c>
      <c r="B7468" s="3">
        <v>3.1446759259259327E-2</v>
      </c>
      <c r="C7468">
        <v>1978</v>
      </c>
      <c r="D7468" t="str">
        <f>VLOOKUP(H7468,Produkt!$A$2:$B$5,2,FALSE)</f>
        <v>B</v>
      </c>
      <c r="H7468">
        <v>2</v>
      </c>
      <c r="I7468">
        <v>0.72012731481481485</v>
      </c>
      <c r="J7468">
        <v>44793</v>
      </c>
    </row>
    <row r="7469" spans="1:10" x14ac:dyDescent="0.35">
      <c r="A7469" s="2">
        <v>44797</v>
      </c>
      <c r="B7469" s="3">
        <v>0.35043981481481484</v>
      </c>
      <c r="C7469">
        <v>2029</v>
      </c>
      <c r="D7469" t="str">
        <f>VLOOKUP(H7469,Produkt!$A$2:$B$5,2,FALSE)</f>
        <v>D</v>
      </c>
      <c r="H7469">
        <v>4</v>
      </c>
      <c r="I7469">
        <v>0.62692129629629634</v>
      </c>
      <c r="J7469">
        <v>44777</v>
      </c>
    </row>
    <row r="7470" spans="1:10" x14ac:dyDescent="0.35">
      <c r="A7470" s="2">
        <v>44797</v>
      </c>
      <c r="B7470" s="3">
        <v>0.34325231481481483</v>
      </c>
      <c r="C7470">
        <v>2086</v>
      </c>
      <c r="D7470" t="str">
        <f>VLOOKUP(H7470,Produkt!$A$2:$B$5,2,FALSE)</f>
        <v>A</v>
      </c>
      <c r="H7470">
        <v>1</v>
      </c>
      <c r="I7470">
        <v>1.361111111111124E-2</v>
      </c>
      <c r="J7470">
        <v>44778</v>
      </c>
    </row>
    <row r="7471" spans="1:10" x14ac:dyDescent="0.35">
      <c r="A7471" s="2">
        <v>44797</v>
      </c>
      <c r="B7471" s="3">
        <v>0.22778935185185187</v>
      </c>
      <c r="C7471">
        <v>2091</v>
      </c>
      <c r="D7471" t="str">
        <f>VLOOKUP(H7471,Produkt!$A$2:$B$5,2,FALSE)</f>
        <v>D</v>
      </c>
      <c r="H7471">
        <v>4</v>
      </c>
      <c r="I7471">
        <v>0.88256944444444452</v>
      </c>
      <c r="J7471">
        <v>44783</v>
      </c>
    </row>
    <row r="7472" spans="1:10" x14ac:dyDescent="0.35">
      <c r="A7472" s="2">
        <v>44797</v>
      </c>
      <c r="B7472" s="3">
        <v>0.64886574074074077</v>
      </c>
      <c r="C7472">
        <v>2103</v>
      </c>
      <c r="D7472" t="str">
        <f>VLOOKUP(H7472,Produkt!$A$2:$B$5,2,FALSE)</f>
        <v>C</v>
      </c>
      <c r="H7472">
        <v>3</v>
      </c>
      <c r="I7472">
        <v>0.15697916666666667</v>
      </c>
      <c r="J7472">
        <v>44784</v>
      </c>
    </row>
    <row r="7473" spans="1:10" x14ac:dyDescent="0.35">
      <c r="A7473" s="2">
        <v>44797</v>
      </c>
      <c r="B7473" s="3">
        <v>0.33908564814814812</v>
      </c>
      <c r="C7473">
        <v>2109</v>
      </c>
      <c r="D7473" t="str">
        <f>VLOOKUP(H7473,Produkt!$A$2:$B$5,2,FALSE)</f>
        <v>C</v>
      </c>
      <c r="H7473">
        <v>3</v>
      </c>
      <c r="I7473">
        <v>0.27752314814814816</v>
      </c>
      <c r="J7473">
        <v>44775</v>
      </c>
    </row>
    <row r="7474" spans="1:10" x14ac:dyDescent="0.35">
      <c r="A7474" s="2">
        <v>44797</v>
      </c>
      <c r="B7474" s="3">
        <v>0.55047453703703708</v>
      </c>
      <c r="C7474">
        <v>2130</v>
      </c>
      <c r="D7474" t="str">
        <f>VLOOKUP(H7474,Produkt!$A$2:$B$5,2,FALSE)</f>
        <v>A</v>
      </c>
      <c r="H7474">
        <v>1</v>
      </c>
      <c r="I7474">
        <v>0.23017361111111112</v>
      </c>
      <c r="J7474">
        <v>44803</v>
      </c>
    </row>
    <row r="7475" spans="1:10" x14ac:dyDescent="0.35">
      <c r="A7475" s="2">
        <v>44797</v>
      </c>
      <c r="B7475" s="3">
        <v>0.29960648148148145</v>
      </c>
      <c r="C7475">
        <v>2140</v>
      </c>
      <c r="D7475" t="str">
        <f>VLOOKUP(H7475,Produkt!$A$2:$B$5,2,FALSE)</f>
        <v>B</v>
      </c>
      <c r="H7475">
        <v>2</v>
      </c>
      <c r="I7475">
        <v>0.23402777777777781</v>
      </c>
      <c r="J7475">
        <v>44774</v>
      </c>
    </row>
    <row r="7476" spans="1:10" x14ac:dyDescent="0.35">
      <c r="A7476" s="2">
        <v>44797</v>
      </c>
      <c r="B7476" s="3">
        <v>0.41851851851851851</v>
      </c>
      <c r="C7476">
        <v>2145</v>
      </c>
      <c r="D7476" t="str">
        <f>VLOOKUP(H7476,Produkt!$A$2:$B$5,2,FALSE)</f>
        <v>B</v>
      </c>
      <c r="H7476">
        <v>2</v>
      </c>
      <c r="I7476">
        <v>3.2326388888888946E-2</v>
      </c>
      <c r="J7476">
        <v>44802</v>
      </c>
    </row>
    <row r="7477" spans="1:10" x14ac:dyDescent="0.35">
      <c r="A7477" s="2">
        <v>44797</v>
      </c>
      <c r="B7477" s="3">
        <v>7.7997685185185184E-2</v>
      </c>
      <c r="C7477">
        <v>2147</v>
      </c>
      <c r="D7477" t="str">
        <f>VLOOKUP(H7477,Produkt!$A$2:$B$5,2,FALSE)</f>
        <v>B</v>
      </c>
      <c r="H7477">
        <v>2</v>
      </c>
      <c r="I7477">
        <v>9.341435185185186E-2</v>
      </c>
      <c r="J7477">
        <v>44799</v>
      </c>
    </row>
    <row r="7478" spans="1:10" x14ac:dyDescent="0.35">
      <c r="A7478" s="2">
        <v>44797</v>
      </c>
      <c r="B7478" s="3">
        <v>0.23416666666666666</v>
      </c>
      <c r="C7478">
        <v>2176</v>
      </c>
      <c r="D7478" t="str">
        <f>VLOOKUP(H7478,Produkt!$A$2:$B$5,2,FALSE)</f>
        <v>A</v>
      </c>
      <c r="H7478">
        <v>1</v>
      </c>
      <c r="I7478">
        <v>0.16724537037037038</v>
      </c>
      <c r="J7478">
        <v>44797</v>
      </c>
    </row>
    <row r="7479" spans="1:10" x14ac:dyDescent="0.35">
      <c r="A7479" s="2">
        <v>44797</v>
      </c>
      <c r="B7479" s="3">
        <v>0.43063657407407407</v>
      </c>
      <c r="C7479">
        <v>2199</v>
      </c>
      <c r="D7479" t="str">
        <f>VLOOKUP(H7479,Produkt!$A$2:$B$5,2,FALSE)</f>
        <v>C</v>
      </c>
      <c r="H7479">
        <v>3</v>
      </c>
      <c r="I7479">
        <v>0.90165509259259258</v>
      </c>
      <c r="J7479">
        <v>44793</v>
      </c>
    </row>
    <row r="7480" spans="1:10" x14ac:dyDescent="0.35">
      <c r="A7480" s="2">
        <v>44797</v>
      </c>
      <c r="B7480" s="3">
        <v>0.34099537037037037</v>
      </c>
      <c r="C7480">
        <v>2242</v>
      </c>
      <c r="D7480" t="str">
        <f>VLOOKUP(H7480,Produkt!$A$2:$B$5,2,FALSE)</f>
        <v>C</v>
      </c>
      <c r="H7480">
        <v>3</v>
      </c>
      <c r="I7480">
        <v>0.93756944444444434</v>
      </c>
      <c r="J7480">
        <v>44794</v>
      </c>
    </row>
    <row r="7481" spans="1:10" x14ac:dyDescent="0.35">
      <c r="A7481" s="2">
        <v>44797</v>
      </c>
      <c r="B7481" s="3">
        <v>7.6388888888888886E-3</v>
      </c>
      <c r="C7481">
        <v>2266</v>
      </c>
      <c r="D7481" t="str">
        <f>VLOOKUP(H7481,Produkt!$A$2:$B$5,2,FALSE)</f>
        <v>A</v>
      </c>
      <c r="H7481">
        <v>1</v>
      </c>
      <c r="I7481">
        <v>0.28203703703703703</v>
      </c>
      <c r="J7481">
        <v>44801</v>
      </c>
    </row>
    <row r="7482" spans="1:10" x14ac:dyDescent="0.35">
      <c r="A7482" s="2">
        <v>44797</v>
      </c>
      <c r="B7482" s="3">
        <v>3.3784722222222285E-2</v>
      </c>
      <c r="C7482">
        <v>2382</v>
      </c>
      <c r="D7482" t="str">
        <f>VLOOKUP(H7482,Produkt!$A$2:$B$5,2,FALSE)</f>
        <v>C</v>
      </c>
      <c r="H7482">
        <v>3</v>
      </c>
      <c r="I7482">
        <v>0.50277777777777777</v>
      </c>
      <c r="J7482">
        <v>44786</v>
      </c>
    </row>
    <row r="7483" spans="1:10" x14ac:dyDescent="0.35">
      <c r="A7483" s="2">
        <v>44797</v>
      </c>
      <c r="B7483" s="3">
        <v>0.89584490740740741</v>
      </c>
      <c r="C7483">
        <v>2409</v>
      </c>
      <c r="D7483" t="str">
        <f>VLOOKUP(H7483,Produkt!$A$2:$B$5,2,FALSE)</f>
        <v>B</v>
      </c>
      <c r="H7483">
        <v>2</v>
      </c>
      <c r="I7483">
        <v>0.13168981481481482</v>
      </c>
      <c r="J7483">
        <v>44774</v>
      </c>
    </row>
    <row r="7484" spans="1:10" x14ac:dyDescent="0.35">
      <c r="A7484" s="2">
        <v>44797</v>
      </c>
      <c r="B7484" s="3">
        <v>0.39628472222222227</v>
      </c>
      <c r="C7484">
        <v>2423</v>
      </c>
      <c r="D7484" t="str">
        <f>VLOOKUP(H7484,Produkt!$A$2:$B$5,2,FALSE)</f>
        <v>B</v>
      </c>
      <c r="H7484">
        <v>2</v>
      </c>
      <c r="I7484">
        <v>0.34443287037037035</v>
      </c>
      <c r="J7484">
        <v>44795</v>
      </c>
    </row>
    <row r="7485" spans="1:10" x14ac:dyDescent="0.35">
      <c r="A7485" s="2">
        <v>44797</v>
      </c>
      <c r="B7485" s="3">
        <v>0.70212962962962966</v>
      </c>
      <c r="C7485">
        <v>2521</v>
      </c>
      <c r="D7485" t="str">
        <f>VLOOKUP(H7485,Produkt!$A$2:$B$5,2,FALSE)</f>
        <v>A</v>
      </c>
      <c r="H7485">
        <v>1</v>
      </c>
      <c r="I7485">
        <v>0.91820601851851846</v>
      </c>
      <c r="J7485">
        <v>44787</v>
      </c>
    </row>
    <row r="7486" spans="1:10" x14ac:dyDescent="0.35">
      <c r="A7486" s="2">
        <v>44797</v>
      </c>
      <c r="B7486" s="3">
        <v>0.27303240740740742</v>
      </c>
      <c r="C7486">
        <v>2526</v>
      </c>
      <c r="D7486" t="str">
        <f>VLOOKUP(H7486,Produkt!$A$2:$B$5,2,FALSE)</f>
        <v>C</v>
      </c>
      <c r="H7486">
        <v>3</v>
      </c>
      <c r="I7486">
        <v>2.7881944444444445E-2</v>
      </c>
      <c r="J7486">
        <v>44787</v>
      </c>
    </row>
    <row r="7487" spans="1:10" x14ac:dyDescent="0.35">
      <c r="A7487" s="2">
        <v>44797</v>
      </c>
      <c r="B7487" s="3">
        <v>0.73608796296296297</v>
      </c>
      <c r="C7487">
        <v>2531</v>
      </c>
      <c r="D7487" t="str">
        <f>VLOOKUP(H7487,Produkt!$A$2:$B$5,2,FALSE)</f>
        <v>A</v>
      </c>
      <c r="H7487">
        <v>1</v>
      </c>
      <c r="I7487">
        <v>0.64212962962962961</v>
      </c>
      <c r="J7487">
        <v>44784</v>
      </c>
    </row>
    <row r="7488" spans="1:10" x14ac:dyDescent="0.35">
      <c r="A7488" s="2">
        <v>44797</v>
      </c>
      <c r="B7488" s="3">
        <v>8.9756944444444445E-2</v>
      </c>
      <c r="C7488">
        <v>2601</v>
      </c>
      <c r="D7488" t="str">
        <f>VLOOKUP(H7488,Produkt!$A$2:$B$5,2,FALSE)</f>
        <v>D</v>
      </c>
      <c r="H7488">
        <v>4</v>
      </c>
      <c r="I7488">
        <v>0.62815972222222227</v>
      </c>
      <c r="J7488">
        <v>44789</v>
      </c>
    </row>
    <row r="7489" spans="1:10" x14ac:dyDescent="0.35">
      <c r="A7489" s="2">
        <v>44797</v>
      </c>
      <c r="B7489" s="3">
        <v>0.52475694444444443</v>
      </c>
      <c r="C7489">
        <v>2620</v>
      </c>
      <c r="D7489" t="str">
        <f>VLOOKUP(H7489,Produkt!$A$2:$B$5,2,FALSE)</f>
        <v>B</v>
      </c>
      <c r="H7489">
        <v>2</v>
      </c>
      <c r="I7489">
        <v>0.35493055555555553</v>
      </c>
      <c r="J7489">
        <v>44779</v>
      </c>
    </row>
    <row r="7490" spans="1:10" x14ac:dyDescent="0.35">
      <c r="A7490" s="2">
        <v>44797</v>
      </c>
      <c r="B7490" s="3">
        <v>8.7048611111111118E-2</v>
      </c>
      <c r="C7490">
        <v>2650</v>
      </c>
      <c r="D7490" t="str">
        <f>VLOOKUP(H7490,Produkt!$A$2:$B$5,2,FALSE)</f>
        <v>A</v>
      </c>
      <c r="H7490">
        <v>1</v>
      </c>
      <c r="I7490">
        <v>0.68793981481481481</v>
      </c>
      <c r="J7490">
        <v>44789</v>
      </c>
    </row>
    <row r="7491" spans="1:10" x14ac:dyDescent="0.35">
      <c r="A7491" s="2">
        <v>44797</v>
      </c>
      <c r="B7491" s="3">
        <v>0.31848379629629631</v>
      </c>
      <c r="C7491">
        <v>2697</v>
      </c>
      <c r="D7491" t="str">
        <f>VLOOKUP(H7491,Produkt!$A$2:$B$5,2,FALSE)</f>
        <v>C</v>
      </c>
      <c r="H7491">
        <v>3</v>
      </c>
      <c r="I7491">
        <v>0.27208333333333334</v>
      </c>
      <c r="J7491">
        <v>44775</v>
      </c>
    </row>
    <row r="7492" spans="1:10" x14ac:dyDescent="0.35">
      <c r="A7492" s="2">
        <v>44797</v>
      </c>
      <c r="B7492" s="3">
        <v>4.3321759259259261E-2</v>
      </c>
      <c r="C7492">
        <v>2765</v>
      </c>
      <c r="D7492" t="str">
        <f>VLOOKUP(H7492,Produkt!$A$2:$B$5,2,FALSE)</f>
        <v>C</v>
      </c>
      <c r="H7492">
        <v>3</v>
      </c>
      <c r="I7492">
        <v>0.35065972222222225</v>
      </c>
      <c r="J7492">
        <v>44777</v>
      </c>
    </row>
    <row r="7493" spans="1:10" x14ac:dyDescent="0.35">
      <c r="A7493" s="2">
        <v>44797</v>
      </c>
      <c r="B7493" s="3">
        <v>0.38067129629629631</v>
      </c>
      <c r="C7493">
        <v>2855</v>
      </c>
      <c r="D7493" t="str">
        <f>VLOOKUP(H7493,Produkt!$A$2:$B$5,2,FALSE)</f>
        <v>B</v>
      </c>
      <c r="H7493">
        <v>2</v>
      </c>
      <c r="I7493">
        <v>0.41956018518518517</v>
      </c>
      <c r="J7493">
        <v>44802</v>
      </c>
    </row>
    <row r="7494" spans="1:10" x14ac:dyDescent="0.35">
      <c r="A7494" s="2">
        <v>44797</v>
      </c>
      <c r="B7494" s="3">
        <v>0.65282407407407406</v>
      </c>
      <c r="C7494">
        <v>2866</v>
      </c>
      <c r="D7494" t="str">
        <f>VLOOKUP(H7494,Produkt!$A$2:$B$5,2,FALSE)</f>
        <v>D</v>
      </c>
      <c r="H7494">
        <v>4</v>
      </c>
      <c r="I7494">
        <v>0.97302083333333333</v>
      </c>
      <c r="J7494">
        <v>44800</v>
      </c>
    </row>
    <row r="7495" spans="1:10" x14ac:dyDescent="0.35">
      <c r="A7495" s="2">
        <v>44797</v>
      </c>
      <c r="B7495" s="3">
        <v>0.3009027777777778</v>
      </c>
      <c r="C7495">
        <v>2869</v>
      </c>
      <c r="D7495" t="str">
        <f>VLOOKUP(H7495,Produkt!$A$2:$B$5,2,FALSE)</f>
        <v>B</v>
      </c>
      <c r="H7495">
        <v>2</v>
      </c>
      <c r="I7495">
        <v>0.28125</v>
      </c>
      <c r="J7495">
        <v>44797</v>
      </c>
    </row>
    <row r="7496" spans="1:10" x14ac:dyDescent="0.35">
      <c r="A7496" s="2">
        <v>44797</v>
      </c>
      <c r="B7496" s="3">
        <v>0.33043981481481483</v>
      </c>
      <c r="C7496">
        <v>2880</v>
      </c>
      <c r="D7496" t="str">
        <f>VLOOKUP(H7496,Produkt!$A$2:$B$5,2,FALSE)</f>
        <v>D</v>
      </c>
      <c r="H7496">
        <v>4</v>
      </c>
      <c r="I7496">
        <v>0.4853703703703704</v>
      </c>
      <c r="J7496">
        <v>44800</v>
      </c>
    </row>
    <row r="7497" spans="1:10" x14ac:dyDescent="0.35">
      <c r="A7497" s="2">
        <v>44797</v>
      </c>
      <c r="B7497" s="3">
        <v>0.56656249999999997</v>
      </c>
      <c r="C7497">
        <v>2890</v>
      </c>
      <c r="D7497" t="str">
        <f>VLOOKUP(H7497,Produkt!$A$2:$B$5,2,FALSE)</f>
        <v>C</v>
      </c>
      <c r="H7497">
        <v>3</v>
      </c>
      <c r="I7497">
        <v>0.44876157407407408</v>
      </c>
      <c r="J7497">
        <v>44790</v>
      </c>
    </row>
    <row r="7498" spans="1:10" x14ac:dyDescent="0.35">
      <c r="A7498" s="2">
        <v>44797</v>
      </c>
      <c r="B7498" s="3">
        <v>0.72385416666666658</v>
      </c>
      <c r="C7498">
        <v>2919</v>
      </c>
      <c r="D7498" t="str">
        <f>VLOOKUP(H7498,Produkt!$A$2:$B$5,2,FALSE)</f>
        <v>C</v>
      </c>
      <c r="H7498">
        <v>3</v>
      </c>
      <c r="I7498">
        <v>0.34413194444444445</v>
      </c>
      <c r="J7498">
        <v>44789</v>
      </c>
    </row>
    <row r="7499" spans="1:10" x14ac:dyDescent="0.35">
      <c r="A7499" s="2">
        <v>44797</v>
      </c>
      <c r="B7499" s="3">
        <v>0.49456018518518513</v>
      </c>
      <c r="C7499">
        <v>2924</v>
      </c>
      <c r="D7499" t="str">
        <f>VLOOKUP(H7499,Produkt!$A$2:$B$5,2,FALSE)</f>
        <v>C</v>
      </c>
      <c r="H7499">
        <v>3</v>
      </c>
      <c r="I7499">
        <v>0.95458333333333334</v>
      </c>
      <c r="J7499">
        <v>44802</v>
      </c>
    </row>
    <row r="7500" spans="1:10" x14ac:dyDescent="0.35">
      <c r="A7500" s="2">
        <v>44797</v>
      </c>
      <c r="B7500" s="3">
        <v>0.91140046296296295</v>
      </c>
      <c r="C7500">
        <v>2969</v>
      </c>
      <c r="D7500" t="str">
        <f>VLOOKUP(H7500,Produkt!$A$2:$B$5,2,FALSE)</f>
        <v>B</v>
      </c>
      <c r="H7500">
        <v>2</v>
      </c>
      <c r="I7500">
        <v>0.34715277777777781</v>
      </c>
      <c r="J7500">
        <v>44787</v>
      </c>
    </row>
    <row r="7501" spans="1:10" x14ac:dyDescent="0.35">
      <c r="A7501" s="2">
        <v>44797</v>
      </c>
      <c r="B7501" s="3">
        <v>0.40234953703703707</v>
      </c>
      <c r="C7501">
        <v>2988</v>
      </c>
      <c r="D7501" t="str">
        <f>VLOOKUP(H7501,Produkt!$A$2:$B$5,2,FALSE)</f>
        <v>A</v>
      </c>
      <c r="H7501">
        <v>1</v>
      </c>
      <c r="I7501">
        <v>0.63496527777777778</v>
      </c>
      <c r="J7501">
        <v>44786</v>
      </c>
    </row>
    <row r="7502" spans="1:10" x14ac:dyDescent="0.35">
      <c r="A7502" s="2">
        <v>44797</v>
      </c>
      <c r="B7502" s="3">
        <v>8.3333333333324155E-4</v>
      </c>
      <c r="C7502">
        <v>3000</v>
      </c>
      <c r="D7502" t="str">
        <f>VLOOKUP(H7502,Produkt!$A$2:$B$5,2,FALSE)</f>
        <v>B</v>
      </c>
      <c r="H7502">
        <v>2</v>
      </c>
      <c r="I7502">
        <v>0.20675925925925928</v>
      </c>
      <c r="J7502">
        <v>44788</v>
      </c>
    </row>
    <row r="7503" spans="1:10" x14ac:dyDescent="0.35">
      <c r="A7503" s="2">
        <v>44797</v>
      </c>
      <c r="B7503" s="3">
        <v>0.17710648148148148</v>
      </c>
      <c r="C7503">
        <v>3028</v>
      </c>
      <c r="D7503" t="str">
        <f>VLOOKUP(H7503,Produkt!$A$2:$B$5,2,FALSE)</f>
        <v>B</v>
      </c>
      <c r="H7503">
        <v>2</v>
      </c>
      <c r="I7503">
        <v>0.87678240740740743</v>
      </c>
      <c r="J7503">
        <v>44791</v>
      </c>
    </row>
    <row r="7504" spans="1:10" x14ac:dyDescent="0.35">
      <c r="A7504" s="2">
        <v>44797</v>
      </c>
      <c r="B7504" s="3">
        <v>0.9421180555555555</v>
      </c>
      <c r="C7504">
        <v>3033</v>
      </c>
      <c r="D7504" t="str">
        <f>VLOOKUP(H7504,Produkt!$A$2:$B$5,2,FALSE)</f>
        <v>D</v>
      </c>
      <c r="H7504">
        <v>4</v>
      </c>
      <c r="I7504">
        <v>0.89789351851851851</v>
      </c>
      <c r="J7504">
        <v>44785</v>
      </c>
    </row>
    <row r="7505" spans="1:10" x14ac:dyDescent="0.35">
      <c r="A7505" s="2">
        <v>44797</v>
      </c>
      <c r="B7505" s="3">
        <v>0.74349537037037028</v>
      </c>
      <c r="C7505">
        <v>3049</v>
      </c>
      <c r="D7505" t="str">
        <f>VLOOKUP(H7505,Produkt!$A$2:$B$5,2,FALSE)</f>
        <v>D</v>
      </c>
      <c r="H7505">
        <v>4</v>
      </c>
      <c r="I7505">
        <v>5.5266203703703699E-2</v>
      </c>
      <c r="J7505">
        <v>44779</v>
      </c>
    </row>
    <row r="7506" spans="1:10" x14ac:dyDescent="0.35">
      <c r="A7506" s="2">
        <v>44797</v>
      </c>
      <c r="B7506" s="3">
        <v>0.16385416666666666</v>
      </c>
      <c r="C7506">
        <v>3055</v>
      </c>
      <c r="D7506" t="str">
        <f>VLOOKUP(H7506,Produkt!$A$2:$B$5,2,FALSE)</f>
        <v>D</v>
      </c>
      <c r="H7506">
        <v>4</v>
      </c>
      <c r="I7506">
        <v>0.92440972222222229</v>
      </c>
      <c r="J7506">
        <v>44783</v>
      </c>
    </row>
    <row r="7507" spans="1:10" x14ac:dyDescent="0.35">
      <c r="A7507" s="2">
        <v>44797</v>
      </c>
      <c r="B7507" s="3">
        <v>0.2087037037037037</v>
      </c>
      <c r="C7507">
        <v>3113</v>
      </c>
      <c r="D7507" t="str">
        <f>VLOOKUP(H7507,Produkt!$A$2:$B$5,2,FALSE)</f>
        <v>A</v>
      </c>
      <c r="H7507">
        <v>1</v>
      </c>
      <c r="I7507">
        <v>0.66898148148148151</v>
      </c>
      <c r="J7507">
        <v>44780</v>
      </c>
    </row>
    <row r="7508" spans="1:10" x14ac:dyDescent="0.35">
      <c r="A7508" s="2">
        <v>44797</v>
      </c>
      <c r="B7508" s="3">
        <v>0.89626157407407403</v>
      </c>
      <c r="C7508">
        <v>3117</v>
      </c>
      <c r="D7508" t="str">
        <f>VLOOKUP(H7508,Produkt!$A$2:$B$5,2,FALSE)</f>
        <v>C</v>
      </c>
      <c r="H7508">
        <v>3</v>
      </c>
      <c r="I7508">
        <v>0.89188657407407401</v>
      </c>
      <c r="J7508">
        <v>44788</v>
      </c>
    </row>
    <row r="7509" spans="1:10" x14ac:dyDescent="0.35">
      <c r="A7509" s="2">
        <v>44797</v>
      </c>
      <c r="B7509" s="3">
        <v>3.4733796296296297E-2</v>
      </c>
      <c r="C7509">
        <v>3134</v>
      </c>
      <c r="D7509" t="str">
        <f>VLOOKUP(H7509,Produkt!$A$2:$B$5,2,FALSE)</f>
        <v>D</v>
      </c>
      <c r="H7509">
        <v>4</v>
      </c>
      <c r="I7509">
        <v>0.65138888888888891</v>
      </c>
      <c r="J7509">
        <v>44781</v>
      </c>
    </row>
    <row r="7510" spans="1:10" x14ac:dyDescent="0.35">
      <c r="A7510" s="2">
        <v>44797</v>
      </c>
      <c r="B7510" s="3">
        <v>0.69766203703703711</v>
      </c>
      <c r="C7510">
        <v>3135</v>
      </c>
      <c r="D7510" t="str">
        <f>VLOOKUP(H7510,Produkt!$A$2:$B$5,2,FALSE)</f>
        <v>C</v>
      </c>
      <c r="H7510">
        <v>3</v>
      </c>
      <c r="I7510">
        <v>0.74384259259259267</v>
      </c>
      <c r="J7510">
        <v>44798</v>
      </c>
    </row>
    <row r="7511" spans="1:10" x14ac:dyDescent="0.35">
      <c r="A7511" s="2">
        <v>44797</v>
      </c>
      <c r="B7511" s="3">
        <v>0.15950231481481481</v>
      </c>
      <c r="C7511">
        <v>3205</v>
      </c>
      <c r="D7511" t="str">
        <f>VLOOKUP(H7511,Produkt!$A$2:$B$5,2,FALSE)</f>
        <v>D</v>
      </c>
      <c r="H7511">
        <v>4</v>
      </c>
      <c r="I7511">
        <v>0.29995370370370372</v>
      </c>
      <c r="J7511">
        <v>44780</v>
      </c>
    </row>
    <row r="7512" spans="1:10" x14ac:dyDescent="0.35">
      <c r="A7512" s="2">
        <v>44797</v>
      </c>
      <c r="B7512" s="3">
        <v>0.33247685185185188</v>
      </c>
      <c r="C7512">
        <v>3277</v>
      </c>
      <c r="D7512" t="str">
        <f>VLOOKUP(H7512,Produkt!$A$2:$B$5,2,FALSE)</f>
        <v>C</v>
      </c>
      <c r="H7512">
        <v>3</v>
      </c>
      <c r="I7512">
        <v>0.4440972222222222</v>
      </c>
      <c r="J7512">
        <v>44804</v>
      </c>
    </row>
    <row r="7513" spans="1:10" x14ac:dyDescent="0.35">
      <c r="A7513" s="2">
        <v>44797</v>
      </c>
      <c r="B7513" s="3">
        <v>0.38710648148148147</v>
      </c>
      <c r="C7513">
        <v>3283</v>
      </c>
      <c r="D7513" t="str">
        <f>VLOOKUP(H7513,Produkt!$A$2:$B$5,2,FALSE)</f>
        <v>A</v>
      </c>
      <c r="H7513">
        <v>1</v>
      </c>
      <c r="I7513">
        <v>0.78342592592592597</v>
      </c>
      <c r="J7513">
        <v>44783</v>
      </c>
    </row>
    <row r="7514" spans="1:10" x14ac:dyDescent="0.35">
      <c r="A7514" s="2">
        <v>44797</v>
      </c>
      <c r="B7514" s="3">
        <v>5.3391203703703705E-2</v>
      </c>
      <c r="C7514">
        <v>3316</v>
      </c>
      <c r="D7514" t="str">
        <f>VLOOKUP(H7514,Produkt!$A$2:$B$5,2,FALSE)</f>
        <v>B</v>
      </c>
      <c r="H7514">
        <v>2</v>
      </c>
      <c r="I7514">
        <v>0.94313657407407403</v>
      </c>
      <c r="J7514">
        <v>44777</v>
      </c>
    </row>
    <row r="7515" spans="1:10" x14ac:dyDescent="0.35">
      <c r="A7515" s="2">
        <v>44797</v>
      </c>
      <c r="B7515" s="3">
        <v>0.1693402777777778</v>
      </c>
      <c r="C7515">
        <v>3344</v>
      </c>
      <c r="D7515" t="str">
        <f>VLOOKUP(H7515,Produkt!$A$2:$B$5,2,FALSE)</f>
        <v>A</v>
      </c>
      <c r="H7515">
        <v>1</v>
      </c>
      <c r="I7515">
        <v>0.98857638888888888</v>
      </c>
      <c r="J7515">
        <v>44777</v>
      </c>
    </row>
    <row r="7516" spans="1:10" x14ac:dyDescent="0.35">
      <c r="A7516" s="2">
        <v>44797</v>
      </c>
      <c r="B7516" s="3">
        <v>0.4355324074074074</v>
      </c>
      <c r="C7516">
        <v>3406</v>
      </c>
      <c r="D7516" t="str">
        <f>VLOOKUP(H7516,Produkt!$A$2:$B$5,2,FALSE)</f>
        <v>D</v>
      </c>
      <c r="H7516">
        <v>4</v>
      </c>
      <c r="I7516">
        <v>6.2893518518518529E-2</v>
      </c>
      <c r="J7516">
        <v>44801</v>
      </c>
    </row>
    <row r="7517" spans="1:10" x14ac:dyDescent="0.35">
      <c r="A7517" s="2">
        <v>44797</v>
      </c>
      <c r="B7517" s="3">
        <v>0.7718287037037036</v>
      </c>
      <c r="C7517">
        <v>3419</v>
      </c>
      <c r="D7517" t="str">
        <f>VLOOKUP(H7517,Produkt!$A$2:$B$5,2,FALSE)</f>
        <v>D</v>
      </c>
      <c r="H7517">
        <v>4</v>
      </c>
      <c r="I7517">
        <v>0.37589120370370371</v>
      </c>
      <c r="J7517">
        <v>44777</v>
      </c>
    </row>
    <row r="7518" spans="1:10" x14ac:dyDescent="0.35">
      <c r="A7518" s="2">
        <v>44797</v>
      </c>
      <c r="B7518" s="3">
        <v>0.93488425925925922</v>
      </c>
      <c r="C7518">
        <v>3427</v>
      </c>
      <c r="D7518" t="str">
        <f>VLOOKUP(H7518,Produkt!$A$2:$B$5,2,FALSE)</f>
        <v>A</v>
      </c>
      <c r="H7518">
        <v>1</v>
      </c>
      <c r="I7518">
        <v>0.82939814814814816</v>
      </c>
      <c r="J7518">
        <v>44775</v>
      </c>
    </row>
    <row r="7519" spans="1:10" x14ac:dyDescent="0.35">
      <c r="A7519" s="2">
        <v>44797</v>
      </c>
      <c r="B7519" s="3">
        <v>4.4247685185185182E-2</v>
      </c>
      <c r="C7519">
        <v>3435</v>
      </c>
      <c r="D7519" t="str">
        <f>VLOOKUP(H7519,Produkt!$A$2:$B$5,2,FALSE)</f>
        <v>B</v>
      </c>
      <c r="H7519">
        <v>2</v>
      </c>
      <c r="I7519">
        <v>0.96292824074074079</v>
      </c>
      <c r="J7519">
        <v>44794</v>
      </c>
    </row>
    <row r="7520" spans="1:10" x14ac:dyDescent="0.35">
      <c r="A7520" s="2">
        <v>44797</v>
      </c>
      <c r="B7520" s="3">
        <v>0.80208333333333337</v>
      </c>
      <c r="C7520">
        <v>3495</v>
      </c>
      <c r="D7520" t="str">
        <f>VLOOKUP(H7520,Produkt!$A$2:$B$5,2,FALSE)</f>
        <v>D</v>
      </c>
      <c r="H7520">
        <v>4</v>
      </c>
      <c r="I7520">
        <v>0.32769675925925928</v>
      </c>
      <c r="J7520">
        <v>44797</v>
      </c>
    </row>
    <row r="7521" spans="1:10" x14ac:dyDescent="0.35">
      <c r="A7521" s="2">
        <v>44797</v>
      </c>
      <c r="B7521" s="3">
        <v>0.49432870370370369</v>
      </c>
      <c r="C7521">
        <v>3497</v>
      </c>
      <c r="D7521" t="str">
        <f>VLOOKUP(H7521,Produkt!$A$2:$B$5,2,FALSE)</f>
        <v>A</v>
      </c>
      <c r="H7521">
        <v>1</v>
      </c>
      <c r="I7521">
        <v>0.92718750000000005</v>
      </c>
      <c r="J7521">
        <v>44793</v>
      </c>
    </row>
    <row r="7522" spans="1:10" x14ac:dyDescent="0.35">
      <c r="A7522" s="2">
        <v>44797</v>
      </c>
      <c r="B7522" s="3">
        <v>0.26490740740740742</v>
      </c>
      <c r="C7522">
        <v>3510</v>
      </c>
      <c r="D7522" t="str">
        <f>VLOOKUP(H7522,Produkt!$A$2:$B$5,2,FALSE)</f>
        <v>C</v>
      </c>
      <c r="H7522">
        <v>3</v>
      </c>
      <c r="I7522">
        <v>0.28401620370370367</v>
      </c>
      <c r="J7522">
        <v>44790</v>
      </c>
    </row>
    <row r="7523" spans="1:10" x14ac:dyDescent="0.35">
      <c r="A7523" s="2">
        <v>44797</v>
      </c>
      <c r="B7523" s="3">
        <v>0.78165509259259258</v>
      </c>
      <c r="C7523">
        <v>3541</v>
      </c>
      <c r="D7523" t="str">
        <f>VLOOKUP(H7523,Produkt!$A$2:$B$5,2,FALSE)</f>
        <v>B</v>
      </c>
      <c r="H7523">
        <v>2</v>
      </c>
      <c r="I7523">
        <v>9.4224537037037037E-2</v>
      </c>
      <c r="J7523">
        <v>44795</v>
      </c>
    </row>
    <row r="7524" spans="1:10" x14ac:dyDescent="0.35">
      <c r="A7524" s="2">
        <v>44797</v>
      </c>
      <c r="B7524" s="3">
        <v>0.92809027777777775</v>
      </c>
      <c r="C7524">
        <v>3625</v>
      </c>
      <c r="D7524" t="str">
        <f>VLOOKUP(H7524,Produkt!$A$2:$B$5,2,FALSE)</f>
        <v>D</v>
      </c>
      <c r="H7524">
        <v>4</v>
      </c>
      <c r="I7524">
        <v>0.15876157407407407</v>
      </c>
      <c r="J7524">
        <v>44781</v>
      </c>
    </row>
    <row r="7525" spans="1:10" x14ac:dyDescent="0.35">
      <c r="A7525" s="2">
        <v>44797</v>
      </c>
      <c r="B7525" s="3">
        <v>0.86232638888888891</v>
      </c>
      <c r="C7525">
        <v>3640</v>
      </c>
      <c r="D7525" t="str">
        <f>VLOOKUP(H7525,Produkt!$A$2:$B$5,2,FALSE)</f>
        <v>A</v>
      </c>
      <c r="H7525">
        <v>1</v>
      </c>
      <c r="I7525">
        <v>0.76458333333333339</v>
      </c>
      <c r="J7525">
        <v>44803</v>
      </c>
    </row>
    <row r="7526" spans="1:10" x14ac:dyDescent="0.35">
      <c r="A7526" s="2">
        <v>44797</v>
      </c>
      <c r="B7526" s="3">
        <v>0.23840277777777777</v>
      </c>
      <c r="C7526">
        <v>3723</v>
      </c>
      <c r="D7526" t="str">
        <f>VLOOKUP(H7526,Produkt!$A$2:$B$5,2,FALSE)</f>
        <v>C</v>
      </c>
      <c r="H7526">
        <v>3</v>
      </c>
      <c r="I7526">
        <v>0.93307870370370372</v>
      </c>
      <c r="J7526">
        <v>44790</v>
      </c>
    </row>
    <row r="7527" spans="1:10" x14ac:dyDescent="0.35">
      <c r="A7527" s="2">
        <v>44797</v>
      </c>
      <c r="B7527" s="3">
        <v>6.4351851851851549E-3</v>
      </c>
      <c r="C7527">
        <v>3742</v>
      </c>
      <c r="D7527" t="str">
        <f>VLOOKUP(H7527,Produkt!$A$2:$B$5,2,FALSE)</f>
        <v>C</v>
      </c>
      <c r="H7527">
        <v>3</v>
      </c>
      <c r="I7527">
        <v>0.24892361111111114</v>
      </c>
      <c r="J7527">
        <v>44791</v>
      </c>
    </row>
    <row r="7528" spans="1:10" x14ac:dyDescent="0.35">
      <c r="A7528" s="2">
        <v>44797</v>
      </c>
      <c r="B7528" s="3">
        <v>0.5857175925925926</v>
      </c>
      <c r="C7528">
        <v>3837</v>
      </c>
      <c r="D7528" t="str">
        <f>VLOOKUP(H7528,Produkt!$A$2:$B$5,2,FALSE)</f>
        <v>D</v>
      </c>
      <c r="H7528">
        <v>4</v>
      </c>
      <c r="I7528">
        <v>0.88005787037037031</v>
      </c>
      <c r="J7528">
        <v>44779</v>
      </c>
    </row>
    <row r="7529" spans="1:10" x14ac:dyDescent="0.35">
      <c r="A7529" s="2">
        <v>44797</v>
      </c>
      <c r="B7529" s="3">
        <v>0.60993055555555553</v>
      </c>
      <c r="C7529">
        <v>3985</v>
      </c>
      <c r="D7529" t="str">
        <f>VLOOKUP(H7529,Produkt!$A$2:$B$5,2,FALSE)</f>
        <v>D</v>
      </c>
      <c r="H7529">
        <v>4</v>
      </c>
      <c r="I7529">
        <v>0.18221064814814814</v>
      </c>
      <c r="J7529">
        <v>44802</v>
      </c>
    </row>
    <row r="7530" spans="1:10" x14ac:dyDescent="0.35">
      <c r="A7530" s="2">
        <v>44797</v>
      </c>
      <c r="B7530" s="3">
        <v>0.61149305555555555</v>
      </c>
      <c r="C7530">
        <v>4036</v>
      </c>
      <c r="D7530" t="str">
        <f>VLOOKUP(H7530,Produkt!$A$2:$B$5,2,FALSE)</f>
        <v>C</v>
      </c>
      <c r="H7530">
        <v>3</v>
      </c>
      <c r="I7530">
        <v>2.1874999999999998E-3</v>
      </c>
      <c r="J7530">
        <v>44788</v>
      </c>
    </row>
    <row r="7531" spans="1:10" x14ac:dyDescent="0.35">
      <c r="A7531" s="2">
        <v>44797</v>
      </c>
      <c r="B7531" s="3">
        <v>0.21879629629629629</v>
      </c>
      <c r="C7531">
        <v>4058</v>
      </c>
      <c r="D7531" t="str">
        <f>VLOOKUP(H7531,Produkt!$A$2:$B$5,2,FALSE)</f>
        <v>B</v>
      </c>
      <c r="H7531">
        <v>2</v>
      </c>
      <c r="I7531">
        <v>0.57797453703703705</v>
      </c>
      <c r="J7531">
        <v>44796</v>
      </c>
    </row>
    <row r="7532" spans="1:10" x14ac:dyDescent="0.35">
      <c r="A7532" s="2">
        <v>44797</v>
      </c>
      <c r="B7532" s="3">
        <v>0.6088541666666667</v>
      </c>
      <c r="C7532">
        <v>4101</v>
      </c>
      <c r="D7532" t="str">
        <f>VLOOKUP(H7532,Produkt!$A$2:$B$5,2,FALSE)</f>
        <v>A</v>
      </c>
      <c r="H7532">
        <v>1</v>
      </c>
      <c r="I7532">
        <v>4.1122685185185186E-2</v>
      </c>
      <c r="J7532">
        <v>44782</v>
      </c>
    </row>
    <row r="7533" spans="1:10" x14ac:dyDescent="0.35">
      <c r="A7533" s="2">
        <v>44797</v>
      </c>
      <c r="B7533" s="3">
        <v>0.76729166666666659</v>
      </c>
      <c r="C7533">
        <v>4109</v>
      </c>
      <c r="D7533" t="str">
        <f>VLOOKUP(H7533,Produkt!$A$2:$B$5,2,FALSE)</f>
        <v>B</v>
      </c>
      <c r="H7533">
        <v>2</v>
      </c>
      <c r="I7533">
        <v>8.7847222222222233E-3</v>
      </c>
      <c r="J7533">
        <v>44776</v>
      </c>
    </row>
    <row r="7534" spans="1:10" x14ac:dyDescent="0.35">
      <c r="A7534" s="2">
        <v>44797</v>
      </c>
      <c r="B7534" s="3">
        <v>0.12944444444444445</v>
      </c>
      <c r="C7534">
        <v>4137</v>
      </c>
      <c r="D7534" t="str">
        <f>VLOOKUP(H7534,Produkt!$A$2:$B$5,2,FALSE)</f>
        <v>B</v>
      </c>
      <c r="H7534">
        <v>2</v>
      </c>
      <c r="I7534">
        <v>0.17222222222222225</v>
      </c>
      <c r="J7534">
        <v>44781</v>
      </c>
    </row>
    <row r="7535" spans="1:10" x14ac:dyDescent="0.35">
      <c r="A7535" s="2">
        <v>44797</v>
      </c>
      <c r="B7535" s="3">
        <v>0.10940972222222223</v>
      </c>
      <c r="C7535">
        <v>4160</v>
      </c>
      <c r="D7535" t="str">
        <f>VLOOKUP(H7535,Produkt!$A$2:$B$5,2,FALSE)</f>
        <v>D</v>
      </c>
      <c r="H7535">
        <v>4</v>
      </c>
      <c r="I7535">
        <v>0.31527777777777777</v>
      </c>
      <c r="J7535">
        <v>44804</v>
      </c>
    </row>
    <row r="7536" spans="1:10" x14ac:dyDescent="0.35">
      <c r="A7536" s="2">
        <v>44797</v>
      </c>
      <c r="B7536" s="3">
        <v>0.10375000000000001</v>
      </c>
      <c r="C7536">
        <v>4235</v>
      </c>
      <c r="D7536" t="str">
        <f>VLOOKUP(H7536,Produkt!$A$2:$B$5,2,FALSE)</f>
        <v>D</v>
      </c>
      <c r="H7536">
        <v>4</v>
      </c>
      <c r="I7536">
        <v>0.34460648148148149</v>
      </c>
      <c r="J7536">
        <v>44794</v>
      </c>
    </row>
    <row r="7537" spans="1:10" x14ac:dyDescent="0.35">
      <c r="A7537" s="2">
        <v>44797</v>
      </c>
      <c r="B7537" s="3">
        <v>0.1769212962962963</v>
      </c>
      <c r="C7537">
        <v>4270</v>
      </c>
      <c r="D7537" t="str">
        <f>VLOOKUP(H7537,Produkt!$A$2:$B$5,2,FALSE)</f>
        <v>C</v>
      </c>
      <c r="H7537">
        <v>3</v>
      </c>
      <c r="I7537">
        <v>0.67326388888888899</v>
      </c>
      <c r="J7537">
        <v>44784</v>
      </c>
    </row>
    <row r="7538" spans="1:10" x14ac:dyDescent="0.35">
      <c r="A7538" s="2">
        <v>44797</v>
      </c>
      <c r="B7538" s="3">
        <v>0.50510416666666669</v>
      </c>
      <c r="C7538">
        <v>4301</v>
      </c>
      <c r="D7538" t="str">
        <f>VLOOKUP(H7538,Produkt!$A$2:$B$5,2,FALSE)</f>
        <v>C</v>
      </c>
      <c r="H7538">
        <v>3</v>
      </c>
      <c r="I7538">
        <v>0.85807870370370365</v>
      </c>
      <c r="J7538">
        <v>44785</v>
      </c>
    </row>
    <row r="7539" spans="1:10" x14ac:dyDescent="0.35">
      <c r="A7539" s="2">
        <v>44797</v>
      </c>
      <c r="B7539" s="3">
        <v>0.5471759259259259</v>
      </c>
      <c r="C7539">
        <v>4303</v>
      </c>
      <c r="D7539" t="str">
        <f>VLOOKUP(H7539,Produkt!$A$2:$B$5,2,FALSE)</f>
        <v>D</v>
      </c>
      <c r="H7539">
        <v>4</v>
      </c>
      <c r="I7539">
        <v>0.73159722222222223</v>
      </c>
      <c r="J7539">
        <v>44797</v>
      </c>
    </row>
    <row r="7540" spans="1:10" x14ac:dyDescent="0.35">
      <c r="A7540" s="2">
        <v>44797</v>
      </c>
      <c r="B7540" s="3">
        <v>0.21925925925925926</v>
      </c>
      <c r="C7540">
        <v>4324</v>
      </c>
      <c r="D7540" t="str">
        <f>VLOOKUP(H7540,Produkt!$A$2:$B$5,2,FALSE)</f>
        <v>A</v>
      </c>
      <c r="H7540">
        <v>1</v>
      </c>
      <c r="I7540">
        <v>0.75009259259259264</v>
      </c>
      <c r="J7540">
        <v>44787</v>
      </c>
    </row>
    <row r="7541" spans="1:10" x14ac:dyDescent="0.35">
      <c r="A7541" s="2">
        <v>44797</v>
      </c>
      <c r="B7541" s="3">
        <v>0.61597222222222225</v>
      </c>
      <c r="C7541">
        <v>4353</v>
      </c>
      <c r="D7541" t="str">
        <f>VLOOKUP(H7541,Produkt!$A$2:$B$5,2,FALSE)</f>
        <v>C</v>
      </c>
      <c r="H7541">
        <v>3</v>
      </c>
      <c r="I7541">
        <v>0.28162037037037035</v>
      </c>
      <c r="J7541">
        <v>44799</v>
      </c>
    </row>
    <row r="7542" spans="1:10" x14ac:dyDescent="0.35">
      <c r="A7542" s="2">
        <v>44797</v>
      </c>
      <c r="B7542" s="3">
        <v>8.4398148148148153E-2</v>
      </c>
      <c r="C7542">
        <v>4360</v>
      </c>
      <c r="D7542" t="str">
        <f>VLOOKUP(H7542,Produkt!$A$2:$B$5,2,FALSE)</f>
        <v>C</v>
      </c>
      <c r="H7542">
        <v>3</v>
      </c>
      <c r="I7542">
        <v>0.72386574074074073</v>
      </c>
      <c r="J7542">
        <v>44791</v>
      </c>
    </row>
    <row r="7543" spans="1:10" x14ac:dyDescent="0.35">
      <c r="A7543" s="2">
        <v>44797</v>
      </c>
      <c r="B7543" s="3">
        <v>0.63189814814814815</v>
      </c>
      <c r="C7543">
        <v>4388</v>
      </c>
      <c r="D7543" t="str">
        <f>VLOOKUP(H7543,Produkt!$A$2:$B$5,2,FALSE)</f>
        <v>C</v>
      </c>
      <c r="H7543">
        <v>3</v>
      </c>
      <c r="I7543">
        <v>0.71587962962962959</v>
      </c>
      <c r="J7543">
        <v>44794</v>
      </c>
    </row>
    <row r="7544" spans="1:10" x14ac:dyDescent="0.35">
      <c r="A7544" s="2">
        <v>44797</v>
      </c>
      <c r="B7544" s="3">
        <v>0.32177083333333334</v>
      </c>
      <c r="C7544">
        <v>4495</v>
      </c>
      <c r="D7544" t="str">
        <f>VLOOKUP(H7544,Produkt!$A$2:$B$5,2,FALSE)</f>
        <v>D</v>
      </c>
      <c r="H7544">
        <v>4</v>
      </c>
      <c r="I7544">
        <v>2.3043981481481568E-2</v>
      </c>
      <c r="J7544">
        <v>44798</v>
      </c>
    </row>
    <row r="7545" spans="1:10" x14ac:dyDescent="0.35">
      <c r="A7545" s="2">
        <v>44797</v>
      </c>
      <c r="B7545" s="3">
        <v>0.82802083333333332</v>
      </c>
      <c r="C7545">
        <v>4498</v>
      </c>
      <c r="D7545" t="str">
        <f>VLOOKUP(H7545,Produkt!$A$2:$B$5,2,FALSE)</f>
        <v>C</v>
      </c>
      <c r="H7545">
        <v>3</v>
      </c>
      <c r="I7545">
        <v>0.49256944444444445</v>
      </c>
      <c r="J7545">
        <v>44781</v>
      </c>
    </row>
    <row r="7546" spans="1:10" x14ac:dyDescent="0.35">
      <c r="A7546" s="2">
        <v>44797</v>
      </c>
      <c r="B7546" s="3">
        <v>0.2754166666666667</v>
      </c>
      <c r="C7546">
        <v>4503</v>
      </c>
      <c r="D7546" t="str">
        <f>VLOOKUP(H7546,Produkt!$A$2:$B$5,2,FALSE)</f>
        <v>B</v>
      </c>
      <c r="H7546">
        <v>2</v>
      </c>
      <c r="I7546">
        <v>0.84407407407407409</v>
      </c>
      <c r="J7546">
        <v>44792</v>
      </c>
    </row>
    <row r="7547" spans="1:10" x14ac:dyDescent="0.35">
      <c r="A7547" s="2">
        <v>44797</v>
      </c>
      <c r="B7547" s="3">
        <v>0.80311342592592594</v>
      </c>
      <c r="C7547">
        <v>4507</v>
      </c>
      <c r="D7547" t="str">
        <f>VLOOKUP(H7547,Produkt!$A$2:$B$5,2,FALSE)</f>
        <v>A</v>
      </c>
      <c r="H7547">
        <v>1</v>
      </c>
      <c r="I7547">
        <v>0.80086805555555562</v>
      </c>
      <c r="J7547">
        <v>44776</v>
      </c>
    </row>
    <row r="7548" spans="1:10" x14ac:dyDescent="0.35">
      <c r="A7548" s="2">
        <v>44797</v>
      </c>
      <c r="B7548" s="3">
        <v>0.81778935185185186</v>
      </c>
      <c r="C7548">
        <v>4508</v>
      </c>
      <c r="D7548" t="str">
        <f>VLOOKUP(H7548,Produkt!$A$2:$B$5,2,FALSE)</f>
        <v>B</v>
      </c>
      <c r="H7548">
        <v>2</v>
      </c>
      <c r="I7548">
        <v>0.10932870370370369</v>
      </c>
      <c r="J7548">
        <v>44799</v>
      </c>
    </row>
    <row r="7549" spans="1:10" x14ac:dyDescent="0.35">
      <c r="A7549" s="2">
        <v>44797</v>
      </c>
      <c r="B7549" s="3">
        <v>0.35552083333333334</v>
      </c>
      <c r="C7549">
        <v>4518</v>
      </c>
      <c r="D7549" t="str">
        <f>VLOOKUP(H7549,Produkt!$A$2:$B$5,2,FALSE)</f>
        <v>C</v>
      </c>
      <c r="H7549">
        <v>3</v>
      </c>
      <c r="I7549">
        <v>0.21752314814814813</v>
      </c>
      <c r="J7549">
        <v>44776</v>
      </c>
    </row>
    <row r="7550" spans="1:10" x14ac:dyDescent="0.35">
      <c r="A7550" s="2">
        <v>44797</v>
      </c>
      <c r="B7550" s="3">
        <v>0.92148148148148146</v>
      </c>
      <c r="C7550">
        <v>4538</v>
      </c>
      <c r="D7550" t="str">
        <f>VLOOKUP(H7550,Produkt!$A$2:$B$5,2,FALSE)</f>
        <v>A</v>
      </c>
      <c r="H7550">
        <v>1</v>
      </c>
      <c r="I7550">
        <v>0.53450231481481481</v>
      </c>
      <c r="J7550">
        <v>44782</v>
      </c>
    </row>
    <row r="7551" spans="1:10" x14ac:dyDescent="0.35">
      <c r="A7551" s="2">
        <v>44797</v>
      </c>
      <c r="B7551" s="3">
        <v>0.21055555555555558</v>
      </c>
      <c r="C7551">
        <v>4568</v>
      </c>
      <c r="D7551" t="str">
        <f>VLOOKUP(H7551,Produkt!$A$2:$B$5,2,FALSE)</f>
        <v>C</v>
      </c>
      <c r="H7551">
        <v>3</v>
      </c>
      <c r="I7551">
        <v>0.10591435185185184</v>
      </c>
      <c r="J7551">
        <v>44796</v>
      </c>
    </row>
    <row r="7552" spans="1:10" x14ac:dyDescent="0.35">
      <c r="A7552" s="2">
        <v>44797</v>
      </c>
      <c r="B7552" s="3">
        <v>0.91748842592592583</v>
      </c>
      <c r="C7552">
        <v>4574</v>
      </c>
      <c r="D7552" t="str">
        <f>VLOOKUP(H7552,Produkt!$A$2:$B$5,2,FALSE)</f>
        <v>D</v>
      </c>
      <c r="H7552">
        <v>4</v>
      </c>
      <c r="I7552">
        <v>0.33466435185185189</v>
      </c>
      <c r="J7552">
        <v>44775</v>
      </c>
    </row>
    <row r="7553" spans="1:10" x14ac:dyDescent="0.35">
      <c r="A7553" s="2">
        <v>44797</v>
      </c>
      <c r="B7553" s="3">
        <v>0.87968750000000007</v>
      </c>
      <c r="C7553">
        <v>4612</v>
      </c>
      <c r="D7553" t="str">
        <f>VLOOKUP(H7553,Produkt!$A$2:$B$5,2,FALSE)</f>
        <v>A</v>
      </c>
      <c r="H7553">
        <v>1</v>
      </c>
      <c r="I7553">
        <v>0.48832175925925925</v>
      </c>
      <c r="J7553">
        <v>44796</v>
      </c>
    </row>
    <row r="7554" spans="1:10" x14ac:dyDescent="0.35">
      <c r="A7554" s="2">
        <v>44797</v>
      </c>
      <c r="B7554" s="3">
        <v>0.21328703703703702</v>
      </c>
      <c r="C7554">
        <v>4648</v>
      </c>
      <c r="D7554" t="str">
        <f>VLOOKUP(H7554,Produkt!$A$2:$B$5,2,FALSE)</f>
        <v>D</v>
      </c>
      <c r="H7554">
        <v>4</v>
      </c>
      <c r="I7554">
        <v>0.30030092592592594</v>
      </c>
      <c r="J7554">
        <v>44797</v>
      </c>
    </row>
    <row r="7555" spans="1:10" x14ac:dyDescent="0.35">
      <c r="A7555" s="2">
        <v>44797</v>
      </c>
      <c r="B7555" s="3">
        <v>0.69469907407407405</v>
      </c>
      <c r="C7555">
        <v>4662</v>
      </c>
      <c r="D7555" t="str">
        <f>VLOOKUP(H7555,Produkt!$A$2:$B$5,2,FALSE)</f>
        <v>A</v>
      </c>
      <c r="H7555">
        <v>1</v>
      </c>
      <c r="I7555">
        <v>0.34986111111111112</v>
      </c>
      <c r="J7555">
        <v>44777</v>
      </c>
    </row>
    <row r="7556" spans="1:10" x14ac:dyDescent="0.35">
      <c r="A7556" s="2">
        <v>44797</v>
      </c>
      <c r="B7556" s="3">
        <v>0.21998842592592593</v>
      </c>
      <c r="C7556">
        <v>4677</v>
      </c>
      <c r="D7556" t="str">
        <f>VLOOKUP(H7556,Produkt!$A$2:$B$5,2,FALSE)</f>
        <v>A</v>
      </c>
      <c r="H7556">
        <v>1</v>
      </c>
      <c r="I7556">
        <v>0.52652777777777782</v>
      </c>
      <c r="J7556">
        <v>44795</v>
      </c>
    </row>
    <row r="7557" spans="1:10" x14ac:dyDescent="0.35">
      <c r="A7557" s="2">
        <v>44797</v>
      </c>
      <c r="B7557" s="3">
        <v>0.90854166666666669</v>
      </c>
      <c r="C7557">
        <v>4703</v>
      </c>
      <c r="D7557" t="str">
        <f>VLOOKUP(H7557,Produkt!$A$2:$B$5,2,FALSE)</f>
        <v>A</v>
      </c>
      <c r="H7557">
        <v>1</v>
      </c>
      <c r="I7557">
        <v>0.46263888888888888</v>
      </c>
      <c r="J7557">
        <v>44792</v>
      </c>
    </row>
    <row r="7558" spans="1:10" x14ac:dyDescent="0.35">
      <c r="A7558" s="2">
        <v>44797</v>
      </c>
      <c r="B7558" s="3">
        <v>0.10914351851851851</v>
      </c>
      <c r="C7558">
        <v>4740</v>
      </c>
      <c r="D7558" t="str">
        <f>VLOOKUP(H7558,Produkt!$A$2:$B$5,2,FALSE)</f>
        <v>C</v>
      </c>
      <c r="H7558">
        <v>3</v>
      </c>
      <c r="I7558">
        <v>0.73334490740740732</v>
      </c>
      <c r="J7558">
        <v>44780</v>
      </c>
    </row>
    <row r="7559" spans="1:10" x14ac:dyDescent="0.35">
      <c r="A7559" s="2">
        <v>44797</v>
      </c>
      <c r="B7559" s="3">
        <v>0.34798611111111111</v>
      </c>
      <c r="C7559">
        <v>4774</v>
      </c>
      <c r="D7559" t="str">
        <f>VLOOKUP(H7559,Produkt!$A$2:$B$5,2,FALSE)</f>
        <v>C</v>
      </c>
      <c r="H7559">
        <v>3</v>
      </c>
      <c r="I7559">
        <v>0.3580787037037037</v>
      </c>
      <c r="J7559">
        <v>44791</v>
      </c>
    </row>
    <row r="7560" spans="1:10" x14ac:dyDescent="0.35">
      <c r="A7560" s="2">
        <v>44797</v>
      </c>
      <c r="B7560" s="3">
        <v>0.44074074074074071</v>
      </c>
      <c r="C7560">
        <v>4814</v>
      </c>
      <c r="D7560" t="str">
        <f>VLOOKUP(H7560,Produkt!$A$2:$B$5,2,FALSE)</f>
        <v>C</v>
      </c>
      <c r="H7560">
        <v>3</v>
      </c>
      <c r="I7560">
        <v>1.8252314814814818E-2</v>
      </c>
      <c r="J7560">
        <v>44791</v>
      </c>
    </row>
    <row r="7561" spans="1:10" x14ac:dyDescent="0.35">
      <c r="A7561" s="2">
        <v>44797</v>
      </c>
      <c r="B7561" s="3">
        <v>0.18534722222222222</v>
      </c>
      <c r="C7561">
        <v>4829</v>
      </c>
      <c r="D7561" t="str">
        <f>VLOOKUP(H7561,Produkt!$A$2:$B$5,2,FALSE)</f>
        <v>C</v>
      </c>
      <c r="H7561">
        <v>3</v>
      </c>
      <c r="I7561">
        <v>0.86449074074074073</v>
      </c>
      <c r="J7561">
        <v>44799</v>
      </c>
    </row>
    <row r="7562" spans="1:10" x14ac:dyDescent="0.35">
      <c r="A7562" s="2">
        <v>44797</v>
      </c>
      <c r="B7562" s="3">
        <v>8.3333333333333339E-4</v>
      </c>
      <c r="C7562">
        <v>4886</v>
      </c>
      <c r="D7562" t="str">
        <f>VLOOKUP(H7562,Produkt!$A$2:$B$5,2,FALSE)</f>
        <v>C</v>
      </c>
      <c r="H7562">
        <v>3</v>
      </c>
      <c r="I7562">
        <v>0.39396990740740739</v>
      </c>
      <c r="J7562">
        <v>44793</v>
      </c>
    </row>
    <row r="7563" spans="1:10" x14ac:dyDescent="0.35">
      <c r="A7563" s="2">
        <v>44797</v>
      </c>
      <c r="B7563" s="3">
        <v>0.65334490740740747</v>
      </c>
      <c r="C7563">
        <v>4933</v>
      </c>
      <c r="D7563" t="str">
        <f>VLOOKUP(H7563,Produkt!$A$2:$B$5,2,FALSE)</f>
        <v>C</v>
      </c>
      <c r="H7563">
        <v>3</v>
      </c>
      <c r="I7563">
        <v>0.13946759259259259</v>
      </c>
      <c r="J7563">
        <v>44786</v>
      </c>
    </row>
    <row r="7564" spans="1:10" x14ac:dyDescent="0.35">
      <c r="A7564" s="2">
        <v>44797</v>
      </c>
      <c r="B7564" s="3">
        <v>0.17853009259259259</v>
      </c>
      <c r="C7564">
        <v>4976</v>
      </c>
      <c r="D7564" t="str">
        <f>VLOOKUP(H7564,Produkt!$A$2:$B$5,2,FALSE)</f>
        <v>C</v>
      </c>
      <c r="H7564">
        <v>3</v>
      </c>
      <c r="I7564">
        <v>0.6693634259259259</v>
      </c>
      <c r="J7564">
        <v>44787</v>
      </c>
    </row>
    <row r="7565" spans="1:10" x14ac:dyDescent="0.35">
      <c r="A7565" s="2">
        <v>44797</v>
      </c>
      <c r="B7565" s="3">
        <v>0.27837962962962964</v>
      </c>
      <c r="C7565">
        <v>4991</v>
      </c>
      <c r="D7565" t="str">
        <f>VLOOKUP(H7565,Produkt!$A$2:$B$5,2,FALSE)</f>
        <v>C</v>
      </c>
      <c r="H7565">
        <v>3</v>
      </c>
      <c r="I7565">
        <v>0.44023148148148145</v>
      </c>
      <c r="J7565">
        <v>44779</v>
      </c>
    </row>
    <row r="7566" spans="1:10" x14ac:dyDescent="0.35">
      <c r="A7566" s="2">
        <v>44797</v>
      </c>
      <c r="B7566" s="3">
        <v>0.388125</v>
      </c>
      <c r="C7566">
        <v>5056</v>
      </c>
      <c r="D7566" t="str">
        <f>VLOOKUP(H7566,Produkt!$A$2:$B$5,2,FALSE)</f>
        <v>B</v>
      </c>
      <c r="H7566">
        <v>2</v>
      </c>
      <c r="I7566">
        <v>0.42486111111111113</v>
      </c>
      <c r="J7566">
        <v>44787</v>
      </c>
    </row>
    <row r="7567" spans="1:10" x14ac:dyDescent="0.35">
      <c r="A7567" s="2">
        <v>44797</v>
      </c>
      <c r="B7567" s="3">
        <v>2.4270833333333242E-2</v>
      </c>
      <c r="C7567">
        <v>5082</v>
      </c>
      <c r="D7567" t="str">
        <f>VLOOKUP(H7567,Produkt!$A$2:$B$5,2,FALSE)</f>
        <v>D</v>
      </c>
      <c r="H7567">
        <v>4</v>
      </c>
      <c r="I7567">
        <v>0.59915509259259259</v>
      </c>
      <c r="J7567">
        <v>44778</v>
      </c>
    </row>
    <row r="7568" spans="1:10" x14ac:dyDescent="0.35">
      <c r="A7568" s="2">
        <v>44797</v>
      </c>
      <c r="B7568" s="3">
        <v>0.29930555555555555</v>
      </c>
      <c r="C7568">
        <v>5130</v>
      </c>
      <c r="D7568" t="str">
        <f>VLOOKUP(H7568,Produkt!$A$2:$B$5,2,FALSE)</f>
        <v>B</v>
      </c>
      <c r="H7568">
        <v>2</v>
      </c>
      <c r="I7568">
        <v>0.63737268518518519</v>
      </c>
      <c r="J7568">
        <v>44783</v>
      </c>
    </row>
    <row r="7569" spans="1:10" x14ac:dyDescent="0.35">
      <c r="A7569" s="2">
        <v>44797</v>
      </c>
      <c r="B7569" s="3">
        <v>0.50300925925925932</v>
      </c>
      <c r="C7569">
        <v>5134</v>
      </c>
      <c r="D7569" t="str">
        <f>VLOOKUP(H7569,Produkt!$A$2:$B$5,2,FALSE)</f>
        <v>A</v>
      </c>
      <c r="H7569">
        <v>1</v>
      </c>
      <c r="I7569">
        <v>0.65510416666666671</v>
      </c>
      <c r="J7569">
        <v>44791</v>
      </c>
    </row>
    <row r="7570" spans="1:10" x14ac:dyDescent="0.35">
      <c r="A7570" s="2">
        <v>44797</v>
      </c>
      <c r="B7570" s="3">
        <v>0.62703703703703706</v>
      </c>
      <c r="C7570">
        <v>5169</v>
      </c>
      <c r="D7570" t="str">
        <f>VLOOKUP(H7570,Produkt!$A$2:$B$5,2,FALSE)</f>
        <v>D</v>
      </c>
      <c r="H7570">
        <v>4</v>
      </c>
      <c r="I7570">
        <v>0.26549768518518518</v>
      </c>
      <c r="J7570">
        <v>44798</v>
      </c>
    </row>
    <row r="7571" spans="1:10" x14ac:dyDescent="0.35">
      <c r="A7571" s="2">
        <v>44797</v>
      </c>
      <c r="B7571" s="3">
        <v>0.2946759259259259</v>
      </c>
      <c r="C7571">
        <v>5197</v>
      </c>
      <c r="D7571" t="str">
        <f>VLOOKUP(H7571,Produkt!$A$2:$B$5,2,FALSE)</f>
        <v>D</v>
      </c>
      <c r="H7571">
        <v>4</v>
      </c>
      <c r="I7571">
        <v>0.11355324074074075</v>
      </c>
      <c r="J7571">
        <v>44776</v>
      </c>
    </row>
    <row r="7572" spans="1:10" x14ac:dyDescent="0.35">
      <c r="A7572" s="2">
        <v>44797</v>
      </c>
      <c r="B7572" s="3">
        <v>0.93496527777777771</v>
      </c>
      <c r="C7572">
        <v>5249</v>
      </c>
      <c r="D7572" t="str">
        <f>VLOOKUP(H7572,Produkt!$A$2:$B$5,2,FALSE)</f>
        <v>B</v>
      </c>
      <c r="H7572">
        <v>2</v>
      </c>
      <c r="I7572">
        <v>0.33459490740740744</v>
      </c>
      <c r="J7572">
        <v>44790</v>
      </c>
    </row>
    <row r="7573" spans="1:10" x14ac:dyDescent="0.35">
      <c r="A7573" s="2">
        <v>44797</v>
      </c>
      <c r="B7573" s="3">
        <v>9.5960648148148142E-2</v>
      </c>
      <c r="C7573">
        <v>5298</v>
      </c>
      <c r="D7573" t="str">
        <f>VLOOKUP(H7573,Produkt!$A$2:$B$5,2,FALSE)</f>
        <v>C</v>
      </c>
      <c r="H7573">
        <v>3</v>
      </c>
      <c r="I7573">
        <v>0.4947685185185185</v>
      </c>
      <c r="J7573">
        <v>44787</v>
      </c>
    </row>
    <row r="7574" spans="1:10" x14ac:dyDescent="0.35">
      <c r="A7574" s="2">
        <v>44797</v>
      </c>
      <c r="B7574" s="3">
        <v>0.56899305555555557</v>
      </c>
      <c r="C7574">
        <v>5347</v>
      </c>
      <c r="D7574" t="str">
        <f>VLOOKUP(H7574,Produkt!$A$2:$B$5,2,FALSE)</f>
        <v>D</v>
      </c>
      <c r="H7574">
        <v>4</v>
      </c>
      <c r="I7574">
        <v>0.43384259259259261</v>
      </c>
      <c r="J7574">
        <v>44781</v>
      </c>
    </row>
    <row r="7575" spans="1:10" x14ac:dyDescent="0.35">
      <c r="A7575" s="2">
        <v>44797</v>
      </c>
      <c r="B7575" s="3">
        <v>0.14354166666666665</v>
      </c>
      <c r="C7575">
        <v>5444</v>
      </c>
      <c r="D7575" t="str">
        <f>VLOOKUP(H7575,Produkt!$A$2:$B$5,2,FALSE)</f>
        <v>D</v>
      </c>
      <c r="H7575">
        <v>4</v>
      </c>
      <c r="I7575">
        <v>0.49633101851851852</v>
      </c>
      <c r="J7575">
        <v>44779</v>
      </c>
    </row>
    <row r="7576" spans="1:10" x14ac:dyDescent="0.35">
      <c r="A7576" s="2">
        <v>44797</v>
      </c>
      <c r="B7576" s="3">
        <v>0.54748842592592595</v>
      </c>
      <c r="C7576">
        <v>5466</v>
      </c>
      <c r="D7576" t="str">
        <f>VLOOKUP(H7576,Produkt!$A$2:$B$5,2,FALSE)</f>
        <v>B</v>
      </c>
      <c r="H7576">
        <v>2</v>
      </c>
      <c r="I7576">
        <v>0.95568287037037036</v>
      </c>
      <c r="J7576">
        <v>44801</v>
      </c>
    </row>
    <row r="7577" spans="1:10" x14ac:dyDescent="0.35">
      <c r="A7577" s="2">
        <v>44797</v>
      </c>
      <c r="B7577" s="3">
        <v>8.487268518518519E-2</v>
      </c>
      <c r="C7577">
        <v>5518</v>
      </c>
      <c r="D7577" t="str">
        <f>VLOOKUP(H7577,Produkt!$A$2:$B$5,2,FALSE)</f>
        <v>C</v>
      </c>
      <c r="H7577">
        <v>3</v>
      </c>
      <c r="I7577">
        <v>2.5370370370370265E-2</v>
      </c>
      <c r="J7577">
        <v>44790</v>
      </c>
    </row>
    <row r="7578" spans="1:10" x14ac:dyDescent="0.35">
      <c r="A7578" s="2">
        <v>44797</v>
      </c>
      <c r="B7578" s="3">
        <v>0.95079861111111119</v>
      </c>
      <c r="C7578">
        <v>5552</v>
      </c>
      <c r="D7578" t="str">
        <f>VLOOKUP(H7578,Produkt!$A$2:$B$5,2,FALSE)</f>
        <v>B</v>
      </c>
      <c r="H7578">
        <v>2</v>
      </c>
      <c r="I7578">
        <v>0.67850694444444448</v>
      </c>
      <c r="J7578">
        <v>44802</v>
      </c>
    </row>
    <row r="7579" spans="1:10" x14ac:dyDescent="0.35">
      <c r="A7579" s="2">
        <v>44797</v>
      </c>
      <c r="B7579" s="3">
        <v>3.9652777777777759E-2</v>
      </c>
      <c r="C7579">
        <v>5553</v>
      </c>
      <c r="D7579" t="str">
        <f>VLOOKUP(H7579,Produkt!$A$2:$B$5,2,FALSE)</f>
        <v>C</v>
      </c>
      <c r="H7579">
        <v>3</v>
      </c>
      <c r="I7579">
        <v>0.30555555555555552</v>
      </c>
      <c r="J7579">
        <v>44799</v>
      </c>
    </row>
    <row r="7580" spans="1:10" x14ac:dyDescent="0.35">
      <c r="A7580" s="2">
        <v>44797</v>
      </c>
      <c r="B7580" s="3">
        <v>0.17216435185185186</v>
      </c>
      <c r="C7580">
        <v>5562</v>
      </c>
      <c r="D7580" t="str">
        <f>VLOOKUP(H7580,Produkt!$A$2:$B$5,2,FALSE)</f>
        <v>A</v>
      </c>
      <c r="H7580">
        <v>1</v>
      </c>
      <c r="I7580">
        <v>2.9398148148148148E-3</v>
      </c>
      <c r="J7580">
        <v>44791</v>
      </c>
    </row>
    <row r="7581" spans="1:10" x14ac:dyDescent="0.35">
      <c r="A7581" s="2">
        <v>44797</v>
      </c>
      <c r="B7581" s="3">
        <v>1.357638888888889E-2</v>
      </c>
      <c r="C7581">
        <v>5588</v>
      </c>
      <c r="D7581" t="str">
        <f>VLOOKUP(H7581,Produkt!$A$2:$B$5,2,FALSE)</f>
        <v>B</v>
      </c>
      <c r="H7581">
        <v>2</v>
      </c>
      <c r="I7581">
        <v>0.44261574074074073</v>
      </c>
      <c r="J7581">
        <v>44784</v>
      </c>
    </row>
    <row r="7582" spans="1:10" x14ac:dyDescent="0.35">
      <c r="A7582" s="2">
        <v>44797</v>
      </c>
      <c r="B7582" s="3">
        <v>0.27042824074074073</v>
      </c>
      <c r="C7582">
        <v>5601</v>
      </c>
      <c r="D7582" t="str">
        <f>VLOOKUP(H7582,Produkt!$A$2:$B$5,2,FALSE)</f>
        <v>B</v>
      </c>
      <c r="H7582">
        <v>2</v>
      </c>
      <c r="I7582">
        <v>0.50449074074074074</v>
      </c>
      <c r="J7582">
        <v>44796</v>
      </c>
    </row>
    <row r="7583" spans="1:10" x14ac:dyDescent="0.35">
      <c r="A7583" s="2">
        <v>44797</v>
      </c>
      <c r="B7583" s="3">
        <v>0.65528935185185189</v>
      </c>
      <c r="C7583">
        <v>5608</v>
      </c>
      <c r="D7583" t="str">
        <f>VLOOKUP(H7583,Produkt!$A$2:$B$5,2,FALSE)</f>
        <v>A</v>
      </c>
      <c r="H7583">
        <v>1</v>
      </c>
      <c r="I7583">
        <v>0.96657407407407403</v>
      </c>
      <c r="J7583">
        <v>44800</v>
      </c>
    </row>
    <row r="7584" spans="1:10" x14ac:dyDescent="0.35">
      <c r="A7584" s="2">
        <v>44797</v>
      </c>
      <c r="B7584" s="3">
        <v>0.41277777777777774</v>
      </c>
      <c r="C7584">
        <v>5618</v>
      </c>
      <c r="D7584" t="str">
        <f>VLOOKUP(H7584,Produkt!$A$2:$B$5,2,FALSE)</f>
        <v>C</v>
      </c>
      <c r="H7584">
        <v>3</v>
      </c>
      <c r="I7584">
        <v>0.92447916666666663</v>
      </c>
      <c r="J7584">
        <v>44794</v>
      </c>
    </row>
    <row r="7585" spans="1:10" x14ac:dyDescent="0.35">
      <c r="A7585" s="2">
        <v>44797</v>
      </c>
      <c r="B7585" s="3">
        <v>0.46584490740740742</v>
      </c>
      <c r="C7585">
        <v>5623</v>
      </c>
      <c r="D7585" t="str">
        <f>VLOOKUP(H7585,Produkt!$A$2:$B$5,2,FALSE)</f>
        <v>C</v>
      </c>
      <c r="H7585">
        <v>3</v>
      </c>
      <c r="I7585">
        <v>0.24015046296296297</v>
      </c>
      <c r="J7585">
        <v>44782</v>
      </c>
    </row>
    <row r="7586" spans="1:10" x14ac:dyDescent="0.35">
      <c r="A7586" s="2">
        <v>44797</v>
      </c>
      <c r="B7586" s="3">
        <v>1.8518518518518379E-2</v>
      </c>
      <c r="C7586">
        <v>5694</v>
      </c>
      <c r="D7586" t="str">
        <f>VLOOKUP(H7586,Produkt!$A$2:$B$5,2,FALSE)</f>
        <v>B</v>
      </c>
      <c r="H7586">
        <v>2</v>
      </c>
      <c r="I7586">
        <v>3.3981481481481481E-2</v>
      </c>
      <c r="J7586">
        <v>44804</v>
      </c>
    </row>
    <row r="7587" spans="1:10" x14ac:dyDescent="0.35">
      <c r="A7587" s="2">
        <v>44797</v>
      </c>
      <c r="B7587" s="3">
        <v>0.10078703703703702</v>
      </c>
      <c r="C7587">
        <v>5758</v>
      </c>
      <c r="D7587" t="str">
        <f>VLOOKUP(H7587,Produkt!$A$2:$B$5,2,FALSE)</f>
        <v>B</v>
      </c>
      <c r="H7587">
        <v>2</v>
      </c>
      <c r="I7587">
        <v>0.75754629629629633</v>
      </c>
      <c r="J7587">
        <v>44785</v>
      </c>
    </row>
    <row r="7588" spans="1:10" x14ac:dyDescent="0.35">
      <c r="A7588" s="2">
        <v>44797</v>
      </c>
      <c r="B7588" s="3">
        <v>0.7556250000000001</v>
      </c>
      <c r="C7588">
        <v>5765</v>
      </c>
      <c r="D7588" t="str">
        <f>VLOOKUP(H7588,Produkt!$A$2:$B$5,2,FALSE)</f>
        <v>D</v>
      </c>
      <c r="H7588">
        <v>4</v>
      </c>
      <c r="I7588">
        <v>0.80872685185185178</v>
      </c>
      <c r="J7588">
        <v>44787</v>
      </c>
    </row>
    <row r="7589" spans="1:10" x14ac:dyDescent="0.35">
      <c r="A7589" s="2">
        <v>44797</v>
      </c>
      <c r="B7589" s="3">
        <v>0.18606481481481482</v>
      </c>
      <c r="C7589">
        <v>5766</v>
      </c>
      <c r="D7589" t="str">
        <f>VLOOKUP(H7589,Produkt!$A$2:$B$5,2,FALSE)</f>
        <v>C</v>
      </c>
      <c r="H7589">
        <v>3</v>
      </c>
      <c r="I7589">
        <v>0.10119212962962963</v>
      </c>
      <c r="J7589">
        <v>44800</v>
      </c>
    </row>
    <row r="7590" spans="1:10" x14ac:dyDescent="0.35">
      <c r="A7590" s="2">
        <v>44797</v>
      </c>
      <c r="B7590" s="3">
        <v>6.356481481481481E-2</v>
      </c>
      <c r="C7590">
        <v>5771</v>
      </c>
      <c r="D7590" t="str">
        <f>VLOOKUP(H7590,Produkt!$A$2:$B$5,2,FALSE)</f>
        <v>B</v>
      </c>
      <c r="H7590">
        <v>2</v>
      </c>
      <c r="I7590">
        <v>0.86298611111111112</v>
      </c>
      <c r="J7590">
        <v>44793</v>
      </c>
    </row>
    <row r="7591" spans="1:10" x14ac:dyDescent="0.35">
      <c r="A7591" s="2">
        <v>44797</v>
      </c>
      <c r="B7591" s="3">
        <v>9.2997685185185183E-2</v>
      </c>
      <c r="C7591">
        <v>5783</v>
      </c>
      <c r="D7591" t="str">
        <f>VLOOKUP(H7591,Produkt!$A$2:$B$5,2,FALSE)</f>
        <v>B</v>
      </c>
      <c r="H7591">
        <v>2</v>
      </c>
      <c r="I7591">
        <v>0.2706365740740741</v>
      </c>
      <c r="J7591">
        <v>44782</v>
      </c>
    </row>
    <row r="7592" spans="1:10" x14ac:dyDescent="0.35">
      <c r="A7592" s="2">
        <v>44797</v>
      </c>
      <c r="B7592" s="3">
        <v>0.34097222222222223</v>
      </c>
      <c r="C7592">
        <v>5794</v>
      </c>
      <c r="D7592" t="str">
        <f>VLOOKUP(H7592,Produkt!$A$2:$B$5,2,FALSE)</f>
        <v>B</v>
      </c>
      <c r="H7592">
        <v>2</v>
      </c>
      <c r="I7592">
        <v>0.11832175925925925</v>
      </c>
      <c r="J7592">
        <v>44781</v>
      </c>
    </row>
    <row r="7593" spans="1:10" x14ac:dyDescent="0.35">
      <c r="A7593" s="2">
        <v>44797</v>
      </c>
      <c r="B7593" s="3">
        <v>0.24002314814814815</v>
      </c>
      <c r="C7593">
        <v>5807</v>
      </c>
      <c r="D7593" t="str">
        <f>VLOOKUP(H7593,Produkt!$A$2:$B$5,2,FALSE)</f>
        <v>A</v>
      </c>
      <c r="H7593">
        <v>1</v>
      </c>
      <c r="I7593">
        <v>0.45034722222222223</v>
      </c>
      <c r="J7593">
        <v>44785</v>
      </c>
    </row>
    <row r="7594" spans="1:10" x14ac:dyDescent="0.35">
      <c r="A7594" s="2">
        <v>44797</v>
      </c>
      <c r="B7594" s="3">
        <v>0.33929398148148149</v>
      </c>
      <c r="C7594">
        <v>5836</v>
      </c>
      <c r="D7594" t="str">
        <f>VLOOKUP(H7594,Produkt!$A$2:$B$5,2,FALSE)</f>
        <v>A</v>
      </c>
      <c r="H7594">
        <v>1</v>
      </c>
      <c r="I7594">
        <v>0.32884259259259258</v>
      </c>
      <c r="J7594">
        <v>44791</v>
      </c>
    </row>
    <row r="7595" spans="1:10" x14ac:dyDescent="0.35">
      <c r="A7595" s="2">
        <v>44797</v>
      </c>
      <c r="B7595" s="3">
        <v>0.72034722222222225</v>
      </c>
      <c r="C7595">
        <v>5855</v>
      </c>
      <c r="D7595" t="str">
        <f>VLOOKUP(H7595,Produkt!$A$2:$B$5,2,FALSE)</f>
        <v>A</v>
      </c>
      <c r="H7595">
        <v>1</v>
      </c>
      <c r="I7595">
        <v>3.8715277777777779E-2</v>
      </c>
      <c r="J7595">
        <v>44804</v>
      </c>
    </row>
    <row r="7596" spans="1:10" x14ac:dyDescent="0.35">
      <c r="A7596" s="2">
        <v>44797</v>
      </c>
      <c r="B7596" s="3">
        <v>6.6481481481481489E-2</v>
      </c>
      <c r="C7596">
        <v>5860</v>
      </c>
      <c r="D7596" t="str">
        <f>VLOOKUP(H7596,Produkt!$A$2:$B$5,2,FALSE)</f>
        <v>D</v>
      </c>
      <c r="H7596">
        <v>4</v>
      </c>
      <c r="I7596">
        <v>0.95559027777777772</v>
      </c>
      <c r="J7596">
        <v>44779</v>
      </c>
    </row>
    <row r="7597" spans="1:10" x14ac:dyDescent="0.35">
      <c r="A7597" s="2">
        <v>44797</v>
      </c>
      <c r="B7597" s="3">
        <v>0.30679398148148146</v>
      </c>
      <c r="C7597">
        <v>5872</v>
      </c>
      <c r="D7597" t="str">
        <f>VLOOKUP(H7597,Produkt!$A$2:$B$5,2,FALSE)</f>
        <v>C</v>
      </c>
      <c r="H7597">
        <v>3</v>
      </c>
      <c r="I7597">
        <v>0.31146990740740738</v>
      </c>
      <c r="J7597">
        <v>44774</v>
      </c>
    </row>
    <row r="7598" spans="1:10" x14ac:dyDescent="0.35">
      <c r="A7598" s="2">
        <v>44797</v>
      </c>
      <c r="B7598" s="3">
        <v>0.36850694444444443</v>
      </c>
      <c r="C7598">
        <v>5876</v>
      </c>
      <c r="D7598" t="str">
        <f>VLOOKUP(H7598,Produkt!$A$2:$B$5,2,FALSE)</f>
        <v>B</v>
      </c>
      <c r="H7598">
        <v>2</v>
      </c>
      <c r="I7598">
        <v>0.15128472222222222</v>
      </c>
      <c r="J7598">
        <v>44803</v>
      </c>
    </row>
    <row r="7599" spans="1:10" x14ac:dyDescent="0.35">
      <c r="A7599" s="2">
        <v>44797</v>
      </c>
      <c r="B7599" s="3">
        <v>0.83390046296296294</v>
      </c>
      <c r="C7599">
        <v>5910</v>
      </c>
      <c r="D7599" t="str">
        <f>VLOOKUP(H7599,Produkt!$A$2:$B$5,2,FALSE)</f>
        <v>D</v>
      </c>
      <c r="H7599">
        <v>4</v>
      </c>
      <c r="I7599">
        <v>0.275474537037037</v>
      </c>
      <c r="J7599">
        <v>44800</v>
      </c>
    </row>
    <row r="7600" spans="1:10" x14ac:dyDescent="0.35">
      <c r="A7600" s="2">
        <v>44797</v>
      </c>
      <c r="B7600" s="3">
        <v>1.8518518518518521E-2</v>
      </c>
      <c r="C7600">
        <v>5940</v>
      </c>
      <c r="D7600" t="str">
        <f>VLOOKUP(H7600,Produkt!$A$2:$B$5,2,FALSE)</f>
        <v>B</v>
      </c>
      <c r="H7600">
        <v>2</v>
      </c>
      <c r="I7600">
        <v>0.2008912037037037</v>
      </c>
      <c r="J7600">
        <v>44784</v>
      </c>
    </row>
    <row r="7601" spans="1:10" x14ac:dyDescent="0.35">
      <c r="A7601" s="2">
        <v>44797</v>
      </c>
      <c r="B7601" s="3">
        <v>0.83113425925925932</v>
      </c>
      <c r="C7601">
        <v>5953</v>
      </c>
      <c r="D7601" t="str">
        <f>VLOOKUP(H7601,Produkt!$A$2:$B$5,2,FALSE)</f>
        <v>C</v>
      </c>
      <c r="H7601">
        <v>3</v>
      </c>
      <c r="I7601">
        <v>2.615740740740741E-3</v>
      </c>
      <c r="J7601">
        <v>44782</v>
      </c>
    </row>
    <row r="7602" spans="1:10" x14ac:dyDescent="0.35">
      <c r="A7602" s="2">
        <v>44797</v>
      </c>
      <c r="B7602" s="3">
        <v>0.41113425925925928</v>
      </c>
      <c r="C7602">
        <v>5990</v>
      </c>
      <c r="D7602" t="str">
        <f>VLOOKUP(H7602,Produkt!$A$2:$B$5,2,FALSE)</f>
        <v>A</v>
      </c>
      <c r="H7602">
        <v>1</v>
      </c>
      <c r="I7602">
        <v>9.7164351851851849E-2</v>
      </c>
      <c r="J7602">
        <v>44803</v>
      </c>
    </row>
    <row r="7603" spans="1:10" x14ac:dyDescent="0.35">
      <c r="A7603" s="2">
        <v>44797</v>
      </c>
      <c r="B7603" s="3">
        <v>0.38537037037037036</v>
      </c>
      <c r="C7603">
        <v>6018</v>
      </c>
      <c r="D7603" t="str">
        <f>VLOOKUP(H7603,Produkt!$A$2:$B$5,2,FALSE)</f>
        <v>C</v>
      </c>
      <c r="H7603">
        <v>3</v>
      </c>
      <c r="I7603">
        <v>0.26703703703703702</v>
      </c>
      <c r="J7603">
        <v>44784</v>
      </c>
    </row>
    <row r="7604" spans="1:10" x14ac:dyDescent="0.35">
      <c r="A7604" s="2">
        <v>44797</v>
      </c>
      <c r="B7604" s="3">
        <v>6.2037037037037113E-3</v>
      </c>
      <c r="C7604">
        <v>6048</v>
      </c>
      <c r="D7604" t="str">
        <f>VLOOKUP(H7604,Produkt!$A$2:$B$5,2,FALSE)</f>
        <v>B</v>
      </c>
      <c r="H7604">
        <v>2</v>
      </c>
      <c r="I7604">
        <v>0.17318287037037036</v>
      </c>
      <c r="J7604">
        <v>44785</v>
      </c>
    </row>
    <row r="7605" spans="1:10" x14ac:dyDescent="0.35">
      <c r="A7605" s="2">
        <v>44797</v>
      </c>
      <c r="B7605" s="3">
        <v>0.92641203703703701</v>
      </c>
      <c r="C7605">
        <v>6060</v>
      </c>
      <c r="D7605" t="str">
        <f>VLOOKUP(H7605,Produkt!$A$2:$B$5,2,FALSE)</f>
        <v>C</v>
      </c>
      <c r="H7605">
        <v>3</v>
      </c>
      <c r="I7605">
        <v>8.2777777777777783E-2</v>
      </c>
      <c r="J7605">
        <v>44778</v>
      </c>
    </row>
    <row r="7606" spans="1:10" x14ac:dyDescent="0.35">
      <c r="A7606" s="2">
        <v>44797</v>
      </c>
      <c r="B7606" s="3">
        <v>0.14951388888888889</v>
      </c>
      <c r="C7606">
        <v>6061</v>
      </c>
      <c r="D7606" t="str">
        <f>VLOOKUP(H7606,Produkt!$A$2:$B$5,2,FALSE)</f>
        <v>C</v>
      </c>
      <c r="H7606">
        <v>3</v>
      </c>
      <c r="I7606">
        <v>0.19395833333333334</v>
      </c>
      <c r="J7606">
        <v>44801</v>
      </c>
    </row>
    <row r="7607" spans="1:10" x14ac:dyDescent="0.35">
      <c r="A7607" s="2">
        <v>44797</v>
      </c>
      <c r="B7607" s="3">
        <v>0.15087962962962961</v>
      </c>
      <c r="C7607">
        <v>6064</v>
      </c>
      <c r="D7607" t="str">
        <f>VLOOKUP(H7607,Produkt!$A$2:$B$5,2,FALSE)</f>
        <v>C</v>
      </c>
      <c r="H7607">
        <v>3</v>
      </c>
      <c r="I7607">
        <v>0.32613425925925926</v>
      </c>
      <c r="J7607">
        <v>44802</v>
      </c>
    </row>
    <row r="7608" spans="1:10" x14ac:dyDescent="0.35">
      <c r="A7608" s="2">
        <v>44797</v>
      </c>
      <c r="B7608" s="3">
        <v>3.1944444444444449E-2</v>
      </c>
      <c r="C7608">
        <v>6082</v>
      </c>
      <c r="D7608" t="str">
        <f>VLOOKUP(H7608,Produkt!$A$2:$B$5,2,FALSE)</f>
        <v>D</v>
      </c>
      <c r="H7608">
        <v>4</v>
      </c>
      <c r="I7608">
        <v>0.96964120370370377</v>
      </c>
      <c r="J7608">
        <v>44776</v>
      </c>
    </row>
    <row r="7609" spans="1:10" x14ac:dyDescent="0.35">
      <c r="A7609" s="2">
        <v>44797</v>
      </c>
      <c r="B7609" s="3">
        <v>0.7238310185185185</v>
      </c>
      <c r="C7609">
        <v>6135</v>
      </c>
      <c r="D7609" t="str">
        <f>VLOOKUP(H7609,Produkt!$A$2:$B$5,2,FALSE)</f>
        <v>A</v>
      </c>
      <c r="H7609">
        <v>1</v>
      </c>
      <c r="I7609">
        <v>0.18511574074074075</v>
      </c>
      <c r="J7609">
        <v>44793</v>
      </c>
    </row>
    <row r="7610" spans="1:10" x14ac:dyDescent="0.35">
      <c r="A7610" s="2">
        <v>44797</v>
      </c>
      <c r="B7610" s="3">
        <v>0.44609953703703703</v>
      </c>
      <c r="C7610">
        <v>6152</v>
      </c>
      <c r="D7610" t="str">
        <f>VLOOKUP(H7610,Produkt!$A$2:$B$5,2,FALSE)</f>
        <v>C</v>
      </c>
      <c r="H7610">
        <v>3</v>
      </c>
      <c r="I7610">
        <v>8.7164351851851854E-2</v>
      </c>
      <c r="J7610">
        <v>44790</v>
      </c>
    </row>
    <row r="7611" spans="1:10" x14ac:dyDescent="0.35">
      <c r="A7611" s="2">
        <v>44797</v>
      </c>
      <c r="B7611" s="3">
        <v>4.7951388888888891E-2</v>
      </c>
      <c r="C7611">
        <v>6171</v>
      </c>
      <c r="D7611" t="str">
        <f>VLOOKUP(H7611,Produkt!$A$2:$B$5,2,FALSE)</f>
        <v>B</v>
      </c>
      <c r="H7611">
        <v>2</v>
      </c>
      <c r="I7611">
        <v>0.89645833333333336</v>
      </c>
      <c r="J7611">
        <v>44775</v>
      </c>
    </row>
    <row r="7612" spans="1:10" x14ac:dyDescent="0.35">
      <c r="A7612" s="2">
        <v>44797</v>
      </c>
      <c r="B7612" s="3">
        <v>0.69891203703703697</v>
      </c>
      <c r="C7612">
        <v>6226</v>
      </c>
      <c r="D7612" t="str">
        <f>VLOOKUP(H7612,Produkt!$A$2:$B$5,2,FALSE)</f>
        <v>A</v>
      </c>
      <c r="H7612">
        <v>1</v>
      </c>
      <c r="I7612">
        <v>0.47935185185185186</v>
      </c>
      <c r="J7612">
        <v>44802</v>
      </c>
    </row>
    <row r="7613" spans="1:10" x14ac:dyDescent="0.35">
      <c r="A7613" s="2">
        <v>44797</v>
      </c>
      <c r="B7613" s="3">
        <v>0.80760416666666668</v>
      </c>
      <c r="C7613">
        <v>6257</v>
      </c>
      <c r="D7613" t="str">
        <f>VLOOKUP(H7613,Produkt!$A$2:$B$5,2,FALSE)</f>
        <v>D</v>
      </c>
      <c r="H7613">
        <v>4</v>
      </c>
      <c r="I7613">
        <v>0.48061342592592587</v>
      </c>
      <c r="J7613">
        <v>44791</v>
      </c>
    </row>
    <row r="7614" spans="1:10" x14ac:dyDescent="0.35">
      <c r="A7614" s="2">
        <v>44797</v>
      </c>
      <c r="B7614" s="3">
        <v>0.28811342592592593</v>
      </c>
      <c r="C7614">
        <v>6282</v>
      </c>
      <c r="D7614" t="str">
        <f>VLOOKUP(H7614,Produkt!$A$2:$B$5,2,FALSE)</f>
        <v>B</v>
      </c>
      <c r="H7614">
        <v>2</v>
      </c>
      <c r="I7614">
        <v>0.44142361111111111</v>
      </c>
      <c r="J7614">
        <v>44804</v>
      </c>
    </row>
    <row r="7615" spans="1:10" x14ac:dyDescent="0.35">
      <c r="A7615" s="2">
        <v>44797</v>
      </c>
      <c r="B7615" s="3">
        <v>4.1620370370370363E-2</v>
      </c>
      <c r="C7615">
        <v>6287</v>
      </c>
      <c r="D7615" t="str">
        <f>VLOOKUP(H7615,Produkt!$A$2:$B$5,2,FALSE)</f>
        <v>B</v>
      </c>
      <c r="H7615">
        <v>2</v>
      </c>
      <c r="I7615">
        <v>0.92659722222222218</v>
      </c>
      <c r="J7615">
        <v>44797</v>
      </c>
    </row>
    <row r="7616" spans="1:10" x14ac:dyDescent="0.35">
      <c r="A7616" s="2">
        <v>44797</v>
      </c>
      <c r="B7616" s="3">
        <v>0.40120370370370373</v>
      </c>
      <c r="C7616">
        <v>6297</v>
      </c>
      <c r="D7616" t="str">
        <f>VLOOKUP(H7616,Produkt!$A$2:$B$5,2,FALSE)</f>
        <v>A</v>
      </c>
      <c r="H7616">
        <v>1</v>
      </c>
      <c r="I7616">
        <v>0.25179398148148147</v>
      </c>
      <c r="J7616">
        <v>44795</v>
      </c>
    </row>
    <row r="7617" spans="1:10" x14ac:dyDescent="0.35">
      <c r="A7617" s="2">
        <v>44797</v>
      </c>
      <c r="B7617" s="3">
        <v>0.22519675925925928</v>
      </c>
      <c r="C7617">
        <v>6397</v>
      </c>
      <c r="D7617" t="str">
        <f>VLOOKUP(H7617,Produkt!$A$2:$B$5,2,FALSE)</f>
        <v>B</v>
      </c>
      <c r="H7617">
        <v>2</v>
      </c>
      <c r="I7617">
        <v>0.89200231481481485</v>
      </c>
      <c r="J7617">
        <v>44778</v>
      </c>
    </row>
    <row r="7618" spans="1:10" x14ac:dyDescent="0.35">
      <c r="A7618" s="2">
        <v>44797</v>
      </c>
      <c r="B7618" s="3">
        <v>0.74173611111111104</v>
      </c>
      <c r="C7618">
        <v>6398</v>
      </c>
      <c r="D7618" t="str">
        <f>VLOOKUP(H7618,Produkt!$A$2:$B$5,2,FALSE)</f>
        <v>C</v>
      </c>
      <c r="H7618">
        <v>3</v>
      </c>
      <c r="I7618">
        <v>6.0729166666666667E-2</v>
      </c>
      <c r="J7618">
        <v>44780</v>
      </c>
    </row>
    <row r="7619" spans="1:10" x14ac:dyDescent="0.35">
      <c r="A7619" s="2">
        <v>44797</v>
      </c>
      <c r="B7619" s="3">
        <v>0.75395833333333329</v>
      </c>
      <c r="C7619">
        <v>6415</v>
      </c>
      <c r="D7619" t="str">
        <f>VLOOKUP(H7619,Produkt!$A$2:$B$5,2,FALSE)</f>
        <v>A</v>
      </c>
      <c r="H7619">
        <v>1</v>
      </c>
      <c r="I7619">
        <v>0.88564814814814818</v>
      </c>
      <c r="J7619">
        <v>44800</v>
      </c>
    </row>
    <row r="7620" spans="1:10" x14ac:dyDescent="0.35">
      <c r="A7620" s="2">
        <v>44797</v>
      </c>
      <c r="B7620" s="3">
        <v>0.73140046296296291</v>
      </c>
      <c r="C7620">
        <v>6460</v>
      </c>
      <c r="D7620" t="str">
        <f>VLOOKUP(H7620,Produkt!$A$2:$B$5,2,FALSE)</f>
        <v>D</v>
      </c>
      <c r="H7620">
        <v>4</v>
      </c>
      <c r="I7620">
        <v>0.98261574074074076</v>
      </c>
      <c r="J7620">
        <v>44791</v>
      </c>
    </row>
    <row r="7621" spans="1:10" x14ac:dyDescent="0.35">
      <c r="A7621" s="2">
        <v>44797</v>
      </c>
      <c r="B7621" s="3">
        <v>0.94339120370370377</v>
      </c>
      <c r="C7621">
        <v>6510</v>
      </c>
      <c r="D7621" t="str">
        <f>VLOOKUP(H7621,Produkt!$A$2:$B$5,2,FALSE)</f>
        <v>B</v>
      </c>
      <c r="H7621">
        <v>2</v>
      </c>
      <c r="I7621">
        <v>0.22984953703703703</v>
      </c>
      <c r="J7621">
        <v>44777</v>
      </c>
    </row>
    <row r="7622" spans="1:10" x14ac:dyDescent="0.35">
      <c r="A7622" s="2">
        <v>44797</v>
      </c>
      <c r="B7622" s="3">
        <v>0.30629629629629629</v>
      </c>
      <c r="C7622">
        <v>6541</v>
      </c>
      <c r="D7622" t="str">
        <f>VLOOKUP(H7622,Produkt!$A$2:$B$5,2,FALSE)</f>
        <v>C</v>
      </c>
      <c r="H7622">
        <v>3</v>
      </c>
      <c r="I7622">
        <v>0.48082175925925924</v>
      </c>
      <c r="J7622">
        <v>44803</v>
      </c>
    </row>
    <row r="7623" spans="1:10" x14ac:dyDescent="0.35">
      <c r="A7623" s="2">
        <v>44797</v>
      </c>
      <c r="B7623" s="3">
        <v>5.0671296296296298E-2</v>
      </c>
      <c r="C7623">
        <v>6602</v>
      </c>
      <c r="D7623" t="str">
        <f>VLOOKUP(H7623,Produkt!$A$2:$B$5,2,FALSE)</f>
        <v>C</v>
      </c>
      <c r="H7623">
        <v>3</v>
      </c>
      <c r="I7623">
        <v>0.10972222222222222</v>
      </c>
      <c r="J7623">
        <v>44802</v>
      </c>
    </row>
    <row r="7624" spans="1:10" x14ac:dyDescent="0.35">
      <c r="A7624" s="2">
        <v>44797</v>
      </c>
      <c r="B7624" s="3">
        <v>0.67924768518518519</v>
      </c>
      <c r="C7624">
        <v>6654</v>
      </c>
      <c r="D7624" t="str">
        <f>VLOOKUP(H7624,Produkt!$A$2:$B$5,2,FALSE)</f>
        <v>A</v>
      </c>
      <c r="H7624">
        <v>1</v>
      </c>
      <c r="I7624">
        <v>0.83069444444444451</v>
      </c>
      <c r="J7624">
        <v>44788</v>
      </c>
    </row>
    <row r="7625" spans="1:10" x14ac:dyDescent="0.35">
      <c r="A7625" s="2">
        <v>44797</v>
      </c>
      <c r="B7625" s="3">
        <v>0.45935185185185184</v>
      </c>
      <c r="C7625">
        <v>6675</v>
      </c>
      <c r="D7625" t="str">
        <f>VLOOKUP(H7625,Produkt!$A$2:$B$5,2,FALSE)</f>
        <v>B</v>
      </c>
      <c r="H7625">
        <v>2</v>
      </c>
      <c r="I7625">
        <v>0.50060185185185191</v>
      </c>
      <c r="J7625">
        <v>44787</v>
      </c>
    </row>
    <row r="7626" spans="1:10" x14ac:dyDescent="0.35">
      <c r="A7626" s="2">
        <v>44797</v>
      </c>
      <c r="B7626" s="3">
        <v>0.42016203703703708</v>
      </c>
      <c r="C7626">
        <v>6741</v>
      </c>
      <c r="D7626" t="str">
        <f>VLOOKUP(H7626,Produkt!$A$2:$B$5,2,FALSE)</f>
        <v>B</v>
      </c>
      <c r="H7626">
        <v>2</v>
      </c>
      <c r="I7626">
        <v>0.42159722222222223</v>
      </c>
      <c r="J7626">
        <v>44802</v>
      </c>
    </row>
    <row r="7627" spans="1:10" x14ac:dyDescent="0.35">
      <c r="A7627" s="2">
        <v>44797</v>
      </c>
      <c r="B7627" s="3">
        <v>0.3630902777777778</v>
      </c>
      <c r="C7627">
        <v>6745</v>
      </c>
      <c r="D7627" t="str">
        <f>VLOOKUP(H7627,Produkt!$A$2:$B$5,2,FALSE)</f>
        <v>D</v>
      </c>
      <c r="H7627">
        <v>4</v>
      </c>
      <c r="I7627">
        <v>0.13739583333333333</v>
      </c>
      <c r="J7627">
        <v>44783</v>
      </c>
    </row>
    <row r="7628" spans="1:10" x14ac:dyDescent="0.35">
      <c r="A7628" s="2">
        <v>44797</v>
      </c>
      <c r="B7628" s="3">
        <v>0.76436342592592599</v>
      </c>
      <c r="C7628">
        <v>6785</v>
      </c>
      <c r="D7628" t="str">
        <f>VLOOKUP(H7628,Produkt!$A$2:$B$5,2,FALSE)</f>
        <v>A</v>
      </c>
      <c r="H7628">
        <v>1</v>
      </c>
      <c r="I7628">
        <v>0.66040509259259261</v>
      </c>
      <c r="J7628">
        <v>44782</v>
      </c>
    </row>
    <row r="7629" spans="1:10" x14ac:dyDescent="0.35">
      <c r="A7629" s="2">
        <v>44797</v>
      </c>
      <c r="B7629" s="3">
        <v>0.30843749999999998</v>
      </c>
      <c r="C7629">
        <v>6813</v>
      </c>
      <c r="D7629" t="str">
        <f>VLOOKUP(H7629,Produkt!$A$2:$B$5,2,FALSE)</f>
        <v>A</v>
      </c>
      <c r="H7629">
        <v>1</v>
      </c>
      <c r="I7629">
        <v>0.91263888888888889</v>
      </c>
      <c r="J7629">
        <v>44775</v>
      </c>
    </row>
    <row r="7630" spans="1:10" x14ac:dyDescent="0.35">
      <c r="A7630" s="2">
        <v>44797</v>
      </c>
      <c r="B7630" s="3">
        <v>0.42583333333333334</v>
      </c>
      <c r="C7630">
        <v>6996</v>
      </c>
      <c r="D7630" t="str">
        <f>VLOOKUP(H7630,Produkt!$A$2:$B$5,2,FALSE)</f>
        <v>C</v>
      </c>
      <c r="H7630">
        <v>3</v>
      </c>
      <c r="I7630">
        <v>0.59894675925925933</v>
      </c>
      <c r="J7630">
        <v>44804</v>
      </c>
    </row>
    <row r="7631" spans="1:10" x14ac:dyDescent="0.35">
      <c r="A7631" s="2">
        <v>44797</v>
      </c>
      <c r="B7631" s="3">
        <v>0.60417824074074067</v>
      </c>
      <c r="C7631">
        <v>7016</v>
      </c>
      <c r="D7631" t="str">
        <f>VLOOKUP(H7631,Produkt!$A$2:$B$5,2,FALSE)</f>
        <v>A</v>
      </c>
      <c r="H7631">
        <v>1</v>
      </c>
      <c r="I7631">
        <v>0.22420138888888888</v>
      </c>
      <c r="J7631">
        <v>44781</v>
      </c>
    </row>
    <row r="7632" spans="1:10" x14ac:dyDescent="0.35">
      <c r="A7632" s="2">
        <v>44797</v>
      </c>
      <c r="B7632" s="3">
        <v>0.88677083333333329</v>
      </c>
      <c r="C7632">
        <v>7070</v>
      </c>
      <c r="D7632" t="str">
        <f>VLOOKUP(H7632,Produkt!$A$2:$B$5,2,FALSE)</f>
        <v>B</v>
      </c>
      <c r="H7632">
        <v>2</v>
      </c>
      <c r="I7632">
        <v>0.51681712962962967</v>
      </c>
      <c r="J7632">
        <v>44794</v>
      </c>
    </row>
    <row r="7633" spans="1:10" x14ac:dyDescent="0.35">
      <c r="A7633" s="2">
        <v>44797</v>
      </c>
      <c r="B7633" s="3">
        <v>0.82388888888888889</v>
      </c>
      <c r="C7633">
        <v>7085</v>
      </c>
      <c r="D7633" t="str">
        <f>VLOOKUP(H7633,Produkt!$A$2:$B$5,2,FALSE)</f>
        <v>C</v>
      </c>
      <c r="H7633">
        <v>3</v>
      </c>
      <c r="I7633">
        <v>0.4491087962962963</v>
      </c>
      <c r="J7633">
        <v>44798</v>
      </c>
    </row>
    <row r="7634" spans="1:10" x14ac:dyDescent="0.35">
      <c r="A7634" s="2">
        <v>44797</v>
      </c>
      <c r="B7634" s="3">
        <v>5.3067129629629638E-2</v>
      </c>
      <c r="C7634">
        <v>7106</v>
      </c>
      <c r="D7634" t="str">
        <f>VLOOKUP(H7634,Produkt!$A$2:$B$5,2,FALSE)</f>
        <v>D</v>
      </c>
      <c r="H7634">
        <v>4</v>
      </c>
      <c r="I7634">
        <v>0.40214120370370371</v>
      </c>
      <c r="J7634">
        <v>44797</v>
      </c>
    </row>
    <row r="7635" spans="1:10" x14ac:dyDescent="0.35">
      <c r="A7635" s="2">
        <v>44797</v>
      </c>
      <c r="B7635" s="3">
        <v>0.54193287037037041</v>
      </c>
      <c r="C7635">
        <v>7140</v>
      </c>
      <c r="D7635" t="str">
        <f>VLOOKUP(H7635,Produkt!$A$2:$B$5,2,FALSE)</f>
        <v>D</v>
      </c>
      <c r="H7635">
        <v>4</v>
      </c>
      <c r="I7635">
        <v>0.71537037037037043</v>
      </c>
      <c r="J7635">
        <v>44797</v>
      </c>
    </row>
    <row r="7636" spans="1:10" x14ac:dyDescent="0.35">
      <c r="A7636" s="2">
        <v>44797</v>
      </c>
      <c r="B7636" s="3">
        <v>0.71982638888888895</v>
      </c>
      <c r="C7636">
        <v>7149</v>
      </c>
      <c r="D7636" t="str">
        <f>VLOOKUP(H7636,Produkt!$A$2:$B$5,2,FALSE)</f>
        <v>B</v>
      </c>
      <c r="H7636">
        <v>2</v>
      </c>
      <c r="I7636">
        <v>0.81344907407407396</v>
      </c>
      <c r="J7636">
        <v>44777</v>
      </c>
    </row>
    <row r="7637" spans="1:10" x14ac:dyDescent="0.35">
      <c r="A7637" s="2">
        <v>44797</v>
      </c>
      <c r="B7637" s="3">
        <v>0.5230555555555555</v>
      </c>
      <c r="C7637">
        <v>7227</v>
      </c>
      <c r="D7637" t="str">
        <f>VLOOKUP(H7637,Produkt!$A$2:$B$5,2,FALSE)</f>
        <v>A</v>
      </c>
      <c r="H7637">
        <v>1</v>
      </c>
      <c r="I7637">
        <v>0.20725694444444445</v>
      </c>
      <c r="J7637">
        <v>44780</v>
      </c>
    </row>
    <row r="7638" spans="1:10" x14ac:dyDescent="0.35">
      <c r="A7638" s="2">
        <v>44797</v>
      </c>
      <c r="B7638" s="3">
        <v>0.3366898148148148</v>
      </c>
      <c r="C7638">
        <v>7287</v>
      </c>
      <c r="D7638" t="str">
        <f>VLOOKUP(H7638,Produkt!$A$2:$B$5,2,FALSE)</f>
        <v>B</v>
      </c>
      <c r="H7638">
        <v>2</v>
      </c>
      <c r="I7638">
        <v>0.96821759259259255</v>
      </c>
      <c r="J7638">
        <v>44799</v>
      </c>
    </row>
    <row r="7639" spans="1:10" x14ac:dyDescent="0.35">
      <c r="A7639" s="2">
        <v>44797</v>
      </c>
      <c r="B7639" s="3">
        <v>0.72369212962962959</v>
      </c>
      <c r="C7639">
        <v>7323</v>
      </c>
      <c r="D7639" t="str">
        <f>VLOOKUP(H7639,Produkt!$A$2:$B$5,2,FALSE)</f>
        <v>A</v>
      </c>
      <c r="H7639">
        <v>1</v>
      </c>
      <c r="I7639">
        <v>0.42251157407407408</v>
      </c>
      <c r="J7639">
        <v>44803</v>
      </c>
    </row>
    <row r="7640" spans="1:10" x14ac:dyDescent="0.35">
      <c r="A7640" s="2">
        <v>44797</v>
      </c>
      <c r="B7640" s="3">
        <v>0.64356481481481487</v>
      </c>
      <c r="C7640">
        <v>7342</v>
      </c>
      <c r="D7640" t="str">
        <f>VLOOKUP(H7640,Produkt!$A$2:$B$5,2,FALSE)</f>
        <v>D</v>
      </c>
      <c r="H7640">
        <v>4</v>
      </c>
      <c r="I7640">
        <v>0.60902777777777783</v>
      </c>
      <c r="J7640">
        <v>44785</v>
      </c>
    </row>
    <row r="7641" spans="1:10" x14ac:dyDescent="0.35">
      <c r="A7641" s="2">
        <v>44797</v>
      </c>
      <c r="B7641" s="3">
        <v>0.80521990740740745</v>
      </c>
      <c r="C7641">
        <v>7361</v>
      </c>
      <c r="D7641" t="str">
        <f>VLOOKUP(H7641,Produkt!$A$2:$B$5,2,FALSE)</f>
        <v>B</v>
      </c>
      <c r="H7641">
        <v>2</v>
      </c>
      <c r="I7641">
        <v>0.58815972222222224</v>
      </c>
      <c r="J7641">
        <v>44782</v>
      </c>
    </row>
    <row r="7642" spans="1:10" x14ac:dyDescent="0.35">
      <c r="A7642" s="2">
        <v>44797</v>
      </c>
      <c r="B7642" s="3">
        <v>0.58151620370370372</v>
      </c>
      <c r="C7642">
        <v>7386</v>
      </c>
      <c r="D7642" t="str">
        <f>VLOOKUP(H7642,Produkt!$A$2:$B$5,2,FALSE)</f>
        <v>B</v>
      </c>
      <c r="H7642">
        <v>2</v>
      </c>
      <c r="I7642">
        <v>0.27326388888888892</v>
      </c>
      <c r="J7642">
        <v>44774</v>
      </c>
    </row>
    <row r="7643" spans="1:10" x14ac:dyDescent="0.35">
      <c r="A7643" s="2">
        <v>44797</v>
      </c>
      <c r="B7643" s="3">
        <v>0.20464120370370367</v>
      </c>
      <c r="C7643">
        <v>7463</v>
      </c>
      <c r="D7643" t="str">
        <f>VLOOKUP(H7643,Produkt!$A$2:$B$5,2,FALSE)</f>
        <v>C</v>
      </c>
      <c r="H7643">
        <v>3</v>
      </c>
      <c r="I7643">
        <v>0.30731481481481482</v>
      </c>
      <c r="J7643">
        <v>44785</v>
      </c>
    </row>
    <row r="7644" spans="1:10" x14ac:dyDescent="0.35">
      <c r="A7644" s="2">
        <v>44797</v>
      </c>
      <c r="B7644" s="3">
        <v>0.11832175925925925</v>
      </c>
      <c r="C7644">
        <v>7591</v>
      </c>
      <c r="D7644" t="str">
        <f>VLOOKUP(H7644,Produkt!$A$2:$B$5,2,FALSE)</f>
        <v>A</v>
      </c>
      <c r="H7644">
        <v>1</v>
      </c>
      <c r="I7644">
        <v>0.82668981481481474</v>
      </c>
      <c r="J7644">
        <v>44778</v>
      </c>
    </row>
    <row r="7645" spans="1:10" x14ac:dyDescent="0.35">
      <c r="A7645" s="2">
        <v>44797</v>
      </c>
      <c r="B7645" s="3">
        <v>0.19395833333333334</v>
      </c>
      <c r="C7645">
        <v>7605</v>
      </c>
      <c r="D7645" t="str">
        <f>VLOOKUP(H7645,Produkt!$A$2:$B$5,2,FALSE)</f>
        <v>D</v>
      </c>
      <c r="H7645">
        <v>4</v>
      </c>
      <c r="I7645">
        <v>0.64627314814814818</v>
      </c>
      <c r="J7645">
        <v>44792</v>
      </c>
    </row>
    <row r="7646" spans="1:10" x14ac:dyDescent="0.35">
      <c r="A7646" s="2">
        <v>44797</v>
      </c>
      <c r="B7646" s="3">
        <v>0.60902777777777783</v>
      </c>
      <c r="C7646">
        <v>7639</v>
      </c>
      <c r="D7646" t="str">
        <f>VLOOKUP(H7646,Produkt!$A$2:$B$5,2,FALSE)</f>
        <v>A</v>
      </c>
      <c r="H7646">
        <v>1</v>
      </c>
      <c r="I7646">
        <v>0.11931712962962963</v>
      </c>
      <c r="J7646">
        <v>44794</v>
      </c>
    </row>
    <row r="7647" spans="1:10" x14ac:dyDescent="0.35">
      <c r="A7647" s="2">
        <v>44797</v>
      </c>
      <c r="B7647" s="3">
        <v>2.3807870370370354E-2</v>
      </c>
      <c r="C7647">
        <v>7656</v>
      </c>
      <c r="D7647" t="str">
        <f>VLOOKUP(H7647,Produkt!$A$2:$B$5,2,FALSE)</f>
        <v>A</v>
      </c>
      <c r="H7647">
        <v>1</v>
      </c>
      <c r="I7647">
        <v>0.23935185185185184</v>
      </c>
      <c r="J7647">
        <v>44788</v>
      </c>
    </row>
    <row r="7648" spans="1:10" x14ac:dyDescent="0.35">
      <c r="A7648" s="2">
        <v>44797</v>
      </c>
      <c r="B7648" s="3">
        <v>3.9351851851851853E-2</v>
      </c>
      <c r="C7648">
        <v>7677</v>
      </c>
      <c r="D7648" t="str">
        <f>VLOOKUP(H7648,Produkt!$A$2:$B$5,2,FALSE)</f>
        <v>C</v>
      </c>
      <c r="H7648">
        <v>3</v>
      </c>
      <c r="I7648">
        <v>0.36679398148148151</v>
      </c>
      <c r="J7648">
        <v>44791</v>
      </c>
    </row>
    <row r="7649" spans="1:10" x14ac:dyDescent="0.35">
      <c r="A7649" s="2">
        <v>44797</v>
      </c>
      <c r="B7649" s="3">
        <v>0.59214120370370371</v>
      </c>
      <c r="C7649">
        <v>7708</v>
      </c>
      <c r="D7649" t="str">
        <f>VLOOKUP(H7649,Produkt!$A$2:$B$5,2,FALSE)</f>
        <v>C</v>
      </c>
      <c r="H7649">
        <v>3</v>
      </c>
      <c r="I7649">
        <v>0.6227893518518518</v>
      </c>
      <c r="J7649">
        <v>44782</v>
      </c>
    </row>
    <row r="7650" spans="1:10" x14ac:dyDescent="0.35">
      <c r="A7650" s="2">
        <v>44797</v>
      </c>
      <c r="B7650" s="3">
        <v>1.9097222222222222E-3</v>
      </c>
      <c r="C7650">
        <v>7713</v>
      </c>
      <c r="D7650" t="str">
        <f>VLOOKUP(H7650,Produkt!$A$2:$B$5,2,FALSE)</f>
        <v>A</v>
      </c>
      <c r="H7650">
        <v>1</v>
      </c>
      <c r="I7650">
        <v>0.27092592592592596</v>
      </c>
      <c r="J7650">
        <v>44795</v>
      </c>
    </row>
    <row r="7651" spans="1:10" x14ac:dyDescent="0.35">
      <c r="A7651" s="2">
        <v>44797</v>
      </c>
      <c r="B7651" s="3">
        <v>0.70078703703703704</v>
      </c>
      <c r="C7651">
        <v>7715</v>
      </c>
      <c r="D7651" t="str">
        <f>VLOOKUP(H7651,Produkt!$A$2:$B$5,2,FALSE)</f>
        <v>D</v>
      </c>
      <c r="H7651">
        <v>4</v>
      </c>
      <c r="I7651">
        <v>0.92355324074074074</v>
      </c>
      <c r="J7651">
        <v>44790</v>
      </c>
    </row>
    <row r="7652" spans="1:10" x14ac:dyDescent="0.35">
      <c r="A7652" s="2">
        <v>44797</v>
      </c>
      <c r="B7652" s="3">
        <v>0.98546296296296287</v>
      </c>
      <c r="C7652">
        <v>7748</v>
      </c>
      <c r="D7652" t="str">
        <f>VLOOKUP(H7652,Produkt!$A$2:$B$5,2,FALSE)</f>
        <v>B</v>
      </c>
      <c r="H7652">
        <v>2</v>
      </c>
      <c r="I7652">
        <v>0.89949074074074076</v>
      </c>
      <c r="J7652">
        <v>44798</v>
      </c>
    </row>
    <row r="7653" spans="1:10" x14ac:dyDescent="0.35">
      <c r="A7653" s="2">
        <v>44797</v>
      </c>
      <c r="B7653" s="3">
        <v>0.25012731481481482</v>
      </c>
      <c r="C7653">
        <v>7766</v>
      </c>
      <c r="D7653" t="str">
        <f>VLOOKUP(H7653,Produkt!$A$2:$B$5,2,FALSE)</f>
        <v>D</v>
      </c>
      <c r="H7653">
        <v>4</v>
      </c>
      <c r="I7653">
        <v>0.50722222222222224</v>
      </c>
      <c r="J7653">
        <v>44780</v>
      </c>
    </row>
    <row r="7654" spans="1:10" x14ac:dyDescent="0.35">
      <c r="A7654" s="2">
        <v>44797</v>
      </c>
      <c r="B7654" s="3">
        <v>8.6643518518518522E-2</v>
      </c>
      <c r="C7654">
        <v>7778</v>
      </c>
      <c r="D7654" t="str">
        <f>VLOOKUP(H7654,Produkt!$A$2:$B$5,2,FALSE)</f>
        <v>A</v>
      </c>
      <c r="H7654">
        <v>1</v>
      </c>
      <c r="I7654">
        <v>0.12538194444444445</v>
      </c>
      <c r="J7654">
        <v>44786</v>
      </c>
    </row>
    <row r="7655" spans="1:10" x14ac:dyDescent="0.35">
      <c r="A7655" s="2">
        <v>44797</v>
      </c>
      <c r="B7655" s="3">
        <v>0.26201388888888888</v>
      </c>
      <c r="C7655">
        <v>7782</v>
      </c>
      <c r="D7655" t="str">
        <f>VLOOKUP(H7655,Produkt!$A$2:$B$5,2,FALSE)</f>
        <v>D</v>
      </c>
      <c r="H7655">
        <v>4</v>
      </c>
      <c r="I7655">
        <v>1.1342592592591405E-3</v>
      </c>
      <c r="J7655">
        <v>44779</v>
      </c>
    </row>
    <row r="7656" spans="1:10" x14ac:dyDescent="0.35">
      <c r="A7656" s="2">
        <v>44797</v>
      </c>
      <c r="B7656" s="3">
        <v>0.12744212962962961</v>
      </c>
      <c r="C7656">
        <v>7821</v>
      </c>
      <c r="D7656" t="str">
        <f>VLOOKUP(H7656,Produkt!$A$2:$B$5,2,FALSE)</f>
        <v>C</v>
      </c>
      <c r="H7656">
        <v>3</v>
      </c>
      <c r="I7656">
        <v>0.15854166666666666</v>
      </c>
      <c r="J7656">
        <v>44776</v>
      </c>
    </row>
    <row r="7657" spans="1:10" x14ac:dyDescent="0.35">
      <c r="A7657" s="2">
        <v>44797</v>
      </c>
      <c r="B7657" s="3">
        <v>8.8541666666666664E-3</v>
      </c>
      <c r="C7657">
        <v>7859</v>
      </c>
      <c r="D7657" t="str">
        <f>VLOOKUP(H7657,Produkt!$A$2:$B$5,2,FALSE)</f>
        <v>D</v>
      </c>
      <c r="H7657">
        <v>4</v>
      </c>
      <c r="I7657">
        <v>2.3807870370370354E-2</v>
      </c>
      <c r="J7657">
        <v>44774</v>
      </c>
    </row>
    <row r="7658" spans="1:10" x14ac:dyDescent="0.35">
      <c r="A7658" s="2">
        <v>44797</v>
      </c>
      <c r="B7658" s="3">
        <v>0.9886921296296296</v>
      </c>
      <c r="C7658">
        <v>7863</v>
      </c>
      <c r="D7658" t="str">
        <f>VLOOKUP(H7658,Produkt!$A$2:$B$5,2,FALSE)</f>
        <v>B</v>
      </c>
      <c r="H7658">
        <v>2</v>
      </c>
      <c r="I7658">
        <v>0.53188657407407403</v>
      </c>
      <c r="J7658">
        <v>44804</v>
      </c>
    </row>
    <row r="7659" spans="1:10" x14ac:dyDescent="0.35">
      <c r="A7659" s="2">
        <v>44797</v>
      </c>
      <c r="B7659" s="3">
        <v>0.19311342592592592</v>
      </c>
      <c r="C7659">
        <v>7887</v>
      </c>
      <c r="D7659" t="str">
        <f>VLOOKUP(H7659,Produkt!$A$2:$B$5,2,FALSE)</f>
        <v>A</v>
      </c>
      <c r="H7659">
        <v>1</v>
      </c>
      <c r="I7659">
        <v>0.63263888888888886</v>
      </c>
      <c r="J7659">
        <v>44790</v>
      </c>
    </row>
    <row r="7660" spans="1:10" x14ac:dyDescent="0.35">
      <c r="A7660" s="2">
        <v>44797</v>
      </c>
      <c r="B7660" s="3">
        <v>0.38760416666666669</v>
      </c>
      <c r="C7660">
        <v>7889</v>
      </c>
      <c r="D7660" t="str">
        <f>VLOOKUP(H7660,Produkt!$A$2:$B$5,2,FALSE)</f>
        <v>B</v>
      </c>
      <c r="H7660">
        <v>2</v>
      </c>
      <c r="I7660">
        <v>0.34922453703703704</v>
      </c>
      <c r="J7660">
        <v>44777</v>
      </c>
    </row>
    <row r="7661" spans="1:10" x14ac:dyDescent="0.35">
      <c r="A7661" s="2">
        <v>44797</v>
      </c>
      <c r="B7661" s="3">
        <v>0.10834490740740742</v>
      </c>
      <c r="C7661">
        <v>7908</v>
      </c>
      <c r="D7661" t="str">
        <f>VLOOKUP(H7661,Produkt!$A$2:$B$5,2,FALSE)</f>
        <v>D</v>
      </c>
      <c r="H7661">
        <v>4</v>
      </c>
      <c r="I7661">
        <v>0.90409722222222222</v>
      </c>
      <c r="J7661">
        <v>44776</v>
      </c>
    </row>
    <row r="7662" spans="1:10" x14ac:dyDescent="0.35">
      <c r="A7662" s="2">
        <v>44797</v>
      </c>
      <c r="B7662" s="3">
        <v>0.84520833333333334</v>
      </c>
      <c r="C7662">
        <v>7975</v>
      </c>
      <c r="D7662" t="str">
        <f>VLOOKUP(H7662,Produkt!$A$2:$B$5,2,FALSE)</f>
        <v>A</v>
      </c>
      <c r="H7662">
        <v>1</v>
      </c>
      <c r="I7662">
        <v>0.62383101851851852</v>
      </c>
      <c r="J7662">
        <v>44788</v>
      </c>
    </row>
    <row r="7663" spans="1:10" x14ac:dyDescent="0.35">
      <c r="A7663" s="2">
        <v>44797</v>
      </c>
      <c r="B7663" s="3">
        <v>0.28384259259259259</v>
      </c>
      <c r="C7663">
        <v>7993</v>
      </c>
      <c r="D7663" t="str">
        <f>VLOOKUP(H7663,Produkt!$A$2:$B$5,2,FALSE)</f>
        <v>B</v>
      </c>
      <c r="H7663">
        <v>2</v>
      </c>
      <c r="I7663">
        <v>0.53869212962962965</v>
      </c>
      <c r="J7663">
        <v>44800</v>
      </c>
    </row>
    <row r="7664" spans="1:10" x14ac:dyDescent="0.35">
      <c r="A7664" s="2">
        <v>44797</v>
      </c>
      <c r="B7664" s="3">
        <v>0.83101851851851849</v>
      </c>
      <c r="C7664">
        <v>8018</v>
      </c>
      <c r="D7664" t="str">
        <f>VLOOKUP(H7664,Produkt!$A$2:$B$5,2,FALSE)</f>
        <v>D</v>
      </c>
      <c r="H7664">
        <v>4</v>
      </c>
      <c r="I7664">
        <v>0.94107638888888889</v>
      </c>
      <c r="J7664">
        <v>44780</v>
      </c>
    </row>
    <row r="7665" spans="1:10" x14ac:dyDescent="0.35">
      <c r="A7665" s="2">
        <v>44797</v>
      </c>
      <c r="B7665" s="3">
        <v>0.40390046296296295</v>
      </c>
      <c r="C7665">
        <v>8112</v>
      </c>
      <c r="D7665" t="str">
        <f>VLOOKUP(H7665,Produkt!$A$2:$B$5,2,FALSE)</f>
        <v>B</v>
      </c>
      <c r="H7665">
        <v>2</v>
      </c>
      <c r="I7665">
        <v>0.84400462962962963</v>
      </c>
      <c r="J7665">
        <v>44783</v>
      </c>
    </row>
    <row r="7666" spans="1:10" x14ac:dyDescent="0.35">
      <c r="A7666" s="2">
        <v>44797</v>
      </c>
      <c r="B7666" s="3">
        <v>0.91951388888888885</v>
      </c>
      <c r="C7666">
        <v>8126</v>
      </c>
      <c r="D7666" t="str">
        <f>VLOOKUP(H7666,Produkt!$A$2:$B$5,2,FALSE)</f>
        <v>C</v>
      </c>
      <c r="H7666">
        <v>3</v>
      </c>
      <c r="I7666">
        <v>0.48950231481481482</v>
      </c>
      <c r="J7666">
        <v>44799</v>
      </c>
    </row>
    <row r="7667" spans="1:10" x14ac:dyDescent="0.35">
      <c r="A7667" s="2">
        <v>44797</v>
      </c>
      <c r="B7667" s="3">
        <v>0.38530092592592591</v>
      </c>
      <c r="C7667">
        <v>8139</v>
      </c>
      <c r="D7667" t="str">
        <f>VLOOKUP(H7667,Produkt!$A$2:$B$5,2,FALSE)</f>
        <v>B</v>
      </c>
      <c r="H7667">
        <v>2</v>
      </c>
      <c r="I7667">
        <v>0.19527777777777777</v>
      </c>
      <c r="J7667">
        <v>44796</v>
      </c>
    </row>
    <row r="7668" spans="1:10" x14ac:dyDescent="0.35">
      <c r="A7668" s="2">
        <v>44797</v>
      </c>
      <c r="B7668" s="3">
        <v>0.43403935185185188</v>
      </c>
      <c r="C7668">
        <v>8200</v>
      </c>
      <c r="D7668" t="str">
        <f>VLOOKUP(H7668,Produkt!$A$2:$B$5,2,FALSE)</f>
        <v>B</v>
      </c>
      <c r="H7668">
        <v>2</v>
      </c>
      <c r="I7668">
        <v>0.63048611111111108</v>
      </c>
      <c r="J7668">
        <v>44798</v>
      </c>
    </row>
    <row r="7669" spans="1:10" x14ac:dyDescent="0.35">
      <c r="A7669" s="2">
        <v>44797</v>
      </c>
      <c r="B7669" s="3">
        <v>0.19836805555555556</v>
      </c>
      <c r="C7669">
        <v>8220</v>
      </c>
      <c r="D7669" t="str">
        <f>VLOOKUP(H7669,Produkt!$A$2:$B$5,2,FALSE)</f>
        <v>C</v>
      </c>
      <c r="H7669">
        <v>3</v>
      </c>
      <c r="I7669">
        <v>0.15804398148148149</v>
      </c>
      <c r="J7669">
        <v>44776</v>
      </c>
    </row>
    <row r="7670" spans="1:10" x14ac:dyDescent="0.35">
      <c r="A7670" s="2">
        <v>44797</v>
      </c>
      <c r="B7670" s="3">
        <v>0.95084490740740746</v>
      </c>
      <c r="C7670">
        <v>8231</v>
      </c>
      <c r="D7670" t="str">
        <f>VLOOKUP(H7670,Produkt!$A$2:$B$5,2,FALSE)</f>
        <v>C</v>
      </c>
      <c r="H7670">
        <v>3</v>
      </c>
      <c r="I7670">
        <v>0.52953703703703703</v>
      </c>
      <c r="J7670">
        <v>44794</v>
      </c>
    </row>
    <row r="7671" spans="1:10" x14ac:dyDescent="0.35">
      <c r="A7671" s="2">
        <v>44797</v>
      </c>
      <c r="B7671" s="3">
        <v>0.36579861111111112</v>
      </c>
      <c r="C7671">
        <v>8243</v>
      </c>
      <c r="D7671" t="str">
        <f>VLOOKUP(H7671,Produkt!$A$2:$B$5,2,FALSE)</f>
        <v>D</v>
      </c>
      <c r="H7671">
        <v>4</v>
      </c>
      <c r="I7671">
        <v>0.99458333333333337</v>
      </c>
      <c r="J7671">
        <v>44793</v>
      </c>
    </row>
    <row r="7672" spans="1:10" x14ac:dyDescent="0.35">
      <c r="A7672" s="2">
        <v>44797</v>
      </c>
      <c r="B7672" s="3">
        <v>0.2326273148148148</v>
      </c>
      <c r="C7672">
        <v>8320</v>
      </c>
      <c r="D7672" t="str">
        <f>VLOOKUP(H7672,Produkt!$A$2:$B$5,2,FALSE)</f>
        <v>B</v>
      </c>
      <c r="H7672">
        <v>2</v>
      </c>
      <c r="I7672">
        <v>0.72655092592592585</v>
      </c>
      <c r="J7672">
        <v>44782</v>
      </c>
    </row>
    <row r="7673" spans="1:10" x14ac:dyDescent="0.35">
      <c r="A7673" s="2">
        <v>44797</v>
      </c>
      <c r="B7673" s="3">
        <v>0.39989583333333334</v>
      </c>
      <c r="C7673">
        <v>8331</v>
      </c>
      <c r="D7673" t="str">
        <f>VLOOKUP(H7673,Produkt!$A$2:$B$5,2,FALSE)</f>
        <v>D</v>
      </c>
      <c r="H7673">
        <v>4</v>
      </c>
      <c r="I7673">
        <v>0.77655092592592589</v>
      </c>
      <c r="J7673">
        <v>44800</v>
      </c>
    </row>
    <row r="7674" spans="1:10" x14ac:dyDescent="0.35">
      <c r="A7674" s="2">
        <v>44797</v>
      </c>
      <c r="B7674" s="3">
        <v>0.15079861111111112</v>
      </c>
      <c r="C7674">
        <v>8332</v>
      </c>
      <c r="D7674" t="str">
        <f>VLOOKUP(H7674,Produkt!$A$2:$B$5,2,FALSE)</f>
        <v>B</v>
      </c>
      <c r="H7674">
        <v>2</v>
      </c>
      <c r="I7674">
        <v>0.25152777777777779</v>
      </c>
      <c r="J7674">
        <v>44780</v>
      </c>
    </row>
    <row r="7675" spans="1:10" x14ac:dyDescent="0.35">
      <c r="A7675" s="2">
        <v>44797</v>
      </c>
      <c r="B7675" s="3">
        <v>0.4656481481481482</v>
      </c>
      <c r="C7675">
        <v>8341</v>
      </c>
      <c r="D7675" t="str">
        <f>VLOOKUP(H7675,Produkt!$A$2:$B$5,2,FALSE)</f>
        <v>B</v>
      </c>
      <c r="H7675">
        <v>2</v>
      </c>
      <c r="I7675">
        <v>0.45548611111111109</v>
      </c>
      <c r="J7675">
        <v>44774</v>
      </c>
    </row>
    <row r="7676" spans="1:10" x14ac:dyDescent="0.35">
      <c r="A7676" s="2">
        <v>44797</v>
      </c>
      <c r="B7676" s="3">
        <v>6.9270833333333337E-2</v>
      </c>
      <c r="C7676">
        <v>8377</v>
      </c>
      <c r="D7676" t="str">
        <f>VLOOKUP(H7676,Produkt!$A$2:$B$5,2,FALSE)</f>
        <v>B</v>
      </c>
      <c r="H7676">
        <v>2</v>
      </c>
      <c r="I7676">
        <v>0.9978703703703703</v>
      </c>
      <c r="J7676">
        <v>44804</v>
      </c>
    </row>
    <row r="7677" spans="1:10" x14ac:dyDescent="0.35">
      <c r="A7677" s="2">
        <v>44797</v>
      </c>
      <c r="B7677" s="3">
        <v>0.95219907407407411</v>
      </c>
      <c r="C7677">
        <v>8436</v>
      </c>
      <c r="D7677" t="str">
        <f>VLOOKUP(H7677,Produkt!$A$2:$B$5,2,FALSE)</f>
        <v>B</v>
      </c>
      <c r="H7677">
        <v>2</v>
      </c>
      <c r="I7677">
        <v>0.31192129629629628</v>
      </c>
      <c r="J7677">
        <v>44799</v>
      </c>
    </row>
    <row r="7678" spans="1:10" x14ac:dyDescent="0.35">
      <c r="A7678" s="2">
        <v>44797</v>
      </c>
      <c r="B7678" s="3">
        <v>3.5717592592592551E-2</v>
      </c>
      <c r="C7678">
        <v>8488</v>
      </c>
      <c r="D7678" t="str">
        <f>VLOOKUP(H7678,Produkt!$A$2:$B$5,2,FALSE)</f>
        <v>D</v>
      </c>
      <c r="H7678">
        <v>4</v>
      </c>
      <c r="I7678">
        <v>3.9351851851851853E-2</v>
      </c>
      <c r="J7678">
        <v>44780</v>
      </c>
    </row>
    <row r="7679" spans="1:10" x14ac:dyDescent="0.35">
      <c r="A7679" s="2">
        <v>44797</v>
      </c>
      <c r="B7679" s="3">
        <v>0.56783564814814813</v>
      </c>
      <c r="C7679">
        <v>8495</v>
      </c>
      <c r="D7679" t="str">
        <f>VLOOKUP(H7679,Produkt!$A$2:$B$5,2,FALSE)</f>
        <v>C</v>
      </c>
      <c r="H7679">
        <v>3</v>
      </c>
      <c r="I7679">
        <v>0.12800925925925927</v>
      </c>
      <c r="J7679">
        <v>44777</v>
      </c>
    </row>
    <row r="7680" spans="1:10" x14ac:dyDescent="0.35">
      <c r="A7680" s="2">
        <v>44797</v>
      </c>
      <c r="B7680" s="3">
        <v>3.8576388888888889E-2</v>
      </c>
      <c r="C7680">
        <v>8521</v>
      </c>
      <c r="D7680" t="str">
        <f>VLOOKUP(H7680,Produkt!$A$2:$B$5,2,FALSE)</f>
        <v>C</v>
      </c>
      <c r="H7680">
        <v>3</v>
      </c>
      <c r="I7680">
        <v>0.60746527777777781</v>
      </c>
      <c r="J7680">
        <v>44790</v>
      </c>
    </row>
    <row r="7681" spans="1:10" x14ac:dyDescent="0.35">
      <c r="A7681" s="2">
        <v>44797</v>
      </c>
      <c r="B7681" s="3">
        <v>7.4467592592592599E-2</v>
      </c>
      <c r="C7681">
        <v>8527</v>
      </c>
      <c r="D7681" t="str">
        <f>VLOOKUP(H7681,Produkt!$A$2:$B$5,2,FALSE)</f>
        <v>D</v>
      </c>
      <c r="H7681">
        <v>4</v>
      </c>
      <c r="I7681">
        <v>0.45468749999999997</v>
      </c>
      <c r="J7681">
        <v>44791</v>
      </c>
    </row>
    <row r="7682" spans="1:10" x14ac:dyDescent="0.35">
      <c r="A7682" s="2">
        <v>44797</v>
      </c>
      <c r="B7682" s="3">
        <v>0.46050925925925923</v>
      </c>
      <c r="C7682">
        <v>8589</v>
      </c>
      <c r="D7682" t="str">
        <f>VLOOKUP(H7682,Produkt!$A$2:$B$5,2,FALSE)</f>
        <v>D</v>
      </c>
      <c r="H7682">
        <v>4</v>
      </c>
      <c r="I7682">
        <v>0.40156249999999999</v>
      </c>
      <c r="J7682">
        <v>44782</v>
      </c>
    </row>
    <row r="7683" spans="1:10" x14ac:dyDescent="0.35">
      <c r="A7683" s="2">
        <v>44797</v>
      </c>
      <c r="B7683" s="3">
        <v>6.4675925925925928E-2</v>
      </c>
      <c r="C7683">
        <v>8656</v>
      </c>
      <c r="D7683" t="str">
        <f>VLOOKUP(H7683,Produkt!$A$2:$B$5,2,FALSE)</f>
        <v>D</v>
      </c>
      <c r="H7683">
        <v>4</v>
      </c>
      <c r="I7683">
        <v>0.63221064814814809</v>
      </c>
      <c r="J7683">
        <v>44799</v>
      </c>
    </row>
    <row r="7684" spans="1:10" x14ac:dyDescent="0.35">
      <c r="A7684" s="2">
        <v>44797</v>
      </c>
      <c r="B7684" s="3">
        <v>0.31693287037037038</v>
      </c>
      <c r="C7684">
        <v>8739</v>
      </c>
      <c r="D7684" t="str">
        <f>VLOOKUP(H7684,Produkt!$A$2:$B$5,2,FALSE)</f>
        <v>A</v>
      </c>
      <c r="H7684">
        <v>1</v>
      </c>
      <c r="I7684">
        <v>0.4100462962962963</v>
      </c>
      <c r="J7684">
        <v>44797</v>
      </c>
    </row>
    <row r="7685" spans="1:10" x14ac:dyDescent="0.35">
      <c r="A7685" s="2">
        <v>44797</v>
      </c>
      <c r="B7685" s="3">
        <v>0.21395833333333333</v>
      </c>
      <c r="C7685">
        <v>8813</v>
      </c>
      <c r="D7685" t="str">
        <f>VLOOKUP(H7685,Produkt!$A$2:$B$5,2,FALSE)</f>
        <v>A</v>
      </c>
      <c r="H7685">
        <v>1</v>
      </c>
      <c r="I7685">
        <v>0.32797453703703705</v>
      </c>
      <c r="J7685">
        <v>44778</v>
      </c>
    </row>
    <row r="7686" spans="1:10" x14ac:dyDescent="0.35">
      <c r="A7686" s="2">
        <v>44797</v>
      </c>
      <c r="B7686" s="3">
        <v>1.1087962962962964E-2</v>
      </c>
      <c r="C7686">
        <v>8832</v>
      </c>
      <c r="D7686" t="str">
        <f>VLOOKUP(H7686,Produkt!$A$2:$B$5,2,FALSE)</f>
        <v>A</v>
      </c>
      <c r="H7686">
        <v>1</v>
      </c>
      <c r="I7686">
        <v>4.731481481481481E-2</v>
      </c>
      <c r="J7686">
        <v>44798</v>
      </c>
    </row>
    <row r="7687" spans="1:10" x14ac:dyDescent="0.35">
      <c r="A7687" s="2">
        <v>44797</v>
      </c>
      <c r="B7687" s="3">
        <v>0.17706018518518518</v>
      </c>
      <c r="C7687">
        <v>8888</v>
      </c>
      <c r="D7687" t="str">
        <f>VLOOKUP(H7687,Produkt!$A$2:$B$5,2,FALSE)</f>
        <v>C</v>
      </c>
      <c r="H7687">
        <v>3</v>
      </c>
      <c r="I7687">
        <v>5.8645833333333335E-2</v>
      </c>
      <c r="J7687">
        <v>44776</v>
      </c>
    </row>
    <row r="7688" spans="1:10" x14ac:dyDescent="0.35">
      <c r="A7688" s="2">
        <v>44797</v>
      </c>
      <c r="B7688" s="3">
        <v>0.47760416666666666</v>
      </c>
      <c r="C7688">
        <v>8943</v>
      </c>
      <c r="D7688" t="str">
        <f>VLOOKUP(H7688,Produkt!$A$2:$B$5,2,FALSE)</f>
        <v>D</v>
      </c>
      <c r="H7688">
        <v>4</v>
      </c>
      <c r="I7688">
        <v>0.88116898148148148</v>
      </c>
      <c r="J7688">
        <v>44777</v>
      </c>
    </row>
    <row r="7689" spans="1:10" x14ac:dyDescent="0.35">
      <c r="A7689" s="2">
        <v>44797</v>
      </c>
      <c r="B7689" s="3">
        <v>0.10769675925925926</v>
      </c>
      <c r="C7689">
        <v>8958</v>
      </c>
      <c r="D7689" t="str">
        <f>VLOOKUP(H7689,Produkt!$A$2:$B$5,2,FALSE)</f>
        <v>B</v>
      </c>
      <c r="H7689">
        <v>2</v>
      </c>
      <c r="I7689">
        <v>0.83206018518518521</v>
      </c>
      <c r="J7689">
        <v>44774</v>
      </c>
    </row>
    <row r="7690" spans="1:10" x14ac:dyDescent="0.35">
      <c r="A7690" s="2">
        <v>44797</v>
      </c>
      <c r="B7690" s="3">
        <v>0.45578703703703699</v>
      </c>
      <c r="C7690">
        <v>8967</v>
      </c>
      <c r="D7690" t="str">
        <f>VLOOKUP(H7690,Produkt!$A$2:$B$5,2,FALSE)</f>
        <v>D</v>
      </c>
      <c r="H7690">
        <v>4</v>
      </c>
      <c r="I7690">
        <v>0.85457175925925932</v>
      </c>
      <c r="J7690">
        <v>44793</v>
      </c>
    </row>
    <row r="7691" spans="1:10" x14ac:dyDescent="0.35">
      <c r="A7691" s="2">
        <v>44797</v>
      </c>
      <c r="B7691" s="3">
        <v>0.38994212962962965</v>
      </c>
      <c r="C7691">
        <v>9070</v>
      </c>
      <c r="D7691" t="str">
        <f>VLOOKUP(H7691,Produkt!$A$2:$B$5,2,FALSE)</f>
        <v>D</v>
      </c>
      <c r="H7691">
        <v>4</v>
      </c>
      <c r="I7691">
        <v>0.14027777777777778</v>
      </c>
      <c r="J7691">
        <v>44803</v>
      </c>
    </row>
    <row r="7692" spans="1:10" x14ac:dyDescent="0.35">
      <c r="A7692" s="2">
        <v>44797</v>
      </c>
      <c r="B7692" s="3">
        <v>0.52172453703703703</v>
      </c>
      <c r="C7692">
        <v>9116</v>
      </c>
      <c r="D7692" t="str">
        <f>VLOOKUP(H7692,Produkt!$A$2:$B$5,2,FALSE)</f>
        <v>A</v>
      </c>
      <c r="H7692">
        <v>1</v>
      </c>
      <c r="I7692">
        <v>0.92534722222222221</v>
      </c>
      <c r="J7692">
        <v>44784</v>
      </c>
    </row>
    <row r="7693" spans="1:10" x14ac:dyDescent="0.35">
      <c r="A7693" s="2">
        <v>44797</v>
      </c>
      <c r="B7693" s="3">
        <v>0.90638888888888891</v>
      </c>
      <c r="C7693">
        <v>9142</v>
      </c>
      <c r="D7693" t="str">
        <f>VLOOKUP(H7693,Produkt!$A$2:$B$5,2,FALSE)</f>
        <v>C</v>
      </c>
      <c r="H7693">
        <v>3</v>
      </c>
      <c r="I7693">
        <v>0.46543981481481483</v>
      </c>
      <c r="J7693">
        <v>44790</v>
      </c>
    </row>
    <row r="7694" spans="1:10" x14ac:dyDescent="0.35">
      <c r="A7694" s="2">
        <v>44797</v>
      </c>
      <c r="B7694" s="3">
        <v>0.15719907407407407</v>
      </c>
      <c r="C7694">
        <v>9262</v>
      </c>
      <c r="D7694" t="str">
        <f>VLOOKUP(H7694,Produkt!$A$2:$B$5,2,FALSE)</f>
        <v>D</v>
      </c>
      <c r="H7694">
        <v>4</v>
      </c>
      <c r="I7694">
        <v>0.42060185185185189</v>
      </c>
      <c r="J7694">
        <v>44782</v>
      </c>
    </row>
    <row r="7695" spans="1:10" x14ac:dyDescent="0.35">
      <c r="A7695" s="2">
        <v>44797</v>
      </c>
      <c r="B7695" s="3">
        <v>0.5373148148148148</v>
      </c>
      <c r="C7695">
        <v>9275</v>
      </c>
      <c r="D7695" t="str">
        <f>VLOOKUP(H7695,Produkt!$A$2:$B$5,2,FALSE)</f>
        <v>C</v>
      </c>
      <c r="H7695">
        <v>3</v>
      </c>
      <c r="I7695">
        <v>8.7997685185185193E-2</v>
      </c>
      <c r="J7695">
        <v>44802</v>
      </c>
    </row>
    <row r="7696" spans="1:10" x14ac:dyDescent="0.35">
      <c r="A7696" s="2">
        <v>44797</v>
      </c>
      <c r="B7696" s="3">
        <v>2.8379629629629699E-2</v>
      </c>
      <c r="C7696">
        <v>9284</v>
      </c>
      <c r="D7696" t="str">
        <f>VLOOKUP(H7696,Produkt!$A$2:$B$5,2,FALSE)</f>
        <v>B</v>
      </c>
      <c r="H7696">
        <v>2</v>
      </c>
      <c r="I7696">
        <v>0.75233796296296296</v>
      </c>
      <c r="J7696">
        <v>44800</v>
      </c>
    </row>
    <row r="7697" spans="1:10" x14ac:dyDescent="0.35">
      <c r="A7697" s="2">
        <v>44797</v>
      </c>
      <c r="B7697" s="3">
        <v>0.8054513888888889</v>
      </c>
      <c r="C7697">
        <v>9287</v>
      </c>
      <c r="D7697" t="str">
        <f>VLOOKUP(H7697,Produkt!$A$2:$B$5,2,FALSE)</f>
        <v>B</v>
      </c>
      <c r="H7697">
        <v>2</v>
      </c>
      <c r="I7697">
        <v>0.22295138888888888</v>
      </c>
      <c r="J7697">
        <v>44782</v>
      </c>
    </row>
    <row r="7698" spans="1:10" x14ac:dyDescent="0.35">
      <c r="A7698" s="2">
        <v>44797</v>
      </c>
      <c r="B7698" s="3">
        <v>0.89747685185185189</v>
      </c>
      <c r="C7698">
        <v>9321</v>
      </c>
      <c r="D7698" t="str">
        <f>VLOOKUP(H7698,Produkt!$A$2:$B$5,2,FALSE)</f>
        <v>D</v>
      </c>
      <c r="H7698">
        <v>4</v>
      </c>
      <c r="I7698">
        <v>0.3107523148148148</v>
      </c>
      <c r="J7698">
        <v>44788</v>
      </c>
    </row>
    <row r="7699" spans="1:10" x14ac:dyDescent="0.35">
      <c r="A7699" s="2">
        <v>44797</v>
      </c>
      <c r="B7699" s="3">
        <v>0.84603009259259254</v>
      </c>
      <c r="C7699">
        <v>9346</v>
      </c>
      <c r="D7699" t="str">
        <f>VLOOKUP(H7699,Produkt!$A$2:$B$5,2,FALSE)</f>
        <v>C</v>
      </c>
      <c r="H7699">
        <v>3</v>
      </c>
      <c r="I7699">
        <v>0.13340277777777779</v>
      </c>
      <c r="J7699">
        <v>44801</v>
      </c>
    </row>
    <row r="7700" spans="1:10" x14ac:dyDescent="0.35">
      <c r="A7700" s="2">
        <v>44797</v>
      </c>
      <c r="B7700" s="3">
        <v>0.37254629629629626</v>
      </c>
      <c r="C7700">
        <v>9356</v>
      </c>
      <c r="D7700" t="str">
        <f>VLOOKUP(H7700,Produkt!$A$2:$B$5,2,FALSE)</f>
        <v>A</v>
      </c>
      <c r="H7700">
        <v>1</v>
      </c>
      <c r="I7700">
        <v>1.2719907407407407E-2</v>
      </c>
      <c r="J7700">
        <v>44789</v>
      </c>
    </row>
    <row r="7701" spans="1:10" x14ac:dyDescent="0.35">
      <c r="A7701" s="2">
        <v>44797</v>
      </c>
      <c r="B7701" s="3">
        <v>0.50787037037037031</v>
      </c>
      <c r="C7701">
        <v>9369</v>
      </c>
      <c r="D7701" t="str">
        <f>VLOOKUP(H7701,Produkt!$A$2:$B$5,2,FALSE)</f>
        <v>D</v>
      </c>
      <c r="H7701">
        <v>4</v>
      </c>
      <c r="I7701">
        <v>3.2303240740740646E-2</v>
      </c>
      <c r="J7701">
        <v>44783</v>
      </c>
    </row>
    <row r="7702" spans="1:10" x14ac:dyDescent="0.35">
      <c r="A7702" s="2">
        <v>44797</v>
      </c>
      <c r="B7702" s="3">
        <v>1.3657407407407396E-2</v>
      </c>
      <c r="C7702">
        <v>9427</v>
      </c>
      <c r="D7702" t="str">
        <f>VLOOKUP(H7702,Produkt!$A$2:$B$5,2,FALSE)</f>
        <v>B</v>
      </c>
      <c r="H7702">
        <v>2</v>
      </c>
      <c r="I7702">
        <v>0.6713541666666667</v>
      </c>
      <c r="J7702">
        <v>44787</v>
      </c>
    </row>
    <row r="7703" spans="1:10" x14ac:dyDescent="0.35">
      <c r="A7703" s="2">
        <v>44797</v>
      </c>
      <c r="B7703" s="3">
        <v>0.77038194444444441</v>
      </c>
      <c r="C7703">
        <v>9428</v>
      </c>
      <c r="D7703" t="str">
        <f>VLOOKUP(H7703,Produkt!$A$2:$B$5,2,FALSE)</f>
        <v>D</v>
      </c>
      <c r="H7703">
        <v>4</v>
      </c>
      <c r="I7703">
        <v>0.5860995370370371</v>
      </c>
      <c r="J7703">
        <v>44792</v>
      </c>
    </row>
    <row r="7704" spans="1:10" x14ac:dyDescent="0.35">
      <c r="A7704" s="2">
        <v>44797</v>
      </c>
      <c r="B7704" s="3">
        <v>0.70888888888888879</v>
      </c>
      <c r="C7704">
        <v>9435</v>
      </c>
      <c r="D7704" t="str">
        <f>VLOOKUP(H7704,Produkt!$A$2:$B$5,2,FALSE)</f>
        <v>C</v>
      </c>
      <c r="H7704">
        <v>3</v>
      </c>
      <c r="I7704">
        <v>0.28811342592592593</v>
      </c>
      <c r="J7704">
        <v>44774</v>
      </c>
    </row>
    <row r="7705" spans="1:10" x14ac:dyDescent="0.35">
      <c r="A7705" s="2">
        <v>44797</v>
      </c>
      <c r="B7705" s="3">
        <v>4.8611111111112049E-3</v>
      </c>
      <c r="C7705">
        <v>9442</v>
      </c>
      <c r="D7705" t="str">
        <f>VLOOKUP(H7705,Produkt!$A$2:$B$5,2,FALSE)</f>
        <v>A</v>
      </c>
      <c r="H7705">
        <v>1</v>
      </c>
      <c r="I7705">
        <v>0.7119212962962963</v>
      </c>
      <c r="J7705">
        <v>44786</v>
      </c>
    </row>
    <row r="7706" spans="1:10" x14ac:dyDescent="0.35">
      <c r="A7706" s="2">
        <v>44797</v>
      </c>
      <c r="B7706" s="3">
        <v>0.96231481481481485</v>
      </c>
      <c r="C7706">
        <v>9462</v>
      </c>
      <c r="D7706" t="str">
        <f>VLOOKUP(H7706,Produkt!$A$2:$B$5,2,FALSE)</f>
        <v>A</v>
      </c>
      <c r="H7706">
        <v>1</v>
      </c>
      <c r="I7706">
        <v>0.47501157407407407</v>
      </c>
      <c r="J7706">
        <v>44787</v>
      </c>
    </row>
    <row r="7707" spans="1:10" x14ac:dyDescent="0.35">
      <c r="A7707" s="2">
        <v>44797</v>
      </c>
      <c r="B7707" s="3">
        <v>0.73785879629629625</v>
      </c>
      <c r="C7707">
        <v>9498</v>
      </c>
      <c r="D7707" t="str">
        <f>VLOOKUP(H7707,Produkt!$A$2:$B$5,2,FALSE)</f>
        <v>C</v>
      </c>
      <c r="H7707">
        <v>3</v>
      </c>
      <c r="I7707">
        <v>0.46785879629629629</v>
      </c>
      <c r="J7707">
        <v>44790</v>
      </c>
    </row>
    <row r="7708" spans="1:10" x14ac:dyDescent="0.35">
      <c r="A7708" s="2">
        <v>44797</v>
      </c>
      <c r="B7708" s="3">
        <v>0.87043981481481481</v>
      </c>
      <c r="C7708">
        <v>9557</v>
      </c>
      <c r="D7708" t="str">
        <f>VLOOKUP(H7708,Produkt!$A$2:$B$5,2,FALSE)</f>
        <v>A</v>
      </c>
      <c r="H7708">
        <v>1</v>
      </c>
      <c r="I7708">
        <v>0.1789236111111111</v>
      </c>
      <c r="J7708">
        <v>44782</v>
      </c>
    </row>
    <row r="7709" spans="1:10" x14ac:dyDescent="0.35">
      <c r="A7709" s="2">
        <v>44797</v>
      </c>
      <c r="B7709" s="3">
        <v>0.33270833333333333</v>
      </c>
      <c r="C7709">
        <v>9631</v>
      </c>
      <c r="D7709" t="str">
        <f>VLOOKUP(H7709,Produkt!$A$2:$B$5,2,FALSE)</f>
        <v>A</v>
      </c>
      <c r="H7709">
        <v>1</v>
      </c>
      <c r="I7709">
        <v>0.59214120370370371</v>
      </c>
      <c r="J7709">
        <v>44791</v>
      </c>
    </row>
    <row r="7710" spans="1:10" x14ac:dyDescent="0.35">
      <c r="A7710" s="2">
        <v>44797</v>
      </c>
      <c r="B7710" s="3">
        <v>0.4020023148148148</v>
      </c>
      <c r="C7710">
        <v>9634</v>
      </c>
      <c r="D7710" t="str">
        <f>VLOOKUP(H7710,Produkt!$A$2:$B$5,2,FALSE)</f>
        <v>A</v>
      </c>
      <c r="H7710">
        <v>1</v>
      </c>
      <c r="I7710">
        <v>0.97763888888888895</v>
      </c>
      <c r="J7710">
        <v>44802</v>
      </c>
    </row>
    <row r="7711" spans="1:10" x14ac:dyDescent="0.35">
      <c r="A7711" s="2">
        <v>44797</v>
      </c>
      <c r="B7711" s="3">
        <v>6.5543981481481481E-2</v>
      </c>
      <c r="C7711">
        <v>9688</v>
      </c>
      <c r="D7711" t="str">
        <f>VLOOKUP(H7711,Produkt!$A$2:$B$5,2,FALSE)</f>
        <v>C</v>
      </c>
      <c r="H7711">
        <v>3</v>
      </c>
      <c r="I7711">
        <v>3.1064814814814712E-2</v>
      </c>
      <c r="J7711">
        <v>44787</v>
      </c>
    </row>
    <row r="7712" spans="1:10" x14ac:dyDescent="0.35">
      <c r="A7712" s="2">
        <v>44797</v>
      </c>
      <c r="B7712" s="3">
        <v>0.21420138888888887</v>
      </c>
      <c r="C7712">
        <v>9700</v>
      </c>
      <c r="D7712" t="str">
        <f>VLOOKUP(H7712,Produkt!$A$2:$B$5,2,FALSE)</f>
        <v>B</v>
      </c>
      <c r="H7712">
        <v>2</v>
      </c>
      <c r="I7712">
        <v>0.61465277777777783</v>
      </c>
      <c r="J7712">
        <v>44782</v>
      </c>
    </row>
    <row r="7713" spans="1:10" x14ac:dyDescent="0.35">
      <c r="A7713" s="2">
        <v>44797</v>
      </c>
      <c r="B7713" s="3">
        <v>0.61597222222222225</v>
      </c>
      <c r="C7713">
        <v>9717</v>
      </c>
      <c r="D7713" t="str">
        <f>VLOOKUP(H7713,Produkt!$A$2:$B$5,2,FALSE)</f>
        <v>D</v>
      </c>
      <c r="H7713">
        <v>4</v>
      </c>
      <c r="I7713">
        <v>0.30252314814814812</v>
      </c>
      <c r="J7713">
        <v>44795</v>
      </c>
    </row>
    <row r="7714" spans="1:10" x14ac:dyDescent="0.35">
      <c r="A7714" s="2">
        <v>44797</v>
      </c>
      <c r="B7714" s="3">
        <v>0.64577546296296295</v>
      </c>
      <c r="C7714">
        <v>9724</v>
      </c>
      <c r="D7714" t="str">
        <f>VLOOKUP(H7714,Produkt!$A$2:$B$5,2,FALSE)</f>
        <v>C</v>
      </c>
      <c r="H7714">
        <v>3</v>
      </c>
      <c r="I7714">
        <v>1.9097222222222222E-3</v>
      </c>
      <c r="J7714">
        <v>44800</v>
      </c>
    </row>
    <row r="7715" spans="1:10" x14ac:dyDescent="0.35">
      <c r="A7715" s="2">
        <v>44797</v>
      </c>
      <c r="B7715" s="3">
        <v>0.31234953703703705</v>
      </c>
      <c r="C7715">
        <v>9743</v>
      </c>
      <c r="D7715" t="str">
        <f>VLOOKUP(H7715,Produkt!$A$2:$B$5,2,FALSE)</f>
        <v>B</v>
      </c>
      <c r="H7715">
        <v>2</v>
      </c>
      <c r="I7715">
        <v>0.55596064814814816</v>
      </c>
      <c r="J7715">
        <v>44797</v>
      </c>
    </row>
    <row r="7716" spans="1:10" x14ac:dyDescent="0.35">
      <c r="A7716" s="2">
        <v>44797</v>
      </c>
      <c r="B7716" s="3">
        <v>0.35083333333333333</v>
      </c>
      <c r="C7716">
        <v>9769</v>
      </c>
      <c r="D7716" t="str">
        <f>VLOOKUP(H7716,Produkt!$A$2:$B$5,2,FALSE)</f>
        <v>C</v>
      </c>
      <c r="H7716">
        <v>3</v>
      </c>
      <c r="I7716">
        <v>0.70078703703703704</v>
      </c>
      <c r="J7716">
        <v>44789</v>
      </c>
    </row>
    <row r="7717" spans="1:10" x14ac:dyDescent="0.35">
      <c r="A7717" s="2">
        <v>44797</v>
      </c>
      <c r="B7717" s="3">
        <v>2.6041666666666668E-2</v>
      </c>
      <c r="C7717">
        <v>9771</v>
      </c>
      <c r="D7717" t="str">
        <f>VLOOKUP(H7717,Produkt!$A$2:$B$5,2,FALSE)</f>
        <v>A</v>
      </c>
      <c r="H7717">
        <v>1</v>
      </c>
      <c r="I7717">
        <v>4.6874999999999556E-3</v>
      </c>
      <c r="J7717">
        <v>44774</v>
      </c>
    </row>
    <row r="7718" spans="1:10" x14ac:dyDescent="0.35">
      <c r="A7718" s="2">
        <v>44797</v>
      </c>
      <c r="B7718" s="3">
        <v>0.36689814814814814</v>
      </c>
      <c r="C7718">
        <v>9780</v>
      </c>
      <c r="D7718" t="str">
        <f>VLOOKUP(H7718,Produkt!$A$2:$B$5,2,FALSE)</f>
        <v>C</v>
      </c>
      <c r="H7718">
        <v>3</v>
      </c>
      <c r="I7718">
        <v>0.38317129629629632</v>
      </c>
      <c r="J7718">
        <v>44790</v>
      </c>
    </row>
    <row r="7719" spans="1:10" x14ac:dyDescent="0.35">
      <c r="A7719" s="2">
        <v>44797</v>
      </c>
      <c r="B7719" s="3">
        <v>0.46660879629629631</v>
      </c>
      <c r="C7719">
        <v>9859</v>
      </c>
      <c r="D7719" t="str">
        <f>VLOOKUP(H7719,Produkt!$A$2:$B$5,2,FALSE)</f>
        <v>D</v>
      </c>
      <c r="H7719">
        <v>4</v>
      </c>
      <c r="I7719">
        <v>0.73884259259259266</v>
      </c>
      <c r="J7719">
        <v>44784</v>
      </c>
    </row>
    <row r="7720" spans="1:10" x14ac:dyDescent="0.35">
      <c r="A7720" s="2">
        <v>44797</v>
      </c>
      <c r="B7720" s="3">
        <v>0.57452546296296292</v>
      </c>
      <c r="C7720">
        <v>9884</v>
      </c>
      <c r="D7720" t="str">
        <f>VLOOKUP(H7720,Produkt!$A$2:$B$5,2,FALSE)</f>
        <v>C</v>
      </c>
      <c r="H7720">
        <v>3</v>
      </c>
      <c r="I7720">
        <v>0.66079861111111116</v>
      </c>
      <c r="J7720">
        <v>44785</v>
      </c>
    </row>
    <row r="7721" spans="1:10" x14ac:dyDescent="0.35">
      <c r="A7721" s="2">
        <v>44797</v>
      </c>
      <c r="B7721" s="3">
        <v>0.92932870370370368</v>
      </c>
      <c r="C7721">
        <v>9914</v>
      </c>
      <c r="D7721" t="str">
        <f>VLOOKUP(H7721,Produkt!$A$2:$B$5,2,FALSE)</f>
        <v>A</v>
      </c>
      <c r="H7721">
        <v>1</v>
      </c>
      <c r="I7721">
        <v>0.4268055555555556</v>
      </c>
      <c r="J7721">
        <v>44786</v>
      </c>
    </row>
    <row r="7722" spans="1:10" x14ac:dyDescent="0.35">
      <c r="A7722" s="2">
        <v>44797</v>
      </c>
      <c r="B7722" s="3">
        <v>0.28332175925925923</v>
      </c>
      <c r="C7722">
        <v>9926</v>
      </c>
      <c r="D7722" t="str">
        <f>VLOOKUP(H7722,Produkt!$A$2:$B$5,2,FALSE)</f>
        <v>C</v>
      </c>
      <c r="H7722">
        <v>3</v>
      </c>
      <c r="I7722">
        <v>0.50324074074074077</v>
      </c>
      <c r="J7722">
        <v>44778</v>
      </c>
    </row>
    <row r="7723" spans="1:10" x14ac:dyDescent="0.35">
      <c r="A7723" s="2">
        <v>44797</v>
      </c>
      <c r="B7723" s="3">
        <v>0.86586805555555557</v>
      </c>
      <c r="C7723">
        <v>9993</v>
      </c>
      <c r="D7723" t="str">
        <f>VLOOKUP(H7723,Produkt!$A$2:$B$5,2,FALSE)</f>
        <v>D</v>
      </c>
      <c r="H7723">
        <v>4</v>
      </c>
      <c r="I7723">
        <v>0.94517361111111109</v>
      </c>
      <c r="J7723">
        <v>44791</v>
      </c>
    </row>
    <row r="7724" spans="1:10" x14ac:dyDescent="0.35">
      <c r="A7724" s="2">
        <v>44798</v>
      </c>
      <c r="B7724" s="3">
        <v>0.84858796296296291</v>
      </c>
      <c r="C7724">
        <v>68</v>
      </c>
      <c r="D7724" t="str">
        <f>VLOOKUP(H7724,Produkt!$A$2:$B$5,2,FALSE)</f>
        <v>B</v>
      </c>
      <c r="H7724">
        <v>2</v>
      </c>
      <c r="I7724">
        <v>0.43069444444444444</v>
      </c>
      <c r="J7724">
        <v>44784</v>
      </c>
    </row>
    <row r="7725" spans="1:10" x14ac:dyDescent="0.35">
      <c r="A7725" s="2">
        <v>44798</v>
      </c>
      <c r="B7725" s="3">
        <v>0.67498842592592589</v>
      </c>
      <c r="C7725">
        <v>71</v>
      </c>
      <c r="D7725" t="str">
        <f>VLOOKUP(H7725,Produkt!$A$2:$B$5,2,FALSE)</f>
        <v>A</v>
      </c>
      <c r="H7725">
        <v>1</v>
      </c>
      <c r="I7725">
        <v>0.66880787037037026</v>
      </c>
      <c r="J7725">
        <v>44791</v>
      </c>
    </row>
    <row r="7726" spans="1:10" x14ac:dyDescent="0.35">
      <c r="A7726" s="2">
        <v>44798</v>
      </c>
      <c r="B7726" s="3">
        <v>0.34241898148148148</v>
      </c>
      <c r="C7726">
        <v>74</v>
      </c>
      <c r="D7726" t="str">
        <f>VLOOKUP(H7726,Produkt!$A$2:$B$5,2,FALSE)</f>
        <v>B</v>
      </c>
      <c r="H7726">
        <v>2</v>
      </c>
      <c r="I7726">
        <v>0.59195601851851853</v>
      </c>
      <c r="J7726">
        <v>44785</v>
      </c>
    </row>
    <row r="7727" spans="1:10" x14ac:dyDescent="0.35">
      <c r="A7727" s="2">
        <v>44798</v>
      </c>
      <c r="B7727" s="3">
        <v>0.54440972222222228</v>
      </c>
      <c r="C7727">
        <v>75</v>
      </c>
      <c r="D7727" t="str">
        <f>VLOOKUP(H7727,Produkt!$A$2:$B$5,2,FALSE)</f>
        <v>A</v>
      </c>
      <c r="H7727">
        <v>1</v>
      </c>
      <c r="I7727">
        <v>0.60312500000000002</v>
      </c>
      <c r="J7727">
        <v>44796</v>
      </c>
    </row>
    <row r="7728" spans="1:10" x14ac:dyDescent="0.35">
      <c r="A7728" s="2">
        <v>44798</v>
      </c>
      <c r="B7728" s="3">
        <v>0.61393518518518519</v>
      </c>
      <c r="C7728">
        <v>147</v>
      </c>
      <c r="D7728" t="str">
        <f>VLOOKUP(H7728,Produkt!$A$2:$B$5,2,FALSE)</f>
        <v>A</v>
      </c>
      <c r="H7728">
        <v>1</v>
      </c>
      <c r="I7728">
        <v>0.75892361111111117</v>
      </c>
      <c r="J7728">
        <v>44802</v>
      </c>
    </row>
    <row r="7729" spans="1:10" x14ac:dyDescent="0.35">
      <c r="A7729" s="2">
        <v>44798</v>
      </c>
      <c r="B7729" s="3">
        <v>0.9733680555555555</v>
      </c>
      <c r="C7729">
        <v>270</v>
      </c>
      <c r="D7729" t="str">
        <f>VLOOKUP(H7729,Produkt!$A$2:$B$5,2,FALSE)</f>
        <v>A</v>
      </c>
      <c r="H7729">
        <v>1</v>
      </c>
      <c r="I7729">
        <v>0.38444444444444442</v>
      </c>
      <c r="J7729">
        <v>44784</v>
      </c>
    </row>
    <row r="7730" spans="1:10" x14ac:dyDescent="0.35">
      <c r="A7730" s="2">
        <v>44798</v>
      </c>
      <c r="B7730" s="3">
        <v>8.3645833333333322E-2</v>
      </c>
      <c r="C7730">
        <v>322</v>
      </c>
      <c r="D7730" t="str">
        <f>VLOOKUP(H7730,Produkt!$A$2:$B$5,2,FALSE)</f>
        <v>C</v>
      </c>
      <c r="H7730">
        <v>3</v>
      </c>
      <c r="I7730">
        <v>0.21559027777777776</v>
      </c>
      <c r="J7730">
        <v>44787</v>
      </c>
    </row>
    <row r="7731" spans="1:10" x14ac:dyDescent="0.35">
      <c r="A7731" s="2">
        <v>44798</v>
      </c>
      <c r="B7731" s="3">
        <v>0.75159722222222225</v>
      </c>
      <c r="C7731">
        <v>367</v>
      </c>
      <c r="D7731" t="str">
        <f>VLOOKUP(H7731,Produkt!$A$2:$B$5,2,FALSE)</f>
        <v>B</v>
      </c>
      <c r="H7731">
        <v>2</v>
      </c>
      <c r="I7731">
        <v>0.49238425925925927</v>
      </c>
      <c r="J7731">
        <v>44794</v>
      </c>
    </row>
    <row r="7732" spans="1:10" x14ac:dyDescent="0.35">
      <c r="A7732" s="2">
        <v>44798</v>
      </c>
      <c r="B7732" s="3">
        <v>0.62621527777777775</v>
      </c>
      <c r="C7732">
        <v>371</v>
      </c>
      <c r="D7732" t="str">
        <f>VLOOKUP(H7732,Produkt!$A$2:$B$5,2,FALSE)</f>
        <v>D</v>
      </c>
      <c r="H7732">
        <v>4</v>
      </c>
      <c r="I7732">
        <v>0.85482638888888884</v>
      </c>
      <c r="J7732">
        <v>44802</v>
      </c>
    </row>
    <row r="7733" spans="1:10" x14ac:dyDescent="0.35">
      <c r="A7733" s="2">
        <v>44798</v>
      </c>
      <c r="B7733" s="3">
        <v>0.29366898148148152</v>
      </c>
      <c r="C7733">
        <v>386</v>
      </c>
      <c r="D7733" t="str">
        <f>VLOOKUP(H7733,Produkt!$A$2:$B$5,2,FALSE)</f>
        <v>A</v>
      </c>
      <c r="H7733">
        <v>1</v>
      </c>
      <c r="I7733">
        <v>0.51045138888888886</v>
      </c>
      <c r="J7733">
        <v>44778</v>
      </c>
    </row>
    <row r="7734" spans="1:10" x14ac:dyDescent="0.35">
      <c r="A7734" s="2">
        <v>44798</v>
      </c>
      <c r="B7734" s="3">
        <v>0.5314699074074074</v>
      </c>
      <c r="C7734">
        <v>451</v>
      </c>
      <c r="D7734" t="str">
        <f>VLOOKUP(H7734,Produkt!$A$2:$B$5,2,FALSE)</f>
        <v>D</v>
      </c>
      <c r="H7734">
        <v>4</v>
      </c>
      <c r="I7734">
        <v>0.78972222222222221</v>
      </c>
      <c r="J7734">
        <v>44779</v>
      </c>
    </row>
    <row r="7735" spans="1:10" x14ac:dyDescent="0.35">
      <c r="A7735" s="2">
        <v>44798</v>
      </c>
      <c r="B7735" s="3">
        <v>0.29822916666666666</v>
      </c>
      <c r="C7735">
        <v>475</v>
      </c>
      <c r="D7735" t="str">
        <f>VLOOKUP(H7735,Produkt!$A$2:$B$5,2,FALSE)</f>
        <v>D</v>
      </c>
      <c r="H7735">
        <v>4</v>
      </c>
      <c r="I7735">
        <v>0.47833333333333333</v>
      </c>
      <c r="J7735">
        <v>44775</v>
      </c>
    </row>
    <row r="7736" spans="1:10" x14ac:dyDescent="0.35">
      <c r="A7736" s="2">
        <v>44798</v>
      </c>
      <c r="B7736" s="3">
        <v>0.37215277777777778</v>
      </c>
      <c r="C7736">
        <v>477</v>
      </c>
      <c r="D7736" t="str">
        <f>VLOOKUP(H7736,Produkt!$A$2:$B$5,2,FALSE)</f>
        <v>C</v>
      </c>
      <c r="H7736">
        <v>3</v>
      </c>
      <c r="I7736">
        <v>2.2430555555555554E-2</v>
      </c>
      <c r="J7736">
        <v>44781</v>
      </c>
    </row>
    <row r="7737" spans="1:10" x14ac:dyDescent="0.35">
      <c r="A7737" s="2">
        <v>44798</v>
      </c>
      <c r="B7737" s="3">
        <v>0.52353009259259264</v>
      </c>
      <c r="C7737">
        <v>553</v>
      </c>
      <c r="D7737" t="str">
        <f>VLOOKUP(H7737,Produkt!$A$2:$B$5,2,FALSE)</f>
        <v>D</v>
      </c>
      <c r="H7737">
        <v>4</v>
      </c>
      <c r="I7737">
        <v>1.7048611111111112E-2</v>
      </c>
      <c r="J7737">
        <v>44777</v>
      </c>
    </row>
    <row r="7738" spans="1:10" x14ac:dyDescent="0.35">
      <c r="A7738" s="2">
        <v>44798</v>
      </c>
      <c r="B7738" s="3">
        <v>0.84385416666666668</v>
      </c>
      <c r="C7738">
        <v>598</v>
      </c>
      <c r="D7738" t="str">
        <f>VLOOKUP(H7738,Produkt!$A$2:$B$5,2,FALSE)</f>
        <v>C</v>
      </c>
      <c r="H7738">
        <v>3</v>
      </c>
      <c r="I7738">
        <v>0.32224537037037038</v>
      </c>
      <c r="J7738">
        <v>44803</v>
      </c>
    </row>
    <row r="7739" spans="1:10" x14ac:dyDescent="0.35">
      <c r="A7739" s="2">
        <v>44798</v>
      </c>
      <c r="B7739" s="3">
        <v>0.1120138888888889</v>
      </c>
      <c r="C7739">
        <v>627</v>
      </c>
      <c r="D7739" t="str">
        <f>VLOOKUP(H7739,Produkt!$A$2:$B$5,2,FALSE)</f>
        <v>D</v>
      </c>
      <c r="H7739">
        <v>4</v>
      </c>
      <c r="I7739">
        <v>0.82849537037037047</v>
      </c>
      <c r="J7739">
        <v>44778</v>
      </c>
    </row>
    <row r="7740" spans="1:10" x14ac:dyDescent="0.35">
      <c r="A7740" s="2">
        <v>44798</v>
      </c>
      <c r="B7740" s="3">
        <v>3.7083333333333357E-2</v>
      </c>
      <c r="C7740">
        <v>628</v>
      </c>
      <c r="D7740" t="str">
        <f>VLOOKUP(H7740,Produkt!$A$2:$B$5,2,FALSE)</f>
        <v>A</v>
      </c>
      <c r="H7740">
        <v>1</v>
      </c>
      <c r="I7740">
        <v>0.86875000000000002</v>
      </c>
      <c r="J7740">
        <v>44777</v>
      </c>
    </row>
    <row r="7741" spans="1:10" x14ac:dyDescent="0.35">
      <c r="A7741" s="2">
        <v>44798</v>
      </c>
      <c r="B7741" s="3">
        <v>0.61565972222222221</v>
      </c>
      <c r="C7741">
        <v>652</v>
      </c>
      <c r="D7741" t="str">
        <f>VLOOKUP(H7741,Produkt!$A$2:$B$5,2,FALSE)</f>
        <v>B</v>
      </c>
      <c r="H7741">
        <v>2</v>
      </c>
      <c r="I7741">
        <v>0.91065972222222225</v>
      </c>
      <c r="J7741">
        <v>44804</v>
      </c>
    </row>
    <row r="7742" spans="1:10" x14ac:dyDescent="0.35">
      <c r="A7742" s="2">
        <v>44798</v>
      </c>
      <c r="B7742" s="3">
        <v>0.61053240740740744</v>
      </c>
      <c r="C7742">
        <v>717</v>
      </c>
      <c r="D7742" t="str">
        <f>VLOOKUP(H7742,Produkt!$A$2:$B$5,2,FALSE)</f>
        <v>B</v>
      </c>
      <c r="H7742">
        <v>2</v>
      </c>
      <c r="I7742">
        <v>0.5154050925925926</v>
      </c>
      <c r="J7742">
        <v>44800</v>
      </c>
    </row>
    <row r="7743" spans="1:10" x14ac:dyDescent="0.35">
      <c r="A7743" s="2">
        <v>44798</v>
      </c>
      <c r="B7743" s="3">
        <v>0.53116898148148151</v>
      </c>
      <c r="C7743">
        <v>723</v>
      </c>
      <c r="D7743" t="str">
        <f>VLOOKUP(H7743,Produkt!$A$2:$B$5,2,FALSE)</f>
        <v>D</v>
      </c>
      <c r="H7743">
        <v>4</v>
      </c>
      <c r="I7743">
        <v>0.73796296296296304</v>
      </c>
      <c r="J7743">
        <v>44797</v>
      </c>
    </row>
    <row r="7744" spans="1:10" x14ac:dyDescent="0.35">
      <c r="A7744" s="2">
        <v>44798</v>
      </c>
      <c r="B7744" s="3">
        <v>0.78215277777777781</v>
      </c>
      <c r="C7744">
        <v>739</v>
      </c>
      <c r="D7744" t="str">
        <f>VLOOKUP(H7744,Produkt!$A$2:$B$5,2,FALSE)</f>
        <v>A</v>
      </c>
      <c r="H7744">
        <v>1</v>
      </c>
      <c r="I7744">
        <v>0.9916666666666667</v>
      </c>
      <c r="J7744">
        <v>44782</v>
      </c>
    </row>
    <row r="7745" spans="1:10" x14ac:dyDescent="0.35">
      <c r="A7745" s="2">
        <v>44798</v>
      </c>
      <c r="B7745" s="3">
        <v>0.61128472222222219</v>
      </c>
      <c r="C7745">
        <v>747</v>
      </c>
      <c r="D7745" t="str">
        <f>VLOOKUP(H7745,Produkt!$A$2:$B$5,2,FALSE)</f>
        <v>B</v>
      </c>
      <c r="H7745">
        <v>2</v>
      </c>
      <c r="I7745">
        <v>0.58178240740740739</v>
      </c>
      <c r="J7745">
        <v>44794</v>
      </c>
    </row>
    <row r="7746" spans="1:10" x14ac:dyDescent="0.35">
      <c r="A7746" s="2">
        <v>44798</v>
      </c>
      <c r="B7746" s="3">
        <v>0.46302083333333338</v>
      </c>
      <c r="C7746">
        <v>760</v>
      </c>
      <c r="D7746" t="str">
        <f>VLOOKUP(H7746,Produkt!$A$2:$B$5,2,FALSE)</f>
        <v>A</v>
      </c>
      <c r="H7746">
        <v>1</v>
      </c>
      <c r="I7746">
        <v>0.5697916666666667</v>
      </c>
      <c r="J7746">
        <v>44799</v>
      </c>
    </row>
    <row r="7747" spans="1:10" x14ac:dyDescent="0.35">
      <c r="A7747" s="2">
        <v>44798</v>
      </c>
      <c r="B7747" s="3">
        <v>0.29744212962962963</v>
      </c>
      <c r="C7747">
        <v>768</v>
      </c>
      <c r="D7747" t="str">
        <f>VLOOKUP(H7747,Produkt!$A$2:$B$5,2,FALSE)</f>
        <v>B</v>
      </c>
      <c r="H7747">
        <v>2</v>
      </c>
      <c r="I7747">
        <v>0.26247685185185182</v>
      </c>
      <c r="J7747">
        <v>44788</v>
      </c>
    </row>
    <row r="7748" spans="1:10" x14ac:dyDescent="0.35">
      <c r="A7748" s="2">
        <v>44798</v>
      </c>
      <c r="B7748" s="3">
        <v>0.10927083333333333</v>
      </c>
      <c r="C7748">
        <v>802</v>
      </c>
      <c r="D7748" t="str">
        <f>VLOOKUP(H7748,Produkt!$A$2:$B$5,2,FALSE)</f>
        <v>A</v>
      </c>
      <c r="H7748">
        <v>1</v>
      </c>
      <c r="I7748">
        <v>0.14384259259259261</v>
      </c>
      <c r="J7748">
        <v>44791</v>
      </c>
    </row>
    <row r="7749" spans="1:10" x14ac:dyDescent="0.35">
      <c r="A7749" s="2">
        <v>44798</v>
      </c>
      <c r="B7749" s="3">
        <v>0.34422453703703698</v>
      </c>
      <c r="C7749">
        <v>813</v>
      </c>
      <c r="D7749" t="str">
        <f>VLOOKUP(H7749,Produkt!$A$2:$B$5,2,FALSE)</f>
        <v>A</v>
      </c>
      <c r="H7749">
        <v>1</v>
      </c>
      <c r="I7749">
        <v>0.98546296296296287</v>
      </c>
      <c r="J7749">
        <v>44784</v>
      </c>
    </row>
    <row r="7750" spans="1:10" x14ac:dyDescent="0.35">
      <c r="A7750" s="2">
        <v>44798</v>
      </c>
      <c r="B7750" s="3">
        <v>0.33364583333333336</v>
      </c>
      <c r="C7750">
        <v>849</v>
      </c>
      <c r="D7750" t="str">
        <f>VLOOKUP(H7750,Produkt!$A$2:$B$5,2,FALSE)</f>
        <v>C</v>
      </c>
      <c r="H7750">
        <v>3</v>
      </c>
      <c r="I7750">
        <v>0.94377314814814817</v>
      </c>
      <c r="J7750">
        <v>44802</v>
      </c>
    </row>
    <row r="7751" spans="1:10" x14ac:dyDescent="0.35">
      <c r="A7751" s="2">
        <v>44798</v>
      </c>
      <c r="B7751" s="3">
        <v>0.12450231481481482</v>
      </c>
      <c r="C7751">
        <v>888</v>
      </c>
      <c r="D7751" t="str">
        <f>VLOOKUP(H7751,Produkt!$A$2:$B$5,2,FALSE)</f>
        <v>A</v>
      </c>
      <c r="H7751">
        <v>1</v>
      </c>
      <c r="I7751">
        <v>0.6246990740740741</v>
      </c>
      <c r="J7751">
        <v>44778</v>
      </c>
    </row>
    <row r="7752" spans="1:10" x14ac:dyDescent="0.35">
      <c r="A7752" s="2">
        <v>44798</v>
      </c>
      <c r="B7752" s="3">
        <v>0.9478240740740741</v>
      </c>
      <c r="C7752">
        <v>893</v>
      </c>
      <c r="D7752" t="str">
        <f>VLOOKUP(H7752,Produkt!$A$2:$B$5,2,FALSE)</f>
        <v>C</v>
      </c>
      <c r="H7752">
        <v>3</v>
      </c>
      <c r="I7752">
        <v>0.10872685185185187</v>
      </c>
      <c r="J7752">
        <v>44790</v>
      </c>
    </row>
    <row r="7753" spans="1:10" x14ac:dyDescent="0.35">
      <c r="A7753" s="2">
        <v>44798</v>
      </c>
      <c r="B7753" s="3">
        <v>0.88012731481481488</v>
      </c>
      <c r="C7753">
        <v>908</v>
      </c>
      <c r="D7753" t="str">
        <f>VLOOKUP(H7753,Produkt!$A$2:$B$5,2,FALSE)</f>
        <v>B</v>
      </c>
      <c r="H7753">
        <v>2</v>
      </c>
      <c r="I7753">
        <v>0.98115740740740742</v>
      </c>
      <c r="J7753">
        <v>44802</v>
      </c>
    </row>
    <row r="7754" spans="1:10" x14ac:dyDescent="0.35">
      <c r="A7754" s="2">
        <v>44798</v>
      </c>
      <c r="B7754" s="3">
        <v>0.52204861111111112</v>
      </c>
      <c r="C7754">
        <v>981</v>
      </c>
      <c r="D7754" t="str">
        <f>VLOOKUP(H7754,Produkt!$A$2:$B$5,2,FALSE)</f>
        <v>C</v>
      </c>
      <c r="H7754">
        <v>3</v>
      </c>
      <c r="I7754">
        <v>0.53822916666666665</v>
      </c>
      <c r="J7754">
        <v>44778</v>
      </c>
    </row>
    <row r="7755" spans="1:10" x14ac:dyDescent="0.35">
      <c r="A7755" s="2">
        <v>44798</v>
      </c>
      <c r="B7755" s="3">
        <v>0.58498842592592593</v>
      </c>
      <c r="C7755">
        <v>1038</v>
      </c>
      <c r="D7755" t="str">
        <f>VLOOKUP(H7755,Produkt!$A$2:$B$5,2,FALSE)</f>
        <v>A</v>
      </c>
      <c r="H7755">
        <v>1</v>
      </c>
      <c r="I7755">
        <v>0.4384143518518519</v>
      </c>
      <c r="J7755">
        <v>44787</v>
      </c>
    </row>
    <row r="7756" spans="1:10" x14ac:dyDescent="0.35">
      <c r="A7756" s="2">
        <v>44798</v>
      </c>
      <c r="B7756" s="3">
        <v>0.31396990740740743</v>
      </c>
      <c r="C7756">
        <v>1126</v>
      </c>
      <c r="D7756" t="str">
        <f>VLOOKUP(H7756,Produkt!$A$2:$B$5,2,FALSE)</f>
        <v>B</v>
      </c>
      <c r="H7756">
        <v>2</v>
      </c>
      <c r="I7756">
        <v>0.37556712962962963</v>
      </c>
      <c r="J7756">
        <v>44803</v>
      </c>
    </row>
    <row r="7757" spans="1:10" x14ac:dyDescent="0.35">
      <c r="A7757" s="2">
        <v>44798</v>
      </c>
      <c r="B7757" s="3">
        <v>0.43091435185185184</v>
      </c>
      <c r="C7757">
        <v>1137</v>
      </c>
      <c r="D7757" t="str">
        <f>VLOOKUP(H7757,Produkt!$A$2:$B$5,2,FALSE)</f>
        <v>C</v>
      </c>
      <c r="H7757">
        <v>3</v>
      </c>
      <c r="I7757">
        <v>0.14276620370370371</v>
      </c>
      <c r="J7757">
        <v>44780</v>
      </c>
    </row>
    <row r="7758" spans="1:10" x14ac:dyDescent="0.35">
      <c r="A7758" s="2">
        <v>44798</v>
      </c>
      <c r="B7758" s="3">
        <v>0.89326388888888886</v>
      </c>
      <c r="C7758">
        <v>1157</v>
      </c>
      <c r="D7758" t="str">
        <f>VLOOKUP(H7758,Produkt!$A$2:$B$5,2,FALSE)</f>
        <v>D</v>
      </c>
      <c r="H7758">
        <v>4</v>
      </c>
      <c r="I7758">
        <v>0.71232638888888899</v>
      </c>
      <c r="J7758">
        <v>44774</v>
      </c>
    </row>
    <row r="7759" spans="1:10" x14ac:dyDescent="0.35">
      <c r="A7759" s="2">
        <v>44798</v>
      </c>
      <c r="B7759" s="3">
        <v>0.78834490740740737</v>
      </c>
      <c r="C7759">
        <v>1170</v>
      </c>
      <c r="D7759" t="str">
        <f>VLOOKUP(H7759,Produkt!$A$2:$B$5,2,FALSE)</f>
        <v>C</v>
      </c>
      <c r="H7759">
        <v>3</v>
      </c>
      <c r="I7759">
        <v>0.53673611111111108</v>
      </c>
      <c r="J7759">
        <v>44797</v>
      </c>
    </row>
    <row r="7760" spans="1:10" x14ac:dyDescent="0.35">
      <c r="A7760" s="2">
        <v>44798</v>
      </c>
      <c r="B7760" s="3">
        <v>0.1809490740740741</v>
      </c>
      <c r="C7760">
        <v>1204</v>
      </c>
      <c r="D7760" t="str">
        <f>VLOOKUP(H7760,Produkt!$A$2:$B$5,2,FALSE)</f>
        <v>A</v>
      </c>
      <c r="H7760">
        <v>1</v>
      </c>
      <c r="I7760">
        <v>0.35396990740740741</v>
      </c>
      <c r="J7760">
        <v>44786</v>
      </c>
    </row>
    <row r="7761" spans="1:10" x14ac:dyDescent="0.35">
      <c r="A7761" s="2">
        <v>44798</v>
      </c>
      <c r="B7761" s="3">
        <v>0.95420138888888895</v>
      </c>
      <c r="C7761">
        <v>1221</v>
      </c>
      <c r="D7761" t="str">
        <f>VLOOKUP(H7761,Produkt!$A$2:$B$5,2,FALSE)</f>
        <v>D</v>
      </c>
      <c r="H7761">
        <v>4</v>
      </c>
      <c r="I7761">
        <v>9.9409722222222219E-2</v>
      </c>
      <c r="J7761">
        <v>44776</v>
      </c>
    </row>
    <row r="7762" spans="1:10" x14ac:dyDescent="0.35">
      <c r="A7762" s="2">
        <v>44798</v>
      </c>
      <c r="B7762" s="3">
        <v>0.56723379629629633</v>
      </c>
      <c r="C7762">
        <v>1273</v>
      </c>
      <c r="D7762" t="str">
        <f>VLOOKUP(H7762,Produkt!$A$2:$B$5,2,FALSE)</f>
        <v>B</v>
      </c>
      <c r="H7762">
        <v>2</v>
      </c>
      <c r="I7762">
        <v>0.66059027777777779</v>
      </c>
      <c r="J7762">
        <v>44797</v>
      </c>
    </row>
    <row r="7763" spans="1:10" x14ac:dyDescent="0.35">
      <c r="A7763" s="2">
        <v>44798</v>
      </c>
      <c r="B7763" s="3">
        <v>8.3796296296296813E-3</v>
      </c>
      <c r="C7763">
        <v>1297</v>
      </c>
      <c r="D7763" t="str">
        <f>VLOOKUP(H7763,Produkt!$A$2:$B$5,2,FALSE)</f>
        <v>D</v>
      </c>
      <c r="H7763">
        <v>4</v>
      </c>
      <c r="I7763">
        <v>0.16291666666666668</v>
      </c>
      <c r="J7763">
        <v>44800</v>
      </c>
    </row>
    <row r="7764" spans="1:10" x14ac:dyDescent="0.35">
      <c r="A7764" s="2">
        <v>44798</v>
      </c>
      <c r="B7764" s="3">
        <v>0.4244560185185185</v>
      </c>
      <c r="C7764">
        <v>1313</v>
      </c>
      <c r="D7764" t="str">
        <f>VLOOKUP(H7764,Produkt!$A$2:$B$5,2,FALSE)</f>
        <v>A</v>
      </c>
      <c r="H7764">
        <v>1</v>
      </c>
      <c r="I7764">
        <v>0.7255787037037037</v>
      </c>
      <c r="J7764">
        <v>44799</v>
      </c>
    </row>
    <row r="7765" spans="1:10" x14ac:dyDescent="0.35">
      <c r="A7765" s="2">
        <v>44798</v>
      </c>
      <c r="B7765" s="3">
        <v>0.59149305555555554</v>
      </c>
      <c r="C7765">
        <v>1314</v>
      </c>
      <c r="D7765" t="str">
        <f>VLOOKUP(H7765,Produkt!$A$2:$B$5,2,FALSE)</f>
        <v>A</v>
      </c>
      <c r="H7765">
        <v>1</v>
      </c>
      <c r="I7765">
        <v>0.68204861111111104</v>
      </c>
      <c r="J7765">
        <v>44782</v>
      </c>
    </row>
    <row r="7766" spans="1:10" x14ac:dyDescent="0.35">
      <c r="A7766" s="2">
        <v>44798</v>
      </c>
      <c r="B7766" s="3">
        <v>0.71657407407407403</v>
      </c>
      <c r="C7766">
        <v>1328</v>
      </c>
      <c r="D7766" t="str">
        <f>VLOOKUP(H7766,Produkt!$A$2:$B$5,2,FALSE)</f>
        <v>B</v>
      </c>
      <c r="H7766">
        <v>2</v>
      </c>
      <c r="I7766">
        <v>1.3321759259259261E-2</v>
      </c>
      <c r="J7766">
        <v>44804</v>
      </c>
    </row>
    <row r="7767" spans="1:10" x14ac:dyDescent="0.35">
      <c r="A7767" s="2">
        <v>44798</v>
      </c>
      <c r="B7767" s="3">
        <v>0.66521990740740744</v>
      </c>
      <c r="C7767">
        <v>1337</v>
      </c>
      <c r="D7767" t="str">
        <f>VLOOKUP(H7767,Produkt!$A$2:$B$5,2,FALSE)</f>
        <v>A</v>
      </c>
      <c r="H7767">
        <v>1</v>
      </c>
      <c r="I7767">
        <v>0.25012731481481482</v>
      </c>
      <c r="J7767">
        <v>44776</v>
      </c>
    </row>
    <row r="7768" spans="1:10" x14ac:dyDescent="0.35">
      <c r="A7768" s="2">
        <v>44798</v>
      </c>
      <c r="B7768" s="3">
        <v>7.7326388888888889E-2</v>
      </c>
      <c r="C7768">
        <v>1348</v>
      </c>
      <c r="D7768" t="str">
        <f>VLOOKUP(H7768,Produkt!$A$2:$B$5,2,FALSE)</f>
        <v>D</v>
      </c>
      <c r="H7768">
        <v>4</v>
      </c>
      <c r="I7768">
        <v>0.63325231481481481</v>
      </c>
      <c r="J7768">
        <v>44804</v>
      </c>
    </row>
    <row r="7769" spans="1:10" x14ac:dyDescent="0.35">
      <c r="A7769" s="2">
        <v>44798</v>
      </c>
      <c r="B7769" s="3">
        <v>0.90565972222222213</v>
      </c>
      <c r="C7769">
        <v>1349</v>
      </c>
      <c r="D7769" t="str">
        <f>VLOOKUP(H7769,Produkt!$A$2:$B$5,2,FALSE)</f>
        <v>D</v>
      </c>
      <c r="H7769">
        <v>4</v>
      </c>
      <c r="I7769">
        <v>0.82482638888888893</v>
      </c>
      <c r="J7769">
        <v>44781</v>
      </c>
    </row>
    <row r="7770" spans="1:10" x14ac:dyDescent="0.35">
      <c r="A7770" s="2">
        <v>44798</v>
      </c>
      <c r="B7770" s="3">
        <v>0.49321759259259257</v>
      </c>
      <c r="C7770">
        <v>1414</v>
      </c>
      <c r="D7770" t="str">
        <f>VLOOKUP(H7770,Produkt!$A$2:$B$5,2,FALSE)</f>
        <v>B</v>
      </c>
      <c r="H7770">
        <v>2</v>
      </c>
      <c r="I7770">
        <v>0.8325231481481481</v>
      </c>
      <c r="J7770">
        <v>44793</v>
      </c>
    </row>
    <row r="7771" spans="1:10" x14ac:dyDescent="0.35">
      <c r="A7771" s="2">
        <v>44798</v>
      </c>
      <c r="B7771" s="3">
        <v>0.17217592592592593</v>
      </c>
      <c r="C7771">
        <v>1430</v>
      </c>
      <c r="D7771" t="str">
        <f>VLOOKUP(H7771,Produkt!$A$2:$B$5,2,FALSE)</f>
        <v>A</v>
      </c>
      <c r="H7771">
        <v>1</v>
      </c>
      <c r="I7771">
        <v>0.84089120370370374</v>
      </c>
      <c r="J7771">
        <v>44801</v>
      </c>
    </row>
    <row r="7772" spans="1:10" x14ac:dyDescent="0.35">
      <c r="A7772" s="2">
        <v>44798</v>
      </c>
      <c r="B7772" s="3">
        <v>0.9615393518518518</v>
      </c>
      <c r="C7772">
        <v>1459</v>
      </c>
      <c r="D7772" t="str">
        <f>VLOOKUP(H7772,Produkt!$A$2:$B$5,2,FALSE)</f>
        <v>A</v>
      </c>
      <c r="H7772">
        <v>1</v>
      </c>
      <c r="I7772">
        <v>0.49652777777777773</v>
      </c>
      <c r="J7772">
        <v>44801</v>
      </c>
    </row>
    <row r="7773" spans="1:10" x14ac:dyDescent="0.35">
      <c r="A7773" s="2">
        <v>44798</v>
      </c>
      <c r="B7773" s="3">
        <v>0.59815972222222225</v>
      </c>
      <c r="C7773">
        <v>1463</v>
      </c>
      <c r="D7773" t="str">
        <f>VLOOKUP(H7773,Produkt!$A$2:$B$5,2,FALSE)</f>
        <v>B</v>
      </c>
      <c r="H7773">
        <v>2</v>
      </c>
      <c r="I7773">
        <v>0.25266203703703705</v>
      </c>
      <c r="J7773">
        <v>44791</v>
      </c>
    </row>
    <row r="7774" spans="1:10" x14ac:dyDescent="0.35">
      <c r="A7774" s="2">
        <v>44798</v>
      </c>
      <c r="B7774" s="3">
        <v>0.73486111111111108</v>
      </c>
      <c r="C7774">
        <v>1465</v>
      </c>
      <c r="D7774" t="str">
        <f>VLOOKUP(H7774,Produkt!$A$2:$B$5,2,FALSE)</f>
        <v>C</v>
      </c>
      <c r="H7774">
        <v>3</v>
      </c>
      <c r="I7774">
        <v>0.1898148148148148</v>
      </c>
      <c r="J7774">
        <v>44785</v>
      </c>
    </row>
    <row r="7775" spans="1:10" x14ac:dyDescent="0.35">
      <c r="A7775" s="2">
        <v>44798</v>
      </c>
      <c r="B7775" s="3">
        <v>0.32728009259259255</v>
      </c>
      <c r="C7775">
        <v>1546</v>
      </c>
      <c r="D7775" t="str">
        <f>VLOOKUP(H7775,Produkt!$A$2:$B$5,2,FALSE)</f>
        <v>B</v>
      </c>
      <c r="H7775">
        <v>2</v>
      </c>
      <c r="I7775">
        <v>6.5104166666666671E-2</v>
      </c>
      <c r="J7775">
        <v>44777</v>
      </c>
    </row>
    <row r="7776" spans="1:10" x14ac:dyDescent="0.35">
      <c r="A7776" s="2">
        <v>44798</v>
      </c>
      <c r="B7776" s="3">
        <v>0.77991898148148142</v>
      </c>
      <c r="C7776">
        <v>1564</v>
      </c>
      <c r="D7776" t="str">
        <f>VLOOKUP(H7776,Produkt!$A$2:$B$5,2,FALSE)</f>
        <v>D</v>
      </c>
      <c r="H7776">
        <v>4</v>
      </c>
      <c r="I7776">
        <v>0.15078703703703702</v>
      </c>
      <c r="J7776">
        <v>44796</v>
      </c>
    </row>
    <row r="7777" spans="1:10" x14ac:dyDescent="0.35">
      <c r="A7777" s="2">
        <v>44798</v>
      </c>
      <c r="B7777" s="3">
        <v>0.61805555555555558</v>
      </c>
      <c r="C7777">
        <v>1573</v>
      </c>
      <c r="D7777" t="str">
        <f>VLOOKUP(H7777,Produkt!$A$2:$B$5,2,FALSE)</f>
        <v>D</v>
      </c>
      <c r="H7777">
        <v>4</v>
      </c>
      <c r="I7777">
        <v>8.7129629629629626E-2</v>
      </c>
      <c r="J7777">
        <v>44790</v>
      </c>
    </row>
    <row r="7778" spans="1:10" x14ac:dyDescent="0.35">
      <c r="A7778" s="2">
        <v>44798</v>
      </c>
      <c r="B7778" s="3">
        <v>0.93350694444444438</v>
      </c>
      <c r="C7778">
        <v>1578</v>
      </c>
      <c r="D7778" t="str">
        <f>VLOOKUP(H7778,Produkt!$A$2:$B$5,2,FALSE)</f>
        <v>D</v>
      </c>
      <c r="H7778">
        <v>4</v>
      </c>
      <c r="I7778">
        <v>0.71710648148148148</v>
      </c>
      <c r="J7778">
        <v>44783</v>
      </c>
    </row>
    <row r="7779" spans="1:10" x14ac:dyDescent="0.35">
      <c r="A7779" s="2">
        <v>44798</v>
      </c>
      <c r="B7779" s="3">
        <v>0.11943287037037037</v>
      </c>
      <c r="C7779">
        <v>1599</v>
      </c>
      <c r="D7779" t="str">
        <f>VLOOKUP(H7779,Produkt!$A$2:$B$5,2,FALSE)</f>
        <v>D</v>
      </c>
      <c r="H7779">
        <v>4</v>
      </c>
      <c r="I7779">
        <v>8.6643518518518522E-2</v>
      </c>
      <c r="J7779">
        <v>44780</v>
      </c>
    </row>
    <row r="7780" spans="1:10" x14ac:dyDescent="0.35">
      <c r="A7780" s="2">
        <v>44798</v>
      </c>
      <c r="B7780" s="3">
        <v>0.38354166666666667</v>
      </c>
      <c r="C7780">
        <v>1630</v>
      </c>
      <c r="D7780" t="str">
        <f>VLOOKUP(H7780,Produkt!$A$2:$B$5,2,FALSE)</f>
        <v>A</v>
      </c>
      <c r="H7780">
        <v>1</v>
      </c>
      <c r="I7780">
        <v>0.9212731481481482</v>
      </c>
      <c r="J7780">
        <v>44796</v>
      </c>
    </row>
    <row r="7781" spans="1:10" x14ac:dyDescent="0.35">
      <c r="A7781" s="2">
        <v>44798</v>
      </c>
      <c r="B7781" s="3">
        <v>0.33861111111111114</v>
      </c>
      <c r="C7781">
        <v>1649</v>
      </c>
      <c r="D7781" t="str">
        <f>VLOOKUP(H7781,Produkt!$A$2:$B$5,2,FALSE)</f>
        <v>B</v>
      </c>
      <c r="H7781">
        <v>2</v>
      </c>
      <c r="I7781">
        <v>0.20379629629629628</v>
      </c>
      <c r="J7781">
        <v>44783</v>
      </c>
    </row>
    <row r="7782" spans="1:10" x14ac:dyDescent="0.35">
      <c r="A7782" s="2">
        <v>44798</v>
      </c>
      <c r="B7782" s="3">
        <v>0.64236111111111105</v>
      </c>
      <c r="C7782">
        <v>1652</v>
      </c>
      <c r="D7782" t="str">
        <f>VLOOKUP(H7782,Produkt!$A$2:$B$5,2,FALSE)</f>
        <v>C</v>
      </c>
      <c r="H7782">
        <v>3</v>
      </c>
      <c r="I7782">
        <v>0.87482638888888886</v>
      </c>
      <c r="J7782">
        <v>44797</v>
      </c>
    </row>
    <row r="7783" spans="1:10" x14ac:dyDescent="0.35">
      <c r="A7783" s="2">
        <v>44798</v>
      </c>
      <c r="B7783" s="3">
        <v>0.49035879629629631</v>
      </c>
      <c r="C7783">
        <v>1716</v>
      </c>
      <c r="D7783" t="str">
        <f>VLOOKUP(H7783,Produkt!$A$2:$B$5,2,FALSE)</f>
        <v>B</v>
      </c>
      <c r="H7783">
        <v>2</v>
      </c>
      <c r="I7783">
        <v>0.26201388888888888</v>
      </c>
      <c r="J7783">
        <v>44803</v>
      </c>
    </row>
    <row r="7784" spans="1:10" x14ac:dyDescent="0.35">
      <c r="A7784" s="2">
        <v>44798</v>
      </c>
      <c r="B7784" s="3">
        <v>0.14947916666666666</v>
      </c>
      <c r="C7784">
        <v>1751</v>
      </c>
      <c r="D7784" t="str">
        <f>VLOOKUP(H7784,Produkt!$A$2:$B$5,2,FALSE)</f>
        <v>B</v>
      </c>
      <c r="H7784">
        <v>2</v>
      </c>
      <c r="I7784">
        <v>0.58179398148148154</v>
      </c>
      <c r="J7784">
        <v>44783</v>
      </c>
    </row>
    <row r="7785" spans="1:10" x14ac:dyDescent="0.35">
      <c r="A7785" s="2">
        <v>44798</v>
      </c>
      <c r="B7785" s="3">
        <v>4.2152777777777782E-2</v>
      </c>
      <c r="C7785">
        <v>1825</v>
      </c>
      <c r="D7785" t="str">
        <f>VLOOKUP(H7785,Produkt!$A$2:$B$5,2,FALSE)</f>
        <v>C</v>
      </c>
      <c r="H7785">
        <v>3</v>
      </c>
      <c r="I7785">
        <v>0.64728009259259256</v>
      </c>
      <c r="J7785">
        <v>44794</v>
      </c>
    </row>
    <row r="7786" spans="1:10" x14ac:dyDescent="0.35">
      <c r="A7786" s="2">
        <v>44798</v>
      </c>
      <c r="B7786" s="3">
        <v>0.8165972222222222</v>
      </c>
      <c r="C7786">
        <v>1890</v>
      </c>
      <c r="D7786" t="str">
        <f>VLOOKUP(H7786,Produkt!$A$2:$B$5,2,FALSE)</f>
        <v>B</v>
      </c>
      <c r="H7786">
        <v>2</v>
      </c>
      <c r="I7786">
        <v>0.48446759259259259</v>
      </c>
      <c r="J7786">
        <v>44777</v>
      </c>
    </row>
    <row r="7787" spans="1:10" x14ac:dyDescent="0.35">
      <c r="A7787" s="2">
        <v>44798</v>
      </c>
      <c r="B7787" s="3">
        <v>0.85956018518518518</v>
      </c>
      <c r="C7787">
        <v>1894</v>
      </c>
      <c r="D7787" t="str">
        <f>VLOOKUP(H7787,Produkt!$A$2:$B$5,2,FALSE)</f>
        <v>B</v>
      </c>
      <c r="H7787">
        <v>2</v>
      </c>
      <c r="I7787">
        <v>0.49168981481481483</v>
      </c>
      <c r="J7787">
        <v>44774</v>
      </c>
    </row>
    <row r="7788" spans="1:10" x14ac:dyDescent="0.35">
      <c r="A7788" s="2">
        <v>44798</v>
      </c>
      <c r="B7788" s="3">
        <v>0.88159722222222225</v>
      </c>
      <c r="C7788">
        <v>1912</v>
      </c>
      <c r="D7788" t="str">
        <f>VLOOKUP(H7788,Produkt!$A$2:$B$5,2,FALSE)</f>
        <v>C</v>
      </c>
      <c r="H7788">
        <v>3</v>
      </c>
      <c r="I7788">
        <v>0.7518055555555555</v>
      </c>
      <c r="J7788">
        <v>44800</v>
      </c>
    </row>
    <row r="7789" spans="1:10" x14ac:dyDescent="0.35">
      <c r="A7789" s="2">
        <v>44798</v>
      </c>
      <c r="B7789" s="3">
        <v>0.78640046296296295</v>
      </c>
      <c r="C7789">
        <v>1947</v>
      </c>
      <c r="D7789" t="str">
        <f>VLOOKUP(H7789,Produkt!$A$2:$B$5,2,FALSE)</f>
        <v>B</v>
      </c>
      <c r="H7789">
        <v>2</v>
      </c>
      <c r="I7789">
        <v>0.14780092592592595</v>
      </c>
      <c r="J7789">
        <v>44786</v>
      </c>
    </row>
    <row r="7790" spans="1:10" x14ac:dyDescent="0.35">
      <c r="A7790" s="2">
        <v>44798</v>
      </c>
      <c r="B7790" s="3">
        <v>0.91978009259259252</v>
      </c>
      <c r="C7790">
        <v>2104</v>
      </c>
      <c r="D7790" t="str">
        <f>VLOOKUP(H7790,Produkt!$A$2:$B$5,2,FALSE)</f>
        <v>B</v>
      </c>
      <c r="H7790">
        <v>2</v>
      </c>
      <c r="I7790">
        <v>0.96586805555555555</v>
      </c>
      <c r="J7790">
        <v>44792</v>
      </c>
    </row>
    <row r="7791" spans="1:10" x14ac:dyDescent="0.35">
      <c r="A7791" s="2">
        <v>44798</v>
      </c>
      <c r="B7791" s="3">
        <v>0.9644907407407407</v>
      </c>
      <c r="C7791">
        <v>2126</v>
      </c>
      <c r="D7791" t="str">
        <f>VLOOKUP(H7791,Produkt!$A$2:$B$5,2,FALSE)</f>
        <v>A</v>
      </c>
      <c r="H7791">
        <v>1</v>
      </c>
      <c r="I7791">
        <v>0.64329861111111108</v>
      </c>
      <c r="J7791">
        <v>44799</v>
      </c>
    </row>
    <row r="7792" spans="1:10" x14ac:dyDescent="0.35">
      <c r="A7792" s="2">
        <v>44798</v>
      </c>
      <c r="B7792" s="3">
        <v>0.94233796296296291</v>
      </c>
      <c r="C7792">
        <v>2159</v>
      </c>
      <c r="D7792" t="str">
        <f>VLOOKUP(H7792,Produkt!$A$2:$B$5,2,FALSE)</f>
        <v>C</v>
      </c>
      <c r="H7792">
        <v>3</v>
      </c>
      <c r="I7792">
        <v>5.7812499999999996E-2</v>
      </c>
      <c r="J7792">
        <v>44777</v>
      </c>
    </row>
    <row r="7793" spans="1:10" x14ac:dyDescent="0.35">
      <c r="A7793" s="2">
        <v>44798</v>
      </c>
      <c r="B7793" s="3">
        <v>0.83775462962962965</v>
      </c>
      <c r="C7793">
        <v>2215</v>
      </c>
      <c r="D7793" t="str">
        <f>VLOOKUP(H7793,Produkt!$A$2:$B$5,2,FALSE)</f>
        <v>B</v>
      </c>
      <c r="H7793">
        <v>2</v>
      </c>
      <c r="I7793">
        <v>0.88541666666666663</v>
      </c>
      <c r="J7793">
        <v>44787</v>
      </c>
    </row>
    <row r="7794" spans="1:10" x14ac:dyDescent="0.35">
      <c r="A7794" s="2">
        <v>44798</v>
      </c>
      <c r="B7794" s="3">
        <v>0.7966550925925926</v>
      </c>
      <c r="C7794">
        <v>2241</v>
      </c>
      <c r="D7794" t="str">
        <f>VLOOKUP(H7794,Produkt!$A$2:$B$5,2,FALSE)</f>
        <v>D</v>
      </c>
      <c r="H7794">
        <v>4</v>
      </c>
      <c r="I7794">
        <v>0.42212962962962958</v>
      </c>
      <c r="J7794">
        <v>44798</v>
      </c>
    </row>
    <row r="7795" spans="1:10" x14ac:dyDescent="0.35">
      <c r="A7795" s="2">
        <v>44798</v>
      </c>
      <c r="B7795" s="3">
        <v>0.45512731481481478</v>
      </c>
      <c r="C7795">
        <v>2257</v>
      </c>
      <c r="D7795" t="str">
        <f>VLOOKUP(H7795,Produkt!$A$2:$B$5,2,FALSE)</f>
        <v>C</v>
      </c>
      <c r="H7795">
        <v>3</v>
      </c>
      <c r="I7795">
        <v>8.3715277777777763E-2</v>
      </c>
      <c r="J7795">
        <v>44783</v>
      </c>
    </row>
    <row r="7796" spans="1:10" x14ac:dyDescent="0.35">
      <c r="A7796" s="2">
        <v>44798</v>
      </c>
      <c r="B7796" s="3">
        <v>0.95726851851851846</v>
      </c>
      <c r="C7796">
        <v>2268</v>
      </c>
      <c r="D7796" t="str">
        <f>VLOOKUP(H7796,Produkt!$A$2:$B$5,2,FALSE)</f>
        <v>C</v>
      </c>
      <c r="H7796">
        <v>3</v>
      </c>
      <c r="I7796">
        <v>0.11538194444444444</v>
      </c>
      <c r="J7796">
        <v>44790</v>
      </c>
    </row>
    <row r="7797" spans="1:10" x14ac:dyDescent="0.35">
      <c r="A7797" s="2">
        <v>44798</v>
      </c>
      <c r="B7797" s="3">
        <v>0.46064814814814814</v>
      </c>
      <c r="C7797">
        <v>2269</v>
      </c>
      <c r="D7797" t="str">
        <f>VLOOKUP(H7797,Produkt!$A$2:$B$5,2,FALSE)</f>
        <v>D</v>
      </c>
      <c r="H7797">
        <v>4</v>
      </c>
      <c r="I7797">
        <v>0.3153125</v>
      </c>
      <c r="J7797">
        <v>44785</v>
      </c>
    </row>
    <row r="7798" spans="1:10" x14ac:dyDescent="0.35">
      <c r="A7798" s="2">
        <v>44798</v>
      </c>
      <c r="B7798" s="3">
        <v>0.19593749999999999</v>
      </c>
      <c r="C7798">
        <v>2277</v>
      </c>
      <c r="D7798" t="str">
        <f>VLOOKUP(H7798,Produkt!$A$2:$B$5,2,FALSE)</f>
        <v>D</v>
      </c>
      <c r="H7798">
        <v>4</v>
      </c>
      <c r="I7798">
        <v>0.64152777777777781</v>
      </c>
      <c r="J7798">
        <v>44795</v>
      </c>
    </row>
    <row r="7799" spans="1:10" x14ac:dyDescent="0.35">
      <c r="A7799" s="2">
        <v>44798</v>
      </c>
      <c r="B7799" s="3">
        <v>0.55923611111111116</v>
      </c>
      <c r="C7799">
        <v>2309</v>
      </c>
      <c r="D7799" t="str">
        <f>VLOOKUP(H7799,Produkt!$A$2:$B$5,2,FALSE)</f>
        <v>C</v>
      </c>
      <c r="H7799">
        <v>3</v>
      </c>
      <c r="I7799">
        <v>0.62528935185185186</v>
      </c>
      <c r="J7799">
        <v>44785</v>
      </c>
    </row>
    <row r="7800" spans="1:10" x14ac:dyDescent="0.35">
      <c r="A7800" s="2">
        <v>44798</v>
      </c>
      <c r="B7800" s="3">
        <v>5.4050925925925924E-3</v>
      </c>
      <c r="C7800">
        <v>2321</v>
      </c>
      <c r="D7800" t="str">
        <f>VLOOKUP(H7800,Produkt!$A$2:$B$5,2,FALSE)</f>
        <v>D</v>
      </c>
      <c r="H7800">
        <v>4</v>
      </c>
      <c r="I7800">
        <v>0.74342592592592593</v>
      </c>
      <c r="J7800">
        <v>44798</v>
      </c>
    </row>
    <row r="7801" spans="1:10" x14ac:dyDescent="0.35">
      <c r="A7801" s="2">
        <v>44798</v>
      </c>
      <c r="B7801" s="3">
        <v>0.22665509259259262</v>
      </c>
      <c r="C7801">
        <v>2327</v>
      </c>
      <c r="D7801" t="str">
        <f>VLOOKUP(H7801,Produkt!$A$2:$B$5,2,FALSE)</f>
        <v>C</v>
      </c>
      <c r="H7801">
        <v>3</v>
      </c>
      <c r="I7801">
        <v>0.20106481481481484</v>
      </c>
      <c r="J7801">
        <v>44787</v>
      </c>
    </row>
    <row r="7802" spans="1:10" x14ac:dyDescent="0.35">
      <c r="A7802" s="2">
        <v>44798</v>
      </c>
      <c r="B7802" s="3">
        <v>0.85416666666666663</v>
      </c>
      <c r="C7802">
        <v>2352</v>
      </c>
      <c r="D7802" t="str">
        <f>VLOOKUP(H7802,Produkt!$A$2:$B$5,2,FALSE)</f>
        <v>D</v>
      </c>
      <c r="H7802">
        <v>4</v>
      </c>
      <c r="I7802">
        <v>0.67552083333333324</v>
      </c>
      <c r="J7802">
        <v>44788</v>
      </c>
    </row>
    <row r="7803" spans="1:10" x14ac:dyDescent="0.35">
      <c r="A7803" s="2">
        <v>44798</v>
      </c>
      <c r="B7803" s="3">
        <v>0.92550925925925931</v>
      </c>
      <c r="C7803">
        <v>2371</v>
      </c>
      <c r="D7803" t="str">
        <f>VLOOKUP(H7803,Produkt!$A$2:$B$5,2,FALSE)</f>
        <v>C</v>
      </c>
      <c r="H7803">
        <v>3</v>
      </c>
      <c r="I7803">
        <v>0.45729166666666665</v>
      </c>
      <c r="J7803">
        <v>44777</v>
      </c>
    </row>
    <row r="7804" spans="1:10" x14ac:dyDescent="0.35">
      <c r="A7804" s="2">
        <v>44798</v>
      </c>
      <c r="B7804" s="3">
        <v>0.47696759259259264</v>
      </c>
      <c r="C7804">
        <v>2388</v>
      </c>
      <c r="D7804" t="str">
        <f>VLOOKUP(H7804,Produkt!$A$2:$B$5,2,FALSE)</f>
        <v>D</v>
      </c>
      <c r="H7804">
        <v>4</v>
      </c>
      <c r="I7804">
        <v>0.33802083333333338</v>
      </c>
      <c r="J7804">
        <v>44783</v>
      </c>
    </row>
    <row r="7805" spans="1:10" x14ac:dyDescent="0.35">
      <c r="A7805" s="2">
        <v>44798</v>
      </c>
      <c r="B7805" s="3">
        <v>0.36990740740740741</v>
      </c>
      <c r="C7805">
        <v>2391</v>
      </c>
      <c r="D7805" t="str">
        <f>VLOOKUP(H7805,Produkt!$A$2:$B$5,2,FALSE)</f>
        <v>D</v>
      </c>
      <c r="H7805">
        <v>4</v>
      </c>
      <c r="I7805">
        <v>0.82549768518518529</v>
      </c>
      <c r="J7805">
        <v>44792</v>
      </c>
    </row>
    <row r="7806" spans="1:10" x14ac:dyDescent="0.35">
      <c r="A7806" s="2">
        <v>44798</v>
      </c>
      <c r="B7806" s="3">
        <v>4.2719907407407408E-2</v>
      </c>
      <c r="C7806">
        <v>2450</v>
      </c>
      <c r="D7806" t="str">
        <f>VLOOKUP(H7806,Produkt!$A$2:$B$5,2,FALSE)</f>
        <v>D</v>
      </c>
      <c r="H7806">
        <v>4</v>
      </c>
      <c r="I7806">
        <v>0.6192361111111111</v>
      </c>
      <c r="J7806">
        <v>44787</v>
      </c>
    </row>
    <row r="7807" spans="1:10" x14ac:dyDescent="0.35">
      <c r="A7807" s="2">
        <v>44798</v>
      </c>
      <c r="B7807" s="3">
        <v>0.39689814814814817</v>
      </c>
      <c r="C7807">
        <v>2490</v>
      </c>
      <c r="D7807" t="str">
        <f>VLOOKUP(H7807,Produkt!$A$2:$B$5,2,FALSE)</f>
        <v>A</v>
      </c>
      <c r="H7807">
        <v>1</v>
      </c>
      <c r="I7807">
        <v>0.43729166666666663</v>
      </c>
      <c r="J7807">
        <v>44800</v>
      </c>
    </row>
    <row r="7808" spans="1:10" x14ac:dyDescent="0.35">
      <c r="A7808" s="2">
        <v>44798</v>
      </c>
      <c r="B7808" s="3">
        <v>1.1736111111111109E-2</v>
      </c>
      <c r="C7808">
        <v>2548</v>
      </c>
      <c r="D7808" t="str">
        <f>VLOOKUP(H7808,Produkt!$A$2:$B$5,2,FALSE)</f>
        <v>A</v>
      </c>
      <c r="H7808">
        <v>1</v>
      </c>
      <c r="I7808">
        <v>0.55282407407407408</v>
      </c>
      <c r="J7808">
        <v>44774</v>
      </c>
    </row>
    <row r="7809" spans="1:10" x14ac:dyDescent="0.35">
      <c r="A7809" s="2">
        <v>44798</v>
      </c>
      <c r="B7809" s="3">
        <v>0.29207175925925927</v>
      </c>
      <c r="C7809">
        <v>2561</v>
      </c>
      <c r="D7809" t="str">
        <f>VLOOKUP(H7809,Produkt!$A$2:$B$5,2,FALSE)</f>
        <v>B</v>
      </c>
      <c r="H7809">
        <v>2</v>
      </c>
      <c r="I7809">
        <v>0.98197916666666663</v>
      </c>
      <c r="J7809">
        <v>44790</v>
      </c>
    </row>
    <row r="7810" spans="1:10" x14ac:dyDescent="0.35">
      <c r="A7810" s="2">
        <v>44798</v>
      </c>
      <c r="B7810" s="3">
        <v>0.24105324074074075</v>
      </c>
      <c r="C7810">
        <v>2570</v>
      </c>
      <c r="D7810" t="str">
        <f>VLOOKUP(H7810,Produkt!$A$2:$B$5,2,FALSE)</f>
        <v>A</v>
      </c>
      <c r="H7810">
        <v>1</v>
      </c>
      <c r="I7810">
        <v>0.25620370370370371</v>
      </c>
      <c r="J7810">
        <v>44803</v>
      </c>
    </row>
    <row r="7811" spans="1:10" x14ac:dyDescent="0.35">
      <c r="A7811" s="2">
        <v>44798</v>
      </c>
      <c r="B7811" s="3">
        <v>0.71407407407407408</v>
      </c>
      <c r="C7811">
        <v>2628</v>
      </c>
      <c r="D7811" t="str">
        <f>VLOOKUP(H7811,Produkt!$A$2:$B$5,2,FALSE)</f>
        <v>B</v>
      </c>
      <c r="H7811">
        <v>2</v>
      </c>
      <c r="I7811">
        <v>0.11609953703703703</v>
      </c>
      <c r="J7811">
        <v>44798</v>
      </c>
    </row>
    <row r="7812" spans="1:10" x14ac:dyDescent="0.35">
      <c r="A7812" s="2">
        <v>44798</v>
      </c>
      <c r="B7812" s="3">
        <v>0.3520138888888889</v>
      </c>
      <c r="C7812">
        <v>2640</v>
      </c>
      <c r="D7812" t="str">
        <f>VLOOKUP(H7812,Produkt!$A$2:$B$5,2,FALSE)</f>
        <v>B</v>
      </c>
      <c r="H7812">
        <v>2</v>
      </c>
      <c r="I7812">
        <v>0.4740625</v>
      </c>
      <c r="J7812">
        <v>44776</v>
      </c>
    </row>
    <row r="7813" spans="1:10" x14ac:dyDescent="0.35">
      <c r="A7813" s="2">
        <v>44798</v>
      </c>
      <c r="B7813" s="3">
        <v>0.82620370370370377</v>
      </c>
      <c r="C7813">
        <v>2641</v>
      </c>
      <c r="D7813" t="str">
        <f>VLOOKUP(H7813,Produkt!$A$2:$B$5,2,FALSE)</f>
        <v>C</v>
      </c>
      <c r="H7813">
        <v>3</v>
      </c>
      <c r="I7813">
        <v>0.32109953703703703</v>
      </c>
      <c r="J7813">
        <v>44801</v>
      </c>
    </row>
    <row r="7814" spans="1:10" x14ac:dyDescent="0.35">
      <c r="A7814" s="2">
        <v>44798</v>
      </c>
      <c r="B7814" s="3">
        <v>0.4952893518518518</v>
      </c>
      <c r="C7814">
        <v>2657</v>
      </c>
      <c r="D7814" t="str">
        <f>VLOOKUP(H7814,Produkt!$A$2:$B$5,2,FALSE)</f>
        <v>A</v>
      </c>
      <c r="H7814">
        <v>1</v>
      </c>
      <c r="I7814">
        <v>0.16137731481481482</v>
      </c>
      <c r="J7814">
        <v>44801</v>
      </c>
    </row>
    <row r="7815" spans="1:10" x14ac:dyDescent="0.35">
      <c r="A7815" s="2">
        <v>44798</v>
      </c>
      <c r="B7815" s="3">
        <v>0.4145833333333333</v>
      </c>
      <c r="C7815">
        <v>2692</v>
      </c>
      <c r="D7815" t="str">
        <f>VLOOKUP(H7815,Produkt!$A$2:$B$5,2,FALSE)</f>
        <v>C</v>
      </c>
      <c r="H7815">
        <v>3</v>
      </c>
      <c r="I7815">
        <v>0.66811342592592593</v>
      </c>
      <c r="J7815">
        <v>44783</v>
      </c>
    </row>
    <row r="7816" spans="1:10" x14ac:dyDescent="0.35">
      <c r="A7816" s="2">
        <v>44798</v>
      </c>
      <c r="B7816" s="3">
        <v>0.57395833333333335</v>
      </c>
      <c r="C7816">
        <v>2698</v>
      </c>
      <c r="D7816" t="str">
        <f>VLOOKUP(H7816,Produkt!$A$2:$B$5,2,FALSE)</f>
        <v>A</v>
      </c>
      <c r="H7816">
        <v>1</v>
      </c>
      <c r="I7816">
        <v>1.0879629629629629E-3</v>
      </c>
      <c r="J7816">
        <v>44776</v>
      </c>
    </row>
    <row r="7817" spans="1:10" x14ac:dyDescent="0.35">
      <c r="A7817" s="2">
        <v>44798</v>
      </c>
      <c r="B7817" s="3">
        <v>0.30640046296296297</v>
      </c>
      <c r="C7817">
        <v>2749</v>
      </c>
      <c r="D7817" t="str">
        <f>VLOOKUP(H7817,Produkt!$A$2:$B$5,2,FALSE)</f>
        <v>D</v>
      </c>
      <c r="H7817">
        <v>4</v>
      </c>
      <c r="I7817">
        <v>0.23234953703703706</v>
      </c>
      <c r="J7817">
        <v>44802</v>
      </c>
    </row>
    <row r="7818" spans="1:10" x14ac:dyDescent="0.35">
      <c r="A7818" s="2">
        <v>44798</v>
      </c>
      <c r="B7818" s="3">
        <v>0.3979166666666667</v>
      </c>
      <c r="C7818">
        <v>2803</v>
      </c>
      <c r="D7818" t="str">
        <f>VLOOKUP(H7818,Produkt!$A$2:$B$5,2,FALSE)</f>
        <v>C</v>
      </c>
      <c r="H7818">
        <v>3</v>
      </c>
      <c r="I7818">
        <v>0.92472222222222211</v>
      </c>
      <c r="J7818">
        <v>44774</v>
      </c>
    </row>
    <row r="7819" spans="1:10" x14ac:dyDescent="0.35">
      <c r="A7819" s="2">
        <v>44798</v>
      </c>
      <c r="B7819" s="3">
        <v>0.50032407407407409</v>
      </c>
      <c r="C7819">
        <v>2854</v>
      </c>
      <c r="D7819" t="str">
        <f>VLOOKUP(H7819,Produkt!$A$2:$B$5,2,FALSE)</f>
        <v>A</v>
      </c>
      <c r="H7819">
        <v>1</v>
      </c>
      <c r="I7819">
        <v>0.72187499999999993</v>
      </c>
      <c r="J7819">
        <v>44783</v>
      </c>
    </row>
    <row r="7820" spans="1:10" x14ac:dyDescent="0.35">
      <c r="A7820" s="2">
        <v>44798</v>
      </c>
      <c r="B7820" s="3">
        <v>0.10273148148148148</v>
      </c>
      <c r="C7820">
        <v>2863</v>
      </c>
      <c r="D7820" t="str">
        <f>VLOOKUP(H7820,Produkt!$A$2:$B$5,2,FALSE)</f>
        <v>A</v>
      </c>
      <c r="H7820">
        <v>1</v>
      </c>
      <c r="I7820">
        <v>2.5335648148148149E-2</v>
      </c>
      <c r="J7820">
        <v>44801</v>
      </c>
    </row>
    <row r="7821" spans="1:10" x14ac:dyDescent="0.35">
      <c r="A7821" s="2">
        <v>44798</v>
      </c>
      <c r="B7821" s="3">
        <v>0.22288194444444445</v>
      </c>
      <c r="C7821">
        <v>2889</v>
      </c>
      <c r="D7821" t="str">
        <f>VLOOKUP(H7821,Produkt!$A$2:$B$5,2,FALSE)</f>
        <v>C</v>
      </c>
      <c r="H7821">
        <v>3</v>
      </c>
      <c r="I7821">
        <v>0.19939814814814816</v>
      </c>
      <c r="J7821">
        <v>44799</v>
      </c>
    </row>
    <row r="7822" spans="1:10" x14ac:dyDescent="0.35">
      <c r="A7822" s="2">
        <v>44798</v>
      </c>
      <c r="B7822" s="3">
        <v>0.25887731481481485</v>
      </c>
      <c r="C7822">
        <v>2926</v>
      </c>
      <c r="D7822" t="str">
        <f>VLOOKUP(H7822,Produkt!$A$2:$B$5,2,FALSE)</f>
        <v>D</v>
      </c>
      <c r="H7822">
        <v>4</v>
      </c>
      <c r="I7822">
        <v>0.12744212962962961</v>
      </c>
      <c r="J7822">
        <v>44800</v>
      </c>
    </row>
    <row r="7823" spans="1:10" x14ac:dyDescent="0.35">
      <c r="A7823" s="2">
        <v>44798</v>
      </c>
      <c r="B7823" s="3">
        <v>0.44333333333333336</v>
      </c>
      <c r="C7823">
        <v>2934</v>
      </c>
      <c r="D7823" t="str">
        <f>VLOOKUP(H7823,Produkt!$A$2:$B$5,2,FALSE)</f>
        <v>D</v>
      </c>
      <c r="H7823">
        <v>4</v>
      </c>
      <c r="I7823">
        <v>0.85436342592592596</v>
      </c>
      <c r="J7823">
        <v>44774</v>
      </c>
    </row>
    <row r="7824" spans="1:10" x14ac:dyDescent="0.35">
      <c r="A7824" s="2">
        <v>44798</v>
      </c>
      <c r="B7824" s="3">
        <v>9.9548611111111115E-2</v>
      </c>
      <c r="C7824">
        <v>2958</v>
      </c>
      <c r="D7824" t="str">
        <f>VLOOKUP(H7824,Produkt!$A$2:$B$5,2,FALSE)</f>
        <v>A</v>
      </c>
      <c r="H7824">
        <v>1</v>
      </c>
      <c r="I7824">
        <v>0.63437500000000002</v>
      </c>
      <c r="J7824">
        <v>44783</v>
      </c>
    </row>
    <row r="7825" spans="1:10" x14ac:dyDescent="0.35">
      <c r="A7825" s="2">
        <v>44798</v>
      </c>
      <c r="B7825" s="3">
        <v>5.1736111111111427E-3</v>
      </c>
      <c r="C7825">
        <v>2983</v>
      </c>
      <c r="D7825" t="str">
        <f>VLOOKUP(H7825,Produkt!$A$2:$B$5,2,FALSE)</f>
        <v>C</v>
      </c>
      <c r="H7825">
        <v>3</v>
      </c>
      <c r="I7825">
        <v>0.58833333333333326</v>
      </c>
      <c r="J7825">
        <v>44793</v>
      </c>
    </row>
    <row r="7826" spans="1:10" x14ac:dyDescent="0.35">
      <c r="A7826" s="2">
        <v>44798</v>
      </c>
      <c r="B7826" s="3">
        <v>0.26170138888888889</v>
      </c>
      <c r="C7826">
        <v>3068</v>
      </c>
      <c r="D7826" t="str">
        <f>VLOOKUP(H7826,Produkt!$A$2:$B$5,2,FALSE)</f>
        <v>D</v>
      </c>
      <c r="H7826">
        <v>4</v>
      </c>
      <c r="I7826">
        <v>0.68790509259259258</v>
      </c>
      <c r="J7826">
        <v>44777</v>
      </c>
    </row>
    <row r="7827" spans="1:10" x14ac:dyDescent="0.35">
      <c r="A7827" s="2">
        <v>44798</v>
      </c>
      <c r="B7827" s="3">
        <v>2.9942129629629628E-2</v>
      </c>
      <c r="C7827">
        <v>3076</v>
      </c>
      <c r="D7827" t="str">
        <f>VLOOKUP(H7827,Produkt!$A$2:$B$5,2,FALSE)</f>
        <v>A</v>
      </c>
      <c r="H7827">
        <v>1</v>
      </c>
      <c r="I7827">
        <v>0.62305555555555558</v>
      </c>
      <c r="J7827">
        <v>44788</v>
      </c>
    </row>
    <row r="7828" spans="1:10" x14ac:dyDescent="0.35">
      <c r="A7828" s="2">
        <v>44798</v>
      </c>
      <c r="B7828" s="3">
        <v>0.72910879629629621</v>
      </c>
      <c r="C7828">
        <v>3084</v>
      </c>
      <c r="D7828" t="str">
        <f>VLOOKUP(H7828,Produkt!$A$2:$B$5,2,FALSE)</f>
        <v>D</v>
      </c>
      <c r="H7828">
        <v>4</v>
      </c>
      <c r="I7828">
        <v>3.920138888888889E-2</v>
      </c>
      <c r="J7828">
        <v>44786</v>
      </c>
    </row>
    <row r="7829" spans="1:10" x14ac:dyDescent="0.35">
      <c r="A7829" s="2">
        <v>44798</v>
      </c>
      <c r="B7829" s="3">
        <v>0.10982638888888889</v>
      </c>
      <c r="C7829">
        <v>3087</v>
      </c>
      <c r="D7829" t="str">
        <f>VLOOKUP(H7829,Produkt!$A$2:$B$5,2,FALSE)</f>
        <v>A</v>
      </c>
      <c r="H7829">
        <v>1</v>
      </c>
      <c r="I7829">
        <v>0.40173611111111113</v>
      </c>
      <c r="J7829">
        <v>44800</v>
      </c>
    </row>
    <row r="7830" spans="1:10" x14ac:dyDescent="0.35">
      <c r="A7830" s="2">
        <v>44798</v>
      </c>
      <c r="B7830" s="3">
        <v>0.95299768518518524</v>
      </c>
      <c r="C7830">
        <v>3158</v>
      </c>
      <c r="D7830" t="str">
        <f>VLOOKUP(H7830,Produkt!$A$2:$B$5,2,FALSE)</f>
        <v>C</v>
      </c>
      <c r="H7830">
        <v>3</v>
      </c>
      <c r="I7830">
        <v>0.7747222222222222</v>
      </c>
      <c r="J7830">
        <v>44791</v>
      </c>
    </row>
    <row r="7831" spans="1:10" x14ac:dyDescent="0.35">
      <c r="A7831" s="2">
        <v>44798</v>
      </c>
      <c r="B7831" s="3">
        <v>0.31966435185185188</v>
      </c>
      <c r="C7831">
        <v>3162</v>
      </c>
      <c r="D7831" t="str">
        <f>VLOOKUP(H7831,Produkt!$A$2:$B$5,2,FALSE)</f>
        <v>C</v>
      </c>
      <c r="H7831">
        <v>3</v>
      </c>
      <c r="I7831">
        <v>0.69532407407407415</v>
      </c>
      <c r="J7831">
        <v>44797</v>
      </c>
    </row>
    <row r="7832" spans="1:10" x14ac:dyDescent="0.35">
      <c r="A7832" s="2">
        <v>44798</v>
      </c>
      <c r="B7832" s="3">
        <v>0.26563657407407409</v>
      </c>
      <c r="C7832">
        <v>3167</v>
      </c>
      <c r="D7832" t="str">
        <f>VLOOKUP(H7832,Produkt!$A$2:$B$5,2,FALSE)</f>
        <v>D</v>
      </c>
      <c r="H7832">
        <v>4</v>
      </c>
      <c r="I7832">
        <v>0.26202546296296297</v>
      </c>
      <c r="J7832">
        <v>44774</v>
      </c>
    </row>
    <row r="7833" spans="1:10" x14ac:dyDescent="0.35">
      <c r="A7833" s="2">
        <v>44798</v>
      </c>
      <c r="B7833" s="3">
        <v>0.86664351851851851</v>
      </c>
      <c r="C7833">
        <v>3177</v>
      </c>
      <c r="D7833" t="str">
        <f>VLOOKUP(H7833,Produkt!$A$2:$B$5,2,FALSE)</f>
        <v>B</v>
      </c>
      <c r="H7833">
        <v>2</v>
      </c>
      <c r="I7833">
        <v>0.91002314814814811</v>
      </c>
      <c r="J7833">
        <v>44800</v>
      </c>
    </row>
    <row r="7834" spans="1:10" x14ac:dyDescent="0.35">
      <c r="A7834" s="2">
        <v>44798</v>
      </c>
      <c r="B7834" s="3">
        <v>0.70126157407407408</v>
      </c>
      <c r="C7834">
        <v>3270</v>
      </c>
      <c r="D7834" t="str">
        <f>VLOOKUP(H7834,Produkt!$A$2:$B$5,2,FALSE)</f>
        <v>B</v>
      </c>
      <c r="H7834">
        <v>2</v>
      </c>
      <c r="I7834">
        <v>2.9050925925925928E-2</v>
      </c>
      <c r="J7834">
        <v>44778</v>
      </c>
    </row>
    <row r="7835" spans="1:10" x14ac:dyDescent="0.35">
      <c r="A7835" s="2">
        <v>44798</v>
      </c>
      <c r="B7835" s="3">
        <v>0.82819444444444434</v>
      </c>
      <c r="C7835">
        <v>3274</v>
      </c>
      <c r="D7835" t="str">
        <f>VLOOKUP(H7835,Produkt!$A$2:$B$5,2,FALSE)</f>
        <v>A</v>
      </c>
      <c r="H7835">
        <v>1</v>
      </c>
      <c r="I7835">
        <v>0.54660879629629633</v>
      </c>
      <c r="J7835">
        <v>44794</v>
      </c>
    </row>
    <row r="7836" spans="1:10" x14ac:dyDescent="0.35">
      <c r="A7836" s="2">
        <v>44798</v>
      </c>
      <c r="B7836" s="3">
        <v>2.5636574074074048E-2</v>
      </c>
      <c r="C7836">
        <v>3286</v>
      </c>
      <c r="D7836" t="str">
        <f>VLOOKUP(H7836,Produkt!$A$2:$B$5,2,FALSE)</f>
        <v>C</v>
      </c>
      <c r="H7836">
        <v>3</v>
      </c>
      <c r="I7836">
        <v>7.2175925925925921E-2</v>
      </c>
      <c r="J7836">
        <v>44800</v>
      </c>
    </row>
    <row r="7837" spans="1:10" x14ac:dyDescent="0.35">
      <c r="A7837" s="2">
        <v>44798</v>
      </c>
      <c r="B7837" s="3">
        <v>6.0196759259259262E-2</v>
      </c>
      <c r="C7837">
        <v>3290</v>
      </c>
      <c r="D7837" t="str">
        <f>VLOOKUP(H7837,Produkt!$A$2:$B$5,2,FALSE)</f>
        <v>D</v>
      </c>
      <c r="H7837">
        <v>4</v>
      </c>
      <c r="I7837">
        <v>0.10313657407407407</v>
      </c>
      <c r="J7837">
        <v>44792</v>
      </c>
    </row>
    <row r="7838" spans="1:10" x14ac:dyDescent="0.35">
      <c r="A7838" s="2">
        <v>44798</v>
      </c>
      <c r="B7838" s="3">
        <v>3.1759259259259258E-2</v>
      </c>
      <c r="C7838">
        <v>3314</v>
      </c>
      <c r="D7838" t="str">
        <f>VLOOKUP(H7838,Produkt!$A$2:$B$5,2,FALSE)</f>
        <v>D</v>
      </c>
      <c r="H7838">
        <v>4</v>
      </c>
      <c r="I7838">
        <v>0.15671296296296297</v>
      </c>
      <c r="J7838">
        <v>44802</v>
      </c>
    </row>
    <row r="7839" spans="1:10" x14ac:dyDescent="0.35">
      <c r="A7839" s="2">
        <v>44798</v>
      </c>
      <c r="B7839" s="3">
        <v>0.30260416666666667</v>
      </c>
      <c r="C7839">
        <v>3411</v>
      </c>
      <c r="D7839" t="str">
        <f>VLOOKUP(H7839,Produkt!$A$2:$B$5,2,FALSE)</f>
        <v>C</v>
      </c>
      <c r="H7839">
        <v>3</v>
      </c>
      <c r="I7839">
        <v>0.99478009259259259</v>
      </c>
      <c r="J7839">
        <v>44799</v>
      </c>
    </row>
    <row r="7840" spans="1:10" x14ac:dyDescent="0.35">
      <c r="A7840" s="2">
        <v>44798</v>
      </c>
      <c r="B7840" s="3">
        <v>0.44388888888888894</v>
      </c>
      <c r="C7840">
        <v>3415</v>
      </c>
      <c r="D7840" t="str">
        <f>VLOOKUP(H7840,Produkt!$A$2:$B$5,2,FALSE)</f>
        <v>B</v>
      </c>
      <c r="H7840">
        <v>2</v>
      </c>
      <c r="I7840">
        <v>0.93006944444444439</v>
      </c>
      <c r="J7840">
        <v>44777</v>
      </c>
    </row>
    <row r="7841" spans="1:10" x14ac:dyDescent="0.35">
      <c r="A7841" s="2">
        <v>44798</v>
      </c>
      <c r="B7841" s="3">
        <v>0.2938425925925926</v>
      </c>
      <c r="C7841">
        <v>3429</v>
      </c>
      <c r="D7841" t="str">
        <f>VLOOKUP(H7841,Produkt!$A$2:$B$5,2,FALSE)</f>
        <v>C</v>
      </c>
      <c r="H7841">
        <v>3</v>
      </c>
      <c r="I7841">
        <v>0.9593287037037036</v>
      </c>
      <c r="J7841">
        <v>44775</v>
      </c>
    </row>
    <row r="7842" spans="1:10" x14ac:dyDescent="0.35">
      <c r="A7842" s="2">
        <v>44798</v>
      </c>
      <c r="B7842" s="3">
        <v>0.57905092592592589</v>
      </c>
      <c r="C7842">
        <v>3449</v>
      </c>
      <c r="D7842" t="str">
        <f>VLOOKUP(H7842,Produkt!$A$2:$B$5,2,FALSE)</f>
        <v>C</v>
      </c>
      <c r="H7842">
        <v>3</v>
      </c>
      <c r="I7842">
        <v>1.4444444444444482E-2</v>
      </c>
      <c r="J7842">
        <v>44804</v>
      </c>
    </row>
    <row r="7843" spans="1:10" x14ac:dyDescent="0.35">
      <c r="A7843" s="2">
        <v>44798</v>
      </c>
      <c r="B7843" s="3">
        <v>9.1516203703703711E-2</v>
      </c>
      <c r="C7843">
        <v>3460</v>
      </c>
      <c r="D7843" t="str">
        <f>VLOOKUP(H7843,Produkt!$A$2:$B$5,2,FALSE)</f>
        <v>B</v>
      </c>
      <c r="H7843">
        <v>2</v>
      </c>
      <c r="I7843">
        <v>0.40052083333333338</v>
      </c>
      <c r="J7843">
        <v>44801</v>
      </c>
    </row>
    <row r="7844" spans="1:10" x14ac:dyDescent="0.35">
      <c r="A7844" s="2">
        <v>44798</v>
      </c>
      <c r="B7844" s="3">
        <v>0.31709490740740742</v>
      </c>
      <c r="C7844">
        <v>3476</v>
      </c>
      <c r="D7844" t="str">
        <f>VLOOKUP(H7844,Produkt!$A$2:$B$5,2,FALSE)</f>
        <v>B</v>
      </c>
      <c r="H7844">
        <v>2</v>
      </c>
      <c r="I7844">
        <v>4.386574074074074E-2</v>
      </c>
      <c r="J7844">
        <v>44790</v>
      </c>
    </row>
    <row r="7845" spans="1:10" x14ac:dyDescent="0.35">
      <c r="A7845" s="2">
        <v>44798</v>
      </c>
      <c r="B7845" s="3">
        <v>6.2175925925925933E-2</v>
      </c>
      <c r="C7845">
        <v>3534</v>
      </c>
      <c r="D7845" t="str">
        <f>VLOOKUP(H7845,Produkt!$A$2:$B$5,2,FALSE)</f>
        <v>C</v>
      </c>
      <c r="H7845">
        <v>3</v>
      </c>
      <c r="I7845">
        <v>0.41585648148148152</v>
      </c>
      <c r="J7845">
        <v>44797</v>
      </c>
    </row>
    <row r="7846" spans="1:10" x14ac:dyDescent="0.35">
      <c r="A7846" s="2">
        <v>44798</v>
      </c>
      <c r="B7846" s="3">
        <v>0.61423611111111109</v>
      </c>
      <c r="C7846">
        <v>3542</v>
      </c>
      <c r="D7846" t="str">
        <f>VLOOKUP(H7846,Produkt!$A$2:$B$5,2,FALSE)</f>
        <v>C</v>
      </c>
      <c r="H7846">
        <v>3</v>
      </c>
      <c r="I7846">
        <v>0.79553240740740738</v>
      </c>
      <c r="J7846">
        <v>44784</v>
      </c>
    </row>
    <row r="7847" spans="1:10" x14ac:dyDescent="0.35">
      <c r="A7847" s="2">
        <v>44798</v>
      </c>
      <c r="B7847" s="3">
        <v>0.60932870370370373</v>
      </c>
      <c r="C7847">
        <v>3571</v>
      </c>
      <c r="D7847" t="str">
        <f>VLOOKUP(H7847,Produkt!$A$2:$B$5,2,FALSE)</f>
        <v>B</v>
      </c>
      <c r="H7847">
        <v>2</v>
      </c>
      <c r="I7847">
        <v>0.12877314814814814</v>
      </c>
      <c r="J7847">
        <v>44794</v>
      </c>
    </row>
    <row r="7848" spans="1:10" x14ac:dyDescent="0.35">
      <c r="A7848" s="2">
        <v>44798</v>
      </c>
      <c r="B7848" s="3">
        <v>0.92692129629629638</v>
      </c>
      <c r="C7848">
        <v>3593</v>
      </c>
      <c r="D7848" t="str">
        <f>VLOOKUP(H7848,Produkt!$A$2:$B$5,2,FALSE)</f>
        <v>B</v>
      </c>
      <c r="H7848">
        <v>2</v>
      </c>
      <c r="I7848">
        <v>0.24434027777777778</v>
      </c>
      <c r="J7848">
        <v>44777</v>
      </c>
    </row>
    <row r="7849" spans="1:10" x14ac:dyDescent="0.35">
      <c r="A7849" s="2">
        <v>44798</v>
      </c>
      <c r="B7849" s="3">
        <v>0.31057870370370372</v>
      </c>
      <c r="C7849">
        <v>3676</v>
      </c>
      <c r="D7849" t="str">
        <f>VLOOKUP(H7849,Produkt!$A$2:$B$5,2,FALSE)</f>
        <v>C</v>
      </c>
      <c r="H7849">
        <v>3</v>
      </c>
      <c r="I7849">
        <v>0.15839120370370371</v>
      </c>
      <c r="J7849">
        <v>44795</v>
      </c>
    </row>
    <row r="7850" spans="1:10" x14ac:dyDescent="0.35">
      <c r="A7850" s="2">
        <v>44798</v>
      </c>
      <c r="B7850" s="3">
        <v>0.91023148148148147</v>
      </c>
      <c r="C7850">
        <v>3785</v>
      </c>
      <c r="D7850" t="str">
        <f>VLOOKUP(H7850,Produkt!$A$2:$B$5,2,FALSE)</f>
        <v>C</v>
      </c>
      <c r="H7850">
        <v>3</v>
      </c>
      <c r="I7850">
        <v>0.84001157407407412</v>
      </c>
      <c r="J7850">
        <v>44776</v>
      </c>
    </row>
    <row r="7851" spans="1:10" x14ac:dyDescent="0.35">
      <c r="A7851" s="2">
        <v>44798</v>
      </c>
      <c r="B7851" s="3">
        <v>0.23864583333333333</v>
      </c>
      <c r="C7851">
        <v>3787</v>
      </c>
      <c r="D7851" t="str">
        <f>VLOOKUP(H7851,Produkt!$A$2:$B$5,2,FALSE)</f>
        <v>B</v>
      </c>
      <c r="H7851">
        <v>2</v>
      </c>
      <c r="I7851">
        <v>0.84803240740740737</v>
      </c>
      <c r="J7851">
        <v>44778</v>
      </c>
    </row>
    <row r="7852" spans="1:10" x14ac:dyDescent="0.35">
      <c r="A7852" s="2">
        <v>44798</v>
      </c>
      <c r="B7852" s="3">
        <v>0.18578703703703703</v>
      </c>
      <c r="C7852">
        <v>3857</v>
      </c>
      <c r="D7852" t="str">
        <f>VLOOKUP(H7852,Produkt!$A$2:$B$5,2,FALSE)</f>
        <v>D</v>
      </c>
      <c r="H7852">
        <v>4</v>
      </c>
      <c r="I7852">
        <v>0.6632986111111111</v>
      </c>
      <c r="J7852">
        <v>44777</v>
      </c>
    </row>
    <row r="7853" spans="1:10" x14ac:dyDescent="0.35">
      <c r="A7853" s="2">
        <v>44798</v>
      </c>
      <c r="B7853" s="3">
        <v>0.51439814814814822</v>
      </c>
      <c r="C7853">
        <v>3900</v>
      </c>
      <c r="D7853" t="str">
        <f>VLOOKUP(H7853,Produkt!$A$2:$B$5,2,FALSE)</f>
        <v>C</v>
      </c>
      <c r="H7853">
        <v>3</v>
      </c>
      <c r="I7853">
        <v>0.60731481481481475</v>
      </c>
      <c r="J7853">
        <v>44775</v>
      </c>
    </row>
    <row r="7854" spans="1:10" x14ac:dyDescent="0.35">
      <c r="A7854" s="2">
        <v>44798</v>
      </c>
      <c r="B7854" s="3">
        <v>0.94510416666666675</v>
      </c>
      <c r="C7854">
        <v>3932</v>
      </c>
      <c r="D7854" t="str">
        <f>VLOOKUP(H7854,Produkt!$A$2:$B$5,2,FALSE)</f>
        <v>D</v>
      </c>
      <c r="H7854">
        <v>4</v>
      </c>
      <c r="I7854">
        <v>1.8101851851851852E-2</v>
      </c>
      <c r="J7854">
        <v>44799</v>
      </c>
    </row>
    <row r="7855" spans="1:10" x14ac:dyDescent="0.35">
      <c r="A7855" s="2">
        <v>44798</v>
      </c>
      <c r="B7855" s="3">
        <v>0.51734953703703701</v>
      </c>
      <c r="C7855">
        <v>3990</v>
      </c>
      <c r="D7855" t="str">
        <f>VLOOKUP(H7855,Produkt!$A$2:$B$5,2,FALSE)</f>
        <v>B</v>
      </c>
      <c r="H7855">
        <v>2</v>
      </c>
      <c r="I7855">
        <v>0.66059027777777779</v>
      </c>
      <c r="J7855">
        <v>44779</v>
      </c>
    </row>
    <row r="7856" spans="1:10" x14ac:dyDescent="0.35">
      <c r="A7856" s="2">
        <v>44798</v>
      </c>
      <c r="B7856" s="3">
        <v>0.53079861111111104</v>
      </c>
      <c r="C7856">
        <v>4032</v>
      </c>
      <c r="D7856" t="str">
        <f>VLOOKUP(H7856,Produkt!$A$2:$B$5,2,FALSE)</f>
        <v>C</v>
      </c>
      <c r="H7856">
        <v>3</v>
      </c>
      <c r="I7856">
        <v>0.35153935185185187</v>
      </c>
      <c r="J7856">
        <v>44800</v>
      </c>
    </row>
    <row r="7857" spans="1:10" x14ac:dyDescent="0.35">
      <c r="A7857" s="2">
        <v>44798</v>
      </c>
      <c r="B7857" s="3">
        <v>0.55888888888888888</v>
      </c>
      <c r="C7857">
        <v>4105</v>
      </c>
      <c r="D7857" t="str">
        <f>VLOOKUP(H7857,Produkt!$A$2:$B$5,2,FALSE)</f>
        <v>C</v>
      </c>
      <c r="H7857">
        <v>3</v>
      </c>
      <c r="I7857">
        <v>0.82284722222222229</v>
      </c>
      <c r="J7857">
        <v>44797</v>
      </c>
    </row>
    <row r="7858" spans="1:10" x14ac:dyDescent="0.35">
      <c r="A7858" s="2">
        <v>44798</v>
      </c>
      <c r="B7858" s="3">
        <v>0.42959490740740741</v>
      </c>
      <c r="C7858">
        <v>4115</v>
      </c>
      <c r="D7858" t="str">
        <f>VLOOKUP(H7858,Produkt!$A$2:$B$5,2,FALSE)</f>
        <v>A</v>
      </c>
      <c r="H7858">
        <v>1</v>
      </c>
      <c r="I7858">
        <v>0.25134259259259256</v>
      </c>
      <c r="J7858">
        <v>44785</v>
      </c>
    </row>
    <row r="7859" spans="1:10" x14ac:dyDescent="0.35">
      <c r="A7859" s="2">
        <v>44798</v>
      </c>
      <c r="B7859" s="3">
        <v>0.39453703703703707</v>
      </c>
      <c r="C7859">
        <v>4118</v>
      </c>
      <c r="D7859" t="str">
        <f>VLOOKUP(H7859,Produkt!$A$2:$B$5,2,FALSE)</f>
        <v>B</v>
      </c>
      <c r="H7859">
        <v>2</v>
      </c>
      <c r="I7859">
        <v>0.1577314814814815</v>
      </c>
      <c r="J7859">
        <v>44791</v>
      </c>
    </row>
    <row r="7860" spans="1:10" x14ac:dyDescent="0.35">
      <c r="A7860" s="2">
        <v>44798</v>
      </c>
      <c r="B7860" s="3">
        <v>0.74364583333333334</v>
      </c>
      <c r="C7860">
        <v>4122</v>
      </c>
      <c r="D7860" t="str">
        <f>VLOOKUP(H7860,Produkt!$A$2:$B$5,2,FALSE)</f>
        <v>C</v>
      </c>
      <c r="H7860">
        <v>3</v>
      </c>
      <c r="I7860">
        <v>8.8541666666666664E-3</v>
      </c>
      <c r="J7860">
        <v>44801</v>
      </c>
    </row>
    <row r="7861" spans="1:10" x14ac:dyDescent="0.35">
      <c r="A7861" s="2">
        <v>44798</v>
      </c>
      <c r="B7861" s="3">
        <v>0.83634259259259258</v>
      </c>
      <c r="C7861">
        <v>4139</v>
      </c>
      <c r="D7861" t="str">
        <f>VLOOKUP(H7861,Produkt!$A$2:$B$5,2,FALSE)</f>
        <v>B</v>
      </c>
      <c r="H7861">
        <v>2</v>
      </c>
      <c r="I7861">
        <v>0.44124999999999998</v>
      </c>
      <c r="J7861">
        <v>44803</v>
      </c>
    </row>
    <row r="7862" spans="1:10" x14ac:dyDescent="0.35">
      <c r="A7862" s="2">
        <v>44798</v>
      </c>
      <c r="B7862" s="3">
        <v>6.9652777777777772E-2</v>
      </c>
      <c r="C7862">
        <v>4140</v>
      </c>
      <c r="D7862" t="str">
        <f>VLOOKUP(H7862,Produkt!$A$2:$B$5,2,FALSE)</f>
        <v>B</v>
      </c>
      <c r="H7862">
        <v>2</v>
      </c>
      <c r="I7862">
        <v>0.11793981481481482</v>
      </c>
      <c r="J7862">
        <v>44779</v>
      </c>
    </row>
    <row r="7863" spans="1:10" x14ac:dyDescent="0.35">
      <c r="A7863" s="2">
        <v>44798</v>
      </c>
      <c r="B7863" s="3">
        <v>0.36822916666666666</v>
      </c>
      <c r="C7863">
        <v>4142</v>
      </c>
      <c r="D7863" t="str">
        <f>VLOOKUP(H7863,Produkt!$A$2:$B$5,2,FALSE)</f>
        <v>A</v>
      </c>
      <c r="H7863">
        <v>1</v>
      </c>
      <c r="I7863">
        <v>1.1157407407407408E-2</v>
      </c>
      <c r="J7863">
        <v>44786</v>
      </c>
    </row>
    <row r="7864" spans="1:10" x14ac:dyDescent="0.35">
      <c r="A7864" s="2">
        <v>44798</v>
      </c>
      <c r="B7864" s="3">
        <v>0.70873842592592595</v>
      </c>
      <c r="C7864">
        <v>4144</v>
      </c>
      <c r="D7864" t="str">
        <f>VLOOKUP(H7864,Produkt!$A$2:$B$5,2,FALSE)</f>
        <v>B</v>
      </c>
      <c r="H7864">
        <v>2</v>
      </c>
      <c r="I7864">
        <v>0.9886921296296296</v>
      </c>
      <c r="J7864">
        <v>44776</v>
      </c>
    </row>
    <row r="7865" spans="1:10" x14ac:dyDescent="0.35">
      <c r="A7865" s="2">
        <v>44798</v>
      </c>
      <c r="B7865" s="3">
        <v>0.17655092592592592</v>
      </c>
      <c r="C7865">
        <v>4308</v>
      </c>
      <c r="D7865" t="str">
        <f>VLOOKUP(H7865,Produkt!$A$2:$B$5,2,FALSE)</f>
        <v>B</v>
      </c>
      <c r="H7865">
        <v>2</v>
      </c>
      <c r="I7865">
        <v>0.82454861111111111</v>
      </c>
      <c r="J7865">
        <v>44799</v>
      </c>
    </row>
    <row r="7866" spans="1:10" x14ac:dyDescent="0.35">
      <c r="A7866" s="2">
        <v>44798</v>
      </c>
      <c r="B7866" s="3">
        <v>0.4924884259259259</v>
      </c>
      <c r="C7866">
        <v>4320</v>
      </c>
      <c r="D7866" t="str">
        <f>VLOOKUP(H7866,Produkt!$A$2:$B$5,2,FALSE)</f>
        <v>D</v>
      </c>
      <c r="H7866">
        <v>4</v>
      </c>
      <c r="I7866">
        <v>0.67188657407407415</v>
      </c>
      <c r="J7866">
        <v>44803</v>
      </c>
    </row>
    <row r="7867" spans="1:10" x14ac:dyDescent="0.35">
      <c r="A7867" s="2">
        <v>44798</v>
      </c>
      <c r="B7867" s="3">
        <v>0</v>
      </c>
      <c r="C7867">
        <v>4381</v>
      </c>
      <c r="D7867" t="str">
        <f>VLOOKUP(H7867,Produkt!$A$2:$B$5,2,FALSE)</f>
        <v>B</v>
      </c>
      <c r="H7867">
        <v>2</v>
      </c>
      <c r="I7867">
        <v>0.64049768518518524</v>
      </c>
      <c r="J7867">
        <v>44777</v>
      </c>
    </row>
    <row r="7868" spans="1:10" x14ac:dyDescent="0.35">
      <c r="A7868" s="2">
        <v>44798</v>
      </c>
      <c r="B7868" s="3">
        <v>2.9050925925925928E-3</v>
      </c>
      <c r="C7868">
        <v>4395</v>
      </c>
      <c r="D7868" t="str">
        <f>VLOOKUP(H7868,Produkt!$A$2:$B$5,2,FALSE)</f>
        <v>C</v>
      </c>
      <c r="H7868">
        <v>3</v>
      </c>
      <c r="I7868">
        <v>0.85795138888888889</v>
      </c>
      <c r="J7868">
        <v>44787</v>
      </c>
    </row>
    <row r="7869" spans="1:10" x14ac:dyDescent="0.35">
      <c r="A7869" s="2">
        <v>44798</v>
      </c>
      <c r="B7869" s="3">
        <v>0.1383912037037037</v>
      </c>
      <c r="C7869">
        <v>4472</v>
      </c>
      <c r="D7869" t="str">
        <f>VLOOKUP(H7869,Produkt!$A$2:$B$5,2,FALSE)</f>
        <v>D</v>
      </c>
      <c r="H7869">
        <v>4</v>
      </c>
      <c r="I7869">
        <v>0.77075231481481488</v>
      </c>
      <c r="J7869">
        <v>44774</v>
      </c>
    </row>
    <row r="7870" spans="1:10" x14ac:dyDescent="0.35">
      <c r="A7870" s="2">
        <v>44798</v>
      </c>
      <c r="B7870" s="3">
        <v>0.70166666666666666</v>
      </c>
      <c r="C7870">
        <v>4512</v>
      </c>
      <c r="D7870" t="str">
        <f>VLOOKUP(H7870,Produkt!$A$2:$B$5,2,FALSE)</f>
        <v>A</v>
      </c>
      <c r="H7870">
        <v>1</v>
      </c>
      <c r="I7870">
        <v>0.15376157407407406</v>
      </c>
      <c r="J7870">
        <v>44803</v>
      </c>
    </row>
    <row r="7871" spans="1:10" x14ac:dyDescent="0.35">
      <c r="A7871" s="2">
        <v>44798</v>
      </c>
      <c r="B7871" s="3">
        <v>0.11313657407407407</v>
      </c>
      <c r="C7871">
        <v>4514</v>
      </c>
      <c r="D7871" t="str">
        <f>VLOOKUP(H7871,Produkt!$A$2:$B$5,2,FALSE)</f>
        <v>B</v>
      </c>
      <c r="H7871">
        <v>2</v>
      </c>
      <c r="I7871">
        <v>6.671296296296296E-2</v>
      </c>
      <c r="J7871">
        <v>44790</v>
      </c>
    </row>
    <row r="7872" spans="1:10" x14ac:dyDescent="0.35">
      <c r="A7872" s="2">
        <v>44798</v>
      </c>
      <c r="B7872" s="3">
        <v>7.9953703703703707E-2</v>
      </c>
      <c r="C7872">
        <v>4523</v>
      </c>
      <c r="D7872" t="str">
        <f>VLOOKUP(H7872,Produkt!$A$2:$B$5,2,FALSE)</f>
        <v>B</v>
      </c>
      <c r="H7872">
        <v>2</v>
      </c>
      <c r="I7872">
        <v>0.64136574074074071</v>
      </c>
      <c r="J7872">
        <v>44779</v>
      </c>
    </row>
    <row r="7873" spans="1:10" x14ac:dyDescent="0.35">
      <c r="A7873" s="2">
        <v>44798</v>
      </c>
      <c r="B7873" s="3">
        <v>0.86409722222222218</v>
      </c>
      <c r="C7873">
        <v>4530</v>
      </c>
      <c r="D7873" t="str">
        <f>VLOOKUP(H7873,Produkt!$A$2:$B$5,2,FALSE)</f>
        <v>D</v>
      </c>
      <c r="H7873">
        <v>4</v>
      </c>
      <c r="I7873">
        <v>0.37486111111111109</v>
      </c>
      <c r="J7873">
        <v>44780</v>
      </c>
    </row>
    <row r="7874" spans="1:10" x14ac:dyDescent="0.35">
      <c r="A7874" s="2">
        <v>44798</v>
      </c>
      <c r="B7874" s="3">
        <v>0.18653935185185186</v>
      </c>
      <c r="C7874">
        <v>4589</v>
      </c>
      <c r="D7874" t="str">
        <f>VLOOKUP(H7874,Produkt!$A$2:$B$5,2,FALSE)</f>
        <v>B</v>
      </c>
      <c r="H7874">
        <v>2</v>
      </c>
      <c r="I7874">
        <v>0.96026620370370364</v>
      </c>
      <c r="J7874">
        <v>44795</v>
      </c>
    </row>
    <row r="7875" spans="1:10" x14ac:dyDescent="0.35">
      <c r="A7875" s="2">
        <v>44798</v>
      </c>
      <c r="B7875" s="3">
        <v>0.33931712962962962</v>
      </c>
      <c r="C7875">
        <v>4611</v>
      </c>
      <c r="D7875" t="str">
        <f>VLOOKUP(H7875,Produkt!$A$2:$B$5,2,FALSE)</f>
        <v>C</v>
      </c>
      <c r="H7875">
        <v>3</v>
      </c>
      <c r="I7875">
        <v>0.91670138888888886</v>
      </c>
      <c r="J7875">
        <v>44800</v>
      </c>
    </row>
    <row r="7876" spans="1:10" x14ac:dyDescent="0.35">
      <c r="A7876" s="2">
        <v>44798</v>
      </c>
      <c r="B7876" s="3">
        <v>0.34079861111111115</v>
      </c>
      <c r="C7876">
        <v>4630</v>
      </c>
      <c r="D7876" t="str">
        <f>VLOOKUP(H7876,Produkt!$A$2:$B$5,2,FALSE)</f>
        <v>A</v>
      </c>
      <c r="H7876">
        <v>1</v>
      </c>
      <c r="I7876">
        <v>0.16650462962962961</v>
      </c>
      <c r="J7876">
        <v>44790</v>
      </c>
    </row>
    <row r="7877" spans="1:10" x14ac:dyDescent="0.35">
      <c r="A7877" s="2">
        <v>44798</v>
      </c>
      <c r="B7877" s="3">
        <v>0.94421296296296298</v>
      </c>
      <c r="C7877">
        <v>4673</v>
      </c>
      <c r="D7877" t="str">
        <f>VLOOKUP(H7877,Produkt!$A$2:$B$5,2,FALSE)</f>
        <v>C</v>
      </c>
      <c r="H7877">
        <v>3</v>
      </c>
      <c r="I7877">
        <v>0.27585648148148151</v>
      </c>
      <c r="J7877">
        <v>44802</v>
      </c>
    </row>
    <row r="7878" spans="1:10" x14ac:dyDescent="0.35">
      <c r="A7878" s="2">
        <v>44798</v>
      </c>
      <c r="B7878" s="3">
        <v>0.9819444444444444</v>
      </c>
      <c r="C7878">
        <v>4675</v>
      </c>
      <c r="D7878" t="str">
        <f>VLOOKUP(H7878,Produkt!$A$2:$B$5,2,FALSE)</f>
        <v>D</v>
      </c>
      <c r="H7878">
        <v>4</v>
      </c>
      <c r="I7878">
        <v>0.3989699074074074</v>
      </c>
      <c r="J7878">
        <v>44797</v>
      </c>
    </row>
    <row r="7879" spans="1:10" x14ac:dyDescent="0.35">
      <c r="A7879" s="2">
        <v>44798</v>
      </c>
      <c r="B7879" s="3">
        <v>0.11431712962962963</v>
      </c>
      <c r="C7879">
        <v>4717</v>
      </c>
      <c r="D7879" t="str">
        <f>VLOOKUP(H7879,Produkt!$A$2:$B$5,2,FALSE)</f>
        <v>C</v>
      </c>
      <c r="H7879">
        <v>3</v>
      </c>
      <c r="I7879">
        <v>0.1673611111111111</v>
      </c>
      <c r="J7879">
        <v>44802</v>
      </c>
    </row>
    <row r="7880" spans="1:10" x14ac:dyDescent="0.35">
      <c r="A7880" s="2">
        <v>44798</v>
      </c>
      <c r="B7880" s="3">
        <v>0.36344907407407406</v>
      </c>
      <c r="C7880">
        <v>4743</v>
      </c>
      <c r="D7880" t="str">
        <f>VLOOKUP(H7880,Produkt!$A$2:$B$5,2,FALSE)</f>
        <v>B</v>
      </c>
      <c r="H7880">
        <v>2</v>
      </c>
      <c r="I7880">
        <v>0.81396990740740749</v>
      </c>
      <c r="J7880">
        <v>44789</v>
      </c>
    </row>
    <row r="7881" spans="1:10" x14ac:dyDescent="0.35">
      <c r="A7881" s="2">
        <v>44798</v>
      </c>
      <c r="B7881" s="3">
        <v>0.56010416666666674</v>
      </c>
      <c r="C7881">
        <v>4778</v>
      </c>
      <c r="D7881" t="str">
        <f>VLOOKUP(H7881,Produkt!$A$2:$B$5,2,FALSE)</f>
        <v>A</v>
      </c>
      <c r="H7881">
        <v>1</v>
      </c>
      <c r="I7881">
        <v>0.58873842592592596</v>
      </c>
      <c r="J7881">
        <v>44783</v>
      </c>
    </row>
    <row r="7882" spans="1:10" x14ac:dyDescent="0.35">
      <c r="A7882" s="2">
        <v>44798</v>
      </c>
      <c r="B7882" s="3">
        <v>9.8263888888887596E-3</v>
      </c>
      <c r="C7882">
        <v>4839</v>
      </c>
      <c r="D7882" t="str">
        <f>VLOOKUP(H7882,Produkt!$A$2:$B$5,2,FALSE)</f>
        <v>B</v>
      </c>
      <c r="H7882">
        <v>2</v>
      </c>
      <c r="I7882">
        <v>1.292824074074074E-2</v>
      </c>
      <c r="J7882">
        <v>44779</v>
      </c>
    </row>
    <row r="7883" spans="1:10" x14ac:dyDescent="0.35">
      <c r="A7883" s="2">
        <v>44798</v>
      </c>
      <c r="B7883" s="3">
        <v>0.13629629629629628</v>
      </c>
      <c r="C7883">
        <v>4855</v>
      </c>
      <c r="D7883" t="str">
        <f>VLOOKUP(H7883,Produkt!$A$2:$B$5,2,FALSE)</f>
        <v>D</v>
      </c>
      <c r="H7883">
        <v>4</v>
      </c>
      <c r="I7883">
        <v>0.52678240740740734</v>
      </c>
      <c r="J7883">
        <v>44797</v>
      </c>
    </row>
    <row r="7884" spans="1:10" x14ac:dyDescent="0.35">
      <c r="A7884" s="2">
        <v>44798</v>
      </c>
      <c r="B7884" s="3">
        <v>0.5254861111111111</v>
      </c>
      <c r="C7884">
        <v>4978</v>
      </c>
      <c r="D7884" t="str">
        <f>VLOOKUP(H7884,Produkt!$A$2:$B$5,2,FALSE)</f>
        <v>D</v>
      </c>
      <c r="H7884">
        <v>4</v>
      </c>
      <c r="I7884">
        <v>0.96129629629629632</v>
      </c>
      <c r="J7884">
        <v>44798</v>
      </c>
    </row>
    <row r="7885" spans="1:10" x14ac:dyDescent="0.35">
      <c r="A7885" s="2">
        <v>44798</v>
      </c>
      <c r="B7885" s="3">
        <v>0.81739583333333332</v>
      </c>
      <c r="C7885">
        <v>4982</v>
      </c>
      <c r="D7885" t="str">
        <f>VLOOKUP(H7885,Produkt!$A$2:$B$5,2,FALSE)</f>
        <v>D</v>
      </c>
      <c r="H7885">
        <v>4</v>
      </c>
      <c r="I7885">
        <v>0.82251157407407405</v>
      </c>
      <c r="J7885">
        <v>44800</v>
      </c>
    </row>
    <row r="7886" spans="1:10" x14ac:dyDescent="0.35">
      <c r="A7886" s="2">
        <v>44798</v>
      </c>
      <c r="B7886" s="3">
        <v>0.23194444444444443</v>
      </c>
      <c r="C7886">
        <v>5096</v>
      </c>
      <c r="D7886" t="str">
        <f>VLOOKUP(H7886,Produkt!$A$2:$B$5,2,FALSE)</f>
        <v>C</v>
      </c>
      <c r="H7886">
        <v>3</v>
      </c>
      <c r="I7886">
        <v>0.68577546296296299</v>
      </c>
      <c r="J7886">
        <v>44775</v>
      </c>
    </row>
    <row r="7887" spans="1:10" x14ac:dyDescent="0.35">
      <c r="A7887" s="2">
        <v>44798</v>
      </c>
      <c r="B7887" s="3">
        <v>0.39378472222222222</v>
      </c>
      <c r="C7887">
        <v>5124</v>
      </c>
      <c r="D7887" t="str">
        <f>VLOOKUP(H7887,Produkt!$A$2:$B$5,2,FALSE)</f>
        <v>D</v>
      </c>
      <c r="H7887">
        <v>4</v>
      </c>
      <c r="I7887">
        <v>0.99898148148148147</v>
      </c>
      <c r="J7887">
        <v>44802</v>
      </c>
    </row>
    <row r="7888" spans="1:10" x14ac:dyDescent="0.35">
      <c r="A7888" s="2">
        <v>44798</v>
      </c>
      <c r="B7888" s="3">
        <v>0.60365740740740736</v>
      </c>
      <c r="C7888">
        <v>5137</v>
      </c>
      <c r="D7888" t="str">
        <f>VLOOKUP(H7888,Produkt!$A$2:$B$5,2,FALSE)</f>
        <v>B</v>
      </c>
      <c r="H7888">
        <v>2</v>
      </c>
      <c r="I7888">
        <v>0.19311342592592592</v>
      </c>
      <c r="J7888">
        <v>44788</v>
      </c>
    </row>
    <row r="7889" spans="1:10" x14ac:dyDescent="0.35">
      <c r="A7889" s="2">
        <v>44798</v>
      </c>
      <c r="B7889" s="3">
        <v>0.95425925925925925</v>
      </c>
      <c r="C7889">
        <v>5314</v>
      </c>
      <c r="D7889" t="str">
        <f>VLOOKUP(H7889,Produkt!$A$2:$B$5,2,FALSE)</f>
        <v>B</v>
      </c>
      <c r="H7889">
        <v>2</v>
      </c>
      <c r="I7889">
        <v>0.59370370370370373</v>
      </c>
      <c r="J7889">
        <v>44778</v>
      </c>
    </row>
    <row r="7890" spans="1:10" x14ac:dyDescent="0.35">
      <c r="A7890" s="2">
        <v>44798</v>
      </c>
      <c r="B7890" s="3">
        <v>0.79108796296296291</v>
      </c>
      <c r="C7890">
        <v>5366</v>
      </c>
      <c r="D7890" t="str">
        <f>VLOOKUP(H7890,Produkt!$A$2:$B$5,2,FALSE)</f>
        <v>C</v>
      </c>
      <c r="H7890">
        <v>3</v>
      </c>
      <c r="I7890">
        <v>0.38760416666666669</v>
      </c>
      <c r="J7890">
        <v>44801</v>
      </c>
    </row>
    <row r="7891" spans="1:10" x14ac:dyDescent="0.35">
      <c r="A7891" s="2">
        <v>44798</v>
      </c>
      <c r="B7891" s="3">
        <v>0.24414351851851854</v>
      </c>
      <c r="C7891">
        <v>5468</v>
      </c>
      <c r="D7891" t="str">
        <f>VLOOKUP(H7891,Produkt!$A$2:$B$5,2,FALSE)</f>
        <v>C</v>
      </c>
      <c r="H7891">
        <v>3</v>
      </c>
      <c r="I7891">
        <v>0.67738425925925927</v>
      </c>
      <c r="J7891">
        <v>44787</v>
      </c>
    </row>
    <row r="7892" spans="1:10" x14ac:dyDescent="0.35">
      <c r="A7892" s="2">
        <v>44798</v>
      </c>
      <c r="B7892" s="3">
        <v>0.89349537037037041</v>
      </c>
      <c r="C7892">
        <v>5470</v>
      </c>
      <c r="D7892" t="str">
        <f>VLOOKUP(H7892,Produkt!$A$2:$B$5,2,FALSE)</f>
        <v>D</v>
      </c>
      <c r="H7892">
        <v>4</v>
      </c>
      <c r="I7892">
        <v>0.25851851851851854</v>
      </c>
      <c r="J7892">
        <v>44798</v>
      </c>
    </row>
    <row r="7893" spans="1:10" x14ac:dyDescent="0.35">
      <c r="A7893" s="2">
        <v>44798</v>
      </c>
      <c r="B7893" s="3">
        <v>0.61843749999999997</v>
      </c>
      <c r="C7893">
        <v>5479</v>
      </c>
      <c r="D7893" t="str">
        <f>VLOOKUP(H7893,Produkt!$A$2:$B$5,2,FALSE)</f>
        <v>C</v>
      </c>
      <c r="H7893">
        <v>3</v>
      </c>
      <c r="I7893">
        <v>0.7270833333333333</v>
      </c>
      <c r="J7893">
        <v>44779</v>
      </c>
    </row>
    <row r="7894" spans="1:10" x14ac:dyDescent="0.35">
      <c r="A7894" s="2">
        <v>44798</v>
      </c>
      <c r="B7894" s="3">
        <v>0.66584490740740743</v>
      </c>
      <c r="C7894">
        <v>5480</v>
      </c>
      <c r="D7894" t="str">
        <f>VLOOKUP(H7894,Produkt!$A$2:$B$5,2,FALSE)</f>
        <v>D</v>
      </c>
      <c r="H7894">
        <v>4</v>
      </c>
      <c r="I7894">
        <v>0.10038194444444444</v>
      </c>
      <c r="J7894">
        <v>44804</v>
      </c>
    </row>
    <row r="7895" spans="1:10" x14ac:dyDescent="0.35">
      <c r="A7895" s="2">
        <v>44798</v>
      </c>
      <c r="B7895" s="3">
        <v>2.119212962962963E-2</v>
      </c>
      <c r="C7895">
        <v>5516</v>
      </c>
      <c r="D7895" t="str">
        <f>VLOOKUP(H7895,Produkt!$A$2:$B$5,2,FALSE)</f>
        <v>A</v>
      </c>
      <c r="H7895">
        <v>1</v>
      </c>
      <c r="I7895">
        <v>0.29292824074074075</v>
      </c>
      <c r="J7895">
        <v>44784</v>
      </c>
    </row>
    <row r="7896" spans="1:10" x14ac:dyDescent="0.35">
      <c r="A7896" s="2">
        <v>44798</v>
      </c>
      <c r="B7896" s="3">
        <v>0.25163194444444442</v>
      </c>
      <c r="C7896">
        <v>5546</v>
      </c>
      <c r="D7896" t="str">
        <f>VLOOKUP(H7896,Produkt!$A$2:$B$5,2,FALSE)</f>
        <v>A</v>
      </c>
      <c r="H7896">
        <v>1</v>
      </c>
      <c r="I7896">
        <v>0.8393518518518519</v>
      </c>
      <c r="J7896">
        <v>44780</v>
      </c>
    </row>
    <row r="7897" spans="1:10" x14ac:dyDescent="0.35">
      <c r="A7897" s="2">
        <v>44798</v>
      </c>
      <c r="B7897" s="3">
        <v>4.1122685185185137E-2</v>
      </c>
      <c r="C7897">
        <v>5591</v>
      </c>
      <c r="D7897" t="str">
        <f>VLOOKUP(H7897,Produkt!$A$2:$B$5,2,FALSE)</f>
        <v>A</v>
      </c>
      <c r="H7897">
        <v>1</v>
      </c>
      <c r="I7897">
        <v>0.50043981481481481</v>
      </c>
      <c r="J7897">
        <v>44790</v>
      </c>
    </row>
    <row r="7898" spans="1:10" x14ac:dyDescent="0.35">
      <c r="A7898" s="2">
        <v>44798</v>
      </c>
      <c r="B7898" s="3">
        <v>0.57840277777777771</v>
      </c>
      <c r="C7898">
        <v>5597</v>
      </c>
      <c r="D7898" t="str">
        <f>VLOOKUP(H7898,Produkt!$A$2:$B$5,2,FALSE)</f>
        <v>D</v>
      </c>
      <c r="H7898">
        <v>4</v>
      </c>
      <c r="I7898">
        <v>0.18819444444444444</v>
      </c>
      <c r="J7898">
        <v>44801</v>
      </c>
    </row>
    <row r="7899" spans="1:10" x14ac:dyDescent="0.35">
      <c r="A7899" s="2">
        <v>44798</v>
      </c>
      <c r="B7899" s="3">
        <v>0.45140046296296293</v>
      </c>
      <c r="C7899">
        <v>5636</v>
      </c>
      <c r="D7899" t="str">
        <f>VLOOKUP(H7899,Produkt!$A$2:$B$5,2,FALSE)</f>
        <v>C</v>
      </c>
      <c r="H7899">
        <v>3</v>
      </c>
      <c r="I7899">
        <v>0.26372685185185185</v>
      </c>
      <c r="J7899">
        <v>44795</v>
      </c>
    </row>
    <row r="7900" spans="1:10" x14ac:dyDescent="0.35">
      <c r="A7900" s="2">
        <v>44798</v>
      </c>
      <c r="B7900" s="3">
        <v>0.90453703703703703</v>
      </c>
      <c r="C7900">
        <v>5673</v>
      </c>
      <c r="D7900" t="str">
        <f>VLOOKUP(H7900,Produkt!$A$2:$B$5,2,FALSE)</f>
        <v>A</v>
      </c>
      <c r="H7900">
        <v>1</v>
      </c>
      <c r="I7900">
        <v>0.69923611111111106</v>
      </c>
      <c r="J7900">
        <v>44783</v>
      </c>
    </row>
    <row r="7901" spans="1:10" x14ac:dyDescent="0.35">
      <c r="A7901" s="2">
        <v>44798</v>
      </c>
      <c r="B7901" s="3">
        <v>0.59009259259259261</v>
      </c>
      <c r="C7901">
        <v>5680</v>
      </c>
      <c r="D7901" t="str">
        <f>VLOOKUP(H7901,Produkt!$A$2:$B$5,2,FALSE)</f>
        <v>B</v>
      </c>
      <c r="H7901">
        <v>2</v>
      </c>
      <c r="I7901">
        <v>2.8043981481481461E-2</v>
      </c>
      <c r="J7901">
        <v>44774</v>
      </c>
    </row>
    <row r="7902" spans="1:10" x14ac:dyDescent="0.35">
      <c r="A7902" s="2">
        <v>44798</v>
      </c>
      <c r="B7902" s="3">
        <v>0.32494212962962959</v>
      </c>
      <c r="C7902">
        <v>5721</v>
      </c>
      <c r="D7902" t="str">
        <f>VLOOKUP(H7902,Produkt!$A$2:$B$5,2,FALSE)</f>
        <v>A</v>
      </c>
      <c r="H7902">
        <v>1</v>
      </c>
      <c r="I7902">
        <v>0.98271990740740733</v>
      </c>
      <c r="J7902">
        <v>44775</v>
      </c>
    </row>
    <row r="7903" spans="1:10" x14ac:dyDescent="0.35">
      <c r="A7903" s="2">
        <v>44798</v>
      </c>
      <c r="B7903" s="3">
        <v>4.1932870370370363E-2</v>
      </c>
      <c r="C7903">
        <v>5826</v>
      </c>
      <c r="D7903" t="str">
        <f>VLOOKUP(H7903,Produkt!$A$2:$B$5,2,FALSE)</f>
        <v>C</v>
      </c>
      <c r="H7903">
        <v>3</v>
      </c>
      <c r="I7903">
        <v>0.92341435185185183</v>
      </c>
      <c r="J7903">
        <v>44782</v>
      </c>
    </row>
    <row r="7904" spans="1:10" x14ac:dyDescent="0.35">
      <c r="A7904" s="2">
        <v>44798</v>
      </c>
      <c r="B7904" s="3">
        <v>0.6661111111111111</v>
      </c>
      <c r="C7904">
        <v>5904</v>
      </c>
      <c r="D7904" t="str">
        <f>VLOOKUP(H7904,Produkt!$A$2:$B$5,2,FALSE)</f>
        <v>A</v>
      </c>
      <c r="H7904">
        <v>1</v>
      </c>
      <c r="I7904">
        <v>0.94248842592592597</v>
      </c>
      <c r="J7904">
        <v>44783</v>
      </c>
    </row>
    <row r="7905" spans="1:10" x14ac:dyDescent="0.35">
      <c r="A7905" s="2">
        <v>44798</v>
      </c>
      <c r="B7905" s="3">
        <v>0.45770833333333333</v>
      </c>
      <c r="C7905">
        <v>5927</v>
      </c>
      <c r="D7905" t="str">
        <f>VLOOKUP(H7905,Produkt!$A$2:$B$5,2,FALSE)</f>
        <v>A</v>
      </c>
      <c r="H7905">
        <v>1</v>
      </c>
      <c r="I7905">
        <v>0.75025462962962963</v>
      </c>
      <c r="J7905">
        <v>44780</v>
      </c>
    </row>
    <row r="7906" spans="1:10" x14ac:dyDescent="0.35">
      <c r="A7906" s="2">
        <v>44798</v>
      </c>
      <c r="B7906" s="3">
        <v>0.51976851851851846</v>
      </c>
      <c r="C7906">
        <v>5942</v>
      </c>
      <c r="D7906" t="str">
        <f>VLOOKUP(H7906,Produkt!$A$2:$B$5,2,FALSE)</f>
        <v>D</v>
      </c>
      <c r="H7906">
        <v>4</v>
      </c>
      <c r="I7906">
        <v>0.65593749999999995</v>
      </c>
      <c r="J7906">
        <v>44781</v>
      </c>
    </row>
    <row r="7907" spans="1:10" x14ac:dyDescent="0.35">
      <c r="A7907" s="2">
        <v>44798</v>
      </c>
      <c r="B7907" s="3">
        <v>0.88295138888888891</v>
      </c>
      <c r="C7907">
        <v>6017</v>
      </c>
      <c r="D7907" t="str">
        <f>VLOOKUP(H7907,Produkt!$A$2:$B$5,2,FALSE)</f>
        <v>B</v>
      </c>
      <c r="H7907">
        <v>2</v>
      </c>
      <c r="I7907">
        <v>0.16546296296296295</v>
      </c>
      <c r="J7907">
        <v>44787</v>
      </c>
    </row>
    <row r="7908" spans="1:10" x14ac:dyDescent="0.35">
      <c r="A7908" s="2">
        <v>44798</v>
      </c>
      <c r="B7908" s="3">
        <v>0.7003125</v>
      </c>
      <c r="C7908">
        <v>6049</v>
      </c>
      <c r="D7908" t="str">
        <f>VLOOKUP(H7908,Produkt!$A$2:$B$5,2,FALSE)</f>
        <v>A</v>
      </c>
      <c r="H7908">
        <v>1</v>
      </c>
      <c r="I7908">
        <v>7.314814814814774E-3</v>
      </c>
      <c r="J7908">
        <v>44802</v>
      </c>
    </row>
    <row r="7909" spans="1:10" x14ac:dyDescent="0.35">
      <c r="A7909" s="2">
        <v>44798</v>
      </c>
      <c r="B7909" s="3">
        <v>0.57982638888888893</v>
      </c>
      <c r="C7909">
        <v>6057</v>
      </c>
      <c r="D7909" t="str">
        <f>VLOOKUP(H7909,Produkt!$A$2:$B$5,2,FALSE)</f>
        <v>B</v>
      </c>
      <c r="H7909">
        <v>2</v>
      </c>
      <c r="I7909">
        <v>0.10834490740740742</v>
      </c>
      <c r="J7909">
        <v>44799</v>
      </c>
    </row>
    <row r="7910" spans="1:10" x14ac:dyDescent="0.35">
      <c r="A7910" s="2">
        <v>44798</v>
      </c>
      <c r="B7910" s="3">
        <v>0.10373842592592593</v>
      </c>
      <c r="C7910">
        <v>6143</v>
      </c>
      <c r="D7910" t="str">
        <f>VLOOKUP(H7910,Produkt!$A$2:$B$5,2,FALSE)</f>
        <v>B</v>
      </c>
      <c r="H7910">
        <v>2</v>
      </c>
      <c r="I7910">
        <v>0.60486111111111118</v>
      </c>
      <c r="J7910">
        <v>44802</v>
      </c>
    </row>
    <row r="7911" spans="1:10" x14ac:dyDescent="0.35">
      <c r="A7911" s="2">
        <v>44798</v>
      </c>
      <c r="B7911" s="3">
        <v>0.95868055555555554</v>
      </c>
      <c r="C7911">
        <v>6194</v>
      </c>
      <c r="D7911" t="str">
        <f>VLOOKUP(H7911,Produkt!$A$2:$B$5,2,FALSE)</f>
        <v>B</v>
      </c>
      <c r="H7911">
        <v>2</v>
      </c>
      <c r="I7911">
        <v>0.57855324074074077</v>
      </c>
      <c r="J7911">
        <v>44795</v>
      </c>
    </row>
    <row r="7912" spans="1:10" x14ac:dyDescent="0.35">
      <c r="A7912" s="2">
        <v>44798</v>
      </c>
      <c r="B7912" s="3">
        <v>0.33753472222222225</v>
      </c>
      <c r="C7912">
        <v>6232</v>
      </c>
      <c r="D7912" t="str">
        <f>VLOOKUP(H7912,Produkt!$A$2:$B$5,2,FALSE)</f>
        <v>C</v>
      </c>
      <c r="H7912">
        <v>3</v>
      </c>
      <c r="I7912">
        <v>0.39159722222222221</v>
      </c>
      <c r="J7912">
        <v>44795</v>
      </c>
    </row>
    <row r="7913" spans="1:10" x14ac:dyDescent="0.35">
      <c r="A7913" s="2">
        <v>44798</v>
      </c>
      <c r="B7913" s="3">
        <v>6.0659722222222219E-2</v>
      </c>
      <c r="C7913">
        <v>6241</v>
      </c>
      <c r="D7913" t="str">
        <f>VLOOKUP(H7913,Produkt!$A$2:$B$5,2,FALSE)</f>
        <v>C</v>
      </c>
      <c r="H7913">
        <v>3</v>
      </c>
      <c r="I7913">
        <v>1.6643518518518519E-2</v>
      </c>
      <c r="J7913">
        <v>44790</v>
      </c>
    </row>
    <row r="7914" spans="1:10" x14ac:dyDescent="0.35">
      <c r="A7914" s="2">
        <v>44798</v>
      </c>
      <c r="B7914" s="3">
        <v>0.31016203703703704</v>
      </c>
      <c r="C7914">
        <v>6251</v>
      </c>
      <c r="D7914" t="str">
        <f>VLOOKUP(H7914,Produkt!$A$2:$B$5,2,FALSE)</f>
        <v>A</v>
      </c>
      <c r="H7914">
        <v>1</v>
      </c>
      <c r="I7914">
        <v>0.94196759259259266</v>
      </c>
      <c r="J7914">
        <v>44789</v>
      </c>
    </row>
    <row r="7915" spans="1:10" x14ac:dyDescent="0.35">
      <c r="A7915" s="2">
        <v>44798</v>
      </c>
      <c r="B7915" s="3">
        <v>0.75710648148148152</v>
      </c>
      <c r="C7915">
        <v>6252</v>
      </c>
      <c r="D7915" t="str">
        <f>VLOOKUP(H7915,Produkt!$A$2:$B$5,2,FALSE)</f>
        <v>C</v>
      </c>
      <c r="H7915">
        <v>3</v>
      </c>
      <c r="I7915">
        <v>0.9014699074074074</v>
      </c>
      <c r="J7915">
        <v>44796</v>
      </c>
    </row>
    <row r="7916" spans="1:10" x14ac:dyDescent="0.35">
      <c r="A7916" s="2">
        <v>44798</v>
      </c>
      <c r="B7916" s="3">
        <v>0.77016203703703701</v>
      </c>
      <c r="C7916">
        <v>6263</v>
      </c>
      <c r="D7916" t="str">
        <f>VLOOKUP(H7916,Produkt!$A$2:$B$5,2,FALSE)</f>
        <v>A</v>
      </c>
      <c r="H7916">
        <v>1</v>
      </c>
      <c r="I7916">
        <v>0.5131944444444444</v>
      </c>
      <c r="J7916">
        <v>44798</v>
      </c>
    </row>
    <row r="7917" spans="1:10" x14ac:dyDescent="0.35">
      <c r="A7917" s="2">
        <v>44798</v>
      </c>
      <c r="B7917" s="3">
        <v>0.35729166666666662</v>
      </c>
      <c r="C7917">
        <v>6290</v>
      </c>
      <c r="D7917" t="str">
        <f>VLOOKUP(H7917,Produkt!$A$2:$B$5,2,FALSE)</f>
        <v>D</v>
      </c>
      <c r="H7917">
        <v>4</v>
      </c>
      <c r="I7917">
        <v>0.34206018518518522</v>
      </c>
      <c r="J7917">
        <v>44790</v>
      </c>
    </row>
    <row r="7918" spans="1:10" x14ac:dyDescent="0.35">
      <c r="A7918" s="2">
        <v>44798</v>
      </c>
      <c r="B7918" s="3">
        <v>0.55320601851851847</v>
      </c>
      <c r="C7918">
        <v>6302</v>
      </c>
      <c r="D7918" t="str">
        <f>VLOOKUP(H7918,Produkt!$A$2:$B$5,2,FALSE)</f>
        <v>C</v>
      </c>
      <c r="H7918">
        <v>3</v>
      </c>
      <c r="I7918">
        <v>0.15487268518518518</v>
      </c>
      <c r="J7918">
        <v>44790</v>
      </c>
    </row>
    <row r="7919" spans="1:10" x14ac:dyDescent="0.35">
      <c r="A7919" s="2">
        <v>44798</v>
      </c>
      <c r="B7919" s="3">
        <v>7.4305555555555555E-2</v>
      </c>
      <c r="C7919">
        <v>6308</v>
      </c>
      <c r="D7919" t="str">
        <f>VLOOKUP(H7919,Produkt!$A$2:$B$5,2,FALSE)</f>
        <v>D</v>
      </c>
      <c r="H7919">
        <v>4</v>
      </c>
      <c r="I7919">
        <v>9.8969907407407409E-2</v>
      </c>
      <c r="J7919">
        <v>44785</v>
      </c>
    </row>
    <row r="7920" spans="1:10" x14ac:dyDescent="0.35">
      <c r="A7920" s="2">
        <v>44798</v>
      </c>
      <c r="B7920" s="3">
        <v>0.78436342592592589</v>
      </c>
      <c r="C7920">
        <v>6313</v>
      </c>
      <c r="D7920" t="str">
        <f>VLOOKUP(H7920,Produkt!$A$2:$B$5,2,FALSE)</f>
        <v>B</v>
      </c>
      <c r="H7920">
        <v>2</v>
      </c>
      <c r="I7920">
        <v>0.10398148148148149</v>
      </c>
      <c r="J7920">
        <v>44788</v>
      </c>
    </row>
    <row r="7921" spans="1:10" x14ac:dyDescent="0.35">
      <c r="A7921" s="2">
        <v>44798</v>
      </c>
      <c r="B7921" s="3">
        <v>3.159722222222161E-3</v>
      </c>
      <c r="C7921">
        <v>6325</v>
      </c>
      <c r="D7921" t="str">
        <f>VLOOKUP(H7921,Produkt!$A$2:$B$5,2,FALSE)</f>
        <v>C</v>
      </c>
      <c r="H7921">
        <v>3</v>
      </c>
      <c r="I7921">
        <v>0.28804398148148147</v>
      </c>
      <c r="J7921">
        <v>44780</v>
      </c>
    </row>
    <row r="7922" spans="1:10" x14ac:dyDescent="0.35">
      <c r="A7922" s="2">
        <v>44798</v>
      </c>
      <c r="B7922" s="3">
        <v>0.53194444444444444</v>
      </c>
      <c r="C7922">
        <v>6395</v>
      </c>
      <c r="D7922" t="str">
        <f>VLOOKUP(H7922,Produkt!$A$2:$B$5,2,FALSE)</f>
        <v>B</v>
      </c>
      <c r="H7922">
        <v>2</v>
      </c>
      <c r="I7922">
        <v>0.13999999999999999</v>
      </c>
      <c r="J7922">
        <v>44779</v>
      </c>
    </row>
    <row r="7923" spans="1:10" x14ac:dyDescent="0.35">
      <c r="A7923" s="2">
        <v>44798</v>
      </c>
      <c r="B7923" s="3">
        <v>0.1105324074074074</v>
      </c>
      <c r="C7923">
        <v>6412</v>
      </c>
      <c r="D7923" t="str">
        <f>VLOOKUP(H7923,Produkt!$A$2:$B$5,2,FALSE)</f>
        <v>B</v>
      </c>
      <c r="H7923">
        <v>2</v>
      </c>
      <c r="I7923">
        <v>0.45840277777777777</v>
      </c>
      <c r="J7923">
        <v>44795</v>
      </c>
    </row>
    <row r="7924" spans="1:10" x14ac:dyDescent="0.35">
      <c r="A7924" s="2">
        <v>44798</v>
      </c>
      <c r="B7924" s="3">
        <v>0.92325231481481485</v>
      </c>
      <c r="C7924">
        <v>6413</v>
      </c>
      <c r="D7924" t="str">
        <f>VLOOKUP(H7924,Produkt!$A$2:$B$5,2,FALSE)</f>
        <v>C</v>
      </c>
      <c r="H7924">
        <v>3</v>
      </c>
      <c r="I7924">
        <v>0.57578703703703704</v>
      </c>
      <c r="J7924">
        <v>44800</v>
      </c>
    </row>
    <row r="7925" spans="1:10" x14ac:dyDescent="0.35">
      <c r="A7925" s="2">
        <v>44798</v>
      </c>
      <c r="B7925" s="3">
        <v>0.12535879629629629</v>
      </c>
      <c r="C7925">
        <v>6417</v>
      </c>
      <c r="D7925" t="str">
        <f>VLOOKUP(H7925,Produkt!$A$2:$B$5,2,FALSE)</f>
        <v>D</v>
      </c>
      <c r="H7925">
        <v>4</v>
      </c>
      <c r="I7925">
        <v>4.7002314814814816E-2</v>
      </c>
      <c r="J7925">
        <v>44778</v>
      </c>
    </row>
    <row r="7926" spans="1:10" x14ac:dyDescent="0.35">
      <c r="A7926" s="2">
        <v>44798</v>
      </c>
      <c r="B7926" s="3">
        <v>0.6592824074074074</v>
      </c>
      <c r="C7926">
        <v>6429</v>
      </c>
      <c r="D7926" t="str">
        <f>VLOOKUP(H7926,Produkt!$A$2:$B$5,2,FALSE)</f>
        <v>A</v>
      </c>
      <c r="H7926">
        <v>1</v>
      </c>
      <c r="I7926">
        <v>0.25975694444444447</v>
      </c>
      <c r="J7926">
        <v>44781</v>
      </c>
    </row>
    <row r="7927" spans="1:10" x14ac:dyDescent="0.35">
      <c r="A7927" s="2">
        <v>44798</v>
      </c>
      <c r="B7927" s="3">
        <v>0.20409722222222224</v>
      </c>
      <c r="C7927">
        <v>6485</v>
      </c>
      <c r="D7927" t="str">
        <f>VLOOKUP(H7927,Produkt!$A$2:$B$5,2,FALSE)</f>
        <v>B</v>
      </c>
      <c r="H7927">
        <v>2</v>
      </c>
      <c r="I7927">
        <v>0.11230324074074073</v>
      </c>
      <c r="J7927">
        <v>44782</v>
      </c>
    </row>
    <row r="7928" spans="1:10" x14ac:dyDescent="0.35">
      <c r="A7928" s="2">
        <v>44798</v>
      </c>
      <c r="B7928" s="3">
        <v>0.51395833333333341</v>
      </c>
      <c r="C7928">
        <v>6506</v>
      </c>
      <c r="D7928" t="str">
        <f>VLOOKUP(H7928,Produkt!$A$2:$B$5,2,FALSE)</f>
        <v>B</v>
      </c>
      <c r="H7928">
        <v>2</v>
      </c>
      <c r="I7928">
        <v>0.11387731481481482</v>
      </c>
      <c r="J7928">
        <v>44793</v>
      </c>
    </row>
    <row r="7929" spans="1:10" x14ac:dyDescent="0.35">
      <c r="A7929" s="2">
        <v>44798</v>
      </c>
      <c r="B7929" s="3">
        <v>0.23436342592592593</v>
      </c>
      <c r="C7929">
        <v>6508</v>
      </c>
      <c r="D7929" t="str">
        <f>VLOOKUP(H7929,Produkt!$A$2:$B$5,2,FALSE)</f>
        <v>C</v>
      </c>
      <c r="H7929">
        <v>3</v>
      </c>
      <c r="I7929">
        <v>0.88402777777777775</v>
      </c>
      <c r="J7929">
        <v>44784</v>
      </c>
    </row>
    <row r="7930" spans="1:10" x14ac:dyDescent="0.35">
      <c r="A7930" s="2">
        <v>44798</v>
      </c>
      <c r="B7930" s="3">
        <v>0.91358796296296296</v>
      </c>
      <c r="C7930">
        <v>6595</v>
      </c>
      <c r="D7930" t="str">
        <f>VLOOKUP(H7930,Produkt!$A$2:$B$5,2,FALSE)</f>
        <v>A</v>
      </c>
      <c r="H7930">
        <v>1</v>
      </c>
      <c r="I7930">
        <v>0.51013888888888892</v>
      </c>
      <c r="J7930">
        <v>44775</v>
      </c>
    </row>
    <row r="7931" spans="1:10" x14ac:dyDescent="0.35">
      <c r="A7931" s="2">
        <v>44798</v>
      </c>
      <c r="B7931" s="3">
        <v>0.32997685185185183</v>
      </c>
      <c r="C7931">
        <v>6629</v>
      </c>
      <c r="D7931" t="str">
        <f>VLOOKUP(H7931,Produkt!$A$2:$B$5,2,FALSE)</f>
        <v>B</v>
      </c>
      <c r="H7931">
        <v>2</v>
      </c>
      <c r="I7931">
        <v>0.18086805555555555</v>
      </c>
      <c r="J7931">
        <v>44795</v>
      </c>
    </row>
    <row r="7932" spans="1:10" x14ac:dyDescent="0.35">
      <c r="A7932" s="2">
        <v>44798</v>
      </c>
      <c r="B7932" s="3">
        <v>0.64218750000000002</v>
      </c>
      <c r="C7932">
        <v>6643</v>
      </c>
      <c r="D7932" t="str">
        <f>VLOOKUP(H7932,Produkt!$A$2:$B$5,2,FALSE)</f>
        <v>C</v>
      </c>
      <c r="H7932">
        <v>3</v>
      </c>
      <c r="I7932">
        <v>0.85282407407407401</v>
      </c>
      <c r="J7932">
        <v>44793</v>
      </c>
    </row>
    <row r="7933" spans="1:10" x14ac:dyDescent="0.35">
      <c r="A7933" s="2">
        <v>44798</v>
      </c>
      <c r="B7933" s="3">
        <v>0.62526620370370367</v>
      </c>
      <c r="C7933">
        <v>6673</v>
      </c>
      <c r="D7933" t="str">
        <f>VLOOKUP(H7933,Produkt!$A$2:$B$5,2,FALSE)</f>
        <v>D</v>
      </c>
      <c r="H7933">
        <v>4</v>
      </c>
      <c r="I7933">
        <v>0.95754629629629628</v>
      </c>
      <c r="J7933">
        <v>44781</v>
      </c>
    </row>
    <row r="7934" spans="1:10" x14ac:dyDescent="0.35">
      <c r="A7934" s="2">
        <v>44798</v>
      </c>
      <c r="B7934" s="3">
        <v>0.2678935185185185</v>
      </c>
      <c r="C7934">
        <v>6693</v>
      </c>
      <c r="D7934" t="str">
        <f>VLOOKUP(H7934,Produkt!$A$2:$B$5,2,FALSE)</f>
        <v>C</v>
      </c>
      <c r="H7934">
        <v>3</v>
      </c>
      <c r="I7934">
        <v>0.95959490740740738</v>
      </c>
      <c r="J7934">
        <v>44786</v>
      </c>
    </row>
    <row r="7935" spans="1:10" x14ac:dyDescent="0.35">
      <c r="A7935" s="2">
        <v>44798</v>
      </c>
      <c r="B7935" s="3">
        <v>0.50575231481481475</v>
      </c>
      <c r="C7935">
        <v>6713</v>
      </c>
      <c r="D7935" t="str">
        <f>VLOOKUP(H7935,Produkt!$A$2:$B$5,2,FALSE)</f>
        <v>C</v>
      </c>
      <c r="H7935">
        <v>3</v>
      </c>
      <c r="I7935">
        <v>0.52758101851851846</v>
      </c>
      <c r="J7935">
        <v>44795</v>
      </c>
    </row>
    <row r="7936" spans="1:10" x14ac:dyDescent="0.35">
      <c r="A7936" s="2">
        <v>44798</v>
      </c>
      <c r="B7936" s="3">
        <v>0.27678240740740739</v>
      </c>
      <c r="C7936">
        <v>6720</v>
      </c>
      <c r="D7936" t="str">
        <f>VLOOKUP(H7936,Produkt!$A$2:$B$5,2,FALSE)</f>
        <v>B</v>
      </c>
      <c r="H7936">
        <v>2</v>
      </c>
      <c r="I7936">
        <v>0.65665509259259258</v>
      </c>
      <c r="J7936">
        <v>44798</v>
      </c>
    </row>
    <row r="7937" spans="1:10" x14ac:dyDescent="0.35">
      <c r="A7937" s="2">
        <v>44798</v>
      </c>
      <c r="B7937" s="3">
        <v>0.71875</v>
      </c>
      <c r="C7937">
        <v>6727</v>
      </c>
      <c r="D7937" t="str">
        <f>VLOOKUP(H7937,Produkt!$A$2:$B$5,2,FALSE)</f>
        <v>A</v>
      </c>
      <c r="H7937">
        <v>1</v>
      </c>
      <c r="I7937">
        <v>0.2320601851851852</v>
      </c>
      <c r="J7937">
        <v>44801</v>
      </c>
    </row>
    <row r="7938" spans="1:10" x14ac:dyDescent="0.35">
      <c r="A7938" s="2">
        <v>44798</v>
      </c>
      <c r="B7938" s="3">
        <v>0.57089120370370372</v>
      </c>
      <c r="C7938">
        <v>6821</v>
      </c>
      <c r="D7938" t="str">
        <f>VLOOKUP(H7938,Produkt!$A$2:$B$5,2,FALSE)</f>
        <v>B</v>
      </c>
      <c r="H7938">
        <v>2</v>
      </c>
      <c r="I7938">
        <v>3.3414351851851931E-2</v>
      </c>
      <c r="J7938">
        <v>44804</v>
      </c>
    </row>
    <row r="7939" spans="1:10" x14ac:dyDescent="0.35">
      <c r="A7939" s="2">
        <v>44798</v>
      </c>
      <c r="B7939" s="3">
        <v>0.47870370370370369</v>
      </c>
      <c r="C7939">
        <v>6828</v>
      </c>
      <c r="D7939" t="str">
        <f>VLOOKUP(H7939,Produkt!$A$2:$B$5,2,FALSE)</f>
        <v>C</v>
      </c>
      <c r="H7939">
        <v>3</v>
      </c>
      <c r="I7939">
        <v>0.11859953703703703</v>
      </c>
      <c r="J7939">
        <v>44787</v>
      </c>
    </row>
    <row r="7940" spans="1:10" x14ac:dyDescent="0.35">
      <c r="A7940" s="2">
        <v>44798</v>
      </c>
      <c r="B7940" s="3">
        <v>0.26237268518518519</v>
      </c>
      <c r="C7940">
        <v>6831</v>
      </c>
      <c r="D7940" t="str">
        <f>VLOOKUP(H7940,Produkt!$A$2:$B$5,2,FALSE)</f>
        <v>C</v>
      </c>
      <c r="H7940">
        <v>3</v>
      </c>
      <c r="I7940">
        <v>0.61496527777777776</v>
      </c>
      <c r="J7940">
        <v>44774</v>
      </c>
    </row>
    <row r="7941" spans="1:10" x14ac:dyDescent="0.35">
      <c r="A7941" s="2">
        <v>44798</v>
      </c>
      <c r="B7941" s="3">
        <v>0.3263888888888889</v>
      </c>
      <c r="C7941">
        <v>6833</v>
      </c>
      <c r="D7941" t="str">
        <f>VLOOKUP(H7941,Produkt!$A$2:$B$5,2,FALSE)</f>
        <v>B</v>
      </c>
      <c r="H7941">
        <v>2</v>
      </c>
      <c r="I7941">
        <v>0.86305555555555558</v>
      </c>
      <c r="J7941">
        <v>44802</v>
      </c>
    </row>
    <row r="7942" spans="1:10" x14ac:dyDescent="0.35">
      <c r="A7942" s="2">
        <v>44798</v>
      </c>
      <c r="B7942" s="3">
        <v>0.23952546296296295</v>
      </c>
      <c r="C7942">
        <v>6887</v>
      </c>
      <c r="D7942" t="str">
        <f>VLOOKUP(H7942,Produkt!$A$2:$B$5,2,FALSE)</f>
        <v>C</v>
      </c>
      <c r="H7942">
        <v>3</v>
      </c>
      <c r="I7942">
        <v>4.9618055555555561E-2</v>
      </c>
      <c r="J7942">
        <v>44789</v>
      </c>
    </row>
    <row r="7943" spans="1:10" x14ac:dyDescent="0.35">
      <c r="A7943" s="2">
        <v>44798</v>
      </c>
      <c r="B7943" s="3">
        <v>0.48313657407407407</v>
      </c>
      <c r="C7943">
        <v>6926</v>
      </c>
      <c r="D7943" t="str">
        <f>VLOOKUP(H7943,Produkt!$A$2:$B$5,2,FALSE)</f>
        <v>D</v>
      </c>
      <c r="H7943">
        <v>4</v>
      </c>
      <c r="I7943">
        <v>0.39534722222222224</v>
      </c>
      <c r="J7943">
        <v>44793</v>
      </c>
    </row>
    <row r="7944" spans="1:10" x14ac:dyDescent="0.35">
      <c r="A7944" s="2">
        <v>44798</v>
      </c>
      <c r="B7944" s="3">
        <v>0.20836805555555557</v>
      </c>
      <c r="C7944">
        <v>6953</v>
      </c>
      <c r="D7944" t="str">
        <f>VLOOKUP(H7944,Produkt!$A$2:$B$5,2,FALSE)</f>
        <v>B</v>
      </c>
      <c r="H7944">
        <v>2</v>
      </c>
      <c r="I7944">
        <v>0.53634259259259254</v>
      </c>
      <c r="J7944">
        <v>44803</v>
      </c>
    </row>
    <row r="7945" spans="1:10" x14ac:dyDescent="0.35">
      <c r="A7945" s="2">
        <v>44798</v>
      </c>
      <c r="B7945" s="3">
        <v>0.3132638888888889</v>
      </c>
      <c r="C7945">
        <v>6972</v>
      </c>
      <c r="D7945" t="str">
        <f>VLOOKUP(H7945,Produkt!$A$2:$B$5,2,FALSE)</f>
        <v>A</v>
      </c>
      <c r="H7945">
        <v>1</v>
      </c>
      <c r="I7945">
        <v>0.34509259259259256</v>
      </c>
      <c r="J7945">
        <v>44784</v>
      </c>
    </row>
    <row r="7946" spans="1:10" x14ac:dyDescent="0.35">
      <c r="A7946" s="2">
        <v>44798</v>
      </c>
      <c r="B7946" s="3">
        <v>0.6060416666666667</v>
      </c>
      <c r="C7946">
        <v>6975</v>
      </c>
      <c r="D7946" t="str">
        <f>VLOOKUP(H7946,Produkt!$A$2:$B$5,2,FALSE)</f>
        <v>D</v>
      </c>
      <c r="H7946">
        <v>4</v>
      </c>
      <c r="I7946">
        <v>0.63932870370370376</v>
      </c>
      <c r="J7946">
        <v>44796</v>
      </c>
    </row>
    <row r="7947" spans="1:10" x14ac:dyDescent="0.35">
      <c r="A7947" s="2">
        <v>44798</v>
      </c>
      <c r="B7947" s="3">
        <v>0.15774305555555554</v>
      </c>
      <c r="C7947">
        <v>7040</v>
      </c>
      <c r="D7947" t="str">
        <f>VLOOKUP(H7947,Produkt!$A$2:$B$5,2,FALSE)</f>
        <v>A</v>
      </c>
      <c r="H7947">
        <v>1</v>
      </c>
      <c r="I7947">
        <v>7.4537037037036846E-3</v>
      </c>
      <c r="J7947">
        <v>44794</v>
      </c>
    </row>
    <row r="7948" spans="1:10" x14ac:dyDescent="0.35">
      <c r="A7948" s="2">
        <v>44798</v>
      </c>
      <c r="B7948" s="3">
        <v>0.21018518518518517</v>
      </c>
      <c r="C7948">
        <v>7042</v>
      </c>
      <c r="D7948" t="str">
        <f>VLOOKUP(H7948,Produkt!$A$2:$B$5,2,FALSE)</f>
        <v>C</v>
      </c>
      <c r="H7948">
        <v>3</v>
      </c>
      <c r="I7948">
        <v>0.95898148148148143</v>
      </c>
      <c r="J7948">
        <v>44802</v>
      </c>
    </row>
    <row r="7949" spans="1:10" x14ac:dyDescent="0.35">
      <c r="A7949" s="2">
        <v>44798</v>
      </c>
      <c r="B7949" s="3">
        <v>0.65592592592592591</v>
      </c>
      <c r="C7949">
        <v>7103</v>
      </c>
      <c r="D7949" t="str">
        <f>VLOOKUP(H7949,Produkt!$A$2:$B$5,2,FALSE)</f>
        <v>B</v>
      </c>
      <c r="H7949">
        <v>2</v>
      </c>
      <c r="I7949">
        <v>0.39186342592592593</v>
      </c>
      <c r="J7949">
        <v>44787</v>
      </c>
    </row>
    <row r="7950" spans="1:10" x14ac:dyDescent="0.35">
      <c r="A7950" s="2">
        <v>44798</v>
      </c>
      <c r="B7950" s="3">
        <v>0.91041666666666676</v>
      </c>
      <c r="C7950">
        <v>7204</v>
      </c>
      <c r="D7950" t="str">
        <f>VLOOKUP(H7950,Produkt!$A$2:$B$5,2,FALSE)</f>
        <v>D</v>
      </c>
      <c r="H7950">
        <v>4</v>
      </c>
      <c r="I7950">
        <v>2.7789351851851853E-2</v>
      </c>
      <c r="J7950">
        <v>44785</v>
      </c>
    </row>
    <row r="7951" spans="1:10" x14ac:dyDescent="0.35">
      <c r="A7951" s="2">
        <v>44798</v>
      </c>
      <c r="B7951" s="3">
        <v>0.67332175925925919</v>
      </c>
      <c r="C7951">
        <v>7210</v>
      </c>
      <c r="D7951" t="str">
        <f>VLOOKUP(H7951,Produkt!$A$2:$B$5,2,FALSE)</f>
        <v>B</v>
      </c>
      <c r="H7951">
        <v>2</v>
      </c>
      <c r="I7951">
        <v>0.50630787037037039</v>
      </c>
      <c r="J7951">
        <v>44798</v>
      </c>
    </row>
    <row r="7952" spans="1:10" x14ac:dyDescent="0.35">
      <c r="A7952" s="2">
        <v>44798</v>
      </c>
      <c r="B7952" s="3">
        <v>0.23609953703703704</v>
      </c>
      <c r="C7952">
        <v>7245</v>
      </c>
      <c r="D7952" t="str">
        <f>VLOOKUP(H7952,Produkt!$A$2:$B$5,2,FALSE)</f>
        <v>A</v>
      </c>
      <c r="H7952">
        <v>1</v>
      </c>
      <c r="I7952">
        <v>0.86017361111111112</v>
      </c>
      <c r="J7952">
        <v>44787</v>
      </c>
    </row>
    <row r="7953" spans="1:10" x14ac:dyDescent="0.35">
      <c r="A7953" s="2">
        <v>44798</v>
      </c>
      <c r="B7953" s="3">
        <v>1.375E-2</v>
      </c>
      <c r="C7953">
        <v>7279</v>
      </c>
      <c r="D7953" t="str">
        <f>VLOOKUP(H7953,Produkt!$A$2:$B$5,2,FALSE)</f>
        <v>B</v>
      </c>
      <c r="H7953">
        <v>2</v>
      </c>
      <c r="I7953">
        <v>0.85103009259259255</v>
      </c>
      <c r="J7953">
        <v>44786</v>
      </c>
    </row>
    <row r="7954" spans="1:10" x14ac:dyDescent="0.35">
      <c r="A7954" s="2">
        <v>44798</v>
      </c>
      <c r="B7954" s="3">
        <v>0.81127314814814822</v>
      </c>
      <c r="C7954">
        <v>7366</v>
      </c>
      <c r="D7954" t="str">
        <f>VLOOKUP(H7954,Produkt!$A$2:$B$5,2,FALSE)</f>
        <v>A</v>
      </c>
      <c r="H7954">
        <v>1</v>
      </c>
      <c r="I7954">
        <v>0.78795138888888883</v>
      </c>
      <c r="J7954">
        <v>44774</v>
      </c>
    </row>
    <row r="7955" spans="1:10" x14ac:dyDescent="0.35">
      <c r="A7955" s="2">
        <v>44798</v>
      </c>
      <c r="B7955" s="3">
        <v>0.89623842592592595</v>
      </c>
      <c r="C7955">
        <v>7382</v>
      </c>
      <c r="D7955" t="str">
        <f>VLOOKUP(H7955,Produkt!$A$2:$B$5,2,FALSE)</f>
        <v>B</v>
      </c>
      <c r="H7955">
        <v>2</v>
      </c>
      <c r="I7955">
        <v>0.72385416666666658</v>
      </c>
      <c r="J7955">
        <v>44787</v>
      </c>
    </row>
    <row r="7956" spans="1:10" x14ac:dyDescent="0.35">
      <c r="A7956" s="2">
        <v>44798</v>
      </c>
      <c r="B7956" s="3">
        <v>0.14674768518518519</v>
      </c>
      <c r="C7956">
        <v>7420</v>
      </c>
      <c r="D7956" t="str">
        <f>VLOOKUP(H7956,Produkt!$A$2:$B$5,2,FALSE)</f>
        <v>A</v>
      </c>
      <c r="H7956">
        <v>1</v>
      </c>
      <c r="I7956">
        <v>0.92177083333333332</v>
      </c>
      <c r="J7956">
        <v>44794</v>
      </c>
    </row>
    <row r="7957" spans="1:10" x14ac:dyDescent="0.35">
      <c r="A7957" s="2">
        <v>44798</v>
      </c>
      <c r="B7957" s="3">
        <v>0.90499999999999992</v>
      </c>
      <c r="C7957">
        <v>7426</v>
      </c>
      <c r="D7957" t="str">
        <f>VLOOKUP(H7957,Produkt!$A$2:$B$5,2,FALSE)</f>
        <v>D</v>
      </c>
      <c r="H7957">
        <v>4</v>
      </c>
      <c r="I7957">
        <v>0.19525462962962961</v>
      </c>
      <c r="J7957">
        <v>44803</v>
      </c>
    </row>
    <row r="7958" spans="1:10" x14ac:dyDescent="0.35">
      <c r="A7958" s="2">
        <v>44798</v>
      </c>
      <c r="B7958" s="3">
        <v>0.9563194444444445</v>
      </c>
      <c r="C7958">
        <v>7442</v>
      </c>
      <c r="D7958" t="str">
        <f>VLOOKUP(H7958,Produkt!$A$2:$B$5,2,FALSE)</f>
        <v>D</v>
      </c>
      <c r="H7958">
        <v>4</v>
      </c>
      <c r="I7958">
        <v>0.98211805555555554</v>
      </c>
      <c r="J7958">
        <v>44786</v>
      </c>
    </row>
    <row r="7959" spans="1:10" x14ac:dyDescent="0.35">
      <c r="A7959" s="2">
        <v>44798</v>
      </c>
      <c r="B7959" s="3">
        <v>0.36958333333333332</v>
      </c>
      <c r="C7959">
        <v>7462</v>
      </c>
      <c r="D7959" t="str">
        <f>VLOOKUP(H7959,Produkt!$A$2:$B$5,2,FALSE)</f>
        <v>A</v>
      </c>
      <c r="H7959">
        <v>1</v>
      </c>
      <c r="I7959">
        <v>0.4337037037037037</v>
      </c>
      <c r="J7959">
        <v>44803</v>
      </c>
    </row>
    <row r="7960" spans="1:10" x14ac:dyDescent="0.35">
      <c r="A7960" s="2">
        <v>44798</v>
      </c>
      <c r="B7960" s="3">
        <v>0.15876157407407407</v>
      </c>
      <c r="C7960">
        <v>7523</v>
      </c>
      <c r="D7960" t="str">
        <f>VLOOKUP(H7960,Produkt!$A$2:$B$5,2,FALSE)</f>
        <v>D</v>
      </c>
      <c r="H7960">
        <v>4</v>
      </c>
      <c r="I7960">
        <v>0.53789351851851852</v>
      </c>
      <c r="J7960">
        <v>44797</v>
      </c>
    </row>
    <row r="7961" spans="1:10" x14ac:dyDescent="0.35">
      <c r="A7961" s="2">
        <v>44798</v>
      </c>
      <c r="B7961" s="3">
        <v>0.10591435185185184</v>
      </c>
      <c r="C7961">
        <v>7550</v>
      </c>
      <c r="D7961" t="str">
        <f>VLOOKUP(H7961,Produkt!$A$2:$B$5,2,FALSE)</f>
        <v>A</v>
      </c>
      <c r="H7961">
        <v>1</v>
      </c>
      <c r="I7961">
        <v>0.82996527777777773</v>
      </c>
      <c r="J7961">
        <v>44779</v>
      </c>
    </row>
    <row r="7962" spans="1:10" x14ac:dyDescent="0.35">
      <c r="A7962" s="2">
        <v>44798</v>
      </c>
      <c r="B7962" s="3">
        <v>0.30030092592592594</v>
      </c>
      <c r="C7962">
        <v>7553</v>
      </c>
      <c r="D7962" t="str">
        <f>VLOOKUP(H7962,Produkt!$A$2:$B$5,2,FALSE)</f>
        <v>A</v>
      </c>
      <c r="H7962">
        <v>1</v>
      </c>
      <c r="I7962">
        <v>0.60487268518518522</v>
      </c>
      <c r="J7962">
        <v>44794</v>
      </c>
    </row>
    <row r="7963" spans="1:10" x14ac:dyDescent="0.35">
      <c r="A7963" s="2">
        <v>44798</v>
      </c>
      <c r="B7963" s="3">
        <v>0.30731481481481482</v>
      </c>
      <c r="C7963">
        <v>7642</v>
      </c>
      <c r="D7963" t="str">
        <f>VLOOKUP(H7963,Produkt!$A$2:$B$5,2,FALSE)</f>
        <v>C</v>
      </c>
      <c r="H7963">
        <v>3</v>
      </c>
      <c r="I7963">
        <v>0.12840277777777778</v>
      </c>
      <c r="J7963">
        <v>44782</v>
      </c>
    </row>
    <row r="7964" spans="1:10" x14ac:dyDescent="0.35">
      <c r="A7964" s="2">
        <v>44798</v>
      </c>
      <c r="B7964" s="3">
        <v>0.47833333333333333</v>
      </c>
      <c r="C7964">
        <v>7734</v>
      </c>
      <c r="D7964" t="str">
        <f>VLOOKUP(H7964,Produkt!$A$2:$B$5,2,FALSE)</f>
        <v>C</v>
      </c>
      <c r="H7964">
        <v>3</v>
      </c>
      <c r="I7964">
        <v>0.71934027777777787</v>
      </c>
      <c r="J7964">
        <v>44799</v>
      </c>
    </row>
    <row r="7965" spans="1:10" x14ac:dyDescent="0.35">
      <c r="A7965" s="2">
        <v>44798</v>
      </c>
      <c r="B7965" s="3">
        <v>0.35396990740740741</v>
      </c>
      <c r="C7965">
        <v>7759</v>
      </c>
      <c r="D7965" t="str">
        <f>VLOOKUP(H7965,Produkt!$A$2:$B$5,2,FALSE)</f>
        <v>D</v>
      </c>
      <c r="H7965">
        <v>4</v>
      </c>
      <c r="I7965">
        <v>0.79353009259259266</v>
      </c>
      <c r="J7965">
        <v>44800</v>
      </c>
    </row>
    <row r="7966" spans="1:10" x14ac:dyDescent="0.35">
      <c r="A7966" s="2">
        <v>44798</v>
      </c>
      <c r="B7966" s="3">
        <v>1.3321759259259261E-2</v>
      </c>
      <c r="C7966">
        <v>7765</v>
      </c>
      <c r="D7966" t="str">
        <f>VLOOKUP(H7966,Produkt!$A$2:$B$5,2,FALSE)</f>
        <v>D</v>
      </c>
      <c r="H7966">
        <v>4</v>
      </c>
      <c r="I7966">
        <v>0.81343750000000004</v>
      </c>
      <c r="J7966">
        <v>44779</v>
      </c>
    </row>
    <row r="7967" spans="1:10" x14ac:dyDescent="0.35">
      <c r="A7967" s="2">
        <v>44798</v>
      </c>
      <c r="B7967" s="3">
        <v>6.5104166666666671E-2</v>
      </c>
      <c r="C7967">
        <v>7774</v>
      </c>
      <c r="D7967" t="str">
        <f>VLOOKUP(H7967,Produkt!$A$2:$B$5,2,FALSE)</f>
        <v>C</v>
      </c>
      <c r="H7967">
        <v>3</v>
      </c>
      <c r="I7967">
        <v>1.1539351851851842E-2</v>
      </c>
      <c r="J7967">
        <v>44789</v>
      </c>
    </row>
    <row r="7968" spans="1:10" x14ac:dyDescent="0.35">
      <c r="A7968" s="2">
        <v>44798</v>
      </c>
      <c r="B7968" s="3">
        <v>0.14780092592592595</v>
      </c>
      <c r="C7968">
        <v>7788</v>
      </c>
      <c r="D7968" t="str">
        <f>VLOOKUP(H7968,Produkt!$A$2:$B$5,2,FALSE)</f>
        <v>A</v>
      </c>
      <c r="H7968">
        <v>1</v>
      </c>
      <c r="I7968">
        <v>0.22872685185185185</v>
      </c>
      <c r="J7968">
        <v>44800</v>
      </c>
    </row>
    <row r="7969" spans="1:10" x14ac:dyDescent="0.35">
      <c r="A7969" s="2">
        <v>44798</v>
      </c>
      <c r="B7969" s="3">
        <v>0.72187499999999993</v>
      </c>
      <c r="C7969">
        <v>7818</v>
      </c>
      <c r="D7969" t="str">
        <f>VLOOKUP(H7969,Produkt!$A$2:$B$5,2,FALSE)</f>
        <v>D</v>
      </c>
      <c r="H7969">
        <v>4</v>
      </c>
      <c r="I7969">
        <v>0.34921296296296295</v>
      </c>
      <c r="J7969">
        <v>44797</v>
      </c>
    </row>
    <row r="7970" spans="1:10" x14ac:dyDescent="0.35">
      <c r="A7970" s="2">
        <v>44798</v>
      </c>
      <c r="B7970" s="3">
        <v>0.11793981481481482</v>
      </c>
      <c r="C7970">
        <v>7861</v>
      </c>
      <c r="D7970" t="str">
        <f>VLOOKUP(H7970,Produkt!$A$2:$B$5,2,FALSE)</f>
        <v>B</v>
      </c>
      <c r="H7970">
        <v>2</v>
      </c>
      <c r="I7970">
        <v>3.993055555555558E-2</v>
      </c>
      <c r="J7970">
        <v>44798</v>
      </c>
    </row>
    <row r="7971" spans="1:10" x14ac:dyDescent="0.35">
      <c r="A7971" s="2">
        <v>44798</v>
      </c>
      <c r="B7971" s="3">
        <v>0.64049768518518524</v>
      </c>
      <c r="C7971">
        <v>7866</v>
      </c>
      <c r="D7971" t="str">
        <f>VLOOKUP(H7971,Produkt!$A$2:$B$5,2,FALSE)</f>
        <v>B</v>
      </c>
      <c r="H7971">
        <v>2</v>
      </c>
      <c r="I7971">
        <v>0.27957175925925926</v>
      </c>
      <c r="J7971">
        <v>44801</v>
      </c>
    </row>
    <row r="7972" spans="1:10" x14ac:dyDescent="0.35">
      <c r="A7972" s="2">
        <v>44798</v>
      </c>
      <c r="B7972" s="3">
        <v>0.98271990740740733</v>
      </c>
      <c r="C7972">
        <v>7901</v>
      </c>
      <c r="D7972" t="str">
        <f>VLOOKUP(H7972,Produkt!$A$2:$B$5,2,FALSE)</f>
        <v>A</v>
      </c>
      <c r="H7972">
        <v>1</v>
      </c>
      <c r="I7972">
        <v>0.83543981481481477</v>
      </c>
      <c r="J7972">
        <v>44793</v>
      </c>
    </row>
    <row r="7973" spans="1:10" x14ac:dyDescent="0.35">
      <c r="A7973" s="2">
        <v>44798</v>
      </c>
      <c r="B7973" s="3">
        <v>1.8923611111111072E-2</v>
      </c>
      <c r="C7973">
        <v>7973</v>
      </c>
      <c r="D7973" t="str">
        <f>VLOOKUP(H7973,Produkt!$A$2:$B$5,2,FALSE)</f>
        <v>C</v>
      </c>
      <c r="H7973">
        <v>3</v>
      </c>
      <c r="I7973">
        <v>0.62422453703703706</v>
      </c>
      <c r="J7973">
        <v>44789</v>
      </c>
    </row>
    <row r="7974" spans="1:10" x14ac:dyDescent="0.35">
      <c r="A7974" s="2">
        <v>44798</v>
      </c>
      <c r="B7974" s="3">
        <v>0.34001157407407406</v>
      </c>
      <c r="C7974">
        <v>8035</v>
      </c>
      <c r="D7974" t="str">
        <f>VLOOKUP(H7974,Produkt!$A$2:$B$5,2,FALSE)</f>
        <v>D</v>
      </c>
      <c r="H7974">
        <v>4</v>
      </c>
      <c r="I7974">
        <v>1.8923611111111072E-2</v>
      </c>
      <c r="J7974">
        <v>44778</v>
      </c>
    </row>
    <row r="7975" spans="1:10" x14ac:dyDescent="0.35">
      <c r="A7975" s="2">
        <v>44798</v>
      </c>
      <c r="B7975" s="3">
        <v>0.36393518518518514</v>
      </c>
      <c r="C7975">
        <v>8044</v>
      </c>
      <c r="D7975" t="str">
        <f>VLOOKUP(H7975,Produkt!$A$2:$B$5,2,FALSE)</f>
        <v>C</v>
      </c>
      <c r="H7975">
        <v>3</v>
      </c>
      <c r="I7975">
        <v>0.22483796296296296</v>
      </c>
      <c r="J7975">
        <v>44793</v>
      </c>
    </row>
    <row r="7976" spans="1:10" x14ac:dyDescent="0.35">
      <c r="A7976" s="2">
        <v>44798</v>
      </c>
      <c r="B7976" s="3">
        <v>0.38553240740740741</v>
      </c>
      <c r="C7976">
        <v>8090</v>
      </c>
      <c r="D7976" t="str">
        <f>VLOOKUP(H7976,Produkt!$A$2:$B$5,2,FALSE)</f>
        <v>B</v>
      </c>
      <c r="H7976">
        <v>2</v>
      </c>
      <c r="I7976">
        <v>0.84520833333333334</v>
      </c>
      <c r="J7976">
        <v>44802</v>
      </c>
    </row>
    <row r="7977" spans="1:10" x14ac:dyDescent="0.35">
      <c r="A7977" s="2">
        <v>44798</v>
      </c>
      <c r="B7977" s="3">
        <v>0.15324074074074073</v>
      </c>
      <c r="C7977">
        <v>8130</v>
      </c>
      <c r="D7977" t="str">
        <f>VLOOKUP(H7977,Produkt!$A$2:$B$5,2,FALSE)</f>
        <v>A</v>
      </c>
      <c r="H7977">
        <v>1</v>
      </c>
      <c r="I7977">
        <v>0.78620370370370374</v>
      </c>
      <c r="J7977">
        <v>44785</v>
      </c>
    </row>
    <row r="7978" spans="1:10" x14ac:dyDescent="0.35">
      <c r="A7978" s="2">
        <v>44798</v>
      </c>
      <c r="B7978" s="3">
        <v>0.35449074074074072</v>
      </c>
      <c r="C7978">
        <v>8154</v>
      </c>
      <c r="D7978" t="str">
        <f>VLOOKUP(H7978,Produkt!$A$2:$B$5,2,FALSE)</f>
        <v>A</v>
      </c>
      <c r="H7978">
        <v>1</v>
      </c>
      <c r="I7978">
        <v>0.57010416666666663</v>
      </c>
      <c r="J7978">
        <v>44801</v>
      </c>
    </row>
    <row r="7979" spans="1:10" x14ac:dyDescent="0.35">
      <c r="A7979" s="2">
        <v>44798</v>
      </c>
      <c r="B7979" s="3">
        <v>0.87594907407407396</v>
      </c>
      <c r="C7979">
        <v>8236</v>
      </c>
      <c r="D7979" t="str">
        <f>VLOOKUP(H7979,Produkt!$A$2:$B$5,2,FALSE)</f>
        <v>A</v>
      </c>
      <c r="H7979">
        <v>1</v>
      </c>
      <c r="I7979">
        <v>0.67416666666666669</v>
      </c>
      <c r="J7979">
        <v>44795</v>
      </c>
    </row>
    <row r="7980" spans="1:10" x14ac:dyDescent="0.35">
      <c r="A7980" s="2">
        <v>44798</v>
      </c>
      <c r="B7980" s="3">
        <v>0.86041666666666661</v>
      </c>
      <c r="C7980">
        <v>8311</v>
      </c>
      <c r="D7980" t="str">
        <f>VLOOKUP(H7980,Produkt!$A$2:$B$5,2,FALSE)</f>
        <v>A</v>
      </c>
      <c r="H7980">
        <v>1</v>
      </c>
      <c r="I7980">
        <v>0.51666666666666672</v>
      </c>
      <c r="J7980">
        <v>44796</v>
      </c>
    </row>
    <row r="7981" spans="1:10" x14ac:dyDescent="0.35">
      <c r="A7981" s="2">
        <v>44798</v>
      </c>
      <c r="B7981" s="3">
        <v>9.6111111111111105E-2</v>
      </c>
      <c r="C7981">
        <v>8326</v>
      </c>
      <c r="D7981" t="str">
        <f>VLOOKUP(H7981,Produkt!$A$2:$B$5,2,FALSE)</f>
        <v>B</v>
      </c>
      <c r="H7981">
        <v>2</v>
      </c>
      <c r="I7981">
        <v>0.76570601851851849</v>
      </c>
      <c r="J7981">
        <v>44799</v>
      </c>
    </row>
    <row r="7982" spans="1:10" x14ac:dyDescent="0.35">
      <c r="A7982" s="2">
        <v>44798</v>
      </c>
      <c r="B7982" s="3">
        <v>0.35876157407407411</v>
      </c>
      <c r="C7982">
        <v>8441</v>
      </c>
      <c r="D7982" t="str">
        <f>VLOOKUP(H7982,Produkt!$A$2:$B$5,2,FALSE)</f>
        <v>C</v>
      </c>
      <c r="H7982">
        <v>3</v>
      </c>
      <c r="I7982">
        <v>0.19929398148148147</v>
      </c>
      <c r="J7982">
        <v>44804</v>
      </c>
    </row>
    <row r="7983" spans="1:10" x14ac:dyDescent="0.35">
      <c r="A7983" s="2">
        <v>44798</v>
      </c>
      <c r="B7983" s="3">
        <v>0.70362268518518523</v>
      </c>
      <c r="C7983">
        <v>8455</v>
      </c>
      <c r="D7983" t="str">
        <f>VLOOKUP(H7983,Produkt!$A$2:$B$5,2,FALSE)</f>
        <v>D</v>
      </c>
      <c r="H7983">
        <v>4</v>
      </c>
      <c r="I7983">
        <v>0.98165509259259265</v>
      </c>
      <c r="J7983">
        <v>44785</v>
      </c>
    </row>
    <row r="7984" spans="1:10" x14ac:dyDescent="0.35">
      <c r="A7984" s="2">
        <v>44798</v>
      </c>
      <c r="B7984" s="3">
        <v>0.29900462962962965</v>
      </c>
      <c r="C7984">
        <v>8473</v>
      </c>
      <c r="D7984" t="str">
        <f>VLOOKUP(H7984,Produkt!$A$2:$B$5,2,FALSE)</f>
        <v>A</v>
      </c>
      <c r="H7984">
        <v>1</v>
      </c>
      <c r="I7984">
        <v>0.96013888888888888</v>
      </c>
      <c r="J7984">
        <v>44804</v>
      </c>
    </row>
    <row r="7985" spans="1:10" x14ac:dyDescent="0.35">
      <c r="A7985" s="2">
        <v>44798</v>
      </c>
      <c r="B7985" s="3">
        <v>0.70723379629629635</v>
      </c>
      <c r="C7985">
        <v>8489</v>
      </c>
      <c r="D7985" t="str">
        <f>VLOOKUP(H7985,Produkt!$A$2:$B$5,2,FALSE)</f>
        <v>A</v>
      </c>
      <c r="H7985">
        <v>1</v>
      </c>
      <c r="I7985">
        <v>0.94865740740740734</v>
      </c>
      <c r="J7985">
        <v>44786</v>
      </c>
    </row>
    <row r="7986" spans="1:10" x14ac:dyDescent="0.35">
      <c r="A7986" s="2">
        <v>44798</v>
      </c>
      <c r="B7986" s="3">
        <v>0.76769675925925929</v>
      </c>
      <c r="C7986">
        <v>8516</v>
      </c>
      <c r="D7986" t="str">
        <f>VLOOKUP(H7986,Produkt!$A$2:$B$5,2,FALSE)</f>
        <v>D</v>
      </c>
      <c r="H7986">
        <v>4</v>
      </c>
      <c r="I7986">
        <v>0.63047453703703704</v>
      </c>
      <c r="J7986">
        <v>44788</v>
      </c>
    </row>
    <row r="7987" spans="1:10" x14ac:dyDescent="0.35">
      <c r="A7987" s="2">
        <v>44798</v>
      </c>
      <c r="B7987" s="3">
        <v>0.17028935185185187</v>
      </c>
      <c r="C7987">
        <v>8534</v>
      </c>
      <c r="D7987" t="str">
        <f>VLOOKUP(H7987,Produkt!$A$2:$B$5,2,FALSE)</f>
        <v>A</v>
      </c>
      <c r="H7987">
        <v>1</v>
      </c>
      <c r="I7987">
        <v>0.54476851851851849</v>
      </c>
      <c r="J7987">
        <v>44798</v>
      </c>
    </row>
    <row r="7988" spans="1:10" x14ac:dyDescent="0.35">
      <c r="A7988" s="2">
        <v>44798</v>
      </c>
      <c r="B7988" s="3">
        <v>0.25824074074074072</v>
      </c>
      <c r="C7988">
        <v>8558</v>
      </c>
      <c r="D7988" t="str">
        <f>VLOOKUP(H7988,Produkt!$A$2:$B$5,2,FALSE)</f>
        <v>A</v>
      </c>
      <c r="H7988">
        <v>1</v>
      </c>
      <c r="I7988">
        <v>0.55837962962962961</v>
      </c>
      <c r="J7988">
        <v>44787</v>
      </c>
    </row>
    <row r="7989" spans="1:10" x14ac:dyDescent="0.35">
      <c r="A7989" s="2">
        <v>44798</v>
      </c>
      <c r="B7989" s="3">
        <v>0.90841435185185182</v>
      </c>
      <c r="C7989">
        <v>8593</v>
      </c>
      <c r="D7989" t="str">
        <f>VLOOKUP(H7989,Produkt!$A$2:$B$5,2,FALSE)</f>
        <v>B</v>
      </c>
      <c r="H7989">
        <v>2</v>
      </c>
      <c r="I7989">
        <v>0.98277777777777775</v>
      </c>
      <c r="J7989">
        <v>44783</v>
      </c>
    </row>
    <row r="7990" spans="1:10" x14ac:dyDescent="0.35">
      <c r="A7990" s="2">
        <v>44798</v>
      </c>
      <c r="B7990" s="3">
        <v>0.34129629629629626</v>
      </c>
      <c r="C7990">
        <v>8619</v>
      </c>
      <c r="D7990" t="str">
        <f>VLOOKUP(H7990,Produkt!$A$2:$B$5,2,FALSE)</f>
        <v>B</v>
      </c>
      <c r="H7990">
        <v>2</v>
      </c>
      <c r="I7990">
        <v>0.71042824074074085</v>
      </c>
      <c r="J7990">
        <v>44791</v>
      </c>
    </row>
    <row r="7991" spans="1:10" x14ac:dyDescent="0.35">
      <c r="A7991" s="2">
        <v>44798</v>
      </c>
      <c r="B7991" s="3">
        <v>0.21092592592592593</v>
      </c>
      <c r="C7991">
        <v>8639</v>
      </c>
      <c r="D7991" t="str">
        <f>VLOOKUP(H7991,Produkt!$A$2:$B$5,2,FALSE)</f>
        <v>A</v>
      </c>
      <c r="H7991">
        <v>1</v>
      </c>
      <c r="I7991">
        <v>0.45553240740740741</v>
      </c>
      <c r="J7991">
        <v>44795</v>
      </c>
    </row>
    <row r="7992" spans="1:10" x14ac:dyDescent="0.35">
      <c r="A7992" s="2">
        <v>44798</v>
      </c>
      <c r="B7992" s="3">
        <v>0.39770833333333333</v>
      </c>
      <c r="C7992">
        <v>8702</v>
      </c>
      <c r="D7992" t="str">
        <f>VLOOKUP(H7992,Produkt!$A$2:$B$5,2,FALSE)</f>
        <v>C</v>
      </c>
      <c r="H7992">
        <v>3</v>
      </c>
      <c r="I7992">
        <v>0.71468750000000003</v>
      </c>
      <c r="J7992">
        <v>44787</v>
      </c>
    </row>
    <row r="7993" spans="1:10" x14ac:dyDescent="0.35">
      <c r="A7993" s="2">
        <v>44798</v>
      </c>
      <c r="B7993" s="3">
        <v>0.44829861111111113</v>
      </c>
      <c r="C7993">
        <v>8704</v>
      </c>
      <c r="D7993" t="str">
        <f>VLOOKUP(H7993,Produkt!$A$2:$B$5,2,FALSE)</f>
        <v>B</v>
      </c>
      <c r="H7993">
        <v>2</v>
      </c>
      <c r="I7993">
        <v>0.10833333333333334</v>
      </c>
      <c r="J7993">
        <v>44784</v>
      </c>
    </row>
    <row r="7994" spans="1:10" x14ac:dyDescent="0.35">
      <c r="A7994" s="2">
        <v>44798</v>
      </c>
      <c r="B7994" s="3">
        <v>0.58701388888888884</v>
      </c>
      <c r="C7994">
        <v>8844</v>
      </c>
      <c r="D7994" t="str">
        <f>VLOOKUP(H7994,Produkt!$A$2:$B$5,2,FALSE)</f>
        <v>C</v>
      </c>
      <c r="H7994">
        <v>3</v>
      </c>
      <c r="I7994">
        <v>0.28384259259259259</v>
      </c>
      <c r="J7994">
        <v>44777</v>
      </c>
    </row>
    <row r="7995" spans="1:10" x14ac:dyDescent="0.35">
      <c r="A7995" s="2">
        <v>44798</v>
      </c>
      <c r="B7995" s="3">
        <v>0.17623842592592595</v>
      </c>
      <c r="C7995">
        <v>8863</v>
      </c>
      <c r="D7995" t="str">
        <f>VLOOKUP(H7995,Produkt!$A$2:$B$5,2,FALSE)</f>
        <v>B</v>
      </c>
      <c r="H7995">
        <v>2</v>
      </c>
      <c r="I7995">
        <v>0.3368518518518519</v>
      </c>
      <c r="J7995">
        <v>44781</v>
      </c>
    </row>
    <row r="7996" spans="1:10" x14ac:dyDescent="0.35">
      <c r="A7996" s="2">
        <v>44798</v>
      </c>
      <c r="B7996" s="3">
        <v>0.86724537037037042</v>
      </c>
      <c r="C7996">
        <v>8871</v>
      </c>
      <c r="D7996" t="str">
        <f>VLOOKUP(H7996,Produkt!$A$2:$B$5,2,FALSE)</f>
        <v>A</v>
      </c>
      <c r="H7996">
        <v>1</v>
      </c>
      <c r="I7996">
        <v>2.0173611111111111E-2</v>
      </c>
      <c r="J7996">
        <v>44803</v>
      </c>
    </row>
    <row r="7997" spans="1:10" x14ac:dyDescent="0.35">
      <c r="A7997" s="2">
        <v>44798</v>
      </c>
      <c r="B7997" s="3">
        <v>0.49552083333333335</v>
      </c>
      <c r="C7997">
        <v>8880</v>
      </c>
      <c r="D7997" t="str">
        <f>VLOOKUP(H7997,Produkt!$A$2:$B$5,2,FALSE)</f>
        <v>D</v>
      </c>
      <c r="H7997">
        <v>4</v>
      </c>
      <c r="I7997">
        <v>8.6030092592592589E-2</v>
      </c>
      <c r="J7997">
        <v>44777</v>
      </c>
    </row>
    <row r="7998" spans="1:10" x14ac:dyDescent="0.35">
      <c r="A7998" s="2">
        <v>44798</v>
      </c>
      <c r="B7998" s="3">
        <v>0.53396990740740746</v>
      </c>
      <c r="C7998">
        <v>8948</v>
      </c>
      <c r="D7998" t="str">
        <f>VLOOKUP(H7998,Produkt!$A$2:$B$5,2,FALSE)</f>
        <v>A</v>
      </c>
      <c r="H7998">
        <v>1</v>
      </c>
      <c r="I7998">
        <v>0.36504629629629631</v>
      </c>
      <c r="J7998">
        <v>44801</v>
      </c>
    </row>
    <row r="7999" spans="1:10" x14ac:dyDescent="0.35">
      <c r="A7999" s="2">
        <v>44798</v>
      </c>
      <c r="B7999" s="3">
        <v>0.88487268518518514</v>
      </c>
      <c r="C7999">
        <v>8962</v>
      </c>
      <c r="D7999" t="str">
        <f>VLOOKUP(H7999,Produkt!$A$2:$B$5,2,FALSE)</f>
        <v>B</v>
      </c>
      <c r="H7999">
        <v>2</v>
      </c>
      <c r="I7999">
        <v>0.10550925925925926</v>
      </c>
      <c r="J7999">
        <v>44799</v>
      </c>
    </row>
    <row r="8000" spans="1:10" x14ac:dyDescent="0.35">
      <c r="A8000" s="2">
        <v>44798</v>
      </c>
      <c r="B8000" s="3">
        <v>0.33894675925925927</v>
      </c>
      <c r="C8000">
        <v>8964</v>
      </c>
      <c r="D8000" t="str">
        <f>VLOOKUP(H8000,Produkt!$A$2:$B$5,2,FALSE)</f>
        <v>D</v>
      </c>
      <c r="H8000">
        <v>4</v>
      </c>
      <c r="I8000">
        <v>0.58008101851851845</v>
      </c>
      <c r="J8000">
        <v>44777</v>
      </c>
    </row>
    <row r="8001" spans="1:10" x14ac:dyDescent="0.35">
      <c r="A8001" s="2">
        <v>44798</v>
      </c>
      <c r="B8001" s="3">
        <v>0.8160532407407407</v>
      </c>
      <c r="C8001">
        <v>8989</v>
      </c>
      <c r="D8001" t="str">
        <f>VLOOKUP(H8001,Produkt!$A$2:$B$5,2,FALSE)</f>
        <v>A</v>
      </c>
      <c r="H8001">
        <v>1</v>
      </c>
      <c r="I8001">
        <v>0.96696759259259257</v>
      </c>
      <c r="J8001">
        <v>44792</v>
      </c>
    </row>
    <row r="8002" spans="1:10" x14ac:dyDescent="0.35">
      <c r="A8002" s="2">
        <v>44798</v>
      </c>
      <c r="B8002" s="3">
        <v>0.81417824074074074</v>
      </c>
      <c r="C8002">
        <v>8997</v>
      </c>
      <c r="D8002" t="str">
        <f>VLOOKUP(H8002,Produkt!$A$2:$B$5,2,FALSE)</f>
        <v>B</v>
      </c>
      <c r="H8002">
        <v>2</v>
      </c>
      <c r="I8002">
        <v>0.38055555555555554</v>
      </c>
      <c r="J8002">
        <v>44794</v>
      </c>
    </row>
    <row r="8003" spans="1:10" x14ac:dyDescent="0.35">
      <c r="A8003" s="2">
        <v>44798</v>
      </c>
      <c r="B8003" s="3">
        <v>0.92174768518518524</v>
      </c>
      <c r="C8003">
        <v>9020</v>
      </c>
      <c r="D8003" t="str">
        <f>VLOOKUP(H8003,Produkt!$A$2:$B$5,2,FALSE)</f>
        <v>C</v>
      </c>
      <c r="H8003">
        <v>3</v>
      </c>
      <c r="I8003">
        <v>0.62260416666666674</v>
      </c>
      <c r="J8003">
        <v>44791</v>
      </c>
    </row>
    <row r="8004" spans="1:10" x14ac:dyDescent="0.35">
      <c r="A8004" s="2">
        <v>44798</v>
      </c>
      <c r="B8004" s="3">
        <v>5.2511574074074079E-2</v>
      </c>
      <c r="C8004">
        <v>9025</v>
      </c>
      <c r="D8004" t="str">
        <f>VLOOKUP(H8004,Produkt!$A$2:$B$5,2,FALSE)</f>
        <v>B</v>
      </c>
      <c r="H8004">
        <v>2</v>
      </c>
      <c r="I8004">
        <v>0.42159722222222223</v>
      </c>
      <c r="J8004">
        <v>44777</v>
      </c>
    </row>
    <row r="8005" spans="1:10" x14ac:dyDescent="0.35">
      <c r="A8005" s="2">
        <v>44798</v>
      </c>
      <c r="B8005" s="3">
        <v>0.40672453703703698</v>
      </c>
      <c r="C8005">
        <v>9037</v>
      </c>
      <c r="D8005" t="str">
        <f>VLOOKUP(H8005,Produkt!$A$2:$B$5,2,FALSE)</f>
        <v>A</v>
      </c>
      <c r="H8005">
        <v>1</v>
      </c>
      <c r="I8005">
        <v>2.2615740740740742E-2</v>
      </c>
      <c r="J8005">
        <v>44788</v>
      </c>
    </row>
    <row r="8006" spans="1:10" x14ac:dyDescent="0.35">
      <c r="A8006" s="2">
        <v>44798</v>
      </c>
      <c r="B8006" s="3">
        <v>0.38321759259259264</v>
      </c>
      <c r="C8006">
        <v>9043</v>
      </c>
      <c r="D8006" t="str">
        <f>VLOOKUP(H8006,Produkt!$A$2:$B$5,2,FALSE)</f>
        <v>D</v>
      </c>
      <c r="H8006">
        <v>4</v>
      </c>
      <c r="I8006">
        <v>5.6296296296296296E-2</v>
      </c>
      <c r="J8006">
        <v>44774</v>
      </c>
    </row>
    <row r="8007" spans="1:10" x14ac:dyDescent="0.35">
      <c r="A8007" s="2">
        <v>44798</v>
      </c>
      <c r="B8007" s="3">
        <v>0.43810185185185185</v>
      </c>
      <c r="C8007">
        <v>9109</v>
      </c>
      <c r="D8007" t="str">
        <f>VLOOKUP(H8007,Produkt!$A$2:$B$5,2,FALSE)</f>
        <v>C</v>
      </c>
      <c r="H8007">
        <v>3</v>
      </c>
      <c r="I8007">
        <v>1.5613425925925926E-2</v>
      </c>
      <c r="J8007">
        <v>44795</v>
      </c>
    </row>
    <row r="8008" spans="1:10" x14ac:dyDescent="0.35">
      <c r="A8008" s="2">
        <v>44798</v>
      </c>
      <c r="B8008" s="3">
        <v>0.91320601851851846</v>
      </c>
      <c r="C8008">
        <v>9120</v>
      </c>
      <c r="D8008" t="str">
        <f>VLOOKUP(H8008,Produkt!$A$2:$B$5,2,FALSE)</f>
        <v>B</v>
      </c>
      <c r="H8008">
        <v>2</v>
      </c>
      <c r="I8008">
        <v>0.52907407407407414</v>
      </c>
      <c r="J8008">
        <v>44785</v>
      </c>
    </row>
    <row r="8009" spans="1:10" x14ac:dyDescent="0.35">
      <c r="A8009" s="2">
        <v>44798</v>
      </c>
      <c r="B8009" s="3">
        <v>0.69533564814814808</v>
      </c>
      <c r="C8009">
        <v>9145</v>
      </c>
      <c r="D8009" t="str">
        <f>VLOOKUP(H8009,Produkt!$A$2:$B$5,2,FALSE)</f>
        <v>C</v>
      </c>
      <c r="H8009">
        <v>3</v>
      </c>
      <c r="I8009">
        <v>0.47957175925925927</v>
      </c>
      <c r="J8009">
        <v>44794</v>
      </c>
    </row>
    <row r="8010" spans="1:10" x14ac:dyDescent="0.35">
      <c r="A8010" s="2">
        <v>44798</v>
      </c>
      <c r="B8010" s="3">
        <v>0.84614583333333337</v>
      </c>
      <c r="C8010">
        <v>9150</v>
      </c>
      <c r="D8010" t="str">
        <f>VLOOKUP(H8010,Produkt!$A$2:$B$5,2,FALSE)</f>
        <v>C</v>
      </c>
      <c r="H8010">
        <v>3</v>
      </c>
      <c r="I8010">
        <v>0.68806712962962957</v>
      </c>
      <c r="J8010">
        <v>44794</v>
      </c>
    </row>
    <row r="8011" spans="1:10" x14ac:dyDescent="0.35">
      <c r="A8011" s="2">
        <v>44798</v>
      </c>
      <c r="B8011" s="3">
        <v>0.91528935185185178</v>
      </c>
      <c r="C8011">
        <v>9166</v>
      </c>
      <c r="D8011" t="str">
        <f>VLOOKUP(H8011,Produkt!$A$2:$B$5,2,FALSE)</f>
        <v>B</v>
      </c>
      <c r="H8011">
        <v>2</v>
      </c>
      <c r="I8011">
        <v>3.888888888888889E-2</v>
      </c>
      <c r="J8011">
        <v>44800</v>
      </c>
    </row>
    <row r="8012" spans="1:10" x14ac:dyDescent="0.35">
      <c r="A8012" s="2">
        <v>44798</v>
      </c>
      <c r="B8012" s="3">
        <v>0.93991898148148145</v>
      </c>
      <c r="C8012">
        <v>9189</v>
      </c>
      <c r="D8012" t="str">
        <f>VLOOKUP(H8012,Produkt!$A$2:$B$5,2,FALSE)</f>
        <v>A</v>
      </c>
      <c r="H8012">
        <v>1</v>
      </c>
      <c r="I8012">
        <v>0.11184027777777777</v>
      </c>
      <c r="J8012">
        <v>44774</v>
      </c>
    </row>
    <row r="8013" spans="1:10" x14ac:dyDescent="0.35">
      <c r="A8013" s="2">
        <v>44798</v>
      </c>
      <c r="B8013" s="3">
        <v>0.59097222222222223</v>
      </c>
      <c r="C8013">
        <v>9202</v>
      </c>
      <c r="D8013" t="str">
        <f>VLOOKUP(H8013,Produkt!$A$2:$B$5,2,FALSE)</f>
        <v>D</v>
      </c>
      <c r="H8013">
        <v>4</v>
      </c>
      <c r="I8013">
        <v>0.81805555555555554</v>
      </c>
      <c r="J8013">
        <v>44788</v>
      </c>
    </row>
    <row r="8014" spans="1:10" x14ac:dyDescent="0.35">
      <c r="A8014" s="2">
        <v>44798</v>
      </c>
      <c r="B8014" s="3">
        <v>0.65506944444444437</v>
      </c>
      <c r="C8014">
        <v>9213</v>
      </c>
      <c r="D8014" t="str">
        <f>VLOOKUP(H8014,Produkt!$A$2:$B$5,2,FALSE)</f>
        <v>A</v>
      </c>
      <c r="H8014">
        <v>1</v>
      </c>
      <c r="I8014">
        <v>0.81884259259259251</v>
      </c>
      <c r="J8014">
        <v>44784</v>
      </c>
    </row>
    <row r="8015" spans="1:10" x14ac:dyDescent="0.35">
      <c r="A8015" s="2">
        <v>44798</v>
      </c>
      <c r="B8015" s="3">
        <v>0.22339120370370369</v>
      </c>
      <c r="C8015">
        <v>9270</v>
      </c>
      <c r="D8015" t="str">
        <f>VLOOKUP(H8015,Produkt!$A$2:$B$5,2,FALSE)</f>
        <v>D</v>
      </c>
      <c r="H8015">
        <v>4</v>
      </c>
      <c r="I8015">
        <v>0.53717592592592589</v>
      </c>
      <c r="J8015">
        <v>44788</v>
      </c>
    </row>
    <row r="8016" spans="1:10" x14ac:dyDescent="0.35">
      <c r="A8016" s="2">
        <v>44798</v>
      </c>
      <c r="B8016" s="3">
        <v>0.54526620370370371</v>
      </c>
      <c r="C8016">
        <v>9310</v>
      </c>
      <c r="D8016" t="str">
        <f>VLOOKUP(H8016,Produkt!$A$2:$B$5,2,FALSE)</f>
        <v>C</v>
      </c>
      <c r="H8016">
        <v>3</v>
      </c>
      <c r="I8016">
        <v>0.51393518518518522</v>
      </c>
      <c r="J8016">
        <v>44778</v>
      </c>
    </row>
    <row r="8017" spans="1:10" x14ac:dyDescent="0.35">
      <c r="A8017" s="2">
        <v>44798</v>
      </c>
      <c r="B8017" s="3">
        <v>0.52640046296296295</v>
      </c>
      <c r="C8017">
        <v>9316</v>
      </c>
      <c r="D8017" t="str">
        <f>VLOOKUP(H8017,Produkt!$A$2:$B$5,2,FALSE)</f>
        <v>C</v>
      </c>
      <c r="H8017">
        <v>3</v>
      </c>
      <c r="I8017">
        <v>0.42265046296296299</v>
      </c>
      <c r="J8017">
        <v>44776</v>
      </c>
    </row>
    <row r="8018" spans="1:10" x14ac:dyDescent="0.35">
      <c r="A8018" s="2">
        <v>44798</v>
      </c>
      <c r="B8018" s="3">
        <v>0.86493055555555554</v>
      </c>
      <c r="C8018">
        <v>9343</v>
      </c>
      <c r="D8018" t="str">
        <f>VLOOKUP(H8018,Produkt!$A$2:$B$5,2,FALSE)</f>
        <v>A</v>
      </c>
      <c r="H8018">
        <v>1</v>
      </c>
      <c r="I8018">
        <v>0.37908564814814816</v>
      </c>
      <c r="J8018">
        <v>44778</v>
      </c>
    </row>
    <row r="8019" spans="1:10" x14ac:dyDescent="0.35">
      <c r="A8019" s="2">
        <v>44798</v>
      </c>
      <c r="B8019" s="3">
        <v>0.7698842592592593</v>
      </c>
      <c r="C8019">
        <v>9350</v>
      </c>
      <c r="D8019" t="str">
        <f>VLOOKUP(H8019,Produkt!$A$2:$B$5,2,FALSE)</f>
        <v>A</v>
      </c>
      <c r="H8019">
        <v>1</v>
      </c>
      <c r="I8019">
        <v>0.83101851851851849</v>
      </c>
      <c r="J8019">
        <v>44785</v>
      </c>
    </row>
    <row r="8020" spans="1:10" x14ac:dyDescent="0.35">
      <c r="A8020" s="2">
        <v>44798</v>
      </c>
      <c r="B8020" s="3">
        <v>0.69853009259259258</v>
      </c>
      <c r="C8020">
        <v>9351</v>
      </c>
      <c r="D8020" t="str">
        <f>VLOOKUP(H8020,Produkt!$A$2:$B$5,2,FALSE)</f>
        <v>B</v>
      </c>
      <c r="H8020">
        <v>2</v>
      </c>
      <c r="I8020">
        <v>0.36953703703703705</v>
      </c>
      <c r="J8020">
        <v>44786</v>
      </c>
    </row>
    <row r="8021" spans="1:10" x14ac:dyDescent="0.35">
      <c r="A8021" s="2">
        <v>44798</v>
      </c>
      <c r="B8021" s="3">
        <v>0.77518518518518509</v>
      </c>
      <c r="C8021">
        <v>9359</v>
      </c>
      <c r="D8021" t="str">
        <f>VLOOKUP(H8021,Produkt!$A$2:$B$5,2,FALSE)</f>
        <v>D</v>
      </c>
      <c r="H8021">
        <v>4</v>
      </c>
      <c r="I8021">
        <v>0.92458333333333342</v>
      </c>
      <c r="J8021">
        <v>44796</v>
      </c>
    </row>
    <row r="8022" spans="1:10" x14ac:dyDescent="0.35">
      <c r="A8022" s="2">
        <v>44798</v>
      </c>
      <c r="B8022" s="3">
        <v>0.57363425925925926</v>
      </c>
      <c r="C8022">
        <v>9380</v>
      </c>
      <c r="D8022" t="str">
        <f>VLOOKUP(H8022,Produkt!$A$2:$B$5,2,FALSE)</f>
        <v>B</v>
      </c>
      <c r="H8022">
        <v>2</v>
      </c>
      <c r="I8022">
        <v>0.25817129629629632</v>
      </c>
      <c r="J8022">
        <v>44774</v>
      </c>
    </row>
    <row r="8023" spans="1:10" x14ac:dyDescent="0.35">
      <c r="A8023" s="2">
        <v>44798</v>
      </c>
      <c r="B8023" s="3">
        <v>0.36185185185185187</v>
      </c>
      <c r="C8023">
        <v>9386</v>
      </c>
      <c r="D8023" t="str">
        <f>VLOOKUP(H8023,Produkt!$A$2:$B$5,2,FALSE)</f>
        <v>C</v>
      </c>
      <c r="H8023">
        <v>3</v>
      </c>
      <c r="I8023">
        <v>0.50543981481481481</v>
      </c>
      <c r="J8023">
        <v>44791</v>
      </c>
    </row>
    <row r="8024" spans="1:10" x14ac:dyDescent="0.35">
      <c r="A8024" s="2">
        <v>44798</v>
      </c>
      <c r="B8024" s="3">
        <v>0.40527777777777779</v>
      </c>
      <c r="C8024">
        <v>9423</v>
      </c>
      <c r="D8024" t="str">
        <f>VLOOKUP(H8024,Produkt!$A$2:$B$5,2,FALSE)</f>
        <v>D</v>
      </c>
      <c r="H8024">
        <v>4</v>
      </c>
      <c r="I8024">
        <v>0.4316550925925926</v>
      </c>
      <c r="J8024">
        <v>44774</v>
      </c>
    </row>
    <row r="8025" spans="1:10" x14ac:dyDescent="0.35">
      <c r="A8025" s="2">
        <v>44798</v>
      </c>
      <c r="B8025" s="3">
        <v>0.91478009259259263</v>
      </c>
      <c r="C8025">
        <v>9486</v>
      </c>
      <c r="D8025" t="str">
        <f>VLOOKUP(H8025,Produkt!$A$2:$B$5,2,FALSE)</f>
        <v>D</v>
      </c>
      <c r="H8025">
        <v>4</v>
      </c>
      <c r="I8025">
        <v>0.31864583333333335</v>
      </c>
      <c r="J8025">
        <v>44801</v>
      </c>
    </row>
    <row r="8026" spans="1:10" x14ac:dyDescent="0.35">
      <c r="A8026" s="2">
        <v>44798</v>
      </c>
      <c r="B8026" s="3">
        <v>0.47532407407407407</v>
      </c>
      <c r="C8026">
        <v>9494</v>
      </c>
      <c r="D8026" t="str">
        <f>VLOOKUP(H8026,Produkt!$A$2:$B$5,2,FALSE)</f>
        <v>B</v>
      </c>
      <c r="H8026">
        <v>2</v>
      </c>
      <c r="I8026">
        <v>0.44153935185185184</v>
      </c>
      <c r="J8026">
        <v>44793</v>
      </c>
    </row>
    <row r="8027" spans="1:10" x14ac:dyDescent="0.35">
      <c r="A8027" s="2">
        <v>44798</v>
      </c>
      <c r="B8027" s="3">
        <v>0.93368055555555562</v>
      </c>
      <c r="C8027">
        <v>9537</v>
      </c>
      <c r="D8027" t="str">
        <f>VLOOKUP(H8027,Produkt!$A$2:$B$5,2,FALSE)</f>
        <v>D</v>
      </c>
      <c r="H8027">
        <v>4</v>
      </c>
      <c r="I8027">
        <v>0.38811342592592596</v>
      </c>
      <c r="J8027">
        <v>44803</v>
      </c>
    </row>
    <row r="8028" spans="1:10" x14ac:dyDescent="0.35">
      <c r="A8028" s="2">
        <v>44798</v>
      </c>
      <c r="B8028" s="3">
        <v>0.99442129629629628</v>
      </c>
      <c r="C8028">
        <v>9594</v>
      </c>
      <c r="D8028" t="str">
        <f>VLOOKUP(H8028,Produkt!$A$2:$B$5,2,FALSE)</f>
        <v>C</v>
      </c>
      <c r="H8028">
        <v>3</v>
      </c>
      <c r="I8028">
        <v>0.47868055555555555</v>
      </c>
      <c r="J8028">
        <v>44788</v>
      </c>
    </row>
    <row r="8029" spans="1:10" x14ac:dyDescent="0.35">
      <c r="A8029" s="2">
        <v>44798</v>
      </c>
      <c r="B8029" s="3">
        <v>2.7395833333333286E-2</v>
      </c>
      <c r="C8029">
        <v>9601</v>
      </c>
      <c r="D8029" t="str">
        <f>VLOOKUP(H8029,Produkt!$A$2:$B$5,2,FALSE)</f>
        <v>A</v>
      </c>
      <c r="H8029">
        <v>1</v>
      </c>
      <c r="I8029">
        <v>0.15087962962962961</v>
      </c>
      <c r="J8029">
        <v>44789</v>
      </c>
    </row>
    <row r="8030" spans="1:10" x14ac:dyDescent="0.35">
      <c r="A8030" s="2">
        <v>44798</v>
      </c>
      <c r="B8030" s="3">
        <v>0.25590277777777776</v>
      </c>
      <c r="C8030">
        <v>9607</v>
      </c>
      <c r="D8030" t="str">
        <f>VLOOKUP(H8030,Produkt!$A$2:$B$5,2,FALSE)</f>
        <v>D</v>
      </c>
      <c r="H8030">
        <v>4</v>
      </c>
      <c r="I8030">
        <v>0.79966435185185192</v>
      </c>
      <c r="J8030">
        <v>44800</v>
      </c>
    </row>
    <row r="8031" spans="1:10" x14ac:dyDescent="0.35">
      <c r="A8031" s="2">
        <v>44798</v>
      </c>
      <c r="B8031" s="3">
        <v>0.4261226851851852</v>
      </c>
      <c r="C8031">
        <v>9633</v>
      </c>
      <c r="D8031" t="str">
        <f>VLOOKUP(H8031,Produkt!$A$2:$B$5,2,FALSE)</f>
        <v>D</v>
      </c>
      <c r="H8031">
        <v>4</v>
      </c>
      <c r="I8031">
        <v>2.1087962962962961E-2</v>
      </c>
      <c r="J8031">
        <v>44792</v>
      </c>
    </row>
    <row r="8032" spans="1:10" x14ac:dyDescent="0.35">
      <c r="A8032" s="2">
        <v>44798</v>
      </c>
      <c r="B8032" s="3">
        <v>0.6589814814814815</v>
      </c>
      <c r="C8032">
        <v>9684</v>
      </c>
      <c r="D8032" t="str">
        <f>VLOOKUP(H8032,Produkt!$A$2:$B$5,2,FALSE)</f>
        <v>B</v>
      </c>
      <c r="H8032">
        <v>2</v>
      </c>
      <c r="I8032">
        <v>0.68601851851851858</v>
      </c>
      <c r="J8032">
        <v>44802</v>
      </c>
    </row>
    <row r="8033" spans="1:10" x14ac:dyDescent="0.35">
      <c r="A8033" s="2">
        <v>44798</v>
      </c>
      <c r="B8033" s="3">
        <v>0.16796296296296298</v>
      </c>
      <c r="C8033">
        <v>9735</v>
      </c>
      <c r="D8033" t="str">
        <f>VLOOKUP(H8033,Produkt!$A$2:$B$5,2,FALSE)</f>
        <v>D</v>
      </c>
      <c r="H8033">
        <v>4</v>
      </c>
      <c r="I8033">
        <v>4.3969907407407409E-2</v>
      </c>
      <c r="J8033">
        <v>44789</v>
      </c>
    </row>
    <row r="8034" spans="1:10" x14ac:dyDescent="0.35">
      <c r="A8034" s="2">
        <v>44798</v>
      </c>
      <c r="B8034" s="3">
        <v>0.86450231481481488</v>
      </c>
      <c r="C8034">
        <v>9747</v>
      </c>
      <c r="D8034" t="str">
        <f>VLOOKUP(H8034,Produkt!$A$2:$B$5,2,FALSE)</f>
        <v>B</v>
      </c>
      <c r="H8034">
        <v>2</v>
      </c>
      <c r="I8034">
        <v>5.7523148148148628E-3</v>
      </c>
      <c r="J8034">
        <v>44792</v>
      </c>
    </row>
    <row r="8035" spans="1:10" x14ac:dyDescent="0.35">
      <c r="A8035" s="2">
        <v>44798</v>
      </c>
      <c r="B8035" s="3">
        <v>0.46539351851851851</v>
      </c>
      <c r="C8035">
        <v>9883</v>
      </c>
      <c r="D8035" t="str">
        <f>VLOOKUP(H8035,Produkt!$A$2:$B$5,2,FALSE)</f>
        <v>B</v>
      </c>
      <c r="H8035">
        <v>2</v>
      </c>
      <c r="I8035">
        <v>0.87466435185185187</v>
      </c>
      <c r="J8035">
        <v>44798</v>
      </c>
    </row>
    <row r="8036" spans="1:10" x14ac:dyDescent="0.35">
      <c r="A8036" s="2">
        <v>44798</v>
      </c>
      <c r="B8036" s="3">
        <v>0.97728009259259263</v>
      </c>
      <c r="C8036">
        <v>9885</v>
      </c>
      <c r="D8036" t="str">
        <f>VLOOKUP(H8036,Produkt!$A$2:$B$5,2,FALSE)</f>
        <v>C</v>
      </c>
      <c r="H8036">
        <v>3</v>
      </c>
      <c r="I8036">
        <v>0.34001157407407406</v>
      </c>
      <c r="J8036">
        <v>44786</v>
      </c>
    </row>
    <row r="8037" spans="1:10" x14ac:dyDescent="0.35">
      <c r="A8037" s="2">
        <v>44798</v>
      </c>
      <c r="B8037" s="3">
        <v>0.88922453703703708</v>
      </c>
      <c r="C8037">
        <v>9895</v>
      </c>
      <c r="D8037" t="str">
        <f>VLOOKUP(H8037,Produkt!$A$2:$B$5,2,FALSE)</f>
        <v>A</v>
      </c>
      <c r="H8037">
        <v>1</v>
      </c>
      <c r="I8037">
        <v>0.14822916666666666</v>
      </c>
      <c r="J8037">
        <v>44796</v>
      </c>
    </row>
    <row r="8038" spans="1:10" x14ac:dyDescent="0.35">
      <c r="A8038" s="2">
        <v>44798</v>
      </c>
      <c r="B8038" s="3">
        <v>9.432870370370371E-3</v>
      </c>
      <c r="C8038">
        <v>9905</v>
      </c>
      <c r="D8038" t="str">
        <f>VLOOKUP(H8038,Produkt!$A$2:$B$5,2,FALSE)</f>
        <v>C</v>
      </c>
      <c r="H8038">
        <v>3</v>
      </c>
      <c r="I8038">
        <v>0.88701388888888888</v>
      </c>
      <c r="J8038">
        <v>44784</v>
      </c>
    </row>
    <row r="8039" spans="1:10" x14ac:dyDescent="0.35">
      <c r="A8039" s="2">
        <v>44798</v>
      </c>
      <c r="B8039" s="3">
        <v>0.59240740740740738</v>
      </c>
      <c r="C8039">
        <v>9910</v>
      </c>
      <c r="D8039" t="str">
        <f>VLOOKUP(H8039,Produkt!$A$2:$B$5,2,FALSE)</f>
        <v>D</v>
      </c>
      <c r="H8039">
        <v>4</v>
      </c>
      <c r="I8039">
        <v>0.52541666666666664</v>
      </c>
      <c r="J8039">
        <v>44793</v>
      </c>
    </row>
    <row r="8040" spans="1:10" x14ac:dyDescent="0.35">
      <c r="A8040" s="2">
        <v>44798</v>
      </c>
      <c r="B8040" s="3">
        <v>6.6203703703704431E-3</v>
      </c>
      <c r="C8040">
        <v>9927</v>
      </c>
      <c r="D8040" t="str">
        <f>VLOOKUP(H8040,Produkt!$A$2:$B$5,2,FALSE)</f>
        <v>A</v>
      </c>
      <c r="H8040">
        <v>1</v>
      </c>
      <c r="I8040">
        <v>0.95277777777777783</v>
      </c>
      <c r="J8040">
        <v>44779</v>
      </c>
    </row>
    <row r="8041" spans="1:10" x14ac:dyDescent="0.35">
      <c r="A8041" s="2">
        <v>44798</v>
      </c>
      <c r="B8041" s="3">
        <v>0.72721064814814806</v>
      </c>
      <c r="C8041">
        <v>9936</v>
      </c>
      <c r="D8041" t="str">
        <f>VLOOKUP(H8041,Produkt!$A$2:$B$5,2,FALSE)</f>
        <v>C</v>
      </c>
      <c r="H8041">
        <v>3</v>
      </c>
      <c r="I8041">
        <v>0.84664351851851849</v>
      </c>
      <c r="J8041">
        <v>44804</v>
      </c>
    </row>
    <row r="8042" spans="1:10" x14ac:dyDescent="0.35">
      <c r="A8042" s="2">
        <v>44798</v>
      </c>
      <c r="B8042" s="3">
        <v>0.7622916666666667</v>
      </c>
      <c r="C8042">
        <v>9953</v>
      </c>
      <c r="D8042" t="str">
        <f>VLOOKUP(H8042,Produkt!$A$2:$B$5,2,FALSE)</f>
        <v>D</v>
      </c>
      <c r="H8042">
        <v>4</v>
      </c>
      <c r="I8042">
        <v>0.14520833333333333</v>
      </c>
      <c r="J8042">
        <v>44776</v>
      </c>
    </row>
    <row r="8043" spans="1:10" x14ac:dyDescent="0.35">
      <c r="A8043" s="2">
        <v>44798</v>
      </c>
      <c r="B8043" s="3">
        <v>0.76304398148148145</v>
      </c>
      <c r="C8043">
        <v>9972</v>
      </c>
      <c r="D8043" t="str">
        <f>VLOOKUP(H8043,Produkt!$A$2:$B$5,2,FALSE)</f>
        <v>C</v>
      </c>
      <c r="H8043">
        <v>3</v>
      </c>
      <c r="I8043">
        <v>0.42189814814814813</v>
      </c>
      <c r="J8043">
        <v>44797</v>
      </c>
    </row>
    <row r="8044" spans="1:10" x14ac:dyDescent="0.35">
      <c r="A8044" s="2">
        <v>44798</v>
      </c>
      <c r="B8044" s="3">
        <v>0.22265046296296298</v>
      </c>
      <c r="C8044">
        <v>9975</v>
      </c>
      <c r="D8044" t="str">
        <f>VLOOKUP(H8044,Produkt!$A$2:$B$5,2,FALSE)</f>
        <v>D</v>
      </c>
      <c r="H8044">
        <v>4</v>
      </c>
      <c r="I8044">
        <v>0.28756944444444443</v>
      </c>
      <c r="J8044">
        <v>44776</v>
      </c>
    </row>
    <row r="8045" spans="1:10" x14ac:dyDescent="0.35">
      <c r="A8045" s="2">
        <v>44798</v>
      </c>
      <c r="B8045" s="3">
        <v>0.5357291666666667</v>
      </c>
      <c r="C8045">
        <v>9976</v>
      </c>
      <c r="D8045" t="str">
        <f>VLOOKUP(H8045,Produkt!$A$2:$B$5,2,FALSE)</f>
        <v>C</v>
      </c>
      <c r="H8045">
        <v>3</v>
      </c>
      <c r="I8045">
        <v>0.36393518518518514</v>
      </c>
      <c r="J8045">
        <v>44799</v>
      </c>
    </row>
    <row r="8046" spans="1:10" x14ac:dyDescent="0.35">
      <c r="A8046" s="2">
        <v>44798</v>
      </c>
      <c r="B8046" s="3">
        <v>0.42471064814814818</v>
      </c>
      <c r="C8046">
        <v>9981</v>
      </c>
      <c r="D8046" t="str">
        <f>VLOOKUP(H8046,Produkt!$A$2:$B$5,2,FALSE)</f>
        <v>D</v>
      </c>
      <c r="H8046">
        <v>4</v>
      </c>
      <c r="I8046">
        <v>0.2093865740740741</v>
      </c>
      <c r="J8046">
        <v>44774</v>
      </c>
    </row>
    <row r="8047" spans="1:10" x14ac:dyDescent="0.35">
      <c r="A8047" s="2">
        <v>44799</v>
      </c>
      <c r="B8047" s="3">
        <v>0.69373842592592594</v>
      </c>
      <c r="C8047">
        <v>14</v>
      </c>
      <c r="D8047" t="str">
        <f>VLOOKUP(H8047,Produkt!$A$2:$B$5,2,FALSE)</f>
        <v>A</v>
      </c>
      <c r="H8047">
        <v>1</v>
      </c>
      <c r="I8047">
        <v>0.10355324074074074</v>
      </c>
      <c r="J8047">
        <v>44781</v>
      </c>
    </row>
    <row r="8048" spans="1:10" x14ac:dyDescent="0.35">
      <c r="A8048" s="2">
        <v>44799</v>
      </c>
      <c r="B8048" s="3">
        <v>0.52916666666666667</v>
      </c>
      <c r="C8048">
        <v>15</v>
      </c>
      <c r="D8048" t="str">
        <f>VLOOKUP(H8048,Produkt!$A$2:$B$5,2,FALSE)</f>
        <v>A</v>
      </c>
      <c r="H8048">
        <v>1</v>
      </c>
      <c r="I8048">
        <v>0.94331018518518517</v>
      </c>
      <c r="J8048">
        <v>44788</v>
      </c>
    </row>
    <row r="8049" spans="1:10" x14ac:dyDescent="0.35">
      <c r="A8049" s="2">
        <v>44799</v>
      </c>
      <c r="B8049" s="3">
        <v>0.2726736111111111</v>
      </c>
      <c r="C8049">
        <v>27</v>
      </c>
      <c r="D8049" t="str">
        <f>VLOOKUP(H8049,Produkt!$A$2:$B$5,2,FALSE)</f>
        <v>B</v>
      </c>
      <c r="H8049">
        <v>2</v>
      </c>
      <c r="I8049">
        <v>0.5074305555555555</v>
      </c>
      <c r="J8049">
        <v>44777</v>
      </c>
    </row>
    <row r="8050" spans="1:10" x14ac:dyDescent="0.35">
      <c r="A8050" s="2">
        <v>44799</v>
      </c>
      <c r="B8050" s="3">
        <v>5.9108796296296291E-2</v>
      </c>
      <c r="C8050">
        <v>37</v>
      </c>
      <c r="D8050" t="str">
        <f>VLOOKUP(H8050,Produkt!$A$2:$B$5,2,FALSE)</f>
        <v>C</v>
      </c>
      <c r="H8050">
        <v>3</v>
      </c>
      <c r="I8050">
        <v>4.1909722222222223E-2</v>
      </c>
      <c r="J8050">
        <v>44804</v>
      </c>
    </row>
    <row r="8051" spans="1:10" x14ac:dyDescent="0.35">
      <c r="A8051" s="2">
        <v>44799</v>
      </c>
      <c r="B8051" s="3">
        <v>0.71796296296296302</v>
      </c>
      <c r="C8051">
        <v>87</v>
      </c>
      <c r="D8051" t="str">
        <f>VLOOKUP(H8051,Produkt!$A$2:$B$5,2,FALSE)</f>
        <v>C</v>
      </c>
      <c r="H8051">
        <v>3</v>
      </c>
      <c r="I8051">
        <v>0.21944444444444444</v>
      </c>
      <c r="J8051">
        <v>44799</v>
      </c>
    </row>
    <row r="8052" spans="1:10" x14ac:dyDescent="0.35">
      <c r="A8052" s="2">
        <v>44799</v>
      </c>
      <c r="B8052" s="3">
        <v>0.89268518518518514</v>
      </c>
      <c r="C8052">
        <v>113</v>
      </c>
      <c r="D8052" t="str">
        <f>VLOOKUP(H8052,Produkt!$A$2:$B$5,2,FALSE)</f>
        <v>D</v>
      </c>
      <c r="H8052">
        <v>4</v>
      </c>
      <c r="I8052">
        <v>0.16093749999999998</v>
      </c>
      <c r="J8052">
        <v>44786</v>
      </c>
    </row>
    <row r="8053" spans="1:10" x14ac:dyDescent="0.35">
      <c r="A8053" s="2">
        <v>44799</v>
      </c>
      <c r="B8053" s="3">
        <v>0.76561342592592585</v>
      </c>
      <c r="C8053">
        <v>207</v>
      </c>
      <c r="D8053" t="str">
        <f>VLOOKUP(H8053,Produkt!$A$2:$B$5,2,FALSE)</f>
        <v>C</v>
      </c>
      <c r="H8053">
        <v>3</v>
      </c>
      <c r="I8053">
        <v>0.39002314814814815</v>
      </c>
      <c r="J8053">
        <v>44798</v>
      </c>
    </row>
    <row r="8054" spans="1:10" x14ac:dyDescent="0.35">
      <c r="A8054" s="2">
        <v>44799</v>
      </c>
      <c r="B8054" s="3">
        <v>0.50496527777777778</v>
      </c>
      <c r="C8054">
        <v>211</v>
      </c>
      <c r="D8054" t="str">
        <f>VLOOKUP(H8054,Produkt!$A$2:$B$5,2,FALSE)</f>
        <v>B</v>
      </c>
      <c r="H8054">
        <v>2</v>
      </c>
      <c r="I8054">
        <v>0.87745370370370368</v>
      </c>
      <c r="J8054">
        <v>44774</v>
      </c>
    </row>
    <row r="8055" spans="1:10" x14ac:dyDescent="0.35">
      <c r="A8055" s="2">
        <v>44799</v>
      </c>
      <c r="B8055" s="3">
        <v>0.90028935185185188</v>
      </c>
      <c r="C8055">
        <v>233</v>
      </c>
      <c r="D8055" t="str">
        <f>VLOOKUP(H8055,Produkt!$A$2:$B$5,2,FALSE)</f>
        <v>A</v>
      </c>
      <c r="H8055">
        <v>1</v>
      </c>
      <c r="I8055">
        <v>0.19930555555555554</v>
      </c>
      <c r="J8055">
        <v>44794</v>
      </c>
    </row>
    <row r="8056" spans="1:10" x14ac:dyDescent="0.35">
      <c r="A8056" s="2">
        <v>44799</v>
      </c>
      <c r="B8056" s="3">
        <v>0.5904166666666667</v>
      </c>
      <c r="C8056">
        <v>245</v>
      </c>
      <c r="D8056" t="str">
        <f>VLOOKUP(H8056,Produkt!$A$2:$B$5,2,FALSE)</f>
        <v>A</v>
      </c>
      <c r="H8056">
        <v>1</v>
      </c>
      <c r="I8056">
        <v>0.72129629629629621</v>
      </c>
      <c r="J8056">
        <v>44791</v>
      </c>
    </row>
    <row r="8057" spans="1:10" x14ac:dyDescent="0.35">
      <c r="A8057" s="2">
        <v>44799</v>
      </c>
      <c r="B8057" s="3">
        <v>0.82476851851851851</v>
      </c>
      <c r="C8057">
        <v>365</v>
      </c>
      <c r="D8057" t="str">
        <f>VLOOKUP(H8057,Produkt!$A$2:$B$5,2,FALSE)</f>
        <v>D</v>
      </c>
      <c r="H8057">
        <v>4</v>
      </c>
      <c r="I8057">
        <v>0.95030092592592597</v>
      </c>
      <c r="J8057">
        <v>44792</v>
      </c>
    </row>
    <row r="8058" spans="1:10" x14ac:dyDescent="0.35">
      <c r="A8058" s="2">
        <v>44799</v>
      </c>
      <c r="B8058" s="3">
        <v>0.83347222222222228</v>
      </c>
      <c r="C8058">
        <v>373</v>
      </c>
      <c r="D8058" t="str">
        <f>VLOOKUP(H8058,Produkt!$A$2:$B$5,2,FALSE)</f>
        <v>B</v>
      </c>
      <c r="H8058">
        <v>2</v>
      </c>
      <c r="I8058">
        <v>0.77414351851851848</v>
      </c>
      <c r="J8058">
        <v>44782</v>
      </c>
    </row>
    <row r="8059" spans="1:10" x14ac:dyDescent="0.35">
      <c r="A8059" s="2">
        <v>44799</v>
      </c>
      <c r="B8059" s="3">
        <v>0.3369907407407407</v>
      </c>
      <c r="C8059">
        <v>431</v>
      </c>
      <c r="D8059" t="str">
        <f>VLOOKUP(H8059,Produkt!$A$2:$B$5,2,FALSE)</f>
        <v>C</v>
      </c>
      <c r="H8059">
        <v>3</v>
      </c>
      <c r="I8059">
        <v>0.15138888888888888</v>
      </c>
      <c r="J8059">
        <v>44782</v>
      </c>
    </row>
    <row r="8060" spans="1:10" x14ac:dyDescent="0.35">
      <c r="A8060" s="2">
        <v>44799</v>
      </c>
      <c r="B8060" s="3">
        <v>0.31815972222222222</v>
      </c>
      <c r="C8060">
        <v>432</v>
      </c>
      <c r="D8060" t="str">
        <f>VLOOKUP(H8060,Produkt!$A$2:$B$5,2,FALSE)</f>
        <v>D</v>
      </c>
      <c r="H8060">
        <v>4</v>
      </c>
      <c r="I8060">
        <v>0.74400462962962965</v>
      </c>
      <c r="J8060">
        <v>44787</v>
      </c>
    </row>
    <row r="8061" spans="1:10" x14ac:dyDescent="0.35">
      <c r="A8061" s="2">
        <v>44799</v>
      </c>
      <c r="B8061" s="3">
        <v>0.8040046296296296</v>
      </c>
      <c r="C8061">
        <v>444</v>
      </c>
      <c r="D8061" t="str">
        <f>VLOOKUP(H8061,Produkt!$A$2:$B$5,2,FALSE)</f>
        <v>C</v>
      </c>
      <c r="H8061">
        <v>3</v>
      </c>
      <c r="I8061">
        <v>0.73890046296296286</v>
      </c>
      <c r="J8061">
        <v>44785</v>
      </c>
    </row>
    <row r="8062" spans="1:10" x14ac:dyDescent="0.35">
      <c r="A8062" s="2">
        <v>44799</v>
      </c>
      <c r="B8062" s="3">
        <v>0.47875000000000001</v>
      </c>
      <c r="C8062">
        <v>450</v>
      </c>
      <c r="D8062" t="str">
        <f>VLOOKUP(H8062,Produkt!$A$2:$B$5,2,FALSE)</f>
        <v>D</v>
      </c>
      <c r="H8062">
        <v>4</v>
      </c>
      <c r="I8062">
        <v>0.8681712962962963</v>
      </c>
      <c r="J8062">
        <v>44802</v>
      </c>
    </row>
    <row r="8063" spans="1:10" x14ac:dyDescent="0.35">
      <c r="A8063" s="2">
        <v>44799</v>
      </c>
      <c r="B8063" s="3">
        <v>0.80912037037037043</v>
      </c>
      <c r="C8063">
        <v>491</v>
      </c>
      <c r="D8063" t="str">
        <f>VLOOKUP(H8063,Produkt!$A$2:$B$5,2,FALSE)</f>
        <v>A</v>
      </c>
      <c r="H8063">
        <v>1</v>
      </c>
      <c r="I8063">
        <v>0.2928472222222222</v>
      </c>
      <c r="J8063">
        <v>44800</v>
      </c>
    </row>
    <row r="8064" spans="1:10" x14ac:dyDescent="0.35">
      <c r="A8064" s="2">
        <v>44799</v>
      </c>
      <c r="B8064" s="3">
        <v>0.71026620370370364</v>
      </c>
      <c r="C8064">
        <v>500</v>
      </c>
      <c r="D8064" t="str">
        <f>VLOOKUP(H8064,Produkt!$A$2:$B$5,2,FALSE)</f>
        <v>A</v>
      </c>
      <c r="H8064">
        <v>1</v>
      </c>
      <c r="I8064">
        <v>0.63643518518518516</v>
      </c>
      <c r="J8064">
        <v>44775</v>
      </c>
    </row>
    <row r="8065" spans="1:10" x14ac:dyDescent="0.35">
      <c r="A8065" s="2">
        <v>44799</v>
      </c>
      <c r="B8065" s="3">
        <v>4.8252314814814817E-2</v>
      </c>
      <c r="C8065">
        <v>587</v>
      </c>
      <c r="D8065" t="str">
        <f>VLOOKUP(H8065,Produkt!$A$2:$B$5,2,FALSE)</f>
        <v>D</v>
      </c>
      <c r="H8065">
        <v>4</v>
      </c>
      <c r="I8065">
        <v>0.61927083333333333</v>
      </c>
      <c r="J8065">
        <v>44774</v>
      </c>
    </row>
    <row r="8066" spans="1:10" x14ac:dyDescent="0.35">
      <c r="A8066" s="2">
        <v>44799</v>
      </c>
      <c r="B8066" s="3">
        <v>0.89582175925925922</v>
      </c>
      <c r="C8066">
        <v>605</v>
      </c>
      <c r="D8066" t="str">
        <f>VLOOKUP(H8066,Produkt!$A$2:$B$5,2,FALSE)</f>
        <v>C</v>
      </c>
      <c r="H8066">
        <v>3</v>
      </c>
      <c r="I8066">
        <v>0.10252314814814815</v>
      </c>
      <c r="J8066">
        <v>44800</v>
      </c>
    </row>
    <row r="8067" spans="1:10" x14ac:dyDescent="0.35">
      <c r="A8067" s="2">
        <v>44799</v>
      </c>
      <c r="B8067" s="3">
        <v>0.75067129629629636</v>
      </c>
      <c r="C8067">
        <v>637</v>
      </c>
      <c r="D8067" t="str">
        <f>VLOOKUP(H8067,Produkt!$A$2:$B$5,2,FALSE)</f>
        <v>B</v>
      </c>
      <c r="H8067">
        <v>2</v>
      </c>
      <c r="I8067">
        <v>5.2835648148148145E-2</v>
      </c>
      <c r="J8067">
        <v>44790</v>
      </c>
    </row>
    <row r="8068" spans="1:10" x14ac:dyDescent="0.35">
      <c r="A8068" s="2">
        <v>44799</v>
      </c>
      <c r="B8068" s="3">
        <v>0.31969907407407411</v>
      </c>
      <c r="C8068">
        <v>684</v>
      </c>
      <c r="D8068" t="str">
        <f>VLOOKUP(H8068,Produkt!$A$2:$B$5,2,FALSE)</f>
        <v>C</v>
      </c>
      <c r="H8068">
        <v>3</v>
      </c>
      <c r="I8068">
        <v>0.99425925925925929</v>
      </c>
      <c r="J8068">
        <v>44788</v>
      </c>
    </row>
    <row r="8069" spans="1:10" x14ac:dyDescent="0.35">
      <c r="A8069" s="2">
        <v>44799</v>
      </c>
      <c r="B8069" s="3">
        <v>0.70481481481481489</v>
      </c>
      <c r="C8069">
        <v>832</v>
      </c>
      <c r="D8069" t="str">
        <f>VLOOKUP(H8069,Produkt!$A$2:$B$5,2,FALSE)</f>
        <v>D</v>
      </c>
      <c r="H8069">
        <v>4</v>
      </c>
      <c r="I8069">
        <v>0.39096064814814818</v>
      </c>
      <c r="J8069">
        <v>44779</v>
      </c>
    </row>
    <row r="8070" spans="1:10" x14ac:dyDescent="0.35">
      <c r="A8070" s="2">
        <v>44799</v>
      </c>
      <c r="B8070" s="3">
        <v>0.13969907407407409</v>
      </c>
      <c r="C8070">
        <v>837</v>
      </c>
      <c r="D8070" t="str">
        <f>VLOOKUP(H8070,Produkt!$A$2:$B$5,2,FALSE)</f>
        <v>B</v>
      </c>
      <c r="H8070">
        <v>2</v>
      </c>
      <c r="I8070">
        <v>0.58273148148148146</v>
      </c>
      <c r="J8070">
        <v>44799</v>
      </c>
    </row>
    <row r="8071" spans="1:10" x14ac:dyDescent="0.35">
      <c r="A8071" s="2">
        <v>44799</v>
      </c>
      <c r="B8071" s="3">
        <v>0.49641203703703707</v>
      </c>
      <c r="C8071">
        <v>894</v>
      </c>
      <c r="D8071" t="str">
        <f>VLOOKUP(H8071,Produkt!$A$2:$B$5,2,FALSE)</f>
        <v>B</v>
      </c>
      <c r="H8071">
        <v>2</v>
      </c>
      <c r="I8071">
        <v>0.48898148148148146</v>
      </c>
      <c r="J8071">
        <v>44795</v>
      </c>
    </row>
    <row r="8072" spans="1:10" x14ac:dyDescent="0.35">
      <c r="A8072" s="2">
        <v>44799</v>
      </c>
      <c r="B8072" s="3">
        <v>0.53942129629629632</v>
      </c>
      <c r="C8072">
        <v>947</v>
      </c>
      <c r="D8072" t="str">
        <f>VLOOKUP(H8072,Produkt!$A$2:$B$5,2,FALSE)</f>
        <v>B</v>
      </c>
      <c r="H8072">
        <v>2</v>
      </c>
      <c r="I8072">
        <v>0.83908564814814823</v>
      </c>
      <c r="J8072">
        <v>44777</v>
      </c>
    </row>
    <row r="8073" spans="1:10" x14ac:dyDescent="0.35">
      <c r="A8073" s="2">
        <v>44799</v>
      </c>
      <c r="B8073" s="3">
        <v>0.3484606481481482</v>
      </c>
      <c r="C8073">
        <v>984</v>
      </c>
      <c r="D8073" t="str">
        <f>VLOOKUP(H8073,Produkt!$A$2:$B$5,2,FALSE)</f>
        <v>D</v>
      </c>
      <c r="H8073">
        <v>4</v>
      </c>
      <c r="I8073">
        <v>0.38092592592592589</v>
      </c>
      <c r="J8073">
        <v>44794</v>
      </c>
    </row>
    <row r="8074" spans="1:10" x14ac:dyDescent="0.35">
      <c r="A8074" s="2">
        <v>44799</v>
      </c>
      <c r="B8074" s="3">
        <v>0.44068287037037041</v>
      </c>
      <c r="C8074">
        <v>1020</v>
      </c>
      <c r="D8074" t="str">
        <f>VLOOKUP(H8074,Produkt!$A$2:$B$5,2,FALSE)</f>
        <v>D</v>
      </c>
      <c r="H8074">
        <v>4</v>
      </c>
      <c r="I8074">
        <v>0.40807870370370369</v>
      </c>
      <c r="J8074">
        <v>44801</v>
      </c>
    </row>
    <row r="8075" spans="1:10" x14ac:dyDescent="0.35">
      <c r="A8075" s="2">
        <v>44799</v>
      </c>
      <c r="B8075" s="3">
        <v>0.77768518518518526</v>
      </c>
      <c r="C8075">
        <v>1030</v>
      </c>
      <c r="D8075" t="str">
        <f>VLOOKUP(H8075,Produkt!$A$2:$B$5,2,FALSE)</f>
        <v>A</v>
      </c>
      <c r="H8075">
        <v>1</v>
      </c>
      <c r="I8075">
        <v>0.53793981481481479</v>
      </c>
      <c r="J8075">
        <v>44794</v>
      </c>
    </row>
    <row r="8076" spans="1:10" x14ac:dyDescent="0.35">
      <c r="A8076" s="2">
        <v>44799</v>
      </c>
      <c r="B8076" s="3">
        <v>0.48570601851851852</v>
      </c>
      <c r="C8076">
        <v>1060</v>
      </c>
      <c r="D8076" t="str">
        <f>VLOOKUP(H8076,Produkt!$A$2:$B$5,2,FALSE)</f>
        <v>C</v>
      </c>
      <c r="H8076">
        <v>3</v>
      </c>
      <c r="I8076">
        <v>0.16714120370370369</v>
      </c>
      <c r="J8076">
        <v>44782</v>
      </c>
    </row>
    <row r="8077" spans="1:10" x14ac:dyDescent="0.35">
      <c r="A8077" s="2">
        <v>44799</v>
      </c>
      <c r="B8077" s="3">
        <v>0.8618055555555556</v>
      </c>
      <c r="C8077">
        <v>1063</v>
      </c>
      <c r="D8077" t="str">
        <f>VLOOKUP(H8077,Produkt!$A$2:$B$5,2,FALSE)</f>
        <v>C</v>
      </c>
      <c r="H8077">
        <v>3</v>
      </c>
      <c r="I8077">
        <v>0.3369907407407407</v>
      </c>
      <c r="J8077">
        <v>44783</v>
      </c>
    </row>
    <row r="8078" spans="1:10" x14ac:dyDescent="0.35">
      <c r="A8078" s="2">
        <v>44799</v>
      </c>
      <c r="B8078" s="3">
        <v>0.26449074074074075</v>
      </c>
      <c r="C8078">
        <v>1076</v>
      </c>
      <c r="D8078" t="str">
        <f>VLOOKUP(H8078,Produkt!$A$2:$B$5,2,FALSE)</f>
        <v>A</v>
      </c>
      <c r="H8078">
        <v>1</v>
      </c>
      <c r="I8078">
        <v>0.10798611111111112</v>
      </c>
      <c r="J8078">
        <v>44779</v>
      </c>
    </row>
    <row r="8079" spans="1:10" x14ac:dyDescent="0.35">
      <c r="A8079" s="2">
        <v>44799</v>
      </c>
      <c r="B8079" s="3">
        <v>0.98174768518518529</v>
      </c>
      <c r="C8079">
        <v>1082</v>
      </c>
      <c r="D8079" t="str">
        <f>VLOOKUP(H8079,Produkt!$A$2:$B$5,2,FALSE)</f>
        <v>A</v>
      </c>
      <c r="H8079">
        <v>1</v>
      </c>
      <c r="I8079">
        <v>0.4622337962962963</v>
      </c>
      <c r="J8079">
        <v>44776</v>
      </c>
    </row>
    <row r="8080" spans="1:10" x14ac:dyDescent="0.35">
      <c r="A8080" s="2">
        <v>44799</v>
      </c>
      <c r="B8080" s="3">
        <v>0.19340277777777778</v>
      </c>
      <c r="C8080">
        <v>1163</v>
      </c>
      <c r="D8080" t="str">
        <f>VLOOKUP(H8080,Produkt!$A$2:$B$5,2,FALSE)</f>
        <v>D</v>
      </c>
      <c r="H8080">
        <v>4</v>
      </c>
      <c r="I8080">
        <v>0.80451388888888886</v>
      </c>
      <c r="J8080">
        <v>44793</v>
      </c>
    </row>
    <row r="8081" spans="1:10" x14ac:dyDescent="0.35">
      <c r="A8081" s="2">
        <v>44799</v>
      </c>
      <c r="B8081" s="3">
        <v>0.22898148148148148</v>
      </c>
      <c r="C8081">
        <v>1208</v>
      </c>
      <c r="D8081" t="str">
        <f>VLOOKUP(H8081,Produkt!$A$2:$B$5,2,FALSE)</f>
        <v>C</v>
      </c>
      <c r="H8081">
        <v>3</v>
      </c>
      <c r="I8081">
        <v>0.16298611111111111</v>
      </c>
      <c r="J8081">
        <v>44801</v>
      </c>
    </row>
    <row r="8082" spans="1:10" x14ac:dyDescent="0.35">
      <c r="A8082" s="2">
        <v>44799</v>
      </c>
      <c r="B8082" s="3">
        <v>0.93935185185185188</v>
      </c>
      <c r="C8082">
        <v>1225</v>
      </c>
      <c r="D8082" t="str">
        <f>VLOOKUP(H8082,Produkt!$A$2:$B$5,2,FALSE)</f>
        <v>A</v>
      </c>
      <c r="H8082">
        <v>1</v>
      </c>
      <c r="I8082">
        <v>0.98101851851851851</v>
      </c>
      <c r="J8082">
        <v>44796</v>
      </c>
    </row>
    <row r="8083" spans="1:10" x14ac:dyDescent="0.35">
      <c r="A8083" s="2">
        <v>44799</v>
      </c>
      <c r="B8083" s="3">
        <v>9.7453703703703709E-2</v>
      </c>
      <c r="C8083">
        <v>1245</v>
      </c>
      <c r="D8083" t="str">
        <f>VLOOKUP(H8083,Produkt!$A$2:$B$5,2,FALSE)</f>
        <v>C</v>
      </c>
      <c r="H8083">
        <v>3</v>
      </c>
      <c r="I8083">
        <v>3.9293981481481485E-2</v>
      </c>
      <c r="J8083">
        <v>44789</v>
      </c>
    </row>
    <row r="8084" spans="1:10" x14ac:dyDescent="0.35">
      <c r="A8084" s="2">
        <v>44799</v>
      </c>
      <c r="B8084" s="3">
        <v>0.78493055555555558</v>
      </c>
      <c r="C8084">
        <v>1251</v>
      </c>
      <c r="D8084" t="str">
        <f>VLOOKUP(H8084,Produkt!$A$2:$B$5,2,FALSE)</f>
        <v>A</v>
      </c>
      <c r="H8084">
        <v>1</v>
      </c>
      <c r="I8084">
        <v>0.97513888888888889</v>
      </c>
      <c r="J8084">
        <v>44777</v>
      </c>
    </row>
    <row r="8085" spans="1:10" x14ac:dyDescent="0.35">
      <c r="A8085" s="2">
        <v>44799</v>
      </c>
      <c r="B8085" s="3">
        <v>7.8645833333333331E-2</v>
      </c>
      <c r="C8085">
        <v>1254</v>
      </c>
      <c r="D8085" t="str">
        <f>VLOOKUP(H8085,Produkt!$A$2:$B$5,2,FALSE)</f>
        <v>B</v>
      </c>
      <c r="H8085">
        <v>2</v>
      </c>
      <c r="I8085">
        <v>0.31656250000000002</v>
      </c>
      <c r="J8085">
        <v>44787</v>
      </c>
    </row>
    <row r="8086" spans="1:10" x14ac:dyDescent="0.35">
      <c r="A8086" s="2">
        <v>44799</v>
      </c>
      <c r="B8086" s="3">
        <v>1.2037037037037038E-3</v>
      </c>
      <c r="C8086">
        <v>1333</v>
      </c>
      <c r="D8086" t="str">
        <f>VLOOKUP(H8086,Produkt!$A$2:$B$5,2,FALSE)</f>
        <v>A</v>
      </c>
      <c r="H8086">
        <v>1</v>
      </c>
      <c r="I8086">
        <v>0.87542824074074066</v>
      </c>
      <c r="J8086">
        <v>44798</v>
      </c>
    </row>
    <row r="8087" spans="1:10" x14ac:dyDescent="0.35">
      <c r="A8087" s="2">
        <v>44799</v>
      </c>
      <c r="B8087" s="3">
        <v>0.44532407407407404</v>
      </c>
      <c r="C8087">
        <v>1356</v>
      </c>
      <c r="D8087" t="str">
        <f>VLOOKUP(H8087,Produkt!$A$2:$B$5,2,FALSE)</f>
        <v>D</v>
      </c>
      <c r="H8087">
        <v>4</v>
      </c>
      <c r="I8087">
        <v>0.65206018518518516</v>
      </c>
      <c r="J8087">
        <v>44797</v>
      </c>
    </row>
    <row r="8088" spans="1:10" x14ac:dyDescent="0.35">
      <c r="A8088" s="2">
        <v>44799</v>
      </c>
      <c r="B8088" s="3">
        <v>0.24680555555555558</v>
      </c>
      <c r="C8088">
        <v>1403</v>
      </c>
      <c r="D8088" t="str">
        <f>VLOOKUP(H8088,Produkt!$A$2:$B$5,2,FALSE)</f>
        <v>D</v>
      </c>
      <c r="H8088">
        <v>4</v>
      </c>
      <c r="I8088">
        <v>0.24416666666666667</v>
      </c>
      <c r="J8088">
        <v>44797</v>
      </c>
    </row>
    <row r="8089" spans="1:10" x14ac:dyDescent="0.35">
      <c r="A8089" s="2">
        <v>44799</v>
      </c>
      <c r="B8089" s="3">
        <v>0.86253472222222216</v>
      </c>
      <c r="C8089">
        <v>1440</v>
      </c>
      <c r="D8089" t="str">
        <f>VLOOKUP(H8089,Produkt!$A$2:$B$5,2,FALSE)</f>
        <v>D</v>
      </c>
      <c r="H8089">
        <v>4</v>
      </c>
      <c r="I8089">
        <v>0.10481481481481481</v>
      </c>
      <c r="J8089">
        <v>44789</v>
      </c>
    </row>
    <row r="8090" spans="1:10" x14ac:dyDescent="0.35">
      <c r="A8090" s="2">
        <v>44799</v>
      </c>
      <c r="B8090" s="3">
        <v>6.423611111111116E-3</v>
      </c>
      <c r="C8090">
        <v>1501</v>
      </c>
      <c r="D8090" t="str">
        <f>VLOOKUP(H8090,Produkt!$A$2:$B$5,2,FALSE)</f>
        <v>B</v>
      </c>
      <c r="H8090">
        <v>2</v>
      </c>
      <c r="I8090">
        <v>0.58428240740740744</v>
      </c>
      <c r="J8090">
        <v>44797</v>
      </c>
    </row>
    <row r="8091" spans="1:10" x14ac:dyDescent="0.35">
      <c r="A8091" s="2">
        <v>44799</v>
      </c>
      <c r="B8091" s="3">
        <v>0.1471412037037037</v>
      </c>
      <c r="C8091">
        <v>1524</v>
      </c>
      <c r="D8091" t="str">
        <f>VLOOKUP(H8091,Produkt!$A$2:$B$5,2,FALSE)</f>
        <v>A</v>
      </c>
      <c r="H8091">
        <v>1</v>
      </c>
      <c r="I8091">
        <v>0.38553240740740741</v>
      </c>
      <c r="J8091">
        <v>44788</v>
      </c>
    </row>
    <row r="8092" spans="1:10" x14ac:dyDescent="0.35">
      <c r="A8092" s="2">
        <v>44799</v>
      </c>
      <c r="B8092" s="3">
        <v>0.96202546296296287</v>
      </c>
      <c r="C8092">
        <v>1532</v>
      </c>
      <c r="D8092" t="str">
        <f>VLOOKUP(H8092,Produkt!$A$2:$B$5,2,FALSE)</f>
        <v>A</v>
      </c>
      <c r="H8092">
        <v>1</v>
      </c>
      <c r="I8092">
        <v>0.43228009259259265</v>
      </c>
      <c r="J8092">
        <v>44800</v>
      </c>
    </row>
    <row r="8093" spans="1:10" x14ac:dyDescent="0.35">
      <c r="A8093" s="2">
        <v>44799</v>
      </c>
      <c r="B8093" s="3">
        <v>0.22222222222222221</v>
      </c>
      <c r="C8093">
        <v>1551</v>
      </c>
      <c r="D8093" t="str">
        <f>VLOOKUP(H8093,Produkt!$A$2:$B$5,2,FALSE)</f>
        <v>D</v>
      </c>
      <c r="H8093">
        <v>4</v>
      </c>
      <c r="I8093">
        <v>0.25968750000000002</v>
      </c>
      <c r="J8093">
        <v>44774</v>
      </c>
    </row>
    <row r="8094" spans="1:10" x14ac:dyDescent="0.35">
      <c r="A8094" s="2">
        <v>44799</v>
      </c>
      <c r="B8094" s="3">
        <v>0.39240740740740737</v>
      </c>
      <c r="C8094">
        <v>1622</v>
      </c>
      <c r="D8094" t="str">
        <f>VLOOKUP(H8094,Produkt!$A$2:$B$5,2,FALSE)</f>
        <v>D</v>
      </c>
      <c r="H8094">
        <v>4</v>
      </c>
      <c r="I8094">
        <v>0.70659722222222221</v>
      </c>
      <c r="J8094">
        <v>44781</v>
      </c>
    </row>
    <row r="8095" spans="1:10" x14ac:dyDescent="0.35">
      <c r="A8095" s="2">
        <v>44799</v>
      </c>
      <c r="B8095" s="3">
        <v>0.12469907407407409</v>
      </c>
      <c r="C8095">
        <v>1628</v>
      </c>
      <c r="D8095" t="str">
        <f>VLOOKUP(H8095,Produkt!$A$2:$B$5,2,FALSE)</f>
        <v>B</v>
      </c>
      <c r="H8095">
        <v>2</v>
      </c>
      <c r="I8095">
        <v>0.70023148148148151</v>
      </c>
      <c r="J8095">
        <v>44777</v>
      </c>
    </row>
    <row r="8096" spans="1:10" x14ac:dyDescent="0.35">
      <c r="A8096" s="2">
        <v>44799</v>
      </c>
      <c r="B8096" s="3">
        <v>0.32222222222222224</v>
      </c>
      <c r="C8096">
        <v>1645</v>
      </c>
      <c r="D8096" t="str">
        <f>VLOOKUP(H8096,Produkt!$A$2:$B$5,2,FALSE)</f>
        <v>A</v>
      </c>
      <c r="H8096">
        <v>1</v>
      </c>
      <c r="I8096">
        <v>0.12525462962962963</v>
      </c>
      <c r="J8096">
        <v>44779</v>
      </c>
    </row>
    <row r="8097" spans="1:10" x14ac:dyDescent="0.35">
      <c r="A8097" s="2">
        <v>44799</v>
      </c>
      <c r="B8097" s="3">
        <v>0.90716435185185185</v>
      </c>
      <c r="C8097">
        <v>1676</v>
      </c>
      <c r="D8097" t="str">
        <f>VLOOKUP(H8097,Produkt!$A$2:$B$5,2,FALSE)</f>
        <v>A</v>
      </c>
      <c r="H8097">
        <v>1</v>
      </c>
      <c r="I8097">
        <v>0.31506944444444446</v>
      </c>
      <c r="J8097">
        <v>44790</v>
      </c>
    </row>
    <row r="8098" spans="1:10" x14ac:dyDescent="0.35">
      <c r="A8098" s="2">
        <v>44799</v>
      </c>
      <c r="B8098" s="3">
        <v>0.82807870370370373</v>
      </c>
      <c r="C8098">
        <v>1678</v>
      </c>
      <c r="D8098" t="str">
        <f>VLOOKUP(H8098,Produkt!$A$2:$B$5,2,FALSE)</f>
        <v>A</v>
      </c>
      <c r="H8098">
        <v>1</v>
      </c>
      <c r="I8098">
        <v>0.28920138888888891</v>
      </c>
      <c r="J8098">
        <v>44790</v>
      </c>
    </row>
    <row r="8099" spans="1:10" x14ac:dyDescent="0.35">
      <c r="A8099" s="2">
        <v>44799</v>
      </c>
      <c r="B8099" s="3">
        <v>0.96099537037037042</v>
      </c>
      <c r="C8099">
        <v>1680</v>
      </c>
      <c r="D8099" t="str">
        <f>VLOOKUP(H8099,Produkt!$A$2:$B$5,2,FALSE)</f>
        <v>C</v>
      </c>
      <c r="H8099">
        <v>3</v>
      </c>
      <c r="I8099">
        <v>0.23842592592592593</v>
      </c>
      <c r="J8099">
        <v>44804</v>
      </c>
    </row>
    <row r="8100" spans="1:10" x14ac:dyDescent="0.35">
      <c r="A8100" s="2">
        <v>44799</v>
      </c>
      <c r="B8100" s="3">
        <v>0.9740509259259259</v>
      </c>
      <c r="C8100">
        <v>1746</v>
      </c>
      <c r="D8100" t="str">
        <f>VLOOKUP(H8100,Produkt!$A$2:$B$5,2,FALSE)</f>
        <v>C</v>
      </c>
      <c r="H8100">
        <v>3</v>
      </c>
      <c r="I8100">
        <v>0.25893518518518516</v>
      </c>
      <c r="J8100">
        <v>44778</v>
      </c>
    </row>
    <row r="8101" spans="1:10" x14ac:dyDescent="0.35">
      <c r="A8101" s="2">
        <v>44799</v>
      </c>
      <c r="B8101" s="3">
        <v>0.17619212962962963</v>
      </c>
      <c r="C8101">
        <v>1748</v>
      </c>
      <c r="D8101" t="str">
        <f>VLOOKUP(H8101,Produkt!$A$2:$B$5,2,FALSE)</f>
        <v>C</v>
      </c>
      <c r="H8101">
        <v>3</v>
      </c>
      <c r="I8101">
        <v>0.7818518518518518</v>
      </c>
      <c r="J8101">
        <v>44788</v>
      </c>
    </row>
    <row r="8102" spans="1:10" x14ac:dyDescent="0.35">
      <c r="A8102" s="2">
        <v>44799</v>
      </c>
      <c r="B8102" s="3">
        <v>0.92083333333333339</v>
      </c>
      <c r="C8102">
        <v>1812</v>
      </c>
      <c r="D8102" t="str">
        <f>VLOOKUP(H8102,Produkt!$A$2:$B$5,2,FALSE)</f>
        <v>A</v>
      </c>
      <c r="H8102">
        <v>1</v>
      </c>
      <c r="I8102">
        <v>0.71364583333333342</v>
      </c>
      <c r="J8102">
        <v>44795</v>
      </c>
    </row>
    <row r="8103" spans="1:10" x14ac:dyDescent="0.35">
      <c r="A8103" s="2">
        <v>44799</v>
      </c>
      <c r="B8103" s="3">
        <v>0.72696759259259258</v>
      </c>
      <c r="C8103">
        <v>1834</v>
      </c>
      <c r="D8103" t="str">
        <f>VLOOKUP(H8103,Produkt!$A$2:$B$5,2,FALSE)</f>
        <v>C</v>
      </c>
      <c r="H8103">
        <v>3</v>
      </c>
      <c r="I8103">
        <v>0.4846064814814815</v>
      </c>
      <c r="J8103">
        <v>44783</v>
      </c>
    </row>
    <row r="8104" spans="1:10" x14ac:dyDescent="0.35">
      <c r="A8104" s="2">
        <v>44799</v>
      </c>
      <c r="B8104" s="3">
        <v>0.75733796296296296</v>
      </c>
      <c r="C8104">
        <v>1855</v>
      </c>
      <c r="D8104" t="str">
        <f>VLOOKUP(H8104,Produkt!$A$2:$B$5,2,FALSE)</f>
        <v>D</v>
      </c>
      <c r="H8104">
        <v>4</v>
      </c>
      <c r="I8104">
        <v>0.52462962962962967</v>
      </c>
      <c r="J8104">
        <v>44778</v>
      </c>
    </row>
    <row r="8105" spans="1:10" x14ac:dyDescent="0.35">
      <c r="A8105" s="2">
        <v>44799</v>
      </c>
      <c r="B8105" s="3">
        <v>1.0416666666666741E-2</v>
      </c>
      <c r="C8105">
        <v>1856</v>
      </c>
      <c r="D8105" t="str">
        <f>VLOOKUP(H8105,Produkt!$A$2:$B$5,2,FALSE)</f>
        <v>C</v>
      </c>
      <c r="H8105">
        <v>3</v>
      </c>
      <c r="I8105">
        <v>0.62804398148148144</v>
      </c>
      <c r="J8105">
        <v>44795</v>
      </c>
    </row>
    <row r="8106" spans="1:10" x14ac:dyDescent="0.35">
      <c r="A8106" s="2">
        <v>44799</v>
      </c>
      <c r="B8106" s="3">
        <v>2.3472222222222117E-2</v>
      </c>
      <c r="C8106">
        <v>1860</v>
      </c>
      <c r="D8106" t="str">
        <f>VLOOKUP(H8106,Produkt!$A$2:$B$5,2,FALSE)</f>
        <v>C</v>
      </c>
      <c r="H8106">
        <v>3</v>
      </c>
      <c r="I8106">
        <v>0.40365740740740735</v>
      </c>
      <c r="J8106">
        <v>44780</v>
      </c>
    </row>
    <row r="8107" spans="1:10" x14ac:dyDescent="0.35">
      <c r="A8107" s="2">
        <v>44799</v>
      </c>
      <c r="B8107" s="3">
        <v>0.75914351851851858</v>
      </c>
      <c r="C8107">
        <v>1899</v>
      </c>
      <c r="D8107" t="str">
        <f>VLOOKUP(H8107,Produkt!$A$2:$B$5,2,FALSE)</f>
        <v>A</v>
      </c>
      <c r="H8107">
        <v>1</v>
      </c>
      <c r="I8107">
        <v>6.9594907407407411E-2</v>
      </c>
      <c r="J8107">
        <v>44783</v>
      </c>
    </row>
    <row r="8108" spans="1:10" x14ac:dyDescent="0.35">
      <c r="A8108" s="2">
        <v>44799</v>
      </c>
      <c r="B8108" s="3">
        <v>0.99332175925925925</v>
      </c>
      <c r="C8108">
        <v>1906</v>
      </c>
      <c r="D8108" t="str">
        <f>VLOOKUP(H8108,Produkt!$A$2:$B$5,2,FALSE)</f>
        <v>C</v>
      </c>
      <c r="H8108">
        <v>3</v>
      </c>
      <c r="I8108">
        <v>0.20766203703703703</v>
      </c>
      <c r="J8108">
        <v>44789</v>
      </c>
    </row>
    <row r="8109" spans="1:10" x14ac:dyDescent="0.35">
      <c r="A8109" s="2">
        <v>44799</v>
      </c>
      <c r="B8109" s="3">
        <v>0.42037037037037034</v>
      </c>
      <c r="C8109">
        <v>1926</v>
      </c>
      <c r="D8109" t="str">
        <f>VLOOKUP(H8109,Produkt!$A$2:$B$5,2,FALSE)</f>
        <v>B</v>
      </c>
      <c r="H8109">
        <v>2</v>
      </c>
      <c r="I8109">
        <v>0.44707175925925924</v>
      </c>
      <c r="J8109">
        <v>44779</v>
      </c>
    </row>
    <row r="8110" spans="1:10" x14ac:dyDescent="0.35">
      <c r="A8110" s="2">
        <v>44799</v>
      </c>
      <c r="B8110" s="3">
        <v>0.85430555555555554</v>
      </c>
      <c r="C8110">
        <v>1981</v>
      </c>
      <c r="D8110" t="str">
        <f>VLOOKUP(H8110,Produkt!$A$2:$B$5,2,FALSE)</f>
        <v>C</v>
      </c>
      <c r="H8110">
        <v>3</v>
      </c>
      <c r="I8110">
        <v>0.29310185185185184</v>
      </c>
      <c r="J8110">
        <v>44798</v>
      </c>
    </row>
    <row r="8111" spans="1:10" x14ac:dyDescent="0.35">
      <c r="A8111" s="2">
        <v>44799</v>
      </c>
      <c r="B8111" s="3">
        <v>0.87296296296296294</v>
      </c>
      <c r="C8111">
        <v>2012</v>
      </c>
      <c r="D8111" t="str">
        <f>VLOOKUP(H8111,Produkt!$A$2:$B$5,2,FALSE)</f>
        <v>B</v>
      </c>
      <c r="H8111">
        <v>2</v>
      </c>
      <c r="I8111">
        <v>0.49090277777777774</v>
      </c>
      <c r="J8111">
        <v>44774</v>
      </c>
    </row>
    <row r="8112" spans="1:10" x14ac:dyDescent="0.35">
      <c r="A8112" s="2">
        <v>44799</v>
      </c>
      <c r="B8112" s="3">
        <v>0.73166666666666658</v>
      </c>
      <c r="C8112">
        <v>2017</v>
      </c>
      <c r="D8112" t="str">
        <f>VLOOKUP(H8112,Produkt!$A$2:$B$5,2,FALSE)</f>
        <v>C</v>
      </c>
      <c r="H8112">
        <v>3</v>
      </c>
      <c r="I8112">
        <v>5.1643518518518526E-2</v>
      </c>
      <c r="J8112">
        <v>44804</v>
      </c>
    </row>
    <row r="8113" spans="1:10" x14ac:dyDescent="0.35">
      <c r="A8113" s="2">
        <v>44799</v>
      </c>
      <c r="B8113" s="3">
        <v>5.0497685185185187E-2</v>
      </c>
      <c r="C8113">
        <v>2035</v>
      </c>
      <c r="D8113" t="str">
        <f>VLOOKUP(H8113,Produkt!$A$2:$B$5,2,FALSE)</f>
        <v>A</v>
      </c>
      <c r="H8113">
        <v>1</v>
      </c>
      <c r="I8113">
        <v>0.40390046296296295</v>
      </c>
      <c r="J8113">
        <v>44787</v>
      </c>
    </row>
    <row r="8114" spans="1:10" x14ac:dyDescent="0.35">
      <c r="A8114" s="2">
        <v>44799</v>
      </c>
      <c r="B8114" s="3">
        <v>3.155092592592592E-2</v>
      </c>
      <c r="C8114">
        <v>2036</v>
      </c>
      <c r="D8114" t="str">
        <f>VLOOKUP(H8114,Produkt!$A$2:$B$5,2,FALSE)</f>
        <v>B</v>
      </c>
      <c r="H8114">
        <v>2</v>
      </c>
      <c r="I8114">
        <v>0.30928240740740742</v>
      </c>
      <c r="J8114">
        <v>44777</v>
      </c>
    </row>
    <row r="8115" spans="1:10" x14ac:dyDescent="0.35">
      <c r="A8115" s="2">
        <v>44799</v>
      </c>
      <c r="B8115" s="3">
        <v>0.17170138888888889</v>
      </c>
      <c r="C8115">
        <v>2146</v>
      </c>
      <c r="D8115" t="str">
        <f>VLOOKUP(H8115,Produkt!$A$2:$B$5,2,FALSE)</f>
        <v>C</v>
      </c>
      <c r="H8115">
        <v>3</v>
      </c>
      <c r="I8115">
        <v>0.32065972222222222</v>
      </c>
      <c r="J8115">
        <v>44804</v>
      </c>
    </row>
    <row r="8116" spans="1:10" x14ac:dyDescent="0.35">
      <c r="A8116" s="2">
        <v>44799</v>
      </c>
      <c r="B8116" s="3">
        <v>0.5372569444444445</v>
      </c>
      <c r="C8116">
        <v>2164</v>
      </c>
      <c r="D8116" t="str">
        <f>VLOOKUP(H8116,Produkt!$A$2:$B$5,2,FALSE)</f>
        <v>D</v>
      </c>
      <c r="H8116">
        <v>4</v>
      </c>
      <c r="I8116">
        <v>0.25822916666666668</v>
      </c>
      <c r="J8116">
        <v>44802</v>
      </c>
    </row>
    <row r="8117" spans="1:10" x14ac:dyDescent="0.35">
      <c r="A8117" s="2">
        <v>44799</v>
      </c>
      <c r="B8117" s="3">
        <v>1.678240740740744E-2</v>
      </c>
      <c r="C8117">
        <v>2165</v>
      </c>
      <c r="D8117" t="str">
        <f>VLOOKUP(H8117,Produkt!$A$2:$B$5,2,FALSE)</f>
        <v>B</v>
      </c>
      <c r="H8117">
        <v>2</v>
      </c>
      <c r="I8117">
        <v>8.3842592592592594E-2</v>
      </c>
      <c r="J8117">
        <v>44782</v>
      </c>
    </row>
    <row r="8118" spans="1:10" x14ac:dyDescent="0.35">
      <c r="A8118" s="2">
        <v>44799</v>
      </c>
      <c r="B8118" s="3">
        <v>0.98071759259259261</v>
      </c>
      <c r="C8118">
        <v>2168</v>
      </c>
      <c r="D8118" t="str">
        <f>VLOOKUP(H8118,Produkt!$A$2:$B$5,2,FALSE)</f>
        <v>C</v>
      </c>
      <c r="H8118">
        <v>3</v>
      </c>
      <c r="I8118">
        <v>0.43550925925925926</v>
      </c>
      <c r="J8118">
        <v>44786</v>
      </c>
    </row>
    <row r="8119" spans="1:10" x14ac:dyDescent="0.35">
      <c r="A8119" s="2">
        <v>44799</v>
      </c>
      <c r="B8119" s="3">
        <v>0.62282407407407414</v>
      </c>
      <c r="C8119">
        <v>2196</v>
      </c>
      <c r="D8119" t="str">
        <f>VLOOKUP(H8119,Produkt!$A$2:$B$5,2,FALSE)</f>
        <v>B</v>
      </c>
      <c r="H8119">
        <v>2</v>
      </c>
      <c r="I8119">
        <v>0.90498842592592599</v>
      </c>
      <c r="J8119">
        <v>44774</v>
      </c>
    </row>
    <row r="8120" spans="1:10" x14ac:dyDescent="0.35">
      <c r="A8120" s="2">
        <v>44799</v>
      </c>
      <c r="B8120" s="3">
        <v>0.85175925925925933</v>
      </c>
      <c r="C8120">
        <v>2205</v>
      </c>
      <c r="D8120" t="str">
        <f>VLOOKUP(H8120,Produkt!$A$2:$B$5,2,FALSE)</f>
        <v>D</v>
      </c>
      <c r="H8120">
        <v>4</v>
      </c>
      <c r="I8120">
        <v>0.92270833333333335</v>
      </c>
      <c r="J8120">
        <v>44799</v>
      </c>
    </row>
    <row r="8121" spans="1:10" x14ac:dyDescent="0.35">
      <c r="A8121" s="2">
        <v>44799</v>
      </c>
      <c r="B8121" s="3">
        <v>0.48533564814814811</v>
      </c>
      <c r="C8121">
        <v>2247</v>
      </c>
      <c r="D8121" t="str">
        <f>VLOOKUP(H8121,Produkt!$A$2:$B$5,2,FALSE)</f>
        <v>B</v>
      </c>
      <c r="H8121">
        <v>2</v>
      </c>
      <c r="I8121">
        <v>0.57229166666666664</v>
      </c>
      <c r="J8121">
        <v>44775</v>
      </c>
    </row>
    <row r="8122" spans="1:10" x14ac:dyDescent="0.35">
      <c r="A8122" s="2">
        <v>44799</v>
      </c>
      <c r="B8122" s="3">
        <v>0.20380787037037038</v>
      </c>
      <c r="C8122">
        <v>2351</v>
      </c>
      <c r="D8122" t="str">
        <f>VLOOKUP(H8122,Produkt!$A$2:$B$5,2,FALSE)</f>
        <v>D</v>
      </c>
      <c r="H8122">
        <v>4</v>
      </c>
      <c r="I8122">
        <v>0.4145138888888889</v>
      </c>
      <c r="J8122">
        <v>44784</v>
      </c>
    </row>
    <row r="8123" spans="1:10" x14ac:dyDescent="0.35">
      <c r="A8123" s="2">
        <v>44799</v>
      </c>
      <c r="B8123" s="3">
        <v>7.8761574074074067E-2</v>
      </c>
      <c r="C8123">
        <v>2366</v>
      </c>
      <c r="D8123" t="str">
        <f>VLOOKUP(H8123,Produkt!$A$2:$B$5,2,FALSE)</f>
        <v>A</v>
      </c>
      <c r="H8123">
        <v>1</v>
      </c>
      <c r="I8123">
        <v>0.481875</v>
      </c>
      <c r="J8123">
        <v>44782</v>
      </c>
    </row>
    <row r="8124" spans="1:10" x14ac:dyDescent="0.35">
      <c r="A8124" s="2">
        <v>44799</v>
      </c>
      <c r="B8124" s="3">
        <v>0.71870370370370373</v>
      </c>
      <c r="C8124">
        <v>2463</v>
      </c>
      <c r="D8124" t="str">
        <f>VLOOKUP(H8124,Produkt!$A$2:$B$5,2,FALSE)</f>
        <v>A</v>
      </c>
      <c r="H8124">
        <v>1</v>
      </c>
      <c r="I8124">
        <v>0.18674768518518517</v>
      </c>
      <c r="J8124">
        <v>44797</v>
      </c>
    </row>
    <row r="8125" spans="1:10" x14ac:dyDescent="0.35">
      <c r="A8125" s="2">
        <v>44799</v>
      </c>
      <c r="B8125" s="3">
        <v>2.6851851851851904E-2</v>
      </c>
      <c r="C8125">
        <v>2477</v>
      </c>
      <c r="D8125" t="str">
        <f>VLOOKUP(H8125,Produkt!$A$2:$B$5,2,FALSE)</f>
        <v>B</v>
      </c>
      <c r="H8125">
        <v>2</v>
      </c>
      <c r="I8125">
        <v>0.27246527777777779</v>
      </c>
      <c r="J8125">
        <v>44790</v>
      </c>
    </row>
    <row r="8126" spans="1:10" x14ac:dyDescent="0.35">
      <c r="A8126" s="2">
        <v>44799</v>
      </c>
      <c r="B8126" s="3">
        <v>2.2337962962962962E-2</v>
      </c>
      <c r="C8126">
        <v>2507</v>
      </c>
      <c r="D8126" t="str">
        <f>VLOOKUP(H8126,Produkt!$A$2:$B$5,2,FALSE)</f>
        <v>C</v>
      </c>
      <c r="H8126">
        <v>3</v>
      </c>
      <c r="I8126">
        <v>0.84223379629629624</v>
      </c>
      <c r="J8126">
        <v>44784</v>
      </c>
    </row>
    <row r="8127" spans="1:10" x14ac:dyDescent="0.35">
      <c r="A8127" s="2">
        <v>44799</v>
      </c>
      <c r="B8127" s="3">
        <v>0.4418171296296296</v>
      </c>
      <c r="C8127">
        <v>2527</v>
      </c>
      <c r="D8127" t="str">
        <f>VLOOKUP(H8127,Produkt!$A$2:$B$5,2,FALSE)</f>
        <v>D</v>
      </c>
      <c r="H8127">
        <v>4</v>
      </c>
      <c r="I8127">
        <v>0.91951388888888885</v>
      </c>
      <c r="J8127">
        <v>44775</v>
      </c>
    </row>
    <row r="8128" spans="1:10" x14ac:dyDescent="0.35">
      <c r="A8128" s="2">
        <v>44799</v>
      </c>
      <c r="B8128" s="3">
        <v>0.53553240740740737</v>
      </c>
      <c r="C8128">
        <v>2536</v>
      </c>
      <c r="D8128" t="str">
        <f>VLOOKUP(H8128,Produkt!$A$2:$B$5,2,FALSE)</f>
        <v>D</v>
      </c>
      <c r="H8128">
        <v>4</v>
      </c>
      <c r="I8128">
        <v>0.54393518518518513</v>
      </c>
      <c r="J8128">
        <v>44804</v>
      </c>
    </row>
    <row r="8129" spans="1:10" x14ac:dyDescent="0.35">
      <c r="A8129" s="2">
        <v>44799</v>
      </c>
      <c r="B8129" s="3">
        <v>0.9833101851851852</v>
      </c>
      <c r="C8129">
        <v>2646</v>
      </c>
      <c r="D8129" t="str">
        <f>VLOOKUP(H8129,Produkt!$A$2:$B$5,2,FALSE)</f>
        <v>A</v>
      </c>
      <c r="H8129">
        <v>1</v>
      </c>
      <c r="I8129">
        <v>0.56237268518518524</v>
      </c>
      <c r="J8129">
        <v>44786</v>
      </c>
    </row>
    <row r="8130" spans="1:10" x14ac:dyDescent="0.35">
      <c r="A8130" s="2">
        <v>44799</v>
      </c>
      <c r="B8130" s="3">
        <v>4.6238425925925926E-2</v>
      </c>
      <c r="C8130">
        <v>2665</v>
      </c>
      <c r="D8130" t="str">
        <f>VLOOKUP(H8130,Produkt!$A$2:$B$5,2,FALSE)</f>
        <v>D</v>
      </c>
      <c r="H8130">
        <v>4</v>
      </c>
      <c r="I8130">
        <v>3.394675925925926E-2</v>
      </c>
      <c r="J8130">
        <v>44800</v>
      </c>
    </row>
    <row r="8131" spans="1:10" x14ac:dyDescent="0.35">
      <c r="A8131" s="2">
        <v>44799</v>
      </c>
      <c r="B8131" s="3">
        <v>0.96763888888888883</v>
      </c>
      <c r="C8131">
        <v>2688</v>
      </c>
      <c r="D8131" t="str">
        <f>VLOOKUP(H8131,Produkt!$A$2:$B$5,2,FALSE)</f>
        <v>B</v>
      </c>
      <c r="H8131">
        <v>2</v>
      </c>
      <c r="I8131">
        <v>0.15324074074074073</v>
      </c>
      <c r="J8131">
        <v>44779</v>
      </c>
    </row>
    <row r="8132" spans="1:10" x14ac:dyDescent="0.35">
      <c r="A8132" s="2">
        <v>44799</v>
      </c>
      <c r="B8132" s="3">
        <v>0.62508101851851849</v>
      </c>
      <c r="C8132">
        <v>2708</v>
      </c>
      <c r="D8132" t="str">
        <f>VLOOKUP(H8132,Produkt!$A$2:$B$5,2,FALSE)</f>
        <v>C</v>
      </c>
      <c r="H8132">
        <v>3</v>
      </c>
      <c r="I8132">
        <v>0.72278935185185178</v>
      </c>
      <c r="J8132">
        <v>44793</v>
      </c>
    </row>
    <row r="8133" spans="1:10" x14ac:dyDescent="0.35">
      <c r="A8133" s="2">
        <v>44799</v>
      </c>
      <c r="B8133" s="3">
        <v>0.60002314814814817</v>
      </c>
      <c r="C8133">
        <v>2710</v>
      </c>
      <c r="D8133" t="str">
        <f>VLOOKUP(H8133,Produkt!$A$2:$B$5,2,FALSE)</f>
        <v>B</v>
      </c>
      <c r="H8133">
        <v>2</v>
      </c>
      <c r="I8133">
        <v>0.83589120370370373</v>
      </c>
      <c r="J8133">
        <v>44797</v>
      </c>
    </row>
    <row r="8134" spans="1:10" x14ac:dyDescent="0.35">
      <c r="A8134" s="2">
        <v>44799</v>
      </c>
      <c r="B8134" s="3">
        <v>0.361875</v>
      </c>
      <c r="C8134">
        <v>2757</v>
      </c>
      <c r="D8134" t="str">
        <f>VLOOKUP(H8134,Produkt!$A$2:$B$5,2,FALSE)</f>
        <v>C</v>
      </c>
      <c r="H8134">
        <v>3</v>
      </c>
      <c r="I8134">
        <v>0.49379629629629629</v>
      </c>
      <c r="J8134">
        <v>44801</v>
      </c>
    </row>
    <row r="8135" spans="1:10" x14ac:dyDescent="0.35">
      <c r="A8135" s="2">
        <v>44799</v>
      </c>
      <c r="B8135" s="3">
        <v>0.73193287037037036</v>
      </c>
      <c r="C8135">
        <v>2759</v>
      </c>
      <c r="D8135" t="str">
        <f>VLOOKUP(H8135,Produkt!$A$2:$B$5,2,FALSE)</f>
        <v>A</v>
      </c>
      <c r="H8135">
        <v>1</v>
      </c>
      <c r="I8135">
        <v>0.78498842592592588</v>
      </c>
      <c r="J8135">
        <v>44778</v>
      </c>
    </row>
    <row r="8136" spans="1:10" x14ac:dyDescent="0.35">
      <c r="A8136" s="2">
        <v>44799</v>
      </c>
      <c r="B8136" s="3">
        <v>0.89986111111111111</v>
      </c>
      <c r="C8136">
        <v>2768</v>
      </c>
      <c r="D8136" t="str">
        <f>VLOOKUP(H8136,Produkt!$A$2:$B$5,2,FALSE)</f>
        <v>C</v>
      </c>
      <c r="H8136">
        <v>3</v>
      </c>
      <c r="I8136">
        <v>0.74100694444444448</v>
      </c>
      <c r="J8136">
        <v>44778</v>
      </c>
    </row>
    <row r="8137" spans="1:10" x14ac:dyDescent="0.35">
      <c r="A8137" s="2">
        <v>44799</v>
      </c>
      <c r="B8137" s="3">
        <v>0.50031250000000005</v>
      </c>
      <c r="C8137">
        <v>2809</v>
      </c>
      <c r="D8137" t="str">
        <f>VLOOKUP(H8137,Produkt!$A$2:$B$5,2,FALSE)</f>
        <v>B</v>
      </c>
      <c r="H8137">
        <v>2</v>
      </c>
      <c r="I8137">
        <v>0.42641203703703701</v>
      </c>
      <c r="J8137">
        <v>44789</v>
      </c>
    </row>
    <row r="8138" spans="1:10" x14ac:dyDescent="0.35">
      <c r="A8138" s="2">
        <v>44799</v>
      </c>
      <c r="B8138" s="3">
        <v>0.43792824074074077</v>
      </c>
      <c r="C8138">
        <v>2853</v>
      </c>
      <c r="D8138" t="str">
        <f>VLOOKUP(H8138,Produkt!$A$2:$B$5,2,FALSE)</f>
        <v>A</v>
      </c>
      <c r="H8138">
        <v>1</v>
      </c>
      <c r="I8138">
        <v>0.25339120370370372</v>
      </c>
      <c r="J8138">
        <v>44786</v>
      </c>
    </row>
    <row r="8139" spans="1:10" x14ac:dyDescent="0.35">
      <c r="A8139" s="2">
        <v>44799</v>
      </c>
      <c r="B8139" s="3">
        <v>0.84592592592592597</v>
      </c>
      <c r="C8139">
        <v>2893</v>
      </c>
      <c r="D8139" t="str">
        <f>VLOOKUP(H8139,Produkt!$A$2:$B$5,2,FALSE)</f>
        <v>D</v>
      </c>
      <c r="H8139">
        <v>4</v>
      </c>
      <c r="I8139">
        <v>0.68312499999999998</v>
      </c>
      <c r="J8139">
        <v>44789</v>
      </c>
    </row>
    <row r="8140" spans="1:10" x14ac:dyDescent="0.35">
      <c r="A8140" s="2">
        <v>44799</v>
      </c>
      <c r="B8140" s="3">
        <v>0.92553240740740739</v>
      </c>
      <c r="C8140">
        <v>2917</v>
      </c>
      <c r="D8140" t="str">
        <f>VLOOKUP(H8140,Produkt!$A$2:$B$5,2,FALSE)</f>
        <v>C</v>
      </c>
      <c r="H8140">
        <v>3</v>
      </c>
      <c r="I8140">
        <v>0.38530092592592591</v>
      </c>
      <c r="J8140">
        <v>44803</v>
      </c>
    </row>
    <row r="8141" spans="1:10" x14ac:dyDescent="0.35">
      <c r="A8141" s="2">
        <v>44799</v>
      </c>
      <c r="B8141" s="3">
        <v>0.2202314814814815</v>
      </c>
      <c r="C8141">
        <v>2918</v>
      </c>
      <c r="D8141" t="str">
        <f>VLOOKUP(H8141,Produkt!$A$2:$B$5,2,FALSE)</f>
        <v>B</v>
      </c>
      <c r="H8141">
        <v>2</v>
      </c>
      <c r="I8141">
        <v>1.9988425925925979E-2</v>
      </c>
      <c r="J8141">
        <v>44788</v>
      </c>
    </row>
    <row r="8142" spans="1:10" x14ac:dyDescent="0.35">
      <c r="A8142" s="2">
        <v>44799</v>
      </c>
      <c r="B8142" s="3">
        <v>0.97263888888888894</v>
      </c>
      <c r="C8142">
        <v>2968</v>
      </c>
      <c r="D8142" t="str">
        <f>VLOOKUP(H8142,Produkt!$A$2:$B$5,2,FALSE)</f>
        <v>A</v>
      </c>
      <c r="H8142">
        <v>1</v>
      </c>
      <c r="I8142">
        <v>0.53803240740740743</v>
      </c>
      <c r="J8142">
        <v>44789</v>
      </c>
    </row>
    <row r="8143" spans="1:10" x14ac:dyDescent="0.35">
      <c r="A8143" s="2">
        <v>44799</v>
      </c>
      <c r="B8143" s="3">
        <v>0.41247685185185184</v>
      </c>
      <c r="C8143">
        <v>3001</v>
      </c>
      <c r="D8143" t="str">
        <f>VLOOKUP(H8143,Produkt!$A$2:$B$5,2,FALSE)</f>
        <v>C</v>
      </c>
      <c r="H8143">
        <v>3</v>
      </c>
      <c r="I8143">
        <v>0.51111111111111118</v>
      </c>
      <c r="J8143">
        <v>44801</v>
      </c>
    </row>
    <row r="8144" spans="1:10" x14ac:dyDescent="0.35">
      <c r="A8144" s="2">
        <v>44799</v>
      </c>
      <c r="B8144" s="3">
        <v>0.83065972222222229</v>
      </c>
      <c r="C8144">
        <v>3029</v>
      </c>
      <c r="D8144" t="str">
        <f>VLOOKUP(H8144,Produkt!$A$2:$B$5,2,FALSE)</f>
        <v>C</v>
      </c>
      <c r="H8144">
        <v>3</v>
      </c>
      <c r="I8144">
        <v>0.29873842592592592</v>
      </c>
      <c r="J8144">
        <v>44804</v>
      </c>
    </row>
    <row r="8145" spans="1:10" x14ac:dyDescent="0.35">
      <c r="A8145" s="2">
        <v>44799</v>
      </c>
      <c r="B8145" s="3">
        <v>0.76337962962962969</v>
      </c>
      <c r="C8145">
        <v>3072</v>
      </c>
      <c r="D8145" t="str">
        <f>VLOOKUP(H8145,Produkt!$A$2:$B$5,2,FALSE)</f>
        <v>D</v>
      </c>
      <c r="H8145">
        <v>4</v>
      </c>
      <c r="I8145">
        <v>0.42650462962962959</v>
      </c>
      <c r="J8145">
        <v>44794</v>
      </c>
    </row>
    <row r="8146" spans="1:10" x14ac:dyDescent="0.35">
      <c r="A8146" s="2">
        <v>44799</v>
      </c>
      <c r="B8146" s="3">
        <v>0.16472222222222221</v>
      </c>
      <c r="C8146">
        <v>3091</v>
      </c>
      <c r="D8146" t="str">
        <f>VLOOKUP(H8146,Produkt!$A$2:$B$5,2,FALSE)</f>
        <v>D</v>
      </c>
      <c r="H8146">
        <v>4</v>
      </c>
      <c r="I8146">
        <v>0.2991435185185185</v>
      </c>
      <c r="J8146">
        <v>44798</v>
      </c>
    </row>
    <row r="8147" spans="1:10" x14ac:dyDescent="0.35">
      <c r="A8147" s="2">
        <v>44799</v>
      </c>
      <c r="B8147" s="3">
        <v>0.83620370370370367</v>
      </c>
      <c r="C8147">
        <v>3119</v>
      </c>
      <c r="D8147" t="str">
        <f>VLOOKUP(H8147,Produkt!$A$2:$B$5,2,FALSE)</f>
        <v>B</v>
      </c>
      <c r="H8147">
        <v>2</v>
      </c>
      <c r="I8147">
        <v>0.49503472222222222</v>
      </c>
      <c r="J8147">
        <v>44788</v>
      </c>
    </row>
    <row r="8148" spans="1:10" x14ac:dyDescent="0.35">
      <c r="A8148" s="2">
        <v>44799</v>
      </c>
      <c r="B8148" s="3">
        <v>0.94030092592592596</v>
      </c>
      <c r="C8148">
        <v>3136</v>
      </c>
      <c r="D8148" t="str">
        <f>VLOOKUP(H8148,Produkt!$A$2:$B$5,2,FALSE)</f>
        <v>C</v>
      </c>
      <c r="H8148">
        <v>3</v>
      </c>
      <c r="I8148">
        <v>0.45559027777777777</v>
      </c>
      <c r="J8148">
        <v>44796</v>
      </c>
    </row>
    <row r="8149" spans="1:10" x14ac:dyDescent="0.35">
      <c r="A8149" s="2">
        <v>44799</v>
      </c>
      <c r="B8149" s="3">
        <v>0.53994212962962962</v>
      </c>
      <c r="C8149">
        <v>3228</v>
      </c>
      <c r="D8149" t="str">
        <f>VLOOKUP(H8149,Produkt!$A$2:$B$5,2,FALSE)</f>
        <v>D</v>
      </c>
      <c r="H8149">
        <v>4</v>
      </c>
      <c r="I8149">
        <v>0.95045138888888892</v>
      </c>
      <c r="J8149">
        <v>44794</v>
      </c>
    </row>
    <row r="8150" spans="1:10" x14ac:dyDescent="0.35">
      <c r="A8150" s="2">
        <v>44799</v>
      </c>
      <c r="B8150" s="3">
        <v>0.58899305555555559</v>
      </c>
      <c r="C8150">
        <v>3268</v>
      </c>
      <c r="D8150" t="str">
        <f>VLOOKUP(H8150,Produkt!$A$2:$B$5,2,FALSE)</f>
        <v>A</v>
      </c>
      <c r="H8150">
        <v>1</v>
      </c>
      <c r="I8150">
        <v>0.55379629629629623</v>
      </c>
      <c r="J8150">
        <v>44796</v>
      </c>
    </row>
    <row r="8151" spans="1:10" x14ac:dyDescent="0.35">
      <c r="A8151" s="2">
        <v>44799</v>
      </c>
      <c r="B8151" s="3">
        <v>0.57097222222222221</v>
      </c>
      <c r="C8151">
        <v>3300</v>
      </c>
      <c r="D8151" t="str">
        <f>VLOOKUP(H8151,Produkt!$A$2:$B$5,2,FALSE)</f>
        <v>B</v>
      </c>
      <c r="H8151">
        <v>2</v>
      </c>
      <c r="I8151">
        <v>0.35184027777777777</v>
      </c>
      <c r="J8151">
        <v>44786</v>
      </c>
    </row>
    <row r="8152" spans="1:10" x14ac:dyDescent="0.35">
      <c r="A8152" s="2">
        <v>44799</v>
      </c>
      <c r="B8152" s="3">
        <v>0.26085648148148149</v>
      </c>
      <c r="C8152">
        <v>3329</v>
      </c>
      <c r="D8152" t="str">
        <f>VLOOKUP(H8152,Produkt!$A$2:$B$5,2,FALSE)</f>
        <v>A</v>
      </c>
      <c r="H8152">
        <v>1</v>
      </c>
      <c r="I8152">
        <v>0.64487268518518526</v>
      </c>
      <c r="J8152">
        <v>44786</v>
      </c>
    </row>
    <row r="8153" spans="1:10" x14ac:dyDescent="0.35">
      <c r="A8153" s="2">
        <v>44799</v>
      </c>
      <c r="B8153" s="3">
        <v>0.47660879629629632</v>
      </c>
      <c r="C8153">
        <v>3353</v>
      </c>
      <c r="D8153" t="str">
        <f>VLOOKUP(H8153,Produkt!$A$2:$B$5,2,FALSE)</f>
        <v>C</v>
      </c>
      <c r="H8153">
        <v>3</v>
      </c>
      <c r="I8153">
        <v>0.50752314814814814</v>
      </c>
      <c r="J8153">
        <v>44780</v>
      </c>
    </row>
    <row r="8154" spans="1:10" x14ac:dyDescent="0.35">
      <c r="A8154" s="2">
        <v>44799</v>
      </c>
      <c r="B8154" s="3">
        <v>0.66844907407407417</v>
      </c>
      <c r="C8154">
        <v>3376</v>
      </c>
      <c r="D8154" t="str">
        <f>VLOOKUP(H8154,Produkt!$A$2:$B$5,2,FALSE)</f>
        <v>B</v>
      </c>
      <c r="H8154">
        <v>2</v>
      </c>
      <c r="I8154">
        <v>0.33533564814814815</v>
      </c>
      <c r="J8154">
        <v>44790</v>
      </c>
    </row>
    <row r="8155" spans="1:10" x14ac:dyDescent="0.35">
      <c r="A8155" s="2">
        <v>44799</v>
      </c>
      <c r="B8155" s="3">
        <v>0.3253819444444444</v>
      </c>
      <c r="C8155">
        <v>3403</v>
      </c>
      <c r="D8155" t="str">
        <f>VLOOKUP(H8155,Produkt!$A$2:$B$5,2,FALSE)</f>
        <v>A</v>
      </c>
      <c r="H8155">
        <v>1</v>
      </c>
      <c r="I8155">
        <v>0.35449074074074072</v>
      </c>
      <c r="J8155">
        <v>44784</v>
      </c>
    </row>
    <row r="8156" spans="1:10" x14ac:dyDescent="0.35">
      <c r="A8156" s="2">
        <v>44799</v>
      </c>
      <c r="B8156" s="3">
        <v>0.75868055555555547</v>
      </c>
      <c r="C8156">
        <v>3421</v>
      </c>
      <c r="D8156" t="str">
        <f>VLOOKUP(H8156,Produkt!$A$2:$B$5,2,FALSE)</f>
        <v>C</v>
      </c>
      <c r="H8156">
        <v>3</v>
      </c>
      <c r="I8156">
        <v>0.95116898148148143</v>
      </c>
      <c r="J8156">
        <v>44801</v>
      </c>
    </row>
    <row r="8157" spans="1:10" x14ac:dyDescent="0.35">
      <c r="A8157" s="2">
        <v>44799</v>
      </c>
      <c r="B8157" s="3">
        <v>0.19806712962962961</v>
      </c>
      <c r="C8157">
        <v>3436</v>
      </c>
      <c r="D8157" t="str">
        <f>VLOOKUP(H8157,Produkt!$A$2:$B$5,2,FALSE)</f>
        <v>A</v>
      </c>
      <c r="H8157">
        <v>1</v>
      </c>
      <c r="I8157">
        <v>0.53414351851851849</v>
      </c>
      <c r="J8157">
        <v>44797</v>
      </c>
    </row>
    <row r="8158" spans="1:10" x14ac:dyDescent="0.35">
      <c r="A8158" s="2">
        <v>44799</v>
      </c>
      <c r="B8158" s="3">
        <v>0.60107638888888892</v>
      </c>
      <c r="C8158">
        <v>3463</v>
      </c>
      <c r="D8158" t="str">
        <f>VLOOKUP(H8158,Produkt!$A$2:$B$5,2,FALSE)</f>
        <v>C</v>
      </c>
      <c r="H8158">
        <v>3</v>
      </c>
      <c r="I8158">
        <v>3.0914351851851984E-2</v>
      </c>
      <c r="J8158">
        <v>44775</v>
      </c>
    </row>
    <row r="8159" spans="1:10" x14ac:dyDescent="0.35">
      <c r="A8159" s="2">
        <v>44799</v>
      </c>
      <c r="B8159" s="3">
        <v>1.1226851851851851E-3</v>
      </c>
      <c r="C8159">
        <v>3479</v>
      </c>
      <c r="D8159" t="str">
        <f>VLOOKUP(H8159,Produkt!$A$2:$B$5,2,FALSE)</f>
        <v>D</v>
      </c>
      <c r="H8159">
        <v>4</v>
      </c>
      <c r="I8159">
        <v>0.45822916666666669</v>
      </c>
      <c r="J8159">
        <v>44789</v>
      </c>
    </row>
    <row r="8160" spans="1:10" x14ac:dyDescent="0.35">
      <c r="A8160" s="2">
        <v>44799</v>
      </c>
      <c r="B8160" s="3">
        <v>3.645833333333333E-3</v>
      </c>
      <c r="C8160">
        <v>3511</v>
      </c>
      <c r="D8160" t="str">
        <f>VLOOKUP(H8160,Produkt!$A$2:$B$5,2,FALSE)</f>
        <v>B</v>
      </c>
      <c r="H8160">
        <v>2</v>
      </c>
      <c r="I8160">
        <v>0.85773148148148148</v>
      </c>
      <c r="J8160">
        <v>44792</v>
      </c>
    </row>
    <row r="8161" spans="1:10" x14ac:dyDescent="0.35">
      <c r="A8161" s="2">
        <v>44799</v>
      </c>
      <c r="B8161" s="3">
        <v>0.28599537037037037</v>
      </c>
      <c r="C8161">
        <v>3546</v>
      </c>
      <c r="D8161" t="str">
        <f>VLOOKUP(H8161,Produkt!$A$2:$B$5,2,FALSE)</f>
        <v>C</v>
      </c>
      <c r="H8161">
        <v>3</v>
      </c>
      <c r="I8161">
        <v>1.7812499999999998E-2</v>
      </c>
      <c r="J8161">
        <v>44788</v>
      </c>
    </row>
    <row r="8162" spans="1:10" x14ac:dyDescent="0.35">
      <c r="A8162" s="2">
        <v>44799</v>
      </c>
      <c r="B8162" s="3">
        <v>0.25800925925925927</v>
      </c>
      <c r="C8162">
        <v>3552</v>
      </c>
      <c r="D8162" t="str">
        <f>VLOOKUP(H8162,Produkt!$A$2:$B$5,2,FALSE)</f>
        <v>B</v>
      </c>
      <c r="H8162">
        <v>2</v>
      </c>
      <c r="I8162">
        <v>0.1809375</v>
      </c>
      <c r="J8162">
        <v>44800</v>
      </c>
    </row>
    <row r="8163" spans="1:10" x14ac:dyDescent="0.35">
      <c r="A8163" s="2">
        <v>44799</v>
      </c>
      <c r="B8163" s="3">
        <v>0.51364583333333336</v>
      </c>
      <c r="C8163">
        <v>3559</v>
      </c>
      <c r="D8163" t="str">
        <f>VLOOKUP(H8163,Produkt!$A$2:$B$5,2,FALSE)</f>
        <v>A</v>
      </c>
      <c r="H8163">
        <v>1</v>
      </c>
      <c r="I8163">
        <v>0.62597222222222226</v>
      </c>
      <c r="J8163">
        <v>44781</v>
      </c>
    </row>
    <row r="8164" spans="1:10" x14ac:dyDescent="0.35">
      <c r="A8164" s="2">
        <v>44799</v>
      </c>
      <c r="B8164" s="3">
        <v>2.1828703703703711E-2</v>
      </c>
      <c r="C8164">
        <v>3577</v>
      </c>
      <c r="D8164" t="str">
        <f>VLOOKUP(H8164,Produkt!$A$2:$B$5,2,FALSE)</f>
        <v>D</v>
      </c>
      <c r="H8164">
        <v>4</v>
      </c>
      <c r="I8164">
        <v>0.76736111111111116</v>
      </c>
      <c r="J8164">
        <v>44785</v>
      </c>
    </row>
    <row r="8165" spans="1:10" x14ac:dyDescent="0.35">
      <c r="A8165" s="2">
        <v>44799</v>
      </c>
      <c r="B8165" s="3">
        <v>0.4778587962962963</v>
      </c>
      <c r="C8165">
        <v>3657</v>
      </c>
      <c r="D8165" t="str">
        <f>VLOOKUP(H8165,Produkt!$A$2:$B$5,2,FALSE)</f>
        <v>D</v>
      </c>
      <c r="H8165">
        <v>4</v>
      </c>
      <c r="I8165">
        <v>0.15211805555555555</v>
      </c>
      <c r="J8165">
        <v>44796</v>
      </c>
    </row>
    <row r="8166" spans="1:10" x14ac:dyDescent="0.35">
      <c r="A8166" s="2">
        <v>44799</v>
      </c>
      <c r="B8166" s="3">
        <v>0.63424768518518515</v>
      </c>
      <c r="C8166">
        <v>3730</v>
      </c>
      <c r="D8166" t="str">
        <f>VLOOKUP(H8166,Produkt!$A$2:$B$5,2,FALSE)</f>
        <v>A</v>
      </c>
      <c r="H8166">
        <v>1</v>
      </c>
      <c r="I8166">
        <v>0.9052662037037037</v>
      </c>
      <c r="J8166">
        <v>44776</v>
      </c>
    </row>
    <row r="8167" spans="1:10" x14ac:dyDescent="0.35">
      <c r="A8167" s="2">
        <v>44799</v>
      </c>
      <c r="B8167" s="3">
        <v>0.30980324074074073</v>
      </c>
      <c r="C8167">
        <v>3746</v>
      </c>
      <c r="D8167" t="str">
        <f>VLOOKUP(H8167,Produkt!$A$2:$B$5,2,FALSE)</f>
        <v>B</v>
      </c>
      <c r="H8167">
        <v>2</v>
      </c>
      <c r="I8167">
        <v>0.42149305555555555</v>
      </c>
      <c r="J8167">
        <v>44778</v>
      </c>
    </row>
    <row r="8168" spans="1:10" x14ac:dyDescent="0.35">
      <c r="A8168" s="2">
        <v>44799</v>
      </c>
      <c r="B8168" s="3">
        <v>0.34644675925925927</v>
      </c>
      <c r="C8168">
        <v>3755</v>
      </c>
      <c r="D8168" t="str">
        <f>VLOOKUP(H8168,Produkt!$A$2:$B$5,2,FALSE)</f>
        <v>A</v>
      </c>
      <c r="H8168">
        <v>1</v>
      </c>
      <c r="I8168">
        <v>0.41667824074074078</v>
      </c>
      <c r="J8168">
        <v>44803</v>
      </c>
    </row>
    <row r="8169" spans="1:10" x14ac:dyDescent="0.35">
      <c r="A8169" s="2">
        <v>44799</v>
      </c>
      <c r="B8169" s="3">
        <v>0.72510416666666666</v>
      </c>
      <c r="C8169">
        <v>3765</v>
      </c>
      <c r="D8169" t="str">
        <f>VLOOKUP(H8169,Produkt!$A$2:$B$5,2,FALSE)</f>
        <v>C</v>
      </c>
      <c r="H8169">
        <v>3</v>
      </c>
      <c r="I8169">
        <v>0.70785879629629633</v>
      </c>
      <c r="J8169">
        <v>44790</v>
      </c>
    </row>
    <row r="8170" spans="1:10" x14ac:dyDescent="0.35">
      <c r="A8170" s="2">
        <v>44799</v>
      </c>
      <c r="B8170" s="3">
        <v>0.87160879629629628</v>
      </c>
      <c r="C8170">
        <v>3767</v>
      </c>
      <c r="D8170" t="str">
        <f>VLOOKUP(H8170,Produkt!$A$2:$B$5,2,FALSE)</f>
        <v>A</v>
      </c>
      <c r="H8170">
        <v>1</v>
      </c>
      <c r="I8170">
        <v>0.6325115740740741</v>
      </c>
      <c r="J8170">
        <v>44782</v>
      </c>
    </row>
    <row r="8171" spans="1:10" x14ac:dyDescent="0.35">
      <c r="A8171" s="2">
        <v>44799</v>
      </c>
      <c r="B8171" s="3">
        <v>0.63721064814814821</v>
      </c>
      <c r="C8171">
        <v>3841</v>
      </c>
      <c r="D8171" t="str">
        <f>VLOOKUP(H8171,Produkt!$A$2:$B$5,2,FALSE)</f>
        <v>A</v>
      </c>
      <c r="H8171">
        <v>1</v>
      </c>
      <c r="I8171">
        <v>0.22487268518518519</v>
      </c>
      <c r="J8171">
        <v>44800</v>
      </c>
    </row>
    <row r="8172" spans="1:10" x14ac:dyDescent="0.35">
      <c r="A8172" s="2">
        <v>44799</v>
      </c>
      <c r="B8172" s="3">
        <v>0.86179398148148145</v>
      </c>
      <c r="C8172">
        <v>3842</v>
      </c>
      <c r="D8172" t="str">
        <f>VLOOKUP(H8172,Produkt!$A$2:$B$5,2,FALSE)</f>
        <v>D</v>
      </c>
      <c r="H8172">
        <v>4</v>
      </c>
      <c r="I8172">
        <v>0.35528935185185184</v>
      </c>
      <c r="J8172">
        <v>44790</v>
      </c>
    </row>
    <row r="8173" spans="1:10" x14ac:dyDescent="0.35">
      <c r="A8173" s="2">
        <v>44799</v>
      </c>
      <c r="B8173" s="3">
        <v>0.9711574074074073</v>
      </c>
      <c r="C8173">
        <v>3864</v>
      </c>
      <c r="D8173" t="str">
        <f>VLOOKUP(H8173,Produkt!$A$2:$B$5,2,FALSE)</f>
        <v>A</v>
      </c>
      <c r="H8173">
        <v>1</v>
      </c>
      <c r="I8173">
        <v>0.72717592592592595</v>
      </c>
      <c r="J8173">
        <v>44785</v>
      </c>
    </row>
    <row r="8174" spans="1:10" x14ac:dyDescent="0.35">
      <c r="A8174" s="2">
        <v>44799</v>
      </c>
      <c r="B8174" s="3">
        <v>0.77847222222222223</v>
      </c>
      <c r="C8174">
        <v>3883</v>
      </c>
      <c r="D8174" t="str">
        <f>VLOOKUP(H8174,Produkt!$A$2:$B$5,2,FALSE)</f>
        <v>A</v>
      </c>
      <c r="H8174">
        <v>1</v>
      </c>
      <c r="I8174">
        <v>0.91819444444444442</v>
      </c>
      <c r="J8174">
        <v>44793</v>
      </c>
    </row>
    <row r="8175" spans="1:10" x14ac:dyDescent="0.35">
      <c r="A8175" s="2">
        <v>44799</v>
      </c>
      <c r="B8175" s="3">
        <v>0.63129629629629636</v>
      </c>
      <c r="C8175">
        <v>3887</v>
      </c>
      <c r="D8175" t="str">
        <f>VLOOKUP(H8175,Produkt!$A$2:$B$5,2,FALSE)</f>
        <v>C</v>
      </c>
      <c r="H8175">
        <v>3</v>
      </c>
      <c r="I8175">
        <v>0.87607638888888895</v>
      </c>
      <c r="J8175">
        <v>44801</v>
      </c>
    </row>
    <row r="8176" spans="1:10" x14ac:dyDescent="0.35">
      <c r="A8176" s="2">
        <v>44799</v>
      </c>
      <c r="B8176" s="3">
        <v>0.47957175925925927</v>
      </c>
      <c r="C8176">
        <v>3901</v>
      </c>
      <c r="D8176" t="str">
        <f>VLOOKUP(H8176,Produkt!$A$2:$B$5,2,FALSE)</f>
        <v>D</v>
      </c>
      <c r="H8176">
        <v>4</v>
      </c>
      <c r="I8176">
        <v>0.78358796296296296</v>
      </c>
      <c r="J8176">
        <v>44777</v>
      </c>
    </row>
    <row r="8177" spans="1:10" x14ac:dyDescent="0.35">
      <c r="A8177" s="2">
        <v>44799</v>
      </c>
      <c r="B8177" s="3">
        <v>3.3807870370370363E-2</v>
      </c>
      <c r="C8177">
        <v>3909</v>
      </c>
      <c r="D8177" t="str">
        <f>VLOOKUP(H8177,Produkt!$A$2:$B$5,2,FALSE)</f>
        <v>A</v>
      </c>
      <c r="H8177">
        <v>1</v>
      </c>
      <c r="I8177">
        <v>5.63657407407403E-3</v>
      </c>
      <c r="J8177">
        <v>44796</v>
      </c>
    </row>
    <row r="8178" spans="1:10" x14ac:dyDescent="0.35">
      <c r="A8178" s="2">
        <v>44799</v>
      </c>
      <c r="B8178" s="3">
        <v>0.64410879629629625</v>
      </c>
      <c r="C8178">
        <v>3952</v>
      </c>
      <c r="D8178" t="str">
        <f>VLOOKUP(H8178,Produkt!$A$2:$B$5,2,FALSE)</f>
        <v>B</v>
      </c>
      <c r="H8178">
        <v>2</v>
      </c>
      <c r="I8178">
        <v>0.38790509259259259</v>
      </c>
      <c r="J8178">
        <v>44780</v>
      </c>
    </row>
    <row r="8179" spans="1:10" x14ac:dyDescent="0.35">
      <c r="A8179" s="2">
        <v>44799</v>
      </c>
      <c r="B8179" s="3">
        <v>7.3703703703703702E-2</v>
      </c>
      <c r="C8179">
        <v>3962</v>
      </c>
      <c r="D8179" t="str">
        <f>VLOOKUP(H8179,Produkt!$A$2:$B$5,2,FALSE)</f>
        <v>A</v>
      </c>
      <c r="H8179">
        <v>1</v>
      </c>
      <c r="I8179">
        <v>0.45450231481481485</v>
      </c>
      <c r="J8179">
        <v>44800</v>
      </c>
    </row>
    <row r="8180" spans="1:10" x14ac:dyDescent="0.35">
      <c r="A8180" s="2">
        <v>44799</v>
      </c>
      <c r="B8180" s="3">
        <v>9.9768518518519311E-3</v>
      </c>
      <c r="C8180">
        <v>4065</v>
      </c>
      <c r="D8180" t="str">
        <f>VLOOKUP(H8180,Produkt!$A$2:$B$5,2,FALSE)</f>
        <v>B</v>
      </c>
      <c r="H8180">
        <v>2</v>
      </c>
      <c r="I8180">
        <v>0.20317129629629629</v>
      </c>
      <c r="J8180">
        <v>44800</v>
      </c>
    </row>
    <row r="8181" spans="1:10" x14ac:dyDescent="0.35">
      <c r="A8181" s="2">
        <v>44799</v>
      </c>
      <c r="B8181" s="3">
        <v>0.75027777777777782</v>
      </c>
      <c r="C8181">
        <v>4083</v>
      </c>
      <c r="D8181" t="str">
        <f>VLOOKUP(H8181,Produkt!$A$2:$B$5,2,FALSE)</f>
        <v>B</v>
      </c>
      <c r="H8181">
        <v>2</v>
      </c>
      <c r="I8181">
        <v>0.26508101851851851</v>
      </c>
      <c r="J8181">
        <v>44783</v>
      </c>
    </row>
    <row r="8182" spans="1:10" x14ac:dyDescent="0.35">
      <c r="A8182" s="2">
        <v>44799</v>
      </c>
      <c r="B8182" s="3">
        <v>0.11645833333333333</v>
      </c>
      <c r="C8182">
        <v>4127</v>
      </c>
      <c r="D8182" t="str">
        <f>VLOOKUP(H8182,Produkt!$A$2:$B$5,2,FALSE)</f>
        <v>C</v>
      </c>
      <c r="H8182">
        <v>3</v>
      </c>
      <c r="I8182">
        <v>0.19936342592592593</v>
      </c>
      <c r="J8182">
        <v>44775</v>
      </c>
    </row>
    <row r="8183" spans="1:10" x14ac:dyDescent="0.35">
      <c r="A8183" s="2">
        <v>44799</v>
      </c>
      <c r="B8183" s="3">
        <v>0.208125</v>
      </c>
      <c r="C8183">
        <v>4159</v>
      </c>
      <c r="D8183" t="str">
        <f>VLOOKUP(H8183,Produkt!$A$2:$B$5,2,FALSE)</f>
        <v>A</v>
      </c>
      <c r="H8183">
        <v>1</v>
      </c>
      <c r="I8183">
        <v>0.4589699074074074</v>
      </c>
      <c r="J8183">
        <v>44804</v>
      </c>
    </row>
    <row r="8184" spans="1:10" x14ac:dyDescent="0.35">
      <c r="A8184" s="2">
        <v>44799</v>
      </c>
      <c r="B8184" s="3">
        <v>0.36015046296296299</v>
      </c>
      <c r="C8184">
        <v>4234</v>
      </c>
      <c r="D8184" t="str">
        <f>VLOOKUP(H8184,Produkt!$A$2:$B$5,2,FALSE)</f>
        <v>D</v>
      </c>
      <c r="H8184">
        <v>4</v>
      </c>
      <c r="I8184">
        <v>0.12807870370370369</v>
      </c>
      <c r="J8184">
        <v>44782</v>
      </c>
    </row>
    <row r="8185" spans="1:10" x14ac:dyDescent="0.35">
      <c r="A8185" s="2">
        <v>44799</v>
      </c>
      <c r="B8185" s="3">
        <v>0.48136574074074073</v>
      </c>
      <c r="C8185">
        <v>4262</v>
      </c>
      <c r="D8185" t="str">
        <f>VLOOKUP(H8185,Produkt!$A$2:$B$5,2,FALSE)</f>
        <v>C</v>
      </c>
      <c r="H8185">
        <v>3</v>
      </c>
      <c r="I8185">
        <v>0.1653240740740741</v>
      </c>
      <c r="J8185">
        <v>44795</v>
      </c>
    </row>
    <row r="8186" spans="1:10" x14ac:dyDescent="0.35">
      <c r="A8186" s="2">
        <v>44799</v>
      </c>
      <c r="B8186" s="3">
        <v>8.8402777777777775E-2</v>
      </c>
      <c r="C8186">
        <v>4272</v>
      </c>
      <c r="D8186" t="str">
        <f>VLOOKUP(H8186,Produkt!$A$2:$B$5,2,FALSE)</f>
        <v>D</v>
      </c>
      <c r="H8186">
        <v>4</v>
      </c>
      <c r="I8186">
        <v>0.64187499999999997</v>
      </c>
      <c r="J8186">
        <v>44775</v>
      </c>
    </row>
    <row r="8187" spans="1:10" x14ac:dyDescent="0.35">
      <c r="A8187" s="2">
        <v>44799</v>
      </c>
      <c r="B8187" s="3">
        <v>0.69898148148148154</v>
      </c>
      <c r="C8187">
        <v>4285</v>
      </c>
      <c r="D8187" t="str">
        <f>VLOOKUP(H8187,Produkt!$A$2:$B$5,2,FALSE)</f>
        <v>A</v>
      </c>
      <c r="H8187">
        <v>1</v>
      </c>
      <c r="I8187">
        <v>0.76725694444444448</v>
      </c>
      <c r="J8187">
        <v>44802</v>
      </c>
    </row>
    <row r="8188" spans="1:10" x14ac:dyDescent="0.35">
      <c r="A8188" s="2">
        <v>44799</v>
      </c>
      <c r="B8188" s="3">
        <v>0.80053240740740739</v>
      </c>
      <c r="C8188">
        <v>4319</v>
      </c>
      <c r="D8188" t="str">
        <f>VLOOKUP(H8188,Produkt!$A$2:$B$5,2,FALSE)</f>
        <v>B</v>
      </c>
      <c r="H8188">
        <v>2</v>
      </c>
      <c r="I8188">
        <v>0.17874999999999999</v>
      </c>
      <c r="J8188">
        <v>44774</v>
      </c>
    </row>
    <row r="8189" spans="1:10" x14ac:dyDescent="0.35">
      <c r="A8189" s="2">
        <v>44799</v>
      </c>
      <c r="B8189" s="3">
        <v>0.43788194444444445</v>
      </c>
      <c r="C8189">
        <v>4367</v>
      </c>
      <c r="D8189" t="str">
        <f>VLOOKUP(H8189,Produkt!$A$2:$B$5,2,FALSE)</f>
        <v>A</v>
      </c>
      <c r="H8189">
        <v>1</v>
      </c>
      <c r="I8189">
        <v>0.68660879629629623</v>
      </c>
      <c r="J8189">
        <v>44782</v>
      </c>
    </row>
    <row r="8190" spans="1:10" x14ac:dyDescent="0.35">
      <c r="A8190" s="2">
        <v>44799</v>
      </c>
      <c r="B8190" s="3">
        <v>0.52105324074074078</v>
      </c>
      <c r="C8190">
        <v>4402</v>
      </c>
      <c r="D8190" t="str">
        <f>VLOOKUP(H8190,Produkt!$A$2:$B$5,2,FALSE)</f>
        <v>B</v>
      </c>
      <c r="H8190">
        <v>2</v>
      </c>
      <c r="I8190">
        <v>0.76096064814814823</v>
      </c>
      <c r="J8190">
        <v>44798</v>
      </c>
    </row>
    <row r="8191" spans="1:10" x14ac:dyDescent="0.35">
      <c r="A8191" s="2">
        <v>44799</v>
      </c>
      <c r="B8191" s="3">
        <v>0.97741898148148154</v>
      </c>
      <c r="C8191">
        <v>4533</v>
      </c>
      <c r="D8191" t="str">
        <f>VLOOKUP(H8191,Produkt!$A$2:$B$5,2,FALSE)</f>
        <v>C</v>
      </c>
      <c r="H8191">
        <v>3</v>
      </c>
      <c r="I8191">
        <v>2.327546296296296E-2</v>
      </c>
      <c r="J8191">
        <v>44788</v>
      </c>
    </row>
    <row r="8192" spans="1:10" x14ac:dyDescent="0.35">
      <c r="A8192" s="2">
        <v>44799</v>
      </c>
      <c r="B8192" s="3">
        <v>0.67025462962962967</v>
      </c>
      <c r="C8192">
        <v>4537</v>
      </c>
      <c r="D8192" t="str">
        <f>VLOOKUP(H8192,Produkt!$A$2:$B$5,2,FALSE)</f>
        <v>C</v>
      </c>
      <c r="H8192">
        <v>3</v>
      </c>
      <c r="I8192">
        <v>0.74123842592592604</v>
      </c>
      <c r="J8192">
        <v>44779</v>
      </c>
    </row>
    <row r="8193" spans="1:10" x14ac:dyDescent="0.35">
      <c r="A8193" s="2">
        <v>44799</v>
      </c>
      <c r="B8193" s="3">
        <v>0.35716435185185186</v>
      </c>
      <c r="C8193">
        <v>4558</v>
      </c>
      <c r="D8193" t="str">
        <f>VLOOKUP(H8193,Produkt!$A$2:$B$5,2,FALSE)</f>
        <v>A</v>
      </c>
      <c r="H8193">
        <v>1</v>
      </c>
      <c r="I8193">
        <v>0.88593749999999993</v>
      </c>
      <c r="J8193">
        <v>44783</v>
      </c>
    </row>
    <row r="8194" spans="1:10" x14ac:dyDescent="0.35">
      <c r="A8194" s="2">
        <v>44799</v>
      </c>
      <c r="B8194" s="3">
        <v>0.76364583333333336</v>
      </c>
      <c r="C8194">
        <v>4587</v>
      </c>
      <c r="D8194" t="str">
        <f>VLOOKUP(H8194,Produkt!$A$2:$B$5,2,FALSE)</f>
        <v>D</v>
      </c>
      <c r="H8194">
        <v>4</v>
      </c>
      <c r="I8194">
        <v>0.44613425925925926</v>
      </c>
      <c r="J8194">
        <v>44793</v>
      </c>
    </row>
    <row r="8195" spans="1:10" x14ac:dyDescent="0.35">
      <c r="A8195" s="2">
        <v>44799</v>
      </c>
      <c r="B8195" s="3">
        <v>0.25180555555555556</v>
      </c>
      <c r="C8195">
        <v>4660</v>
      </c>
      <c r="D8195" t="str">
        <f>VLOOKUP(H8195,Produkt!$A$2:$B$5,2,FALSE)</f>
        <v>D</v>
      </c>
      <c r="H8195">
        <v>4</v>
      </c>
      <c r="I8195">
        <v>0.35630787037037037</v>
      </c>
      <c r="J8195">
        <v>44802</v>
      </c>
    </row>
    <row r="8196" spans="1:10" x14ac:dyDescent="0.35">
      <c r="A8196" s="2">
        <v>44799</v>
      </c>
      <c r="B8196" s="3">
        <v>9.7245370370370357E-2</v>
      </c>
      <c r="C8196">
        <v>4693</v>
      </c>
      <c r="D8196" t="str">
        <f>VLOOKUP(H8196,Produkt!$A$2:$B$5,2,FALSE)</f>
        <v>C</v>
      </c>
      <c r="H8196">
        <v>3</v>
      </c>
      <c r="I8196">
        <v>2.8402777777777777E-2</v>
      </c>
      <c r="J8196">
        <v>44789</v>
      </c>
    </row>
    <row r="8197" spans="1:10" x14ac:dyDescent="0.35">
      <c r="A8197" s="2">
        <v>44799</v>
      </c>
      <c r="B8197" s="3">
        <v>0.22068287037037038</v>
      </c>
      <c r="C8197">
        <v>4715</v>
      </c>
      <c r="D8197" t="str">
        <f>VLOOKUP(H8197,Produkt!$A$2:$B$5,2,FALSE)</f>
        <v>A</v>
      </c>
      <c r="H8197">
        <v>1</v>
      </c>
      <c r="I8197">
        <v>0.91031249999999997</v>
      </c>
      <c r="J8197">
        <v>44801</v>
      </c>
    </row>
    <row r="8198" spans="1:10" x14ac:dyDescent="0.35">
      <c r="A8198" s="2">
        <v>44799</v>
      </c>
      <c r="B8198" s="3">
        <v>0.52935185185185185</v>
      </c>
      <c r="C8198">
        <v>4747</v>
      </c>
      <c r="D8198" t="str">
        <f>VLOOKUP(H8198,Produkt!$A$2:$B$5,2,FALSE)</f>
        <v>A</v>
      </c>
      <c r="H8198">
        <v>1</v>
      </c>
      <c r="I8198">
        <v>0.16839120370370372</v>
      </c>
      <c r="J8198">
        <v>44786</v>
      </c>
    </row>
    <row r="8199" spans="1:10" x14ac:dyDescent="0.35">
      <c r="A8199" s="2">
        <v>44799</v>
      </c>
      <c r="B8199" s="3">
        <v>0.38520833333333332</v>
      </c>
      <c r="C8199">
        <v>4794</v>
      </c>
      <c r="D8199" t="str">
        <f>VLOOKUP(H8199,Produkt!$A$2:$B$5,2,FALSE)</f>
        <v>C</v>
      </c>
      <c r="H8199">
        <v>3</v>
      </c>
      <c r="I8199">
        <v>0.34861111111111115</v>
      </c>
      <c r="J8199">
        <v>44801</v>
      </c>
    </row>
    <row r="8200" spans="1:10" x14ac:dyDescent="0.35">
      <c r="A8200" s="2">
        <v>44799</v>
      </c>
      <c r="B8200" s="3">
        <v>0.62534722222222217</v>
      </c>
      <c r="C8200">
        <v>4809</v>
      </c>
      <c r="D8200" t="str">
        <f>VLOOKUP(H8200,Produkt!$A$2:$B$5,2,FALSE)</f>
        <v>B</v>
      </c>
      <c r="H8200">
        <v>2</v>
      </c>
      <c r="I8200">
        <v>0.78158564814814813</v>
      </c>
      <c r="J8200">
        <v>44801</v>
      </c>
    </row>
    <row r="8201" spans="1:10" x14ac:dyDescent="0.35">
      <c r="A8201" s="2">
        <v>44799</v>
      </c>
      <c r="B8201" s="3">
        <v>0.52060185185185182</v>
      </c>
      <c r="C8201">
        <v>4831</v>
      </c>
      <c r="D8201" t="str">
        <f>VLOOKUP(H8201,Produkt!$A$2:$B$5,2,FALSE)</f>
        <v>D</v>
      </c>
      <c r="H8201">
        <v>4</v>
      </c>
      <c r="I8201">
        <v>0.43403935185185188</v>
      </c>
      <c r="J8201">
        <v>44781</v>
      </c>
    </row>
    <row r="8202" spans="1:10" x14ac:dyDescent="0.35">
      <c r="A8202" s="2">
        <v>44799</v>
      </c>
      <c r="B8202" s="3">
        <v>0.31107638888888889</v>
      </c>
      <c r="C8202">
        <v>4871</v>
      </c>
      <c r="D8202" t="str">
        <f>VLOOKUP(H8202,Produkt!$A$2:$B$5,2,FALSE)</f>
        <v>A</v>
      </c>
      <c r="H8202">
        <v>1</v>
      </c>
      <c r="I8202">
        <v>9.5486111111111101E-3</v>
      </c>
      <c r="J8202">
        <v>44778</v>
      </c>
    </row>
    <row r="8203" spans="1:10" x14ac:dyDescent="0.35">
      <c r="A8203" s="2">
        <v>44799</v>
      </c>
      <c r="B8203" s="3">
        <v>0.26217592592592592</v>
      </c>
      <c r="C8203">
        <v>4896</v>
      </c>
      <c r="D8203" t="str">
        <f>VLOOKUP(H8203,Produkt!$A$2:$B$5,2,FALSE)</f>
        <v>C</v>
      </c>
      <c r="H8203">
        <v>3</v>
      </c>
      <c r="I8203">
        <v>0.88666666666666671</v>
      </c>
      <c r="J8203">
        <v>44794</v>
      </c>
    </row>
    <row r="8204" spans="1:10" x14ac:dyDescent="0.35">
      <c r="A8204" s="2">
        <v>44799</v>
      </c>
      <c r="B8204" s="3">
        <v>0.32451388888888888</v>
      </c>
      <c r="C8204">
        <v>4998</v>
      </c>
      <c r="D8204" t="str">
        <f>VLOOKUP(H8204,Produkt!$A$2:$B$5,2,FALSE)</f>
        <v>C</v>
      </c>
      <c r="H8204">
        <v>3</v>
      </c>
      <c r="I8204">
        <v>0.72696759259259258</v>
      </c>
      <c r="J8204">
        <v>44794</v>
      </c>
    </row>
    <row r="8205" spans="1:10" x14ac:dyDescent="0.35">
      <c r="A8205" s="2">
        <v>44799</v>
      </c>
      <c r="B8205" s="3">
        <v>0.44645833333333335</v>
      </c>
      <c r="C8205">
        <v>5001</v>
      </c>
      <c r="D8205" t="str">
        <f>VLOOKUP(H8205,Produkt!$A$2:$B$5,2,FALSE)</f>
        <v>C</v>
      </c>
      <c r="H8205">
        <v>3</v>
      </c>
      <c r="I8205">
        <v>0.35155092592592596</v>
      </c>
      <c r="J8205">
        <v>44803</v>
      </c>
    </row>
    <row r="8206" spans="1:10" x14ac:dyDescent="0.35">
      <c r="A8206" s="2">
        <v>44799</v>
      </c>
      <c r="B8206" s="3">
        <v>0.73517361111111112</v>
      </c>
      <c r="C8206">
        <v>5017</v>
      </c>
      <c r="D8206" t="str">
        <f>VLOOKUP(H8206,Produkt!$A$2:$B$5,2,FALSE)</f>
        <v>C</v>
      </c>
      <c r="H8206">
        <v>3</v>
      </c>
      <c r="I8206">
        <v>0.23684027777777775</v>
      </c>
      <c r="J8206">
        <v>44798</v>
      </c>
    </row>
    <row r="8207" spans="1:10" x14ac:dyDescent="0.35">
      <c r="A8207" s="2">
        <v>44799</v>
      </c>
      <c r="B8207" s="3">
        <v>5.0671296296296298E-2</v>
      </c>
      <c r="C8207">
        <v>5025</v>
      </c>
      <c r="D8207" t="str">
        <f>VLOOKUP(H8207,Produkt!$A$2:$B$5,2,FALSE)</f>
        <v>B</v>
      </c>
      <c r="H8207">
        <v>2</v>
      </c>
      <c r="I8207">
        <v>4.0972222222222188E-2</v>
      </c>
      <c r="J8207">
        <v>44796</v>
      </c>
    </row>
    <row r="8208" spans="1:10" x14ac:dyDescent="0.35">
      <c r="A8208" s="2">
        <v>44799</v>
      </c>
      <c r="B8208" s="3">
        <v>2.416666666666667E-2</v>
      </c>
      <c r="C8208">
        <v>5038</v>
      </c>
      <c r="D8208" t="str">
        <f>VLOOKUP(H8208,Produkt!$A$2:$B$5,2,FALSE)</f>
        <v>C</v>
      </c>
      <c r="H8208">
        <v>3</v>
      </c>
      <c r="I8208">
        <v>6.712962962962532E-4</v>
      </c>
      <c r="J8208">
        <v>44780</v>
      </c>
    </row>
    <row r="8209" spans="1:10" x14ac:dyDescent="0.35">
      <c r="A8209" s="2">
        <v>44799</v>
      </c>
      <c r="B8209" s="3">
        <v>0.91395833333333332</v>
      </c>
      <c r="C8209">
        <v>5147</v>
      </c>
      <c r="D8209" t="str">
        <f>VLOOKUP(H8209,Produkt!$A$2:$B$5,2,FALSE)</f>
        <v>B</v>
      </c>
      <c r="H8209">
        <v>2</v>
      </c>
      <c r="I8209">
        <v>0.55228009259259259</v>
      </c>
      <c r="J8209">
        <v>44778</v>
      </c>
    </row>
    <row r="8210" spans="1:10" x14ac:dyDescent="0.35">
      <c r="A8210" s="2">
        <v>44799</v>
      </c>
      <c r="B8210" s="3">
        <v>0.69336805555555558</v>
      </c>
      <c r="C8210">
        <v>5149</v>
      </c>
      <c r="D8210" t="str">
        <f>VLOOKUP(H8210,Produkt!$A$2:$B$5,2,FALSE)</f>
        <v>D</v>
      </c>
      <c r="H8210">
        <v>4</v>
      </c>
      <c r="I8210">
        <v>0.94431712962962966</v>
      </c>
      <c r="J8210">
        <v>44787</v>
      </c>
    </row>
    <row r="8211" spans="1:10" x14ac:dyDescent="0.35">
      <c r="A8211" s="2">
        <v>44799</v>
      </c>
      <c r="B8211" s="3">
        <v>0.54309027777777774</v>
      </c>
      <c r="C8211">
        <v>5293</v>
      </c>
      <c r="D8211" t="str">
        <f>VLOOKUP(H8211,Produkt!$A$2:$B$5,2,FALSE)</f>
        <v>C</v>
      </c>
      <c r="H8211">
        <v>3</v>
      </c>
      <c r="I8211">
        <v>0.99554398148148149</v>
      </c>
      <c r="J8211">
        <v>44794</v>
      </c>
    </row>
    <row r="8212" spans="1:10" x14ac:dyDescent="0.35">
      <c r="A8212" s="2">
        <v>44799</v>
      </c>
      <c r="B8212" s="3">
        <v>0.69890046296296304</v>
      </c>
      <c r="C8212">
        <v>5299</v>
      </c>
      <c r="D8212" t="str">
        <f>VLOOKUP(H8212,Produkt!$A$2:$B$5,2,FALSE)</f>
        <v>B</v>
      </c>
      <c r="H8212">
        <v>2</v>
      </c>
      <c r="I8212">
        <v>0.72150462962962969</v>
      </c>
      <c r="J8212">
        <v>44779</v>
      </c>
    </row>
    <row r="8213" spans="1:10" x14ac:dyDescent="0.35">
      <c r="A8213" s="2">
        <v>44799</v>
      </c>
      <c r="B8213" s="3">
        <v>0.76174768518518521</v>
      </c>
      <c r="C8213">
        <v>5307</v>
      </c>
      <c r="D8213" t="str">
        <f>VLOOKUP(H8213,Produkt!$A$2:$B$5,2,FALSE)</f>
        <v>A</v>
      </c>
      <c r="H8213">
        <v>1</v>
      </c>
      <c r="I8213">
        <v>0.24767361111111111</v>
      </c>
      <c r="J8213">
        <v>44804</v>
      </c>
    </row>
    <row r="8214" spans="1:10" x14ac:dyDescent="0.35">
      <c r="A8214" s="2">
        <v>44799</v>
      </c>
      <c r="B8214" s="3">
        <v>0.77355324074074072</v>
      </c>
      <c r="C8214">
        <v>5396</v>
      </c>
      <c r="D8214" t="str">
        <f>VLOOKUP(H8214,Produkt!$A$2:$B$5,2,FALSE)</f>
        <v>D</v>
      </c>
      <c r="H8214">
        <v>4</v>
      </c>
      <c r="I8214">
        <v>0.7371875</v>
      </c>
      <c r="J8214">
        <v>44802</v>
      </c>
    </row>
    <row r="8215" spans="1:10" x14ac:dyDescent="0.35">
      <c r="A8215" s="2">
        <v>44799</v>
      </c>
      <c r="B8215" s="3">
        <v>0.52032407407407411</v>
      </c>
      <c r="C8215">
        <v>5400</v>
      </c>
      <c r="D8215" t="str">
        <f>VLOOKUP(H8215,Produkt!$A$2:$B$5,2,FALSE)</f>
        <v>B</v>
      </c>
      <c r="H8215">
        <v>2</v>
      </c>
      <c r="I8215">
        <v>0.46299768518518519</v>
      </c>
      <c r="J8215">
        <v>44796</v>
      </c>
    </row>
    <row r="8216" spans="1:10" x14ac:dyDescent="0.35">
      <c r="A8216" s="2">
        <v>44799</v>
      </c>
      <c r="B8216" s="3">
        <v>0.28443287037037041</v>
      </c>
      <c r="C8216">
        <v>5452</v>
      </c>
      <c r="D8216" t="str">
        <f>VLOOKUP(H8216,Produkt!$A$2:$B$5,2,FALSE)</f>
        <v>C</v>
      </c>
      <c r="H8216">
        <v>3</v>
      </c>
      <c r="I8216">
        <v>7.9259259259259265E-2</v>
      </c>
      <c r="J8216">
        <v>44794</v>
      </c>
    </row>
    <row r="8217" spans="1:10" x14ac:dyDescent="0.35">
      <c r="A8217" s="2">
        <v>44799</v>
      </c>
      <c r="B8217" s="3">
        <v>0.34202546296296293</v>
      </c>
      <c r="C8217">
        <v>5461</v>
      </c>
      <c r="D8217" t="str">
        <f>VLOOKUP(H8217,Produkt!$A$2:$B$5,2,FALSE)</f>
        <v>C</v>
      </c>
      <c r="H8217">
        <v>3</v>
      </c>
      <c r="I8217">
        <v>0.95840277777777771</v>
      </c>
      <c r="J8217">
        <v>44779</v>
      </c>
    </row>
    <row r="8218" spans="1:10" x14ac:dyDescent="0.35">
      <c r="A8218" s="2">
        <v>44799</v>
      </c>
      <c r="B8218" s="3">
        <v>0.61657407407407405</v>
      </c>
      <c r="C8218">
        <v>5498</v>
      </c>
      <c r="D8218" t="str">
        <f>VLOOKUP(H8218,Produkt!$A$2:$B$5,2,FALSE)</f>
        <v>C</v>
      </c>
      <c r="H8218">
        <v>3</v>
      </c>
      <c r="I8218">
        <v>0.12892361111111111</v>
      </c>
      <c r="J8218">
        <v>44780</v>
      </c>
    </row>
    <row r="8219" spans="1:10" x14ac:dyDescent="0.35">
      <c r="A8219" s="2">
        <v>44799</v>
      </c>
      <c r="B8219" s="3">
        <v>0.96225694444444443</v>
      </c>
      <c r="C8219">
        <v>5534</v>
      </c>
      <c r="D8219" t="str">
        <f>VLOOKUP(H8219,Produkt!$A$2:$B$5,2,FALSE)</f>
        <v>D</v>
      </c>
      <c r="H8219">
        <v>4</v>
      </c>
      <c r="I8219">
        <v>0.14834490740740741</v>
      </c>
      <c r="J8219">
        <v>44780</v>
      </c>
    </row>
    <row r="8220" spans="1:10" x14ac:dyDescent="0.35">
      <c r="A8220" s="2">
        <v>44799</v>
      </c>
      <c r="B8220" s="3">
        <v>0.64907407407407403</v>
      </c>
      <c r="C8220">
        <v>5557</v>
      </c>
      <c r="D8220" t="str">
        <f>VLOOKUP(H8220,Produkt!$A$2:$B$5,2,FALSE)</f>
        <v>C</v>
      </c>
      <c r="H8220">
        <v>3</v>
      </c>
      <c r="I8220">
        <v>0.77848379629629638</v>
      </c>
      <c r="J8220">
        <v>44785</v>
      </c>
    </row>
    <row r="8221" spans="1:10" x14ac:dyDescent="0.35">
      <c r="A8221" s="2">
        <v>44799</v>
      </c>
      <c r="B8221" s="3">
        <v>0.78326388888888887</v>
      </c>
      <c r="C8221">
        <v>5558</v>
      </c>
      <c r="D8221" t="str">
        <f>VLOOKUP(H8221,Produkt!$A$2:$B$5,2,FALSE)</f>
        <v>D</v>
      </c>
      <c r="H8221">
        <v>4</v>
      </c>
      <c r="I8221">
        <v>0.19836805555555556</v>
      </c>
      <c r="J8221">
        <v>44784</v>
      </c>
    </row>
    <row r="8222" spans="1:10" x14ac:dyDescent="0.35">
      <c r="A8222" s="2">
        <v>44799</v>
      </c>
      <c r="B8222" s="3">
        <v>0.75430555555555545</v>
      </c>
      <c r="C8222">
        <v>5566</v>
      </c>
      <c r="D8222" t="str">
        <f>VLOOKUP(H8222,Produkt!$A$2:$B$5,2,FALSE)</f>
        <v>B</v>
      </c>
      <c r="H8222">
        <v>2</v>
      </c>
      <c r="I8222">
        <v>0.96934027777777787</v>
      </c>
      <c r="J8222">
        <v>44800</v>
      </c>
    </row>
    <row r="8223" spans="1:10" x14ac:dyDescent="0.35">
      <c r="A8223" s="2">
        <v>44799</v>
      </c>
      <c r="B8223" s="3">
        <v>0.89983796296296292</v>
      </c>
      <c r="C8223">
        <v>5580</v>
      </c>
      <c r="D8223" t="str">
        <f>VLOOKUP(H8223,Produkt!$A$2:$B$5,2,FALSE)</f>
        <v>D</v>
      </c>
      <c r="H8223">
        <v>4</v>
      </c>
      <c r="I8223">
        <v>6.2280092592592595E-2</v>
      </c>
      <c r="J8223">
        <v>44804</v>
      </c>
    </row>
    <row r="8224" spans="1:10" x14ac:dyDescent="0.35">
      <c r="A8224" s="2">
        <v>44799</v>
      </c>
      <c r="B8224" s="3">
        <v>0.91855324074074074</v>
      </c>
      <c r="C8224">
        <v>5602</v>
      </c>
      <c r="D8224" t="str">
        <f>VLOOKUP(H8224,Produkt!$A$2:$B$5,2,FALSE)</f>
        <v>B</v>
      </c>
      <c r="H8224">
        <v>2</v>
      </c>
      <c r="I8224">
        <v>0.75993055555555555</v>
      </c>
      <c r="J8224">
        <v>44787</v>
      </c>
    </row>
    <row r="8225" spans="1:10" x14ac:dyDescent="0.35">
      <c r="A8225" s="2">
        <v>44799</v>
      </c>
      <c r="B8225" s="3">
        <v>0.85436342592592596</v>
      </c>
      <c r="C8225">
        <v>5641</v>
      </c>
      <c r="D8225" t="str">
        <f>VLOOKUP(H8225,Produkt!$A$2:$B$5,2,FALSE)</f>
        <v>B</v>
      </c>
      <c r="H8225">
        <v>2</v>
      </c>
      <c r="I8225">
        <v>8.7847222222221522E-3</v>
      </c>
      <c r="J8225">
        <v>44790</v>
      </c>
    </row>
    <row r="8226" spans="1:10" x14ac:dyDescent="0.35">
      <c r="A8226" s="2">
        <v>44799</v>
      </c>
      <c r="B8226" s="3">
        <v>2.5381944444444443E-2</v>
      </c>
      <c r="C8226">
        <v>5670</v>
      </c>
      <c r="D8226" t="str">
        <f>VLOOKUP(H8226,Produkt!$A$2:$B$5,2,FALSE)</f>
        <v>D</v>
      </c>
      <c r="H8226">
        <v>4</v>
      </c>
      <c r="I8226">
        <v>0.51175925925925925</v>
      </c>
      <c r="J8226">
        <v>44784</v>
      </c>
    </row>
    <row r="8227" spans="1:10" x14ac:dyDescent="0.35">
      <c r="A8227" s="2">
        <v>44799</v>
      </c>
      <c r="B8227" s="3">
        <v>0.59664351851851849</v>
      </c>
      <c r="C8227">
        <v>5672</v>
      </c>
      <c r="D8227" t="str">
        <f>VLOOKUP(H8227,Produkt!$A$2:$B$5,2,FALSE)</f>
        <v>A</v>
      </c>
      <c r="H8227">
        <v>1</v>
      </c>
      <c r="I8227">
        <v>0.96910879629629632</v>
      </c>
      <c r="J8227">
        <v>44801</v>
      </c>
    </row>
    <row r="8228" spans="1:10" x14ac:dyDescent="0.35">
      <c r="A8228" s="2">
        <v>44799</v>
      </c>
      <c r="B8228" s="3">
        <v>0.93763888888888891</v>
      </c>
      <c r="C8228">
        <v>5702</v>
      </c>
      <c r="D8228" t="str">
        <f>VLOOKUP(H8228,Produkt!$A$2:$B$5,2,FALSE)</f>
        <v>C</v>
      </c>
      <c r="H8228">
        <v>3</v>
      </c>
      <c r="I8228">
        <v>0.40251157407407406</v>
      </c>
      <c r="J8228">
        <v>44796</v>
      </c>
    </row>
    <row r="8229" spans="1:10" x14ac:dyDescent="0.35">
      <c r="A8229" s="2">
        <v>44799</v>
      </c>
      <c r="B8229" s="3">
        <v>0.13751157407407408</v>
      </c>
      <c r="C8229">
        <v>5716</v>
      </c>
      <c r="D8229" t="str">
        <f>VLOOKUP(H8229,Produkt!$A$2:$B$5,2,FALSE)</f>
        <v>D</v>
      </c>
      <c r="H8229">
        <v>4</v>
      </c>
      <c r="I8229">
        <v>0.28375</v>
      </c>
      <c r="J8229">
        <v>44787</v>
      </c>
    </row>
    <row r="8230" spans="1:10" x14ac:dyDescent="0.35">
      <c r="A8230" s="2">
        <v>44799</v>
      </c>
      <c r="B8230" s="3">
        <v>0.60689814814814813</v>
      </c>
      <c r="C8230">
        <v>5719</v>
      </c>
      <c r="D8230" t="str">
        <f>VLOOKUP(H8230,Produkt!$A$2:$B$5,2,FALSE)</f>
        <v>A</v>
      </c>
      <c r="H8230">
        <v>1</v>
      </c>
      <c r="I8230">
        <v>0.33318287037037037</v>
      </c>
      <c r="J8230">
        <v>44787</v>
      </c>
    </row>
    <row r="8231" spans="1:10" x14ac:dyDescent="0.35">
      <c r="A8231" s="2">
        <v>44799</v>
      </c>
      <c r="B8231" s="3">
        <v>0.68890046296296292</v>
      </c>
      <c r="C8231">
        <v>5729</v>
      </c>
      <c r="D8231" t="str">
        <f>VLOOKUP(H8231,Produkt!$A$2:$B$5,2,FALSE)</f>
        <v>D</v>
      </c>
      <c r="H8231">
        <v>4</v>
      </c>
      <c r="I8231">
        <v>8.0324074074074062E-2</v>
      </c>
      <c r="J8231">
        <v>44788</v>
      </c>
    </row>
    <row r="8232" spans="1:10" x14ac:dyDescent="0.35">
      <c r="A8232" s="2">
        <v>44799</v>
      </c>
      <c r="B8232" s="3">
        <v>0.3379050925925926</v>
      </c>
      <c r="C8232">
        <v>5735</v>
      </c>
      <c r="D8232" t="str">
        <f>VLOOKUP(H8232,Produkt!$A$2:$B$5,2,FALSE)</f>
        <v>B</v>
      </c>
      <c r="H8232">
        <v>2</v>
      </c>
      <c r="I8232">
        <v>0.95084490740740746</v>
      </c>
      <c r="J8232">
        <v>44796</v>
      </c>
    </row>
    <row r="8233" spans="1:10" x14ac:dyDescent="0.35">
      <c r="A8233" s="2">
        <v>44799</v>
      </c>
      <c r="B8233" s="3">
        <v>0.82418981481481479</v>
      </c>
      <c r="C8233">
        <v>5742</v>
      </c>
      <c r="D8233" t="str">
        <f>VLOOKUP(H8233,Produkt!$A$2:$B$5,2,FALSE)</f>
        <v>B</v>
      </c>
      <c r="H8233">
        <v>2</v>
      </c>
      <c r="I8233">
        <v>0.61733796296296295</v>
      </c>
      <c r="J8233">
        <v>44783</v>
      </c>
    </row>
    <row r="8234" spans="1:10" x14ac:dyDescent="0.35">
      <c r="A8234" s="2">
        <v>44799</v>
      </c>
      <c r="B8234" s="3">
        <v>8.2071759259259261E-2</v>
      </c>
      <c r="C8234">
        <v>5745</v>
      </c>
      <c r="D8234" t="str">
        <f>VLOOKUP(H8234,Produkt!$A$2:$B$5,2,FALSE)</f>
        <v>A</v>
      </c>
      <c r="H8234">
        <v>1</v>
      </c>
      <c r="I8234">
        <v>0.4689814814814815</v>
      </c>
      <c r="J8234">
        <v>44787</v>
      </c>
    </row>
    <row r="8235" spans="1:10" x14ac:dyDescent="0.35">
      <c r="A8235" s="2">
        <v>44799</v>
      </c>
      <c r="B8235" s="3">
        <v>0.5309490740740741</v>
      </c>
      <c r="C8235">
        <v>5760</v>
      </c>
      <c r="D8235" t="str">
        <f>VLOOKUP(H8235,Produkt!$A$2:$B$5,2,FALSE)</f>
        <v>A</v>
      </c>
      <c r="H8235">
        <v>1</v>
      </c>
      <c r="I8235">
        <v>0.38646990740740739</v>
      </c>
      <c r="J8235">
        <v>44781</v>
      </c>
    </row>
    <row r="8236" spans="1:10" x14ac:dyDescent="0.35">
      <c r="A8236" s="2">
        <v>44799</v>
      </c>
      <c r="B8236" s="3">
        <v>0.78541666666666676</v>
      </c>
      <c r="C8236">
        <v>5772</v>
      </c>
      <c r="D8236" t="str">
        <f>VLOOKUP(H8236,Produkt!$A$2:$B$5,2,FALSE)</f>
        <v>A</v>
      </c>
      <c r="H8236">
        <v>1</v>
      </c>
      <c r="I8236">
        <v>0.65748842592592593</v>
      </c>
      <c r="J8236">
        <v>44782</v>
      </c>
    </row>
    <row r="8237" spans="1:10" x14ac:dyDescent="0.35">
      <c r="A8237" s="2">
        <v>44799</v>
      </c>
      <c r="B8237" s="3">
        <v>1.2407407407407409E-2</v>
      </c>
      <c r="C8237">
        <v>5832</v>
      </c>
      <c r="D8237" t="str">
        <f>VLOOKUP(H8237,Produkt!$A$2:$B$5,2,FALSE)</f>
        <v>C</v>
      </c>
      <c r="H8237">
        <v>3</v>
      </c>
      <c r="I8237">
        <v>0.87594907407407396</v>
      </c>
      <c r="J8237">
        <v>44777</v>
      </c>
    </row>
    <row r="8238" spans="1:10" x14ac:dyDescent="0.35">
      <c r="A8238" s="2">
        <v>44799</v>
      </c>
      <c r="B8238" s="3">
        <v>0.53736111111111107</v>
      </c>
      <c r="C8238">
        <v>5861</v>
      </c>
      <c r="D8238" t="str">
        <f>VLOOKUP(H8238,Produkt!$A$2:$B$5,2,FALSE)</f>
        <v>B</v>
      </c>
      <c r="H8238">
        <v>2</v>
      </c>
      <c r="I8238">
        <v>0.15149305555555556</v>
      </c>
      <c r="J8238">
        <v>44801</v>
      </c>
    </row>
    <row r="8239" spans="1:10" x14ac:dyDescent="0.35">
      <c r="A8239" s="2">
        <v>44799</v>
      </c>
      <c r="B8239" s="3">
        <v>3.8113425925925926E-2</v>
      </c>
      <c r="C8239">
        <v>5881</v>
      </c>
      <c r="D8239" t="str">
        <f>VLOOKUP(H8239,Produkt!$A$2:$B$5,2,FALSE)</f>
        <v>A</v>
      </c>
      <c r="H8239">
        <v>1</v>
      </c>
      <c r="I8239">
        <v>0.41038194444444448</v>
      </c>
      <c r="J8239">
        <v>44790</v>
      </c>
    </row>
    <row r="8240" spans="1:10" x14ac:dyDescent="0.35">
      <c r="A8240" s="2">
        <v>44799</v>
      </c>
      <c r="B8240" s="3">
        <v>0.64971064814814816</v>
      </c>
      <c r="C8240">
        <v>5885</v>
      </c>
      <c r="D8240" t="str">
        <f>VLOOKUP(H8240,Produkt!$A$2:$B$5,2,FALSE)</f>
        <v>C</v>
      </c>
      <c r="H8240">
        <v>3</v>
      </c>
      <c r="I8240">
        <v>0.65219907407407407</v>
      </c>
      <c r="J8240">
        <v>44797</v>
      </c>
    </row>
    <row r="8241" spans="1:10" x14ac:dyDescent="0.35">
      <c r="A8241" s="2">
        <v>44799</v>
      </c>
      <c r="B8241" s="3">
        <v>0.56687500000000002</v>
      </c>
      <c r="C8241">
        <v>5889</v>
      </c>
      <c r="D8241" t="str">
        <f>VLOOKUP(H8241,Produkt!$A$2:$B$5,2,FALSE)</f>
        <v>D</v>
      </c>
      <c r="H8241">
        <v>4</v>
      </c>
      <c r="I8241">
        <v>0.11799768518518518</v>
      </c>
      <c r="J8241">
        <v>44786</v>
      </c>
    </row>
    <row r="8242" spans="1:10" x14ac:dyDescent="0.35">
      <c r="A8242" s="2">
        <v>44799</v>
      </c>
      <c r="B8242" s="3">
        <v>0.80033564814814817</v>
      </c>
      <c r="C8242">
        <v>5898</v>
      </c>
      <c r="D8242" t="str">
        <f>VLOOKUP(H8242,Produkt!$A$2:$B$5,2,FALSE)</f>
        <v>C</v>
      </c>
      <c r="H8242">
        <v>3</v>
      </c>
      <c r="I8242">
        <v>2.462962962962963E-2</v>
      </c>
      <c r="J8242">
        <v>44777</v>
      </c>
    </row>
    <row r="8243" spans="1:10" x14ac:dyDescent="0.35">
      <c r="A8243" s="2">
        <v>44799</v>
      </c>
      <c r="B8243" s="3">
        <v>0.8209143518518518</v>
      </c>
      <c r="C8243">
        <v>5960</v>
      </c>
      <c r="D8243" t="str">
        <f>VLOOKUP(H8243,Produkt!$A$2:$B$5,2,FALSE)</f>
        <v>A</v>
      </c>
      <c r="H8243">
        <v>1</v>
      </c>
      <c r="I8243">
        <v>0.33033564814814814</v>
      </c>
      <c r="J8243">
        <v>44791</v>
      </c>
    </row>
    <row r="8244" spans="1:10" x14ac:dyDescent="0.35">
      <c r="A8244" s="2">
        <v>44799</v>
      </c>
      <c r="B8244" s="3">
        <v>0.33383101851851854</v>
      </c>
      <c r="C8244">
        <v>5965</v>
      </c>
      <c r="D8244" t="str">
        <f>VLOOKUP(H8244,Produkt!$A$2:$B$5,2,FALSE)</f>
        <v>B</v>
      </c>
      <c r="H8244">
        <v>2</v>
      </c>
      <c r="I8244">
        <v>0.36579861111111112</v>
      </c>
      <c r="J8244">
        <v>44804</v>
      </c>
    </row>
    <row r="8245" spans="1:10" x14ac:dyDescent="0.35">
      <c r="A8245" s="2">
        <v>44799</v>
      </c>
      <c r="B8245" s="3">
        <v>0.18671296296296294</v>
      </c>
      <c r="C8245">
        <v>6026</v>
      </c>
      <c r="D8245" t="str">
        <f>VLOOKUP(H8245,Produkt!$A$2:$B$5,2,FALSE)</f>
        <v>C</v>
      </c>
      <c r="H8245">
        <v>3</v>
      </c>
      <c r="I8245">
        <v>0.71577546296296291</v>
      </c>
      <c r="J8245">
        <v>44778</v>
      </c>
    </row>
    <row r="8246" spans="1:10" x14ac:dyDescent="0.35">
      <c r="A8246" s="2">
        <v>44799</v>
      </c>
      <c r="B8246" s="3">
        <v>8.7037037037037031E-3</v>
      </c>
      <c r="C8246">
        <v>6078</v>
      </c>
      <c r="D8246" t="str">
        <f>VLOOKUP(H8246,Produkt!$A$2:$B$5,2,FALSE)</f>
        <v>A</v>
      </c>
      <c r="H8246">
        <v>1</v>
      </c>
      <c r="I8246">
        <v>0.7996064814814815</v>
      </c>
      <c r="J8246">
        <v>44803</v>
      </c>
    </row>
    <row r="8247" spans="1:10" x14ac:dyDescent="0.35">
      <c r="A8247" s="2">
        <v>44799</v>
      </c>
      <c r="B8247" s="3">
        <v>0.17584490740740741</v>
      </c>
      <c r="C8247">
        <v>6105</v>
      </c>
      <c r="D8247" t="str">
        <f>VLOOKUP(H8247,Produkt!$A$2:$B$5,2,FALSE)</f>
        <v>A</v>
      </c>
      <c r="H8247">
        <v>1</v>
      </c>
      <c r="I8247">
        <v>0.58871527777777777</v>
      </c>
      <c r="J8247">
        <v>44781</v>
      </c>
    </row>
    <row r="8248" spans="1:10" x14ac:dyDescent="0.35">
      <c r="A8248" s="2">
        <v>44799</v>
      </c>
      <c r="B8248" s="3">
        <v>0.58532407407407405</v>
      </c>
      <c r="C8248">
        <v>6134</v>
      </c>
      <c r="D8248" t="str">
        <f>VLOOKUP(H8248,Produkt!$A$2:$B$5,2,FALSE)</f>
        <v>A</v>
      </c>
      <c r="H8248">
        <v>1</v>
      </c>
      <c r="I8248">
        <v>0.70265046296296296</v>
      </c>
      <c r="J8248">
        <v>44775</v>
      </c>
    </row>
    <row r="8249" spans="1:10" x14ac:dyDescent="0.35">
      <c r="A8249" s="2">
        <v>44799</v>
      </c>
      <c r="B8249" s="3">
        <v>0.647974537037037</v>
      </c>
      <c r="C8249">
        <v>6167</v>
      </c>
      <c r="D8249" t="str">
        <f>VLOOKUP(H8249,Produkt!$A$2:$B$5,2,FALSE)</f>
        <v>C</v>
      </c>
      <c r="H8249">
        <v>3</v>
      </c>
      <c r="I8249">
        <v>0.53886574074074078</v>
      </c>
      <c r="J8249">
        <v>44780</v>
      </c>
    </row>
    <row r="8250" spans="1:10" x14ac:dyDescent="0.35">
      <c r="A8250" s="2">
        <v>44799</v>
      </c>
      <c r="B8250" s="3">
        <v>0.3054513888888889</v>
      </c>
      <c r="C8250">
        <v>6168</v>
      </c>
      <c r="D8250" t="str">
        <f>VLOOKUP(H8250,Produkt!$A$2:$B$5,2,FALSE)</f>
        <v>D</v>
      </c>
      <c r="H8250">
        <v>4</v>
      </c>
      <c r="I8250">
        <v>0.40435185185185185</v>
      </c>
      <c r="J8250">
        <v>44794</v>
      </c>
    </row>
    <row r="8251" spans="1:10" x14ac:dyDescent="0.35">
      <c r="A8251" s="2">
        <v>44799</v>
      </c>
      <c r="B8251" s="3">
        <v>0.45894675925925926</v>
      </c>
      <c r="C8251">
        <v>6309</v>
      </c>
      <c r="D8251" t="str">
        <f>VLOOKUP(H8251,Produkt!$A$2:$B$5,2,FALSE)</f>
        <v>D</v>
      </c>
      <c r="H8251">
        <v>4</v>
      </c>
      <c r="I8251">
        <v>2.9895833333333455E-2</v>
      </c>
      <c r="J8251">
        <v>44780</v>
      </c>
    </row>
    <row r="8252" spans="1:10" x14ac:dyDescent="0.35">
      <c r="A8252" s="2">
        <v>44799</v>
      </c>
      <c r="B8252" s="3">
        <v>0.16701388888888891</v>
      </c>
      <c r="C8252">
        <v>6339</v>
      </c>
      <c r="D8252" t="str">
        <f>VLOOKUP(H8252,Produkt!$A$2:$B$5,2,FALSE)</f>
        <v>C</v>
      </c>
      <c r="H8252">
        <v>3</v>
      </c>
      <c r="I8252">
        <v>0.20347222222222219</v>
      </c>
      <c r="J8252">
        <v>44788</v>
      </c>
    </row>
    <row r="8253" spans="1:10" x14ac:dyDescent="0.35">
      <c r="A8253" s="2">
        <v>44799</v>
      </c>
      <c r="B8253" s="3">
        <v>4.0011574074074074E-2</v>
      </c>
      <c r="C8253">
        <v>6355</v>
      </c>
      <c r="D8253" t="str">
        <f>VLOOKUP(H8253,Produkt!$A$2:$B$5,2,FALSE)</f>
        <v>A</v>
      </c>
      <c r="H8253">
        <v>1</v>
      </c>
      <c r="I8253">
        <v>0.57171296296296303</v>
      </c>
      <c r="J8253">
        <v>44785</v>
      </c>
    </row>
    <row r="8254" spans="1:10" x14ac:dyDescent="0.35">
      <c r="A8254" s="2">
        <v>44799</v>
      </c>
      <c r="B8254" s="3">
        <v>0.25069444444444444</v>
      </c>
      <c r="C8254">
        <v>6427</v>
      </c>
      <c r="D8254" t="str">
        <f>VLOOKUP(H8254,Produkt!$A$2:$B$5,2,FALSE)</f>
        <v>A</v>
      </c>
      <c r="H8254">
        <v>1</v>
      </c>
      <c r="I8254">
        <v>0.28081018518518519</v>
      </c>
      <c r="J8254">
        <v>44787</v>
      </c>
    </row>
    <row r="8255" spans="1:10" x14ac:dyDescent="0.35">
      <c r="A8255" s="2">
        <v>44799</v>
      </c>
      <c r="B8255" s="3">
        <v>0.6042939814814815</v>
      </c>
      <c r="C8255">
        <v>6439</v>
      </c>
      <c r="D8255" t="str">
        <f>VLOOKUP(H8255,Produkt!$A$2:$B$5,2,FALSE)</f>
        <v>D</v>
      </c>
      <c r="H8255">
        <v>4</v>
      </c>
      <c r="I8255">
        <v>0.98681712962962964</v>
      </c>
      <c r="J8255">
        <v>44804</v>
      </c>
    </row>
    <row r="8256" spans="1:10" x14ac:dyDescent="0.35">
      <c r="A8256" s="2">
        <v>44799</v>
      </c>
      <c r="B8256" s="3">
        <v>3.2962962962962861E-2</v>
      </c>
      <c r="C8256">
        <v>6502</v>
      </c>
      <c r="D8256" t="str">
        <f>VLOOKUP(H8256,Produkt!$A$2:$B$5,2,FALSE)</f>
        <v>A</v>
      </c>
      <c r="H8256">
        <v>1</v>
      </c>
      <c r="I8256">
        <v>0.77101851851851855</v>
      </c>
      <c r="J8256">
        <v>44794</v>
      </c>
    </row>
    <row r="8257" spans="1:10" x14ac:dyDescent="0.35">
      <c r="A8257" s="2">
        <v>44799</v>
      </c>
      <c r="B8257" s="3">
        <v>0.28564814814814815</v>
      </c>
      <c r="C8257">
        <v>6512</v>
      </c>
      <c r="D8257" t="str">
        <f>VLOOKUP(H8257,Produkt!$A$2:$B$5,2,FALSE)</f>
        <v>A</v>
      </c>
      <c r="H8257">
        <v>1</v>
      </c>
      <c r="I8257">
        <v>0.50817129629629632</v>
      </c>
      <c r="J8257">
        <v>44793</v>
      </c>
    </row>
    <row r="8258" spans="1:10" x14ac:dyDescent="0.35">
      <c r="A8258" s="2">
        <v>44799</v>
      </c>
      <c r="B8258" s="3">
        <v>0.8846412037037038</v>
      </c>
      <c r="C8258">
        <v>6534</v>
      </c>
      <c r="D8258" t="str">
        <f>VLOOKUP(H8258,Produkt!$A$2:$B$5,2,FALSE)</f>
        <v>C</v>
      </c>
      <c r="H8258">
        <v>3</v>
      </c>
      <c r="I8258">
        <v>0.43024305555555559</v>
      </c>
      <c r="J8258">
        <v>44789</v>
      </c>
    </row>
    <row r="8259" spans="1:10" x14ac:dyDescent="0.35">
      <c r="A8259" s="2">
        <v>44799</v>
      </c>
      <c r="B8259" s="3">
        <v>0.5377777777777778</v>
      </c>
      <c r="C8259">
        <v>6539</v>
      </c>
      <c r="D8259" t="str">
        <f>VLOOKUP(H8259,Produkt!$A$2:$B$5,2,FALSE)</f>
        <v>A</v>
      </c>
      <c r="H8259">
        <v>1</v>
      </c>
      <c r="I8259">
        <v>0.90141203703703709</v>
      </c>
      <c r="J8259">
        <v>44797</v>
      </c>
    </row>
    <row r="8260" spans="1:10" x14ac:dyDescent="0.35">
      <c r="A8260" s="2">
        <v>44799</v>
      </c>
      <c r="B8260" s="3">
        <v>0.16805555555555554</v>
      </c>
      <c r="C8260">
        <v>6558</v>
      </c>
      <c r="D8260" t="str">
        <f>VLOOKUP(H8260,Produkt!$A$2:$B$5,2,FALSE)</f>
        <v>C</v>
      </c>
      <c r="H8260">
        <v>3</v>
      </c>
      <c r="I8260">
        <v>0.76061342592592596</v>
      </c>
      <c r="J8260">
        <v>44782</v>
      </c>
    </row>
    <row r="8261" spans="1:10" x14ac:dyDescent="0.35">
      <c r="A8261" s="2">
        <v>44799</v>
      </c>
      <c r="B8261" s="3">
        <v>0.69690972222222225</v>
      </c>
      <c r="C8261">
        <v>6585</v>
      </c>
      <c r="D8261" t="str">
        <f>VLOOKUP(H8261,Produkt!$A$2:$B$5,2,FALSE)</f>
        <v>B</v>
      </c>
      <c r="H8261">
        <v>2</v>
      </c>
      <c r="I8261">
        <v>2.0868055555555598E-2</v>
      </c>
      <c r="J8261">
        <v>44802</v>
      </c>
    </row>
    <row r="8262" spans="1:10" x14ac:dyDescent="0.35">
      <c r="A8262" s="2">
        <v>44799</v>
      </c>
      <c r="B8262" s="3">
        <v>9.7152777777777768E-2</v>
      </c>
      <c r="C8262">
        <v>6592</v>
      </c>
      <c r="D8262" t="str">
        <f>VLOOKUP(H8262,Produkt!$A$2:$B$5,2,FALSE)</f>
        <v>C</v>
      </c>
      <c r="H8262">
        <v>3</v>
      </c>
      <c r="I8262">
        <v>0.39513888888888887</v>
      </c>
      <c r="J8262">
        <v>44784</v>
      </c>
    </row>
    <row r="8263" spans="1:10" x14ac:dyDescent="0.35">
      <c r="A8263" s="2">
        <v>44799</v>
      </c>
      <c r="B8263" s="3">
        <v>6.3576388888888891E-2</v>
      </c>
      <c r="C8263">
        <v>6616</v>
      </c>
      <c r="D8263" t="str">
        <f>VLOOKUP(H8263,Produkt!$A$2:$B$5,2,FALSE)</f>
        <v>B</v>
      </c>
      <c r="H8263">
        <v>2</v>
      </c>
      <c r="I8263">
        <v>0.16994212962962962</v>
      </c>
      <c r="J8263">
        <v>44801</v>
      </c>
    </row>
    <row r="8264" spans="1:10" x14ac:dyDescent="0.35">
      <c r="A8264" s="2">
        <v>44799</v>
      </c>
      <c r="B8264" s="3">
        <v>0.26068287037037036</v>
      </c>
      <c r="C8264">
        <v>6645</v>
      </c>
      <c r="D8264" t="str">
        <f>VLOOKUP(H8264,Produkt!$A$2:$B$5,2,FALSE)</f>
        <v>B</v>
      </c>
      <c r="H8264">
        <v>2</v>
      </c>
      <c r="I8264">
        <v>5.800925925925926E-2</v>
      </c>
      <c r="J8264">
        <v>44804</v>
      </c>
    </row>
    <row r="8265" spans="1:10" x14ac:dyDescent="0.35">
      <c r="A8265" s="2">
        <v>44799</v>
      </c>
      <c r="B8265" s="3">
        <v>0.21822916666666667</v>
      </c>
      <c r="C8265">
        <v>6656</v>
      </c>
      <c r="D8265" t="str">
        <f>VLOOKUP(H8265,Produkt!$A$2:$B$5,2,FALSE)</f>
        <v>A</v>
      </c>
      <c r="H8265">
        <v>1</v>
      </c>
      <c r="I8265">
        <v>0.65152777777777782</v>
      </c>
      <c r="J8265">
        <v>44776</v>
      </c>
    </row>
    <row r="8266" spans="1:10" x14ac:dyDescent="0.35">
      <c r="A8266" s="2">
        <v>44799</v>
      </c>
      <c r="B8266" s="3">
        <v>0.72673611111111114</v>
      </c>
      <c r="C8266">
        <v>6659</v>
      </c>
      <c r="D8266" t="str">
        <f>VLOOKUP(H8266,Produkt!$A$2:$B$5,2,FALSE)</f>
        <v>D</v>
      </c>
      <c r="H8266">
        <v>4</v>
      </c>
      <c r="I8266">
        <v>0.32368055555555558</v>
      </c>
      <c r="J8266">
        <v>44784</v>
      </c>
    </row>
    <row r="8267" spans="1:10" x14ac:dyDescent="0.35">
      <c r="A8267" s="2">
        <v>44799</v>
      </c>
      <c r="B8267" s="3">
        <v>0.2272800925925926</v>
      </c>
      <c r="C8267">
        <v>6671</v>
      </c>
      <c r="D8267" t="str">
        <f>VLOOKUP(H8267,Produkt!$A$2:$B$5,2,FALSE)</f>
        <v>A</v>
      </c>
      <c r="H8267">
        <v>1</v>
      </c>
      <c r="I8267">
        <v>0.66311342592592593</v>
      </c>
      <c r="J8267">
        <v>44796</v>
      </c>
    </row>
    <row r="8268" spans="1:10" x14ac:dyDescent="0.35">
      <c r="A8268" s="2">
        <v>44799</v>
      </c>
      <c r="B8268" s="3">
        <v>0.53905092592592596</v>
      </c>
      <c r="C8268">
        <v>6733</v>
      </c>
      <c r="D8268" t="str">
        <f>VLOOKUP(H8268,Produkt!$A$2:$B$5,2,FALSE)</f>
        <v>D</v>
      </c>
      <c r="H8268">
        <v>4</v>
      </c>
      <c r="I8268">
        <v>0.33346064814814813</v>
      </c>
      <c r="J8268">
        <v>44802</v>
      </c>
    </row>
    <row r="8269" spans="1:10" x14ac:dyDescent="0.35">
      <c r="A8269" s="2">
        <v>44799</v>
      </c>
      <c r="B8269" s="3">
        <v>0.33833333333333332</v>
      </c>
      <c r="C8269">
        <v>6742</v>
      </c>
      <c r="D8269" t="str">
        <f>VLOOKUP(H8269,Produkt!$A$2:$B$5,2,FALSE)</f>
        <v>B</v>
      </c>
      <c r="H8269">
        <v>2</v>
      </c>
      <c r="I8269">
        <v>0.37999999999999995</v>
      </c>
      <c r="J8269">
        <v>44780</v>
      </c>
    </row>
    <row r="8270" spans="1:10" x14ac:dyDescent="0.35">
      <c r="A8270" s="2">
        <v>44799</v>
      </c>
      <c r="B8270" s="3">
        <v>0.12504629629629629</v>
      </c>
      <c r="C8270">
        <v>6783</v>
      </c>
      <c r="D8270" t="str">
        <f>VLOOKUP(H8270,Produkt!$A$2:$B$5,2,FALSE)</f>
        <v>D</v>
      </c>
      <c r="H8270">
        <v>4</v>
      </c>
      <c r="I8270">
        <v>1.4386574074074066E-2</v>
      </c>
      <c r="J8270">
        <v>44793</v>
      </c>
    </row>
    <row r="8271" spans="1:10" x14ac:dyDescent="0.35">
      <c r="A8271" s="2">
        <v>44799</v>
      </c>
      <c r="B8271" s="3">
        <v>0.72259259259259256</v>
      </c>
      <c r="C8271">
        <v>6784</v>
      </c>
      <c r="D8271" t="str">
        <f>VLOOKUP(H8271,Produkt!$A$2:$B$5,2,FALSE)</f>
        <v>A</v>
      </c>
      <c r="H8271">
        <v>1</v>
      </c>
      <c r="I8271">
        <v>0.47027777777777779</v>
      </c>
      <c r="J8271">
        <v>44783</v>
      </c>
    </row>
    <row r="8272" spans="1:10" x14ac:dyDescent="0.35">
      <c r="A8272" s="2">
        <v>44799</v>
      </c>
      <c r="B8272" s="3">
        <v>0.17910879629629628</v>
      </c>
      <c r="C8272">
        <v>6842</v>
      </c>
      <c r="D8272" t="str">
        <f>VLOOKUP(H8272,Produkt!$A$2:$B$5,2,FALSE)</f>
        <v>B</v>
      </c>
      <c r="H8272">
        <v>2</v>
      </c>
      <c r="I8272">
        <v>0.84141203703703704</v>
      </c>
      <c r="J8272">
        <v>44786</v>
      </c>
    </row>
    <row r="8273" spans="1:10" x14ac:dyDescent="0.35">
      <c r="A8273" s="2">
        <v>44799</v>
      </c>
      <c r="B8273" s="3">
        <v>0.8895601851851852</v>
      </c>
      <c r="C8273">
        <v>6853</v>
      </c>
      <c r="D8273" t="str">
        <f>VLOOKUP(H8273,Produkt!$A$2:$B$5,2,FALSE)</f>
        <v>A</v>
      </c>
      <c r="H8273">
        <v>1</v>
      </c>
      <c r="I8273">
        <v>0.78843750000000001</v>
      </c>
      <c r="J8273">
        <v>44802</v>
      </c>
    </row>
    <row r="8274" spans="1:10" x14ac:dyDescent="0.35">
      <c r="A8274" s="2">
        <v>44799</v>
      </c>
      <c r="B8274" s="3">
        <v>8.3333333333333037E-3</v>
      </c>
      <c r="C8274">
        <v>6908</v>
      </c>
      <c r="D8274" t="str">
        <f>VLOOKUP(H8274,Produkt!$A$2:$B$5,2,FALSE)</f>
        <v>B</v>
      </c>
      <c r="H8274">
        <v>2</v>
      </c>
      <c r="I8274">
        <v>9.6250000000000002E-2</v>
      </c>
      <c r="J8274">
        <v>44800</v>
      </c>
    </row>
    <row r="8275" spans="1:10" x14ac:dyDescent="0.35">
      <c r="A8275" s="2">
        <v>44799</v>
      </c>
      <c r="B8275" s="3">
        <v>3.6539351851851753E-2</v>
      </c>
      <c r="C8275">
        <v>6911</v>
      </c>
      <c r="D8275" t="str">
        <f>VLOOKUP(H8275,Produkt!$A$2:$B$5,2,FALSE)</f>
        <v>A</v>
      </c>
      <c r="H8275">
        <v>1</v>
      </c>
      <c r="I8275">
        <v>0.11984953703703705</v>
      </c>
      <c r="J8275">
        <v>44784</v>
      </c>
    </row>
    <row r="8276" spans="1:10" x14ac:dyDescent="0.35">
      <c r="A8276" s="2">
        <v>44799</v>
      </c>
      <c r="B8276" s="3">
        <v>0.35802083333333329</v>
      </c>
      <c r="C8276">
        <v>6961</v>
      </c>
      <c r="D8276" t="str">
        <f>VLOOKUP(H8276,Produkt!$A$2:$B$5,2,FALSE)</f>
        <v>B</v>
      </c>
      <c r="H8276">
        <v>2</v>
      </c>
      <c r="I8276">
        <v>1.9490740740740753E-2</v>
      </c>
      <c r="J8276">
        <v>44794</v>
      </c>
    </row>
    <row r="8277" spans="1:10" x14ac:dyDescent="0.35">
      <c r="A8277" s="2">
        <v>44799</v>
      </c>
      <c r="B8277" s="3">
        <v>1.6342592592592631E-2</v>
      </c>
      <c r="C8277">
        <v>6992</v>
      </c>
      <c r="D8277" t="str">
        <f>VLOOKUP(H8277,Produkt!$A$2:$B$5,2,FALSE)</f>
        <v>A</v>
      </c>
      <c r="H8277">
        <v>1</v>
      </c>
      <c r="I8277">
        <v>0.92415509259259254</v>
      </c>
      <c r="J8277">
        <v>44778</v>
      </c>
    </row>
    <row r="8278" spans="1:10" x14ac:dyDescent="0.35">
      <c r="A8278" s="2">
        <v>44799</v>
      </c>
      <c r="B8278" s="3">
        <v>0.66526620370370371</v>
      </c>
      <c r="C8278">
        <v>6995</v>
      </c>
      <c r="D8278" t="str">
        <f>VLOOKUP(H8278,Produkt!$A$2:$B$5,2,FALSE)</f>
        <v>C</v>
      </c>
      <c r="H8278">
        <v>3</v>
      </c>
      <c r="I8278">
        <v>0.66640046296296296</v>
      </c>
      <c r="J8278">
        <v>44776</v>
      </c>
    </row>
    <row r="8279" spans="1:10" x14ac:dyDescent="0.35">
      <c r="A8279" s="2">
        <v>44799</v>
      </c>
      <c r="B8279" s="3">
        <v>0.57034722222222223</v>
      </c>
      <c r="C8279">
        <v>7020</v>
      </c>
      <c r="D8279" t="str">
        <f>VLOOKUP(H8279,Produkt!$A$2:$B$5,2,FALSE)</f>
        <v>D</v>
      </c>
      <c r="H8279">
        <v>4</v>
      </c>
      <c r="I8279">
        <v>0.63878472222222216</v>
      </c>
      <c r="J8279">
        <v>44794</v>
      </c>
    </row>
    <row r="8280" spans="1:10" x14ac:dyDescent="0.35">
      <c r="A8280" s="2">
        <v>44799</v>
      </c>
      <c r="B8280" s="3">
        <v>0.95327546296296306</v>
      </c>
      <c r="C8280">
        <v>7073</v>
      </c>
      <c r="D8280" t="str">
        <f>VLOOKUP(H8280,Produkt!$A$2:$B$5,2,FALSE)</f>
        <v>A</v>
      </c>
      <c r="H8280">
        <v>1</v>
      </c>
      <c r="I8280">
        <v>0.11038194444444445</v>
      </c>
      <c r="J8280">
        <v>44779</v>
      </c>
    </row>
    <row r="8281" spans="1:10" x14ac:dyDescent="0.35">
      <c r="A8281" s="2">
        <v>44799</v>
      </c>
      <c r="B8281" s="3">
        <v>0.93870370370370371</v>
      </c>
      <c r="C8281">
        <v>7144</v>
      </c>
      <c r="D8281" t="str">
        <f>VLOOKUP(H8281,Produkt!$A$2:$B$5,2,FALSE)</f>
        <v>B</v>
      </c>
      <c r="H8281">
        <v>2</v>
      </c>
      <c r="I8281">
        <v>0.44966435185185188</v>
      </c>
      <c r="J8281">
        <v>44783</v>
      </c>
    </row>
    <row r="8282" spans="1:10" x14ac:dyDescent="0.35">
      <c r="A8282" s="2">
        <v>44799</v>
      </c>
      <c r="B8282" s="3">
        <v>0.57953703703703707</v>
      </c>
      <c r="C8282">
        <v>7163</v>
      </c>
      <c r="D8282" t="str">
        <f>VLOOKUP(H8282,Produkt!$A$2:$B$5,2,FALSE)</f>
        <v>A</v>
      </c>
      <c r="H8282">
        <v>1</v>
      </c>
      <c r="I8282">
        <v>0.60068287037037038</v>
      </c>
      <c r="J8282">
        <v>44797</v>
      </c>
    </row>
    <row r="8283" spans="1:10" x14ac:dyDescent="0.35">
      <c r="A8283" s="2">
        <v>44799</v>
      </c>
      <c r="B8283" s="3">
        <v>0.86206018518518512</v>
      </c>
      <c r="C8283">
        <v>7165</v>
      </c>
      <c r="D8283" t="str">
        <f>VLOOKUP(H8283,Produkt!$A$2:$B$5,2,FALSE)</f>
        <v>A</v>
      </c>
      <c r="H8283">
        <v>1</v>
      </c>
      <c r="I8283">
        <v>3.3738425925925929E-2</v>
      </c>
      <c r="J8283">
        <v>44776</v>
      </c>
    </row>
    <row r="8284" spans="1:10" x14ac:dyDescent="0.35">
      <c r="A8284" s="2">
        <v>44799</v>
      </c>
      <c r="B8284" s="3">
        <v>0.81703703703703701</v>
      </c>
      <c r="C8284">
        <v>7181</v>
      </c>
      <c r="D8284" t="str">
        <f>VLOOKUP(H8284,Produkt!$A$2:$B$5,2,FALSE)</f>
        <v>B</v>
      </c>
      <c r="H8284">
        <v>2</v>
      </c>
      <c r="I8284">
        <v>0.69024305555555554</v>
      </c>
      <c r="J8284">
        <v>44789</v>
      </c>
    </row>
    <row r="8285" spans="1:10" x14ac:dyDescent="0.35">
      <c r="A8285" s="2">
        <v>44799</v>
      </c>
      <c r="B8285" s="3">
        <v>0.41375000000000001</v>
      </c>
      <c r="C8285">
        <v>7206</v>
      </c>
      <c r="D8285" t="str">
        <f>VLOOKUP(H8285,Produkt!$A$2:$B$5,2,FALSE)</f>
        <v>C</v>
      </c>
      <c r="H8285">
        <v>3</v>
      </c>
      <c r="I8285">
        <v>0.89474537037037039</v>
      </c>
      <c r="J8285">
        <v>44775</v>
      </c>
    </row>
    <row r="8286" spans="1:10" x14ac:dyDescent="0.35">
      <c r="A8286" s="2">
        <v>44799</v>
      </c>
      <c r="B8286" s="3">
        <v>0.86488425925925927</v>
      </c>
      <c r="C8286">
        <v>7266</v>
      </c>
      <c r="D8286" t="str">
        <f>VLOOKUP(H8286,Produkt!$A$2:$B$5,2,FALSE)</f>
        <v>A</v>
      </c>
      <c r="H8286">
        <v>1</v>
      </c>
      <c r="I8286">
        <v>0.22857638888888887</v>
      </c>
      <c r="J8286">
        <v>44778</v>
      </c>
    </row>
    <row r="8287" spans="1:10" x14ac:dyDescent="0.35">
      <c r="A8287" s="2">
        <v>44799</v>
      </c>
      <c r="B8287" s="3">
        <v>0.62991898148148151</v>
      </c>
      <c r="C8287">
        <v>7289</v>
      </c>
      <c r="D8287" t="str">
        <f>VLOOKUP(H8287,Produkt!$A$2:$B$5,2,FALSE)</f>
        <v>C</v>
      </c>
      <c r="H8287">
        <v>3</v>
      </c>
      <c r="I8287">
        <v>0.82759259259259255</v>
      </c>
      <c r="J8287">
        <v>44800</v>
      </c>
    </row>
    <row r="8288" spans="1:10" x14ac:dyDescent="0.35">
      <c r="A8288" s="2">
        <v>44799</v>
      </c>
      <c r="B8288" s="3">
        <v>0.75631944444444443</v>
      </c>
      <c r="C8288">
        <v>7301</v>
      </c>
      <c r="D8288" t="str">
        <f>VLOOKUP(H8288,Produkt!$A$2:$B$5,2,FALSE)</f>
        <v>B</v>
      </c>
      <c r="H8288">
        <v>2</v>
      </c>
      <c r="I8288">
        <v>0.20788194444444444</v>
      </c>
      <c r="J8288">
        <v>44789</v>
      </c>
    </row>
    <row r="8289" spans="1:10" x14ac:dyDescent="0.35">
      <c r="A8289" s="2">
        <v>44799</v>
      </c>
      <c r="B8289" s="3">
        <v>2.6817129629629632E-2</v>
      </c>
      <c r="C8289">
        <v>7304</v>
      </c>
      <c r="D8289" t="str">
        <f>VLOOKUP(H8289,Produkt!$A$2:$B$5,2,FALSE)</f>
        <v>B</v>
      </c>
      <c r="H8289">
        <v>2</v>
      </c>
      <c r="I8289">
        <v>0.86223379629629626</v>
      </c>
      <c r="J8289">
        <v>44793</v>
      </c>
    </row>
    <row r="8290" spans="1:10" x14ac:dyDescent="0.35">
      <c r="A8290" s="2">
        <v>44799</v>
      </c>
      <c r="B8290" s="3">
        <v>0.90611111111111109</v>
      </c>
      <c r="C8290">
        <v>7329</v>
      </c>
      <c r="D8290" t="str">
        <f>VLOOKUP(H8290,Produkt!$A$2:$B$5,2,FALSE)</f>
        <v>D</v>
      </c>
      <c r="H8290">
        <v>4</v>
      </c>
      <c r="I8290">
        <v>0.50067129629629636</v>
      </c>
      <c r="J8290">
        <v>44798</v>
      </c>
    </row>
    <row r="8291" spans="1:10" x14ac:dyDescent="0.35">
      <c r="A8291" s="2">
        <v>44799</v>
      </c>
      <c r="B8291" s="3">
        <v>0.45901620370370372</v>
      </c>
      <c r="C8291">
        <v>7392</v>
      </c>
      <c r="D8291" t="str">
        <f>VLOOKUP(H8291,Produkt!$A$2:$B$5,2,FALSE)</f>
        <v>C</v>
      </c>
      <c r="H8291">
        <v>3</v>
      </c>
      <c r="I8291">
        <v>0.70300925925925928</v>
      </c>
      <c r="J8291">
        <v>44798</v>
      </c>
    </row>
    <row r="8292" spans="1:10" x14ac:dyDescent="0.35">
      <c r="A8292" s="2">
        <v>44799</v>
      </c>
      <c r="B8292" s="3">
        <v>0.1527199074074074</v>
      </c>
      <c r="C8292">
        <v>7399</v>
      </c>
      <c r="D8292" t="str">
        <f>VLOOKUP(H8292,Produkt!$A$2:$B$5,2,FALSE)</f>
        <v>D</v>
      </c>
      <c r="H8292">
        <v>4</v>
      </c>
      <c r="I8292">
        <v>0.35011574074074076</v>
      </c>
      <c r="J8292">
        <v>44797</v>
      </c>
    </row>
    <row r="8293" spans="1:10" x14ac:dyDescent="0.35">
      <c r="A8293" s="2">
        <v>44799</v>
      </c>
      <c r="B8293" s="3">
        <v>4.1122685185185186E-2</v>
      </c>
      <c r="C8293">
        <v>7531</v>
      </c>
      <c r="D8293" t="str">
        <f>VLOOKUP(H8293,Produkt!$A$2:$B$5,2,FALSE)</f>
        <v>C</v>
      </c>
      <c r="H8293">
        <v>3</v>
      </c>
      <c r="I8293">
        <v>0.82055555555555559</v>
      </c>
      <c r="J8293">
        <v>44774</v>
      </c>
    </row>
    <row r="8294" spans="1:10" x14ac:dyDescent="0.35">
      <c r="A8294" s="2">
        <v>44799</v>
      </c>
      <c r="B8294" s="3">
        <v>0.17222222222222225</v>
      </c>
      <c r="C8294">
        <v>7533</v>
      </c>
      <c r="D8294" t="str">
        <f>VLOOKUP(H8294,Produkt!$A$2:$B$5,2,FALSE)</f>
        <v>D</v>
      </c>
      <c r="H8294">
        <v>4</v>
      </c>
      <c r="I8294">
        <v>0.54866898148148147</v>
      </c>
      <c r="J8294">
        <v>44789</v>
      </c>
    </row>
    <row r="8295" spans="1:10" x14ac:dyDescent="0.35">
      <c r="A8295" s="2">
        <v>44799</v>
      </c>
      <c r="B8295" s="3">
        <v>0.80086805555555562</v>
      </c>
      <c r="C8295">
        <v>7546</v>
      </c>
      <c r="D8295" t="str">
        <f>VLOOKUP(H8295,Produkt!$A$2:$B$5,2,FALSE)</f>
        <v>C</v>
      </c>
      <c r="H8295">
        <v>3</v>
      </c>
      <c r="I8295">
        <v>0.37457175925925923</v>
      </c>
      <c r="J8295">
        <v>44801</v>
      </c>
    </row>
    <row r="8296" spans="1:10" x14ac:dyDescent="0.35">
      <c r="A8296" s="2">
        <v>44799</v>
      </c>
      <c r="B8296" s="3">
        <v>0.53450231481481481</v>
      </c>
      <c r="C8296">
        <v>7549</v>
      </c>
      <c r="D8296" t="str">
        <f>VLOOKUP(H8296,Produkt!$A$2:$B$5,2,FALSE)</f>
        <v>C</v>
      </c>
      <c r="H8296">
        <v>3</v>
      </c>
      <c r="I8296">
        <v>0.52265046296296302</v>
      </c>
      <c r="J8296">
        <v>44777</v>
      </c>
    </row>
    <row r="8297" spans="1:10" x14ac:dyDescent="0.35">
      <c r="A8297" s="2">
        <v>44799</v>
      </c>
      <c r="B8297" s="3">
        <v>0.44023148148148145</v>
      </c>
      <c r="C8297">
        <v>7564</v>
      </c>
      <c r="D8297" t="str">
        <f>VLOOKUP(H8297,Produkt!$A$2:$B$5,2,FALSE)</f>
        <v>B</v>
      </c>
      <c r="H8297">
        <v>2</v>
      </c>
      <c r="I8297">
        <v>0.15609953703703702</v>
      </c>
      <c r="J8297">
        <v>44798</v>
      </c>
    </row>
    <row r="8298" spans="1:10" x14ac:dyDescent="0.35">
      <c r="A8298" s="2">
        <v>44799</v>
      </c>
      <c r="B8298" s="3">
        <v>0.95568287037037036</v>
      </c>
      <c r="C8298">
        <v>7575</v>
      </c>
      <c r="D8298" t="str">
        <f>VLOOKUP(H8298,Produkt!$A$2:$B$5,2,FALSE)</f>
        <v>C</v>
      </c>
      <c r="H8298">
        <v>3</v>
      </c>
      <c r="I8298">
        <v>5.5486111111111104E-2</v>
      </c>
      <c r="J8298">
        <v>44789</v>
      </c>
    </row>
    <row r="8299" spans="1:10" x14ac:dyDescent="0.35">
      <c r="A8299" s="2">
        <v>44799</v>
      </c>
      <c r="B8299" s="3">
        <v>0.67850694444444448</v>
      </c>
      <c r="C8299">
        <v>7577</v>
      </c>
      <c r="D8299" t="str">
        <f>VLOOKUP(H8299,Produkt!$A$2:$B$5,2,FALSE)</f>
        <v>A</v>
      </c>
      <c r="H8299">
        <v>1</v>
      </c>
      <c r="I8299">
        <v>0.42631944444444447</v>
      </c>
      <c r="J8299">
        <v>44777</v>
      </c>
    </row>
    <row r="8300" spans="1:10" x14ac:dyDescent="0.35">
      <c r="A8300" s="2">
        <v>44799</v>
      </c>
      <c r="B8300" s="3">
        <v>0.20725694444444445</v>
      </c>
      <c r="C8300">
        <v>7636</v>
      </c>
      <c r="D8300" t="str">
        <f>VLOOKUP(H8300,Produkt!$A$2:$B$5,2,FALSE)</f>
        <v>A</v>
      </c>
      <c r="H8300">
        <v>1</v>
      </c>
      <c r="I8300">
        <v>0.42436342592592591</v>
      </c>
      <c r="J8300">
        <v>44786</v>
      </c>
    </row>
    <row r="8301" spans="1:10" x14ac:dyDescent="0.35">
      <c r="A8301" s="2">
        <v>44799</v>
      </c>
      <c r="B8301" s="3">
        <v>0.15854166666666666</v>
      </c>
      <c r="C8301">
        <v>7655</v>
      </c>
      <c r="D8301" t="str">
        <f>VLOOKUP(H8301,Produkt!$A$2:$B$5,2,FALSE)</f>
        <v>B</v>
      </c>
      <c r="H8301">
        <v>2</v>
      </c>
      <c r="I8301">
        <v>0.29996527777777776</v>
      </c>
      <c r="J8301">
        <v>44775</v>
      </c>
    </row>
    <row r="8302" spans="1:10" x14ac:dyDescent="0.35">
      <c r="A8302" s="2">
        <v>44799</v>
      </c>
      <c r="B8302" s="3">
        <v>0.42060185185185189</v>
      </c>
      <c r="C8302">
        <v>7693</v>
      </c>
      <c r="D8302" t="str">
        <f>VLOOKUP(H8302,Produkt!$A$2:$B$5,2,FALSE)</f>
        <v>A</v>
      </c>
      <c r="H8302">
        <v>1</v>
      </c>
      <c r="I8302">
        <v>2.8715277777777781E-2</v>
      </c>
      <c r="J8302">
        <v>44786</v>
      </c>
    </row>
    <row r="8303" spans="1:10" x14ac:dyDescent="0.35">
      <c r="A8303" s="2">
        <v>44799</v>
      </c>
      <c r="B8303" s="3">
        <v>0.3107523148148148</v>
      </c>
      <c r="C8303">
        <v>7697</v>
      </c>
      <c r="D8303" t="str">
        <f>VLOOKUP(H8303,Produkt!$A$2:$B$5,2,FALSE)</f>
        <v>C</v>
      </c>
      <c r="H8303">
        <v>3</v>
      </c>
      <c r="I8303">
        <v>0.22949074074074075</v>
      </c>
      <c r="J8303">
        <v>44774</v>
      </c>
    </row>
    <row r="8304" spans="1:10" x14ac:dyDescent="0.35">
      <c r="A8304" s="2">
        <v>44799</v>
      </c>
      <c r="B8304" s="3">
        <v>0.1789236111111111</v>
      </c>
      <c r="C8304">
        <v>7707</v>
      </c>
      <c r="D8304" t="str">
        <f>VLOOKUP(H8304,Produkt!$A$2:$B$5,2,FALSE)</f>
        <v>C</v>
      </c>
      <c r="H8304">
        <v>3</v>
      </c>
      <c r="I8304">
        <v>0.80322916666666666</v>
      </c>
      <c r="J8304">
        <v>44796</v>
      </c>
    </row>
    <row r="8305" spans="1:10" x14ac:dyDescent="0.35">
      <c r="A8305" s="2">
        <v>44799</v>
      </c>
      <c r="B8305" s="3">
        <v>0.50324074074074077</v>
      </c>
      <c r="C8305">
        <v>7721</v>
      </c>
      <c r="D8305" t="str">
        <f>VLOOKUP(H8305,Produkt!$A$2:$B$5,2,FALSE)</f>
        <v>D</v>
      </c>
      <c r="H8305">
        <v>4</v>
      </c>
      <c r="I8305">
        <v>0.67325231481481485</v>
      </c>
      <c r="J8305">
        <v>44785</v>
      </c>
    </row>
    <row r="8306" spans="1:10" x14ac:dyDescent="0.35">
      <c r="A8306" s="2">
        <v>44799</v>
      </c>
      <c r="B8306" s="3">
        <v>0.43069444444444444</v>
      </c>
      <c r="C8306">
        <v>7723</v>
      </c>
      <c r="D8306" t="str">
        <f>VLOOKUP(H8306,Produkt!$A$2:$B$5,2,FALSE)</f>
        <v>D</v>
      </c>
      <c r="H8306">
        <v>4</v>
      </c>
      <c r="I8306">
        <v>0.67609953703703696</v>
      </c>
      <c r="J8306">
        <v>44794</v>
      </c>
    </row>
    <row r="8307" spans="1:10" x14ac:dyDescent="0.35">
      <c r="A8307" s="2">
        <v>44799</v>
      </c>
      <c r="B8307" s="3">
        <v>0.4384143518518519</v>
      </c>
      <c r="C8307">
        <v>7754</v>
      </c>
      <c r="D8307" t="str">
        <f>VLOOKUP(H8307,Produkt!$A$2:$B$5,2,FALSE)</f>
        <v>D</v>
      </c>
      <c r="H8307">
        <v>4</v>
      </c>
      <c r="I8307">
        <v>0.53839120370370364</v>
      </c>
      <c r="J8307">
        <v>44801</v>
      </c>
    </row>
    <row r="8308" spans="1:10" x14ac:dyDescent="0.35">
      <c r="A8308" s="2">
        <v>44799</v>
      </c>
      <c r="B8308" s="3">
        <v>0.11609953703703703</v>
      </c>
      <c r="C8308">
        <v>7810</v>
      </c>
      <c r="D8308" t="str">
        <f>VLOOKUP(H8308,Produkt!$A$2:$B$5,2,FALSE)</f>
        <v>B</v>
      </c>
      <c r="H8308">
        <v>2</v>
      </c>
      <c r="I8308">
        <v>0.70349537037037047</v>
      </c>
      <c r="J8308">
        <v>44780</v>
      </c>
    </row>
    <row r="8309" spans="1:10" x14ac:dyDescent="0.35">
      <c r="A8309" s="2">
        <v>44799</v>
      </c>
      <c r="B8309" s="3">
        <v>0.69532407407407415</v>
      </c>
      <c r="C8309">
        <v>7830</v>
      </c>
      <c r="D8309" t="str">
        <f>VLOOKUP(H8309,Produkt!$A$2:$B$5,2,FALSE)</f>
        <v>C</v>
      </c>
      <c r="H8309">
        <v>3</v>
      </c>
      <c r="I8309">
        <v>0.57049768518518518</v>
      </c>
      <c r="J8309">
        <v>44798</v>
      </c>
    </row>
    <row r="8310" spans="1:10" x14ac:dyDescent="0.35">
      <c r="A8310" s="2">
        <v>44799</v>
      </c>
      <c r="B8310" s="3">
        <v>2.9050925925925928E-2</v>
      </c>
      <c r="C8310">
        <v>7833</v>
      </c>
      <c r="D8310" t="str">
        <f>VLOOKUP(H8310,Produkt!$A$2:$B$5,2,FALSE)</f>
        <v>C</v>
      </c>
      <c r="H8310">
        <v>3</v>
      </c>
      <c r="I8310">
        <v>0.3062037037037037</v>
      </c>
      <c r="J8310">
        <v>44803</v>
      </c>
    </row>
    <row r="8311" spans="1:10" x14ac:dyDescent="0.35">
      <c r="A8311" s="2">
        <v>44799</v>
      </c>
      <c r="B8311" s="3">
        <v>0.91670138888888886</v>
      </c>
      <c r="C8311">
        <v>7874</v>
      </c>
      <c r="D8311" t="str">
        <f>VLOOKUP(H8311,Produkt!$A$2:$B$5,2,FALSE)</f>
        <v>B</v>
      </c>
      <c r="H8311">
        <v>2</v>
      </c>
      <c r="I8311">
        <v>0.22792824074074072</v>
      </c>
      <c r="J8311">
        <v>44801</v>
      </c>
    </row>
    <row r="8312" spans="1:10" x14ac:dyDescent="0.35">
      <c r="A8312" s="2">
        <v>44799</v>
      </c>
      <c r="B8312" s="3">
        <v>0.3989699074074074</v>
      </c>
      <c r="C8312">
        <v>7877</v>
      </c>
      <c r="D8312" t="str">
        <f>VLOOKUP(H8312,Produkt!$A$2:$B$5,2,FALSE)</f>
        <v>A</v>
      </c>
      <c r="H8312">
        <v>1</v>
      </c>
      <c r="I8312">
        <v>0.86041666666666661</v>
      </c>
      <c r="J8312">
        <v>44797</v>
      </c>
    </row>
    <row r="8313" spans="1:10" x14ac:dyDescent="0.35">
      <c r="A8313" s="2">
        <v>44799</v>
      </c>
      <c r="B8313" s="3">
        <v>0.5131944444444444</v>
      </c>
      <c r="C8313">
        <v>7915</v>
      </c>
      <c r="D8313" t="str">
        <f>VLOOKUP(H8313,Produkt!$A$2:$B$5,2,FALSE)</f>
        <v>B</v>
      </c>
      <c r="H8313">
        <v>2</v>
      </c>
      <c r="I8313">
        <v>0.45299768518518518</v>
      </c>
      <c r="J8313">
        <v>44781</v>
      </c>
    </row>
    <row r="8314" spans="1:10" x14ac:dyDescent="0.35">
      <c r="A8314" s="2">
        <v>44799</v>
      </c>
      <c r="B8314" s="3">
        <v>0.50630787037037039</v>
      </c>
      <c r="C8314">
        <v>7950</v>
      </c>
      <c r="D8314" t="str">
        <f>VLOOKUP(H8314,Produkt!$A$2:$B$5,2,FALSE)</f>
        <v>B</v>
      </c>
      <c r="H8314">
        <v>2</v>
      </c>
      <c r="I8314">
        <v>0.40046296296296297</v>
      </c>
      <c r="J8314">
        <v>44804</v>
      </c>
    </row>
    <row r="8315" spans="1:10" x14ac:dyDescent="0.35">
      <c r="A8315" s="2">
        <v>44799</v>
      </c>
      <c r="B8315" s="3">
        <v>0.94865740740740734</v>
      </c>
      <c r="C8315">
        <v>7984</v>
      </c>
      <c r="D8315" t="str">
        <f>VLOOKUP(H8315,Produkt!$A$2:$B$5,2,FALSE)</f>
        <v>C</v>
      </c>
      <c r="H8315">
        <v>3</v>
      </c>
      <c r="I8315">
        <v>0.3336689814814815</v>
      </c>
      <c r="J8315">
        <v>44795</v>
      </c>
    </row>
    <row r="8316" spans="1:10" x14ac:dyDescent="0.35">
      <c r="A8316" s="2">
        <v>44799</v>
      </c>
      <c r="B8316" s="3">
        <v>0.96696759259259257</v>
      </c>
      <c r="C8316">
        <v>8000</v>
      </c>
      <c r="D8316" t="str">
        <f>VLOOKUP(H8316,Produkt!$A$2:$B$5,2,FALSE)</f>
        <v>C</v>
      </c>
      <c r="H8316">
        <v>3</v>
      </c>
      <c r="I8316">
        <v>0.21487268518518518</v>
      </c>
      <c r="J8316">
        <v>44791</v>
      </c>
    </row>
    <row r="8317" spans="1:10" x14ac:dyDescent="0.35">
      <c r="A8317" s="2">
        <v>44799</v>
      </c>
      <c r="B8317" s="3">
        <v>0.38811342592592596</v>
      </c>
      <c r="C8317">
        <v>8026</v>
      </c>
      <c r="D8317" t="str">
        <f>VLOOKUP(H8317,Produkt!$A$2:$B$5,2,FALSE)</f>
        <v>B</v>
      </c>
      <c r="H8317">
        <v>2</v>
      </c>
      <c r="I8317">
        <v>0.19699074074074074</v>
      </c>
      <c r="J8317">
        <v>44783</v>
      </c>
    </row>
    <row r="8318" spans="1:10" x14ac:dyDescent="0.35">
      <c r="A8318" s="2">
        <v>44799</v>
      </c>
      <c r="B8318" s="3">
        <v>0.14520833333333333</v>
      </c>
      <c r="C8318">
        <v>8041</v>
      </c>
      <c r="D8318" t="str">
        <f>VLOOKUP(H8318,Produkt!$A$2:$B$5,2,FALSE)</f>
        <v>D</v>
      </c>
      <c r="H8318">
        <v>4</v>
      </c>
      <c r="I8318">
        <v>0.3275925925925926</v>
      </c>
      <c r="J8318">
        <v>44801</v>
      </c>
    </row>
    <row r="8319" spans="1:10" x14ac:dyDescent="0.35">
      <c r="A8319" s="2">
        <v>44799</v>
      </c>
      <c r="B8319" s="3">
        <v>5.2835648148148145E-2</v>
      </c>
      <c r="C8319">
        <v>8066</v>
      </c>
      <c r="D8319" t="str">
        <f>VLOOKUP(H8319,Produkt!$A$2:$B$5,2,FALSE)</f>
        <v>B</v>
      </c>
      <c r="H8319">
        <v>2</v>
      </c>
      <c r="I8319">
        <v>0.14305555555555557</v>
      </c>
      <c r="J8319">
        <v>44799</v>
      </c>
    </row>
    <row r="8320" spans="1:10" x14ac:dyDescent="0.35">
      <c r="A8320" s="2">
        <v>44799</v>
      </c>
      <c r="B8320" s="3">
        <v>0.30928240740740742</v>
      </c>
      <c r="C8320">
        <v>8113</v>
      </c>
      <c r="D8320" t="str">
        <f>VLOOKUP(H8320,Produkt!$A$2:$B$5,2,FALSE)</f>
        <v>B</v>
      </c>
      <c r="H8320">
        <v>2</v>
      </c>
      <c r="I8320">
        <v>0.30616898148148147</v>
      </c>
      <c r="J8320">
        <v>44798</v>
      </c>
    </row>
    <row r="8321" spans="1:10" x14ac:dyDescent="0.35">
      <c r="A8321" s="2">
        <v>44799</v>
      </c>
      <c r="B8321" s="3">
        <v>0.78498842592592588</v>
      </c>
      <c r="C8321">
        <v>8134</v>
      </c>
      <c r="D8321" t="str">
        <f>VLOOKUP(H8321,Produkt!$A$2:$B$5,2,FALSE)</f>
        <v>B</v>
      </c>
      <c r="H8321">
        <v>2</v>
      </c>
      <c r="I8321">
        <v>0.2326273148148148</v>
      </c>
      <c r="J8321">
        <v>44777</v>
      </c>
    </row>
    <row r="8322" spans="1:10" x14ac:dyDescent="0.35">
      <c r="A8322" s="2">
        <v>44799</v>
      </c>
      <c r="B8322" s="3">
        <v>0.42641203703703701</v>
      </c>
      <c r="C8322">
        <v>8136</v>
      </c>
      <c r="D8322" t="str">
        <f>VLOOKUP(H8322,Produkt!$A$2:$B$5,2,FALSE)</f>
        <v>A</v>
      </c>
      <c r="H8322">
        <v>1</v>
      </c>
      <c r="I8322">
        <v>0.28076388888888887</v>
      </c>
      <c r="J8322">
        <v>44781</v>
      </c>
    </row>
    <row r="8323" spans="1:10" x14ac:dyDescent="0.35">
      <c r="A8323" s="2">
        <v>44799</v>
      </c>
      <c r="B8323" s="3">
        <v>0.95045138888888892</v>
      </c>
      <c r="C8323">
        <v>8148</v>
      </c>
      <c r="D8323" t="str">
        <f>VLOOKUP(H8323,Produkt!$A$2:$B$5,2,FALSE)</f>
        <v>A</v>
      </c>
      <c r="H8323">
        <v>1</v>
      </c>
      <c r="I8323">
        <v>0.38138888888888883</v>
      </c>
      <c r="J8323">
        <v>44792</v>
      </c>
    </row>
    <row r="8324" spans="1:10" x14ac:dyDescent="0.35">
      <c r="A8324" s="2">
        <v>44799</v>
      </c>
      <c r="B8324" s="3">
        <v>0.45822916666666669</v>
      </c>
      <c r="C8324">
        <v>8158</v>
      </c>
      <c r="D8324" t="str">
        <f>VLOOKUP(H8324,Produkt!$A$2:$B$5,2,FALSE)</f>
        <v>D</v>
      </c>
      <c r="H8324">
        <v>4</v>
      </c>
      <c r="I8324">
        <v>0.16203703703703703</v>
      </c>
      <c r="J8324">
        <v>44800</v>
      </c>
    </row>
    <row r="8325" spans="1:10" x14ac:dyDescent="0.35">
      <c r="A8325" s="2">
        <v>44799</v>
      </c>
      <c r="B8325" s="3">
        <v>0.70785879629629633</v>
      </c>
      <c r="C8325">
        <v>8168</v>
      </c>
      <c r="D8325" t="str">
        <f>VLOOKUP(H8325,Produkt!$A$2:$B$5,2,FALSE)</f>
        <v>B</v>
      </c>
      <c r="H8325">
        <v>2</v>
      </c>
      <c r="I8325">
        <v>0.69608796296296294</v>
      </c>
      <c r="J8325">
        <v>44804</v>
      </c>
    </row>
    <row r="8326" spans="1:10" x14ac:dyDescent="0.35">
      <c r="A8326" s="2">
        <v>44799</v>
      </c>
      <c r="B8326" s="3">
        <v>7.9259259259259265E-2</v>
      </c>
      <c r="C8326">
        <v>8215</v>
      </c>
      <c r="D8326" t="str">
        <f>VLOOKUP(H8326,Produkt!$A$2:$B$5,2,FALSE)</f>
        <v>D</v>
      </c>
      <c r="H8326">
        <v>4</v>
      </c>
      <c r="I8326">
        <v>0.68208333333333337</v>
      </c>
      <c r="J8326">
        <v>44797</v>
      </c>
    </row>
    <row r="8327" spans="1:10" x14ac:dyDescent="0.35">
      <c r="A8327" s="2">
        <v>44799</v>
      </c>
      <c r="B8327" s="3">
        <v>0.28375</v>
      </c>
      <c r="C8327">
        <v>8228</v>
      </c>
      <c r="D8327" t="str">
        <f>VLOOKUP(H8327,Produkt!$A$2:$B$5,2,FALSE)</f>
        <v>B</v>
      </c>
      <c r="H8327">
        <v>2</v>
      </c>
      <c r="I8327">
        <v>9.6111111111111105E-2</v>
      </c>
      <c r="J8327">
        <v>44785</v>
      </c>
    </row>
    <row r="8328" spans="1:10" x14ac:dyDescent="0.35">
      <c r="A8328" s="2">
        <v>44799</v>
      </c>
      <c r="B8328" s="3">
        <v>0.61733796296296295</v>
      </c>
      <c r="C8328">
        <v>8232</v>
      </c>
      <c r="D8328" t="str">
        <f>VLOOKUP(H8328,Produkt!$A$2:$B$5,2,FALSE)</f>
        <v>D</v>
      </c>
      <c r="H8328">
        <v>4</v>
      </c>
      <c r="I8328">
        <v>0.80859953703703702</v>
      </c>
      <c r="J8328">
        <v>44780</v>
      </c>
    </row>
    <row r="8329" spans="1:10" x14ac:dyDescent="0.35">
      <c r="A8329" s="2">
        <v>44799</v>
      </c>
      <c r="B8329" s="3">
        <v>0.33033564814814814</v>
      </c>
      <c r="C8329">
        <v>8242</v>
      </c>
      <c r="D8329" t="str">
        <f>VLOOKUP(H8329,Produkt!$A$2:$B$5,2,FALSE)</f>
        <v>C</v>
      </c>
      <c r="H8329">
        <v>3</v>
      </c>
      <c r="I8329">
        <v>3.2175925925925997E-2</v>
      </c>
      <c r="J8329">
        <v>44779</v>
      </c>
    </row>
    <row r="8330" spans="1:10" x14ac:dyDescent="0.35">
      <c r="A8330" s="2">
        <v>44799</v>
      </c>
      <c r="B8330" s="3">
        <v>0.71577546296296291</v>
      </c>
      <c r="C8330">
        <v>8244</v>
      </c>
      <c r="D8330" t="str">
        <f>VLOOKUP(H8330,Produkt!$A$2:$B$5,2,FALSE)</f>
        <v>A</v>
      </c>
      <c r="H8330">
        <v>1</v>
      </c>
      <c r="I8330">
        <v>0.78643518518518529</v>
      </c>
      <c r="J8330">
        <v>44778</v>
      </c>
    </row>
    <row r="8331" spans="1:10" x14ac:dyDescent="0.35">
      <c r="A8331" s="2">
        <v>44799</v>
      </c>
      <c r="B8331" s="3">
        <v>0.69024305555555554</v>
      </c>
      <c r="C8331">
        <v>8283</v>
      </c>
      <c r="D8331" t="str">
        <f>VLOOKUP(H8331,Produkt!$A$2:$B$5,2,FALSE)</f>
        <v>D</v>
      </c>
      <c r="H8331">
        <v>4</v>
      </c>
      <c r="I8331">
        <v>3.1527777777777773E-2</v>
      </c>
      <c r="J8331">
        <v>44775</v>
      </c>
    </row>
    <row r="8332" spans="1:10" x14ac:dyDescent="0.35">
      <c r="A8332" s="2">
        <v>44799</v>
      </c>
      <c r="B8332" s="3">
        <v>0.28076388888888887</v>
      </c>
      <c r="C8332">
        <v>8321</v>
      </c>
      <c r="D8332" t="str">
        <f>VLOOKUP(H8332,Produkt!$A$2:$B$5,2,FALSE)</f>
        <v>B</v>
      </c>
      <c r="H8332">
        <v>2</v>
      </c>
      <c r="I8332">
        <v>0.39989583333333334</v>
      </c>
      <c r="J8332">
        <v>44792</v>
      </c>
    </row>
    <row r="8333" spans="1:10" x14ac:dyDescent="0.35">
      <c r="A8333" s="2">
        <v>44799</v>
      </c>
      <c r="B8333" s="3">
        <v>0.44871527777777781</v>
      </c>
      <c r="C8333">
        <v>8370</v>
      </c>
      <c r="D8333" t="str">
        <f>VLOOKUP(H8333,Produkt!$A$2:$B$5,2,FALSE)</f>
        <v>B</v>
      </c>
      <c r="H8333">
        <v>2</v>
      </c>
      <c r="I8333">
        <v>0.15079861111111112</v>
      </c>
      <c r="J8333">
        <v>44783</v>
      </c>
    </row>
    <row r="8334" spans="1:10" x14ac:dyDescent="0.35">
      <c r="A8334" s="2">
        <v>44799</v>
      </c>
      <c r="B8334" s="3">
        <v>0.68944444444444442</v>
      </c>
      <c r="C8334">
        <v>8416</v>
      </c>
      <c r="D8334" t="str">
        <f>VLOOKUP(H8334,Produkt!$A$2:$B$5,2,FALSE)</f>
        <v>C</v>
      </c>
      <c r="H8334">
        <v>3</v>
      </c>
      <c r="I8334">
        <v>0.34567129629629628</v>
      </c>
      <c r="J8334">
        <v>44780</v>
      </c>
    </row>
    <row r="8335" spans="1:10" x14ac:dyDescent="0.35">
      <c r="A8335" s="2">
        <v>44799</v>
      </c>
      <c r="B8335" s="3">
        <v>0.19533564814814816</v>
      </c>
      <c r="C8335">
        <v>8431</v>
      </c>
      <c r="D8335" t="str">
        <f>VLOOKUP(H8335,Produkt!$A$2:$B$5,2,FALSE)</f>
        <v>A</v>
      </c>
      <c r="H8335">
        <v>1</v>
      </c>
      <c r="I8335">
        <v>6.2129629629629625E-2</v>
      </c>
      <c r="J8335">
        <v>44783</v>
      </c>
    </row>
    <row r="8336" spans="1:10" x14ac:dyDescent="0.35">
      <c r="A8336" s="2">
        <v>44799</v>
      </c>
      <c r="B8336" s="3">
        <v>0.63337962962962957</v>
      </c>
      <c r="C8336">
        <v>8445</v>
      </c>
      <c r="D8336" t="str">
        <f>VLOOKUP(H8336,Produkt!$A$2:$B$5,2,FALSE)</f>
        <v>A</v>
      </c>
      <c r="H8336">
        <v>1</v>
      </c>
      <c r="I8336">
        <v>0.45428240740740744</v>
      </c>
      <c r="J8336">
        <v>44801</v>
      </c>
    </row>
    <row r="8337" spans="1:10" x14ac:dyDescent="0.35">
      <c r="A8337" s="2">
        <v>44799</v>
      </c>
      <c r="B8337" s="3">
        <v>0.9655555555555555</v>
      </c>
      <c r="C8337">
        <v>8470</v>
      </c>
      <c r="D8337" t="str">
        <f>VLOOKUP(H8337,Produkt!$A$2:$B$5,2,FALSE)</f>
        <v>C</v>
      </c>
      <c r="H8337">
        <v>3</v>
      </c>
      <c r="I8337">
        <v>8.5682870370370368E-2</v>
      </c>
      <c r="J8337">
        <v>44800</v>
      </c>
    </row>
    <row r="8338" spans="1:10" x14ac:dyDescent="0.35">
      <c r="A8338" s="2">
        <v>44799</v>
      </c>
      <c r="B8338" s="3">
        <v>0.63425925925925919</v>
      </c>
      <c r="C8338">
        <v>8548</v>
      </c>
      <c r="D8338" t="str">
        <f>VLOOKUP(H8338,Produkt!$A$2:$B$5,2,FALSE)</f>
        <v>D</v>
      </c>
      <c r="H8338">
        <v>4</v>
      </c>
      <c r="I8338">
        <v>3.4166666666666672E-2</v>
      </c>
      <c r="J8338">
        <v>44786</v>
      </c>
    </row>
    <row r="8339" spans="1:10" x14ac:dyDescent="0.35">
      <c r="A8339" s="2">
        <v>44799</v>
      </c>
      <c r="B8339" s="3">
        <v>0.10249999999999999</v>
      </c>
      <c r="C8339">
        <v>8667</v>
      </c>
      <c r="D8339" t="str">
        <f>VLOOKUP(H8339,Produkt!$A$2:$B$5,2,FALSE)</f>
        <v>A</v>
      </c>
      <c r="H8339">
        <v>1</v>
      </c>
      <c r="I8339">
        <v>0.70138888888888884</v>
      </c>
      <c r="J8339">
        <v>44783</v>
      </c>
    </row>
    <row r="8340" spans="1:10" x14ac:dyDescent="0.35">
      <c r="A8340" s="2">
        <v>44799</v>
      </c>
      <c r="B8340" s="3">
        <v>0.48625000000000002</v>
      </c>
      <c r="C8340">
        <v>8703</v>
      </c>
      <c r="D8340" t="str">
        <f>VLOOKUP(H8340,Produkt!$A$2:$B$5,2,FALSE)</f>
        <v>D</v>
      </c>
      <c r="H8340">
        <v>4</v>
      </c>
      <c r="I8340">
        <v>0.18725694444444443</v>
      </c>
      <c r="J8340">
        <v>44789</v>
      </c>
    </row>
    <row r="8341" spans="1:10" x14ac:dyDescent="0.35">
      <c r="A8341" s="2">
        <v>44799</v>
      </c>
      <c r="B8341" s="3">
        <v>0.98447916666666668</v>
      </c>
      <c r="C8341">
        <v>8712</v>
      </c>
      <c r="D8341" t="str">
        <f>VLOOKUP(H8341,Produkt!$A$2:$B$5,2,FALSE)</f>
        <v>C</v>
      </c>
      <c r="H8341">
        <v>3</v>
      </c>
      <c r="I8341">
        <v>8.9224537037037033E-2</v>
      </c>
      <c r="J8341">
        <v>44781</v>
      </c>
    </row>
    <row r="8342" spans="1:10" x14ac:dyDescent="0.35">
      <c r="A8342" s="2">
        <v>44799</v>
      </c>
      <c r="B8342" s="3">
        <v>0.58072916666666663</v>
      </c>
      <c r="C8342">
        <v>8744</v>
      </c>
      <c r="D8342" t="str">
        <f>VLOOKUP(H8342,Produkt!$A$2:$B$5,2,FALSE)</f>
        <v>A</v>
      </c>
      <c r="H8342">
        <v>1</v>
      </c>
      <c r="I8342">
        <v>0.4656481481481482</v>
      </c>
      <c r="J8342">
        <v>44792</v>
      </c>
    </row>
    <row r="8343" spans="1:10" x14ac:dyDescent="0.35">
      <c r="A8343" s="2">
        <v>44799</v>
      </c>
      <c r="B8343" s="3">
        <v>0.80096064814814805</v>
      </c>
      <c r="C8343">
        <v>8753</v>
      </c>
      <c r="D8343" t="str">
        <f>VLOOKUP(H8343,Produkt!$A$2:$B$5,2,FALSE)</f>
        <v>B</v>
      </c>
      <c r="H8343">
        <v>2</v>
      </c>
      <c r="I8343">
        <v>0.53568287037037032</v>
      </c>
      <c r="J8343">
        <v>44798</v>
      </c>
    </row>
    <row r="8344" spans="1:10" x14ac:dyDescent="0.35">
      <c r="A8344" s="2">
        <v>44799</v>
      </c>
      <c r="B8344" s="3">
        <v>5.6018518518519134E-3</v>
      </c>
      <c r="C8344">
        <v>8756</v>
      </c>
      <c r="D8344" t="str">
        <f>VLOOKUP(H8344,Produkt!$A$2:$B$5,2,FALSE)</f>
        <v>D</v>
      </c>
      <c r="H8344">
        <v>4</v>
      </c>
      <c r="I8344">
        <v>0.16142361111111111</v>
      </c>
      <c r="J8344">
        <v>44777</v>
      </c>
    </row>
    <row r="8345" spans="1:10" x14ac:dyDescent="0.35">
      <c r="A8345" s="2">
        <v>44799</v>
      </c>
      <c r="B8345" s="3">
        <v>0.10833333333333334</v>
      </c>
      <c r="C8345">
        <v>8883</v>
      </c>
      <c r="D8345" t="str">
        <f>VLOOKUP(H8345,Produkt!$A$2:$B$5,2,FALSE)</f>
        <v>C</v>
      </c>
      <c r="H8345">
        <v>3</v>
      </c>
      <c r="I8345">
        <v>0.93532407407407403</v>
      </c>
      <c r="J8345">
        <v>44774</v>
      </c>
    </row>
    <row r="8346" spans="1:10" x14ac:dyDescent="0.35">
      <c r="A8346" s="2">
        <v>44799</v>
      </c>
      <c r="B8346" s="3">
        <v>0.7807291666666667</v>
      </c>
      <c r="C8346">
        <v>8893</v>
      </c>
      <c r="D8346" t="str">
        <f>VLOOKUP(H8346,Produkt!$A$2:$B$5,2,FALSE)</f>
        <v>A</v>
      </c>
      <c r="H8346">
        <v>1</v>
      </c>
      <c r="I8346">
        <v>0.3946527777777778</v>
      </c>
      <c r="J8346">
        <v>44786</v>
      </c>
    </row>
    <row r="8347" spans="1:10" x14ac:dyDescent="0.35">
      <c r="A8347" s="2">
        <v>44799</v>
      </c>
      <c r="B8347" s="3">
        <v>0.59079861111111109</v>
      </c>
      <c r="C8347">
        <v>8897</v>
      </c>
      <c r="D8347" t="str">
        <f>VLOOKUP(H8347,Produkt!$A$2:$B$5,2,FALSE)</f>
        <v>C</v>
      </c>
      <c r="H8347">
        <v>3</v>
      </c>
      <c r="I8347">
        <v>3.5254629629629664E-2</v>
      </c>
      <c r="J8347">
        <v>44790</v>
      </c>
    </row>
    <row r="8348" spans="1:10" x14ac:dyDescent="0.35">
      <c r="A8348" s="2">
        <v>44799</v>
      </c>
      <c r="B8348" s="3">
        <v>0.89675925925925926</v>
      </c>
      <c r="C8348">
        <v>8921</v>
      </c>
      <c r="D8348" t="str">
        <f>VLOOKUP(H8348,Produkt!$A$2:$B$5,2,FALSE)</f>
        <v>B</v>
      </c>
      <c r="H8348">
        <v>2</v>
      </c>
      <c r="I8348">
        <v>0.10284722222222221</v>
      </c>
      <c r="J8348">
        <v>44777</v>
      </c>
    </row>
    <row r="8349" spans="1:10" x14ac:dyDescent="0.35">
      <c r="A8349" s="2">
        <v>44799</v>
      </c>
      <c r="B8349" s="3">
        <v>0.15892361111111111</v>
      </c>
      <c r="C8349">
        <v>8965</v>
      </c>
      <c r="D8349" t="str">
        <f>VLOOKUP(H8349,Produkt!$A$2:$B$5,2,FALSE)</f>
        <v>C</v>
      </c>
      <c r="H8349">
        <v>3</v>
      </c>
      <c r="I8349">
        <v>0.10621527777777778</v>
      </c>
      <c r="J8349">
        <v>44781</v>
      </c>
    </row>
    <row r="8350" spans="1:10" x14ac:dyDescent="0.35">
      <c r="A8350" s="2">
        <v>44799</v>
      </c>
      <c r="B8350" s="3">
        <v>0.29688657407407409</v>
      </c>
      <c r="C8350">
        <v>8998</v>
      </c>
      <c r="D8350" t="str">
        <f>VLOOKUP(H8350,Produkt!$A$2:$B$5,2,FALSE)</f>
        <v>C</v>
      </c>
      <c r="H8350">
        <v>3</v>
      </c>
      <c r="I8350">
        <v>0.10680555555555556</v>
      </c>
      <c r="J8350">
        <v>44785</v>
      </c>
    </row>
    <row r="8351" spans="1:10" x14ac:dyDescent="0.35">
      <c r="A8351" s="2">
        <v>44799</v>
      </c>
      <c r="B8351" s="3">
        <v>3.8946759259259257E-2</v>
      </c>
      <c r="C8351">
        <v>9028</v>
      </c>
      <c r="D8351" t="str">
        <f>VLOOKUP(H8351,Produkt!$A$2:$B$5,2,FALSE)</f>
        <v>A</v>
      </c>
      <c r="H8351">
        <v>1</v>
      </c>
      <c r="I8351">
        <v>0.8989583333333333</v>
      </c>
      <c r="J8351">
        <v>44778</v>
      </c>
    </row>
    <row r="8352" spans="1:10" x14ac:dyDescent="0.35">
      <c r="A8352" s="2">
        <v>44799</v>
      </c>
      <c r="B8352" s="3">
        <v>0.46655092592592595</v>
      </c>
      <c r="C8352">
        <v>9044</v>
      </c>
      <c r="D8352" t="str">
        <f>VLOOKUP(H8352,Produkt!$A$2:$B$5,2,FALSE)</f>
        <v>A</v>
      </c>
      <c r="H8352">
        <v>1</v>
      </c>
      <c r="I8352">
        <v>0.23869212962962963</v>
      </c>
      <c r="J8352">
        <v>44776</v>
      </c>
    </row>
    <row r="8353" spans="1:10" x14ac:dyDescent="0.35">
      <c r="A8353" s="2">
        <v>44799</v>
      </c>
      <c r="B8353" s="3">
        <v>0.33754629629629629</v>
      </c>
      <c r="C8353">
        <v>9090</v>
      </c>
      <c r="D8353" t="str">
        <f>VLOOKUP(H8353,Produkt!$A$2:$B$5,2,FALSE)</f>
        <v>D</v>
      </c>
      <c r="H8353">
        <v>4</v>
      </c>
      <c r="I8353">
        <v>0.62616898148148148</v>
      </c>
      <c r="J8353">
        <v>44775</v>
      </c>
    </row>
    <row r="8354" spans="1:10" x14ac:dyDescent="0.35">
      <c r="A8354" s="2">
        <v>44799</v>
      </c>
      <c r="B8354" s="3">
        <v>0.35738425925925926</v>
      </c>
      <c r="C8354">
        <v>9126</v>
      </c>
      <c r="D8354" t="str">
        <f>VLOOKUP(H8354,Produkt!$A$2:$B$5,2,FALSE)</f>
        <v>B</v>
      </c>
      <c r="H8354">
        <v>2</v>
      </c>
      <c r="I8354">
        <v>0.1662962962962963</v>
      </c>
      <c r="J8354">
        <v>44799</v>
      </c>
    </row>
    <row r="8355" spans="1:10" x14ac:dyDescent="0.35">
      <c r="A8355" s="2">
        <v>44799</v>
      </c>
      <c r="B8355" s="3">
        <v>0.18243055555555554</v>
      </c>
      <c r="C8355">
        <v>9157</v>
      </c>
      <c r="D8355" t="str">
        <f>VLOOKUP(H8355,Produkt!$A$2:$B$5,2,FALSE)</f>
        <v>B</v>
      </c>
      <c r="H8355">
        <v>2</v>
      </c>
      <c r="I8355">
        <v>0.68876157407407401</v>
      </c>
      <c r="J8355">
        <v>44788</v>
      </c>
    </row>
    <row r="8356" spans="1:10" x14ac:dyDescent="0.35">
      <c r="A8356" s="2">
        <v>44799</v>
      </c>
      <c r="B8356" s="3">
        <v>0.44881944444444444</v>
      </c>
      <c r="C8356">
        <v>9172</v>
      </c>
      <c r="D8356" t="str">
        <f>VLOOKUP(H8356,Produkt!$A$2:$B$5,2,FALSE)</f>
        <v>A</v>
      </c>
      <c r="H8356">
        <v>1</v>
      </c>
      <c r="I8356">
        <v>0.42748842592592595</v>
      </c>
      <c r="J8356">
        <v>44790</v>
      </c>
    </row>
    <row r="8357" spans="1:10" x14ac:dyDescent="0.35">
      <c r="A8357" s="2">
        <v>44799</v>
      </c>
      <c r="B8357" s="3">
        <v>0.53562500000000002</v>
      </c>
      <c r="C8357">
        <v>9191</v>
      </c>
      <c r="D8357" t="str">
        <f>VLOOKUP(H8357,Produkt!$A$2:$B$5,2,FALSE)</f>
        <v>C</v>
      </c>
      <c r="H8357">
        <v>3</v>
      </c>
      <c r="I8357">
        <v>0.14613425925925927</v>
      </c>
      <c r="J8357">
        <v>44803</v>
      </c>
    </row>
    <row r="8358" spans="1:10" x14ac:dyDescent="0.35">
      <c r="A8358" s="2">
        <v>44799</v>
      </c>
      <c r="B8358" s="3">
        <v>0.6734606481481481</v>
      </c>
      <c r="C8358">
        <v>9196</v>
      </c>
      <c r="D8358" t="str">
        <f>VLOOKUP(H8358,Produkt!$A$2:$B$5,2,FALSE)</f>
        <v>B</v>
      </c>
      <c r="H8358">
        <v>2</v>
      </c>
      <c r="I8358">
        <v>0.70309027777777777</v>
      </c>
      <c r="J8358">
        <v>44798</v>
      </c>
    </row>
    <row r="8359" spans="1:10" x14ac:dyDescent="0.35">
      <c r="A8359" s="2">
        <v>44799</v>
      </c>
      <c r="B8359" s="3">
        <v>1.7557870370370265E-2</v>
      </c>
      <c r="C8359">
        <v>9214</v>
      </c>
      <c r="D8359" t="str">
        <f>VLOOKUP(H8359,Produkt!$A$2:$B$5,2,FALSE)</f>
        <v>A</v>
      </c>
      <c r="H8359">
        <v>1</v>
      </c>
      <c r="I8359">
        <v>0.93844907407407396</v>
      </c>
      <c r="J8359">
        <v>44797</v>
      </c>
    </row>
    <row r="8360" spans="1:10" x14ac:dyDescent="0.35">
      <c r="A8360" s="2">
        <v>44799</v>
      </c>
      <c r="B8360" s="3">
        <v>0.4216550925925926</v>
      </c>
      <c r="C8360">
        <v>9224</v>
      </c>
      <c r="D8360" t="str">
        <f>VLOOKUP(H8360,Produkt!$A$2:$B$5,2,FALSE)</f>
        <v>B</v>
      </c>
      <c r="H8360">
        <v>2</v>
      </c>
      <c r="I8360">
        <v>0.83947916666666667</v>
      </c>
      <c r="J8360">
        <v>44776</v>
      </c>
    </row>
    <row r="8361" spans="1:10" x14ac:dyDescent="0.35">
      <c r="A8361" s="2">
        <v>44799</v>
      </c>
      <c r="B8361" s="3">
        <v>7.3379629629630738E-3</v>
      </c>
      <c r="C8361">
        <v>9249</v>
      </c>
      <c r="D8361" t="str">
        <f>VLOOKUP(H8361,Produkt!$A$2:$B$5,2,FALSE)</f>
        <v>B</v>
      </c>
      <c r="H8361">
        <v>2</v>
      </c>
      <c r="I8361">
        <v>7.4201388888888886E-2</v>
      </c>
      <c r="J8361">
        <v>44791</v>
      </c>
    </row>
    <row r="8362" spans="1:10" x14ac:dyDescent="0.35">
      <c r="A8362" s="2">
        <v>44799</v>
      </c>
      <c r="B8362" s="3">
        <v>0.2660763888888889</v>
      </c>
      <c r="C8362">
        <v>9252</v>
      </c>
      <c r="D8362" t="str">
        <f>VLOOKUP(H8362,Produkt!$A$2:$B$5,2,FALSE)</f>
        <v>A</v>
      </c>
      <c r="H8362">
        <v>1</v>
      </c>
      <c r="I8362">
        <v>0.63390046296296299</v>
      </c>
      <c r="J8362">
        <v>44781</v>
      </c>
    </row>
    <row r="8363" spans="1:10" x14ac:dyDescent="0.35">
      <c r="A8363" s="2">
        <v>44799</v>
      </c>
      <c r="B8363" s="3">
        <v>7.3263888888888892E-2</v>
      </c>
      <c r="C8363">
        <v>9319</v>
      </c>
      <c r="D8363" t="str">
        <f>VLOOKUP(H8363,Produkt!$A$2:$B$5,2,FALSE)</f>
        <v>C</v>
      </c>
      <c r="H8363">
        <v>3</v>
      </c>
      <c r="I8363">
        <v>0.79114583333333333</v>
      </c>
      <c r="J8363">
        <v>44783</v>
      </c>
    </row>
    <row r="8364" spans="1:10" x14ac:dyDescent="0.35">
      <c r="A8364" s="2">
        <v>44799</v>
      </c>
      <c r="B8364" s="3">
        <v>0.10766203703703703</v>
      </c>
      <c r="C8364">
        <v>9361</v>
      </c>
      <c r="D8364" t="str">
        <f>VLOOKUP(H8364,Produkt!$A$2:$B$5,2,FALSE)</f>
        <v>C</v>
      </c>
      <c r="H8364">
        <v>3</v>
      </c>
      <c r="I8364">
        <v>0.98509259259259263</v>
      </c>
      <c r="J8364">
        <v>44800</v>
      </c>
    </row>
    <row r="8365" spans="1:10" x14ac:dyDescent="0.35">
      <c r="A8365" s="2">
        <v>44799</v>
      </c>
      <c r="B8365" s="3">
        <v>0.98646990740740748</v>
      </c>
      <c r="C8365">
        <v>9377</v>
      </c>
      <c r="D8365" t="str">
        <f>VLOOKUP(H8365,Produkt!$A$2:$B$5,2,FALSE)</f>
        <v>C</v>
      </c>
      <c r="H8365">
        <v>3</v>
      </c>
      <c r="I8365">
        <v>0.77999999999999992</v>
      </c>
      <c r="J8365">
        <v>44775</v>
      </c>
    </row>
    <row r="8366" spans="1:10" x14ac:dyDescent="0.35">
      <c r="A8366" s="2">
        <v>44799</v>
      </c>
      <c r="B8366" s="3">
        <v>0.50017361111111114</v>
      </c>
      <c r="C8366">
        <v>9378</v>
      </c>
      <c r="D8366" t="str">
        <f>VLOOKUP(H8366,Produkt!$A$2:$B$5,2,FALSE)</f>
        <v>C</v>
      </c>
      <c r="H8366">
        <v>3</v>
      </c>
      <c r="I8366">
        <v>0.25934027777777779</v>
      </c>
      <c r="J8366">
        <v>44779</v>
      </c>
    </row>
    <row r="8367" spans="1:10" x14ac:dyDescent="0.35">
      <c r="A8367" s="2">
        <v>44799</v>
      </c>
      <c r="B8367" s="3">
        <v>0.15152777777777779</v>
      </c>
      <c r="C8367">
        <v>9383</v>
      </c>
      <c r="D8367" t="str">
        <f>VLOOKUP(H8367,Produkt!$A$2:$B$5,2,FALSE)</f>
        <v>B</v>
      </c>
      <c r="H8367">
        <v>2</v>
      </c>
      <c r="I8367">
        <v>0.16275462962962964</v>
      </c>
      <c r="J8367">
        <v>44784</v>
      </c>
    </row>
    <row r="8368" spans="1:10" x14ac:dyDescent="0.35">
      <c r="A8368" s="2">
        <v>44799</v>
      </c>
      <c r="B8368" s="3">
        <v>0.31692129629629628</v>
      </c>
      <c r="C8368">
        <v>9468</v>
      </c>
      <c r="D8368" t="str">
        <f>VLOOKUP(H8368,Produkt!$A$2:$B$5,2,FALSE)</f>
        <v>A</v>
      </c>
      <c r="H8368">
        <v>1</v>
      </c>
      <c r="I8368">
        <v>7.3240740740740731E-2</v>
      </c>
      <c r="J8368">
        <v>44795</v>
      </c>
    </row>
    <row r="8369" spans="1:10" x14ac:dyDescent="0.35">
      <c r="A8369" s="2">
        <v>44799</v>
      </c>
      <c r="B8369" s="3">
        <v>0.77641203703703709</v>
      </c>
      <c r="C8369">
        <v>9531</v>
      </c>
      <c r="D8369" t="str">
        <f>VLOOKUP(H8369,Produkt!$A$2:$B$5,2,FALSE)</f>
        <v>C</v>
      </c>
      <c r="H8369">
        <v>3</v>
      </c>
      <c r="I8369">
        <v>0.24335648148148148</v>
      </c>
      <c r="J8369">
        <v>44797</v>
      </c>
    </row>
    <row r="8370" spans="1:10" x14ac:dyDescent="0.35">
      <c r="A8370" s="2">
        <v>44799</v>
      </c>
      <c r="B8370" s="3">
        <v>0.21185185185185185</v>
      </c>
      <c r="C8370">
        <v>9602</v>
      </c>
      <c r="D8370" t="str">
        <f>VLOOKUP(H8370,Produkt!$A$2:$B$5,2,FALSE)</f>
        <v>A</v>
      </c>
      <c r="H8370">
        <v>1</v>
      </c>
      <c r="I8370">
        <v>0.96753472222222225</v>
      </c>
      <c r="J8370">
        <v>44796</v>
      </c>
    </row>
    <row r="8371" spans="1:10" x14ac:dyDescent="0.35">
      <c r="A8371" s="2">
        <v>44799</v>
      </c>
      <c r="B8371" s="3">
        <v>0.33387731481481481</v>
      </c>
      <c r="C8371">
        <v>9628</v>
      </c>
      <c r="D8371" t="str">
        <f>VLOOKUP(H8371,Produkt!$A$2:$B$5,2,FALSE)</f>
        <v>A</v>
      </c>
      <c r="H8371">
        <v>1</v>
      </c>
      <c r="I8371">
        <v>0.44871527777777781</v>
      </c>
      <c r="J8371">
        <v>44777</v>
      </c>
    </row>
    <row r="8372" spans="1:10" x14ac:dyDescent="0.35">
      <c r="A8372" s="2">
        <v>44799</v>
      </c>
      <c r="B8372" s="3">
        <v>0.10047453703703703</v>
      </c>
      <c r="C8372">
        <v>9639</v>
      </c>
      <c r="D8372" t="str">
        <f>VLOOKUP(H8372,Produkt!$A$2:$B$5,2,FALSE)</f>
        <v>B</v>
      </c>
      <c r="H8372">
        <v>2</v>
      </c>
      <c r="I8372">
        <v>0.12373842592592592</v>
      </c>
      <c r="J8372">
        <v>44785</v>
      </c>
    </row>
    <row r="8373" spans="1:10" x14ac:dyDescent="0.35">
      <c r="A8373" s="2">
        <v>44799</v>
      </c>
      <c r="B8373" s="3">
        <v>0.47255787037037034</v>
      </c>
      <c r="C8373">
        <v>9697</v>
      </c>
      <c r="D8373" t="str">
        <f>VLOOKUP(H8373,Produkt!$A$2:$B$5,2,FALSE)</f>
        <v>A</v>
      </c>
      <c r="H8373">
        <v>1</v>
      </c>
      <c r="I8373">
        <v>0.67291666666666661</v>
      </c>
      <c r="J8373">
        <v>44801</v>
      </c>
    </row>
    <row r="8374" spans="1:10" x14ac:dyDescent="0.35">
      <c r="A8374" s="2">
        <v>44799</v>
      </c>
      <c r="B8374" s="3">
        <v>1.9490740740740753E-2</v>
      </c>
      <c r="C8374">
        <v>9757</v>
      </c>
      <c r="D8374" t="str">
        <f>VLOOKUP(H8374,Produkt!$A$2:$B$5,2,FALSE)</f>
        <v>B</v>
      </c>
      <c r="H8374">
        <v>2</v>
      </c>
      <c r="I8374">
        <v>0.64699074074074081</v>
      </c>
      <c r="J8374">
        <v>44789</v>
      </c>
    </row>
    <row r="8375" spans="1:10" x14ac:dyDescent="0.35">
      <c r="A8375" s="2">
        <v>44799</v>
      </c>
      <c r="B8375" s="3">
        <v>0.92523148148148149</v>
      </c>
      <c r="C8375">
        <v>9760</v>
      </c>
      <c r="D8375" t="str">
        <f>VLOOKUP(H8375,Produkt!$A$2:$B$5,2,FALSE)</f>
        <v>D</v>
      </c>
      <c r="H8375">
        <v>4</v>
      </c>
      <c r="I8375">
        <v>0.18168981481481483</v>
      </c>
      <c r="J8375">
        <v>44785</v>
      </c>
    </row>
    <row r="8376" spans="1:10" x14ac:dyDescent="0.35">
      <c r="A8376" s="2">
        <v>44799</v>
      </c>
      <c r="B8376" s="3">
        <v>0.70502314814814815</v>
      </c>
      <c r="C8376">
        <v>9790</v>
      </c>
      <c r="D8376" t="str">
        <f>VLOOKUP(H8376,Produkt!$A$2:$B$5,2,FALSE)</f>
        <v>D</v>
      </c>
      <c r="H8376">
        <v>4</v>
      </c>
      <c r="I8376">
        <v>0.94319444444444445</v>
      </c>
      <c r="J8376">
        <v>44778</v>
      </c>
    </row>
    <row r="8377" spans="1:10" x14ac:dyDescent="0.35">
      <c r="A8377" s="2">
        <v>44799</v>
      </c>
      <c r="B8377" s="3">
        <v>1.2499999999999999E-2</v>
      </c>
      <c r="C8377">
        <v>9812</v>
      </c>
      <c r="D8377" t="str">
        <f>VLOOKUP(H8377,Produkt!$A$2:$B$5,2,FALSE)</f>
        <v>B</v>
      </c>
      <c r="H8377">
        <v>2</v>
      </c>
      <c r="I8377">
        <v>2.3298611111111089E-2</v>
      </c>
      <c r="J8377">
        <v>44792</v>
      </c>
    </row>
    <row r="8378" spans="1:10" x14ac:dyDescent="0.35">
      <c r="A8378" s="2">
        <v>44799</v>
      </c>
      <c r="B8378" s="3">
        <v>6.7187499999999997E-2</v>
      </c>
      <c r="C8378">
        <v>9827</v>
      </c>
      <c r="D8378" t="str">
        <f>VLOOKUP(H8378,Produkt!$A$2:$B$5,2,FALSE)</f>
        <v>A</v>
      </c>
      <c r="H8378">
        <v>1</v>
      </c>
      <c r="I8378">
        <v>6.9270833333333337E-2</v>
      </c>
      <c r="J8378">
        <v>44789</v>
      </c>
    </row>
    <row r="8379" spans="1:10" x14ac:dyDescent="0.35">
      <c r="A8379" s="2">
        <v>44799</v>
      </c>
      <c r="B8379" s="3">
        <v>0.56093749999999998</v>
      </c>
      <c r="C8379">
        <v>9837</v>
      </c>
      <c r="D8379" t="str">
        <f>VLOOKUP(H8379,Produkt!$A$2:$B$5,2,FALSE)</f>
        <v>C</v>
      </c>
      <c r="H8379">
        <v>3</v>
      </c>
      <c r="I8379">
        <v>0.74146990740740737</v>
      </c>
      <c r="J8379">
        <v>44793</v>
      </c>
    </row>
    <row r="8380" spans="1:10" x14ac:dyDescent="0.35">
      <c r="A8380" s="2">
        <v>44799</v>
      </c>
      <c r="B8380" s="3">
        <v>0.22765046296296296</v>
      </c>
      <c r="C8380">
        <v>9852</v>
      </c>
      <c r="D8380" t="str">
        <f>VLOOKUP(H8380,Produkt!$A$2:$B$5,2,FALSE)</f>
        <v>A</v>
      </c>
      <c r="H8380">
        <v>1</v>
      </c>
      <c r="I8380">
        <v>0.82501157407407411</v>
      </c>
      <c r="J8380">
        <v>44802</v>
      </c>
    </row>
    <row r="8381" spans="1:10" x14ac:dyDescent="0.35">
      <c r="A8381" s="2">
        <v>44799</v>
      </c>
      <c r="B8381" s="3">
        <v>6.2500000000000001E-4</v>
      </c>
      <c r="C8381">
        <v>9856</v>
      </c>
      <c r="D8381" t="str">
        <f>VLOOKUP(H8381,Produkt!$A$2:$B$5,2,FALSE)</f>
        <v>C</v>
      </c>
      <c r="H8381">
        <v>3</v>
      </c>
      <c r="I8381">
        <v>0.40082175925925928</v>
      </c>
      <c r="J8381">
        <v>44776</v>
      </c>
    </row>
    <row r="8382" spans="1:10" x14ac:dyDescent="0.35">
      <c r="A8382" s="2">
        <v>44799</v>
      </c>
      <c r="B8382" s="3">
        <v>0.50077546296296294</v>
      </c>
      <c r="C8382">
        <v>9865</v>
      </c>
      <c r="D8382" t="str">
        <f>VLOOKUP(H8382,Produkt!$A$2:$B$5,2,FALSE)</f>
        <v>D</v>
      </c>
      <c r="H8382">
        <v>4</v>
      </c>
      <c r="I8382">
        <v>0.52314814814814814</v>
      </c>
      <c r="J8382">
        <v>44777</v>
      </c>
    </row>
    <row r="8383" spans="1:10" x14ac:dyDescent="0.35">
      <c r="A8383" s="2">
        <v>44799</v>
      </c>
      <c r="B8383" s="3">
        <v>0.99995370370370373</v>
      </c>
      <c r="C8383">
        <v>9868</v>
      </c>
      <c r="D8383" t="str">
        <f>VLOOKUP(H8383,Produkt!$A$2:$B$5,2,FALSE)</f>
        <v>A</v>
      </c>
      <c r="H8383">
        <v>1</v>
      </c>
      <c r="I8383">
        <v>0.14215277777777777</v>
      </c>
      <c r="J8383">
        <v>44786</v>
      </c>
    </row>
    <row r="8384" spans="1:10" x14ac:dyDescent="0.35">
      <c r="A8384" s="2">
        <v>44799</v>
      </c>
      <c r="B8384" s="3">
        <v>7.18287037037037E-2</v>
      </c>
      <c r="C8384">
        <v>9872</v>
      </c>
      <c r="D8384" t="str">
        <f>VLOOKUP(H8384,Produkt!$A$2:$B$5,2,FALSE)</f>
        <v>B</v>
      </c>
      <c r="H8384">
        <v>2</v>
      </c>
      <c r="I8384">
        <v>0.38401620370370365</v>
      </c>
      <c r="J8384">
        <v>44791</v>
      </c>
    </row>
    <row r="8385" spans="1:10" x14ac:dyDescent="0.35">
      <c r="A8385" s="2">
        <v>44799</v>
      </c>
      <c r="B8385" s="3">
        <v>2.6666666666666668E-2</v>
      </c>
      <c r="C8385">
        <v>9878</v>
      </c>
      <c r="D8385" t="str">
        <f>VLOOKUP(H8385,Produkt!$A$2:$B$5,2,FALSE)</f>
        <v>B</v>
      </c>
      <c r="H8385">
        <v>2</v>
      </c>
      <c r="I8385">
        <v>2.6377314814814756E-2</v>
      </c>
      <c r="J8385">
        <v>44784</v>
      </c>
    </row>
    <row r="8386" spans="1:10" x14ac:dyDescent="0.35">
      <c r="A8386" s="2">
        <v>44799</v>
      </c>
      <c r="B8386" s="3">
        <v>0.40850694444444446</v>
      </c>
      <c r="C8386">
        <v>9934</v>
      </c>
      <c r="D8386" t="str">
        <f>VLOOKUP(H8386,Produkt!$A$2:$B$5,2,FALSE)</f>
        <v>C</v>
      </c>
      <c r="H8386">
        <v>3</v>
      </c>
      <c r="I8386">
        <v>0.43775462962962958</v>
      </c>
      <c r="J8386">
        <v>44789</v>
      </c>
    </row>
    <row r="8387" spans="1:10" x14ac:dyDescent="0.35">
      <c r="A8387" s="2">
        <v>44799</v>
      </c>
      <c r="B8387" s="3">
        <v>0.54684027777777777</v>
      </c>
      <c r="C8387">
        <v>9935</v>
      </c>
      <c r="D8387" t="str">
        <f>VLOOKUP(H8387,Produkt!$A$2:$B$5,2,FALSE)</f>
        <v>D</v>
      </c>
      <c r="H8387">
        <v>4</v>
      </c>
      <c r="I8387">
        <v>0.97252314814814822</v>
      </c>
      <c r="J8387">
        <v>44804</v>
      </c>
    </row>
    <row r="8388" spans="1:10" x14ac:dyDescent="0.35">
      <c r="A8388" s="2">
        <v>44799</v>
      </c>
      <c r="B8388" s="3">
        <v>6.7627314814814821E-2</v>
      </c>
      <c r="C8388">
        <v>9937</v>
      </c>
      <c r="D8388" t="str">
        <f>VLOOKUP(H8388,Produkt!$A$2:$B$5,2,FALSE)</f>
        <v>C</v>
      </c>
      <c r="H8388">
        <v>3</v>
      </c>
      <c r="I8388">
        <v>0.5307291666666667</v>
      </c>
      <c r="J8388">
        <v>44792</v>
      </c>
    </row>
    <row r="8389" spans="1:10" x14ac:dyDescent="0.35">
      <c r="A8389" s="2">
        <v>44800</v>
      </c>
      <c r="B8389" s="3">
        <v>0.13199074074074074</v>
      </c>
      <c r="C8389">
        <v>33</v>
      </c>
      <c r="D8389" t="str">
        <f>VLOOKUP(H8389,Produkt!$A$2:$B$5,2,FALSE)</f>
        <v>C</v>
      </c>
      <c r="H8389">
        <v>3</v>
      </c>
      <c r="I8389">
        <v>0.84089120370370374</v>
      </c>
      <c r="J8389">
        <v>44801</v>
      </c>
    </row>
    <row r="8390" spans="1:10" x14ac:dyDescent="0.35">
      <c r="A8390" s="2">
        <v>44800</v>
      </c>
      <c r="B8390" s="3">
        <v>0.98395833333333327</v>
      </c>
      <c r="C8390">
        <v>85</v>
      </c>
      <c r="D8390" t="str">
        <f>VLOOKUP(H8390,Produkt!$A$2:$B$5,2,FALSE)</f>
        <v>B</v>
      </c>
      <c r="H8390">
        <v>2</v>
      </c>
      <c r="I8390">
        <v>0.47803240740740738</v>
      </c>
      <c r="J8390">
        <v>44793</v>
      </c>
    </row>
    <row r="8391" spans="1:10" x14ac:dyDescent="0.35">
      <c r="A8391" s="2">
        <v>44800</v>
      </c>
      <c r="B8391" s="3">
        <v>0.13844907407407406</v>
      </c>
      <c r="C8391">
        <v>116</v>
      </c>
      <c r="D8391" t="str">
        <f>VLOOKUP(H8391,Produkt!$A$2:$B$5,2,FALSE)</f>
        <v>B</v>
      </c>
      <c r="H8391">
        <v>2</v>
      </c>
      <c r="I8391">
        <v>0.17049768518518518</v>
      </c>
      <c r="J8391">
        <v>44782</v>
      </c>
    </row>
    <row r="8392" spans="1:10" x14ac:dyDescent="0.35">
      <c r="A8392" s="2">
        <v>44800</v>
      </c>
      <c r="B8392" s="3">
        <v>0.2023611111111111</v>
      </c>
      <c r="C8392">
        <v>124</v>
      </c>
      <c r="D8392" t="str">
        <f>VLOOKUP(H8392,Produkt!$A$2:$B$5,2,FALSE)</f>
        <v>C</v>
      </c>
      <c r="H8392">
        <v>3</v>
      </c>
      <c r="I8392">
        <v>0.84592592592592597</v>
      </c>
      <c r="J8392">
        <v>44799</v>
      </c>
    </row>
    <row r="8393" spans="1:10" x14ac:dyDescent="0.35">
      <c r="A8393" s="2">
        <v>44800</v>
      </c>
      <c r="B8393" s="3">
        <v>0.76541666666666675</v>
      </c>
      <c r="C8393">
        <v>164</v>
      </c>
      <c r="D8393" t="str">
        <f>VLOOKUP(H8393,Produkt!$A$2:$B$5,2,FALSE)</f>
        <v>D</v>
      </c>
      <c r="H8393">
        <v>4</v>
      </c>
      <c r="I8393">
        <v>0.96962962962962962</v>
      </c>
      <c r="J8393">
        <v>44785</v>
      </c>
    </row>
    <row r="8394" spans="1:10" x14ac:dyDescent="0.35">
      <c r="A8394" s="2">
        <v>44800</v>
      </c>
      <c r="B8394" s="3">
        <v>0.61644675925925929</v>
      </c>
      <c r="C8394">
        <v>167</v>
      </c>
      <c r="D8394" t="str">
        <f>VLOOKUP(H8394,Produkt!$A$2:$B$5,2,FALSE)</f>
        <v>A</v>
      </c>
      <c r="H8394">
        <v>1</v>
      </c>
      <c r="I8394">
        <v>0.951238425925926</v>
      </c>
      <c r="J8394">
        <v>44794</v>
      </c>
    </row>
    <row r="8395" spans="1:10" x14ac:dyDescent="0.35">
      <c r="A8395" s="2">
        <v>44800</v>
      </c>
      <c r="B8395" s="3">
        <v>0.92517361111111107</v>
      </c>
      <c r="C8395">
        <v>210</v>
      </c>
      <c r="D8395" t="str">
        <f>VLOOKUP(H8395,Produkt!$A$2:$B$5,2,FALSE)</f>
        <v>C</v>
      </c>
      <c r="H8395">
        <v>3</v>
      </c>
      <c r="I8395">
        <v>2.2384259259259354E-2</v>
      </c>
      <c r="J8395">
        <v>44798</v>
      </c>
    </row>
    <row r="8396" spans="1:10" x14ac:dyDescent="0.35">
      <c r="A8396" s="2">
        <v>44800</v>
      </c>
      <c r="B8396" s="3">
        <v>7.3958333333332682E-3</v>
      </c>
      <c r="C8396">
        <v>220</v>
      </c>
      <c r="D8396" t="str">
        <f>VLOOKUP(H8396,Produkt!$A$2:$B$5,2,FALSE)</f>
        <v>A</v>
      </c>
      <c r="H8396">
        <v>1</v>
      </c>
      <c r="I8396">
        <v>0.41234953703703708</v>
      </c>
      <c r="J8396">
        <v>44802</v>
      </c>
    </row>
    <row r="8397" spans="1:10" x14ac:dyDescent="0.35">
      <c r="A8397" s="2">
        <v>44800</v>
      </c>
      <c r="B8397" s="3">
        <v>0.54505787037037035</v>
      </c>
      <c r="C8397">
        <v>251</v>
      </c>
      <c r="D8397" t="str">
        <f>VLOOKUP(H8397,Produkt!$A$2:$B$5,2,FALSE)</f>
        <v>B</v>
      </c>
      <c r="H8397">
        <v>2</v>
      </c>
      <c r="I8397">
        <v>0.84233796296296293</v>
      </c>
      <c r="J8397">
        <v>44793</v>
      </c>
    </row>
    <row r="8398" spans="1:10" x14ac:dyDescent="0.35">
      <c r="A8398" s="2">
        <v>44800</v>
      </c>
      <c r="B8398" s="3">
        <v>0.48133101851851851</v>
      </c>
      <c r="C8398">
        <v>276</v>
      </c>
      <c r="D8398" t="str">
        <f>VLOOKUP(H8398,Produkt!$A$2:$B$5,2,FALSE)</f>
        <v>B</v>
      </c>
      <c r="H8398">
        <v>2</v>
      </c>
      <c r="I8398">
        <v>0.2179861111111111</v>
      </c>
      <c r="J8398">
        <v>44786</v>
      </c>
    </row>
    <row r="8399" spans="1:10" x14ac:dyDescent="0.35">
      <c r="A8399" s="2">
        <v>44800</v>
      </c>
      <c r="B8399" s="3">
        <v>0.80959490740740747</v>
      </c>
      <c r="C8399">
        <v>277</v>
      </c>
      <c r="D8399" t="str">
        <f>VLOOKUP(H8399,Produkt!$A$2:$B$5,2,FALSE)</f>
        <v>A</v>
      </c>
      <c r="H8399">
        <v>1</v>
      </c>
      <c r="I8399">
        <v>0.74769675925925927</v>
      </c>
      <c r="J8399">
        <v>44788</v>
      </c>
    </row>
    <row r="8400" spans="1:10" x14ac:dyDescent="0.35">
      <c r="A8400" s="2">
        <v>44800</v>
      </c>
      <c r="B8400" s="3">
        <v>2.2499999999999996E-2</v>
      </c>
      <c r="C8400">
        <v>300</v>
      </c>
      <c r="D8400" t="str">
        <f>VLOOKUP(H8400,Produkt!$A$2:$B$5,2,FALSE)</f>
        <v>A</v>
      </c>
      <c r="H8400">
        <v>1</v>
      </c>
      <c r="I8400">
        <v>0.14851851851851852</v>
      </c>
      <c r="J8400">
        <v>44776</v>
      </c>
    </row>
    <row r="8401" spans="1:10" x14ac:dyDescent="0.35">
      <c r="A8401" s="2">
        <v>44800</v>
      </c>
      <c r="B8401" s="3">
        <v>0.60744212962962962</v>
      </c>
      <c r="C8401">
        <v>315</v>
      </c>
      <c r="D8401" t="str">
        <f>VLOOKUP(H8401,Produkt!$A$2:$B$5,2,FALSE)</f>
        <v>A</v>
      </c>
      <c r="H8401">
        <v>1</v>
      </c>
      <c r="I8401">
        <v>0.7232291666666667</v>
      </c>
      <c r="J8401">
        <v>44784</v>
      </c>
    </row>
    <row r="8402" spans="1:10" x14ac:dyDescent="0.35">
      <c r="A8402" s="2">
        <v>44800</v>
      </c>
      <c r="B8402" s="3">
        <v>2.0625000000000115E-2</v>
      </c>
      <c r="C8402">
        <v>339</v>
      </c>
      <c r="D8402" t="str">
        <f>VLOOKUP(H8402,Produkt!$A$2:$B$5,2,FALSE)</f>
        <v>C</v>
      </c>
      <c r="H8402">
        <v>3</v>
      </c>
      <c r="I8402">
        <v>0.10069444444444443</v>
      </c>
      <c r="J8402">
        <v>44788</v>
      </c>
    </row>
    <row r="8403" spans="1:10" x14ac:dyDescent="0.35">
      <c r="A8403" s="2">
        <v>44800</v>
      </c>
      <c r="B8403" s="3">
        <v>0.31435185185185183</v>
      </c>
      <c r="C8403">
        <v>347</v>
      </c>
      <c r="D8403" t="str">
        <f>VLOOKUP(H8403,Produkt!$A$2:$B$5,2,FALSE)</f>
        <v>C</v>
      </c>
      <c r="H8403">
        <v>3</v>
      </c>
      <c r="I8403">
        <v>0.83703703703703702</v>
      </c>
      <c r="J8403">
        <v>44788</v>
      </c>
    </row>
    <row r="8404" spans="1:10" x14ac:dyDescent="0.35">
      <c r="A8404" s="2">
        <v>44800</v>
      </c>
      <c r="B8404" s="3">
        <v>0.51103009259259258</v>
      </c>
      <c r="C8404">
        <v>351</v>
      </c>
      <c r="D8404" t="str">
        <f>VLOOKUP(H8404,Produkt!$A$2:$B$5,2,FALSE)</f>
        <v>C</v>
      </c>
      <c r="H8404">
        <v>3</v>
      </c>
      <c r="I8404">
        <v>0.60685185185185186</v>
      </c>
      <c r="J8404">
        <v>44796</v>
      </c>
    </row>
    <row r="8405" spans="1:10" x14ac:dyDescent="0.35">
      <c r="A8405" s="2">
        <v>44800</v>
      </c>
      <c r="B8405" s="3">
        <v>0.5529398148148148</v>
      </c>
      <c r="C8405">
        <v>428</v>
      </c>
      <c r="D8405" t="str">
        <f>VLOOKUP(H8405,Produkt!$A$2:$B$5,2,FALSE)</f>
        <v>D</v>
      </c>
      <c r="H8405">
        <v>4</v>
      </c>
      <c r="I8405">
        <v>0.72283564814814805</v>
      </c>
      <c r="J8405">
        <v>44792</v>
      </c>
    </row>
    <row r="8406" spans="1:10" x14ac:dyDescent="0.35">
      <c r="A8406" s="2">
        <v>44800</v>
      </c>
      <c r="B8406" s="3">
        <v>0.63197916666666665</v>
      </c>
      <c r="C8406">
        <v>445</v>
      </c>
      <c r="D8406" t="str">
        <f>VLOOKUP(H8406,Produkt!$A$2:$B$5,2,FALSE)</f>
        <v>D</v>
      </c>
      <c r="H8406">
        <v>4</v>
      </c>
      <c r="I8406">
        <v>0.69262731481481488</v>
      </c>
      <c r="J8406">
        <v>44803</v>
      </c>
    </row>
    <row r="8407" spans="1:10" x14ac:dyDescent="0.35">
      <c r="A8407" s="2">
        <v>44800</v>
      </c>
      <c r="B8407" s="3">
        <v>0.32354166666666667</v>
      </c>
      <c r="C8407">
        <v>484</v>
      </c>
      <c r="D8407" t="str">
        <f>VLOOKUP(H8407,Produkt!$A$2:$B$5,2,FALSE)</f>
        <v>D</v>
      </c>
      <c r="H8407">
        <v>4</v>
      </c>
      <c r="I8407">
        <v>0.20491898148148149</v>
      </c>
      <c r="J8407">
        <v>44803</v>
      </c>
    </row>
    <row r="8408" spans="1:10" x14ac:dyDescent="0.35">
      <c r="A8408" s="2">
        <v>44800</v>
      </c>
      <c r="B8408" s="3">
        <v>0.56805555555555554</v>
      </c>
      <c r="C8408">
        <v>503</v>
      </c>
      <c r="D8408" t="str">
        <f>VLOOKUP(H8408,Produkt!$A$2:$B$5,2,FALSE)</f>
        <v>C</v>
      </c>
      <c r="H8408">
        <v>3</v>
      </c>
      <c r="I8408">
        <v>0.97813657407407406</v>
      </c>
      <c r="J8408">
        <v>44802</v>
      </c>
    </row>
    <row r="8409" spans="1:10" x14ac:dyDescent="0.35">
      <c r="A8409" s="2">
        <v>44800</v>
      </c>
      <c r="B8409" s="3">
        <v>0.16163194444444443</v>
      </c>
      <c r="C8409">
        <v>512</v>
      </c>
      <c r="D8409" t="str">
        <f>VLOOKUP(H8409,Produkt!$A$2:$B$5,2,FALSE)</f>
        <v>B</v>
      </c>
      <c r="H8409">
        <v>2</v>
      </c>
      <c r="I8409">
        <v>0.35001157407407407</v>
      </c>
      <c r="J8409">
        <v>44786</v>
      </c>
    </row>
    <row r="8410" spans="1:10" x14ac:dyDescent="0.35">
      <c r="A8410" s="2">
        <v>44800</v>
      </c>
      <c r="B8410" s="3">
        <v>0.94884259259259263</v>
      </c>
      <c r="C8410">
        <v>518</v>
      </c>
      <c r="D8410" t="str">
        <f>VLOOKUP(H8410,Produkt!$A$2:$B$5,2,FALSE)</f>
        <v>A</v>
      </c>
      <c r="H8410">
        <v>1</v>
      </c>
      <c r="I8410">
        <v>0.71670138888888879</v>
      </c>
      <c r="J8410">
        <v>44779</v>
      </c>
    </row>
    <row r="8411" spans="1:10" x14ac:dyDescent="0.35">
      <c r="A8411" s="2">
        <v>44800</v>
      </c>
      <c r="B8411" s="3">
        <v>0.69523148148148151</v>
      </c>
      <c r="C8411">
        <v>555</v>
      </c>
      <c r="D8411" t="str">
        <f>VLOOKUP(H8411,Produkt!$A$2:$B$5,2,FALSE)</f>
        <v>B</v>
      </c>
      <c r="H8411">
        <v>2</v>
      </c>
      <c r="I8411">
        <v>0.4991666666666667</v>
      </c>
      <c r="J8411">
        <v>44788</v>
      </c>
    </row>
    <row r="8412" spans="1:10" x14ac:dyDescent="0.35">
      <c r="A8412" s="2">
        <v>44800</v>
      </c>
      <c r="B8412" s="3">
        <v>7.1226851851851861E-2</v>
      </c>
      <c r="C8412">
        <v>581</v>
      </c>
      <c r="D8412" t="str">
        <f>VLOOKUP(H8412,Produkt!$A$2:$B$5,2,FALSE)</f>
        <v>A</v>
      </c>
      <c r="H8412">
        <v>1</v>
      </c>
      <c r="I8412">
        <v>0.22769675925925925</v>
      </c>
      <c r="J8412">
        <v>44783</v>
      </c>
    </row>
    <row r="8413" spans="1:10" x14ac:dyDescent="0.35">
      <c r="A8413" s="2">
        <v>44800</v>
      </c>
      <c r="B8413" s="3">
        <v>0.51671296296296299</v>
      </c>
      <c r="C8413">
        <v>603</v>
      </c>
      <c r="D8413" t="str">
        <f>VLOOKUP(H8413,Produkt!$A$2:$B$5,2,FALSE)</f>
        <v>C</v>
      </c>
      <c r="H8413">
        <v>3</v>
      </c>
      <c r="I8413">
        <v>0.85251157407407396</v>
      </c>
      <c r="J8413">
        <v>44802</v>
      </c>
    </row>
    <row r="8414" spans="1:10" x14ac:dyDescent="0.35">
      <c r="A8414" s="2">
        <v>44800</v>
      </c>
      <c r="B8414" s="3">
        <v>4.1041666666666664E-2</v>
      </c>
      <c r="C8414">
        <v>612</v>
      </c>
      <c r="D8414" t="str">
        <f>VLOOKUP(H8414,Produkt!$A$2:$B$5,2,FALSE)</f>
        <v>A</v>
      </c>
      <c r="H8414">
        <v>1</v>
      </c>
      <c r="I8414">
        <v>0.11332175925925925</v>
      </c>
      <c r="J8414">
        <v>44776</v>
      </c>
    </row>
    <row r="8415" spans="1:10" x14ac:dyDescent="0.35">
      <c r="A8415" s="2">
        <v>44800</v>
      </c>
      <c r="B8415" s="3">
        <v>0.49167824074074074</v>
      </c>
      <c r="C8415">
        <v>625</v>
      </c>
      <c r="D8415" t="str">
        <f>VLOOKUP(H8415,Produkt!$A$2:$B$5,2,FALSE)</f>
        <v>D</v>
      </c>
      <c r="H8415">
        <v>4</v>
      </c>
      <c r="I8415">
        <v>0.15365740740740741</v>
      </c>
      <c r="J8415">
        <v>44788</v>
      </c>
    </row>
    <row r="8416" spans="1:10" x14ac:dyDescent="0.35">
      <c r="A8416" s="2">
        <v>44800</v>
      </c>
      <c r="B8416" s="3">
        <v>0.69793981481481471</v>
      </c>
      <c r="C8416">
        <v>695</v>
      </c>
      <c r="D8416" t="str">
        <f>VLOOKUP(H8416,Produkt!$A$2:$B$5,2,FALSE)</f>
        <v>A</v>
      </c>
      <c r="H8416">
        <v>1</v>
      </c>
      <c r="I8416">
        <v>4.7962962962962964E-2</v>
      </c>
      <c r="J8416">
        <v>44789</v>
      </c>
    </row>
    <row r="8417" spans="1:10" x14ac:dyDescent="0.35">
      <c r="A8417" s="2">
        <v>44800</v>
      </c>
      <c r="B8417" s="3">
        <v>0.51090277777777782</v>
      </c>
      <c r="C8417">
        <v>696</v>
      </c>
      <c r="D8417" t="str">
        <f>VLOOKUP(H8417,Produkt!$A$2:$B$5,2,FALSE)</f>
        <v>D</v>
      </c>
      <c r="H8417">
        <v>4</v>
      </c>
      <c r="I8417">
        <v>0.68944444444444442</v>
      </c>
      <c r="J8417">
        <v>44797</v>
      </c>
    </row>
    <row r="8418" spans="1:10" x14ac:dyDescent="0.35">
      <c r="A8418" s="2">
        <v>44800</v>
      </c>
      <c r="B8418" s="3">
        <v>0.69918981481481479</v>
      </c>
      <c r="C8418">
        <v>727</v>
      </c>
      <c r="D8418" t="str">
        <f>VLOOKUP(H8418,Produkt!$A$2:$B$5,2,FALSE)</f>
        <v>D</v>
      </c>
      <c r="H8418">
        <v>4</v>
      </c>
      <c r="I8418">
        <v>0.73321759259259256</v>
      </c>
      <c r="J8418">
        <v>44776</v>
      </c>
    </row>
    <row r="8419" spans="1:10" x14ac:dyDescent="0.35">
      <c r="A8419" s="2">
        <v>44800</v>
      </c>
      <c r="B8419" s="3">
        <v>0.87297453703703709</v>
      </c>
      <c r="C8419">
        <v>740</v>
      </c>
      <c r="D8419" t="str">
        <f>VLOOKUP(H8419,Produkt!$A$2:$B$5,2,FALSE)</f>
        <v>B</v>
      </c>
      <c r="H8419">
        <v>2</v>
      </c>
      <c r="I8419">
        <v>0.75108796296296287</v>
      </c>
      <c r="J8419">
        <v>44800</v>
      </c>
    </row>
    <row r="8420" spans="1:10" x14ac:dyDescent="0.35">
      <c r="A8420" s="2">
        <v>44800</v>
      </c>
      <c r="B8420" s="3">
        <v>0.50259259259259259</v>
      </c>
      <c r="C8420">
        <v>749</v>
      </c>
      <c r="D8420" t="str">
        <f>VLOOKUP(H8420,Produkt!$A$2:$B$5,2,FALSE)</f>
        <v>D</v>
      </c>
      <c r="H8420">
        <v>4</v>
      </c>
      <c r="I8420">
        <v>0.62774305555555554</v>
      </c>
      <c r="J8420">
        <v>44774</v>
      </c>
    </row>
    <row r="8421" spans="1:10" x14ac:dyDescent="0.35">
      <c r="A8421" s="2">
        <v>44800</v>
      </c>
      <c r="B8421" s="3">
        <v>0.8558796296296296</v>
      </c>
      <c r="C8421">
        <v>794</v>
      </c>
      <c r="D8421" t="str">
        <f>VLOOKUP(H8421,Produkt!$A$2:$B$5,2,FALSE)</f>
        <v>D</v>
      </c>
      <c r="H8421">
        <v>4</v>
      </c>
      <c r="I8421">
        <v>1.525462962962963E-2</v>
      </c>
      <c r="J8421">
        <v>44800</v>
      </c>
    </row>
    <row r="8422" spans="1:10" x14ac:dyDescent="0.35">
      <c r="A8422" s="2">
        <v>44800</v>
      </c>
      <c r="B8422" s="3">
        <v>0.89586805555555549</v>
      </c>
      <c r="C8422">
        <v>830</v>
      </c>
      <c r="D8422" t="str">
        <f>VLOOKUP(H8422,Produkt!$A$2:$B$5,2,FALSE)</f>
        <v>C</v>
      </c>
      <c r="H8422">
        <v>3</v>
      </c>
      <c r="I8422">
        <v>0.8692939814814814</v>
      </c>
      <c r="J8422">
        <v>44786</v>
      </c>
    </row>
    <row r="8423" spans="1:10" x14ac:dyDescent="0.35">
      <c r="A8423" s="2">
        <v>44800</v>
      </c>
      <c r="B8423" s="3">
        <v>0.96979166666666661</v>
      </c>
      <c r="C8423">
        <v>850</v>
      </c>
      <c r="D8423" t="str">
        <f>VLOOKUP(H8423,Produkt!$A$2:$B$5,2,FALSE)</f>
        <v>A</v>
      </c>
      <c r="H8423">
        <v>1</v>
      </c>
      <c r="I8423">
        <v>0.94802083333333342</v>
      </c>
      <c r="J8423">
        <v>44781</v>
      </c>
    </row>
    <row r="8424" spans="1:10" x14ac:dyDescent="0.35">
      <c r="A8424" s="2">
        <v>44800</v>
      </c>
      <c r="B8424" s="3">
        <v>0.57033564814814819</v>
      </c>
      <c r="C8424">
        <v>866</v>
      </c>
      <c r="D8424" t="str">
        <f>VLOOKUP(H8424,Produkt!$A$2:$B$5,2,FALSE)</f>
        <v>A</v>
      </c>
      <c r="H8424">
        <v>1</v>
      </c>
      <c r="I8424">
        <v>0.9937731481481481</v>
      </c>
      <c r="J8424">
        <v>44792</v>
      </c>
    </row>
    <row r="8425" spans="1:10" x14ac:dyDescent="0.35">
      <c r="A8425" s="2">
        <v>44800</v>
      </c>
      <c r="B8425" s="3">
        <v>0.15200231481481483</v>
      </c>
      <c r="C8425">
        <v>881</v>
      </c>
      <c r="D8425" t="str">
        <f>VLOOKUP(H8425,Produkt!$A$2:$B$5,2,FALSE)</f>
        <v>C</v>
      </c>
      <c r="H8425">
        <v>3</v>
      </c>
      <c r="I8425">
        <v>0.44035879629629626</v>
      </c>
      <c r="J8425">
        <v>44796</v>
      </c>
    </row>
    <row r="8426" spans="1:10" x14ac:dyDescent="0.35">
      <c r="A8426" s="2">
        <v>44800</v>
      </c>
      <c r="B8426" s="3">
        <v>0.48918981481481483</v>
      </c>
      <c r="C8426">
        <v>943</v>
      </c>
      <c r="D8426" t="str">
        <f>VLOOKUP(H8426,Produkt!$A$2:$B$5,2,FALSE)</f>
        <v>A</v>
      </c>
      <c r="H8426">
        <v>1</v>
      </c>
      <c r="I8426">
        <v>3.1678240740740743E-2</v>
      </c>
      <c r="J8426">
        <v>44777</v>
      </c>
    </row>
    <row r="8427" spans="1:10" x14ac:dyDescent="0.35">
      <c r="A8427" s="2">
        <v>44800</v>
      </c>
      <c r="B8427" s="3">
        <v>0.38347222222222221</v>
      </c>
      <c r="C8427">
        <v>1007</v>
      </c>
      <c r="D8427" t="str">
        <f>VLOOKUP(H8427,Produkt!$A$2:$B$5,2,FALSE)</f>
        <v>C</v>
      </c>
      <c r="H8427">
        <v>3</v>
      </c>
      <c r="I8427">
        <v>0.48626157407407411</v>
      </c>
      <c r="J8427">
        <v>44799</v>
      </c>
    </row>
    <row r="8428" spans="1:10" x14ac:dyDescent="0.35">
      <c r="A8428" s="2">
        <v>44800</v>
      </c>
      <c r="B8428" s="3">
        <v>0.48939814814814814</v>
      </c>
      <c r="C8428">
        <v>1104</v>
      </c>
      <c r="D8428" t="str">
        <f>VLOOKUP(H8428,Produkt!$A$2:$B$5,2,FALSE)</f>
        <v>B</v>
      </c>
      <c r="H8428">
        <v>2</v>
      </c>
      <c r="I8428">
        <v>0.7721527777777778</v>
      </c>
      <c r="J8428">
        <v>44775</v>
      </c>
    </row>
    <row r="8429" spans="1:10" x14ac:dyDescent="0.35">
      <c r="A8429" s="2">
        <v>44800</v>
      </c>
      <c r="B8429" s="3">
        <v>0.97250000000000003</v>
      </c>
      <c r="C8429">
        <v>1105</v>
      </c>
      <c r="D8429" t="str">
        <f>VLOOKUP(H8429,Produkt!$A$2:$B$5,2,FALSE)</f>
        <v>D</v>
      </c>
      <c r="H8429">
        <v>4</v>
      </c>
      <c r="I8429">
        <v>0.17228009259259258</v>
      </c>
      <c r="J8429">
        <v>44790</v>
      </c>
    </row>
    <row r="8430" spans="1:10" x14ac:dyDescent="0.35">
      <c r="A8430" s="2">
        <v>44800</v>
      </c>
      <c r="B8430" s="3">
        <v>0.65968749999999998</v>
      </c>
      <c r="C8430">
        <v>1108</v>
      </c>
      <c r="D8430" t="str">
        <f>VLOOKUP(H8430,Produkt!$A$2:$B$5,2,FALSE)</f>
        <v>D</v>
      </c>
      <c r="H8430">
        <v>4</v>
      </c>
      <c r="I8430">
        <v>0.78895833333333332</v>
      </c>
      <c r="J8430">
        <v>44802</v>
      </c>
    </row>
    <row r="8431" spans="1:10" x14ac:dyDescent="0.35">
      <c r="A8431" s="2">
        <v>44800</v>
      </c>
      <c r="B8431" s="3">
        <v>0.2401388888888889</v>
      </c>
      <c r="C8431">
        <v>1174</v>
      </c>
      <c r="D8431" t="str">
        <f>VLOOKUP(H8431,Produkt!$A$2:$B$5,2,FALSE)</f>
        <v>B</v>
      </c>
      <c r="H8431">
        <v>2</v>
      </c>
      <c r="I8431">
        <v>0.53349537037037031</v>
      </c>
      <c r="J8431">
        <v>44802</v>
      </c>
    </row>
    <row r="8432" spans="1:10" x14ac:dyDescent="0.35">
      <c r="A8432" s="2">
        <v>44800</v>
      </c>
      <c r="B8432" s="3">
        <v>0.82620370370370377</v>
      </c>
      <c r="C8432">
        <v>1185</v>
      </c>
      <c r="D8432" t="str">
        <f>VLOOKUP(H8432,Produkt!$A$2:$B$5,2,FALSE)</f>
        <v>B</v>
      </c>
      <c r="H8432">
        <v>2</v>
      </c>
      <c r="I8432">
        <v>0.19533564814814816</v>
      </c>
      <c r="J8432">
        <v>44782</v>
      </c>
    </row>
    <row r="8433" spans="1:10" x14ac:dyDescent="0.35">
      <c r="A8433" s="2">
        <v>44800</v>
      </c>
      <c r="B8433" s="3">
        <v>8.1585648148148157E-2</v>
      </c>
      <c r="C8433">
        <v>1189</v>
      </c>
      <c r="D8433" t="str">
        <f>VLOOKUP(H8433,Produkt!$A$2:$B$5,2,FALSE)</f>
        <v>B</v>
      </c>
      <c r="H8433">
        <v>2</v>
      </c>
      <c r="I8433">
        <v>0.74092592592592599</v>
      </c>
      <c r="J8433">
        <v>44804</v>
      </c>
    </row>
    <row r="8434" spans="1:10" x14ac:dyDescent="0.35">
      <c r="A8434" s="2">
        <v>44800</v>
      </c>
      <c r="B8434" s="3">
        <v>0.1265162037037037</v>
      </c>
      <c r="C8434">
        <v>1244</v>
      </c>
      <c r="D8434" t="str">
        <f>VLOOKUP(H8434,Produkt!$A$2:$B$5,2,FALSE)</f>
        <v>C</v>
      </c>
      <c r="H8434">
        <v>3</v>
      </c>
      <c r="I8434">
        <v>8.8981481481481481E-2</v>
      </c>
      <c r="J8434">
        <v>44786</v>
      </c>
    </row>
    <row r="8435" spans="1:10" x14ac:dyDescent="0.35">
      <c r="A8435" s="2">
        <v>44800</v>
      </c>
      <c r="B8435" s="3">
        <v>0.93043981481481486</v>
      </c>
      <c r="C8435">
        <v>1246</v>
      </c>
      <c r="D8435" t="str">
        <f>VLOOKUP(H8435,Produkt!$A$2:$B$5,2,FALSE)</f>
        <v>C</v>
      </c>
      <c r="H8435">
        <v>3</v>
      </c>
      <c r="I8435">
        <v>0.86325231481481479</v>
      </c>
      <c r="J8435">
        <v>44789</v>
      </c>
    </row>
    <row r="8436" spans="1:10" x14ac:dyDescent="0.35">
      <c r="A8436" s="2">
        <v>44800</v>
      </c>
      <c r="B8436" s="3">
        <v>0.17359953703703704</v>
      </c>
      <c r="C8436">
        <v>1257</v>
      </c>
      <c r="D8436" t="str">
        <f>VLOOKUP(H8436,Produkt!$A$2:$B$5,2,FALSE)</f>
        <v>B</v>
      </c>
      <c r="H8436">
        <v>2</v>
      </c>
      <c r="I8436">
        <v>0.46657407407407409</v>
      </c>
      <c r="J8436">
        <v>44792</v>
      </c>
    </row>
    <row r="8437" spans="1:10" x14ac:dyDescent="0.35">
      <c r="A8437" s="2">
        <v>44800</v>
      </c>
      <c r="B8437" s="3">
        <v>0.53280092592592598</v>
      </c>
      <c r="C8437">
        <v>1263</v>
      </c>
      <c r="D8437" t="str">
        <f>VLOOKUP(H8437,Produkt!$A$2:$B$5,2,FALSE)</f>
        <v>A</v>
      </c>
      <c r="H8437">
        <v>1</v>
      </c>
      <c r="I8437">
        <v>0.95219907407407411</v>
      </c>
      <c r="J8437">
        <v>44788</v>
      </c>
    </row>
    <row r="8438" spans="1:10" x14ac:dyDescent="0.35">
      <c r="A8438" s="2">
        <v>44800</v>
      </c>
      <c r="B8438" s="3">
        <v>0.26059027777777777</v>
      </c>
      <c r="C8438">
        <v>1287</v>
      </c>
      <c r="D8438" t="str">
        <f>VLOOKUP(H8438,Produkt!$A$2:$B$5,2,FALSE)</f>
        <v>D</v>
      </c>
      <c r="H8438">
        <v>4</v>
      </c>
      <c r="I8438">
        <v>0.66538194444444443</v>
      </c>
      <c r="J8438">
        <v>44785</v>
      </c>
    </row>
    <row r="8439" spans="1:10" x14ac:dyDescent="0.35">
      <c r="A8439" s="2">
        <v>44800</v>
      </c>
      <c r="B8439" s="3">
        <v>0.17350694444444445</v>
      </c>
      <c r="C8439">
        <v>1306</v>
      </c>
      <c r="D8439" t="str">
        <f>VLOOKUP(H8439,Produkt!$A$2:$B$5,2,FALSE)</f>
        <v>A</v>
      </c>
      <c r="H8439">
        <v>1</v>
      </c>
      <c r="I8439">
        <v>1.8634259259259212E-2</v>
      </c>
      <c r="J8439">
        <v>44797</v>
      </c>
    </row>
    <row r="8440" spans="1:10" x14ac:dyDescent="0.35">
      <c r="A8440" s="2">
        <v>44800</v>
      </c>
      <c r="B8440" s="3">
        <v>6.6435185185185194E-2</v>
      </c>
      <c r="C8440">
        <v>1405</v>
      </c>
      <c r="D8440" t="str">
        <f>VLOOKUP(H8440,Produkt!$A$2:$B$5,2,FALSE)</f>
        <v>A</v>
      </c>
      <c r="H8440">
        <v>1</v>
      </c>
      <c r="I8440">
        <v>0.68861111111111117</v>
      </c>
      <c r="J8440">
        <v>44797</v>
      </c>
    </row>
    <row r="8441" spans="1:10" x14ac:dyDescent="0.35">
      <c r="A8441" s="2">
        <v>44800</v>
      </c>
      <c r="B8441" s="3">
        <v>0.29383101851851851</v>
      </c>
      <c r="C8441">
        <v>1406</v>
      </c>
      <c r="D8441" t="str">
        <f>VLOOKUP(H8441,Produkt!$A$2:$B$5,2,FALSE)</f>
        <v>A</v>
      </c>
      <c r="H8441">
        <v>1</v>
      </c>
      <c r="I8441">
        <v>0.60920138888888886</v>
      </c>
      <c r="J8441">
        <v>44779</v>
      </c>
    </row>
    <row r="8442" spans="1:10" x14ac:dyDescent="0.35">
      <c r="A8442" s="2">
        <v>44800</v>
      </c>
      <c r="B8442" s="3">
        <v>3.5833333333333335E-2</v>
      </c>
      <c r="C8442">
        <v>1418</v>
      </c>
      <c r="D8442" t="str">
        <f>VLOOKUP(H8442,Produkt!$A$2:$B$5,2,FALSE)</f>
        <v>C</v>
      </c>
      <c r="H8442">
        <v>3</v>
      </c>
      <c r="I8442">
        <v>0.35876157407407411</v>
      </c>
      <c r="J8442">
        <v>44796</v>
      </c>
    </row>
    <row r="8443" spans="1:10" x14ac:dyDescent="0.35">
      <c r="A8443" s="2">
        <v>44800</v>
      </c>
      <c r="B8443" s="3">
        <v>0.84960648148148143</v>
      </c>
      <c r="C8443">
        <v>1449</v>
      </c>
      <c r="D8443" t="str">
        <f>VLOOKUP(H8443,Produkt!$A$2:$B$5,2,FALSE)</f>
        <v>A</v>
      </c>
      <c r="H8443">
        <v>1</v>
      </c>
      <c r="I8443">
        <v>7.9166666666666663E-2</v>
      </c>
      <c r="J8443">
        <v>44784</v>
      </c>
    </row>
    <row r="8444" spans="1:10" x14ac:dyDescent="0.35">
      <c r="A8444" s="2">
        <v>44800</v>
      </c>
      <c r="B8444" s="3">
        <v>0.16</v>
      </c>
      <c r="C8444">
        <v>1488</v>
      </c>
      <c r="D8444" t="str">
        <f>VLOOKUP(H8444,Produkt!$A$2:$B$5,2,FALSE)</f>
        <v>A</v>
      </c>
      <c r="H8444">
        <v>1</v>
      </c>
      <c r="I8444">
        <v>0.49681712962962959</v>
      </c>
      <c r="J8444">
        <v>44775</v>
      </c>
    </row>
    <row r="8445" spans="1:10" x14ac:dyDescent="0.35">
      <c r="A8445" s="2">
        <v>44800</v>
      </c>
      <c r="B8445" s="3">
        <v>7.9710648148148142E-2</v>
      </c>
      <c r="C8445">
        <v>1508</v>
      </c>
      <c r="D8445" t="str">
        <f>VLOOKUP(H8445,Produkt!$A$2:$B$5,2,FALSE)</f>
        <v>B</v>
      </c>
      <c r="H8445">
        <v>2</v>
      </c>
      <c r="I8445">
        <v>0.59348379629629633</v>
      </c>
      <c r="J8445">
        <v>44793</v>
      </c>
    </row>
    <row r="8446" spans="1:10" x14ac:dyDescent="0.35">
      <c r="A8446" s="2">
        <v>44800</v>
      </c>
      <c r="B8446" s="3">
        <v>0.75064814814814806</v>
      </c>
      <c r="C8446">
        <v>1538</v>
      </c>
      <c r="D8446" t="str">
        <f>VLOOKUP(H8446,Produkt!$A$2:$B$5,2,FALSE)</f>
        <v>C</v>
      </c>
      <c r="H8446">
        <v>3</v>
      </c>
      <c r="I8446">
        <v>0.63337962962962957</v>
      </c>
      <c r="J8446">
        <v>44792</v>
      </c>
    </row>
    <row r="8447" spans="1:10" x14ac:dyDescent="0.35">
      <c r="A8447" s="2">
        <v>44800</v>
      </c>
      <c r="B8447" s="3">
        <v>0.11436342592592592</v>
      </c>
      <c r="C8447">
        <v>1557</v>
      </c>
      <c r="D8447" t="str">
        <f>VLOOKUP(H8447,Produkt!$A$2:$B$5,2,FALSE)</f>
        <v>B</v>
      </c>
      <c r="H8447">
        <v>2</v>
      </c>
      <c r="I8447">
        <v>0.60039351851851852</v>
      </c>
      <c r="J8447">
        <v>44777</v>
      </c>
    </row>
    <row r="8448" spans="1:10" x14ac:dyDescent="0.35">
      <c r="A8448" s="2">
        <v>44800</v>
      </c>
      <c r="B8448" s="3">
        <v>0.12608796296296296</v>
      </c>
      <c r="C8448">
        <v>1590</v>
      </c>
      <c r="D8448" t="str">
        <f>VLOOKUP(H8448,Produkt!$A$2:$B$5,2,FALSE)</f>
        <v>C</v>
      </c>
      <c r="H8448">
        <v>3</v>
      </c>
      <c r="I8448">
        <v>5.8622685185185187E-2</v>
      </c>
      <c r="J8448">
        <v>44780</v>
      </c>
    </row>
    <row r="8449" spans="1:10" x14ac:dyDescent="0.35">
      <c r="A8449" s="2">
        <v>44800</v>
      </c>
      <c r="B8449" s="3">
        <v>0.749537037037037</v>
      </c>
      <c r="C8449">
        <v>1605</v>
      </c>
      <c r="D8449" t="str">
        <f>VLOOKUP(H8449,Produkt!$A$2:$B$5,2,FALSE)</f>
        <v>A</v>
      </c>
      <c r="H8449">
        <v>1</v>
      </c>
      <c r="I8449">
        <v>0.35378472222222218</v>
      </c>
      <c r="J8449">
        <v>44802</v>
      </c>
    </row>
    <row r="8450" spans="1:10" x14ac:dyDescent="0.35">
      <c r="A8450" s="2">
        <v>44800</v>
      </c>
      <c r="B8450" s="3">
        <v>0.10065972222222223</v>
      </c>
      <c r="C8450">
        <v>1618</v>
      </c>
      <c r="D8450" t="str">
        <f>VLOOKUP(H8450,Produkt!$A$2:$B$5,2,FALSE)</f>
        <v>C</v>
      </c>
      <c r="H8450">
        <v>3</v>
      </c>
      <c r="I8450">
        <v>0.99673611111111116</v>
      </c>
      <c r="J8450">
        <v>44790</v>
      </c>
    </row>
    <row r="8451" spans="1:10" x14ac:dyDescent="0.35">
      <c r="A8451" s="2">
        <v>44800</v>
      </c>
      <c r="B8451" s="3">
        <v>0.38668981481481479</v>
      </c>
      <c r="C8451">
        <v>1659</v>
      </c>
      <c r="D8451" t="str">
        <f>VLOOKUP(H8451,Produkt!$A$2:$B$5,2,FALSE)</f>
        <v>B</v>
      </c>
      <c r="H8451">
        <v>2</v>
      </c>
      <c r="I8451">
        <v>1.1574074074074181E-2</v>
      </c>
      <c r="J8451">
        <v>44775</v>
      </c>
    </row>
    <row r="8452" spans="1:10" x14ac:dyDescent="0.35">
      <c r="A8452" s="2">
        <v>44800</v>
      </c>
      <c r="B8452" s="3">
        <v>0.35803240740740744</v>
      </c>
      <c r="C8452">
        <v>1669</v>
      </c>
      <c r="D8452" t="str">
        <f>VLOOKUP(H8452,Produkt!$A$2:$B$5,2,FALSE)</f>
        <v>D</v>
      </c>
      <c r="H8452">
        <v>4</v>
      </c>
      <c r="I8452">
        <v>2.0439814814814817E-2</v>
      </c>
      <c r="J8452">
        <v>44796</v>
      </c>
    </row>
    <row r="8453" spans="1:10" x14ac:dyDescent="0.35">
      <c r="A8453" s="2">
        <v>44800</v>
      </c>
      <c r="B8453" s="3">
        <v>0.9043402777777777</v>
      </c>
      <c r="C8453">
        <v>1710</v>
      </c>
      <c r="D8453" t="str">
        <f>VLOOKUP(H8453,Produkt!$A$2:$B$5,2,FALSE)</f>
        <v>C</v>
      </c>
      <c r="H8453">
        <v>3</v>
      </c>
      <c r="I8453">
        <v>0.20256944444444444</v>
      </c>
      <c r="J8453">
        <v>44776</v>
      </c>
    </row>
    <row r="8454" spans="1:10" x14ac:dyDescent="0.35">
      <c r="A8454" s="2">
        <v>44800</v>
      </c>
      <c r="B8454" s="3">
        <v>0.84079861111111109</v>
      </c>
      <c r="C8454">
        <v>1725</v>
      </c>
      <c r="D8454" t="str">
        <f>VLOOKUP(H8454,Produkt!$A$2:$B$5,2,FALSE)</f>
        <v>A</v>
      </c>
      <c r="H8454">
        <v>1</v>
      </c>
      <c r="I8454">
        <v>0.30305555555555558</v>
      </c>
      <c r="J8454">
        <v>44791</v>
      </c>
    </row>
    <row r="8455" spans="1:10" x14ac:dyDescent="0.35">
      <c r="A8455" s="2">
        <v>44800</v>
      </c>
      <c r="B8455" s="3">
        <v>0.75305555555555559</v>
      </c>
      <c r="C8455">
        <v>1727</v>
      </c>
      <c r="D8455" t="str">
        <f>VLOOKUP(H8455,Produkt!$A$2:$B$5,2,FALSE)</f>
        <v>C</v>
      </c>
      <c r="H8455">
        <v>3</v>
      </c>
      <c r="I8455">
        <v>0.44054398148148149</v>
      </c>
      <c r="J8455">
        <v>44777</v>
      </c>
    </row>
    <row r="8456" spans="1:10" x14ac:dyDescent="0.35">
      <c r="A8456" s="2">
        <v>44800</v>
      </c>
      <c r="B8456" s="3">
        <v>0.23357638888888888</v>
      </c>
      <c r="C8456">
        <v>1738</v>
      </c>
      <c r="D8456" t="str">
        <f>VLOOKUP(H8456,Produkt!$A$2:$B$5,2,FALSE)</f>
        <v>A</v>
      </c>
      <c r="H8456">
        <v>1</v>
      </c>
      <c r="I8456">
        <v>0.70362268518518523</v>
      </c>
      <c r="J8456">
        <v>44775</v>
      </c>
    </row>
    <row r="8457" spans="1:10" x14ac:dyDescent="0.35">
      <c r="A8457" s="2">
        <v>44800</v>
      </c>
      <c r="B8457" s="3">
        <v>0.46222222222222226</v>
      </c>
      <c r="C8457">
        <v>1830</v>
      </c>
      <c r="D8457" t="str">
        <f>VLOOKUP(H8457,Produkt!$A$2:$B$5,2,FALSE)</f>
        <v>D</v>
      </c>
      <c r="H8457">
        <v>4</v>
      </c>
      <c r="I8457">
        <v>3.2870370370370367E-3</v>
      </c>
      <c r="J8457">
        <v>44800</v>
      </c>
    </row>
    <row r="8458" spans="1:10" x14ac:dyDescent="0.35">
      <c r="A8458" s="2">
        <v>44800</v>
      </c>
      <c r="B8458" s="3">
        <v>0.11434027777777778</v>
      </c>
      <c r="C8458">
        <v>1841</v>
      </c>
      <c r="D8458" t="str">
        <f>VLOOKUP(H8458,Produkt!$A$2:$B$5,2,FALSE)</f>
        <v>C</v>
      </c>
      <c r="H8458">
        <v>3</v>
      </c>
      <c r="I8458">
        <v>0.84068287037037026</v>
      </c>
      <c r="J8458">
        <v>44792</v>
      </c>
    </row>
    <row r="8459" spans="1:10" x14ac:dyDescent="0.35">
      <c r="A8459" s="2">
        <v>44800</v>
      </c>
      <c r="B8459" s="3">
        <v>0.23086805555555556</v>
      </c>
      <c r="C8459">
        <v>1866</v>
      </c>
      <c r="D8459" t="str">
        <f>VLOOKUP(H8459,Produkt!$A$2:$B$5,2,FALSE)</f>
        <v>C</v>
      </c>
      <c r="H8459">
        <v>3</v>
      </c>
      <c r="I8459">
        <v>0.93481481481481488</v>
      </c>
      <c r="J8459">
        <v>44783</v>
      </c>
    </row>
    <row r="8460" spans="1:10" x14ac:dyDescent="0.35">
      <c r="A8460" s="2">
        <v>44800</v>
      </c>
      <c r="B8460" s="3">
        <v>0.94545138888888891</v>
      </c>
      <c r="C8460">
        <v>1882</v>
      </c>
      <c r="D8460" t="str">
        <f>VLOOKUP(H8460,Produkt!$A$2:$B$5,2,FALSE)</f>
        <v>D</v>
      </c>
      <c r="H8460">
        <v>4</v>
      </c>
      <c r="I8460">
        <v>3.9861111111111125E-2</v>
      </c>
      <c r="J8460">
        <v>44801</v>
      </c>
    </row>
    <row r="8461" spans="1:10" x14ac:dyDescent="0.35">
      <c r="A8461" s="2">
        <v>44800</v>
      </c>
      <c r="B8461" s="3">
        <v>0.84980324074074076</v>
      </c>
      <c r="C8461">
        <v>1889</v>
      </c>
      <c r="D8461" t="str">
        <f>VLOOKUP(H8461,Produkt!$A$2:$B$5,2,FALSE)</f>
        <v>B</v>
      </c>
      <c r="H8461">
        <v>2</v>
      </c>
      <c r="I8461">
        <v>0.39244212962962965</v>
      </c>
      <c r="J8461">
        <v>44800</v>
      </c>
    </row>
    <row r="8462" spans="1:10" x14ac:dyDescent="0.35">
      <c r="A8462" s="2">
        <v>44800</v>
      </c>
      <c r="B8462" s="3">
        <v>3.3564814814801558E-4</v>
      </c>
      <c r="C8462">
        <v>1965</v>
      </c>
      <c r="D8462" t="str">
        <f>VLOOKUP(H8462,Produkt!$A$2:$B$5,2,FALSE)</f>
        <v>A</v>
      </c>
      <c r="H8462">
        <v>1</v>
      </c>
      <c r="I8462">
        <v>0.18583333333333332</v>
      </c>
      <c r="J8462">
        <v>44783</v>
      </c>
    </row>
    <row r="8463" spans="1:10" x14ac:dyDescent="0.35">
      <c r="A8463" s="2">
        <v>44800</v>
      </c>
      <c r="B8463" s="3">
        <v>0.77603009259259259</v>
      </c>
      <c r="C8463">
        <v>1966</v>
      </c>
      <c r="D8463" t="str">
        <f>VLOOKUP(H8463,Produkt!$A$2:$B$5,2,FALSE)</f>
        <v>A</v>
      </c>
      <c r="H8463">
        <v>1</v>
      </c>
      <c r="I8463">
        <v>0.68516203703703704</v>
      </c>
      <c r="J8463">
        <v>44797</v>
      </c>
    </row>
    <row r="8464" spans="1:10" x14ac:dyDescent="0.35">
      <c r="A8464" s="2">
        <v>44800</v>
      </c>
      <c r="B8464" s="3">
        <v>0.90905092592592596</v>
      </c>
      <c r="C8464">
        <v>1967</v>
      </c>
      <c r="D8464" t="str">
        <f>VLOOKUP(H8464,Produkt!$A$2:$B$5,2,FALSE)</f>
        <v>A</v>
      </c>
      <c r="H8464">
        <v>1</v>
      </c>
      <c r="I8464">
        <v>0.65017361111111105</v>
      </c>
      <c r="J8464">
        <v>44779</v>
      </c>
    </row>
    <row r="8465" spans="1:10" x14ac:dyDescent="0.35">
      <c r="A8465" s="2">
        <v>44800</v>
      </c>
      <c r="B8465" s="3">
        <v>0.63659722222222215</v>
      </c>
      <c r="C8465">
        <v>2022</v>
      </c>
      <c r="D8465" t="str">
        <f>VLOOKUP(H8465,Produkt!$A$2:$B$5,2,FALSE)</f>
        <v>B</v>
      </c>
      <c r="H8465">
        <v>2</v>
      </c>
      <c r="I8465">
        <v>0.61133101851851845</v>
      </c>
      <c r="J8465">
        <v>44804</v>
      </c>
    </row>
    <row r="8466" spans="1:10" x14ac:dyDescent="0.35">
      <c r="A8466" s="2">
        <v>44800</v>
      </c>
      <c r="B8466" s="3">
        <v>0.97159722222222233</v>
      </c>
      <c r="C8466">
        <v>2034</v>
      </c>
      <c r="D8466" t="str">
        <f>VLOOKUP(H8466,Produkt!$A$2:$B$5,2,FALSE)</f>
        <v>C</v>
      </c>
      <c r="H8466">
        <v>3</v>
      </c>
      <c r="I8466">
        <v>0.17069444444444445</v>
      </c>
      <c r="J8466">
        <v>44787</v>
      </c>
    </row>
    <row r="8467" spans="1:10" x14ac:dyDescent="0.35">
      <c r="A8467" s="2">
        <v>44800</v>
      </c>
      <c r="B8467" s="3">
        <v>0.4916666666666667</v>
      </c>
      <c r="C8467">
        <v>2066</v>
      </c>
      <c r="D8467" t="str">
        <f>VLOOKUP(H8467,Produkt!$A$2:$B$5,2,FALSE)</f>
        <v>A</v>
      </c>
      <c r="H8467">
        <v>1</v>
      </c>
      <c r="I8467">
        <v>0.85525462962962961</v>
      </c>
      <c r="J8467">
        <v>44784</v>
      </c>
    </row>
    <row r="8468" spans="1:10" x14ac:dyDescent="0.35">
      <c r="A8468" s="2">
        <v>44800</v>
      </c>
      <c r="B8468" s="3">
        <v>0.84159722222222222</v>
      </c>
      <c r="C8468">
        <v>2079</v>
      </c>
      <c r="D8468" t="str">
        <f>VLOOKUP(H8468,Produkt!$A$2:$B$5,2,FALSE)</f>
        <v>C</v>
      </c>
      <c r="H8468">
        <v>3</v>
      </c>
      <c r="I8468">
        <v>0.2089699074074074</v>
      </c>
      <c r="J8468">
        <v>44774</v>
      </c>
    </row>
    <row r="8469" spans="1:10" x14ac:dyDescent="0.35">
      <c r="A8469" s="2">
        <v>44800</v>
      </c>
      <c r="B8469" s="3">
        <v>0.79962962962962969</v>
      </c>
      <c r="C8469">
        <v>2115</v>
      </c>
      <c r="D8469" t="str">
        <f>VLOOKUP(H8469,Produkt!$A$2:$B$5,2,FALSE)</f>
        <v>C</v>
      </c>
      <c r="H8469">
        <v>3</v>
      </c>
      <c r="I8469">
        <v>0.283287037037037</v>
      </c>
      <c r="J8469">
        <v>44782</v>
      </c>
    </row>
    <row r="8470" spans="1:10" x14ac:dyDescent="0.35">
      <c r="A8470" s="2">
        <v>44800</v>
      </c>
      <c r="B8470" s="3">
        <v>0.28546296296296297</v>
      </c>
      <c r="C8470">
        <v>2188</v>
      </c>
      <c r="D8470" t="str">
        <f>VLOOKUP(H8470,Produkt!$A$2:$B$5,2,FALSE)</f>
        <v>D</v>
      </c>
      <c r="H8470">
        <v>4</v>
      </c>
      <c r="I8470">
        <v>0.88195601851851846</v>
      </c>
      <c r="J8470">
        <v>44784</v>
      </c>
    </row>
    <row r="8471" spans="1:10" x14ac:dyDescent="0.35">
      <c r="A8471" s="2">
        <v>44800</v>
      </c>
      <c r="B8471" s="3">
        <v>0.96343749999999995</v>
      </c>
      <c r="C8471">
        <v>2208</v>
      </c>
      <c r="D8471" t="str">
        <f>VLOOKUP(H8471,Produkt!$A$2:$B$5,2,FALSE)</f>
        <v>B</v>
      </c>
      <c r="H8471">
        <v>2</v>
      </c>
      <c r="I8471">
        <v>0.9655555555555555</v>
      </c>
      <c r="J8471">
        <v>44799</v>
      </c>
    </row>
    <row r="8472" spans="1:10" x14ac:dyDescent="0.35">
      <c r="A8472" s="2">
        <v>44800</v>
      </c>
      <c r="B8472" s="3">
        <v>0.5323148148148148</v>
      </c>
      <c r="C8472">
        <v>2259</v>
      </c>
      <c r="D8472" t="str">
        <f>VLOOKUP(H8472,Produkt!$A$2:$B$5,2,FALSE)</f>
        <v>C</v>
      </c>
      <c r="H8472">
        <v>3</v>
      </c>
      <c r="I8472">
        <v>0.62009259259259253</v>
      </c>
      <c r="J8472">
        <v>44779</v>
      </c>
    </row>
    <row r="8473" spans="1:10" x14ac:dyDescent="0.35">
      <c r="A8473" s="2">
        <v>44800</v>
      </c>
      <c r="B8473" s="3">
        <v>0.85856481481481473</v>
      </c>
      <c r="C8473">
        <v>2280</v>
      </c>
      <c r="D8473" t="str">
        <f>VLOOKUP(H8473,Produkt!$A$2:$B$5,2,FALSE)</f>
        <v>C</v>
      </c>
      <c r="H8473">
        <v>3</v>
      </c>
      <c r="I8473">
        <v>0.53869212962962965</v>
      </c>
      <c r="J8473">
        <v>44802</v>
      </c>
    </row>
    <row r="8474" spans="1:10" x14ac:dyDescent="0.35">
      <c r="A8474" s="2">
        <v>44800</v>
      </c>
      <c r="B8474" s="3">
        <v>0.90277777777777779</v>
      </c>
      <c r="C8474">
        <v>2324</v>
      </c>
      <c r="D8474" t="str">
        <f>VLOOKUP(H8474,Produkt!$A$2:$B$5,2,FALSE)</f>
        <v>B</v>
      </c>
      <c r="H8474">
        <v>2</v>
      </c>
      <c r="I8474">
        <v>0.29900462962962965</v>
      </c>
      <c r="J8474">
        <v>44799</v>
      </c>
    </row>
    <row r="8475" spans="1:10" x14ac:dyDescent="0.35">
      <c r="A8475" s="2">
        <v>44800</v>
      </c>
      <c r="B8475" s="3">
        <v>0.23954861111111111</v>
      </c>
      <c r="C8475">
        <v>2375</v>
      </c>
      <c r="D8475" t="str">
        <f>VLOOKUP(H8475,Produkt!$A$2:$B$5,2,FALSE)</f>
        <v>C</v>
      </c>
      <c r="H8475">
        <v>3</v>
      </c>
      <c r="I8475">
        <v>0.5140393518518519</v>
      </c>
      <c r="J8475">
        <v>44791</v>
      </c>
    </row>
    <row r="8476" spans="1:10" x14ac:dyDescent="0.35">
      <c r="A8476" s="2">
        <v>44800</v>
      </c>
      <c r="B8476" s="3">
        <v>0.29446759259259259</v>
      </c>
      <c r="C8476">
        <v>2376</v>
      </c>
      <c r="D8476" t="str">
        <f>VLOOKUP(H8476,Produkt!$A$2:$B$5,2,FALSE)</f>
        <v>A</v>
      </c>
      <c r="H8476">
        <v>1</v>
      </c>
      <c r="I8476">
        <v>2.2337962962961644E-3</v>
      </c>
      <c r="J8476">
        <v>44804</v>
      </c>
    </row>
    <row r="8477" spans="1:10" x14ac:dyDescent="0.35">
      <c r="A8477" s="2">
        <v>44800</v>
      </c>
      <c r="B8477" s="3">
        <v>2.2662037037037175E-2</v>
      </c>
      <c r="C8477">
        <v>2396</v>
      </c>
      <c r="D8477" t="str">
        <f>VLOOKUP(H8477,Produkt!$A$2:$B$5,2,FALSE)</f>
        <v>C</v>
      </c>
      <c r="H8477">
        <v>3</v>
      </c>
      <c r="I8477">
        <v>0.89187500000000008</v>
      </c>
      <c r="J8477">
        <v>44777</v>
      </c>
    </row>
    <row r="8478" spans="1:10" x14ac:dyDescent="0.35">
      <c r="A8478" s="2">
        <v>44800</v>
      </c>
      <c r="B8478" s="3">
        <v>0.50510416666666669</v>
      </c>
      <c r="C8478">
        <v>2439</v>
      </c>
      <c r="D8478" t="str">
        <f>VLOOKUP(H8478,Produkt!$A$2:$B$5,2,FALSE)</f>
        <v>C</v>
      </c>
      <c r="H8478">
        <v>3</v>
      </c>
      <c r="I8478">
        <v>3.0555555555555891E-3</v>
      </c>
      <c r="J8478">
        <v>44789</v>
      </c>
    </row>
    <row r="8479" spans="1:10" x14ac:dyDescent="0.35">
      <c r="A8479" s="2">
        <v>44800</v>
      </c>
      <c r="B8479" s="3">
        <v>0.45353009259259264</v>
      </c>
      <c r="C8479">
        <v>2496</v>
      </c>
      <c r="D8479" t="str">
        <f>VLOOKUP(H8479,Produkt!$A$2:$B$5,2,FALSE)</f>
        <v>A</v>
      </c>
      <c r="H8479">
        <v>1</v>
      </c>
      <c r="I8479">
        <v>7.4305555555555555E-2</v>
      </c>
      <c r="J8479">
        <v>44799</v>
      </c>
    </row>
    <row r="8480" spans="1:10" x14ac:dyDescent="0.35">
      <c r="A8480" s="2">
        <v>44800</v>
      </c>
      <c r="B8480" s="3">
        <v>0.82892361111111112</v>
      </c>
      <c r="C8480">
        <v>2516</v>
      </c>
      <c r="D8480" t="str">
        <f>VLOOKUP(H8480,Produkt!$A$2:$B$5,2,FALSE)</f>
        <v>D</v>
      </c>
      <c r="H8480">
        <v>4</v>
      </c>
      <c r="I8480">
        <v>0.13699074074074075</v>
      </c>
      <c r="J8480">
        <v>44804</v>
      </c>
    </row>
    <row r="8481" spans="1:10" x14ac:dyDescent="0.35">
      <c r="A8481" s="2">
        <v>44800</v>
      </c>
      <c r="B8481" s="3">
        <v>0.91917824074074073</v>
      </c>
      <c r="C8481">
        <v>2518</v>
      </c>
      <c r="D8481" t="str">
        <f>VLOOKUP(H8481,Produkt!$A$2:$B$5,2,FALSE)</f>
        <v>A</v>
      </c>
      <c r="H8481">
        <v>1</v>
      </c>
      <c r="I8481">
        <v>6.6087962962962966E-3</v>
      </c>
      <c r="J8481">
        <v>44776</v>
      </c>
    </row>
    <row r="8482" spans="1:10" x14ac:dyDescent="0.35">
      <c r="A8482" s="2">
        <v>44800</v>
      </c>
      <c r="B8482" s="3">
        <v>0.16745370370370372</v>
      </c>
      <c r="C8482">
        <v>2524</v>
      </c>
      <c r="D8482" t="str">
        <f>VLOOKUP(H8482,Produkt!$A$2:$B$5,2,FALSE)</f>
        <v>B</v>
      </c>
      <c r="H8482">
        <v>2</v>
      </c>
      <c r="I8482">
        <v>6.5115740740740738E-2</v>
      </c>
      <c r="J8482">
        <v>44777</v>
      </c>
    </row>
    <row r="8483" spans="1:10" x14ac:dyDescent="0.35">
      <c r="A8483" s="2">
        <v>44800</v>
      </c>
      <c r="B8483" s="3">
        <v>4.1400462962962958E-2</v>
      </c>
      <c r="C8483">
        <v>2533</v>
      </c>
      <c r="D8483" t="str">
        <f>VLOOKUP(H8483,Produkt!$A$2:$B$5,2,FALSE)</f>
        <v>C</v>
      </c>
      <c r="H8483">
        <v>3</v>
      </c>
      <c r="I8483">
        <v>0.10035879629629629</v>
      </c>
      <c r="J8483">
        <v>44796</v>
      </c>
    </row>
    <row r="8484" spans="1:10" x14ac:dyDescent="0.35">
      <c r="A8484" s="2">
        <v>44800</v>
      </c>
      <c r="B8484" s="3">
        <v>0.18991898148148148</v>
      </c>
      <c r="C8484">
        <v>2722</v>
      </c>
      <c r="D8484" t="str">
        <f>VLOOKUP(H8484,Produkt!$A$2:$B$5,2,FALSE)</f>
        <v>B</v>
      </c>
      <c r="H8484">
        <v>2</v>
      </c>
      <c r="I8484">
        <v>0.42952546296296296</v>
      </c>
      <c r="J8484">
        <v>44795</v>
      </c>
    </row>
    <row r="8485" spans="1:10" x14ac:dyDescent="0.35">
      <c r="A8485" s="2">
        <v>44800</v>
      </c>
      <c r="B8485" s="3">
        <v>0.10405092592592592</v>
      </c>
      <c r="C8485">
        <v>2810</v>
      </c>
      <c r="D8485" t="str">
        <f>VLOOKUP(H8485,Produkt!$A$2:$B$5,2,FALSE)</f>
        <v>B</v>
      </c>
      <c r="H8485">
        <v>2</v>
      </c>
      <c r="I8485">
        <v>0.20123842592592592</v>
      </c>
      <c r="J8485">
        <v>44774</v>
      </c>
    </row>
    <row r="8486" spans="1:10" x14ac:dyDescent="0.35">
      <c r="A8486" s="2">
        <v>44800</v>
      </c>
      <c r="B8486" s="3">
        <v>0.66894675925925917</v>
      </c>
      <c r="C8486">
        <v>2820</v>
      </c>
      <c r="D8486" t="str">
        <f>VLOOKUP(H8486,Produkt!$A$2:$B$5,2,FALSE)</f>
        <v>D</v>
      </c>
      <c r="H8486">
        <v>4</v>
      </c>
      <c r="I8486">
        <v>0.64415509259259263</v>
      </c>
      <c r="J8486">
        <v>44802</v>
      </c>
    </row>
    <row r="8487" spans="1:10" x14ac:dyDescent="0.35">
      <c r="A8487" s="2">
        <v>44800</v>
      </c>
      <c r="B8487" s="3">
        <v>4.2847222222222224E-2</v>
      </c>
      <c r="C8487">
        <v>2821</v>
      </c>
      <c r="D8487" t="str">
        <f>VLOOKUP(H8487,Produkt!$A$2:$B$5,2,FALSE)</f>
        <v>D</v>
      </c>
      <c r="H8487">
        <v>4</v>
      </c>
      <c r="I8487">
        <v>0.99570601851851848</v>
      </c>
      <c r="J8487">
        <v>44785</v>
      </c>
    </row>
    <row r="8488" spans="1:10" x14ac:dyDescent="0.35">
      <c r="A8488" s="2">
        <v>44800</v>
      </c>
      <c r="B8488" s="3">
        <v>0.9272569444444444</v>
      </c>
      <c r="C8488">
        <v>2839</v>
      </c>
      <c r="D8488" t="str">
        <f>VLOOKUP(H8488,Produkt!$A$2:$B$5,2,FALSE)</f>
        <v>B</v>
      </c>
      <c r="H8488">
        <v>2</v>
      </c>
      <c r="I8488">
        <v>0.81677083333333333</v>
      </c>
      <c r="J8488">
        <v>44802</v>
      </c>
    </row>
    <row r="8489" spans="1:10" x14ac:dyDescent="0.35">
      <c r="A8489" s="2">
        <v>44800</v>
      </c>
      <c r="B8489" s="3">
        <v>0.34328703703703706</v>
      </c>
      <c r="C8489">
        <v>2842</v>
      </c>
      <c r="D8489" t="str">
        <f>VLOOKUP(H8489,Produkt!$A$2:$B$5,2,FALSE)</f>
        <v>D</v>
      </c>
      <c r="H8489">
        <v>4</v>
      </c>
      <c r="I8489">
        <v>3.5717592592592551E-2</v>
      </c>
      <c r="J8489">
        <v>44785</v>
      </c>
    </row>
    <row r="8490" spans="1:10" x14ac:dyDescent="0.35">
      <c r="A8490" s="2">
        <v>44800</v>
      </c>
      <c r="B8490" s="3">
        <v>0.44010416666666669</v>
      </c>
      <c r="C8490">
        <v>2914</v>
      </c>
      <c r="D8490" t="str">
        <f>VLOOKUP(H8490,Produkt!$A$2:$B$5,2,FALSE)</f>
        <v>C</v>
      </c>
      <c r="H8490">
        <v>3</v>
      </c>
      <c r="I8490">
        <v>0.70723379629629635</v>
      </c>
      <c r="J8490">
        <v>44790</v>
      </c>
    </row>
    <row r="8491" spans="1:10" x14ac:dyDescent="0.35">
      <c r="A8491" s="2">
        <v>44800</v>
      </c>
      <c r="B8491" s="3">
        <v>0.54218749999999993</v>
      </c>
      <c r="C8491">
        <v>2939</v>
      </c>
      <c r="D8491" t="str">
        <f>VLOOKUP(H8491,Produkt!$A$2:$B$5,2,FALSE)</f>
        <v>D</v>
      </c>
      <c r="H8491">
        <v>4</v>
      </c>
      <c r="I8491">
        <v>0.47894675925925928</v>
      </c>
      <c r="J8491">
        <v>44790</v>
      </c>
    </row>
    <row r="8492" spans="1:10" x14ac:dyDescent="0.35">
      <c r="A8492" s="2">
        <v>44800</v>
      </c>
      <c r="B8492" s="3">
        <v>0.94833333333333336</v>
      </c>
      <c r="C8492">
        <v>2941</v>
      </c>
      <c r="D8492" t="str">
        <f>VLOOKUP(H8492,Produkt!$A$2:$B$5,2,FALSE)</f>
        <v>D</v>
      </c>
      <c r="H8492">
        <v>4</v>
      </c>
      <c r="I8492">
        <v>0.42809027777777775</v>
      </c>
      <c r="J8492">
        <v>44798</v>
      </c>
    </row>
    <row r="8493" spans="1:10" x14ac:dyDescent="0.35">
      <c r="A8493" s="2">
        <v>44800</v>
      </c>
      <c r="B8493" s="3">
        <v>0.66053240740740737</v>
      </c>
      <c r="C8493">
        <v>2948</v>
      </c>
      <c r="D8493" t="str">
        <f>VLOOKUP(H8493,Produkt!$A$2:$B$5,2,FALSE)</f>
        <v>D</v>
      </c>
      <c r="H8493">
        <v>4</v>
      </c>
      <c r="I8493">
        <v>3.44444444444445E-2</v>
      </c>
      <c r="J8493">
        <v>44780</v>
      </c>
    </row>
    <row r="8494" spans="1:10" x14ac:dyDescent="0.35">
      <c r="A8494" s="2">
        <v>44800</v>
      </c>
      <c r="B8494" s="3">
        <v>0.43880787037037039</v>
      </c>
      <c r="C8494">
        <v>2981</v>
      </c>
      <c r="D8494" t="str">
        <f>VLOOKUP(H8494,Produkt!$A$2:$B$5,2,FALSE)</f>
        <v>D</v>
      </c>
      <c r="H8494">
        <v>4</v>
      </c>
      <c r="I8494">
        <v>0.13247685185185185</v>
      </c>
      <c r="J8494">
        <v>44797</v>
      </c>
    </row>
    <row r="8495" spans="1:10" x14ac:dyDescent="0.35">
      <c r="A8495" s="2">
        <v>44800</v>
      </c>
      <c r="B8495" s="3">
        <v>0.73123842592592592</v>
      </c>
      <c r="C8495">
        <v>3047</v>
      </c>
      <c r="D8495" t="str">
        <f>VLOOKUP(H8495,Produkt!$A$2:$B$5,2,FALSE)</f>
        <v>B</v>
      </c>
      <c r="H8495">
        <v>2</v>
      </c>
      <c r="I8495">
        <v>0.10068287037037038</v>
      </c>
      <c r="J8495">
        <v>44796</v>
      </c>
    </row>
    <row r="8496" spans="1:10" x14ac:dyDescent="0.35">
      <c r="A8496" s="2">
        <v>44800</v>
      </c>
      <c r="B8496" s="3">
        <v>3.4490740740740211E-3</v>
      </c>
      <c r="C8496">
        <v>3108</v>
      </c>
      <c r="D8496" t="str">
        <f>VLOOKUP(H8496,Produkt!$A$2:$B$5,2,FALSE)</f>
        <v>D</v>
      </c>
      <c r="H8496">
        <v>4</v>
      </c>
      <c r="I8496">
        <v>0.56783564814814813</v>
      </c>
      <c r="J8496">
        <v>44775</v>
      </c>
    </row>
    <row r="8497" spans="1:10" x14ac:dyDescent="0.35">
      <c r="A8497" s="2">
        <v>44800</v>
      </c>
      <c r="B8497" s="3">
        <v>0.40204861111111106</v>
      </c>
      <c r="C8497">
        <v>3110</v>
      </c>
      <c r="D8497" t="str">
        <f>VLOOKUP(H8497,Produkt!$A$2:$B$5,2,FALSE)</f>
        <v>A</v>
      </c>
      <c r="H8497">
        <v>1</v>
      </c>
      <c r="I8497">
        <v>0.77503472222222225</v>
      </c>
      <c r="J8497">
        <v>44797</v>
      </c>
    </row>
    <row r="8498" spans="1:10" x14ac:dyDescent="0.35">
      <c r="A8498" s="2">
        <v>44800</v>
      </c>
      <c r="B8498" s="3">
        <v>0.36842592592592593</v>
      </c>
      <c r="C8498">
        <v>3175</v>
      </c>
      <c r="D8498" t="str">
        <f>VLOOKUP(H8498,Produkt!$A$2:$B$5,2,FALSE)</f>
        <v>D</v>
      </c>
      <c r="H8498">
        <v>4</v>
      </c>
      <c r="I8498">
        <v>0.98155092592592597</v>
      </c>
      <c r="J8498">
        <v>44775</v>
      </c>
    </row>
    <row r="8499" spans="1:10" x14ac:dyDescent="0.35">
      <c r="A8499" s="2">
        <v>44800</v>
      </c>
      <c r="B8499" s="3">
        <v>8.7824074074074068E-2</v>
      </c>
      <c r="C8499">
        <v>3189</v>
      </c>
      <c r="D8499" t="str">
        <f>VLOOKUP(H8499,Produkt!$A$2:$B$5,2,FALSE)</f>
        <v>D</v>
      </c>
      <c r="H8499">
        <v>4</v>
      </c>
      <c r="I8499">
        <v>0.59780092592592593</v>
      </c>
      <c r="J8499">
        <v>44792</v>
      </c>
    </row>
    <row r="8500" spans="1:10" x14ac:dyDescent="0.35">
      <c r="A8500" s="2">
        <v>44800</v>
      </c>
      <c r="B8500" s="3">
        <v>0.29498842592592595</v>
      </c>
      <c r="C8500">
        <v>3238</v>
      </c>
      <c r="D8500" t="str">
        <f>VLOOKUP(H8500,Produkt!$A$2:$B$5,2,FALSE)</f>
        <v>C</v>
      </c>
      <c r="H8500">
        <v>3</v>
      </c>
      <c r="I8500">
        <v>2.7199074074073515E-3</v>
      </c>
      <c r="J8500">
        <v>44775</v>
      </c>
    </row>
    <row r="8501" spans="1:10" x14ac:dyDescent="0.35">
      <c r="A8501" s="2">
        <v>44800</v>
      </c>
      <c r="B8501" s="3">
        <v>0.76909722222222221</v>
      </c>
      <c r="C8501">
        <v>3253</v>
      </c>
      <c r="D8501" t="str">
        <f>VLOOKUP(H8501,Produkt!$A$2:$B$5,2,FALSE)</f>
        <v>A</v>
      </c>
      <c r="H8501">
        <v>1</v>
      </c>
      <c r="I8501">
        <v>0.88979166666666665</v>
      </c>
      <c r="J8501">
        <v>44782</v>
      </c>
    </row>
    <row r="8502" spans="1:10" x14ac:dyDescent="0.35">
      <c r="A8502" s="2">
        <v>44800</v>
      </c>
      <c r="B8502" s="3">
        <v>0.34111111111111114</v>
      </c>
      <c r="C8502">
        <v>3302</v>
      </c>
      <c r="D8502" t="str">
        <f>VLOOKUP(H8502,Produkt!$A$2:$B$5,2,FALSE)</f>
        <v>A</v>
      </c>
      <c r="H8502">
        <v>1</v>
      </c>
      <c r="I8502">
        <v>0.74717592592592597</v>
      </c>
      <c r="J8502">
        <v>44778</v>
      </c>
    </row>
    <row r="8503" spans="1:10" x14ac:dyDescent="0.35">
      <c r="A8503" s="2">
        <v>44800</v>
      </c>
      <c r="B8503" s="3">
        <v>0.16670138888888889</v>
      </c>
      <c r="C8503">
        <v>3325</v>
      </c>
      <c r="D8503" t="str">
        <f>VLOOKUP(H8503,Produkt!$A$2:$B$5,2,FALSE)</f>
        <v>A</v>
      </c>
      <c r="H8503">
        <v>1</v>
      </c>
      <c r="I8503">
        <v>0.90356481481481488</v>
      </c>
      <c r="J8503">
        <v>44775</v>
      </c>
    </row>
    <row r="8504" spans="1:10" x14ac:dyDescent="0.35">
      <c r="A8504" s="2">
        <v>44800</v>
      </c>
      <c r="B8504" s="3">
        <v>0.27930555555555553</v>
      </c>
      <c r="C8504">
        <v>3347</v>
      </c>
      <c r="D8504" t="str">
        <f>VLOOKUP(H8504,Produkt!$A$2:$B$5,2,FALSE)</f>
        <v>B</v>
      </c>
      <c r="H8504">
        <v>2</v>
      </c>
      <c r="I8504">
        <v>0.82818287037037042</v>
      </c>
      <c r="J8504">
        <v>44774</v>
      </c>
    </row>
    <row r="8505" spans="1:10" x14ac:dyDescent="0.35">
      <c r="A8505" s="2">
        <v>44800</v>
      </c>
      <c r="B8505" s="3">
        <v>0.52248842592592593</v>
      </c>
      <c r="C8505">
        <v>3472</v>
      </c>
      <c r="D8505" t="str">
        <f>VLOOKUP(H8505,Produkt!$A$2:$B$5,2,FALSE)</f>
        <v>B</v>
      </c>
      <c r="H8505">
        <v>2</v>
      </c>
      <c r="I8505">
        <v>0.78226851851851853</v>
      </c>
      <c r="J8505">
        <v>44794</v>
      </c>
    </row>
    <row r="8506" spans="1:10" x14ac:dyDescent="0.35">
      <c r="A8506" s="2">
        <v>44800</v>
      </c>
      <c r="B8506" s="3">
        <v>0.35625000000000001</v>
      </c>
      <c r="C8506">
        <v>3480</v>
      </c>
      <c r="D8506" t="str">
        <f>VLOOKUP(H8506,Produkt!$A$2:$B$5,2,FALSE)</f>
        <v>A</v>
      </c>
      <c r="H8506">
        <v>1</v>
      </c>
      <c r="I8506">
        <v>0.88232638888888892</v>
      </c>
      <c r="J8506">
        <v>44786</v>
      </c>
    </row>
    <row r="8507" spans="1:10" x14ac:dyDescent="0.35">
      <c r="A8507" s="2">
        <v>44800</v>
      </c>
      <c r="B8507" s="3">
        <v>0.49116898148148147</v>
      </c>
      <c r="C8507">
        <v>3481</v>
      </c>
      <c r="D8507" t="str">
        <f>VLOOKUP(H8507,Produkt!$A$2:$B$5,2,FALSE)</f>
        <v>D</v>
      </c>
      <c r="H8507">
        <v>4</v>
      </c>
      <c r="I8507">
        <v>0.67572916666666671</v>
      </c>
      <c r="J8507">
        <v>44801</v>
      </c>
    </row>
    <row r="8508" spans="1:10" x14ac:dyDescent="0.35">
      <c r="A8508" s="2">
        <v>44800</v>
      </c>
      <c r="B8508" s="3">
        <v>0.39557870370370374</v>
      </c>
      <c r="C8508">
        <v>3565</v>
      </c>
      <c r="D8508" t="str">
        <f>VLOOKUP(H8508,Produkt!$A$2:$B$5,2,FALSE)</f>
        <v>D</v>
      </c>
      <c r="H8508">
        <v>4</v>
      </c>
      <c r="I8508">
        <v>0.54143518518518519</v>
      </c>
      <c r="J8508">
        <v>44794</v>
      </c>
    </row>
    <row r="8509" spans="1:10" x14ac:dyDescent="0.35">
      <c r="A8509" s="2">
        <v>44800</v>
      </c>
      <c r="B8509" s="3">
        <v>0.71947916666666656</v>
      </c>
      <c r="C8509">
        <v>3620</v>
      </c>
      <c r="D8509" t="str">
        <f>VLOOKUP(H8509,Produkt!$A$2:$B$5,2,FALSE)</f>
        <v>C</v>
      </c>
      <c r="H8509">
        <v>3</v>
      </c>
      <c r="I8509">
        <v>0.60354166666666664</v>
      </c>
      <c r="J8509">
        <v>44785</v>
      </c>
    </row>
    <row r="8510" spans="1:10" x14ac:dyDescent="0.35">
      <c r="A8510" s="2">
        <v>44800</v>
      </c>
      <c r="B8510" s="3">
        <v>0.99584490740740739</v>
      </c>
      <c r="C8510">
        <v>3664</v>
      </c>
      <c r="D8510" t="str">
        <f>VLOOKUP(H8510,Produkt!$A$2:$B$5,2,FALSE)</f>
        <v>D</v>
      </c>
      <c r="H8510">
        <v>4</v>
      </c>
      <c r="I8510">
        <v>0.84484953703703702</v>
      </c>
      <c r="J8510">
        <v>44798</v>
      </c>
    </row>
    <row r="8511" spans="1:10" x14ac:dyDescent="0.35">
      <c r="A8511" s="2">
        <v>44800</v>
      </c>
      <c r="B8511" s="3">
        <v>0.97354166666666664</v>
      </c>
      <c r="C8511">
        <v>3689</v>
      </c>
      <c r="D8511" t="str">
        <f>VLOOKUP(H8511,Produkt!$A$2:$B$5,2,FALSE)</f>
        <v>A</v>
      </c>
      <c r="H8511">
        <v>1</v>
      </c>
      <c r="I8511">
        <v>0.56335648148148143</v>
      </c>
      <c r="J8511">
        <v>44798</v>
      </c>
    </row>
    <row r="8512" spans="1:10" x14ac:dyDescent="0.35">
      <c r="A8512" s="2">
        <v>44800</v>
      </c>
      <c r="B8512" s="3">
        <v>0.91063657407407417</v>
      </c>
      <c r="C8512">
        <v>3705</v>
      </c>
      <c r="D8512" t="str">
        <f>VLOOKUP(H8512,Produkt!$A$2:$B$5,2,FALSE)</f>
        <v>D</v>
      </c>
      <c r="H8512">
        <v>4</v>
      </c>
      <c r="I8512">
        <v>0.93839120370370377</v>
      </c>
      <c r="J8512">
        <v>44803</v>
      </c>
    </row>
    <row r="8513" spans="1:10" x14ac:dyDescent="0.35">
      <c r="A8513" s="2">
        <v>44800</v>
      </c>
      <c r="B8513" s="3">
        <v>8.6354166666666662E-2</v>
      </c>
      <c r="C8513">
        <v>3824</v>
      </c>
      <c r="D8513" t="str">
        <f>VLOOKUP(H8513,Produkt!$A$2:$B$5,2,FALSE)</f>
        <v>D</v>
      </c>
      <c r="H8513">
        <v>4</v>
      </c>
      <c r="I8513">
        <v>0.26237268518518519</v>
      </c>
      <c r="J8513">
        <v>44781</v>
      </c>
    </row>
    <row r="8514" spans="1:10" x14ac:dyDescent="0.35">
      <c r="A8514" s="2">
        <v>44800</v>
      </c>
      <c r="B8514" s="3">
        <v>0.45656249999999998</v>
      </c>
      <c r="C8514">
        <v>3928</v>
      </c>
      <c r="D8514" t="str">
        <f>VLOOKUP(H8514,Produkt!$A$2:$B$5,2,FALSE)</f>
        <v>A</v>
      </c>
      <c r="H8514">
        <v>1</v>
      </c>
      <c r="I8514">
        <v>0.90755787037037028</v>
      </c>
      <c r="J8514">
        <v>44801</v>
      </c>
    </row>
    <row r="8515" spans="1:10" x14ac:dyDescent="0.35">
      <c r="A8515" s="2">
        <v>44800</v>
      </c>
      <c r="B8515" s="3">
        <v>0.12211805555555555</v>
      </c>
      <c r="C8515">
        <v>3947</v>
      </c>
      <c r="D8515" t="str">
        <f>VLOOKUP(H8515,Produkt!$A$2:$B$5,2,FALSE)</f>
        <v>D</v>
      </c>
      <c r="H8515">
        <v>4</v>
      </c>
      <c r="I8515">
        <v>0.90925925925925932</v>
      </c>
      <c r="J8515">
        <v>44802</v>
      </c>
    </row>
    <row r="8516" spans="1:10" x14ac:dyDescent="0.35">
      <c r="A8516" s="2">
        <v>44800</v>
      </c>
      <c r="B8516" s="3">
        <v>0.87534722222222217</v>
      </c>
      <c r="C8516">
        <v>3981</v>
      </c>
      <c r="D8516" t="str">
        <f>VLOOKUP(H8516,Produkt!$A$2:$B$5,2,FALSE)</f>
        <v>D</v>
      </c>
      <c r="H8516">
        <v>4</v>
      </c>
      <c r="I8516">
        <v>0.57934027777777775</v>
      </c>
      <c r="J8516">
        <v>44804</v>
      </c>
    </row>
    <row r="8517" spans="1:10" x14ac:dyDescent="0.35">
      <c r="A8517" s="2">
        <v>44800</v>
      </c>
      <c r="B8517" s="3">
        <v>0.14570601851851853</v>
      </c>
      <c r="C8517">
        <v>4048</v>
      </c>
      <c r="D8517" t="str">
        <f>VLOOKUP(H8517,Produkt!$A$2:$B$5,2,FALSE)</f>
        <v>C</v>
      </c>
      <c r="H8517">
        <v>3</v>
      </c>
      <c r="I8517">
        <v>0.76769675925925929</v>
      </c>
      <c r="J8517">
        <v>44801</v>
      </c>
    </row>
    <row r="8518" spans="1:10" x14ac:dyDescent="0.35">
      <c r="A8518" s="2">
        <v>44800</v>
      </c>
      <c r="B8518" s="3">
        <v>0.66361111111111104</v>
      </c>
      <c r="C8518">
        <v>4143</v>
      </c>
      <c r="D8518" t="str">
        <f>VLOOKUP(H8518,Produkt!$A$2:$B$5,2,FALSE)</f>
        <v>B</v>
      </c>
      <c r="H8518">
        <v>2</v>
      </c>
      <c r="I8518">
        <v>0.81952546296296302</v>
      </c>
      <c r="J8518">
        <v>44797</v>
      </c>
    </row>
    <row r="8519" spans="1:10" x14ac:dyDescent="0.35">
      <c r="A8519" s="2">
        <v>44800</v>
      </c>
      <c r="B8519" s="3">
        <v>0.71482638888888894</v>
      </c>
      <c r="C8519">
        <v>4168</v>
      </c>
      <c r="D8519" t="str">
        <f>VLOOKUP(H8519,Produkt!$A$2:$B$5,2,FALSE)</f>
        <v>A</v>
      </c>
      <c r="H8519">
        <v>1</v>
      </c>
      <c r="I8519">
        <v>0.5236574074074074</v>
      </c>
      <c r="J8519">
        <v>44786</v>
      </c>
    </row>
    <row r="8520" spans="1:10" x14ac:dyDescent="0.35">
      <c r="A8520" s="2">
        <v>44800</v>
      </c>
      <c r="B8520" s="3">
        <v>0.93564814814814812</v>
      </c>
      <c r="C8520">
        <v>4173</v>
      </c>
      <c r="D8520" t="str">
        <f>VLOOKUP(H8520,Produkt!$A$2:$B$5,2,FALSE)</f>
        <v>C</v>
      </c>
      <c r="H8520">
        <v>3</v>
      </c>
      <c r="I8520">
        <v>0.72233796296296304</v>
      </c>
      <c r="J8520">
        <v>44776</v>
      </c>
    </row>
    <row r="8521" spans="1:10" x14ac:dyDescent="0.35">
      <c r="A8521" s="2">
        <v>44800</v>
      </c>
      <c r="B8521" s="3">
        <v>0.85179398148148155</v>
      </c>
      <c r="C8521">
        <v>4221</v>
      </c>
      <c r="D8521" t="str">
        <f>VLOOKUP(H8521,Produkt!$A$2:$B$5,2,FALSE)</f>
        <v>D</v>
      </c>
      <c r="H8521">
        <v>4</v>
      </c>
      <c r="I8521">
        <v>0.35813657407407407</v>
      </c>
      <c r="J8521">
        <v>44799</v>
      </c>
    </row>
    <row r="8522" spans="1:10" x14ac:dyDescent="0.35">
      <c r="A8522" s="2">
        <v>44800</v>
      </c>
      <c r="B8522" s="3">
        <v>0.43026620370370372</v>
      </c>
      <c r="C8522">
        <v>4246</v>
      </c>
      <c r="D8522" t="str">
        <f>VLOOKUP(H8522,Produkt!$A$2:$B$5,2,FALSE)</f>
        <v>A</v>
      </c>
      <c r="H8522">
        <v>1</v>
      </c>
      <c r="I8522">
        <v>3.8576388888888889E-2</v>
      </c>
      <c r="J8522">
        <v>44774</v>
      </c>
    </row>
    <row r="8523" spans="1:10" x14ac:dyDescent="0.35">
      <c r="A8523" s="2">
        <v>44800</v>
      </c>
      <c r="B8523" s="3">
        <v>0.32232638888888893</v>
      </c>
      <c r="C8523">
        <v>4261</v>
      </c>
      <c r="D8523" t="str">
        <f>VLOOKUP(H8523,Produkt!$A$2:$B$5,2,FALSE)</f>
        <v>D</v>
      </c>
      <c r="H8523">
        <v>4</v>
      </c>
      <c r="I8523">
        <v>3.7951388888888937E-2</v>
      </c>
      <c r="J8523">
        <v>44796</v>
      </c>
    </row>
    <row r="8524" spans="1:10" x14ac:dyDescent="0.35">
      <c r="A8524" s="2">
        <v>44800</v>
      </c>
      <c r="B8524" s="3">
        <v>0.79820601851851858</v>
      </c>
      <c r="C8524">
        <v>4333</v>
      </c>
      <c r="D8524" t="str">
        <f>VLOOKUP(H8524,Produkt!$A$2:$B$5,2,FALSE)</f>
        <v>C</v>
      </c>
      <c r="H8524">
        <v>3</v>
      </c>
      <c r="I8524">
        <v>0.75921296296296292</v>
      </c>
      <c r="J8524">
        <v>44788</v>
      </c>
    </row>
    <row r="8525" spans="1:10" x14ac:dyDescent="0.35">
      <c r="A8525" s="2">
        <v>44800</v>
      </c>
      <c r="B8525" s="3">
        <v>0.72668981481481476</v>
      </c>
      <c r="C8525">
        <v>4404</v>
      </c>
      <c r="D8525" t="str">
        <f>VLOOKUP(H8525,Produkt!$A$2:$B$5,2,FALSE)</f>
        <v>A</v>
      </c>
      <c r="H8525">
        <v>1</v>
      </c>
      <c r="I8525">
        <v>0.72075231481481483</v>
      </c>
      <c r="J8525">
        <v>44801</v>
      </c>
    </row>
    <row r="8526" spans="1:10" x14ac:dyDescent="0.35">
      <c r="A8526" s="2">
        <v>44800</v>
      </c>
      <c r="B8526" s="3">
        <v>8.0891203703703715E-2</v>
      </c>
      <c r="C8526">
        <v>4408</v>
      </c>
      <c r="D8526" t="str">
        <f>VLOOKUP(H8526,Produkt!$A$2:$B$5,2,FALSE)</f>
        <v>D</v>
      </c>
      <c r="H8526">
        <v>4</v>
      </c>
      <c r="I8526">
        <v>3.9363425925925899E-2</v>
      </c>
      <c r="J8526">
        <v>44781</v>
      </c>
    </row>
    <row r="8527" spans="1:10" x14ac:dyDescent="0.35">
      <c r="A8527" s="2">
        <v>44800</v>
      </c>
      <c r="B8527" s="3">
        <v>0.34646990740740741</v>
      </c>
      <c r="C8527">
        <v>4434</v>
      </c>
      <c r="D8527" t="str">
        <f>VLOOKUP(H8527,Produkt!$A$2:$B$5,2,FALSE)</f>
        <v>B</v>
      </c>
      <c r="H8527">
        <v>2</v>
      </c>
      <c r="I8527">
        <v>0.85341435185185188</v>
      </c>
      <c r="J8527">
        <v>44776</v>
      </c>
    </row>
    <row r="8528" spans="1:10" x14ac:dyDescent="0.35">
      <c r="A8528" s="2">
        <v>44800</v>
      </c>
      <c r="B8528" s="3">
        <v>0.65600694444444441</v>
      </c>
      <c r="C8528">
        <v>4496</v>
      </c>
      <c r="D8528" t="str">
        <f>VLOOKUP(H8528,Produkt!$A$2:$B$5,2,FALSE)</f>
        <v>D</v>
      </c>
      <c r="H8528">
        <v>4</v>
      </c>
      <c r="I8528">
        <v>7.4467592592592599E-2</v>
      </c>
      <c r="J8528">
        <v>44798</v>
      </c>
    </row>
    <row r="8529" spans="1:10" x14ac:dyDescent="0.35">
      <c r="A8529" s="2">
        <v>44800</v>
      </c>
      <c r="B8529" s="3">
        <v>0.59106481481481488</v>
      </c>
      <c r="C8529">
        <v>4557</v>
      </c>
      <c r="D8529" t="str">
        <f>VLOOKUP(H8529,Produkt!$A$2:$B$5,2,FALSE)</f>
        <v>D</v>
      </c>
      <c r="H8529">
        <v>4</v>
      </c>
      <c r="I8529">
        <v>0.11309027777777779</v>
      </c>
      <c r="J8529">
        <v>44778</v>
      </c>
    </row>
    <row r="8530" spans="1:10" x14ac:dyDescent="0.35">
      <c r="A8530" s="2">
        <v>44800</v>
      </c>
      <c r="B8530" s="3">
        <v>1.0543981481481481E-2</v>
      </c>
      <c r="C8530">
        <v>4600</v>
      </c>
      <c r="D8530" t="str">
        <f>VLOOKUP(H8530,Produkt!$A$2:$B$5,2,FALSE)</f>
        <v>D</v>
      </c>
      <c r="H8530">
        <v>4</v>
      </c>
      <c r="I8530">
        <v>3.4942129629629504E-2</v>
      </c>
      <c r="J8530">
        <v>44796</v>
      </c>
    </row>
    <row r="8531" spans="1:10" x14ac:dyDescent="0.35">
      <c r="A8531" s="2">
        <v>44800</v>
      </c>
      <c r="B8531" s="3">
        <v>0.34575231481481478</v>
      </c>
      <c r="C8531">
        <v>4632</v>
      </c>
      <c r="D8531" t="str">
        <f>VLOOKUP(H8531,Produkt!$A$2:$B$5,2,FALSE)</f>
        <v>B</v>
      </c>
      <c r="H8531">
        <v>2</v>
      </c>
      <c r="I8531">
        <v>0.59508101851851858</v>
      </c>
      <c r="J8531">
        <v>44785</v>
      </c>
    </row>
    <row r="8532" spans="1:10" x14ac:dyDescent="0.35">
      <c r="A8532" s="2">
        <v>44800</v>
      </c>
      <c r="B8532" s="3">
        <v>0.70162037037037039</v>
      </c>
      <c r="C8532">
        <v>4643</v>
      </c>
      <c r="D8532" t="str">
        <f>VLOOKUP(H8532,Produkt!$A$2:$B$5,2,FALSE)</f>
        <v>B</v>
      </c>
      <c r="H8532">
        <v>2</v>
      </c>
      <c r="I8532">
        <v>0.82013888888888886</v>
      </c>
      <c r="J8532">
        <v>44794</v>
      </c>
    </row>
    <row r="8533" spans="1:10" x14ac:dyDescent="0.35">
      <c r="A8533" s="2">
        <v>44800</v>
      </c>
      <c r="B8533" s="3">
        <v>0.87028935185185186</v>
      </c>
      <c r="C8533">
        <v>4644</v>
      </c>
      <c r="D8533" t="str">
        <f>VLOOKUP(H8533,Produkt!$A$2:$B$5,2,FALSE)</f>
        <v>D</v>
      </c>
      <c r="H8533">
        <v>4</v>
      </c>
      <c r="I8533">
        <v>0.88261574074074067</v>
      </c>
      <c r="J8533">
        <v>44777</v>
      </c>
    </row>
    <row r="8534" spans="1:10" x14ac:dyDescent="0.35">
      <c r="A8534" s="2">
        <v>44800</v>
      </c>
      <c r="B8534" s="3">
        <v>0.31329861111111112</v>
      </c>
      <c r="C8534">
        <v>4647</v>
      </c>
      <c r="D8534" t="str">
        <f>VLOOKUP(H8534,Produkt!$A$2:$B$5,2,FALSE)</f>
        <v>D</v>
      </c>
      <c r="H8534">
        <v>4</v>
      </c>
      <c r="I8534">
        <v>0.85964120370370367</v>
      </c>
      <c r="J8534">
        <v>44775</v>
      </c>
    </row>
    <row r="8535" spans="1:10" x14ac:dyDescent="0.35">
      <c r="A8535" s="2">
        <v>44800</v>
      </c>
      <c r="B8535" s="3">
        <v>0.61641203703703706</v>
      </c>
      <c r="C8535">
        <v>4724</v>
      </c>
      <c r="D8535" t="str">
        <f>VLOOKUP(H8535,Produkt!$A$2:$B$5,2,FALSE)</f>
        <v>C</v>
      </c>
      <c r="H8535">
        <v>3</v>
      </c>
      <c r="I8535">
        <v>0.17028935185185187</v>
      </c>
      <c r="J8535">
        <v>44794</v>
      </c>
    </row>
    <row r="8536" spans="1:10" x14ac:dyDescent="0.35">
      <c r="A8536" s="2">
        <v>44800</v>
      </c>
      <c r="B8536" s="3">
        <v>0.59425925925925926</v>
      </c>
      <c r="C8536">
        <v>4749</v>
      </c>
      <c r="D8536" t="str">
        <f>VLOOKUP(H8536,Produkt!$A$2:$B$5,2,FALSE)</f>
        <v>A</v>
      </c>
      <c r="H8536">
        <v>1</v>
      </c>
      <c r="I8536">
        <v>0.67241898148148149</v>
      </c>
      <c r="J8536">
        <v>44798</v>
      </c>
    </row>
    <row r="8537" spans="1:10" x14ac:dyDescent="0.35">
      <c r="A8537" s="2">
        <v>44800</v>
      </c>
      <c r="B8537" s="3">
        <v>0.53297453703703701</v>
      </c>
      <c r="C8537">
        <v>4796</v>
      </c>
      <c r="D8537" t="str">
        <f>VLOOKUP(H8537,Produkt!$A$2:$B$5,2,FALSE)</f>
        <v>C</v>
      </c>
      <c r="H8537">
        <v>3</v>
      </c>
      <c r="I8537">
        <v>0.13207175925925926</v>
      </c>
      <c r="J8537">
        <v>44798</v>
      </c>
    </row>
    <row r="8538" spans="1:10" x14ac:dyDescent="0.35">
      <c r="A8538" s="2">
        <v>44800</v>
      </c>
      <c r="B8538" s="3">
        <v>0.77241898148148147</v>
      </c>
      <c r="C8538">
        <v>4801</v>
      </c>
      <c r="D8538" t="str">
        <f>VLOOKUP(H8538,Produkt!$A$2:$B$5,2,FALSE)</f>
        <v>C</v>
      </c>
      <c r="H8538">
        <v>3</v>
      </c>
      <c r="I8538">
        <v>0.2084722222222222</v>
      </c>
      <c r="J8538">
        <v>44798</v>
      </c>
    </row>
    <row r="8539" spans="1:10" x14ac:dyDescent="0.35">
      <c r="A8539" s="2">
        <v>44800</v>
      </c>
      <c r="B8539" s="3">
        <v>0.83315972222222223</v>
      </c>
      <c r="C8539">
        <v>4805</v>
      </c>
      <c r="D8539" t="str">
        <f>VLOOKUP(H8539,Produkt!$A$2:$B$5,2,FALSE)</f>
        <v>C</v>
      </c>
      <c r="H8539">
        <v>3</v>
      </c>
      <c r="I8539">
        <v>0.60040509259259256</v>
      </c>
      <c r="J8539">
        <v>44781</v>
      </c>
    </row>
    <row r="8540" spans="1:10" x14ac:dyDescent="0.35">
      <c r="A8540" s="2">
        <v>44800</v>
      </c>
      <c r="B8540" s="3">
        <v>0.49927083333333333</v>
      </c>
      <c r="C8540">
        <v>4824</v>
      </c>
      <c r="D8540" t="str">
        <f>VLOOKUP(H8540,Produkt!$A$2:$B$5,2,FALSE)</f>
        <v>C</v>
      </c>
      <c r="H8540">
        <v>3</v>
      </c>
      <c r="I8540">
        <v>0.55324074074074081</v>
      </c>
      <c r="J8540">
        <v>44803</v>
      </c>
    </row>
    <row r="8541" spans="1:10" x14ac:dyDescent="0.35">
      <c r="A8541" s="2">
        <v>44800</v>
      </c>
      <c r="B8541" s="3">
        <v>0.93082175925925925</v>
      </c>
      <c r="C8541">
        <v>4860</v>
      </c>
      <c r="D8541" t="str">
        <f>VLOOKUP(H8541,Produkt!$A$2:$B$5,2,FALSE)</f>
        <v>B</v>
      </c>
      <c r="H8541">
        <v>2</v>
      </c>
      <c r="I8541">
        <v>0.71280092592592592</v>
      </c>
      <c r="J8541">
        <v>44790</v>
      </c>
    </row>
    <row r="8542" spans="1:10" x14ac:dyDescent="0.35">
      <c r="A8542" s="2">
        <v>44800</v>
      </c>
      <c r="B8542" s="3">
        <v>0.33575231481481477</v>
      </c>
      <c r="C8542">
        <v>4875</v>
      </c>
      <c r="D8542" t="str">
        <f>VLOOKUP(H8542,Produkt!$A$2:$B$5,2,FALSE)</f>
        <v>D</v>
      </c>
      <c r="H8542">
        <v>4</v>
      </c>
      <c r="I8542">
        <v>0.34109953703703705</v>
      </c>
      <c r="J8542">
        <v>44776</v>
      </c>
    </row>
    <row r="8543" spans="1:10" x14ac:dyDescent="0.35">
      <c r="A8543" s="2">
        <v>44800</v>
      </c>
      <c r="B8543" s="3">
        <v>0.46932870370370372</v>
      </c>
      <c r="C8543">
        <v>4894</v>
      </c>
      <c r="D8543" t="str">
        <f>VLOOKUP(H8543,Produkt!$A$2:$B$5,2,FALSE)</f>
        <v>D</v>
      </c>
      <c r="H8543">
        <v>4</v>
      </c>
      <c r="I8543">
        <v>0.45734953703703707</v>
      </c>
      <c r="J8543">
        <v>44783</v>
      </c>
    </row>
    <row r="8544" spans="1:10" x14ac:dyDescent="0.35">
      <c r="A8544" s="2">
        <v>44800</v>
      </c>
      <c r="B8544" s="3">
        <v>0.13458333333333333</v>
      </c>
      <c r="C8544">
        <v>4898</v>
      </c>
      <c r="D8544" t="str">
        <f>VLOOKUP(H8544,Produkt!$A$2:$B$5,2,FALSE)</f>
        <v>D</v>
      </c>
      <c r="H8544">
        <v>4</v>
      </c>
      <c r="I8544">
        <v>0.41291666666666665</v>
      </c>
      <c r="J8544">
        <v>44798</v>
      </c>
    </row>
    <row r="8545" spans="1:10" x14ac:dyDescent="0.35">
      <c r="A8545" s="2">
        <v>44800</v>
      </c>
      <c r="B8545" s="3">
        <v>0.79391203703703705</v>
      </c>
      <c r="C8545">
        <v>4908</v>
      </c>
      <c r="D8545" t="str">
        <f>VLOOKUP(H8545,Produkt!$A$2:$B$5,2,FALSE)</f>
        <v>D</v>
      </c>
      <c r="H8545">
        <v>4</v>
      </c>
      <c r="I8545">
        <v>0.145625</v>
      </c>
      <c r="J8545">
        <v>44784</v>
      </c>
    </row>
    <row r="8546" spans="1:10" x14ac:dyDescent="0.35">
      <c r="A8546" s="2">
        <v>44800</v>
      </c>
      <c r="B8546" s="3">
        <v>0.48251157407407402</v>
      </c>
      <c r="C8546">
        <v>4920</v>
      </c>
      <c r="D8546" t="str">
        <f>VLOOKUP(H8546,Produkt!$A$2:$B$5,2,FALSE)</f>
        <v>C</v>
      </c>
      <c r="H8546">
        <v>3</v>
      </c>
      <c r="I8546">
        <v>8.8842592592592584E-2</v>
      </c>
      <c r="J8546">
        <v>44776</v>
      </c>
    </row>
    <row r="8547" spans="1:10" x14ac:dyDescent="0.35">
      <c r="A8547" s="2">
        <v>44800</v>
      </c>
      <c r="B8547" s="3">
        <v>0.3026388888888889</v>
      </c>
      <c r="C8547">
        <v>4928</v>
      </c>
      <c r="D8547" t="str">
        <f>VLOOKUP(H8547,Produkt!$A$2:$B$5,2,FALSE)</f>
        <v>C</v>
      </c>
      <c r="H8547">
        <v>3</v>
      </c>
      <c r="I8547">
        <v>0.45812499999999995</v>
      </c>
      <c r="J8547">
        <v>44781</v>
      </c>
    </row>
    <row r="8548" spans="1:10" x14ac:dyDescent="0.35">
      <c r="A8548" s="2">
        <v>44800</v>
      </c>
      <c r="B8548" s="3">
        <v>0.4679976851851852</v>
      </c>
      <c r="C8548">
        <v>4929</v>
      </c>
      <c r="D8548" t="str">
        <f>VLOOKUP(H8548,Produkt!$A$2:$B$5,2,FALSE)</f>
        <v>A</v>
      </c>
      <c r="H8548">
        <v>1</v>
      </c>
      <c r="I8548">
        <v>0.9381018518518518</v>
      </c>
      <c r="J8548">
        <v>44804</v>
      </c>
    </row>
    <row r="8549" spans="1:10" x14ac:dyDescent="0.35">
      <c r="A8549" s="2">
        <v>44800</v>
      </c>
      <c r="B8549" s="3">
        <v>0.36120370370370369</v>
      </c>
      <c r="C8549">
        <v>4958</v>
      </c>
      <c r="D8549" t="str">
        <f>VLOOKUP(H8549,Produkt!$A$2:$B$5,2,FALSE)</f>
        <v>B</v>
      </c>
      <c r="H8549">
        <v>2</v>
      </c>
      <c r="I8549">
        <v>0.63425925925925919</v>
      </c>
      <c r="J8549">
        <v>44775</v>
      </c>
    </row>
    <row r="8550" spans="1:10" x14ac:dyDescent="0.35">
      <c r="A8550" s="2">
        <v>44800</v>
      </c>
      <c r="B8550" s="3">
        <v>0.87236111111111114</v>
      </c>
      <c r="C8550">
        <v>4999</v>
      </c>
      <c r="D8550" t="str">
        <f>VLOOKUP(H8550,Produkt!$A$2:$B$5,2,FALSE)</f>
        <v>D</v>
      </c>
      <c r="H8550">
        <v>4</v>
      </c>
      <c r="I8550">
        <v>0.73864583333333333</v>
      </c>
      <c r="J8550">
        <v>44798</v>
      </c>
    </row>
    <row r="8551" spans="1:10" x14ac:dyDescent="0.35">
      <c r="A8551" s="2">
        <v>44800</v>
      </c>
      <c r="B8551" s="3">
        <v>0.77925925925925921</v>
      </c>
      <c r="C8551">
        <v>5049</v>
      </c>
      <c r="D8551" t="str">
        <f>VLOOKUP(H8551,Produkt!$A$2:$B$5,2,FALSE)</f>
        <v>D</v>
      </c>
      <c r="H8551">
        <v>4</v>
      </c>
      <c r="I8551">
        <v>0.62972222222222218</v>
      </c>
      <c r="J8551">
        <v>44782</v>
      </c>
    </row>
    <row r="8552" spans="1:10" x14ac:dyDescent="0.35">
      <c r="A8552" s="2">
        <v>44800</v>
      </c>
      <c r="B8552" s="3">
        <v>0.40370370370370368</v>
      </c>
      <c r="C8552">
        <v>5067</v>
      </c>
      <c r="D8552" t="str">
        <f>VLOOKUP(H8552,Produkt!$A$2:$B$5,2,FALSE)</f>
        <v>B</v>
      </c>
      <c r="H8552">
        <v>2</v>
      </c>
      <c r="I8552">
        <v>0.49662037037037038</v>
      </c>
      <c r="J8552">
        <v>44793</v>
      </c>
    </row>
    <row r="8553" spans="1:10" x14ac:dyDescent="0.35">
      <c r="A8553" s="2">
        <v>44800</v>
      </c>
      <c r="B8553" s="3">
        <v>2.6215277777777778E-2</v>
      </c>
      <c r="C8553">
        <v>5078</v>
      </c>
      <c r="D8553" t="str">
        <f>VLOOKUP(H8553,Produkt!$A$2:$B$5,2,FALSE)</f>
        <v>A</v>
      </c>
      <c r="H8553">
        <v>1</v>
      </c>
      <c r="I8553">
        <v>0.58677083333333335</v>
      </c>
      <c r="J8553">
        <v>44785</v>
      </c>
    </row>
    <row r="8554" spans="1:10" x14ac:dyDescent="0.35">
      <c r="A8554" s="2">
        <v>44800</v>
      </c>
      <c r="B8554" s="3">
        <v>0.46013888888888888</v>
      </c>
      <c r="C8554">
        <v>5105</v>
      </c>
      <c r="D8554" t="str">
        <f>VLOOKUP(H8554,Produkt!$A$2:$B$5,2,FALSE)</f>
        <v>A</v>
      </c>
      <c r="H8554">
        <v>1</v>
      </c>
      <c r="I8554">
        <v>0.75748842592592591</v>
      </c>
      <c r="J8554">
        <v>44797</v>
      </c>
    </row>
    <row r="8555" spans="1:10" x14ac:dyDescent="0.35">
      <c r="A8555" s="2">
        <v>44800</v>
      </c>
      <c r="B8555" s="3">
        <v>0.43396990740740743</v>
      </c>
      <c r="C8555">
        <v>5142</v>
      </c>
      <c r="D8555" t="str">
        <f>VLOOKUP(H8555,Produkt!$A$2:$B$5,2,FALSE)</f>
        <v>B</v>
      </c>
      <c r="H8555">
        <v>2</v>
      </c>
      <c r="I8555">
        <v>3.6006944444444411E-2</v>
      </c>
      <c r="J8555">
        <v>44796</v>
      </c>
    </row>
    <row r="8556" spans="1:10" x14ac:dyDescent="0.35">
      <c r="A8556" s="2">
        <v>44800</v>
      </c>
      <c r="B8556" s="3">
        <v>0.85010416666666666</v>
      </c>
      <c r="C8556">
        <v>5171</v>
      </c>
      <c r="D8556" t="str">
        <f>VLOOKUP(H8556,Produkt!$A$2:$B$5,2,FALSE)</f>
        <v>D</v>
      </c>
      <c r="H8556">
        <v>4</v>
      </c>
      <c r="I8556">
        <v>0.99884259259259256</v>
      </c>
      <c r="J8556">
        <v>44786</v>
      </c>
    </row>
    <row r="8557" spans="1:10" x14ac:dyDescent="0.35">
      <c r="A8557" s="2">
        <v>44800</v>
      </c>
      <c r="B8557" s="3">
        <v>0.83181712962962961</v>
      </c>
      <c r="C8557">
        <v>5196</v>
      </c>
      <c r="D8557" t="str">
        <f>VLOOKUP(H8557,Produkt!$A$2:$B$5,2,FALSE)</f>
        <v>B</v>
      </c>
      <c r="H8557">
        <v>2</v>
      </c>
      <c r="I8557">
        <v>0.47431712962962963</v>
      </c>
      <c r="J8557">
        <v>44777</v>
      </c>
    </row>
    <row r="8558" spans="1:10" x14ac:dyDescent="0.35">
      <c r="A8558" s="2">
        <v>44800</v>
      </c>
      <c r="B8558" s="3">
        <v>0.42987268518518523</v>
      </c>
      <c r="C8558">
        <v>5200</v>
      </c>
      <c r="D8558" t="str">
        <f>VLOOKUP(H8558,Produkt!$A$2:$B$5,2,FALSE)</f>
        <v>D</v>
      </c>
      <c r="H8558">
        <v>4</v>
      </c>
      <c r="I8558">
        <v>0.86285879629629625</v>
      </c>
      <c r="J8558">
        <v>44776</v>
      </c>
    </row>
    <row r="8559" spans="1:10" x14ac:dyDescent="0.35">
      <c r="A8559" s="2">
        <v>44800</v>
      </c>
      <c r="B8559" s="3">
        <v>0.89694444444444443</v>
      </c>
      <c r="C8559">
        <v>5201</v>
      </c>
      <c r="D8559" t="str">
        <f>VLOOKUP(H8559,Produkt!$A$2:$B$5,2,FALSE)</f>
        <v>D</v>
      </c>
      <c r="H8559">
        <v>4</v>
      </c>
      <c r="I8559">
        <v>0.25824074074074072</v>
      </c>
      <c r="J8559">
        <v>44786</v>
      </c>
    </row>
    <row r="8560" spans="1:10" x14ac:dyDescent="0.35">
      <c r="A8560" s="2">
        <v>44800</v>
      </c>
      <c r="B8560" s="3">
        <v>0.22251157407407407</v>
      </c>
      <c r="C8560">
        <v>5202</v>
      </c>
      <c r="D8560" t="str">
        <f>VLOOKUP(H8560,Produkt!$A$2:$B$5,2,FALSE)</f>
        <v>A</v>
      </c>
      <c r="H8560">
        <v>1</v>
      </c>
      <c r="I8560">
        <v>0.31090277777777781</v>
      </c>
      <c r="J8560">
        <v>44788</v>
      </c>
    </row>
    <row r="8561" spans="1:10" x14ac:dyDescent="0.35">
      <c r="A8561" s="2">
        <v>44800</v>
      </c>
      <c r="B8561" s="3">
        <v>3.1111111111111107E-2</v>
      </c>
      <c r="C8561">
        <v>5231</v>
      </c>
      <c r="D8561" t="str">
        <f>VLOOKUP(H8561,Produkt!$A$2:$B$5,2,FALSE)</f>
        <v>D</v>
      </c>
      <c r="H8561">
        <v>4</v>
      </c>
      <c r="I8561">
        <v>0.3979166666666667</v>
      </c>
      <c r="J8561">
        <v>44776</v>
      </c>
    </row>
    <row r="8562" spans="1:10" x14ac:dyDescent="0.35">
      <c r="A8562" s="2">
        <v>44800</v>
      </c>
      <c r="B8562" s="3">
        <v>0.85094907407407405</v>
      </c>
      <c r="C8562">
        <v>5246</v>
      </c>
      <c r="D8562" t="str">
        <f>VLOOKUP(H8562,Produkt!$A$2:$B$5,2,FALSE)</f>
        <v>B</v>
      </c>
      <c r="H8562">
        <v>2</v>
      </c>
      <c r="I8562">
        <v>0.55140046296296297</v>
      </c>
      <c r="J8562">
        <v>44802</v>
      </c>
    </row>
    <row r="8563" spans="1:10" x14ac:dyDescent="0.35">
      <c r="A8563" s="2">
        <v>44800</v>
      </c>
      <c r="B8563" s="3">
        <v>0.95594907407407403</v>
      </c>
      <c r="C8563">
        <v>5282</v>
      </c>
      <c r="D8563" t="str">
        <f>VLOOKUP(H8563,Produkt!$A$2:$B$5,2,FALSE)</f>
        <v>D</v>
      </c>
      <c r="H8563">
        <v>4</v>
      </c>
      <c r="I8563">
        <v>0.67013888888888884</v>
      </c>
      <c r="J8563">
        <v>44783</v>
      </c>
    </row>
    <row r="8564" spans="1:10" x14ac:dyDescent="0.35">
      <c r="A8564" s="2">
        <v>44800</v>
      </c>
      <c r="B8564" s="3">
        <v>5.6828703703703702E-3</v>
      </c>
      <c r="C8564">
        <v>5361</v>
      </c>
      <c r="D8564" t="str">
        <f>VLOOKUP(H8564,Produkt!$A$2:$B$5,2,FALSE)</f>
        <v>B</v>
      </c>
      <c r="H8564">
        <v>2</v>
      </c>
      <c r="I8564">
        <v>0.89810185185185187</v>
      </c>
      <c r="J8564">
        <v>44778</v>
      </c>
    </row>
    <row r="8565" spans="1:10" x14ac:dyDescent="0.35">
      <c r="A8565" s="2">
        <v>44800</v>
      </c>
      <c r="B8565" s="3">
        <v>0.17134259259259257</v>
      </c>
      <c r="C8565">
        <v>5381</v>
      </c>
      <c r="D8565" t="str">
        <f>VLOOKUP(H8565,Produkt!$A$2:$B$5,2,FALSE)</f>
        <v>C</v>
      </c>
      <c r="H8565">
        <v>3</v>
      </c>
      <c r="I8565">
        <v>0.38881944444444444</v>
      </c>
      <c r="J8565">
        <v>44780</v>
      </c>
    </row>
    <row r="8566" spans="1:10" x14ac:dyDescent="0.35">
      <c r="A8566" s="2">
        <v>44800</v>
      </c>
      <c r="B8566" s="3">
        <v>1.2094907407407485E-2</v>
      </c>
      <c r="C8566">
        <v>5382</v>
      </c>
      <c r="D8566" t="str">
        <f>VLOOKUP(H8566,Produkt!$A$2:$B$5,2,FALSE)</f>
        <v>B</v>
      </c>
      <c r="H8566">
        <v>2</v>
      </c>
      <c r="I8566">
        <v>0.92879629629629623</v>
      </c>
      <c r="J8566">
        <v>44775</v>
      </c>
    </row>
    <row r="8567" spans="1:10" x14ac:dyDescent="0.35">
      <c r="A8567" s="2">
        <v>44800</v>
      </c>
      <c r="B8567" s="3">
        <v>0.75009259259259264</v>
      </c>
      <c r="C8567">
        <v>5397</v>
      </c>
      <c r="D8567" t="str">
        <f>VLOOKUP(H8567,Produkt!$A$2:$B$5,2,FALSE)</f>
        <v>D</v>
      </c>
      <c r="H8567">
        <v>4</v>
      </c>
      <c r="I8567">
        <v>0.26130787037037034</v>
      </c>
      <c r="J8567">
        <v>44794</v>
      </c>
    </row>
    <row r="8568" spans="1:10" x14ac:dyDescent="0.35">
      <c r="A8568" s="2">
        <v>44800</v>
      </c>
      <c r="B8568" s="3">
        <v>0.69953703703703696</v>
      </c>
      <c r="C8568">
        <v>5502</v>
      </c>
      <c r="D8568" t="str">
        <f>VLOOKUP(H8568,Produkt!$A$2:$B$5,2,FALSE)</f>
        <v>A</v>
      </c>
      <c r="H8568">
        <v>1</v>
      </c>
      <c r="I8568">
        <v>0.64260416666666664</v>
      </c>
      <c r="J8568">
        <v>44791</v>
      </c>
    </row>
    <row r="8569" spans="1:10" x14ac:dyDescent="0.35">
      <c r="A8569" s="2">
        <v>44800</v>
      </c>
      <c r="B8569" s="3">
        <v>0.99336805555555552</v>
      </c>
      <c r="C8569">
        <v>5563</v>
      </c>
      <c r="D8569" t="str">
        <f>VLOOKUP(H8569,Produkt!$A$2:$B$5,2,FALSE)</f>
        <v>A</v>
      </c>
      <c r="H8569">
        <v>1</v>
      </c>
      <c r="I8569">
        <v>0.47658564814814813</v>
      </c>
      <c r="J8569">
        <v>44800</v>
      </c>
    </row>
    <row r="8570" spans="1:10" x14ac:dyDescent="0.35">
      <c r="A8570" s="2">
        <v>44800</v>
      </c>
      <c r="B8570" s="3">
        <v>0.74171296296296296</v>
      </c>
      <c r="C8570">
        <v>5579</v>
      </c>
      <c r="D8570" t="str">
        <f>VLOOKUP(H8570,Produkt!$A$2:$B$5,2,FALSE)</f>
        <v>D</v>
      </c>
      <c r="H8570">
        <v>4</v>
      </c>
      <c r="I8570">
        <v>0.48383101851851856</v>
      </c>
      <c r="J8570">
        <v>44777</v>
      </c>
    </row>
    <row r="8571" spans="1:10" x14ac:dyDescent="0.35">
      <c r="A8571" s="2">
        <v>44800</v>
      </c>
      <c r="B8571" s="3">
        <v>0.14719907407407407</v>
      </c>
      <c r="C8571">
        <v>5607</v>
      </c>
      <c r="D8571" t="str">
        <f>VLOOKUP(H8571,Produkt!$A$2:$B$5,2,FALSE)</f>
        <v>D</v>
      </c>
      <c r="H8571">
        <v>4</v>
      </c>
      <c r="I8571">
        <v>0.89856481481481476</v>
      </c>
      <c r="J8571">
        <v>44803</v>
      </c>
    </row>
    <row r="8572" spans="1:10" x14ac:dyDescent="0.35">
      <c r="A8572" s="2">
        <v>44800</v>
      </c>
      <c r="B8572" s="3">
        <v>0.6871990740740741</v>
      </c>
      <c r="C8572">
        <v>5640</v>
      </c>
      <c r="D8572" t="str">
        <f>VLOOKUP(H8572,Produkt!$A$2:$B$5,2,FALSE)</f>
        <v>C</v>
      </c>
      <c r="H8572">
        <v>3</v>
      </c>
      <c r="I8572">
        <v>0.51466435185185189</v>
      </c>
      <c r="J8572">
        <v>44775</v>
      </c>
    </row>
    <row r="8573" spans="1:10" x14ac:dyDescent="0.35">
      <c r="A8573" s="2">
        <v>44800</v>
      </c>
      <c r="B8573" s="3">
        <v>0.23046296296296295</v>
      </c>
      <c r="C8573">
        <v>5678</v>
      </c>
      <c r="D8573" t="str">
        <f>VLOOKUP(H8573,Produkt!$A$2:$B$5,2,FALSE)</f>
        <v>D</v>
      </c>
      <c r="H8573">
        <v>4</v>
      </c>
      <c r="I8573">
        <v>0.73238425925925921</v>
      </c>
      <c r="J8573">
        <v>44796</v>
      </c>
    </row>
    <row r="8574" spans="1:10" x14ac:dyDescent="0.35">
      <c r="A8574" s="2">
        <v>44800</v>
      </c>
      <c r="B8574" s="3">
        <v>0.25259259259259259</v>
      </c>
      <c r="C8574">
        <v>5718</v>
      </c>
      <c r="D8574" t="str">
        <f>VLOOKUP(H8574,Produkt!$A$2:$B$5,2,FALSE)</f>
        <v>B</v>
      </c>
      <c r="H8574">
        <v>2</v>
      </c>
      <c r="I8574">
        <v>0.33244212962962966</v>
      </c>
      <c r="J8574">
        <v>44798</v>
      </c>
    </row>
    <row r="8575" spans="1:10" x14ac:dyDescent="0.35">
      <c r="A8575" s="2">
        <v>44800</v>
      </c>
      <c r="B8575" s="3">
        <v>0.63091435185185185</v>
      </c>
      <c r="C8575">
        <v>5746</v>
      </c>
      <c r="D8575" t="str">
        <f>VLOOKUP(H8575,Produkt!$A$2:$B$5,2,FALSE)</f>
        <v>C</v>
      </c>
      <c r="H8575">
        <v>3</v>
      </c>
      <c r="I8575">
        <v>0.86446759259259265</v>
      </c>
      <c r="J8575">
        <v>44801</v>
      </c>
    </row>
    <row r="8576" spans="1:10" x14ac:dyDescent="0.35">
      <c r="A8576" s="2">
        <v>44800</v>
      </c>
      <c r="B8576" s="3">
        <v>0.22777777777777777</v>
      </c>
      <c r="C8576">
        <v>5750</v>
      </c>
      <c r="D8576" t="str">
        <f>VLOOKUP(H8576,Produkt!$A$2:$B$5,2,FALSE)</f>
        <v>D</v>
      </c>
      <c r="H8576">
        <v>4</v>
      </c>
      <c r="I8576">
        <v>0.10836805555555555</v>
      </c>
      <c r="J8576">
        <v>44793</v>
      </c>
    </row>
    <row r="8577" spans="1:10" x14ac:dyDescent="0.35">
      <c r="A8577" s="2">
        <v>44800</v>
      </c>
      <c r="B8577" s="3">
        <v>0.27006944444444442</v>
      </c>
      <c r="C8577">
        <v>5776</v>
      </c>
      <c r="D8577" t="str">
        <f>VLOOKUP(H8577,Produkt!$A$2:$B$5,2,FALSE)</f>
        <v>D</v>
      </c>
      <c r="H8577">
        <v>4</v>
      </c>
      <c r="I8577">
        <v>0.36827546296296299</v>
      </c>
      <c r="J8577">
        <v>44779</v>
      </c>
    </row>
    <row r="8578" spans="1:10" x14ac:dyDescent="0.35">
      <c r="A8578" s="2">
        <v>44800</v>
      </c>
      <c r="B8578" s="3">
        <v>0.17739583333333334</v>
      </c>
      <c r="C8578">
        <v>5803</v>
      </c>
      <c r="D8578" t="str">
        <f>VLOOKUP(H8578,Produkt!$A$2:$B$5,2,FALSE)</f>
        <v>B</v>
      </c>
      <c r="H8578">
        <v>2</v>
      </c>
      <c r="I8578">
        <v>0.48314814814814816</v>
      </c>
      <c r="J8578">
        <v>44797</v>
      </c>
    </row>
    <row r="8579" spans="1:10" x14ac:dyDescent="0.35">
      <c r="A8579" s="2">
        <v>44800</v>
      </c>
      <c r="B8579" s="3">
        <v>0.41658564814814819</v>
      </c>
      <c r="C8579">
        <v>5830</v>
      </c>
      <c r="D8579" t="str">
        <f>VLOOKUP(H8579,Produkt!$A$2:$B$5,2,FALSE)</f>
        <v>B</v>
      </c>
      <c r="H8579">
        <v>2</v>
      </c>
      <c r="I8579">
        <v>7.946759259259259E-2</v>
      </c>
      <c r="J8579">
        <v>44788</v>
      </c>
    </row>
    <row r="8580" spans="1:10" x14ac:dyDescent="0.35">
      <c r="A8580" s="2">
        <v>44800</v>
      </c>
      <c r="B8580" s="3">
        <v>0.16749999999999998</v>
      </c>
      <c r="C8580">
        <v>5854</v>
      </c>
      <c r="D8580" t="str">
        <f>VLOOKUP(H8580,Produkt!$A$2:$B$5,2,FALSE)</f>
        <v>C</v>
      </c>
      <c r="H8580">
        <v>3</v>
      </c>
      <c r="I8580">
        <v>0.69172453703703696</v>
      </c>
      <c r="J8580">
        <v>44781</v>
      </c>
    </row>
    <row r="8581" spans="1:10" x14ac:dyDescent="0.35">
      <c r="A8581" s="2">
        <v>44800</v>
      </c>
      <c r="B8581" s="3">
        <v>0.63721064814814821</v>
      </c>
      <c r="C8581">
        <v>5928</v>
      </c>
      <c r="D8581" t="str">
        <f>VLOOKUP(H8581,Produkt!$A$2:$B$5,2,FALSE)</f>
        <v>B</v>
      </c>
      <c r="H8581">
        <v>2</v>
      </c>
      <c r="I8581">
        <v>0.83759259259259267</v>
      </c>
      <c r="J8581">
        <v>44801</v>
      </c>
    </row>
    <row r="8582" spans="1:10" x14ac:dyDescent="0.35">
      <c r="A8582" s="2">
        <v>44800</v>
      </c>
      <c r="B8582" s="3">
        <v>0.81898148148148142</v>
      </c>
      <c r="C8582">
        <v>5973</v>
      </c>
      <c r="D8582" t="str">
        <f>VLOOKUP(H8582,Produkt!$A$2:$B$5,2,FALSE)</f>
        <v>B</v>
      </c>
      <c r="H8582">
        <v>2</v>
      </c>
      <c r="I8582">
        <v>4.1944444444444444E-2</v>
      </c>
      <c r="J8582">
        <v>44779</v>
      </c>
    </row>
    <row r="8583" spans="1:10" x14ac:dyDescent="0.35">
      <c r="A8583" s="2">
        <v>44800</v>
      </c>
      <c r="B8583" s="3">
        <v>0.7531944444444445</v>
      </c>
      <c r="C8583">
        <v>6015</v>
      </c>
      <c r="D8583" t="str">
        <f>VLOOKUP(H8583,Produkt!$A$2:$B$5,2,FALSE)</f>
        <v>D</v>
      </c>
      <c r="H8583">
        <v>4</v>
      </c>
      <c r="I8583">
        <v>0.48641203703703706</v>
      </c>
      <c r="J8583">
        <v>44797</v>
      </c>
    </row>
    <row r="8584" spans="1:10" x14ac:dyDescent="0.35">
      <c r="A8584" s="2">
        <v>44800</v>
      </c>
      <c r="B8584" s="3">
        <v>0.90070601851851861</v>
      </c>
      <c r="C8584">
        <v>6042</v>
      </c>
      <c r="D8584" t="str">
        <f>VLOOKUP(H8584,Produkt!$A$2:$B$5,2,FALSE)</f>
        <v>C</v>
      </c>
      <c r="H8584">
        <v>3</v>
      </c>
      <c r="I8584">
        <v>6.2800925925925927E-2</v>
      </c>
      <c r="J8584">
        <v>44787</v>
      </c>
    </row>
    <row r="8585" spans="1:10" x14ac:dyDescent="0.35">
      <c r="A8585" s="2">
        <v>44800</v>
      </c>
      <c r="B8585" s="3">
        <v>0.94415509259259256</v>
      </c>
      <c r="C8585">
        <v>6047</v>
      </c>
      <c r="D8585" t="str">
        <f>VLOOKUP(H8585,Produkt!$A$2:$B$5,2,FALSE)</f>
        <v>A</v>
      </c>
      <c r="H8585">
        <v>1</v>
      </c>
      <c r="I8585">
        <v>0.78712962962962962</v>
      </c>
      <c r="J8585">
        <v>44795</v>
      </c>
    </row>
    <row r="8586" spans="1:10" x14ac:dyDescent="0.35">
      <c r="A8586" s="2">
        <v>44800</v>
      </c>
      <c r="B8586" s="3">
        <v>0.34662037037037036</v>
      </c>
      <c r="C8586">
        <v>6054</v>
      </c>
      <c r="D8586" t="str">
        <f>VLOOKUP(H8586,Produkt!$A$2:$B$5,2,FALSE)</f>
        <v>C</v>
      </c>
      <c r="H8586">
        <v>3</v>
      </c>
      <c r="I8586">
        <v>0.92283564814814811</v>
      </c>
      <c r="J8586">
        <v>44780</v>
      </c>
    </row>
    <row r="8587" spans="1:10" x14ac:dyDescent="0.35">
      <c r="A8587" s="2">
        <v>44800</v>
      </c>
      <c r="B8587" s="3">
        <v>0.24708333333333332</v>
      </c>
      <c r="C8587">
        <v>6056</v>
      </c>
      <c r="D8587" t="str">
        <f>VLOOKUP(H8587,Produkt!$A$2:$B$5,2,FALSE)</f>
        <v>D</v>
      </c>
      <c r="H8587">
        <v>4</v>
      </c>
      <c r="I8587">
        <v>0.27880787037037036</v>
      </c>
      <c r="J8587">
        <v>44799</v>
      </c>
    </row>
    <row r="8588" spans="1:10" x14ac:dyDescent="0.35">
      <c r="A8588" s="2">
        <v>44800</v>
      </c>
      <c r="B8588" s="3">
        <v>0.23179398148148148</v>
      </c>
      <c r="C8588">
        <v>6085</v>
      </c>
      <c r="D8588" t="str">
        <f>VLOOKUP(H8588,Produkt!$A$2:$B$5,2,FALSE)</f>
        <v>A</v>
      </c>
      <c r="H8588">
        <v>1</v>
      </c>
      <c r="I8588">
        <v>0.70253472222222213</v>
      </c>
      <c r="J8588">
        <v>44774</v>
      </c>
    </row>
    <row r="8589" spans="1:10" x14ac:dyDescent="0.35">
      <c r="A8589" s="2">
        <v>44800</v>
      </c>
      <c r="B8589" s="3">
        <v>0.75081018518518527</v>
      </c>
      <c r="C8589">
        <v>6088</v>
      </c>
      <c r="D8589" t="str">
        <f>VLOOKUP(H8589,Produkt!$A$2:$B$5,2,FALSE)</f>
        <v>A</v>
      </c>
      <c r="H8589">
        <v>1</v>
      </c>
      <c r="I8589">
        <v>0.35459490740740746</v>
      </c>
      <c r="J8589">
        <v>44787</v>
      </c>
    </row>
    <row r="8590" spans="1:10" x14ac:dyDescent="0.35">
      <c r="A8590" s="2">
        <v>44800</v>
      </c>
      <c r="B8590" s="3">
        <v>0.88211805555555556</v>
      </c>
      <c r="C8590">
        <v>6123</v>
      </c>
      <c r="D8590" t="str">
        <f>VLOOKUP(H8590,Produkt!$A$2:$B$5,2,FALSE)</f>
        <v>D</v>
      </c>
      <c r="H8590">
        <v>4</v>
      </c>
      <c r="I8590">
        <v>0.46050925925925923</v>
      </c>
      <c r="J8590">
        <v>44790</v>
      </c>
    </row>
    <row r="8591" spans="1:10" x14ac:dyDescent="0.35">
      <c r="A8591" s="2">
        <v>44800</v>
      </c>
      <c r="B8591" s="3">
        <v>0.85103009259259255</v>
      </c>
      <c r="C8591">
        <v>6163</v>
      </c>
      <c r="D8591" t="str">
        <f>VLOOKUP(H8591,Produkt!$A$2:$B$5,2,FALSE)</f>
        <v>A</v>
      </c>
      <c r="H8591">
        <v>1</v>
      </c>
      <c r="I8591">
        <v>0.92651620370370369</v>
      </c>
      <c r="J8591">
        <v>44786</v>
      </c>
    </row>
    <row r="8592" spans="1:10" x14ac:dyDescent="0.35">
      <c r="A8592" s="2">
        <v>44800</v>
      </c>
      <c r="B8592" s="3">
        <v>0.63517361111111115</v>
      </c>
      <c r="C8592">
        <v>6196</v>
      </c>
      <c r="D8592" t="str">
        <f>VLOOKUP(H8592,Produkt!$A$2:$B$5,2,FALSE)</f>
        <v>C</v>
      </c>
      <c r="H8592">
        <v>3</v>
      </c>
      <c r="I8592">
        <v>0.97535879629629629</v>
      </c>
      <c r="J8592">
        <v>44797</v>
      </c>
    </row>
    <row r="8593" spans="1:10" x14ac:dyDescent="0.35">
      <c r="A8593" s="2">
        <v>44800</v>
      </c>
      <c r="B8593" s="3">
        <v>0.82065972222222217</v>
      </c>
      <c r="C8593">
        <v>6206</v>
      </c>
      <c r="D8593" t="str">
        <f>VLOOKUP(H8593,Produkt!$A$2:$B$5,2,FALSE)</f>
        <v>B</v>
      </c>
      <c r="H8593">
        <v>2</v>
      </c>
      <c r="I8593">
        <v>0.84857638888888898</v>
      </c>
      <c r="J8593">
        <v>44789</v>
      </c>
    </row>
    <row r="8594" spans="1:10" x14ac:dyDescent="0.35">
      <c r="A8594" s="2">
        <v>44800</v>
      </c>
      <c r="B8594" s="3">
        <v>0.65043981481481483</v>
      </c>
      <c r="C8594">
        <v>6208</v>
      </c>
      <c r="D8594" t="str">
        <f>VLOOKUP(H8594,Produkt!$A$2:$B$5,2,FALSE)</f>
        <v>D</v>
      </c>
      <c r="H8594">
        <v>4</v>
      </c>
      <c r="I8594">
        <v>0.90841435185185182</v>
      </c>
      <c r="J8594">
        <v>44777</v>
      </c>
    </row>
    <row r="8595" spans="1:10" x14ac:dyDescent="0.35">
      <c r="A8595" s="2">
        <v>44800</v>
      </c>
      <c r="B8595" s="3">
        <v>0.17807870370370371</v>
      </c>
      <c r="C8595">
        <v>6235</v>
      </c>
      <c r="D8595" t="str">
        <f>VLOOKUP(H8595,Produkt!$A$2:$B$5,2,FALSE)</f>
        <v>B</v>
      </c>
      <c r="H8595">
        <v>2</v>
      </c>
      <c r="I8595">
        <v>2.1539351851851851E-2</v>
      </c>
      <c r="J8595">
        <v>44798</v>
      </c>
    </row>
    <row r="8596" spans="1:10" x14ac:dyDescent="0.35">
      <c r="A8596" s="2">
        <v>44800</v>
      </c>
      <c r="B8596" s="3">
        <v>0.23662037037037034</v>
      </c>
      <c r="C8596">
        <v>6332</v>
      </c>
      <c r="D8596" t="str">
        <f>VLOOKUP(H8596,Produkt!$A$2:$B$5,2,FALSE)</f>
        <v>B</v>
      </c>
      <c r="H8596">
        <v>2</v>
      </c>
      <c r="I8596">
        <v>0.31475694444444446</v>
      </c>
      <c r="J8596">
        <v>44794</v>
      </c>
    </row>
    <row r="8597" spans="1:10" x14ac:dyDescent="0.35">
      <c r="A8597" s="2">
        <v>44800</v>
      </c>
      <c r="B8597" s="3">
        <v>0.25740740740740742</v>
      </c>
      <c r="C8597">
        <v>6504</v>
      </c>
      <c r="D8597" t="str">
        <f>VLOOKUP(H8597,Produkt!$A$2:$B$5,2,FALSE)</f>
        <v>B</v>
      </c>
      <c r="H8597">
        <v>2</v>
      </c>
      <c r="I8597">
        <v>0.80449074074074067</v>
      </c>
      <c r="J8597">
        <v>44804</v>
      </c>
    </row>
    <row r="8598" spans="1:10" x14ac:dyDescent="0.35">
      <c r="A8598" s="2">
        <v>44800</v>
      </c>
      <c r="B8598" s="3">
        <v>0.22271990740740741</v>
      </c>
      <c r="C8598">
        <v>6588</v>
      </c>
      <c r="D8598" t="str">
        <f>VLOOKUP(H8598,Produkt!$A$2:$B$5,2,FALSE)</f>
        <v>D</v>
      </c>
      <c r="H8598">
        <v>4</v>
      </c>
      <c r="I8598">
        <v>0.89067129629629627</v>
      </c>
      <c r="J8598">
        <v>44793</v>
      </c>
    </row>
    <row r="8599" spans="1:10" x14ac:dyDescent="0.35">
      <c r="A8599" s="2">
        <v>44800</v>
      </c>
      <c r="B8599" s="3">
        <v>0.68954861111111121</v>
      </c>
      <c r="C8599">
        <v>6610</v>
      </c>
      <c r="D8599" t="str">
        <f>VLOOKUP(H8599,Produkt!$A$2:$B$5,2,FALSE)</f>
        <v>B</v>
      </c>
      <c r="H8599">
        <v>2</v>
      </c>
      <c r="I8599">
        <v>0.73299768518518515</v>
      </c>
      <c r="J8599">
        <v>44794</v>
      </c>
    </row>
    <row r="8600" spans="1:10" x14ac:dyDescent="0.35">
      <c r="A8600" s="2">
        <v>44800</v>
      </c>
      <c r="B8600" s="3">
        <v>0.60961805555555559</v>
      </c>
      <c r="C8600">
        <v>6682</v>
      </c>
      <c r="D8600" t="str">
        <f>VLOOKUP(H8600,Produkt!$A$2:$B$5,2,FALSE)</f>
        <v>B</v>
      </c>
      <c r="H8600">
        <v>2</v>
      </c>
      <c r="I8600">
        <v>0.79967592592592596</v>
      </c>
      <c r="J8600">
        <v>44799</v>
      </c>
    </row>
    <row r="8601" spans="1:10" x14ac:dyDescent="0.35">
      <c r="A8601" s="2">
        <v>44800</v>
      </c>
      <c r="B8601" s="3">
        <v>0.13649305555555555</v>
      </c>
      <c r="C8601">
        <v>6851</v>
      </c>
      <c r="D8601" t="str">
        <f>VLOOKUP(H8601,Produkt!$A$2:$B$5,2,FALSE)</f>
        <v>C</v>
      </c>
      <c r="H8601">
        <v>3</v>
      </c>
      <c r="I8601">
        <v>0.24701388888888889</v>
      </c>
      <c r="J8601">
        <v>44804</v>
      </c>
    </row>
    <row r="8602" spans="1:10" x14ac:dyDescent="0.35">
      <c r="A8602" s="2">
        <v>44800</v>
      </c>
      <c r="B8602" s="3">
        <v>0.98925925925925917</v>
      </c>
      <c r="C8602">
        <v>6864</v>
      </c>
      <c r="D8602" t="str">
        <f>VLOOKUP(H8602,Produkt!$A$2:$B$5,2,FALSE)</f>
        <v>D</v>
      </c>
      <c r="H8602">
        <v>4</v>
      </c>
      <c r="I8602">
        <v>0.41879629629629633</v>
      </c>
      <c r="J8602">
        <v>44804</v>
      </c>
    </row>
    <row r="8603" spans="1:10" x14ac:dyDescent="0.35">
      <c r="A8603" s="2">
        <v>44800</v>
      </c>
      <c r="B8603" s="3">
        <v>0.34567129629629628</v>
      </c>
      <c r="C8603">
        <v>6990</v>
      </c>
      <c r="D8603" t="str">
        <f>VLOOKUP(H8603,Produkt!$A$2:$B$5,2,FALSE)</f>
        <v>C</v>
      </c>
      <c r="H8603">
        <v>3</v>
      </c>
      <c r="I8603">
        <v>0.10812500000000001</v>
      </c>
      <c r="J8603">
        <v>44779</v>
      </c>
    </row>
    <row r="8604" spans="1:10" x14ac:dyDescent="0.35">
      <c r="A8604" s="2">
        <v>44800</v>
      </c>
      <c r="B8604" s="3">
        <v>0.22350694444444444</v>
      </c>
      <c r="C8604">
        <v>7060</v>
      </c>
      <c r="D8604" t="str">
        <f>VLOOKUP(H8604,Produkt!$A$2:$B$5,2,FALSE)</f>
        <v>D</v>
      </c>
      <c r="H8604">
        <v>4</v>
      </c>
      <c r="I8604">
        <v>0.85932870370370373</v>
      </c>
      <c r="J8604">
        <v>44785</v>
      </c>
    </row>
    <row r="8605" spans="1:10" x14ac:dyDescent="0.35">
      <c r="A8605" s="2">
        <v>44800</v>
      </c>
      <c r="B8605" s="3">
        <v>0.35030092592592593</v>
      </c>
      <c r="C8605">
        <v>7081</v>
      </c>
      <c r="D8605" t="str">
        <f>VLOOKUP(H8605,Produkt!$A$2:$B$5,2,FALSE)</f>
        <v>B</v>
      </c>
      <c r="H8605">
        <v>2</v>
      </c>
      <c r="I8605">
        <v>0.37362268518518515</v>
      </c>
      <c r="J8605">
        <v>44780</v>
      </c>
    </row>
    <row r="8606" spans="1:10" x14ac:dyDescent="0.35">
      <c r="A8606" s="2">
        <v>44800</v>
      </c>
      <c r="B8606" s="3">
        <v>0.21255787037037036</v>
      </c>
      <c r="C8606">
        <v>7114</v>
      </c>
      <c r="D8606" t="str">
        <f>VLOOKUP(H8606,Produkt!$A$2:$B$5,2,FALSE)</f>
        <v>A</v>
      </c>
      <c r="H8606">
        <v>1</v>
      </c>
      <c r="I8606">
        <v>0.21381944444444445</v>
      </c>
      <c r="J8606">
        <v>44774</v>
      </c>
    </row>
    <row r="8607" spans="1:10" x14ac:dyDescent="0.35">
      <c r="A8607" s="2">
        <v>44800</v>
      </c>
      <c r="B8607" s="3">
        <v>0.73833333333333329</v>
      </c>
      <c r="C8607">
        <v>7124</v>
      </c>
      <c r="D8607" t="str">
        <f>VLOOKUP(H8607,Produkt!$A$2:$B$5,2,FALSE)</f>
        <v>D</v>
      </c>
      <c r="H8607">
        <v>4</v>
      </c>
      <c r="I8607">
        <v>0.54640046296296296</v>
      </c>
      <c r="J8607">
        <v>44782</v>
      </c>
    </row>
    <row r="8608" spans="1:10" x14ac:dyDescent="0.35">
      <c r="A8608" s="2">
        <v>44800</v>
      </c>
      <c r="B8608" s="3">
        <v>0.73609953703703701</v>
      </c>
      <c r="C8608">
        <v>7132</v>
      </c>
      <c r="D8608" t="str">
        <f>VLOOKUP(H8608,Produkt!$A$2:$B$5,2,FALSE)</f>
        <v>C</v>
      </c>
      <c r="H8608">
        <v>3</v>
      </c>
      <c r="I8608">
        <v>0.84458333333333335</v>
      </c>
      <c r="J8608">
        <v>44774</v>
      </c>
    </row>
    <row r="8609" spans="1:10" x14ac:dyDescent="0.35">
      <c r="A8609" s="2">
        <v>44800</v>
      </c>
      <c r="B8609" s="3">
        <v>0.52481481481481485</v>
      </c>
      <c r="C8609">
        <v>7171</v>
      </c>
      <c r="D8609" t="str">
        <f>VLOOKUP(H8609,Produkt!$A$2:$B$5,2,FALSE)</f>
        <v>C</v>
      </c>
      <c r="H8609">
        <v>3</v>
      </c>
      <c r="I8609">
        <v>0.77179398148148148</v>
      </c>
      <c r="J8609">
        <v>44790</v>
      </c>
    </row>
    <row r="8610" spans="1:10" x14ac:dyDescent="0.35">
      <c r="A8610" s="2">
        <v>44800</v>
      </c>
      <c r="B8610" s="3">
        <v>0.10274305555555556</v>
      </c>
      <c r="C8610">
        <v>7225</v>
      </c>
      <c r="D8610" t="str">
        <f>VLOOKUP(H8610,Produkt!$A$2:$B$5,2,FALSE)</f>
        <v>C</v>
      </c>
      <c r="H8610">
        <v>3</v>
      </c>
      <c r="I8610">
        <v>7.5243055555555563E-2</v>
      </c>
      <c r="J8610">
        <v>44784</v>
      </c>
    </row>
    <row r="8611" spans="1:10" x14ac:dyDescent="0.35">
      <c r="A8611" s="2">
        <v>44800</v>
      </c>
      <c r="B8611" s="3">
        <v>0.43508101851851855</v>
      </c>
      <c r="C8611">
        <v>7232</v>
      </c>
      <c r="D8611" t="str">
        <f>VLOOKUP(H8611,Produkt!$A$2:$B$5,2,FALSE)</f>
        <v>A</v>
      </c>
      <c r="H8611">
        <v>1</v>
      </c>
      <c r="I8611">
        <v>8.5648148148154135E-4</v>
      </c>
      <c r="J8611">
        <v>44776</v>
      </c>
    </row>
    <row r="8612" spans="1:10" x14ac:dyDescent="0.35">
      <c r="A8612" s="2">
        <v>44800</v>
      </c>
      <c r="B8612" s="3">
        <v>0.60385416666666669</v>
      </c>
      <c r="C8612">
        <v>7270</v>
      </c>
      <c r="D8612" t="str">
        <f>VLOOKUP(H8612,Produkt!$A$2:$B$5,2,FALSE)</f>
        <v>C</v>
      </c>
      <c r="H8612">
        <v>3</v>
      </c>
      <c r="I8612">
        <v>0.89553240740740747</v>
      </c>
      <c r="J8612">
        <v>44800</v>
      </c>
    </row>
    <row r="8613" spans="1:10" x14ac:dyDescent="0.35">
      <c r="A8613" s="2">
        <v>44800</v>
      </c>
      <c r="B8613" s="3">
        <v>0.18357638888888891</v>
      </c>
      <c r="C8613">
        <v>7292</v>
      </c>
      <c r="D8613" t="str">
        <f>VLOOKUP(H8613,Produkt!$A$2:$B$5,2,FALSE)</f>
        <v>C</v>
      </c>
      <c r="H8613">
        <v>3</v>
      </c>
      <c r="I8613">
        <v>0.26082175925925927</v>
      </c>
      <c r="J8613">
        <v>44791</v>
      </c>
    </row>
    <row r="8614" spans="1:10" x14ac:dyDescent="0.35">
      <c r="A8614" s="2">
        <v>44800</v>
      </c>
      <c r="B8614" s="3">
        <v>0.86116898148148147</v>
      </c>
      <c r="C8614">
        <v>7300</v>
      </c>
      <c r="D8614" t="str">
        <f>VLOOKUP(H8614,Produkt!$A$2:$B$5,2,FALSE)</f>
        <v>B</v>
      </c>
      <c r="H8614">
        <v>2</v>
      </c>
      <c r="I8614">
        <v>0.48597222222222225</v>
      </c>
      <c r="J8614">
        <v>44780</v>
      </c>
    </row>
    <row r="8615" spans="1:10" x14ac:dyDescent="0.35">
      <c r="A8615" s="2">
        <v>44800</v>
      </c>
      <c r="B8615" s="3">
        <v>0.68608796296296293</v>
      </c>
      <c r="C8615">
        <v>7338</v>
      </c>
      <c r="D8615" t="str">
        <f>VLOOKUP(H8615,Produkt!$A$2:$B$5,2,FALSE)</f>
        <v>A</v>
      </c>
      <c r="H8615">
        <v>1</v>
      </c>
      <c r="I8615">
        <v>0.46677083333333336</v>
      </c>
      <c r="J8615">
        <v>44783</v>
      </c>
    </row>
    <row r="8616" spans="1:10" x14ac:dyDescent="0.35">
      <c r="A8616" s="2">
        <v>44800</v>
      </c>
      <c r="B8616" s="3">
        <v>0.89534722222222218</v>
      </c>
      <c r="C8616">
        <v>7344</v>
      </c>
      <c r="D8616" t="str">
        <f>VLOOKUP(H8616,Produkt!$A$2:$B$5,2,FALSE)</f>
        <v>C</v>
      </c>
      <c r="H8616">
        <v>3</v>
      </c>
      <c r="I8616">
        <v>0.26488425925925924</v>
      </c>
      <c r="J8616">
        <v>44794</v>
      </c>
    </row>
    <row r="8617" spans="1:10" x14ac:dyDescent="0.35">
      <c r="A8617" s="2">
        <v>44800</v>
      </c>
      <c r="B8617" s="3">
        <v>0.80542824074074071</v>
      </c>
      <c r="C8617">
        <v>7376</v>
      </c>
      <c r="D8617" t="str">
        <f>VLOOKUP(H8617,Produkt!$A$2:$B$5,2,FALSE)</f>
        <v>C</v>
      </c>
      <c r="H8617">
        <v>3</v>
      </c>
      <c r="I8617">
        <v>0.41163194444444445</v>
      </c>
      <c r="J8617">
        <v>44791</v>
      </c>
    </row>
    <row r="8618" spans="1:10" x14ac:dyDescent="0.35">
      <c r="A8618" s="2">
        <v>44800</v>
      </c>
      <c r="B8618" s="3">
        <v>0.44321759259259258</v>
      </c>
      <c r="C8618">
        <v>7422</v>
      </c>
      <c r="D8618" t="str">
        <f>VLOOKUP(H8618,Produkt!$A$2:$B$5,2,FALSE)</f>
        <v>D</v>
      </c>
      <c r="H8618">
        <v>4</v>
      </c>
      <c r="I8618">
        <v>0.9836111111111111</v>
      </c>
      <c r="J8618">
        <v>44797</v>
      </c>
    </row>
    <row r="8619" spans="1:10" x14ac:dyDescent="0.35">
      <c r="A8619" s="2">
        <v>44800</v>
      </c>
      <c r="B8619" s="3">
        <v>0.9060300925925926</v>
      </c>
      <c r="C8619">
        <v>7429</v>
      </c>
      <c r="D8619" t="str">
        <f>VLOOKUP(H8619,Produkt!$A$2:$B$5,2,FALSE)</f>
        <v>D</v>
      </c>
      <c r="H8619">
        <v>4</v>
      </c>
      <c r="I8619">
        <v>0.12660879629629629</v>
      </c>
      <c r="J8619">
        <v>44791</v>
      </c>
    </row>
    <row r="8620" spans="1:10" x14ac:dyDescent="0.35">
      <c r="A8620" s="2">
        <v>44800</v>
      </c>
      <c r="B8620" s="3">
        <v>0.55047453703703708</v>
      </c>
      <c r="C8620">
        <v>7432</v>
      </c>
      <c r="D8620" t="str">
        <f>VLOOKUP(H8620,Produkt!$A$2:$B$5,2,FALSE)</f>
        <v>A</v>
      </c>
      <c r="H8620">
        <v>1</v>
      </c>
      <c r="I8620">
        <v>0.34129629629629626</v>
      </c>
      <c r="J8620">
        <v>44793</v>
      </c>
    </row>
    <row r="8621" spans="1:10" x14ac:dyDescent="0.35">
      <c r="A8621" s="2">
        <v>44800</v>
      </c>
      <c r="B8621" s="3">
        <v>0.69951388888888888</v>
      </c>
      <c r="C8621">
        <v>7443</v>
      </c>
      <c r="D8621" t="str">
        <f>VLOOKUP(H8621,Produkt!$A$2:$B$5,2,FALSE)</f>
        <v>A</v>
      </c>
      <c r="H8621">
        <v>1</v>
      </c>
      <c r="I8621">
        <v>3.8460648148148147E-2</v>
      </c>
      <c r="J8621">
        <v>44796</v>
      </c>
    </row>
    <row r="8622" spans="1:10" x14ac:dyDescent="0.35">
      <c r="A8622" s="2">
        <v>44800</v>
      </c>
      <c r="B8622" s="3">
        <v>0.50277777777777777</v>
      </c>
      <c r="C8622">
        <v>7481</v>
      </c>
      <c r="D8622" t="str">
        <f>VLOOKUP(H8622,Produkt!$A$2:$B$5,2,FALSE)</f>
        <v>A</v>
      </c>
      <c r="H8622">
        <v>1</v>
      </c>
      <c r="I8622">
        <v>0.61971064814814814</v>
      </c>
      <c r="J8622">
        <v>44777</v>
      </c>
    </row>
    <row r="8623" spans="1:10" x14ac:dyDescent="0.35">
      <c r="A8623" s="2">
        <v>44800</v>
      </c>
      <c r="B8623" s="3">
        <v>0.87678240740740743</v>
      </c>
      <c r="C8623">
        <v>7502</v>
      </c>
      <c r="D8623" t="str">
        <f>VLOOKUP(H8623,Produkt!$A$2:$B$5,2,FALSE)</f>
        <v>B</v>
      </c>
      <c r="H8623">
        <v>2</v>
      </c>
      <c r="I8623">
        <v>0.81752314814814808</v>
      </c>
      <c r="J8623">
        <v>44777</v>
      </c>
    </row>
    <row r="8624" spans="1:10" x14ac:dyDescent="0.35">
      <c r="A8624" s="2">
        <v>44800</v>
      </c>
      <c r="B8624" s="3">
        <v>0.88005787037037031</v>
      </c>
      <c r="C8624">
        <v>7527</v>
      </c>
      <c r="D8624" t="str">
        <f>VLOOKUP(H8624,Produkt!$A$2:$B$5,2,FALSE)</f>
        <v>A</v>
      </c>
      <c r="H8624">
        <v>1</v>
      </c>
      <c r="I8624">
        <v>0.18814814814814815</v>
      </c>
      <c r="J8624">
        <v>44795</v>
      </c>
    </row>
    <row r="8625" spans="1:10" x14ac:dyDescent="0.35">
      <c r="A8625" s="2">
        <v>44800</v>
      </c>
      <c r="B8625" s="3">
        <v>0.92447916666666663</v>
      </c>
      <c r="C8625">
        <v>7583</v>
      </c>
      <c r="D8625" t="str">
        <f>VLOOKUP(H8625,Produkt!$A$2:$B$5,2,FALSE)</f>
        <v>A</v>
      </c>
      <c r="H8625">
        <v>1</v>
      </c>
      <c r="I8625">
        <v>0.72761574074074076</v>
      </c>
      <c r="J8625">
        <v>44804</v>
      </c>
    </row>
    <row r="8626" spans="1:10" x14ac:dyDescent="0.35">
      <c r="A8626" s="2">
        <v>44800</v>
      </c>
      <c r="B8626" s="3">
        <v>8.7164351851851854E-2</v>
      </c>
      <c r="C8626">
        <v>7609</v>
      </c>
      <c r="D8626" t="str">
        <f>VLOOKUP(H8626,Produkt!$A$2:$B$5,2,FALSE)</f>
        <v>D</v>
      </c>
      <c r="H8626">
        <v>4</v>
      </c>
      <c r="I8626">
        <v>7.8032407407407411E-2</v>
      </c>
      <c r="J8626">
        <v>44782</v>
      </c>
    </row>
    <row r="8627" spans="1:10" x14ac:dyDescent="0.35">
      <c r="A8627" s="2">
        <v>44800</v>
      </c>
      <c r="B8627" s="3">
        <v>0.7119212962962963</v>
      </c>
      <c r="C8627">
        <v>7704</v>
      </c>
      <c r="D8627" t="str">
        <f>VLOOKUP(H8627,Produkt!$A$2:$B$5,2,FALSE)</f>
        <v>B</v>
      </c>
      <c r="H8627">
        <v>2</v>
      </c>
      <c r="I8627">
        <v>0.48248842592592589</v>
      </c>
      <c r="J8627">
        <v>44793</v>
      </c>
    </row>
    <row r="8628" spans="1:10" x14ac:dyDescent="0.35">
      <c r="A8628" s="2">
        <v>44800</v>
      </c>
      <c r="B8628" s="3">
        <v>0.61465277777777783</v>
      </c>
      <c r="C8628">
        <v>7711</v>
      </c>
      <c r="D8628" t="str">
        <f>VLOOKUP(H8628,Produkt!$A$2:$B$5,2,FALSE)</f>
        <v>A</v>
      </c>
      <c r="H8628">
        <v>1</v>
      </c>
      <c r="I8628">
        <v>0.5294444444444445</v>
      </c>
      <c r="J8628">
        <v>44784</v>
      </c>
    </row>
    <row r="8629" spans="1:10" x14ac:dyDescent="0.35">
      <c r="A8629" s="2">
        <v>44800</v>
      </c>
      <c r="B8629" s="3">
        <v>0.4268055555555556</v>
      </c>
      <c r="C8629">
        <v>7720</v>
      </c>
      <c r="D8629" t="str">
        <f>VLOOKUP(H8629,Produkt!$A$2:$B$5,2,FALSE)</f>
        <v>B</v>
      </c>
      <c r="H8629">
        <v>2</v>
      </c>
      <c r="I8629">
        <v>0.81355324074074076</v>
      </c>
      <c r="J8629">
        <v>44786</v>
      </c>
    </row>
    <row r="8630" spans="1:10" x14ac:dyDescent="0.35">
      <c r="A8630" s="2">
        <v>44800</v>
      </c>
      <c r="B8630" s="3">
        <v>0.71710648148148148</v>
      </c>
      <c r="C8630">
        <v>7777</v>
      </c>
      <c r="D8630" t="str">
        <f>VLOOKUP(H8630,Produkt!$A$2:$B$5,2,FALSE)</f>
        <v>D</v>
      </c>
      <c r="H8630">
        <v>4</v>
      </c>
      <c r="I8630">
        <v>0.87547453703703704</v>
      </c>
      <c r="J8630">
        <v>44786</v>
      </c>
    </row>
    <row r="8631" spans="1:10" x14ac:dyDescent="0.35">
      <c r="A8631" s="2">
        <v>44800</v>
      </c>
      <c r="B8631" s="3">
        <v>0.49168981481481483</v>
      </c>
      <c r="C8631">
        <v>7786</v>
      </c>
      <c r="D8631" t="str">
        <f>VLOOKUP(H8631,Produkt!$A$2:$B$5,2,FALSE)</f>
        <v>B</v>
      </c>
      <c r="H8631">
        <v>2</v>
      </c>
      <c r="I8631">
        <v>8.7500000000000008E-2</v>
      </c>
      <c r="J8631">
        <v>44796</v>
      </c>
    </row>
    <row r="8632" spans="1:10" x14ac:dyDescent="0.35">
      <c r="A8632" s="2">
        <v>44800</v>
      </c>
      <c r="B8632" s="3">
        <v>0.96586805555555555</v>
      </c>
      <c r="C8632">
        <v>7789</v>
      </c>
      <c r="D8632" t="str">
        <f>VLOOKUP(H8632,Produkt!$A$2:$B$5,2,FALSE)</f>
        <v>A</v>
      </c>
      <c r="H8632">
        <v>1</v>
      </c>
      <c r="I8632">
        <v>0.98534722222222226</v>
      </c>
      <c r="J8632">
        <v>44800</v>
      </c>
    </row>
    <row r="8633" spans="1:10" x14ac:dyDescent="0.35">
      <c r="A8633" s="2">
        <v>44800</v>
      </c>
      <c r="B8633" s="3">
        <v>0.84803240740740737</v>
      </c>
      <c r="C8633">
        <v>7850</v>
      </c>
      <c r="D8633" t="str">
        <f>VLOOKUP(H8633,Produkt!$A$2:$B$5,2,FALSE)</f>
        <v>A</v>
      </c>
      <c r="H8633">
        <v>1</v>
      </c>
      <c r="I8633">
        <v>0.62780092592592596</v>
      </c>
      <c r="J8633">
        <v>44783</v>
      </c>
    </row>
    <row r="8634" spans="1:10" x14ac:dyDescent="0.35">
      <c r="A8634" s="2">
        <v>44800</v>
      </c>
      <c r="B8634" s="3">
        <v>0.95959490740740738</v>
      </c>
      <c r="C8634">
        <v>7933</v>
      </c>
      <c r="D8634" t="str">
        <f>VLOOKUP(H8634,Produkt!$A$2:$B$5,2,FALSE)</f>
        <v>D</v>
      </c>
      <c r="H8634">
        <v>4</v>
      </c>
      <c r="I8634">
        <v>0.6827199074074074</v>
      </c>
      <c r="J8634">
        <v>44791</v>
      </c>
    </row>
    <row r="8635" spans="1:10" x14ac:dyDescent="0.35">
      <c r="A8635" s="2">
        <v>44800</v>
      </c>
      <c r="B8635" s="3">
        <v>0.22483796296296296</v>
      </c>
      <c r="C8635">
        <v>7974</v>
      </c>
      <c r="D8635" t="str">
        <f>VLOOKUP(H8635,Produkt!$A$2:$B$5,2,FALSE)</f>
        <v>C</v>
      </c>
      <c r="H8635">
        <v>3</v>
      </c>
      <c r="I8635">
        <v>0.10769675925925926</v>
      </c>
      <c r="J8635">
        <v>44789</v>
      </c>
    </row>
    <row r="8636" spans="1:10" x14ac:dyDescent="0.35">
      <c r="A8636" s="2">
        <v>44800</v>
      </c>
      <c r="B8636" s="3">
        <v>0.55837962962962961</v>
      </c>
      <c r="C8636">
        <v>7987</v>
      </c>
      <c r="D8636" t="str">
        <f>VLOOKUP(H8636,Produkt!$A$2:$B$5,2,FALSE)</f>
        <v>D</v>
      </c>
      <c r="H8636">
        <v>4</v>
      </c>
      <c r="I8636">
        <v>0.67097222222222219</v>
      </c>
      <c r="J8636">
        <v>44783</v>
      </c>
    </row>
    <row r="8637" spans="1:10" x14ac:dyDescent="0.35">
      <c r="A8637" s="2">
        <v>44800</v>
      </c>
      <c r="B8637" s="3">
        <v>0.62260416666666674</v>
      </c>
      <c r="C8637">
        <v>8002</v>
      </c>
      <c r="D8637" t="str">
        <f>VLOOKUP(H8637,Produkt!$A$2:$B$5,2,FALSE)</f>
        <v>C</v>
      </c>
      <c r="H8637">
        <v>3</v>
      </c>
      <c r="I8637">
        <v>0.92313657407407401</v>
      </c>
      <c r="J8637">
        <v>44774</v>
      </c>
    </row>
    <row r="8638" spans="1:10" x14ac:dyDescent="0.35">
      <c r="A8638" s="2">
        <v>44800</v>
      </c>
      <c r="B8638" s="3">
        <v>0.84664351851851849</v>
      </c>
      <c r="C8638">
        <v>8040</v>
      </c>
      <c r="D8638" t="str">
        <f>VLOOKUP(H8638,Produkt!$A$2:$B$5,2,FALSE)</f>
        <v>B</v>
      </c>
      <c r="H8638">
        <v>2</v>
      </c>
      <c r="I8638">
        <v>0.39400462962962962</v>
      </c>
      <c r="J8638">
        <v>44802</v>
      </c>
    </row>
    <row r="8639" spans="1:10" x14ac:dyDescent="0.35">
      <c r="A8639" s="2">
        <v>44800</v>
      </c>
      <c r="B8639" s="3">
        <v>0.42189814814814813</v>
      </c>
      <c r="C8639">
        <v>8042</v>
      </c>
      <c r="D8639" t="str">
        <f>VLOOKUP(H8639,Produkt!$A$2:$B$5,2,FALSE)</f>
        <v>B</v>
      </c>
      <c r="H8639">
        <v>2</v>
      </c>
      <c r="I8639">
        <v>0.82067129629629632</v>
      </c>
      <c r="J8639">
        <v>44798</v>
      </c>
    </row>
    <row r="8640" spans="1:10" x14ac:dyDescent="0.35">
      <c r="A8640" s="2">
        <v>44800</v>
      </c>
      <c r="B8640" s="3">
        <v>0.87542824074074066</v>
      </c>
      <c r="C8640">
        <v>8085</v>
      </c>
      <c r="D8640" t="str">
        <f>VLOOKUP(H8640,Produkt!$A$2:$B$5,2,FALSE)</f>
        <v>C</v>
      </c>
      <c r="H8640">
        <v>3</v>
      </c>
      <c r="I8640">
        <v>0.21092592592592593</v>
      </c>
      <c r="J8640">
        <v>44780</v>
      </c>
    </row>
    <row r="8641" spans="1:10" x14ac:dyDescent="0.35">
      <c r="A8641" s="2">
        <v>44800</v>
      </c>
      <c r="B8641" s="3">
        <v>0.20766203703703703</v>
      </c>
      <c r="C8641">
        <v>8107</v>
      </c>
      <c r="D8641" t="str">
        <f>VLOOKUP(H8641,Produkt!$A$2:$B$5,2,FALSE)</f>
        <v>A</v>
      </c>
      <c r="H8641">
        <v>1</v>
      </c>
      <c r="I8641">
        <v>0.80311342592592594</v>
      </c>
      <c r="J8641">
        <v>44794</v>
      </c>
    </row>
    <row r="8642" spans="1:10" x14ac:dyDescent="0.35">
      <c r="A8642" s="2">
        <v>44800</v>
      </c>
      <c r="B8642" s="3">
        <v>8.3842592592592594E-2</v>
      </c>
      <c r="C8642">
        <v>8116</v>
      </c>
      <c r="D8642" t="str">
        <f>VLOOKUP(H8642,Produkt!$A$2:$B$5,2,FALSE)</f>
        <v>B</v>
      </c>
      <c r="H8642">
        <v>2</v>
      </c>
      <c r="I8642">
        <v>0.19011574074074075</v>
      </c>
      <c r="J8642">
        <v>44802</v>
      </c>
    </row>
    <row r="8643" spans="1:10" x14ac:dyDescent="0.35">
      <c r="A8643" s="2">
        <v>44800</v>
      </c>
      <c r="B8643" s="3">
        <v>0.90498842592592599</v>
      </c>
      <c r="C8643">
        <v>8118</v>
      </c>
      <c r="D8643" t="str">
        <f>VLOOKUP(H8643,Produkt!$A$2:$B$5,2,FALSE)</f>
        <v>C</v>
      </c>
      <c r="H8643">
        <v>3</v>
      </c>
      <c r="I8643">
        <v>0.99335648148148137</v>
      </c>
      <c r="J8643">
        <v>44796</v>
      </c>
    </row>
    <row r="8644" spans="1:10" x14ac:dyDescent="0.35">
      <c r="A8644" s="2">
        <v>44800</v>
      </c>
      <c r="B8644" s="3">
        <v>0.74100694444444448</v>
      </c>
      <c r="C8644">
        <v>8135</v>
      </c>
      <c r="D8644" t="str">
        <f>VLOOKUP(H8644,Produkt!$A$2:$B$5,2,FALSE)</f>
        <v>B</v>
      </c>
      <c r="H8644">
        <v>2</v>
      </c>
      <c r="I8644">
        <v>1.9386574074074181E-2</v>
      </c>
      <c r="J8644">
        <v>44780</v>
      </c>
    </row>
    <row r="8645" spans="1:10" x14ac:dyDescent="0.35">
      <c r="A8645" s="2">
        <v>44800</v>
      </c>
      <c r="B8645" s="3">
        <v>0.41667824074074078</v>
      </c>
      <c r="C8645">
        <v>8167</v>
      </c>
      <c r="D8645" t="str">
        <f>VLOOKUP(H8645,Produkt!$A$2:$B$5,2,FALSE)</f>
        <v>D</v>
      </c>
      <c r="H8645">
        <v>4</v>
      </c>
      <c r="I8645">
        <v>0.3600694444444445</v>
      </c>
      <c r="J8645">
        <v>44775</v>
      </c>
    </row>
    <row r="8646" spans="1:10" x14ac:dyDescent="0.35">
      <c r="A8646" s="2">
        <v>44800</v>
      </c>
      <c r="B8646" s="3">
        <v>0.87607638888888895</v>
      </c>
      <c r="C8646">
        <v>8174</v>
      </c>
      <c r="D8646" t="str">
        <f>VLOOKUP(H8646,Produkt!$A$2:$B$5,2,FALSE)</f>
        <v>A</v>
      </c>
      <c r="H8646">
        <v>1</v>
      </c>
      <c r="I8646">
        <v>0.23226851851851851</v>
      </c>
      <c r="J8646">
        <v>44785</v>
      </c>
    </row>
    <row r="8647" spans="1:10" x14ac:dyDescent="0.35">
      <c r="A8647" s="2">
        <v>44800</v>
      </c>
      <c r="B8647" s="3">
        <v>0.76096064814814823</v>
      </c>
      <c r="C8647">
        <v>8189</v>
      </c>
      <c r="D8647" t="str">
        <f>VLOOKUP(H8647,Produkt!$A$2:$B$5,2,FALSE)</f>
        <v>B</v>
      </c>
      <c r="H8647">
        <v>2</v>
      </c>
      <c r="I8647">
        <v>0.80936342592592592</v>
      </c>
      <c r="J8647">
        <v>44777</v>
      </c>
    </row>
    <row r="8648" spans="1:10" x14ac:dyDescent="0.35">
      <c r="A8648" s="2">
        <v>44800</v>
      </c>
      <c r="B8648" s="3">
        <v>0.28081018518518519</v>
      </c>
      <c r="C8648">
        <v>8253</v>
      </c>
      <c r="D8648" t="str">
        <f>VLOOKUP(H8648,Produkt!$A$2:$B$5,2,FALSE)</f>
        <v>A</v>
      </c>
      <c r="H8648">
        <v>1</v>
      </c>
      <c r="I8648">
        <v>0.44369212962962962</v>
      </c>
      <c r="J8648">
        <v>44800</v>
      </c>
    </row>
    <row r="8649" spans="1:10" x14ac:dyDescent="0.35">
      <c r="A8649" s="2">
        <v>44800</v>
      </c>
      <c r="B8649" s="3">
        <v>0.33346064814814813</v>
      </c>
      <c r="C8649">
        <v>8267</v>
      </c>
      <c r="D8649" t="str">
        <f>VLOOKUP(H8649,Produkt!$A$2:$B$5,2,FALSE)</f>
        <v>B</v>
      </c>
      <c r="H8649">
        <v>2</v>
      </c>
      <c r="I8649">
        <v>3.8912037037037037E-2</v>
      </c>
      <c r="J8649">
        <v>44790</v>
      </c>
    </row>
    <row r="8650" spans="1:10" x14ac:dyDescent="0.35">
      <c r="A8650" s="2">
        <v>44800</v>
      </c>
      <c r="B8650" s="3">
        <v>0.53839120370370364</v>
      </c>
      <c r="C8650">
        <v>8306</v>
      </c>
      <c r="D8650" t="str">
        <f>VLOOKUP(H8650,Produkt!$A$2:$B$5,2,FALSE)</f>
        <v>D</v>
      </c>
      <c r="H8650">
        <v>4</v>
      </c>
      <c r="I8650">
        <v>0.48616898148148152</v>
      </c>
      <c r="J8650">
        <v>44797</v>
      </c>
    </row>
    <row r="8651" spans="1:10" x14ac:dyDescent="0.35">
      <c r="A8651" s="2">
        <v>44800</v>
      </c>
      <c r="B8651" s="3">
        <v>0.41234953703703708</v>
      </c>
      <c r="C8651">
        <v>8395</v>
      </c>
      <c r="D8651" t="str">
        <f>VLOOKUP(H8651,Produkt!$A$2:$B$5,2,FALSE)</f>
        <v>A</v>
      </c>
      <c r="H8651">
        <v>1</v>
      </c>
      <c r="I8651">
        <v>0.65559027777777779</v>
      </c>
      <c r="J8651">
        <v>44798</v>
      </c>
    </row>
    <row r="8652" spans="1:10" x14ac:dyDescent="0.35">
      <c r="A8652" s="2">
        <v>44800</v>
      </c>
      <c r="B8652" s="3">
        <v>0.35001157407407407</v>
      </c>
      <c r="C8652">
        <v>8408</v>
      </c>
      <c r="D8652" t="str">
        <f>VLOOKUP(H8652,Produkt!$A$2:$B$5,2,FALSE)</f>
        <v>B</v>
      </c>
      <c r="H8652">
        <v>2</v>
      </c>
      <c r="I8652">
        <v>2.3449074074074039E-2</v>
      </c>
      <c r="J8652">
        <v>44775</v>
      </c>
    </row>
    <row r="8653" spans="1:10" x14ac:dyDescent="0.35">
      <c r="A8653" s="2">
        <v>44800</v>
      </c>
      <c r="B8653" s="3">
        <v>0.44035879629629626</v>
      </c>
      <c r="C8653">
        <v>8424</v>
      </c>
      <c r="D8653" t="str">
        <f>VLOOKUP(H8653,Produkt!$A$2:$B$5,2,FALSE)</f>
        <v>A</v>
      </c>
      <c r="H8653">
        <v>1</v>
      </c>
      <c r="I8653">
        <v>0.10932870370370369</v>
      </c>
      <c r="J8653">
        <v>44799</v>
      </c>
    </row>
    <row r="8654" spans="1:10" x14ac:dyDescent="0.35">
      <c r="A8654" s="2">
        <v>44800</v>
      </c>
      <c r="B8654" s="3">
        <v>0.74092592592592599</v>
      </c>
      <c r="C8654">
        <v>8432</v>
      </c>
      <c r="D8654" t="str">
        <f>VLOOKUP(H8654,Produkt!$A$2:$B$5,2,FALSE)</f>
        <v>C</v>
      </c>
      <c r="H8654">
        <v>3</v>
      </c>
      <c r="I8654">
        <v>0.45503472222222219</v>
      </c>
      <c r="J8654">
        <v>44783</v>
      </c>
    </row>
    <row r="8655" spans="1:10" x14ac:dyDescent="0.35">
      <c r="A8655" s="2">
        <v>44800</v>
      </c>
      <c r="B8655" s="3">
        <v>7.4305555555555555E-2</v>
      </c>
      <c r="C8655">
        <v>8478</v>
      </c>
      <c r="D8655" t="str">
        <f>VLOOKUP(H8655,Produkt!$A$2:$B$5,2,FALSE)</f>
        <v>C</v>
      </c>
      <c r="H8655">
        <v>3</v>
      </c>
      <c r="I8655">
        <v>0.58726851851851858</v>
      </c>
      <c r="J8655">
        <v>44802</v>
      </c>
    </row>
    <row r="8656" spans="1:10" x14ac:dyDescent="0.35">
      <c r="A8656" s="2">
        <v>44800</v>
      </c>
      <c r="B8656" s="3">
        <v>0.145625</v>
      </c>
      <c r="C8656">
        <v>8544</v>
      </c>
      <c r="D8656" t="str">
        <f>VLOOKUP(H8656,Produkt!$A$2:$B$5,2,FALSE)</f>
        <v>D</v>
      </c>
      <c r="H8656">
        <v>4</v>
      </c>
      <c r="I8656">
        <v>0.66387731481481482</v>
      </c>
      <c r="J8656">
        <v>44803</v>
      </c>
    </row>
    <row r="8657" spans="1:10" x14ac:dyDescent="0.35">
      <c r="A8657" s="2">
        <v>44800</v>
      </c>
      <c r="B8657" s="3">
        <v>0.45812499999999995</v>
      </c>
      <c r="C8657">
        <v>8546</v>
      </c>
      <c r="D8657" t="str">
        <f>VLOOKUP(H8657,Produkt!$A$2:$B$5,2,FALSE)</f>
        <v>C</v>
      </c>
      <c r="H8657">
        <v>3</v>
      </c>
      <c r="I8657">
        <v>6.4675925925925928E-2</v>
      </c>
      <c r="J8657">
        <v>44801</v>
      </c>
    </row>
    <row r="8658" spans="1:10" x14ac:dyDescent="0.35">
      <c r="A8658" s="2">
        <v>44800</v>
      </c>
      <c r="B8658" s="3">
        <v>0.9381018518518518</v>
      </c>
      <c r="C8658">
        <v>8547</v>
      </c>
      <c r="D8658" t="str">
        <f>VLOOKUP(H8658,Produkt!$A$2:$B$5,2,FALSE)</f>
        <v>A</v>
      </c>
      <c r="H8658">
        <v>1</v>
      </c>
      <c r="I8658">
        <v>0.86115740740740743</v>
      </c>
      <c r="J8658">
        <v>44790</v>
      </c>
    </row>
    <row r="8659" spans="1:10" x14ac:dyDescent="0.35">
      <c r="A8659" s="2">
        <v>44800</v>
      </c>
      <c r="B8659" s="3">
        <v>0.89067129629629627</v>
      </c>
      <c r="C8659">
        <v>8597</v>
      </c>
      <c r="D8659" t="str">
        <f>VLOOKUP(H8659,Produkt!$A$2:$B$5,2,FALSE)</f>
        <v>A</v>
      </c>
      <c r="H8659">
        <v>1</v>
      </c>
      <c r="I8659">
        <v>0.88261574074074067</v>
      </c>
      <c r="J8659">
        <v>44776</v>
      </c>
    </row>
    <row r="8660" spans="1:10" x14ac:dyDescent="0.35">
      <c r="A8660" s="2">
        <v>44800</v>
      </c>
      <c r="B8660" s="3">
        <v>0.77179398148148148</v>
      </c>
      <c r="C8660">
        <v>8608</v>
      </c>
      <c r="D8660" t="str">
        <f>VLOOKUP(H8660,Produkt!$A$2:$B$5,2,FALSE)</f>
        <v>A</v>
      </c>
      <c r="H8660">
        <v>1</v>
      </c>
      <c r="I8660">
        <v>0.1290625</v>
      </c>
      <c r="J8660">
        <v>44795</v>
      </c>
    </row>
    <row r="8661" spans="1:10" x14ac:dyDescent="0.35">
      <c r="A8661" s="2">
        <v>44800</v>
      </c>
      <c r="B8661" s="3">
        <v>0.9836111111111111</v>
      </c>
      <c r="C8661">
        <v>8617</v>
      </c>
      <c r="D8661" t="str">
        <f>VLOOKUP(H8661,Produkt!$A$2:$B$5,2,FALSE)</f>
        <v>A</v>
      </c>
      <c r="H8661">
        <v>1</v>
      </c>
      <c r="I8661">
        <v>0.30741898148148145</v>
      </c>
      <c r="J8661">
        <v>44804</v>
      </c>
    </row>
    <row r="8662" spans="1:10" x14ac:dyDescent="0.35">
      <c r="A8662" s="2">
        <v>44800</v>
      </c>
      <c r="B8662" s="3">
        <v>0.19011574074074075</v>
      </c>
      <c r="C8662">
        <v>8641</v>
      </c>
      <c r="D8662" t="str">
        <f>VLOOKUP(H8662,Produkt!$A$2:$B$5,2,FALSE)</f>
        <v>A</v>
      </c>
      <c r="H8662">
        <v>1</v>
      </c>
      <c r="I8662">
        <v>0.54142361111111115</v>
      </c>
      <c r="J8662">
        <v>44796</v>
      </c>
    </row>
    <row r="8663" spans="1:10" x14ac:dyDescent="0.35">
      <c r="A8663" s="2">
        <v>44800</v>
      </c>
      <c r="B8663" s="3">
        <v>0.78322916666666664</v>
      </c>
      <c r="C8663">
        <v>8668</v>
      </c>
      <c r="D8663" t="str">
        <f>VLOOKUP(H8663,Produkt!$A$2:$B$5,2,FALSE)</f>
        <v>C</v>
      </c>
      <c r="H8663">
        <v>3</v>
      </c>
      <c r="I8663">
        <v>0.98408564814814825</v>
      </c>
      <c r="J8663">
        <v>44791</v>
      </c>
    </row>
    <row r="8664" spans="1:10" x14ac:dyDescent="0.35">
      <c r="A8664" s="2">
        <v>44800</v>
      </c>
      <c r="B8664" s="3">
        <v>0.89927083333333335</v>
      </c>
      <c r="C8664">
        <v>8670</v>
      </c>
      <c r="D8664" t="str">
        <f>VLOOKUP(H8664,Produkt!$A$2:$B$5,2,FALSE)</f>
        <v>C</v>
      </c>
      <c r="H8664">
        <v>3</v>
      </c>
      <c r="I8664">
        <v>0.21231481481481482</v>
      </c>
      <c r="J8664">
        <v>44784</v>
      </c>
    </row>
    <row r="8665" spans="1:10" x14ac:dyDescent="0.35">
      <c r="A8665" s="2">
        <v>44800</v>
      </c>
      <c r="B8665" s="3">
        <v>0.89096064814814813</v>
      </c>
      <c r="C8665">
        <v>8675</v>
      </c>
      <c r="D8665" t="str">
        <f>VLOOKUP(H8665,Produkt!$A$2:$B$5,2,FALSE)</f>
        <v>B</v>
      </c>
      <c r="H8665">
        <v>2</v>
      </c>
      <c r="I8665">
        <v>0.41917824074074073</v>
      </c>
      <c r="J8665">
        <v>44784</v>
      </c>
    </row>
    <row r="8666" spans="1:10" x14ac:dyDescent="0.35">
      <c r="A8666" s="2">
        <v>44800</v>
      </c>
      <c r="B8666" s="3">
        <v>7.4074074074074068E-3</v>
      </c>
      <c r="C8666">
        <v>8678</v>
      </c>
      <c r="D8666" t="str">
        <f>VLOOKUP(H8666,Produkt!$A$2:$B$5,2,FALSE)</f>
        <v>B</v>
      </c>
      <c r="H8666">
        <v>2</v>
      </c>
      <c r="I8666">
        <v>0.58690972222222226</v>
      </c>
      <c r="J8666">
        <v>44788</v>
      </c>
    </row>
    <row r="8667" spans="1:10" x14ac:dyDescent="0.35">
      <c r="A8667" s="2">
        <v>44800</v>
      </c>
      <c r="B8667" s="3">
        <v>0.87267361111111119</v>
      </c>
      <c r="C8667">
        <v>8742</v>
      </c>
      <c r="D8667" t="str">
        <f>VLOOKUP(H8667,Produkt!$A$2:$B$5,2,FALSE)</f>
        <v>A</v>
      </c>
      <c r="H8667">
        <v>1</v>
      </c>
      <c r="I8667">
        <v>2.4768518518518516E-3</v>
      </c>
      <c r="J8667">
        <v>44778</v>
      </c>
    </row>
    <row r="8668" spans="1:10" x14ac:dyDescent="0.35">
      <c r="A8668" s="2">
        <v>44800</v>
      </c>
      <c r="B8668" s="3">
        <v>0.34349537037037042</v>
      </c>
      <c r="C8668">
        <v>8771</v>
      </c>
      <c r="D8668" t="str">
        <f>VLOOKUP(H8668,Produkt!$A$2:$B$5,2,FALSE)</f>
        <v>B</v>
      </c>
      <c r="H8668">
        <v>2</v>
      </c>
      <c r="I8668">
        <v>0.10249999999999999</v>
      </c>
      <c r="J8668">
        <v>44796</v>
      </c>
    </row>
    <row r="8669" spans="1:10" x14ac:dyDescent="0.35">
      <c r="A8669" s="2">
        <v>44800</v>
      </c>
      <c r="B8669" s="3">
        <v>0.75468750000000007</v>
      </c>
      <c r="C8669">
        <v>8788</v>
      </c>
      <c r="D8669" t="str">
        <f>VLOOKUP(H8669,Produkt!$A$2:$B$5,2,FALSE)</f>
        <v>B</v>
      </c>
      <c r="H8669">
        <v>2</v>
      </c>
      <c r="I8669">
        <v>0.78322916666666664</v>
      </c>
      <c r="J8669">
        <v>44785</v>
      </c>
    </row>
    <row r="8670" spans="1:10" x14ac:dyDescent="0.35">
      <c r="A8670" s="2">
        <v>44800</v>
      </c>
      <c r="B8670" s="3">
        <v>0.60129629629629633</v>
      </c>
      <c r="C8670">
        <v>8801</v>
      </c>
      <c r="D8670" t="str">
        <f>VLOOKUP(H8670,Produkt!$A$2:$B$5,2,FALSE)</f>
        <v>A</v>
      </c>
      <c r="H8670">
        <v>1</v>
      </c>
      <c r="I8670">
        <v>0.84047453703703701</v>
      </c>
      <c r="J8670">
        <v>44783</v>
      </c>
    </row>
    <row r="8671" spans="1:10" x14ac:dyDescent="0.35">
      <c r="A8671" s="2">
        <v>44800</v>
      </c>
      <c r="B8671" s="3">
        <v>1.0254629629629752E-2</v>
      </c>
      <c r="C8671">
        <v>8806</v>
      </c>
      <c r="D8671" t="str">
        <f>VLOOKUP(H8671,Produkt!$A$2:$B$5,2,FALSE)</f>
        <v>C</v>
      </c>
      <c r="H8671">
        <v>3</v>
      </c>
      <c r="I8671">
        <v>0.89927083333333335</v>
      </c>
      <c r="J8671">
        <v>44790</v>
      </c>
    </row>
    <row r="8672" spans="1:10" x14ac:dyDescent="0.35">
      <c r="A8672" s="2">
        <v>44800</v>
      </c>
      <c r="B8672" s="3">
        <v>0.93199074074074073</v>
      </c>
      <c r="C8672">
        <v>8816</v>
      </c>
      <c r="D8672" t="str">
        <f>VLOOKUP(H8672,Produkt!$A$2:$B$5,2,FALSE)</f>
        <v>B</v>
      </c>
      <c r="H8672">
        <v>2</v>
      </c>
      <c r="I8672">
        <v>0.56530092592592596</v>
      </c>
      <c r="J8672">
        <v>44775</v>
      </c>
    </row>
    <row r="8673" spans="1:10" x14ac:dyDescent="0.35">
      <c r="A8673" s="2">
        <v>44800</v>
      </c>
      <c r="B8673" s="3">
        <v>6.850694444444444E-2</v>
      </c>
      <c r="C8673">
        <v>8840</v>
      </c>
      <c r="D8673" t="str">
        <f>VLOOKUP(H8673,Produkt!$A$2:$B$5,2,FALSE)</f>
        <v>B</v>
      </c>
      <c r="H8673">
        <v>2</v>
      </c>
      <c r="I8673">
        <v>0.56395833333333334</v>
      </c>
      <c r="J8673">
        <v>44789</v>
      </c>
    </row>
    <row r="8674" spans="1:10" x14ac:dyDescent="0.35">
      <c r="A8674" s="2">
        <v>44800</v>
      </c>
      <c r="B8674" s="3">
        <v>0.22564814814814815</v>
      </c>
      <c r="C8674">
        <v>8848</v>
      </c>
      <c r="D8674" t="str">
        <f>VLOOKUP(H8674,Produkt!$A$2:$B$5,2,FALSE)</f>
        <v>B</v>
      </c>
      <c r="H8674">
        <v>2</v>
      </c>
      <c r="I8674">
        <v>0.96856481481481482</v>
      </c>
      <c r="J8674">
        <v>44800</v>
      </c>
    </row>
    <row r="8675" spans="1:10" x14ac:dyDescent="0.35">
      <c r="A8675" s="2">
        <v>44800</v>
      </c>
      <c r="B8675" s="3">
        <v>0.89986111111111111</v>
      </c>
      <c r="C8675">
        <v>8856</v>
      </c>
      <c r="D8675" t="str">
        <f>VLOOKUP(H8675,Produkt!$A$2:$B$5,2,FALSE)</f>
        <v>B</v>
      </c>
      <c r="H8675">
        <v>2</v>
      </c>
      <c r="I8675">
        <v>0.31460648148148146</v>
      </c>
      <c r="J8675">
        <v>44799</v>
      </c>
    </row>
    <row r="8676" spans="1:10" x14ac:dyDescent="0.35">
      <c r="A8676" s="2">
        <v>44800</v>
      </c>
      <c r="B8676" s="3">
        <v>0.73898148148148157</v>
      </c>
      <c r="C8676">
        <v>8907</v>
      </c>
      <c r="D8676" t="str">
        <f>VLOOKUP(H8676,Produkt!$A$2:$B$5,2,FALSE)</f>
        <v>B</v>
      </c>
      <c r="H8676">
        <v>2</v>
      </c>
      <c r="I8676">
        <v>0.89096064814814813</v>
      </c>
      <c r="J8676">
        <v>44783</v>
      </c>
    </row>
    <row r="8677" spans="1:10" x14ac:dyDescent="0.35">
      <c r="A8677" s="2">
        <v>44800</v>
      </c>
      <c r="B8677" s="3">
        <v>0.15837962962962962</v>
      </c>
      <c r="C8677">
        <v>8919</v>
      </c>
      <c r="D8677" t="str">
        <f>VLOOKUP(H8677,Produkt!$A$2:$B$5,2,FALSE)</f>
        <v>D</v>
      </c>
      <c r="H8677">
        <v>4</v>
      </c>
      <c r="I8677">
        <v>3.6574074074074071E-2</v>
      </c>
      <c r="J8677">
        <v>44781</v>
      </c>
    </row>
    <row r="8678" spans="1:10" x14ac:dyDescent="0.35">
      <c r="A8678" s="2">
        <v>44800</v>
      </c>
      <c r="B8678" s="3">
        <v>0.28287037037037038</v>
      </c>
      <c r="C8678">
        <v>8920</v>
      </c>
      <c r="D8678" t="str">
        <f>VLOOKUP(H8678,Produkt!$A$2:$B$5,2,FALSE)</f>
        <v>C</v>
      </c>
      <c r="H8678">
        <v>3</v>
      </c>
      <c r="I8678">
        <v>0.31402777777777779</v>
      </c>
      <c r="J8678">
        <v>44790</v>
      </c>
    </row>
    <row r="8679" spans="1:10" x14ac:dyDescent="0.35">
      <c r="A8679" s="2">
        <v>44800</v>
      </c>
      <c r="B8679" s="3">
        <v>0.33336805555555554</v>
      </c>
      <c r="C8679">
        <v>8954</v>
      </c>
      <c r="D8679" t="str">
        <f>VLOOKUP(H8679,Produkt!$A$2:$B$5,2,FALSE)</f>
        <v>B</v>
      </c>
      <c r="H8679">
        <v>2</v>
      </c>
      <c r="I8679">
        <v>7.4074074074074068E-3</v>
      </c>
      <c r="J8679">
        <v>44804</v>
      </c>
    </row>
    <row r="8680" spans="1:10" x14ac:dyDescent="0.35">
      <c r="A8680" s="2">
        <v>44800</v>
      </c>
      <c r="B8680" s="3">
        <v>0.84778935185185178</v>
      </c>
      <c r="C8680">
        <v>8983</v>
      </c>
      <c r="D8680" t="str">
        <f>VLOOKUP(H8680,Produkt!$A$2:$B$5,2,FALSE)</f>
        <v>C</v>
      </c>
      <c r="H8680">
        <v>3</v>
      </c>
      <c r="I8680">
        <v>0.58710648148148148</v>
      </c>
      <c r="J8680">
        <v>44800</v>
      </c>
    </row>
    <row r="8681" spans="1:10" x14ac:dyDescent="0.35">
      <c r="A8681" s="2">
        <v>44800</v>
      </c>
      <c r="B8681" s="3">
        <v>0.88222222222222213</v>
      </c>
      <c r="C8681">
        <v>8993</v>
      </c>
      <c r="D8681" t="str">
        <f>VLOOKUP(H8681,Produkt!$A$2:$B$5,2,FALSE)</f>
        <v>A</v>
      </c>
      <c r="H8681">
        <v>1</v>
      </c>
      <c r="I8681">
        <v>0.80635416666666659</v>
      </c>
      <c r="J8681">
        <v>44786</v>
      </c>
    </row>
    <row r="8682" spans="1:10" x14ac:dyDescent="0.35">
      <c r="A8682" s="2">
        <v>44800</v>
      </c>
      <c r="B8682" s="3">
        <v>0.4939236111111111</v>
      </c>
      <c r="C8682">
        <v>9036</v>
      </c>
      <c r="D8682" t="str">
        <f>VLOOKUP(H8682,Produkt!$A$2:$B$5,2,FALSE)</f>
        <v>C</v>
      </c>
      <c r="H8682">
        <v>3</v>
      </c>
      <c r="I8682">
        <v>1.1585648148148149E-2</v>
      </c>
      <c r="J8682">
        <v>44791</v>
      </c>
    </row>
    <row r="8683" spans="1:10" x14ac:dyDescent="0.35">
      <c r="A8683" s="2">
        <v>44800</v>
      </c>
      <c r="B8683" s="3">
        <v>0.56942129629629623</v>
      </c>
      <c r="C8683">
        <v>9111</v>
      </c>
      <c r="D8683" t="str">
        <f>VLOOKUP(H8683,Produkt!$A$2:$B$5,2,FALSE)</f>
        <v>D</v>
      </c>
      <c r="H8683">
        <v>4</v>
      </c>
      <c r="I8683">
        <v>0.44815972222222222</v>
      </c>
      <c r="J8683">
        <v>44777</v>
      </c>
    </row>
    <row r="8684" spans="1:10" x14ac:dyDescent="0.35">
      <c r="A8684" s="2">
        <v>44800</v>
      </c>
      <c r="B8684" s="3">
        <v>3.2638888888888884E-2</v>
      </c>
      <c r="C8684">
        <v>9115</v>
      </c>
      <c r="D8684" t="str">
        <f>VLOOKUP(H8684,Produkt!$A$2:$B$5,2,FALSE)</f>
        <v>D</v>
      </c>
      <c r="H8684">
        <v>4</v>
      </c>
      <c r="I8684">
        <v>0.12225694444444445</v>
      </c>
      <c r="J8684">
        <v>44797</v>
      </c>
    </row>
    <row r="8685" spans="1:10" x14ac:dyDescent="0.35">
      <c r="A8685" s="2">
        <v>44800</v>
      </c>
      <c r="B8685" s="3">
        <v>0.56179398148148152</v>
      </c>
      <c r="C8685">
        <v>9159</v>
      </c>
      <c r="D8685" t="str">
        <f>VLOOKUP(H8685,Produkt!$A$2:$B$5,2,FALSE)</f>
        <v>D</v>
      </c>
      <c r="H8685">
        <v>4</v>
      </c>
      <c r="I8685">
        <v>0.98938657407407404</v>
      </c>
      <c r="J8685">
        <v>44786</v>
      </c>
    </row>
    <row r="8686" spans="1:10" x14ac:dyDescent="0.35">
      <c r="A8686" s="2">
        <v>44800</v>
      </c>
      <c r="B8686" s="3">
        <v>0.59788194444444442</v>
      </c>
      <c r="C8686">
        <v>9212</v>
      </c>
      <c r="D8686" t="str">
        <f>VLOOKUP(H8686,Produkt!$A$2:$B$5,2,FALSE)</f>
        <v>B</v>
      </c>
      <c r="H8686">
        <v>2</v>
      </c>
      <c r="I8686">
        <v>0.3180439814814815</v>
      </c>
      <c r="J8686">
        <v>44774</v>
      </c>
    </row>
    <row r="8687" spans="1:10" x14ac:dyDescent="0.35">
      <c r="A8687" s="2">
        <v>44800</v>
      </c>
      <c r="B8687" s="3">
        <v>0.64512731481481478</v>
      </c>
      <c r="C8687">
        <v>9278</v>
      </c>
      <c r="D8687" t="str">
        <f>VLOOKUP(H8687,Produkt!$A$2:$B$5,2,FALSE)</f>
        <v>D</v>
      </c>
      <c r="H8687">
        <v>4</v>
      </c>
      <c r="I8687">
        <v>0.11322916666666666</v>
      </c>
      <c r="J8687">
        <v>44790</v>
      </c>
    </row>
    <row r="8688" spans="1:10" x14ac:dyDescent="0.35">
      <c r="A8688" s="2">
        <v>44800</v>
      </c>
      <c r="B8688" s="3">
        <v>0.53795138888888883</v>
      </c>
      <c r="C8688">
        <v>9292</v>
      </c>
      <c r="D8688" t="str">
        <f>VLOOKUP(H8688,Produkt!$A$2:$B$5,2,FALSE)</f>
        <v>B</v>
      </c>
      <c r="H8688">
        <v>2</v>
      </c>
      <c r="I8688">
        <v>0.27276620370370369</v>
      </c>
      <c r="J8688">
        <v>44777</v>
      </c>
    </row>
    <row r="8689" spans="1:10" x14ac:dyDescent="0.35">
      <c r="A8689" s="2">
        <v>44800</v>
      </c>
      <c r="B8689" s="3">
        <v>0.78864583333333327</v>
      </c>
      <c r="C8689">
        <v>9302</v>
      </c>
      <c r="D8689" t="str">
        <f>VLOOKUP(H8689,Produkt!$A$2:$B$5,2,FALSE)</f>
        <v>A</v>
      </c>
      <c r="H8689">
        <v>1</v>
      </c>
      <c r="I8689">
        <v>0.43163194444444447</v>
      </c>
      <c r="J8689">
        <v>44790</v>
      </c>
    </row>
    <row r="8690" spans="1:10" x14ac:dyDescent="0.35">
      <c r="A8690" s="2">
        <v>44800</v>
      </c>
      <c r="B8690" s="3">
        <v>0.62555555555555553</v>
      </c>
      <c r="C8690">
        <v>9323</v>
      </c>
      <c r="D8690" t="str">
        <f>VLOOKUP(H8690,Produkt!$A$2:$B$5,2,FALSE)</f>
        <v>B</v>
      </c>
      <c r="H8690">
        <v>2</v>
      </c>
      <c r="I8690">
        <v>0.81017361111111119</v>
      </c>
      <c r="J8690">
        <v>44801</v>
      </c>
    </row>
    <row r="8691" spans="1:10" x14ac:dyDescent="0.35">
      <c r="A8691" s="2">
        <v>44800</v>
      </c>
      <c r="B8691" s="3">
        <v>0.95881944444444445</v>
      </c>
      <c r="C8691">
        <v>9327</v>
      </c>
      <c r="D8691" t="str">
        <f>VLOOKUP(H8691,Produkt!$A$2:$B$5,2,FALSE)</f>
        <v>D</v>
      </c>
      <c r="H8691">
        <v>4</v>
      </c>
      <c r="I8691">
        <v>0.35805555555555557</v>
      </c>
      <c r="J8691">
        <v>44794</v>
      </c>
    </row>
    <row r="8692" spans="1:10" x14ac:dyDescent="0.35">
      <c r="A8692" s="2">
        <v>44800</v>
      </c>
      <c r="B8692" s="3">
        <v>0.48128472222222224</v>
      </c>
      <c r="C8692">
        <v>9334</v>
      </c>
      <c r="D8692" t="str">
        <f>VLOOKUP(H8692,Produkt!$A$2:$B$5,2,FALSE)</f>
        <v>C</v>
      </c>
      <c r="H8692">
        <v>3</v>
      </c>
      <c r="I8692">
        <v>0.12674768518518517</v>
      </c>
      <c r="J8692">
        <v>44784</v>
      </c>
    </row>
    <row r="8693" spans="1:10" x14ac:dyDescent="0.35">
      <c r="A8693" s="2">
        <v>44800</v>
      </c>
      <c r="B8693" s="3">
        <v>0.21868055555555554</v>
      </c>
      <c r="C8693">
        <v>9366</v>
      </c>
      <c r="D8693" t="str">
        <f>VLOOKUP(H8693,Produkt!$A$2:$B$5,2,FALSE)</f>
        <v>C</v>
      </c>
      <c r="H8693">
        <v>3</v>
      </c>
      <c r="I8693">
        <v>0.7464467592592593</v>
      </c>
      <c r="J8693">
        <v>44804</v>
      </c>
    </row>
    <row r="8694" spans="1:10" x14ac:dyDescent="0.35">
      <c r="A8694" s="2">
        <v>44800</v>
      </c>
      <c r="B8694" s="3">
        <v>0.91575231481481489</v>
      </c>
      <c r="C8694">
        <v>9400</v>
      </c>
      <c r="D8694" t="str">
        <f>VLOOKUP(H8694,Produkt!$A$2:$B$5,2,FALSE)</f>
        <v>D</v>
      </c>
      <c r="H8694">
        <v>4</v>
      </c>
      <c r="I8694">
        <v>0.98957175925925922</v>
      </c>
      <c r="J8694">
        <v>44778</v>
      </c>
    </row>
    <row r="8695" spans="1:10" x14ac:dyDescent="0.35">
      <c r="A8695" s="2">
        <v>44800</v>
      </c>
      <c r="B8695" s="3">
        <v>0.39976851851851852</v>
      </c>
      <c r="C8695">
        <v>9414</v>
      </c>
      <c r="D8695" t="str">
        <f>VLOOKUP(H8695,Produkt!$A$2:$B$5,2,FALSE)</f>
        <v>B</v>
      </c>
      <c r="H8695">
        <v>2</v>
      </c>
      <c r="I8695">
        <v>0.65422453703703709</v>
      </c>
      <c r="J8695">
        <v>44784</v>
      </c>
    </row>
    <row r="8696" spans="1:10" x14ac:dyDescent="0.35">
      <c r="A8696" s="2">
        <v>44800</v>
      </c>
      <c r="B8696" s="3">
        <v>0.7628935185185185</v>
      </c>
      <c r="C8696">
        <v>9475</v>
      </c>
      <c r="D8696" t="str">
        <f>VLOOKUP(H8696,Produkt!$A$2:$B$5,2,FALSE)</f>
        <v>B</v>
      </c>
      <c r="H8696">
        <v>2</v>
      </c>
      <c r="I8696">
        <v>0.53584490740740742</v>
      </c>
      <c r="J8696">
        <v>44780</v>
      </c>
    </row>
    <row r="8697" spans="1:10" x14ac:dyDescent="0.35">
      <c r="A8697" s="2">
        <v>44800</v>
      </c>
      <c r="B8697" s="3">
        <v>0.44412037037037039</v>
      </c>
      <c r="C8697">
        <v>9483</v>
      </c>
      <c r="D8697" t="str">
        <f>VLOOKUP(H8697,Produkt!$A$2:$B$5,2,FALSE)</f>
        <v>D</v>
      </c>
      <c r="H8697">
        <v>4</v>
      </c>
      <c r="I8697">
        <v>0.40629629629629632</v>
      </c>
      <c r="J8697">
        <v>44796</v>
      </c>
    </row>
    <row r="8698" spans="1:10" x14ac:dyDescent="0.35">
      <c r="A8698" s="2">
        <v>44800</v>
      </c>
      <c r="B8698" s="3">
        <v>0.39331018518518518</v>
      </c>
      <c r="C8698">
        <v>9491</v>
      </c>
      <c r="D8698" t="str">
        <f>VLOOKUP(H8698,Produkt!$A$2:$B$5,2,FALSE)</f>
        <v>C</v>
      </c>
      <c r="H8698">
        <v>3</v>
      </c>
      <c r="I8698">
        <v>0.81768518518518529</v>
      </c>
      <c r="J8698">
        <v>44786</v>
      </c>
    </row>
    <row r="8699" spans="1:10" x14ac:dyDescent="0.35">
      <c r="A8699" s="2">
        <v>44800</v>
      </c>
      <c r="B8699" s="3">
        <v>0.23547453703703702</v>
      </c>
      <c r="C8699">
        <v>9517</v>
      </c>
      <c r="D8699" t="str">
        <f>VLOOKUP(H8699,Produkt!$A$2:$B$5,2,FALSE)</f>
        <v>B</v>
      </c>
      <c r="H8699">
        <v>2</v>
      </c>
      <c r="I8699">
        <v>0.13942129629629629</v>
      </c>
      <c r="J8699">
        <v>44774</v>
      </c>
    </row>
    <row r="8700" spans="1:10" x14ac:dyDescent="0.35">
      <c r="A8700" s="2">
        <v>44800</v>
      </c>
      <c r="B8700" s="3">
        <v>0.94890046296296304</v>
      </c>
      <c r="C8700">
        <v>9534</v>
      </c>
      <c r="D8700" t="str">
        <f>VLOOKUP(H8700,Produkt!$A$2:$B$5,2,FALSE)</f>
        <v>C</v>
      </c>
      <c r="H8700">
        <v>3</v>
      </c>
      <c r="I8700">
        <v>0.88872685185185185</v>
      </c>
      <c r="J8700">
        <v>44792</v>
      </c>
    </row>
    <row r="8701" spans="1:10" x14ac:dyDescent="0.35">
      <c r="A8701" s="2">
        <v>44800</v>
      </c>
      <c r="B8701" s="3">
        <v>0.83459490740740738</v>
      </c>
      <c r="C8701">
        <v>9585</v>
      </c>
      <c r="D8701" t="str">
        <f>VLOOKUP(H8701,Produkt!$A$2:$B$5,2,FALSE)</f>
        <v>D</v>
      </c>
      <c r="H8701">
        <v>4</v>
      </c>
      <c r="I8701">
        <v>0.83363425925925927</v>
      </c>
      <c r="J8701">
        <v>44783</v>
      </c>
    </row>
    <row r="8702" spans="1:10" x14ac:dyDescent="0.35">
      <c r="A8702" s="2">
        <v>44800</v>
      </c>
      <c r="B8702" s="3">
        <v>0.57371527777777775</v>
      </c>
      <c r="C8702">
        <v>9600</v>
      </c>
      <c r="D8702" t="str">
        <f>VLOOKUP(H8702,Produkt!$A$2:$B$5,2,FALSE)</f>
        <v>A</v>
      </c>
      <c r="H8702">
        <v>1</v>
      </c>
      <c r="I8702">
        <v>0.40910879629629626</v>
      </c>
      <c r="J8702">
        <v>44782</v>
      </c>
    </row>
    <row r="8703" spans="1:10" x14ac:dyDescent="0.35">
      <c r="A8703" s="2">
        <v>44800</v>
      </c>
      <c r="B8703" s="3">
        <v>0.57961805555555557</v>
      </c>
      <c r="C8703">
        <v>9614</v>
      </c>
      <c r="D8703" t="str">
        <f>VLOOKUP(H8703,Produkt!$A$2:$B$5,2,FALSE)</f>
        <v>B</v>
      </c>
      <c r="H8703">
        <v>2</v>
      </c>
      <c r="I8703">
        <v>0.39770833333333333</v>
      </c>
      <c r="J8703">
        <v>44785</v>
      </c>
    </row>
    <row r="8704" spans="1:10" x14ac:dyDescent="0.35">
      <c r="A8704" s="2">
        <v>44800</v>
      </c>
      <c r="B8704" s="3">
        <v>0.84063657407407411</v>
      </c>
      <c r="C8704">
        <v>9705</v>
      </c>
      <c r="D8704" t="str">
        <f>VLOOKUP(H8704,Produkt!$A$2:$B$5,2,FALSE)</f>
        <v>A</v>
      </c>
      <c r="H8704">
        <v>1</v>
      </c>
      <c r="I8704">
        <v>0.48625000000000002</v>
      </c>
      <c r="J8704">
        <v>44779</v>
      </c>
    </row>
    <row r="8705" spans="1:10" x14ac:dyDescent="0.35">
      <c r="A8705" s="2">
        <v>44800</v>
      </c>
      <c r="B8705" s="3">
        <v>7.2222222222222229E-2</v>
      </c>
      <c r="C8705">
        <v>9713</v>
      </c>
      <c r="D8705" t="str">
        <f>VLOOKUP(H8705,Produkt!$A$2:$B$5,2,FALSE)</f>
        <v>C</v>
      </c>
      <c r="H8705">
        <v>3</v>
      </c>
      <c r="I8705">
        <v>0.44829861111111113</v>
      </c>
      <c r="J8705">
        <v>44783</v>
      </c>
    </row>
    <row r="8706" spans="1:10" x14ac:dyDescent="0.35">
      <c r="A8706" s="2">
        <v>44800</v>
      </c>
      <c r="B8706" s="3">
        <v>0.73767361111111107</v>
      </c>
      <c r="C8706">
        <v>9733</v>
      </c>
      <c r="D8706" t="str">
        <f>VLOOKUP(H8706,Produkt!$A$2:$B$5,2,FALSE)</f>
        <v>C</v>
      </c>
      <c r="H8706">
        <v>3</v>
      </c>
      <c r="I8706">
        <v>7.6064814814814807E-2</v>
      </c>
      <c r="J8706">
        <v>44802</v>
      </c>
    </row>
    <row r="8707" spans="1:10" x14ac:dyDescent="0.35">
      <c r="A8707" s="2">
        <v>44800</v>
      </c>
      <c r="B8707" s="3">
        <v>0.60584490740740737</v>
      </c>
      <c r="C8707">
        <v>9739</v>
      </c>
      <c r="D8707" t="str">
        <f>VLOOKUP(H8707,Produkt!$A$2:$B$5,2,FALSE)</f>
        <v>C</v>
      </c>
      <c r="H8707">
        <v>3</v>
      </c>
      <c r="I8707">
        <v>0.93234953703703705</v>
      </c>
      <c r="J8707">
        <v>44799</v>
      </c>
    </row>
    <row r="8708" spans="1:10" x14ac:dyDescent="0.35">
      <c r="A8708" s="2">
        <v>44800</v>
      </c>
      <c r="B8708" s="3">
        <v>2.2430555555555509E-2</v>
      </c>
      <c r="C8708">
        <v>9817</v>
      </c>
      <c r="D8708" t="str">
        <f>VLOOKUP(H8708,Produkt!$A$2:$B$5,2,FALSE)</f>
        <v>B</v>
      </c>
      <c r="H8708">
        <v>2</v>
      </c>
      <c r="I8708">
        <v>0.91420138888888891</v>
      </c>
      <c r="J8708">
        <v>44781</v>
      </c>
    </row>
    <row r="8709" spans="1:10" x14ac:dyDescent="0.35">
      <c r="A8709" s="2">
        <v>44800</v>
      </c>
      <c r="B8709" s="3">
        <v>0.12593750000000001</v>
      </c>
      <c r="C8709">
        <v>9864</v>
      </c>
      <c r="D8709" t="str">
        <f>VLOOKUP(H8709,Produkt!$A$2:$B$5,2,FALSE)</f>
        <v>A</v>
      </c>
      <c r="H8709">
        <v>1</v>
      </c>
      <c r="I8709">
        <v>0.64420138888888889</v>
      </c>
      <c r="J8709">
        <v>44779</v>
      </c>
    </row>
    <row r="8710" spans="1:10" x14ac:dyDescent="0.35">
      <c r="A8710" s="2">
        <v>44800</v>
      </c>
      <c r="B8710" s="3">
        <v>0.46690972222222221</v>
      </c>
      <c r="C8710">
        <v>9870</v>
      </c>
      <c r="D8710" t="str">
        <f>VLOOKUP(H8710,Produkt!$A$2:$B$5,2,FALSE)</f>
        <v>A</v>
      </c>
      <c r="H8710">
        <v>1</v>
      </c>
      <c r="I8710">
        <v>0.82196759259259267</v>
      </c>
      <c r="J8710">
        <v>44798</v>
      </c>
    </row>
    <row r="8711" spans="1:10" x14ac:dyDescent="0.35">
      <c r="A8711" s="2">
        <v>44800</v>
      </c>
      <c r="B8711" s="3">
        <v>0.766087962962963</v>
      </c>
      <c r="C8711">
        <v>9898</v>
      </c>
      <c r="D8711" t="str">
        <f>VLOOKUP(H8711,Produkt!$A$2:$B$5,2,FALSE)</f>
        <v>A</v>
      </c>
      <c r="H8711">
        <v>1</v>
      </c>
      <c r="I8711">
        <v>4.063657407407395E-2</v>
      </c>
      <c r="J8711">
        <v>44795</v>
      </c>
    </row>
    <row r="8712" spans="1:10" x14ac:dyDescent="0.35">
      <c r="A8712" s="2">
        <v>44800</v>
      </c>
      <c r="B8712" s="3">
        <v>0.36396990740740742</v>
      </c>
      <c r="C8712">
        <v>9917</v>
      </c>
      <c r="D8712" t="str">
        <f>VLOOKUP(H8712,Produkt!$A$2:$B$5,2,FALSE)</f>
        <v>A</v>
      </c>
      <c r="H8712">
        <v>1</v>
      </c>
      <c r="I8712">
        <v>0.64599537037037036</v>
      </c>
      <c r="J8712">
        <v>44800</v>
      </c>
    </row>
    <row r="8713" spans="1:10" x14ac:dyDescent="0.35">
      <c r="A8713" s="2">
        <v>44800</v>
      </c>
      <c r="B8713" s="3">
        <v>4.0196759259259141E-2</v>
      </c>
      <c r="C8713">
        <v>9918</v>
      </c>
      <c r="D8713" t="str">
        <f>VLOOKUP(H8713,Produkt!$A$2:$B$5,2,FALSE)</f>
        <v>C</v>
      </c>
      <c r="H8713">
        <v>3</v>
      </c>
      <c r="I8713">
        <v>0.98447916666666668</v>
      </c>
      <c r="J8713">
        <v>44782</v>
      </c>
    </row>
    <row r="8714" spans="1:10" x14ac:dyDescent="0.35">
      <c r="A8714" s="2">
        <v>44800</v>
      </c>
      <c r="B8714" s="3">
        <v>0.81778935185185186</v>
      </c>
      <c r="C8714">
        <v>9955</v>
      </c>
      <c r="D8714" t="str">
        <f>VLOOKUP(H8714,Produkt!$A$2:$B$5,2,FALSE)</f>
        <v>D</v>
      </c>
      <c r="H8714">
        <v>4</v>
      </c>
      <c r="I8714">
        <v>0.19351851851851851</v>
      </c>
      <c r="J8714">
        <v>44794</v>
      </c>
    </row>
    <row r="8715" spans="1:10" x14ac:dyDescent="0.35">
      <c r="A8715" s="2">
        <v>44801</v>
      </c>
      <c r="B8715" s="3">
        <v>9.490740740740744E-4</v>
      </c>
      <c r="C8715">
        <v>3</v>
      </c>
      <c r="D8715" t="str">
        <f>VLOOKUP(H8715,Produkt!$A$2:$B$5,2,FALSE)</f>
        <v>C</v>
      </c>
      <c r="H8715">
        <v>3</v>
      </c>
      <c r="I8715">
        <v>0.7622106481481481</v>
      </c>
      <c r="J8715">
        <v>44789</v>
      </c>
    </row>
    <row r="8716" spans="1:10" x14ac:dyDescent="0.35">
      <c r="A8716" s="2">
        <v>44801</v>
      </c>
      <c r="B8716" s="3">
        <v>0.8828125</v>
      </c>
      <c r="C8716">
        <v>16</v>
      </c>
      <c r="D8716" t="str">
        <f>VLOOKUP(H8716,Produkt!$A$2:$B$5,2,FALSE)</f>
        <v>B</v>
      </c>
      <c r="H8716">
        <v>2</v>
      </c>
      <c r="I8716">
        <v>0.41247685185185184</v>
      </c>
      <c r="J8716">
        <v>44803</v>
      </c>
    </row>
    <row r="8717" spans="1:10" x14ac:dyDescent="0.35">
      <c r="A8717" s="2">
        <v>44801</v>
      </c>
      <c r="B8717" s="3">
        <v>0.67766203703703709</v>
      </c>
      <c r="C8717">
        <v>26</v>
      </c>
      <c r="D8717" t="str">
        <f>VLOOKUP(H8717,Produkt!$A$2:$B$5,2,FALSE)</f>
        <v>D</v>
      </c>
      <c r="H8717">
        <v>4</v>
      </c>
      <c r="I8717">
        <v>0.34393518518518523</v>
      </c>
      <c r="J8717">
        <v>44790</v>
      </c>
    </row>
    <row r="8718" spans="1:10" x14ac:dyDescent="0.35">
      <c r="A8718" s="2">
        <v>44801</v>
      </c>
      <c r="B8718" s="3">
        <v>3.4016203703703708E-2</v>
      </c>
      <c r="C8718">
        <v>79</v>
      </c>
      <c r="D8718" t="str">
        <f>VLOOKUP(H8718,Produkt!$A$2:$B$5,2,FALSE)</f>
        <v>C</v>
      </c>
      <c r="H8718">
        <v>3</v>
      </c>
      <c r="I8718">
        <v>0.54859953703703701</v>
      </c>
      <c r="J8718">
        <v>44774</v>
      </c>
    </row>
    <row r="8719" spans="1:10" x14ac:dyDescent="0.35">
      <c r="A8719" s="2">
        <v>44801</v>
      </c>
      <c r="B8719" s="3">
        <v>0.86915509259259249</v>
      </c>
      <c r="C8719">
        <v>99</v>
      </c>
      <c r="D8719" t="str">
        <f>VLOOKUP(H8719,Produkt!$A$2:$B$5,2,FALSE)</f>
        <v>D</v>
      </c>
      <c r="H8719">
        <v>4</v>
      </c>
      <c r="I8719">
        <v>0.94640046296296287</v>
      </c>
      <c r="J8719">
        <v>44784</v>
      </c>
    </row>
    <row r="8720" spans="1:10" x14ac:dyDescent="0.35">
      <c r="A8720" s="2">
        <v>44801</v>
      </c>
      <c r="B8720" s="3">
        <v>0.91723379629629631</v>
      </c>
      <c r="C8720">
        <v>103</v>
      </c>
      <c r="D8720" t="str">
        <f>VLOOKUP(H8720,Produkt!$A$2:$B$5,2,FALSE)</f>
        <v>B</v>
      </c>
      <c r="H8720">
        <v>2</v>
      </c>
      <c r="I8720">
        <v>0.22487268518518519</v>
      </c>
      <c r="J8720">
        <v>44786</v>
      </c>
    </row>
    <row r="8721" spans="1:10" x14ac:dyDescent="0.35">
      <c r="A8721" s="2">
        <v>44801</v>
      </c>
      <c r="B8721" s="3">
        <v>0.14469907407407409</v>
      </c>
      <c r="C8721">
        <v>132</v>
      </c>
      <c r="D8721" t="str">
        <f>VLOOKUP(H8721,Produkt!$A$2:$B$5,2,FALSE)</f>
        <v>C</v>
      </c>
      <c r="H8721">
        <v>3</v>
      </c>
      <c r="I8721">
        <v>3.0081018518518521E-2</v>
      </c>
      <c r="J8721">
        <v>44801</v>
      </c>
    </row>
    <row r="8722" spans="1:10" x14ac:dyDescent="0.35">
      <c r="A8722" s="2">
        <v>44801</v>
      </c>
      <c r="B8722" s="3">
        <v>0.10428240740740741</v>
      </c>
      <c r="C8722">
        <v>139</v>
      </c>
      <c r="D8722" t="str">
        <f>VLOOKUP(H8722,Produkt!$A$2:$B$5,2,FALSE)</f>
        <v>D</v>
      </c>
      <c r="H8722">
        <v>4</v>
      </c>
      <c r="I8722">
        <v>0.81586805555555564</v>
      </c>
      <c r="J8722">
        <v>44799</v>
      </c>
    </row>
    <row r="8723" spans="1:10" x14ac:dyDescent="0.35">
      <c r="A8723" s="2">
        <v>44801</v>
      </c>
      <c r="B8723" s="3">
        <v>0.21407407407407408</v>
      </c>
      <c r="C8723">
        <v>166</v>
      </c>
      <c r="D8723" t="str">
        <f>VLOOKUP(H8723,Produkt!$A$2:$B$5,2,FALSE)</f>
        <v>B</v>
      </c>
      <c r="H8723">
        <v>2</v>
      </c>
      <c r="I8723">
        <v>0.64287037037037031</v>
      </c>
      <c r="J8723">
        <v>44799</v>
      </c>
    </row>
    <row r="8724" spans="1:10" x14ac:dyDescent="0.35">
      <c r="A8724" s="2">
        <v>44801</v>
      </c>
      <c r="B8724" s="3">
        <v>0.72159722222222233</v>
      </c>
      <c r="C8724">
        <v>205</v>
      </c>
      <c r="D8724" t="str">
        <f>VLOOKUP(H8724,Produkt!$A$2:$B$5,2,FALSE)</f>
        <v>D</v>
      </c>
      <c r="H8724">
        <v>4</v>
      </c>
      <c r="I8724">
        <v>0.77758101851851846</v>
      </c>
      <c r="J8724">
        <v>44803</v>
      </c>
    </row>
    <row r="8725" spans="1:10" x14ac:dyDescent="0.35">
      <c r="A8725" s="2">
        <v>44801</v>
      </c>
      <c r="B8725" s="3">
        <v>0.20652777777777778</v>
      </c>
      <c r="C8725">
        <v>222</v>
      </c>
      <c r="D8725" t="str">
        <f>VLOOKUP(H8725,Produkt!$A$2:$B$5,2,FALSE)</f>
        <v>A</v>
      </c>
      <c r="H8725">
        <v>1</v>
      </c>
      <c r="I8725">
        <v>0.85783564814814817</v>
      </c>
      <c r="J8725">
        <v>44782</v>
      </c>
    </row>
    <row r="8726" spans="1:10" x14ac:dyDescent="0.35">
      <c r="A8726" s="2">
        <v>44801</v>
      </c>
      <c r="B8726" s="3">
        <v>0.60093750000000001</v>
      </c>
      <c r="C8726">
        <v>257</v>
      </c>
      <c r="D8726" t="str">
        <f>VLOOKUP(H8726,Produkt!$A$2:$B$5,2,FALSE)</f>
        <v>A</v>
      </c>
      <c r="H8726">
        <v>1</v>
      </c>
      <c r="I8726">
        <v>0.86990740740740735</v>
      </c>
      <c r="J8726">
        <v>44804</v>
      </c>
    </row>
    <row r="8727" spans="1:10" x14ac:dyDescent="0.35">
      <c r="A8727" s="2">
        <v>44801</v>
      </c>
      <c r="B8727" s="3">
        <v>0.66971064814814818</v>
      </c>
      <c r="C8727">
        <v>291</v>
      </c>
      <c r="D8727" t="str">
        <f>VLOOKUP(H8727,Produkt!$A$2:$B$5,2,FALSE)</f>
        <v>B</v>
      </c>
      <c r="H8727">
        <v>2</v>
      </c>
      <c r="I8727">
        <v>0.46596064814814814</v>
      </c>
      <c r="J8727">
        <v>44776</v>
      </c>
    </row>
    <row r="8728" spans="1:10" x14ac:dyDescent="0.35">
      <c r="A8728" s="2">
        <v>44801</v>
      </c>
      <c r="B8728" s="3">
        <v>0.64866898148148155</v>
      </c>
      <c r="C8728">
        <v>378</v>
      </c>
      <c r="D8728" t="str">
        <f>VLOOKUP(H8728,Produkt!$A$2:$B$5,2,FALSE)</f>
        <v>D</v>
      </c>
      <c r="H8728">
        <v>4</v>
      </c>
      <c r="I8728">
        <v>0.65288194444444447</v>
      </c>
      <c r="J8728">
        <v>44790</v>
      </c>
    </row>
    <row r="8729" spans="1:10" x14ac:dyDescent="0.35">
      <c r="A8729" s="2">
        <v>44801</v>
      </c>
      <c r="B8729" s="3">
        <v>0.73429398148148151</v>
      </c>
      <c r="C8729">
        <v>399</v>
      </c>
      <c r="D8729" t="str">
        <f>VLOOKUP(H8729,Produkt!$A$2:$B$5,2,FALSE)</f>
        <v>C</v>
      </c>
      <c r="H8729">
        <v>3</v>
      </c>
      <c r="I8729">
        <v>0.62613425925925925</v>
      </c>
      <c r="J8729">
        <v>44775</v>
      </c>
    </row>
    <row r="8730" spans="1:10" x14ac:dyDescent="0.35">
      <c r="A8730" s="2">
        <v>44801</v>
      </c>
      <c r="B8730" s="3">
        <v>0.48603009259259261</v>
      </c>
      <c r="C8730">
        <v>408</v>
      </c>
      <c r="D8730" t="str">
        <f>VLOOKUP(H8730,Produkt!$A$2:$B$5,2,FALSE)</f>
        <v>C</v>
      </c>
      <c r="H8730">
        <v>3</v>
      </c>
      <c r="I8730">
        <v>0.5406481481481481</v>
      </c>
      <c r="J8730">
        <v>44798</v>
      </c>
    </row>
    <row r="8731" spans="1:10" x14ac:dyDescent="0.35">
      <c r="A8731" s="2">
        <v>44801</v>
      </c>
      <c r="B8731" s="3">
        <v>0.58527777777777779</v>
      </c>
      <c r="C8731">
        <v>413</v>
      </c>
      <c r="D8731" t="str">
        <f>VLOOKUP(H8731,Produkt!$A$2:$B$5,2,FALSE)</f>
        <v>D</v>
      </c>
      <c r="H8731">
        <v>4</v>
      </c>
      <c r="I8731">
        <v>8.2754629629629619E-3</v>
      </c>
      <c r="J8731">
        <v>44778</v>
      </c>
    </row>
    <row r="8732" spans="1:10" x14ac:dyDescent="0.35">
      <c r="A8732" s="2">
        <v>44801</v>
      </c>
      <c r="B8732" s="3">
        <v>0.9362152777777778</v>
      </c>
      <c r="C8732">
        <v>454</v>
      </c>
      <c r="D8732" t="str">
        <f>VLOOKUP(H8732,Produkt!$A$2:$B$5,2,FALSE)</f>
        <v>C</v>
      </c>
      <c r="H8732">
        <v>3</v>
      </c>
      <c r="I8732">
        <v>0.39376157407407408</v>
      </c>
      <c r="J8732">
        <v>44780</v>
      </c>
    </row>
    <row r="8733" spans="1:10" x14ac:dyDescent="0.35">
      <c r="A8733" s="2">
        <v>44801</v>
      </c>
      <c r="B8733" s="3">
        <v>3.4849537037037033E-2</v>
      </c>
      <c r="C8733">
        <v>479</v>
      </c>
      <c r="D8733" t="str">
        <f>VLOOKUP(H8733,Produkt!$A$2:$B$5,2,FALSE)</f>
        <v>C</v>
      </c>
      <c r="H8733">
        <v>3</v>
      </c>
      <c r="I8733">
        <v>5.7349537037037039E-2</v>
      </c>
      <c r="J8733">
        <v>44787</v>
      </c>
    </row>
    <row r="8734" spans="1:10" x14ac:dyDescent="0.35">
      <c r="A8734" s="2">
        <v>44801</v>
      </c>
      <c r="B8734" s="3">
        <v>0.54475694444444445</v>
      </c>
      <c r="C8734">
        <v>537</v>
      </c>
      <c r="D8734" t="str">
        <f>VLOOKUP(H8734,Produkt!$A$2:$B$5,2,FALSE)</f>
        <v>B</v>
      </c>
      <c r="H8734">
        <v>2</v>
      </c>
      <c r="I8734">
        <v>3.3101851851851848E-2</v>
      </c>
      <c r="J8734">
        <v>44795</v>
      </c>
    </row>
    <row r="8735" spans="1:10" x14ac:dyDescent="0.35">
      <c r="A8735" s="2">
        <v>44801</v>
      </c>
      <c r="B8735" s="3">
        <v>0.83857638888888886</v>
      </c>
      <c r="C8735">
        <v>586</v>
      </c>
      <c r="D8735" t="str">
        <f>VLOOKUP(H8735,Produkt!$A$2:$B$5,2,FALSE)</f>
        <v>C</v>
      </c>
      <c r="H8735">
        <v>3</v>
      </c>
      <c r="I8735">
        <v>0.2424074074074074</v>
      </c>
      <c r="J8735">
        <v>44802</v>
      </c>
    </row>
    <row r="8736" spans="1:10" x14ac:dyDescent="0.35">
      <c r="A8736" s="2">
        <v>44801</v>
      </c>
      <c r="B8736" s="3">
        <v>0.32425925925925925</v>
      </c>
      <c r="C8736">
        <v>592</v>
      </c>
      <c r="D8736" t="str">
        <f>VLOOKUP(H8736,Produkt!$A$2:$B$5,2,FALSE)</f>
        <v>B</v>
      </c>
      <c r="H8736">
        <v>2</v>
      </c>
      <c r="I8736">
        <v>0.5394444444444445</v>
      </c>
      <c r="J8736">
        <v>44774</v>
      </c>
    </row>
    <row r="8737" spans="1:10" x14ac:dyDescent="0.35">
      <c r="A8737" s="2">
        <v>44801</v>
      </c>
      <c r="B8737" s="3">
        <v>0.16596064814814815</v>
      </c>
      <c r="C8737">
        <v>661</v>
      </c>
      <c r="D8737" t="str">
        <f>VLOOKUP(H8737,Produkt!$A$2:$B$5,2,FALSE)</f>
        <v>B</v>
      </c>
      <c r="H8737">
        <v>2</v>
      </c>
      <c r="I8737">
        <v>0.44063657407407408</v>
      </c>
      <c r="J8737">
        <v>44791</v>
      </c>
    </row>
    <row r="8738" spans="1:10" x14ac:dyDescent="0.35">
      <c r="A8738" s="2">
        <v>44801</v>
      </c>
      <c r="B8738" s="3">
        <v>1.9201388888888893E-2</v>
      </c>
      <c r="C8738">
        <v>702</v>
      </c>
      <c r="D8738" t="str">
        <f>VLOOKUP(H8738,Produkt!$A$2:$B$5,2,FALSE)</f>
        <v>C</v>
      </c>
      <c r="H8738">
        <v>3</v>
      </c>
      <c r="I8738">
        <v>0.89946759259259268</v>
      </c>
      <c r="J8738">
        <v>44777</v>
      </c>
    </row>
    <row r="8739" spans="1:10" x14ac:dyDescent="0.35">
      <c r="A8739" s="2">
        <v>44801</v>
      </c>
      <c r="B8739" s="3">
        <v>0.50965277777777784</v>
      </c>
      <c r="C8739">
        <v>715</v>
      </c>
      <c r="D8739" t="str">
        <f>VLOOKUP(H8739,Produkt!$A$2:$B$5,2,FALSE)</f>
        <v>C</v>
      </c>
      <c r="H8739">
        <v>3</v>
      </c>
      <c r="I8739">
        <v>0.99247685185185175</v>
      </c>
      <c r="J8739">
        <v>44798</v>
      </c>
    </row>
    <row r="8740" spans="1:10" x14ac:dyDescent="0.35">
      <c r="A8740" s="2">
        <v>44801</v>
      </c>
      <c r="B8740" s="3">
        <v>0.78731481481481491</v>
      </c>
      <c r="C8740">
        <v>729</v>
      </c>
      <c r="D8740" t="str">
        <f>VLOOKUP(H8740,Produkt!$A$2:$B$5,2,FALSE)</f>
        <v>C</v>
      </c>
      <c r="H8740">
        <v>3</v>
      </c>
      <c r="I8740">
        <v>0.31693287037037038</v>
      </c>
      <c r="J8740">
        <v>44798</v>
      </c>
    </row>
    <row r="8741" spans="1:10" x14ac:dyDescent="0.35">
      <c r="A8741" s="2">
        <v>44801</v>
      </c>
      <c r="B8741" s="3">
        <v>0.57546296296296295</v>
      </c>
      <c r="C8741">
        <v>744</v>
      </c>
      <c r="D8741" t="str">
        <f>VLOOKUP(H8741,Produkt!$A$2:$B$5,2,FALSE)</f>
        <v>B</v>
      </c>
      <c r="H8741">
        <v>2</v>
      </c>
      <c r="I8741">
        <v>4.8252314814814817E-2</v>
      </c>
      <c r="J8741">
        <v>44783</v>
      </c>
    </row>
    <row r="8742" spans="1:10" x14ac:dyDescent="0.35">
      <c r="A8742" s="2">
        <v>44801</v>
      </c>
      <c r="B8742" s="3">
        <v>0.48302083333333329</v>
      </c>
      <c r="C8742">
        <v>790</v>
      </c>
      <c r="D8742" t="str">
        <f>VLOOKUP(H8742,Produkt!$A$2:$B$5,2,FALSE)</f>
        <v>B</v>
      </c>
      <c r="H8742">
        <v>2</v>
      </c>
      <c r="I8742">
        <v>0.20157407407407404</v>
      </c>
      <c r="J8742">
        <v>44776</v>
      </c>
    </row>
    <row r="8743" spans="1:10" x14ac:dyDescent="0.35">
      <c r="A8743" s="2">
        <v>44801</v>
      </c>
      <c r="B8743" s="3">
        <v>0.82024305555555566</v>
      </c>
      <c r="C8743">
        <v>808</v>
      </c>
      <c r="D8743" t="str">
        <f>VLOOKUP(H8743,Produkt!$A$2:$B$5,2,FALSE)</f>
        <v>A</v>
      </c>
      <c r="H8743">
        <v>1</v>
      </c>
      <c r="I8743">
        <v>0.87267361111111119</v>
      </c>
      <c r="J8743">
        <v>44801</v>
      </c>
    </row>
    <row r="8744" spans="1:10" x14ac:dyDescent="0.35">
      <c r="A8744" s="2">
        <v>44801</v>
      </c>
      <c r="B8744" s="3">
        <v>0.39395833333333335</v>
      </c>
      <c r="C8744">
        <v>865</v>
      </c>
      <c r="D8744" t="str">
        <f>VLOOKUP(H8744,Produkt!$A$2:$B$5,2,FALSE)</f>
        <v>B</v>
      </c>
      <c r="H8744">
        <v>2</v>
      </c>
      <c r="I8744">
        <v>0.46144675925925926</v>
      </c>
      <c r="J8744">
        <v>44783</v>
      </c>
    </row>
    <row r="8745" spans="1:10" x14ac:dyDescent="0.35">
      <c r="A8745" s="2">
        <v>44801</v>
      </c>
      <c r="B8745" s="3">
        <v>0.79954861111111108</v>
      </c>
      <c r="C8745">
        <v>868</v>
      </c>
      <c r="D8745" t="str">
        <f>VLOOKUP(H8745,Produkt!$A$2:$B$5,2,FALSE)</f>
        <v>B</v>
      </c>
      <c r="H8745">
        <v>2</v>
      </c>
      <c r="I8745">
        <v>0.58072916666666663</v>
      </c>
      <c r="J8745">
        <v>44777</v>
      </c>
    </row>
    <row r="8746" spans="1:10" x14ac:dyDescent="0.35">
      <c r="A8746" s="2">
        <v>44801</v>
      </c>
      <c r="B8746" s="3">
        <v>0.88540509259259259</v>
      </c>
      <c r="C8746">
        <v>880</v>
      </c>
      <c r="D8746" t="str">
        <f>VLOOKUP(H8746,Produkt!$A$2:$B$5,2,FALSE)</f>
        <v>A</v>
      </c>
      <c r="H8746">
        <v>1</v>
      </c>
      <c r="I8746">
        <v>0.85936342592592585</v>
      </c>
      <c r="J8746">
        <v>44801</v>
      </c>
    </row>
    <row r="8747" spans="1:10" x14ac:dyDescent="0.35">
      <c r="A8747" s="2">
        <v>44801</v>
      </c>
      <c r="B8747" s="3">
        <v>0.42282407407407407</v>
      </c>
      <c r="C8747">
        <v>899</v>
      </c>
      <c r="D8747" t="str">
        <f>VLOOKUP(H8747,Produkt!$A$2:$B$5,2,FALSE)</f>
        <v>B</v>
      </c>
      <c r="H8747">
        <v>2</v>
      </c>
      <c r="I8747">
        <v>3.2731481481481479E-2</v>
      </c>
      <c r="J8747">
        <v>44787</v>
      </c>
    </row>
    <row r="8748" spans="1:10" x14ac:dyDescent="0.35">
      <c r="A8748" s="2">
        <v>44801</v>
      </c>
      <c r="B8748" s="3">
        <v>4.3449074074074077E-2</v>
      </c>
      <c r="C8748">
        <v>919</v>
      </c>
      <c r="D8748" t="str">
        <f>VLOOKUP(H8748,Produkt!$A$2:$B$5,2,FALSE)</f>
        <v>A</v>
      </c>
      <c r="H8748">
        <v>1</v>
      </c>
      <c r="I8748">
        <v>0.27504629629629629</v>
      </c>
      <c r="J8748">
        <v>44778</v>
      </c>
    </row>
    <row r="8749" spans="1:10" x14ac:dyDescent="0.35">
      <c r="A8749" s="2">
        <v>44801</v>
      </c>
      <c r="B8749" s="3">
        <v>0.31200231481481483</v>
      </c>
      <c r="C8749">
        <v>950</v>
      </c>
      <c r="D8749" t="str">
        <f>VLOOKUP(H8749,Produkt!$A$2:$B$5,2,FALSE)</f>
        <v>B</v>
      </c>
      <c r="H8749">
        <v>2</v>
      </c>
      <c r="I8749">
        <v>0.5627199074074074</v>
      </c>
      <c r="J8749">
        <v>44774</v>
      </c>
    </row>
    <row r="8750" spans="1:10" x14ac:dyDescent="0.35">
      <c r="A8750" s="2">
        <v>44801</v>
      </c>
      <c r="B8750" s="3">
        <v>0.83461805555555557</v>
      </c>
      <c r="C8750">
        <v>967</v>
      </c>
      <c r="D8750" t="str">
        <f>VLOOKUP(H8750,Produkt!$A$2:$B$5,2,FALSE)</f>
        <v>C</v>
      </c>
      <c r="H8750">
        <v>3</v>
      </c>
      <c r="I8750">
        <v>0.14578703703703702</v>
      </c>
      <c r="J8750">
        <v>44799</v>
      </c>
    </row>
    <row r="8751" spans="1:10" x14ac:dyDescent="0.35">
      <c r="A8751" s="2">
        <v>44801</v>
      </c>
      <c r="B8751" s="3">
        <v>0.78488425925925931</v>
      </c>
      <c r="C8751">
        <v>1031</v>
      </c>
      <c r="D8751" t="str">
        <f>VLOOKUP(H8751,Produkt!$A$2:$B$5,2,FALSE)</f>
        <v>B</v>
      </c>
      <c r="H8751">
        <v>2</v>
      </c>
      <c r="I8751">
        <v>0.92375000000000007</v>
      </c>
      <c r="J8751">
        <v>44789</v>
      </c>
    </row>
    <row r="8752" spans="1:10" x14ac:dyDescent="0.35">
      <c r="A8752" s="2">
        <v>44801</v>
      </c>
      <c r="B8752" s="3">
        <v>0.5372569444444445</v>
      </c>
      <c r="C8752">
        <v>1106</v>
      </c>
      <c r="D8752" t="str">
        <f>VLOOKUP(H8752,Produkt!$A$2:$B$5,2,FALSE)</f>
        <v>D</v>
      </c>
      <c r="H8752">
        <v>4</v>
      </c>
      <c r="I8752">
        <v>0.65186342592592594</v>
      </c>
      <c r="J8752">
        <v>44798</v>
      </c>
    </row>
    <row r="8753" spans="1:10" x14ac:dyDescent="0.35">
      <c r="A8753" s="2">
        <v>44801</v>
      </c>
      <c r="B8753" s="3">
        <v>0.67120370370370364</v>
      </c>
      <c r="C8753">
        <v>1132</v>
      </c>
      <c r="D8753" t="str">
        <f>VLOOKUP(H8753,Produkt!$A$2:$B$5,2,FALSE)</f>
        <v>C</v>
      </c>
      <c r="H8753">
        <v>3</v>
      </c>
      <c r="I8753">
        <v>0.36851851851851852</v>
      </c>
      <c r="J8753">
        <v>44795</v>
      </c>
    </row>
    <row r="8754" spans="1:10" x14ac:dyDescent="0.35">
      <c r="A8754" s="2">
        <v>44801</v>
      </c>
      <c r="B8754" s="3">
        <v>0.87792824074074083</v>
      </c>
      <c r="C8754">
        <v>1184</v>
      </c>
      <c r="D8754" t="str">
        <f>VLOOKUP(H8754,Produkt!$A$2:$B$5,2,FALSE)</f>
        <v>C</v>
      </c>
      <c r="H8754">
        <v>3</v>
      </c>
      <c r="I8754">
        <v>0.80096064814814805</v>
      </c>
      <c r="J8754">
        <v>44798</v>
      </c>
    </row>
    <row r="8755" spans="1:10" x14ac:dyDescent="0.35">
      <c r="A8755" s="2">
        <v>44801</v>
      </c>
      <c r="B8755" s="3">
        <v>0.48025462962962967</v>
      </c>
      <c r="C8755">
        <v>1203</v>
      </c>
      <c r="D8755" t="str">
        <f>VLOOKUP(H8755,Produkt!$A$2:$B$5,2,FALSE)</f>
        <v>D</v>
      </c>
      <c r="H8755">
        <v>4</v>
      </c>
      <c r="I8755">
        <v>0.40288194444444447</v>
      </c>
      <c r="J8755">
        <v>44784</v>
      </c>
    </row>
    <row r="8756" spans="1:10" x14ac:dyDescent="0.35">
      <c r="A8756" s="2">
        <v>44801</v>
      </c>
      <c r="B8756" s="3">
        <v>7.0659722222222221E-2</v>
      </c>
      <c r="C8756">
        <v>1214</v>
      </c>
      <c r="D8756" t="str">
        <f>VLOOKUP(H8756,Produkt!$A$2:$B$5,2,FALSE)</f>
        <v>A</v>
      </c>
      <c r="H8756">
        <v>1</v>
      </c>
      <c r="I8756">
        <v>9.5474537037037052E-2</v>
      </c>
      <c r="J8756">
        <v>44792</v>
      </c>
    </row>
    <row r="8757" spans="1:10" x14ac:dyDescent="0.35">
      <c r="A8757" s="2">
        <v>44801</v>
      </c>
      <c r="B8757" s="3">
        <v>0.86812500000000004</v>
      </c>
      <c r="C8757">
        <v>1215</v>
      </c>
      <c r="D8757" t="str">
        <f>VLOOKUP(H8757,Produkt!$A$2:$B$5,2,FALSE)</f>
        <v>A</v>
      </c>
      <c r="H8757">
        <v>1</v>
      </c>
      <c r="I8757">
        <v>5.6018518518519134E-3</v>
      </c>
      <c r="J8757">
        <v>44785</v>
      </c>
    </row>
    <row r="8758" spans="1:10" x14ac:dyDescent="0.35">
      <c r="A8758" s="2">
        <v>44801</v>
      </c>
      <c r="B8758" s="3">
        <v>0.48454861111111108</v>
      </c>
      <c r="C8758">
        <v>1285</v>
      </c>
      <c r="D8758" t="str">
        <f>VLOOKUP(H8758,Produkt!$A$2:$B$5,2,FALSE)</f>
        <v>B</v>
      </c>
      <c r="H8758">
        <v>2</v>
      </c>
      <c r="I8758">
        <v>2.2164351851851852E-2</v>
      </c>
      <c r="J8758">
        <v>44796</v>
      </c>
    </row>
    <row r="8759" spans="1:10" x14ac:dyDescent="0.35">
      <c r="A8759" s="2">
        <v>44801</v>
      </c>
      <c r="B8759" s="3">
        <v>0.95178240740740738</v>
      </c>
      <c r="C8759">
        <v>1336</v>
      </c>
      <c r="D8759" t="str">
        <f>VLOOKUP(H8759,Produkt!$A$2:$B$5,2,FALSE)</f>
        <v>B</v>
      </c>
      <c r="H8759">
        <v>2</v>
      </c>
      <c r="I8759">
        <v>0.35596064814814815</v>
      </c>
      <c r="J8759">
        <v>44778</v>
      </c>
    </row>
    <row r="8760" spans="1:10" x14ac:dyDescent="0.35">
      <c r="A8760" s="2">
        <v>44801</v>
      </c>
      <c r="B8760" s="3">
        <v>0.27799768518518519</v>
      </c>
      <c r="C8760">
        <v>1344</v>
      </c>
      <c r="D8760" t="str">
        <f>VLOOKUP(H8760,Produkt!$A$2:$B$5,2,FALSE)</f>
        <v>A</v>
      </c>
      <c r="H8760">
        <v>1</v>
      </c>
      <c r="I8760">
        <v>0.99670138888888893</v>
      </c>
      <c r="J8760">
        <v>44791</v>
      </c>
    </row>
    <row r="8761" spans="1:10" x14ac:dyDescent="0.35">
      <c r="A8761" s="2">
        <v>44801</v>
      </c>
      <c r="B8761" s="3">
        <v>0.68332175925925931</v>
      </c>
      <c r="C8761">
        <v>1361</v>
      </c>
      <c r="D8761" t="str">
        <f>VLOOKUP(H8761,Produkt!$A$2:$B$5,2,FALSE)</f>
        <v>A</v>
      </c>
      <c r="H8761">
        <v>1</v>
      </c>
      <c r="I8761">
        <v>0.91898148148148151</v>
      </c>
      <c r="J8761">
        <v>44789</v>
      </c>
    </row>
    <row r="8762" spans="1:10" x14ac:dyDescent="0.35">
      <c r="A8762" s="2">
        <v>44801</v>
      </c>
      <c r="B8762" s="3">
        <v>0.45255787037037037</v>
      </c>
      <c r="C8762">
        <v>1452</v>
      </c>
      <c r="D8762" t="str">
        <f>VLOOKUP(H8762,Produkt!$A$2:$B$5,2,FALSE)</f>
        <v>C</v>
      </c>
      <c r="H8762">
        <v>3</v>
      </c>
      <c r="I8762">
        <v>0.57696759259259256</v>
      </c>
      <c r="J8762">
        <v>44782</v>
      </c>
    </row>
    <row r="8763" spans="1:10" x14ac:dyDescent="0.35">
      <c r="A8763" s="2">
        <v>44801</v>
      </c>
      <c r="B8763" s="3">
        <v>6.3541666666666668E-3</v>
      </c>
      <c r="C8763">
        <v>1468</v>
      </c>
      <c r="D8763" t="str">
        <f>VLOOKUP(H8763,Produkt!$A$2:$B$5,2,FALSE)</f>
        <v>B</v>
      </c>
      <c r="H8763">
        <v>2</v>
      </c>
      <c r="I8763">
        <v>0.74199074074074067</v>
      </c>
      <c r="J8763">
        <v>44780</v>
      </c>
    </row>
    <row r="8764" spans="1:10" x14ac:dyDescent="0.35">
      <c r="A8764" s="2">
        <v>44801</v>
      </c>
      <c r="B8764" s="3">
        <v>0.85001157407407402</v>
      </c>
      <c r="C8764">
        <v>1492</v>
      </c>
      <c r="D8764" t="str">
        <f>VLOOKUP(H8764,Produkt!$A$2:$B$5,2,FALSE)</f>
        <v>B</v>
      </c>
      <c r="H8764">
        <v>2</v>
      </c>
      <c r="I8764">
        <v>0.93144675925925924</v>
      </c>
      <c r="J8764">
        <v>44790</v>
      </c>
    </row>
    <row r="8765" spans="1:10" x14ac:dyDescent="0.35">
      <c r="A8765" s="2">
        <v>44801</v>
      </c>
      <c r="B8765" s="3">
        <v>0.14019675925925926</v>
      </c>
      <c r="C8765">
        <v>1515</v>
      </c>
      <c r="D8765" t="str">
        <f>VLOOKUP(H8765,Produkt!$A$2:$B$5,2,FALSE)</f>
        <v>B</v>
      </c>
      <c r="H8765">
        <v>2</v>
      </c>
      <c r="I8765">
        <v>0.76065972222222211</v>
      </c>
      <c r="J8765">
        <v>44777</v>
      </c>
    </row>
    <row r="8766" spans="1:10" x14ac:dyDescent="0.35">
      <c r="A8766" s="2">
        <v>44801</v>
      </c>
      <c r="B8766" s="3">
        <v>0.3955555555555556</v>
      </c>
      <c r="C8766">
        <v>1537</v>
      </c>
      <c r="D8766" t="str">
        <f>VLOOKUP(H8766,Produkt!$A$2:$B$5,2,FALSE)</f>
        <v>A</v>
      </c>
      <c r="H8766">
        <v>1</v>
      </c>
      <c r="I8766">
        <v>0.83152777777777775</v>
      </c>
      <c r="J8766">
        <v>44791</v>
      </c>
    </row>
    <row r="8767" spans="1:10" x14ac:dyDescent="0.35">
      <c r="A8767" s="2">
        <v>44801</v>
      </c>
      <c r="B8767" s="3">
        <v>8.0254629629629634E-2</v>
      </c>
      <c r="C8767">
        <v>1544</v>
      </c>
      <c r="D8767" t="str">
        <f>VLOOKUP(H8767,Produkt!$A$2:$B$5,2,FALSE)</f>
        <v>A</v>
      </c>
      <c r="H8767">
        <v>1</v>
      </c>
      <c r="I8767">
        <v>4.0057870370370369E-2</v>
      </c>
      <c r="J8767">
        <v>44800</v>
      </c>
    </row>
    <row r="8768" spans="1:10" x14ac:dyDescent="0.35">
      <c r="A8768" s="2">
        <v>44801</v>
      </c>
      <c r="B8768" s="3">
        <v>0.88026620370370379</v>
      </c>
      <c r="C8768">
        <v>1558</v>
      </c>
      <c r="D8768" t="str">
        <f>VLOOKUP(H8768,Produkt!$A$2:$B$5,2,FALSE)</f>
        <v>A</v>
      </c>
      <c r="H8768">
        <v>1</v>
      </c>
      <c r="I8768">
        <v>5.8969907407407408E-2</v>
      </c>
      <c r="J8768">
        <v>44779</v>
      </c>
    </row>
    <row r="8769" spans="1:10" x14ac:dyDescent="0.35">
      <c r="A8769" s="2">
        <v>44801</v>
      </c>
      <c r="B8769" s="3">
        <v>0.62240740740740741</v>
      </c>
      <c r="C8769">
        <v>1569</v>
      </c>
      <c r="D8769" t="str">
        <f>VLOOKUP(H8769,Produkt!$A$2:$B$5,2,FALSE)</f>
        <v>A</v>
      </c>
      <c r="H8769">
        <v>1</v>
      </c>
      <c r="I8769">
        <v>0.2986921296296296</v>
      </c>
      <c r="J8769">
        <v>44779</v>
      </c>
    </row>
    <row r="8770" spans="1:10" x14ac:dyDescent="0.35">
      <c r="A8770" s="2">
        <v>44801</v>
      </c>
      <c r="B8770" s="3">
        <v>0.48158564814814814</v>
      </c>
      <c r="C8770">
        <v>1577</v>
      </c>
      <c r="D8770" t="str">
        <f>VLOOKUP(H8770,Produkt!$A$2:$B$5,2,FALSE)</f>
        <v>B</v>
      </c>
      <c r="H8770">
        <v>2</v>
      </c>
      <c r="I8770">
        <v>0.62504629629629627</v>
      </c>
      <c r="J8770">
        <v>44788</v>
      </c>
    </row>
    <row r="8771" spans="1:10" x14ac:dyDescent="0.35">
      <c r="A8771" s="2">
        <v>44801</v>
      </c>
      <c r="B8771" s="3">
        <v>0.29579861111111111</v>
      </c>
      <c r="C8771">
        <v>1666</v>
      </c>
      <c r="D8771" t="str">
        <f>VLOOKUP(H8771,Produkt!$A$2:$B$5,2,FALSE)</f>
        <v>D</v>
      </c>
      <c r="H8771">
        <v>4</v>
      </c>
      <c r="I8771">
        <v>4.8958333333333333E-2</v>
      </c>
      <c r="J8771">
        <v>44774</v>
      </c>
    </row>
    <row r="8772" spans="1:10" x14ac:dyDescent="0.35">
      <c r="A8772" s="2">
        <v>44801</v>
      </c>
      <c r="B8772" s="3">
        <v>0.63364583333333335</v>
      </c>
      <c r="C8772">
        <v>1673</v>
      </c>
      <c r="D8772" t="str">
        <f>VLOOKUP(H8772,Produkt!$A$2:$B$5,2,FALSE)</f>
        <v>C</v>
      </c>
      <c r="H8772">
        <v>3</v>
      </c>
      <c r="I8772">
        <v>0.34349537037037042</v>
      </c>
      <c r="J8772">
        <v>44798</v>
      </c>
    </row>
    <row r="8773" spans="1:10" x14ac:dyDescent="0.35">
      <c r="A8773" s="2">
        <v>44801</v>
      </c>
      <c r="B8773" s="3">
        <v>0.62043981481481481</v>
      </c>
      <c r="C8773">
        <v>1681</v>
      </c>
      <c r="D8773" t="str">
        <f>VLOOKUP(H8773,Produkt!$A$2:$B$5,2,FALSE)</f>
        <v>C</v>
      </c>
      <c r="H8773">
        <v>3</v>
      </c>
      <c r="I8773">
        <v>0.64184027777777775</v>
      </c>
      <c r="J8773">
        <v>44786</v>
      </c>
    </row>
    <row r="8774" spans="1:10" x14ac:dyDescent="0.35">
      <c r="A8774" s="2">
        <v>44801</v>
      </c>
      <c r="B8774" s="3">
        <v>0.15069444444444444</v>
      </c>
      <c r="C8774">
        <v>1717</v>
      </c>
      <c r="D8774" t="str">
        <f>VLOOKUP(H8774,Produkt!$A$2:$B$5,2,FALSE)</f>
        <v>C</v>
      </c>
      <c r="H8774">
        <v>3</v>
      </c>
      <c r="I8774">
        <v>0.24185185185185185</v>
      </c>
      <c r="J8774">
        <v>44802</v>
      </c>
    </row>
    <row r="8775" spans="1:10" x14ac:dyDescent="0.35">
      <c r="A8775" s="2">
        <v>44801</v>
      </c>
      <c r="B8775" s="3">
        <v>0.40709490740740745</v>
      </c>
      <c r="C8775">
        <v>1730</v>
      </c>
      <c r="D8775" t="str">
        <f>VLOOKUP(H8775,Produkt!$A$2:$B$5,2,FALSE)</f>
        <v>C</v>
      </c>
      <c r="H8775">
        <v>3</v>
      </c>
      <c r="I8775">
        <v>0.39761574074074074</v>
      </c>
      <c r="J8775">
        <v>44791</v>
      </c>
    </row>
    <row r="8776" spans="1:10" x14ac:dyDescent="0.35">
      <c r="A8776" s="2">
        <v>44801</v>
      </c>
      <c r="B8776" s="3">
        <v>0.59092592592592597</v>
      </c>
      <c r="C8776">
        <v>1733</v>
      </c>
      <c r="D8776" t="str">
        <f>VLOOKUP(H8776,Produkt!$A$2:$B$5,2,FALSE)</f>
        <v>D</v>
      </c>
      <c r="H8776">
        <v>4</v>
      </c>
      <c r="I8776">
        <v>0.71101851851851849</v>
      </c>
      <c r="J8776">
        <v>44779</v>
      </c>
    </row>
    <row r="8777" spans="1:10" x14ac:dyDescent="0.35">
      <c r="A8777" s="2">
        <v>44801</v>
      </c>
      <c r="B8777" s="3">
        <v>3.5208333333333286E-2</v>
      </c>
      <c r="C8777">
        <v>1766</v>
      </c>
      <c r="D8777" t="str">
        <f>VLOOKUP(H8777,Produkt!$A$2:$B$5,2,FALSE)</f>
        <v>A</v>
      </c>
      <c r="H8777">
        <v>1</v>
      </c>
      <c r="I8777">
        <v>0.34006944444444448</v>
      </c>
      <c r="J8777">
        <v>44787</v>
      </c>
    </row>
    <row r="8778" spans="1:10" x14ac:dyDescent="0.35">
      <c r="A8778" s="2">
        <v>44801</v>
      </c>
      <c r="B8778" s="3">
        <v>0.99537037037037035</v>
      </c>
      <c r="C8778">
        <v>1786</v>
      </c>
      <c r="D8778" t="str">
        <f>VLOOKUP(H8778,Produkt!$A$2:$B$5,2,FALSE)</f>
        <v>D</v>
      </c>
      <c r="H8778">
        <v>4</v>
      </c>
      <c r="I8778">
        <v>0.99483796296296301</v>
      </c>
      <c r="J8778">
        <v>44789</v>
      </c>
    </row>
    <row r="8779" spans="1:10" x14ac:dyDescent="0.35">
      <c r="A8779" s="2">
        <v>44801</v>
      </c>
      <c r="B8779" s="3">
        <v>0.54586805555555562</v>
      </c>
      <c r="C8779">
        <v>1807</v>
      </c>
      <c r="D8779" t="str">
        <f>VLOOKUP(H8779,Produkt!$A$2:$B$5,2,FALSE)</f>
        <v>C</v>
      </c>
      <c r="H8779">
        <v>3</v>
      </c>
      <c r="I8779">
        <v>0.7911921296296297</v>
      </c>
      <c r="J8779">
        <v>44801</v>
      </c>
    </row>
    <row r="8780" spans="1:10" x14ac:dyDescent="0.35">
      <c r="A8780" s="2">
        <v>44801</v>
      </c>
      <c r="B8780" s="3">
        <v>0.58199074074074075</v>
      </c>
      <c r="C8780">
        <v>1817</v>
      </c>
      <c r="D8780" t="str">
        <f>VLOOKUP(H8780,Produkt!$A$2:$B$5,2,FALSE)</f>
        <v>C</v>
      </c>
      <c r="H8780">
        <v>3</v>
      </c>
      <c r="I8780">
        <v>0.26021990740740741</v>
      </c>
      <c r="J8780">
        <v>44791</v>
      </c>
    </row>
    <row r="8781" spans="1:10" x14ac:dyDescent="0.35">
      <c r="A8781" s="2">
        <v>44801</v>
      </c>
      <c r="B8781" s="3">
        <v>0.53174768518518511</v>
      </c>
      <c r="C8781">
        <v>1823</v>
      </c>
      <c r="D8781" t="str">
        <f>VLOOKUP(H8781,Produkt!$A$2:$B$5,2,FALSE)</f>
        <v>D</v>
      </c>
      <c r="H8781">
        <v>4</v>
      </c>
      <c r="I8781">
        <v>0.84706018518518522</v>
      </c>
      <c r="J8781">
        <v>44790</v>
      </c>
    </row>
    <row r="8782" spans="1:10" x14ac:dyDescent="0.35">
      <c r="A8782" s="2">
        <v>44801</v>
      </c>
      <c r="B8782" s="3">
        <v>0.86127314814814815</v>
      </c>
      <c r="C8782">
        <v>1849</v>
      </c>
      <c r="D8782" t="str">
        <f>VLOOKUP(H8782,Produkt!$A$2:$B$5,2,FALSE)</f>
        <v>A</v>
      </c>
      <c r="H8782">
        <v>1</v>
      </c>
      <c r="I8782">
        <v>0.2409375</v>
      </c>
      <c r="J8782">
        <v>44785</v>
      </c>
    </row>
    <row r="8783" spans="1:10" x14ac:dyDescent="0.35">
      <c r="A8783" s="2">
        <v>44801</v>
      </c>
      <c r="B8783" s="3">
        <v>0.99319444444444438</v>
      </c>
      <c r="C8783">
        <v>1880</v>
      </c>
      <c r="D8783" t="str">
        <f>VLOOKUP(H8783,Produkt!$A$2:$B$5,2,FALSE)</f>
        <v>B</v>
      </c>
      <c r="H8783">
        <v>2</v>
      </c>
      <c r="I8783">
        <v>0.74219907407407415</v>
      </c>
      <c r="J8783">
        <v>44801</v>
      </c>
    </row>
    <row r="8784" spans="1:10" x14ac:dyDescent="0.35">
      <c r="A8784" s="2">
        <v>44801</v>
      </c>
      <c r="B8784" s="3">
        <v>0.44471064814814815</v>
      </c>
      <c r="C8784">
        <v>1898</v>
      </c>
      <c r="D8784" t="str">
        <f>VLOOKUP(H8784,Produkt!$A$2:$B$5,2,FALSE)</f>
        <v>C</v>
      </c>
      <c r="H8784">
        <v>3</v>
      </c>
      <c r="I8784">
        <v>7.9525462962962964E-2</v>
      </c>
      <c r="J8784">
        <v>44795</v>
      </c>
    </row>
    <row r="8785" spans="1:10" x14ac:dyDescent="0.35">
      <c r="A8785" s="2">
        <v>44801</v>
      </c>
      <c r="B8785" s="3">
        <v>0.68546296296296294</v>
      </c>
      <c r="C8785">
        <v>1986</v>
      </c>
      <c r="D8785" t="str">
        <f>VLOOKUP(H8785,Produkt!$A$2:$B$5,2,FALSE)</f>
        <v>B</v>
      </c>
      <c r="H8785">
        <v>2</v>
      </c>
      <c r="I8785">
        <v>0.25103009259259262</v>
      </c>
      <c r="J8785">
        <v>44776</v>
      </c>
    </row>
    <row r="8786" spans="1:10" x14ac:dyDescent="0.35">
      <c r="A8786" s="2">
        <v>44801</v>
      </c>
      <c r="B8786" s="3">
        <v>0.1391087962962963</v>
      </c>
      <c r="C8786">
        <v>2016</v>
      </c>
      <c r="D8786" t="str">
        <f>VLOOKUP(H8786,Produkt!$A$2:$B$5,2,FALSE)</f>
        <v>B</v>
      </c>
      <c r="H8786">
        <v>2</v>
      </c>
      <c r="I8786">
        <v>0.75962962962962965</v>
      </c>
      <c r="J8786">
        <v>44803</v>
      </c>
    </row>
    <row r="8787" spans="1:10" x14ac:dyDescent="0.35">
      <c r="A8787" s="2">
        <v>44801</v>
      </c>
      <c r="B8787" s="3">
        <v>0.7125462962962964</v>
      </c>
      <c r="C8787">
        <v>2033</v>
      </c>
      <c r="D8787" t="str">
        <f>VLOOKUP(H8787,Produkt!$A$2:$B$5,2,FALSE)</f>
        <v>C</v>
      </c>
      <c r="H8787">
        <v>3</v>
      </c>
      <c r="I8787">
        <v>0.56290509259259258</v>
      </c>
      <c r="J8787">
        <v>44787</v>
      </c>
    </row>
    <row r="8788" spans="1:10" x14ac:dyDescent="0.35">
      <c r="A8788" s="2">
        <v>44801</v>
      </c>
      <c r="B8788" s="3">
        <v>9.9652777777776702E-3</v>
      </c>
      <c r="C8788">
        <v>2065</v>
      </c>
      <c r="D8788" t="str">
        <f>VLOOKUP(H8788,Produkt!$A$2:$B$5,2,FALSE)</f>
        <v>A</v>
      </c>
      <c r="H8788">
        <v>1</v>
      </c>
      <c r="I8788">
        <v>0.43261574074074072</v>
      </c>
      <c r="J8788">
        <v>44775</v>
      </c>
    </row>
    <row r="8789" spans="1:10" x14ac:dyDescent="0.35">
      <c r="A8789" s="2">
        <v>44801</v>
      </c>
      <c r="B8789" s="3">
        <v>0.10320601851851852</v>
      </c>
      <c r="C8789">
        <v>2099</v>
      </c>
      <c r="D8789" t="str">
        <f>VLOOKUP(H8789,Produkt!$A$2:$B$5,2,FALSE)</f>
        <v>D</v>
      </c>
      <c r="H8789">
        <v>4</v>
      </c>
      <c r="I8789">
        <v>0.75468750000000007</v>
      </c>
      <c r="J8789">
        <v>44784</v>
      </c>
    </row>
    <row r="8790" spans="1:10" x14ac:dyDescent="0.35">
      <c r="A8790" s="2">
        <v>44801</v>
      </c>
      <c r="B8790" s="3">
        <v>0.90363425925925922</v>
      </c>
      <c r="C8790">
        <v>2183</v>
      </c>
      <c r="D8790" t="str">
        <f>VLOOKUP(H8790,Produkt!$A$2:$B$5,2,FALSE)</f>
        <v>A</v>
      </c>
      <c r="H8790">
        <v>1</v>
      </c>
      <c r="I8790">
        <v>0.12472222222222222</v>
      </c>
      <c r="J8790">
        <v>44777</v>
      </c>
    </row>
    <row r="8791" spans="1:10" x14ac:dyDescent="0.35">
      <c r="A8791" s="2">
        <v>44801</v>
      </c>
      <c r="B8791" s="3">
        <v>0.72807870370370376</v>
      </c>
      <c r="C8791">
        <v>2216</v>
      </c>
      <c r="D8791" t="str">
        <f>VLOOKUP(H8791,Produkt!$A$2:$B$5,2,FALSE)</f>
        <v>B</v>
      </c>
      <c r="H8791">
        <v>2</v>
      </c>
      <c r="I8791">
        <v>0.29814814814814816</v>
      </c>
      <c r="J8791">
        <v>44802</v>
      </c>
    </row>
    <row r="8792" spans="1:10" x14ac:dyDescent="0.35">
      <c r="A8792" s="2">
        <v>44801</v>
      </c>
      <c r="B8792" s="3">
        <v>0.61269675925925926</v>
      </c>
      <c r="C8792">
        <v>2226</v>
      </c>
      <c r="D8792" t="str">
        <f>VLOOKUP(H8792,Produkt!$A$2:$B$5,2,FALSE)</f>
        <v>B</v>
      </c>
      <c r="H8792">
        <v>2</v>
      </c>
      <c r="I8792">
        <v>0.47467592592592595</v>
      </c>
      <c r="J8792">
        <v>44779</v>
      </c>
    </row>
    <row r="8793" spans="1:10" x14ac:dyDescent="0.35">
      <c r="A8793" s="2">
        <v>44801</v>
      </c>
      <c r="B8793" s="3">
        <v>0.30038194444444444</v>
      </c>
      <c r="C8793">
        <v>2227</v>
      </c>
      <c r="D8793" t="str">
        <f>VLOOKUP(H8793,Produkt!$A$2:$B$5,2,FALSE)</f>
        <v>D</v>
      </c>
      <c r="H8793">
        <v>4</v>
      </c>
      <c r="I8793">
        <v>0.81694444444444436</v>
      </c>
      <c r="J8793">
        <v>44782</v>
      </c>
    </row>
    <row r="8794" spans="1:10" x14ac:dyDescent="0.35">
      <c r="A8794" s="2">
        <v>44801</v>
      </c>
      <c r="B8794" s="3">
        <v>0.21927083333333333</v>
      </c>
      <c r="C8794">
        <v>2236</v>
      </c>
      <c r="D8794" t="str">
        <f>VLOOKUP(H8794,Produkt!$A$2:$B$5,2,FALSE)</f>
        <v>D</v>
      </c>
      <c r="H8794">
        <v>4</v>
      </c>
      <c r="I8794">
        <v>0.15385416666666665</v>
      </c>
      <c r="J8794">
        <v>44786</v>
      </c>
    </row>
    <row r="8795" spans="1:10" x14ac:dyDescent="0.35">
      <c r="A8795" s="2">
        <v>44801</v>
      </c>
      <c r="B8795" s="3">
        <v>0.6688425925925926</v>
      </c>
      <c r="C8795">
        <v>2258</v>
      </c>
      <c r="D8795" t="str">
        <f>VLOOKUP(H8795,Produkt!$A$2:$B$5,2,FALSE)</f>
        <v>B</v>
      </c>
      <c r="H8795">
        <v>2</v>
      </c>
      <c r="I8795">
        <v>0.2820833333333333</v>
      </c>
      <c r="J8795">
        <v>44778</v>
      </c>
    </row>
    <row r="8796" spans="1:10" x14ac:dyDescent="0.35">
      <c r="A8796" s="2">
        <v>44801</v>
      </c>
      <c r="B8796" s="3">
        <v>0.15163194444444444</v>
      </c>
      <c r="C8796">
        <v>2297</v>
      </c>
      <c r="D8796" t="str">
        <f>VLOOKUP(H8796,Produkt!$A$2:$B$5,2,FALSE)</f>
        <v>D</v>
      </c>
      <c r="H8796">
        <v>4</v>
      </c>
      <c r="I8796">
        <v>0.25593749999999998</v>
      </c>
      <c r="J8796">
        <v>44797</v>
      </c>
    </row>
    <row r="8797" spans="1:10" x14ac:dyDescent="0.35">
      <c r="A8797" s="2">
        <v>44801</v>
      </c>
      <c r="B8797" s="3">
        <v>0.41292824074074069</v>
      </c>
      <c r="C8797">
        <v>2329</v>
      </c>
      <c r="D8797" t="str">
        <f>VLOOKUP(H8797,Produkt!$A$2:$B$5,2,FALSE)</f>
        <v>C</v>
      </c>
      <c r="H8797">
        <v>3</v>
      </c>
      <c r="I8797">
        <v>0.69988425925925923</v>
      </c>
      <c r="J8797">
        <v>44801</v>
      </c>
    </row>
    <row r="8798" spans="1:10" x14ac:dyDescent="0.35">
      <c r="A8798" s="2">
        <v>44801</v>
      </c>
      <c r="B8798" s="3">
        <v>0.58077546296296301</v>
      </c>
      <c r="C8798">
        <v>2333</v>
      </c>
      <c r="D8798" t="str">
        <f>VLOOKUP(H8798,Produkt!$A$2:$B$5,2,FALSE)</f>
        <v>A</v>
      </c>
      <c r="H8798">
        <v>1</v>
      </c>
      <c r="I8798">
        <v>0.9315162037037038</v>
      </c>
      <c r="J8798">
        <v>44795</v>
      </c>
    </row>
    <row r="8799" spans="1:10" x14ac:dyDescent="0.35">
      <c r="A8799" s="2">
        <v>44801</v>
      </c>
      <c r="B8799" s="3">
        <v>3.8877314814814816E-2</v>
      </c>
      <c r="C8799">
        <v>2354</v>
      </c>
      <c r="D8799" t="str">
        <f>VLOOKUP(H8799,Produkt!$A$2:$B$5,2,FALSE)</f>
        <v>B</v>
      </c>
      <c r="H8799">
        <v>2</v>
      </c>
      <c r="I8799">
        <v>9.1608796296296299E-2</v>
      </c>
      <c r="J8799">
        <v>44787</v>
      </c>
    </row>
    <row r="8800" spans="1:10" x14ac:dyDescent="0.35">
      <c r="A8800" s="2">
        <v>44801</v>
      </c>
      <c r="B8800" s="3">
        <v>0.63821759259259259</v>
      </c>
      <c r="C8800">
        <v>2402</v>
      </c>
      <c r="D8800" t="str">
        <f>VLOOKUP(H8800,Produkt!$A$2:$B$5,2,FALSE)</f>
        <v>A</v>
      </c>
      <c r="H8800">
        <v>1</v>
      </c>
      <c r="I8800">
        <v>0.46682870370370372</v>
      </c>
      <c r="J8800">
        <v>44803</v>
      </c>
    </row>
    <row r="8801" spans="1:10" x14ac:dyDescent="0.35">
      <c r="A8801" s="2">
        <v>44801</v>
      </c>
      <c r="B8801" s="3">
        <v>3.3680555555555491E-2</v>
      </c>
      <c r="C8801">
        <v>2406</v>
      </c>
      <c r="D8801" t="str">
        <f>VLOOKUP(H8801,Produkt!$A$2:$B$5,2,FALSE)</f>
        <v>A</v>
      </c>
      <c r="H8801">
        <v>1</v>
      </c>
      <c r="I8801">
        <v>0.52511574074074074</v>
      </c>
      <c r="J8801">
        <v>44791</v>
      </c>
    </row>
    <row r="8802" spans="1:10" x14ac:dyDescent="0.35">
      <c r="A8802" s="2">
        <v>44801</v>
      </c>
      <c r="B8802" s="3">
        <v>0.93363425925925936</v>
      </c>
      <c r="C8802">
        <v>2432</v>
      </c>
      <c r="D8802" t="str">
        <f>VLOOKUP(H8802,Produkt!$A$2:$B$5,2,FALSE)</f>
        <v>A</v>
      </c>
      <c r="H8802">
        <v>1</v>
      </c>
      <c r="I8802">
        <v>0.60129629629629633</v>
      </c>
      <c r="J8802">
        <v>44803</v>
      </c>
    </row>
    <row r="8803" spans="1:10" x14ac:dyDescent="0.35">
      <c r="A8803" s="2">
        <v>44801</v>
      </c>
      <c r="B8803" s="3">
        <v>0.88739583333333327</v>
      </c>
      <c r="C8803">
        <v>2469</v>
      </c>
      <c r="D8803" t="str">
        <f>VLOOKUP(H8803,Produkt!$A$2:$B$5,2,FALSE)</f>
        <v>D</v>
      </c>
      <c r="H8803">
        <v>4</v>
      </c>
      <c r="I8803">
        <v>0.32498842592592592</v>
      </c>
      <c r="J8803">
        <v>44794</v>
      </c>
    </row>
    <row r="8804" spans="1:10" x14ac:dyDescent="0.35">
      <c r="A8804" s="2">
        <v>44801</v>
      </c>
      <c r="B8804" s="3">
        <v>0.45993055555555556</v>
      </c>
      <c r="C8804">
        <v>2473</v>
      </c>
      <c r="D8804" t="str">
        <f>VLOOKUP(H8804,Produkt!$A$2:$B$5,2,FALSE)</f>
        <v>D</v>
      </c>
      <c r="H8804">
        <v>4</v>
      </c>
      <c r="I8804">
        <v>0.38884259259259263</v>
      </c>
      <c r="J8804">
        <v>44802</v>
      </c>
    </row>
    <row r="8805" spans="1:10" x14ac:dyDescent="0.35">
      <c r="A8805" s="2">
        <v>44801</v>
      </c>
      <c r="B8805" s="3">
        <v>0.78600694444444441</v>
      </c>
      <c r="C8805">
        <v>2480</v>
      </c>
      <c r="D8805" t="str">
        <f>VLOOKUP(H8805,Produkt!$A$2:$B$5,2,FALSE)</f>
        <v>D</v>
      </c>
      <c r="H8805">
        <v>4</v>
      </c>
      <c r="I8805">
        <v>0.87219907407407404</v>
      </c>
      <c r="J8805">
        <v>44784</v>
      </c>
    </row>
    <row r="8806" spans="1:10" x14ac:dyDescent="0.35">
      <c r="A8806" s="2">
        <v>44801</v>
      </c>
      <c r="B8806" s="3">
        <v>0.85886574074074085</v>
      </c>
      <c r="C8806">
        <v>2508</v>
      </c>
      <c r="D8806" t="str">
        <f>VLOOKUP(H8806,Produkt!$A$2:$B$5,2,FALSE)</f>
        <v>A</v>
      </c>
      <c r="H8806">
        <v>1</v>
      </c>
      <c r="I8806">
        <v>0.16728009259259258</v>
      </c>
      <c r="J8806">
        <v>44783</v>
      </c>
    </row>
    <row r="8807" spans="1:10" x14ac:dyDescent="0.35">
      <c r="A8807" s="2">
        <v>44801</v>
      </c>
      <c r="B8807" s="3">
        <v>0.12839120370370369</v>
      </c>
      <c r="C8807">
        <v>2529</v>
      </c>
      <c r="D8807" t="str">
        <f>VLOOKUP(H8807,Produkt!$A$2:$B$5,2,FALSE)</f>
        <v>A</v>
      </c>
      <c r="H8807">
        <v>1</v>
      </c>
      <c r="I8807">
        <v>1.0254629629629752E-2</v>
      </c>
      <c r="J8807">
        <v>44785</v>
      </c>
    </row>
    <row r="8808" spans="1:10" x14ac:dyDescent="0.35">
      <c r="A8808" s="2">
        <v>44801</v>
      </c>
      <c r="B8808" s="3">
        <v>0.8679513888888889</v>
      </c>
      <c r="C8808">
        <v>2538</v>
      </c>
      <c r="D8808" t="str">
        <f>VLOOKUP(H8808,Produkt!$A$2:$B$5,2,FALSE)</f>
        <v>B</v>
      </c>
      <c r="H8808">
        <v>2</v>
      </c>
      <c r="I8808">
        <v>0.73716435185185192</v>
      </c>
      <c r="J8808">
        <v>44777</v>
      </c>
    </row>
    <row r="8809" spans="1:10" x14ac:dyDescent="0.35">
      <c r="A8809" s="2">
        <v>44801</v>
      </c>
      <c r="B8809" s="3">
        <v>0.34847222222222224</v>
      </c>
      <c r="C8809">
        <v>2539</v>
      </c>
      <c r="D8809" t="str">
        <f>VLOOKUP(H8809,Produkt!$A$2:$B$5,2,FALSE)</f>
        <v>D</v>
      </c>
      <c r="H8809">
        <v>4</v>
      </c>
      <c r="I8809">
        <v>0.48178240740740735</v>
      </c>
      <c r="J8809">
        <v>44800</v>
      </c>
    </row>
    <row r="8810" spans="1:10" x14ac:dyDescent="0.35">
      <c r="A8810" s="2">
        <v>44801</v>
      </c>
      <c r="B8810" s="3">
        <v>0.50731481481481489</v>
      </c>
      <c r="C8810">
        <v>2547</v>
      </c>
      <c r="D8810" t="str">
        <f>VLOOKUP(H8810,Produkt!$A$2:$B$5,2,FALSE)</f>
        <v>A</v>
      </c>
      <c r="H8810">
        <v>1</v>
      </c>
      <c r="I8810">
        <v>0.75482638888888898</v>
      </c>
      <c r="J8810">
        <v>44787</v>
      </c>
    </row>
    <row r="8811" spans="1:10" x14ac:dyDescent="0.35">
      <c r="A8811" s="2">
        <v>44801</v>
      </c>
      <c r="B8811" s="3">
        <v>0.65436342592592589</v>
      </c>
      <c r="C8811">
        <v>2604</v>
      </c>
      <c r="D8811" t="str">
        <f>VLOOKUP(H8811,Produkt!$A$2:$B$5,2,FALSE)</f>
        <v>A</v>
      </c>
      <c r="H8811">
        <v>1</v>
      </c>
      <c r="I8811">
        <v>0.49597222222222226</v>
      </c>
      <c r="J8811">
        <v>44790</v>
      </c>
    </row>
    <row r="8812" spans="1:10" x14ac:dyDescent="0.35">
      <c r="A8812" s="2">
        <v>44801</v>
      </c>
      <c r="B8812" s="3">
        <v>0.78592592592592592</v>
      </c>
      <c r="C8812">
        <v>2631</v>
      </c>
      <c r="D8812" t="str">
        <f>VLOOKUP(H8812,Produkt!$A$2:$B$5,2,FALSE)</f>
        <v>A</v>
      </c>
      <c r="H8812">
        <v>1</v>
      </c>
      <c r="I8812">
        <v>0.26885416666666667</v>
      </c>
      <c r="J8812">
        <v>44800</v>
      </c>
    </row>
    <row r="8813" spans="1:10" x14ac:dyDescent="0.35">
      <c r="A8813" s="2">
        <v>44801</v>
      </c>
      <c r="B8813" s="3">
        <v>0.50745370370370368</v>
      </c>
      <c r="C8813">
        <v>2671</v>
      </c>
      <c r="D8813" t="str">
        <f>VLOOKUP(H8813,Produkt!$A$2:$B$5,2,FALSE)</f>
        <v>B</v>
      </c>
      <c r="H8813">
        <v>2</v>
      </c>
      <c r="I8813">
        <v>7.6215277777777771E-2</v>
      </c>
      <c r="J8813">
        <v>44791</v>
      </c>
    </row>
    <row r="8814" spans="1:10" x14ac:dyDescent="0.35">
      <c r="A8814" s="2">
        <v>44801</v>
      </c>
      <c r="B8814" s="3">
        <v>0.29857638888888888</v>
      </c>
      <c r="C8814">
        <v>2724</v>
      </c>
      <c r="D8814" t="str">
        <f>VLOOKUP(H8814,Produkt!$A$2:$B$5,2,FALSE)</f>
        <v>D</v>
      </c>
      <c r="H8814">
        <v>4</v>
      </c>
      <c r="I8814">
        <v>0.21395833333333333</v>
      </c>
      <c r="J8814">
        <v>44781</v>
      </c>
    </row>
    <row r="8815" spans="1:10" x14ac:dyDescent="0.35">
      <c r="A8815" s="2">
        <v>44801</v>
      </c>
      <c r="B8815" s="3">
        <v>0.44434027777777779</v>
      </c>
      <c r="C8815">
        <v>2727</v>
      </c>
      <c r="D8815" t="str">
        <f>VLOOKUP(H8815,Produkt!$A$2:$B$5,2,FALSE)</f>
        <v>C</v>
      </c>
      <c r="H8815">
        <v>3</v>
      </c>
      <c r="I8815">
        <v>0.1892824074074074</v>
      </c>
      <c r="J8815">
        <v>44792</v>
      </c>
    </row>
    <row r="8816" spans="1:10" x14ac:dyDescent="0.35">
      <c r="A8816" s="2">
        <v>44801</v>
      </c>
      <c r="B8816" s="3">
        <v>0.97108796296296296</v>
      </c>
      <c r="C8816">
        <v>2775</v>
      </c>
      <c r="D8816" t="str">
        <f>VLOOKUP(H8816,Produkt!$A$2:$B$5,2,FALSE)</f>
        <v>D</v>
      </c>
      <c r="H8816">
        <v>4</v>
      </c>
      <c r="I8816">
        <v>0.17458333333333334</v>
      </c>
      <c r="J8816">
        <v>44776</v>
      </c>
    </row>
    <row r="8817" spans="1:10" x14ac:dyDescent="0.35">
      <c r="A8817" s="2">
        <v>44801</v>
      </c>
      <c r="B8817" s="3">
        <v>0.57084490740740745</v>
      </c>
      <c r="C8817">
        <v>2788</v>
      </c>
      <c r="D8817" t="str">
        <f>VLOOKUP(H8817,Produkt!$A$2:$B$5,2,FALSE)</f>
        <v>B</v>
      </c>
      <c r="H8817">
        <v>2</v>
      </c>
      <c r="I8817">
        <v>0.93199074074074073</v>
      </c>
      <c r="J8817">
        <v>44776</v>
      </c>
    </row>
    <row r="8818" spans="1:10" x14ac:dyDescent="0.35">
      <c r="A8818" s="2">
        <v>44801</v>
      </c>
      <c r="B8818" s="3">
        <v>0.12414351851851851</v>
      </c>
      <c r="C8818">
        <v>2812</v>
      </c>
      <c r="D8818" t="str">
        <f>VLOOKUP(H8818,Produkt!$A$2:$B$5,2,FALSE)</f>
        <v>C</v>
      </c>
      <c r="H8818">
        <v>3</v>
      </c>
      <c r="I8818">
        <v>0.44017361111111114</v>
      </c>
      <c r="J8818">
        <v>44775</v>
      </c>
    </row>
    <row r="8819" spans="1:10" x14ac:dyDescent="0.35">
      <c r="A8819" s="2">
        <v>44801</v>
      </c>
      <c r="B8819" s="3">
        <v>0.42423611111111109</v>
      </c>
      <c r="C8819">
        <v>2832</v>
      </c>
      <c r="D8819" t="str">
        <f>VLOOKUP(H8819,Produkt!$A$2:$B$5,2,FALSE)</f>
        <v>A</v>
      </c>
      <c r="H8819">
        <v>1</v>
      </c>
      <c r="I8819">
        <v>0.57291666666666663</v>
      </c>
      <c r="J8819">
        <v>44787</v>
      </c>
    </row>
    <row r="8820" spans="1:10" x14ac:dyDescent="0.35">
      <c r="A8820" s="2">
        <v>44801</v>
      </c>
      <c r="B8820" s="3">
        <v>2.9976851851851949E-2</v>
      </c>
      <c r="C8820">
        <v>2833</v>
      </c>
      <c r="D8820" t="str">
        <f>VLOOKUP(H8820,Produkt!$A$2:$B$5,2,FALSE)</f>
        <v>B</v>
      </c>
      <c r="H8820">
        <v>2</v>
      </c>
      <c r="I8820">
        <v>0.50513888888888892</v>
      </c>
      <c r="J8820">
        <v>44789</v>
      </c>
    </row>
    <row r="8821" spans="1:10" x14ac:dyDescent="0.35">
      <c r="A8821" s="2">
        <v>44801</v>
      </c>
      <c r="B8821" s="3">
        <v>0.88210648148148152</v>
      </c>
      <c r="C8821">
        <v>2910</v>
      </c>
      <c r="D8821" t="str">
        <f>VLOOKUP(H8821,Produkt!$A$2:$B$5,2,FALSE)</f>
        <v>B</v>
      </c>
      <c r="H8821">
        <v>2</v>
      </c>
      <c r="I8821">
        <v>0.31505787037037036</v>
      </c>
      <c r="J8821">
        <v>44782</v>
      </c>
    </row>
    <row r="8822" spans="1:10" x14ac:dyDescent="0.35">
      <c r="A8822" s="2">
        <v>44801</v>
      </c>
      <c r="B8822" s="3">
        <v>0.41788194444444443</v>
      </c>
      <c r="C8822">
        <v>2978</v>
      </c>
      <c r="D8822" t="str">
        <f>VLOOKUP(H8822,Produkt!$A$2:$B$5,2,FALSE)</f>
        <v>B</v>
      </c>
      <c r="H8822">
        <v>2</v>
      </c>
      <c r="I8822">
        <v>0.38354166666666667</v>
      </c>
      <c r="J8822">
        <v>44802</v>
      </c>
    </row>
    <row r="8823" spans="1:10" x14ac:dyDescent="0.35">
      <c r="A8823" s="2">
        <v>44801</v>
      </c>
      <c r="B8823" s="3">
        <v>0.99446759259259254</v>
      </c>
      <c r="C8823">
        <v>3019</v>
      </c>
      <c r="D8823" t="str">
        <f>VLOOKUP(H8823,Produkt!$A$2:$B$5,2,FALSE)</f>
        <v>B</v>
      </c>
      <c r="H8823">
        <v>2</v>
      </c>
      <c r="I8823">
        <v>0.9684490740740741</v>
      </c>
      <c r="J8823">
        <v>44785</v>
      </c>
    </row>
    <row r="8824" spans="1:10" x14ac:dyDescent="0.35">
      <c r="A8824" s="2">
        <v>44801</v>
      </c>
      <c r="B8824" s="3">
        <v>0.37641203703703702</v>
      </c>
      <c r="C8824">
        <v>3032</v>
      </c>
      <c r="D8824" t="str">
        <f>VLOOKUP(H8824,Produkt!$A$2:$B$5,2,FALSE)</f>
        <v>D</v>
      </c>
      <c r="H8824">
        <v>4</v>
      </c>
      <c r="I8824">
        <v>0.40687500000000004</v>
      </c>
      <c r="J8824">
        <v>44774</v>
      </c>
    </row>
    <row r="8825" spans="1:10" x14ac:dyDescent="0.35">
      <c r="A8825" s="2">
        <v>44801</v>
      </c>
      <c r="B8825" s="3">
        <v>0.43695601851851856</v>
      </c>
      <c r="C8825">
        <v>3097</v>
      </c>
      <c r="D8825" t="str">
        <f>VLOOKUP(H8825,Produkt!$A$2:$B$5,2,FALSE)</f>
        <v>B</v>
      </c>
      <c r="H8825">
        <v>2</v>
      </c>
      <c r="I8825">
        <v>2.2974537037036891E-2</v>
      </c>
      <c r="J8825">
        <v>44794</v>
      </c>
    </row>
    <row r="8826" spans="1:10" x14ac:dyDescent="0.35">
      <c r="A8826" s="2">
        <v>44801</v>
      </c>
      <c r="B8826" s="3">
        <v>0.28185185185185185</v>
      </c>
      <c r="C8826">
        <v>3132</v>
      </c>
      <c r="D8826" t="str">
        <f>VLOOKUP(H8826,Produkt!$A$2:$B$5,2,FALSE)</f>
        <v>C</v>
      </c>
      <c r="H8826">
        <v>3</v>
      </c>
      <c r="I8826">
        <v>0.39542824074074073</v>
      </c>
      <c r="J8826">
        <v>44785</v>
      </c>
    </row>
    <row r="8827" spans="1:10" x14ac:dyDescent="0.35">
      <c r="A8827" s="2">
        <v>44801</v>
      </c>
      <c r="B8827" s="3">
        <v>0.57611111111111113</v>
      </c>
      <c r="C8827">
        <v>3160</v>
      </c>
      <c r="D8827" t="str">
        <f>VLOOKUP(H8827,Produkt!$A$2:$B$5,2,FALSE)</f>
        <v>B</v>
      </c>
      <c r="H8827">
        <v>2</v>
      </c>
      <c r="I8827">
        <v>0.42697916666666669</v>
      </c>
      <c r="J8827">
        <v>44800</v>
      </c>
    </row>
    <row r="8828" spans="1:10" x14ac:dyDescent="0.35">
      <c r="A8828" s="2">
        <v>44801</v>
      </c>
      <c r="B8828" s="3">
        <v>0.90833333333333333</v>
      </c>
      <c r="C8828">
        <v>3197</v>
      </c>
      <c r="D8828" t="str">
        <f>VLOOKUP(H8828,Produkt!$A$2:$B$5,2,FALSE)</f>
        <v>C</v>
      </c>
      <c r="H8828">
        <v>3</v>
      </c>
      <c r="I8828">
        <v>0.4722337962962963</v>
      </c>
      <c r="J8828">
        <v>44801</v>
      </c>
    </row>
    <row r="8829" spans="1:10" x14ac:dyDescent="0.35">
      <c r="A8829" s="2">
        <v>44801</v>
      </c>
      <c r="B8829" s="3">
        <v>0.38387731481481485</v>
      </c>
      <c r="C8829">
        <v>3221</v>
      </c>
      <c r="D8829" t="str">
        <f>VLOOKUP(H8829,Produkt!$A$2:$B$5,2,FALSE)</f>
        <v>B</v>
      </c>
      <c r="H8829">
        <v>2</v>
      </c>
      <c r="I8829">
        <v>0.49909722222222225</v>
      </c>
      <c r="J8829">
        <v>44798</v>
      </c>
    </row>
    <row r="8830" spans="1:10" x14ac:dyDescent="0.35">
      <c r="A8830" s="2">
        <v>44801</v>
      </c>
      <c r="B8830" s="3">
        <v>0.22989583333333333</v>
      </c>
      <c r="C8830">
        <v>3222</v>
      </c>
      <c r="D8830" t="str">
        <f>VLOOKUP(H8830,Produkt!$A$2:$B$5,2,FALSE)</f>
        <v>A</v>
      </c>
      <c r="H8830">
        <v>1</v>
      </c>
      <c r="I8830">
        <v>0.17098379629629631</v>
      </c>
      <c r="J8830">
        <v>44803</v>
      </c>
    </row>
    <row r="8831" spans="1:10" x14ac:dyDescent="0.35">
      <c r="A8831" s="2">
        <v>44801</v>
      </c>
      <c r="B8831" s="3">
        <v>0.62920138888888888</v>
      </c>
      <c r="C8831">
        <v>3235</v>
      </c>
      <c r="D8831" t="str">
        <f>VLOOKUP(H8831,Produkt!$A$2:$B$5,2,FALSE)</f>
        <v>C</v>
      </c>
      <c r="H8831">
        <v>3</v>
      </c>
      <c r="I8831">
        <v>0.97663194444444434</v>
      </c>
      <c r="J8831">
        <v>44789</v>
      </c>
    </row>
    <row r="8832" spans="1:10" x14ac:dyDescent="0.35">
      <c r="A8832" s="2">
        <v>44801</v>
      </c>
      <c r="B8832" s="3">
        <v>0.35987268518518517</v>
      </c>
      <c r="C8832">
        <v>3244</v>
      </c>
      <c r="D8832" t="str">
        <f>VLOOKUP(H8832,Produkt!$A$2:$B$5,2,FALSE)</f>
        <v>C</v>
      </c>
      <c r="H8832">
        <v>3</v>
      </c>
      <c r="I8832">
        <v>0.93454861111111109</v>
      </c>
      <c r="J8832">
        <v>44803</v>
      </c>
    </row>
    <row r="8833" spans="1:10" x14ac:dyDescent="0.35">
      <c r="A8833" s="2">
        <v>44801</v>
      </c>
      <c r="B8833" s="3">
        <v>0.69494212962962953</v>
      </c>
      <c r="C8833">
        <v>3275</v>
      </c>
      <c r="D8833" t="str">
        <f>VLOOKUP(H8833,Produkt!$A$2:$B$5,2,FALSE)</f>
        <v>A</v>
      </c>
      <c r="H8833">
        <v>1</v>
      </c>
      <c r="I8833">
        <v>1.1087962962962964E-2</v>
      </c>
      <c r="J8833">
        <v>44794</v>
      </c>
    </row>
    <row r="8834" spans="1:10" x14ac:dyDescent="0.35">
      <c r="A8834" s="2">
        <v>44801</v>
      </c>
      <c r="B8834" s="3">
        <v>0.51559027777777777</v>
      </c>
      <c r="C8834">
        <v>3295</v>
      </c>
      <c r="D8834" t="str">
        <f>VLOOKUP(H8834,Produkt!$A$2:$B$5,2,FALSE)</f>
        <v>D</v>
      </c>
      <c r="H8834">
        <v>4</v>
      </c>
      <c r="I8834">
        <v>0.22593750000000001</v>
      </c>
      <c r="J8834">
        <v>44777</v>
      </c>
    </row>
    <row r="8835" spans="1:10" x14ac:dyDescent="0.35">
      <c r="A8835" s="2">
        <v>44801</v>
      </c>
      <c r="B8835" s="3">
        <v>0.72407407407407398</v>
      </c>
      <c r="C8835">
        <v>3339</v>
      </c>
      <c r="D8835" t="str">
        <f>VLOOKUP(H8835,Produkt!$A$2:$B$5,2,FALSE)</f>
        <v>B</v>
      </c>
      <c r="H8835">
        <v>2</v>
      </c>
      <c r="I8835">
        <v>1.8518518518518517E-3</v>
      </c>
      <c r="J8835">
        <v>44784</v>
      </c>
    </row>
    <row r="8836" spans="1:10" x14ac:dyDescent="0.35">
      <c r="A8836" s="2">
        <v>44801</v>
      </c>
      <c r="B8836" s="3">
        <v>0.30796296296296294</v>
      </c>
      <c r="C8836">
        <v>3355</v>
      </c>
      <c r="D8836" t="str">
        <f>VLOOKUP(H8836,Produkt!$A$2:$B$5,2,FALSE)</f>
        <v>B</v>
      </c>
      <c r="H8836">
        <v>2</v>
      </c>
      <c r="I8836">
        <v>0.9299884259259259</v>
      </c>
      <c r="J8836">
        <v>44794</v>
      </c>
    </row>
    <row r="8837" spans="1:10" x14ac:dyDescent="0.35">
      <c r="A8837" s="2">
        <v>44801</v>
      </c>
      <c r="B8837" s="3">
        <v>2.9722222222222219E-2</v>
      </c>
      <c r="C8837">
        <v>3405</v>
      </c>
      <c r="D8837" t="str">
        <f>VLOOKUP(H8837,Produkt!$A$2:$B$5,2,FALSE)</f>
        <v>A</v>
      </c>
      <c r="H8837">
        <v>1</v>
      </c>
      <c r="I8837">
        <v>0.70496527777777773</v>
      </c>
      <c r="J8837">
        <v>44793</v>
      </c>
    </row>
    <row r="8838" spans="1:10" x14ac:dyDescent="0.35">
      <c r="A8838" s="2">
        <v>44801</v>
      </c>
      <c r="B8838" s="3">
        <v>0.31966435185185188</v>
      </c>
      <c r="C8838">
        <v>3418</v>
      </c>
      <c r="D8838" t="str">
        <f>VLOOKUP(H8838,Produkt!$A$2:$B$5,2,FALSE)</f>
        <v>B</v>
      </c>
      <c r="H8838">
        <v>2</v>
      </c>
      <c r="I8838">
        <v>0.68655092592592604</v>
      </c>
      <c r="J8838">
        <v>44777</v>
      </c>
    </row>
    <row r="8839" spans="1:10" x14ac:dyDescent="0.35">
      <c r="A8839" s="2">
        <v>44801</v>
      </c>
      <c r="B8839" s="3">
        <v>4.5462962962962962E-2</v>
      </c>
      <c r="C8839">
        <v>3432</v>
      </c>
      <c r="D8839" t="str">
        <f>VLOOKUP(H8839,Produkt!$A$2:$B$5,2,FALSE)</f>
        <v>D</v>
      </c>
      <c r="H8839">
        <v>4</v>
      </c>
      <c r="I8839">
        <v>0.73055555555555562</v>
      </c>
      <c r="J8839">
        <v>44799</v>
      </c>
    </row>
    <row r="8840" spans="1:10" x14ac:dyDescent="0.35">
      <c r="A8840" s="2">
        <v>44801</v>
      </c>
      <c r="B8840" s="3">
        <v>0.52908564814814818</v>
      </c>
      <c r="C8840">
        <v>3445</v>
      </c>
      <c r="D8840" t="str">
        <f>VLOOKUP(H8840,Produkt!$A$2:$B$5,2,FALSE)</f>
        <v>C</v>
      </c>
      <c r="H8840">
        <v>3</v>
      </c>
      <c r="I8840">
        <v>0.90565972222222213</v>
      </c>
      <c r="J8840">
        <v>44799</v>
      </c>
    </row>
    <row r="8841" spans="1:10" x14ac:dyDescent="0.35">
      <c r="A8841" s="2">
        <v>44801</v>
      </c>
      <c r="B8841" s="3">
        <v>0.67850694444444448</v>
      </c>
      <c r="C8841">
        <v>3467</v>
      </c>
      <c r="D8841" t="str">
        <f>VLOOKUP(H8841,Produkt!$A$2:$B$5,2,FALSE)</f>
        <v>B</v>
      </c>
      <c r="H8841">
        <v>2</v>
      </c>
      <c r="I8841">
        <v>6.850694444444444E-2</v>
      </c>
      <c r="J8841">
        <v>44776</v>
      </c>
    </row>
    <row r="8842" spans="1:10" x14ac:dyDescent="0.35">
      <c r="A8842" s="2">
        <v>44801</v>
      </c>
      <c r="B8842" s="3">
        <v>0.19722222222222222</v>
      </c>
      <c r="C8842">
        <v>3468</v>
      </c>
      <c r="D8842" t="str">
        <f>VLOOKUP(H8842,Produkt!$A$2:$B$5,2,FALSE)</f>
        <v>B</v>
      </c>
      <c r="H8842">
        <v>2</v>
      </c>
      <c r="I8842">
        <v>0.57094907407407403</v>
      </c>
      <c r="J8842">
        <v>44782</v>
      </c>
    </row>
    <row r="8843" spans="1:10" x14ac:dyDescent="0.35">
      <c r="A8843" s="2">
        <v>44801</v>
      </c>
      <c r="B8843" s="3">
        <v>0.30581018518518516</v>
      </c>
      <c r="C8843">
        <v>3487</v>
      </c>
      <c r="D8843" t="str">
        <f>VLOOKUP(H8843,Produkt!$A$2:$B$5,2,FALSE)</f>
        <v>B</v>
      </c>
      <c r="H8843">
        <v>2</v>
      </c>
      <c r="I8843">
        <v>0.65063657407407405</v>
      </c>
      <c r="J8843">
        <v>44791</v>
      </c>
    </row>
    <row r="8844" spans="1:10" x14ac:dyDescent="0.35">
      <c r="A8844" s="2">
        <v>44801</v>
      </c>
      <c r="B8844" s="3">
        <v>0.33736111111111106</v>
      </c>
      <c r="C8844">
        <v>3498</v>
      </c>
      <c r="D8844" t="str">
        <f>VLOOKUP(H8844,Produkt!$A$2:$B$5,2,FALSE)</f>
        <v>D</v>
      </c>
      <c r="H8844">
        <v>4</v>
      </c>
      <c r="I8844">
        <v>0.6095370370370371</v>
      </c>
      <c r="J8844">
        <v>44798</v>
      </c>
    </row>
    <row r="8845" spans="1:10" x14ac:dyDescent="0.35">
      <c r="A8845" s="2">
        <v>44801</v>
      </c>
      <c r="B8845" s="3">
        <v>0.10327546296296297</v>
      </c>
      <c r="C8845">
        <v>3514</v>
      </c>
      <c r="D8845" t="str">
        <f>VLOOKUP(H8845,Produkt!$A$2:$B$5,2,FALSE)</f>
        <v>B</v>
      </c>
      <c r="H8845">
        <v>2</v>
      </c>
      <c r="I8845">
        <v>0.58701388888888884</v>
      </c>
      <c r="J8845">
        <v>44786</v>
      </c>
    </row>
    <row r="8846" spans="1:10" x14ac:dyDescent="0.35">
      <c r="A8846" s="2">
        <v>44801</v>
      </c>
      <c r="B8846" s="3">
        <v>0.72657407407407415</v>
      </c>
      <c r="C8846">
        <v>3527</v>
      </c>
      <c r="D8846" t="str">
        <f>VLOOKUP(H8846,Produkt!$A$2:$B$5,2,FALSE)</f>
        <v>A</v>
      </c>
      <c r="H8846">
        <v>1</v>
      </c>
      <c r="I8846">
        <v>6.9675925925924975E-3</v>
      </c>
      <c r="J8846">
        <v>44800</v>
      </c>
    </row>
    <row r="8847" spans="1:10" x14ac:dyDescent="0.35">
      <c r="A8847" s="2">
        <v>44801</v>
      </c>
      <c r="B8847" s="3">
        <v>0.78731481481481491</v>
      </c>
      <c r="C8847">
        <v>3554</v>
      </c>
      <c r="D8847" t="str">
        <f>VLOOKUP(H8847,Produkt!$A$2:$B$5,2,FALSE)</f>
        <v>C</v>
      </c>
      <c r="H8847">
        <v>3</v>
      </c>
      <c r="I8847">
        <v>9.1655092592592594E-2</v>
      </c>
      <c r="J8847">
        <v>44803</v>
      </c>
    </row>
    <row r="8848" spans="1:10" x14ac:dyDescent="0.35">
      <c r="A8848" s="2">
        <v>44801</v>
      </c>
      <c r="B8848" s="3">
        <v>0.43863425925925931</v>
      </c>
      <c r="C8848">
        <v>3695</v>
      </c>
      <c r="D8848" t="str">
        <f>VLOOKUP(H8848,Produkt!$A$2:$B$5,2,FALSE)</f>
        <v>A</v>
      </c>
      <c r="H8848">
        <v>1</v>
      </c>
      <c r="I8848">
        <v>0.30030092592592594</v>
      </c>
      <c r="J8848">
        <v>44782</v>
      </c>
    </row>
    <row r="8849" spans="1:10" x14ac:dyDescent="0.35">
      <c r="A8849" s="2">
        <v>44801</v>
      </c>
      <c r="B8849" s="3">
        <v>0.58359953703703704</v>
      </c>
      <c r="C8849">
        <v>3743</v>
      </c>
      <c r="D8849" t="str">
        <f>VLOOKUP(H8849,Produkt!$A$2:$B$5,2,FALSE)</f>
        <v>A</v>
      </c>
      <c r="H8849">
        <v>1</v>
      </c>
      <c r="I8849">
        <v>0.22564814814814815</v>
      </c>
      <c r="J8849">
        <v>44790</v>
      </c>
    </row>
    <row r="8850" spans="1:10" x14ac:dyDescent="0.35">
      <c r="A8850" s="2">
        <v>44801</v>
      </c>
      <c r="B8850" s="3">
        <v>0.34228009259259262</v>
      </c>
      <c r="C8850">
        <v>3763</v>
      </c>
      <c r="D8850" t="str">
        <f>VLOOKUP(H8850,Produkt!$A$2:$B$5,2,FALSE)</f>
        <v>C</v>
      </c>
      <c r="H8850">
        <v>3</v>
      </c>
      <c r="I8850">
        <v>0.69256944444444446</v>
      </c>
      <c r="J8850">
        <v>44791</v>
      </c>
    </row>
    <row r="8851" spans="1:10" x14ac:dyDescent="0.35">
      <c r="A8851" s="2">
        <v>44801</v>
      </c>
      <c r="B8851" s="3">
        <v>0.68247685185185192</v>
      </c>
      <c r="C8851">
        <v>3764</v>
      </c>
      <c r="D8851" t="str">
        <f>VLOOKUP(H8851,Produkt!$A$2:$B$5,2,FALSE)</f>
        <v>C</v>
      </c>
      <c r="H8851">
        <v>3</v>
      </c>
      <c r="I8851">
        <v>9.6250000000000002E-2</v>
      </c>
      <c r="J8851">
        <v>44790</v>
      </c>
    </row>
    <row r="8852" spans="1:10" x14ac:dyDescent="0.35">
      <c r="A8852" s="2">
        <v>44801</v>
      </c>
      <c r="B8852" s="3">
        <v>0.26148148148148148</v>
      </c>
      <c r="C8852">
        <v>3776</v>
      </c>
      <c r="D8852" t="str">
        <f>VLOOKUP(H8852,Produkt!$A$2:$B$5,2,FALSE)</f>
        <v>A</v>
      </c>
      <c r="H8852">
        <v>1</v>
      </c>
      <c r="I8852">
        <v>0.85035879629629629</v>
      </c>
      <c r="J8852">
        <v>44788</v>
      </c>
    </row>
    <row r="8853" spans="1:10" x14ac:dyDescent="0.35">
      <c r="A8853" s="2">
        <v>44801</v>
      </c>
      <c r="B8853" s="3">
        <v>0.28751157407407407</v>
      </c>
      <c r="C8853">
        <v>3866</v>
      </c>
      <c r="D8853" t="str">
        <f>VLOOKUP(H8853,Produkt!$A$2:$B$5,2,FALSE)</f>
        <v>D</v>
      </c>
      <c r="H8853">
        <v>4</v>
      </c>
      <c r="I8853">
        <v>0.88162037037037033</v>
      </c>
      <c r="J8853">
        <v>44799</v>
      </c>
    </row>
    <row r="8854" spans="1:10" x14ac:dyDescent="0.35">
      <c r="A8854" s="2">
        <v>44801</v>
      </c>
      <c r="B8854" s="3">
        <v>0.3090162037037037</v>
      </c>
      <c r="C8854">
        <v>3880</v>
      </c>
      <c r="D8854" t="str">
        <f>VLOOKUP(H8854,Produkt!$A$2:$B$5,2,FALSE)</f>
        <v>D</v>
      </c>
      <c r="H8854">
        <v>4</v>
      </c>
      <c r="I8854">
        <v>0.68108796296296292</v>
      </c>
      <c r="J8854">
        <v>44778</v>
      </c>
    </row>
    <row r="8855" spans="1:10" x14ac:dyDescent="0.35">
      <c r="A8855" s="2">
        <v>44801</v>
      </c>
      <c r="B8855" s="3">
        <v>0.79850694444444448</v>
      </c>
      <c r="C8855">
        <v>3937</v>
      </c>
      <c r="D8855" t="str">
        <f>VLOOKUP(H8855,Produkt!$A$2:$B$5,2,FALSE)</f>
        <v>A</v>
      </c>
      <c r="H8855">
        <v>1</v>
      </c>
      <c r="I8855">
        <v>0.90400462962962969</v>
      </c>
      <c r="J8855">
        <v>44775</v>
      </c>
    </row>
    <row r="8856" spans="1:10" x14ac:dyDescent="0.35">
      <c r="A8856" s="2">
        <v>44801</v>
      </c>
      <c r="B8856" s="3">
        <v>0.46256944444444442</v>
      </c>
      <c r="C8856">
        <v>3956</v>
      </c>
      <c r="D8856" t="str">
        <f>VLOOKUP(H8856,Produkt!$A$2:$B$5,2,FALSE)</f>
        <v>D</v>
      </c>
      <c r="H8856">
        <v>4</v>
      </c>
      <c r="I8856">
        <v>4.0439814814814845E-2</v>
      </c>
      <c r="J8856">
        <v>44799</v>
      </c>
    </row>
    <row r="8857" spans="1:10" x14ac:dyDescent="0.35">
      <c r="A8857" s="2">
        <v>44801</v>
      </c>
      <c r="B8857" s="3">
        <v>0.20635416666666664</v>
      </c>
      <c r="C8857">
        <v>3975</v>
      </c>
      <c r="D8857" t="str">
        <f>VLOOKUP(H8857,Produkt!$A$2:$B$5,2,FALSE)</f>
        <v>B</v>
      </c>
      <c r="H8857">
        <v>2</v>
      </c>
      <c r="I8857">
        <v>0.89986111111111111</v>
      </c>
      <c r="J8857">
        <v>44781</v>
      </c>
    </row>
    <row r="8858" spans="1:10" x14ac:dyDescent="0.35">
      <c r="A8858" s="2">
        <v>44801</v>
      </c>
      <c r="B8858" s="3">
        <v>0.14851851851851852</v>
      </c>
      <c r="C8858">
        <v>3977</v>
      </c>
      <c r="D8858" t="str">
        <f>VLOOKUP(H8858,Produkt!$A$2:$B$5,2,FALSE)</f>
        <v>C</v>
      </c>
      <c r="H8858">
        <v>3</v>
      </c>
      <c r="I8858">
        <v>0.60123842592592591</v>
      </c>
      <c r="J8858">
        <v>44779</v>
      </c>
    </row>
    <row r="8859" spans="1:10" x14ac:dyDescent="0.35">
      <c r="A8859" s="2">
        <v>44801</v>
      </c>
      <c r="B8859" s="3">
        <v>0.33875000000000005</v>
      </c>
      <c r="C8859">
        <v>4007</v>
      </c>
      <c r="D8859" t="str">
        <f>VLOOKUP(H8859,Produkt!$A$2:$B$5,2,FALSE)</f>
        <v>A</v>
      </c>
      <c r="H8859">
        <v>1</v>
      </c>
      <c r="I8859">
        <v>0.34133101851851855</v>
      </c>
      <c r="J8859">
        <v>44794</v>
      </c>
    </row>
    <row r="8860" spans="1:10" x14ac:dyDescent="0.35">
      <c r="A8860" s="2">
        <v>44801</v>
      </c>
      <c r="B8860" s="3">
        <v>0.5335185185185185</v>
      </c>
      <c r="C8860">
        <v>4014</v>
      </c>
      <c r="D8860" t="str">
        <f>VLOOKUP(H8860,Produkt!$A$2:$B$5,2,FALSE)</f>
        <v>C</v>
      </c>
      <c r="H8860">
        <v>3</v>
      </c>
      <c r="I8860">
        <v>0.5510532407407408</v>
      </c>
      <c r="J8860">
        <v>44800</v>
      </c>
    </row>
    <row r="8861" spans="1:10" x14ac:dyDescent="0.35">
      <c r="A8861" s="2">
        <v>44801</v>
      </c>
      <c r="B8861" s="3">
        <v>7.3842592592592585E-2</v>
      </c>
      <c r="C8861">
        <v>4018</v>
      </c>
      <c r="D8861" t="str">
        <f>VLOOKUP(H8861,Produkt!$A$2:$B$5,2,FALSE)</f>
        <v>C</v>
      </c>
      <c r="H8861">
        <v>3</v>
      </c>
      <c r="I8861">
        <v>0.90438657407407408</v>
      </c>
      <c r="J8861">
        <v>44777</v>
      </c>
    </row>
    <row r="8862" spans="1:10" x14ac:dyDescent="0.35">
      <c r="A8862" s="2">
        <v>44801</v>
      </c>
      <c r="B8862" s="3">
        <v>0.49049768518518522</v>
      </c>
      <c r="C8862">
        <v>4147</v>
      </c>
      <c r="D8862" t="str">
        <f>VLOOKUP(H8862,Produkt!$A$2:$B$5,2,FALSE)</f>
        <v>D</v>
      </c>
      <c r="H8862">
        <v>4</v>
      </c>
      <c r="I8862">
        <v>5.4004629629629632E-2</v>
      </c>
      <c r="J8862">
        <v>44783</v>
      </c>
    </row>
    <row r="8863" spans="1:10" x14ac:dyDescent="0.35">
      <c r="A8863" s="2">
        <v>44801</v>
      </c>
      <c r="B8863" s="3">
        <v>0.32351851851851854</v>
      </c>
      <c r="C8863">
        <v>4172</v>
      </c>
      <c r="D8863" t="str">
        <f>VLOOKUP(H8863,Produkt!$A$2:$B$5,2,FALSE)</f>
        <v>A</v>
      </c>
      <c r="H8863">
        <v>1</v>
      </c>
      <c r="I8863">
        <v>0.16231481481481483</v>
      </c>
      <c r="J8863">
        <v>44785</v>
      </c>
    </row>
    <row r="8864" spans="1:10" x14ac:dyDescent="0.35">
      <c r="A8864" s="2">
        <v>44801</v>
      </c>
      <c r="B8864" s="3">
        <v>7.3148148148148143E-2</v>
      </c>
      <c r="C8864">
        <v>4193</v>
      </c>
      <c r="D8864" t="str">
        <f>VLOOKUP(H8864,Produkt!$A$2:$B$5,2,FALSE)</f>
        <v>D</v>
      </c>
      <c r="H8864">
        <v>4</v>
      </c>
      <c r="I8864">
        <v>0.17623842592592595</v>
      </c>
      <c r="J8864">
        <v>44785</v>
      </c>
    </row>
    <row r="8865" spans="1:10" x14ac:dyDescent="0.35">
      <c r="A8865" s="2">
        <v>44801</v>
      </c>
      <c r="B8865" s="3">
        <v>0.56204861111111104</v>
      </c>
      <c r="C8865">
        <v>4209</v>
      </c>
      <c r="D8865" t="str">
        <f>VLOOKUP(H8865,Produkt!$A$2:$B$5,2,FALSE)</f>
        <v>C</v>
      </c>
      <c r="H8865">
        <v>3</v>
      </c>
      <c r="I8865">
        <v>0.2167013888888889</v>
      </c>
      <c r="J8865">
        <v>44786</v>
      </c>
    </row>
    <row r="8866" spans="1:10" x14ac:dyDescent="0.35">
      <c r="A8866" s="2">
        <v>44801</v>
      </c>
      <c r="B8866" s="3">
        <v>0.29300925925925925</v>
      </c>
      <c r="C8866">
        <v>4213</v>
      </c>
      <c r="D8866" t="str">
        <f>VLOOKUP(H8866,Produkt!$A$2:$B$5,2,FALSE)</f>
        <v>D</v>
      </c>
      <c r="H8866">
        <v>4</v>
      </c>
      <c r="I8866">
        <v>0.6971180555555555</v>
      </c>
      <c r="J8866">
        <v>44799</v>
      </c>
    </row>
    <row r="8867" spans="1:10" x14ac:dyDescent="0.35">
      <c r="A8867" s="2">
        <v>44801</v>
      </c>
      <c r="B8867" s="3">
        <v>0.70113425925925921</v>
      </c>
      <c r="C8867">
        <v>4250</v>
      </c>
      <c r="D8867" t="str">
        <f>VLOOKUP(H8867,Produkt!$A$2:$B$5,2,FALSE)</f>
        <v>D</v>
      </c>
      <c r="H8867">
        <v>4</v>
      </c>
      <c r="I8867">
        <v>0.16565972222222222</v>
      </c>
      <c r="J8867">
        <v>44777</v>
      </c>
    </row>
    <row r="8868" spans="1:10" x14ac:dyDescent="0.35">
      <c r="A8868" s="2">
        <v>44801</v>
      </c>
      <c r="B8868" s="3">
        <v>0.55239583333333331</v>
      </c>
      <c r="C8868">
        <v>4266</v>
      </c>
      <c r="D8868" t="str">
        <f>VLOOKUP(H8868,Produkt!$A$2:$B$5,2,FALSE)</f>
        <v>C</v>
      </c>
      <c r="H8868">
        <v>3</v>
      </c>
      <c r="I8868">
        <v>7.4780092592592592E-2</v>
      </c>
      <c r="J8868">
        <v>44802</v>
      </c>
    </row>
    <row r="8869" spans="1:10" x14ac:dyDescent="0.35">
      <c r="A8869" s="2">
        <v>44801</v>
      </c>
      <c r="B8869" s="3">
        <v>0.61376157407407406</v>
      </c>
      <c r="C8869">
        <v>4341</v>
      </c>
      <c r="D8869" t="str">
        <f>VLOOKUP(H8869,Produkt!$A$2:$B$5,2,FALSE)</f>
        <v>D</v>
      </c>
      <c r="H8869">
        <v>4</v>
      </c>
      <c r="I8869">
        <v>0.28386574074074072</v>
      </c>
      <c r="J8869">
        <v>44789</v>
      </c>
    </row>
    <row r="8870" spans="1:10" x14ac:dyDescent="0.35">
      <c r="A8870" s="2">
        <v>44801</v>
      </c>
      <c r="B8870" s="3">
        <v>0.69878472222222221</v>
      </c>
      <c r="C8870">
        <v>4398</v>
      </c>
      <c r="D8870" t="str">
        <f>VLOOKUP(H8870,Produkt!$A$2:$B$5,2,FALSE)</f>
        <v>D</v>
      </c>
      <c r="H8870">
        <v>4</v>
      </c>
      <c r="I8870">
        <v>0.85524305555555558</v>
      </c>
      <c r="J8870">
        <v>44793</v>
      </c>
    </row>
    <row r="8871" spans="1:10" x14ac:dyDescent="0.35">
      <c r="A8871" s="2">
        <v>44801</v>
      </c>
      <c r="B8871" s="3">
        <v>0.4480555555555556</v>
      </c>
      <c r="C8871">
        <v>4414</v>
      </c>
      <c r="D8871" t="str">
        <f>VLOOKUP(H8871,Produkt!$A$2:$B$5,2,FALSE)</f>
        <v>B</v>
      </c>
      <c r="H8871">
        <v>2</v>
      </c>
      <c r="I8871">
        <v>0.44981481481481483</v>
      </c>
      <c r="J8871">
        <v>44779</v>
      </c>
    </row>
    <row r="8872" spans="1:10" x14ac:dyDescent="0.35">
      <c r="A8872" s="2">
        <v>44801</v>
      </c>
      <c r="B8872" s="3">
        <v>0.17685185185185184</v>
      </c>
      <c r="C8872">
        <v>4450</v>
      </c>
      <c r="D8872" t="str">
        <f>VLOOKUP(H8872,Produkt!$A$2:$B$5,2,FALSE)</f>
        <v>A</v>
      </c>
      <c r="H8872">
        <v>1</v>
      </c>
      <c r="I8872">
        <v>0.86724537037037042</v>
      </c>
      <c r="J8872">
        <v>44804</v>
      </c>
    </row>
    <row r="8873" spans="1:10" x14ac:dyDescent="0.35">
      <c r="A8873" s="2">
        <v>44801</v>
      </c>
      <c r="B8873" s="3">
        <v>0.52398148148148149</v>
      </c>
      <c r="C8873">
        <v>4511</v>
      </c>
      <c r="D8873" t="str">
        <f>VLOOKUP(H8873,Produkt!$A$2:$B$5,2,FALSE)</f>
        <v>C</v>
      </c>
      <c r="H8873">
        <v>3</v>
      </c>
      <c r="I8873">
        <v>0.24736111111111111</v>
      </c>
      <c r="J8873">
        <v>44795</v>
      </c>
    </row>
    <row r="8874" spans="1:10" x14ac:dyDescent="0.35">
      <c r="A8874" s="2">
        <v>44801</v>
      </c>
      <c r="B8874" s="3">
        <v>0.85438657407407403</v>
      </c>
      <c r="C8874">
        <v>4586</v>
      </c>
      <c r="D8874" t="str">
        <f>VLOOKUP(H8874,Produkt!$A$2:$B$5,2,FALSE)</f>
        <v>C</v>
      </c>
      <c r="H8874">
        <v>3</v>
      </c>
      <c r="I8874">
        <v>0.70248842592592586</v>
      </c>
      <c r="J8874">
        <v>44797</v>
      </c>
    </row>
    <row r="8875" spans="1:10" x14ac:dyDescent="0.35">
      <c r="A8875" s="2">
        <v>44801</v>
      </c>
      <c r="B8875" s="3">
        <v>0.81667824074074069</v>
      </c>
      <c r="C8875">
        <v>4591</v>
      </c>
      <c r="D8875" t="str">
        <f>VLOOKUP(H8875,Produkt!$A$2:$B$5,2,FALSE)</f>
        <v>C</v>
      </c>
      <c r="H8875">
        <v>3</v>
      </c>
      <c r="I8875">
        <v>0.3238773148148148</v>
      </c>
      <c r="J8875">
        <v>44793</v>
      </c>
    </row>
    <row r="8876" spans="1:10" x14ac:dyDescent="0.35">
      <c r="A8876" s="2">
        <v>44801</v>
      </c>
      <c r="B8876" s="3">
        <v>0.69131944444444438</v>
      </c>
      <c r="C8876">
        <v>4701</v>
      </c>
      <c r="D8876" t="str">
        <f>VLOOKUP(H8876,Produkt!$A$2:$B$5,2,FALSE)</f>
        <v>D</v>
      </c>
      <c r="H8876">
        <v>4</v>
      </c>
      <c r="I8876">
        <v>0.2512152777777778</v>
      </c>
      <c r="J8876">
        <v>44799</v>
      </c>
    </row>
    <row r="8877" spans="1:10" x14ac:dyDescent="0.35">
      <c r="A8877" s="2">
        <v>44801</v>
      </c>
      <c r="B8877" s="3">
        <v>0.64930555555555558</v>
      </c>
      <c r="C8877">
        <v>4711</v>
      </c>
      <c r="D8877" t="str">
        <f>VLOOKUP(H8877,Produkt!$A$2:$B$5,2,FALSE)</f>
        <v>A</v>
      </c>
      <c r="H8877">
        <v>1</v>
      </c>
      <c r="I8877">
        <v>0.64350694444444445</v>
      </c>
      <c r="J8877">
        <v>44796</v>
      </c>
    </row>
    <row r="8878" spans="1:10" x14ac:dyDescent="0.35">
      <c r="A8878" s="2">
        <v>44801</v>
      </c>
      <c r="B8878" s="3">
        <v>0.45015046296296296</v>
      </c>
      <c r="C8878">
        <v>4721</v>
      </c>
      <c r="D8878" t="str">
        <f>VLOOKUP(H8878,Produkt!$A$2:$B$5,2,FALSE)</f>
        <v>D</v>
      </c>
      <c r="H8878">
        <v>4</v>
      </c>
      <c r="I8878">
        <v>0.80417824074074085</v>
      </c>
      <c r="J8878">
        <v>44784</v>
      </c>
    </row>
    <row r="8879" spans="1:10" x14ac:dyDescent="0.35">
      <c r="A8879" s="2">
        <v>44801</v>
      </c>
      <c r="B8879" s="3">
        <v>7.6157407407407415E-3</v>
      </c>
      <c r="C8879">
        <v>4729</v>
      </c>
      <c r="D8879" t="str">
        <f>VLOOKUP(H8879,Produkt!$A$2:$B$5,2,FALSE)</f>
        <v>D</v>
      </c>
      <c r="H8879">
        <v>4</v>
      </c>
      <c r="I8879">
        <v>0.21469907407407407</v>
      </c>
      <c r="J8879">
        <v>44796</v>
      </c>
    </row>
    <row r="8880" spans="1:10" x14ac:dyDescent="0.35">
      <c r="A8880" s="2">
        <v>44801</v>
      </c>
      <c r="B8880" s="3">
        <v>0.32603009259259258</v>
      </c>
      <c r="C8880">
        <v>4772</v>
      </c>
      <c r="D8880" t="str">
        <f>VLOOKUP(H8880,Produkt!$A$2:$B$5,2,FALSE)</f>
        <v>C</v>
      </c>
      <c r="H8880">
        <v>3</v>
      </c>
      <c r="I8880">
        <v>0.76787037037037031</v>
      </c>
      <c r="J8880">
        <v>44780</v>
      </c>
    </row>
    <row r="8881" spans="1:10" x14ac:dyDescent="0.35">
      <c r="A8881" s="2">
        <v>44801</v>
      </c>
      <c r="B8881" s="3">
        <v>0.72755787037037034</v>
      </c>
      <c r="C8881">
        <v>4775</v>
      </c>
      <c r="D8881" t="str">
        <f>VLOOKUP(H8881,Produkt!$A$2:$B$5,2,FALSE)</f>
        <v>B</v>
      </c>
      <c r="H8881">
        <v>2</v>
      </c>
      <c r="I8881">
        <v>0.49552083333333335</v>
      </c>
      <c r="J8881">
        <v>44794</v>
      </c>
    </row>
    <row r="8882" spans="1:10" x14ac:dyDescent="0.35">
      <c r="A8882" s="2">
        <v>44801</v>
      </c>
      <c r="B8882" s="3">
        <v>0.47542824074074069</v>
      </c>
      <c r="C8882">
        <v>4787</v>
      </c>
      <c r="D8882" t="str">
        <f>VLOOKUP(H8882,Produkt!$A$2:$B$5,2,FALSE)</f>
        <v>C</v>
      </c>
      <c r="H8882">
        <v>3</v>
      </c>
      <c r="I8882">
        <v>0.72222222222222221</v>
      </c>
      <c r="J8882">
        <v>44778</v>
      </c>
    </row>
    <row r="8883" spans="1:10" x14ac:dyDescent="0.35">
      <c r="A8883" s="2">
        <v>44801</v>
      </c>
      <c r="B8883" s="3">
        <v>0.31494212962962964</v>
      </c>
      <c r="C8883">
        <v>4848</v>
      </c>
      <c r="D8883" t="str">
        <f>VLOOKUP(H8883,Produkt!$A$2:$B$5,2,FALSE)</f>
        <v>B</v>
      </c>
      <c r="H8883">
        <v>2</v>
      </c>
      <c r="I8883">
        <v>0.76666666666666661</v>
      </c>
      <c r="J8883">
        <v>44788</v>
      </c>
    </row>
    <row r="8884" spans="1:10" x14ac:dyDescent="0.35">
      <c r="A8884" s="2">
        <v>44801</v>
      </c>
      <c r="B8884" s="3">
        <v>0.41875000000000001</v>
      </c>
      <c r="C8884">
        <v>4897</v>
      </c>
      <c r="D8884" t="str">
        <f>VLOOKUP(H8884,Produkt!$A$2:$B$5,2,FALSE)</f>
        <v>A</v>
      </c>
      <c r="H8884">
        <v>1</v>
      </c>
      <c r="I8884">
        <v>0.10833333333333334</v>
      </c>
      <c r="J8884">
        <v>44778</v>
      </c>
    </row>
    <row r="8885" spans="1:10" x14ac:dyDescent="0.35">
      <c r="A8885" s="2">
        <v>44801</v>
      </c>
      <c r="B8885" s="3">
        <v>0.81997685185185187</v>
      </c>
      <c r="C8885">
        <v>4900</v>
      </c>
      <c r="D8885" t="str">
        <f>VLOOKUP(H8885,Produkt!$A$2:$B$5,2,FALSE)</f>
        <v>D</v>
      </c>
      <c r="H8885">
        <v>4</v>
      </c>
      <c r="I8885">
        <v>0.91440972222222217</v>
      </c>
      <c r="J8885">
        <v>44799</v>
      </c>
    </row>
    <row r="8886" spans="1:10" x14ac:dyDescent="0.35">
      <c r="A8886" s="2">
        <v>44801</v>
      </c>
      <c r="B8886" s="3">
        <v>0.40251157407407406</v>
      </c>
      <c r="C8886">
        <v>4943</v>
      </c>
      <c r="D8886" t="str">
        <f>VLOOKUP(H8886,Produkt!$A$2:$B$5,2,FALSE)</f>
        <v>A</v>
      </c>
      <c r="H8886">
        <v>1</v>
      </c>
      <c r="I8886">
        <v>4.6527777777777779E-2</v>
      </c>
      <c r="J8886">
        <v>44782</v>
      </c>
    </row>
    <row r="8887" spans="1:10" x14ac:dyDescent="0.35">
      <c r="A8887" s="2">
        <v>44801</v>
      </c>
      <c r="B8887" s="3">
        <v>0.43515046296296295</v>
      </c>
      <c r="C8887">
        <v>4971</v>
      </c>
      <c r="D8887" t="str">
        <f>VLOOKUP(H8887,Produkt!$A$2:$B$5,2,FALSE)</f>
        <v>A</v>
      </c>
      <c r="H8887">
        <v>1</v>
      </c>
      <c r="I8887">
        <v>0.32601851851851854</v>
      </c>
      <c r="J8887">
        <v>44775</v>
      </c>
    </row>
    <row r="8888" spans="1:10" x14ac:dyDescent="0.35">
      <c r="A8888" s="2">
        <v>44801</v>
      </c>
      <c r="B8888" s="3">
        <v>0.59952546296296294</v>
      </c>
      <c r="C8888">
        <v>4988</v>
      </c>
      <c r="D8888" t="str">
        <f>VLOOKUP(H8888,Produkt!$A$2:$B$5,2,FALSE)</f>
        <v>A</v>
      </c>
      <c r="H8888">
        <v>1</v>
      </c>
      <c r="I8888">
        <v>0.71778935185185189</v>
      </c>
      <c r="J8888">
        <v>44796</v>
      </c>
    </row>
    <row r="8889" spans="1:10" x14ac:dyDescent="0.35">
      <c r="A8889" s="2">
        <v>44801</v>
      </c>
      <c r="B8889" s="3">
        <v>0.91063657407407417</v>
      </c>
      <c r="C8889">
        <v>5002</v>
      </c>
      <c r="D8889" t="str">
        <f>VLOOKUP(H8889,Produkt!$A$2:$B$5,2,FALSE)</f>
        <v>D</v>
      </c>
      <c r="H8889">
        <v>4</v>
      </c>
      <c r="I8889">
        <v>0.17706018518518518</v>
      </c>
      <c r="J8889">
        <v>44782</v>
      </c>
    </row>
    <row r="8890" spans="1:10" x14ac:dyDescent="0.35">
      <c r="A8890" s="2">
        <v>44801</v>
      </c>
      <c r="B8890" s="3">
        <v>0.36415509259259254</v>
      </c>
      <c r="C8890">
        <v>5011</v>
      </c>
      <c r="D8890" t="str">
        <f>VLOOKUP(H8890,Produkt!$A$2:$B$5,2,FALSE)</f>
        <v>C</v>
      </c>
      <c r="H8890">
        <v>3</v>
      </c>
      <c r="I8890">
        <v>0.66057870370370375</v>
      </c>
      <c r="J8890">
        <v>44782</v>
      </c>
    </row>
    <row r="8891" spans="1:10" x14ac:dyDescent="0.35">
      <c r="A8891" s="2">
        <v>44801</v>
      </c>
      <c r="B8891" s="3">
        <v>0.10385416666666668</v>
      </c>
      <c r="C8891">
        <v>5087</v>
      </c>
      <c r="D8891" t="str">
        <f>VLOOKUP(H8891,Produkt!$A$2:$B$5,2,FALSE)</f>
        <v>C</v>
      </c>
      <c r="H8891">
        <v>3</v>
      </c>
      <c r="I8891">
        <v>3.8541666666666696E-2</v>
      </c>
      <c r="J8891">
        <v>44796</v>
      </c>
    </row>
    <row r="8892" spans="1:10" x14ac:dyDescent="0.35">
      <c r="A8892" s="2">
        <v>44801</v>
      </c>
      <c r="B8892" s="3">
        <v>0.64748842592592593</v>
      </c>
      <c r="C8892">
        <v>5098</v>
      </c>
      <c r="D8892" t="str">
        <f>VLOOKUP(H8892,Produkt!$A$2:$B$5,2,FALSE)</f>
        <v>A</v>
      </c>
      <c r="H8892">
        <v>1</v>
      </c>
      <c r="I8892">
        <v>0.54660879629629633</v>
      </c>
      <c r="J8892">
        <v>44795</v>
      </c>
    </row>
    <row r="8893" spans="1:10" x14ac:dyDescent="0.35">
      <c r="A8893" s="2">
        <v>44801</v>
      </c>
      <c r="B8893" s="3">
        <v>5.7384259259259253E-2</v>
      </c>
      <c r="C8893">
        <v>5122</v>
      </c>
      <c r="D8893" t="str">
        <f>VLOOKUP(H8893,Produkt!$A$2:$B$5,2,FALSE)</f>
        <v>A</v>
      </c>
      <c r="H8893">
        <v>1</v>
      </c>
      <c r="I8893">
        <v>0.43100694444444443</v>
      </c>
      <c r="J8893">
        <v>44787</v>
      </c>
    </row>
    <row r="8894" spans="1:10" x14ac:dyDescent="0.35">
      <c r="A8894" s="2">
        <v>44801</v>
      </c>
      <c r="B8894" s="3">
        <v>0.1877662037037037</v>
      </c>
      <c r="C8894">
        <v>5271</v>
      </c>
      <c r="D8894" t="str">
        <f>VLOOKUP(H8894,Produkt!$A$2:$B$5,2,FALSE)</f>
        <v>C</v>
      </c>
      <c r="H8894">
        <v>3</v>
      </c>
      <c r="I8894">
        <v>0.7807291666666667</v>
      </c>
      <c r="J8894">
        <v>44789</v>
      </c>
    </row>
    <row r="8895" spans="1:10" x14ac:dyDescent="0.35">
      <c r="A8895" s="2">
        <v>44801</v>
      </c>
      <c r="B8895" s="3">
        <v>0.21381944444444445</v>
      </c>
      <c r="C8895">
        <v>5302</v>
      </c>
      <c r="D8895" t="str">
        <f>VLOOKUP(H8895,Produkt!$A$2:$B$5,2,FALSE)</f>
        <v>C</v>
      </c>
      <c r="H8895">
        <v>3</v>
      </c>
      <c r="I8895">
        <v>0.44649305555555557</v>
      </c>
      <c r="J8895">
        <v>44785</v>
      </c>
    </row>
    <row r="8896" spans="1:10" x14ac:dyDescent="0.35">
      <c r="A8896" s="2">
        <v>44801</v>
      </c>
      <c r="B8896" s="3">
        <v>0.71552083333333327</v>
      </c>
      <c r="C8896">
        <v>5340</v>
      </c>
      <c r="D8896" t="str">
        <f>VLOOKUP(H8896,Produkt!$A$2:$B$5,2,FALSE)</f>
        <v>A</v>
      </c>
      <c r="H8896">
        <v>1</v>
      </c>
      <c r="I8896">
        <v>0.57723379629629623</v>
      </c>
      <c r="J8896">
        <v>44803</v>
      </c>
    </row>
    <row r="8897" spans="1:10" x14ac:dyDescent="0.35">
      <c r="A8897" s="2">
        <v>44801</v>
      </c>
      <c r="B8897" s="3">
        <v>6.8217592592592594E-2</v>
      </c>
      <c r="C8897">
        <v>5353</v>
      </c>
      <c r="D8897" t="str">
        <f>VLOOKUP(H8897,Produkt!$A$2:$B$5,2,FALSE)</f>
        <v>A</v>
      </c>
      <c r="H8897">
        <v>1</v>
      </c>
      <c r="I8897">
        <v>0.92493055555555559</v>
      </c>
      <c r="J8897">
        <v>44795</v>
      </c>
    </row>
    <row r="8898" spans="1:10" x14ac:dyDescent="0.35">
      <c r="A8898" s="2">
        <v>44801</v>
      </c>
      <c r="B8898" s="3">
        <v>3.5821759259259123E-2</v>
      </c>
      <c r="C8898">
        <v>5384</v>
      </c>
      <c r="D8898" t="str">
        <f>VLOOKUP(H8898,Produkt!$A$2:$B$5,2,FALSE)</f>
        <v>B</v>
      </c>
      <c r="H8898">
        <v>2</v>
      </c>
      <c r="I8898">
        <v>0.59079861111111109</v>
      </c>
      <c r="J8898">
        <v>44784</v>
      </c>
    </row>
    <row r="8899" spans="1:10" x14ac:dyDescent="0.35">
      <c r="A8899" s="2">
        <v>44801</v>
      </c>
      <c r="B8899" s="3">
        <v>0.1454398148148148</v>
      </c>
      <c r="C8899">
        <v>5413</v>
      </c>
      <c r="D8899" t="str">
        <f>VLOOKUP(H8899,Produkt!$A$2:$B$5,2,FALSE)</f>
        <v>B</v>
      </c>
      <c r="H8899">
        <v>2</v>
      </c>
      <c r="I8899">
        <v>5.9953703703703697E-3</v>
      </c>
      <c r="J8899">
        <v>44795</v>
      </c>
    </row>
    <row r="8900" spans="1:10" x14ac:dyDescent="0.35">
      <c r="A8900" s="2">
        <v>44801</v>
      </c>
      <c r="B8900" s="3">
        <v>2.3368055555555555E-2</v>
      </c>
      <c r="C8900">
        <v>5484</v>
      </c>
      <c r="D8900" t="str">
        <f>VLOOKUP(H8900,Produkt!$A$2:$B$5,2,FALSE)</f>
        <v>B</v>
      </c>
      <c r="H8900">
        <v>2</v>
      </c>
      <c r="I8900">
        <v>0.57486111111111116</v>
      </c>
      <c r="J8900">
        <v>44798</v>
      </c>
    </row>
    <row r="8901" spans="1:10" x14ac:dyDescent="0.35">
      <c r="A8901" s="2">
        <v>44801</v>
      </c>
      <c r="B8901" s="3">
        <v>0.9237037037037038</v>
      </c>
      <c r="C8901">
        <v>5499</v>
      </c>
      <c r="D8901" t="str">
        <f>VLOOKUP(H8901,Produkt!$A$2:$B$5,2,FALSE)</f>
        <v>A</v>
      </c>
      <c r="H8901">
        <v>1</v>
      </c>
      <c r="I8901">
        <v>0.66524305555555563</v>
      </c>
      <c r="J8901">
        <v>44800</v>
      </c>
    </row>
    <row r="8902" spans="1:10" x14ac:dyDescent="0.35">
      <c r="A8902" s="2">
        <v>44801</v>
      </c>
      <c r="B8902" s="3">
        <v>0.1940625</v>
      </c>
      <c r="C8902">
        <v>5514</v>
      </c>
      <c r="D8902" t="str">
        <f>VLOOKUP(H8902,Produkt!$A$2:$B$5,2,FALSE)</f>
        <v>A</v>
      </c>
      <c r="H8902">
        <v>1</v>
      </c>
      <c r="I8902">
        <v>0.46724537037037034</v>
      </c>
      <c r="J8902">
        <v>44799</v>
      </c>
    </row>
    <row r="8903" spans="1:10" x14ac:dyDescent="0.35">
      <c r="A8903" s="2">
        <v>44801</v>
      </c>
      <c r="B8903" s="3">
        <v>0.80997685185185186</v>
      </c>
      <c r="C8903">
        <v>5525</v>
      </c>
      <c r="D8903" t="str">
        <f>VLOOKUP(H8903,Produkt!$A$2:$B$5,2,FALSE)</f>
        <v>B</v>
      </c>
      <c r="H8903">
        <v>2</v>
      </c>
      <c r="I8903">
        <v>0.60603009259259266</v>
      </c>
      <c r="J8903">
        <v>44789</v>
      </c>
    </row>
    <row r="8904" spans="1:10" x14ac:dyDescent="0.35">
      <c r="A8904" s="2">
        <v>44801</v>
      </c>
      <c r="B8904" s="3">
        <v>0.76071759259259253</v>
      </c>
      <c r="C8904">
        <v>5548</v>
      </c>
      <c r="D8904" t="str">
        <f>VLOOKUP(H8904,Produkt!$A$2:$B$5,2,FALSE)</f>
        <v>D</v>
      </c>
      <c r="H8904">
        <v>4</v>
      </c>
      <c r="I8904">
        <v>0.42451388888888886</v>
      </c>
      <c r="J8904">
        <v>44774</v>
      </c>
    </row>
    <row r="8905" spans="1:10" x14ac:dyDescent="0.35">
      <c r="A8905" s="2">
        <v>44801</v>
      </c>
      <c r="B8905" s="3">
        <v>0.7771527777777778</v>
      </c>
      <c r="C8905">
        <v>5561</v>
      </c>
      <c r="D8905" t="str">
        <f>VLOOKUP(H8905,Produkt!$A$2:$B$5,2,FALSE)</f>
        <v>C</v>
      </c>
      <c r="H8905">
        <v>3</v>
      </c>
      <c r="I8905">
        <v>0.10741898148148148</v>
      </c>
      <c r="J8905">
        <v>44779</v>
      </c>
    </row>
    <row r="8906" spans="1:10" x14ac:dyDescent="0.35">
      <c r="A8906" s="2">
        <v>44801</v>
      </c>
      <c r="B8906" s="3">
        <v>4.9085648148148149E-2</v>
      </c>
      <c r="C8906">
        <v>5567</v>
      </c>
      <c r="D8906" t="str">
        <f>VLOOKUP(H8906,Produkt!$A$2:$B$5,2,FALSE)</f>
        <v>C</v>
      </c>
      <c r="H8906">
        <v>3</v>
      </c>
      <c r="I8906">
        <v>0.59462962962962962</v>
      </c>
      <c r="J8906">
        <v>44781</v>
      </c>
    </row>
    <row r="8907" spans="1:10" x14ac:dyDescent="0.35">
      <c r="A8907" s="2">
        <v>44801</v>
      </c>
      <c r="B8907" s="3">
        <v>0.5067476851851852</v>
      </c>
      <c r="C8907">
        <v>5578</v>
      </c>
      <c r="D8907" t="str">
        <f>VLOOKUP(H8907,Produkt!$A$2:$B$5,2,FALSE)</f>
        <v>B</v>
      </c>
      <c r="H8907">
        <v>2</v>
      </c>
      <c r="I8907">
        <v>0.53717592592592589</v>
      </c>
      <c r="J8907">
        <v>44793</v>
      </c>
    </row>
    <row r="8908" spans="1:10" x14ac:dyDescent="0.35">
      <c r="A8908" s="2">
        <v>44801</v>
      </c>
      <c r="B8908" s="3">
        <v>0.41587962962962965</v>
      </c>
      <c r="C8908">
        <v>5652</v>
      </c>
      <c r="D8908" t="str">
        <f>VLOOKUP(H8908,Produkt!$A$2:$B$5,2,FALSE)</f>
        <v>B</v>
      </c>
      <c r="H8908">
        <v>2</v>
      </c>
      <c r="I8908">
        <v>0.73898148148148157</v>
      </c>
      <c r="J8908">
        <v>44781</v>
      </c>
    </row>
    <row r="8909" spans="1:10" x14ac:dyDescent="0.35">
      <c r="A8909" s="2">
        <v>44801</v>
      </c>
      <c r="B8909" s="3">
        <v>0.89293981481481488</v>
      </c>
      <c r="C8909">
        <v>5655</v>
      </c>
      <c r="D8909" t="str">
        <f>VLOOKUP(H8909,Produkt!$A$2:$B$5,2,FALSE)</f>
        <v>B</v>
      </c>
      <c r="H8909">
        <v>2</v>
      </c>
      <c r="I8909">
        <v>0.66940972222222228</v>
      </c>
      <c r="J8909">
        <v>44780</v>
      </c>
    </row>
    <row r="8910" spans="1:10" x14ac:dyDescent="0.35">
      <c r="A8910" s="2">
        <v>44801</v>
      </c>
      <c r="B8910" s="3">
        <v>0.61905092592592592</v>
      </c>
      <c r="C8910">
        <v>5679</v>
      </c>
      <c r="D8910" t="str">
        <f>VLOOKUP(H8910,Produkt!$A$2:$B$5,2,FALSE)</f>
        <v>C</v>
      </c>
      <c r="H8910">
        <v>3</v>
      </c>
      <c r="I8910">
        <v>0.64403935185185179</v>
      </c>
      <c r="J8910">
        <v>44787</v>
      </c>
    </row>
    <row r="8911" spans="1:10" x14ac:dyDescent="0.35">
      <c r="A8911" s="2">
        <v>44801</v>
      </c>
      <c r="B8911" s="3">
        <v>2.074074074074074E-2</v>
      </c>
      <c r="C8911">
        <v>5704</v>
      </c>
      <c r="D8911" t="str">
        <f>VLOOKUP(H8911,Produkt!$A$2:$B$5,2,FALSE)</f>
        <v>A</v>
      </c>
      <c r="H8911">
        <v>1</v>
      </c>
      <c r="I8911">
        <v>0.87932870370370375</v>
      </c>
      <c r="J8911">
        <v>44777</v>
      </c>
    </row>
    <row r="8912" spans="1:10" x14ac:dyDescent="0.35">
      <c r="A8912" s="2">
        <v>44801</v>
      </c>
      <c r="B8912" s="3">
        <v>0.79002314814814811</v>
      </c>
      <c r="C8912">
        <v>5743</v>
      </c>
      <c r="D8912" t="str">
        <f>VLOOKUP(H8912,Produkt!$A$2:$B$5,2,FALSE)</f>
        <v>C</v>
      </c>
      <c r="H8912">
        <v>3</v>
      </c>
      <c r="I8912">
        <v>0.81539351851851849</v>
      </c>
      <c r="J8912">
        <v>44804</v>
      </c>
    </row>
    <row r="8913" spans="1:10" x14ac:dyDescent="0.35">
      <c r="A8913" s="2">
        <v>44801</v>
      </c>
      <c r="B8913" s="3">
        <v>0.83497685185185189</v>
      </c>
      <c r="C8913">
        <v>5777</v>
      </c>
      <c r="D8913" t="str">
        <f>VLOOKUP(H8913,Produkt!$A$2:$B$5,2,FALSE)</f>
        <v>A</v>
      </c>
      <c r="H8913">
        <v>1</v>
      </c>
      <c r="I8913">
        <v>0.36471064814814813</v>
      </c>
      <c r="J8913">
        <v>44782</v>
      </c>
    </row>
    <row r="8914" spans="1:10" x14ac:dyDescent="0.35">
      <c r="A8914" s="2">
        <v>44801</v>
      </c>
      <c r="B8914" s="3">
        <v>0.73802083333333324</v>
      </c>
      <c r="C8914">
        <v>5863</v>
      </c>
      <c r="D8914" t="str">
        <f>VLOOKUP(H8914,Produkt!$A$2:$B$5,2,FALSE)</f>
        <v>D</v>
      </c>
      <c r="H8914">
        <v>4</v>
      </c>
      <c r="I8914">
        <v>0.94005787037037036</v>
      </c>
      <c r="J8914">
        <v>44785</v>
      </c>
    </row>
    <row r="8915" spans="1:10" x14ac:dyDescent="0.35">
      <c r="A8915" s="2">
        <v>44801</v>
      </c>
      <c r="B8915" s="3">
        <v>0.89271990740740748</v>
      </c>
      <c r="C8915">
        <v>5886</v>
      </c>
      <c r="D8915" t="str">
        <f>VLOOKUP(H8915,Produkt!$A$2:$B$5,2,FALSE)</f>
        <v>D</v>
      </c>
      <c r="H8915">
        <v>4</v>
      </c>
      <c r="I8915">
        <v>0.91432870370370367</v>
      </c>
      <c r="J8915">
        <v>44803</v>
      </c>
    </row>
    <row r="8916" spans="1:10" x14ac:dyDescent="0.35">
      <c r="A8916" s="2">
        <v>44801</v>
      </c>
      <c r="B8916" s="3">
        <v>0.77142361111111113</v>
      </c>
      <c r="C8916">
        <v>5892</v>
      </c>
      <c r="D8916" t="str">
        <f>VLOOKUP(H8916,Produkt!$A$2:$B$5,2,FALSE)</f>
        <v>A</v>
      </c>
      <c r="H8916">
        <v>1</v>
      </c>
      <c r="I8916">
        <v>0.5909375</v>
      </c>
      <c r="J8916">
        <v>44774</v>
      </c>
    </row>
    <row r="8917" spans="1:10" x14ac:dyDescent="0.35">
      <c r="A8917" s="2">
        <v>44801</v>
      </c>
      <c r="B8917" s="3">
        <v>0.65050925925925929</v>
      </c>
      <c r="C8917">
        <v>6013</v>
      </c>
      <c r="D8917" t="str">
        <f>VLOOKUP(H8917,Produkt!$A$2:$B$5,2,FALSE)</f>
        <v>A</v>
      </c>
      <c r="H8917">
        <v>1</v>
      </c>
      <c r="I8917">
        <v>0.91692129629629626</v>
      </c>
      <c r="J8917">
        <v>44800</v>
      </c>
    </row>
    <row r="8918" spans="1:10" x14ac:dyDescent="0.35">
      <c r="A8918" s="2">
        <v>44801</v>
      </c>
      <c r="B8918" s="3">
        <v>0.56545138888888891</v>
      </c>
      <c r="C8918">
        <v>6036</v>
      </c>
      <c r="D8918" t="str">
        <f>VLOOKUP(H8918,Produkt!$A$2:$B$5,2,FALSE)</f>
        <v>B</v>
      </c>
      <c r="H8918">
        <v>2</v>
      </c>
      <c r="I8918">
        <v>0.70150462962962967</v>
      </c>
      <c r="J8918">
        <v>44794</v>
      </c>
    </row>
    <row r="8919" spans="1:10" x14ac:dyDescent="0.35">
      <c r="A8919" s="2">
        <v>44801</v>
      </c>
      <c r="B8919" s="3">
        <v>0.68644675925925924</v>
      </c>
      <c r="C8919">
        <v>6094</v>
      </c>
      <c r="D8919" t="str">
        <f>VLOOKUP(H8919,Produkt!$A$2:$B$5,2,FALSE)</f>
        <v>C</v>
      </c>
      <c r="H8919">
        <v>3</v>
      </c>
      <c r="I8919">
        <v>0.49156249999999996</v>
      </c>
      <c r="J8919">
        <v>44800</v>
      </c>
    </row>
    <row r="8920" spans="1:10" x14ac:dyDescent="0.35">
      <c r="A8920" s="2">
        <v>44801</v>
      </c>
      <c r="B8920" s="3">
        <v>0.44502314814814814</v>
      </c>
      <c r="C8920">
        <v>6111</v>
      </c>
      <c r="D8920" t="str">
        <f>VLOOKUP(H8920,Produkt!$A$2:$B$5,2,FALSE)</f>
        <v>D</v>
      </c>
      <c r="H8920">
        <v>4</v>
      </c>
      <c r="I8920">
        <v>0.15837962962962962</v>
      </c>
      <c r="J8920">
        <v>44780</v>
      </c>
    </row>
    <row r="8921" spans="1:10" x14ac:dyDescent="0.35">
      <c r="A8921" s="2">
        <v>44801</v>
      </c>
      <c r="B8921" s="3">
        <v>0.94284722222222228</v>
      </c>
      <c r="C8921">
        <v>6138</v>
      </c>
      <c r="D8921" t="str">
        <f>VLOOKUP(H8921,Produkt!$A$2:$B$5,2,FALSE)</f>
        <v>C</v>
      </c>
      <c r="H8921">
        <v>3</v>
      </c>
      <c r="I8921">
        <v>0.28287037037037038</v>
      </c>
      <c r="J8921">
        <v>44804</v>
      </c>
    </row>
    <row r="8922" spans="1:10" x14ac:dyDescent="0.35">
      <c r="A8922" s="2">
        <v>44801</v>
      </c>
      <c r="B8922" s="3">
        <v>0.64228009259259256</v>
      </c>
      <c r="C8922">
        <v>6159</v>
      </c>
      <c r="D8922" t="str">
        <f>VLOOKUP(H8922,Produkt!$A$2:$B$5,2,FALSE)</f>
        <v>D</v>
      </c>
      <c r="H8922">
        <v>4</v>
      </c>
      <c r="I8922">
        <v>0.89675925925925926</v>
      </c>
      <c r="J8922">
        <v>44778</v>
      </c>
    </row>
    <row r="8923" spans="1:10" x14ac:dyDescent="0.35">
      <c r="A8923" s="2">
        <v>44801</v>
      </c>
      <c r="B8923" s="3">
        <v>0.84866898148148151</v>
      </c>
      <c r="C8923">
        <v>6162</v>
      </c>
      <c r="D8923" t="str">
        <f>VLOOKUP(H8923,Produkt!$A$2:$B$5,2,FALSE)</f>
        <v>A</v>
      </c>
      <c r="H8923">
        <v>1</v>
      </c>
      <c r="I8923">
        <v>0.9081597222222223</v>
      </c>
      <c r="J8923">
        <v>44783</v>
      </c>
    </row>
    <row r="8924" spans="1:10" x14ac:dyDescent="0.35">
      <c r="A8924" s="2">
        <v>44801</v>
      </c>
      <c r="B8924" s="3">
        <v>0.1851851851851852</v>
      </c>
      <c r="C8924">
        <v>6172</v>
      </c>
      <c r="D8924" t="str">
        <f>VLOOKUP(H8924,Produkt!$A$2:$B$5,2,FALSE)</f>
        <v>D</v>
      </c>
      <c r="H8924">
        <v>4</v>
      </c>
      <c r="I8924">
        <v>0.20343750000000002</v>
      </c>
      <c r="J8924">
        <v>44785</v>
      </c>
    </row>
    <row r="8925" spans="1:10" x14ac:dyDescent="0.35">
      <c r="A8925" s="2">
        <v>44801</v>
      </c>
      <c r="B8925" s="3">
        <v>0.6582175925925926</v>
      </c>
      <c r="C8925">
        <v>6192</v>
      </c>
      <c r="D8925" t="str">
        <f>VLOOKUP(H8925,Produkt!$A$2:$B$5,2,FALSE)</f>
        <v>B</v>
      </c>
      <c r="H8925">
        <v>2</v>
      </c>
      <c r="I8925">
        <v>1.3321759259259261E-2</v>
      </c>
      <c r="J8925">
        <v>44785</v>
      </c>
    </row>
    <row r="8926" spans="1:10" x14ac:dyDescent="0.35">
      <c r="A8926" s="2">
        <v>44801</v>
      </c>
      <c r="B8926" s="3">
        <v>0.88696759259259261</v>
      </c>
      <c r="C8926">
        <v>6229</v>
      </c>
      <c r="D8926" t="str">
        <f>VLOOKUP(H8926,Produkt!$A$2:$B$5,2,FALSE)</f>
        <v>C</v>
      </c>
      <c r="H8926">
        <v>3</v>
      </c>
      <c r="I8926">
        <v>0.55629629629629629</v>
      </c>
      <c r="J8926">
        <v>44798</v>
      </c>
    </row>
    <row r="8927" spans="1:10" x14ac:dyDescent="0.35">
      <c r="A8927" s="2">
        <v>44801</v>
      </c>
      <c r="B8927" s="3">
        <v>0.97150462962962969</v>
      </c>
      <c r="C8927">
        <v>6246</v>
      </c>
      <c r="D8927" t="str">
        <f>VLOOKUP(H8927,Produkt!$A$2:$B$5,2,FALSE)</f>
        <v>C</v>
      </c>
      <c r="H8927">
        <v>3</v>
      </c>
      <c r="I8927">
        <v>0.95890046296296294</v>
      </c>
      <c r="J8927">
        <v>44789</v>
      </c>
    </row>
    <row r="8928" spans="1:10" x14ac:dyDescent="0.35">
      <c r="A8928" s="2">
        <v>44801</v>
      </c>
      <c r="B8928" s="3">
        <v>0.72188657407407408</v>
      </c>
      <c r="C8928">
        <v>6266</v>
      </c>
      <c r="D8928" t="str">
        <f>VLOOKUP(H8928,Produkt!$A$2:$B$5,2,FALSE)</f>
        <v>C</v>
      </c>
      <c r="H8928">
        <v>3</v>
      </c>
      <c r="I8928">
        <v>5.2118055555555563E-2</v>
      </c>
      <c r="J8928">
        <v>44795</v>
      </c>
    </row>
    <row r="8929" spans="1:10" x14ac:dyDescent="0.35">
      <c r="A8929" s="2">
        <v>44801</v>
      </c>
      <c r="B8929" s="3">
        <v>0.72533564814814822</v>
      </c>
      <c r="C8929">
        <v>6345</v>
      </c>
      <c r="D8929" t="str">
        <f>VLOOKUP(H8929,Produkt!$A$2:$B$5,2,FALSE)</f>
        <v>A</v>
      </c>
      <c r="H8929">
        <v>1</v>
      </c>
      <c r="I8929">
        <v>0.306724537037037</v>
      </c>
      <c r="J8929">
        <v>44804</v>
      </c>
    </row>
    <row r="8930" spans="1:10" x14ac:dyDescent="0.35">
      <c r="A8930" s="2">
        <v>44801</v>
      </c>
      <c r="B8930" s="3">
        <v>0.29876157407407405</v>
      </c>
      <c r="C8930">
        <v>6382</v>
      </c>
      <c r="D8930" t="str">
        <f>VLOOKUP(H8930,Produkt!$A$2:$B$5,2,FALSE)</f>
        <v>B</v>
      </c>
      <c r="H8930">
        <v>2</v>
      </c>
      <c r="I8930">
        <v>0.16762731481481483</v>
      </c>
      <c r="J8930">
        <v>44779</v>
      </c>
    </row>
    <row r="8931" spans="1:10" x14ac:dyDescent="0.35">
      <c r="A8931" s="2">
        <v>44801</v>
      </c>
      <c r="B8931" s="3">
        <v>0.97560185185185189</v>
      </c>
      <c r="C8931">
        <v>6393</v>
      </c>
      <c r="D8931" t="str">
        <f>VLOOKUP(H8931,Produkt!$A$2:$B$5,2,FALSE)</f>
        <v>B</v>
      </c>
      <c r="H8931">
        <v>2</v>
      </c>
      <c r="I8931">
        <v>0.93236111111111108</v>
      </c>
      <c r="J8931">
        <v>44786</v>
      </c>
    </row>
    <row r="8932" spans="1:10" x14ac:dyDescent="0.35">
      <c r="A8932" s="2">
        <v>44801</v>
      </c>
      <c r="B8932" s="3">
        <v>0.13234953703703703</v>
      </c>
      <c r="C8932">
        <v>6430</v>
      </c>
      <c r="D8932" t="str">
        <f>VLOOKUP(H8932,Produkt!$A$2:$B$5,2,FALSE)</f>
        <v>B</v>
      </c>
      <c r="H8932">
        <v>2</v>
      </c>
      <c r="I8932">
        <v>0.46494212962962966</v>
      </c>
      <c r="J8932">
        <v>44774</v>
      </c>
    </row>
    <row r="8933" spans="1:10" x14ac:dyDescent="0.35">
      <c r="A8933" s="2">
        <v>44801</v>
      </c>
      <c r="B8933" s="3">
        <v>0.24203703703703705</v>
      </c>
      <c r="C8933">
        <v>6461</v>
      </c>
      <c r="D8933" t="str">
        <f>VLOOKUP(H8933,Produkt!$A$2:$B$5,2,FALSE)</f>
        <v>B</v>
      </c>
      <c r="H8933">
        <v>2</v>
      </c>
      <c r="I8933">
        <v>0.36204861111111114</v>
      </c>
      <c r="J8933">
        <v>44779</v>
      </c>
    </row>
    <row r="8934" spans="1:10" x14ac:dyDescent="0.35">
      <c r="A8934" s="2">
        <v>44801</v>
      </c>
      <c r="B8934" s="3">
        <v>0.58247685185185183</v>
      </c>
      <c r="C8934">
        <v>6532</v>
      </c>
      <c r="D8934" t="str">
        <f>VLOOKUP(H8934,Produkt!$A$2:$B$5,2,FALSE)</f>
        <v>B</v>
      </c>
      <c r="H8934">
        <v>2</v>
      </c>
      <c r="I8934">
        <v>0.91872685185185177</v>
      </c>
      <c r="J8934">
        <v>44792</v>
      </c>
    </row>
    <row r="8935" spans="1:10" x14ac:dyDescent="0.35">
      <c r="A8935" s="2">
        <v>44801</v>
      </c>
      <c r="B8935" s="3">
        <v>8.1122685185185187E-2</v>
      </c>
      <c r="C8935">
        <v>6536</v>
      </c>
      <c r="D8935" t="str">
        <f>VLOOKUP(H8935,Produkt!$A$2:$B$5,2,FALSE)</f>
        <v>D</v>
      </c>
      <c r="H8935">
        <v>4</v>
      </c>
      <c r="I8935">
        <v>0.61717592592592596</v>
      </c>
      <c r="J8935">
        <v>44780</v>
      </c>
    </row>
    <row r="8936" spans="1:10" x14ac:dyDescent="0.35">
      <c r="A8936" s="2">
        <v>44801</v>
      </c>
      <c r="B8936" s="3">
        <v>0.23898148148148146</v>
      </c>
      <c r="C8936">
        <v>6572</v>
      </c>
      <c r="D8936" t="str">
        <f>VLOOKUP(H8936,Produkt!$A$2:$B$5,2,FALSE)</f>
        <v>D</v>
      </c>
      <c r="H8936">
        <v>4</v>
      </c>
      <c r="I8936">
        <v>2.4062500000000001E-2</v>
      </c>
      <c r="J8936">
        <v>44774</v>
      </c>
    </row>
    <row r="8937" spans="1:10" x14ac:dyDescent="0.35">
      <c r="A8937" s="2">
        <v>44801</v>
      </c>
      <c r="B8937" s="3">
        <v>0.8429282407407408</v>
      </c>
      <c r="C8937">
        <v>6621</v>
      </c>
      <c r="D8937" t="str">
        <f>VLOOKUP(H8937,Produkt!$A$2:$B$5,2,FALSE)</f>
        <v>C</v>
      </c>
      <c r="H8937">
        <v>3</v>
      </c>
      <c r="I8937">
        <v>4.2048611111111113E-2</v>
      </c>
      <c r="J8937">
        <v>44788</v>
      </c>
    </row>
    <row r="8938" spans="1:10" x14ac:dyDescent="0.35">
      <c r="A8938" s="2">
        <v>44801</v>
      </c>
      <c r="B8938" s="3">
        <v>0.7365856481481482</v>
      </c>
      <c r="C8938">
        <v>6632</v>
      </c>
      <c r="D8938" t="str">
        <f>VLOOKUP(H8938,Produkt!$A$2:$B$5,2,FALSE)</f>
        <v>A</v>
      </c>
      <c r="H8938">
        <v>1</v>
      </c>
      <c r="I8938">
        <v>0.50924768518518515</v>
      </c>
      <c r="J8938">
        <v>44783</v>
      </c>
    </row>
    <row r="8939" spans="1:10" x14ac:dyDescent="0.35">
      <c r="A8939" s="2">
        <v>44801</v>
      </c>
      <c r="B8939" s="3">
        <v>0.56851851851851853</v>
      </c>
      <c r="C8939">
        <v>6634</v>
      </c>
      <c r="D8939" t="str">
        <f>VLOOKUP(H8939,Produkt!$A$2:$B$5,2,FALSE)</f>
        <v>D</v>
      </c>
      <c r="H8939">
        <v>4</v>
      </c>
      <c r="I8939">
        <v>0.84018518518518526</v>
      </c>
      <c r="J8939">
        <v>44783</v>
      </c>
    </row>
    <row r="8940" spans="1:10" x14ac:dyDescent="0.35">
      <c r="A8940" s="2">
        <v>44801</v>
      </c>
      <c r="B8940" s="3">
        <v>0.42780092592592595</v>
      </c>
      <c r="C8940">
        <v>6640</v>
      </c>
      <c r="D8940" t="str">
        <f>VLOOKUP(H8940,Produkt!$A$2:$B$5,2,FALSE)</f>
        <v>D</v>
      </c>
      <c r="H8940">
        <v>4</v>
      </c>
      <c r="I8940">
        <v>0.43932870370370369</v>
      </c>
      <c r="J8940">
        <v>44776</v>
      </c>
    </row>
    <row r="8941" spans="1:10" x14ac:dyDescent="0.35">
      <c r="A8941" s="2">
        <v>44801</v>
      </c>
      <c r="B8941" s="3">
        <v>5.1168981481481489E-2</v>
      </c>
      <c r="C8941">
        <v>6660</v>
      </c>
      <c r="D8941" t="str">
        <f>VLOOKUP(H8941,Produkt!$A$2:$B$5,2,FALSE)</f>
        <v>C</v>
      </c>
      <c r="H8941">
        <v>3</v>
      </c>
      <c r="I8941">
        <v>7.9178240740740743E-2</v>
      </c>
      <c r="J8941">
        <v>44799</v>
      </c>
    </row>
    <row r="8942" spans="1:10" x14ac:dyDescent="0.35">
      <c r="A8942" s="2">
        <v>44801</v>
      </c>
      <c r="B8942" s="3">
        <v>5.1932870370370365E-2</v>
      </c>
      <c r="C8942">
        <v>6676</v>
      </c>
      <c r="D8942" t="str">
        <f>VLOOKUP(H8942,Produkt!$A$2:$B$5,2,FALSE)</f>
        <v>C</v>
      </c>
      <c r="H8942">
        <v>3</v>
      </c>
      <c r="I8942">
        <v>0.61020833333333335</v>
      </c>
      <c r="J8942">
        <v>44777</v>
      </c>
    </row>
    <row r="8943" spans="1:10" x14ac:dyDescent="0.35">
      <c r="A8943" s="2">
        <v>44801</v>
      </c>
      <c r="B8943" s="3">
        <v>0.39395833333333335</v>
      </c>
      <c r="C8943">
        <v>6688</v>
      </c>
      <c r="D8943" t="str">
        <f>VLOOKUP(H8943,Produkt!$A$2:$B$5,2,FALSE)</f>
        <v>C</v>
      </c>
      <c r="H8943">
        <v>3</v>
      </c>
      <c r="I8943">
        <v>0.2005787037037037</v>
      </c>
      <c r="J8943">
        <v>44789</v>
      </c>
    </row>
    <row r="8944" spans="1:10" x14ac:dyDescent="0.35">
      <c r="A8944" s="2">
        <v>44801</v>
      </c>
      <c r="B8944" s="3">
        <v>0.29085648148148152</v>
      </c>
      <c r="C8944">
        <v>6725</v>
      </c>
      <c r="D8944" t="str">
        <f>VLOOKUP(H8944,Produkt!$A$2:$B$5,2,FALSE)</f>
        <v>B</v>
      </c>
      <c r="H8944">
        <v>2</v>
      </c>
      <c r="I8944">
        <v>0.47760416666666666</v>
      </c>
      <c r="J8944">
        <v>44778</v>
      </c>
    </row>
    <row r="8945" spans="1:10" x14ac:dyDescent="0.35">
      <c r="A8945" s="2">
        <v>44801</v>
      </c>
      <c r="B8945" s="3">
        <v>0.35248842592592594</v>
      </c>
      <c r="C8945">
        <v>6749</v>
      </c>
      <c r="D8945" t="str">
        <f>VLOOKUP(H8945,Produkt!$A$2:$B$5,2,FALSE)</f>
        <v>A</v>
      </c>
      <c r="H8945">
        <v>1</v>
      </c>
      <c r="I8945">
        <v>0.6366087962962963</v>
      </c>
      <c r="J8945">
        <v>44775</v>
      </c>
    </row>
    <row r="8946" spans="1:10" x14ac:dyDescent="0.35">
      <c r="A8946" s="2">
        <v>44801</v>
      </c>
      <c r="B8946" s="3">
        <v>9.8310185185185195E-2</v>
      </c>
      <c r="C8946">
        <v>6756</v>
      </c>
      <c r="D8946" t="str">
        <f>VLOOKUP(H8946,Produkt!$A$2:$B$5,2,FALSE)</f>
        <v>B</v>
      </c>
      <c r="H8946">
        <v>2</v>
      </c>
      <c r="I8946">
        <v>0.15824074074074074</v>
      </c>
      <c r="J8946">
        <v>44796</v>
      </c>
    </row>
    <row r="8947" spans="1:10" x14ac:dyDescent="0.35">
      <c r="A8947" s="2">
        <v>44801</v>
      </c>
      <c r="B8947" s="3">
        <v>0.38927083333333329</v>
      </c>
      <c r="C8947">
        <v>6779</v>
      </c>
      <c r="D8947" t="str">
        <f>VLOOKUP(H8947,Produkt!$A$2:$B$5,2,FALSE)</f>
        <v>D</v>
      </c>
      <c r="H8947">
        <v>4</v>
      </c>
      <c r="I8947">
        <v>3.75462962962963E-2</v>
      </c>
      <c r="J8947">
        <v>44784</v>
      </c>
    </row>
    <row r="8948" spans="1:10" x14ac:dyDescent="0.35">
      <c r="A8948" s="2">
        <v>44801</v>
      </c>
      <c r="B8948" s="3">
        <v>0.44701388888888888</v>
      </c>
      <c r="C8948">
        <v>6870</v>
      </c>
      <c r="D8948" t="str">
        <f>VLOOKUP(H8948,Produkt!$A$2:$B$5,2,FALSE)</f>
        <v>A</v>
      </c>
      <c r="H8948">
        <v>1</v>
      </c>
      <c r="I8948">
        <v>0.43206018518518513</v>
      </c>
      <c r="J8948">
        <v>44797</v>
      </c>
    </row>
    <row r="8949" spans="1:10" x14ac:dyDescent="0.35">
      <c r="A8949" s="2">
        <v>44801</v>
      </c>
      <c r="B8949" s="3">
        <v>0.46881944444444446</v>
      </c>
      <c r="C8949">
        <v>6902</v>
      </c>
      <c r="D8949" t="str">
        <f>VLOOKUP(H8949,Produkt!$A$2:$B$5,2,FALSE)</f>
        <v>B</v>
      </c>
      <c r="H8949">
        <v>2</v>
      </c>
      <c r="I8949">
        <v>0.53396990740740746</v>
      </c>
      <c r="J8949">
        <v>44786</v>
      </c>
    </row>
    <row r="8950" spans="1:10" x14ac:dyDescent="0.35">
      <c r="A8950" s="2">
        <v>44801</v>
      </c>
      <c r="B8950" s="3">
        <v>0.61618055555555562</v>
      </c>
      <c r="C8950">
        <v>6903</v>
      </c>
      <c r="D8950" t="str">
        <f>VLOOKUP(H8950,Produkt!$A$2:$B$5,2,FALSE)</f>
        <v>D</v>
      </c>
      <c r="H8950">
        <v>4</v>
      </c>
      <c r="I8950">
        <v>0.37329861111111112</v>
      </c>
      <c r="J8950">
        <v>44785</v>
      </c>
    </row>
    <row r="8951" spans="1:10" x14ac:dyDescent="0.35">
      <c r="A8951" s="2">
        <v>44801</v>
      </c>
      <c r="B8951" s="3">
        <v>0.85237268518518527</v>
      </c>
      <c r="C8951">
        <v>6920</v>
      </c>
      <c r="D8951" t="str">
        <f>VLOOKUP(H8951,Produkt!$A$2:$B$5,2,FALSE)</f>
        <v>A</v>
      </c>
      <c r="H8951">
        <v>1</v>
      </c>
      <c r="I8951">
        <v>0.22504629629629627</v>
      </c>
      <c r="J8951">
        <v>44802</v>
      </c>
    </row>
    <row r="8952" spans="1:10" x14ac:dyDescent="0.35">
      <c r="A8952" s="2">
        <v>44801</v>
      </c>
      <c r="B8952" s="3">
        <v>0.75509259259259265</v>
      </c>
      <c r="C8952">
        <v>6957</v>
      </c>
      <c r="D8952" t="str">
        <f>VLOOKUP(H8952,Produkt!$A$2:$B$5,2,FALSE)</f>
        <v>D</v>
      </c>
      <c r="H8952">
        <v>4</v>
      </c>
      <c r="I8952">
        <v>0.19898148148148151</v>
      </c>
      <c r="J8952">
        <v>44789</v>
      </c>
    </row>
    <row r="8953" spans="1:10" x14ac:dyDescent="0.35">
      <c r="A8953" s="2">
        <v>44801</v>
      </c>
      <c r="B8953" s="3">
        <v>0.86206018518518512</v>
      </c>
      <c r="C8953">
        <v>7027</v>
      </c>
      <c r="D8953" t="str">
        <f>VLOOKUP(H8953,Produkt!$A$2:$B$5,2,FALSE)</f>
        <v>C</v>
      </c>
      <c r="H8953">
        <v>3</v>
      </c>
      <c r="I8953">
        <v>0.80009259259259258</v>
      </c>
      <c r="J8953">
        <v>44786</v>
      </c>
    </row>
    <row r="8954" spans="1:10" x14ac:dyDescent="0.35">
      <c r="A8954" s="2">
        <v>44801</v>
      </c>
      <c r="B8954" s="3">
        <v>0.34077546296296296</v>
      </c>
      <c r="C8954">
        <v>7037</v>
      </c>
      <c r="D8954" t="str">
        <f>VLOOKUP(H8954,Produkt!$A$2:$B$5,2,FALSE)</f>
        <v>B</v>
      </c>
      <c r="H8954">
        <v>2</v>
      </c>
      <c r="I8954">
        <v>0.80302083333333341</v>
      </c>
      <c r="J8954">
        <v>44798</v>
      </c>
    </row>
    <row r="8955" spans="1:10" x14ac:dyDescent="0.35">
      <c r="A8955" s="2">
        <v>44801</v>
      </c>
      <c r="B8955" s="3">
        <v>0.7098726851851852</v>
      </c>
      <c r="C8955">
        <v>7049</v>
      </c>
      <c r="D8955" t="str">
        <f>VLOOKUP(H8955,Produkt!$A$2:$B$5,2,FALSE)</f>
        <v>C</v>
      </c>
      <c r="H8955">
        <v>3</v>
      </c>
      <c r="I8955">
        <v>0.33336805555555554</v>
      </c>
      <c r="J8955">
        <v>44793</v>
      </c>
    </row>
    <row r="8956" spans="1:10" x14ac:dyDescent="0.35">
      <c r="A8956" s="2">
        <v>44801</v>
      </c>
      <c r="B8956" s="3">
        <v>0.75979166666666664</v>
      </c>
      <c r="C8956">
        <v>7069</v>
      </c>
      <c r="D8956" t="str">
        <f>VLOOKUP(H8956,Produkt!$A$2:$B$5,2,FALSE)</f>
        <v>D</v>
      </c>
      <c r="H8956">
        <v>4</v>
      </c>
      <c r="I8956">
        <v>0.34070601851851851</v>
      </c>
      <c r="J8956">
        <v>44779</v>
      </c>
    </row>
    <row r="8957" spans="1:10" x14ac:dyDescent="0.35">
      <c r="A8957" s="2">
        <v>44801</v>
      </c>
      <c r="B8957" s="3">
        <v>0.72940972222222233</v>
      </c>
      <c r="C8957">
        <v>7168</v>
      </c>
      <c r="D8957" t="str">
        <f>VLOOKUP(H8957,Produkt!$A$2:$B$5,2,FALSE)</f>
        <v>D</v>
      </c>
      <c r="H8957">
        <v>4</v>
      </c>
      <c r="I8957">
        <v>0.35631944444444441</v>
      </c>
      <c r="J8957">
        <v>44791</v>
      </c>
    </row>
    <row r="8958" spans="1:10" x14ac:dyDescent="0.35">
      <c r="A8958" s="2">
        <v>44801</v>
      </c>
      <c r="B8958" s="3">
        <v>0.33971064814814816</v>
      </c>
      <c r="C8958">
        <v>7170</v>
      </c>
      <c r="D8958" t="str">
        <f>VLOOKUP(H8958,Produkt!$A$2:$B$5,2,FALSE)</f>
        <v>D</v>
      </c>
      <c r="H8958">
        <v>4</v>
      </c>
      <c r="I8958">
        <v>8.3599537037037042E-2</v>
      </c>
      <c r="J8958">
        <v>44788</v>
      </c>
    </row>
    <row r="8959" spans="1:10" x14ac:dyDescent="0.35">
      <c r="A8959" s="2">
        <v>44801</v>
      </c>
      <c r="B8959" s="3">
        <v>0.82256944444444446</v>
      </c>
      <c r="C8959">
        <v>7184</v>
      </c>
      <c r="D8959" t="str">
        <f>VLOOKUP(H8959,Produkt!$A$2:$B$5,2,FALSE)</f>
        <v>A</v>
      </c>
      <c r="H8959">
        <v>1</v>
      </c>
      <c r="I8959">
        <v>0.10769675925925926</v>
      </c>
      <c r="J8959">
        <v>44781</v>
      </c>
    </row>
    <row r="8960" spans="1:10" x14ac:dyDescent="0.35">
      <c r="A8960" s="2">
        <v>44801</v>
      </c>
      <c r="B8960" s="3">
        <v>0.49850694444444449</v>
      </c>
      <c r="C8960">
        <v>7195</v>
      </c>
      <c r="D8960" t="str">
        <f>VLOOKUP(H8960,Produkt!$A$2:$B$5,2,FALSE)</f>
        <v>A</v>
      </c>
      <c r="H8960">
        <v>1</v>
      </c>
      <c r="I8960">
        <v>0.24384259259259258</v>
      </c>
      <c r="J8960">
        <v>44798</v>
      </c>
    </row>
    <row r="8961" spans="1:10" x14ac:dyDescent="0.35">
      <c r="A8961" s="2">
        <v>44801</v>
      </c>
      <c r="B8961" s="3">
        <v>0.45795138888888887</v>
      </c>
      <c r="C8961">
        <v>7208</v>
      </c>
      <c r="D8961" t="str">
        <f>VLOOKUP(H8961,Produkt!$A$2:$B$5,2,FALSE)</f>
        <v>D</v>
      </c>
      <c r="H8961">
        <v>4</v>
      </c>
      <c r="I8961">
        <v>0.48978009259259259</v>
      </c>
      <c r="J8961">
        <v>44794</v>
      </c>
    </row>
    <row r="8962" spans="1:10" x14ac:dyDescent="0.35">
      <c r="A8962" s="2">
        <v>44801</v>
      </c>
      <c r="B8962" s="3">
        <v>0.83709490740740744</v>
      </c>
      <c r="C8962">
        <v>7218</v>
      </c>
      <c r="D8962" t="str">
        <f>VLOOKUP(H8962,Produkt!$A$2:$B$5,2,FALSE)</f>
        <v>B</v>
      </c>
      <c r="H8962">
        <v>2</v>
      </c>
      <c r="I8962">
        <v>0.70833333333333337</v>
      </c>
      <c r="J8962">
        <v>44793</v>
      </c>
    </row>
    <row r="8963" spans="1:10" x14ac:dyDescent="0.35">
      <c r="A8963" s="2">
        <v>44801</v>
      </c>
      <c r="B8963" s="3">
        <v>0.85295138888888899</v>
      </c>
      <c r="C8963">
        <v>7284</v>
      </c>
      <c r="D8963" t="str">
        <f>VLOOKUP(H8963,Produkt!$A$2:$B$5,2,FALSE)</f>
        <v>B</v>
      </c>
      <c r="H8963">
        <v>2</v>
      </c>
      <c r="I8963">
        <v>0.88487268518518514</v>
      </c>
      <c r="J8963">
        <v>44781</v>
      </c>
    </row>
    <row r="8964" spans="1:10" x14ac:dyDescent="0.35">
      <c r="A8964" s="2">
        <v>44801</v>
      </c>
      <c r="B8964" s="3">
        <v>0.2465509259259259</v>
      </c>
      <c r="C8964">
        <v>7303</v>
      </c>
      <c r="D8964" t="str">
        <f>VLOOKUP(H8964,Produkt!$A$2:$B$5,2,FALSE)</f>
        <v>D</v>
      </c>
      <c r="H8964">
        <v>4</v>
      </c>
      <c r="I8964">
        <v>0.6708912037037037</v>
      </c>
      <c r="J8964">
        <v>44781</v>
      </c>
    </row>
    <row r="8965" spans="1:10" x14ac:dyDescent="0.35">
      <c r="A8965" s="2">
        <v>44801</v>
      </c>
      <c r="B8965" s="3">
        <v>0.70879629629629637</v>
      </c>
      <c r="C8965">
        <v>7310</v>
      </c>
      <c r="D8965" t="str">
        <f>VLOOKUP(H8965,Produkt!$A$2:$B$5,2,FALSE)</f>
        <v>D</v>
      </c>
      <c r="H8965">
        <v>4</v>
      </c>
      <c r="I8965">
        <v>0.33894675925925927</v>
      </c>
      <c r="J8965">
        <v>44779</v>
      </c>
    </row>
    <row r="8966" spans="1:10" x14ac:dyDescent="0.35">
      <c r="A8966" s="2">
        <v>44801</v>
      </c>
      <c r="B8966" s="3">
        <v>0.36650462962962965</v>
      </c>
      <c r="C8966">
        <v>7330</v>
      </c>
      <c r="D8966" t="str">
        <f>VLOOKUP(H8966,Produkt!$A$2:$B$5,2,FALSE)</f>
        <v>C</v>
      </c>
      <c r="H8966">
        <v>3</v>
      </c>
      <c r="I8966">
        <v>0.15892361111111111</v>
      </c>
      <c r="J8966">
        <v>44796</v>
      </c>
    </row>
    <row r="8967" spans="1:10" x14ac:dyDescent="0.35">
      <c r="A8967" s="2">
        <v>44801</v>
      </c>
      <c r="B8967" s="3">
        <v>0.28171296296296294</v>
      </c>
      <c r="C8967">
        <v>7346</v>
      </c>
      <c r="D8967" t="str">
        <f>VLOOKUP(H8967,Produkt!$A$2:$B$5,2,FALSE)</f>
        <v>C</v>
      </c>
      <c r="H8967">
        <v>3</v>
      </c>
      <c r="I8967">
        <v>0.67475694444444445</v>
      </c>
      <c r="J8967">
        <v>44798</v>
      </c>
    </row>
    <row r="8968" spans="1:10" x14ac:dyDescent="0.35">
      <c r="A8968" s="2">
        <v>44801</v>
      </c>
      <c r="B8968" s="3">
        <v>0.3880439814814815</v>
      </c>
      <c r="C8968">
        <v>7372</v>
      </c>
      <c r="D8968" t="str">
        <f>VLOOKUP(H8968,Produkt!$A$2:$B$5,2,FALSE)</f>
        <v>C</v>
      </c>
      <c r="H8968">
        <v>3</v>
      </c>
      <c r="I8968">
        <v>0.45578703703703699</v>
      </c>
      <c r="J8968">
        <v>44784</v>
      </c>
    </row>
    <row r="8969" spans="1:10" x14ac:dyDescent="0.35">
      <c r="A8969" s="2">
        <v>44801</v>
      </c>
      <c r="B8969" s="3">
        <v>0.31146990740740738</v>
      </c>
      <c r="C8969">
        <v>7380</v>
      </c>
      <c r="D8969" t="str">
        <f>VLOOKUP(H8969,Produkt!$A$2:$B$5,2,FALSE)</f>
        <v>A</v>
      </c>
      <c r="H8969">
        <v>1</v>
      </c>
      <c r="I8969">
        <v>0.82638888888888884</v>
      </c>
      <c r="J8969">
        <v>44781</v>
      </c>
    </row>
    <row r="8970" spans="1:10" x14ac:dyDescent="0.35">
      <c r="A8970" s="2">
        <v>44801</v>
      </c>
      <c r="B8970" s="3">
        <v>0.99289351851851848</v>
      </c>
      <c r="C8970">
        <v>7381</v>
      </c>
      <c r="D8970" t="str">
        <f>VLOOKUP(H8970,Produkt!$A$2:$B$5,2,FALSE)</f>
        <v>C</v>
      </c>
      <c r="H8970">
        <v>3</v>
      </c>
      <c r="I8970">
        <v>0.3979166666666667</v>
      </c>
      <c r="J8970">
        <v>44785</v>
      </c>
    </row>
    <row r="8971" spans="1:10" x14ac:dyDescent="0.35">
      <c r="A8971" s="2">
        <v>44801</v>
      </c>
      <c r="B8971" s="3">
        <v>0.55531249999999999</v>
      </c>
      <c r="C8971">
        <v>7389</v>
      </c>
      <c r="D8971" t="str">
        <f>VLOOKUP(H8971,Produkt!$A$2:$B$5,2,FALSE)</f>
        <v>A</v>
      </c>
      <c r="H8971">
        <v>1</v>
      </c>
      <c r="I8971">
        <v>9.4236111111111118E-2</v>
      </c>
      <c r="J8971">
        <v>44787</v>
      </c>
    </row>
    <row r="8972" spans="1:10" x14ac:dyDescent="0.35">
      <c r="A8972" s="2">
        <v>44801</v>
      </c>
      <c r="B8972" s="3">
        <v>0.37200231481481483</v>
      </c>
      <c r="C8972">
        <v>7404</v>
      </c>
      <c r="D8972" t="str">
        <f>VLOOKUP(H8972,Produkt!$A$2:$B$5,2,FALSE)</f>
        <v>C</v>
      </c>
      <c r="H8972">
        <v>3</v>
      </c>
      <c r="I8972">
        <v>9.9537037037036313E-3</v>
      </c>
      <c r="J8972">
        <v>44783</v>
      </c>
    </row>
    <row r="8973" spans="1:10" x14ac:dyDescent="0.35">
      <c r="A8973" s="2">
        <v>44801</v>
      </c>
      <c r="B8973" s="3">
        <v>0.36376157407407406</v>
      </c>
      <c r="C8973">
        <v>7407</v>
      </c>
      <c r="D8973" t="str">
        <f>VLOOKUP(H8973,Produkt!$A$2:$B$5,2,FALSE)</f>
        <v>D</v>
      </c>
      <c r="H8973">
        <v>4</v>
      </c>
      <c r="I8973">
        <v>0.81793981481481481</v>
      </c>
      <c r="J8973">
        <v>44795</v>
      </c>
    </row>
    <row r="8974" spans="1:10" x14ac:dyDescent="0.35">
      <c r="A8974" s="2">
        <v>44801</v>
      </c>
      <c r="B8974" s="3">
        <v>0.49995370370370368</v>
      </c>
      <c r="C8974">
        <v>7413</v>
      </c>
      <c r="D8974" t="str">
        <f>VLOOKUP(H8974,Produkt!$A$2:$B$5,2,FALSE)</f>
        <v>A</v>
      </c>
      <c r="H8974">
        <v>1</v>
      </c>
      <c r="I8974">
        <v>0.58488425925925924</v>
      </c>
      <c r="J8974">
        <v>44795</v>
      </c>
    </row>
    <row r="8975" spans="1:10" x14ac:dyDescent="0.35">
      <c r="A8975" s="2">
        <v>44801</v>
      </c>
      <c r="B8975" s="3">
        <v>0.46770833333333334</v>
      </c>
      <c r="C8975">
        <v>7415</v>
      </c>
      <c r="D8975" t="str">
        <f>VLOOKUP(H8975,Produkt!$A$2:$B$5,2,FALSE)</f>
        <v>B</v>
      </c>
      <c r="H8975">
        <v>2</v>
      </c>
      <c r="I8975">
        <v>7.5266203703703696E-2</v>
      </c>
      <c r="J8975">
        <v>44803</v>
      </c>
    </row>
    <row r="8976" spans="1:10" x14ac:dyDescent="0.35">
      <c r="A8976" s="2">
        <v>44801</v>
      </c>
      <c r="B8976" s="3">
        <v>0.45982638888888888</v>
      </c>
      <c r="C8976">
        <v>7464</v>
      </c>
      <c r="D8976" t="str">
        <f>VLOOKUP(H8976,Produkt!$A$2:$B$5,2,FALSE)</f>
        <v>C</v>
      </c>
      <c r="H8976">
        <v>3</v>
      </c>
      <c r="I8976">
        <v>0.98453703703703699</v>
      </c>
      <c r="J8976">
        <v>44788</v>
      </c>
    </row>
    <row r="8977" spans="1:10" x14ac:dyDescent="0.35">
      <c r="A8977" s="2">
        <v>44801</v>
      </c>
      <c r="B8977" s="3">
        <v>0.23017361111111112</v>
      </c>
      <c r="C8977">
        <v>7473</v>
      </c>
      <c r="D8977" t="str">
        <f>VLOOKUP(H8977,Produkt!$A$2:$B$5,2,FALSE)</f>
        <v>B</v>
      </c>
      <c r="H8977">
        <v>2</v>
      </c>
      <c r="I8977">
        <v>0.44233796296296296</v>
      </c>
      <c r="J8977">
        <v>44791</v>
      </c>
    </row>
    <row r="8978" spans="1:10" x14ac:dyDescent="0.35">
      <c r="A8978" s="2">
        <v>44801</v>
      </c>
      <c r="B8978" s="3">
        <v>0.95458333333333334</v>
      </c>
      <c r="C8978">
        <v>7498</v>
      </c>
      <c r="D8978" t="str">
        <f>VLOOKUP(H8978,Produkt!$A$2:$B$5,2,FALSE)</f>
        <v>A</v>
      </c>
      <c r="H8978">
        <v>1</v>
      </c>
      <c r="I8978">
        <v>0.69024305555555554</v>
      </c>
      <c r="J8978">
        <v>44785</v>
      </c>
    </row>
    <row r="8979" spans="1:10" x14ac:dyDescent="0.35">
      <c r="A8979" s="2">
        <v>44801</v>
      </c>
      <c r="B8979" s="3">
        <v>0.24892361111111114</v>
      </c>
      <c r="C8979">
        <v>7526</v>
      </c>
      <c r="D8979" t="str">
        <f>VLOOKUP(H8979,Produkt!$A$2:$B$5,2,FALSE)</f>
        <v>D</v>
      </c>
      <c r="H8979">
        <v>4</v>
      </c>
      <c r="I8979">
        <v>0.74310185185185185</v>
      </c>
      <c r="J8979">
        <v>44797</v>
      </c>
    </row>
    <row r="8980" spans="1:10" x14ac:dyDescent="0.35">
      <c r="A8980" s="2">
        <v>44801</v>
      </c>
      <c r="B8980" s="3">
        <v>0.31527777777777777</v>
      </c>
      <c r="C8980">
        <v>7534</v>
      </c>
      <c r="D8980" t="str">
        <f>VLOOKUP(H8980,Produkt!$A$2:$B$5,2,FALSE)</f>
        <v>B</v>
      </c>
      <c r="H8980">
        <v>2</v>
      </c>
      <c r="I8980">
        <v>0.33997685185185184</v>
      </c>
      <c r="J8980">
        <v>44778</v>
      </c>
    </row>
    <row r="8981" spans="1:10" x14ac:dyDescent="0.35">
      <c r="A8981" s="2">
        <v>44801</v>
      </c>
      <c r="B8981" s="3">
        <v>0.49633101851851852</v>
      </c>
      <c r="C8981">
        <v>7574</v>
      </c>
      <c r="D8981" t="str">
        <f>VLOOKUP(H8981,Produkt!$A$2:$B$5,2,FALSE)</f>
        <v>B</v>
      </c>
      <c r="H8981">
        <v>2</v>
      </c>
      <c r="I8981">
        <v>0.31521990740740741</v>
      </c>
      <c r="J8981">
        <v>44798</v>
      </c>
    </row>
    <row r="8982" spans="1:10" x14ac:dyDescent="0.35">
      <c r="A8982" s="2">
        <v>44801</v>
      </c>
      <c r="B8982" s="3">
        <v>0.50449074074074074</v>
      </c>
      <c r="C8982">
        <v>7581</v>
      </c>
      <c r="D8982" t="str">
        <f>VLOOKUP(H8982,Produkt!$A$2:$B$5,2,FALSE)</f>
        <v>D</v>
      </c>
      <c r="H8982">
        <v>4</v>
      </c>
      <c r="I8982">
        <v>0.62796296296296295</v>
      </c>
      <c r="J8982">
        <v>44775</v>
      </c>
    </row>
    <row r="8983" spans="1:10" x14ac:dyDescent="0.35">
      <c r="A8983" s="2">
        <v>44801</v>
      </c>
      <c r="B8983" s="3">
        <v>0.81344907407407396</v>
      </c>
      <c r="C8983">
        <v>7635</v>
      </c>
      <c r="D8983" t="str">
        <f>VLOOKUP(H8983,Produkt!$A$2:$B$5,2,FALSE)</f>
        <v>B</v>
      </c>
      <c r="H8983">
        <v>2</v>
      </c>
      <c r="I8983">
        <v>0.39733796296296298</v>
      </c>
      <c r="J8983">
        <v>44782</v>
      </c>
    </row>
    <row r="8984" spans="1:10" x14ac:dyDescent="0.35">
      <c r="A8984" s="2">
        <v>44801</v>
      </c>
      <c r="B8984" s="3">
        <v>0.50722222222222224</v>
      </c>
      <c r="C8984">
        <v>7652</v>
      </c>
      <c r="D8984" t="str">
        <f>VLOOKUP(H8984,Produkt!$A$2:$B$5,2,FALSE)</f>
        <v>B</v>
      </c>
      <c r="H8984">
        <v>2</v>
      </c>
      <c r="I8984">
        <v>0.84778935185185178</v>
      </c>
      <c r="J8984">
        <v>44775</v>
      </c>
    </row>
    <row r="8985" spans="1:10" x14ac:dyDescent="0.35">
      <c r="A8985" s="2">
        <v>44801</v>
      </c>
      <c r="B8985" s="3">
        <v>0.40156249999999999</v>
      </c>
      <c r="C8985">
        <v>7681</v>
      </c>
      <c r="D8985" t="str">
        <f>VLOOKUP(H8985,Produkt!$A$2:$B$5,2,FALSE)</f>
        <v>A</v>
      </c>
      <c r="H8985">
        <v>1</v>
      </c>
      <c r="I8985">
        <v>0.41089120370370374</v>
      </c>
      <c r="J8985">
        <v>44793</v>
      </c>
    </row>
    <row r="8986" spans="1:10" x14ac:dyDescent="0.35">
      <c r="A8986" s="2">
        <v>44801</v>
      </c>
      <c r="B8986" s="3">
        <v>0.82482638888888893</v>
      </c>
      <c r="C8986">
        <v>7768</v>
      </c>
      <c r="D8986" t="str">
        <f>VLOOKUP(H8986,Produkt!$A$2:$B$5,2,FALSE)</f>
        <v>D</v>
      </c>
      <c r="H8986">
        <v>4</v>
      </c>
      <c r="I8986">
        <v>0.82428240740740744</v>
      </c>
      <c r="J8986">
        <v>44777</v>
      </c>
    </row>
    <row r="8987" spans="1:10" x14ac:dyDescent="0.35">
      <c r="A8987" s="2">
        <v>44801</v>
      </c>
      <c r="B8987" s="3">
        <v>0.64329861111111108</v>
      </c>
      <c r="C8987">
        <v>7790</v>
      </c>
      <c r="D8987" t="str">
        <f>VLOOKUP(H8987,Produkt!$A$2:$B$5,2,FALSE)</f>
        <v>D</v>
      </c>
      <c r="H8987">
        <v>4</v>
      </c>
      <c r="I8987">
        <v>0.41466435185185185</v>
      </c>
      <c r="J8987">
        <v>44785</v>
      </c>
    </row>
    <row r="8988" spans="1:10" x14ac:dyDescent="0.35">
      <c r="A8988" s="2">
        <v>44801</v>
      </c>
      <c r="B8988" s="3">
        <v>8.3715277777777763E-2</v>
      </c>
      <c r="C8988">
        <v>7794</v>
      </c>
      <c r="D8988" t="str">
        <f>VLOOKUP(H8988,Produkt!$A$2:$B$5,2,FALSE)</f>
        <v>C</v>
      </c>
      <c r="H8988">
        <v>3</v>
      </c>
      <c r="I8988">
        <v>0.98348379629629623</v>
      </c>
      <c r="J8988">
        <v>44798</v>
      </c>
    </row>
    <row r="8989" spans="1:10" x14ac:dyDescent="0.35">
      <c r="A8989" s="2">
        <v>44801</v>
      </c>
      <c r="B8989" s="3">
        <v>0.37486111111111109</v>
      </c>
      <c r="C8989">
        <v>7872</v>
      </c>
      <c r="D8989" t="str">
        <f>VLOOKUP(H8989,Produkt!$A$2:$B$5,2,FALSE)</f>
        <v>C</v>
      </c>
      <c r="H8989">
        <v>3</v>
      </c>
      <c r="I8989">
        <v>0.40488425925925925</v>
      </c>
      <c r="J8989">
        <v>44801</v>
      </c>
    </row>
    <row r="8990" spans="1:10" x14ac:dyDescent="0.35">
      <c r="A8990" s="2">
        <v>44801</v>
      </c>
      <c r="B8990" s="3">
        <v>0.94248842592592597</v>
      </c>
      <c r="C8990">
        <v>7903</v>
      </c>
      <c r="D8990" t="str">
        <f>VLOOKUP(H8990,Produkt!$A$2:$B$5,2,FALSE)</f>
        <v>A</v>
      </c>
      <c r="H8990">
        <v>1</v>
      </c>
      <c r="I8990">
        <v>0.8160532407407407</v>
      </c>
      <c r="J8990">
        <v>44786</v>
      </c>
    </row>
    <row r="8991" spans="1:10" x14ac:dyDescent="0.35">
      <c r="A8991" s="2">
        <v>44801</v>
      </c>
      <c r="B8991" s="3">
        <v>0.13999999999999999</v>
      </c>
      <c r="C8991">
        <v>7921</v>
      </c>
      <c r="D8991" t="str">
        <f>VLOOKUP(H8991,Produkt!$A$2:$B$5,2,FALSE)</f>
        <v>A</v>
      </c>
      <c r="H8991">
        <v>1</v>
      </c>
      <c r="I8991">
        <v>0.25771990740740741</v>
      </c>
      <c r="J8991">
        <v>44776</v>
      </c>
    </row>
    <row r="8992" spans="1:10" x14ac:dyDescent="0.35">
      <c r="A8992" s="2">
        <v>44801</v>
      </c>
      <c r="B8992" s="3">
        <v>0.95754629629629628</v>
      </c>
      <c r="C8992">
        <v>7932</v>
      </c>
      <c r="D8992" t="str">
        <f>VLOOKUP(H8992,Produkt!$A$2:$B$5,2,FALSE)</f>
        <v>C</v>
      </c>
      <c r="H8992">
        <v>3</v>
      </c>
      <c r="I8992">
        <v>0.49674768518518514</v>
      </c>
      <c r="J8992">
        <v>44797</v>
      </c>
    </row>
    <row r="8993" spans="1:10" x14ac:dyDescent="0.35">
      <c r="A8993" s="2">
        <v>44801</v>
      </c>
      <c r="B8993" s="3">
        <v>3.993055555555558E-2</v>
      </c>
      <c r="C8993">
        <v>7969</v>
      </c>
      <c r="D8993" t="str">
        <f>VLOOKUP(H8993,Produkt!$A$2:$B$5,2,FALSE)</f>
        <v>A</v>
      </c>
      <c r="H8993">
        <v>1</v>
      </c>
      <c r="I8993">
        <v>0.91202546296296294</v>
      </c>
      <c r="J8993">
        <v>44799</v>
      </c>
    </row>
    <row r="8994" spans="1:10" x14ac:dyDescent="0.35">
      <c r="A8994" s="2">
        <v>44801</v>
      </c>
      <c r="B8994" s="3">
        <v>0.3369907407407407</v>
      </c>
      <c r="C8994">
        <v>8076</v>
      </c>
      <c r="D8994" t="str">
        <f>VLOOKUP(H8994,Produkt!$A$2:$B$5,2,FALSE)</f>
        <v>A</v>
      </c>
      <c r="H8994">
        <v>1</v>
      </c>
      <c r="I8994">
        <v>0.88222222222222213</v>
      </c>
      <c r="J8994">
        <v>44774</v>
      </c>
    </row>
    <row r="8995" spans="1:10" x14ac:dyDescent="0.35">
      <c r="A8995" s="2">
        <v>44801</v>
      </c>
      <c r="B8995" s="3">
        <v>0.70023148148148151</v>
      </c>
      <c r="C8995">
        <v>8094</v>
      </c>
      <c r="D8995" t="str">
        <f>VLOOKUP(H8995,Produkt!$A$2:$B$5,2,FALSE)</f>
        <v>B</v>
      </c>
      <c r="H8995">
        <v>2</v>
      </c>
      <c r="I8995">
        <v>0.21616898148148148</v>
      </c>
      <c r="J8995">
        <v>44786</v>
      </c>
    </row>
    <row r="8996" spans="1:10" x14ac:dyDescent="0.35">
      <c r="A8996" s="2">
        <v>44801</v>
      </c>
      <c r="B8996" s="3">
        <v>0.25893518518518516</v>
      </c>
      <c r="C8996">
        <v>8099</v>
      </c>
      <c r="D8996" t="str">
        <f>VLOOKUP(H8996,Produkt!$A$2:$B$5,2,FALSE)</f>
        <v>A</v>
      </c>
      <c r="H8996">
        <v>1</v>
      </c>
      <c r="I8996">
        <v>0.33487268518518515</v>
      </c>
      <c r="J8996">
        <v>44776</v>
      </c>
    </row>
    <row r="8997" spans="1:10" x14ac:dyDescent="0.35">
      <c r="A8997" s="2">
        <v>44801</v>
      </c>
      <c r="B8997" s="3">
        <v>0.72278935185185178</v>
      </c>
      <c r="C8997">
        <v>8131</v>
      </c>
      <c r="D8997" t="str">
        <f>VLOOKUP(H8997,Produkt!$A$2:$B$5,2,FALSE)</f>
        <v>A</v>
      </c>
      <c r="H8997">
        <v>1</v>
      </c>
      <c r="I8997">
        <v>0.52835648148148151</v>
      </c>
      <c r="J8997">
        <v>44779</v>
      </c>
    </row>
    <row r="8998" spans="1:10" x14ac:dyDescent="0.35">
      <c r="A8998" s="2">
        <v>44801</v>
      </c>
      <c r="B8998" s="3">
        <v>0.50752314814814814</v>
      </c>
      <c r="C8998">
        <v>8152</v>
      </c>
      <c r="D8998" t="str">
        <f>VLOOKUP(H8998,Produkt!$A$2:$B$5,2,FALSE)</f>
        <v>D</v>
      </c>
      <c r="H8998">
        <v>4</v>
      </c>
      <c r="I8998">
        <v>0.81417824074074074</v>
      </c>
      <c r="J8998">
        <v>44779</v>
      </c>
    </row>
    <row r="8999" spans="1:10" x14ac:dyDescent="0.35">
      <c r="A8999" s="2">
        <v>44801</v>
      </c>
      <c r="B8999" s="3">
        <v>0.4589699074074074</v>
      </c>
      <c r="C8999">
        <v>8182</v>
      </c>
      <c r="D8999" t="str">
        <f>VLOOKUP(H8999,Produkt!$A$2:$B$5,2,FALSE)</f>
        <v>A</v>
      </c>
      <c r="H8999">
        <v>1</v>
      </c>
      <c r="I8999">
        <v>0.29688657407407409</v>
      </c>
      <c r="J8999">
        <v>44800</v>
      </c>
    </row>
    <row r="9000" spans="1:10" x14ac:dyDescent="0.35">
      <c r="A9000" s="2">
        <v>44801</v>
      </c>
      <c r="B9000" s="3">
        <v>0.88593749999999993</v>
      </c>
      <c r="C9000">
        <v>8192</v>
      </c>
      <c r="D9000" t="str">
        <f>VLOOKUP(H9000,Produkt!$A$2:$B$5,2,FALSE)</f>
        <v>A</v>
      </c>
      <c r="H9000">
        <v>1</v>
      </c>
      <c r="I9000">
        <v>0.61750000000000005</v>
      </c>
      <c r="J9000">
        <v>44790</v>
      </c>
    </row>
    <row r="9001" spans="1:10" x14ac:dyDescent="0.35">
      <c r="A9001" s="2">
        <v>44801</v>
      </c>
      <c r="B9001" s="3">
        <v>8.0324074074074062E-2</v>
      </c>
      <c r="C9001">
        <v>8230</v>
      </c>
      <c r="D9001" t="str">
        <f>VLOOKUP(H9001,Produkt!$A$2:$B$5,2,FALSE)</f>
        <v>C</v>
      </c>
      <c r="H9001">
        <v>3</v>
      </c>
      <c r="I9001">
        <v>7.9282407407407399E-2</v>
      </c>
      <c r="J9001">
        <v>44783</v>
      </c>
    </row>
    <row r="9002" spans="1:10" x14ac:dyDescent="0.35">
      <c r="A9002" s="2">
        <v>44801</v>
      </c>
      <c r="B9002" s="3">
        <v>0.38646990740740739</v>
      </c>
      <c r="C9002">
        <v>8234</v>
      </c>
      <c r="D9002" t="str">
        <f>VLOOKUP(H9002,Produkt!$A$2:$B$5,2,FALSE)</f>
        <v>A</v>
      </c>
      <c r="H9002">
        <v>1</v>
      </c>
      <c r="I9002">
        <v>0.91813657407407412</v>
      </c>
      <c r="J9002">
        <v>44793</v>
      </c>
    </row>
    <row r="9003" spans="1:10" x14ac:dyDescent="0.35">
      <c r="A9003" s="2">
        <v>44801</v>
      </c>
      <c r="B9003" s="3">
        <v>0.84141203703703704</v>
      </c>
      <c r="C9003">
        <v>8271</v>
      </c>
      <c r="D9003" t="str">
        <f>VLOOKUP(H9003,Produkt!$A$2:$B$5,2,FALSE)</f>
        <v>B</v>
      </c>
      <c r="H9003">
        <v>2</v>
      </c>
      <c r="I9003">
        <v>3.6481481481481337E-2</v>
      </c>
      <c r="J9003">
        <v>44778</v>
      </c>
    </row>
    <row r="9004" spans="1:10" x14ac:dyDescent="0.35">
      <c r="A9004" s="2">
        <v>44801</v>
      </c>
      <c r="B9004" s="3">
        <v>0.3275925925925926</v>
      </c>
      <c r="C9004">
        <v>8317</v>
      </c>
      <c r="D9004" t="str">
        <f>VLOOKUP(H9004,Produkt!$A$2:$B$5,2,FALSE)</f>
        <v>B</v>
      </c>
      <c r="H9004">
        <v>2</v>
      </c>
      <c r="I9004">
        <v>0.34180555555555553</v>
      </c>
      <c r="J9004">
        <v>44795</v>
      </c>
    </row>
    <row r="9005" spans="1:10" x14ac:dyDescent="0.35">
      <c r="A9005" s="2">
        <v>44801</v>
      </c>
      <c r="B9005" s="3">
        <v>8.9224537037037033E-2</v>
      </c>
      <c r="C9005">
        <v>8340</v>
      </c>
      <c r="D9005" t="str">
        <f>VLOOKUP(H9005,Produkt!$A$2:$B$5,2,FALSE)</f>
        <v>B</v>
      </c>
      <c r="H9005">
        <v>2</v>
      </c>
      <c r="I9005">
        <v>0.98351851851851846</v>
      </c>
      <c r="J9005">
        <v>44779</v>
      </c>
    </row>
    <row r="9006" spans="1:10" x14ac:dyDescent="0.35">
      <c r="A9006" s="2">
        <v>44801</v>
      </c>
      <c r="B9006" s="3">
        <v>0.98509259259259263</v>
      </c>
      <c r="C9006">
        <v>8363</v>
      </c>
      <c r="D9006" t="str">
        <f>VLOOKUP(H9006,Produkt!$A$2:$B$5,2,FALSE)</f>
        <v>C</v>
      </c>
      <c r="H9006">
        <v>3</v>
      </c>
      <c r="I9006">
        <v>0.75871527777777781</v>
      </c>
      <c r="J9006">
        <v>44783</v>
      </c>
    </row>
    <row r="9007" spans="1:10" x14ac:dyDescent="0.35">
      <c r="A9007" s="2">
        <v>44801</v>
      </c>
      <c r="B9007" s="3">
        <v>0.16275462962962964</v>
      </c>
      <c r="C9007">
        <v>8366</v>
      </c>
      <c r="D9007" t="str">
        <f>VLOOKUP(H9007,Produkt!$A$2:$B$5,2,FALSE)</f>
        <v>D</v>
      </c>
      <c r="H9007">
        <v>4</v>
      </c>
      <c r="I9007">
        <v>0.8523842592592592</v>
      </c>
      <c r="J9007">
        <v>44774</v>
      </c>
    </row>
    <row r="9008" spans="1:10" x14ac:dyDescent="0.35">
      <c r="A9008" s="2">
        <v>44801</v>
      </c>
      <c r="B9008" s="3">
        <v>0.64699074074074081</v>
      </c>
      <c r="C9008">
        <v>8373</v>
      </c>
      <c r="D9008" t="str">
        <f>VLOOKUP(H9008,Produkt!$A$2:$B$5,2,FALSE)</f>
        <v>D</v>
      </c>
      <c r="H9008">
        <v>4</v>
      </c>
      <c r="I9008">
        <v>8.9699074074074403E-3</v>
      </c>
      <c r="J9008">
        <v>44783</v>
      </c>
    </row>
    <row r="9009" spans="1:10" x14ac:dyDescent="0.35">
      <c r="A9009" s="2">
        <v>44801</v>
      </c>
      <c r="B9009" s="3">
        <v>0.60040509259259256</v>
      </c>
      <c r="C9009">
        <v>8538</v>
      </c>
      <c r="D9009" t="str">
        <f>VLOOKUP(H9009,Produkt!$A$2:$B$5,2,FALSE)</f>
        <v>D</v>
      </c>
      <c r="H9009">
        <v>4</v>
      </c>
      <c r="I9009">
        <v>0.90642361111111114</v>
      </c>
      <c r="J9009">
        <v>44774</v>
      </c>
    </row>
    <row r="9010" spans="1:10" x14ac:dyDescent="0.35">
      <c r="A9010" s="2">
        <v>44801</v>
      </c>
      <c r="B9010" s="3">
        <v>0.92283564814814811</v>
      </c>
      <c r="C9010">
        <v>8585</v>
      </c>
      <c r="D9010" t="str">
        <f>VLOOKUP(H9010,Produkt!$A$2:$B$5,2,FALSE)</f>
        <v>A</v>
      </c>
      <c r="H9010">
        <v>1</v>
      </c>
      <c r="I9010">
        <v>4.4363425925925924E-2</v>
      </c>
      <c r="J9010">
        <v>44797</v>
      </c>
    </row>
    <row r="9011" spans="1:10" x14ac:dyDescent="0.35">
      <c r="A9011" s="2">
        <v>44801</v>
      </c>
      <c r="B9011" s="3">
        <v>0.26488425925925924</v>
      </c>
      <c r="C9011">
        <v>8615</v>
      </c>
      <c r="D9011" t="str">
        <f>VLOOKUP(H9011,Produkt!$A$2:$B$5,2,FALSE)</f>
        <v>C</v>
      </c>
      <c r="H9011">
        <v>3</v>
      </c>
      <c r="I9011">
        <v>0.60699074074074078</v>
      </c>
      <c r="J9011">
        <v>44781</v>
      </c>
    </row>
    <row r="9012" spans="1:10" x14ac:dyDescent="0.35">
      <c r="A9012" s="2">
        <v>44801</v>
      </c>
      <c r="B9012" s="3">
        <v>0.18814814814814815</v>
      </c>
      <c r="C9012">
        <v>8623</v>
      </c>
      <c r="D9012" t="str">
        <f>VLOOKUP(H9012,Produkt!$A$2:$B$5,2,FALSE)</f>
        <v>C</v>
      </c>
      <c r="H9012">
        <v>3</v>
      </c>
      <c r="I9012">
        <v>0.15518518518518518</v>
      </c>
      <c r="J9012">
        <v>44801</v>
      </c>
    </row>
    <row r="9013" spans="1:10" x14ac:dyDescent="0.35">
      <c r="A9013" s="2">
        <v>44801</v>
      </c>
      <c r="B9013" s="3">
        <v>0.48248842592592589</v>
      </c>
      <c r="C9013">
        <v>8626</v>
      </c>
      <c r="D9013" t="str">
        <f>VLOOKUP(H9013,Produkt!$A$2:$B$5,2,FALSE)</f>
        <v>C</v>
      </c>
      <c r="H9013">
        <v>3</v>
      </c>
      <c r="I9013">
        <v>0.84548611111111116</v>
      </c>
      <c r="J9013">
        <v>44775</v>
      </c>
    </row>
    <row r="9014" spans="1:10" x14ac:dyDescent="0.35">
      <c r="A9014" s="2">
        <v>44801</v>
      </c>
      <c r="B9014" s="3">
        <v>0.23226851851851851</v>
      </c>
      <c r="C9014">
        <v>8645</v>
      </c>
      <c r="D9014" t="str">
        <f>VLOOKUP(H9014,Produkt!$A$2:$B$5,2,FALSE)</f>
        <v>D</v>
      </c>
      <c r="H9014">
        <v>4</v>
      </c>
      <c r="I9014">
        <v>0.28491898148148148</v>
      </c>
      <c r="J9014">
        <v>44792</v>
      </c>
    </row>
    <row r="9015" spans="1:10" x14ac:dyDescent="0.35">
      <c r="A9015" s="2">
        <v>44801</v>
      </c>
      <c r="B9015" s="3">
        <v>0.56395833333333334</v>
      </c>
      <c r="C9015">
        <v>8672</v>
      </c>
      <c r="D9015" t="str">
        <f>VLOOKUP(H9015,Produkt!$A$2:$B$5,2,FALSE)</f>
        <v>B</v>
      </c>
      <c r="H9015">
        <v>2</v>
      </c>
      <c r="I9015">
        <v>0.73251157407407408</v>
      </c>
      <c r="J9015">
        <v>44795</v>
      </c>
    </row>
    <row r="9016" spans="1:10" x14ac:dyDescent="0.35">
      <c r="A9016" s="2">
        <v>44801</v>
      </c>
      <c r="B9016" s="3">
        <v>0.65422453703703709</v>
      </c>
      <c r="C9016">
        <v>8694</v>
      </c>
      <c r="D9016" t="str">
        <f>VLOOKUP(H9016,Produkt!$A$2:$B$5,2,FALSE)</f>
        <v>A</v>
      </c>
      <c r="H9016">
        <v>1</v>
      </c>
      <c r="I9016">
        <v>0.39047453703703705</v>
      </c>
      <c r="J9016">
        <v>44786</v>
      </c>
    </row>
    <row r="9017" spans="1:10" x14ac:dyDescent="0.35">
      <c r="A9017" s="2">
        <v>44801</v>
      </c>
      <c r="B9017" s="3">
        <v>0.77758101851851846</v>
      </c>
      <c r="C9017">
        <v>8723</v>
      </c>
      <c r="D9017" t="str">
        <f>VLOOKUP(H9017,Produkt!$A$2:$B$5,2,FALSE)</f>
        <v>A</v>
      </c>
      <c r="H9017">
        <v>1</v>
      </c>
      <c r="I9017">
        <v>0.34945601851851849</v>
      </c>
      <c r="J9017">
        <v>44780</v>
      </c>
    </row>
    <row r="9018" spans="1:10" x14ac:dyDescent="0.35">
      <c r="A9018" s="2">
        <v>44801</v>
      </c>
      <c r="B9018" s="3">
        <v>8.2754629629629619E-3</v>
      </c>
      <c r="C9018">
        <v>8730</v>
      </c>
      <c r="D9018" t="str">
        <f>VLOOKUP(H9018,Produkt!$A$2:$B$5,2,FALSE)</f>
        <v>B</v>
      </c>
      <c r="H9018">
        <v>2</v>
      </c>
      <c r="I9018">
        <v>0.70590277777777777</v>
      </c>
      <c r="J9018">
        <v>44787</v>
      </c>
    </row>
    <row r="9019" spans="1:10" x14ac:dyDescent="0.35">
      <c r="A9019" s="2">
        <v>44801</v>
      </c>
      <c r="B9019" s="3">
        <v>0.12472222222222222</v>
      </c>
      <c r="C9019">
        <v>8789</v>
      </c>
      <c r="D9019" t="str">
        <f>VLOOKUP(H9019,Produkt!$A$2:$B$5,2,FALSE)</f>
        <v>B</v>
      </c>
      <c r="H9019">
        <v>2</v>
      </c>
      <c r="I9019">
        <v>0.97532407407407407</v>
      </c>
      <c r="J9019">
        <v>44780</v>
      </c>
    </row>
    <row r="9020" spans="1:10" x14ac:dyDescent="0.35">
      <c r="A9020" s="2">
        <v>44801</v>
      </c>
      <c r="B9020" s="3">
        <v>0.81694444444444436</v>
      </c>
      <c r="C9020">
        <v>8792</v>
      </c>
      <c r="D9020" t="str">
        <f>VLOOKUP(H9020,Produkt!$A$2:$B$5,2,FALSE)</f>
        <v>A</v>
      </c>
      <c r="H9020">
        <v>1</v>
      </c>
      <c r="I9020">
        <v>0.12818287037037038</v>
      </c>
      <c r="J9020">
        <v>44800</v>
      </c>
    </row>
    <row r="9021" spans="1:10" x14ac:dyDescent="0.35">
      <c r="A9021" s="2">
        <v>44801</v>
      </c>
      <c r="B9021" s="3">
        <v>0.9299884259259259</v>
      </c>
      <c r="C9021">
        <v>8835</v>
      </c>
      <c r="D9021" t="str">
        <f>VLOOKUP(H9021,Produkt!$A$2:$B$5,2,FALSE)</f>
        <v>A</v>
      </c>
      <c r="H9021">
        <v>1</v>
      </c>
      <c r="I9021">
        <v>0.92174768518518524</v>
      </c>
      <c r="J9021">
        <v>44794</v>
      </c>
    </row>
    <row r="9022" spans="1:10" x14ac:dyDescent="0.35">
      <c r="A9022" s="2">
        <v>44801</v>
      </c>
      <c r="B9022" s="3">
        <v>0.64403935185185179</v>
      </c>
      <c r="C9022">
        <v>8909</v>
      </c>
      <c r="D9022" t="str">
        <f>VLOOKUP(H9022,Produkt!$A$2:$B$5,2,FALSE)</f>
        <v>B</v>
      </c>
      <c r="H9022">
        <v>2</v>
      </c>
      <c r="I9022">
        <v>0.83228009259259261</v>
      </c>
      <c r="J9022">
        <v>44803</v>
      </c>
    </row>
    <row r="9023" spans="1:10" x14ac:dyDescent="0.35">
      <c r="A9023" s="2">
        <v>44801</v>
      </c>
      <c r="B9023" s="3">
        <v>0.81539351851851849</v>
      </c>
      <c r="C9023">
        <v>8911</v>
      </c>
      <c r="D9023" t="str">
        <f>VLOOKUP(H9023,Produkt!$A$2:$B$5,2,FALSE)</f>
        <v>A</v>
      </c>
      <c r="H9023">
        <v>1</v>
      </c>
      <c r="I9023">
        <v>8.2916666666666666E-2</v>
      </c>
      <c r="J9023">
        <v>44784</v>
      </c>
    </row>
    <row r="9024" spans="1:10" x14ac:dyDescent="0.35">
      <c r="A9024" s="2">
        <v>44801</v>
      </c>
      <c r="B9024" s="3">
        <v>0.91432870370370367</v>
      </c>
      <c r="C9024">
        <v>8914</v>
      </c>
      <c r="D9024" t="str">
        <f>VLOOKUP(H9024,Produkt!$A$2:$B$5,2,FALSE)</f>
        <v>A</v>
      </c>
      <c r="H9024">
        <v>1</v>
      </c>
      <c r="I9024">
        <v>0.70689814814814811</v>
      </c>
      <c r="J9024">
        <v>44786</v>
      </c>
    </row>
    <row r="9025" spans="1:10" x14ac:dyDescent="0.35">
      <c r="A9025" s="2">
        <v>44801</v>
      </c>
      <c r="B9025" s="3">
        <v>0.19898148148148151</v>
      </c>
      <c r="C9025">
        <v>8951</v>
      </c>
      <c r="D9025" t="str">
        <f>VLOOKUP(H9025,Produkt!$A$2:$B$5,2,FALSE)</f>
        <v>A</v>
      </c>
      <c r="H9025">
        <v>1</v>
      </c>
      <c r="I9025">
        <v>0.53065972222222224</v>
      </c>
      <c r="J9025">
        <v>44790</v>
      </c>
    </row>
    <row r="9026" spans="1:10" x14ac:dyDescent="0.35">
      <c r="A9026" s="2">
        <v>44801</v>
      </c>
      <c r="B9026" s="3">
        <v>0.80302083333333341</v>
      </c>
      <c r="C9026">
        <v>8953</v>
      </c>
      <c r="D9026" t="str">
        <f>VLOOKUP(H9026,Produkt!$A$2:$B$5,2,FALSE)</f>
        <v>D</v>
      </c>
      <c r="H9026">
        <v>4</v>
      </c>
      <c r="I9026">
        <v>5.2511574074074079E-2</v>
      </c>
      <c r="J9026">
        <v>44796</v>
      </c>
    </row>
    <row r="9027" spans="1:10" x14ac:dyDescent="0.35">
      <c r="A9027" s="2">
        <v>44801</v>
      </c>
      <c r="B9027" s="3">
        <v>9.4236111111111118E-2</v>
      </c>
      <c r="C9027">
        <v>8970</v>
      </c>
      <c r="D9027" t="str">
        <f>VLOOKUP(H9027,Produkt!$A$2:$B$5,2,FALSE)</f>
        <v>C</v>
      </c>
      <c r="H9027">
        <v>3</v>
      </c>
      <c r="I9027">
        <v>2.5011574074074075E-2</v>
      </c>
      <c r="J9027">
        <v>44803</v>
      </c>
    </row>
    <row r="9028" spans="1:10" x14ac:dyDescent="0.35">
      <c r="A9028" s="2">
        <v>44801</v>
      </c>
      <c r="B9028" s="3">
        <v>0.49674768518518514</v>
      </c>
      <c r="C9028">
        <v>8991</v>
      </c>
      <c r="D9028" t="str">
        <f>VLOOKUP(H9028,Produkt!$A$2:$B$5,2,FALSE)</f>
        <v>A</v>
      </c>
      <c r="H9028">
        <v>1</v>
      </c>
      <c r="I9028">
        <v>0.83659722222222221</v>
      </c>
      <c r="J9028">
        <v>44803</v>
      </c>
    </row>
    <row r="9029" spans="1:10" x14ac:dyDescent="0.35">
      <c r="A9029" s="2">
        <v>44801</v>
      </c>
      <c r="B9029" s="3">
        <v>8.9699074074074403E-3</v>
      </c>
      <c r="C9029">
        <v>9007</v>
      </c>
      <c r="D9029" t="str">
        <f>VLOOKUP(H9029,Produkt!$A$2:$B$5,2,FALSE)</f>
        <v>C</v>
      </c>
      <c r="H9029">
        <v>3</v>
      </c>
      <c r="I9029">
        <v>3.8946759259259257E-2</v>
      </c>
      <c r="J9029">
        <v>44783</v>
      </c>
    </row>
    <row r="9030" spans="1:10" x14ac:dyDescent="0.35">
      <c r="A9030" s="2">
        <v>44801</v>
      </c>
      <c r="B9030" s="3">
        <v>0.70689814814814811</v>
      </c>
      <c r="C9030">
        <v>9023</v>
      </c>
      <c r="D9030" t="str">
        <f>VLOOKUP(H9030,Produkt!$A$2:$B$5,2,FALSE)</f>
        <v>A</v>
      </c>
      <c r="H9030">
        <v>1</v>
      </c>
      <c r="I9030">
        <v>0.46743055555555557</v>
      </c>
      <c r="J9030">
        <v>44781</v>
      </c>
    </row>
    <row r="9031" spans="1:10" x14ac:dyDescent="0.35">
      <c r="A9031" s="2">
        <v>44801</v>
      </c>
      <c r="B9031" s="3">
        <v>0.76629629629629636</v>
      </c>
      <c r="C9031">
        <v>9049</v>
      </c>
      <c r="D9031" t="str">
        <f>VLOOKUP(H9031,Produkt!$A$2:$B$5,2,FALSE)</f>
        <v>D</v>
      </c>
      <c r="H9031">
        <v>4</v>
      </c>
      <c r="I9031">
        <v>0.24679398148148146</v>
      </c>
      <c r="J9031">
        <v>44784</v>
      </c>
    </row>
    <row r="9032" spans="1:10" x14ac:dyDescent="0.35">
      <c r="A9032" s="2">
        <v>44801</v>
      </c>
      <c r="B9032" s="3">
        <v>0.68177083333333333</v>
      </c>
      <c r="C9032">
        <v>9063</v>
      </c>
      <c r="D9032" t="str">
        <f>VLOOKUP(H9032,Produkt!$A$2:$B$5,2,FALSE)</f>
        <v>C</v>
      </c>
      <c r="H9032">
        <v>3</v>
      </c>
      <c r="I9032">
        <v>0.33353009259259259</v>
      </c>
      <c r="J9032">
        <v>44774</v>
      </c>
    </row>
    <row r="9033" spans="1:10" x14ac:dyDescent="0.35">
      <c r="A9033" s="2">
        <v>44801</v>
      </c>
      <c r="B9033" s="3">
        <v>0.46743055555555557</v>
      </c>
      <c r="C9033">
        <v>9097</v>
      </c>
      <c r="D9033" t="str">
        <f>VLOOKUP(H9033,Produkt!$A$2:$B$5,2,FALSE)</f>
        <v>D</v>
      </c>
      <c r="H9033">
        <v>4</v>
      </c>
      <c r="I9033">
        <v>0.35789351851851853</v>
      </c>
      <c r="J9033">
        <v>44781</v>
      </c>
    </row>
    <row r="9034" spans="1:10" x14ac:dyDescent="0.35">
      <c r="A9034" s="2">
        <v>44801</v>
      </c>
      <c r="B9034" s="3">
        <v>0.88393518518518521</v>
      </c>
      <c r="C9034">
        <v>9114</v>
      </c>
      <c r="D9034" t="str">
        <f>VLOOKUP(H9034,Produkt!$A$2:$B$5,2,FALSE)</f>
        <v>C</v>
      </c>
      <c r="H9034">
        <v>3</v>
      </c>
      <c r="I9034">
        <v>0.8992013888888889</v>
      </c>
      <c r="J9034">
        <v>44797</v>
      </c>
    </row>
    <row r="9035" spans="1:10" x14ac:dyDescent="0.35">
      <c r="A9035" s="2">
        <v>44801</v>
      </c>
      <c r="B9035" s="3">
        <v>0.43251157407407409</v>
      </c>
      <c r="C9035">
        <v>9181</v>
      </c>
      <c r="D9035" t="str">
        <f>VLOOKUP(H9035,Produkt!$A$2:$B$5,2,FALSE)</f>
        <v>C</v>
      </c>
      <c r="H9035">
        <v>3</v>
      </c>
      <c r="I9035">
        <v>0.1391087962962963</v>
      </c>
      <c r="J9035">
        <v>44804</v>
      </c>
    </row>
    <row r="9036" spans="1:10" x14ac:dyDescent="0.35">
      <c r="A9036" s="2">
        <v>44801</v>
      </c>
      <c r="B9036" s="3">
        <v>5.4201388888888889E-2</v>
      </c>
      <c r="C9036">
        <v>9207</v>
      </c>
      <c r="D9036" t="str">
        <f>VLOOKUP(H9036,Produkt!$A$2:$B$5,2,FALSE)</f>
        <v>D</v>
      </c>
      <c r="H9036">
        <v>4</v>
      </c>
      <c r="I9036">
        <v>0.98165509259259265</v>
      </c>
      <c r="J9036">
        <v>44786</v>
      </c>
    </row>
    <row r="9037" spans="1:10" x14ac:dyDescent="0.35">
      <c r="A9037" s="2">
        <v>44801</v>
      </c>
      <c r="B9037" s="3">
        <v>0.88079861111111113</v>
      </c>
      <c r="C9037">
        <v>9240</v>
      </c>
      <c r="D9037" t="str">
        <f>VLOOKUP(H9037,Produkt!$A$2:$B$5,2,FALSE)</f>
        <v>B</v>
      </c>
      <c r="H9037">
        <v>2</v>
      </c>
      <c r="I9037">
        <v>0.4939236111111111</v>
      </c>
      <c r="J9037">
        <v>44775</v>
      </c>
    </row>
    <row r="9038" spans="1:10" x14ac:dyDescent="0.35">
      <c r="A9038" s="2">
        <v>44801</v>
      </c>
      <c r="B9038" s="3">
        <v>0.95731481481481484</v>
      </c>
      <c r="C9038">
        <v>9268</v>
      </c>
      <c r="D9038" t="str">
        <f>VLOOKUP(H9038,Produkt!$A$2:$B$5,2,FALSE)</f>
        <v>A</v>
      </c>
      <c r="H9038">
        <v>1</v>
      </c>
      <c r="I9038">
        <v>0.40672453703703698</v>
      </c>
      <c r="J9038">
        <v>44784</v>
      </c>
    </row>
    <row r="9039" spans="1:10" x14ac:dyDescent="0.35">
      <c r="A9039" s="2">
        <v>44801</v>
      </c>
      <c r="B9039" s="3">
        <v>0.9813425925925926</v>
      </c>
      <c r="C9039">
        <v>9289</v>
      </c>
      <c r="D9039" t="str">
        <f>VLOOKUP(H9039,Produkt!$A$2:$B$5,2,FALSE)</f>
        <v>C</v>
      </c>
      <c r="H9039">
        <v>3</v>
      </c>
      <c r="I9039">
        <v>0.82854166666666673</v>
      </c>
      <c r="J9039">
        <v>44799</v>
      </c>
    </row>
    <row r="9040" spans="1:10" x14ac:dyDescent="0.35">
      <c r="A9040" s="2">
        <v>44801</v>
      </c>
      <c r="B9040" s="3">
        <v>0.48625000000000002</v>
      </c>
      <c r="C9040">
        <v>9294</v>
      </c>
      <c r="D9040" t="str">
        <f>VLOOKUP(H9040,Produkt!$A$2:$B$5,2,FALSE)</f>
        <v>D</v>
      </c>
      <c r="H9040">
        <v>4</v>
      </c>
      <c r="I9040">
        <v>0.81034722222222222</v>
      </c>
      <c r="J9040">
        <v>44790</v>
      </c>
    </row>
    <row r="9041" spans="1:10" x14ac:dyDescent="0.35">
      <c r="A9041" s="2">
        <v>44801</v>
      </c>
      <c r="B9041" s="3">
        <v>0.45711805555555557</v>
      </c>
      <c r="C9041">
        <v>9320</v>
      </c>
      <c r="D9041" t="str">
        <f>VLOOKUP(H9041,Produkt!$A$2:$B$5,2,FALSE)</f>
        <v>C</v>
      </c>
      <c r="H9041">
        <v>3</v>
      </c>
      <c r="I9041">
        <v>0.3447453703703704</v>
      </c>
      <c r="J9041">
        <v>44785</v>
      </c>
    </row>
    <row r="9042" spans="1:10" x14ac:dyDescent="0.35">
      <c r="A9042" s="2">
        <v>44801</v>
      </c>
      <c r="B9042" s="3">
        <v>0.97302083333333333</v>
      </c>
      <c r="C9042">
        <v>9355</v>
      </c>
      <c r="D9042" t="str">
        <f>VLOOKUP(H9042,Produkt!$A$2:$B$5,2,FALSE)</f>
        <v>C</v>
      </c>
      <c r="H9042">
        <v>3</v>
      </c>
      <c r="I9042">
        <v>0.24975694444444443</v>
      </c>
      <c r="J9042">
        <v>44793</v>
      </c>
    </row>
    <row r="9043" spans="1:10" x14ac:dyDescent="0.35">
      <c r="A9043" s="2">
        <v>44801</v>
      </c>
      <c r="B9043" s="3">
        <v>0.45009259259259254</v>
      </c>
      <c r="C9043">
        <v>9390</v>
      </c>
      <c r="D9043" t="str">
        <f>VLOOKUP(H9043,Produkt!$A$2:$B$5,2,FALSE)</f>
        <v>A</v>
      </c>
      <c r="H9043">
        <v>1</v>
      </c>
      <c r="I9043">
        <v>0.78025462962962966</v>
      </c>
      <c r="J9043">
        <v>44804</v>
      </c>
    </row>
    <row r="9044" spans="1:10" x14ac:dyDescent="0.35">
      <c r="A9044" s="2">
        <v>44801</v>
      </c>
      <c r="B9044" s="3">
        <v>0.6602083333333334</v>
      </c>
      <c r="C9044">
        <v>9418</v>
      </c>
      <c r="D9044" t="str">
        <f>VLOOKUP(H9044,Produkt!$A$2:$B$5,2,FALSE)</f>
        <v>B</v>
      </c>
      <c r="H9044">
        <v>2</v>
      </c>
      <c r="I9044">
        <v>0.38321759259259264</v>
      </c>
      <c r="J9044">
        <v>44783</v>
      </c>
    </row>
    <row r="9045" spans="1:10" x14ac:dyDescent="0.35">
      <c r="A9045" s="2">
        <v>44801</v>
      </c>
      <c r="B9045" s="3">
        <v>0.99799768518518517</v>
      </c>
      <c r="C9045">
        <v>9448</v>
      </c>
      <c r="D9045" t="str">
        <f>VLOOKUP(H9045,Produkt!$A$2:$B$5,2,FALSE)</f>
        <v>D</v>
      </c>
      <c r="H9045">
        <v>4</v>
      </c>
      <c r="I9045">
        <v>0.46655092592592595</v>
      </c>
      <c r="J9045">
        <v>44795</v>
      </c>
    </row>
    <row r="9046" spans="1:10" x14ac:dyDescent="0.35">
      <c r="A9046" s="2">
        <v>44801</v>
      </c>
      <c r="B9046" s="3">
        <v>0.60035879629629629</v>
      </c>
      <c r="C9046">
        <v>9456</v>
      </c>
      <c r="D9046" t="str">
        <f>VLOOKUP(H9046,Produkt!$A$2:$B$5,2,FALSE)</f>
        <v>D</v>
      </c>
      <c r="H9046">
        <v>4</v>
      </c>
      <c r="I9046">
        <v>0.95888888888888879</v>
      </c>
      <c r="J9046">
        <v>44787</v>
      </c>
    </row>
    <row r="9047" spans="1:10" x14ac:dyDescent="0.35">
      <c r="A9047" s="2">
        <v>44801</v>
      </c>
      <c r="B9047" s="3">
        <v>0.13038194444444445</v>
      </c>
      <c r="C9047">
        <v>9532</v>
      </c>
      <c r="D9047" t="str">
        <f>VLOOKUP(H9047,Produkt!$A$2:$B$5,2,FALSE)</f>
        <v>B</v>
      </c>
      <c r="H9047">
        <v>2</v>
      </c>
      <c r="I9047">
        <v>0.43788194444444445</v>
      </c>
      <c r="J9047">
        <v>44801</v>
      </c>
    </row>
    <row r="9048" spans="1:10" x14ac:dyDescent="0.35">
      <c r="A9048" s="2">
        <v>44801</v>
      </c>
      <c r="B9048" s="3">
        <v>0.67863425925925924</v>
      </c>
      <c r="C9048">
        <v>9556</v>
      </c>
      <c r="D9048" t="str">
        <f>VLOOKUP(H9048,Produkt!$A$2:$B$5,2,FALSE)</f>
        <v>D</v>
      </c>
      <c r="H9048">
        <v>4</v>
      </c>
      <c r="I9048">
        <v>0.3972222222222222</v>
      </c>
      <c r="J9048">
        <v>44776</v>
      </c>
    </row>
    <row r="9049" spans="1:10" x14ac:dyDescent="0.35">
      <c r="A9049" s="2">
        <v>44801</v>
      </c>
      <c r="B9049" s="3">
        <v>0.60550925925925925</v>
      </c>
      <c r="C9049">
        <v>9630</v>
      </c>
      <c r="D9049" t="str">
        <f>VLOOKUP(H9049,Produkt!$A$2:$B$5,2,FALSE)</f>
        <v>B</v>
      </c>
      <c r="H9049">
        <v>2</v>
      </c>
      <c r="I9049">
        <v>0.67061342592592599</v>
      </c>
      <c r="J9049">
        <v>44780</v>
      </c>
    </row>
    <row r="9050" spans="1:10" x14ac:dyDescent="0.35">
      <c r="A9050" s="2">
        <v>44801</v>
      </c>
      <c r="B9050" s="3">
        <v>0.16457175925925926</v>
      </c>
      <c r="C9050">
        <v>9646</v>
      </c>
      <c r="D9050" t="str">
        <f>VLOOKUP(H9050,Produkt!$A$2:$B$5,2,FALSE)</f>
        <v>D</v>
      </c>
      <c r="H9050">
        <v>4</v>
      </c>
      <c r="I9050">
        <v>0.76629629629629636</v>
      </c>
      <c r="J9050">
        <v>44796</v>
      </c>
    </row>
    <row r="9051" spans="1:10" x14ac:dyDescent="0.35">
      <c r="A9051" s="2">
        <v>44801</v>
      </c>
      <c r="B9051" s="3">
        <v>0.6544444444444445</v>
      </c>
      <c r="C9051">
        <v>9653</v>
      </c>
      <c r="D9051" t="str">
        <f>VLOOKUP(H9051,Produkt!$A$2:$B$5,2,FALSE)</f>
        <v>B</v>
      </c>
      <c r="H9051">
        <v>2</v>
      </c>
      <c r="I9051">
        <v>0.47641203703703705</v>
      </c>
      <c r="J9051">
        <v>44789</v>
      </c>
    </row>
    <row r="9052" spans="1:10" x14ac:dyDescent="0.35">
      <c r="A9052" s="2">
        <v>44801</v>
      </c>
      <c r="B9052" s="3">
        <v>0.10037037037037037</v>
      </c>
      <c r="C9052">
        <v>9706</v>
      </c>
      <c r="D9052" t="str">
        <f>VLOOKUP(H9052,Produkt!$A$2:$B$5,2,FALSE)</f>
        <v>D</v>
      </c>
      <c r="H9052">
        <v>4</v>
      </c>
      <c r="I9052">
        <v>0.97723379629629636</v>
      </c>
      <c r="J9052">
        <v>44791</v>
      </c>
    </row>
    <row r="9053" spans="1:10" x14ac:dyDescent="0.35">
      <c r="A9053" s="2">
        <v>44801</v>
      </c>
      <c r="B9053" s="3">
        <v>0.82902777777777781</v>
      </c>
      <c r="C9053">
        <v>9756</v>
      </c>
      <c r="D9053" t="str">
        <f>VLOOKUP(H9053,Produkt!$A$2:$B$5,2,FALSE)</f>
        <v>C</v>
      </c>
      <c r="H9053">
        <v>3</v>
      </c>
      <c r="I9053">
        <v>0.44045138888888885</v>
      </c>
      <c r="J9053">
        <v>44788</v>
      </c>
    </row>
    <row r="9054" spans="1:10" x14ac:dyDescent="0.35">
      <c r="A9054" s="2">
        <v>44801</v>
      </c>
      <c r="B9054" s="3">
        <v>0.40843750000000001</v>
      </c>
      <c r="C9054">
        <v>9834</v>
      </c>
      <c r="D9054" t="str">
        <f>VLOOKUP(H9054,Produkt!$A$2:$B$5,2,FALSE)</f>
        <v>B</v>
      </c>
      <c r="H9054">
        <v>2</v>
      </c>
      <c r="I9054">
        <v>0.20605324074074075</v>
      </c>
      <c r="J9054">
        <v>44795</v>
      </c>
    </row>
    <row r="9055" spans="1:10" x14ac:dyDescent="0.35">
      <c r="A9055" s="2">
        <v>44801</v>
      </c>
      <c r="B9055" s="3">
        <v>0.90462962962962967</v>
      </c>
      <c r="C9055">
        <v>9862</v>
      </c>
      <c r="D9055" t="str">
        <f>VLOOKUP(H9055,Produkt!$A$2:$B$5,2,FALSE)</f>
        <v>C</v>
      </c>
      <c r="H9055">
        <v>3</v>
      </c>
      <c r="I9055">
        <v>5.4861111111110805E-3</v>
      </c>
      <c r="J9055">
        <v>44795</v>
      </c>
    </row>
    <row r="9056" spans="1:10" x14ac:dyDescent="0.35">
      <c r="A9056" s="2">
        <v>44801</v>
      </c>
      <c r="B9056" s="3">
        <v>0.97083333333333333</v>
      </c>
      <c r="C9056">
        <v>9874</v>
      </c>
      <c r="D9056" t="str">
        <f>VLOOKUP(H9056,Produkt!$A$2:$B$5,2,FALSE)</f>
        <v>C</v>
      </c>
      <c r="H9056">
        <v>3</v>
      </c>
      <c r="I9056">
        <v>0.47688657407407403</v>
      </c>
      <c r="J9056">
        <v>44802</v>
      </c>
    </row>
    <row r="9057" spans="1:10" x14ac:dyDescent="0.35">
      <c r="A9057" s="2">
        <v>44801</v>
      </c>
      <c r="B9057" s="3">
        <v>0.73370370370370364</v>
      </c>
      <c r="C9057">
        <v>9899</v>
      </c>
      <c r="D9057" t="str">
        <f>VLOOKUP(H9057,Produkt!$A$2:$B$5,2,FALSE)</f>
        <v>C</v>
      </c>
      <c r="H9057">
        <v>3</v>
      </c>
      <c r="I9057">
        <v>0.59712962962962968</v>
      </c>
      <c r="J9057">
        <v>44795</v>
      </c>
    </row>
    <row r="9058" spans="1:10" x14ac:dyDescent="0.35">
      <c r="A9058" s="2">
        <v>44801</v>
      </c>
      <c r="B9058" s="3">
        <v>0.32496527777777778</v>
      </c>
      <c r="C9058">
        <v>9901</v>
      </c>
      <c r="D9058" t="str">
        <f>VLOOKUP(H9058,Produkt!$A$2:$B$5,2,FALSE)</f>
        <v>A</v>
      </c>
      <c r="H9058">
        <v>1</v>
      </c>
      <c r="I9058">
        <v>0.50296296296296295</v>
      </c>
      <c r="J9058">
        <v>44779</v>
      </c>
    </row>
    <row r="9059" spans="1:10" x14ac:dyDescent="0.35">
      <c r="A9059" s="2">
        <v>44801</v>
      </c>
      <c r="B9059" s="3">
        <v>0.7680555555555556</v>
      </c>
      <c r="C9059">
        <v>9999</v>
      </c>
      <c r="D9059" t="str">
        <f>VLOOKUP(H9059,Produkt!$A$2:$B$5,2,FALSE)</f>
        <v>D</v>
      </c>
      <c r="H9059">
        <v>4</v>
      </c>
      <c r="I9059">
        <v>0.38498842592592591</v>
      </c>
      <c r="J9059">
        <v>44781</v>
      </c>
    </row>
    <row r="9060" spans="1:10" x14ac:dyDescent="0.35">
      <c r="A9060" s="2">
        <v>44802</v>
      </c>
      <c r="B9060" s="3">
        <v>0.35373842592592591</v>
      </c>
      <c r="C9060">
        <v>22</v>
      </c>
      <c r="D9060" t="str">
        <f>VLOOKUP(H9060,Produkt!$A$2:$B$5,2,FALSE)</f>
        <v>C</v>
      </c>
      <c r="H9060">
        <v>3</v>
      </c>
      <c r="I9060">
        <v>0.36693287037037042</v>
      </c>
      <c r="J9060">
        <v>44801</v>
      </c>
    </row>
    <row r="9061" spans="1:10" x14ac:dyDescent="0.35">
      <c r="A9061" s="2">
        <v>44802</v>
      </c>
      <c r="B9061" s="3">
        <v>0.93501157407407398</v>
      </c>
      <c r="C9061">
        <v>43</v>
      </c>
      <c r="D9061" t="str">
        <f>VLOOKUP(H9061,Produkt!$A$2:$B$5,2,FALSE)</f>
        <v>C</v>
      </c>
      <c r="H9061">
        <v>3</v>
      </c>
      <c r="I9061">
        <v>0.99506944444444445</v>
      </c>
      <c r="J9061">
        <v>44801</v>
      </c>
    </row>
    <row r="9062" spans="1:10" x14ac:dyDescent="0.35">
      <c r="A9062" s="2">
        <v>44802</v>
      </c>
      <c r="B9062" s="3">
        <v>0.84005787037037039</v>
      </c>
      <c r="C9062">
        <v>48</v>
      </c>
      <c r="D9062" t="str">
        <f>VLOOKUP(H9062,Produkt!$A$2:$B$5,2,FALSE)</f>
        <v>D</v>
      </c>
      <c r="H9062">
        <v>4</v>
      </c>
      <c r="I9062">
        <v>0.18780092592592593</v>
      </c>
      <c r="J9062">
        <v>44787</v>
      </c>
    </row>
    <row r="9063" spans="1:10" x14ac:dyDescent="0.35">
      <c r="A9063" s="2">
        <v>44802</v>
      </c>
      <c r="B9063" s="3">
        <v>7.6990740740740735E-2</v>
      </c>
      <c r="C9063">
        <v>93</v>
      </c>
      <c r="D9063" t="str">
        <f>VLOOKUP(H9063,Produkt!$A$2:$B$5,2,FALSE)</f>
        <v>B</v>
      </c>
      <c r="H9063">
        <v>2</v>
      </c>
      <c r="I9063">
        <v>0.2164814814814815</v>
      </c>
      <c r="J9063">
        <v>44774</v>
      </c>
    </row>
    <row r="9064" spans="1:10" x14ac:dyDescent="0.35">
      <c r="A9064" s="2">
        <v>44802</v>
      </c>
      <c r="B9064" s="3">
        <v>0.44475694444444441</v>
      </c>
      <c r="C9064">
        <v>118</v>
      </c>
      <c r="D9064" t="str">
        <f>VLOOKUP(H9064,Produkt!$A$2:$B$5,2,FALSE)</f>
        <v>D</v>
      </c>
      <c r="H9064">
        <v>4</v>
      </c>
      <c r="I9064">
        <v>0.68177083333333333</v>
      </c>
      <c r="J9064">
        <v>44795</v>
      </c>
    </row>
    <row r="9065" spans="1:10" x14ac:dyDescent="0.35">
      <c r="A9065" s="2">
        <v>44802</v>
      </c>
      <c r="B9065" s="3">
        <v>0.12539351851851852</v>
      </c>
      <c r="C9065">
        <v>129</v>
      </c>
      <c r="D9065" t="str">
        <f>VLOOKUP(H9065,Produkt!$A$2:$B$5,2,FALSE)</f>
        <v>A</v>
      </c>
      <c r="H9065">
        <v>1</v>
      </c>
      <c r="I9065">
        <v>0.54615740740740748</v>
      </c>
      <c r="J9065">
        <v>44796</v>
      </c>
    </row>
    <row r="9066" spans="1:10" x14ac:dyDescent="0.35">
      <c r="A9066" s="2">
        <v>44802</v>
      </c>
      <c r="B9066" s="3">
        <v>0.13606481481481481</v>
      </c>
      <c r="C9066">
        <v>173</v>
      </c>
      <c r="D9066" t="str">
        <f>VLOOKUP(H9066,Produkt!$A$2:$B$5,2,FALSE)</f>
        <v>A</v>
      </c>
      <c r="H9066">
        <v>1</v>
      </c>
      <c r="I9066">
        <v>0.47140046296296295</v>
      </c>
      <c r="J9066">
        <v>44795</v>
      </c>
    </row>
    <row r="9067" spans="1:10" x14ac:dyDescent="0.35">
      <c r="A9067" s="2">
        <v>44802</v>
      </c>
      <c r="B9067" s="3">
        <v>0.28695601851851854</v>
      </c>
      <c r="C9067">
        <v>177</v>
      </c>
      <c r="D9067" t="str">
        <f>VLOOKUP(H9067,Produkt!$A$2:$B$5,2,FALSE)</f>
        <v>B</v>
      </c>
      <c r="H9067">
        <v>2</v>
      </c>
      <c r="I9067">
        <v>0.53113425925925928</v>
      </c>
      <c r="J9067">
        <v>44779</v>
      </c>
    </row>
    <row r="9068" spans="1:10" x14ac:dyDescent="0.35">
      <c r="A9068" s="2">
        <v>44802</v>
      </c>
      <c r="B9068" s="3">
        <v>0.65371527777777783</v>
      </c>
      <c r="C9068">
        <v>368</v>
      </c>
      <c r="D9068" t="str">
        <f>VLOOKUP(H9068,Produkt!$A$2:$B$5,2,FALSE)</f>
        <v>A</v>
      </c>
      <c r="H9068">
        <v>1</v>
      </c>
      <c r="I9068">
        <v>0.16777777777777778</v>
      </c>
      <c r="J9068">
        <v>44794</v>
      </c>
    </row>
    <row r="9069" spans="1:10" x14ac:dyDescent="0.35">
      <c r="A9069" s="2">
        <v>44802</v>
      </c>
      <c r="B9069" s="3">
        <v>0.76874999999999993</v>
      </c>
      <c r="C9069">
        <v>377</v>
      </c>
      <c r="D9069" t="str">
        <f>VLOOKUP(H9069,Produkt!$A$2:$B$5,2,FALSE)</f>
        <v>C</v>
      </c>
      <c r="H9069">
        <v>3</v>
      </c>
      <c r="I9069">
        <v>0.10751157407407408</v>
      </c>
      <c r="J9069">
        <v>44782</v>
      </c>
    </row>
    <row r="9070" spans="1:10" x14ac:dyDescent="0.35">
      <c r="A9070" s="2">
        <v>44802</v>
      </c>
      <c r="B9070" s="3">
        <v>0.17387731481481483</v>
      </c>
      <c r="C9070">
        <v>389</v>
      </c>
      <c r="D9070" t="str">
        <f>VLOOKUP(H9070,Produkt!$A$2:$B$5,2,FALSE)</f>
        <v>B</v>
      </c>
      <c r="H9070">
        <v>2</v>
      </c>
      <c r="I9070">
        <v>0.84393518518518518</v>
      </c>
      <c r="J9070">
        <v>44776</v>
      </c>
    </row>
    <row r="9071" spans="1:10" x14ac:dyDescent="0.35">
      <c r="A9071" s="2">
        <v>44802</v>
      </c>
      <c r="B9071" s="3">
        <v>0.98202546296296289</v>
      </c>
      <c r="C9071">
        <v>414</v>
      </c>
      <c r="D9071" t="str">
        <f>VLOOKUP(H9071,Produkt!$A$2:$B$5,2,FALSE)</f>
        <v>B</v>
      </c>
      <c r="H9071">
        <v>2</v>
      </c>
      <c r="I9071">
        <v>0.38994212962962965</v>
      </c>
      <c r="J9071">
        <v>44790</v>
      </c>
    </row>
    <row r="9072" spans="1:10" x14ac:dyDescent="0.35">
      <c r="A9072" s="2">
        <v>44802</v>
      </c>
      <c r="B9072" s="3">
        <v>0.21674768518518517</v>
      </c>
      <c r="C9072">
        <v>463</v>
      </c>
      <c r="D9072" t="str">
        <f>VLOOKUP(H9072,Produkt!$A$2:$B$5,2,FALSE)</f>
        <v>B</v>
      </c>
      <c r="H9072">
        <v>2</v>
      </c>
      <c r="I9072">
        <v>1.5960648148148151E-2</v>
      </c>
      <c r="J9072">
        <v>44777</v>
      </c>
    </row>
    <row r="9073" spans="1:10" x14ac:dyDescent="0.35">
      <c r="A9073" s="2">
        <v>44802</v>
      </c>
      <c r="B9073" s="3">
        <v>0.38828703703703704</v>
      </c>
      <c r="C9073">
        <v>465</v>
      </c>
      <c r="D9073" t="str">
        <f>VLOOKUP(H9073,Produkt!$A$2:$B$5,2,FALSE)</f>
        <v>A</v>
      </c>
      <c r="H9073">
        <v>1</v>
      </c>
      <c r="I9073">
        <v>0.71940972222222221</v>
      </c>
      <c r="J9073">
        <v>44780</v>
      </c>
    </row>
    <row r="9074" spans="1:10" x14ac:dyDescent="0.35">
      <c r="A9074" s="2">
        <v>44802</v>
      </c>
      <c r="B9074" s="3">
        <v>0.14341435185185183</v>
      </c>
      <c r="C9074">
        <v>471</v>
      </c>
      <c r="D9074" t="str">
        <f>VLOOKUP(H9074,Produkt!$A$2:$B$5,2,FALSE)</f>
        <v>D</v>
      </c>
      <c r="H9074">
        <v>4</v>
      </c>
      <c r="I9074">
        <v>0.28623842592592591</v>
      </c>
      <c r="J9074">
        <v>44788</v>
      </c>
    </row>
    <row r="9075" spans="1:10" x14ac:dyDescent="0.35">
      <c r="A9075" s="2">
        <v>44802</v>
      </c>
      <c r="B9075" s="3">
        <v>5.0069444444444444E-2</v>
      </c>
      <c r="C9075">
        <v>525</v>
      </c>
      <c r="D9075" t="str">
        <f>VLOOKUP(H9075,Produkt!$A$2:$B$5,2,FALSE)</f>
        <v>B</v>
      </c>
      <c r="H9075">
        <v>2</v>
      </c>
      <c r="I9075">
        <v>0.42770833333333336</v>
      </c>
      <c r="J9075">
        <v>44776</v>
      </c>
    </row>
    <row r="9076" spans="1:10" x14ac:dyDescent="0.35">
      <c r="A9076" s="2">
        <v>44802</v>
      </c>
      <c r="B9076" s="3">
        <v>3.7442129629629672E-2</v>
      </c>
      <c r="C9076">
        <v>576</v>
      </c>
      <c r="D9076" t="str">
        <f>VLOOKUP(H9076,Produkt!$A$2:$B$5,2,FALSE)</f>
        <v>A</v>
      </c>
      <c r="H9076">
        <v>1</v>
      </c>
      <c r="I9076">
        <v>0.61868055555555557</v>
      </c>
      <c r="J9076">
        <v>44788</v>
      </c>
    </row>
    <row r="9077" spans="1:10" x14ac:dyDescent="0.35">
      <c r="A9077" s="2">
        <v>44802</v>
      </c>
      <c r="B9077" s="3">
        <v>4.1250000000000009E-2</v>
      </c>
      <c r="C9077">
        <v>578</v>
      </c>
      <c r="D9077" t="str">
        <f>VLOOKUP(H9077,Produkt!$A$2:$B$5,2,FALSE)</f>
        <v>D</v>
      </c>
      <c r="H9077">
        <v>4</v>
      </c>
      <c r="I9077">
        <v>0.91978009259259252</v>
      </c>
      <c r="J9077">
        <v>44793</v>
      </c>
    </row>
    <row r="9078" spans="1:10" x14ac:dyDescent="0.35">
      <c r="A9078" s="2">
        <v>44802</v>
      </c>
      <c r="B9078" s="3">
        <v>0.59453703703703698</v>
      </c>
      <c r="C9078">
        <v>602</v>
      </c>
      <c r="D9078" t="str">
        <f>VLOOKUP(H9078,Produkt!$A$2:$B$5,2,FALSE)</f>
        <v>D</v>
      </c>
      <c r="H9078">
        <v>4</v>
      </c>
      <c r="I9078">
        <v>0.84717592592592583</v>
      </c>
      <c r="J9078">
        <v>44794</v>
      </c>
    </row>
    <row r="9079" spans="1:10" x14ac:dyDescent="0.35">
      <c r="A9079" s="2">
        <v>44802</v>
      </c>
      <c r="B9079" s="3">
        <v>0.81210648148148146</v>
      </c>
      <c r="C9079">
        <v>613</v>
      </c>
      <c r="D9079" t="str">
        <f>VLOOKUP(H9079,Produkt!$A$2:$B$5,2,FALSE)</f>
        <v>C</v>
      </c>
      <c r="H9079">
        <v>3</v>
      </c>
      <c r="I9079">
        <v>9.0856481481481483E-3</v>
      </c>
      <c r="J9079">
        <v>44781</v>
      </c>
    </row>
    <row r="9080" spans="1:10" x14ac:dyDescent="0.35">
      <c r="A9080" s="2">
        <v>44802</v>
      </c>
      <c r="B9080" s="3">
        <v>0.9937731481481481</v>
      </c>
      <c r="C9080">
        <v>644</v>
      </c>
      <c r="D9080" t="str">
        <f>VLOOKUP(H9080,Produkt!$A$2:$B$5,2,FALSE)</f>
        <v>C</v>
      </c>
      <c r="H9080">
        <v>3</v>
      </c>
      <c r="I9080">
        <v>0.2761805555555556</v>
      </c>
      <c r="J9080">
        <v>44781</v>
      </c>
    </row>
    <row r="9081" spans="1:10" x14ac:dyDescent="0.35">
      <c r="A9081" s="2">
        <v>44802</v>
      </c>
      <c r="B9081" s="3">
        <v>0.14906250000000001</v>
      </c>
      <c r="C9081">
        <v>698</v>
      </c>
      <c r="D9081" t="str">
        <f>VLOOKUP(H9081,Produkt!$A$2:$B$5,2,FALSE)</f>
        <v>B</v>
      </c>
      <c r="H9081">
        <v>2</v>
      </c>
      <c r="I9081">
        <v>0.46807870370370369</v>
      </c>
      <c r="J9081">
        <v>44803</v>
      </c>
    </row>
    <row r="9082" spans="1:10" x14ac:dyDescent="0.35">
      <c r="A9082" s="2">
        <v>44802</v>
      </c>
      <c r="B9082" s="3">
        <v>0.59450231481481486</v>
      </c>
      <c r="C9082">
        <v>720</v>
      </c>
      <c r="D9082" t="str">
        <f>VLOOKUP(H9082,Produkt!$A$2:$B$5,2,FALSE)</f>
        <v>D</v>
      </c>
      <c r="H9082">
        <v>4</v>
      </c>
      <c r="I9082">
        <v>0.72466435185185185</v>
      </c>
      <c r="J9082">
        <v>44782</v>
      </c>
    </row>
    <row r="9083" spans="1:10" x14ac:dyDescent="0.35">
      <c r="A9083" s="2">
        <v>44802</v>
      </c>
      <c r="B9083" s="3">
        <v>0.54225694444444439</v>
      </c>
      <c r="C9083">
        <v>721</v>
      </c>
      <c r="D9083" t="str">
        <f>VLOOKUP(H9083,Produkt!$A$2:$B$5,2,FALSE)</f>
        <v>B</v>
      </c>
      <c r="H9083">
        <v>2</v>
      </c>
      <c r="I9083">
        <v>0.64229166666666659</v>
      </c>
      <c r="J9083">
        <v>44782</v>
      </c>
    </row>
    <row r="9084" spans="1:10" x14ac:dyDescent="0.35">
      <c r="A9084" s="2">
        <v>44802</v>
      </c>
      <c r="B9084" s="3">
        <v>0.99865740740740738</v>
      </c>
      <c r="C9084">
        <v>754</v>
      </c>
      <c r="D9084" t="str">
        <f>VLOOKUP(H9084,Produkt!$A$2:$B$5,2,FALSE)</f>
        <v>D</v>
      </c>
      <c r="H9084">
        <v>4</v>
      </c>
      <c r="I9084">
        <v>7.1643518518518523E-2</v>
      </c>
      <c r="J9084">
        <v>44786</v>
      </c>
    </row>
    <row r="9085" spans="1:10" x14ac:dyDescent="0.35">
      <c r="A9085" s="2">
        <v>44802</v>
      </c>
      <c r="B9085" s="3">
        <v>0.54753472222222221</v>
      </c>
      <c r="C9085">
        <v>756</v>
      </c>
      <c r="D9085" t="str">
        <f>VLOOKUP(H9085,Produkt!$A$2:$B$5,2,FALSE)</f>
        <v>C</v>
      </c>
      <c r="H9085">
        <v>3</v>
      </c>
      <c r="I9085">
        <v>4.8645833333333333E-2</v>
      </c>
      <c r="J9085">
        <v>44803</v>
      </c>
    </row>
    <row r="9086" spans="1:10" x14ac:dyDescent="0.35">
      <c r="A9086" s="2">
        <v>44802</v>
      </c>
      <c r="B9086" s="3">
        <v>0.22</v>
      </c>
      <c r="C9086">
        <v>758</v>
      </c>
      <c r="D9086" t="str">
        <f>VLOOKUP(H9086,Produkt!$A$2:$B$5,2,FALSE)</f>
        <v>D</v>
      </c>
      <c r="H9086">
        <v>4</v>
      </c>
      <c r="I9086">
        <v>0.13119212962962964</v>
      </c>
      <c r="J9086">
        <v>44791</v>
      </c>
    </row>
    <row r="9087" spans="1:10" x14ac:dyDescent="0.35">
      <c r="A9087" s="2">
        <v>44802</v>
      </c>
      <c r="B9087" s="3">
        <v>0.13130787037037037</v>
      </c>
      <c r="C9087">
        <v>819</v>
      </c>
      <c r="D9087" t="str">
        <f>VLOOKUP(H9087,Produkt!$A$2:$B$5,2,FALSE)</f>
        <v>B</v>
      </c>
      <c r="H9087">
        <v>2</v>
      </c>
      <c r="I9087">
        <v>0.30910879629629628</v>
      </c>
      <c r="J9087">
        <v>44800</v>
      </c>
    </row>
    <row r="9088" spans="1:10" x14ac:dyDescent="0.35">
      <c r="A9088" s="2">
        <v>44802</v>
      </c>
      <c r="B9088" s="3">
        <v>0.88402777777777775</v>
      </c>
      <c r="C9088">
        <v>851</v>
      </c>
      <c r="D9088" t="str">
        <f>VLOOKUP(H9088,Produkt!$A$2:$B$5,2,FALSE)</f>
        <v>A</v>
      </c>
      <c r="H9088">
        <v>1</v>
      </c>
      <c r="I9088">
        <v>0.76356481481481486</v>
      </c>
      <c r="J9088">
        <v>44802</v>
      </c>
    </row>
    <row r="9089" spans="1:10" x14ac:dyDescent="0.35">
      <c r="A9089" s="2">
        <v>44802</v>
      </c>
      <c r="B9089" s="3">
        <v>0.93817129629629636</v>
      </c>
      <c r="C9089">
        <v>852</v>
      </c>
      <c r="D9089" t="str">
        <f>VLOOKUP(H9089,Produkt!$A$2:$B$5,2,FALSE)</f>
        <v>C</v>
      </c>
      <c r="H9089">
        <v>3</v>
      </c>
      <c r="I9089">
        <v>0.36833333333333335</v>
      </c>
      <c r="J9089">
        <v>44791</v>
      </c>
    </row>
    <row r="9090" spans="1:10" x14ac:dyDescent="0.35">
      <c r="A9090" s="2">
        <v>44802</v>
      </c>
      <c r="B9090" s="3">
        <v>0.9041203703703703</v>
      </c>
      <c r="C9090">
        <v>871</v>
      </c>
      <c r="D9090" t="str">
        <f>VLOOKUP(H9090,Produkt!$A$2:$B$5,2,FALSE)</f>
        <v>C</v>
      </c>
      <c r="H9090">
        <v>3</v>
      </c>
      <c r="I9090">
        <v>0.40489583333333329</v>
      </c>
      <c r="J9090">
        <v>44796</v>
      </c>
    </row>
    <row r="9091" spans="1:10" x14ac:dyDescent="0.35">
      <c r="A9091" s="2">
        <v>44802</v>
      </c>
      <c r="B9091" s="3">
        <v>0.94975694444444436</v>
      </c>
      <c r="C9091">
        <v>891</v>
      </c>
      <c r="D9091" t="str">
        <f>VLOOKUP(H9091,Produkt!$A$2:$B$5,2,FALSE)</f>
        <v>A</v>
      </c>
      <c r="H9091">
        <v>1</v>
      </c>
      <c r="I9091">
        <v>0.33754629629629629</v>
      </c>
      <c r="J9091">
        <v>44786</v>
      </c>
    </row>
    <row r="9092" spans="1:10" x14ac:dyDescent="0.35">
      <c r="A9092" s="2">
        <v>44802</v>
      </c>
      <c r="B9092" s="3">
        <v>0.55906250000000002</v>
      </c>
      <c r="C9092">
        <v>988</v>
      </c>
      <c r="D9092" t="str">
        <f>VLOOKUP(H9092,Produkt!$A$2:$B$5,2,FALSE)</f>
        <v>B</v>
      </c>
      <c r="H9092">
        <v>2</v>
      </c>
      <c r="I9092">
        <v>0.18813657407407405</v>
      </c>
      <c r="J9092">
        <v>44774</v>
      </c>
    </row>
    <row r="9093" spans="1:10" x14ac:dyDescent="0.35">
      <c r="A9093" s="2">
        <v>44802</v>
      </c>
      <c r="B9093" s="3">
        <v>0.42312499999999997</v>
      </c>
      <c r="C9093">
        <v>1046</v>
      </c>
      <c r="D9093" t="str">
        <f>VLOOKUP(H9093,Produkt!$A$2:$B$5,2,FALSE)</f>
        <v>C</v>
      </c>
      <c r="H9093">
        <v>3</v>
      </c>
      <c r="I9093">
        <v>0.18531249999999999</v>
      </c>
      <c r="J9093">
        <v>44776</v>
      </c>
    </row>
    <row r="9094" spans="1:10" x14ac:dyDescent="0.35">
      <c r="A9094" s="2">
        <v>44802</v>
      </c>
      <c r="B9094" s="3">
        <v>3.4548611111111072E-2</v>
      </c>
      <c r="C9094">
        <v>1051</v>
      </c>
      <c r="D9094" t="str">
        <f>VLOOKUP(H9094,Produkt!$A$2:$B$5,2,FALSE)</f>
        <v>A</v>
      </c>
      <c r="H9094">
        <v>1</v>
      </c>
      <c r="I9094">
        <v>0.32473379629629628</v>
      </c>
      <c r="J9094">
        <v>44796</v>
      </c>
    </row>
    <row r="9095" spans="1:10" x14ac:dyDescent="0.35">
      <c r="A9095" s="2">
        <v>44802</v>
      </c>
      <c r="B9095" s="3">
        <v>0.57700231481481479</v>
      </c>
      <c r="C9095">
        <v>1061</v>
      </c>
      <c r="D9095" t="str">
        <f>VLOOKUP(H9095,Produkt!$A$2:$B$5,2,FALSE)</f>
        <v>C</v>
      </c>
      <c r="H9095">
        <v>3</v>
      </c>
      <c r="I9095">
        <v>0.47317129629629634</v>
      </c>
      <c r="J9095">
        <v>44782</v>
      </c>
    </row>
    <row r="9096" spans="1:10" x14ac:dyDescent="0.35">
      <c r="A9096" s="2">
        <v>44802</v>
      </c>
      <c r="B9096" s="3">
        <v>0.11846064814814815</v>
      </c>
      <c r="C9096">
        <v>1066</v>
      </c>
      <c r="D9096" t="str">
        <f>VLOOKUP(H9096,Produkt!$A$2:$B$5,2,FALSE)</f>
        <v>D</v>
      </c>
      <c r="H9096">
        <v>4</v>
      </c>
      <c r="I9096">
        <v>0.60718749999999999</v>
      </c>
      <c r="J9096">
        <v>44792</v>
      </c>
    </row>
    <row r="9097" spans="1:10" x14ac:dyDescent="0.35">
      <c r="A9097" s="2">
        <v>44802</v>
      </c>
      <c r="B9097" s="3">
        <v>0.76568287037037042</v>
      </c>
      <c r="C9097">
        <v>1084</v>
      </c>
      <c r="D9097" t="str">
        <f>VLOOKUP(H9097,Produkt!$A$2:$B$5,2,FALSE)</f>
        <v>A</v>
      </c>
      <c r="H9097">
        <v>1</v>
      </c>
      <c r="I9097">
        <v>0.55001157407407408</v>
      </c>
      <c r="J9097">
        <v>44777</v>
      </c>
    </row>
    <row r="9098" spans="1:10" x14ac:dyDescent="0.35">
      <c r="A9098" s="2">
        <v>44802</v>
      </c>
      <c r="B9098" s="3">
        <v>0.27532407407407405</v>
      </c>
      <c r="C9098">
        <v>1086</v>
      </c>
      <c r="D9098" t="str">
        <f>VLOOKUP(H9098,Produkt!$A$2:$B$5,2,FALSE)</f>
        <v>B</v>
      </c>
      <c r="H9098">
        <v>2</v>
      </c>
      <c r="I9098">
        <v>0.46743055555555557</v>
      </c>
      <c r="J9098">
        <v>44790</v>
      </c>
    </row>
    <row r="9099" spans="1:10" x14ac:dyDescent="0.35">
      <c r="A9099" s="2">
        <v>44802</v>
      </c>
      <c r="B9099" s="3">
        <v>0.47496527777777775</v>
      </c>
      <c r="C9099">
        <v>1148</v>
      </c>
      <c r="D9099" t="str">
        <f>VLOOKUP(H9099,Produkt!$A$2:$B$5,2,FALSE)</f>
        <v>B</v>
      </c>
      <c r="H9099">
        <v>2</v>
      </c>
      <c r="I9099">
        <v>3.2384259259259141E-2</v>
      </c>
      <c r="J9099">
        <v>44789</v>
      </c>
    </row>
    <row r="9100" spans="1:10" x14ac:dyDescent="0.35">
      <c r="A9100" s="2">
        <v>44802</v>
      </c>
      <c r="B9100" s="3">
        <v>0.95836805555555549</v>
      </c>
      <c r="C9100">
        <v>1152</v>
      </c>
      <c r="D9100" t="str">
        <f>VLOOKUP(H9100,Produkt!$A$2:$B$5,2,FALSE)</f>
        <v>A</v>
      </c>
      <c r="H9100">
        <v>1</v>
      </c>
      <c r="I9100">
        <v>0.83348379629629632</v>
      </c>
      <c r="J9100">
        <v>44786</v>
      </c>
    </row>
    <row r="9101" spans="1:10" x14ac:dyDescent="0.35">
      <c r="A9101" s="2">
        <v>44802</v>
      </c>
      <c r="B9101" s="3">
        <v>3.6226851851851816E-2</v>
      </c>
      <c r="C9101">
        <v>1156</v>
      </c>
      <c r="D9101" t="str">
        <f>VLOOKUP(H9101,Produkt!$A$2:$B$5,2,FALSE)</f>
        <v>B</v>
      </c>
      <c r="H9101">
        <v>2</v>
      </c>
      <c r="I9101">
        <v>0.79002314814814811</v>
      </c>
      <c r="J9101">
        <v>44779</v>
      </c>
    </row>
    <row r="9102" spans="1:10" x14ac:dyDescent="0.35">
      <c r="A9102" s="2">
        <v>44802</v>
      </c>
      <c r="B9102" s="3">
        <v>0.93957175925925929</v>
      </c>
      <c r="C9102">
        <v>1169</v>
      </c>
      <c r="D9102" t="str">
        <f>VLOOKUP(H9102,Produkt!$A$2:$B$5,2,FALSE)</f>
        <v>D</v>
      </c>
      <c r="H9102">
        <v>4</v>
      </c>
      <c r="I9102">
        <v>0.3392592592592592</v>
      </c>
      <c r="J9102">
        <v>44791</v>
      </c>
    </row>
    <row r="9103" spans="1:10" x14ac:dyDescent="0.35">
      <c r="A9103" s="2">
        <v>44802</v>
      </c>
      <c r="B9103" s="3">
        <v>0.87565972222222221</v>
      </c>
      <c r="C9103">
        <v>1179</v>
      </c>
      <c r="D9103" t="str">
        <f>VLOOKUP(H9103,Produkt!$A$2:$B$5,2,FALSE)</f>
        <v>B</v>
      </c>
      <c r="H9103">
        <v>2</v>
      </c>
      <c r="I9103">
        <v>0.79297453703703702</v>
      </c>
      <c r="J9103">
        <v>44786</v>
      </c>
    </row>
    <row r="9104" spans="1:10" x14ac:dyDescent="0.35">
      <c r="A9104" s="2">
        <v>44802</v>
      </c>
      <c r="B9104" s="3">
        <v>0.1482175925925926</v>
      </c>
      <c r="C9104">
        <v>1196</v>
      </c>
      <c r="D9104" t="str">
        <f>VLOOKUP(H9104,Produkt!$A$2:$B$5,2,FALSE)</f>
        <v>D</v>
      </c>
      <c r="H9104">
        <v>4</v>
      </c>
      <c r="I9104">
        <v>0.86269675925925926</v>
      </c>
      <c r="J9104">
        <v>44781</v>
      </c>
    </row>
    <row r="9105" spans="1:10" x14ac:dyDescent="0.35">
      <c r="A9105" s="2">
        <v>44802</v>
      </c>
      <c r="B9105" s="3">
        <v>0.50225694444444446</v>
      </c>
      <c r="C9105">
        <v>1197</v>
      </c>
      <c r="D9105" t="str">
        <f>VLOOKUP(H9105,Produkt!$A$2:$B$5,2,FALSE)</f>
        <v>C</v>
      </c>
      <c r="H9105">
        <v>3</v>
      </c>
      <c r="I9105">
        <v>0.76596064814814813</v>
      </c>
      <c r="J9105">
        <v>44795</v>
      </c>
    </row>
    <row r="9106" spans="1:10" x14ac:dyDescent="0.35">
      <c r="A9106" s="2">
        <v>44802</v>
      </c>
      <c r="B9106" s="3">
        <v>0.24892361111111114</v>
      </c>
      <c r="C9106">
        <v>1206</v>
      </c>
      <c r="D9106" t="str">
        <f>VLOOKUP(H9106,Produkt!$A$2:$B$5,2,FALSE)</f>
        <v>C</v>
      </c>
      <c r="H9106">
        <v>3</v>
      </c>
      <c r="I9106">
        <v>0.41482638888888884</v>
      </c>
      <c r="J9106">
        <v>44781</v>
      </c>
    </row>
    <row r="9107" spans="1:10" x14ac:dyDescent="0.35">
      <c r="A9107" s="2">
        <v>44802</v>
      </c>
      <c r="B9107" s="3">
        <v>9.9537037037022991E-4</v>
      </c>
      <c r="C9107">
        <v>1267</v>
      </c>
      <c r="D9107" t="str">
        <f>VLOOKUP(H9107,Produkt!$A$2:$B$5,2,FALSE)</f>
        <v>C</v>
      </c>
      <c r="H9107">
        <v>3</v>
      </c>
      <c r="I9107">
        <v>0.25939814814814816</v>
      </c>
      <c r="J9107">
        <v>44789</v>
      </c>
    </row>
    <row r="9108" spans="1:10" x14ac:dyDescent="0.35">
      <c r="A9108" s="2">
        <v>44802</v>
      </c>
      <c r="B9108" s="3">
        <v>0.59005787037037039</v>
      </c>
      <c r="C9108">
        <v>1291</v>
      </c>
      <c r="D9108" t="str">
        <f>VLOOKUP(H9108,Produkt!$A$2:$B$5,2,FALSE)</f>
        <v>D</v>
      </c>
      <c r="H9108">
        <v>4</v>
      </c>
      <c r="I9108">
        <v>0.22427083333333334</v>
      </c>
      <c r="J9108">
        <v>44786</v>
      </c>
    </row>
    <row r="9109" spans="1:10" x14ac:dyDescent="0.35">
      <c r="A9109" s="2">
        <v>44802</v>
      </c>
      <c r="B9109" s="3">
        <v>0.72167824074074083</v>
      </c>
      <c r="C9109">
        <v>1369</v>
      </c>
      <c r="D9109" t="str">
        <f>VLOOKUP(H9109,Produkt!$A$2:$B$5,2,FALSE)</f>
        <v>C</v>
      </c>
      <c r="H9109">
        <v>3</v>
      </c>
      <c r="I9109">
        <v>0.45903935185185185</v>
      </c>
      <c r="J9109">
        <v>44788</v>
      </c>
    </row>
    <row r="9110" spans="1:10" x14ac:dyDescent="0.35">
      <c r="A9110" s="2">
        <v>44802</v>
      </c>
      <c r="B9110" s="3">
        <v>0.58729166666666666</v>
      </c>
      <c r="C9110">
        <v>1412</v>
      </c>
      <c r="D9110" t="str">
        <f>VLOOKUP(H9110,Produkt!$A$2:$B$5,2,FALSE)</f>
        <v>B</v>
      </c>
      <c r="H9110">
        <v>2</v>
      </c>
      <c r="I9110">
        <v>0.43810185185185185</v>
      </c>
      <c r="J9110">
        <v>44799</v>
      </c>
    </row>
    <row r="9111" spans="1:10" x14ac:dyDescent="0.35">
      <c r="A9111" s="2">
        <v>44802</v>
      </c>
      <c r="B9111" s="3">
        <v>0.58641203703703704</v>
      </c>
      <c r="C9111">
        <v>1423</v>
      </c>
      <c r="D9111" t="str">
        <f>VLOOKUP(H9111,Produkt!$A$2:$B$5,2,FALSE)</f>
        <v>B</v>
      </c>
      <c r="H9111">
        <v>2</v>
      </c>
      <c r="I9111">
        <v>0.12383101851851852</v>
      </c>
      <c r="J9111">
        <v>44802</v>
      </c>
    </row>
    <row r="9112" spans="1:10" x14ac:dyDescent="0.35">
      <c r="A9112" s="2">
        <v>44802</v>
      </c>
      <c r="B9112" s="3">
        <v>0.21679398148148146</v>
      </c>
      <c r="C9112">
        <v>1435</v>
      </c>
      <c r="D9112" t="str">
        <f>VLOOKUP(H9112,Produkt!$A$2:$B$5,2,FALSE)</f>
        <v>D</v>
      </c>
      <c r="H9112">
        <v>4</v>
      </c>
      <c r="I9112">
        <v>0.56942129629629623</v>
      </c>
      <c r="J9112">
        <v>44800</v>
      </c>
    </row>
    <row r="9113" spans="1:10" x14ac:dyDescent="0.35">
      <c r="A9113" s="2">
        <v>44802</v>
      </c>
      <c r="B9113" s="3">
        <v>0.40226851851851847</v>
      </c>
      <c r="C9113">
        <v>1441</v>
      </c>
      <c r="D9113" t="str">
        <f>VLOOKUP(H9113,Produkt!$A$2:$B$5,2,FALSE)</f>
        <v>B</v>
      </c>
      <c r="H9113">
        <v>2</v>
      </c>
      <c r="I9113">
        <v>5.7800925925925929E-2</v>
      </c>
      <c r="J9113">
        <v>44784</v>
      </c>
    </row>
    <row r="9114" spans="1:10" x14ac:dyDescent="0.35">
      <c r="A9114" s="2">
        <v>44802</v>
      </c>
      <c r="B9114" s="3">
        <v>0.98148148148148151</v>
      </c>
      <c r="C9114">
        <v>1460</v>
      </c>
      <c r="D9114" t="str">
        <f>VLOOKUP(H9114,Produkt!$A$2:$B$5,2,FALSE)</f>
        <v>B</v>
      </c>
      <c r="H9114">
        <v>2</v>
      </c>
      <c r="I9114">
        <v>0.12802083333333333</v>
      </c>
      <c r="J9114">
        <v>44779</v>
      </c>
    </row>
    <row r="9115" spans="1:10" x14ac:dyDescent="0.35">
      <c r="A9115" s="2">
        <v>44802</v>
      </c>
      <c r="B9115" s="3">
        <v>0.35784722222222221</v>
      </c>
      <c r="C9115">
        <v>1476</v>
      </c>
      <c r="D9115" t="str">
        <f>VLOOKUP(H9115,Produkt!$A$2:$B$5,2,FALSE)</f>
        <v>D</v>
      </c>
      <c r="H9115">
        <v>4</v>
      </c>
      <c r="I9115">
        <v>0.88393518518518521</v>
      </c>
      <c r="J9115">
        <v>44790</v>
      </c>
    </row>
    <row r="9116" spans="1:10" x14ac:dyDescent="0.35">
      <c r="A9116" s="2">
        <v>44802</v>
      </c>
      <c r="B9116" s="3">
        <v>0.5038541666666666</v>
      </c>
      <c r="C9116">
        <v>1477</v>
      </c>
      <c r="D9116" t="str">
        <f>VLOOKUP(H9116,Produkt!$A$2:$B$5,2,FALSE)</f>
        <v>C</v>
      </c>
      <c r="H9116">
        <v>3</v>
      </c>
      <c r="I9116">
        <v>3.2638888888888884E-2</v>
      </c>
      <c r="J9116">
        <v>44800</v>
      </c>
    </row>
    <row r="9117" spans="1:10" x14ac:dyDescent="0.35">
      <c r="A9117" s="2">
        <v>44802</v>
      </c>
      <c r="B9117" s="3">
        <v>0.33387731481481481</v>
      </c>
      <c r="C9117">
        <v>1478</v>
      </c>
      <c r="D9117" t="str">
        <f>VLOOKUP(H9117,Produkt!$A$2:$B$5,2,FALSE)</f>
        <v>D</v>
      </c>
      <c r="H9117">
        <v>4</v>
      </c>
      <c r="I9117">
        <v>0.52172453703703703</v>
      </c>
      <c r="J9117">
        <v>44779</v>
      </c>
    </row>
    <row r="9118" spans="1:10" x14ac:dyDescent="0.35">
      <c r="A9118" s="2">
        <v>44802</v>
      </c>
      <c r="B9118" s="3">
        <v>0.48322916666666665</v>
      </c>
      <c r="C9118">
        <v>1487</v>
      </c>
      <c r="D9118" t="str">
        <f>VLOOKUP(H9118,Produkt!$A$2:$B$5,2,FALSE)</f>
        <v>C</v>
      </c>
      <c r="H9118">
        <v>3</v>
      </c>
      <c r="I9118">
        <v>0.34134259259259259</v>
      </c>
      <c r="J9118">
        <v>44802</v>
      </c>
    </row>
    <row r="9119" spans="1:10" x14ac:dyDescent="0.35">
      <c r="A9119" s="2">
        <v>44802</v>
      </c>
      <c r="B9119" s="3">
        <v>0.8016550925925926</v>
      </c>
      <c r="C9119">
        <v>1559</v>
      </c>
      <c r="D9119" t="str">
        <f>VLOOKUP(H9119,Produkt!$A$2:$B$5,2,FALSE)</f>
        <v>D</v>
      </c>
      <c r="H9119">
        <v>4</v>
      </c>
      <c r="I9119">
        <v>0.2020949074074074</v>
      </c>
      <c r="J9119">
        <v>44777</v>
      </c>
    </row>
    <row r="9120" spans="1:10" x14ac:dyDescent="0.35">
      <c r="A9120" s="2">
        <v>44802</v>
      </c>
      <c r="B9120" s="3">
        <v>0.86496527777777776</v>
      </c>
      <c r="C9120">
        <v>1616</v>
      </c>
      <c r="D9120" t="str">
        <f>VLOOKUP(H9120,Produkt!$A$2:$B$5,2,FALSE)</f>
        <v>C</v>
      </c>
      <c r="H9120">
        <v>3</v>
      </c>
      <c r="I9120">
        <v>0.32048611111111108</v>
      </c>
      <c r="J9120">
        <v>44790</v>
      </c>
    </row>
    <row r="9121" spans="1:10" x14ac:dyDescent="0.35">
      <c r="A9121" s="2">
        <v>44802</v>
      </c>
      <c r="B9121" s="3">
        <v>0.88512731481481488</v>
      </c>
      <c r="C9121">
        <v>1764</v>
      </c>
      <c r="D9121" t="str">
        <f>VLOOKUP(H9121,Produkt!$A$2:$B$5,2,FALSE)</f>
        <v>A</v>
      </c>
      <c r="H9121">
        <v>1</v>
      </c>
      <c r="I9121">
        <v>0.91320601851851846</v>
      </c>
      <c r="J9121">
        <v>44796</v>
      </c>
    </row>
    <row r="9122" spans="1:10" x14ac:dyDescent="0.35">
      <c r="A9122" s="2">
        <v>44802</v>
      </c>
      <c r="B9122" s="3">
        <v>0.52188657407407402</v>
      </c>
      <c r="C9122">
        <v>1785</v>
      </c>
      <c r="D9122" t="str">
        <f>VLOOKUP(H9122,Produkt!$A$2:$B$5,2,FALSE)</f>
        <v>D</v>
      </c>
      <c r="H9122">
        <v>4</v>
      </c>
      <c r="I9122">
        <v>0.94429398148148147</v>
      </c>
      <c r="J9122">
        <v>44788</v>
      </c>
    </row>
    <row r="9123" spans="1:10" x14ac:dyDescent="0.35">
      <c r="A9123" s="2">
        <v>44802</v>
      </c>
      <c r="B9123" s="3">
        <v>0.73479166666666673</v>
      </c>
      <c r="C9123">
        <v>1829</v>
      </c>
      <c r="D9123" t="str">
        <f>VLOOKUP(H9123,Produkt!$A$2:$B$5,2,FALSE)</f>
        <v>D</v>
      </c>
      <c r="H9123">
        <v>4</v>
      </c>
      <c r="I9123">
        <v>0.57649305555555552</v>
      </c>
      <c r="J9123">
        <v>44774</v>
      </c>
    </row>
    <row r="9124" spans="1:10" x14ac:dyDescent="0.35">
      <c r="A9124" s="2">
        <v>44802</v>
      </c>
      <c r="B9124" s="3">
        <v>0.37170138888888887</v>
      </c>
      <c r="C9124">
        <v>1842</v>
      </c>
      <c r="D9124" t="str">
        <f>VLOOKUP(H9124,Produkt!$A$2:$B$5,2,FALSE)</f>
        <v>D</v>
      </c>
      <c r="H9124">
        <v>4</v>
      </c>
      <c r="I9124">
        <v>0.80947916666666664</v>
      </c>
      <c r="J9124">
        <v>44800</v>
      </c>
    </row>
    <row r="9125" spans="1:10" x14ac:dyDescent="0.35">
      <c r="A9125" s="2">
        <v>44802</v>
      </c>
      <c r="B9125" s="3">
        <v>0.77731481481481479</v>
      </c>
      <c r="C9125">
        <v>1854</v>
      </c>
      <c r="D9125" t="str">
        <f>VLOOKUP(H9125,Produkt!$A$2:$B$5,2,FALSE)</f>
        <v>B</v>
      </c>
      <c r="H9125">
        <v>2</v>
      </c>
      <c r="I9125">
        <v>4.3981481481480955E-4</v>
      </c>
      <c r="J9125">
        <v>44800</v>
      </c>
    </row>
    <row r="9126" spans="1:10" x14ac:dyDescent="0.35">
      <c r="A9126" s="2">
        <v>44802</v>
      </c>
      <c r="B9126" s="3">
        <v>6.356481481481481E-2</v>
      </c>
      <c r="C9126">
        <v>1923</v>
      </c>
      <c r="D9126" t="str">
        <f>VLOOKUP(H9126,Produkt!$A$2:$B$5,2,FALSE)</f>
        <v>A</v>
      </c>
      <c r="H9126">
        <v>1</v>
      </c>
      <c r="I9126">
        <v>3.5381944444444313E-2</v>
      </c>
      <c r="J9126">
        <v>44791</v>
      </c>
    </row>
    <row r="9127" spans="1:10" x14ac:dyDescent="0.35">
      <c r="A9127" s="2">
        <v>44802</v>
      </c>
      <c r="B9127" s="3">
        <v>5.4976851851851853E-3</v>
      </c>
      <c r="C9127">
        <v>1932</v>
      </c>
      <c r="D9127" t="str">
        <f>VLOOKUP(H9127,Produkt!$A$2:$B$5,2,FALSE)</f>
        <v>D</v>
      </c>
      <c r="H9127">
        <v>4</v>
      </c>
      <c r="I9127">
        <v>0.35738425925925926</v>
      </c>
      <c r="J9127">
        <v>44797</v>
      </c>
    </row>
    <row r="9128" spans="1:10" x14ac:dyDescent="0.35">
      <c r="A9128" s="2">
        <v>44802</v>
      </c>
      <c r="B9128" s="3">
        <v>0.94422453703703713</v>
      </c>
      <c r="C9128">
        <v>1945</v>
      </c>
      <c r="D9128" t="str">
        <f>VLOOKUP(H9128,Produkt!$A$2:$B$5,2,FALSE)</f>
        <v>C</v>
      </c>
      <c r="H9128">
        <v>3</v>
      </c>
      <c r="I9128">
        <v>1.0243055555555491E-2</v>
      </c>
      <c r="J9128">
        <v>44799</v>
      </c>
    </row>
    <row r="9129" spans="1:10" x14ac:dyDescent="0.35">
      <c r="A9129" s="2">
        <v>44802</v>
      </c>
      <c r="B9129" s="3">
        <v>0.77494212962962961</v>
      </c>
      <c r="C9129">
        <v>1953</v>
      </c>
      <c r="D9129" t="str">
        <f>VLOOKUP(H9129,Produkt!$A$2:$B$5,2,FALSE)</f>
        <v>B</v>
      </c>
      <c r="H9129">
        <v>2</v>
      </c>
      <c r="I9129">
        <v>0.77037037037037026</v>
      </c>
      <c r="J9129">
        <v>44783</v>
      </c>
    </row>
    <row r="9130" spans="1:10" x14ac:dyDescent="0.35">
      <c r="A9130" s="2">
        <v>44802</v>
      </c>
      <c r="B9130" s="3">
        <v>5.7233796296296297E-2</v>
      </c>
      <c r="C9130">
        <v>2024</v>
      </c>
      <c r="D9130" t="str">
        <f>VLOOKUP(H9130,Produkt!$A$2:$B$5,2,FALSE)</f>
        <v>B</v>
      </c>
      <c r="H9130">
        <v>2</v>
      </c>
      <c r="I9130">
        <v>0.45596064814814818</v>
      </c>
      <c r="J9130">
        <v>44791</v>
      </c>
    </row>
    <row r="9131" spans="1:10" x14ac:dyDescent="0.35">
      <c r="A9131" s="2">
        <v>44802</v>
      </c>
      <c r="B9131" s="3">
        <v>0.58518518518518514</v>
      </c>
      <c r="C9131">
        <v>2027</v>
      </c>
      <c r="D9131" t="str">
        <f>VLOOKUP(H9131,Produkt!$A$2:$B$5,2,FALSE)</f>
        <v>B</v>
      </c>
      <c r="H9131">
        <v>2</v>
      </c>
      <c r="I9131">
        <v>0.26306712962962964</v>
      </c>
      <c r="J9131">
        <v>44774</v>
      </c>
    </row>
    <row r="9132" spans="1:10" x14ac:dyDescent="0.35">
      <c r="A9132" s="2">
        <v>44802</v>
      </c>
      <c r="B9132" s="3">
        <v>0.89954861111111117</v>
      </c>
      <c r="C9132">
        <v>2031</v>
      </c>
      <c r="D9132" t="str">
        <f>VLOOKUP(H9132,Produkt!$A$2:$B$5,2,FALSE)</f>
        <v>C</v>
      </c>
      <c r="H9132">
        <v>3</v>
      </c>
      <c r="I9132">
        <v>0.60954861111111114</v>
      </c>
      <c r="J9132">
        <v>44775</v>
      </c>
    </row>
    <row r="9133" spans="1:10" x14ac:dyDescent="0.35">
      <c r="A9133" s="2">
        <v>44802</v>
      </c>
      <c r="B9133" s="3">
        <v>0.34775462962962966</v>
      </c>
      <c r="C9133">
        <v>2058</v>
      </c>
      <c r="D9133" t="str">
        <f>VLOOKUP(H9133,Produkt!$A$2:$B$5,2,FALSE)</f>
        <v>D</v>
      </c>
      <c r="H9133">
        <v>4</v>
      </c>
      <c r="I9133">
        <v>0.68359953703703702</v>
      </c>
      <c r="J9133">
        <v>44779</v>
      </c>
    </row>
    <row r="9134" spans="1:10" x14ac:dyDescent="0.35">
      <c r="A9134" s="2">
        <v>44802</v>
      </c>
      <c r="B9134" s="3">
        <v>0.6918981481481481</v>
      </c>
      <c r="C9134">
        <v>2170</v>
      </c>
      <c r="D9134" t="str">
        <f>VLOOKUP(H9134,Produkt!$A$2:$B$5,2,FALSE)</f>
        <v>C</v>
      </c>
      <c r="H9134">
        <v>3</v>
      </c>
      <c r="I9134">
        <v>0.8416203703703703</v>
      </c>
      <c r="J9134">
        <v>44776</v>
      </c>
    </row>
    <row r="9135" spans="1:10" x14ac:dyDescent="0.35">
      <c r="A9135" s="2">
        <v>44802</v>
      </c>
      <c r="B9135" s="3">
        <v>0.40771990740740738</v>
      </c>
      <c r="C9135">
        <v>2202</v>
      </c>
      <c r="D9135" t="str">
        <f>VLOOKUP(H9135,Produkt!$A$2:$B$5,2,FALSE)</f>
        <v>B</v>
      </c>
      <c r="H9135">
        <v>2</v>
      </c>
      <c r="I9135">
        <v>0.11523148148148148</v>
      </c>
      <c r="J9135">
        <v>44803</v>
      </c>
    </row>
    <row r="9136" spans="1:10" x14ac:dyDescent="0.35">
      <c r="A9136" s="2">
        <v>44802</v>
      </c>
      <c r="B9136" s="3">
        <v>0.66505787037037034</v>
      </c>
      <c r="C9136">
        <v>2213</v>
      </c>
      <c r="D9136" t="str">
        <f>VLOOKUP(H9136,Produkt!$A$2:$B$5,2,FALSE)</f>
        <v>B</v>
      </c>
      <c r="H9136">
        <v>2</v>
      </c>
      <c r="I9136">
        <v>7.9861111111111105E-2</v>
      </c>
      <c r="J9136">
        <v>44775</v>
      </c>
    </row>
    <row r="9137" spans="1:10" x14ac:dyDescent="0.35">
      <c r="A9137" s="2">
        <v>44802</v>
      </c>
      <c r="B9137" s="3">
        <v>0.51356481481481475</v>
      </c>
      <c r="C9137">
        <v>2369</v>
      </c>
      <c r="D9137" t="str">
        <f>VLOOKUP(H9137,Produkt!$A$2:$B$5,2,FALSE)</f>
        <v>D</v>
      </c>
      <c r="H9137">
        <v>4</v>
      </c>
      <c r="I9137">
        <v>0.19010416666666666</v>
      </c>
      <c r="J9137">
        <v>44804</v>
      </c>
    </row>
    <row r="9138" spans="1:10" x14ac:dyDescent="0.35">
      <c r="A9138" s="2">
        <v>44802</v>
      </c>
      <c r="B9138" s="3">
        <v>4.925925925925926E-2</v>
      </c>
      <c r="C9138">
        <v>2467</v>
      </c>
      <c r="D9138" t="str">
        <f>VLOOKUP(H9138,Produkt!$A$2:$B$5,2,FALSE)</f>
        <v>D</v>
      </c>
      <c r="H9138">
        <v>4</v>
      </c>
      <c r="I9138">
        <v>0.25409722222222225</v>
      </c>
      <c r="J9138">
        <v>44797</v>
      </c>
    </row>
    <row r="9139" spans="1:10" x14ac:dyDescent="0.35">
      <c r="A9139" s="2">
        <v>44802</v>
      </c>
      <c r="B9139" s="3">
        <v>0.89986111111111111</v>
      </c>
      <c r="C9139">
        <v>2489</v>
      </c>
      <c r="D9139" t="str">
        <f>VLOOKUP(H9139,Produkt!$A$2:$B$5,2,FALSE)</f>
        <v>A</v>
      </c>
      <c r="H9139">
        <v>1</v>
      </c>
      <c r="I9139">
        <v>0.61552083333333341</v>
      </c>
      <c r="J9139">
        <v>44789</v>
      </c>
    </row>
    <row r="9140" spans="1:10" x14ac:dyDescent="0.35">
      <c r="A9140" s="2">
        <v>44802</v>
      </c>
      <c r="B9140" s="3">
        <v>0.40430555555555553</v>
      </c>
      <c r="C9140">
        <v>2497</v>
      </c>
      <c r="D9140" t="str">
        <f>VLOOKUP(H9140,Produkt!$A$2:$B$5,2,FALSE)</f>
        <v>C</v>
      </c>
      <c r="H9140">
        <v>3</v>
      </c>
      <c r="I9140">
        <v>0.17785879629629631</v>
      </c>
      <c r="J9140">
        <v>44791</v>
      </c>
    </row>
    <row r="9141" spans="1:10" x14ac:dyDescent="0.35">
      <c r="A9141" s="2">
        <v>44802</v>
      </c>
      <c r="B9141" s="3">
        <v>0.81575231481481481</v>
      </c>
      <c r="C9141">
        <v>2511</v>
      </c>
      <c r="D9141" t="str">
        <f>VLOOKUP(H9141,Produkt!$A$2:$B$5,2,FALSE)</f>
        <v>C</v>
      </c>
      <c r="H9141">
        <v>3</v>
      </c>
      <c r="I9141">
        <v>0.83009259259259249</v>
      </c>
      <c r="J9141">
        <v>44798</v>
      </c>
    </row>
    <row r="9142" spans="1:10" x14ac:dyDescent="0.35">
      <c r="A9142" s="2">
        <v>44802</v>
      </c>
      <c r="B9142" s="3">
        <v>0.95603009259259253</v>
      </c>
      <c r="C9142">
        <v>2542</v>
      </c>
      <c r="D9142" t="str">
        <f>VLOOKUP(H9142,Produkt!$A$2:$B$5,2,FALSE)</f>
        <v>B</v>
      </c>
      <c r="H9142">
        <v>2</v>
      </c>
      <c r="I9142">
        <v>0.63263888888888886</v>
      </c>
      <c r="J9142">
        <v>44802</v>
      </c>
    </row>
    <row r="9143" spans="1:10" x14ac:dyDescent="0.35">
      <c r="A9143" s="2">
        <v>44802</v>
      </c>
      <c r="B9143" s="3">
        <v>0.47834490740740737</v>
      </c>
      <c r="C9143">
        <v>2545</v>
      </c>
      <c r="D9143" t="str">
        <f>VLOOKUP(H9143,Produkt!$A$2:$B$5,2,FALSE)</f>
        <v>D</v>
      </c>
      <c r="H9143">
        <v>4</v>
      </c>
      <c r="I9143">
        <v>0.90638888888888891</v>
      </c>
      <c r="J9143">
        <v>44780</v>
      </c>
    </row>
    <row r="9144" spans="1:10" x14ac:dyDescent="0.35">
      <c r="A9144" s="2">
        <v>44802</v>
      </c>
      <c r="B9144" s="3">
        <v>0.67038194444444443</v>
      </c>
      <c r="C9144">
        <v>2546</v>
      </c>
      <c r="D9144" t="str">
        <f>VLOOKUP(H9144,Produkt!$A$2:$B$5,2,FALSE)</f>
        <v>D</v>
      </c>
      <c r="H9144">
        <v>4</v>
      </c>
      <c r="I9144">
        <v>0.97803240740740749</v>
      </c>
      <c r="J9144">
        <v>44790</v>
      </c>
    </row>
    <row r="9145" spans="1:10" x14ac:dyDescent="0.35">
      <c r="A9145" s="2">
        <v>44802</v>
      </c>
      <c r="B9145" s="3">
        <v>0.46519675925925924</v>
      </c>
      <c r="C9145">
        <v>2556</v>
      </c>
      <c r="D9145" t="str">
        <f>VLOOKUP(H9145,Produkt!$A$2:$B$5,2,FALSE)</f>
        <v>B</v>
      </c>
      <c r="H9145">
        <v>2</v>
      </c>
      <c r="I9145">
        <v>0.65085648148148145</v>
      </c>
      <c r="J9145">
        <v>44785</v>
      </c>
    </row>
    <row r="9146" spans="1:10" x14ac:dyDescent="0.35">
      <c r="A9146" s="2">
        <v>44802</v>
      </c>
      <c r="B9146" s="3">
        <v>0.4621527777777778</v>
      </c>
      <c r="C9146">
        <v>2606</v>
      </c>
      <c r="D9146" t="str">
        <f>VLOOKUP(H9146,Produkt!$A$2:$B$5,2,FALSE)</f>
        <v>C</v>
      </c>
      <c r="H9146">
        <v>3</v>
      </c>
      <c r="I9146">
        <v>0.69533564814814808</v>
      </c>
      <c r="J9146">
        <v>44790</v>
      </c>
    </row>
    <row r="9147" spans="1:10" x14ac:dyDescent="0.35">
      <c r="A9147" s="2">
        <v>44802</v>
      </c>
      <c r="B9147" s="3">
        <v>0.46984953703703702</v>
      </c>
      <c r="C9147">
        <v>2607</v>
      </c>
      <c r="D9147" t="str">
        <f>VLOOKUP(H9147,Produkt!$A$2:$B$5,2,FALSE)</f>
        <v>A</v>
      </c>
      <c r="H9147">
        <v>1</v>
      </c>
      <c r="I9147">
        <v>0.74613425925925936</v>
      </c>
      <c r="J9147">
        <v>44781</v>
      </c>
    </row>
    <row r="9148" spans="1:10" x14ac:dyDescent="0.35">
      <c r="A9148" s="2">
        <v>44802</v>
      </c>
      <c r="B9148" s="3">
        <v>0.19121527777777778</v>
      </c>
      <c r="C9148">
        <v>2608</v>
      </c>
      <c r="D9148" t="str">
        <f>VLOOKUP(H9148,Produkt!$A$2:$B$5,2,FALSE)</f>
        <v>B</v>
      </c>
      <c r="H9148">
        <v>2</v>
      </c>
      <c r="I9148">
        <v>0.2209837962962963</v>
      </c>
      <c r="J9148">
        <v>44798</v>
      </c>
    </row>
    <row r="9149" spans="1:10" x14ac:dyDescent="0.35">
      <c r="A9149" s="2">
        <v>44802</v>
      </c>
      <c r="B9149" s="3">
        <v>0.54660879629629633</v>
      </c>
      <c r="C9149">
        <v>2622</v>
      </c>
      <c r="D9149" t="str">
        <f>VLOOKUP(H9149,Produkt!$A$2:$B$5,2,FALSE)</f>
        <v>D</v>
      </c>
      <c r="H9149">
        <v>4</v>
      </c>
      <c r="I9149">
        <v>0.2388888888888889</v>
      </c>
      <c r="J9149">
        <v>44790</v>
      </c>
    </row>
    <row r="9150" spans="1:10" x14ac:dyDescent="0.35">
      <c r="A9150" s="2">
        <v>44802</v>
      </c>
      <c r="B9150" s="3">
        <v>0.90668981481481481</v>
      </c>
      <c r="C9150">
        <v>2663</v>
      </c>
      <c r="D9150" t="str">
        <f>VLOOKUP(H9150,Produkt!$A$2:$B$5,2,FALSE)</f>
        <v>D</v>
      </c>
      <c r="H9150">
        <v>4</v>
      </c>
      <c r="I9150">
        <v>0.11623842592592593</v>
      </c>
      <c r="J9150">
        <v>44778</v>
      </c>
    </row>
    <row r="9151" spans="1:10" x14ac:dyDescent="0.35">
      <c r="A9151" s="2">
        <v>44802</v>
      </c>
      <c r="B9151" s="3">
        <v>0.45479166666666665</v>
      </c>
      <c r="C9151">
        <v>2721</v>
      </c>
      <c r="D9151" t="str">
        <f>VLOOKUP(H9151,Produkt!$A$2:$B$5,2,FALSE)</f>
        <v>C</v>
      </c>
      <c r="H9151">
        <v>3</v>
      </c>
      <c r="I9151">
        <v>0.84614583333333337</v>
      </c>
      <c r="J9151">
        <v>44796</v>
      </c>
    </row>
    <row r="9152" spans="1:10" x14ac:dyDescent="0.35">
      <c r="A9152" s="2">
        <v>44802</v>
      </c>
      <c r="B9152" s="3">
        <v>6.7905092592592586E-2</v>
      </c>
      <c r="C9152">
        <v>2807</v>
      </c>
      <c r="D9152" t="str">
        <f>VLOOKUP(H9152,Produkt!$A$2:$B$5,2,FALSE)</f>
        <v>B</v>
      </c>
      <c r="H9152">
        <v>2</v>
      </c>
      <c r="I9152">
        <v>0.49085648148148148</v>
      </c>
      <c r="J9152">
        <v>44800</v>
      </c>
    </row>
    <row r="9153" spans="1:10" x14ac:dyDescent="0.35">
      <c r="A9153" s="2">
        <v>44802</v>
      </c>
      <c r="B9153" s="3">
        <v>0.16415509259259259</v>
      </c>
      <c r="C9153">
        <v>2836</v>
      </c>
      <c r="D9153" t="str">
        <f>VLOOKUP(H9153,Produkt!$A$2:$B$5,2,FALSE)</f>
        <v>A</v>
      </c>
      <c r="H9153">
        <v>1</v>
      </c>
      <c r="I9153">
        <v>2.7071759259259257E-2</v>
      </c>
      <c r="J9153">
        <v>44799</v>
      </c>
    </row>
    <row r="9154" spans="1:10" x14ac:dyDescent="0.35">
      <c r="A9154" s="2">
        <v>44802</v>
      </c>
      <c r="B9154" s="3">
        <v>0.43584490740740739</v>
      </c>
      <c r="C9154">
        <v>2851</v>
      </c>
      <c r="D9154" t="str">
        <f>VLOOKUP(H9154,Produkt!$A$2:$B$5,2,FALSE)</f>
        <v>B</v>
      </c>
      <c r="H9154">
        <v>2</v>
      </c>
      <c r="I9154">
        <v>0.82692129629629629</v>
      </c>
      <c r="J9154">
        <v>44788</v>
      </c>
    </row>
    <row r="9155" spans="1:10" x14ac:dyDescent="0.35">
      <c r="A9155" s="2">
        <v>44802</v>
      </c>
      <c r="B9155" s="3">
        <v>0.78642361111111114</v>
      </c>
      <c r="C9155">
        <v>2896</v>
      </c>
      <c r="D9155" t="str">
        <f>VLOOKUP(H9155,Produkt!$A$2:$B$5,2,FALSE)</f>
        <v>D</v>
      </c>
      <c r="H9155">
        <v>4</v>
      </c>
      <c r="I9155">
        <v>0.64033564814814814</v>
      </c>
      <c r="J9155">
        <v>44784</v>
      </c>
    </row>
    <row r="9156" spans="1:10" x14ac:dyDescent="0.35">
      <c r="A9156" s="2">
        <v>44802</v>
      </c>
      <c r="B9156" s="3">
        <v>5.2546296296296369E-3</v>
      </c>
      <c r="C9156">
        <v>2905</v>
      </c>
      <c r="D9156" t="str">
        <f>VLOOKUP(H9156,Produkt!$A$2:$B$5,2,FALSE)</f>
        <v>C</v>
      </c>
      <c r="H9156">
        <v>3</v>
      </c>
      <c r="I9156">
        <v>0.53230324074074076</v>
      </c>
      <c r="J9156">
        <v>44803</v>
      </c>
    </row>
    <row r="9157" spans="1:10" x14ac:dyDescent="0.35">
      <c r="A9157" s="2">
        <v>44802</v>
      </c>
      <c r="B9157" s="3">
        <v>0.49959490740740736</v>
      </c>
      <c r="C9157">
        <v>2906</v>
      </c>
      <c r="D9157" t="str">
        <f>VLOOKUP(H9157,Produkt!$A$2:$B$5,2,FALSE)</f>
        <v>B</v>
      </c>
      <c r="H9157">
        <v>2</v>
      </c>
      <c r="I9157">
        <v>0.40552083333333333</v>
      </c>
      <c r="J9157">
        <v>44779</v>
      </c>
    </row>
    <row r="9158" spans="1:10" x14ac:dyDescent="0.35">
      <c r="A9158" s="2">
        <v>44802</v>
      </c>
      <c r="B9158" s="3">
        <v>0.84254629629629629</v>
      </c>
      <c r="C9158">
        <v>2998</v>
      </c>
      <c r="D9158" t="str">
        <f>VLOOKUP(H9158,Produkt!$A$2:$B$5,2,FALSE)</f>
        <v>B</v>
      </c>
      <c r="H9158">
        <v>2</v>
      </c>
      <c r="I9158">
        <v>0.18243055555555554</v>
      </c>
      <c r="J9158">
        <v>44797</v>
      </c>
    </row>
    <row r="9159" spans="1:10" x14ac:dyDescent="0.35">
      <c r="A9159" s="2">
        <v>44802</v>
      </c>
      <c r="B9159" s="3">
        <v>0.44930555555555557</v>
      </c>
      <c r="C9159">
        <v>3030</v>
      </c>
      <c r="D9159" t="str">
        <f>VLOOKUP(H9159,Produkt!$A$2:$B$5,2,FALSE)</f>
        <v>D</v>
      </c>
      <c r="H9159">
        <v>4</v>
      </c>
      <c r="I9159">
        <v>0.70526620370370363</v>
      </c>
      <c r="J9159">
        <v>44785</v>
      </c>
    </row>
    <row r="9160" spans="1:10" x14ac:dyDescent="0.35">
      <c r="A9160" s="2">
        <v>44802</v>
      </c>
      <c r="B9160" s="3">
        <v>1.0671296296296262E-2</v>
      </c>
      <c r="C9160">
        <v>3037</v>
      </c>
      <c r="D9160" t="str">
        <f>VLOOKUP(H9160,Produkt!$A$2:$B$5,2,FALSE)</f>
        <v>D</v>
      </c>
      <c r="H9160">
        <v>4</v>
      </c>
      <c r="I9160">
        <v>0.56179398148148152</v>
      </c>
      <c r="J9160">
        <v>44787</v>
      </c>
    </row>
    <row r="9161" spans="1:10" x14ac:dyDescent="0.35">
      <c r="A9161" s="2">
        <v>44802</v>
      </c>
      <c r="B9161" s="3">
        <v>0.31038194444444445</v>
      </c>
      <c r="C9161">
        <v>3130</v>
      </c>
      <c r="D9161" t="str">
        <f>VLOOKUP(H9161,Produkt!$A$2:$B$5,2,FALSE)</f>
        <v>B</v>
      </c>
      <c r="H9161">
        <v>2</v>
      </c>
      <c r="I9161">
        <v>0.85770833333333341</v>
      </c>
      <c r="J9161">
        <v>44795</v>
      </c>
    </row>
    <row r="9162" spans="1:10" x14ac:dyDescent="0.35">
      <c r="A9162" s="2">
        <v>44802</v>
      </c>
      <c r="B9162" s="3">
        <v>0.66888888888888898</v>
      </c>
      <c r="C9162">
        <v>3226</v>
      </c>
      <c r="D9162" t="str">
        <f>VLOOKUP(H9162,Produkt!$A$2:$B$5,2,FALSE)</f>
        <v>C</v>
      </c>
      <c r="H9162">
        <v>3</v>
      </c>
      <c r="I9162">
        <v>0.34833333333333333</v>
      </c>
      <c r="J9162">
        <v>44776</v>
      </c>
    </row>
    <row r="9163" spans="1:10" x14ac:dyDescent="0.35">
      <c r="A9163" s="2">
        <v>44802</v>
      </c>
      <c r="B9163" s="3">
        <v>0.40084490740740741</v>
      </c>
      <c r="C9163">
        <v>3229</v>
      </c>
      <c r="D9163" t="str">
        <f>VLOOKUP(H9163,Produkt!$A$2:$B$5,2,FALSE)</f>
        <v>C</v>
      </c>
      <c r="H9163">
        <v>3</v>
      </c>
      <c r="I9163">
        <v>3.1921296296296302E-2</v>
      </c>
      <c r="J9163">
        <v>44794</v>
      </c>
    </row>
    <row r="9164" spans="1:10" x14ac:dyDescent="0.35">
      <c r="A9164" s="2">
        <v>44802</v>
      </c>
      <c r="B9164" s="3">
        <v>5.8159722222222217E-2</v>
      </c>
      <c r="C9164">
        <v>3260</v>
      </c>
      <c r="D9164" t="str">
        <f>VLOOKUP(H9164,Produkt!$A$2:$B$5,2,FALSE)</f>
        <v>A</v>
      </c>
      <c r="H9164">
        <v>1</v>
      </c>
      <c r="I9164">
        <v>0.35019675925925925</v>
      </c>
      <c r="J9164">
        <v>44775</v>
      </c>
    </row>
    <row r="9165" spans="1:10" x14ac:dyDescent="0.35">
      <c r="A9165" s="2">
        <v>44802</v>
      </c>
      <c r="B9165" s="3">
        <v>0.99600694444444438</v>
      </c>
      <c r="C9165">
        <v>3271</v>
      </c>
      <c r="D9165" t="str">
        <f>VLOOKUP(H9165,Produkt!$A$2:$B$5,2,FALSE)</f>
        <v>D</v>
      </c>
      <c r="H9165">
        <v>4</v>
      </c>
      <c r="I9165">
        <v>0.25725694444444441</v>
      </c>
      <c r="J9165">
        <v>44784</v>
      </c>
    </row>
    <row r="9166" spans="1:10" x14ac:dyDescent="0.35">
      <c r="A9166" s="2">
        <v>44802</v>
      </c>
      <c r="B9166" s="3">
        <v>0.73690972222222229</v>
      </c>
      <c r="C9166">
        <v>3298</v>
      </c>
      <c r="D9166" t="str">
        <f>VLOOKUP(H9166,Produkt!$A$2:$B$5,2,FALSE)</f>
        <v>D</v>
      </c>
      <c r="H9166">
        <v>4</v>
      </c>
      <c r="I9166">
        <v>9.3124999999999999E-2</v>
      </c>
      <c r="J9166">
        <v>44793</v>
      </c>
    </row>
    <row r="9167" spans="1:10" x14ac:dyDescent="0.35">
      <c r="A9167" s="2">
        <v>44802</v>
      </c>
      <c r="B9167" s="3">
        <v>0.55040509259259263</v>
      </c>
      <c r="C9167">
        <v>3318</v>
      </c>
      <c r="D9167" t="str">
        <f>VLOOKUP(H9167,Produkt!$A$2:$B$5,2,FALSE)</f>
        <v>C</v>
      </c>
      <c r="H9167">
        <v>3</v>
      </c>
      <c r="I9167">
        <v>0.91528935185185178</v>
      </c>
      <c r="J9167">
        <v>44776</v>
      </c>
    </row>
    <row r="9168" spans="1:10" x14ac:dyDescent="0.35">
      <c r="A9168" s="2">
        <v>44802</v>
      </c>
      <c r="B9168" s="3">
        <v>0.57729166666666665</v>
      </c>
      <c r="C9168">
        <v>3387</v>
      </c>
      <c r="D9168" t="str">
        <f>VLOOKUP(H9168,Produkt!$A$2:$B$5,2,FALSE)</f>
        <v>B</v>
      </c>
      <c r="H9168">
        <v>2</v>
      </c>
      <c r="I9168">
        <v>6.4618055555555554E-2</v>
      </c>
      <c r="J9168">
        <v>44800</v>
      </c>
    </row>
    <row r="9169" spans="1:10" x14ac:dyDescent="0.35">
      <c r="A9169" s="2">
        <v>44802</v>
      </c>
      <c r="B9169" s="3">
        <v>0.19273148148148148</v>
      </c>
      <c r="C9169">
        <v>3399</v>
      </c>
      <c r="D9169" t="str">
        <f>VLOOKUP(H9169,Produkt!$A$2:$B$5,2,FALSE)</f>
        <v>D</v>
      </c>
      <c r="H9169">
        <v>4</v>
      </c>
      <c r="I9169">
        <v>7.2916666666666963E-3</v>
      </c>
      <c r="J9169">
        <v>44790</v>
      </c>
    </row>
    <row r="9170" spans="1:10" x14ac:dyDescent="0.35">
      <c r="A9170" s="2">
        <v>44802</v>
      </c>
      <c r="B9170" s="3">
        <v>9.4907407407407399E-2</v>
      </c>
      <c r="C9170">
        <v>3462</v>
      </c>
      <c r="D9170" t="str">
        <f>VLOOKUP(H9170,Produkt!$A$2:$B$5,2,FALSE)</f>
        <v>D</v>
      </c>
      <c r="H9170">
        <v>4</v>
      </c>
      <c r="I9170">
        <v>0.59777777777777785</v>
      </c>
      <c r="J9170">
        <v>44798</v>
      </c>
    </row>
    <row r="9171" spans="1:10" x14ac:dyDescent="0.35">
      <c r="A9171" s="2">
        <v>44802</v>
      </c>
      <c r="B9171" s="3">
        <v>0.20239583333333333</v>
      </c>
      <c r="C9171">
        <v>3470</v>
      </c>
      <c r="D9171" t="str">
        <f>VLOOKUP(H9171,Produkt!$A$2:$B$5,2,FALSE)</f>
        <v>C</v>
      </c>
      <c r="H9171">
        <v>3</v>
      </c>
      <c r="I9171">
        <v>0.4576157407407408</v>
      </c>
      <c r="J9171">
        <v>44787</v>
      </c>
    </row>
    <row r="9172" spans="1:10" x14ac:dyDescent="0.35">
      <c r="A9172" s="2">
        <v>44802</v>
      </c>
      <c r="B9172" s="3">
        <v>0.15943287037037038</v>
      </c>
      <c r="C9172">
        <v>3523</v>
      </c>
      <c r="D9172" t="str">
        <f>VLOOKUP(H9172,Produkt!$A$2:$B$5,2,FALSE)</f>
        <v>C</v>
      </c>
      <c r="H9172">
        <v>3</v>
      </c>
      <c r="I9172">
        <v>0.93285879629629631</v>
      </c>
      <c r="J9172">
        <v>44778</v>
      </c>
    </row>
    <row r="9173" spans="1:10" x14ac:dyDescent="0.35">
      <c r="A9173" s="2">
        <v>44802</v>
      </c>
      <c r="B9173" s="3">
        <v>3.3055555555555553E-2</v>
      </c>
      <c r="C9173">
        <v>3528</v>
      </c>
      <c r="D9173" t="str">
        <f>VLOOKUP(H9173,Produkt!$A$2:$B$5,2,FALSE)</f>
        <v>B</v>
      </c>
      <c r="H9173">
        <v>2</v>
      </c>
      <c r="I9173">
        <v>0.44881944444444444</v>
      </c>
      <c r="J9173">
        <v>44783</v>
      </c>
    </row>
    <row r="9174" spans="1:10" x14ac:dyDescent="0.35">
      <c r="A9174" s="2">
        <v>44802</v>
      </c>
      <c r="B9174" s="3">
        <v>0.84650462962962969</v>
      </c>
      <c r="C9174">
        <v>3609</v>
      </c>
      <c r="D9174" t="str">
        <f>VLOOKUP(H9174,Produkt!$A$2:$B$5,2,FALSE)</f>
        <v>A</v>
      </c>
      <c r="H9174">
        <v>1</v>
      </c>
      <c r="I9174">
        <v>0.75408564814814805</v>
      </c>
      <c r="J9174">
        <v>44803</v>
      </c>
    </row>
    <row r="9175" spans="1:10" x14ac:dyDescent="0.35">
      <c r="A9175" s="2">
        <v>44802</v>
      </c>
      <c r="B9175" s="3">
        <v>0.2162847222222222</v>
      </c>
      <c r="C9175">
        <v>3639</v>
      </c>
      <c r="D9175" t="str">
        <f>VLOOKUP(H9175,Produkt!$A$2:$B$5,2,FALSE)</f>
        <v>B</v>
      </c>
      <c r="H9175">
        <v>2</v>
      </c>
      <c r="I9175">
        <v>0.95884259259259252</v>
      </c>
      <c r="J9175">
        <v>44787</v>
      </c>
    </row>
    <row r="9176" spans="1:10" x14ac:dyDescent="0.35">
      <c r="A9176" s="2">
        <v>44802</v>
      </c>
      <c r="B9176" s="3">
        <v>0.4878587962962963</v>
      </c>
      <c r="C9176">
        <v>3740</v>
      </c>
      <c r="D9176" t="str">
        <f>VLOOKUP(H9176,Produkt!$A$2:$B$5,2,FALSE)</f>
        <v>B</v>
      </c>
      <c r="H9176">
        <v>2</v>
      </c>
      <c r="I9176">
        <v>0.60834490740740743</v>
      </c>
      <c r="J9176">
        <v>44790</v>
      </c>
    </row>
    <row r="9177" spans="1:10" x14ac:dyDescent="0.35">
      <c r="A9177" s="2">
        <v>44802</v>
      </c>
      <c r="B9177" s="3">
        <v>0.21403935185185186</v>
      </c>
      <c r="C9177">
        <v>3751</v>
      </c>
      <c r="D9177" t="str">
        <f>VLOOKUP(H9177,Produkt!$A$2:$B$5,2,FALSE)</f>
        <v>B</v>
      </c>
      <c r="H9177">
        <v>2</v>
      </c>
      <c r="I9177">
        <v>2.3773148148148151E-2</v>
      </c>
      <c r="J9177">
        <v>44785</v>
      </c>
    </row>
    <row r="9178" spans="1:10" x14ac:dyDescent="0.35">
      <c r="A9178" s="2">
        <v>44802</v>
      </c>
      <c r="B9178" s="3">
        <v>0.24271990740740743</v>
      </c>
      <c r="C9178">
        <v>3756</v>
      </c>
      <c r="D9178" t="str">
        <f>VLOOKUP(H9178,Produkt!$A$2:$B$5,2,FALSE)</f>
        <v>C</v>
      </c>
      <c r="H9178">
        <v>3</v>
      </c>
      <c r="I9178">
        <v>0.22364583333333332</v>
      </c>
      <c r="J9178">
        <v>44788</v>
      </c>
    </row>
    <row r="9179" spans="1:10" x14ac:dyDescent="0.35">
      <c r="A9179" s="2">
        <v>44802</v>
      </c>
      <c r="B9179" s="3">
        <v>0.22583333333333333</v>
      </c>
      <c r="C9179">
        <v>3774</v>
      </c>
      <c r="D9179" t="str">
        <f>VLOOKUP(H9179,Produkt!$A$2:$B$5,2,FALSE)</f>
        <v>B</v>
      </c>
      <c r="H9179">
        <v>2</v>
      </c>
      <c r="I9179">
        <v>0.27361111111111108</v>
      </c>
      <c r="J9179">
        <v>44782</v>
      </c>
    </row>
    <row r="9180" spans="1:10" x14ac:dyDescent="0.35">
      <c r="A9180" s="2">
        <v>44802</v>
      </c>
      <c r="B9180" s="3">
        <v>0.58043981481481477</v>
      </c>
      <c r="C9180">
        <v>3799</v>
      </c>
      <c r="D9180" t="str">
        <f>VLOOKUP(H9180,Produkt!$A$2:$B$5,2,FALSE)</f>
        <v>B</v>
      </c>
      <c r="H9180">
        <v>2</v>
      </c>
      <c r="I9180">
        <v>0.33182870370370371</v>
      </c>
      <c r="J9180">
        <v>44802</v>
      </c>
    </row>
    <row r="9181" spans="1:10" x14ac:dyDescent="0.35">
      <c r="A9181" s="2">
        <v>44802</v>
      </c>
      <c r="B9181" s="3">
        <v>0.78509259259259256</v>
      </c>
      <c r="C9181">
        <v>3818</v>
      </c>
      <c r="D9181" t="str">
        <f>VLOOKUP(H9181,Produkt!$A$2:$B$5,2,FALSE)</f>
        <v>D</v>
      </c>
      <c r="H9181">
        <v>4</v>
      </c>
      <c r="I9181">
        <v>0.66100694444444441</v>
      </c>
      <c r="J9181">
        <v>44801</v>
      </c>
    </row>
    <row r="9182" spans="1:10" x14ac:dyDescent="0.35">
      <c r="A9182" s="2">
        <v>44802</v>
      </c>
      <c r="B9182" s="3">
        <v>0.5782870370370371</v>
      </c>
      <c r="C9182">
        <v>3850</v>
      </c>
      <c r="D9182" t="str">
        <f>VLOOKUP(H9182,Produkt!$A$2:$B$5,2,FALSE)</f>
        <v>B</v>
      </c>
      <c r="H9182">
        <v>2</v>
      </c>
      <c r="I9182">
        <v>0.43251157407407409</v>
      </c>
      <c r="J9182">
        <v>44782</v>
      </c>
    </row>
    <row r="9183" spans="1:10" x14ac:dyDescent="0.35">
      <c r="A9183" s="2">
        <v>44802</v>
      </c>
      <c r="B9183" s="3">
        <v>0.42953703703703705</v>
      </c>
      <c r="C9183">
        <v>3855</v>
      </c>
      <c r="D9183" t="str">
        <f>VLOOKUP(H9183,Produkt!$A$2:$B$5,2,FALSE)</f>
        <v>B</v>
      </c>
      <c r="H9183">
        <v>2</v>
      </c>
      <c r="I9183">
        <v>0.84295138888888888</v>
      </c>
      <c r="J9183">
        <v>44786</v>
      </c>
    </row>
    <row r="9184" spans="1:10" x14ac:dyDescent="0.35">
      <c r="A9184" s="2">
        <v>44802</v>
      </c>
      <c r="B9184" s="3">
        <v>0.79424768518518529</v>
      </c>
      <c r="C9184">
        <v>3873</v>
      </c>
      <c r="D9184" t="str">
        <f>VLOOKUP(H9184,Produkt!$A$2:$B$5,2,FALSE)</f>
        <v>B</v>
      </c>
      <c r="H9184">
        <v>2</v>
      </c>
      <c r="I9184">
        <v>0.15155092592592592</v>
      </c>
      <c r="J9184">
        <v>44779</v>
      </c>
    </row>
    <row r="9185" spans="1:10" x14ac:dyDescent="0.35">
      <c r="A9185" s="2">
        <v>44802</v>
      </c>
      <c r="B9185" s="3">
        <v>0.97486111111111118</v>
      </c>
      <c r="C9185">
        <v>3913</v>
      </c>
      <c r="D9185" t="str">
        <f>VLOOKUP(H9185,Produkt!$A$2:$B$5,2,FALSE)</f>
        <v>B</v>
      </c>
      <c r="H9185">
        <v>2</v>
      </c>
      <c r="I9185">
        <v>0.2678240740740741</v>
      </c>
      <c r="J9185">
        <v>44781</v>
      </c>
    </row>
    <row r="9186" spans="1:10" x14ac:dyDescent="0.35">
      <c r="A9186" s="2">
        <v>44802</v>
      </c>
      <c r="B9186" s="3">
        <v>0.36474537037037041</v>
      </c>
      <c r="C9186">
        <v>3944</v>
      </c>
      <c r="D9186" t="str">
        <f>VLOOKUP(H9186,Produkt!$A$2:$B$5,2,FALSE)</f>
        <v>D</v>
      </c>
      <c r="H9186">
        <v>4</v>
      </c>
      <c r="I9186">
        <v>0.65685185185185191</v>
      </c>
      <c r="J9186">
        <v>44785</v>
      </c>
    </row>
    <row r="9187" spans="1:10" x14ac:dyDescent="0.35">
      <c r="A9187" s="2">
        <v>44802</v>
      </c>
      <c r="B9187" s="3">
        <v>0.56541666666666668</v>
      </c>
      <c r="C9187">
        <v>3959</v>
      </c>
      <c r="D9187" t="str">
        <f>VLOOKUP(H9187,Produkt!$A$2:$B$5,2,FALSE)</f>
        <v>A</v>
      </c>
      <c r="H9187">
        <v>1</v>
      </c>
      <c r="I9187">
        <v>9.7222222222222224E-3</v>
      </c>
      <c r="J9187">
        <v>44797</v>
      </c>
    </row>
    <row r="9188" spans="1:10" x14ac:dyDescent="0.35">
      <c r="A9188" s="2">
        <v>44802</v>
      </c>
      <c r="B9188" s="3">
        <v>0.96248842592592598</v>
      </c>
      <c r="C9188">
        <v>4033</v>
      </c>
      <c r="D9188" t="str">
        <f>VLOOKUP(H9188,Produkt!$A$2:$B$5,2,FALSE)</f>
        <v>A</v>
      </c>
      <c r="H9188">
        <v>1</v>
      </c>
      <c r="I9188">
        <v>0.63820601851851855</v>
      </c>
      <c r="J9188">
        <v>44775</v>
      </c>
    </row>
    <row r="9189" spans="1:10" x14ac:dyDescent="0.35">
      <c r="A9189" s="2">
        <v>44802</v>
      </c>
      <c r="B9189" s="3">
        <v>0.21056712962962965</v>
      </c>
      <c r="C9189">
        <v>4087</v>
      </c>
      <c r="D9189" t="str">
        <f>VLOOKUP(H9189,Produkt!$A$2:$B$5,2,FALSE)</f>
        <v>B</v>
      </c>
      <c r="H9189">
        <v>2</v>
      </c>
      <c r="I9189">
        <v>0.87776620370370362</v>
      </c>
      <c r="J9189">
        <v>44789</v>
      </c>
    </row>
    <row r="9190" spans="1:10" x14ac:dyDescent="0.35">
      <c r="A9190" s="2">
        <v>44802</v>
      </c>
      <c r="B9190" s="3">
        <v>0.25412037037037039</v>
      </c>
      <c r="C9190">
        <v>4090</v>
      </c>
      <c r="D9190" t="str">
        <f>VLOOKUP(H9190,Produkt!$A$2:$B$5,2,FALSE)</f>
        <v>D</v>
      </c>
      <c r="H9190">
        <v>4</v>
      </c>
      <c r="I9190">
        <v>0.93991898148148145</v>
      </c>
      <c r="J9190">
        <v>44793</v>
      </c>
    </row>
    <row r="9191" spans="1:10" x14ac:dyDescent="0.35">
      <c r="A9191" s="2">
        <v>44802</v>
      </c>
      <c r="B9191" s="3">
        <v>0.75491898148148151</v>
      </c>
      <c r="C9191">
        <v>4092</v>
      </c>
      <c r="D9191" t="str">
        <f>VLOOKUP(H9191,Produkt!$A$2:$B$5,2,FALSE)</f>
        <v>C</v>
      </c>
      <c r="H9191">
        <v>3</v>
      </c>
      <c r="I9191">
        <v>1.2800925925925855E-2</v>
      </c>
      <c r="J9191">
        <v>44786</v>
      </c>
    </row>
    <row r="9192" spans="1:10" x14ac:dyDescent="0.35">
      <c r="A9192" s="2">
        <v>44802</v>
      </c>
      <c r="B9192" s="3">
        <v>0.87950231481481478</v>
      </c>
      <c r="C9192">
        <v>4112</v>
      </c>
      <c r="D9192" t="str">
        <f>VLOOKUP(H9192,Produkt!$A$2:$B$5,2,FALSE)</f>
        <v>B</v>
      </c>
      <c r="H9192">
        <v>2</v>
      </c>
      <c r="I9192">
        <v>0.53562500000000002</v>
      </c>
      <c r="J9192">
        <v>44790</v>
      </c>
    </row>
    <row r="9193" spans="1:10" x14ac:dyDescent="0.35">
      <c r="A9193" s="2">
        <v>44802</v>
      </c>
      <c r="B9193" s="3">
        <v>1.7256944444444446E-2</v>
      </c>
      <c r="C9193">
        <v>4129</v>
      </c>
      <c r="D9193" t="str">
        <f>VLOOKUP(H9193,Produkt!$A$2:$B$5,2,FALSE)</f>
        <v>B</v>
      </c>
      <c r="H9193">
        <v>2</v>
      </c>
      <c r="I9193">
        <v>0.35708333333333336</v>
      </c>
      <c r="J9193">
        <v>44790</v>
      </c>
    </row>
    <row r="9194" spans="1:10" x14ac:dyDescent="0.35">
      <c r="A9194" s="2">
        <v>44802</v>
      </c>
      <c r="B9194" s="3">
        <v>0.13753472222222221</v>
      </c>
      <c r="C9194">
        <v>4148</v>
      </c>
      <c r="D9194" t="str">
        <f>VLOOKUP(H9194,Produkt!$A$2:$B$5,2,FALSE)</f>
        <v>C</v>
      </c>
      <c r="H9194">
        <v>3</v>
      </c>
      <c r="I9194">
        <v>0.71297453703703706</v>
      </c>
      <c r="J9194">
        <v>44775</v>
      </c>
    </row>
    <row r="9195" spans="1:10" x14ac:dyDescent="0.35">
      <c r="A9195" s="2">
        <v>44802</v>
      </c>
      <c r="B9195" s="3">
        <v>0.67171296296296301</v>
      </c>
      <c r="C9195">
        <v>4152</v>
      </c>
      <c r="D9195" t="str">
        <f>VLOOKUP(H9195,Produkt!$A$2:$B$5,2,FALSE)</f>
        <v>B</v>
      </c>
      <c r="H9195">
        <v>2</v>
      </c>
      <c r="I9195">
        <v>0.20314814814814816</v>
      </c>
      <c r="J9195">
        <v>44779</v>
      </c>
    </row>
    <row r="9196" spans="1:10" x14ac:dyDescent="0.35">
      <c r="A9196" s="2">
        <v>44802</v>
      </c>
      <c r="B9196" s="3">
        <v>0.69715277777777773</v>
      </c>
      <c r="C9196">
        <v>4346</v>
      </c>
      <c r="D9196" t="str">
        <f>VLOOKUP(H9196,Produkt!$A$2:$B$5,2,FALSE)</f>
        <v>B</v>
      </c>
      <c r="H9196">
        <v>2</v>
      </c>
      <c r="I9196">
        <v>0.48055555555555557</v>
      </c>
      <c r="J9196">
        <v>44783</v>
      </c>
    </row>
    <row r="9197" spans="1:10" x14ac:dyDescent="0.35">
      <c r="A9197" s="2">
        <v>44802</v>
      </c>
      <c r="B9197" s="3">
        <v>7.2303240740740737E-2</v>
      </c>
      <c r="C9197">
        <v>4370</v>
      </c>
      <c r="D9197" t="str">
        <f>VLOOKUP(H9197,Produkt!$A$2:$B$5,2,FALSE)</f>
        <v>C</v>
      </c>
      <c r="H9197">
        <v>3</v>
      </c>
      <c r="I9197">
        <v>0.6734606481481481</v>
      </c>
      <c r="J9197">
        <v>44780</v>
      </c>
    </row>
    <row r="9198" spans="1:10" x14ac:dyDescent="0.35">
      <c r="A9198" s="2">
        <v>44802</v>
      </c>
      <c r="B9198" s="3">
        <v>0.12280092592592594</v>
      </c>
      <c r="C9198">
        <v>4401</v>
      </c>
      <c r="D9198" t="str">
        <f>VLOOKUP(H9198,Produkt!$A$2:$B$5,2,FALSE)</f>
        <v>C</v>
      </c>
      <c r="H9198">
        <v>3</v>
      </c>
      <c r="I9198">
        <v>7.1319444444444449E-2</v>
      </c>
      <c r="J9198">
        <v>44797</v>
      </c>
    </row>
    <row r="9199" spans="1:10" x14ac:dyDescent="0.35">
      <c r="A9199" s="2">
        <v>44802</v>
      </c>
      <c r="B9199" s="3">
        <v>0.62366898148148142</v>
      </c>
      <c r="C9199">
        <v>4406</v>
      </c>
      <c r="D9199" t="str">
        <f>VLOOKUP(H9199,Produkt!$A$2:$B$5,2,FALSE)</f>
        <v>B</v>
      </c>
      <c r="H9199">
        <v>2</v>
      </c>
      <c r="I9199">
        <v>0.55521990740740745</v>
      </c>
      <c r="J9199">
        <v>44792</v>
      </c>
    </row>
    <row r="9200" spans="1:10" x14ac:dyDescent="0.35">
      <c r="A9200" s="2">
        <v>44802</v>
      </c>
      <c r="B9200" s="3">
        <v>0.34991898148148143</v>
      </c>
      <c r="C9200">
        <v>4412</v>
      </c>
      <c r="D9200" t="str">
        <f>VLOOKUP(H9200,Produkt!$A$2:$B$5,2,FALSE)</f>
        <v>A</v>
      </c>
      <c r="H9200">
        <v>1</v>
      </c>
      <c r="I9200">
        <v>4.87037037037037E-2</v>
      </c>
      <c r="J9200">
        <v>44791</v>
      </c>
    </row>
    <row r="9201" spans="1:10" x14ac:dyDescent="0.35">
      <c r="A9201" s="2">
        <v>44802</v>
      </c>
      <c r="B9201" s="3">
        <v>0.8302314814814814</v>
      </c>
      <c r="C9201">
        <v>4456</v>
      </c>
      <c r="D9201" t="str">
        <f>VLOOKUP(H9201,Produkt!$A$2:$B$5,2,FALSE)</f>
        <v>B</v>
      </c>
      <c r="H9201">
        <v>2</v>
      </c>
      <c r="I9201">
        <v>0.50900462962962967</v>
      </c>
      <c r="J9201">
        <v>44792</v>
      </c>
    </row>
    <row r="9202" spans="1:10" x14ac:dyDescent="0.35">
      <c r="A9202" s="2">
        <v>44802</v>
      </c>
      <c r="B9202" s="3">
        <v>0.78400462962962969</v>
      </c>
      <c r="C9202">
        <v>4504</v>
      </c>
      <c r="D9202" t="str">
        <f>VLOOKUP(H9202,Produkt!$A$2:$B$5,2,FALSE)</f>
        <v>D</v>
      </c>
      <c r="H9202">
        <v>4</v>
      </c>
      <c r="I9202">
        <v>0.50160879629629629</v>
      </c>
      <c r="J9202">
        <v>44792</v>
      </c>
    </row>
    <row r="9203" spans="1:10" x14ac:dyDescent="0.35">
      <c r="A9203" s="2">
        <v>44802</v>
      </c>
      <c r="B9203" s="3">
        <v>0.15038194444444444</v>
      </c>
      <c r="C9203">
        <v>4505</v>
      </c>
      <c r="D9203" t="str">
        <f>VLOOKUP(H9203,Produkt!$A$2:$B$5,2,FALSE)</f>
        <v>A</v>
      </c>
      <c r="H9203">
        <v>1</v>
      </c>
      <c r="I9203">
        <v>0.59097222222222223</v>
      </c>
      <c r="J9203">
        <v>44804</v>
      </c>
    </row>
    <row r="9204" spans="1:10" x14ac:dyDescent="0.35">
      <c r="A9204" s="2">
        <v>44802</v>
      </c>
      <c r="B9204" s="3">
        <v>0.73805555555555558</v>
      </c>
      <c r="C9204">
        <v>4554</v>
      </c>
      <c r="D9204" t="str">
        <f>VLOOKUP(H9204,Produkt!$A$2:$B$5,2,FALSE)</f>
        <v>C</v>
      </c>
      <c r="H9204">
        <v>3</v>
      </c>
      <c r="I9204">
        <v>0.40825231481481478</v>
      </c>
      <c r="J9204">
        <v>44800</v>
      </c>
    </row>
    <row r="9205" spans="1:10" x14ac:dyDescent="0.35">
      <c r="A9205" s="2">
        <v>44802</v>
      </c>
      <c r="B9205" s="3">
        <v>0.17396990740740739</v>
      </c>
      <c r="C9205">
        <v>4573</v>
      </c>
      <c r="D9205" t="str">
        <f>VLOOKUP(H9205,Produkt!$A$2:$B$5,2,FALSE)</f>
        <v>C</v>
      </c>
      <c r="H9205">
        <v>3</v>
      </c>
      <c r="I9205">
        <v>0.43113425925925924</v>
      </c>
      <c r="J9205">
        <v>44782</v>
      </c>
    </row>
    <row r="9206" spans="1:10" x14ac:dyDescent="0.35">
      <c r="A9206" s="2">
        <v>44802</v>
      </c>
      <c r="B9206" s="3">
        <v>9.3645833333333331E-2</v>
      </c>
      <c r="C9206">
        <v>4590</v>
      </c>
      <c r="D9206" t="str">
        <f>VLOOKUP(H9206,Produkt!$A$2:$B$5,2,FALSE)</f>
        <v>A</v>
      </c>
      <c r="H9206">
        <v>1</v>
      </c>
      <c r="I9206">
        <v>0.42159722222222223</v>
      </c>
      <c r="J9206">
        <v>44801</v>
      </c>
    </row>
    <row r="9207" spans="1:10" x14ac:dyDescent="0.35">
      <c r="A9207" s="2">
        <v>44802</v>
      </c>
      <c r="B9207" s="3">
        <v>0.85081018518518514</v>
      </c>
      <c r="C9207">
        <v>4626</v>
      </c>
      <c r="D9207" t="str">
        <f>VLOOKUP(H9207,Produkt!$A$2:$B$5,2,FALSE)</f>
        <v>B</v>
      </c>
      <c r="H9207">
        <v>2</v>
      </c>
      <c r="I9207">
        <v>0.78711805555555558</v>
      </c>
      <c r="J9207">
        <v>44800</v>
      </c>
    </row>
    <row r="9208" spans="1:10" x14ac:dyDescent="0.35">
      <c r="A9208" s="2">
        <v>44802</v>
      </c>
      <c r="B9208" s="3">
        <v>0.68142361111111116</v>
      </c>
      <c r="C9208">
        <v>4760</v>
      </c>
      <c r="D9208" t="str">
        <f>VLOOKUP(H9208,Produkt!$A$2:$B$5,2,FALSE)</f>
        <v>A</v>
      </c>
      <c r="H9208">
        <v>1</v>
      </c>
      <c r="I9208">
        <v>5.4201388888888889E-2</v>
      </c>
      <c r="J9208">
        <v>44794</v>
      </c>
    </row>
    <row r="9209" spans="1:10" x14ac:dyDescent="0.35">
      <c r="A9209" s="2">
        <v>44802</v>
      </c>
      <c r="B9209" s="3">
        <v>0.90236111111111106</v>
      </c>
      <c r="C9209">
        <v>4792</v>
      </c>
      <c r="D9209" t="str">
        <f>VLOOKUP(H9209,Produkt!$A$2:$B$5,2,FALSE)</f>
        <v>C</v>
      </c>
      <c r="H9209">
        <v>3</v>
      </c>
      <c r="I9209">
        <v>0.38145833333333329</v>
      </c>
      <c r="J9209">
        <v>44791</v>
      </c>
    </row>
    <row r="9210" spans="1:10" x14ac:dyDescent="0.35">
      <c r="A9210" s="2">
        <v>44802</v>
      </c>
      <c r="B9210" s="3">
        <v>0.2830671296296296</v>
      </c>
      <c r="C9210">
        <v>4797</v>
      </c>
      <c r="D9210" t="str">
        <f>VLOOKUP(H9210,Produkt!$A$2:$B$5,2,FALSE)</f>
        <v>B</v>
      </c>
      <c r="H9210">
        <v>2</v>
      </c>
      <c r="I9210">
        <v>4.7118055555555559E-2</v>
      </c>
      <c r="J9210">
        <v>44800</v>
      </c>
    </row>
    <row r="9211" spans="1:10" x14ac:dyDescent="0.35">
      <c r="A9211" s="2">
        <v>44802</v>
      </c>
      <c r="B9211" s="3">
        <v>0.6381134259259259</v>
      </c>
      <c r="C9211">
        <v>4825</v>
      </c>
      <c r="D9211" t="str">
        <f>VLOOKUP(H9211,Produkt!$A$2:$B$5,2,FALSE)</f>
        <v>B</v>
      </c>
      <c r="H9211">
        <v>2</v>
      </c>
      <c r="I9211">
        <v>0.55653935185185188</v>
      </c>
      <c r="J9211">
        <v>44793</v>
      </c>
    </row>
    <row r="9212" spans="1:10" x14ac:dyDescent="0.35">
      <c r="A9212" s="2">
        <v>44802</v>
      </c>
      <c r="B9212" s="3">
        <v>0.77686342592592583</v>
      </c>
      <c r="C9212">
        <v>4849</v>
      </c>
      <c r="D9212" t="str">
        <f>VLOOKUP(H9212,Produkt!$A$2:$B$5,2,FALSE)</f>
        <v>C</v>
      </c>
      <c r="H9212">
        <v>3</v>
      </c>
      <c r="I9212">
        <v>0.50953703703703701</v>
      </c>
      <c r="J9212">
        <v>44793</v>
      </c>
    </row>
    <row r="9213" spans="1:10" x14ac:dyDescent="0.35">
      <c r="A9213" s="2">
        <v>44802</v>
      </c>
      <c r="B9213" s="3">
        <v>0.87878472222222215</v>
      </c>
      <c r="C9213">
        <v>4857</v>
      </c>
      <c r="D9213" t="str">
        <f>VLOOKUP(H9213,Produkt!$A$2:$B$5,2,FALSE)</f>
        <v>A</v>
      </c>
      <c r="H9213">
        <v>1</v>
      </c>
      <c r="I9213">
        <v>0.59788194444444442</v>
      </c>
      <c r="J9213">
        <v>44794</v>
      </c>
    </row>
    <row r="9214" spans="1:10" x14ac:dyDescent="0.35">
      <c r="A9214" s="2">
        <v>44802</v>
      </c>
      <c r="B9214" s="3">
        <v>0.85474537037037035</v>
      </c>
      <c r="C9214">
        <v>4915</v>
      </c>
      <c r="D9214" t="str">
        <f>VLOOKUP(H9214,Produkt!$A$2:$B$5,2,FALSE)</f>
        <v>A</v>
      </c>
      <c r="H9214">
        <v>1</v>
      </c>
      <c r="I9214">
        <v>0.65506944444444437</v>
      </c>
      <c r="J9214">
        <v>44803</v>
      </c>
    </row>
    <row r="9215" spans="1:10" x14ac:dyDescent="0.35">
      <c r="A9215" s="2">
        <v>44802</v>
      </c>
      <c r="B9215" s="3">
        <v>0.72940972222222233</v>
      </c>
      <c r="C9215">
        <v>4932</v>
      </c>
      <c r="D9215" t="str">
        <f>VLOOKUP(H9215,Produkt!$A$2:$B$5,2,FALSE)</f>
        <v>B</v>
      </c>
      <c r="H9215">
        <v>2</v>
      </c>
      <c r="I9215">
        <v>1.7557870370370265E-2</v>
      </c>
      <c r="J9215">
        <v>44778</v>
      </c>
    </row>
    <row r="9216" spans="1:10" x14ac:dyDescent="0.35">
      <c r="A9216" s="2">
        <v>44802</v>
      </c>
      <c r="B9216" s="3">
        <v>0.64606481481481481</v>
      </c>
      <c r="C9216">
        <v>4939</v>
      </c>
      <c r="D9216" t="str">
        <f>VLOOKUP(H9216,Produkt!$A$2:$B$5,2,FALSE)</f>
        <v>C</v>
      </c>
      <c r="H9216">
        <v>3</v>
      </c>
      <c r="I9216">
        <v>0.19354166666666664</v>
      </c>
      <c r="J9216">
        <v>44798</v>
      </c>
    </row>
    <row r="9217" spans="1:10" x14ac:dyDescent="0.35">
      <c r="A9217" s="2">
        <v>44802</v>
      </c>
      <c r="B9217" s="3">
        <v>0.75410879629629635</v>
      </c>
      <c r="C9217">
        <v>5014</v>
      </c>
      <c r="D9217" t="str">
        <f>VLOOKUP(H9217,Produkt!$A$2:$B$5,2,FALSE)</f>
        <v>B</v>
      </c>
      <c r="H9217">
        <v>2</v>
      </c>
      <c r="I9217">
        <v>2.2928240740740739E-2</v>
      </c>
      <c r="J9217">
        <v>44795</v>
      </c>
    </row>
    <row r="9218" spans="1:10" x14ac:dyDescent="0.35">
      <c r="A9218" s="2">
        <v>44802</v>
      </c>
      <c r="B9218" s="3">
        <v>0.99701388888888898</v>
      </c>
      <c r="C9218">
        <v>5042</v>
      </c>
      <c r="D9218" t="str">
        <f>VLOOKUP(H9218,Produkt!$A$2:$B$5,2,FALSE)</f>
        <v>D</v>
      </c>
      <c r="H9218">
        <v>4</v>
      </c>
      <c r="I9218">
        <v>3.9444444444444393E-2</v>
      </c>
      <c r="J9218">
        <v>44798</v>
      </c>
    </row>
    <row r="9219" spans="1:10" x14ac:dyDescent="0.35">
      <c r="A9219" s="2">
        <v>44802</v>
      </c>
      <c r="B9219" s="3">
        <v>0.97138888888888886</v>
      </c>
      <c r="C9219">
        <v>5062</v>
      </c>
      <c r="D9219" t="str">
        <f>VLOOKUP(H9219,Produkt!$A$2:$B$5,2,FALSE)</f>
        <v>B</v>
      </c>
      <c r="H9219">
        <v>2</v>
      </c>
      <c r="I9219">
        <v>0.68769675925925933</v>
      </c>
      <c r="J9219">
        <v>44790</v>
      </c>
    </row>
    <row r="9220" spans="1:10" x14ac:dyDescent="0.35">
      <c r="A9220" s="2">
        <v>44802</v>
      </c>
      <c r="B9220" s="3">
        <v>0.84354166666666675</v>
      </c>
      <c r="C9220">
        <v>5065</v>
      </c>
      <c r="D9220" t="str">
        <f>VLOOKUP(H9220,Produkt!$A$2:$B$5,2,FALSE)</f>
        <v>A</v>
      </c>
      <c r="H9220">
        <v>1</v>
      </c>
      <c r="I9220">
        <v>0.98283564814814817</v>
      </c>
      <c r="J9220">
        <v>44793</v>
      </c>
    </row>
    <row r="9221" spans="1:10" x14ac:dyDescent="0.35">
      <c r="A9221" s="2">
        <v>44802</v>
      </c>
      <c r="B9221" s="3">
        <v>1.4143518518518583E-2</v>
      </c>
      <c r="C9221">
        <v>5069</v>
      </c>
      <c r="D9221" t="str">
        <f>VLOOKUP(H9221,Produkt!$A$2:$B$5,2,FALSE)</f>
        <v>C</v>
      </c>
      <c r="H9221">
        <v>3</v>
      </c>
      <c r="I9221">
        <v>0.56349537037037034</v>
      </c>
      <c r="J9221">
        <v>44775</v>
      </c>
    </row>
    <row r="9222" spans="1:10" x14ac:dyDescent="0.35">
      <c r="A9222" s="2">
        <v>44802</v>
      </c>
      <c r="B9222" s="3">
        <v>0.19881944444444444</v>
      </c>
      <c r="C9222">
        <v>5071</v>
      </c>
      <c r="D9222" t="str">
        <f>VLOOKUP(H9222,Produkt!$A$2:$B$5,2,FALSE)</f>
        <v>D</v>
      </c>
      <c r="H9222">
        <v>4</v>
      </c>
      <c r="I9222">
        <v>0.55921296296296297</v>
      </c>
      <c r="J9222">
        <v>44777</v>
      </c>
    </row>
    <row r="9223" spans="1:10" x14ac:dyDescent="0.35">
      <c r="A9223" s="2">
        <v>44802</v>
      </c>
      <c r="B9223" s="3">
        <v>0.14368055555555556</v>
      </c>
      <c r="C9223">
        <v>5092</v>
      </c>
      <c r="D9223" t="str">
        <f>VLOOKUP(H9223,Produkt!$A$2:$B$5,2,FALSE)</f>
        <v>A</v>
      </c>
      <c r="H9223">
        <v>1</v>
      </c>
      <c r="I9223">
        <v>0.87078703703703697</v>
      </c>
      <c r="J9223">
        <v>44800</v>
      </c>
    </row>
    <row r="9224" spans="1:10" x14ac:dyDescent="0.35">
      <c r="A9224" s="2">
        <v>44802</v>
      </c>
      <c r="B9224" s="3">
        <v>0.66546296296296303</v>
      </c>
      <c r="C9224">
        <v>5108</v>
      </c>
      <c r="D9224" t="str">
        <f>VLOOKUP(H9224,Produkt!$A$2:$B$5,2,FALSE)</f>
        <v>D</v>
      </c>
      <c r="H9224">
        <v>4</v>
      </c>
      <c r="I9224">
        <v>0.1898148148148148</v>
      </c>
      <c r="J9224">
        <v>44796</v>
      </c>
    </row>
    <row r="9225" spans="1:10" x14ac:dyDescent="0.35">
      <c r="A9225" s="2">
        <v>44802</v>
      </c>
      <c r="B9225" s="3">
        <v>0.2502314814814815</v>
      </c>
      <c r="C9225">
        <v>5163</v>
      </c>
      <c r="D9225" t="str">
        <f>VLOOKUP(H9225,Produkt!$A$2:$B$5,2,FALSE)</f>
        <v>D</v>
      </c>
      <c r="H9225">
        <v>4</v>
      </c>
      <c r="I9225">
        <v>0.4216550925925926</v>
      </c>
      <c r="J9225">
        <v>44794</v>
      </c>
    </row>
    <row r="9226" spans="1:10" x14ac:dyDescent="0.35">
      <c r="A9226" s="2">
        <v>44802</v>
      </c>
      <c r="B9226" s="3">
        <v>0.88611111111111107</v>
      </c>
      <c r="C9226">
        <v>5167</v>
      </c>
      <c r="D9226" t="str">
        <f>VLOOKUP(H9226,Produkt!$A$2:$B$5,2,FALSE)</f>
        <v>B</v>
      </c>
      <c r="H9226">
        <v>2</v>
      </c>
      <c r="I9226">
        <v>0.38067129629629631</v>
      </c>
      <c r="J9226">
        <v>44775</v>
      </c>
    </row>
    <row r="9227" spans="1:10" x14ac:dyDescent="0.35">
      <c r="A9227" s="2">
        <v>44802</v>
      </c>
      <c r="B9227" s="3">
        <v>0.7412037037037037</v>
      </c>
      <c r="C9227">
        <v>5178</v>
      </c>
      <c r="D9227" t="str">
        <f>VLOOKUP(H9227,Produkt!$A$2:$B$5,2,FALSE)</f>
        <v>B</v>
      </c>
      <c r="H9227">
        <v>2</v>
      </c>
      <c r="I9227">
        <v>0.10335648148148148</v>
      </c>
      <c r="J9227">
        <v>44787</v>
      </c>
    </row>
    <row r="9228" spans="1:10" x14ac:dyDescent="0.35">
      <c r="A9228" s="2">
        <v>44802</v>
      </c>
      <c r="B9228" s="3">
        <v>0.76208333333333333</v>
      </c>
      <c r="C9228">
        <v>5187</v>
      </c>
      <c r="D9228" t="str">
        <f>VLOOKUP(H9228,Produkt!$A$2:$B$5,2,FALSE)</f>
        <v>A</v>
      </c>
      <c r="H9228">
        <v>1</v>
      </c>
      <c r="I9228">
        <v>0.10488425925925926</v>
      </c>
      <c r="J9228">
        <v>44777</v>
      </c>
    </row>
    <row r="9229" spans="1:10" x14ac:dyDescent="0.35">
      <c r="A9229" s="2">
        <v>44802</v>
      </c>
      <c r="B9229" s="3">
        <v>6.177083333333333E-2</v>
      </c>
      <c r="C9229">
        <v>5352</v>
      </c>
      <c r="D9229" t="str">
        <f>VLOOKUP(H9229,Produkt!$A$2:$B$5,2,FALSE)</f>
        <v>B</v>
      </c>
      <c r="H9229">
        <v>2</v>
      </c>
      <c r="I9229">
        <v>6.5266203703703715E-2</v>
      </c>
      <c r="J9229">
        <v>44801</v>
      </c>
    </row>
    <row r="9230" spans="1:10" x14ac:dyDescent="0.35">
      <c r="A9230" s="2">
        <v>44802</v>
      </c>
      <c r="B9230" s="3">
        <v>8.3506944444444453E-2</v>
      </c>
      <c r="C9230">
        <v>5378</v>
      </c>
      <c r="D9230" t="str">
        <f>VLOOKUP(H9230,Produkt!$A$2:$B$5,2,FALSE)</f>
        <v>B</v>
      </c>
      <c r="H9230">
        <v>2</v>
      </c>
      <c r="I9230">
        <v>0.69188657407407417</v>
      </c>
      <c r="J9230">
        <v>44785</v>
      </c>
    </row>
    <row r="9231" spans="1:10" x14ac:dyDescent="0.35">
      <c r="A9231" s="2">
        <v>44802</v>
      </c>
      <c r="B9231" s="3">
        <v>0.71964120370370377</v>
      </c>
      <c r="C9231">
        <v>5424</v>
      </c>
      <c r="D9231" t="str">
        <f>VLOOKUP(H9231,Produkt!$A$2:$B$5,2,FALSE)</f>
        <v>A</v>
      </c>
      <c r="H9231">
        <v>1</v>
      </c>
      <c r="I9231">
        <v>0.35771990740740739</v>
      </c>
      <c r="J9231">
        <v>44788</v>
      </c>
    </row>
    <row r="9232" spans="1:10" x14ac:dyDescent="0.35">
      <c r="A9232" s="2">
        <v>44802</v>
      </c>
      <c r="B9232" s="3">
        <v>0.73136574074074068</v>
      </c>
      <c r="C9232">
        <v>5427</v>
      </c>
      <c r="D9232" t="str">
        <f>VLOOKUP(H9232,Produkt!$A$2:$B$5,2,FALSE)</f>
        <v>A</v>
      </c>
      <c r="H9232">
        <v>1</v>
      </c>
      <c r="I9232">
        <v>0.80635416666666659</v>
      </c>
      <c r="J9232">
        <v>44776</v>
      </c>
    </row>
    <row r="9233" spans="1:10" x14ac:dyDescent="0.35">
      <c r="A9233" s="2">
        <v>44802</v>
      </c>
      <c r="B9233" s="3">
        <v>0.50983796296296291</v>
      </c>
      <c r="C9233">
        <v>5441</v>
      </c>
      <c r="D9233" t="str">
        <f>VLOOKUP(H9233,Produkt!$A$2:$B$5,2,FALSE)</f>
        <v>A</v>
      </c>
      <c r="H9233">
        <v>1</v>
      </c>
      <c r="I9233">
        <v>0.10347222222222223</v>
      </c>
      <c r="J9233">
        <v>44784</v>
      </c>
    </row>
    <row r="9234" spans="1:10" x14ac:dyDescent="0.35">
      <c r="A9234" s="2">
        <v>44802</v>
      </c>
      <c r="B9234" s="3">
        <v>1.2986111111111143E-2</v>
      </c>
      <c r="C9234">
        <v>5472</v>
      </c>
      <c r="D9234" t="str">
        <f>VLOOKUP(H9234,Produkt!$A$2:$B$5,2,FALSE)</f>
        <v>A</v>
      </c>
      <c r="H9234">
        <v>1</v>
      </c>
      <c r="I9234">
        <v>0.86784722222222221</v>
      </c>
      <c r="J9234">
        <v>44801</v>
      </c>
    </row>
    <row r="9235" spans="1:10" x14ac:dyDescent="0.35">
      <c r="A9235" s="2">
        <v>44802</v>
      </c>
      <c r="B9235" s="3">
        <v>0.75921296296296292</v>
      </c>
      <c r="C9235">
        <v>5476</v>
      </c>
      <c r="D9235" t="str">
        <f>VLOOKUP(H9235,Produkt!$A$2:$B$5,2,FALSE)</f>
        <v>A</v>
      </c>
      <c r="H9235">
        <v>1</v>
      </c>
      <c r="I9235">
        <v>0.33509259259259255</v>
      </c>
      <c r="J9235">
        <v>44784</v>
      </c>
    </row>
    <row r="9236" spans="1:10" x14ac:dyDescent="0.35">
      <c r="A9236" s="2">
        <v>44802</v>
      </c>
      <c r="B9236" s="3">
        <v>0.34421296296296294</v>
      </c>
      <c r="C9236">
        <v>5486</v>
      </c>
      <c r="D9236" t="str">
        <f>VLOOKUP(H9236,Produkt!$A$2:$B$5,2,FALSE)</f>
        <v>B</v>
      </c>
      <c r="H9236">
        <v>2</v>
      </c>
      <c r="I9236">
        <v>0.30302083333333335</v>
      </c>
      <c r="J9236">
        <v>44800</v>
      </c>
    </row>
    <row r="9237" spans="1:10" x14ac:dyDescent="0.35">
      <c r="A9237" s="2">
        <v>44802</v>
      </c>
      <c r="B9237" s="3">
        <v>0.32603009259259258</v>
      </c>
      <c r="C9237">
        <v>5595</v>
      </c>
      <c r="D9237" t="str">
        <f>VLOOKUP(H9237,Produkt!$A$2:$B$5,2,FALSE)</f>
        <v>B</v>
      </c>
      <c r="H9237">
        <v>2</v>
      </c>
      <c r="I9237">
        <v>0.58605324074074072</v>
      </c>
      <c r="J9237">
        <v>44776</v>
      </c>
    </row>
    <row r="9238" spans="1:10" x14ac:dyDescent="0.35">
      <c r="A9238" s="2">
        <v>44802</v>
      </c>
      <c r="B9238" s="3">
        <v>0.55034722222222221</v>
      </c>
      <c r="C9238">
        <v>5615</v>
      </c>
      <c r="D9238" t="str">
        <f>VLOOKUP(H9238,Produkt!$A$2:$B$5,2,FALSE)</f>
        <v>B</v>
      </c>
      <c r="H9238">
        <v>2</v>
      </c>
      <c r="I9238">
        <v>0.99612268518518521</v>
      </c>
      <c r="J9238">
        <v>44795</v>
      </c>
    </row>
    <row r="9239" spans="1:10" x14ac:dyDescent="0.35">
      <c r="A9239" s="2">
        <v>44802</v>
      </c>
      <c r="B9239" s="3">
        <v>0.30290509259259263</v>
      </c>
      <c r="C9239">
        <v>5639</v>
      </c>
      <c r="D9239" t="str">
        <f>VLOOKUP(H9239,Produkt!$A$2:$B$5,2,FALSE)</f>
        <v>D</v>
      </c>
      <c r="H9239">
        <v>4</v>
      </c>
      <c r="I9239">
        <v>2.521990740740741E-2</v>
      </c>
      <c r="J9239">
        <v>44778</v>
      </c>
    </row>
    <row r="9240" spans="1:10" x14ac:dyDescent="0.35">
      <c r="A9240" s="2">
        <v>44802</v>
      </c>
      <c r="B9240" s="3">
        <v>0.10339120370370369</v>
      </c>
      <c r="C9240">
        <v>5649</v>
      </c>
      <c r="D9240" t="str">
        <f>VLOOKUP(H9240,Produkt!$A$2:$B$5,2,FALSE)</f>
        <v>C</v>
      </c>
      <c r="H9240">
        <v>3</v>
      </c>
      <c r="I9240">
        <v>0.4392361111111111</v>
      </c>
      <c r="J9240">
        <v>44782</v>
      </c>
    </row>
    <row r="9241" spans="1:10" x14ac:dyDescent="0.35">
      <c r="A9241" s="2">
        <v>44802</v>
      </c>
      <c r="B9241" s="3">
        <v>0.47403935185185181</v>
      </c>
      <c r="C9241">
        <v>5684</v>
      </c>
      <c r="D9241" t="str">
        <f>VLOOKUP(H9241,Produkt!$A$2:$B$5,2,FALSE)</f>
        <v>D</v>
      </c>
      <c r="H9241">
        <v>4</v>
      </c>
      <c r="I9241">
        <v>0.88079861111111113</v>
      </c>
      <c r="J9241">
        <v>44791</v>
      </c>
    </row>
    <row r="9242" spans="1:10" x14ac:dyDescent="0.35">
      <c r="A9242" s="2">
        <v>44802</v>
      </c>
      <c r="B9242" s="3">
        <v>0.84385416666666668</v>
      </c>
      <c r="C9242">
        <v>5699</v>
      </c>
      <c r="D9242" t="str">
        <f>VLOOKUP(H9242,Produkt!$A$2:$B$5,2,FALSE)</f>
        <v>C</v>
      </c>
      <c r="H9242">
        <v>3</v>
      </c>
      <c r="I9242">
        <v>0.8359375</v>
      </c>
      <c r="J9242">
        <v>44796</v>
      </c>
    </row>
    <row r="9243" spans="1:10" x14ac:dyDescent="0.35">
      <c r="A9243" s="2">
        <v>44802</v>
      </c>
      <c r="B9243" s="3">
        <v>0.25104166666666666</v>
      </c>
      <c r="C9243">
        <v>5700</v>
      </c>
      <c r="D9243" t="str">
        <f>VLOOKUP(H9243,Produkt!$A$2:$B$5,2,FALSE)</f>
        <v>D</v>
      </c>
      <c r="H9243">
        <v>4</v>
      </c>
      <c r="I9243">
        <v>0.27434027777777775</v>
      </c>
      <c r="J9243">
        <v>44785</v>
      </c>
    </row>
    <row r="9244" spans="1:10" x14ac:dyDescent="0.35">
      <c r="A9244" s="2">
        <v>44802</v>
      </c>
      <c r="B9244" s="3">
        <v>0.16585648148148149</v>
      </c>
      <c r="C9244">
        <v>5754</v>
      </c>
      <c r="D9244" t="str">
        <f>VLOOKUP(H9244,Produkt!$A$2:$B$5,2,FALSE)</f>
        <v>B</v>
      </c>
      <c r="H9244">
        <v>2</v>
      </c>
      <c r="I9244">
        <v>0.80502314814814813</v>
      </c>
      <c r="J9244">
        <v>44775</v>
      </c>
    </row>
    <row r="9245" spans="1:10" x14ac:dyDescent="0.35">
      <c r="A9245" s="2">
        <v>44802</v>
      </c>
      <c r="B9245" s="3">
        <v>9.7870370370370371E-2</v>
      </c>
      <c r="C9245">
        <v>5785</v>
      </c>
      <c r="D9245" t="str">
        <f>VLOOKUP(H9245,Produkt!$A$2:$B$5,2,FALSE)</f>
        <v>C</v>
      </c>
      <c r="H9245">
        <v>3</v>
      </c>
      <c r="I9245">
        <v>0.79178240740740735</v>
      </c>
      <c r="J9245">
        <v>44774</v>
      </c>
    </row>
    <row r="9246" spans="1:10" x14ac:dyDescent="0.35">
      <c r="A9246" s="2">
        <v>44802</v>
      </c>
      <c r="B9246" s="3">
        <v>0.82070601851851854</v>
      </c>
      <c r="C9246">
        <v>5813</v>
      </c>
      <c r="D9246" t="str">
        <f>VLOOKUP(H9246,Produkt!$A$2:$B$5,2,FALSE)</f>
        <v>C</v>
      </c>
      <c r="H9246">
        <v>3</v>
      </c>
      <c r="I9246">
        <v>0.51309027777777783</v>
      </c>
      <c r="J9246">
        <v>44790</v>
      </c>
    </row>
    <row r="9247" spans="1:10" x14ac:dyDescent="0.35">
      <c r="A9247" s="2">
        <v>44802</v>
      </c>
      <c r="B9247" s="3">
        <v>0.38271990740740741</v>
      </c>
      <c r="C9247">
        <v>5846</v>
      </c>
      <c r="D9247" t="str">
        <f>VLOOKUP(H9247,Produkt!$A$2:$B$5,2,FALSE)</f>
        <v>C</v>
      </c>
      <c r="H9247">
        <v>3</v>
      </c>
      <c r="I9247">
        <v>0.95931712962962967</v>
      </c>
      <c r="J9247">
        <v>44803</v>
      </c>
    </row>
    <row r="9248" spans="1:10" x14ac:dyDescent="0.35">
      <c r="A9248" s="2">
        <v>44802</v>
      </c>
      <c r="B9248" s="3">
        <v>0.66341435185185182</v>
      </c>
      <c r="C9248">
        <v>5862</v>
      </c>
      <c r="D9248" t="str">
        <f>VLOOKUP(H9248,Produkt!$A$2:$B$5,2,FALSE)</f>
        <v>D</v>
      </c>
      <c r="H9248">
        <v>4</v>
      </c>
      <c r="I9248">
        <v>0.32884259259259258</v>
      </c>
      <c r="J9248">
        <v>44797</v>
      </c>
    </row>
    <row r="9249" spans="1:10" x14ac:dyDescent="0.35">
      <c r="A9249" s="2">
        <v>44802</v>
      </c>
      <c r="B9249" s="3">
        <v>5.0578703703703709E-2</v>
      </c>
      <c r="C9249">
        <v>5870</v>
      </c>
      <c r="D9249" t="str">
        <f>VLOOKUP(H9249,Produkt!$A$2:$B$5,2,FALSE)</f>
        <v>B</v>
      </c>
      <c r="H9249">
        <v>2</v>
      </c>
      <c r="I9249">
        <v>5.7164351851851848E-2</v>
      </c>
      <c r="J9249">
        <v>44793</v>
      </c>
    </row>
    <row r="9250" spans="1:10" x14ac:dyDescent="0.35">
      <c r="A9250" s="2">
        <v>44802</v>
      </c>
      <c r="B9250" s="3">
        <v>0.79552083333333334</v>
      </c>
      <c r="C9250">
        <v>5891</v>
      </c>
      <c r="D9250" t="str">
        <f>VLOOKUP(H9250,Produkt!$A$2:$B$5,2,FALSE)</f>
        <v>A</v>
      </c>
      <c r="H9250">
        <v>1</v>
      </c>
      <c r="I9250">
        <v>7.3379629629630738E-3</v>
      </c>
      <c r="J9250">
        <v>44777</v>
      </c>
    </row>
    <row r="9251" spans="1:10" x14ac:dyDescent="0.35">
      <c r="A9251" s="2">
        <v>44802</v>
      </c>
      <c r="B9251" s="3">
        <v>0.44770833333333332</v>
      </c>
      <c r="C9251">
        <v>5897</v>
      </c>
      <c r="D9251" t="str">
        <f>VLOOKUP(H9251,Produkt!$A$2:$B$5,2,FALSE)</f>
        <v>B</v>
      </c>
      <c r="H9251">
        <v>2</v>
      </c>
      <c r="I9251">
        <v>0.56413194444444448</v>
      </c>
      <c r="J9251">
        <v>44788</v>
      </c>
    </row>
    <row r="9252" spans="1:10" x14ac:dyDescent="0.35">
      <c r="A9252" s="2">
        <v>44802</v>
      </c>
      <c r="B9252" s="3">
        <v>0.93304398148148149</v>
      </c>
      <c r="C9252">
        <v>5908</v>
      </c>
      <c r="D9252" t="str">
        <f>VLOOKUP(H9252,Produkt!$A$2:$B$5,2,FALSE)</f>
        <v>B</v>
      </c>
      <c r="H9252">
        <v>2</v>
      </c>
      <c r="I9252">
        <v>0.34126157407407409</v>
      </c>
      <c r="J9252">
        <v>44791</v>
      </c>
    </row>
    <row r="9253" spans="1:10" x14ac:dyDescent="0.35">
      <c r="A9253" s="2">
        <v>44802</v>
      </c>
      <c r="B9253" s="3">
        <v>0.15263888888888888</v>
      </c>
      <c r="C9253">
        <v>5929</v>
      </c>
      <c r="D9253" t="str">
        <f>VLOOKUP(H9253,Produkt!$A$2:$B$5,2,FALSE)</f>
        <v>B</v>
      </c>
      <c r="H9253">
        <v>2</v>
      </c>
      <c r="I9253">
        <v>0.2660763888888889</v>
      </c>
      <c r="J9253">
        <v>44781</v>
      </c>
    </row>
    <row r="9254" spans="1:10" x14ac:dyDescent="0.35">
      <c r="A9254" s="2">
        <v>44802</v>
      </c>
      <c r="B9254" s="3">
        <v>0.17545138888888889</v>
      </c>
      <c r="C9254">
        <v>5989</v>
      </c>
      <c r="D9254" t="str">
        <f>VLOOKUP(H9254,Produkt!$A$2:$B$5,2,FALSE)</f>
        <v>C</v>
      </c>
      <c r="H9254">
        <v>3</v>
      </c>
      <c r="I9254">
        <v>0.27994212962962961</v>
      </c>
      <c r="J9254">
        <v>44796</v>
      </c>
    </row>
    <row r="9255" spans="1:10" x14ac:dyDescent="0.35">
      <c r="A9255" s="2">
        <v>44802</v>
      </c>
      <c r="B9255" s="3">
        <v>0.28699074074074077</v>
      </c>
      <c r="C9255">
        <v>6040</v>
      </c>
      <c r="D9255" t="str">
        <f>VLOOKUP(H9255,Produkt!$A$2:$B$5,2,FALSE)</f>
        <v>D</v>
      </c>
      <c r="H9255">
        <v>4</v>
      </c>
      <c r="I9255">
        <v>0.29657407407407405</v>
      </c>
      <c r="J9255">
        <v>44789</v>
      </c>
    </row>
    <row r="9256" spans="1:10" x14ac:dyDescent="0.35">
      <c r="A9256" s="2">
        <v>44802</v>
      </c>
      <c r="B9256" s="3">
        <v>0.23122685185185185</v>
      </c>
      <c r="C9256">
        <v>6045</v>
      </c>
      <c r="D9256" t="str">
        <f>VLOOKUP(H9256,Produkt!$A$2:$B$5,2,FALSE)</f>
        <v>A</v>
      </c>
      <c r="H9256">
        <v>1</v>
      </c>
      <c r="I9256">
        <v>0.23383101851851851</v>
      </c>
      <c r="J9256">
        <v>44774</v>
      </c>
    </row>
    <row r="9257" spans="1:10" x14ac:dyDescent="0.35">
      <c r="A9257" s="2">
        <v>44802</v>
      </c>
      <c r="B9257" s="3">
        <v>0.48101851851851851</v>
      </c>
      <c r="C9257">
        <v>6108</v>
      </c>
      <c r="D9257" t="str">
        <f>VLOOKUP(H9257,Produkt!$A$2:$B$5,2,FALSE)</f>
        <v>D</v>
      </c>
      <c r="H9257">
        <v>4</v>
      </c>
      <c r="I9257">
        <v>1.6342592592592593E-2</v>
      </c>
      <c r="J9257">
        <v>44804</v>
      </c>
    </row>
    <row r="9258" spans="1:10" x14ac:dyDescent="0.35">
      <c r="A9258" s="2">
        <v>44802</v>
      </c>
      <c r="B9258" s="3">
        <v>1.7361111111111112E-2</v>
      </c>
      <c r="C9258">
        <v>6137</v>
      </c>
      <c r="D9258" t="str">
        <f>VLOOKUP(H9258,Produkt!$A$2:$B$5,2,FALSE)</f>
        <v>A</v>
      </c>
      <c r="H9258">
        <v>1</v>
      </c>
      <c r="I9258">
        <v>0.65482638888888889</v>
      </c>
      <c r="J9258">
        <v>44783</v>
      </c>
    </row>
    <row r="9259" spans="1:10" x14ac:dyDescent="0.35">
      <c r="A9259" s="2">
        <v>44802</v>
      </c>
      <c r="B9259" s="3">
        <v>0.83417824074074076</v>
      </c>
      <c r="C9259">
        <v>6214</v>
      </c>
      <c r="D9259" t="str">
        <f>VLOOKUP(H9259,Produkt!$A$2:$B$5,2,FALSE)</f>
        <v>D</v>
      </c>
      <c r="H9259">
        <v>4</v>
      </c>
      <c r="I9259">
        <v>0.31907407407407407</v>
      </c>
      <c r="J9259">
        <v>44799</v>
      </c>
    </row>
    <row r="9260" spans="1:10" x14ac:dyDescent="0.35">
      <c r="A9260" s="2">
        <v>44802</v>
      </c>
      <c r="B9260" s="3">
        <v>2.8726851851851753E-2</v>
      </c>
      <c r="C9260">
        <v>6234</v>
      </c>
      <c r="D9260" t="str">
        <f>VLOOKUP(H9260,Produkt!$A$2:$B$5,2,FALSE)</f>
        <v>A</v>
      </c>
      <c r="H9260">
        <v>1</v>
      </c>
      <c r="I9260">
        <v>0.41657407407407404</v>
      </c>
      <c r="J9260">
        <v>44776</v>
      </c>
    </row>
    <row r="9261" spans="1:10" x14ac:dyDescent="0.35">
      <c r="A9261" s="2">
        <v>44802</v>
      </c>
      <c r="B9261" s="3">
        <v>3.6006944444444446E-2</v>
      </c>
      <c r="C9261">
        <v>6253</v>
      </c>
      <c r="D9261" t="str">
        <f>VLOOKUP(H9261,Produkt!$A$2:$B$5,2,FALSE)</f>
        <v>B</v>
      </c>
      <c r="H9261">
        <v>2</v>
      </c>
      <c r="I9261">
        <v>0.33390046296296294</v>
      </c>
      <c r="J9261">
        <v>44776</v>
      </c>
    </row>
    <row r="9262" spans="1:10" x14ac:dyDescent="0.35">
      <c r="A9262" s="2">
        <v>44802</v>
      </c>
      <c r="B9262" s="3">
        <v>0.98457175925925933</v>
      </c>
      <c r="C9262">
        <v>6267</v>
      </c>
      <c r="D9262" t="str">
        <f>VLOOKUP(H9262,Produkt!$A$2:$B$5,2,FALSE)</f>
        <v>B</v>
      </c>
      <c r="H9262">
        <v>2</v>
      </c>
      <c r="I9262">
        <v>0.17568287037037036</v>
      </c>
      <c r="J9262">
        <v>44781</v>
      </c>
    </row>
    <row r="9263" spans="1:10" x14ac:dyDescent="0.35">
      <c r="A9263" s="2">
        <v>44802</v>
      </c>
      <c r="B9263" s="3">
        <v>0.15291666666666667</v>
      </c>
      <c r="C9263">
        <v>6312</v>
      </c>
      <c r="D9263" t="str">
        <f>VLOOKUP(H9263,Produkt!$A$2:$B$5,2,FALSE)</f>
        <v>D</v>
      </c>
      <c r="H9263">
        <v>4</v>
      </c>
      <c r="I9263">
        <v>0.15719907407407407</v>
      </c>
      <c r="J9263">
        <v>44804</v>
      </c>
    </row>
    <row r="9264" spans="1:10" x14ac:dyDescent="0.35">
      <c r="A9264" s="2">
        <v>44802</v>
      </c>
      <c r="B9264" s="3">
        <v>0.61754629629629632</v>
      </c>
      <c r="C9264">
        <v>6383</v>
      </c>
      <c r="D9264" t="str">
        <f>VLOOKUP(H9264,Produkt!$A$2:$B$5,2,FALSE)</f>
        <v>B</v>
      </c>
      <c r="H9264">
        <v>2</v>
      </c>
      <c r="I9264">
        <v>0.82709490740740732</v>
      </c>
      <c r="J9264">
        <v>44797</v>
      </c>
    </row>
    <row r="9265" spans="1:10" x14ac:dyDescent="0.35">
      <c r="A9265" s="2">
        <v>44802</v>
      </c>
      <c r="B9265" s="3">
        <v>0.61752314814814813</v>
      </c>
      <c r="C9265">
        <v>6408</v>
      </c>
      <c r="D9265" t="str">
        <f>VLOOKUP(H9265,Produkt!$A$2:$B$5,2,FALSE)</f>
        <v>C</v>
      </c>
      <c r="H9265">
        <v>3</v>
      </c>
      <c r="I9265">
        <v>0.74454861111111104</v>
      </c>
      <c r="J9265">
        <v>44785</v>
      </c>
    </row>
    <row r="9266" spans="1:10" x14ac:dyDescent="0.35">
      <c r="A9266" s="2">
        <v>44802</v>
      </c>
      <c r="B9266" s="3">
        <v>0.40483796296296298</v>
      </c>
      <c r="C9266">
        <v>6423</v>
      </c>
      <c r="D9266" t="str">
        <f>VLOOKUP(H9266,Produkt!$A$2:$B$5,2,FALSE)</f>
        <v>B</v>
      </c>
      <c r="H9266">
        <v>2</v>
      </c>
      <c r="I9266">
        <v>0.3754513888888889</v>
      </c>
      <c r="J9266">
        <v>44780</v>
      </c>
    </row>
    <row r="9267" spans="1:10" x14ac:dyDescent="0.35">
      <c r="A9267" s="2">
        <v>44802</v>
      </c>
      <c r="B9267" s="3">
        <v>0.39248842592592598</v>
      </c>
      <c r="C9267">
        <v>6445</v>
      </c>
      <c r="D9267" t="str">
        <f>VLOOKUP(H9267,Produkt!$A$2:$B$5,2,FALSE)</f>
        <v>B</v>
      </c>
      <c r="H9267">
        <v>2</v>
      </c>
      <c r="I9267">
        <v>0.27734953703703707</v>
      </c>
      <c r="J9267">
        <v>44795</v>
      </c>
    </row>
    <row r="9268" spans="1:10" x14ac:dyDescent="0.35">
      <c r="A9268" s="2">
        <v>44802</v>
      </c>
      <c r="B9268" s="3">
        <v>0.49086805555555557</v>
      </c>
      <c r="C9268">
        <v>6482</v>
      </c>
      <c r="D9268" t="str">
        <f>VLOOKUP(H9268,Produkt!$A$2:$B$5,2,FALSE)</f>
        <v>B</v>
      </c>
      <c r="H9268">
        <v>2</v>
      </c>
      <c r="I9268">
        <v>9.2013888888888892E-3</v>
      </c>
      <c r="J9268">
        <v>44777</v>
      </c>
    </row>
    <row r="9269" spans="1:10" x14ac:dyDescent="0.35">
      <c r="A9269" s="2">
        <v>44802</v>
      </c>
      <c r="B9269" s="3">
        <v>0.68729166666666675</v>
      </c>
      <c r="C9269">
        <v>6545</v>
      </c>
      <c r="D9269" t="str">
        <f>VLOOKUP(H9269,Produkt!$A$2:$B$5,2,FALSE)</f>
        <v>A</v>
      </c>
      <c r="H9269">
        <v>1</v>
      </c>
      <c r="I9269">
        <v>0.95731481481481484</v>
      </c>
      <c r="J9269">
        <v>44776</v>
      </c>
    </row>
    <row r="9270" spans="1:10" x14ac:dyDescent="0.35">
      <c r="A9270" s="2">
        <v>44802</v>
      </c>
      <c r="B9270" s="3">
        <v>0.95474537037037033</v>
      </c>
      <c r="C9270">
        <v>6613</v>
      </c>
      <c r="D9270" t="str">
        <f>VLOOKUP(H9270,Produkt!$A$2:$B$5,2,FALSE)</f>
        <v>D</v>
      </c>
      <c r="H9270">
        <v>4</v>
      </c>
      <c r="I9270">
        <v>5.4143518518518514E-2</v>
      </c>
      <c r="J9270">
        <v>44784</v>
      </c>
    </row>
    <row r="9271" spans="1:10" x14ac:dyDescent="0.35">
      <c r="A9271" s="2">
        <v>44802</v>
      </c>
      <c r="B9271" s="3">
        <v>0.20648148148148149</v>
      </c>
      <c r="C9271">
        <v>6630</v>
      </c>
      <c r="D9271" t="str">
        <f>VLOOKUP(H9271,Produkt!$A$2:$B$5,2,FALSE)</f>
        <v>C</v>
      </c>
      <c r="H9271">
        <v>3</v>
      </c>
      <c r="I9271">
        <v>0.22339120370370369</v>
      </c>
      <c r="J9271">
        <v>44792</v>
      </c>
    </row>
    <row r="9272" spans="1:10" x14ac:dyDescent="0.35">
      <c r="A9272" s="2">
        <v>44802</v>
      </c>
      <c r="B9272" s="3">
        <v>0.42798611111111112</v>
      </c>
      <c r="C9272">
        <v>6726</v>
      </c>
      <c r="D9272" t="str">
        <f>VLOOKUP(H9272,Produkt!$A$2:$B$5,2,FALSE)</f>
        <v>C</v>
      </c>
      <c r="H9272">
        <v>3</v>
      </c>
      <c r="I9272">
        <v>6.1134259259259256E-2</v>
      </c>
      <c r="J9272">
        <v>44775</v>
      </c>
    </row>
    <row r="9273" spans="1:10" x14ac:dyDescent="0.35">
      <c r="A9273" s="2">
        <v>44802</v>
      </c>
      <c r="B9273" s="3">
        <v>0.69150462962962955</v>
      </c>
      <c r="C9273">
        <v>6730</v>
      </c>
      <c r="D9273" t="str">
        <f>VLOOKUP(H9273,Produkt!$A$2:$B$5,2,FALSE)</f>
        <v>A</v>
      </c>
      <c r="H9273">
        <v>1</v>
      </c>
      <c r="I9273">
        <v>0.62519675925925922</v>
      </c>
      <c r="J9273">
        <v>44802</v>
      </c>
    </row>
    <row r="9274" spans="1:10" x14ac:dyDescent="0.35">
      <c r="A9274" s="2">
        <v>44802</v>
      </c>
      <c r="B9274" s="3">
        <v>0.64539351851851856</v>
      </c>
      <c r="C9274">
        <v>6786</v>
      </c>
      <c r="D9274" t="str">
        <f>VLOOKUP(H9274,Produkt!$A$2:$B$5,2,FALSE)</f>
        <v>C</v>
      </c>
      <c r="H9274">
        <v>3</v>
      </c>
      <c r="I9274">
        <v>0.9848958333333333</v>
      </c>
      <c r="J9274">
        <v>44793</v>
      </c>
    </row>
    <row r="9275" spans="1:10" x14ac:dyDescent="0.35">
      <c r="A9275" s="2">
        <v>44802</v>
      </c>
      <c r="B9275" s="3">
        <v>3.7928240740740859E-2</v>
      </c>
      <c r="C9275">
        <v>6865</v>
      </c>
      <c r="D9275" t="str">
        <f>VLOOKUP(H9275,Produkt!$A$2:$B$5,2,FALSE)</f>
        <v>D</v>
      </c>
      <c r="H9275">
        <v>4</v>
      </c>
      <c r="I9275">
        <v>0.92174768518518524</v>
      </c>
      <c r="J9275">
        <v>44804</v>
      </c>
    </row>
    <row r="9276" spans="1:10" x14ac:dyDescent="0.35">
      <c r="A9276" s="2">
        <v>44802</v>
      </c>
      <c r="B9276" s="3">
        <v>0.35981481481481481</v>
      </c>
      <c r="C9276">
        <v>6890</v>
      </c>
      <c r="D9276" t="str">
        <f>VLOOKUP(H9276,Produkt!$A$2:$B$5,2,FALSE)</f>
        <v>D</v>
      </c>
      <c r="H9276">
        <v>4</v>
      </c>
      <c r="I9276">
        <v>0.5373148148148148</v>
      </c>
      <c r="J9276">
        <v>44800</v>
      </c>
    </row>
    <row r="9277" spans="1:10" x14ac:dyDescent="0.35">
      <c r="A9277" s="2">
        <v>44802</v>
      </c>
      <c r="B9277" s="3">
        <v>7.4375000000000011E-2</v>
      </c>
      <c r="C9277">
        <v>6909</v>
      </c>
      <c r="D9277" t="str">
        <f>VLOOKUP(H9277,Produkt!$A$2:$B$5,2,FALSE)</f>
        <v>A</v>
      </c>
      <c r="H9277">
        <v>1</v>
      </c>
      <c r="I9277">
        <v>3.4166666666666672E-2</v>
      </c>
      <c r="J9277">
        <v>44804</v>
      </c>
    </row>
    <row r="9278" spans="1:10" x14ac:dyDescent="0.35">
      <c r="A9278" s="2">
        <v>44802</v>
      </c>
      <c r="B9278" s="3">
        <v>0.64905092592592595</v>
      </c>
      <c r="C9278">
        <v>6914</v>
      </c>
      <c r="D9278" t="str">
        <f>VLOOKUP(H9278,Produkt!$A$2:$B$5,2,FALSE)</f>
        <v>D</v>
      </c>
      <c r="H9278">
        <v>4</v>
      </c>
      <c r="I9278">
        <v>0.11265046296296295</v>
      </c>
      <c r="J9278">
        <v>44774</v>
      </c>
    </row>
    <row r="9279" spans="1:10" x14ac:dyDescent="0.35">
      <c r="A9279" s="2">
        <v>44802</v>
      </c>
      <c r="B9279" s="3">
        <v>0.1754050925925926</v>
      </c>
      <c r="C9279">
        <v>6921</v>
      </c>
      <c r="D9279" t="str">
        <f>VLOOKUP(H9279,Produkt!$A$2:$B$5,2,FALSE)</f>
        <v>B</v>
      </c>
      <c r="H9279">
        <v>2</v>
      </c>
      <c r="I9279">
        <v>0.64512731481481478</v>
      </c>
      <c r="J9279">
        <v>44786</v>
      </c>
    </row>
    <row r="9280" spans="1:10" x14ac:dyDescent="0.35">
      <c r="A9280" s="2">
        <v>44802</v>
      </c>
      <c r="B9280" s="3">
        <v>3.5995370370369706E-3</v>
      </c>
      <c r="C9280">
        <v>6931</v>
      </c>
      <c r="D9280" t="str">
        <f>VLOOKUP(H9280,Produkt!$A$2:$B$5,2,FALSE)</f>
        <v>D</v>
      </c>
      <c r="H9280">
        <v>4</v>
      </c>
      <c r="I9280">
        <v>0.14987268518518518</v>
      </c>
      <c r="J9280">
        <v>44784</v>
      </c>
    </row>
    <row r="9281" spans="1:10" x14ac:dyDescent="0.35">
      <c r="A9281" s="2">
        <v>44802</v>
      </c>
      <c r="B9281" s="3">
        <v>0.68957175925925929</v>
      </c>
      <c r="C9281">
        <v>6949</v>
      </c>
      <c r="D9281" t="str">
        <f>VLOOKUP(H9281,Produkt!$A$2:$B$5,2,FALSE)</f>
        <v>C</v>
      </c>
      <c r="H9281">
        <v>3</v>
      </c>
      <c r="I9281">
        <v>0.82288194444444451</v>
      </c>
      <c r="J9281">
        <v>44804</v>
      </c>
    </row>
    <row r="9282" spans="1:10" x14ac:dyDescent="0.35">
      <c r="A9282" s="2">
        <v>44802</v>
      </c>
      <c r="B9282" s="3">
        <v>8.5949074074074081E-2</v>
      </c>
      <c r="C9282">
        <v>6960</v>
      </c>
      <c r="D9282" t="str">
        <f>VLOOKUP(H9282,Produkt!$A$2:$B$5,2,FALSE)</f>
        <v>A</v>
      </c>
      <c r="H9282">
        <v>1</v>
      </c>
      <c r="I9282">
        <v>7.4988425925925931E-2</v>
      </c>
      <c r="J9282">
        <v>44796</v>
      </c>
    </row>
    <row r="9283" spans="1:10" x14ac:dyDescent="0.35">
      <c r="A9283" s="2">
        <v>44802</v>
      </c>
      <c r="B9283" s="3">
        <v>6.6666666666666671E-3</v>
      </c>
      <c r="C9283">
        <v>6977</v>
      </c>
      <c r="D9283" t="str">
        <f>VLOOKUP(H9283,Produkt!$A$2:$B$5,2,FALSE)</f>
        <v>A</v>
      </c>
      <c r="H9283">
        <v>1</v>
      </c>
      <c r="I9283">
        <v>0.87853009259259263</v>
      </c>
      <c r="J9283">
        <v>44778</v>
      </c>
    </row>
    <row r="9284" spans="1:10" x14ac:dyDescent="0.35">
      <c r="A9284" s="2">
        <v>44802</v>
      </c>
      <c r="B9284" s="3">
        <v>3.3101851851851848E-2</v>
      </c>
      <c r="C9284">
        <v>6994</v>
      </c>
      <c r="D9284" t="str">
        <f>VLOOKUP(H9284,Produkt!$A$2:$B$5,2,FALSE)</f>
        <v>D</v>
      </c>
      <c r="H9284">
        <v>4</v>
      </c>
      <c r="I9284">
        <v>0.68130787037037033</v>
      </c>
      <c r="J9284">
        <v>44778</v>
      </c>
    </row>
    <row r="9285" spans="1:10" x14ac:dyDescent="0.35">
      <c r="A9285" s="2">
        <v>44802</v>
      </c>
      <c r="B9285" s="3">
        <v>0.36423611111111115</v>
      </c>
      <c r="C9285">
        <v>7023</v>
      </c>
      <c r="D9285" t="str">
        <f>VLOOKUP(H9285,Produkt!$A$2:$B$5,2,FALSE)</f>
        <v>C</v>
      </c>
      <c r="H9285">
        <v>3</v>
      </c>
      <c r="I9285">
        <v>2.8379629629629699E-2</v>
      </c>
      <c r="J9285">
        <v>44780</v>
      </c>
    </row>
    <row r="9286" spans="1:10" x14ac:dyDescent="0.35">
      <c r="A9286" s="2">
        <v>44802</v>
      </c>
      <c r="B9286" s="3">
        <v>0.89802083333333327</v>
      </c>
      <c r="C9286">
        <v>7028</v>
      </c>
      <c r="D9286" t="str">
        <f>VLOOKUP(H9286,Produkt!$A$2:$B$5,2,FALSE)</f>
        <v>D</v>
      </c>
      <c r="H9286">
        <v>4</v>
      </c>
      <c r="I9286">
        <v>0.84513888888888899</v>
      </c>
      <c r="J9286">
        <v>44774</v>
      </c>
    </row>
    <row r="9287" spans="1:10" x14ac:dyDescent="0.35">
      <c r="A9287" s="2">
        <v>44802</v>
      </c>
      <c r="B9287" s="3">
        <v>0.63223379629629628</v>
      </c>
      <c r="C9287">
        <v>7045</v>
      </c>
      <c r="D9287" t="str">
        <f>VLOOKUP(H9287,Produkt!$A$2:$B$5,2,FALSE)</f>
        <v>C</v>
      </c>
      <c r="H9287">
        <v>3</v>
      </c>
      <c r="I9287">
        <v>0.58783564814814815</v>
      </c>
      <c r="J9287">
        <v>44795</v>
      </c>
    </row>
    <row r="9288" spans="1:10" x14ac:dyDescent="0.35">
      <c r="A9288" s="2">
        <v>44802</v>
      </c>
      <c r="B9288" s="3">
        <v>0.86728009259259264</v>
      </c>
      <c r="C9288">
        <v>7110</v>
      </c>
      <c r="D9288" t="str">
        <f>VLOOKUP(H9288,Produkt!$A$2:$B$5,2,FALSE)</f>
        <v>D</v>
      </c>
      <c r="H9288">
        <v>4</v>
      </c>
      <c r="I9288">
        <v>0.8054513888888889</v>
      </c>
      <c r="J9288">
        <v>44798</v>
      </c>
    </row>
    <row r="9289" spans="1:10" x14ac:dyDescent="0.35">
      <c r="A9289" s="2">
        <v>44802</v>
      </c>
      <c r="B9289" s="3">
        <v>0.95807870370370374</v>
      </c>
      <c r="C9289">
        <v>7151</v>
      </c>
      <c r="D9289" t="str">
        <f>VLOOKUP(H9289,Produkt!$A$2:$B$5,2,FALSE)</f>
        <v>A</v>
      </c>
      <c r="H9289">
        <v>1</v>
      </c>
      <c r="I9289">
        <v>0.27673611111111113</v>
      </c>
      <c r="J9289">
        <v>44781</v>
      </c>
    </row>
    <row r="9290" spans="1:10" x14ac:dyDescent="0.35">
      <c r="A9290" s="2">
        <v>44802</v>
      </c>
      <c r="B9290" s="3">
        <v>0.38814814814814813</v>
      </c>
      <c r="C9290">
        <v>7186</v>
      </c>
      <c r="D9290" t="str">
        <f>VLOOKUP(H9290,Produkt!$A$2:$B$5,2,FALSE)</f>
        <v>B</v>
      </c>
      <c r="H9290">
        <v>2</v>
      </c>
      <c r="I9290">
        <v>0.9813425925925926</v>
      </c>
      <c r="J9290">
        <v>44776</v>
      </c>
    </row>
    <row r="9291" spans="1:10" x14ac:dyDescent="0.35">
      <c r="A9291" s="2">
        <v>44802</v>
      </c>
      <c r="B9291" s="3">
        <v>0.84687499999999993</v>
      </c>
      <c r="C9291">
        <v>7243</v>
      </c>
      <c r="D9291" t="str">
        <f>VLOOKUP(H9291,Produkt!$A$2:$B$5,2,FALSE)</f>
        <v>D</v>
      </c>
      <c r="H9291">
        <v>4</v>
      </c>
      <c r="I9291">
        <v>0.67221064814814813</v>
      </c>
      <c r="J9291">
        <v>44791</v>
      </c>
    </row>
    <row r="9292" spans="1:10" x14ac:dyDescent="0.35">
      <c r="A9292" s="2">
        <v>44802</v>
      </c>
      <c r="B9292" s="3">
        <v>0.49003472222222227</v>
      </c>
      <c r="C9292">
        <v>7244</v>
      </c>
      <c r="D9292" t="str">
        <f>VLOOKUP(H9292,Produkt!$A$2:$B$5,2,FALSE)</f>
        <v>B</v>
      </c>
      <c r="H9292">
        <v>2</v>
      </c>
      <c r="I9292">
        <v>0.78806712962962966</v>
      </c>
      <c r="J9292">
        <v>44795</v>
      </c>
    </row>
    <row r="9293" spans="1:10" x14ac:dyDescent="0.35">
      <c r="A9293" s="2">
        <v>44802</v>
      </c>
      <c r="B9293" s="3">
        <v>0.31570601851851854</v>
      </c>
      <c r="C9293">
        <v>7253</v>
      </c>
      <c r="D9293" t="str">
        <f>VLOOKUP(H9293,Produkt!$A$2:$B$5,2,FALSE)</f>
        <v>B</v>
      </c>
      <c r="H9293">
        <v>2</v>
      </c>
      <c r="I9293">
        <v>0.53795138888888883</v>
      </c>
      <c r="J9293">
        <v>44797</v>
      </c>
    </row>
    <row r="9294" spans="1:10" x14ac:dyDescent="0.35">
      <c r="A9294" s="2">
        <v>44802</v>
      </c>
      <c r="B9294" s="3">
        <v>0.95347222222222217</v>
      </c>
      <c r="C9294">
        <v>7294</v>
      </c>
      <c r="D9294" t="str">
        <f>VLOOKUP(H9294,Produkt!$A$2:$B$5,2,FALSE)</f>
        <v>D</v>
      </c>
      <c r="H9294">
        <v>4</v>
      </c>
      <c r="I9294">
        <v>0.40333333333333332</v>
      </c>
      <c r="J9294">
        <v>44776</v>
      </c>
    </row>
    <row r="9295" spans="1:10" x14ac:dyDescent="0.35">
      <c r="A9295" s="2">
        <v>44802</v>
      </c>
      <c r="B9295" s="3">
        <v>0.873113425925926</v>
      </c>
      <c r="C9295">
        <v>7295</v>
      </c>
      <c r="D9295" t="str">
        <f>VLOOKUP(H9295,Produkt!$A$2:$B$5,2,FALSE)</f>
        <v>A</v>
      </c>
      <c r="H9295">
        <v>1</v>
      </c>
      <c r="I9295">
        <v>0.48625000000000002</v>
      </c>
      <c r="J9295">
        <v>44785</v>
      </c>
    </row>
    <row r="9296" spans="1:10" x14ac:dyDescent="0.35">
      <c r="A9296" s="2">
        <v>44802</v>
      </c>
      <c r="B9296" s="3">
        <v>6.6979166666666659E-2</v>
      </c>
      <c r="C9296">
        <v>7306</v>
      </c>
      <c r="D9296" t="str">
        <f>VLOOKUP(H9296,Produkt!$A$2:$B$5,2,FALSE)</f>
        <v>C</v>
      </c>
      <c r="H9296">
        <v>3</v>
      </c>
      <c r="I9296">
        <v>0.67611111111111111</v>
      </c>
      <c r="J9296">
        <v>44775</v>
      </c>
    </row>
    <row r="9297" spans="1:10" x14ac:dyDescent="0.35">
      <c r="A9297" s="2">
        <v>44802</v>
      </c>
      <c r="B9297" s="3">
        <v>5.5300925925925927E-2</v>
      </c>
      <c r="C9297">
        <v>7312</v>
      </c>
      <c r="D9297" t="str">
        <f>VLOOKUP(H9297,Produkt!$A$2:$B$5,2,FALSE)</f>
        <v>C</v>
      </c>
      <c r="H9297">
        <v>3</v>
      </c>
      <c r="I9297">
        <v>0.52019675925925923</v>
      </c>
      <c r="J9297">
        <v>44799</v>
      </c>
    </row>
    <row r="9298" spans="1:10" x14ac:dyDescent="0.35">
      <c r="A9298" s="2">
        <v>44802</v>
      </c>
      <c r="B9298" s="3">
        <v>0.51565972222222223</v>
      </c>
      <c r="C9298">
        <v>7320</v>
      </c>
      <c r="D9298" t="str">
        <f>VLOOKUP(H9298,Produkt!$A$2:$B$5,2,FALSE)</f>
        <v>A</v>
      </c>
      <c r="H9298">
        <v>1</v>
      </c>
      <c r="I9298">
        <v>0.25062499999999999</v>
      </c>
      <c r="J9298">
        <v>44774</v>
      </c>
    </row>
    <row r="9299" spans="1:10" x14ac:dyDescent="0.35">
      <c r="A9299" s="2">
        <v>44802</v>
      </c>
      <c r="B9299" s="3">
        <v>0.87870370370370365</v>
      </c>
      <c r="C9299">
        <v>7336</v>
      </c>
      <c r="D9299" t="str">
        <f>VLOOKUP(H9299,Produkt!$A$2:$B$5,2,FALSE)</f>
        <v>C</v>
      </c>
      <c r="H9299">
        <v>3</v>
      </c>
      <c r="I9299">
        <v>0.49677083333333333</v>
      </c>
      <c r="J9299">
        <v>44777</v>
      </c>
    </row>
    <row r="9300" spans="1:10" x14ac:dyDescent="0.35">
      <c r="A9300" s="2">
        <v>44802</v>
      </c>
      <c r="B9300" s="3">
        <v>4.6828703703703706E-2</v>
      </c>
      <c r="C9300">
        <v>7340</v>
      </c>
      <c r="D9300" t="str">
        <f>VLOOKUP(H9300,Produkt!$A$2:$B$5,2,FALSE)</f>
        <v>C</v>
      </c>
      <c r="H9300">
        <v>3</v>
      </c>
      <c r="I9300">
        <v>9.418981481481481E-2</v>
      </c>
      <c r="J9300">
        <v>44797</v>
      </c>
    </row>
    <row r="9301" spans="1:10" x14ac:dyDescent="0.35">
      <c r="A9301" s="2">
        <v>44802</v>
      </c>
      <c r="B9301" s="3">
        <v>0.63157407407407407</v>
      </c>
      <c r="C9301">
        <v>7401</v>
      </c>
      <c r="D9301" t="str">
        <f>VLOOKUP(H9301,Produkt!$A$2:$B$5,2,FALSE)</f>
        <v>D</v>
      </c>
      <c r="H9301">
        <v>4</v>
      </c>
      <c r="I9301">
        <v>0.7365856481481482</v>
      </c>
      <c r="J9301">
        <v>44781</v>
      </c>
    </row>
    <row r="9302" spans="1:10" x14ac:dyDescent="0.35">
      <c r="A9302" s="2">
        <v>44802</v>
      </c>
      <c r="B9302" s="3">
        <v>0.34460648148148149</v>
      </c>
      <c r="C9302">
        <v>7535</v>
      </c>
      <c r="D9302" t="str">
        <f>VLOOKUP(H9302,Produkt!$A$2:$B$5,2,FALSE)</f>
        <v>D</v>
      </c>
      <c r="H9302">
        <v>4</v>
      </c>
      <c r="I9302">
        <v>0.71606481481481488</v>
      </c>
      <c r="J9302">
        <v>44778</v>
      </c>
    </row>
    <row r="9303" spans="1:10" x14ac:dyDescent="0.35">
      <c r="A9303" s="2">
        <v>44802</v>
      </c>
      <c r="B9303" s="3">
        <v>0.46263888888888888</v>
      </c>
      <c r="C9303">
        <v>7556</v>
      </c>
      <c r="D9303" t="str">
        <f>VLOOKUP(H9303,Produkt!$A$2:$B$5,2,FALSE)</f>
        <v>B</v>
      </c>
      <c r="H9303">
        <v>2</v>
      </c>
      <c r="I9303">
        <v>0.78864583333333327</v>
      </c>
      <c r="J9303">
        <v>44800</v>
      </c>
    </row>
    <row r="9304" spans="1:10" x14ac:dyDescent="0.35">
      <c r="A9304" s="2">
        <v>44802</v>
      </c>
      <c r="B9304" s="3">
        <v>1.8252314814814818E-2</v>
      </c>
      <c r="C9304">
        <v>7559</v>
      </c>
      <c r="D9304" t="str">
        <f>VLOOKUP(H9304,Produkt!$A$2:$B$5,2,FALSE)</f>
        <v>C</v>
      </c>
      <c r="H9304">
        <v>3</v>
      </c>
      <c r="I9304">
        <v>0.81795138888888896</v>
      </c>
      <c r="J9304">
        <v>44802</v>
      </c>
    </row>
    <row r="9305" spans="1:10" x14ac:dyDescent="0.35">
      <c r="A9305" s="2">
        <v>44802</v>
      </c>
      <c r="B9305" s="3">
        <v>0.32884259259259258</v>
      </c>
      <c r="C9305">
        <v>7593</v>
      </c>
      <c r="D9305" t="str">
        <f>VLOOKUP(H9305,Produkt!$A$2:$B$5,2,FALSE)</f>
        <v>A</v>
      </c>
      <c r="H9305">
        <v>1</v>
      </c>
      <c r="I9305">
        <v>0.82883101851851848</v>
      </c>
      <c r="J9305">
        <v>44781</v>
      </c>
    </row>
    <row r="9306" spans="1:10" x14ac:dyDescent="0.35">
      <c r="A9306" s="2">
        <v>44802</v>
      </c>
      <c r="B9306" s="3">
        <v>0.53869212962962965</v>
      </c>
      <c r="C9306">
        <v>7662</v>
      </c>
      <c r="D9306" t="str">
        <f>VLOOKUP(H9306,Produkt!$A$2:$B$5,2,FALSE)</f>
        <v>A</v>
      </c>
      <c r="H9306">
        <v>1</v>
      </c>
      <c r="I9306">
        <v>0.78806712962962966</v>
      </c>
      <c r="J9306">
        <v>44793</v>
      </c>
    </row>
    <row r="9307" spans="1:10" x14ac:dyDescent="0.35">
      <c r="A9307" s="2">
        <v>44802</v>
      </c>
      <c r="B9307" s="3">
        <v>0.48950231481481482</v>
      </c>
      <c r="C9307">
        <v>7665</v>
      </c>
      <c r="D9307" t="str">
        <f>VLOOKUP(H9307,Produkt!$A$2:$B$5,2,FALSE)</f>
        <v>A</v>
      </c>
      <c r="H9307">
        <v>1</v>
      </c>
      <c r="I9307">
        <v>0.90891203703703705</v>
      </c>
      <c r="J9307">
        <v>44802</v>
      </c>
    </row>
    <row r="9308" spans="1:10" x14ac:dyDescent="0.35">
      <c r="A9308" s="2">
        <v>44802</v>
      </c>
      <c r="B9308" s="3">
        <v>4.6874999999999556E-3</v>
      </c>
      <c r="C9308">
        <v>7716</v>
      </c>
      <c r="D9308" t="str">
        <f>VLOOKUP(H9308,Produkt!$A$2:$B$5,2,FALSE)</f>
        <v>D</v>
      </c>
      <c r="H9308">
        <v>4</v>
      </c>
      <c r="I9308">
        <v>0.69960648148148152</v>
      </c>
      <c r="J9308">
        <v>44777</v>
      </c>
    </row>
    <row r="9309" spans="1:10" x14ac:dyDescent="0.35">
      <c r="A9309" s="2">
        <v>44802</v>
      </c>
      <c r="B9309" s="3">
        <v>0.21559027777777776</v>
      </c>
      <c r="C9309">
        <v>7729</v>
      </c>
      <c r="D9309" t="str">
        <f>VLOOKUP(H9309,Produkt!$A$2:$B$5,2,FALSE)</f>
        <v>A</v>
      </c>
      <c r="H9309">
        <v>1</v>
      </c>
      <c r="I9309">
        <v>0.59313657407407405</v>
      </c>
      <c r="J9309">
        <v>44783</v>
      </c>
    </row>
    <row r="9310" spans="1:10" x14ac:dyDescent="0.35">
      <c r="A9310" s="2">
        <v>44802</v>
      </c>
      <c r="B9310" s="3">
        <v>0.98115740740740742</v>
      </c>
      <c r="C9310">
        <v>7752</v>
      </c>
      <c r="D9310" t="str">
        <f>VLOOKUP(H9310,Produkt!$A$2:$B$5,2,FALSE)</f>
        <v>B</v>
      </c>
      <c r="H9310">
        <v>2</v>
      </c>
      <c r="I9310">
        <v>0.63268518518518524</v>
      </c>
      <c r="J9310">
        <v>44787</v>
      </c>
    </row>
    <row r="9311" spans="1:10" x14ac:dyDescent="0.35">
      <c r="A9311" s="2">
        <v>44802</v>
      </c>
      <c r="B9311" s="3">
        <v>0.20379629629629628</v>
      </c>
      <c r="C9311">
        <v>7780</v>
      </c>
      <c r="D9311" t="str">
        <f>VLOOKUP(H9311,Produkt!$A$2:$B$5,2,FALSE)</f>
        <v>C</v>
      </c>
      <c r="H9311">
        <v>3</v>
      </c>
      <c r="I9311">
        <v>0.54526620370370371</v>
      </c>
      <c r="J9311">
        <v>44775</v>
      </c>
    </row>
    <row r="9312" spans="1:10" x14ac:dyDescent="0.35">
      <c r="A9312" s="2">
        <v>44802</v>
      </c>
      <c r="B9312" s="3">
        <v>0.3153125</v>
      </c>
      <c r="C9312">
        <v>7796</v>
      </c>
      <c r="D9312" t="str">
        <f>VLOOKUP(H9312,Produkt!$A$2:$B$5,2,FALSE)</f>
        <v>B</v>
      </c>
      <c r="H9312">
        <v>2</v>
      </c>
      <c r="I9312">
        <v>0.15622685185185184</v>
      </c>
      <c r="J9312">
        <v>44798</v>
      </c>
    </row>
    <row r="9313" spans="1:10" x14ac:dyDescent="0.35">
      <c r="A9313" s="2">
        <v>44802</v>
      </c>
      <c r="B9313" s="3">
        <v>0.85436342592592596</v>
      </c>
      <c r="C9313">
        <v>7822</v>
      </c>
      <c r="D9313" t="str">
        <f>VLOOKUP(H9313,Produkt!$A$2:$B$5,2,FALSE)</f>
        <v>D</v>
      </c>
      <c r="H9313">
        <v>4</v>
      </c>
      <c r="I9313">
        <v>0.80637731481481489</v>
      </c>
      <c r="J9313">
        <v>44794</v>
      </c>
    </row>
    <row r="9314" spans="1:10" x14ac:dyDescent="0.35">
      <c r="A9314" s="2">
        <v>44802</v>
      </c>
      <c r="B9314" s="3">
        <v>0.68790509259259258</v>
      </c>
      <c r="C9314">
        <v>7825</v>
      </c>
      <c r="D9314" t="str">
        <f>VLOOKUP(H9314,Produkt!$A$2:$B$5,2,FALSE)</f>
        <v>D</v>
      </c>
      <c r="H9314">
        <v>4</v>
      </c>
      <c r="I9314">
        <v>0.23049768518518518</v>
      </c>
      <c r="J9314">
        <v>44803</v>
      </c>
    </row>
    <row r="9315" spans="1:10" x14ac:dyDescent="0.35">
      <c r="A9315" s="2">
        <v>44802</v>
      </c>
      <c r="B9315" s="3">
        <v>0.18086805555555555</v>
      </c>
      <c r="C9315">
        <v>7930</v>
      </c>
      <c r="D9315" t="str">
        <f>VLOOKUP(H9315,Produkt!$A$2:$B$5,2,FALSE)</f>
        <v>D</v>
      </c>
      <c r="H9315">
        <v>4</v>
      </c>
      <c r="I9315">
        <v>0.16229166666666667</v>
      </c>
      <c r="J9315">
        <v>44804</v>
      </c>
    </row>
    <row r="9316" spans="1:10" x14ac:dyDescent="0.35">
      <c r="A9316" s="2">
        <v>44802</v>
      </c>
      <c r="B9316" s="3">
        <v>0.85282407407407401</v>
      </c>
      <c r="C9316">
        <v>7931</v>
      </c>
      <c r="D9316" t="str">
        <f>VLOOKUP(H9316,Produkt!$A$2:$B$5,2,FALSE)</f>
        <v>B</v>
      </c>
      <c r="H9316">
        <v>2</v>
      </c>
      <c r="I9316">
        <v>0.8172800925925926</v>
      </c>
      <c r="J9316">
        <v>44801</v>
      </c>
    </row>
    <row r="9317" spans="1:10" x14ac:dyDescent="0.35">
      <c r="A9317" s="2">
        <v>44802</v>
      </c>
      <c r="B9317" s="3">
        <v>0.11859953703703703</v>
      </c>
      <c r="C9317">
        <v>7938</v>
      </c>
      <c r="D9317" t="str">
        <f>VLOOKUP(H9317,Produkt!$A$2:$B$5,2,FALSE)</f>
        <v>A</v>
      </c>
      <c r="H9317">
        <v>1</v>
      </c>
      <c r="I9317">
        <v>0.52640046296296295</v>
      </c>
      <c r="J9317">
        <v>44777</v>
      </c>
    </row>
    <row r="9318" spans="1:10" x14ac:dyDescent="0.35">
      <c r="A9318" s="2">
        <v>44802</v>
      </c>
      <c r="B9318" s="3">
        <v>0.86017361111111112</v>
      </c>
      <c r="C9318">
        <v>7951</v>
      </c>
      <c r="D9318" t="str">
        <f>VLOOKUP(H9318,Produkt!$A$2:$B$5,2,FALSE)</f>
        <v>D</v>
      </c>
      <c r="H9318">
        <v>4</v>
      </c>
      <c r="I9318">
        <v>0.15009259259259258</v>
      </c>
      <c r="J9318">
        <v>44780</v>
      </c>
    </row>
    <row r="9319" spans="1:10" x14ac:dyDescent="0.35">
      <c r="A9319" s="2">
        <v>44802</v>
      </c>
      <c r="B9319" s="3">
        <v>0.63047453703703704</v>
      </c>
      <c r="C9319">
        <v>7985</v>
      </c>
      <c r="D9319" t="str">
        <f>VLOOKUP(H9319,Produkt!$A$2:$B$5,2,FALSE)</f>
        <v>A</v>
      </c>
      <c r="H9319">
        <v>1</v>
      </c>
      <c r="I9319">
        <v>0.36170138888888892</v>
      </c>
      <c r="J9319">
        <v>44787</v>
      </c>
    </row>
    <row r="9320" spans="1:10" x14ac:dyDescent="0.35">
      <c r="A9320" s="2">
        <v>44802</v>
      </c>
      <c r="B9320" s="3">
        <v>0.79966435185185192</v>
      </c>
      <c r="C9320">
        <v>8029</v>
      </c>
      <c r="D9320" t="str">
        <f>VLOOKUP(H9320,Produkt!$A$2:$B$5,2,FALSE)</f>
        <v>C</v>
      </c>
      <c r="H9320">
        <v>3</v>
      </c>
      <c r="I9320">
        <v>7.3263888888888892E-2</v>
      </c>
      <c r="J9320">
        <v>44800</v>
      </c>
    </row>
    <row r="9321" spans="1:10" x14ac:dyDescent="0.35">
      <c r="A9321" s="2">
        <v>44802</v>
      </c>
      <c r="B9321" s="3">
        <v>0.28756944444444443</v>
      </c>
      <c r="C9321">
        <v>8043</v>
      </c>
      <c r="D9321" t="str">
        <f>VLOOKUP(H9321,Produkt!$A$2:$B$5,2,FALSE)</f>
        <v>B</v>
      </c>
      <c r="H9321">
        <v>2</v>
      </c>
      <c r="I9321">
        <v>0.45711805555555557</v>
      </c>
      <c r="J9321">
        <v>44781</v>
      </c>
    </row>
    <row r="9322" spans="1:10" x14ac:dyDescent="0.35">
      <c r="A9322" s="2">
        <v>44802</v>
      </c>
      <c r="B9322" s="3">
        <v>0.10798611111111112</v>
      </c>
      <c r="C9322">
        <v>8077</v>
      </c>
      <c r="D9322" t="str">
        <f>VLOOKUP(H9322,Produkt!$A$2:$B$5,2,FALSE)</f>
        <v>C</v>
      </c>
      <c r="H9322">
        <v>3</v>
      </c>
      <c r="I9322">
        <v>0.89747685185185189</v>
      </c>
      <c r="J9322">
        <v>44789</v>
      </c>
    </row>
    <row r="9323" spans="1:10" x14ac:dyDescent="0.35">
      <c r="A9323" s="2">
        <v>44802</v>
      </c>
      <c r="B9323" s="3">
        <v>0.12525462962962963</v>
      </c>
      <c r="C9323">
        <v>8095</v>
      </c>
      <c r="D9323" t="str">
        <f>VLOOKUP(H9323,Produkt!$A$2:$B$5,2,FALSE)</f>
        <v>D</v>
      </c>
      <c r="H9323">
        <v>4</v>
      </c>
      <c r="I9323">
        <v>0.83565972222222218</v>
      </c>
      <c r="J9323">
        <v>44800</v>
      </c>
    </row>
    <row r="9324" spans="1:10" x14ac:dyDescent="0.35">
      <c r="A9324" s="2">
        <v>44802</v>
      </c>
      <c r="B9324" s="3">
        <v>5.1643518518518526E-2</v>
      </c>
      <c r="C9324">
        <v>8111</v>
      </c>
      <c r="D9324" t="str">
        <f>VLOOKUP(H9324,Produkt!$A$2:$B$5,2,FALSE)</f>
        <v>A</v>
      </c>
      <c r="H9324">
        <v>1</v>
      </c>
      <c r="I9324">
        <v>0.62555555555555553</v>
      </c>
      <c r="J9324">
        <v>44789</v>
      </c>
    </row>
    <row r="9325" spans="1:10" x14ac:dyDescent="0.35">
      <c r="A9325" s="2">
        <v>44802</v>
      </c>
      <c r="B9325" s="3">
        <v>0.95116898148148143</v>
      </c>
      <c r="C9325">
        <v>8155</v>
      </c>
      <c r="D9325" t="str">
        <f>VLOOKUP(H9325,Produkt!$A$2:$B$5,2,FALSE)</f>
        <v>C</v>
      </c>
      <c r="H9325">
        <v>3</v>
      </c>
      <c r="I9325">
        <v>0.20758101851851851</v>
      </c>
      <c r="J9325">
        <v>44799</v>
      </c>
    </row>
    <row r="9326" spans="1:10" x14ac:dyDescent="0.35">
      <c r="A9326" s="2">
        <v>44802</v>
      </c>
      <c r="B9326" s="3">
        <v>1.7812499999999998E-2</v>
      </c>
      <c r="C9326">
        <v>8160</v>
      </c>
      <c r="D9326" t="str">
        <f>VLOOKUP(H9326,Produkt!$A$2:$B$5,2,FALSE)</f>
        <v>C</v>
      </c>
      <c r="H9326">
        <v>3</v>
      </c>
      <c r="I9326">
        <v>0.54481481481481475</v>
      </c>
      <c r="J9326">
        <v>44794</v>
      </c>
    </row>
    <row r="9327" spans="1:10" x14ac:dyDescent="0.35">
      <c r="A9327" s="2">
        <v>44802</v>
      </c>
      <c r="B9327" s="3">
        <v>0.6325115740740741</v>
      </c>
      <c r="C9327">
        <v>8169</v>
      </c>
      <c r="D9327" t="str">
        <f>VLOOKUP(H9327,Produkt!$A$2:$B$5,2,FALSE)</f>
        <v>D</v>
      </c>
      <c r="H9327">
        <v>4</v>
      </c>
      <c r="I9327">
        <v>0.3167476851851852</v>
      </c>
      <c r="J9327">
        <v>44777</v>
      </c>
    </row>
    <row r="9328" spans="1:10" x14ac:dyDescent="0.35">
      <c r="A9328" s="2">
        <v>44802</v>
      </c>
      <c r="B9328" s="3">
        <v>0.24767361111111111</v>
      </c>
      <c r="C9328">
        <v>8212</v>
      </c>
      <c r="D9328" t="str">
        <f>VLOOKUP(H9328,Produkt!$A$2:$B$5,2,FALSE)</f>
        <v>C</v>
      </c>
      <c r="H9328">
        <v>3</v>
      </c>
      <c r="I9328">
        <v>0.95881944444444445</v>
      </c>
      <c r="J9328">
        <v>44779</v>
      </c>
    </row>
    <row r="9329" spans="1:10" x14ac:dyDescent="0.35">
      <c r="A9329" s="2">
        <v>44802</v>
      </c>
      <c r="B9329" s="3">
        <v>6.2280092592592595E-2</v>
      </c>
      <c r="C9329">
        <v>8222</v>
      </c>
      <c r="D9329" t="str">
        <f>VLOOKUP(H9329,Produkt!$A$2:$B$5,2,FALSE)</f>
        <v>A</v>
      </c>
      <c r="H9329">
        <v>1</v>
      </c>
      <c r="I9329">
        <v>0.7387731481481481</v>
      </c>
      <c r="J9329">
        <v>44779</v>
      </c>
    </row>
    <row r="9330" spans="1:10" x14ac:dyDescent="0.35">
      <c r="A9330" s="2">
        <v>44802</v>
      </c>
      <c r="B9330" s="3">
        <v>0.40435185185185185</v>
      </c>
      <c r="C9330">
        <v>8249</v>
      </c>
      <c r="D9330" t="str">
        <f>VLOOKUP(H9330,Produkt!$A$2:$B$5,2,FALSE)</f>
        <v>D</v>
      </c>
      <c r="H9330">
        <v>4</v>
      </c>
      <c r="I9330">
        <v>0.82586805555555554</v>
      </c>
      <c r="J9330">
        <v>44786</v>
      </c>
    </row>
    <row r="9331" spans="1:10" x14ac:dyDescent="0.35">
      <c r="A9331" s="2">
        <v>44802</v>
      </c>
      <c r="B9331" s="3">
        <v>0.98681712962962964</v>
      </c>
      <c r="C9331">
        <v>8254</v>
      </c>
      <c r="D9331" t="str">
        <f>VLOOKUP(H9331,Produkt!$A$2:$B$5,2,FALSE)</f>
        <v>D</v>
      </c>
      <c r="H9331">
        <v>4</v>
      </c>
      <c r="I9331">
        <v>0.9553356481481482</v>
      </c>
      <c r="J9331">
        <v>44776</v>
      </c>
    </row>
    <row r="9332" spans="1:10" x14ac:dyDescent="0.35">
      <c r="A9332" s="2">
        <v>44802</v>
      </c>
      <c r="B9332" s="3">
        <v>0.50817129629629632</v>
      </c>
      <c r="C9332">
        <v>8256</v>
      </c>
      <c r="D9332" t="str">
        <f>VLOOKUP(H9332,Produkt!$A$2:$B$5,2,FALSE)</f>
        <v>C</v>
      </c>
      <c r="H9332">
        <v>3</v>
      </c>
      <c r="I9332">
        <v>8.953703703703704E-2</v>
      </c>
      <c r="J9332">
        <v>44803</v>
      </c>
    </row>
    <row r="9333" spans="1:10" x14ac:dyDescent="0.35">
      <c r="A9333" s="2">
        <v>44802</v>
      </c>
      <c r="B9333" s="3">
        <v>0.35011574074074076</v>
      </c>
      <c r="C9333">
        <v>8291</v>
      </c>
      <c r="D9333" t="str">
        <f>VLOOKUP(H9333,Produkt!$A$2:$B$5,2,FALSE)</f>
        <v>B</v>
      </c>
      <c r="H9333">
        <v>2</v>
      </c>
      <c r="I9333">
        <v>0.22949074074074075</v>
      </c>
      <c r="J9333">
        <v>44797</v>
      </c>
    </row>
    <row r="9334" spans="1:10" x14ac:dyDescent="0.35">
      <c r="A9334" s="2">
        <v>44802</v>
      </c>
      <c r="B9334" s="3">
        <v>0.19699074074074074</v>
      </c>
      <c r="C9334">
        <v>8316</v>
      </c>
      <c r="D9334" t="str">
        <f>VLOOKUP(H9334,Produkt!$A$2:$B$5,2,FALSE)</f>
        <v>C</v>
      </c>
      <c r="H9334">
        <v>3</v>
      </c>
      <c r="I9334">
        <v>0.74534722222222216</v>
      </c>
      <c r="J9334">
        <v>44786</v>
      </c>
    </row>
    <row r="9335" spans="1:10" x14ac:dyDescent="0.35">
      <c r="A9335" s="2">
        <v>44802</v>
      </c>
      <c r="B9335" s="3">
        <v>0.7232291666666667</v>
      </c>
      <c r="C9335">
        <v>8400</v>
      </c>
      <c r="D9335" t="str">
        <f>VLOOKUP(H9335,Produkt!$A$2:$B$5,2,FALSE)</f>
        <v>C</v>
      </c>
      <c r="H9335">
        <v>3</v>
      </c>
      <c r="I9335">
        <v>0.48128472222222224</v>
      </c>
      <c r="J9335">
        <v>44797</v>
      </c>
    </row>
    <row r="9336" spans="1:10" x14ac:dyDescent="0.35">
      <c r="A9336" s="2">
        <v>44802</v>
      </c>
      <c r="B9336" s="3">
        <v>0.10069444444444443</v>
      </c>
      <c r="C9336">
        <v>8401</v>
      </c>
      <c r="D9336" t="str">
        <f>VLOOKUP(H9336,Produkt!$A$2:$B$5,2,FALSE)</f>
        <v>D</v>
      </c>
      <c r="H9336">
        <v>4</v>
      </c>
      <c r="I9336">
        <v>0.81392361111111111</v>
      </c>
      <c r="J9336">
        <v>44793</v>
      </c>
    </row>
    <row r="9337" spans="1:10" x14ac:dyDescent="0.35">
      <c r="A9337" s="2">
        <v>44802</v>
      </c>
      <c r="B9337" s="3">
        <v>0.20256944444444444</v>
      </c>
      <c r="C9337">
        <v>8452</v>
      </c>
      <c r="D9337" t="str">
        <f>VLOOKUP(H9337,Produkt!$A$2:$B$5,2,FALSE)</f>
        <v>B</v>
      </c>
      <c r="H9337">
        <v>2</v>
      </c>
      <c r="I9337">
        <v>0.54684027777777777</v>
      </c>
      <c r="J9337">
        <v>44789</v>
      </c>
    </row>
    <row r="9338" spans="1:10" x14ac:dyDescent="0.35">
      <c r="A9338" s="2">
        <v>44802</v>
      </c>
      <c r="B9338" s="3">
        <v>0.75921296296296292</v>
      </c>
      <c r="C9338">
        <v>8523</v>
      </c>
      <c r="D9338" t="str">
        <f>VLOOKUP(H9338,Produkt!$A$2:$B$5,2,FALSE)</f>
        <v>D</v>
      </c>
      <c r="H9338">
        <v>4</v>
      </c>
      <c r="I9338">
        <v>0.27334490740740741</v>
      </c>
      <c r="J9338">
        <v>44791</v>
      </c>
    </row>
    <row r="9339" spans="1:10" x14ac:dyDescent="0.35">
      <c r="A9339" s="2">
        <v>44802</v>
      </c>
      <c r="B9339" s="3">
        <v>0.13207175925925926</v>
      </c>
      <c r="C9339">
        <v>8536</v>
      </c>
      <c r="D9339" t="str">
        <f>VLOOKUP(H9339,Produkt!$A$2:$B$5,2,FALSE)</f>
        <v>B</v>
      </c>
      <c r="H9339">
        <v>2</v>
      </c>
      <c r="I9339">
        <v>0.35518518518518521</v>
      </c>
      <c r="J9339">
        <v>44800</v>
      </c>
    </row>
    <row r="9340" spans="1:10" x14ac:dyDescent="0.35">
      <c r="A9340" s="2">
        <v>44802</v>
      </c>
      <c r="B9340" s="3">
        <v>0.45734953703703707</v>
      </c>
      <c r="C9340">
        <v>8542</v>
      </c>
      <c r="D9340" t="str">
        <f>VLOOKUP(H9340,Produkt!$A$2:$B$5,2,FALSE)</f>
        <v>D</v>
      </c>
      <c r="H9340">
        <v>4</v>
      </c>
      <c r="I9340">
        <v>0.64556712962962959</v>
      </c>
      <c r="J9340">
        <v>44791</v>
      </c>
    </row>
    <row r="9341" spans="1:10" x14ac:dyDescent="0.35">
      <c r="A9341" s="2">
        <v>44802</v>
      </c>
      <c r="B9341" s="3">
        <v>0.47431712962962963</v>
      </c>
      <c r="C9341">
        <v>8556</v>
      </c>
      <c r="D9341" t="str">
        <f>VLOOKUP(H9341,Produkt!$A$2:$B$5,2,FALSE)</f>
        <v>B</v>
      </c>
      <c r="H9341">
        <v>2</v>
      </c>
      <c r="I9341">
        <v>0.46421296296296299</v>
      </c>
      <c r="J9341">
        <v>44801</v>
      </c>
    </row>
    <row r="9342" spans="1:10" x14ac:dyDescent="0.35">
      <c r="A9342" s="2">
        <v>44802</v>
      </c>
      <c r="B9342" s="3">
        <v>0.26130787037037034</v>
      </c>
      <c r="C9342">
        <v>8566</v>
      </c>
      <c r="D9342" t="str">
        <f>VLOOKUP(H9342,Produkt!$A$2:$B$5,2,FALSE)</f>
        <v>A</v>
      </c>
      <c r="H9342">
        <v>1</v>
      </c>
      <c r="I9342">
        <v>0.79230324074074077</v>
      </c>
      <c r="J9342">
        <v>44785</v>
      </c>
    </row>
    <row r="9343" spans="1:10" x14ac:dyDescent="0.35">
      <c r="A9343" s="2">
        <v>44802</v>
      </c>
      <c r="B9343" s="3">
        <v>0.84857638888888898</v>
      </c>
      <c r="C9343">
        <v>8592</v>
      </c>
      <c r="D9343" t="str">
        <f>VLOOKUP(H9343,Produkt!$A$2:$B$5,2,FALSE)</f>
        <v>D</v>
      </c>
      <c r="H9343">
        <v>4</v>
      </c>
      <c r="I9343">
        <v>0.11810185185185185</v>
      </c>
      <c r="J9343">
        <v>44776</v>
      </c>
    </row>
    <row r="9344" spans="1:10" x14ac:dyDescent="0.35">
      <c r="A9344" s="2">
        <v>44802</v>
      </c>
      <c r="B9344" s="3">
        <v>0.7464467592592593</v>
      </c>
      <c r="C9344">
        <v>8692</v>
      </c>
      <c r="D9344" t="str">
        <f>VLOOKUP(H9344,Produkt!$A$2:$B$5,2,FALSE)</f>
        <v>B</v>
      </c>
      <c r="H9344">
        <v>2</v>
      </c>
      <c r="I9344">
        <v>0.86493055555555554</v>
      </c>
      <c r="J9344">
        <v>44782</v>
      </c>
    </row>
    <row r="9345" spans="1:10" x14ac:dyDescent="0.35">
      <c r="A9345" s="2">
        <v>44802</v>
      </c>
      <c r="B9345" s="3">
        <v>0.74199074074074067</v>
      </c>
      <c r="C9345">
        <v>8762</v>
      </c>
      <c r="D9345" t="str">
        <f>VLOOKUP(H9345,Produkt!$A$2:$B$5,2,FALSE)</f>
        <v>B</v>
      </c>
      <c r="H9345">
        <v>2</v>
      </c>
      <c r="I9345">
        <v>2.2650462962962914E-2</v>
      </c>
      <c r="J9345">
        <v>44799</v>
      </c>
    </row>
    <row r="9346" spans="1:10" x14ac:dyDescent="0.35">
      <c r="A9346" s="2">
        <v>44802</v>
      </c>
      <c r="B9346" s="3">
        <v>5.8969907407407408E-2</v>
      </c>
      <c r="C9346">
        <v>8767</v>
      </c>
      <c r="D9346" t="str">
        <f>VLOOKUP(H9346,Produkt!$A$2:$B$5,2,FALSE)</f>
        <v>D</v>
      </c>
      <c r="H9346">
        <v>4</v>
      </c>
      <c r="I9346">
        <v>0.75390046296296298</v>
      </c>
      <c r="J9346">
        <v>44785</v>
      </c>
    </row>
    <row r="9347" spans="1:10" x14ac:dyDescent="0.35">
      <c r="A9347" s="2">
        <v>44802</v>
      </c>
      <c r="B9347" s="3">
        <v>0.46724537037037034</v>
      </c>
      <c r="C9347">
        <v>8901</v>
      </c>
      <c r="D9347" t="str">
        <f>VLOOKUP(H9347,Produkt!$A$2:$B$5,2,FALSE)</f>
        <v>C</v>
      </c>
      <c r="H9347">
        <v>3</v>
      </c>
      <c r="I9347">
        <v>0.84603009259259254</v>
      </c>
      <c r="J9347">
        <v>44784</v>
      </c>
    </row>
    <row r="9348" spans="1:10" x14ac:dyDescent="0.35">
      <c r="A9348" s="2">
        <v>44802</v>
      </c>
      <c r="B9348" s="3">
        <v>0.94005787037037036</v>
      </c>
      <c r="C9348">
        <v>8913</v>
      </c>
      <c r="D9348" t="str">
        <f>VLOOKUP(H9348,Produkt!$A$2:$B$5,2,FALSE)</f>
        <v>D</v>
      </c>
      <c r="H9348">
        <v>4</v>
      </c>
      <c r="I9348">
        <v>0.22108796296296296</v>
      </c>
      <c r="J9348">
        <v>44793</v>
      </c>
    </row>
    <row r="9349" spans="1:10" x14ac:dyDescent="0.35">
      <c r="A9349" s="2">
        <v>44802</v>
      </c>
      <c r="B9349" s="3">
        <v>0.18531249999999999</v>
      </c>
      <c r="C9349">
        <v>9092</v>
      </c>
      <c r="D9349" t="str">
        <f>VLOOKUP(H9349,Produkt!$A$2:$B$5,2,FALSE)</f>
        <v>A</v>
      </c>
      <c r="H9349">
        <v>1</v>
      </c>
      <c r="I9349">
        <v>0.27603009259259259</v>
      </c>
      <c r="J9349">
        <v>44791</v>
      </c>
    </row>
    <row r="9350" spans="1:10" x14ac:dyDescent="0.35">
      <c r="A9350" s="2">
        <v>44802</v>
      </c>
      <c r="B9350" s="3">
        <v>3.5381944444444313E-2</v>
      </c>
      <c r="C9350">
        <v>9125</v>
      </c>
      <c r="D9350" t="str">
        <f>VLOOKUP(H9350,Produkt!$A$2:$B$5,2,FALSE)</f>
        <v>C</v>
      </c>
      <c r="H9350">
        <v>3</v>
      </c>
      <c r="I9350">
        <v>0.20435185185185187</v>
      </c>
      <c r="J9350">
        <v>44786</v>
      </c>
    </row>
    <row r="9351" spans="1:10" x14ac:dyDescent="0.35">
      <c r="A9351" s="2">
        <v>44802</v>
      </c>
      <c r="B9351" s="3">
        <v>1.2800925925925855E-2</v>
      </c>
      <c r="C9351">
        <v>9190</v>
      </c>
      <c r="D9351" t="str">
        <f>VLOOKUP(H9351,Produkt!$A$2:$B$5,2,FALSE)</f>
        <v>D</v>
      </c>
      <c r="H9351">
        <v>4</v>
      </c>
      <c r="I9351">
        <v>0.7698842592592593</v>
      </c>
      <c r="J9351">
        <v>44802</v>
      </c>
    </row>
    <row r="9352" spans="1:10" x14ac:dyDescent="0.35">
      <c r="A9352" s="2">
        <v>44802</v>
      </c>
      <c r="B9352" s="3">
        <v>0.87078703703703697</v>
      </c>
      <c r="C9352">
        <v>9222</v>
      </c>
      <c r="D9352" t="str">
        <f>VLOOKUP(H9352,Produkt!$A$2:$B$5,2,FALSE)</f>
        <v>D</v>
      </c>
      <c r="H9352">
        <v>4</v>
      </c>
      <c r="I9352">
        <v>0.69853009259259258</v>
      </c>
      <c r="J9352">
        <v>44803</v>
      </c>
    </row>
    <row r="9353" spans="1:10" x14ac:dyDescent="0.35">
      <c r="A9353" s="2">
        <v>44802</v>
      </c>
      <c r="B9353" s="3">
        <v>0.10488425925925926</v>
      </c>
      <c r="C9353">
        <v>9227</v>
      </c>
      <c r="D9353" t="str">
        <f>VLOOKUP(H9353,Produkt!$A$2:$B$5,2,FALSE)</f>
        <v>C</v>
      </c>
      <c r="H9353">
        <v>3</v>
      </c>
      <c r="I9353">
        <v>7.9293981481481479E-2</v>
      </c>
      <c r="J9353">
        <v>44787</v>
      </c>
    </row>
    <row r="9354" spans="1:10" x14ac:dyDescent="0.35">
      <c r="A9354" s="2">
        <v>44802</v>
      </c>
      <c r="B9354" s="3">
        <v>0.17568287037037036</v>
      </c>
      <c r="C9354">
        <v>9261</v>
      </c>
      <c r="D9354" t="str">
        <f>VLOOKUP(H9354,Produkt!$A$2:$B$5,2,FALSE)</f>
        <v>C</v>
      </c>
      <c r="H9354">
        <v>3</v>
      </c>
      <c r="I9354">
        <v>0.72677083333333325</v>
      </c>
      <c r="J9354">
        <v>44774</v>
      </c>
    </row>
    <row r="9355" spans="1:10" x14ac:dyDescent="0.35">
      <c r="A9355" s="2">
        <v>44802</v>
      </c>
      <c r="B9355" s="3">
        <v>0.82883101851851848</v>
      </c>
      <c r="C9355">
        <v>9304</v>
      </c>
      <c r="D9355" t="str">
        <f>VLOOKUP(H9355,Produkt!$A$2:$B$5,2,FALSE)</f>
        <v>A</v>
      </c>
      <c r="H9355">
        <v>1</v>
      </c>
      <c r="I9355">
        <v>0.12877314814814814</v>
      </c>
      <c r="J9355">
        <v>44775</v>
      </c>
    </row>
    <row r="9356" spans="1:10" x14ac:dyDescent="0.35">
      <c r="A9356" s="2">
        <v>44802</v>
      </c>
      <c r="B9356" s="3">
        <v>0.27334490740740741</v>
      </c>
      <c r="C9356">
        <v>9337</v>
      </c>
      <c r="D9356" t="str">
        <f>VLOOKUP(H9356,Produkt!$A$2:$B$5,2,FALSE)</f>
        <v>D</v>
      </c>
      <c r="H9356">
        <v>4</v>
      </c>
      <c r="I9356">
        <v>0.97302083333333333</v>
      </c>
      <c r="J9356">
        <v>44802</v>
      </c>
    </row>
    <row r="9357" spans="1:10" x14ac:dyDescent="0.35">
      <c r="A9357" s="2">
        <v>44802</v>
      </c>
      <c r="B9357" s="3">
        <v>0.30869212962962961</v>
      </c>
      <c r="C9357">
        <v>9408</v>
      </c>
      <c r="D9357" t="str">
        <f>VLOOKUP(H9357,Produkt!$A$2:$B$5,2,FALSE)</f>
        <v>C</v>
      </c>
      <c r="H9357">
        <v>3</v>
      </c>
      <c r="I9357">
        <v>0.37254629629629626</v>
      </c>
      <c r="J9357">
        <v>44775</v>
      </c>
    </row>
    <row r="9358" spans="1:10" x14ac:dyDescent="0.35">
      <c r="A9358" s="2">
        <v>44802</v>
      </c>
      <c r="B9358" s="3">
        <v>0.21547453703703703</v>
      </c>
      <c r="C9358">
        <v>9455</v>
      </c>
      <c r="D9358" t="str">
        <f>VLOOKUP(H9358,Produkt!$A$2:$B$5,2,FALSE)</f>
        <v>C</v>
      </c>
      <c r="H9358">
        <v>3</v>
      </c>
      <c r="I9358">
        <v>0.51193287037037039</v>
      </c>
      <c r="J9358">
        <v>44785</v>
      </c>
    </row>
    <row r="9359" spans="1:10" x14ac:dyDescent="0.35">
      <c r="A9359" s="2">
        <v>44802</v>
      </c>
      <c r="B9359" s="3">
        <v>3.2673611111111105E-2</v>
      </c>
      <c r="C9359">
        <v>9469</v>
      </c>
      <c r="D9359" t="str">
        <f>VLOOKUP(H9359,Produkt!$A$2:$B$5,2,FALSE)</f>
        <v>D</v>
      </c>
      <c r="H9359">
        <v>4</v>
      </c>
      <c r="I9359">
        <v>0.74675925925925923</v>
      </c>
      <c r="J9359">
        <v>44795</v>
      </c>
    </row>
    <row r="9360" spans="1:10" x14ac:dyDescent="0.35">
      <c r="A9360" s="2">
        <v>44802</v>
      </c>
      <c r="B9360" s="3">
        <v>0.99655092592592587</v>
      </c>
      <c r="C9360">
        <v>9479</v>
      </c>
      <c r="D9360" t="str">
        <f>VLOOKUP(H9360,Produkt!$A$2:$B$5,2,FALSE)</f>
        <v>D</v>
      </c>
      <c r="H9360">
        <v>4</v>
      </c>
      <c r="I9360">
        <v>0.77518518518518509</v>
      </c>
      <c r="J9360">
        <v>44787</v>
      </c>
    </row>
    <row r="9361" spans="1:10" x14ac:dyDescent="0.35">
      <c r="A9361" s="2">
        <v>44802</v>
      </c>
      <c r="B9361" s="3">
        <v>0.70623842592592589</v>
      </c>
      <c r="C9361">
        <v>9510</v>
      </c>
      <c r="D9361" t="str">
        <f>VLOOKUP(H9361,Produkt!$A$2:$B$5,2,FALSE)</f>
        <v>B</v>
      </c>
      <c r="H9361">
        <v>2</v>
      </c>
      <c r="I9361">
        <v>0.90912037037037041</v>
      </c>
      <c r="J9361">
        <v>44789</v>
      </c>
    </row>
    <row r="9362" spans="1:10" x14ac:dyDescent="0.35">
      <c r="A9362" s="2">
        <v>44802</v>
      </c>
      <c r="B9362" s="3">
        <v>0.5640856481481481</v>
      </c>
      <c r="C9362">
        <v>9519</v>
      </c>
      <c r="D9362" t="str">
        <f>VLOOKUP(H9362,Produkt!$A$2:$B$5,2,FALSE)</f>
        <v>A</v>
      </c>
      <c r="H9362">
        <v>1</v>
      </c>
      <c r="I9362">
        <v>0.10766203703703703</v>
      </c>
      <c r="J9362">
        <v>44783</v>
      </c>
    </row>
    <row r="9363" spans="1:10" x14ac:dyDescent="0.35">
      <c r="A9363" s="2">
        <v>44802</v>
      </c>
      <c r="B9363" s="3">
        <v>0.57640046296296299</v>
      </c>
      <c r="C9363">
        <v>9588</v>
      </c>
      <c r="D9363" t="str">
        <f>VLOOKUP(H9363,Produkt!$A$2:$B$5,2,FALSE)</f>
        <v>B</v>
      </c>
      <c r="H9363">
        <v>2</v>
      </c>
      <c r="I9363">
        <v>0.11451388888888887</v>
      </c>
      <c r="J9363">
        <v>44801</v>
      </c>
    </row>
    <row r="9364" spans="1:10" x14ac:dyDescent="0.35">
      <c r="A9364" s="2">
        <v>44802</v>
      </c>
      <c r="B9364" s="3">
        <v>0.11106481481481482</v>
      </c>
      <c r="C9364">
        <v>9596</v>
      </c>
      <c r="D9364" t="str">
        <f>VLOOKUP(H9364,Produkt!$A$2:$B$5,2,FALSE)</f>
        <v>A</v>
      </c>
      <c r="H9364">
        <v>1</v>
      </c>
      <c r="I9364">
        <v>0.96009259259259261</v>
      </c>
      <c r="J9364">
        <v>44775</v>
      </c>
    </row>
    <row r="9365" spans="1:10" x14ac:dyDescent="0.35">
      <c r="A9365" s="2">
        <v>44802</v>
      </c>
      <c r="B9365" s="3">
        <v>0.990300925925926</v>
      </c>
      <c r="C9365">
        <v>9623</v>
      </c>
      <c r="D9365" t="str">
        <f>VLOOKUP(H9365,Produkt!$A$2:$B$5,2,FALSE)</f>
        <v>A</v>
      </c>
      <c r="H9365">
        <v>1</v>
      </c>
      <c r="I9365">
        <v>7.6481481481481484E-2</v>
      </c>
      <c r="J9365">
        <v>44798</v>
      </c>
    </row>
    <row r="9366" spans="1:10" x14ac:dyDescent="0.35">
      <c r="A9366" s="2">
        <v>44802</v>
      </c>
      <c r="B9366" s="3">
        <v>0.9006249999999999</v>
      </c>
      <c r="C9366">
        <v>9675</v>
      </c>
      <c r="D9366" t="str">
        <f>VLOOKUP(H9366,Produkt!$A$2:$B$5,2,FALSE)</f>
        <v>B</v>
      </c>
      <c r="H9366">
        <v>2</v>
      </c>
      <c r="I9366">
        <v>0.55908564814814821</v>
      </c>
      <c r="J9366">
        <v>44803</v>
      </c>
    </row>
    <row r="9367" spans="1:10" x14ac:dyDescent="0.35">
      <c r="A9367" s="2">
        <v>44802</v>
      </c>
      <c r="B9367" s="3">
        <v>1.0185185185185297E-3</v>
      </c>
      <c r="C9367">
        <v>9696</v>
      </c>
      <c r="D9367" t="str">
        <f>VLOOKUP(H9367,Produkt!$A$2:$B$5,2,FALSE)</f>
        <v>D</v>
      </c>
      <c r="H9367">
        <v>4</v>
      </c>
      <c r="I9367">
        <v>0.21868055555555554</v>
      </c>
      <c r="J9367">
        <v>44774</v>
      </c>
    </row>
    <row r="9368" spans="1:10" x14ac:dyDescent="0.35">
      <c r="A9368" s="2">
        <v>44802</v>
      </c>
      <c r="B9368" s="3">
        <v>0.34666666666666668</v>
      </c>
      <c r="C9368">
        <v>9798</v>
      </c>
      <c r="D9368" t="str">
        <f>VLOOKUP(H9368,Produkt!$A$2:$B$5,2,FALSE)</f>
        <v>B</v>
      </c>
      <c r="H9368">
        <v>2</v>
      </c>
      <c r="I9368">
        <v>0.43835648148148149</v>
      </c>
      <c r="J9368">
        <v>44780</v>
      </c>
    </row>
    <row r="9369" spans="1:10" x14ac:dyDescent="0.35">
      <c r="A9369" s="2">
        <v>44802</v>
      </c>
      <c r="B9369" s="3">
        <v>0.65469907407407402</v>
      </c>
      <c r="C9369">
        <v>9803</v>
      </c>
      <c r="D9369" t="str">
        <f>VLOOKUP(H9369,Produkt!$A$2:$B$5,2,FALSE)</f>
        <v>B</v>
      </c>
      <c r="H9369">
        <v>2</v>
      </c>
      <c r="I9369">
        <v>6.6134259259259254E-2</v>
      </c>
      <c r="J9369">
        <v>44781</v>
      </c>
    </row>
    <row r="9370" spans="1:10" x14ac:dyDescent="0.35">
      <c r="A9370" s="2">
        <v>44802</v>
      </c>
      <c r="B9370" s="3">
        <v>0.21062499999999998</v>
      </c>
      <c r="C9370">
        <v>9867</v>
      </c>
      <c r="D9370" t="str">
        <f>VLOOKUP(H9370,Produkt!$A$2:$B$5,2,FALSE)</f>
        <v>A</v>
      </c>
      <c r="H9370">
        <v>1</v>
      </c>
      <c r="I9370">
        <v>0.50787037037037031</v>
      </c>
      <c r="J9370">
        <v>44801</v>
      </c>
    </row>
    <row r="9371" spans="1:10" x14ac:dyDescent="0.35">
      <c r="A9371" s="2">
        <v>44802</v>
      </c>
      <c r="B9371" s="3">
        <v>0.15615740740740741</v>
      </c>
      <c r="C9371">
        <v>9938</v>
      </c>
      <c r="D9371" t="str">
        <f>VLOOKUP(H9371,Produkt!$A$2:$B$5,2,FALSE)</f>
        <v>B</v>
      </c>
      <c r="H9371">
        <v>2</v>
      </c>
      <c r="I9371">
        <v>0.6603472222222222</v>
      </c>
      <c r="J9371">
        <v>44797</v>
      </c>
    </row>
    <row r="9372" spans="1:10" x14ac:dyDescent="0.35">
      <c r="A9372" s="2">
        <v>44802</v>
      </c>
      <c r="B9372" s="3">
        <v>0.76629629629629636</v>
      </c>
      <c r="C9372">
        <v>9952</v>
      </c>
      <c r="D9372" t="str">
        <f>VLOOKUP(H9372,Produkt!$A$2:$B$5,2,FALSE)</f>
        <v>D</v>
      </c>
      <c r="H9372">
        <v>4</v>
      </c>
      <c r="I9372">
        <v>0.18119212962962963</v>
      </c>
      <c r="J9372">
        <v>44793</v>
      </c>
    </row>
    <row r="9373" spans="1:10" x14ac:dyDescent="0.35">
      <c r="A9373" s="2">
        <v>44802</v>
      </c>
      <c r="B9373" s="3">
        <v>0.18989583333333335</v>
      </c>
      <c r="C9373">
        <v>9961</v>
      </c>
      <c r="D9373" t="str">
        <f>VLOOKUP(H9373,Produkt!$A$2:$B$5,2,FALSE)</f>
        <v>A</v>
      </c>
      <c r="H9373">
        <v>1</v>
      </c>
      <c r="I9373">
        <v>3.0208333333334725E-3</v>
      </c>
      <c r="J9373">
        <v>44791</v>
      </c>
    </row>
    <row r="9374" spans="1:10" x14ac:dyDescent="0.35">
      <c r="A9374" s="2">
        <v>44802</v>
      </c>
      <c r="B9374" s="3">
        <v>0.4460648148148148</v>
      </c>
      <c r="C9374">
        <v>9963</v>
      </c>
      <c r="D9374" t="str">
        <f>VLOOKUP(H9374,Produkt!$A$2:$B$5,2,FALSE)</f>
        <v>D</v>
      </c>
      <c r="H9374">
        <v>4</v>
      </c>
      <c r="I9374">
        <v>0.23129629629629631</v>
      </c>
      <c r="J9374">
        <v>44794</v>
      </c>
    </row>
    <row r="9375" spans="1:10" x14ac:dyDescent="0.35">
      <c r="A9375" s="2">
        <v>44803</v>
      </c>
      <c r="B9375" s="3">
        <v>0.5882060185185185</v>
      </c>
      <c r="C9375">
        <v>73</v>
      </c>
      <c r="D9375" t="str">
        <f>VLOOKUP(H9375,Produkt!$A$2:$B$5,2,FALSE)</f>
        <v>B</v>
      </c>
      <c r="H9375">
        <v>2</v>
      </c>
      <c r="I9375">
        <v>1.3310185185185187E-2</v>
      </c>
      <c r="J9375">
        <v>44801</v>
      </c>
    </row>
    <row r="9376" spans="1:10" x14ac:dyDescent="0.35">
      <c r="A9376" s="2">
        <v>44803</v>
      </c>
      <c r="B9376" s="3">
        <v>0.83758101851851852</v>
      </c>
      <c r="C9376">
        <v>86</v>
      </c>
      <c r="D9376" t="str">
        <f>VLOOKUP(H9376,Produkt!$A$2:$B$5,2,FALSE)</f>
        <v>D</v>
      </c>
      <c r="H9376">
        <v>4</v>
      </c>
      <c r="I9376">
        <v>0.2668402777777778</v>
      </c>
      <c r="J9376">
        <v>44794</v>
      </c>
    </row>
    <row r="9377" spans="1:10" x14ac:dyDescent="0.35">
      <c r="A9377" s="2">
        <v>44803</v>
      </c>
      <c r="B9377" s="3">
        <v>0.76366898148148143</v>
      </c>
      <c r="C9377">
        <v>92</v>
      </c>
      <c r="D9377" t="str">
        <f>VLOOKUP(H9377,Produkt!$A$2:$B$5,2,FALSE)</f>
        <v>D</v>
      </c>
      <c r="H9377">
        <v>4</v>
      </c>
      <c r="I9377">
        <v>0.69074074074074077</v>
      </c>
      <c r="J9377">
        <v>44800</v>
      </c>
    </row>
    <row r="9378" spans="1:10" x14ac:dyDescent="0.35">
      <c r="A9378" s="2">
        <v>44803</v>
      </c>
      <c r="B9378" s="3">
        <v>0.34172453703703703</v>
      </c>
      <c r="C9378">
        <v>109</v>
      </c>
      <c r="D9378" t="str">
        <f>VLOOKUP(H9378,Produkt!$A$2:$B$5,2,FALSE)</f>
        <v>C</v>
      </c>
      <c r="H9378">
        <v>3</v>
      </c>
      <c r="I9378">
        <v>0.98646990740740748</v>
      </c>
      <c r="J9378">
        <v>44801</v>
      </c>
    </row>
    <row r="9379" spans="1:10" x14ac:dyDescent="0.35">
      <c r="A9379" s="2">
        <v>44803</v>
      </c>
      <c r="B9379" s="3">
        <v>0.37917824074074075</v>
      </c>
      <c r="C9379">
        <v>172</v>
      </c>
      <c r="D9379" t="str">
        <f>VLOOKUP(H9379,Produkt!$A$2:$B$5,2,FALSE)</f>
        <v>C</v>
      </c>
      <c r="H9379">
        <v>3</v>
      </c>
      <c r="I9379">
        <v>0.50017361111111114</v>
      </c>
      <c r="J9379">
        <v>44799</v>
      </c>
    </row>
    <row r="9380" spans="1:10" x14ac:dyDescent="0.35">
      <c r="A9380" s="2">
        <v>44803</v>
      </c>
      <c r="B9380" s="3">
        <v>0.37001157407407409</v>
      </c>
      <c r="C9380">
        <v>198</v>
      </c>
      <c r="D9380" t="str">
        <f>VLOOKUP(H9380,Produkt!$A$2:$B$5,2,FALSE)</f>
        <v>C</v>
      </c>
      <c r="H9380">
        <v>3</v>
      </c>
      <c r="I9380">
        <v>0.92100694444444453</v>
      </c>
      <c r="J9380">
        <v>44802</v>
      </c>
    </row>
    <row r="9381" spans="1:10" x14ac:dyDescent="0.35">
      <c r="A9381" s="2">
        <v>44803</v>
      </c>
      <c r="B9381" s="3">
        <v>0.72202546296296299</v>
      </c>
      <c r="C9381">
        <v>243</v>
      </c>
      <c r="D9381" t="str">
        <f>VLOOKUP(H9381,Produkt!$A$2:$B$5,2,FALSE)</f>
        <v>B</v>
      </c>
      <c r="H9381">
        <v>2</v>
      </c>
      <c r="I9381">
        <v>0.57363425925925926</v>
      </c>
      <c r="J9381">
        <v>44804</v>
      </c>
    </row>
    <row r="9382" spans="1:10" x14ac:dyDescent="0.35">
      <c r="A9382" s="2">
        <v>44803</v>
      </c>
      <c r="B9382" s="3">
        <v>3.0578703703703747E-2</v>
      </c>
      <c r="C9382">
        <v>252</v>
      </c>
      <c r="D9382" t="str">
        <f>VLOOKUP(H9382,Produkt!$A$2:$B$5,2,FALSE)</f>
        <v>A</v>
      </c>
      <c r="H9382">
        <v>1</v>
      </c>
      <c r="I9382">
        <v>0.42373842592592598</v>
      </c>
      <c r="J9382">
        <v>44775</v>
      </c>
    </row>
    <row r="9383" spans="1:10" x14ac:dyDescent="0.35">
      <c r="A9383" s="2">
        <v>44803</v>
      </c>
      <c r="B9383" s="3">
        <v>0.21215277777777777</v>
      </c>
      <c r="C9383">
        <v>258</v>
      </c>
      <c r="D9383" t="str">
        <f>VLOOKUP(H9383,Produkt!$A$2:$B$5,2,FALSE)</f>
        <v>A</v>
      </c>
      <c r="H9383">
        <v>1</v>
      </c>
      <c r="I9383">
        <v>0.49017361111111107</v>
      </c>
      <c r="J9383">
        <v>44803</v>
      </c>
    </row>
    <row r="9384" spans="1:10" x14ac:dyDescent="0.35">
      <c r="A9384" s="2">
        <v>44803</v>
      </c>
      <c r="B9384" s="3">
        <v>0.42870370370370375</v>
      </c>
      <c r="C9384">
        <v>265</v>
      </c>
      <c r="D9384" t="str">
        <f>VLOOKUP(H9384,Produkt!$A$2:$B$5,2,FALSE)</f>
        <v>C</v>
      </c>
      <c r="H9384">
        <v>3</v>
      </c>
      <c r="I9384">
        <v>0.15152777777777779</v>
      </c>
      <c r="J9384">
        <v>44800</v>
      </c>
    </row>
    <row r="9385" spans="1:10" x14ac:dyDescent="0.35">
      <c r="A9385" s="2">
        <v>44803</v>
      </c>
      <c r="B9385" s="3">
        <v>9.7164351851851849E-2</v>
      </c>
      <c r="C9385">
        <v>272</v>
      </c>
      <c r="D9385" t="str">
        <f>VLOOKUP(H9385,Produkt!$A$2:$B$5,2,FALSE)</f>
        <v>B</v>
      </c>
      <c r="H9385">
        <v>2</v>
      </c>
      <c r="I9385">
        <v>0.51184027777777785</v>
      </c>
      <c r="J9385">
        <v>44778</v>
      </c>
    </row>
    <row r="9386" spans="1:10" x14ac:dyDescent="0.35">
      <c r="A9386" s="2">
        <v>44803</v>
      </c>
      <c r="B9386" s="3">
        <v>0.3253819444444444</v>
      </c>
      <c r="C9386">
        <v>294</v>
      </c>
      <c r="D9386" t="str">
        <f>VLOOKUP(H9386,Produkt!$A$2:$B$5,2,FALSE)</f>
        <v>A</v>
      </c>
      <c r="H9386">
        <v>1</v>
      </c>
      <c r="I9386">
        <v>4.0289351851851847E-2</v>
      </c>
      <c r="J9386">
        <v>44796</v>
      </c>
    </row>
    <row r="9387" spans="1:10" x14ac:dyDescent="0.35">
      <c r="A9387" s="2">
        <v>44803</v>
      </c>
      <c r="B9387" s="3">
        <v>0.91283564814814822</v>
      </c>
      <c r="C9387">
        <v>297</v>
      </c>
      <c r="D9387" t="str">
        <f>VLOOKUP(H9387,Produkt!$A$2:$B$5,2,FALSE)</f>
        <v>B</v>
      </c>
      <c r="H9387">
        <v>2</v>
      </c>
      <c r="I9387">
        <v>0.36185185185185187</v>
      </c>
      <c r="J9387">
        <v>44798</v>
      </c>
    </row>
    <row r="9388" spans="1:10" x14ac:dyDescent="0.35">
      <c r="A9388" s="2">
        <v>44803</v>
      </c>
      <c r="B9388" s="3">
        <v>0.12159722222222223</v>
      </c>
      <c r="C9388">
        <v>321</v>
      </c>
      <c r="D9388" t="str">
        <f>VLOOKUP(H9388,Produkt!$A$2:$B$5,2,FALSE)</f>
        <v>C</v>
      </c>
      <c r="H9388">
        <v>3</v>
      </c>
      <c r="I9388">
        <v>0.23715277777777777</v>
      </c>
      <c r="J9388">
        <v>44790</v>
      </c>
    </row>
    <row r="9389" spans="1:10" x14ac:dyDescent="0.35">
      <c r="A9389" s="2">
        <v>44803</v>
      </c>
      <c r="B9389" s="3">
        <v>4.207175925925926E-2</v>
      </c>
      <c r="C9389">
        <v>326</v>
      </c>
      <c r="D9389" t="str">
        <f>VLOOKUP(H9389,Produkt!$A$2:$B$5,2,FALSE)</f>
        <v>B</v>
      </c>
      <c r="H9389">
        <v>2</v>
      </c>
      <c r="I9389">
        <v>0.3309259259259259</v>
      </c>
      <c r="J9389">
        <v>44791</v>
      </c>
    </row>
    <row r="9390" spans="1:10" x14ac:dyDescent="0.35">
      <c r="A9390" s="2">
        <v>44803</v>
      </c>
      <c r="B9390" s="3">
        <v>0.46126157407407403</v>
      </c>
      <c r="C9390">
        <v>328</v>
      </c>
      <c r="D9390" t="str">
        <f>VLOOKUP(H9390,Produkt!$A$2:$B$5,2,FALSE)</f>
        <v>D</v>
      </c>
      <c r="H9390">
        <v>4</v>
      </c>
      <c r="I9390">
        <v>0.51340277777777776</v>
      </c>
      <c r="J9390">
        <v>44792</v>
      </c>
    </row>
    <row r="9391" spans="1:10" x14ac:dyDescent="0.35">
      <c r="A9391" s="2">
        <v>44803</v>
      </c>
      <c r="B9391" s="3">
        <v>0.67724537037037036</v>
      </c>
      <c r="C9391">
        <v>391</v>
      </c>
      <c r="D9391" t="str">
        <f>VLOOKUP(H9391,Produkt!$A$2:$B$5,2,FALSE)</f>
        <v>D</v>
      </c>
      <c r="H9391">
        <v>4</v>
      </c>
      <c r="I9391">
        <v>0.45009259259259254</v>
      </c>
      <c r="J9391">
        <v>44785</v>
      </c>
    </row>
    <row r="9392" spans="1:10" x14ac:dyDescent="0.35">
      <c r="A9392" s="2">
        <v>44803</v>
      </c>
      <c r="B9392" s="3">
        <v>0.83898148148148144</v>
      </c>
      <c r="C9392">
        <v>442</v>
      </c>
      <c r="D9392" t="str">
        <f>VLOOKUP(H9392,Produkt!$A$2:$B$5,2,FALSE)</f>
        <v>B</v>
      </c>
      <c r="H9392">
        <v>2</v>
      </c>
      <c r="I9392">
        <v>0.30038194444444444</v>
      </c>
      <c r="J9392">
        <v>44802</v>
      </c>
    </row>
    <row r="9393" spans="1:10" x14ac:dyDescent="0.35">
      <c r="A9393" s="2">
        <v>44803</v>
      </c>
      <c r="B9393" s="3">
        <v>0.3460300925925926</v>
      </c>
      <c r="C9393">
        <v>469</v>
      </c>
      <c r="D9393" t="str">
        <f>VLOOKUP(H9393,Produkt!$A$2:$B$5,2,FALSE)</f>
        <v>A</v>
      </c>
      <c r="H9393">
        <v>1</v>
      </c>
      <c r="I9393">
        <v>0.39020833333333332</v>
      </c>
      <c r="J9393">
        <v>44794</v>
      </c>
    </row>
    <row r="9394" spans="1:10" x14ac:dyDescent="0.35">
      <c r="A9394" s="2">
        <v>44803</v>
      </c>
      <c r="B9394" s="3">
        <v>0.38900462962962962</v>
      </c>
      <c r="C9394">
        <v>523</v>
      </c>
      <c r="D9394" t="str">
        <f>VLOOKUP(H9394,Produkt!$A$2:$B$5,2,FALSE)</f>
        <v>A</v>
      </c>
      <c r="H9394">
        <v>1</v>
      </c>
      <c r="I9394">
        <v>0.75944444444444448</v>
      </c>
      <c r="J9394">
        <v>44799</v>
      </c>
    </row>
    <row r="9395" spans="1:10" x14ac:dyDescent="0.35">
      <c r="A9395" s="2">
        <v>44803</v>
      </c>
      <c r="B9395" s="3">
        <v>0.29603009259259261</v>
      </c>
      <c r="C9395">
        <v>527</v>
      </c>
      <c r="D9395" t="str">
        <f>VLOOKUP(H9395,Produkt!$A$2:$B$5,2,FALSE)</f>
        <v>D</v>
      </c>
      <c r="H9395">
        <v>4</v>
      </c>
      <c r="I9395">
        <v>0.58901620370370367</v>
      </c>
      <c r="J9395">
        <v>44778</v>
      </c>
    </row>
    <row r="9396" spans="1:10" x14ac:dyDescent="0.35">
      <c r="A9396" s="2">
        <v>44803</v>
      </c>
      <c r="B9396" s="3">
        <v>0.64408564814814817</v>
      </c>
      <c r="C9396">
        <v>532</v>
      </c>
      <c r="D9396" t="str">
        <f>VLOOKUP(H9396,Produkt!$A$2:$B$5,2,FALSE)</f>
        <v>D</v>
      </c>
      <c r="H9396">
        <v>4</v>
      </c>
      <c r="I9396">
        <v>0.30118055555555556</v>
      </c>
      <c r="J9396">
        <v>44774</v>
      </c>
    </row>
    <row r="9397" spans="1:10" x14ac:dyDescent="0.35">
      <c r="A9397" s="2">
        <v>44803</v>
      </c>
      <c r="B9397" s="3">
        <v>0.60934027777777777</v>
      </c>
      <c r="C9397">
        <v>546</v>
      </c>
      <c r="D9397" t="str">
        <f>VLOOKUP(H9397,Produkt!$A$2:$B$5,2,FALSE)</f>
        <v>A</v>
      </c>
      <c r="H9397">
        <v>1</v>
      </c>
      <c r="I9397">
        <v>0.77865740740740741</v>
      </c>
      <c r="J9397">
        <v>44774</v>
      </c>
    </row>
    <row r="9398" spans="1:10" x14ac:dyDescent="0.35">
      <c r="A9398" s="2">
        <v>44803</v>
      </c>
      <c r="B9398" s="3">
        <v>6.6342592592592592E-2</v>
      </c>
      <c r="C9398">
        <v>566</v>
      </c>
      <c r="D9398" t="str">
        <f>VLOOKUP(H9398,Produkt!$A$2:$B$5,2,FALSE)</f>
        <v>D</v>
      </c>
      <c r="H9398">
        <v>4</v>
      </c>
      <c r="I9398">
        <v>0.40142361111111113</v>
      </c>
      <c r="J9398">
        <v>44800</v>
      </c>
    </row>
    <row r="9399" spans="1:10" x14ac:dyDescent="0.35">
      <c r="A9399" s="2">
        <v>44803</v>
      </c>
      <c r="B9399" s="3">
        <v>0.8482291666666667</v>
      </c>
      <c r="C9399">
        <v>568</v>
      </c>
      <c r="D9399" t="str">
        <f>VLOOKUP(H9399,Produkt!$A$2:$B$5,2,FALSE)</f>
        <v>B</v>
      </c>
      <c r="H9399">
        <v>2</v>
      </c>
      <c r="I9399">
        <v>0.43549768518518522</v>
      </c>
      <c r="J9399">
        <v>44774</v>
      </c>
    </row>
    <row r="9400" spans="1:10" x14ac:dyDescent="0.35">
      <c r="A9400" s="2">
        <v>44803</v>
      </c>
      <c r="B9400" s="3">
        <v>6.2974537037037037E-2</v>
      </c>
      <c r="C9400">
        <v>653</v>
      </c>
      <c r="D9400" t="str">
        <f>VLOOKUP(H9400,Produkt!$A$2:$B$5,2,FALSE)</f>
        <v>A</v>
      </c>
      <c r="H9400">
        <v>1</v>
      </c>
      <c r="I9400">
        <v>0.69695601851851852</v>
      </c>
      <c r="J9400">
        <v>44784</v>
      </c>
    </row>
    <row r="9401" spans="1:10" x14ac:dyDescent="0.35">
      <c r="A9401" s="2">
        <v>44803</v>
      </c>
      <c r="B9401" s="3">
        <v>0.68357638888888894</v>
      </c>
      <c r="C9401">
        <v>662</v>
      </c>
      <c r="D9401" t="str">
        <f>VLOOKUP(H9401,Produkt!$A$2:$B$5,2,FALSE)</f>
        <v>C</v>
      </c>
      <c r="H9401">
        <v>3</v>
      </c>
      <c r="I9401">
        <v>0.91575231481481489</v>
      </c>
      <c r="J9401">
        <v>44801</v>
      </c>
    </row>
    <row r="9402" spans="1:10" x14ac:dyDescent="0.35">
      <c r="A9402" s="2">
        <v>44803</v>
      </c>
      <c r="B9402" s="3">
        <v>3.340277777777767E-2</v>
      </c>
      <c r="C9402">
        <v>678</v>
      </c>
      <c r="D9402" t="str">
        <f>VLOOKUP(H9402,Produkt!$A$2:$B$5,2,FALSE)</f>
        <v>D</v>
      </c>
      <c r="H9402">
        <v>4</v>
      </c>
      <c r="I9402">
        <v>0.4324884259259259</v>
      </c>
      <c r="J9402">
        <v>44791</v>
      </c>
    </row>
    <row r="9403" spans="1:10" x14ac:dyDescent="0.35">
      <c r="A9403" s="2">
        <v>44803</v>
      </c>
      <c r="B9403" s="3">
        <v>0.2131712962962963</v>
      </c>
      <c r="C9403">
        <v>732</v>
      </c>
      <c r="D9403" t="str">
        <f>VLOOKUP(H9403,Produkt!$A$2:$B$5,2,FALSE)</f>
        <v>C</v>
      </c>
      <c r="H9403">
        <v>3</v>
      </c>
      <c r="I9403">
        <v>0.40530092592592593</v>
      </c>
      <c r="J9403">
        <v>44776</v>
      </c>
    </row>
    <row r="9404" spans="1:10" x14ac:dyDescent="0.35">
      <c r="A9404" s="2">
        <v>44803</v>
      </c>
      <c r="B9404" s="3">
        <v>0.38309027777777777</v>
      </c>
      <c r="C9404">
        <v>771</v>
      </c>
      <c r="D9404" t="str">
        <f>VLOOKUP(H9404,Produkt!$A$2:$B$5,2,FALSE)</f>
        <v>C</v>
      </c>
      <c r="H9404">
        <v>3</v>
      </c>
      <c r="I9404">
        <v>0.69649305555555552</v>
      </c>
      <c r="J9404">
        <v>44774</v>
      </c>
    </row>
    <row r="9405" spans="1:10" x14ac:dyDescent="0.35">
      <c r="A9405" s="2">
        <v>44803</v>
      </c>
      <c r="B9405" s="3">
        <v>0.29974537037037036</v>
      </c>
      <c r="C9405">
        <v>800</v>
      </c>
      <c r="D9405" t="str">
        <f>VLOOKUP(H9405,Produkt!$A$2:$B$5,2,FALSE)</f>
        <v>B</v>
      </c>
      <c r="H9405">
        <v>2</v>
      </c>
      <c r="I9405">
        <v>0.70289351851851845</v>
      </c>
      <c r="J9405">
        <v>44778</v>
      </c>
    </row>
    <row r="9406" spans="1:10" x14ac:dyDescent="0.35">
      <c r="A9406" s="2">
        <v>44803</v>
      </c>
      <c r="B9406" s="3">
        <v>0.34087962962962964</v>
      </c>
      <c r="C9406">
        <v>841</v>
      </c>
      <c r="D9406" t="str">
        <f>VLOOKUP(H9406,Produkt!$A$2:$B$5,2,FALSE)</f>
        <v>B</v>
      </c>
      <c r="H9406">
        <v>2</v>
      </c>
      <c r="I9406">
        <v>8.2442129629629629E-2</v>
      </c>
      <c r="J9406">
        <v>44775</v>
      </c>
    </row>
    <row r="9407" spans="1:10" x14ac:dyDescent="0.35">
      <c r="A9407" s="2">
        <v>44803</v>
      </c>
      <c r="B9407" s="3">
        <v>0.98651620370370363</v>
      </c>
      <c r="C9407">
        <v>843</v>
      </c>
      <c r="D9407" t="str">
        <f>VLOOKUP(H9407,Produkt!$A$2:$B$5,2,FALSE)</f>
        <v>B</v>
      </c>
      <c r="H9407">
        <v>2</v>
      </c>
      <c r="I9407">
        <v>0.98608796296296297</v>
      </c>
      <c r="J9407">
        <v>44797</v>
      </c>
    </row>
    <row r="9408" spans="1:10" x14ac:dyDescent="0.35">
      <c r="A9408" s="2">
        <v>44803</v>
      </c>
      <c r="B9408" s="3">
        <v>0.88041666666666663</v>
      </c>
      <c r="C9408">
        <v>917</v>
      </c>
      <c r="D9408" t="str">
        <f>VLOOKUP(H9408,Produkt!$A$2:$B$5,2,FALSE)</f>
        <v>D</v>
      </c>
      <c r="H9408">
        <v>4</v>
      </c>
      <c r="I9408">
        <v>0.89708333333333334</v>
      </c>
      <c r="J9408">
        <v>44795</v>
      </c>
    </row>
    <row r="9409" spans="1:10" x14ac:dyDescent="0.35">
      <c r="A9409" s="2">
        <v>44803</v>
      </c>
      <c r="B9409" s="3">
        <v>0.28662037037037036</v>
      </c>
      <c r="C9409">
        <v>1013</v>
      </c>
      <c r="D9409" t="str">
        <f>VLOOKUP(H9409,Produkt!$A$2:$B$5,2,FALSE)</f>
        <v>C</v>
      </c>
      <c r="H9409">
        <v>3</v>
      </c>
      <c r="I9409">
        <v>0.30869212962962961</v>
      </c>
      <c r="J9409">
        <v>44793</v>
      </c>
    </row>
    <row r="9410" spans="1:10" x14ac:dyDescent="0.35">
      <c r="A9410" s="2">
        <v>44803</v>
      </c>
      <c r="B9410" s="3">
        <v>0.63047453703703704</v>
      </c>
      <c r="C9410">
        <v>1085</v>
      </c>
      <c r="D9410" t="str">
        <f>VLOOKUP(H9410,Produkt!$A$2:$B$5,2,FALSE)</f>
        <v>B</v>
      </c>
      <c r="H9410">
        <v>2</v>
      </c>
      <c r="I9410">
        <v>0.49276620370370372</v>
      </c>
      <c r="J9410">
        <v>44801</v>
      </c>
    </row>
    <row r="9411" spans="1:10" x14ac:dyDescent="0.35">
      <c r="A9411" s="2">
        <v>44803</v>
      </c>
      <c r="B9411" s="3">
        <v>0.87834490740740734</v>
      </c>
      <c r="C9411">
        <v>1107</v>
      </c>
      <c r="D9411" t="str">
        <f>VLOOKUP(H9411,Produkt!$A$2:$B$5,2,FALSE)</f>
        <v>B</v>
      </c>
      <c r="H9411">
        <v>2</v>
      </c>
      <c r="I9411">
        <v>0.22545138888888891</v>
      </c>
      <c r="J9411">
        <v>44794</v>
      </c>
    </row>
    <row r="9412" spans="1:10" x14ac:dyDescent="0.35">
      <c r="A9412" s="2">
        <v>44803</v>
      </c>
      <c r="B9412" s="3">
        <v>0.60964120370370367</v>
      </c>
      <c r="C9412">
        <v>1125</v>
      </c>
      <c r="D9412" t="str">
        <f>VLOOKUP(H9412,Produkt!$A$2:$B$5,2,FALSE)</f>
        <v>C</v>
      </c>
      <c r="H9412">
        <v>3</v>
      </c>
      <c r="I9412">
        <v>0.64350694444444445</v>
      </c>
      <c r="J9412">
        <v>44784</v>
      </c>
    </row>
    <row r="9413" spans="1:10" x14ac:dyDescent="0.35">
      <c r="A9413" s="2">
        <v>44803</v>
      </c>
      <c r="B9413" s="3">
        <v>0.92167824074074067</v>
      </c>
      <c r="C9413">
        <v>1147</v>
      </c>
      <c r="D9413" t="str">
        <f>VLOOKUP(H9413,Produkt!$A$2:$B$5,2,FALSE)</f>
        <v>B</v>
      </c>
      <c r="H9413">
        <v>2</v>
      </c>
      <c r="I9413">
        <v>7.3402777777777775E-2</v>
      </c>
      <c r="J9413">
        <v>44801</v>
      </c>
    </row>
    <row r="9414" spans="1:10" x14ac:dyDescent="0.35">
      <c r="A9414" s="2">
        <v>44803</v>
      </c>
      <c r="B9414" s="3">
        <v>0.94915509259259256</v>
      </c>
      <c r="C9414">
        <v>1161</v>
      </c>
      <c r="D9414" t="str">
        <f>VLOOKUP(H9414,Produkt!$A$2:$B$5,2,FALSE)</f>
        <v>C</v>
      </c>
      <c r="H9414">
        <v>3</v>
      </c>
      <c r="I9414">
        <v>0.66184027777777776</v>
      </c>
      <c r="J9414">
        <v>44789</v>
      </c>
    </row>
    <row r="9415" spans="1:10" x14ac:dyDescent="0.35">
      <c r="A9415" s="2">
        <v>44803</v>
      </c>
      <c r="B9415" s="3">
        <v>0.24158564814814812</v>
      </c>
      <c r="C9415">
        <v>1210</v>
      </c>
      <c r="D9415" t="str">
        <f>VLOOKUP(H9415,Produkt!$A$2:$B$5,2,FALSE)</f>
        <v>A</v>
      </c>
      <c r="H9415">
        <v>1</v>
      </c>
      <c r="I9415">
        <v>0.39976851851851852</v>
      </c>
      <c r="J9415">
        <v>44795</v>
      </c>
    </row>
    <row r="9416" spans="1:10" x14ac:dyDescent="0.35">
      <c r="A9416" s="2">
        <v>44803</v>
      </c>
      <c r="B9416" s="3">
        <v>0.12413194444444443</v>
      </c>
      <c r="C9416">
        <v>1265</v>
      </c>
      <c r="D9416" t="str">
        <f>VLOOKUP(H9416,Produkt!$A$2:$B$5,2,FALSE)</f>
        <v>D</v>
      </c>
      <c r="H9416">
        <v>4</v>
      </c>
      <c r="I9416">
        <v>0.37355324074074076</v>
      </c>
      <c r="J9416">
        <v>44781</v>
      </c>
    </row>
    <row r="9417" spans="1:10" x14ac:dyDescent="0.35">
      <c r="A9417" s="2">
        <v>44803</v>
      </c>
      <c r="B9417" s="3">
        <v>0.33041666666666664</v>
      </c>
      <c r="C9417">
        <v>1276</v>
      </c>
      <c r="D9417" t="str">
        <f>VLOOKUP(H9417,Produkt!$A$2:$B$5,2,FALSE)</f>
        <v>A</v>
      </c>
      <c r="H9417">
        <v>1</v>
      </c>
      <c r="I9417">
        <v>0.91954861111111119</v>
      </c>
      <c r="J9417">
        <v>44774</v>
      </c>
    </row>
    <row r="9418" spans="1:10" x14ac:dyDescent="0.35">
      <c r="A9418" s="2">
        <v>44803</v>
      </c>
      <c r="B9418" s="3">
        <v>2.9131944444444446E-2</v>
      </c>
      <c r="C9418">
        <v>1331</v>
      </c>
      <c r="D9418" t="str">
        <f>VLOOKUP(H9418,Produkt!$A$2:$B$5,2,FALSE)</f>
        <v>B</v>
      </c>
      <c r="H9418">
        <v>2</v>
      </c>
      <c r="I9418">
        <v>0.21707175925925926</v>
      </c>
      <c r="J9418">
        <v>44799</v>
      </c>
    </row>
    <row r="9419" spans="1:10" x14ac:dyDescent="0.35">
      <c r="A9419" s="2">
        <v>44803</v>
      </c>
      <c r="B9419" s="3">
        <v>0.66738425925925926</v>
      </c>
      <c r="C9419">
        <v>1353</v>
      </c>
      <c r="D9419" t="str">
        <f>VLOOKUP(H9419,Produkt!$A$2:$B$5,2,FALSE)</f>
        <v>C</v>
      </c>
      <c r="H9419">
        <v>3</v>
      </c>
      <c r="I9419">
        <v>0.6602083333333334</v>
      </c>
      <c r="J9419">
        <v>44804</v>
      </c>
    </row>
    <row r="9420" spans="1:10" x14ac:dyDescent="0.35">
      <c r="A9420" s="2">
        <v>44803</v>
      </c>
      <c r="B9420" s="3">
        <v>0.453125</v>
      </c>
      <c r="C9420">
        <v>1378</v>
      </c>
      <c r="D9420" t="str">
        <f>VLOOKUP(H9420,Produkt!$A$2:$B$5,2,FALSE)</f>
        <v>A</v>
      </c>
      <c r="H9420">
        <v>1</v>
      </c>
      <c r="I9420">
        <v>0.69918981481481479</v>
      </c>
      <c r="J9420">
        <v>44797</v>
      </c>
    </row>
    <row r="9421" spans="1:10" x14ac:dyDescent="0.35">
      <c r="A9421" s="2">
        <v>44803</v>
      </c>
      <c r="B9421" s="3">
        <v>0.65170138888888884</v>
      </c>
      <c r="C9421">
        <v>1382</v>
      </c>
      <c r="D9421" t="str">
        <f>VLOOKUP(H9421,Produkt!$A$2:$B$5,2,FALSE)</f>
        <v>A</v>
      </c>
      <c r="H9421">
        <v>1</v>
      </c>
      <c r="I9421">
        <v>0.21606481481481479</v>
      </c>
      <c r="J9421">
        <v>44793</v>
      </c>
    </row>
    <row r="9422" spans="1:10" x14ac:dyDescent="0.35">
      <c r="A9422" s="2">
        <v>44803</v>
      </c>
      <c r="B9422" s="3">
        <v>1.1643518518518518E-2</v>
      </c>
      <c r="C9422">
        <v>1427</v>
      </c>
      <c r="D9422" t="str">
        <f>VLOOKUP(H9422,Produkt!$A$2:$B$5,2,FALSE)</f>
        <v>D</v>
      </c>
      <c r="H9422">
        <v>4</v>
      </c>
      <c r="I9422">
        <v>0.31554398148148149</v>
      </c>
      <c r="J9422">
        <v>44777</v>
      </c>
    </row>
    <row r="9423" spans="1:10" x14ac:dyDescent="0.35">
      <c r="A9423" s="2">
        <v>44803</v>
      </c>
      <c r="B9423" s="3">
        <v>0.83351851851851855</v>
      </c>
      <c r="C9423">
        <v>1457</v>
      </c>
      <c r="D9423" t="str">
        <f>VLOOKUP(H9423,Produkt!$A$2:$B$5,2,FALSE)</f>
        <v>D</v>
      </c>
      <c r="H9423">
        <v>4</v>
      </c>
      <c r="I9423">
        <v>0.16556712962962963</v>
      </c>
      <c r="J9423">
        <v>44788</v>
      </c>
    </row>
    <row r="9424" spans="1:10" x14ac:dyDescent="0.35">
      <c r="A9424" s="2">
        <v>44803</v>
      </c>
      <c r="B9424" s="3">
        <v>3.8877314814814712E-2</v>
      </c>
      <c r="C9424">
        <v>1549</v>
      </c>
      <c r="D9424" t="str">
        <f>VLOOKUP(H9424,Produkt!$A$2:$B$5,2,FALSE)</f>
        <v>B</v>
      </c>
      <c r="H9424">
        <v>2</v>
      </c>
      <c r="I9424">
        <v>0.40527777777777779</v>
      </c>
      <c r="J9424">
        <v>44793</v>
      </c>
    </row>
    <row r="9425" spans="1:10" x14ac:dyDescent="0.35">
      <c r="A9425" s="2">
        <v>44803</v>
      </c>
      <c r="B9425" s="3">
        <v>1.9305555555555555E-2</v>
      </c>
      <c r="C9425">
        <v>1567</v>
      </c>
      <c r="D9425" t="str">
        <f>VLOOKUP(H9425,Produkt!$A$2:$B$5,2,FALSE)</f>
        <v>B</v>
      </c>
      <c r="H9425">
        <v>2</v>
      </c>
      <c r="I9425">
        <v>0.58818287037037031</v>
      </c>
      <c r="J9425">
        <v>44787</v>
      </c>
    </row>
    <row r="9426" spans="1:10" x14ac:dyDescent="0.35">
      <c r="A9426" s="2">
        <v>44803</v>
      </c>
      <c r="B9426" s="3">
        <v>4.9768518518518157E-3</v>
      </c>
      <c r="C9426">
        <v>1571</v>
      </c>
      <c r="D9426" t="str">
        <f>VLOOKUP(H9426,Produkt!$A$2:$B$5,2,FALSE)</f>
        <v>A</v>
      </c>
      <c r="H9426">
        <v>1</v>
      </c>
      <c r="I9426">
        <v>9.1550925925927285E-3</v>
      </c>
      <c r="J9426">
        <v>44778</v>
      </c>
    </row>
    <row r="9427" spans="1:10" x14ac:dyDescent="0.35">
      <c r="A9427" s="2">
        <v>44803</v>
      </c>
      <c r="B9427" s="3">
        <v>0.72763888888888895</v>
      </c>
      <c r="C9427">
        <v>1640</v>
      </c>
      <c r="D9427" t="str">
        <f>VLOOKUP(H9427,Produkt!$A$2:$B$5,2,FALSE)</f>
        <v>C</v>
      </c>
      <c r="H9427">
        <v>3</v>
      </c>
      <c r="I9427">
        <v>1.1215277777777777E-2</v>
      </c>
      <c r="J9427">
        <v>44794</v>
      </c>
    </row>
    <row r="9428" spans="1:10" x14ac:dyDescent="0.35">
      <c r="A9428" s="2">
        <v>44803</v>
      </c>
      <c r="B9428" s="3">
        <v>0.94821759259259253</v>
      </c>
      <c r="C9428">
        <v>1660</v>
      </c>
      <c r="D9428" t="str">
        <f>VLOOKUP(H9428,Produkt!$A$2:$B$5,2,FALSE)</f>
        <v>D</v>
      </c>
      <c r="H9428">
        <v>4</v>
      </c>
      <c r="I9428">
        <v>1.3657407407407396E-2</v>
      </c>
      <c r="J9428">
        <v>44792</v>
      </c>
    </row>
    <row r="9429" spans="1:10" x14ac:dyDescent="0.35">
      <c r="A9429" s="2">
        <v>44803</v>
      </c>
      <c r="B9429" s="3">
        <v>0.28077546296296296</v>
      </c>
      <c r="C9429">
        <v>1820</v>
      </c>
      <c r="D9429" t="str">
        <f>VLOOKUP(H9429,Produkt!$A$2:$B$5,2,FALSE)</f>
        <v>B</v>
      </c>
      <c r="H9429">
        <v>2</v>
      </c>
      <c r="I9429">
        <v>0.77038194444444441</v>
      </c>
      <c r="J9429">
        <v>44778</v>
      </c>
    </row>
    <row r="9430" spans="1:10" x14ac:dyDescent="0.35">
      <c r="A9430" s="2">
        <v>44803</v>
      </c>
      <c r="B9430" s="3">
        <v>0.47092592592592591</v>
      </c>
      <c r="C9430">
        <v>1891</v>
      </c>
      <c r="D9430" t="str">
        <f>VLOOKUP(H9430,Produkt!$A$2:$B$5,2,FALSE)</f>
        <v>C</v>
      </c>
      <c r="H9430">
        <v>3</v>
      </c>
      <c r="I9430">
        <v>0.25482638888888892</v>
      </c>
      <c r="J9430">
        <v>44783</v>
      </c>
    </row>
    <row r="9431" spans="1:10" x14ac:dyDescent="0.35">
      <c r="A9431" s="2">
        <v>44803</v>
      </c>
      <c r="B9431" s="3">
        <v>0.97598379629629628</v>
      </c>
      <c r="C9431">
        <v>1951</v>
      </c>
      <c r="D9431" t="str">
        <f>VLOOKUP(H9431,Produkt!$A$2:$B$5,2,FALSE)</f>
        <v>B</v>
      </c>
      <c r="H9431">
        <v>2</v>
      </c>
      <c r="I9431">
        <v>0.62968750000000007</v>
      </c>
      <c r="J9431">
        <v>44779</v>
      </c>
    </row>
    <row r="9432" spans="1:10" x14ac:dyDescent="0.35">
      <c r="A9432" s="2">
        <v>44803</v>
      </c>
      <c r="B9432" s="3">
        <v>0.94200231481481478</v>
      </c>
      <c r="C9432">
        <v>1959</v>
      </c>
      <c r="D9432" t="str">
        <f>VLOOKUP(H9432,Produkt!$A$2:$B$5,2,FALSE)</f>
        <v>B</v>
      </c>
      <c r="H9432">
        <v>2</v>
      </c>
      <c r="I9432">
        <v>0.77638888888888891</v>
      </c>
      <c r="J9432">
        <v>44804</v>
      </c>
    </row>
    <row r="9433" spans="1:10" x14ac:dyDescent="0.35">
      <c r="A9433" s="2">
        <v>44803</v>
      </c>
      <c r="B9433" s="3">
        <v>0.16636574074074076</v>
      </c>
      <c r="C9433">
        <v>1960</v>
      </c>
      <c r="D9433" t="str">
        <f>VLOOKUP(H9433,Produkt!$A$2:$B$5,2,FALSE)</f>
        <v>A</v>
      </c>
      <c r="H9433">
        <v>1</v>
      </c>
      <c r="I9433">
        <v>7.1921296296296303E-2</v>
      </c>
      <c r="J9433">
        <v>44783</v>
      </c>
    </row>
    <row r="9434" spans="1:10" x14ac:dyDescent="0.35">
      <c r="A9434" s="2">
        <v>44803</v>
      </c>
      <c r="B9434" s="3">
        <v>0.31390046296296298</v>
      </c>
      <c r="C9434">
        <v>1989</v>
      </c>
      <c r="D9434" t="str">
        <f>VLOOKUP(H9434,Produkt!$A$2:$B$5,2,FALSE)</f>
        <v>D</v>
      </c>
      <c r="H9434">
        <v>4</v>
      </c>
      <c r="I9434">
        <v>0.77020833333333327</v>
      </c>
      <c r="J9434">
        <v>44801</v>
      </c>
    </row>
    <row r="9435" spans="1:10" x14ac:dyDescent="0.35">
      <c r="A9435" s="2">
        <v>44803</v>
      </c>
      <c r="B9435" s="3">
        <v>0.85223379629629636</v>
      </c>
      <c r="C9435">
        <v>1993</v>
      </c>
      <c r="D9435" t="str">
        <f>VLOOKUP(H9435,Produkt!$A$2:$B$5,2,FALSE)</f>
        <v>C</v>
      </c>
      <c r="H9435">
        <v>3</v>
      </c>
      <c r="I9435">
        <v>0.9754976851851852</v>
      </c>
      <c r="J9435">
        <v>44783</v>
      </c>
    </row>
    <row r="9436" spans="1:10" x14ac:dyDescent="0.35">
      <c r="A9436" s="2">
        <v>44803</v>
      </c>
      <c r="B9436" s="3">
        <v>0.83240740740740737</v>
      </c>
      <c r="C9436">
        <v>2020</v>
      </c>
      <c r="D9436" t="str">
        <f>VLOOKUP(H9436,Produkt!$A$2:$B$5,2,FALSE)</f>
        <v>D</v>
      </c>
      <c r="H9436">
        <v>4</v>
      </c>
      <c r="I9436">
        <v>0.70888888888888879</v>
      </c>
      <c r="J9436">
        <v>44799</v>
      </c>
    </row>
    <row r="9437" spans="1:10" x14ac:dyDescent="0.35">
      <c r="A9437" s="2">
        <v>44803</v>
      </c>
      <c r="B9437" s="3">
        <v>0.17675925925925925</v>
      </c>
      <c r="C9437">
        <v>2070</v>
      </c>
      <c r="D9437" t="str">
        <f>VLOOKUP(H9437,Produkt!$A$2:$B$5,2,FALSE)</f>
        <v>C</v>
      </c>
      <c r="H9437">
        <v>3</v>
      </c>
      <c r="I9437">
        <v>0.35074074074074074</v>
      </c>
      <c r="J9437">
        <v>44782</v>
      </c>
    </row>
    <row r="9438" spans="1:10" x14ac:dyDescent="0.35">
      <c r="A9438" s="2">
        <v>44803</v>
      </c>
      <c r="B9438" s="3">
        <v>0.35000000000000003</v>
      </c>
      <c r="C9438">
        <v>2117</v>
      </c>
      <c r="D9438" t="str">
        <f>VLOOKUP(H9438,Produkt!$A$2:$B$5,2,FALSE)</f>
        <v>A</v>
      </c>
      <c r="H9438">
        <v>1</v>
      </c>
      <c r="I9438">
        <v>0.64523148148148146</v>
      </c>
      <c r="J9438">
        <v>44795</v>
      </c>
    </row>
    <row r="9439" spans="1:10" x14ac:dyDescent="0.35">
      <c r="A9439" s="2">
        <v>44803</v>
      </c>
      <c r="B9439" s="3">
        <v>0.1776736111111111</v>
      </c>
      <c r="C9439">
        <v>2154</v>
      </c>
      <c r="D9439" t="str">
        <f>VLOOKUP(H9439,Produkt!$A$2:$B$5,2,FALSE)</f>
        <v>B</v>
      </c>
      <c r="H9439">
        <v>2</v>
      </c>
      <c r="I9439">
        <v>0.51153935185185184</v>
      </c>
      <c r="J9439">
        <v>44804</v>
      </c>
    </row>
    <row r="9440" spans="1:10" x14ac:dyDescent="0.35">
      <c r="A9440" s="2">
        <v>44803</v>
      </c>
      <c r="B9440" s="3">
        <v>0.24103009259259259</v>
      </c>
      <c r="C9440">
        <v>2189</v>
      </c>
      <c r="D9440" t="str">
        <f>VLOOKUP(H9440,Produkt!$A$2:$B$5,2,FALSE)</f>
        <v>A</v>
      </c>
      <c r="H9440">
        <v>1</v>
      </c>
      <c r="I9440">
        <v>0.28469907407407408</v>
      </c>
      <c r="J9440">
        <v>44800</v>
      </c>
    </row>
    <row r="9441" spans="1:10" x14ac:dyDescent="0.35">
      <c r="A9441" s="2">
        <v>44803</v>
      </c>
      <c r="B9441" s="3">
        <v>0.77120370370370372</v>
      </c>
      <c r="C9441">
        <v>2203</v>
      </c>
      <c r="D9441" t="str">
        <f>VLOOKUP(H9441,Produkt!$A$2:$B$5,2,FALSE)</f>
        <v>D</v>
      </c>
      <c r="H9441">
        <v>4</v>
      </c>
      <c r="I9441">
        <v>0.95640046296296299</v>
      </c>
      <c r="J9441">
        <v>44777</v>
      </c>
    </row>
    <row r="9442" spans="1:10" x14ac:dyDescent="0.35">
      <c r="A9442" s="2">
        <v>44803</v>
      </c>
      <c r="B9442" s="3">
        <v>0.92274305555555547</v>
      </c>
      <c r="C9442">
        <v>2214</v>
      </c>
      <c r="D9442" t="str">
        <f>VLOOKUP(H9442,Produkt!$A$2:$B$5,2,FALSE)</f>
        <v>A</v>
      </c>
      <c r="H9442">
        <v>1</v>
      </c>
      <c r="I9442">
        <v>0.4704861111111111</v>
      </c>
      <c r="J9442">
        <v>44789</v>
      </c>
    </row>
    <row r="9443" spans="1:10" x14ac:dyDescent="0.35">
      <c r="A9443" s="2">
        <v>44803</v>
      </c>
      <c r="B9443" s="3">
        <v>0.74283564814814806</v>
      </c>
      <c r="C9443">
        <v>2243</v>
      </c>
      <c r="D9443" t="str">
        <f>VLOOKUP(H9443,Produkt!$A$2:$B$5,2,FALSE)</f>
        <v>A</v>
      </c>
      <c r="H9443">
        <v>1</v>
      </c>
      <c r="I9443">
        <v>4.8611111111112049E-3</v>
      </c>
      <c r="J9443">
        <v>44780</v>
      </c>
    </row>
    <row r="9444" spans="1:10" x14ac:dyDescent="0.35">
      <c r="A9444" s="2">
        <v>44803</v>
      </c>
      <c r="B9444" s="3">
        <v>7.5034722222222225E-2</v>
      </c>
      <c r="C9444">
        <v>2281</v>
      </c>
      <c r="D9444" t="str">
        <f>VLOOKUP(H9444,Produkt!$A$2:$B$5,2,FALSE)</f>
        <v>C</v>
      </c>
      <c r="H9444">
        <v>3</v>
      </c>
      <c r="I9444">
        <v>0.77178240740740733</v>
      </c>
      <c r="J9444">
        <v>44795</v>
      </c>
    </row>
    <row r="9445" spans="1:10" x14ac:dyDescent="0.35">
      <c r="A9445" s="2">
        <v>44803</v>
      </c>
      <c r="B9445" s="3">
        <v>0.41206018518518522</v>
      </c>
      <c r="C9445">
        <v>2356</v>
      </c>
      <c r="D9445" t="str">
        <f>VLOOKUP(H9445,Produkt!$A$2:$B$5,2,FALSE)</f>
        <v>A</v>
      </c>
      <c r="H9445">
        <v>1</v>
      </c>
      <c r="I9445">
        <v>0.90895833333333342</v>
      </c>
      <c r="J9445">
        <v>44789</v>
      </c>
    </row>
    <row r="9446" spans="1:10" x14ac:dyDescent="0.35">
      <c r="A9446" s="2">
        <v>44803</v>
      </c>
      <c r="B9446" s="3">
        <v>0.15416666666666667</v>
      </c>
      <c r="C9446">
        <v>2395</v>
      </c>
      <c r="D9446" t="str">
        <f>VLOOKUP(H9446,Produkt!$A$2:$B$5,2,FALSE)</f>
        <v>D</v>
      </c>
      <c r="H9446">
        <v>4</v>
      </c>
      <c r="I9446">
        <v>0.43608796296296298</v>
      </c>
      <c r="J9446">
        <v>44789</v>
      </c>
    </row>
    <row r="9447" spans="1:10" x14ac:dyDescent="0.35">
      <c r="A9447" s="2">
        <v>44803</v>
      </c>
      <c r="B9447" s="3">
        <v>0.18964120370370371</v>
      </c>
      <c r="C9447">
        <v>2430</v>
      </c>
      <c r="D9447" t="str">
        <f>VLOOKUP(H9447,Produkt!$A$2:$B$5,2,FALSE)</f>
        <v>C</v>
      </c>
      <c r="H9447">
        <v>3</v>
      </c>
      <c r="I9447">
        <v>0.64216435185185183</v>
      </c>
      <c r="J9447">
        <v>44803</v>
      </c>
    </row>
    <row r="9448" spans="1:10" x14ac:dyDescent="0.35">
      <c r="A9448" s="2">
        <v>44803</v>
      </c>
      <c r="B9448" s="3">
        <v>0.9364351851851852</v>
      </c>
      <c r="C9448">
        <v>2431</v>
      </c>
      <c r="D9448" t="str">
        <f>VLOOKUP(H9448,Produkt!$A$2:$B$5,2,FALSE)</f>
        <v>D</v>
      </c>
      <c r="H9448">
        <v>4</v>
      </c>
      <c r="I9448">
        <v>0.13886574074074073</v>
      </c>
      <c r="J9448">
        <v>44796</v>
      </c>
    </row>
    <row r="9449" spans="1:10" x14ac:dyDescent="0.35">
      <c r="A9449" s="2">
        <v>44803</v>
      </c>
      <c r="B9449" s="3">
        <v>0.66890046296296291</v>
      </c>
      <c r="C9449">
        <v>2451</v>
      </c>
      <c r="D9449" t="str">
        <f>VLOOKUP(H9449,Produkt!$A$2:$B$5,2,FALSE)</f>
        <v>D</v>
      </c>
      <c r="H9449">
        <v>4</v>
      </c>
      <c r="I9449">
        <v>0.99799768518518517</v>
      </c>
      <c r="J9449">
        <v>44785</v>
      </c>
    </row>
    <row r="9450" spans="1:10" x14ac:dyDescent="0.35">
      <c r="A9450" s="2">
        <v>44803</v>
      </c>
      <c r="B9450" s="3">
        <v>0.91958333333333331</v>
      </c>
      <c r="C9450">
        <v>2464</v>
      </c>
      <c r="D9450" t="str">
        <f>VLOOKUP(H9450,Produkt!$A$2:$B$5,2,FALSE)</f>
        <v>D</v>
      </c>
      <c r="H9450">
        <v>4</v>
      </c>
      <c r="I9450">
        <v>0.11929398148148147</v>
      </c>
      <c r="J9450">
        <v>44776</v>
      </c>
    </row>
    <row r="9451" spans="1:10" x14ac:dyDescent="0.35">
      <c r="A9451" s="2">
        <v>44803</v>
      </c>
      <c r="B9451" s="3">
        <v>0.68026620370370372</v>
      </c>
      <c r="C9451">
        <v>2562</v>
      </c>
      <c r="D9451" t="str">
        <f>VLOOKUP(H9451,Produkt!$A$2:$B$5,2,FALSE)</f>
        <v>A</v>
      </c>
      <c r="H9451">
        <v>1</v>
      </c>
      <c r="I9451">
        <v>0.71953703703703698</v>
      </c>
      <c r="J9451">
        <v>44802</v>
      </c>
    </row>
    <row r="9452" spans="1:10" x14ac:dyDescent="0.35">
      <c r="A9452" s="2">
        <v>44803</v>
      </c>
      <c r="B9452" s="3">
        <v>0.94614583333333335</v>
      </c>
      <c r="C9452">
        <v>2605</v>
      </c>
      <c r="D9452" t="str">
        <f>VLOOKUP(H9452,Produkt!$A$2:$B$5,2,FALSE)</f>
        <v>B</v>
      </c>
      <c r="H9452">
        <v>2</v>
      </c>
      <c r="I9452">
        <v>0.71861111111111109</v>
      </c>
      <c r="J9452">
        <v>44800</v>
      </c>
    </row>
    <row r="9453" spans="1:10" x14ac:dyDescent="0.35">
      <c r="A9453" s="2">
        <v>44803</v>
      </c>
      <c r="B9453" s="3">
        <v>3.8402777777777786E-2</v>
      </c>
      <c r="C9453">
        <v>2614</v>
      </c>
      <c r="D9453" t="str">
        <f>VLOOKUP(H9453,Produkt!$A$2:$B$5,2,FALSE)</f>
        <v>D</v>
      </c>
      <c r="H9453">
        <v>4</v>
      </c>
      <c r="I9453">
        <v>0.71355324074074078</v>
      </c>
      <c r="J9453">
        <v>44783</v>
      </c>
    </row>
    <row r="9454" spans="1:10" x14ac:dyDescent="0.35">
      <c r="A9454" s="2">
        <v>44803</v>
      </c>
      <c r="B9454" s="3">
        <v>0.51515046296296296</v>
      </c>
      <c r="C9454">
        <v>2626</v>
      </c>
      <c r="D9454" t="str">
        <f>VLOOKUP(H9454,Produkt!$A$2:$B$5,2,FALSE)</f>
        <v>B</v>
      </c>
      <c r="H9454">
        <v>2</v>
      </c>
      <c r="I9454">
        <v>2.3391203703703622E-2</v>
      </c>
      <c r="J9454">
        <v>44798</v>
      </c>
    </row>
    <row r="9455" spans="1:10" x14ac:dyDescent="0.35">
      <c r="A9455" s="2">
        <v>44803</v>
      </c>
      <c r="B9455" s="3">
        <v>0.69762731481481488</v>
      </c>
      <c r="C9455">
        <v>2630</v>
      </c>
      <c r="D9455" t="str">
        <f>VLOOKUP(H9455,Produkt!$A$2:$B$5,2,FALSE)</f>
        <v>D</v>
      </c>
      <c r="H9455">
        <v>4</v>
      </c>
      <c r="I9455">
        <v>0.89702546296296293</v>
      </c>
      <c r="J9455">
        <v>44775</v>
      </c>
    </row>
    <row r="9456" spans="1:10" x14ac:dyDescent="0.35">
      <c r="A9456" s="2">
        <v>44803</v>
      </c>
      <c r="B9456" s="3">
        <v>0.75902777777777775</v>
      </c>
      <c r="C9456">
        <v>2661</v>
      </c>
      <c r="D9456" t="str">
        <f>VLOOKUP(H9456,Produkt!$A$2:$B$5,2,FALSE)</f>
        <v>D</v>
      </c>
      <c r="H9456">
        <v>4</v>
      </c>
      <c r="I9456">
        <v>0.21547453703703703</v>
      </c>
      <c r="J9456">
        <v>44792</v>
      </c>
    </row>
    <row r="9457" spans="1:10" x14ac:dyDescent="0.35">
      <c r="A9457" s="2">
        <v>44803</v>
      </c>
      <c r="B9457" s="3">
        <v>0.78729166666666661</v>
      </c>
      <c r="C9457">
        <v>2666</v>
      </c>
      <c r="D9457" t="str">
        <f>VLOOKUP(H9457,Produkt!$A$2:$B$5,2,FALSE)</f>
        <v>D</v>
      </c>
      <c r="H9457">
        <v>4</v>
      </c>
      <c r="I9457">
        <v>0.60035879629629629</v>
      </c>
      <c r="J9457">
        <v>44791</v>
      </c>
    </row>
    <row r="9458" spans="1:10" x14ac:dyDescent="0.35">
      <c r="A9458" s="2">
        <v>44803</v>
      </c>
      <c r="B9458" s="3">
        <v>0.36118055555555556</v>
      </c>
      <c r="C9458">
        <v>2693</v>
      </c>
      <c r="D9458" t="str">
        <f>VLOOKUP(H9458,Produkt!$A$2:$B$5,2,FALSE)</f>
        <v>C</v>
      </c>
      <c r="H9458">
        <v>3</v>
      </c>
      <c r="I9458">
        <v>0.2099074074074074</v>
      </c>
      <c r="J9458">
        <v>44775</v>
      </c>
    </row>
    <row r="9459" spans="1:10" x14ac:dyDescent="0.35">
      <c r="A9459" s="2">
        <v>44803</v>
      </c>
      <c r="B9459" s="3">
        <v>8.5104166666666661E-2</v>
      </c>
      <c r="C9459">
        <v>2702</v>
      </c>
      <c r="D9459" t="str">
        <f>VLOOKUP(H9459,Produkt!$A$2:$B$5,2,FALSE)</f>
        <v>A</v>
      </c>
      <c r="H9459">
        <v>1</v>
      </c>
      <c r="I9459">
        <v>0.56508101851851855</v>
      </c>
      <c r="J9459">
        <v>44778</v>
      </c>
    </row>
    <row r="9460" spans="1:10" x14ac:dyDescent="0.35">
      <c r="A9460" s="2">
        <v>44803</v>
      </c>
      <c r="B9460" s="3">
        <v>0.89393518518518522</v>
      </c>
      <c r="C9460">
        <v>2744</v>
      </c>
      <c r="D9460" t="str">
        <f>VLOOKUP(H9460,Produkt!$A$2:$B$5,2,FALSE)</f>
        <v>D</v>
      </c>
      <c r="H9460">
        <v>4</v>
      </c>
      <c r="I9460">
        <v>0.48628472222222219</v>
      </c>
      <c r="J9460">
        <v>44800</v>
      </c>
    </row>
    <row r="9461" spans="1:10" x14ac:dyDescent="0.35">
      <c r="A9461" s="2">
        <v>44803</v>
      </c>
      <c r="B9461" s="3">
        <v>0.93457175925925917</v>
      </c>
      <c r="C9461">
        <v>2758</v>
      </c>
      <c r="D9461" t="str">
        <f>VLOOKUP(H9461,Produkt!$A$2:$B$5,2,FALSE)</f>
        <v>C</v>
      </c>
      <c r="H9461">
        <v>3</v>
      </c>
      <c r="I9461">
        <v>0.13097222222222224</v>
      </c>
      <c r="J9461">
        <v>44798</v>
      </c>
    </row>
    <row r="9462" spans="1:10" x14ac:dyDescent="0.35">
      <c r="A9462" s="2">
        <v>44803</v>
      </c>
      <c r="B9462" s="3">
        <v>0.46834490740740736</v>
      </c>
      <c r="C9462">
        <v>2772</v>
      </c>
      <c r="D9462" t="str">
        <f>VLOOKUP(H9462,Produkt!$A$2:$B$5,2,FALSE)</f>
        <v>C</v>
      </c>
      <c r="H9462">
        <v>3</v>
      </c>
      <c r="I9462">
        <v>0.24578703703703705</v>
      </c>
      <c r="J9462">
        <v>44795</v>
      </c>
    </row>
    <row r="9463" spans="1:10" x14ac:dyDescent="0.35">
      <c r="A9463" s="2">
        <v>44803</v>
      </c>
      <c r="B9463" s="3">
        <v>0.72373842592592597</v>
      </c>
      <c r="C9463">
        <v>2960</v>
      </c>
      <c r="D9463" t="str">
        <f>VLOOKUP(H9463,Produkt!$A$2:$B$5,2,FALSE)</f>
        <v>A</v>
      </c>
      <c r="H9463">
        <v>1</v>
      </c>
      <c r="I9463">
        <v>0.96231481481481485</v>
      </c>
      <c r="J9463">
        <v>44777</v>
      </c>
    </row>
    <row r="9464" spans="1:10" x14ac:dyDescent="0.35">
      <c r="A9464" s="2">
        <v>44803</v>
      </c>
      <c r="B9464" s="3">
        <v>4.5578703703703705E-2</v>
      </c>
      <c r="C9464">
        <v>2972</v>
      </c>
      <c r="D9464" t="str">
        <f>VLOOKUP(H9464,Produkt!$A$2:$B$5,2,FALSE)</f>
        <v>B</v>
      </c>
      <c r="H9464">
        <v>2</v>
      </c>
      <c r="I9464">
        <v>0.66780092592592588</v>
      </c>
      <c r="J9464">
        <v>44781</v>
      </c>
    </row>
    <row r="9465" spans="1:10" x14ac:dyDescent="0.35">
      <c r="A9465" s="2">
        <v>44803</v>
      </c>
      <c r="B9465" s="3">
        <v>0.20534722222222224</v>
      </c>
      <c r="C9465">
        <v>2990</v>
      </c>
      <c r="D9465" t="str">
        <f>VLOOKUP(H9465,Produkt!$A$2:$B$5,2,FALSE)</f>
        <v>B</v>
      </c>
      <c r="H9465">
        <v>2</v>
      </c>
      <c r="I9465">
        <v>0.11866898148148149</v>
      </c>
      <c r="J9465">
        <v>44788</v>
      </c>
    </row>
    <row r="9466" spans="1:10" x14ac:dyDescent="0.35">
      <c r="A9466" s="2">
        <v>44803</v>
      </c>
      <c r="B9466" s="3">
        <v>0.87114583333333329</v>
      </c>
      <c r="C9466">
        <v>2994</v>
      </c>
      <c r="D9466" t="str">
        <f>VLOOKUP(H9466,Produkt!$A$2:$B$5,2,FALSE)</f>
        <v>C</v>
      </c>
      <c r="H9466">
        <v>3</v>
      </c>
      <c r="I9466">
        <v>1.2789351851851816E-2</v>
      </c>
      <c r="J9466">
        <v>44801</v>
      </c>
    </row>
    <row r="9467" spans="1:10" x14ac:dyDescent="0.35">
      <c r="A9467" s="2">
        <v>44803</v>
      </c>
      <c r="B9467" s="3">
        <v>0.3994328703703704</v>
      </c>
      <c r="C9467">
        <v>3051</v>
      </c>
      <c r="D9467" t="str">
        <f>VLOOKUP(H9467,Produkt!$A$2:$B$5,2,FALSE)</f>
        <v>C</v>
      </c>
      <c r="H9467">
        <v>3</v>
      </c>
      <c r="I9467">
        <v>0.23559027777777777</v>
      </c>
      <c r="J9467">
        <v>44800</v>
      </c>
    </row>
    <row r="9468" spans="1:10" x14ac:dyDescent="0.35">
      <c r="A9468" s="2">
        <v>44803</v>
      </c>
      <c r="B9468" s="3">
        <v>0.25471064814814814</v>
      </c>
      <c r="C9468">
        <v>3086</v>
      </c>
      <c r="D9468" t="str">
        <f>VLOOKUP(H9468,Produkt!$A$2:$B$5,2,FALSE)</f>
        <v>D</v>
      </c>
      <c r="H9468">
        <v>4</v>
      </c>
      <c r="I9468">
        <v>2.0891203703703676E-2</v>
      </c>
      <c r="J9468">
        <v>44795</v>
      </c>
    </row>
    <row r="9469" spans="1:10" x14ac:dyDescent="0.35">
      <c r="A9469" s="2">
        <v>44803</v>
      </c>
      <c r="B9469" s="3">
        <v>0.63842592592592595</v>
      </c>
      <c r="C9469">
        <v>3101</v>
      </c>
      <c r="D9469" t="str">
        <f>VLOOKUP(H9469,Produkt!$A$2:$B$5,2,FALSE)</f>
        <v>A</v>
      </c>
      <c r="H9469">
        <v>1</v>
      </c>
      <c r="I9469">
        <v>0.31692129629629628</v>
      </c>
      <c r="J9469">
        <v>44790</v>
      </c>
    </row>
    <row r="9470" spans="1:10" x14ac:dyDescent="0.35">
      <c r="A9470" s="2">
        <v>44803</v>
      </c>
      <c r="B9470" s="3">
        <v>0.14841435185185184</v>
      </c>
      <c r="C9470">
        <v>3122</v>
      </c>
      <c r="D9470" t="str">
        <f>VLOOKUP(H9470,Produkt!$A$2:$B$5,2,FALSE)</f>
        <v>B</v>
      </c>
      <c r="H9470">
        <v>2</v>
      </c>
      <c r="I9470">
        <v>3.2673611111111105E-2</v>
      </c>
      <c r="J9470">
        <v>44779</v>
      </c>
    </row>
    <row r="9471" spans="1:10" x14ac:dyDescent="0.35">
      <c r="A9471" s="2">
        <v>44803</v>
      </c>
      <c r="B9471" s="3">
        <v>4.1747685185185186E-2</v>
      </c>
      <c r="C9471">
        <v>3126</v>
      </c>
      <c r="D9471" t="str">
        <f>VLOOKUP(H9471,Produkt!$A$2:$B$5,2,FALSE)</f>
        <v>B</v>
      </c>
      <c r="H9471">
        <v>2</v>
      </c>
      <c r="I9471">
        <v>0.54401620370370374</v>
      </c>
      <c r="J9471">
        <v>44788</v>
      </c>
    </row>
    <row r="9472" spans="1:10" x14ac:dyDescent="0.35">
      <c r="A9472" s="2">
        <v>44803</v>
      </c>
      <c r="B9472" s="3">
        <v>0.13653935185185184</v>
      </c>
      <c r="C9472">
        <v>3165</v>
      </c>
      <c r="D9472" t="str">
        <f>VLOOKUP(H9472,Produkt!$A$2:$B$5,2,FALSE)</f>
        <v>A</v>
      </c>
      <c r="H9472">
        <v>1</v>
      </c>
      <c r="I9472">
        <v>0.20100694444444445</v>
      </c>
      <c r="J9472">
        <v>44784</v>
      </c>
    </row>
    <row r="9473" spans="1:10" x14ac:dyDescent="0.35">
      <c r="A9473" s="2">
        <v>44803</v>
      </c>
      <c r="B9473" s="3">
        <v>0.92475694444444445</v>
      </c>
      <c r="C9473">
        <v>3242</v>
      </c>
      <c r="D9473" t="str">
        <f>VLOOKUP(H9473,Produkt!$A$2:$B$5,2,FALSE)</f>
        <v>B</v>
      </c>
      <c r="H9473">
        <v>2</v>
      </c>
      <c r="I9473">
        <v>0.73590277777777768</v>
      </c>
      <c r="J9473">
        <v>44777</v>
      </c>
    </row>
    <row r="9474" spans="1:10" x14ac:dyDescent="0.35">
      <c r="A9474" s="2">
        <v>44803</v>
      </c>
      <c r="B9474" s="3">
        <v>0.29795138888888889</v>
      </c>
      <c r="C9474">
        <v>3257</v>
      </c>
      <c r="D9474" t="str">
        <f>VLOOKUP(H9474,Produkt!$A$2:$B$5,2,FALSE)</f>
        <v>C</v>
      </c>
      <c r="H9474">
        <v>3</v>
      </c>
      <c r="I9474">
        <v>0.92104166666666665</v>
      </c>
      <c r="J9474">
        <v>44793</v>
      </c>
    </row>
    <row r="9475" spans="1:10" x14ac:dyDescent="0.35">
      <c r="A9475" s="2">
        <v>44803</v>
      </c>
      <c r="B9475" s="3">
        <v>0.74747685185185186</v>
      </c>
      <c r="C9475">
        <v>3267</v>
      </c>
      <c r="D9475" t="str">
        <f>VLOOKUP(H9475,Produkt!$A$2:$B$5,2,FALSE)</f>
        <v>C</v>
      </c>
      <c r="H9475">
        <v>3</v>
      </c>
      <c r="I9475">
        <v>3.3541666666666664E-2</v>
      </c>
      <c r="J9475">
        <v>44795</v>
      </c>
    </row>
    <row r="9476" spans="1:10" x14ac:dyDescent="0.35">
      <c r="A9476" s="2">
        <v>44803</v>
      </c>
      <c r="B9476" s="3">
        <v>0.93401620370370375</v>
      </c>
      <c r="C9476">
        <v>3297</v>
      </c>
      <c r="D9476" t="str">
        <f>VLOOKUP(H9476,Produkt!$A$2:$B$5,2,FALSE)</f>
        <v>B</v>
      </c>
      <c r="H9476">
        <v>2</v>
      </c>
      <c r="I9476">
        <v>0.7628935185185185</v>
      </c>
      <c r="J9476">
        <v>44789</v>
      </c>
    </row>
    <row r="9477" spans="1:10" x14ac:dyDescent="0.35">
      <c r="A9477" s="2">
        <v>44803</v>
      </c>
      <c r="B9477" s="3">
        <v>0.43394675925925924</v>
      </c>
      <c r="C9477">
        <v>3301</v>
      </c>
      <c r="D9477" t="str">
        <f>VLOOKUP(H9477,Produkt!$A$2:$B$5,2,FALSE)</f>
        <v>C</v>
      </c>
      <c r="H9477">
        <v>3</v>
      </c>
      <c r="I9477">
        <v>0.61231481481481487</v>
      </c>
      <c r="J9477">
        <v>44778</v>
      </c>
    </row>
    <row r="9478" spans="1:10" x14ac:dyDescent="0.35">
      <c r="A9478" s="2">
        <v>44803</v>
      </c>
      <c r="B9478" s="3">
        <v>0.2789814814814815</v>
      </c>
      <c r="C9478">
        <v>3303</v>
      </c>
      <c r="D9478" t="str">
        <f>VLOOKUP(H9478,Produkt!$A$2:$B$5,2,FALSE)</f>
        <v>B</v>
      </c>
      <c r="H9478">
        <v>2</v>
      </c>
      <c r="I9478">
        <v>0.3510300925925926</v>
      </c>
      <c r="J9478">
        <v>44795</v>
      </c>
    </row>
    <row r="9479" spans="1:10" x14ac:dyDescent="0.35">
      <c r="A9479" s="2">
        <v>44803</v>
      </c>
      <c r="B9479" s="3">
        <v>0.97449074074074071</v>
      </c>
      <c r="C9479">
        <v>3334</v>
      </c>
      <c r="D9479" t="str">
        <f>VLOOKUP(H9479,Produkt!$A$2:$B$5,2,FALSE)</f>
        <v>A</v>
      </c>
      <c r="H9479">
        <v>1</v>
      </c>
      <c r="I9479">
        <v>0.3677199074074074</v>
      </c>
      <c r="J9479">
        <v>44785</v>
      </c>
    </row>
    <row r="9480" spans="1:10" x14ac:dyDescent="0.35">
      <c r="A9480" s="2">
        <v>44803</v>
      </c>
      <c r="B9480" s="3">
        <v>0.1373263888888889</v>
      </c>
      <c r="C9480">
        <v>3350</v>
      </c>
      <c r="D9480" t="str">
        <f>VLOOKUP(H9480,Produkt!$A$2:$B$5,2,FALSE)</f>
        <v>C</v>
      </c>
      <c r="H9480">
        <v>3</v>
      </c>
      <c r="I9480">
        <v>0.99655092592592587</v>
      </c>
      <c r="J9480">
        <v>44783</v>
      </c>
    </row>
    <row r="9481" spans="1:10" x14ac:dyDescent="0.35">
      <c r="A9481" s="2">
        <v>44803</v>
      </c>
      <c r="B9481" s="3">
        <v>0.13167824074074075</v>
      </c>
      <c r="C9481">
        <v>3369</v>
      </c>
      <c r="D9481" t="str">
        <f>VLOOKUP(H9481,Produkt!$A$2:$B$5,2,FALSE)</f>
        <v>C</v>
      </c>
      <c r="H9481">
        <v>3</v>
      </c>
      <c r="I9481">
        <v>0.16935185185185186</v>
      </c>
      <c r="J9481">
        <v>44780</v>
      </c>
    </row>
    <row r="9482" spans="1:10" x14ac:dyDescent="0.35">
      <c r="A9482" s="2">
        <v>44803</v>
      </c>
      <c r="B9482" s="3">
        <v>4.2037037037037039E-2</v>
      </c>
      <c r="C9482">
        <v>3381</v>
      </c>
      <c r="D9482" t="str">
        <f>VLOOKUP(H9482,Produkt!$A$2:$B$5,2,FALSE)</f>
        <v>A</v>
      </c>
      <c r="H9482">
        <v>1</v>
      </c>
      <c r="I9482">
        <v>0.25851851851851854</v>
      </c>
      <c r="J9482">
        <v>44803</v>
      </c>
    </row>
    <row r="9483" spans="1:10" x14ac:dyDescent="0.35">
      <c r="A9483" s="2">
        <v>44803</v>
      </c>
      <c r="B9483" s="3">
        <v>0.79671296296296301</v>
      </c>
      <c r="C9483">
        <v>3398</v>
      </c>
      <c r="D9483" t="str">
        <f>VLOOKUP(H9483,Produkt!$A$2:$B$5,2,FALSE)</f>
        <v>B</v>
      </c>
      <c r="H9483">
        <v>2</v>
      </c>
      <c r="I9483">
        <v>1.5057870370370319E-2</v>
      </c>
      <c r="J9483">
        <v>44790</v>
      </c>
    </row>
    <row r="9484" spans="1:10" x14ac:dyDescent="0.35">
      <c r="A9484" s="2">
        <v>44803</v>
      </c>
      <c r="B9484" s="3">
        <v>0.9646527777777778</v>
      </c>
      <c r="C9484">
        <v>3404</v>
      </c>
      <c r="D9484" t="str">
        <f>VLOOKUP(H9484,Produkt!$A$2:$B$5,2,FALSE)</f>
        <v>C</v>
      </c>
      <c r="H9484">
        <v>3</v>
      </c>
      <c r="I9484">
        <v>0.44412037037037039</v>
      </c>
      <c r="J9484">
        <v>44803</v>
      </c>
    </row>
    <row r="9485" spans="1:10" x14ac:dyDescent="0.35">
      <c r="A9485" s="2">
        <v>44803</v>
      </c>
      <c r="B9485" s="3">
        <v>0.5365509259259259</v>
      </c>
      <c r="C9485">
        <v>3446</v>
      </c>
      <c r="D9485" t="str">
        <f>VLOOKUP(H9485,Produkt!$A$2:$B$5,2,FALSE)</f>
        <v>C</v>
      </c>
      <c r="H9485">
        <v>3</v>
      </c>
      <c r="I9485">
        <v>0.46388888888888885</v>
      </c>
      <c r="J9485">
        <v>44788</v>
      </c>
    </row>
    <row r="9486" spans="1:10" x14ac:dyDescent="0.35">
      <c r="A9486" s="2">
        <v>44803</v>
      </c>
      <c r="B9486" s="3">
        <v>0.4379513888888889</v>
      </c>
      <c r="C9486">
        <v>3457</v>
      </c>
      <c r="D9486" t="str">
        <f>VLOOKUP(H9486,Produkt!$A$2:$B$5,2,FALSE)</f>
        <v>B</v>
      </c>
      <c r="H9486">
        <v>2</v>
      </c>
      <c r="I9486">
        <v>0.67924768518518519</v>
      </c>
      <c r="J9486">
        <v>44781</v>
      </c>
    </row>
    <row r="9487" spans="1:10" x14ac:dyDescent="0.35">
      <c r="A9487" s="2">
        <v>44803</v>
      </c>
      <c r="B9487" s="3">
        <v>0.52957175925925926</v>
      </c>
      <c r="C9487">
        <v>3491</v>
      </c>
      <c r="D9487" t="str">
        <f>VLOOKUP(H9487,Produkt!$A$2:$B$5,2,FALSE)</f>
        <v>C</v>
      </c>
      <c r="H9487">
        <v>3</v>
      </c>
      <c r="I9487">
        <v>0.91478009259259263</v>
      </c>
      <c r="J9487">
        <v>44801</v>
      </c>
    </row>
    <row r="9488" spans="1:10" x14ac:dyDescent="0.35">
      <c r="A9488" s="2">
        <v>44803</v>
      </c>
      <c r="B9488" s="3">
        <v>0.67677083333333332</v>
      </c>
      <c r="C9488">
        <v>3590</v>
      </c>
      <c r="D9488" t="str">
        <f>VLOOKUP(H9488,Produkt!$A$2:$B$5,2,FALSE)</f>
        <v>A</v>
      </c>
      <c r="H9488">
        <v>1</v>
      </c>
      <c r="I9488">
        <v>0.24123842592592593</v>
      </c>
      <c r="J9488">
        <v>44780</v>
      </c>
    </row>
    <row r="9489" spans="1:10" x14ac:dyDescent="0.35">
      <c r="A9489" s="2">
        <v>44803</v>
      </c>
      <c r="B9489" s="3">
        <v>0.1739236111111111</v>
      </c>
      <c r="C9489">
        <v>3617</v>
      </c>
      <c r="D9489" t="str">
        <f>VLOOKUP(H9489,Produkt!$A$2:$B$5,2,FALSE)</f>
        <v>A</v>
      </c>
      <c r="H9489">
        <v>1</v>
      </c>
      <c r="I9489">
        <v>0.13616898148148149</v>
      </c>
      <c r="J9489">
        <v>44778</v>
      </c>
    </row>
    <row r="9490" spans="1:10" x14ac:dyDescent="0.35">
      <c r="A9490" s="2">
        <v>44803</v>
      </c>
      <c r="B9490" s="3">
        <v>0.41239583333333335</v>
      </c>
      <c r="C9490">
        <v>3699</v>
      </c>
      <c r="D9490" t="str">
        <f>VLOOKUP(H9490,Produkt!$A$2:$B$5,2,FALSE)</f>
        <v>B</v>
      </c>
      <c r="H9490">
        <v>2</v>
      </c>
      <c r="I9490">
        <v>0.90149305555555559</v>
      </c>
      <c r="J9490">
        <v>44789</v>
      </c>
    </row>
    <row r="9491" spans="1:10" x14ac:dyDescent="0.35">
      <c r="A9491" s="2">
        <v>44803</v>
      </c>
      <c r="B9491" s="3">
        <v>0.51493055555555556</v>
      </c>
      <c r="C9491">
        <v>3729</v>
      </c>
      <c r="D9491" t="str">
        <f>VLOOKUP(H9491,Produkt!$A$2:$B$5,2,FALSE)</f>
        <v>A</v>
      </c>
      <c r="H9491">
        <v>1</v>
      </c>
      <c r="I9491">
        <v>3.260416666666667E-2</v>
      </c>
      <c r="J9491">
        <v>44790</v>
      </c>
    </row>
    <row r="9492" spans="1:10" x14ac:dyDescent="0.35">
      <c r="A9492" s="2">
        <v>44803</v>
      </c>
      <c r="B9492" s="3">
        <v>0.8472453703703704</v>
      </c>
      <c r="C9492">
        <v>3888</v>
      </c>
      <c r="D9492" t="str">
        <f>VLOOKUP(H9492,Produkt!$A$2:$B$5,2,FALSE)</f>
        <v>A</v>
      </c>
      <c r="H9492">
        <v>1</v>
      </c>
      <c r="I9492">
        <v>0.39331018518518518</v>
      </c>
      <c r="J9492">
        <v>44790</v>
      </c>
    </row>
    <row r="9493" spans="1:10" x14ac:dyDescent="0.35">
      <c r="A9493" s="2">
        <v>44803</v>
      </c>
      <c r="B9493" s="3">
        <v>0.22856481481481483</v>
      </c>
      <c r="C9493">
        <v>3912</v>
      </c>
      <c r="D9493" t="str">
        <f>VLOOKUP(H9493,Produkt!$A$2:$B$5,2,FALSE)</f>
        <v>A</v>
      </c>
      <c r="H9493">
        <v>1</v>
      </c>
      <c r="I9493">
        <v>0.2508333333333333</v>
      </c>
      <c r="J9493">
        <v>44802</v>
      </c>
    </row>
    <row r="9494" spans="1:10" x14ac:dyDescent="0.35">
      <c r="A9494" s="2">
        <v>44803</v>
      </c>
      <c r="B9494" s="3">
        <v>3.069444444444458E-2</v>
      </c>
      <c r="C9494">
        <v>3916</v>
      </c>
      <c r="D9494" t="str">
        <f>VLOOKUP(H9494,Produkt!$A$2:$B$5,2,FALSE)</f>
        <v>C</v>
      </c>
      <c r="H9494">
        <v>3</v>
      </c>
      <c r="I9494">
        <v>0.28390046296296295</v>
      </c>
      <c r="J9494">
        <v>44804</v>
      </c>
    </row>
    <row r="9495" spans="1:10" x14ac:dyDescent="0.35">
      <c r="A9495" s="2">
        <v>44803</v>
      </c>
      <c r="B9495" s="3">
        <v>0.18546296296296297</v>
      </c>
      <c r="C9495">
        <v>3927</v>
      </c>
      <c r="D9495" t="str">
        <f>VLOOKUP(H9495,Produkt!$A$2:$B$5,2,FALSE)</f>
        <v>D</v>
      </c>
      <c r="H9495">
        <v>4</v>
      </c>
      <c r="I9495">
        <v>0.47532407407407407</v>
      </c>
      <c r="J9495">
        <v>44784</v>
      </c>
    </row>
    <row r="9496" spans="1:10" x14ac:dyDescent="0.35">
      <c r="A9496" s="2">
        <v>44803</v>
      </c>
      <c r="B9496" s="3">
        <v>0.82412037037037045</v>
      </c>
      <c r="C9496">
        <v>3969</v>
      </c>
      <c r="D9496" t="str">
        <f>VLOOKUP(H9496,Produkt!$A$2:$B$5,2,FALSE)</f>
        <v>C</v>
      </c>
      <c r="H9496">
        <v>3</v>
      </c>
      <c r="I9496">
        <v>0.39319444444444446</v>
      </c>
      <c r="J9496">
        <v>44793</v>
      </c>
    </row>
    <row r="9497" spans="1:10" x14ac:dyDescent="0.35">
      <c r="A9497" s="2">
        <v>44803</v>
      </c>
      <c r="B9497" s="3">
        <v>0.55674768518518525</v>
      </c>
      <c r="C9497">
        <v>3970</v>
      </c>
      <c r="D9497" t="str">
        <f>VLOOKUP(H9497,Produkt!$A$2:$B$5,2,FALSE)</f>
        <v>B</v>
      </c>
      <c r="H9497">
        <v>2</v>
      </c>
      <c r="I9497">
        <v>0.1464351851851852</v>
      </c>
      <c r="J9497">
        <v>44783</v>
      </c>
    </row>
    <row r="9498" spans="1:10" x14ac:dyDescent="0.35">
      <c r="A9498" s="2">
        <v>44803</v>
      </c>
      <c r="B9498" s="3">
        <v>3.2291666666666607E-2</v>
      </c>
      <c r="C9498">
        <v>4051</v>
      </c>
      <c r="D9498" t="str">
        <f>VLOOKUP(H9498,Produkt!$A$2:$B$5,2,FALSE)</f>
        <v>D</v>
      </c>
      <c r="H9498">
        <v>4</v>
      </c>
      <c r="I9498">
        <v>0.22952546296296297</v>
      </c>
      <c r="J9498">
        <v>44790</v>
      </c>
    </row>
    <row r="9499" spans="1:10" x14ac:dyDescent="0.35">
      <c r="A9499" s="2">
        <v>44803</v>
      </c>
      <c r="B9499" s="3">
        <v>0.35969907407407403</v>
      </c>
      <c r="C9499">
        <v>4071</v>
      </c>
      <c r="D9499" t="str">
        <f>VLOOKUP(H9499,Produkt!$A$2:$B$5,2,FALSE)</f>
        <v>B</v>
      </c>
      <c r="H9499">
        <v>2</v>
      </c>
      <c r="I9499">
        <v>0.73785879629629625</v>
      </c>
      <c r="J9499">
        <v>44782</v>
      </c>
    </row>
    <row r="9500" spans="1:10" x14ac:dyDescent="0.35">
      <c r="A9500" s="2">
        <v>44803</v>
      </c>
      <c r="B9500" s="3">
        <v>0.65668981481481481</v>
      </c>
      <c r="C9500">
        <v>4077</v>
      </c>
      <c r="D9500" t="str">
        <f>VLOOKUP(H9500,Produkt!$A$2:$B$5,2,FALSE)</f>
        <v>A</v>
      </c>
      <c r="H9500">
        <v>1</v>
      </c>
      <c r="I9500">
        <v>0.89377314814814823</v>
      </c>
      <c r="J9500">
        <v>44791</v>
      </c>
    </row>
    <row r="9501" spans="1:10" x14ac:dyDescent="0.35">
      <c r="A9501" s="2">
        <v>44803</v>
      </c>
      <c r="B9501" s="3">
        <v>0.39045138888888892</v>
      </c>
      <c r="C9501">
        <v>4079</v>
      </c>
      <c r="D9501" t="str">
        <f>VLOOKUP(H9501,Produkt!$A$2:$B$5,2,FALSE)</f>
        <v>A</v>
      </c>
      <c r="H9501">
        <v>1</v>
      </c>
      <c r="I9501">
        <v>0.97068287037037038</v>
      </c>
      <c r="J9501">
        <v>44776</v>
      </c>
    </row>
    <row r="9502" spans="1:10" x14ac:dyDescent="0.35">
      <c r="A9502" s="2">
        <v>44803</v>
      </c>
      <c r="B9502" s="3">
        <v>0.92642361111111116</v>
      </c>
      <c r="C9502">
        <v>4085</v>
      </c>
      <c r="D9502" t="str">
        <f>VLOOKUP(H9502,Produkt!$A$2:$B$5,2,FALSE)</f>
        <v>D</v>
      </c>
      <c r="H9502">
        <v>4</v>
      </c>
      <c r="I9502">
        <v>0.86295138888888889</v>
      </c>
      <c r="J9502">
        <v>44799</v>
      </c>
    </row>
    <row r="9503" spans="1:10" x14ac:dyDescent="0.35">
      <c r="A9503" s="2">
        <v>44803</v>
      </c>
      <c r="B9503" s="3">
        <v>7.3715277777777768E-2</v>
      </c>
      <c r="C9503">
        <v>4100</v>
      </c>
      <c r="D9503" t="str">
        <f>VLOOKUP(H9503,Produkt!$A$2:$B$5,2,FALSE)</f>
        <v>C</v>
      </c>
      <c r="H9503">
        <v>3</v>
      </c>
      <c r="I9503">
        <v>0.89056712962962958</v>
      </c>
      <c r="J9503">
        <v>44779</v>
      </c>
    </row>
    <row r="9504" spans="1:10" x14ac:dyDescent="0.35">
      <c r="A9504" s="2">
        <v>44803</v>
      </c>
      <c r="B9504" s="3">
        <v>0.19521990740740738</v>
      </c>
      <c r="C9504">
        <v>4102</v>
      </c>
      <c r="D9504" t="str">
        <f>VLOOKUP(H9504,Produkt!$A$2:$B$5,2,FALSE)</f>
        <v>C</v>
      </c>
      <c r="H9504">
        <v>3</v>
      </c>
      <c r="I9504">
        <v>0.20604166666666668</v>
      </c>
      <c r="J9504">
        <v>44803</v>
      </c>
    </row>
    <row r="9505" spans="1:10" x14ac:dyDescent="0.35">
      <c r="A9505" s="2">
        <v>44803</v>
      </c>
      <c r="B9505" s="3">
        <v>0.20625000000000002</v>
      </c>
      <c r="C9505">
        <v>4132</v>
      </c>
      <c r="D9505" t="str">
        <f>VLOOKUP(H9505,Produkt!$A$2:$B$5,2,FALSE)</f>
        <v>D</v>
      </c>
      <c r="H9505">
        <v>4</v>
      </c>
      <c r="I9505">
        <v>0.25899305555555557</v>
      </c>
      <c r="J9505">
        <v>44794</v>
      </c>
    </row>
    <row r="9506" spans="1:10" x14ac:dyDescent="0.35">
      <c r="A9506" s="2">
        <v>44803</v>
      </c>
      <c r="B9506" s="3">
        <v>0.41562499999999997</v>
      </c>
      <c r="C9506">
        <v>4237</v>
      </c>
      <c r="D9506" t="str">
        <f>VLOOKUP(H9506,Produkt!$A$2:$B$5,2,FALSE)</f>
        <v>A</v>
      </c>
      <c r="H9506">
        <v>1</v>
      </c>
      <c r="I9506">
        <v>0.54172453703703705</v>
      </c>
      <c r="J9506">
        <v>44777</v>
      </c>
    </row>
    <row r="9507" spans="1:10" x14ac:dyDescent="0.35">
      <c r="A9507" s="2">
        <v>44803</v>
      </c>
      <c r="B9507" s="3">
        <v>0.34956018518518522</v>
      </c>
      <c r="C9507">
        <v>4251</v>
      </c>
      <c r="D9507" t="str">
        <f>VLOOKUP(H9507,Produkt!$A$2:$B$5,2,FALSE)</f>
        <v>D</v>
      </c>
      <c r="H9507">
        <v>4</v>
      </c>
      <c r="I9507">
        <v>0.17574074074074075</v>
      </c>
      <c r="J9507">
        <v>44786</v>
      </c>
    </row>
    <row r="9508" spans="1:10" x14ac:dyDescent="0.35">
      <c r="A9508" s="2">
        <v>44803</v>
      </c>
      <c r="B9508" s="3">
        <v>0.87365740740740738</v>
      </c>
      <c r="C9508">
        <v>4293</v>
      </c>
      <c r="D9508" t="str">
        <f>VLOOKUP(H9508,Produkt!$A$2:$B$5,2,FALSE)</f>
        <v>B</v>
      </c>
      <c r="H9508">
        <v>2</v>
      </c>
      <c r="I9508">
        <v>4.6851851851851846E-2</v>
      </c>
      <c r="J9508">
        <v>44803</v>
      </c>
    </row>
    <row r="9509" spans="1:10" x14ac:dyDescent="0.35">
      <c r="A9509" s="2">
        <v>44803</v>
      </c>
      <c r="B9509" s="3">
        <v>7.2337962962962965E-2</v>
      </c>
      <c r="C9509">
        <v>4297</v>
      </c>
      <c r="D9509" t="str">
        <f>VLOOKUP(H9509,Produkt!$A$2:$B$5,2,FALSE)</f>
        <v>B</v>
      </c>
      <c r="H9509">
        <v>2</v>
      </c>
      <c r="I9509">
        <v>0.84369212962962958</v>
      </c>
      <c r="J9509">
        <v>44797</v>
      </c>
    </row>
    <row r="9510" spans="1:10" x14ac:dyDescent="0.35">
      <c r="A9510" s="2">
        <v>44803</v>
      </c>
      <c r="B9510" s="3">
        <v>0.33298611111111115</v>
      </c>
      <c r="C9510">
        <v>4407</v>
      </c>
      <c r="D9510" t="str">
        <f>VLOOKUP(H9510,Produkt!$A$2:$B$5,2,FALSE)</f>
        <v>B</v>
      </c>
      <c r="H9510">
        <v>2</v>
      </c>
      <c r="I9510">
        <v>0.18576388888888887</v>
      </c>
      <c r="J9510">
        <v>44784</v>
      </c>
    </row>
    <row r="9511" spans="1:10" x14ac:dyDescent="0.35">
      <c r="A9511" s="2">
        <v>44803</v>
      </c>
      <c r="B9511" s="3">
        <v>0.63872685185185185</v>
      </c>
      <c r="C9511">
        <v>4431</v>
      </c>
      <c r="D9511" t="str">
        <f>VLOOKUP(H9511,Produkt!$A$2:$B$5,2,FALSE)</f>
        <v>C</v>
      </c>
      <c r="H9511">
        <v>3</v>
      </c>
      <c r="I9511">
        <v>0.70623842592592589</v>
      </c>
      <c r="J9511">
        <v>44787</v>
      </c>
    </row>
    <row r="9512" spans="1:10" x14ac:dyDescent="0.35">
      <c r="A9512" s="2">
        <v>44803</v>
      </c>
      <c r="B9512" s="3">
        <v>9.3958333333333324E-2</v>
      </c>
      <c r="C9512">
        <v>4446</v>
      </c>
      <c r="D9512" t="str">
        <f>VLOOKUP(H9512,Produkt!$A$2:$B$5,2,FALSE)</f>
        <v>A</v>
      </c>
      <c r="H9512">
        <v>1</v>
      </c>
      <c r="I9512">
        <v>0.38893518518518522</v>
      </c>
      <c r="J9512">
        <v>44779</v>
      </c>
    </row>
    <row r="9513" spans="1:10" x14ac:dyDescent="0.35">
      <c r="A9513" s="2">
        <v>44803</v>
      </c>
      <c r="B9513" s="3">
        <v>0.29756944444444444</v>
      </c>
      <c r="C9513">
        <v>4452</v>
      </c>
      <c r="D9513" t="str">
        <f>VLOOKUP(H9513,Produkt!$A$2:$B$5,2,FALSE)</f>
        <v>A</v>
      </c>
      <c r="H9513">
        <v>1</v>
      </c>
      <c r="I9513">
        <v>0.99180555555555561</v>
      </c>
      <c r="J9513">
        <v>44780</v>
      </c>
    </row>
    <row r="9514" spans="1:10" x14ac:dyDescent="0.35">
      <c r="A9514" s="2">
        <v>44803</v>
      </c>
      <c r="B9514" s="3">
        <v>0.52225694444444437</v>
      </c>
      <c r="C9514">
        <v>4454</v>
      </c>
      <c r="D9514" t="str">
        <f>VLOOKUP(H9514,Produkt!$A$2:$B$5,2,FALSE)</f>
        <v>A</v>
      </c>
      <c r="H9514">
        <v>1</v>
      </c>
      <c r="I9514">
        <v>0.72434027777777776</v>
      </c>
      <c r="J9514">
        <v>44775</v>
      </c>
    </row>
    <row r="9515" spans="1:10" x14ac:dyDescent="0.35">
      <c r="A9515" s="2">
        <v>44803</v>
      </c>
      <c r="B9515" s="3">
        <v>2.9768518518518517E-2</v>
      </c>
      <c r="C9515">
        <v>4506</v>
      </c>
      <c r="D9515" t="str">
        <f>VLOOKUP(H9515,Produkt!$A$2:$B$5,2,FALSE)</f>
        <v>B</v>
      </c>
      <c r="H9515">
        <v>2</v>
      </c>
      <c r="I9515">
        <v>0.41662037037037036</v>
      </c>
      <c r="J9515">
        <v>44786</v>
      </c>
    </row>
    <row r="9516" spans="1:10" x14ac:dyDescent="0.35">
      <c r="A9516" s="2">
        <v>44803</v>
      </c>
      <c r="B9516" s="3">
        <v>0.10429398148148149</v>
      </c>
      <c r="C9516">
        <v>4577</v>
      </c>
      <c r="D9516" t="str">
        <f>VLOOKUP(H9516,Produkt!$A$2:$B$5,2,FALSE)</f>
        <v>D</v>
      </c>
      <c r="H9516">
        <v>4</v>
      </c>
      <c r="I9516">
        <v>0.60099537037037043</v>
      </c>
      <c r="J9516">
        <v>44793</v>
      </c>
    </row>
    <row r="9517" spans="1:10" x14ac:dyDescent="0.35">
      <c r="A9517" s="2">
        <v>44803</v>
      </c>
      <c r="B9517" s="3">
        <v>5.4733796296296294E-2</v>
      </c>
      <c r="C9517">
        <v>4584</v>
      </c>
      <c r="D9517" t="str">
        <f>VLOOKUP(H9517,Produkt!$A$2:$B$5,2,FALSE)</f>
        <v>D</v>
      </c>
      <c r="H9517">
        <v>4</v>
      </c>
      <c r="I9517">
        <v>0.15931712962962963</v>
      </c>
      <c r="J9517">
        <v>44803</v>
      </c>
    </row>
    <row r="9518" spans="1:10" x14ac:dyDescent="0.35">
      <c r="A9518" s="2">
        <v>44803</v>
      </c>
      <c r="B9518" s="3">
        <v>0.12200231481481481</v>
      </c>
      <c r="C9518">
        <v>4595</v>
      </c>
      <c r="D9518" t="str">
        <f>VLOOKUP(H9518,Produkt!$A$2:$B$5,2,FALSE)</f>
        <v>A</v>
      </c>
      <c r="H9518">
        <v>1</v>
      </c>
      <c r="I9518">
        <v>0.23547453703703702</v>
      </c>
      <c r="J9518">
        <v>44787</v>
      </c>
    </row>
    <row r="9519" spans="1:10" x14ac:dyDescent="0.35">
      <c r="A9519" s="2">
        <v>44803</v>
      </c>
      <c r="B9519" s="3">
        <v>0.98299768518518515</v>
      </c>
      <c r="C9519">
        <v>4599</v>
      </c>
      <c r="D9519" t="str">
        <f>VLOOKUP(H9519,Produkt!$A$2:$B$5,2,FALSE)</f>
        <v>D</v>
      </c>
      <c r="H9519">
        <v>4</v>
      </c>
      <c r="I9519">
        <v>0.15342592592592594</v>
      </c>
      <c r="J9519">
        <v>44792</v>
      </c>
    </row>
    <row r="9520" spans="1:10" x14ac:dyDescent="0.35">
      <c r="A9520" s="2">
        <v>44803</v>
      </c>
      <c r="B9520" s="3">
        <v>4.2048611111111134E-2</v>
      </c>
      <c r="C9520">
        <v>4608</v>
      </c>
      <c r="D9520" t="str">
        <f>VLOOKUP(H9520,Produkt!$A$2:$B$5,2,FALSE)</f>
        <v>B</v>
      </c>
      <c r="H9520">
        <v>2</v>
      </c>
      <c r="I9520">
        <v>0.5640856481481481</v>
      </c>
      <c r="J9520">
        <v>44801</v>
      </c>
    </row>
    <row r="9521" spans="1:10" x14ac:dyDescent="0.35">
      <c r="A9521" s="2">
        <v>44803</v>
      </c>
      <c r="B9521" s="3">
        <v>3.4907407407407387E-2</v>
      </c>
      <c r="C9521">
        <v>4623</v>
      </c>
      <c r="D9521" t="str">
        <f>VLOOKUP(H9521,Produkt!$A$2:$B$5,2,FALSE)</f>
        <v>A</v>
      </c>
      <c r="H9521">
        <v>1</v>
      </c>
      <c r="I9521">
        <v>0.18021990740740743</v>
      </c>
      <c r="J9521">
        <v>44777</v>
      </c>
    </row>
    <row r="9522" spans="1:10" x14ac:dyDescent="0.35">
      <c r="A9522" s="2">
        <v>44803</v>
      </c>
      <c r="B9522" s="3">
        <v>0.16070601851851851</v>
      </c>
      <c r="C9522">
        <v>4625</v>
      </c>
      <c r="D9522" t="str">
        <f>VLOOKUP(H9522,Produkt!$A$2:$B$5,2,FALSE)</f>
        <v>C</v>
      </c>
      <c r="H9522">
        <v>3</v>
      </c>
      <c r="I9522">
        <v>0.14043981481481482</v>
      </c>
      <c r="J9522">
        <v>44795</v>
      </c>
    </row>
    <row r="9523" spans="1:10" x14ac:dyDescent="0.35">
      <c r="A9523" s="2">
        <v>44803</v>
      </c>
      <c r="B9523" s="3">
        <v>0.68958333333333333</v>
      </c>
      <c r="C9523">
        <v>4635</v>
      </c>
      <c r="D9523" t="str">
        <f>VLOOKUP(H9523,Produkt!$A$2:$B$5,2,FALSE)</f>
        <v>A</v>
      </c>
      <c r="H9523">
        <v>1</v>
      </c>
      <c r="I9523">
        <v>0.67686342592592597</v>
      </c>
      <c r="J9523">
        <v>44784</v>
      </c>
    </row>
    <row r="9524" spans="1:10" x14ac:dyDescent="0.35">
      <c r="A9524" s="2">
        <v>44803</v>
      </c>
      <c r="B9524" s="3">
        <v>0.78076388888888892</v>
      </c>
      <c r="C9524">
        <v>4659</v>
      </c>
      <c r="D9524" t="str">
        <f>VLOOKUP(H9524,Produkt!$A$2:$B$5,2,FALSE)</f>
        <v>C</v>
      </c>
      <c r="H9524">
        <v>3</v>
      </c>
      <c r="I9524">
        <v>9.6689814814814812E-2</v>
      </c>
      <c r="J9524">
        <v>44798</v>
      </c>
    </row>
    <row r="9525" spans="1:10" x14ac:dyDescent="0.35">
      <c r="A9525" s="2">
        <v>44803</v>
      </c>
      <c r="B9525" s="3">
        <v>0.78812499999999996</v>
      </c>
      <c r="C9525">
        <v>4686</v>
      </c>
      <c r="D9525" t="str">
        <f>VLOOKUP(H9525,Produkt!$A$2:$B$5,2,FALSE)</f>
        <v>B</v>
      </c>
      <c r="H9525">
        <v>2</v>
      </c>
      <c r="I9525">
        <v>0.16466435185185185</v>
      </c>
      <c r="J9525">
        <v>44774</v>
      </c>
    </row>
    <row r="9526" spans="1:10" x14ac:dyDescent="0.35">
      <c r="A9526" s="2">
        <v>44803</v>
      </c>
      <c r="B9526" s="3">
        <v>0.35912037037037042</v>
      </c>
      <c r="C9526">
        <v>4725</v>
      </c>
      <c r="D9526" t="str">
        <f>VLOOKUP(H9526,Produkt!$A$2:$B$5,2,FALSE)</f>
        <v>A</v>
      </c>
      <c r="H9526">
        <v>1</v>
      </c>
      <c r="I9526">
        <v>0.62289351851851849</v>
      </c>
      <c r="J9526">
        <v>44788</v>
      </c>
    </row>
    <row r="9527" spans="1:10" x14ac:dyDescent="0.35">
      <c r="A9527" s="2">
        <v>44803</v>
      </c>
      <c r="B9527" s="3">
        <v>0.51001157407407405</v>
      </c>
      <c r="C9527">
        <v>4764</v>
      </c>
      <c r="D9527" t="str">
        <f>VLOOKUP(H9527,Produkt!$A$2:$B$5,2,FALSE)</f>
        <v>A</v>
      </c>
      <c r="H9527">
        <v>1</v>
      </c>
      <c r="I9527">
        <v>0.22420138888888888</v>
      </c>
      <c r="J9527">
        <v>44781</v>
      </c>
    </row>
    <row r="9528" spans="1:10" x14ac:dyDescent="0.35">
      <c r="A9528" s="2">
        <v>44803</v>
      </c>
      <c r="B9528" s="3">
        <v>0.50112268518518521</v>
      </c>
      <c r="C9528">
        <v>4783</v>
      </c>
      <c r="D9528" t="str">
        <f>VLOOKUP(H9528,Produkt!$A$2:$B$5,2,FALSE)</f>
        <v>B</v>
      </c>
      <c r="H9528">
        <v>2</v>
      </c>
      <c r="I9528">
        <v>0.94062499999999993</v>
      </c>
      <c r="J9528">
        <v>44786</v>
      </c>
    </row>
    <row r="9529" spans="1:10" x14ac:dyDescent="0.35">
      <c r="A9529" s="2">
        <v>44803</v>
      </c>
      <c r="B9529" s="3">
        <v>0.54435185185185186</v>
      </c>
      <c r="C9529">
        <v>4817</v>
      </c>
      <c r="D9529" t="str">
        <f>VLOOKUP(H9529,Produkt!$A$2:$B$5,2,FALSE)</f>
        <v>B</v>
      </c>
      <c r="H9529">
        <v>2</v>
      </c>
      <c r="I9529">
        <v>0.21113425925925924</v>
      </c>
      <c r="J9529">
        <v>44798</v>
      </c>
    </row>
    <row r="9530" spans="1:10" x14ac:dyDescent="0.35">
      <c r="A9530" s="2">
        <v>44803</v>
      </c>
      <c r="B9530" s="3">
        <v>0.80988425925925922</v>
      </c>
      <c r="C9530">
        <v>4836</v>
      </c>
      <c r="D9530" t="str">
        <f>VLOOKUP(H9530,Produkt!$A$2:$B$5,2,FALSE)</f>
        <v>C</v>
      </c>
      <c r="H9530">
        <v>3</v>
      </c>
      <c r="I9530">
        <v>0.63408564814814816</v>
      </c>
      <c r="J9530">
        <v>44788</v>
      </c>
    </row>
    <row r="9531" spans="1:10" x14ac:dyDescent="0.35">
      <c r="A9531" s="2">
        <v>44803</v>
      </c>
      <c r="B9531" s="3">
        <v>0.32320601851851855</v>
      </c>
      <c r="C9531">
        <v>4926</v>
      </c>
      <c r="D9531" t="str">
        <f>VLOOKUP(H9531,Produkt!$A$2:$B$5,2,FALSE)</f>
        <v>D</v>
      </c>
      <c r="H9531">
        <v>4</v>
      </c>
      <c r="I9531">
        <v>0.94113425925925931</v>
      </c>
      <c r="J9531">
        <v>44780</v>
      </c>
    </row>
    <row r="9532" spans="1:10" x14ac:dyDescent="0.35">
      <c r="A9532" s="2">
        <v>44803</v>
      </c>
      <c r="B9532" s="3">
        <v>0.60994212962962957</v>
      </c>
      <c r="C9532">
        <v>4931</v>
      </c>
      <c r="D9532" t="str">
        <f>VLOOKUP(H9532,Produkt!$A$2:$B$5,2,FALSE)</f>
        <v>D</v>
      </c>
      <c r="H9532">
        <v>4</v>
      </c>
      <c r="I9532">
        <v>0.77641203703703709</v>
      </c>
      <c r="J9532">
        <v>44775</v>
      </c>
    </row>
    <row r="9533" spans="1:10" x14ac:dyDescent="0.35">
      <c r="A9533" s="2">
        <v>44803</v>
      </c>
      <c r="B9533" s="3">
        <v>0.16545138888888888</v>
      </c>
      <c r="C9533">
        <v>5026</v>
      </c>
      <c r="D9533" t="str">
        <f>VLOOKUP(H9533,Produkt!$A$2:$B$5,2,FALSE)</f>
        <v>D</v>
      </c>
      <c r="H9533">
        <v>4</v>
      </c>
      <c r="I9533">
        <v>0.13038194444444445</v>
      </c>
      <c r="J9533">
        <v>44775</v>
      </c>
    </row>
    <row r="9534" spans="1:10" x14ac:dyDescent="0.35">
      <c r="A9534" s="2">
        <v>44803</v>
      </c>
      <c r="B9534" s="3">
        <v>0.8243287037037037</v>
      </c>
      <c r="C9534">
        <v>5029</v>
      </c>
      <c r="D9534" t="str">
        <f>VLOOKUP(H9534,Produkt!$A$2:$B$5,2,FALSE)</f>
        <v>A</v>
      </c>
      <c r="H9534">
        <v>1</v>
      </c>
      <c r="I9534">
        <v>0.68553240740740751</v>
      </c>
      <c r="J9534">
        <v>44794</v>
      </c>
    </row>
    <row r="9535" spans="1:10" x14ac:dyDescent="0.35">
      <c r="A9535" s="2">
        <v>44803</v>
      </c>
      <c r="B9535" s="3">
        <v>0.27793981481481483</v>
      </c>
      <c r="C9535">
        <v>5080</v>
      </c>
      <c r="D9535" t="str">
        <f>VLOOKUP(H9535,Produkt!$A$2:$B$5,2,FALSE)</f>
        <v>A</v>
      </c>
      <c r="H9535">
        <v>1</v>
      </c>
      <c r="I9535">
        <v>0.94890046296296304</v>
      </c>
      <c r="J9535">
        <v>44795</v>
      </c>
    </row>
    <row r="9536" spans="1:10" x14ac:dyDescent="0.35">
      <c r="A9536" s="2">
        <v>44803</v>
      </c>
      <c r="B9536" s="3">
        <v>0.77974537037037039</v>
      </c>
      <c r="C9536">
        <v>5084</v>
      </c>
      <c r="D9536" t="str">
        <f>VLOOKUP(H9536,Produkt!$A$2:$B$5,2,FALSE)</f>
        <v>D</v>
      </c>
      <c r="H9536">
        <v>4</v>
      </c>
      <c r="I9536">
        <v>0.65481481481481485</v>
      </c>
      <c r="J9536">
        <v>44783</v>
      </c>
    </row>
    <row r="9537" spans="1:10" x14ac:dyDescent="0.35">
      <c r="A9537" s="2">
        <v>44803</v>
      </c>
      <c r="B9537" s="3">
        <v>0.68017361111111108</v>
      </c>
      <c r="C9537">
        <v>5090</v>
      </c>
      <c r="D9537" t="str">
        <f>VLOOKUP(H9537,Produkt!$A$2:$B$5,2,FALSE)</f>
        <v>C</v>
      </c>
      <c r="H9537">
        <v>3</v>
      </c>
      <c r="I9537">
        <v>0.17347222222222222</v>
      </c>
      <c r="J9537">
        <v>44799</v>
      </c>
    </row>
    <row r="9538" spans="1:10" x14ac:dyDescent="0.35">
      <c r="A9538" s="2">
        <v>44803</v>
      </c>
      <c r="B9538" s="3">
        <v>0.91973379629629637</v>
      </c>
      <c r="C9538">
        <v>5115</v>
      </c>
      <c r="D9538" t="str">
        <f>VLOOKUP(H9538,Produkt!$A$2:$B$5,2,FALSE)</f>
        <v>B</v>
      </c>
      <c r="H9538">
        <v>2</v>
      </c>
      <c r="I9538">
        <v>0.93368055555555562</v>
      </c>
      <c r="J9538">
        <v>44801</v>
      </c>
    </row>
    <row r="9539" spans="1:10" x14ac:dyDescent="0.35">
      <c r="A9539" s="2">
        <v>44803</v>
      </c>
      <c r="B9539" s="3">
        <v>0.11986111111111113</v>
      </c>
      <c r="C9539">
        <v>5136</v>
      </c>
      <c r="D9539" t="str">
        <f>VLOOKUP(H9539,Produkt!$A$2:$B$5,2,FALSE)</f>
        <v>D</v>
      </c>
      <c r="H9539">
        <v>4</v>
      </c>
      <c r="I9539">
        <v>0.13902777777777778</v>
      </c>
      <c r="J9539">
        <v>44783</v>
      </c>
    </row>
    <row r="9540" spans="1:10" x14ac:dyDescent="0.35">
      <c r="A9540" s="2">
        <v>44803</v>
      </c>
      <c r="B9540" s="3">
        <v>0.93466435185185182</v>
      </c>
      <c r="C9540">
        <v>5141</v>
      </c>
      <c r="D9540" t="str">
        <f>VLOOKUP(H9540,Produkt!$A$2:$B$5,2,FALSE)</f>
        <v>B</v>
      </c>
      <c r="H9540">
        <v>2</v>
      </c>
      <c r="I9540">
        <v>5.4699074074074074E-2</v>
      </c>
      <c r="J9540">
        <v>44780</v>
      </c>
    </row>
    <row r="9541" spans="1:10" x14ac:dyDescent="0.35">
      <c r="A9541" s="2">
        <v>44803</v>
      </c>
      <c r="B9541" s="3">
        <v>0.76856481481481476</v>
      </c>
      <c r="C9541">
        <v>5278</v>
      </c>
      <c r="D9541" t="str">
        <f>VLOOKUP(H9541,Produkt!$A$2:$B$5,2,FALSE)</f>
        <v>D</v>
      </c>
      <c r="H9541">
        <v>4</v>
      </c>
      <c r="I9541">
        <v>0.89930555555555547</v>
      </c>
      <c r="J9541">
        <v>44789</v>
      </c>
    </row>
    <row r="9542" spans="1:10" x14ac:dyDescent="0.35">
      <c r="A9542" s="2">
        <v>44803</v>
      </c>
      <c r="B9542" s="3">
        <v>0.6705902777777778</v>
      </c>
      <c r="C9542">
        <v>5294</v>
      </c>
      <c r="D9542" t="str">
        <f>VLOOKUP(H9542,Produkt!$A$2:$B$5,2,FALSE)</f>
        <v>A</v>
      </c>
      <c r="H9542">
        <v>1</v>
      </c>
      <c r="I9542">
        <v>0.34791666666666665</v>
      </c>
      <c r="J9542">
        <v>44797</v>
      </c>
    </row>
    <row r="9543" spans="1:10" x14ac:dyDescent="0.35">
      <c r="A9543" s="2">
        <v>44803</v>
      </c>
      <c r="B9543" s="3">
        <v>0.60247685185185185</v>
      </c>
      <c r="C9543">
        <v>5303</v>
      </c>
      <c r="D9543" t="str">
        <f>VLOOKUP(H9543,Produkt!$A$2:$B$5,2,FALSE)</f>
        <v>B</v>
      </c>
      <c r="H9543">
        <v>2</v>
      </c>
      <c r="I9543">
        <v>1.0925925925925924E-2</v>
      </c>
      <c r="J9543">
        <v>44792</v>
      </c>
    </row>
    <row r="9544" spans="1:10" x14ac:dyDescent="0.35">
      <c r="A9544" s="2">
        <v>44803</v>
      </c>
      <c r="B9544" s="3">
        <v>0.75839120370370372</v>
      </c>
      <c r="C9544">
        <v>5344</v>
      </c>
      <c r="D9544" t="str">
        <f>VLOOKUP(H9544,Produkt!$A$2:$B$5,2,FALSE)</f>
        <v>C</v>
      </c>
      <c r="H9544">
        <v>3</v>
      </c>
      <c r="I9544">
        <v>0.30684027777777778</v>
      </c>
      <c r="J9544">
        <v>44775</v>
      </c>
    </row>
    <row r="9545" spans="1:10" x14ac:dyDescent="0.35">
      <c r="A9545" s="2">
        <v>44803</v>
      </c>
      <c r="B9545" s="3">
        <v>0.75515046296296295</v>
      </c>
      <c r="C9545">
        <v>5372</v>
      </c>
      <c r="D9545" t="str">
        <f>VLOOKUP(H9545,Produkt!$A$2:$B$5,2,FALSE)</f>
        <v>A</v>
      </c>
      <c r="H9545">
        <v>1</v>
      </c>
      <c r="I9545">
        <v>0.72200231481481481</v>
      </c>
      <c r="J9545">
        <v>44785</v>
      </c>
    </row>
    <row r="9546" spans="1:10" x14ac:dyDescent="0.35">
      <c r="A9546" s="2">
        <v>44803</v>
      </c>
      <c r="B9546" s="3">
        <v>0.74460648148148145</v>
      </c>
      <c r="C9546">
        <v>5387</v>
      </c>
      <c r="D9546" t="str">
        <f>VLOOKUP(H9546,Produkt!$A$2:$B$5,2,FALSE)</f>
        <v>B</v>
      </c>
      <c r="H9546">
        <v>2</v>
      </c>
      <c r="I9546">
        <v>0.23331018518518518</v>
      </c>
      <c r="J9546">
        <v>44785</v>
      </c>
    </row>
    <row r="9547" spans="1:10" x14ac:dyDescent="0.35">
      <c r="A9547" s="2">
        <v>44803</v>
      </c>
      <c r="B9547" s="3">
        <v>0.65071759259259265</v>
      </c>
      <c r="C9547">
        <v>5389</v>
      </c>
      <c r="D9547" t="str">
        <f>VLOOKUP(H9547,Produkt!$A$2:$B$5,2,FALSE)</f>
        <v>C</v>
      </c>
      <c r="H9547">
        <v>3</v>
      </c>
      <c r="I9547">
        <v>5.3321759259259256E-2</v>
      </c>
      <c r="J9547">
        <v>44781</v>
      </c>
    </row>
    <row r="9548" spans="1:10" x14ac:dyDescent="0.35">
      <c r="A9548" s="2">
        <v>44803</v>
      </c>
      <c r="B9548" s="3">
        <v>0.22734953703703706</v>
      </c>
      <c r="C9548">
        <v>5446</v>
      </c>
      <c r="D9548" t="str">
        <f>VLOOKUP(H9548,Produkt!$A$2:$B$5,2,FALSE)</f>
        <v>C</v>
      </c>
      <c r="H9548">
        <v>3</v>
      </c>
      <c r="I9548">
        <v>2.9513888888887951E-3</v>
      </c>
      <c r="J9548">
        <v>44787</v>
      </c>
    </row>
    <row r="9549" spans="1:10" x14ac:dyDescent="0.35">
      <c r="A9549" s="2">
        <v>44803</v>
      </c>
      <c r="B9549" s="3">
        <v>0.10753472222222223</v>
      </c>
      <c r="C9549">
        <v>5491</v>
      </c>
      <c r="D9549" t="str">
        <f>VLOOKUP(H9549,Produkt!$A$2:$B$5,2,FALSE)</f>
        <v>B</v>
      </c>
      <c r="H9549">
        <v>2</v>
      </c>
      <c r="I9549">
        <v>0.53940972222222217</v>
      </c>
      <c r="J9549">
        <v>44781</v>
      </c>
    </row>
    <row r="9550" spans="1:10" x14ac:dyDescent="0.35">
      <c r="A9550" s="2">
        <v>44803</v>
      </c>
      <c r="B9550" s="3">
        <v>0.55634259259259256</v>
      </c>
      <c r="C9550">
        <v>5541</v>
      </c>
      <c r="D9550" t="str">
        <f>VLOOKUP(H9550,Produkt!$A$2:$B$5,2,FALSE)</f>
        <v>A</v>
      </c>
      <c r="H9550">
        <v>1</v>
      </c>
      <c r="I9550">
        <v>0.50298611111111113</v>
      </c>
      <c r="J9550">
        <v>44787</v>
      </c>
    </row>
    <row r="9551" spans="1:10" x14ac:dyDescent="0.35">
      <c r="A9551" s="2">
        <v>44803</v>
      </c>
      <c r="B9551" s="3">
        <v>0.32247685185185188</v>
      </c>
      <c r="C9551">
        <v>5573</v>
      </c>
      <c r="D9551" t="str">
        <f>VLOOKUP(H9551,Produkt!$A$2:$B$5,2,FALSE)</f>
        <v>B</v>
      </c>
      <c r="H9551">
        <v>2</v>
      </c>
      <c r="I9551">
        <v>0.97157407407407403</v>
      </c>
      <c r="J9551">
        <v>44795</v>
      </c>
    </row>
    <row r="9552" spans="1:10" x14ac:dyDescent="0.35">
      <c r="A9552" s="2">
        <v>44803</v>
      </c>
      <c r="B9552" s="3">
        <v>0.59972222222222216</v>
      </c>
      <c r="C9552">
        <v>5624</v>
      </c>
      <c r="D9552" t="str">
        <f>VLOOKUP(H9552,Produkt!$A$2:$B$5,2,FALSE)</f>
        <v>A</v>
      </c>
      <c r="H9552">
        <v>1</v>
      </c>
      <c r="I9552">
        <v>0.11172453703703704</v>
      </c>
      <c r="J9552">
        <v>44796</v>
      </c>
    </row>
    <row r="9553" spans="1:10" x14ac:dyDescent="0.35">
      <c r="A9553" s="2">
        <v>44803</v>
      </c>
      <c r="B9553" s="3">
        <v>0.15481481481481482</v>
      </c>
      <c r="C9553">
        <v>5629</v>
      </c>
      <c r="D9553" t="str">
        <f>VLOOKUP(H9553,Produkt!$A$2:$B$5,2,FALSE)</f>
        <v>C</v>
      </c>
      <c r="H9553">
        <v>3</v>
      </c>
      <c r="I9553">
        <v>0.33380787037037035</v>
      </c>
      <c r="J9553">
        <v>44801</v>
      </c>
    </row>
    <row r="9554" spans="1:10" x14ac:dyDescent="0.35">
      <c r="A9554" s="2">
        <v>44803</v>
      </c>
      <c r="B9554" s="3">
        <v>0.78619212962962959</v>
      </c>
      <c r="C9554">
        <v>5643</v>
      </c>
      <c r="D9554" t="str">
        <f>VLOOKUP(H9554,Produkt!$A$2:$B$5,2,FALSE)</f>
        <v>A</v>
      </c>
      <c r="H9554">
        <v>1</v>
      </c>
      <c r="I9554">
        <v>0.49664351851851851</v>
      </c>
      <c r="J9554">
        <v>44799</v>
      </c>
    </row>
    <row r="9555" spans="1:10" x14ac:dyDescent="0.35">
      <c r="A9555" s="2">
        <v>44803</v>
      </c>
      <c r="B9555" s="3">
        <v>0.95979166666666671</v>
      </c>
      <c r="C9555">
        <v>5647</v>
      </c>
      <c r="D9555" t="str">
        <f>VLOOKUP(H9555,Produkt!$A$2:$B$5,2,FALSE)</f>
        <v>C</v>
      </c>
      <c r="H9555">
        <v>3</v>
      </c>
      <c r="I9555">
        <v>0.24634259259259261</v>
      </c>
      <c r="J9555">
        <v>44801</v>
      </c>
    </row>
    <row r="9556" spans="1:10" x14ac:dyDescent="0.35">
      <c r="A9556" s="2">
        <v>44803</v>
      </c>
      <c r="B9556" s="3">
        <v>0.10010416666666666</v>
      </c>
      <c r="C9556">
        <v>5674</v>
      </c>
      <c r="D9556" t="str">
        <f>VLOOKUP(H9556,Produkt!$A$2:$B$5,2,FALSE)</f>
        <v>B</v>
      </c>
      <c r="H9556">
        <v>2</v>
      </c>
      <c r="I9556">
        <v>0.79656249999999995</v>
      </c>
      <c r="J9556">
        <v>44800</v>
      </c>
    </row>
    <row r="9557" spans="1:10" x14ac:dyDescent="0.35">
      <c r="A9557" s="2">
        <v>44803</v>
      </c>
      <c r="B9557" s="3">
        <v>0.59908564814814813</v>
      </c>
      <c r="C9557">
        <v>5695</v>
      </c>
      <c r="D9557" t="str">
        <f>VLOOKUP(H9557,Produkt!$A$2:$B$5,2,FALSE)</f>
        <v>C</v>
      </c>
      <c r="H9557">
        <v>3</v>
      </c>
      <c r="I9557">
        <v>0.67863425925925924</v>
      </c>
      <c r="J9557">
        <v>44797</v>
      </c>
    </row>
    <row r="9558" spans="1:10" x14ac:dyDescent="0.35">
      <c r="A9558" s="2">
        <v>44803</v>
      </c>
      <c r="B9558" s="3">
        <v>0.75762731481481482</v>
      </c>
      <c r="C9558">
        <v>5802</v>
      </c>
      <c r="D9558" t="str">
        <f>VLOOKUP(H9558,Produkt!$A$2:$B$5,2,FALSE)</f>
        <v>A</v>
      </c>
      <c r="H9558">
        <v>1</v>
      </c>
      <c r="I9558">
        <v>0.87043981481481481</v>
      </c>
      <c r="J9558">
        <v>44802</v>
      </c>
    </row>
    <row r="9559" spans="1:10" x14ac:dyDescent="0.35">
      <c r="A9559" s="2">
        <v>44803</v>
      </c>
      <c r="B9559" s="3">
        <v>0.9431018518518518</v>
      </c>
      <c r="C9559">
        <v>5804</v>
      </c>
      <c r="D9559" t="str">
        <f>VLOOKUP(H9559,Produkt!$A$2:$B$5,2,FALSE)</f>
        <v>A</v>
      </c>
      <c r="H9559">
        <v>1</v>
      </c>
      <c r="I9559">
        <v>0.73061342592592593</v>
      </c>
      <c r="J9559">
        <v>44778</v>
      </c>
    </row>
    <row r="9560" spans="1:10" x14ac:dyDescent="0.35">
      <c r="A9560" s="2">
        <v>44803</v>
      </c>
      <c r="B9560" s="3">
        <v>0.76694444444444443</v>
      </c>
      <c r="C9560">
        <v>5911</v>
      </c>
      <c r="D9560" t="str">
        <f>VLOOKUP(H9560,Produkt!$A$2:$B$5,2,FALSE)</f>
        <v>D</v>
      </c>
      <c r="H9560">
        <v>4</v>
      </c>
      <c r="I9560">
        <v>0.7327662037037036</v>
      </c>
      <c r="J9560">
        <v>44783</v>
      </c>
    </row>
    <row r="9561" spans="1:10" x14ac:dyDescent="0.35">
      <c r="A9561" s="2">
        <v>44803</v>
      </c>
      <c r="B9561" s="3">
        <v>0.59840277777777773</v>
      </c>
      <c r="C9561">
        <v>5934</v>
      </c>
      <c r="D9561" t="str">
        <f>VLOOKUP(H9561,Produkt!$A$2:$B$5,2,FALSE)</f>
        <v>A</v>
      </c>
      <c r="H9561">
        <v>1</v>
      </c>
      <c r="I9561">
        <v>0.40237268518518521</v>
      </c>
      <c r="J9561">
        <v>44791</v>
      </c>
    </row>
    <row r="9562" spans="1:10" x14ac:dyDescent="0.35">
      <c r="A9562" s="2">
        <v>44803</v>
      </c>
      <c r="B9562" s="3">
        <v>0.28245370370370371</v>
      </c>
      <c r="C9562">
        <v>5941</v>
      </c>
      <c r="D9562" t="str">
        <f>VLOOKUP(H9562,Produkt!$A$2:$B$5,2,FALSE)</f>
        <v>A</v>
      </c>
      <c r="H9562">
        <v>1</v>
      </c>
      <c r="I9562">
        <v>0.48120370370370374</v>
      </c>
      <c r="J9562">
        <v>44787</v>
      </c>
    </row>
    <row r="9563" spans="1:10" x14ac:dyDescent="0.35">
      <c r="A9563" s="2">
        <v>44803</v>
      </c>
      <c r="B9563" s="3">
        <v>0.33361111111111108</v>
      </c>
      <c r="C9563">
        <v>5978</v>
      </c>
      <c r="D9563" t="str">
        <f>VLOOKUP(H9563,Produkt!$A$2:$B$5,2,FALSE)</f>
        <v>A</v>
      </c>
      <c r="H9563">
        <v>1</v>
      </c>
      <c r="I9563">
        <v>0.30704861111111109</v>
      </c>
      <c r="J9563">
        <v>44777</v>
      </c>
    </row>
    <row r="9564" spans="1:10" x14ac:dyDescent="0.35">
      <c r="A9564" s="2">
        <v>44803</v>
      </c>
      <c r="B9564" s="3">
        <v>0.92646990740740742</v>
      </c>
      <c r="C9564">
        <v>5980</v>
      </c>
      <c r="D9564" t="str">
        <f>VLOOKUP(H9564,Produkt!$A$2:$B$5,2,FALSE)</f>
        <v>C</v>
      </c>
      <c r="H9564">
        <v>3</v>
      </c>
      <c r="I9564">
        <v>2.8819444444444444E-3</v>
      </c>
      <c r="J9564">
        <v>44793</v>
      </c>
    </row>
    <row r="9565" spans="1:10" x14ac:dyDescent="0.35">
      <c r="A9565" s="2">
        <v>44803</v>
      </c>
      <c r="B9565" s="3">
        <v>0.81543981481481476</v>
      </c>
      <c r="C9565">
        <v>5997</v>
      </c>
      <c r="D9565" t="str">
        <f>VLOOKUP(H9565,Produkt!$A$2:$B$5,2,FALSE)</f>
        <v>D</v>
      </c>
      <c r="H9565">
        <v>4</v>
      </c>
      <c r="I9565">
        <v>0.7958101851851852</v>
      </c>
      <c r="J9565">
        <v>44785</v>
      </c>
    </row>
    <row r="9566" spans="1:10" x14ac:dyDescent="0.35">
      <c r="A9566" s="2">
        <v>44803</v>
      </c>
      <c r="B9566" s="3">
        <v>0.98903935185185177</v>
      </c>
      <c r="C9566">
        <v>6101</v>
      </c>
      <c r="D9566" t="str">
        <f>VLOOKUP(H9566,Produkt!$A$2:$B$5,2,FALSE)</f>
        <v>B</v>
      </c>
      <c r="H9566">
        <v>2</v>
      </c>
      <c r="I9566">
        <v>0.42089120370370375</v>
      </c>
      <c r="J9566">
        <v>44785</v>
      </c>
    </row>
    <row r="9567" spans="1:10" x14ac:dyDescent="0.35">
      <c r="A9567" s="2">
        <v>44803</v>
      </c>
      <c r="B9567" s="3">
        <v>0.68828703703703698</v>
      </c>
      <c r="C9567">
        <v>6109</v>
      </c>
      <c r="D9567" t="str">
        <f>VLOOKUP(H9567,Produkt!$A$2:$B$5,2,FALSE)</f>
        <v>A</v>
      </c>
      <c r="H9567">
        <v>1</v>
      </c>
      <c r="I9567">
        <v>0.45642361111111113</v>
      </c>
      <c r="J9567">
        <v>44775</v>
      </c>
    </row>
    <row r="9568" spans="1:10" x14ac:dyDescent="0.35">
      <c r="A9568" s="2">
        <v>44803</v>
      </c>
      <c r="B9568" s="3">
        <v>2.907407407407403E-2</v>
      </c>
      <c r="C9568">
        <v>6121</v>
      </c>
      <c r="D9568" t="str">
        <f>VLOOKUP(H9568,Produkt!$A$2:$B$5,2,FALSE)</f>
        <v>C</v>
      </c>
      <c r="H9568">
        <v>3</v>
      </c>
      <c r="I9568">
        <v>0.5746296296296296</v>
      </c>
      <c r="J9568">
        <v>44780</v>
      </c>
    </row>
    <row r="9569" spans="1:10" x14ac:dyDescent="0.35">
      <c r="A9569" s="2">
        <v>44803</v>
      </c>
      <c r="B9569" s="3">
        <v>0.13840277777777779</v>
      </c>
      <c r="C9569">
        <v>6186</v>
      </c>
      <c r="D9569" t="str">
        <f>VLOOKUP(H9569,Produkt!$A$2:$B$5,2,FALSE)</f>
        <v>A</v>
      </c>
      <c r="H9569">
        <v>1</v>
      </c>
      <c r="I9569">
        <v>0.5861574074074074</v>
      </c>
      <c r="J9569">
        <v>44791</v>
      </c>
    </row>
    <row r="9570" spans="1:10" x14ac:dyDescent="0.35">
      <c r="A9570" s="2">
        <v>44803</v>
      </c>
      <c r="B9570" s="3">
        <v>0.72478009259259257</v>
      </c>
      <c r="C9570">
        <v>6190</v>
      </c>
      <c r="D9570" t="str">
        <f>VLOOKUP(H9570,Produkt!$A$2:$B$5,2,FALSE)</f>
        <v>B</v>
      </c>
      <c r="H9570">
        <v>2</v>
      </c>
      <c r="I9570">
        <v>0.32358796296296294</v>
      </c>
      <c r="J9570">
        <v>44777</v>
      </c>
    </row>
    <row r="9571" spans="1:10" x14ac:dyDescent="0.35">
      <c r="A9571" s="2">
        <v>44803</v>
      </c>
      <c r="B9571" s="3">
        <v>0.47320601851851851</v>
      </c>
      <c r="C9571">
        <v>6215</v>
      </c>
      <c r="D9571" t="str">
        <f>VLOOKUP(H9571,Produkt!$A$2:$B$5,2,FALSE)</f>
        <v>C</v>
      </c>
      <c r="H9571">
        <v>3</v>
      </c>
      <c r="I9571">
        <v>0.99795138888888879</v>
      </c>
      <c r="J9571">
        <v>44804</v>
      </c>
    </row>
    <row r="9572" spans="1:10" x14ac:dyDescent="0.35">
      <c r="A9572" s="2">
        <v>44803</v>
      </c>
      <c r="B9572" s="3">
        <v>0.8790972222222222</v>
      </c>
      <c r="C9572">
        <v>6224</v>
      </c>
      <c r="D9572" t="str">
        <f>VLOOKUP(H9572,Produkt!$A$2:$B$5,2,FALSE)</f>
        <v>D</v>
      </c>
      <c r="H9572">
        <v>4</v>
      </c>
      <c r="I9572">
        <v>8.564814814814815E-3</v>
      </c>
      <c r="J9572">
        <v>44784</v>
      </c>
    </row>
    <row r="9573" spans="1:10" x14ac:dyDescent="0.35">
      <c r="A9573" s="2">
        <v>44803</v>
      </c>
      <c r="B9573" s="3">
        <v>0.73033564814814822</v>
      </c>
      <c r="C9573">
        <v>6228</v>
      </c>
      <c r="D9573" t="str">
        <f>VLOOKUP(H9573,Produkt!$A$2:$B$5,2,FALSE)</f>
        <v>C</v>
      </c>
      <c r="H9573">
        <v>3</v>
      </c>
      <c r="I9573">
        <v>0.94739583333333333</v>
      </c>
      <c r="J9573">
        <v>44775</v>
      </c>
    </row>
    <row r="9574" spans="1:10" x14ac:dyDescent="0.35">
      <c r="A9574" s="2">
        <v>44803</v>
      </c>
      <c r="B9574" s="3">
        <v>0.98614583333333339</v>
      </c>
      <c r="C9574">
        <v>6271</v>
      </c>
      <c r="D9574" t="str">
        <f>VLOOKUP(H9574,Produkt!$A$2:$B$5,2,FALSE)</f>
        <v>A</v>
      </c>
      <c r="H9574">
        <v>1</v>
      </c>
      <c r="I9574">
        <v>0.91726851851851843</v>
      </c>
      <c r="J9574">
        <v>44777</v>
      </c>
    </row>
    <row r="9575" spans="1:10" x14ac:dyDescent="0.35">
      <c r="A9575" s="2">
        <v>44803</v>
      </c>
      <c r="B9575" s="3">
        <v>0.78123842592592585</v>
      </c>
      <c r="C9575">
        <v>6272</v>
      </c>
      <c r="D9575" t="str">
        <f>VLOOKUP(H9575,Produkt!$A$2:$B$5,2,FALSE)</f>
        <v>B</v>
      </c>
      <c r="H9575">
        <v>2</v>
      </c>
      <c r="I9575">
        <v>0.86758101851851854</v>
      </c>
      <c r="J9575">
        <v>44785</v>
      </c>
    </row>
    <row r="9576" spans="1:10" x14ac:dyDescent="0.35">
      <c r="A9576" s="2">
        <v>44803</v>
      </c>
      <c r="B9576" s="3">
        <v>0.40003472222222225</v>
      </c>
      <c r="C9576">
        <v>6306</v>
      </c>
      <c r="D9576" t="str">
        <f>VLOOKUP(H9576,Produkt!$A$2:$B$5,2,FALSE)</f>
        <v>C</v>
      </c>
      <c r="H9576">
        <v>3</v>
      </c>
      <c r="I9576">
        <v>0.2777662037037037</v>
      </c>
      <c r="J9576">
        <v>44801</v>
      </c>
    </row>
    <row r="9577" spans="1:10" x14ac:dyDescent="0.35">
      <c r="A9577" s="2">
        <v>44803</v>
      </c>
      <c r="B9577" s="3">
        <v>0.75064814814814806</v>
      </c>
      <c r="C9577">
        <v>6343</v>
      </c>
      <c r="D9577" t="str">
        <f>VLOOKUP(H9577,Produkt!$A$2:$B$5,2,FALSE)</f>
        <v>D</v>
      </c>
      <c r="H9577">
        <v>4</v>
      </c>
      <c r="I9577">
        <v>0.15530092592592593</v>
      </c>
      <c r="J9577">
        <v>44791</v>
      </c>
    </row>
    <row r="9578" spans="1:10" x14ac:dyDescent="0.35">
      <c r="A9578" s="2">
        <v>44803</v>
      </c>
      <c r="B9578" s="3">
        <v>0.5022685185185185</v>
      </c>
      <c r="C9578">
        <v>6358</v>
      </c>
      <c r="D9578" t="str">
        <f>VLOOKUP(H9578,Produkt!$A$2:$B$5,2,FALSE)</f>
        <v>A</v>
      </c>
      <c r="H9578">
        <v>1</v>
      </c>
      <c r="I9578">
        <v>0.38233796296296302</v>
      </c>
      <c r="J9578">
        <v>44793</v>
      </c>
    </row>
    <row r="9579" spans="1:10" x14ac:dyDescent="0.35">
      <c r="A9579" s="2">
        <v>44803</v>
      </c>
      <c r="B9579" s="3">
        <v>0.95633101851851843</v>
      </c>
      <c r="C9579">
        <v>6362</v>
      </c>
      <c r="D9579" t="str">
        <f>VLOOKUP(H9579,Produkt!$A$2:$B$5,2,FALSE)</f>
        <v>C</v>
      </c>
      <c r="H9579">
        <v>3</v>
      </c>
      <c r="I9579">
        <v>0.69982638888888893</v>
      </c>
      <c r="J9579">
        <v>44776</v>
      </c>
    </row>
    <row r="9580" spans="1:10" x14ac:dyDescent="0.35">
      <c r="A9580" s="2">
        <v>44803</v>
      </c>
      <c r="B9580" s="3">
        <v>0.21734953703703705</v>
      </c>
      <c r="C9580">
        <v>6386</v>
      </c>
      <c r="D9580" t="str">
        <f>VLOOKUP(H9580,Produkt!$A$2:$B$5,2,FALSE)</f>
        <v>B</v>
      </c>
      <c r="H9580">
        <v>2</v>
      </c>
      <c r="I9580">
        <v>0.53023148148148147</v>
      </c>
      <c r="J9580">
        <v>44783</v>
      </c>
    </row>
    <row r="9581" spans="1:10" x14ac:dyDescent="0.35">
      <c r="A9581" s="2">
        <v>44803</v>
      </c>
      <c r="B9581" s="3">
        <v>0.23671296296296296</v>
      </c>
      <c r="C9581">
        <v>6399</v>
      </c>
      <c r="D9581" t="str">
        <f>VLOOKUP(H9581,Produkt!$A$2:$B$5,2,FALSE)</f>
        <v>C</v>
      </c>
      <c r="H9581">
        <v>3</v>
      </c>
      <c r="I9581">
        <v>0.94293981481481481</v>
      </c>
      <c r="J9581">
        <v>44801</v>
      </c>
    </row>
    <row r="9582" spans="1:10" x14ac:dyDescent="0.35">
      <c r="A9582" s="2">
        <v>44803</v>
      </c>
      <c r="B9582" s="3">
        <v>0.12631944444444446</v>
      </c>
      <c r="C9582">
        <v>6503</v>
      </c>
      <c r="D9582" t="str">
        <f>VLOOKUP(H9582,Produkt!$A$2:$B$5,2,FALSE)</f>
        <v>B</v>
      </c>
      <c r="H9582">
        <v>2</v>
      </c>
      <c r="I9582">
        <v>0.27359953703703704</v>
      </c>
      <c r="J9582">
        <v>44792</v>
      </c>
    </row>
    <row r="9583" spans="1:10" x14ac:dyDescent="0.35">
      <c r="A9583" s="2">
        <v>44803</v>
      </c>
      <c r="B9583" s="3">
        <v>0.26868055555555553</v>
      </c>
      <c r="C9583">
        <v>6561</v>
      </c>
      <c r="D9583" t="str">
        <f>VLOOKUP(H9583,Produkt!$A$2:$B$5,2,FALSE)</f>
        <v>D</v>
      </c>
      <c r="H9583">
        <v>4</v>
      </c>
      <c r="I9583">
        <v>4.4328703703703709E-3</v>
      </c>
      <c r="J9583">
        <v>44798</v>
      </c>
    </row>
    <row r="9584" spans="1:10" x14ac:dyDescent="0.35">
      <c r="A9584" s="2">
        <v>44803</v>
      </c>
      <c r="B9584" s="3">
        <v>0.15663194444444445</v>
      </c>
      <c r="C9584">
        <v>6578</v>
      </c>
      <c r="D9584" t="str">
        <f>VLOOKUP(H9584,Produkt!$A$2:$B$5,2,FALSE)</f>
        <v>D</v>
      </c>
      <c r="H9584">
        <v>4</v>
      </c>
      <c r="I9584">
        <v>0.62508101851851849</v>
      </c>
      <c r="J9584">
        <v>44792</v>
      </c>
    </row>
    <row r="9585" spans="1:10" x14ac:dyDescent="0.35">
      <c r="A9585" s="2">
        <v>44803</v>
      </c>
      <c r="B9585" s="3">
        <v>3.1944444444444449E-2</v>
      </c>
      <c r="C9585">
        <v>6581</v>
      </c>
      <c r="D9585" t="str">
        <f>VLOOKUP(H9585,Produkt!$A$2:$B$5,2,FALSE)</f>
        <v>C</v>
      </c>
      <c r="H9585">
        <v>3</v>
      </c>
      <c r="I9585">
        <v>0.3513310185185185</v>
      </c>
      <c r="J9585">
        <v>44798</v>
      </c>
    </row>
    <row r="9586" spans="1:10" x14ac:dyDescent="0.35">
      <c r="A9586" s="2">
        <v>44803</v>
      </c>
      <c r="B9586" s="3">
        <v>0.9813425925925926</v>
      </c>
      <c r="C9586">
        <v>6619</v>
      </c>
      <c r="D9586" t="str">
        <f>VLOOKUP(H9586,Produkt!$A$2:$B$5,2,FALSE)</f>
        <v>D</v>
      </c>
      <c r="H9586">
        <v>4</v>
      </c>
      <c r="I9586">
        <v>0.83459490740740738</v>
      </c>
      <c r="J9586">
        <v>44794</v>
      </c>
    </row>
    <row r="9587" spans="1:10" x14ac:dyDescent="0.35">
      <c r="A9587" s="2">
        <v>44803</v>
      </c>
      <c r="B9587" s="3">
        <v>0.84278935185185189</v>
      </c>
      <c r="C9587">
        <v>6672</v>
      </c>
      <c r="D9587" t="str">
        <f>VLOOKUP(H9587,Produkt!$A$2:$B$5,2,FALSE)</f>
        <v>D</v>
      </c>
      <c r="H9587">
        <v>4</v>
      </c>
      <c r="I9587">
        <v>0.25427083333333333</v>
      </c>
      <c r="J9587">
        <v>44788</v>
      </c>
    </row>
    <row r="9588" spans="1:10" x14ac:dyDescent="0.35">
      <c r="A9588" s="2">
        <v>44803</v>
      </c>
      <c r="B9588" s="3">
        <v>0.61875000000000002</v>
      </c>
      <c r="C9588">
        <v>6699</v>
      </c>
      <c r="D9588" t="str">
        <f>VLOOKUP(H9588,Produkt!$A$2:$B$5,2,FALSE)</f>
        <v>A</v>
      </c>
      <c r="H9588">
        <v>1</v>
      </c>
      <c r="I9588">
        <v>0.51702546296296303</v>
      </c>
      <c r="J9588">
        <v>44785</v>
      </c>
    </row>
    <row r="9589" spans="1:10" x14ac:dyDescent="0.35">
      <c r="A9589" s="2">
        <v>44803</v>
      </c>
      <c r="B9589" s="3">
        <v>0.17668981481481483</v>
      </c>
      <c r="C9589">
        <v>6764</v>
      </c>
      <c r="D9589" t="str">
        <f>VLOOKUP(H9589,Produkt!$A$2:$B$5,2,FALSE)</f>
        <v>C</v>
      </c>
      <c r="H9589">
        <v>3</v>
      </c>
      <c r="I9589">
        <v>0.57640046296296299</v>
      </c>
      <c r="J9589">
        <v>44790</v>
      </c>
    </row>
    <row r="9590" spans="1:10" x14ac:dyDescent="0.35">
      <c r="A9590" s="2">
        <v>44803</v>
      </c>
      <c r="B9590" s="3">
        <v>0.70508101851851857</v>
      </c>
      <c r="C9590">
        <v>6773</v>
      </c>
      <c r="D9590" t="str">
        <f>VLOOKUP(H9590,Produkt!$A$2:$B$5,2,FALSE)</f>
        <v>A</v>
      </c>
      <c r="H9590">
        <v>1</v>
      </c>
      <c r="I9590">
        <v>3.318287037037037E-2</v>
      </c>
      <c r="J9590">
        <v>44795</v>
      </c>
    </row>
    <row r="9591" spans="1:10" x14ac:dyDescent="0.35">
      <c r="A9591" s="2">
        <v>44803</v>
      </c>
      <c r="B9591" s="3">
        <v>0.20892361111111113</v>
      </c>
      <c r="C9591">
        <v>6810</v>
      </c>
      <c r="D9591" t="str">
        <f>VLOOKUP(H9591,Produkt!$A$2:$B$5,2,FALSE)</f>
        <v>C</v>
      </c>
      <c r="H9591">
        <v>3</v>
      </c>
      <c r="I9591">
        <v>0.66731481481481481</v>
      </c>
      <c r="J9591">
        <v>44784</v>
      </c>
    </row>
    <row r="9592" spans="1:10" x14ac:dyDescent="0.35">
      <c r="A9592" s="2">
        <v>44803</v>
      </c>
      <c r="B9592" s="3">
        <v>0.92136574074074085</v>
      </c>
      <c r="C9592">
        <v>6820</v>
      </c>
      <c r="D9592" t="str">
        <f>VLOOKUP(H9592,Produkt!$A$2:$B$5,2,FALSE)</f>
        <v>A</v>
      </c>
      <c r="H9592">
        <v>1</v>
      </c>
      <c r="I9592">
        <v>0.17905092592592595</v>
      </c>
      <c r="J9592">
        <v>44795</v>
      </c>
    </row>
    <row r="9593" spans="1:10" x14ac:dyDescent="0.35">
      <c r="A9593" s="2">
        <v>44803</v>
      </c>
      <c r="B9593" s="3">
        <v>3.1192129629629629E-2</v>
      </c>
      <c r="C9593">
        <v>6822</v>
      </c>
      <c r="D9593" t="str">
        <f>VLOOKUP(H9593,Produkt!$A$2:$B$5,2,FALSE)</f>
        <v>C</v>
      </c>
      <c r="H9593">
        <v>3</v>
      </c>
      <c r="I9593">
        <v>0.70138888888888884</v>
      </c>
      <c r="J9593">
        <v>44786</v>
      </c>
    </row>
    <row r="9594" spans="1:10" x14ac:dyDescent="0.35">
      <c r="A9594" s="2">
        <v>44803</v>
      </c>
      <c r="B9594" s="3">
        <v>0.43905092592592593</v>
      </c>
      <c r="C9594">
        <v>6846</v>
      </c>
      <c r="D9594" t="str">
        <f>VLOOKUP(H9594,Produkt!$A$2:$B$5,2,FALSE)</f>
        <v>C</v>
      </c>
      <c r="H9594">
        <v>3</v>
      </c>
      <c r="I9594">
        <v>0.90659722222222217</v>
      </c>
      <c r="J9594">
        <v>44788</v>
      </c>
    </row>
    <row r="9595" spans="1:10" x14ac:dyDescent="0.35">
      <c r="A9595" s="2">
        <v>44803</v>
      </c>
      <c r="B9595" s="3">
        <v>0.28672453703703704</v>
      </c>
      <c r="C9595">
        <v>6877</v>
      </c>
      <c r="D9595" t="str">
        <f>VLOOKUP(H9595,Produkt!$A$2:$B$5,2,FALSE)</f>
        <v>B</v>
      </c>
      <c r="H9595">
        <v>2</v>
      </c>
      <c r="I9595">
        <v>0.99442129629629628</v>
      </c>
      <c r="J9595">
        <v>44801</v>
      </c>
    </row>
    <row r="9596" spans="1:10" x14ac:dyDescent="0.35">
      <c r="A9596" s="2">
        <v>44803</v>
      </c>
      <c r="B9596" s="3">
        <v>0.88260416666666675</v>
      </c>
      <c r="C9596">
        <v>6897</v>
      </c>
      <c r="D9596" t="str">
        <f>VLOOKUP(H9596,Produkt!$A$2:$B$5,2,FALSE)</f>
        <v>B</v>
      </c>
      <c r="H9596">
        <v>2</v>
      </c>
      <c r="I9596">
        <v>4.6226851851851852E-2</v>
      </c>
      <c r="J9596">
        <v>44780</v>
      </c>
    </row>
    <row r="9597" spans="1:10" x14ac:dyDescent="0.35">
      <c r="A9597" s="2">
        <v>44803</v>
      </c>
      <c r="B9597" s="3">
        <v>0.24234953703703702</v>
      </c>
      <c r="C9597">
        <v>6937</v>
      </c>
      <c r="D9597" t="str">
        <f>VLOOKUP(H9597,Produkt!$A$2:$B$5,2,FALSE)</f>
        <v>C</v>
      </c>
      <c r="H9597">
        <v>3</v>
      </c>
      <c r="I9597">
        <v>0.11106481481481482</v>
      </c>
      <c r="J9597">
        <v>44794</v>
      </c>
    </row>
    <row r="9598" spans="1:10" x14ac:dyDescent="0.35">
      <c r="A9598" s="2">
        <v>44803</v>
      </c>
      <c r="B9598" s="3">
        <v>0.60736111111111113</v>
      </c>
      <c r="C9598">
        <v>6940</v>
      </c>
      <c r="D9598" t="str">
        <f>VLOOKUP(H9598,Produkt!$A$2:$B$5,2,FALSE)</f>
        <v>A</v>
      </c>
      <c r="H9598">
        <v>1</v>
      </c>
      <c r="I9598">
        <v>2.2268518518518521E-2</v>
      </c>
      <c r="J9598">
        <v>44782</v>
      </c>
    </row>
    <row r="9599" spans="1:10" x14ac:dyDescent="0.35">
      <c r="A9599" s="2">
        <v>44803</v>
      </c>
      <c r="B9599" s="3">
        <v>0.93104166666666666</v>
      </c>
      <c r="C9599">
        <v>6952</v>
      </c>
      <c r="D9599" t="str">
        <f>VLOOKUP(H9599,Produkt!$A$2:$B$5,2,FALSE)</f>
        <v>D</v>
      </c>
      <c r="H9599">
        <v>4</v>
      </c>
      <c r="I9599">
        <v>0.94681712962962961</v>
      </c>
      <c r="J9599">
        <v>44779</v>
      </c>
    </row>
    <row r="9600" spans="1:10" x14ac:dyDescent="0.35">
      <c r="A9600" s="2">
        <v>44803</v>
      </c>
      <c r="B9600" s="3">
        <v>0.75282407407407403</v>
      </c>
      <c r="C9600">
        <v>6962</v>
      </c>
      <c r="D9600" t="str">
        <f>VLOOKUP(H9600,Produkt!$A$2:$B$5,2,FALSE)</f>
        <v>C</v>
      </c>
      <c r="H9600">
        <v>3</v>
      </c>
      <c r="I9600">
        <v>0.15813657407407408</v>
      </c>
      <c r="J9600">
        <v>44785</v>
      </c>
    </row>
    <row r="9601" spans="1:10" x14ac:dyDescent="0.35">
      <c r="A9601" s="2">
        <v>44803</v>
      </c>
      <c r="B9601" s="3">
        <v>0.88936342592592599</v>
      </c>
      <c r="C9601">
        <v>6978</v>
      </c>
      <c r="D9601" t="str">
        <f>VLOOKUP(H9601,Produkt!$A$2:$B$5,2,FALSE)</f>
        <v>D</v>
      </c>
      <c r="H9601">
        <v>4</v>
      </c>
      <c r="I9601">
        <v>0.57371527777777775</v>
      </c>
      <c r="J9601">
        <v>44799</v>
      </c>
    </row>
    <row r="9602" spans="1:10" x14ac:dyDescent="0.35">
      <c r="A9602" s="2">
        <v>44803</v>
      </c>
      <c r="B9602" s="3">
        <v>0.58015046296296291</v>
      </c>
      <c r="C9602">
        <v>7046</v>
      </c>
      <c r="D9602" t="str">
        <f>VLOOKUP(H9602,Produkt!$A$2:$B$5,2,FALSE)</f>
        <v>C</v>
      </c>
      <c r="H9602">
        <v>3</v>
      </c>
      <c r="I9602">
        <v>2.7395833333333286E-2</v>
      </c>
      <c r="J9602">
        <v>44782</v>
      </c>
    </row>
    <row r="9603" spans="1:10" x14ac:dyDescent="0.35">
      <c r="A9603" s="2">
        <v>44803</v>
      </c>
      <c r="B9603" s="3">
        <v>0.27315972222222223</v>
      </c>
      <c r="C9603">
        <v>7051</v>
      </c>
      <c r="D9603" t="str">
        <f>VLOOKUP(H9603,Produkt!$A$2:$B$5,2,FALSE)</f>
        <v>A</v>
      </c>
      <c r="H9603">
        <v>1</v>
      </c>
      <c r="I9603">
        <v>0.21185185185185185</v>
      </c>
      <c r="J9603">
        <v>44800</v>
      </c>
    </row>
    <row r="9604" spans="1:10" x14ac:dyDescent="0.35">
      <c r="A9604" s="2">
        <v>44803</v>
      </c>
      <c r="B9604" s="3">
        <v>0.60282407407407412</v>
      </c>
      <c r="C9604">
        <v>7096</v>
      </c>
      <c r="D9604" t="str">
        <f>VLOOKUP(H9604,Produkt!$A$2:$B$5,2,FALSE)</f>
        <v>D</v>
      </c>
      <c r="H9604">
        <v>4</v>
      </c>
      <c r="I9604">
        <v>0.12074074074074075</v>
      </c>
      <c r="J9604">
        <v>44781</v>
      </c>
    </row>
    <row r="9605" spans="1:10" x14ac:dyDescent="0.35">
      <c r="A9605" s="2">
        <v>44803</v>
      </c>
      <c r="B9605" s="3">
        <v>0.30476851851851855</v>
      </c>
      <c r="C9605">
        <v>7102</v>
      </c>
      <c r="D9605" t="str">
        <f>VLOOKUP(H9605,Produkt!$A$2:$B$5,2,FALSE)</f>
        <v>C</v>
      </c>
      <c r="H9605">
        <v>3</v>
      </c>
      <c r="I9605">
        <v>0.66249999999999998</v>
      </c>
      <c r="J9605">
        <v>44778</v>
      </c>
    </row>
    <row r="9606" spans="1:10" x14ac:dyDescent="0.35">
      <c r="A9606" s="2">
        <v>44803</v>
      </c>
      <c r="B9606" s="3">
        <v>2.045138888888889E-2</v>
      </c>
      <c r="C9606">
        <v>7130</v>
      </c>
      <c r="D9606" t="str">
        <f>VLOOKUP(H9606,Produkt!$A$2:$B$5,2,FALSE)</f>
        <v>C</v>
      </c>
      <c r="H9606">
        <v>3</v>
      </c>
      <c r="I9606">
        <v>0.55969907407407404</v>
      </c>
      <c r="J9606">
        <v>44778</v>
      </c>
    </row>
    <row r="9607" spans="1:10" x14ac:dyDescent="0.35">
      <c r="A9607" s="2">
        <v>44803</v>
      </c>
      <c r="B9607" s="3">
        <v>0.59762731481481479</v>
      </c>
      <c r="C9607">
        <v>7196</v>
      </c>
      <c r="D9607" t="str">
        <f>VLOOKUP(H9607,Produkt!$A$2:$B$5,2,FALSE)</f>
        <v>A</v>
      </c>
      <c r="H9607">
        <v>1</v>
      </c>
      <c r="I9607">
        <v>0.30002314814814818</v>
      </c>
      <c r="J9607">
        <v>44780</v>
      </c>
    </row>
    <row r="9608" spans="1:10" x14ac:dyDescent="0.35">
      <c r="A9608" s="2">
        <v>44803</v>
      </c>
      <c r="B9608" s="3">
        <v>0.22907407407407407</v>
      </c>
      <c r="C9608">
        <v>7212</v>
      </c>
      <c r="D9608" t="str">
        <f>VLOOKUP(H9608,Produkt!$A$2:$B$5,2,FALSE)</f>
        <v>A</v>
      </c>
      <c r="H9608">
        <v>1</v>
      </c>
      <c r="I9608">
        <v>0.25590277777777776</v>
      </c>
      <c r="J9608">
        <v>44787</v>
      </c>
    </row>
    <row r="9609" spans="1:10" x14ac:dyDescent="0.35">
      <c r="A9609" s="2">
        <v>44803</v>
      </c>
      <c r="B9609" s="3">
        <v>8.9374999999999996E-2</v>
      </c>
      <c r="C9609">
        <v>7219</v>
      </c>
      <c r="D9609" t="str">
        <f>VLOOKUP(H9609,Produkt!$A$2:$B$5,2,FALSE)</f>
        <v>D</v>
      </c>
      <c r="H9609">
        <v>4</v>
      </c>
      <c r="I9609">
        <v>0.64769675925925929</v>
      </c>
      <c r="J9609">
        <v>44799</v>
      </c>
    </row>
    <row r="9610" spans="1:10" x14ac:dyDescent="0.35">
      <c r="A9610" s="2">
        <v>44803</v>
      </c>
      <c r="B9610" s="3">
        <v>0.83268518518518519</v>
      </c>
      <c r="C9610">
        <v>7226</v>
      </c>
      <c r="D9610" t="str">
        <f>VLOOKUP(H9610,Produkt!$A$2:$B$5,2,FALSE)</f>
        <v>D</v>
      </c>
      <c r="H9610">
        <v>4</v>
      </c>
      <c r="I9610">
        <v>0.8253125</v>
      </c>
      <c r="J9610">
        <v>44795</v>
      </c>
    </row>
    <row r="9611" spans="1:10" x14ac:dyDescent="0.35">
      <c r="A9611" s="2">
        <v>44803</v>
      </c>
      <c r="B9611" s="3">
        <v>0.68325231481481474</v>
      </c>
      <c r="C9611">
        <v>7251</v>
      </c>
      <c r="D9611" t="str">
        <f>VLOOKUP(H9611,Produkt!$A$2:$B$5,2,FALSE)</f>
        <v>D</v>
      </c>
      <c r="H9611">
        <v>4</v>
      </c>
      <c r="I9611">
        <v>0.11675925925925927</v>
      </c>
      <c r="J9611">
        <v>44795</v>
      </c>
    </row>
    <row r="9612" spans="1:10" x14ac:dyDescent="0.35">
      <c r="A9612" s="2">
        <v>44803</v>
      </c>
      <c r="B9612" s="3">
        <v>0.51001157407407405</v>
      </c>
      <c r="C9612">
        <v>7261</v>
      </c>
      <c r="D9612" t="str">
        <f>VLOOKUP(H9612,Produkt!$A$2:$B$5,2,FALSE)</f>
        <v>B</v>
      </c>
      <c r="H9612">
        <v>2</v>
      </c>
      <c r="I9612">
        <v>0.52179398148148148</v>
      </c>
      <c r="J9612">
        <v>44791</v>
      </c>
    </row>
    <row r="9613" spans="1:10" x14ac:dyDescent="0.35">
      <c r="A9613" s="2">
        <v>44803</v>
      </c>
      <c r="B9613" s="3">
        <v>0.60048611111111116</v>
      </c>
      <c r="C9613">
        <v>7290</v>
      </c>
      <c r="D9613" t="str">
        <f>VLOOKUP(H9613,Produkt!$A$2:$B$5,2,FALSE)</f>
        <v>D</v>
      </c>
      <c r="H9613">
        <v>4</v>
      </c>
      <c r="I9613">
        <v>0.20612268518518517</v>
      </c>
      <c r="J9613">
        <v>44798</v>
      </c>
    </row>
    <row r="9614" spans="1:10" x14ac:dyDescent="0.35">
      <c r="A9614" s="2">
        <v>44803</v>
      </c>
      <c r="B9614" s="3">
        <v>0.20877314814814815</v>
      </c>
      <c r="C9614">
        <v>7308</v>
      </c>
      <c r="D9614" t="str">
        <f>VLOOKUP(H9614,Produkt!$A$2:$B$5,2,FALSE)</f>
        <v>D</v>
      </c>
      <c r="H9614">
        <v>4</v>
      </c>
      <c r="I9614">
        <v>0.52859953703703699</v>
      </c>
      <c r="J9614">
        <v>44802</v>
      </c>
    </row>
    <row r="9615" spans="1:10" x14ac:dyDescent="0.35">
      <c r="A9615" s="2">
        <v>44803</v>
      </c>
      <c r="B9615" s="3">
        <v>0.45891203703703703</v>
      </c>
      <c r="C9615">
        <v>7309</v>
      </c>
      <c r="D9615" t="str">
        <f>VLOOKUP(H9615,Produkt!$A$2:$B$5,2,FALSE)</f>
        <v>B</v>
      </c>
      <c r="H9615">
        <v>2</v>
      </c>
      <c r="I9615">
        <v>0.57961805555555557</v>
      </c>
      <c r="J9615">
        <v>44775</v>
      </c>
    </row>
    <row r="9616" spans="1:10" x14ac:dyDescent="0.35">
      <c r="A9616" s="2">
        <v>44803</v>
      </c>
      <c r="B9616" s="3">
        <v>1.5555555555555553E-2</v>
      </c>
      <c r="C9616">
        <v>7373</v>
      </c>
      <c r="D9616" t="str">
        <f>VLOOKUP(H9616,Produkt!$A$2:$B$5,2,FALSE)</f>
        <v>D</v>
      </c>
      <c r="H9616">
        <v>4</v>
      </c>
      <c r="I9616">
        <v>0.21542824074074074</v>
      </c>
      <c r="J9616">
        <v>44803</v>
      </c>
    </row>
    <row r="9617" spans="1:10" x14ac:dyDescent="0.35">
      <c r="A9617" s="2">
        <v>44803</v>
      </c>
      <c r="B9617" s="3">
        <v>1.650462962962963E-2</v>
      </c>
      <c r="C9617">
        <v>7378</v>
      </c>
      <c r="D9617" t="str">
        <f>VLOOKUP(H9617,Produkt!$A$2:$B$5,2,FALSE)</f>
        <v>A</v>
      </c>
      <c r="H9617">
        <v>1</v>
      </c>
      <c r="I9617">
        <v>0.59686342592592589</v>
      </c>
      <c r="J9617">
        <v>44781</v>
      </c>
    </row>
    <row r="9618" spans="1:10" x14ac:dyDescent="0.35">
      <c r="A9618" s="2">
        <v>44803</v>
      </c>
      <c r="B9618" s="3">
        <v>0.81905092592592599</v>
      </c>
      <c r="C9618">
        <v>7387</v>
      </c>
      <c r="D9618" t="str">
        <f>VLOOKUP(H9618,Produkt!$A$2:$B$5,2,FALSE)</f>
        <v>D</v>
      </c>
      <c r="H9618">
        <v>4</v>
      </c>
      <c r="I9618">
        <v>0.32776620370370368</v>
      </c>
      <c r="J9618">
        <v>44796</v>
      </c>
    </row>
    <row r="9619" spans="1:10" x14ac:dyDescent="0.35">
      <c r="A9619" s="2">
        <v>44803</v>
      </c>
      <c r="B9619" s="3">
        <v>0.27996527777777774</v>
      </c>
      <c r="C9619">
        <v>7396</v>
      </c>
      <c r="D9619" t="str">
        <f>VLOOKUP(H9619,Produkt!$A$2:$B$5,2,FALSE)</f>
        <v>D</v>
      </c>
      <c r="H9619">
        <v>4</v>
      </c>
      <c r="I9619">
        <v>0.95120370370370377</v>
      </c>
      <c r="J9619">
        <v>44799</v>
      </c>
    </row>
    <row r="9620" spans="1:10" x14ac:dyDescent="0.35">
      <c r="A9620" s="2">
        <v>44803</v>
      </c>
      <c r="B9620" s="3">
        <v>0.60622685185185188</v>
      </c>
      <c r="C9620">
        <v>7412</v>
      </c>
      <c r="D9620" t="str">
        <f>VLOOKUP(H9620,Produkt!$A$2:$B$5,2,FALSE)</f>
        <v>B</v>
      </c>
      <c r="H9620">
        <v>2</v>
      </c>
      <c r="I9620">
        <v>0.83381944444444445</v>
      </c>
      <c r="J9620">
        <v>44779</v>
      </c>
    </row>
    <row r="9621" spans="1:10" x14ac:dyDescent="0.35">
      <c r="A9621" s="2">
        <v>44803</v>
      </c>
      <c r="B9621" s="3">
        <v>0.20953703703703705</v>
      </c>
      <c r="C9621">
        <v>7414</v>
      </c>
      <c r="D9621" t="str">
        <f>VLOOKUP(H9621,Produkt!$A$2:$B$5,2,FALSE)</f>
        <v>A</v>
      </c>
      <c r="H9621">
        <v>1</v>
      </c>
      <c r="I9621">
        <v>8.6643518518518522E-2</v>
      </c>
      <c r="J9621">
        <v>44798</v>
      </c>
    </row>
    <row r="9622" spans="1:10" x14ac:dyDescent="0.35">
      <c r="A9622" s="2">
        <v>44803</v>
      </c>
      <c r="B9622" s="3">
        <v>0.58628472222222217</v>
      </c>
      <c r="C9622">
        <v>7448</v>
      </c>
      <c r="D9622" t="str">
        <f>VLOOKUP(H9622,Produkt!$A$2:$B$5,2,FALSE)</f>
        <v>B</v>
      </c>
      <c r="H9622">
        <v>2</v>
      </c>
      <c r="I9622">
        <v>0.23047453703703705</v>
      </c>
      <c r="J9622">
        <v>44792</v>
      </c>
    </row>
    <row r="9623" spans="1:10" x14ac:dyDescent="0.35">
      <c r="A9623" s="2">
        <v>44803</v>
      </c>
      <c r="B9623" s="3">
        <v>0.89188657407407401</v>
      </c>
      <c r="C9623">
        <v>7507</v>
      </c>
      <c r="D9623" t="str">
        <f>VLOOKUP(H9623,Produkt!$A$2:$B$5,2,FALSE)</f>
        <v>B</v>
      </c>
      <c r="H9623">
        <v>2</v>
      </c>
      <c r="I9623">
        <v>0.21667824074074074</v>
      </c>
      <c r="J9623">
        <v>44783</v>
      </c>
    </row>
    <row r="9624" spans="1:10" x14ac:dyDescent="0.35">
      <c r="A9624" s="2">
        <v>44803</v>
      </c>
      <c r="B9624" s="3">
        <v>0.22984953703703703</v>
      </c>
      <c r="C9624">
        <v>7620</v>
      </c>
      <c r="D9624" t="str">
        <f>VLOOKUP(H9624,Produkt!$A$2:$B$5,2,FALSE)</f>
        <v>B</v>
      </c>
      <c r="H9624">
        <v>2</v>
      </c>
      <c r="I9624">
        <v>0.990300925925926</v>
      </c>
      <c r="J9624">
        <v>44799</v>
      </c>
    </row>
    <row r="9625" spans="1:10" x14ac:dyDescent="0.35">
      <c r="A9625" s="2">
        <v>44803</v>
      </c>
      <c r="B9625" s="3">
        <v>0.90409722222222222</v>
      </c>
      <c r="C9625">
        <v>7660</v>
      </c>
      <c r="D9625" t="str">
        <f>VLOOKUP(H9625,Produkt!$A$2:$B$5,2,FALSE)</f>
        <v>A</v>
      </c>
      <c r="H9625">
        <v>1</v>
      </c>
      <c r="I9625">
        <v>0.62787037037037041</v>
      </c>
      <c r="J9625">
        <v>44796</v>
      </c>
    </row>
    <row r="9626" spans="1:10" x14ac:dyDescent="0.35">
      <c r="A9626" s="2">
        <v>44803</v>
      </c>
      <c r="B9626" s="3">
        <v>0.45548611111111109</v>
      </c>
      <c r="C9626">
        <v>7674</v>
      </c>
      <c r="D9626" t="str">
        <f>VLOOKUP(H9626,Produkt!$A$2:$B$5,2,FALSE)</f>
        <v>C</v>
      </c>
      <c r="H9626">
        <v>3</v>
      </c>
      <c r="I9626">
        <v>0.72832175925925924</v>
      </c>
      <c r="J9626">
        <v>44779</v>
      </c>
    </row>
    <row r="9627" spans="1:10" x14ac:dyDescent="0.35">
      <c r="A9627" s="2">
        <v>44803</v>
      </c>
      <c r="B9627" s="3">
        <v>0.83206018518518521</v>
      </c>
      <c r="C9627">
        <v>7688</v>
      </c>
      <c r="D9627" t="str">
        <f>VLOOKUP(H9627,Produkt!$A$2:$B$5,2,FALSE)</f>
        <v>B</v>
      </c>
      <c r="H9627">
        <v>2</v>
      </c>
      <c r="I9627">
        <v>0.46134259259259264</v>
      </c>
      <c r="J9627">
        <v>44774</v>
      </c>
    </row>
    <row r="9628" spans="1:10" x14ac:dyDescent="0.35">
      <c r="A9628" s="2">
        <v>44803</v>
      </c>
      <c r="B9628" s="3">
        <v>0.6713541666666667</v>
      </c>
      <c r="C9628">
        <v>7701</v>
      </c>
      <c r="D9628" t="str">
        <f>VLOOKUP(H9628,Produkt!$A$2:$B$5,2,FALSE)</f>
        <v>B</v>
      </c>
      <c r="H9628">
        <v>2</v>
      </c>
      <c r="I9628">
        <v>0.95078703703703704</v>
      </c>
      <c r="J9628">
        <v>44786</v>
      </c>
    </row>
    <row r="9629" spans="1:10" x14ac:dyDescent="0.35">
      <c r="A9629" s="2">
        <v>44803</v>
      </c>
      <c r="B9629" s="3">
        <v>0.46785879629629629</v>
      </c>
      <c r="C9629">
        <v>7706</v>
      </c>
      <c r="D9629" t="str">
        <f>VLOOKUP(H9629,Produkt!$A$2:$B$5,2,FALSE)</f>
        <v>C</v>
      </c>
      <c r="H9629">
        <v>3</v>
      </c>
      <c r="I9629">
        <v>0.33387731481481481</v>
      </c>
      <c r="J9629">
        <v>44789</v>
      </c>
    </row>
    <row r="9630" spans="1:10" x14ac:dyDescent="0.35">
      <c r="A9630" s="2">
        <v>44803</v>
      </c>
      <c r="B9630" s="3">
        <v>0.97763888888888895</v>
      </c>
      <c r="C9630">
        <v>7709</v>
      </c>
      <c r="D9630" t="str">
        <f>VLOOKUP(H9630,Produkt!$A$2:$B$5,2,FALSE)</f>
        <v>D</v>
      </c>
      <c r="H9630">
        <v>4</v>
      </c>
      <c r="I9630">
        <v>0.55578703703703702</v>
      </c>
      <c r="J9630">
        <v>44778</v>
      </c>
    </row>
    <row r="9631" spans="1:10" x14ac:dyDescent="0.35">
      <c r="A9631" s="2">
        <v>44803</v>
      </c>
      <c r="B9631" s="3">
        <v>0.94377314814814817</v>
      </c>
      <c r="C9631">
        <v>7749</v>
      </c>
      <c r="D9631" t="str">
        <f>VLOOKUP(H9631,Produkt!$A$2:$B$5,2,FALSE)</f>
        <v>A</v>
      </c>
      <c r="H9631">
        <v>1</v>
      </c>
      <c r="I9631">
        <v>0.60550925925925925</v>
      </c>
      <c r="J9631">
        <v>44787</v>
      </c>
    </row>
    <row r="9632" spans="1:10" x14ac:dyDescent="0.35">
      <c r="A9632" s="2">
        <v>44803</v>
      </c>
      <c r="B9632" s="3">
        <v>0.53822916666666665</v>
      </c>
      <c r="C9632">
        <v>7753</v>
      </c>
      <c r="D9632" t="str">
        <f>VLOOKUP(H9632,Produkt!$A$2:$B$5,2,FALSE)</f>
        <v>C</v>
      </c>
      <c r="H9632">
        <v>3</v>
      </c>
      <c r="I9632">
        <v>0.33270833333333333</v>
      </c>
      <c r="J9632">
        <v>44775</v>
      </c>
    </row>
    <row r="9633" spans="1:10" x14ac:dyDescent="0.35">
      <c r="A9633" s="2">
        <v>44803</v>
      </c>
      <c r="B9633" s="3">
        <v>0.68204861111111104</v>
      </c>
      <c r="C9633">
        <v>7764</v>
      </c>
      <c r="D9633" t="str">
        <f>VLOOKUP(H9633,Produkt!$A$2:$B$5,2,FALSE)</f>
        <v>A</v>
      </c>
      <c r="H9633">
        <v>1</v>
      </c>
      <c r="I9633">
        <v>0.48964120370370368</v>
      </c>
      <c r="J9633">
        <v>44785</v>
      </c>
    </row>
    <row r="9634" spans="1:10" x14ac:dyDescent="0.35">
      <c r="A9634" s="2">
        <v>44803</v>
      </c>
      <c r="B9634" s="3">
        <v>0.9212731481481482</v>
      </c>
      <c r="C9634">
        <v>7779</v>
      </c>
      <c r="D9634" t="str">
        <f>VLOOKUP(H9634,Produkt!$A$2:$B$5,2,FALSE)</f>
        <v>B</v>
      </c>
      <c r="H9634">
        <v>2</v>
      </c>
      <c r="I9634">
        <v>0.4261226851851852</v>
      </c>
      <c r="J9634">
        <v>44791</v>
      </c>
    </row>
    <row r="9635" spans="1:10" x14ac:dyDescent="0.35">
      <c r="A9635" s="2">
        <v>44803</v>
      </c>
      <c r="B9635" s="3">
        <v>0.32109953703703703</v>
      </c>
      <c r="C9635">
        <v>7812</v>
      </c>
      <c r="D9635" t="str">
        <f>VLOOKUP(H9635,Produkt!$A$2:$B$5,2,FALSE)</f>
        <v>B</v>
      </c>
      <c r="H9635">
        <v>2</v>
      </c>
      <c r="I9635">
        <v>0.4020023148148148</v>
      </c>
      <c r="J9635">
        <v>44797</v>
      </c>
    </row>
    <row r="9636" spans="1:10" x14ac:dyDescent="0.35">
      <c r="A9636" s="2">
        <v>44803</v>
      </c>
      <c r="B9636" s="3">
        <v>0.26202546296296297</v>
      </c>
      <c r="C9636">
        <v>7831</v>
      </c>
      <c r="D9636" t="str">
        <f>VLOOKUP(H9636,Produkt!$A$2:$B$5,2,FALSE)</f>
        <v>B</v>
      </c>
      <c r="H9636">
        <v>2</v>
      </c>
      <c r="I9636">
        <v>0.14420138888888889</v>
      </c>
      <c r="J9636">
        <v>44802</v>
      </c>
    </row>
    <row r="9637" spans="1:10" x14ac:dyDescent="0.35">
      <c r="A9637" s="2">
        <v>44803</v>
      </c>
      <c r="B9637" s="3">
        <v>0.91002314814814811</v>
      </c>
      <c r="C9637">
        <v>7832</v>
      </c>
      <c r="D9637" t="str">
        <f>VLOOKUP(H9637,Produkt!$A$2:$B$5,2,FALSE)</f>
        <v>A</v>
      </c>
      <c r="H9637">
        <v>1</v>
      </c>
      <c r="I9637">
        <v>0.90660879629629632</v>
      </c>
      <c r="J9637">
        <v>44786</v>
      </c>
    </row>
    <row r="9638" spans="1:10" x14ac:dyDescent="0.35">
      <c r="A9638" s="2">
        <v>44803</v>
      </c>
      <c r="B9638" s="3">
        <v>0.50043981481481481</v>
      </c>
      <c r="C9638">
        <v>7896</v>
      </c>
      <c r="D9638" t="str">
        <f>VLOOKUP(H9638,Produkt!$A$2:$B$5,2,FALSE)</f>
        <v>B</v>
      </c>
      <c r="H9638">
        <v>2</v>
      </c>
      <c r="I9638">
        <v>0.58502314814814815</v>
      </c>
      <c r="J9638">
        <v>44780</v>
      </c>
    </row>
    <row r="9639" spans="1:10" x14ac:dyDescent="0.35">
      <c r="A9639" s="2">
        <v>44803</v>
      </c>
      <c r="B9639" s="3">
        <v>0.10398148148148149</v>
      </c>
      <c r="C9639">
        <v>7919</v>
      </c>
      <c r="D9639" t="str">
        <f>VLOOKUP(H9639,Produkt!$A$2:$B$5,2,FALSE)</f>
        <v>B</v>
      </c>
      <c r="H9639">
        <v>2</v>
      </c>
      <c r="I9639">
        <v>0.18856481481481482</v>
      </c>
      <c r="J9639">
        <v>44791</v>
      </c>
    </row>
    <row r="9640" spans="1:10" x14ac:dyDescent="0.35">
      <c r="A9640" s="2">
        <v>44803</v>
      </c>
      <c r="B9640" s="3">
        <v>0.98211805555555554</v>
      </c>
      <c r="C9640">
        <v>7957</v>
      </c>
      <c r="D9640" t="str">
        <f>VLOOKUP(H9640,Produkt!$A$2:$B$5,2,FALSE)</f>
        <v>A</v>
      </c>
      <c r="H9640">
        <v>1</v>
      </c>
      <c r="I9640">
        <v>0.10047453703703703</v>
      </c>
      <c r="J9640">
        <v>44796</v>
      </c>
    </row>
    <row r="9641" spans="1:10" x14ac:dyDescent="0.35">
      <c r="A9641" s="2">
        <v>44803</v>
      </c>
      <c r="B9641" s="3">
        <v>8.6030092592592589E-2</v>
      </c>
      <c r="C9641">
        <v>7996</v>
      </c>
      <c r="D9641" t="str">
        <f>VLOOKUP(H9641,Produkt!$A$2:$B$5,2,FALSE)</f>
        <v>A</v>
      </c>
      <c r="H9641">
        <v>1</v>
      </c>
      <c r="I9641">
        <v>0.32692129629629629</v>
      </c>
      <c r="J9641">
        <v>44779</v>
      </c>
    </row>
    <row r="9642" spans="1:10" x14ac:dyDescent="0.35">
      <c r="A9642" s="2">
        <v>44803</v>
      </c>
      <c r="B9642" s="3">
        <v>0.52907407407407414</v>
      </c>
      <c r="C9642">
        <v>8007</v>
      </c>
      <c r="D9642" t="str">
        <f>VLOOKUP(H9642,Produkt!$A$2:$B$5,2,FALSE)</f>
        <v>C</v>
      </c>
      <c r="H9642">
        <v>3</v>
      </c>
      <c r="I9642">
        <v>0.21380787037037038</v>
      </c>
      <c r="J9642">
        <v>44775</v>
      </c>
    </row>
    <row r="9643" spans="1:10" x14ac:dyDescent="0.35">
      <c r="A9643" s="2">
        <v>44803</v>
      </c>
      <c r="B9643" s="3">
        <v>2.1087962962962961E-2</v>
      </c>
      <c r="C9643">
        <v>8030</v>
      </c>
      <c r="D9643" t="str">
        <f>VLOOKUP(H9643,Produkt!$A$2:$B$5,2,FALSE)</f>
        <v>B</v>
      </c>
      <c r="H9643">
        <v>2</v>
      </c>
      <c r="I9643">
        <v>0.50598379629629631</v>
      </c>
      <c r="J9643">
        <v>44801</v>
      </c>
    </row>
    <row r="9644" spans="1:10" x14ac:dyDescent="0.35">
      <c r="A9644" s="2">
        <v>44803</v>
      </c>
      <c r="B9644" s="3">
        <v>0.28920138888888891</v>
      </c>
      <c r="C9644">
        <v>8097</v>
      </c>
      <c r="D9644" t="str">
        <f>VLOOKUP(H9644,Produkt!$A$2:$B$5,2,FALSE)</f>
        <v>D</v>
      </c>
      <c r="H9644">
        <v>4</v>
      </c>
      <c r="I9644">
        <v>0.21834490740740742</v>
      </c>
      <c r="J9644">
        <v>44780</v>
      </c>
    </row>
    <row r="9645" spans="1:10" x14ac:dyDescent="0.35">
      <c r="A9645" s="2">
        <v>44803</v>
      </c>
      <c r="B9645" s="3">
        <v>0.42650462962962959</v>
      </c>
      <c r="C9645">
        <v>8144</v>
      </c>
      <c r="D9645" t="str">
        <f>VLOOKUP(H9645,Produkt!$A$2:$B$5,2,FALSE)</f>
        <v>A</v>
      </c>
      <c r="H9645">
        <v>1</v>
      </c>
      <c r="I9645">
        <v>0.35652777777777778</v>
      </c>
      <c r="J9645">
        <v>44789</v>
      </c>
    </row>
    <row r="9646" spans="1:10" x14ac:dyDescent="0.35">
      <c r="A9646" s="2">
        <v>44803</v>
      </c>
      <c r="B9646" s="3">
        <v>0.62597222222222226</v>
      </c>
      <c r="C9646">
        <v>8162</v>
      </c>
      <c r="D9646" t="str">
        <f>VLOOKUP(H9646,Produkt!$A$2:$B$5,2,FALSE)</f>
        <v>D</v>
      </c>
      <c r="H9646">
        <v>4</v>
      </c>
      <c r="I9646">
        <v>0.91385416666666675</v>
      </c>
      <c r="J9646">
        <v>44782</v>
      </c>
    </row>
    <row r="9647" spans="1:10" x14ac:dyDescent="0.35">
      <c r="A9647" s="2">
        <v>44803</v>
      </c>
      <c r="B9647" s="3">
        <v>0.15211805555555555</v>
      </c>
      <c r="C9647">
        <v>8164</v>
      </c>
      <c r="D9647" t="str">
        <f>VLOOKUP(H9647,Produkt!$A$2:$B$5,2,FALSE)</f>
        <v>D</v>
      </c>
      <c r="H9647">
        <v>4</v>
      </c>
      <c r="I9647">
        <v>0.16457175925925926</v>
      </c>
      <c r="J9647">
        <v>44776</v>
      </c>
    </row>
    <row r="9648" spans="1:10" x14ac:dyDescent="0.35">
      <c r="A9648" s="2">
        <v>44803</v>
      </c>
      <c r="B9648" s="3">
        <v>0.34861111111111115</v>
      </c>
      <c r="C9648">
        <v>8198</v>
      </c>
      <c r="D9648" t="str">
        <f>VLOOKUP(H9648,Produkt!$A$2:$B$5,2,FALSE)</f>
        <v>C</v>
      </c>
      <c r="H9648">
        <v>3</v>
      </c>
      <c r="I9648">
        <v>0.52958333333333341</v>
      </c>
      <c r="J9648">
        <v>44798</v>
      </c>
    </row>
    <row r="9649" spans="1:10" x14ac:dyDescent="0.35">
      <c r="A9649" s="2">
        <v>44803</v>
      </c>
      <c r="B9649" s="3">
        <v>0.7371875</v>
      </c>
      <c r="C9649">
        <v>8213</v>
      </c>
      <c r="D9649" t="str">
        <f>VLOOKUP(H9649,Produkt!$A$2:$B$5,2,FALSE)</f>
        <v>A</v>
      </c>
      <c r="H9649">
        <v>1</v>
      </c>
      <c r="I9649">
        <v>0.67961805555555566</v>
      </c>
      <c r="J9649">
        <v>44774</v>
      </c>
    </row>
    <row r="9650" spans="1:10" x14ac:dyDescent="0.35">
      <c r="A9650" s="2">
        <v>44803</v>
      </c>
      <c r="B9650" s="3">
        <v>0.15149305555555556</v>
      </c>
      <c r="C9650">
        <v>8237</v>
      </c>
      <c r="D9650" t="str">
        <f>VLOOKUP(H9650,Produkt!$A$2:$B$5,2,FALSE)</f>
        <v>C</v>
      </c>
      <c r="H9650">
        <v>3</v>
      </c>
      <c r="I9650">
        <v>1.1574074074038876E-5</v>
      </c>
      <c r="J9650">
        <v>44780</v>
      </c>
    </row>
    <row r="9651" spans="1:10" x14ac:dyDescent="0.35">
      <c r="A9651" s="2">
        <v>44803</v>
      </c>
      <c r="B9651" s="3">
        <v>0.22949074074074075</v>
      </c>
      <c r="C9651">
        <v>8302</v>
      </c>
      <c r="D9651" t="str">
        <f>VLOOKUP(H9651,Produkt!$A$2:$B$5,2,FALSE)</f>
        <v>A</v>
      </c>
      <c r="H9651">
        <v>1</v>
      </c>
      <c r="I9651">
        <v>0.26952546296296298</v>
      </c>
      <c r="J9651">
        <v>44785</v>
      </c>
    </row>
    <row r="9652" spans="1:10" x14ac:dyDescent="0.35">
      <c r="A9652" s="2">
        <v>44803</v>
      </c>
      <c r="B9652" s="3">
        <v>0.63390046296296299</v>
      </c>
      <c r="C9652">
        <v>8361</v>
      </c>
      <c r="D9652" t="str">
        <f>VLOOKUP(H9652,Produkt!$A$2:$B$5,2,FALSE)</f>
        <v>A</v>
      </c>
      <c r="H9652">
        <v>1</v>
      </c>
      <c r="I9652">
        <v>0.74861111111111101</v>
      </c>
      <c r="J9652">
        <v>44777</v>
      </c>
    </row>
    <row r="9653" spans="1:10" x14ac:dyDescent="0.35">
      <c r="A9653" s="2">
        <v>44803</v>
      </c>
      <c r="B9653" s="3">
        <v>0.11332175925925925</v>
      </c>
      <c r="C9653">
        <v>8413</v>
      </c>
      <c r="D9653" t="str">
        <f>VLOOKUP(H9653,Produkt!$A$2:$B$5,2,FALSE)</f>
        <v>C</v>
      </c>
      <c r="H9653">
        <v>3</v>
      </c>
      <c r="I9653">
        <v>0.44277777777777777</v>
      </c>
      <c r="J9653">
        <v>44792</v>
      </c>
    </row>
    <row r="9654" spans="1:10" x14ac:dyDescent="0.35">
      <c r="A9654" s="2">
        <v>44803</v>
      </c>
      <c r="B9654" s="3">
        <v>0.60920138888888886</v>
      </c>
      <c r="C9654">
        <v>8440</v>
      </c>
      <c r="D9654" t="str">
        <f>VLOOKUP(H9654,Produkt!$A$2:$B$5,2,FALSE)</f>
        <v>D</v>
      </c>
      <c r="H9654">
        <v>4</v>
      </c>
      <c r="I9654">
        <v>0.6544444444444445</v>
      </c>
      <c r="J9654">
        <v>44804</v>
      </c>
    </row>
    <row r="9655" spans="1:10" x14ac:dyDescent="0.35">
      <c r="A9655" s="2">
        <v>44803</v>
      </c>
      <c r="B9655" s="3">
        <v>0.59348379629629633</v>
      </c>
      <c r="C9655">
        <v>8444</v>
      </c>
      <c r="D9655" t="str">
        <f>VLOOKUP(H9655,Produkt!$A$2:$B$5,2,FALSE)</f>
        <v>B</v>
      </c>
      <c r="H9655">
        <v>2</v>
      </c>
      <c r="I9655">
        <v>0.10421296296296297</v>
      </c>
      <c r="J9655">
        <v>44798</v>
      </c>
    </row>
    <row r="9656" spans="1:10" x14ac:dyDescent="0.35">
      <c r="A9656" s="2">
        <v>44803</v>
      </c>
      <c r="B9656" s="3">
        <v>0.62009259259259253</v>
      </c>
      <c r="C9656">
        <v>8471</v>
      </c>
      <c r="D9656" t="str">
        <f>VLOOKUP(H9656,Produkt!$A$2:$B$5,2,FALSE)</f>
        <v>D</v>
      </c>
      <c r="H9656">
        <v>4</v>
      </c>
      <c r="I9656">
        <v>0.82483796296296286</v>
      </c>
      <c r="J9656">
        <v>44800</v>
      </c>
    </row>
    <row r="9657" spans="1:10" x14ac:dyDescent="0.35">
      <c r="A9657" s="2">
        <v>44803</v>
      </c>
      <c r="B9657" s="3">
        <v>0.79967592592592596</v>
      </c>
      <c r="C9657">
        <v>8599</v>
      </c>
      <c r="D9657" t="str">
        <f>VLOOKUP(H9657,Produkt!$A$2:$B$5,2,FALSE)</f>
        <v>C</v>
      </c>
      <c r="H9657">
        <v>3</v>
      </c>
      <c r="I9657">
        <v>0.43920138888888888</v>
      </c>
      <c r="J9657">
        <v>44793</v>
      </c>
    </row>
    <row r="9658" spans="1:10" x14ac:dyDescent="0.35">
      <c r="A9658" s="2">
        <v>44803</v>
      </c>
      <c r="B9658" s="3">
        <v>1.9386574074074181E-2</v>
      </c>
      <c r="C9658">
        <v>8643</v>
      </c>
      <c r="D9658" t="str">
        <f>VLOOKUP(H9658,Produkt!$A$2:$B$5,2,FALSE)</f>
        <v>C</v>
      </c>
      <c r="H9658">
        <v>3</v>
      </c>
      <c r="I9658">
        <v>0.46909722222222222</v>
      </c>
      <c r="J9658">
        <v>44785</v>
      </c>
    </row>
    <row r="9659" spans="1:10" x14ac:dyDescent="0.35">
      <c r="A9659" s="2">
        <v>44803</v>
      </c>
      <c r="B9659" s="3">
        <v>2.4768518518518516E-3</v>
      </c>
      <c r="C9659">
        <v>8666</v>
      </c>
      <c r="D9659" t="str">
        <f>VLOOKUP(H9659,Produkt!$A$2:$B$5,2,FALSE)</f>
        <v>C</v>
      </c>
      <c r="H9659">
        <v>3</v>
      </c>
      <c r="I9659">
        <v>0.54387731481481483</v>
      </c>
      <c r="J9659">
        <v>44789</v>
      </c>
    </row>
    <row r="9660" spans="1:10" x14ac:dyDescent="0.35">
      <c r="A9660" s="2">
        <v>44803</v>
      </c>
      <c r="B9660" s="3">
        <v>0.54859953703703701</v>
      </c>
      <c r="C9660">
        <v>8717</v>
      </c>
      <c r="D9660" t="str">
        <f>VLOOKUP(H9660,Produkt!$A$2:$B$5,2,FALSE)</f>
        <v>C</v>
      </c>
      <c r="H9660">
        <v>3</v>
      </c>
      <c r="I9660">
        <v>0.47811342592592593</v>
      </c>
      <c r="J9660">
        <v>44803</v>
      </c>
    </row>
    <row r="9661" spans="1:10" x14ac:dyDescent="0.35">
      <c r="A9661" s="2">
        <v>44803</v>
      </c>
      <c r="B9661" s="3">
        <v>0.73055555555555562</v>
      </c>
      <c r="C9661">
        <v>8838</v>
      </c>
      <c r="D9661" t="str">
        <f>VLOOKUP(H9661,Produkt!$A$2:$B$5,2,FALSE)</f>
        <v>B</v>
      </c>
      <c r="H9661">
        <v>2</v>
      </c>
      <c r="I9661">
        <v>0.38520833333333332</v>
      </c>
      <c r="J9661">
        <v>44797</v>
      </c>
    </row>
    <row r="9662" spans="1:10" x14ac:dyDescent="0.35">
      <c r="A9662" s="2">
        <v>44803</v>
      </c>
      <c r="B9662" s="3">
        <v>0.76666666666666661</v>
      </c>
      <c r="C9662">
        <v>8882</v>
      </c>
      <c r="D9662" t="str">
        <f>VLOOKUP(H9662,Produkt!$A$2:$B$5,2,FALSE)</f>
        <v>C</v>
      </c>
      <c r="H9662">
        <v>3</v>
      </c>
      <c r="I9662">
        <v>0.30861111111111111</v>
      </c>
      <c r="J9662">
        <v>44796</v>
      </c>
    </row>
    <row r="9663" spans="1:10" x14ac:dyDescent="0.35">
      <c r="A9663" s="2">
        <v>44803</v>
      </c>
      <c r="B9663" s="3">
        <v>1.3321759259259261E-2</v>
      </c>
      <c r="C9663">
        <v>8924</v>
      </c>
      <c r="D9663" t="str">
        <f>VLOOKUP(H9663,Produkt!$A$2:$B$5,2,FALSE)</f>
        <v>B</v>
      </c>
      <c r="H9663">
        <v>2</v>
      </c>
      <c r="I9663">
        <v>5.0208333333333334E-2</v>
      </c>
      <c r="J9663">
        <v>44802</v>
      </c>
    </row>
    <row r="9664" spans="1:10" x14ac:dyDescent="0.35">
      <c r="A9664" s="2">
        <v>44803</v>
      </c>
      <c r="B9664" s="3">
        <v>0.16762731481481483</v>
      </c>
      <c r="C9664">
        <v>8929</v>
      </c>
      <c r="D9664" t="str">
        <f>VLOOKUP(H9664,Produkt!$A$2:$B$5,2,FALSE)</f>
        <v>D</v>
      </c>
      <c r="H9664">
        <v>4</v>
      </c>
      <c r="I9664">
        <v>0.37171296296296297</v>
      </c>
      <c r="J9664">
        <v>44779</v>
      </c>
    </row>
    <row r="9665" spans="1:10" x14ac:dyDescent="0.35">
      <c r="A9665" s="2">
        <v>44803</v>
      </c>
      <c r="B9665" s="3">
        <v>0.31521990740740741</v>
      </c>
      <c r="C9665">
        <v>8980</v>
      </c>
      <c r="D9665" t="str">
        <f>VLOOKUP(H9665,Produkt!$A$2:$B$5,2,FALSE)</f>
        <v>A</v>
      </c>
      <c r="H9665">
        <v>1</v>
      </c>
      <c r="I9665">
        <v>0.50055555555555553</v>
      </c>
      <c r="J9665">
        <v>44781</v>
      </c>
    </row>
    <row r="9666" spans="1:10" x14ac:dyDescent="0.35">
      <c r="A9666" s="2">
        <v>44803</v>
      </c>
      <c r="B9666" s="3">
        <v>0.98348379629629623</v>
      </c>
      <c r="C9666">
        <v>8987</v>
      </c>
      <c r="D9666" t="str">
        <f>VLOOKUP(H9666,Produkt!$A$2:$B$5,2,FALSE)</f>
        <v>C</v>
      </c>
      <c r="H9666">
        <v>3</v>
      </c>
      <c r="I9666">
        <v>0.63164351851851852</v>
      </c>
      <c r="J9666">
        <v>44804</v>
      </c>
    </row>
    <row r="9667" spans="1:10" x14ac:dyDescent="0.35">
      <c r="A9667" s="2">
        <v>44803</v>
      </c>
      <c r="B9667" s="3">
        <v>0.15518518518518518</v>
      </c>
      <c r="C9667">
        <v>9011</v>
      </c>
      <c r="D9667" t="str">
        <f>VLOOKUP(H9667,Produkt!$A$2:$B$5,2,FALSE)</f>
        <v>A</v>
      </c>
      <c r="H9667">
        <v>1</v>
      </c>
      <c r="I9667">
        <v>0.79155092592592602</v>
      </c>
      <c r="J9667">
        <v>44787</v>
      </c>
    </row>
    <row r="9668" spans="1:10" x14ac:dyDescent="0.35">
      <c r="A9668" s="2">
        <v>44803</v>
      </c>
      <c r="B9668" s="3">
        <v>0.47641203703703705</v>
      </c>
      <c r="C9668">
        <v>9050</v>
      </c>
      <c r="D9668" t="str">
        <f>VLOOKUP(H9668,Produkt!$A$2:$B$5,2,FALSE)</f>
        <v>A</v>
      </c>
      <c r="H9668">
        <v>1</v>
      </c>
      <c r="I9668">
        <v>9.5729166666666657E-2</v>
      </c>
      <c r="J9668">
        <v>44775</v>
      </c>
    </row>
    <row r="9669" spans="1:10" x14ac:dyDescent="0.35">
      <c r="A9669" s="2">
        <v>44803</v>
      </c>
      <c r="B9669" s="3">
        <v>0.12383101851851852</v>
      </c>
      <c r="C9669">
        <v>9110</v>
      </c>
      <c r="D9669" t="str">
        <f>VLOOKUP(H9669,Produkt!$A$2:$B$5,2,FALSE)</f>
        <v>C</v>
      </c>
      <c r="H9669">
        <v>3</v>
      </c>
      <c r="I9669">
        <v>0.43824074074074071</v>
      </c>
      <c r="J9669">
        <v>44797</v>
      </c>
    </row>
    <row r="9670" spans="1:10" x14ac:dyDescent="0.35">
      <c r="A9670" s="2">
        <v>44803</v>
      </c>
      <c r="B9670" s="3">
        <v>0.22364583333333332</v>
      </c>
      <c r="C9670">
        <v>9177</v>
      </c>
      <c r="D9670" t="str">
        <f>VLOOKUP(H9670,Produkt!$A$2:$B$5,2,FALSE)</f>
        <v>C</v>
      </c>
      <c r="H9670">
        <v>3</v>
      </c>
      <c r="I9670">
        <v>0.35583333333333328</v>
      </c>
      <c r="J9670">
        <v>44801</v>
      </c>
    </row>
    <row r="9671" spans="1:10" x14ac:dyDescent="0.35">
      <c r="A9671" s="2">
        <v>44803</v>
      </c>
      <c r="B9671" s="3">
        <v>0.78711805555555558</v>
      </c>
      <c r="C9671">
        <v>9206</v>
      </c>
      <c r="D9671" t="str">
        <f>VLOOKUP(H9671,Produkt!$A$2:$B$5,2,FALSE)</f>
        <v>D</v>
      </c>
      <c r="H9671">
        <v>4</v>
      </c>
      <c r="I9671">
        <v>5.2314814814813371E-3</v>
      </c>
      <c r="J9671">
        <v>44800</v>
      </c>
    </row>
    <row r="9672" spans="1:10" x14ac:dyDescent="0.35">
      <c r="A9672" s="2">
        <v>44803</v>
      </c>
      <c r="B9672" s="3">
        <v>0.19354166666666664</v>
      </c>
      <c r="C9672">
        <v>9215</v>
      </c>
      <c r="D9672" t="str">
        <f>VLOOKUP(H9672,Produkt!$A$2:$B$5,2,FALSE)</f>
        <v>C</v>
      </c>
      <c r="H9672">
        <v>3</v>
      </c>
      <c r="I9672">
        <v>0.50528935185185186</v>
      </c>
      <c r="J9672">
        <v>44781</v>
      </c>
    </row>
    <row r="9673" spans="1:10" x14ac:dyDescent="0.35">
      <c r="A9673" s="2">
        <v>44803</v>
      </c>
      <c r="B9673" s="3">
        <v>3.9444444444444393E-2</v>
      </c>
      <c r="C9673">
        <v>9217</v>
      </c>
      <c r="D9673" t="str">
        <f>VLOOKUP(H9673,Produkt!$A$2:$B$5,2,FALSE)</f>
        <v>A</v>
      </c>
      <c r="H9673">
        <v>1</v>
      </c>
      <c r="I9673">
        <v>0.16938657407407409</v>
      </c>
      <c r="J9673">
        <v>44775</v>
      </c>
    </row>
    <row r="9674" spans="1:10" x14ac:dyDescent="0.35">
      <c r="A9674" s="2">
        <v>44803</v>
      </c>
      <c r="B9674" s="3">
        <v>0.68769675925925933</v>
      </c>
      <c r="C9674">
        <v>9218</v>
      </c>
      <c r="D9674" t="str">
        <f>VLOOKUP(H9674,Produkt!$A$2:$B$5,2,FALSE)</f>
        <v>A</v>
      </c>
      <c r="H9674">
        <v>1</v>
      </c>
      <c r="I9674">
        <v>0.82564814814814813</v>
      </c>
      <c r="J9674">
        <v>44787</v>
      </c>
    </row>
    <row r="9675" spans="1:10" x14ac:dyDescent="0.35">
      <c r="A9675" s="2">
        <v>44803</v>
      </c>
      <c r="B9675" s="3">
        <v>3.4166666666666672E-2</v>
      </c>
      <c r="C9675">
        <v>9276</v>
      </c>
      <c r="D9675" t="str">
        <f>VLOOKUP(H9675,Produkt!$A$2:$B$5,2,FALSE)</f>
        <v>D</v>
      </c>
      <c r="H9675">
        <v>4</v>
      </c>
      <c r="I9675">
        <v>0.76460648148148147</v>
      </c>
      <c r="J9675">
        <v>44788</v>
      </c>
    </row>
    <row r="9676" spans="1:10" x14ac:dyDescent="0.35">
      <c r="A9676" s="2">
        <v>44803</v>
      </c>
      <c r="B9676" s="3">
        <v>0.27673611111111113</v>
      </c>
      <c r="C9676">
        <v>9288</v>
      </c>
      <c r="D9676" t="str">
        <f>VLOOKUP(H9676,Produkt!$A$2:$B$5,2,FALSE)</f>
        <v>D</v>
      </c>
      <c r="H9676">
        <v>4</v>
      </c>
      <c r="I9676">
        <v>0.9006249999999999</v>
      </c>
      <c r="J9676">
        <v>44804</v>
      </c>
    </row>
    <row r="9677" spans="1:10" x14ac:dyDescent="0.35">
      <c r="A9677" s="2">
        <v>44803</v>
      </c>
      <c r="B9677" s="3">
        <v>0.78806712962962966</v>
      </c>
      <c r="C9677">
        <v>9305</v>
      </c>
      <c r="D9677" t="str">
        <f>VLOOKUP(H9677,Produkt!$A$2:$B$5,2,FALSE)</f>
        <v>D</v>
      </c>
      <c r="H9677">
        <v>4</v>
      </c>
      <c r="I9677">
        <v>0.51761574074074079</v>
      </c>
      <c r="J9677">
        <v>44782</v>
      </c>
    </row>
    <row r="9678" spans="1:10" x14ac:dyDescent="0.35">
      <c r="A9678" s="2">
        <v>44803</v>
      </c>
      <c r="B9678" s="3">
        <v>0.54401620370370374</v>
      </c>
      <c r="C9678">
        <v>9470</v>
      </c>
      <c r="D9678" t="str">
        <f>VLOOKUP(H9678,Produkt!$A$2:$B$5,2,FALSE)</f>
        <v>B</v>
      </c>
      <c r="H9678">
        <v>2</v>
      </c>
      <c r="I9678">
        <v>0.59490740740740744</v>
      </c>
      <c r="J9678">
        <v>44786</v>
      </c>
    </row>
    <row r="9679" spans="1:10" x14ac:dyDescent="0.35">
      <c r="A9679" s="2">
        <v>44803</v>
      </c>
      <c r="B9679" s="3">
        <v>0.16935185185185186</v>
      </c>
      <c r="C9679">
        <v>9480</v>
      </c>
      <c r="D9679" t="str">
        <f>VLOOKUP(H9679,Produkt!$A$2:$B$5,2,FALSE)</f>
        <v>C</v>
      </c>
      <c r="H9679">
        <v>3</v>
      </c>
      <c r="I9679">
        <v>0.18535879629629629</v>
      </c>
      <c r="J9679">
        <v>44800</v>
      </c>
    </row>
    <row r="9680" spans="1:10" x14ac:dyDescent="0.35">
      <c r="A9680" s="2">
        <v>44803</v>
      </c>
      <c r="B9680" s="3">
        <v>0.13616898148148149</v>
      </c>
      <c r="C9680">
        <v>9488</v>
      </c>
      <c r="D9680" t="str">
        <f>VLOOKUP(H9680,Produkt!$A$2:$B$5,2,FALSE)</f>
        <v>C</v>
      </c>
      <c r="H9680">
        <v>3</v>
      </c>
      <c r="I9680">
        <v>0.50059027777777776</v>
      </c>
      <c r="J9680">
        <v>44785</v>
      </c>
    </row>
    <row r="9681" spans="1:10" x14ac:dyDescent="0.35">
      <c r="A9681" s="2">
        <v>44803</v>
      </c>
      <c r="B9681" s="3">
        <v>0.67686342592592597</v>
      </c>
      <c r="C9681">
        <v>9522</v>
      </c>
      <c r="D9681" t="str">
        <f>VLOOKUP(H9681,Produkt!$A$2:$B$5,2,FALSE)</f>
        <v>A</v>
      </c>
      <c r="H9681">
        <v>1</v>
      </c>
      <c r="I9681">
        <v>0.85648148148148151</v>
      </c>
      <c r="J9681">
        <v>44796</v>
      </c>
    </row>
    <row r="9682" spans="1:10" x14ac:dyDescent="0.35">
      <c r="A9682" s="2">
        <v>44803</v>
      </c>
      <c r="B9682" s="3">
        <v>0.63408564814814816</v>
      </c>
      <c r="C9682">
        <v>9529</v>
      </c>
      <c r="D9682" t="str">
        <f>VLOOKUP(H9682,Produkt!$A$2:$B$5,2,FALSE)</f>
        <v>A</v>
      </c>
      <c r="H9682">
        <v>1</v>
      </c>
      <c r="I9682">
        <v>0.81042824074074071</v>
      </c>
      <c r="J9682">
        <v>44804</v>
      </c>
    </row>
    <row r="9683" spans="1:10" x14ac:dyDescent="0.35">
      <c r="A9683" s="2">
        <v>44803</v>
      </c>
      <c r="B9683" s="3">
        <v>5.4699074074074074E-2</v>
      </c>
      <c r="C9683">
        <v>9539</v>
      </c>
      <c r="D9683" t="str">
        <f>VLOOKUP(H9683,Produkt!$A$2:$B$5,2,FALSE)</f>
        <v>B</v>
      </c>
      <c r="H9683">
        <v>2</v>
      </c>
      <c r="I9683">
        <v>0.49965277777777778</v>
      </c>
      <c r="J9683">
        <v>44778</v>
      </c>
    </row>
    <row r="9684" spans="1:10" x14ac:dyDescent="0.35">
      <c r="A9684" s="2">
        <v>44803</v>
      </c>
      <c r="B9684" s="3">
        <v>0.79656249999999995</v>
      </c>
      <c r="C9684">
        <v>9555</v>
      </c>
      <c r="D9684" t="str">
        <f>VLOOKUP(H9684,Produkt!$A$2:$B$5,2,FALSE)</f>
        <v>D</v>
      </c>
      <c r="H9684">
        <v>4</v>
      </c>
      <c r="I9684">
        <v>0.67353009259259267</v>
      </c>
      <c r="J9684">
        <v>44785</v>
      </c>
    </row>
    <row r="9685" spans="1:10" x14ac:dyDescent="0.35">
      <c r="A9685" s="2">
        <v>44803</v>
      </c>
      <c r="B9685" s="3">
        <v>0.40237268518518521</v>
      </c>
      <c r="C9685">
        <v>9560</v>
      </c>
      <c r="D9685" t="str">
        <f>VLOOKUP(H9685,Produkt!$A$2:$B$5,2,FALSE)</f>
        <v>D</v>
      </c>
      <c r="H9685">
        <v>4</v>
      </c>
      <c r="I9685">
        <v>0.6589814814814815</v>
      </c>
      <c r="J9685">
        <v>44800</v>
      </c>
    </row>
    <row r="9686" spans="1:10" x14ac:dyDescent="0.35">
      <c r="A9686" s="2">
        <v>44803</v>
      </c>
      <c r="B9686" s="3">
        <v>0.47811342592592593</v>
      </c>
      <c r="C9686">
        <v>9659</v>
      </c>
      <c r="D9686" t="str">
        <f>VLOOKUP(H9686,Produkt!$A$2:$B$5,2,FALSE)</f>
        <v>B</v>
      </c>
      <c r="H9686">
        <v>2</v>
      </c>
      <c r="I9686">
        <v>0.34476851851851853</v>
      </c>
      <c r="J9686">
        <v>44804</v>
      </c>
    </row>
    <row r="9687" spans="1:10" x14ac:dyDescent="0.35">
      <c r="A9687" s="2">
        <v>44803</v>
      </c>
      <c r="B9687" s="3">
        <v>0.64515046296296297</v>
      </c>
      <c r="C9687">
        <v>9686</v>
      </c>
      <c r="D9687" t="str">
        <f>VLOOKUP(H9687,Produkt!$A$2:$B$5,2,FALSE)</f>
        <v>C</v>
      </c>
      <c r="H9687">
        <v>3</v>
      </c>
      <c r="I9687">
        <v>0.64515046296296297</v>
      </c>
      <c r="J9687">
        <v>44786</v>
      </c>
    </row>
    <row r="9688" spans="1:10" x14ac:dyDescent="0.35">
      <c r="A9688" s="2">
        <v>44803</v>
      </c>
      <c r="B9688" s="3">
        <v>0.41641203703703705</v>
      </c>
      <c r="C9688">
        <v>9734</v>
      </c>
      <c r="D9688" t="str">
        <f>VLOOKUP(H9688,Produkt!$A$2:$B$5,2,FALSE)</f>
        <v>B</v>
      </c>
      <c r="H9688">
        <v>2</v>
      </c>
      <c r="I9688">
        <v>0.32555555555555554</v>
      </c>
      <c r="J9688">
        <v>44802</v>
      </c>
    </row>
    <row r="9689" spans="1:10" x14ac:dyDescent="0.35">
      <c r="A9689" s="2">
        <v>44803</v>
      </c>
      <c r="B9689" s="3">
        <v>0.72189814814814823</v>
      </c>
      <c r="C9689">
        <v>9792</v>
      </c>
      <c r="D9689" t="str">
        <f>VLOOKUP(H9689,Produkt!$A$2:$B$5,2,FALSE)</f>
        <v>C</v>
      </c>
      <c r="H9689">
        <v>3</v>
      </c>
      <c r="I9689">
        <v>6.5543981481481481E-2</v>
      </c>
      <c r="J9689">
        <v>44796</v>
      </c>
    </row>
    <row r="9690" spans="1:10" x14ac:dyDescent="0.35">
      <c r="A9690" s="2">
        <v>44803</v>
      </c>
      <c r="B9690" s="3">
        <v>0.68274305555555559</v>
      </c>
      <c r="C9690">
        <v>9831</v>
      </c>
      <c r="D9690" t="str">
        <f>VLOOKUP(H9690,Produkt!$A$2:$B$5,2,FALSE)</f>
        <v>C</v>
      </c>
      <c r="H9690">
        <v>3</v>
      </c>
      <c r="I9690">
        <v>4.0231481481481479E-2</v>
      </c>
      <c r="J9690">
        <v>44783</v>
      </c>
    </row>
    <row r="9691" spans="1:10" x14ac:dyDescent="0.35">
      <c r="A9691" s="2">
        <v>44803</v>
      </c>
      <c r="B9691" s="3">
        <v>0.96908564814814813</v>
      </c>
      <c r="C9691">
        <v>9888</v>
      </c>
      <c r="D9691" t="str">
        <f>VLOOKUP(H9691,Produkt!$A$2:$B$5,2,FALSE)</f>
        <v>C</v>
      </c>
      <c r="H9691">
        <v>3</v>
      </c>
      <c r="I9691">
        <v>0.22555555555555554</v>
      </c>
      <c r="J9691">
        <v>44777</v>
      </c>
    </row>
    <row r="9692" spans="1:10" x14ac:dyDescent="0.35">
      <c r="A9692" s="2">
        <v>44803</v>
      </c>
      <c r="B9692" s="3">
        <v>0.49116898148148147</v>
      </c>
      <c r="C9692">
        <v>9897</v>
      </c>
      <c r="D9692" t="str">
        <f>VLOOKUP(H9692,Produkt!$A$2:$B$5,2,FALSE)</f>
        <v>D</v>
      </c>
      <c r="H9692">
        <v>4</v>
      </c>
      <c r="I9692">
        <v>0.96648148148148139</v>
      </c>
      <c r="J9692">
        <v>44776</v>
      </c>
    </row>
    <row r="9693" spans="1:10" x14ac:dyDescent="0.35">
      <c r="A9693" s="2">
        <v>44803</v>
      </c>
      <c r="B9693" s="3">
        <v>0.30774305555555553</v>
      </c>
      <c r="C9693">
        <v>9968</v>
      </c>
      <c r="D9693" t="str">
        <f>VLOOKUP(H9693,Produkt!$A$2:$B$5,2,FALSE)</f>
        <v>A</v>
      </c>
      <c r="H9693">
        <v>1</v>
      </c>
      <c r="I9693">
        <v>0.95002314814814814</v>
      </c>
      <c r="J9693">
        <v>44790</v>
      </c>
    </row>
    <row r="9694" spans="1:10" x14ac:dyDescent="0.35">
      <c r="A9694" s="2">
        <v>44804</v>
      </c>
      <c r="B9694" s="3">
        <v>7.5590277777777784E-2</v>
      </c>
      <c r="C9694">
        <v>25</v>
      </c>
      <c r="D9694" t="str">
        <f>VLOOKUP(H9694,Produkt!$A$2:$B$5,2,FALSE)</f>
        <v>B</v>
      </c>
      <c r="H9694">
        <v>2</v>
      </c>
      <c r="I9694">
        <v>0.80701388888888881</v>
      </c>
      <c r="J9694">
        <v>44801</v>
      </c>
    </row>
    <row r="9695" spans="1:10" x14ac:dyDescent="0.35">
      <c r="A9695" s="2">
        <v>44804</v>
      </c>
      <c r="B9695" s="3">
        <v>0.50893518518518521</v>
      </c>
      <c r="C9695">
        <v>31</v>
      </c>
      <c r="D9695" t="str">
        <f>VLOOKUP(H9695,Produkt!$A$2:$B$5,2,FALSE)</f>
        <v>B</v>
      </c>
      <c r="H9695">
        <v>2</v>
      </c>
      <c r="I9695">
        <v>0.87359953703703708</v>
      </c>
      <c r="J9695">
        <v>44801</v>
      </c>
    </row>
    <row r="9696" spans="1:10" x14ac:dyDescent="0.35">
      <c r="A9696" s="2">
        <v>44804</v>
      </c>
      <c r="B9696" s="3">
        <v>2.4259259259259258E-2</v>
      </c>
      <c r="C9696">
        <v>135</v>
      </c>
      <c r="D9696" t="str">
        <f>VLOOKUP(H9696,Produkt!$A$2:$B$5,2,FALSE)</f>
        <v>A</v>
      </c>
      <c r="H9696">
        <v>1</v>
      </c>
      <c r="I9696">
        <v>0.49269675925925926</v>
      </c>
      <c r="J9696">
        <v>44792</v>
      </c>
    </row>
    <row r="9697" spans="1:10" x14ac:dyDescent="0.35">
      <c r="A9697" s="2">
        <v>44804</v>
      </c>
      <c r="B9697" s="3">
        <v>0.10559027777777778</v>
      </c>
      <c r="C9697">
        <v>232</v>
      </c>
      <c r="D9697" t="str">
        <f>VLOOKUP(H9697,Produkt!$A$2:$B$5,2,FALSE)</f>
        <v>D</v>
      </c>
      <c r="H9697">
        <v>4</v>
      </c>
      <c r="I9697">
        <v>1.0185185185185297E-3</v>
      </c>
      <c r="J9697">
        <v>44787</v>
      </c>
    </row>
    <row r="9698" spans="1:10" x14ac:dyDescent="0.35">
      <c r="A9698" s="2">
        <v>44804</v>
      </c>
      <c r="B9698" s="3">
        <v>0.46263888888888888</v>
      </c>
      <c r="C9698">
        <v>293</v>
      </c>
      <c r="D9698" t="str">
        <f>VLOOKUP(H9698,Produkt!$A$2:$B$5,2,FALSE)</f>
        <v>B</v>
      </c>
      <c r="H9698">
        <v>2</v>
      </c>
      <c r="I9698">
        <v>0.47255787037037034</v>
      </c>
      <c r="J9698">
        <v>44785</v>
      </c>
    </row>
    <row r="9699" spans="1:10" x14ac:dyDescent="0.35">
      <c r="A9699" s="2">
        <v>44804</v>
      </c>
      <c r="B9699" s="3">
        <v>0.9240624999999999</v>
      </c>
      <c r="C9699">
        <v>302</v>
      </c>
      <c r="D9699" t="str">
        <f>VLOOKUP(H9699,Produkt!$A$2:$B$5,2,FALSE)</f>
        <v>D</v>
      </c>
      <c r="H9699">
        <v>4</v>
      </c>
      <c r="I9699">
        <v>0.41388888888888892</v>
      </c>
      <c r="J9699">
        <v>44798</v>
      </c>
    </row>
    <row r="9700" spans="1:10" x14ac:dyDescent="0.35">
      <c r="A9700" s="2">
        <v>44804</v>
      </c>
      <c r="B9700" s="3">
        <v>0.90476851851851858</v>
      </c>
      <c r="C9700">
        <v>307</v>
      </c>
      <c r="D9700" t="str">
        <f>VLOOKUP(H9700,Produkt!$A$2:$B$5,2,FALSE)</f>
        <v>D</v>
      </c>
      <c r="H9700">
        <v>4</v>
      </c>
      <c r="I9700">
        <v>0.51302083333333337</v>
      </c>
      <c r="J9700">
        <v>44788</v>
      </c>
    </row>
    <row r="9701" spans="1:10" x14ac:dyDescent="0.35">
      <c r="A9701" s="2">
        <v>44804</v>
      </c>
      <c r="B9701" s="3">
        <v>0.18670138888888888</v>
      </c>
      <c r="C9701">
        <v>331</v>
      </c>
      <c r="D9701" t="str">
        <f>VLOOKUP(H9701,Produkt!$A$2:$B$5,2,FALSE)</f>
        <v>C</v>
      </c>
      <c r="H9701">
        <v>3</v>
      </c>
      <c r="I9701">
        <v>0.21420138888888887</v>
      </c>
      <c r="J9701">
        <v>44777</v>
      </c>
    </row>
    <row r="9702" spans="1:10" x14ac:dyDescent="0.35">
      <c r="A9702" s="2">
        <v>44804</v>
      </c>
      <c r="B9702" s="3">
        <v>0.90575231481481477</v>
      </c>
      <c r="C9702">
        <v>385</v>
      </c>
      <c r="D9702" t="str">
        <f>VLOOKUP(H9702,Produkt!$A$2:$B$5,2,FALSE)</f>
        <v>A</v>
      </c>
      <c r="H9702">
        <v>1</v>
      </c>
      <c r="I9702">
        <v>0.44462962962962965</v>
      </c>
      <c r="J9702">
        <v>44799</v>
      </c>
    </row>
    <row r="9703" spans="1:10" x14ac:dyDescent="0.35">
      <c r="A9703" s="2">
        <v>44804</v>
      </c>
      <c r="B9703" s="3">
        <v>0.80962962962962959</v>
      </c>
      <c r="C9703">
        <v>393</v>
      </c>
      <c r="D9703" t="str">
        <f>VLOOKUP(H9703,Produkt!$A$2:$B$5,2,FALSE)</f>
        <v>C</v>
      </c>
      <c r="H9703">
        <v>3</v>
      </c>
      <c r="I9703">
        <v>0.46137731481481481</v>
      </c>
      <c r="J9703">
        <v>44783</v>
      </c>
    </row>
    <row r="9704" spans="1:10" x14ac:dyDescent="0.35">
      <c r="A9704" s="2">
        <v>44804</v>
      </c>
      <c r="B9704" s="3">
        <v>0.37778935185185186</v>
      </c>
      <c r="C9704">
        <v>409</v>
      </c>
      <c r="D9704" t="str">
        <f>VLOOKUP(H9704,Produkt!$A$2:$B$5,2,FALSE)</f>
        <v>C</v>
      </c>
      <c r="H9704">
        <v>3</v>
      </c>
      <c r="I9704">
        <v>0.10716435185185186</v>
      </c>
      <c r="J9704">
        <v>44783</v>
      </c>
    </row>
    <row r="9705" spans="1:10" x14ac:dyDescent="0.35">
      <c r="A9705" s="2">
        <v>44804</v>
      </c>
      <c r="B9705" s="3">
        <v>0.92252314814814806</v>
      </c>
      <c r="C9705">
        <v>434</v>
      </c>
      <c r="D9705" t="str">
        <f>VLOOKUP(H9705,Produkt!$A$2:$B$5,2,FALSE)</f>
        <v>A</v>
      </c>
      <c r="H9705">
        <v>1</v>
      </c>
      <c r="I9705">
        <v>0.51031250000000006</v>
      </c>
      <c r="J9705">
        <v>44801</v>
      </c>
    </row>
    <row r="9706" spans="1:10" x14ac:dyDescent="0.35">
      <c r="A9706" s="2">
        <v>44804</v>
      </c>
      <c r="B9706" s="3">
        <v>0.22035879629629629</v>
      </c>
      <c r="C9706">
        <v>498</v>
      </c>
      <c r="D9706" t="str">
        <f>VLOOKUP(H9706,Produkt!$A$2:$B$5,2,FALSE)</f>
        <v>B</v>
      </c>
      <c r="H9706">
        <v>2</v>
      </c>
      <c r="I9706">
        <v>0.84063657407407411</v>
      </c>
      <c r="J9706">
        <v>44791</v>
      </c>
    </row>
    <row r="9707" spans="1:10" x14ac:dyDescent="0.35">
      <c r="A9707" s="2">
        <v>44804</v>
      </c>
      <c r="B9707" s="3">
        <v>2.9166666666666664E-2</v>
      </c>
      <c r="C9707">
        <v>550</v>
      </c>
      <c r="D9707" t="str">
        <f>VLOOKUP(H9707,Produkt!$A$2:$B$5,2,FALSE)</f>
        <v>A</v>
      </c>
      <c r="H9707">
        <v>1</v>
      </c>
      <c r="I9707">
        <v>0.10037037037037037</v>
      </c>
      <c r="J9707">
        <v>44780</v>
      </c>
    </row>
    <row r="9708" spans="1:10" x14ac:dyDescent="0.35">
      <c r="A9708" s="2">
        <v>44804</v>
      </c>
      <c r="B9708" s="3">
        <v>0.35371527777777773</v>
      </c>
      <c r="C9708">
        <v>563</v>
      </c>
      <c r="D9708" t="str">
        <f>VLOOKUP(H9708,Produkt!$A$2:$B$5,2,FALSE)</f>
        <v>A</v>
      </c>
      <c r="H9708">
        <v>1</v>
      </c>
      <c r="I9708">
        <v>0.62813657407407408</v>
      </c>
      <c r="J9708">
        <v>44799</v>
      </c>
    </row>
    <row r="9709" spans="1:10" x14ac:dyDescent="0.35">
      <c r="A9709" s="2">
        <v>44804</v>
      </c>
      <c r="B9709" s="3">
        <v>0.60545138888888894</v>
      </c>
      <c r="C9709">
        <v>574</v>
      </c>
      <c r="D9709" t="str">
        <f>VLOOKUP(H9709,Produkt!$A$2:$B$5,2,FALSE)</f>
        <v>C</v>
      </c>
      <c r="H9709">
        <v>3</v>
      </c>
      <c r="I9709">
        <v>0.36096064814814816</v>
      </c>
      <c r="J9709">
        <v>44783</v>
      </c>
    </row>
    <row r="9710" spans="1:10" x14ac:dyDescent="0.35">
      <c r="A9710" s="2">
        <v>44804</v>
      </c>
      <c r="B9710" s="3">
        <v>0.22406250000000003</v>
      </c>
      <c r="C9710">
        <v>589</v>
      </c>
      <c r="D9710" t="str">
        <f>VLOOKUP(H9710,Produkt!$A$2:$B$5,2,FALSE)</f>
        <v>B</v>
      </c>
      <c r="H9710">
        <v>2</v>
      </c>
      <c r="I9710">
        <v>0.52973379629629636</v>
      </c>
      <c r="J9710">
        <v>44784</v>
      </c>
    </row>
    <row r="9711" spans="1:10" x14ac:dyDescent="0.35">
      <c r="A9711" s="2">
        <v>44804</v>
      </c>
      <c r="B9711" s="3">
        <v>7.4629629629629629E-2</v>
      </c>
      <c r="C9711">
        <v>735</v>
      </c>
      <c r="D9711" t="str">
        <f>VLOOKUP(H9711,Produkt!$A$2:$B$5,2,FALSE)</f>
        <v>D</v>
      </c>
      <c r="H9711">
        <v>4</v>
      </c>
      <c r="I9711">
        <v>5.65162037037037E-2</v>
      </c>
      <c r="J9711">
        <v>44804</v>
      </c>
    </row>
    <row r="9712" spans="1:10" x14ac:dyDescent="0.35">
      <c r="A9712" s="2">
        <v>44804</v>
      </c>
      <c r="B9712" s="3">
        <v>9.7152777777777768E-2</v>
      </c>
      <c r="C9712">
        <v>763</v>
      </c>
      <c r="D9712" t="str">
        <f>VLOOKUP(H9712,Produkt!$A$2:$B$5,2,FALSE)</f>
        <v>B</v>
      </c>
      <c r="H9712">
        <v>2</v>
      </c>
      <c r="I9712">
        <v>0.11380787037037036</v>
      </c>
      <c r="J9712">
        <v>44789</v>
      </c>
    </row>
    <row r="9713" spans="1:10" x14ac:dyDescent="0.35">
      <c r="A9713" s="2">
        <v>44804</v>
      </c>
      <c r="B9713" s="3">
        <v>0.19155092592592593</v>
      </c>
      <c r="C9713">
        <v>887</v>
      </c>
      <c r="D9713" t="str">
        <f>VLOOKUP(H9713,Produkt!$A$2:$B$5,2,FALSE)</f>
        <v>A</v>
      </c>
      <c r="H9713">
        <v>1</v>
      </c>
      <c r="I9713">
        <v>0.74940972222222213</v>
      </c>
      <c r="J9713">
        <v>44783</v>
      </c>
    </row>
    <row r="9714" spans="1:10" x14ac:dyDescent="0.35">
      <c r="A9714" s="2">
        <v>44804</v>
      </c>
      <c r="B9714" s="3">
        <v>0.9977893518518518</v>
      </c>
      <c r="C9714">
        <v>913</v>
      </c>
      <c r="D9714" t="str">
        <f>VLOOKUP(H9714,Produkt!$A$2:$B$5,2,FALSE)</f>
        <v>B</v>
      </c>
      <c r="H9714">
        <v>2</v>
      </c>
      <c r="I9714">
        <v>7.2222222222222229E-2</v>
      </c>
      <c r="J9714">
        <v>44798</v>
      </c>
    </row>
    <row r="9715" spans="1:10" x14ac:dyDescent="0.35">
      <c r="A9715" s="2">
        <v>44804</v>
      </c>
      <c r="B9715" s="3">
        <v>0.55181712962962959</v>
      </c>
      <c r="C9715">
        <v>922</v>
      </c>
      <c r="D9715" t="str">
        <f>VLOOKUP(H9715,Produkt!$A$2:$B$5,2,FALSE)</f>
        <v>B</v>
      </c>
      <c r="H9715">
        <v>2</v>
      </c>
      <c r="I9715">
        <v>8.2465277777777776E-2</v>
      </c>
      <c r="J9715">
        <v>44804</v>
      </c>
    </row>
    <row r="9716" spans="1:10" x14ac:dyDescent="0.35">
      <c r="A9716" s="2">
        <v>44804</v>
      </c>
      <c r="B9716" s="3">
        <v>0.29201388888888885</v>
      </c>
      <c r="C9716">
        <v>932</v>
      </c>
      <c r="D9716" t="str">
        <f>VLOOKUP(H9716,Produkt!$A$2:$B$5,2,FALSE)</f>
        <v>D</v>
      </c>
      <c r="H9716">
        <v>4</v>
      </c>
      <c r="I9716">
        <v>0.6815162037037038</v>
      </c>
      <c r="J9716">
        <v>44787</v>
      </c>
    </row>
    <row r="9717" spans="1:10" x14ac:dyDescent="0.35">
      <c r="A9717" s="2">
        <v>44804</v>
      </c>
      <c r="B9717" s="3">
        <v>0.12365740740740742</v>
      </c>
      <c r="C9717">
        <v>939</v>
      </c>
      <c r="D9717" t="str">
        <f>VLOOKUP(H9717,Produkt!$A$2:$B$5,2,FALSE)</f>
        <v>C</v>
      </c>
      <c r="H9717">
        <v>3</v>
      </c>
      <c r="I9717">
        <v>9.8796296296296285E-2</v>
      </c>
      <c r="J9717">
        <v>44790</v>
      </c>
    </row>
    <row r="9718" spans="1:10" x14ac:dyDescent="0.35">
      <c r="A9718" s="2">
        <v>44804</v>
      </c>
      <c r="B9718" s="3">
        <v>1.7685185185185137E-2</v>
      </c>
      <c r="C9718">
        <v>954</v>
      </c>
      <c r="D9718" t="str">
        <f>VLOOKUP(H9718,Produkt!$A$2:$B$5,2,FALSE)</f>
        <v>C</v>
      </c>
      <c r="H9718">
        <v>3</v>
      </c>
      <c r="I9718">
        <v>0.61597222222222225</v>
      </c>
      <c r="J9718">
        <v>44779</v>
      </c>
    </row>
    <row r="9719" spans="1:10" x14ac:dyDescent="0.35">
      <c r="A9719" s="2">
        <v>44804</v>
      </c>
      <c r="B9719" s="3">
        <v>0.70469907407407406</v>
      </c>
      <c r="C9719">
        <v>961</v>
      </c>
      <c r="D9719" t="str">
        <f>VLOOKUP(H9719,Produkt!$A$2:$B$5,2,FALSE)</f>
        <v>C</v>
      </c>
      <c r="H9719">
        <v>3</v>
      </c>
      <c r="I9719">
        <v>0.91445601851851854</v>
      </c>
      <c r="J9719">
        <v>44788</v>
      </c>
    </row>
    <row r="9720" spans="1:10" x14ac:dyDescent="0.35">
      <c r="A9720" s="2">
        <v>44804</v>
      </c>
      <c r="B9720" s="3">
        <v>0.35516203703703703</v>
      </c>
      <c r="C9720">
        <v>973</v>
      </c>
      <c r="D9720" t="str">
        <f>VLOOKUP(H9720,Produkt!$A$2:$B$5,2,FALSE)</f>
        <v>B</v>
      </c>
      <c r="H9720">
        <v>2</v>
      </c>
      <c r="I9720">
        <v>0.36653935185185182</v>
      </c>
      <c r="J9720">
        <v>44778</v>
      </c>
    </row>
    <row r="9721" spans="1:10" x14ac:dyDescent="0.35">
      <c r="A9721" s="2">
        <v>44804</v>
      </c>
      <c r="B9721" s="3">
        <v>0.99384259259259267</v>
      </c>
      <c r="C9721">
        <v>1087</v>
      </c>
      <c r="D9721" t="str">
        <f>VLOOKUP(H9721,Produkt!$A$2:$B$5,2,FALSE)</f>
        <v>B</v>
      </c>
      <c r="H9721">
        <v>2</v>
      </c>
      <c r="I9721">
        <v>0.57033564814814819</v>
      </c>
      <c r="J9721">
        <v>44778</v>
      </c>
    </row>
    <row r="9722" spans="1:10" x14ac:dyDescent="0.35">
      <c r="A9722" s="2">
        <v>44804</v>
      </c>
      <c r="B9722" s="3">
        <v>0.9666203703703703</v>
      </c>
      <c r="C9722">
        <v>1093</v>
      </c>
      <c r="D9722" t="str">
        <f>VLOOKUP(H9722,Produkt!$A$2:$B$5,2,FALSE)</f>
        <v>C</v>
      </c>
      <c r="H9722">
        <v>3</v>
      </c>
      <c r="I9722">
        <v>0.64724537037037033</v>
      </c>
      <c r="J9722">
        <v>44796</v>
      </c>
    </row>
    <row r="9723" spans="1:10" x14ac:dyDescent="0.35">
      <c r="A9723" s="2">
        <v>44804</v>
      </c>
      <c r="B9723" s="3">
        <v>0.51537037037037037</v>
      </c>
      <c r="C9723">
        <v>1159</v>
      </c>
      <c r="D9723" t="str">
        <f>VLOOKUP(H9723,Produkt!$A$2:$B$5,2,FALSE)</f>
        <v>C</v>
      </c>
      <c r="H9723">
        <v>3</v>
      </c>
      <c r="I9723">
        <v>0.71340277777777772</v>
      </c>
      <c r="J9723">
        <v>44796</v>
      </c>
    </row>
    <row r="9724" spans="1:10" x14ac:dyDescent="0.35">
      <c r="A9724" s="2">
        <v>44804</v>
      </c>
      <c r="B9724" s="3">
        <v>0.52457175925925925</v>
      </c>
      <c r="C9724">
        <v>1176</v>
      </c>
      <c r="D9724" t="str">
        <f>VLOOKUP(H9724,Produkt!$A$2:$B$5,2,FALSE)</f>
        <v>B</v>
      </c>
      <c r="H9724">
        <v>2</v>
      </c>
      <c r="I9724">
        <v>0.57793981481481482</v>
      </c>
      <c r="J9724">
        <v>44779</v>
      </c>
    </row>
    <row r="9725" spans="1:10" x14ac:dyDescent="0.35">
      <c r="A9725" s="2">
        <v>44804</v>
      </c>
      <c r="B9725" s="3">
        <v>0.22733796296296296</v>
      </c>
      <c r="C9725">
        <v>1192</v>
      </c>
      <c r="D9725" t="str">
        <f>VLOOKUP(H9725,Produkt!$A$2:$B$5,2,FALSE)</f>
        <v>D</v>
      </c>
      <c r="H9725">
        <v>4</v>
      </c>
      <c r="I9725">
        <v>0.64577546296296295</v>
      </c>
      <c r="J9725">
        <v>44788</v>
      </c>
    </row>
    <row r="9726" spans="1:10" x14ac:dyDescent="0.35">
      <c r="A9726" s="2">
        <v>44804</v>
      </c>
      <c r="B9726" s="3">
        <v>0.55425925925925923</v>
      </c>
      <c r="C9726">
        <v>1211</v>
      </c>
      <c r="D9726" t="str">
        <f>VLOOKUP(H9726,Produkt!$A$2:$B$5,2,FALSE)</f>
        <v>D</v>
      </c>
      <c r="H9726">
        <v>4</v>
      </c>
      <c r="I9726">
        <v>0.31758101851851855</v>
      </c>
      <c r="J9726">
        <v>44799</v>
      </c>
    </row>
    <row r="9727" spans="1:10" x14ac:dyDescent="0.35">
      <c r="A9727" s="2">
        <v>44804</v>
      </c>
      <c r="B9727" s="3">
        <v>0.8655787037037036</v>
      </c>
      <c r="C9727">
        <v>1239</v>
      </c>
      <c r="D9727" t="str">
        <f>VLOOKUP(H9727,Produkt!$A$2:$B$5,2,FALSE)</f>
        <v>D</v>
      </c>
      <c r="H9727">
        <v>4</v>
      </c>
      <c r="I9727">
        <v>0.18440972222222221</v>
      </c>
      <c r="J9727">
        <v>44801</v>
      </c>
    </row>
    <row r="9728" spans="1:10" x14ac:dyDescent="0.35">
      <c r="A9728" s="2">
        <v>44804</v>
      </c>
      <c r="B9728" s="3">
        <v>0.39696759259259262</v>
      </c>
      <c r="C9728">
        <v>1284</v>
      </c>
      <c r="D9728" t="str">
        <f>VLOOKUP(H9728,Produkt!$A$2:$B$5,2,FALSE)</f>
        <v>B</v>
      </c>
      <c r="H9728">
        <v>2</v>
      </c>
      <c r="I9728">
        <v>0.25696759259259261</v>
      </c>
      <c r="J9728">
        <v>44794</v>
      </c>
    </row>
    <row r="9729" spans="1:10" x14ac:dyDescent="0.35">
      <c r="A9729" s="2">
        <v>44804</v>
      </c>
      <c r="B9729" s="3">
        <v>3.1261574074074039E-2</v>
      </c>
      <c r="C9729">
        <v>1296</v>
      </c>
      <c r="D9729" t="str">
        <f>VLOOKUP(H9729,Produkt!$A$2:$B$5,2,FALSE)</f>
        <v>B</v>
      </c>
      <c r="H9729">
        <v>2</v>
      </c>
      <c r="I9729">
        <v>0.73465277777777782</v>
      </c>
      <c r="J9729">
        <v>44787</v>
      </c>
    </row>
    <row r="9730" spans="1:10" x14ac:dyDescent="0.35">
      <c r="A9730" s="2">
        <v>44804</v>
      </c>
      <c r="B9730" s="3">
        <v>9.8298611111111114E-2</v>
      </c>
      <c r="C9730">
        <v>1327</v>
      </c>
      <c r="D9730" t="str">
        <f>VLOOKUP(H9730,Produkt!$A$2:$B$5,2,FALSE)</f>
        <v>C</v>
      </c>
      <c r="H9730">
        <v>3</v>
      </c>
      <c r="I9730">
        <v>0.77221064814814822</v>
      </c>
      <c r="J9730">
        <v>44799</v>
      </c>
    </row>
    <row r="9731" spans="1:10" x14ac:dyDescent="0.35">
      <c r="A9731" s="2">
        <v>44804</v>
      </c>
      <c r="B9731" s="3">
        <v>0.6473726851851852</v>
      </c>
      <c r="C9731">
        <v>1358</v>
      </c>
      <c r="D9731" t="str">
        <f>VLOOKUP(H9731,Produkt!$A$2:$B$5,2,FALSE)</f>
        <v>C</v>
      </c>
      <c r="H9731">
        <v>3</v>
      </c>
      <c r="I9731">
        <v>3.8703703703703705E-2</v>
      </c>
      <c r="J9731">
        <v>44801</v>
      </c>
    </row>
    <row r="9732" spans="1:10" x14ac:dyDescent="0.35">
      <c r="A9732" s="2">
        <v>44804</v>
      </c>
      <c r="B9732" s="3">
        <v>9.2442129629629624E-2</v>
      </c>
      <c r="C9732">
        <v>1381</v>
      </c>
      <c r="D9732" t="str">
        <f>VLOOKUP(H9732,Produkt!$A$2:$B$5,2,FALSE)</f>
        <v>C</v>
      </c>
      <c r="H9732">
        <v>3</v>
      </c>
      <c r="I9732">
        <v>0.12560185185185185</v>
      </c>
      <c r="J9732">
        <v>44802</v>
      </c>
    </row>
    <row r="9733" spans="1:10" x14ac:dyDescent="0.35">
      <c r="A9733" s="2">
        <v>44804</v>
      </c>
      <c r="B9733" s="3">
        <v>0.4852083333333333</v>
      </c>
      <c r="C9733">
        <v>1436</v>
      </c>
      <c r="D9733" t="str">
        <f>VLOOKUP(H9733,Produkt!$A$2:$B$5,2,FALSE)</f>
        <v>A</v>
      </c>
      <c r="H9733">
        <v>1</v>
      </c>
      <c r="I9733">
        <v>0.9909027777777778</v>
      </c>
      <c r="J9733">
        <v>44790</v>
      </c>
    </row>
    <row r="9734" spans="1:10" x14ac:dyDescent="0.35">
      <c r="A9734" s="2">
        <v>44804</v>
      </c>
      <c r="B9734" s="3">
        <v>0.84603009259259254</v>
      </c>
      <c r="C9734">
        <v>1543</v>
      </c>
      <c r="D9734" t="str">
        <f>VLOOKUP(H9734,Produkt!$A$2:$B$5,2,FALSE)</f>
        <v>B</v>
      </c>
      <c r="H9734">
        <v>2</v>
      </c>
      <c r="I9734">
        <v>0.73767361111111107</v>
      </c>
      <c r="J9734">
        <v>44796</v>
      </c>
    </row>
    <row r="9735" spans="1:10" x14ac:dyDescent="0.35">
      <c r="A9735" s="2">
        <v>44804</v>
      </c>
      <c r="B9735" s="3">
        <v>0.48667824074074079</v>
      </c>
      <c r="C9735">
        <v>1575</v>
      </c>
      <c r="D9735" t="str">
        <f>VLOOKUP(H9735,Produkt!$A$2:$B$5,2,FALSE)</f>
        <v>D</v>
      </c>
      <c r="H9735">
        <v>4</v>
      </c>
      <c r="I9735">
        <v>0.41641203703703705</v>
      </c>
      <c r="J9735">
        <v>44792</v>
      </c>
    </row>
    <row r="9736" spans="1:10" x14ac:dyDescent="0.35">
      <c r="A9736" s="2">
        <v>44804</v>
      </c>
      <c r="B9736" s="3">
        <v>0.1665625</v>
      </c>
      <c r="C9736">
        <v>1603</v>
      </c>
      <c r="D9736" t="str">
        <f>VLOOKUP(H9736,Produkt!$A$2:$B$5,2,FALSE)</f>
        <v>B</v>
      </c>
      <c r="H9736">
        <v>2</v>
      </c>
      <c r="I9736">
        <v>0.16796296296296298</v>
      </c>
      <c r="J9736">
        <v>44800</v>
      </c>
    </row>
    <row r="9737" spans="1:10" x14ac:dyDescent="0.35">
      <c r="A9737" s="2">
        <v>44804</v>
      </c>
      <c r="B9737" s="3">
        <v>0.58603009259259264</v>
      </c>
      <c r="C9737">
        <v>1607</v>
      </c>
      <c r="D9737" t="str">
        <f>VLOOKUP(H9737,Produkt!$A$2:$B$5,2,FALSE)</f>
        <v>B</v>
      </c>
      <c r="H9737">
        <v>2</v>
      </c>
      <c r="I9737">
        <v>0.75146990740740749</v>
      </c>
      <c r="J9737">
        <v>44802</v>
      </c>
    </row>
    <row r="9738" spans="1:10" x14ac:dyDescent="0.35">
      <c r="A9738" s="2">
        <v>44804</v>
      </c>
      <c r="B9738" s="3">
        <v>0.6098958333333333</v>
      </c>
      <c r="C9738">
        <v>1621</v>
      </c>
      <c r="D9738" t="str">
        <f>VLOOKUP(H9738,Produkt!$A$2:$B$5,2,FALSE)</f>
        <v>C</v>
      </c>
      <c r="H9738">
        <v>3</v>
      </c>
      <c r="I9738">
        <v>0.10494212962962964</v>
      </c>
      <c r="J9738">
        <v>44798</v>
      </c>
    </row>
    <row r="9739" spans="1:10" x14ac:dyDescent="0.35">
      <c r="A9739" s="2">
        <v>44804</v>
      </c>
      <c r="B9739" s="3">
        <v>0.34082175925925928</v>
      </c>
      <c r="C9739">
        <v>1638</v>
      </c>
      <c r="D9739" t="str">
        <f>VLOOKUP(H9739,Produkt!$A$2:$B$5,2,FALSE)</f>
        <v>B</v>
      </c>
      <c r="H9739">
        <v>2</v>
      </c>
      <c r="I9739">
        <v>2.2731481481481408E-2</v>
      </c>
      <c r="J9739">
        <v>44795</v>
      </c>
    </row>
    <row r="9740" spans="1:10" x14ac:dyDescent="0.35">
      <c r="A9740" s="2">
        <v>44804</v>
      </c>
      <c r="B9740" s="3">
        <v>0.13438657407407409</v>
      </c>
      <c r="C9740">
        <v>1647</v>
      </c>
      <c r="D9740" t="str">
        <f>VLOOKUP(H9740,Produkt!$A$2:$B$5,2,FALSE)</f>
        <v>C</v>
      </c>
      <c r="H9740">
        <v>3</v>
      </c>
      <c r="I9740">
        <v>0.60584490740740737</v>
      </c>
      <c r="J9740">
        <v>44782</v>
      </c>
    </row>
    <row r="9741" spans="1:10" x14ac:dyDescent="0.35">
      <c r="A9741" s="2">
        <v>44804</v>
      </c>
      <c r="B9741" s="3">
        <v>4.8402777777777774E-2</v>
      </c>
      <c r="C9741">
        <v>1704</v>
      </c>
      <c r="D9741" t="str">
        <f>VLOOKUP(H9741,Produkt!$A$2:$B$5,2,FALSE)</f>
        <v>A</v>
      </c>
      <c r="H9741">
        <v>1</v>
      </c>
      <c r="I9741">
        <v>0.95281249999999995</v>
      </c>
      <c r="J9741">
        <v>44781</v>
      </c>
    </row>
    <row r="9742" spans="1:10" x14ac:dyDescent="0.35">
      <c r="A9742" s="2">
        <v>44804</v>
      </c>
      <c r="B9742" s="3">
        <v>0.49494212962962963</v>
      </c>
      <c r="C9742">
        <v>1756</v>
      </c>
      <c r="D9742" t="str">
        <f>VLOOKUP(H9742,Produkt!$A$2:$B$5,2,FALSE)</f>
        <v>D</v>
      </c>
      <c r="H9742">
        <v>4</v>
      </c>
      <c r="I9742">
        <v>0.68130787037037033</v>
      </c>
      <c r="J9742">
        <v>44792</v>
      </c>
    </row>
    <row r="9743" spans="1:10" x14ac:dyDescent="0.35">
      <c r="A9743" s="2">
        <v>44804</v>
      </c>
      <c r="B9743" s="3">
        <v>0.31673611111111111</v>
      </c>
      <c r="C9743">
        <v>1772</v>
      </c>
      <c r="D9743" t="str">
        <f>VLOOKUP(H9743,Produkt!$A$2:$B$5,2,FALSE)</f>
        <v>D</v>
      </c>
      <c r="H9743">
        <v>4</v>
      </c>
      <c r="I9743">
        <v>0.694849537037037</v>
      </c>
      <c r="J9743">
        <v>44801</v>
      </c>
    </row>
    <row r="9744" spans="1:10" x14ac:dyDescent="0.35">
      <c r="A9744" s="2">
        <v>44804</v>
      </c>
      <c r="B9744" s="3">
        <v>0.97916666666666663</v>
      </c>
      <c r="C9744">
        <v>1777</v>
      </c>
      <c r="D9744" t="str">
        <f>VLOOKUP(H9744,Produkt!$A$2:$B$5,2,FALSE)</f>
        <v>B</v>
      </c>
      <c r="H9744">
        <v>2</v>
      </c>
      <c r="I9744">
        <v>0.31234953703703705</v>
      </c>
      <c r="J9744">
        <v>44795</v>
      </c>
    </row>
    <row r="9745" spans="1:10" x14ac:dyDescent="0.35">
      <c r="A9745" s="2">
        <v>44804</v>
      </c>
      <c r="B9745" s="3">
        <v>0.82405092592592588</v>
      </c>
      <c r="C9745">
        <v>1861</v>
      </c>
      <c r="D9745" t="str">
        <f>VLOOKUP(H9745,Produkt!$A$2:$B$5,2,FALSE)</f>
        <v>C</v>
      </c>
      <c r="H9745">
        <v>3</v>
      </c>
      <c r="I9745">
        <v>2.7754629629629629E-2</v>
      </c>
      <c r="J9745">
        <v>44793</v>
      </c>
    </row>
    <row r="9746" spans="1:10" x14ac:dyDescent="0.35">
      <c r="A9746" s="2">
        <v>44804</v>
      </c>
      <c r="B9746" s="3">
        <v>0.10659722222222223</v>
      </c>
      <c r="C9746">
        <v>1914</v>
      </c>
      <c r="D9746" t="str">
        <f>VLOOKUP(H9746,Produkt!$A$2:$B$5,2,FALSE)</f>
        <v>C</v>
      </c>
      <c r="H9746">
        <v>3</v>
      </c>
      <c r="I9746">
        <v>4.4976851851851851E-2</v>
      </c>
      <c r="J9746">
        <v>44783</v>
      </c>
    </row>
    <row r="9747" spans="1:10" x14ac:dyDescent="0.35">
      <c r="A9747" s="2">
        <v>44804</v>
      </c>
      <c r="B9747" s="3">
        <v>0.80431712962962953</v>
      </c>
      <c r="C9747">
        <v>1973</v>
      </c>
      <c r="D9747" t="str">
        <f>VLOOKUP(H9747,Produkt!$A$2:$B$5,2,FALSE)</f>
        <v>A</v>
      </c>
      <c r="H9747">
        <v>1</v>
      </c>
      <c r="I9747">
        <v>0.625</v>
      </c>
      <c r="J9747">
        <v>44786</v>
      </c>
    </row>
    <row r="9748" spans="1:10" x14ac:dyDescent="0.35">
      <c r="A9748" s="2">
        <v>44804</v>
      </c>
      <c r="B9748" s="3">
        <v>0.77045138888888898</v>
      </c>
      <c r="C9748">
        <v>2049</v>
      </c>
      <c r="D9748" t="str">
        <f>VLOOKUP(H9748,Produkt!$A$2:$B$5,2,FALSE)</f>
        <v>D</v>
      </c>
      <c r="H9748">
        <v>4</v>
      </c>
      <c r="I9748">
        <v>0.86450231481481488</v>
      </c>
      <c r="J9748">
        <v>44787</v>
      </c>
    </row>
    <row r="9749" spans="1:10" x14ac:dyDescent="0.35">
      <c r="A9749" s="2">
        <v>44804</v>
      </c>
      <c r="B9749" s="3">
        <v>0.44950231481481479</v>
      </c>
      <c r="C9749">
        <v>2051</v>
      </c>
      <c r="D9749" t="str">
        <f>VLOOKUP(H9749,Produkt!$A$2:$B$5,2,FALSE)</f>
        <v>D</v>
      </c>
      <c r="H9749">
        <v>4</v>
      </c>
      <c r="I9749">
        <v>0.52320601851851845</v>
      </c>
      <c r="J9749">
        <v>44783</v>
      </c>
    </row>
    <row r="9750" spans="1:10" x14ac:dyDescent="0.35">
      <c r="A9750" s="2">
        <v>44804</v>
      </c>
      <c r="B9750" s="3">
        <v>0.47888888888888892</v>
      </c>
      <c r="C9750">
        <v>2092</v>
      </c>
      <c r="D9750" t="str">
        <f>VLOOKUP(H9750,Produkt!$A$2:$B$5,2,FALSE)</f>
        <v>D</v>
      </c>
      <c r="H9750">
        <v>4</v>
      </c>
      <c r="I9750">
        <v>0.79682870370370373</v>
      </c>
      <c r="J9750">
        <v>44802</v>
      </c>
    </row>
    <row r="9751" spans="1:10" x14ac:dyDescent="0.35">
      <c r="A9751" s="2">
        <v>44804</v>
      </c>
      <c r="B9751" s="3">
        <v>0.26369212962962962</v>
      </c>
      <c r="C9751">
        <v>2129</v>
      </c>
      <c r="D9751" t="str">
        <f>VLOOKUP(H9751,Produkt!$A$2:$B$5,2,FALSE)</f>
        <v>D</v>
      </c>
      <c r="H9751">
        <v>4</v>
      </c>
      <c r="I9751">
        <v>0.7698842592592593</v>
      </c>
      <c r="J9751">
        <v>44792</v>
      </c>
    </row>
    <row r="9752" spans="1:10" x14ac:dyDescent="0.35">
      <c r="A9752" s="2">
        <v>44804</v>
      </c>
      <c r="B9752" s="3">
        <v>0.53577546296296297</v>
      </c>
      <c r="C9752">
        <v>2187</v>
      </c>
      <c r="D9752" t="str">
        <f>VLOOKUP(H9752,Produkt!$A$2:$B$5,2,FALSE)</f>
        <v>C</v>
      </c>
      <c r="H9752">
        <v>3</v>
      </c>
      <c r="I9752">
        <v>0.29620370370370369</v>
      </c>
      <c r="J9752">
        <v>44788</v>
      </c>
    </row>
    <row r="9753" spans="1:10" x14ac:dyDescent="0.35">
      <c r="A9753" s="2">
        <v>44804</v>
      </c>
      <c r="B9753" s="3">
        <v>4.1689814814814818E-2</v>
      </c>
      <c r="C9753">
        <v>2200</v>
      </c>
      <c r="D9753" t="str">
        <f>VLOOKUP(H9753,Produkt!$A$2:$B$5,2,FALSE)</f>
        <v>D</v>
      </c>
      <c r="H9753">
        <v>4</v>
      </c>
      <c r="I9753">
        <v>0.59402777777777771</v>
      </c>
      <c r="J9753">
        <v>44777</v>
      </c>
    </row>
    <row r="9754" spans="1:10" x14ac:dyDescent="0.35">
      <c r="A9754" s="2">
        <v>44804</v>
      </c>
      <c r="B9754" s="3">
        <v>0.76280092592592597</v>
      </c>
      <c r="C9754">
        <v>2204</v>
      </c>
      <c r="D9754" t="str">
        <f>VLOOKUP(H9754,Produkt!$A$2:$B$5,2,FALSE)</f>
        <v>B</v>
      </c>
      <c r="H9754">
        <v>2</v>
      </c>
      <c r="I9754">
        <v>7.4965277777777783E-2</v>
      </c>
      <c r="J9754">
        <v>44774</v>
      </c>
    </row>
    <row r="9755" spans="1:10" x14ac:dyDescent="0.35">
      <c r="A9755" s="2">
        <v>44804</v>
      </c>
      <c r="B9755" s="3">
        <v>0.64229166666666659</v>
      </c>
      <c r="C9755">
        <v>2244</v>
      </c>
      <c r="D9755" t="str">
        <f>VLOOKUP(H9755,Produkt!$A$2:$B$5,2,FALSE)</f>
        <v>C</v>
      </c>
      <c r="H9755">
        <v>3</v>
      </c>
      <c r="I9755">
        <v>0.24976851851851853</v>
      </c>
      <c r="J9755">
        <v>44798</v>
      </c>
    </row>
    <row r="9756" spans="1:10" x14ac:dyDescent="0.35">
      <c r="A9756" s="2">
        <v>44804</v>
      </c>
      <c r="B9756" s="3">
        <v>7.3275462962962959E-2</v>
      </c>
      <c r="C9756">
        <v>2301</v>
      </c>
      <c r="D9756" t="str">
        <f>VLOOKUP(H9756,Produkt!$A$2:$B$5,2,FALSE)</f>
        <v>C</v>
      </c>
      <c r="H9756">
        <v>3</v>
      </c>
      <c r="I9756">
        <v>0.18408564814814812</v>
      </c>
      <c r="J9756">
        <v>44780</v>
      </c>
    </row>
    <row r="9757" spans="1:10" x14ac:dyDescent="0.35">
      <c r="A9757" s="2">
        <v>44804</v>
      </c>
      <c r="B9757" s="3">
        <v>0.20842592592592593</v>
      </c>
      <c r="C9757">
        <v>2330</v>
      </c>
      <c r="D9757" t="str">
        <f>VLOOKUP(H9757,Produkt!$A$2:$B$5,2,FALSE)</f>
        <v>C</v>
      </c>
      <c r="H9757">
        <v>3</v>
      </c>
      <c r="I9757">
        <v>0.82902777777777781</v>
      </c>
      <c r="J9757">
        <v>44801</v>
      </c>
    </row>
    <row r="9758" spans="1:10" x14ac:dyDescent="0.35">
      <c r="A9758" s="2">
        <v>44804</v>
      </c>
      <c r="B9758" s="3">
        <v>0.66041666666666665</v>
      </c>
      <c r="C9758">
        <v>2343</v>
      </c>
      <c r="D9758" t="str">
        <f>VLOOKUP(H9758,Produkt!$A$2:$B$5,2,FALSE)</f>
        <v>C</v>
      </c>
      <c r="H9758">
        <v>3</v>
      </c>
      <c r="I9758">
        <v>1.9490740740740753E-2</v>
      </c>
      <c r="J9758">
        <v>44799</v>
      </c>
    </row>
    <row r="9759" spans="1:10" x14ac:dyDescent="0.35">
      <c r="A9759" s="2">
        <v>44804</v>
      </c>
      <c r="B9759" s="3">
        <v>0.62741898148148145</v>
      </c>
      <c r="C9759">
        <v>2427</v>
      </c>
      <c r="D9759" t="str">
        <f>VLOOKUP(H9759,Produkt!$A$2:$B$5,2,FALSE)</f>
        <v>D</v>
      </c>
      <c r="H9759">
        <v>4</v>
      </c>
      <c r="I9759">
        <v>0.31540509259259258</v>
      </c>
      <c r="J9759">
        <v>44780</v>
      </c>
    </row>
    <row r="9760" spans="1:10" x14ac:dyDescent="0.35">
      <c r="A9760" s="2">
        <v>44804</v>
      </c>
      <c r="B9760" s="3">
        <v>0.77756944444444442</v>
      </c>
      <c r="C9760">
        <v>2435</v>
      </c>
      <c r="D9760" t="str">
        <f>VLOOKUP(H9760,Produkt!$A$2:$B$5,2,FALSE)</f>
        <v>D</v>
      </c>
      <c r="H9760">
        <v>4</v>
      </c>
      <c r="I9760">
        <v>0.77850694444444446</v>
      </c>
      <c r="J9760">
        <v>44792</v>
      </c>
    </row>
    <row r="9761" spans="1:10" x14ac:dyDescent="0.35">
      <c r="A9761" s="2">
        <v>44804</v>
      </c>
      <c r="B9761" s="3">
        <v>0.385775462962963</v>
      </c>
      <c r="C9761">
        <v>2465</v>
      </c>
      <c r="D9761" t="str">
        <f>VLOOKUP(H9761,Produkt!$A$2:$B$5,2,FALSE)</f>
        <v>D</v>
      </c>
      <c r="H9761">
        <v>4</v>
      </c>
      <c r="I9761">
        <v>0.92523148148148149</v>
      </c>
      <c r="J9761">
        <v>44775</v>
      </c>
    </row>
    <row r="9762" spans="1:10" x14ac:dyDescent="0.35">
      <c r="A9762" s="2">
        <v>44804</v>
      </c>
      <c r="B9762" s="3">
        <v>0.21884259259259262</v>
      </c>
      <c r="C9762">
        <v>2475</v>
      </c>
      <c r="D9762" t="str">
        <f>VLOOKUP(H9762,Produkt!$A$2:$B$5,2,FALSE)</f>
        <v>D</v>
      </c>
      <c r="H9762">
        <v>4</v>
      </c>
      <c r="I9762">
        <v>0.97396990740740741</v>
      </c>
      <c r="J9762">
        <v>44788</v>
      </c>
    </row>
    <row r="9763" spans="1:10" x14ac:dyDescent="0.35">
      <c r="A9763" s="2">
        <v>44804</v>
      </c>
      <c r="B9763" s="3">
        <v>0.77500000000000002</v>
      </c>
      <c r="C9763">
        <v>2499</v>
      </c>
      <c r="D9763" t="str">
        <f>VLOOKUP(H9763,Produkt!$A$2:$B$5,2,FALSE)</f>
        <v>C</v>
      </c>
      <c r="H9763">
        <v>3</v>
      </c>
      <c r="I9763">
        <v>0.45863425925925921</v>
      </c>
      <c r="J9763">
        <v>44803</v>
      </c>
    </row>
    <row r="9764" spans="1:10" x14ac:dyDescent="0.35">
      <c r="A9764" s="2">
        <v>44804</v>
      </c>
      <c r="B9764" s="3">
        <v>0.43298611111111113</v>
      </c>
      <c r="C9764">
        <v>2503</v>
      </c>
      <c r="D9764" t="str">
        <f>VLOOKUP(H9764,Produkt!$A$2:$B$5,2,FALSE)</f>
        <v>D</v>
      </c>
      <c r="H9764">
        <v>4</v>
      </c>
      <c r="I9764">
        <v>0.18466435185185184</v>
      </c>
      <c r="J9764">
        <v>44804</v>
      </c>
    </row>
    <row r="9765" spans="1:10" x14ac:dyDescent="0.35">
      <c r="A9765" s="2">
        <v>44804</v>
      </c>
      <c r="B9765" s="3">
        <v>0.26939814814814816</v>
      </c>
      <c r="C9765">
        <v>2514</v>
      </c>
      <c r="D9765" t="str">
        <f>VLOOKUP(H9765,Produkt!$A$2:$B$5,2,FALSE)</f>
        <v>D</v>
      </c>
      <c r="H9765">
        <v>4</v>
      </c>
      <c r="I9765">
        <v>0.65673611111111108</v>
      </c>
      <c r="J9765">
        <v>44800</v>
      </c>
    </row>
    <row r="9766" spans="1:10" x14ac:dyDescent="0.35">
      <c r="A9766" s="2">
        <v>44804</v>
      </c>
      <c r="B9766" s="3">
        <v>0.12053240740740741</v>
      </c>
      <c r="C9766">
        <v>2519</v>
      </c>
      <c r="D9766" t="str">
        <f>VLOOKUP(H9766,Produkt!$A$2:$B$5,2,FALSE)</f>
        <v>A</v>
      </c>
      <c r="H9766">
        <v>1</v>
      </c>
      <c r="I9766">
        <v>7.149305555555556E-2</v>
      </c>
      <c r="J9766">
        <v>44778</v>
      </c>
    </row>
    <row r="9767" spans="1:10" x14ac:dyDescent="0.35">
      <c r="A9767" s="2">
        <v>44804</v>
      </c>
      <c r="B9767" s="3">
        <v>0.79656249999999995</v>
      </c>
      <c r="C9767">
        <v>2540</v>
      </c>
      <c r="D9767" t="str">
        <f>VLOOKUP(H9767,Produkt!$A$2:$B$5,2,FALSE)</f>
        <v>D</v>
      </c>
      <c r="H9767">
        <v>4</v>
      </c>
      <c r="I9767">
        <v>9.6585648148148143E-2</v>
      </c>
      <c r="J9767">
        <v>44803</v>
      </c>
    </row>
    <row r="9768" spans="1:10" x14ac:dyDescent="0.35">
      <c r="A9768" s="2">
        <v>44804</v>
      </c>
      <c r="B9768" s="3">
        <v>0.17770833333333333</v>
      </c>
      <c r="C9768">
        <v>2559</v>
      </c>
      <c r="D9768" t="str">
        <f>VLOOKUP(H9768,Produkt!$A$2:$B$5,2,FALSE)</f>
        <v>C</v>
      </c>
      <c r="H9768">
        <v>3</v>
      </c>
      <c r="I9768">
        <v>0.18026620370370372</v>
      </c>
      <c r="J9768">
        <v>44782</v>
      </c>
    </row>
    <row r="9769" spans="1:10" x14ac:dyDescent="0.35">
      <c r="A9769" s="2">
        <v>44804</v>
      </c>
      <c r="B9769" s="3">
        <v>2.7361111111111169E-2</v>
      </c>
      <c r="C9769">
        <v>2611</v>
      </c>
      <c r="D9769" t="str">
        <f>VLOOKUP(H9769,Produkt!$A$2:$B$5,2,FALSE)</f>
        <v>B</v>
      </c>
      <c r="H9769">
        <v>2</v>
      </c>
      <c r="I9769">
        <v>0.73649305555555555</v>
      </c>
      <c r="J9769">
        <v>44778</v>
      </c>
    </row>
    <row r="9770" spans="1:10" x14ac:dyDescent="0.35">
      <c r="A9770" s="2">
        <v>44804</v>
      </c>
      <c r="B9770" s="3">
        <v>8.9074074074074083E-2</v>
      </c>
      <c r="C9770">
        <v>2619</v>
      </c>
      <c r="D9770" t="str">
        <f>VLOOKUP(H9770,Produkt!$A$2:$B$5,2,FALSE)</f>
        <v>D</v>
      </c>
      <c r="H9770">
        <v>4</v>
      </c>
      <c r="I9770">
        <v>0.35083333333333333</v>
      </c>
      <c r="J9770">
        <v>44799</v>
      </c>
    </row>
    <row r="9771" spans="1:10" x14ac:dyDescent="0.35">
      <c r="A9771" s="2">
        <v>44804</v>
      </c>
      <c r="B9771" s="3">
        <v>8.1620370370370371E-2</v>
      </c>
      <c r="C9771">
        <v>2652</v>
      </c>
      <c r="D9771" t="str">
        <f>VLOOKUP(H9771,Produkt!$A$2:$B$5,2,FALSE)</f>
        <v>D</v>
      </c>
      <c r="H9771">
        <v>4</v>
      </c>
      <c r="I9771">
        <v>0.23930555555555555</v>
      </c>
      <c r="J9771">
        <v>44779</v>
      </c>
    </row>
    <row r="9772" spans="1:10" x14ac:dyDescent="0.35">
      <c r="A9772" s="2">
        <v>44804</v>
      </c>
      <c r="B9772" s="3">
        <v>0.84931712962962969</v>
      </c>
      <c r="C9772">
        <v>2684</v>
      </c>
      <c r="D9772" t="str">
        <f>VLOOKUP(H9772,Produkt!$A$2:$B$5,2,FALSE)</f>
        <v>C</v>
      </c>
      <c r="H9772">
        <v>3</v>
      </c>
      <c r="I9772">
        <v>2.6041666666666668E-2</v>
      </c>
      <c r="J9772">
        <v>44783</v>
      </c>
    </row>
    <row r="9773" spans="1:10" x14ac:dyDescent="0.35">
      <c r="A9773" s="2">
        <v>44804</v>
      </c>
      <c r="B9773" s="3">
        <v>0.53189814814814818</v>
      </c>
      <c r="C9773">
        <v>2703</v>
      </c>
      <c r="D9773" t="str">
        <f>VLOOKUP(H9773,Produkt!$A$2:$B$5,2,FALSE)</f>
        <v>B</v>
      </c>
      <c r="H9773">
        <v>2</v>
      </c>
      <c r="I9773">
        <v>0.27824074074074073</v>
      </c>
      <c r="J9773">
        <v>44801</v>
      </c>
    </row>
    <row r="9774" spans="1:10" x14ac:dyDescent="0.35">
      <c r="A9774" s="2">
        <v>44804</v>
      </c>
      <c r="B9774" s="3">
        <v>0.9903587962962962</v>
      </c>
      <c r="C9774">
        <v>2717</v>
      </c>
      <c r="D9774" t="str">
        <f>VLOOKUP(H9774,Produkt!$A$2:$B$5,2,FALSE)</f>
        <v>C</v>
      </c>
      <c r="H9774">
        <v>3</v>
      </c>
      <c r="I9774">
        <v>0.52671296296296299</v>
      </c>
      <c r="J9774">
        <v>44779</v>
      </c>
    </row>
    <row r="9775" spans="1:10" x14ac:dyDescent="0.35">
      <c r="A9775" s="2">
        <v>44804</v>
      </c>
      <c r="B9775" s="3">
        <v>0.85740740740740751</v>
      </c>
      <c r="C9775">
        <v>2778</v>
      </c>
      <c r="D9775" t="str">
        <f>VLOOKUP(H9775,Produkt!$A$2:$B$5,2,FALSE)</f>
        <v>D</v>
      </c>
      <c r="H9775">
        <v>4</v>
      </c>
      <c r="I9775">
        <v>0.15800925925925927</v>
      </c>
      <c r="J9775">
        <v>44788</v>
      </c>
    </row>
    <row r="9776" spans="1:10" x14ac:dyDescent="0.35">
      <c r="A9776" s="2">
        <v>44804</v>
      </c>
      <c r="B9776" s="3">
        <v>0.42913194444444441</v>
      </c>
      <c r="C9776">
        <v>2816</v>
      </c>
      <c r="D9776" t="str">
        <f>VLOOKUP(H9776,Produkt!$A$2:$B$5,2,FALSE)</f>
        <v>C</v>
      </c>
      <c r="H9776">
        <v>3</v>
      </c>
      <c r="I9776">
        <v>1.3587962962962941E-2</v>
      </c>
      <c r="J9776">
        <v>44798</v>
      </c>
    </row>
    <row r="9777" spans="1:10" x14ac:dyDescent="0.35">
      <c r="A9777" s="2">
        <v>44804</v>
      </c>
      <c r="B9777" s="3">
        <v>0.2976388888888889</v>
      </c>
      <c r="C9777">
        <v>2818</v>
      </c>
      <c r="D9777" t="str">
        <f>VLOOKUP(H9777,Produkt!$A$2:$B$5,2,FALSE)</f>
        <v>D</v>
      </c>
      <c r="H9777">
        <v>4</v>
      </c>
      <c r="I9777">
        <v>0.21659722222222222</v>
      </c>
      <c r="J9777">
        <v>44783</v>
      </c>
    </row>
    <row r="9778" spans="1:10" x14ac:dyDescent="0.35">
      <c r="A9778" s="2">
        <v>44804</v>
      </c>
      <c r="B9778" s="3">
        <v>0.20278935185185185</v>
      </c>
      <c r="C9778">
        <v>2894</v>
      </c>
      <c r="D9778" t="str">
        <f>VLOOKUP(H9778,Produkt!$A$2:$B$5,2,FALSE)</f>
        <v>A</v>
      </c>
      <c r="H9778">
        <v>1</v>
      </c>
      <c r="I9778">
        <v>0.75391203703703702</v>
      </c>
      <c r="J9778">
        <v>44790</v>
      </c>
    </row>
    <row r="9779" spans="1:10" x14ac:dyDescent="0.35">
      <c r="A9779" s="2">
        <v>44804</v>
      </c>
      <c r="B9779" s="3">
        <v>0.13298611111111111</v>
      </c>
      <c r="C9779">
        <v>2907</v>
      </c>
      <c r="D9779" t="str">
        <f>VLOOKUP(H9779,Produkt!$A$2:$B$5,2,FALSE)</f>
        <v>B</v>
      </c>
      <c r="H9779">
        <v>2</v>
      </c>
      <c r="I9779">
        <v>4.6296296296296302E-3</v>
      </c>
      <c r="J9779">
        <v>44801</v>
      </c>
    </row>
    <row r="9780" spans="1:10" x14ac:dyDescent="0.35">
      <c r="A9780" s="2">
        <v>44804</v>
      </c>
      <c r="B9780" s="3">
        <v>0.52046296296296302</v>
      </c>
      <c r="C9780">
        <v>2932</v>
      </c>
      <c r="D9780" t="str">
        <f>VLOOKUP(H9780,Produkt!$A$2:$B$5,2,FALSE)</f>
        <v>D</v>
      </c>
      <c r="H9780">
        <v>4</v>
      </c>
      <c r="I9780">
        <v>0.13714120370370372</v>
      </c>
      <c r="J9780">
        <v>44781</v>
      </c>
    </row>
    <row r="9781" spans="1:10" x14ac:dyDescent="0.35">
      <c r="A9781" s="2">
        <v>44804</v>
      </c>
      <c r="B9781" s="3">
        <v>0.36909722222222219</v>
      </c>
      <c r="C9781">
        <v>2952</v>
      </c>
      <c r="D9781" t="str">
        <f>VLOOKUP(H9781,Produkt!$A$2:$B$5,2,FALSE)</f>
        <v>C</v>
      </c>
      <c r="H9781">
        <v>3</v>
      </c>
      <c r="I9781">
        <v>0.36689814814814814</v>
      </c>
      <c r="J9781">
        <v>44789</v>
      </c>
    </row>
    <row r="9782" spans="1:10" x14ac:dyDescent="0.35">
      <c r="A9782" s="2">
        <v>44804</v>
      </c>
      <c r="B9782" s="3">
        <v>3.1863425925925927E-2</v>
      </c>
      <c r="C9782">
        <v>3003</v>
      </c>
      <c r="D9782" t="str">
        <f>VLOOKUP(H9782,Produkt!$A$2:$B$5,2,FALSE)</f>
        <v>D</v>
      </c>
      <c r="H9782">
        <v>4</v>
      </c>
      <c r="I9782">
        <v>7.3784722222222224E-2</v>
      </c>
      <c r="J9782">
        <v>44776</v>
      </c>
    </row>
    <row r="9783" spans="1:10" x14ac:dyDescent="0.35">
      <c r="A9783" s="2">
        <v>44804</v>
      </c>
      <c r="B9783" s="3">
        <v>0.25813657407407409</v>
      </c>
      <c r="C9783">
        <v>3069</v>
      </c>
      <c r="D9783" t="str">
        <f>VLOOKUP(H9783,Produkt!$A$2:$B$5,2,FALSE)</f>
        <v>A</v>
      </c>
      <c r="H9783">
        <v>1</v>
      </c>
      <c r="I9783">
        <v>0.78241898148148137</v>
      </c>
      <c r="J9783">
        <v>44791</v>
      </c>
    </row>
    <row r="9784" spans="1:10" x14ac:dyDescent="0.35">
      <c r="A9784" s="2">
        <v>44804</v>
      </c>
      <c r="B9784" s="3">
        <v>0.99440972222222224</v>
      </c>
      <c r="C9784">
        <v>3078</v>
      </c>
      <c r="D9784" t="str">
        <f>VLOOKUP(H9784,Produkt!$A$2:$B$5,2,FALSE)</f>
        <v>B</v>
      </c>
      <c r="H9784">
        <v>2</v>
      </c>
      <c r="I9784">
        <v>0.24270833333333333</v>
      </c>
      <c r="J9784">
        <v>44787</v>
      </c>
    </row>
    <row r="9785" spans="1:10" x14ac:dyDescent="0.35">
      <c r="A9785" s="2">
        <v>44804</v>
      </c>
      <c r="B9785" s="3">
        <v>5.0925925925926485E-4</v>
      </c>
      <c r="C9785">
        <v>3082</v>
      </c>
      <c r="D9785" t="str">
        <f>VLOOKUP(H9785,Produkt!$A$2:$B$5,2,FALSE)</f>
        <v>A</v>
      </c>
      <c r="H9785">
        <v>1</v>
      </c>
      <c r="I9785">
        <v>0.30275462962962962</v>
      </c>
      <c r="J9785">
        <v>44804</v>
      </c>
    </row>
    <row r="9786" spans="1:10" x14ac:dyDescent="0.35">
      <c r="A9786" s="2">
        <v>44804</v>
      </c>
      <c r="B9786" s="3">
        <v>0.34430555555555559</v>
      </c>
      <c r="C9786">
        <v>3090</v>
      </c>
      <c r="D9786" t="str">
        <f>VLOOKUP(H9786,Produkt!$A$2:$B$5,2,FALSE)</f>
        <v>A</v>
      </c>
      <c r="H9786">
        <v>1</v>
      </c>
      <c r="I9786">
        <v>0.45952546296296298</v>
      </c>
      <c r="J9786">
        <v>44799</v>
      </c>
    </row>
    <row r="9787" spans="1:10" x14ac:dyDescent="0.35">
      <c r="A9787" s="2">
        <v>44804</v>
      </c>
      <c r="B9787" s="3">
        <v>0.75789351851851849</v>
      </c>
      <c r="C9787">
        <v>3103</v>
      </c>
      <c r="D9787" t="str">
        <f>VLOOKUP(H9787,Produkt!$A$2:$B$5,2,FALSE)</f>
        <v>D</v>
      </c>
      <c r="H9787">
        <v>4</v>
      </c>
      <c r="I9787">
        <v>0.4072453703703704</v>
      </c>
      <c r="J9787">
        <v>44774</v>
      </c>
    </row>
    <row r="9788" spans="1:10" x14ac:dyDescent="0.35">
      <c r="A9788" s="2">
        <v>44804</v>
      </c>
      <c r="B9788" s="3">
        <v>0.49922453703703701</v>
      </c>
      <c r="C9788">
        <v>3121</v>
      </c>
      <c r="D9788" t="str">
        <f>VLOOKUP(H9788,Produkt!$A$2:$B$5,2,FALSE)</f>
        <v>B</v>
      </c>
      <c r="H9788">
        <v>2</v>
      </c>
      <c r="I9788">
        <v>0.22849537037037038</v>
      </c>
      <c r="J9788">
        <v>44777</v>
      </c>
    </row>
    <row r="9789" spans="1:10" x14ac:dyDescent="0.35">
      <c r="A9789" s="2">
        <v>44804</v>
      </c>
      <c r="B9789" s="3">
        <v>9.2476851851851852E-3</v>
      </c>
      <c r="C9789">
        <v>3123</v>
      </c>
      <c r="D9789" t="str">
        <f>VLOOKUP(H9789,Produkt!$A$2:$B$5,2,FALSE)</f>
        <v>D</v>
      </c>
      <c r="H9789">
        <v>4</v>
      </c>
      <c r="I9789">
        <v>1.3460648148148147E-2</v>
      </c>
      <c r="J9789">
        <v>44785</v>
      </c>
    </row>
    <row r="9790" spans="1:10" x14ac:dyDescent="0.35">
      <c r="A9790" s="2">
        <v>44804</v>
      </c>
      <c r="B9790" s="3">
        <v>0.59018518518518526</v>
      </c>
      <c r="C9790">
        <v>3171</v>
      </c>
      <c r="D9790" t="str">
        <f>VLOOKUP(H9790,Produkt!$A$2:$B$5,2,FALSE)</f>
        <v>D</v>
      </c>
      <c r="H9790">
        <v>4</v>
      </c>
      <c r="I9790">
        <v>2.0833333333333259E-2</v>
      </c>
      <c r="J9790">
        <v>44797</v>
      </c>
    </row>
    <row r="9791" spans="1:10" x14ac:dyDescent="0.35">
      <c r="A9791" s="2">
        <v>44804</v>
      </c>
      <c r="B9791" s="3">
        <v>0.64498842592592587</v>
      </c>
      <c r="C9791">
        <v>3176</v>
      </c>
      <c r="D9791" t="str">
        <f>VLOOKUP(H9791,Produkt!$A$2:$B$5,2,FALSE)</f>
        <v>C</v>
      </c>
      <c r="H9791">
        <v>3</v>
      </c>
      <c r="I9791">
        <v>0.70502314814814815</v>
      </c>
      <c r="J9791">
        <v>44791</v>
      </c>
    </row>
    <row r="9792" spans="1:10" x14ac:dyDescent="0.35">
      <c r="A9792" s="2">
        <v>44804</v>
      </c>
      <c r="B9792" s="3">
        <v>0.41974537037037035</v>
      </c>
      <c r="C9792">
        <v>3262</v>
      </c>
      <c r="D9792" t="str">
        <f>VLOOKUP(H9792,Produkt!$A$2:$B$5,2,FALSE)</f>
        <v>B</v>
      </c>
      <c r="H9792">
        <v>2</v>
      </c>
      <c r="I9792">
        <v>0.16052083333333333</v>
      </c>
      <c r="J9792">
        <v>44786</v>
      </c>
    </row>
    <row r="9793" spans="1:10" x14ac:dyDescent="0.35">
      <c r="A9793" s="2">
        <v>44804</v>
      </c>
      <c r="B9793" s="3">
        <v>7.3981481481481481E-2</v>
      </c>
      <c r="C9793">
        <v>3279</v>
      </c>
      <c r="D9793" t="str">
        <f>VLOOKUP(H9793,Produkt!$A$2:$B$5,2,FALSE)</f>
        <v>A</v>
      </c>
      <c r="H9793">
        <v>1</v>
      </c>
      <c r="I9793">
        <v>0.72189814814814823</v>
      </c>
      <c r="J9793">
        <v>44785</v>
      </c>
    </row>
    <row r="9794" spans="1:10" x14ac:dyDescent="0.35">
      <c r="A9794" s="2">
        <v>44804</v>
      </c>
      <c r="B9794" s="3">
        <v>1.6087962962962964E-2</v>
      </c>
      <c r="C9794">
        <v>3305</v>
      </c>
      <c r="D9794" t="str">
        <f>VLOOKUP(H9794,Produkt!$A$2:$B$5,2,FALSE)</f>
        <v>A</v>
      </c>
      <c r="H9794">
        <v>1</v>
      </c>
      <c r="I9794">
        <v>4.0011574074074074E-2</v>
      </c>
      <c r="J9794">
        <v>44794</v>
      </c>
    </row>
    <row r="9795" spans="1:10" x14ac:dyDescent="0.35">
      <c r="A9795" s="2">
        <v>44804</v>
      </c>
      <c r="B9795" s="3">
        <v>0.30810185185185185</v>
      </c>
      <c r="C9795">
        <v>3320</v>
      </c>
      <c r="D9795" t="str">
        <f>VLOOKUP(H9795,Produkt!$A$2:$B$5,2,FALSE)</f>
        <v>A</v>
      </c>
      <c r="H9795">
        <v>1</v>
      </c>
      <c r="I9795">
        <v>0.23431712962962961</v>
      </c>
      <c r="J9795">
        <v>44785</v>
      </c>
    </row>
    <row r="9796" spans="1:10" x14ac:dyDescent="0.35">
      <c r="A9796" s="2">
        <v>44804</v>
      </c>
      <c r="B9796" s="3">
        <v>0.15263888888888888</v>
      </c>
      <c r="C9796">
        <v>3375</v>
      </c>
      <c r="D9796" t="str">
        <f>VLOOKUP(H9796,Produkt!$A$2:$B$5,2,FALSE)</f>
        <v>B</v>
      </c>
      <c r="H9796">
        <v>2</v>
      </c>
      <c r="I9796">
        <v>0.37309027777777781</v>
      </c>
      <c r="J9796">
        <v>44798</v>
      </c>
    </row>
    <row r="9797" spans="1:10" x14ac:dyDescent="0.35">
      <c r="A9797" s="2">
        <v>44804</v>
      </c>
      <c r="B9797" s="3">
        <v>0.21232638888888888</v>
      </c>
      <c r="C9797">
        <v>3417</v>
      </c>
      <c r="D9797" t="str">
        <f>VLOOKUP(H9797,Produkt!$A$2:$B$5,2,FALSE)</f>
        <v>B</v>
      </c>
      <c r="H9797">
        <v>2</v>
      </c>
      <c r="I9797">
        <v>0.5001620370370371</v>
      </c>
      <c r="J9797">
        <v>44791</v>
      </c>
    </row>
    <row r="9798" spans="1:10" x14ac:dyDescent="0.35">
      <c r="A9798" s="2">
        <v>44804</v>
      </c>
      <c r="B9798" s="3">
        <v>0.23524305555555555</v>
      </c>
      <c r="C9798">
        <v>3441</v>
      </c>
      <c r="D9798" t="str">
        <f>VLOOKUP(H9798,Produkt!$A$2:$B$5,2,FALSE)</f>
        <v>A</v>
      </c>
      <c r="H9798">
        <v>1</v>
      </c>
      <c r="I9798">
        <v>0.67918981481481477</v>
      </c>
      <c r="J9798">
        <v>44782</v>
      </c>
    </row>
    <row r="9799" spans="1:10" x14ac:dyDescent="0.35">
      <c r="A9799" s="2">
        <v>44804</v>
      </c>
      <c r="B9799" s="3">
        <v>0.50474537037037037</v>
      </c>
      <c r="C9799">
        <v>3486</v>
      </c>
      <c r="D9799" t="str">
        <f>VLOOKUP(H9799,Produkt!$A$2:$B$5,2,FALSE)</f>
        <v>C</v>
      </c>
      <c r="H9799">
        <v>3</v>
      </c>
      <c r="I9799">
        <v>0.34666666666666668</v>
      </c>
      <c r="J9799">
        <v>44795</v>
      </c>
    </row>
    <row r="9800" spans="1:10" x14ac:dyDescent="0.35">
      <c r="A9800" s="2">
        <v>44804</v>
      </c>
      <c r="B9800" s="3">
        <v>0.45315972222222217</v>
      </c>
      <c r="C9800">
        <v>3502</v>
      </c>
      <c r="D9800" t="str">
        <f>VLOOKUP(H9800,Produkt!$A$2:$B$5,2,FALSE)</f>
        <v>B</v>
      </c>
      <c r="H9800">
        <v>2</v>
      </c>
      <c r="I9800">
        <v>0.3432986111111111</v>
      </c>
      <c r="J9800">
        <v>44804</v>
      </c>
    </row>
    <row r="9801" spans="1:10" x14ac:dyDescent="0.35">
      <c r="A9801" s="2">
        <v>44804</v>
      </c>
      <c r="B9801" s="3">
        <v>0.87761574074074078</v>
      </c>
      <c r="C9801">
        <v>3507</v>
      </c>
      <c r="D9801" t="str">
        <f>VLOOKUP(H9801,Produkt!$A$2:$B$5,2,FALSE)</f>
        <v>A</v>
      </c>
      <c r="H9801">
        <v>1</v>
      </c>
      <c r="I9801">
        <v>6.0300925925925924E-2</v>
      </c>
      <c r="J9801">
        <v>44792</v>
      </c>
    </row>
    <row r="9802" spans="1:10" x14ac:dyDescent="0.35">
      <c r="A9802" s="2">
        <v>44804</v>
      </c>
      <c r="B9802" s="3">
        <v>0.10361111111111111</v>
      </c>
      <c r="C9802">
        <v>3567</v>
      </c>
      <c r="D9802" t="str">
        <f>VLOOKUP(H9802,Produkt!$A$2:$B$5,2,FALSE)</f>
        <v>D</v>
      </c>
      <c r="H9802">
        <v>4</v>
      </c>
      <c r="I9802">
        <v>0.88402777777777775</v>
      </c>
      <c r="J9802">
        <v>44777</v>
      </c>
    </row>
    <row r="9803" spans="1:10" x14ac:dyDescent="0.35">
      <c r="A9803" s="2">
        <v>44804</v>
      </c>
      <c r="B9803" s="3">
        <v>0.53445601851851854</v>
      </c>
      <c r="C9803">
        <v>3568</v>
      </c>
      <c r="D9803" t="str">
        <f>VLOOKUP(H9803,Produkt!$A$2:$B$5,2,FALSE)</f>
        <v>D</v>
      </c>
      <c r="H9803">
        <v>4</v>
      </c>
      <c r="I9803">
        <v>3.2546296296296295E-2</v>
      </c>
      <c r="J9803">
        <v>44795</v>
      </c>
    </row>
    <row r="9804" spans="1:10" x14ac:dyDescent="0.35">
      <c r="A9804" s="2">
        <v>44804</v>
      </c>
      <c r="B9804" s="3">
        <v>0.14796296296296296</v>
      </c>
      <c r="C9804">
        <v>3578</v>
      </c>
      <c r="D9804" t="str">
        <f>VLOOKUP(H9804,Produkt!$A$2:$B$5,2,FALSE)</f>
        <v>D</v>
      </c>
      <c r="H9804">
        <v>4</v>
      </c>
      <c r="I9804">
        <v>0.65469907407407402</v>
      </c>
      <c r="J9804">
        <v>44799</v>
      </c>
    </row>
    <row r="9805" spans="1:10" x14ac:dyDescent="0.35">
      <c r="A9805" s="2">
        <v>44804</v>
      </c>
      <c r="B9805" s="3">
        <v>0.49185185185185182</v>
      </c>
      <c r="C9805">
        <v>3582</v>
      </c>
      <c r="D9805" t="str">
        <f>VLOOKUP(H9805,Produkt!$A$2:$B$5,2,FALSE)</f>
        <v>A</v>
      </c>
      <c r="H9805">
        <v>1</v>
      </c>
      <c r="I9805">
        <v>0.9668402777777777</v>
      </c>
      <c r="J9805">
        <v>44790</v>
      </c>
    </row>
    <row r="9806" spans="1:10" x14ac:dyDescent="0.35">
      <c r="A9806" s="2">
        <v>44804</v>
      </c>
      <c r="B9806" s="3">
        <v>0.82348379629629631</v>
      </c>
      <c r="C9806">
        <v>3601</v>
      </c>
      <c r="D9806" t="str">
        <f>VLOOKUP(H9806,Produkt!$A$2:$B$5,2,FALSE)</f>
        <v>A</v>
      </c>
      <c r="H9806">
        <v>1</v>
      </c>
      <c r="I9806">
        <v>0.30686342592592591</v>
      </c>
      <c r="J9806">
        <v>44790</v>
      </c>
    </row>
    <row r="9807" spans="1:10" x14ac:dyDescent="0.35">
      <c r="A9807" s="2">
        <v>44804</v>
      </c>
      <c r="B9807" s="3">
        <v>0.3772800925925926</v>
      </c>
      <c r="C9807">
        <v>3628</v>
      </c>
      <c r="D9807" t="str">
        <f>VLOOKUP(H9807,Produkt!$A$2:$B$5,2,FALSE)</f>
        <v>B</v>
      </c>
      <c r="H9807">
        <v>2</v>
      </c>
      <c r="I9807">
        <v>0.46968750000000004</v>
      </c>
      <c r="J9807">
        <v>44794</v>
      </c>
    </row>
    <row r="9808" spans="1:10" x14ac:dyDescent="0.35">
      <c r="A9808" s="2">
        <v>44804</v>
      </c>
      <c r="B9808" s="3">
        <v>0.54033564814814816</v>
      </c>
      <c r="C9808">
        <v>3663</v>
      </c>
      <c r="D9808" t="str">
        <f>VLOOKUP(H9808,Produkt!$A$2:$B$5,2,FALSE)</f>
        <v>B</v>
      </c>
      <c r="H9808">
        <v>2</v>
      </c>
      <c r="I9808">
        <v>0.16192129629629629</v>
      </c>
      <c r="J9808">
        <v>44800</v>
      </c>
    </row>
    <row r="9809" spans="1:10" x14ac:dyDescent="0.35">
      <c r="A9809" s="2">
        <v>44804</v>
      </c>
      <c r="B9809" s="3">
        <v>0.14166666666666666</v>
      </c>
      <c r="C9809">
        <v>3679</v>
      </c>
      <c r="D9809" t="str">
        <f>VLOOKUP(H9809,Produkt!$A$2:$B$5,2,FALSE)</f>
        <v>A</v>
      </c>
      <c r="H9809">
        <v>1</v>
      </c>
      <c r="I9809">
        <v>0.95405092592592589</v>
      </c>
      <c r="J9809">
        <v>44787</v>
      </c>
    </row>
    <row r="9810" spans="1:10" x14ac:dyDescent="0.35">
      <c r="A9810" s="2">
        <v>44804</v>
      </c>
      <c r="B9810" s="3">
        <v>0.91138888888888892</v>
      </c>
      <c r="C9810">
        <v>3731</v>
      </c>
      <c r="D9810" t="str">
        <f>VLOOKUP(H9810,Produkt!$A$2:$B$5,2,FALSE)</f>
        <v>D</v>
      </c>
      <c r="H9810">
        <v>4</v>
      </c>
      <c r="I9810">
        <v>0.42311342592592593</v>
      </c>
      <c r="J9810">
        <v>44774</v>
      </c>
    </row>
    <row r="9811" spans="1:10" x14ac:dyDescent="0.35">
      <c r="A9811" s="2">
        <v>44804</v>
      </c>
      <c r="B9811" s="3">
        <v>0.46894675925925927</v>
      </c>
      <c r="C9811">
        <v>3735</v>
      </c>
      <c r="D9811" t="str">
        <f>VLOOKUP(H9811,Produkt!$A$2:$B$5,2,FALSE)</f>
        <v>D</v>
      </c>
      <c r="H9811">
        <v>4</v>
      </c>
      <c r="I9811">
        <v>0.8590740740740741</v>
      </c>
      <c r="J9811">
        <v>44797</v>
      </c>
    </row>
    <row r="9812" spans="1:10" x14ac:dyDescent="0.35">
      <c r="A9812" s="2">
        <v>44804</v>
      </c>
      <c r="B9812" s="3">
        <v>0.8314583333333333</v>
      </c>
      <c r="C9812">
        <v>3760</v>
      </c>
      <c r="D9812" t="str">
        <f>VLOOKUP(H9812,Produkt!$A$2:$B$5,2,FALSE)</f>
        <v>A</v>
      </c>
      <c r="H9812">
        <v>1</v>
      </c>
      <c r="I9812">
        <v>0.70104166666666667</v>
      </c>
      <c r="J9812">
        <v>44790</v>
      </c>
    </row>
    <row r="9813" spans="1:10" x14ac:dyDescent="0.35">
      <c r="A9813" s="2">
        <v>44804</v>
      </c>
      <c r="B9813" s="3">
        <v>0.70315972222222223</v>
      </c>
      <c r="C9813">
        <v>3816</v>
      </c>
      <c r="D9813" t="str">
        <f>VLOOKUP(H9813,Produkt!$A$2:$B$5,2,FALSE)</f>
        <v>A</v>
      </c>
      <c r="H9813">
        <v>1</v>
      </c>
      <c r="I9813">
        <v>1.2499999999999999E-2</v>
      </c>
      <c r="J9813">
        <v>44792</v>
      </c>
    </row>
    <row r="9814" spans="1:10" x14ac:dyDescent="0.35">
      <c r="A9814" s="2">
        <v>44804</v>
      </c>
      <c r="B9814" s="3">
        <v>0.3628703703703704</v>
      </c>
      <c r="C9814">
        <v>3953</v>
      </c>
      <c r="D9814" t="str">
        <f>VLOOKUP(H9814,Produkt!$A$2:$B$5,2,FALSE)</f>
        <v>C</v>
      </c>
      <c r="H9814">
        <v>3</v>
      </c>
      <c r="I9814">
        <v>0.24324074074074073</v>
      </c>
      <c r="J9814">
        <v>44791</v>
      </c>
    </row>
    <row r="9815" spans="1:10" x14ac:dyDescent="0.35">
      <c r="A9815" s="2">
        <v>44804</v>
      </c>
      <c r="B9815" s="3">
        <v>5.2349537037037042E-2</v>
      </c>
      <c r="C9815">
        <v>3965</v>
      </c>
      <c r="D9815" t="str">
        <f>VLOOKUP(H9815,Produkt!$A$2:$B$5,2,FALSE)</f>
        <v>D</v>
      </c>
      <c r="H9815">
        <v>4</v>
      </c>
      <c r="I9815">
        <v>0.22881944444444444</v>
      </c>
      <c r="J9815">
        <v>44783</v>
      </c>
    </row>
    <row r="9816" spans="1:10" x14ac:dyDescent="0.35">
      <c r="A9816" s="2">
        <v>44804</v>
      </c>
      <c r="B9816" s="3">
        <v>0.30714120370370374</v>
      </c>
      <c r="C9816">
        <v>3973</v>
      </c>
      <c r="D9816" t="str">
        <f>VLOOKUP(H9816,Produkt!$A$2:$B$5,2,FALSE)</f>
        <v>B</v>
      </c>
      <c r="H9816">
        <v>2</v>
      </c>
      <c r="I9816">
        <v>0.8866087962962963</v>
      </c>
      <c r="J9816">
        <v>44795</v>
      </c>
    </row>
    <row r="9817" spans="1:10" x14ac:dyDescent="0.35">
      <c r="A9817" s="2">
        <v>44804</v>
      </c>
      <c r="B9817" s="3">
        <v>0.80209490740740741</v>
      </c>
      <c r="C9817">
        <v>3974</v>
      </c>
      <c r="D9817" t="str">
        <f>VLOOKUP(H9817,Produkt!$A$2:$B$5,2,FALSE)</f>
        <v>D</v>
      </c>
      <c r="H9817">
        <v>4</v>
      </c>
      <c r="I9817">
        <v>0.14987268518518518</v>
      </c>
      <c r="J9817">
        <v>44786</v>
      </c>
    </row>
    <row r="9818" spans="1:10" x14ac:dyDescent="0.35">
      <c r="A9818" s="2">
        <v>44804</v>
      </c>
      <c r="B9818" s="3">
        <v>0.65591435185185187</v>
      </c>
      <c r="C9818">
        <v>4004</v>
      </c>
      <c r="D9818" t="str">
        <f>VLOOKUP(H9818,Produkt!$A$2:$B$5,2,FALSE)</f>
        <v>C</v>
      </c>
      <c r="H9818">
        <v>3</v>
      </c>
      <c r="I9818">
        <v>2.2430555555555509E-2</v>
      </c>
      <c r="J9818">
        <v>44787</v>
      </c>
    </row>
    <row r="9819" spans="1:10" x14ac:dyDescent="0.35">
      <c r="A9819" s="2">
        <v>44804</v>
      </c>
      <c r="B9819" s="3">
        <v>0.409212962962963</v>
      </c>
      <c r="C9819">
        <v>4027</v>
      </c>
      <c r="D9819" t="str">
        <f>VLOOKUP(H9819,Produkt!$A$2:$B$5,2,FALSE)</f>
        <v>A</v>
      </c>
      <c r="H9819">
        <v>1</v>
      </c>
      <c r="I9819">
        <v>0.60222222222222221</v>
      </c>
      <c r="J9819">
        <v>44782</v>
      </c>
    </row>
    <row r="9820" spans="1:10" x14ac:dyDescent="0.35">
      <c r="A9820" s="2">
        <v>44804</v>
      </c>
      <c r="B9820" s="3">
        <v>0.40222222222222226</v>
      </c>
      <c r="C9820">
        <v>4074</v>
      </c>
      <c r="D9820" t="str">
        <f>VLOOKUP(H9820,Produkt!$A$2:$B$5,2,FALSE)</f>
        <v>D</v>
      </c>
      <c r="H9820">
        <v>4</v>
      </c>
      <c r="I9820">
        <v>0.46790509259259255</v>
      </c>
      <c r="J9820">
        <v>44792</v>
      </c>
    </row>
    <row r="9821" spans="1:10" x14ac:dyDescent="0.35">
      <c r="A9821" s="2">
        <v>44804</v>
      </c>
      <c r="B9821" s="3">
        <v>0.36013888888888884</v>
      </c>
      <c r="C9821">
        <v>4131</v>
      </c>
      <c r="D9821" t="str">
        <f>VLOOKUP(H9821,Produkt!$A$2:$B$5,2,FALSE)</f>
        <v>C</v>
      </c>
      <c r="H9821">
        <v>3</v>
      </c>
      <c r="I9821">
        <v>0.79234953703703714</v>
      </c>
      <c r="J9821">
        <v>44795</v>
      </c>
    </row>
    <row r="9822" spans="1:10" x14ac:dyDescent="0.35">
      <c r="A9822" s="2">
        <v>44804</v>
      </c>
      <c r="B9822" s="3">
        <v>0.92625000000000002</v>
      </c>
      <c r="C9822">
        <v>4174</v>
      </c>
      <c r="D9822" t="str">
        <f>VLOOKUP(H9822,Produkt!$A$2:$B$5,2,FALSE)</f>
        <v>C</v>
      </c>
      <c r="H9822">
        <v>3</v>
      </c>
      <c r="I9822">
        <v>0.53312499999999996</v>
      </c>
      <c r="J9822">
        <v>44804</v>
      </c>
    </row>
    <row r="9823" spans="1:10" x14ac:dyDescent="0.35">
      <c r="A9823" s="2">
        <v>44804</v>
      </c>
      <c r="B9823" s="3">
        <v>0.92203703703703699</v>
      </c>
      <c r="C9823">
        <v>4210</v>
      </c>
      <c r="D9823" t="str">
        <f>VLOOKUP(H9823,Produkt!$A$2:$B$5,2,FALSE)</f>
        <v>B</v>
      </c>
      <c r="H9823">
        <v>2</v>
      </c>
      <c r="I9823">
        <v>7.946759259259259E-2</v>
      </c>
      <c r="J9823">
        <v>44803</v>
      </c>
    </row>
    <row r="9824" spans="1:10" x14ac:dyDescent="0.35">
      <c r="A9824" s="2">
        <v>44804</v>
      </c>
      <c r="B9824" s="3">
        <v>0.57025462962962969</v>
      </c>
      <c r="C9824">
        <v>4215</v>
      </c>
      <c r="D9824" t="str">
        <f>VLOOKUP(H9824,Produkt!$A$2:$B$5,2,FALSE)</f>
        <v>D</v>
      </c>
      <c r="H9824">
        <v>4</v>
      </c>
      <c r="I9824">
        <v>0.57494212962962965</v>
      </c>
      <c r="J9824">
        <v>44789</v>
      </c>
    </row>
    <row r="9825" spans="1:10" x14ac:dyDescent="0.35">
      <c r="A9825" s="2">
        <v>44804</v>
      </c>
      <c r="B9825" s="3">
        <v>0.60559027777777774</v>
      </c>
      <c r="C9825">
        <v>4230</v>
      </c>
      <c r="D9825" t="str">
        <f>VLOOKUP(H9825,Produkt!$A$2:$B$5,2,FALSE)</f>
        <v>B</v>
      </c>
      <c r="H9825">
        <v>2</v>
      </c>
      <c r="I9825">
        <v>0.4937037037037037</v>
      </c>
      <c r="J9825">
        <v>44777</v>
      </c>
    </row>
    <row r="9826" spans="1:10" x14ac:dyDescent="0.35">
      <c r="A9826" s="2">
        <v>44804</v>
      </c>
      <c r="B9826" s="3">
        <v>0.33004629629629628</v>
      </c>
      <c r="C9826">
        <v>4278</v>
      </c>
      <c r="D9826" t="str">
        <f>VLOOKUP(H9826,Produkt!$A$2:$B$5,2,FALSE)</f>
        <v>B</v>
      </c>
      <c r="H9826">
        <v>2</v>
      </c>
      <c r="I9826">
        <v>0.40332175925925928</v>
      </c>
      <c r="J9826">
        <v>44791</v>
      </c>
    </row>
    <row r="9827" spans="1:10" x14ac:dyDescent="0.35">
      <c r="A9827" s="2">
        <v>44804</v>
      </c>
      <c r="B9827" s="3">
        <v>0.92822916666666666</v>
      </c>
      <c r="C9827">
        <v>4280</v>
      </c>
      <c r="D9827" t="str">
        <f>VLOOKUP(H9827,Produkt!$A$2:$B$5,2,FALSE)</f>
        <v>C</v>
      </c>
      <c r="H9827">
        <v>3</v>
      </c>
      <c r="I9827">
        <v>0.14393518518518519</v>
      </c>
      <c r="J9827">
        <v>44787</v>
      </c>
    </row>
    <row r="9828" spans="1:10" x14ac:dyDescent="0.35">
      <c r="A9828" s="2">
        <v>44804</v>
      </c>
      <c r="B9828" s="3">
        <v>0.9588310185185186</v>
      </c>
      <c r="C9828">
        <v>4339</v>
      </c>
      <c r="D9828" t="str">
        <f>VLOOKUP(H9828,Produkt!$A$2:$B$5,2,FALSE)</f>
        <v>C</v>
      </c>
      <c r="H9828">
        <v>3</v>
      </c>
      <c r="I9828">
        <v>6.7187499999999997E-2</v>
      </c>
      <c r="J9828">
        <v>44777</v>
      </c>
    </row>
    <row r="9829" spans="1:10" x14ac:dyDescent="0.35">
      <c r="A9829" s="2">
        <v>44804</v>
      </c>
      <c r="B9829" s="3">
        <v>4.8958333333333328E-3</v>
      </c>
      <c r="C9829">
        <v>4352</v>
      </c>
      <c r="D9829" t="str">
        <f>VLOOKUP(H9829,Produkt!$A$2:$B$5,2,FALSE)</f>
        <v>C</v>
      </c>
      <c r="H9829">
        <v>3</v>
      </c>
      <c r="I9829">
        <v>0.48971064814814813</v>
      </c>
      <c r="J9829">
        <v>44784</v>
      </c>
    </row>
    <row r="9830" spans="1:10" x14ac:dyDescent="0.35">
      <c r="A9830" s="2">
        <v>44804</v>
      </c>
      <c r="B9830" s="3">
        <v>0.12621527777777777</v>
      </c>
      <c r="C9830">
        <v>4369</v>
      </c>
      <c r="D9830" t="str">
        <f>VLOOKUP(H9830,Produkt!$A$2:$B$5,2,FALSE)</f>
        <v>C</v>
      </c>
      <c r="H9830">
        <v>3</v>
      </c>
      <c r="I9830">
        <v>0.50972222222222219</v>
      </c>
      <c r="J9830">
        <v>44798</v>
      </c>
    </row>
    <row r="9831" spans="1:10" x14ac:dyDescent="0.35">
      <c r="A9831" s="2">
        <v>44804</v>
      </c>
      <c r="B9831" s="3">
        <v>0.55958333333333332</v>
      </c>
      <c r="C9831">
        <v>4449</v>
      </c>
      <c r="D9831" t="str">
        <f>VLOOKUP(H9831,Produkt!$A$2:$B$5,2,FALSE)</f>
        <v>A</v>
      </c>
      <c r="H9831">
        <v>1</v>
      </c>
      <c r="I9831">
        <v>0.55166666666666664</v>
      </c>
      <c r="J9831">
        <v>44780</v>
      </c>
    </row>
    <row r="9832" spans="1:10" x14ac:dyDescent="0.35">
      <c r="A9832" s="2">
        <v>44804</v>
      </c>
      <c r="B9832" s="3">
        <v>0.80475694444444434</v>
      </c>
      <c r="C9832">
        <v>4477</v>
      </c>
      <c r="D9832" t="str">
        <f>VLOOKUP(H9832,Produkt!$A$2:$B$5,2,FALSE)</f>
        <v>C</v>
      </c>
      <c r="H9832">
        <v>3</v>
      </c>
      <c r="I9832">
        <v>0.68274305555555559</v>
      </c>
      <c r="J9832">
        <v>44803</v>
      </c>
    </row>
    <row r="9833" spans="1:10" x14ac:dyDescent="0.35">
      <c r="A9833" s="2">
        <v>44804</v>
      </c>
      <c r="B9833" s="3">
        <v>0.59069444444444441</v>
      </c>
      <c r="C9833">
        <v>4525</v>
      </c>
      <c r="D9833" t="str">
        <f>VLOOKUP(H9833,Produkt!$A$2:$B$5,2,FALSE)</f>
        <v>A</v>
      </c>
      <c r="H9833">
        <v>1</v>
      </c>
      <c r="I9833">
        <v>8.4490740740740741E-2</v>
      </c>
      <c r="J9833">
        <v>44774</v>
      </c>
    </row>
    <row r="9834" spans="1:10" x14ac:dyDescent="0.35">
      <c r="A9834" s="2">
        <v>44804</v>
      </c>
      <c r="B9834" s="3">
        <v>0.82170138888888899</v>
      </c>
      <c r="C9834">
        <v>4570</v>
      </c>
      <c r="D9834" t="str">
        <f>VLOOKUP(H9834,Produkt!$A$2:$B$5,2,FALSE)</f>
        <v>C</v>
      </c>
      <c r="H9834">
        <v>3</v>
      </c>
      <c r="I9834">
        <v>0.91502314814814811</v>
      </c>
      <c r="J9834">
        <v>44779</v>
      </c>
    </row>
    <row r="9835" spans="1:10" x14ac:dyDescent="0.35">
      <c r="A9835" s="2">
        <v>44804</v>
      </c>
      <c r="B9835" s="3">
        <v>0.8699189814814815</v>
      </c>
      <c r="C9835">
        <v>4588</v>
      </c>
      <c r="D9835" t="str">
        <f>VLOOKUP(H9835,Produkt!$A$2:$B$5,2,FALSE)</f>
        <v>C</v>
      </c>
      <c r="H9835">
        <v>3</v>
      </c>
      <c r="I9835">
        <v>0.40843750000000001</v>
      </c>
      <c r="J9835">
        <v>44786</v>
      </c>
    </row>
    <row r="9836" spans="1:10" x14ac:dyDescent="0.35">
      <c r="A9836" s="2">
        <v>44804</v>
      </c>
      <c r="B9836" s="3">
        <v>0.30381944444444448</v>
      </c>
      <c r="C9836">
        <v>4607</v>
      </c>
      <c r="D9836" t="str">
        <f>VLOOKUP(H9836,Produkt!$A$2:$B$5,2,FALSE)</f>
        <v>A</v>
      </c>
      <c r="H9836">
        <v>1</v>
      </c>
      <c r="I9836">
        <v>0.23247685185185185</v>
      </c>
      <c r="J9836">
        <v>44796</v>
      </c>
    </row>
    <row r="9837" spans="1:10" x14ac:dyDescent="0.35">
      <c r="A9837" s="2">
        <v>44804</v>
      </c>
      <c r="B9837" s="3">
        <v>0.176875</v>
      </c>
      <c r="C9837">
        <v>4609</v>
      </c>
      <c r="D9837" t="str">
        <f>VLOOKUP(H9837,Produkt!$A$2:$B$5,2,FALSE)</f>
        <v>B</v>
      </c>
      <c r="H9837">
        <v>2</v>
      </c>
      <c r="I9837">
        <v>0.30495370370370373</v>
      </c>
      <c r="J9837">
        <v>44780</v>
      </c>
    </row>
    <row r="9838" spans="1:10" x14ac:dyDescent="0.35">
      <c r="A9838" s="2">
        <v>44804</v>
      </c>
      <c r="B9838" s="3">
        <v>0.63005787037037042</v>
      </c>
      <c r="C9838">
        <v>4639</v>
      </c>
      <c r="D9838" t="str">
        <f>VLOOKUP(H9838,Produkt!$A$2:$B$5,2,FALSE)</f>
        <v>A</v>
      </c>
      <c r="H9838">
        <v>1</v>
      </c>
      <c r="I9838">
        <v>0.56093749999999998</v>
      </c>
      <c r="J9838">
        <v>44782</v>
      </c>
    </row>
    <row r="9839" spans="1:10" x14ac:dyDescent="0.35">
      <c r="A9839" s="2">
        <v>44804</v>
      </c>
      <c r="B9839" s="3">
        <v>0.92436342592592602</v>
      </c>
      <c r="C9839">
        <v>4669</v>
      </c>
      <c r="D9839" t="str">
        <f>VLOOKUP(H9839,Produkt!$A$2:$B$5,2,FALSE)</f>
        <v>B</v>
      </c>
      <c r="H9839">
        <v>2</v>
      </c>
      <c r="I9839">
        <v>0.90251157407407412</v>
      </c>
      <c r="J9839">
        <v>44775</v>
      </c>
    </row>
    <row r="9840" spans="1:10" x14ac:dyDescent="0.35">
      <c r="A9840" s="2">
        <v>44804</v>
      </c>
      <c r="B9840" s="3">
        <v>0.96180555555555547</v>
      </c>
      <c r="C9840">
        <v>4713</v>
      </c>
      <c r="D9840" t="str">
        <f>VLOOKUP(H9840,Produkt!$A$2:$B$5,2,FALSE)</f>
        <v>C</v>
      </c>
      <c r="H9840">
        <v>3</v>
      </c>
      <c r="I9840">
        <v>2.5150462962962961E-2</v>
      </c>
      <c r="J9840">
        <v>44796</v>
      </c>
    </row>
    <row r="9841" spans="1:10" x14ac:dyDescent="0.35">
      <c r="A9841" s="2">
        <v>44804</v>
      </c>
      <c r="B9841" s="3">
        <v>0.33982638888888889</v>
      </c>
      <c r="C9841">
        <v>4733</v>
      </c>
      <c r="D9841" t="str">
        <f>VLOOKUP(H9841,Produkt!$A$2:$B$5,2,FALSE)</f>
        <v>B</v>
      </c>
      <c r="H9841">
        <v>2</v>
      </c>
      <c r="I9841">
        <v>0.94870370370370372</v>
      </c>
      <c r="J9841">
        <v>44784</v>
      </c>
    </row>
    <row r="9842" spans="1:10" x14ac:dyDescent="0.35">
      <c r="A9842" s="2">
        <v>44804</v>
      </c>
      <c r="B9842" s="3">
        <v>0.30278935185185185</v>
      </c>
      <c r="C9842">
        <v>4734</v>
      </c>
      <c r="D9842" t="str">
        <f>VLOOKUP(H9842,Produkt!$A$2:$B$5,2,FALSE)</f>
        <v>D</v>
      </c>
      <c r="H9842">
        <v>4</v>
      </c>
      <c r="I9842">
        <v>0.84086805555555555</v>
      </c>
      <c r="J9842">
        <v>44790</v>
      </c>
    </row>
    <row r="9843" spans="1:10" x14ac:dyDescent="0.35">
      <c r="A9843" s="2">
        <v>44804</v>
      </c>
      <c r="B9843" s="3">
        <v>0.25260416666666669</v>
      </c>
      <c r="C9843">
        <v>4759</v>
      </c>
      <c r="D9843" t="str">
        <f>VLOOKUP(H9843,Produkt!$A$2:$B$5,2,FALSE)</f>
        <v>C</v>
      </c>
      <c r="H9843">
        <v>3</v>
      </c>
      <c r="I9843">
        <v>0.94059027777777782</v>
      </c>
      <c r="J9843">
        <v>44800</v>
      </c>
    </row>
    <row r="9844" spans="1:10" x14ac:dyDescent="0.35">
      <c r="A9844" s="2">
        <v>44804</v>
      </c>
      <c r="B9844" s="3">
        <v>0.89427083333333324</v>
      </c>
      <c r="C9844">
        <v>4780</v>
      </c>
      <c r="D9844" t="str">
        <f>VLOOKUP(H9844,Produkt!$A$2:$B$5,2,FALSE)</f>
        <v>D</v>
      </c>
      <c r="H9844">
        <v>4</v>
      </c>
      <c r="I9844">
        <v>0.21273148148148147</v>
      </c>
      <c r="J9844">
        <v>44780</v>
      </c>
    </row>
    <row r="9845" spans="1:10" x14ac:dyDescent="0.35">
      <c r="A9845" s="2">
        <v>44804</v>
      </c>
      <c r="B9845" s="3">
        <v>0.72832175925925924</v>
      </c>
      <c r="C9845">
        <v>4808</v>
      </c>
      <c r="D9845" t="str">
        <f>VLOOKUP(H9845,Produkt!$A$2:$B$5,2,FALSE)</f>
        <v>B</v>
      </c>
      <c r="H9845">
        <v>2</v>
      </c>
      <c r="I9845">
        <v>0.94343749999999993</v>
      </c>
      <c r="J9845">
        <v>44799</v>
      </c>
    </row>
    <row r="9846" spans="1:10" x14ac:dyDescent="0.35">
      <c r="A9846" s="2">
        <v>44804</v>
      </c>
      <c r="B9846" s="3">
        <v>0.37122685185185184</v>
      </c>
      <c r="C9846">
        <v>4893</v>
      </c>
      <c r="D9846" t="str">
        <f>VLOOKUP(H9846,Produkt!$A$2:$B$5,2,FALSE)</f>
        <v>D</v>
      </c>
      <c r="H9846">
        <v>4</v>
      </c>
      <c r="I9846">
        <v>0.75724537037037043</v>
      </c>
      <c r="J9846">
        <v>44776</v>
      </c>
    </row>
    <row r="9847" spans="1:10" x14ac:dyDescent="0.35">
      <c r="A9847" s="2">
        <v>44804</v>
      </c>
      <c r="B9847" s="3">
        <v>0.96655092592592595</v>
      </c>
      <c r="C9847">
        <v>4918</v>
      </c>
      <c r="D9847" t="str">
        <f>VLOOKUP(H9847,Produkt!$A$2:$B$5,2,FALSE)</f>
        <v>D</v>
      </c>
      <c r="H9847">
        <v>4</v>
      </c>
      <c r="I9847">
        <v>0.44453703703703701</v>
      </c>
      <c r="J9847">
        <v>44792</v>
      </c>
    </row>
    <row r="9848" spans="1:10" x14ac:dyDescent="0.35">
      <c r="A9848" s="2">
        <v>44804</v>
      </c>
      <c r="B9848" s="3">
        <v>0.67822916666666666</v>
      </c>
      <c r="C9848">
        <v>4964</v>
      </c>
      <c r="D9848" t="str">
        <f>VLOOKUP(H9848,Produkt!$A$2:$B$5,2,FALSE)</f>
        <v>B</v>
      </c>
      <c r="H9848">
        <v>2</v>
      </c>
      <c r="I9848">
        <v>0.44953703703703707</v>
      </c>
      <c r="J9848">
        <v>44793</v>
      </c>
    </row>
    <row r="9849" spans="1:10" x14ac:dyDescent="0.35">
      <c r="A9849" s="2">
        <v>44804</v>
      </c>
      <c r="B9849" s="3">
        <v>0.24078703703703705</v>
      </c>
      <c r="C9849">
        <v>5012</v>
      </c>
      <c r="D9849" t="str">
        <f>VLOOKUP(H9849,Produkt!$A$2:$B$5,2,FALSE)</f>
        <v>C</v>
      </c>
      <c r="H9849">
        <v>3</v>
      </c>
      <c r="I9849">
        <v>7.9699074074074075E-2</v>
      </c>
      <c r="J9849">
        <v>44794</v>
      </c>
    </row>
    <row r="9850" spans="1:10" x14ac:dyDescent="0.35">
      <c r="A9850" s="2">
        <v>44804</v>
      </c>
      <c r="B9850" s="3">
        <v>0.3052199074074074</v>
      </c>
      <c r="C9850">
        <v>5076</v>
      </c>
      <c r="D9850" t="str">
        <f>VLOOKUP(H9850,Produkt!$A$2:$B$5,2,FALSE)</f>
        <v>D</v>
      </c>
      <c r="H9850">
        <v>4</v>
      </c>
      <c r="I9850">
        <v>0.23953703703703702</v>
      </c>
      <c r="J9850">
        <v>44793</v>
      </c>
    </row>
    <row r="9851" spans="1:10" x14ac:dyDescent="0.35">
      <c r="A9851" s="2">
        <v>44804</v>
      </c>
      <c r="B9851" s="3">
        <v>0.72016203703703707</v>
      </c>
      <c r="C9851">
        <v>5135</v>
      </c>
      <c r="D9851" t="str">
        <f>VLOOKUP(H9851,Produkt!$A$2:$B$5,2,FALSE)</f>
        <v>B</v>
      </c>
      <c r="H9851">
        <v>2</v>
      </c>
      <c r="I9851">
        <v>0.3596064814814815</v>
      </c>
      <c r="J9851">
        <v>44782</v>
      </c>
    </row>
    <row r="9852" spans="1:10" x14ac:dyDescent="0.35">
      <c r="A9852" s="2">
        <v>44804</v>
      </c>
      <c r="B9852" s="3">
        <v>0.96251157407407406</v>
      </c>
      <c r="C9852">
        <v>5160</v>
      </c>
      <c r="D9852" t="str">
        <f>VLOOKUP(H9852,Produkt!$A$2:$B$5,2,FALSE)</f>
        <v>D</v>
      </c>
      <c r="H9852">
        <v>4</v>
      </c>
      <c r="I9852">
        <v>0.8401967592592593</v>
      </c>
      <c r="J9852">
        <v>44803</v>
      </c>
    </row>
    <row r="9853" spans="1:10" x14ac:dyDescent="0.35">
      <c r="A9853" s="2">
        <v>44804</v>
      </c>
      <c r="B9853" s="3">
        <v>0.87269675925925927</v>
      </c>
      <c r="C9853">
        <v>5173</v>
      </c>
      <c r="D9853" t="str">
        <f>VLOOKUP(H9853,Produkt!$A$2:$B$5,2,FALSE)</f>
        <v>D</v>
      </c>
      <c r="H9853">
        <v>4</v>
      </c>
      <c r="I9853">
        <v>0.22765046296296296</v>
      </c>
      <c r="J9853">
        <v>44793</v>
      </c>
    </row>
    <row r="9854" spans="1:10" x14ac:dyDescent="0.35">
      <c r="A9854" s="2">
        <v>44804</v>
      </c>
      <c r="B9854" s="3">
        <v>0.66697916666666668</v>
      </c>
      <c r="C9854">
        <v>5177</v>
      </c>
      <c r="D9854" t="str">
        <f>VLOOKUP(H9854,Produkt!$A$2:$B$5,2,FALSE)</f>
        <v>A</v>
      </c>
      <c r="H9854">
        <v>1</v>
      </c>
      <c r="I9854">
        <v>0.32944444444444443</v>
      </c>
      <c r="J9854">
        <v>44803</v>
      </c>
    </row>
    <row r="9855" spans="1:10" x14ac:dyDescent="0.35">
      <c r="A9855" s="2">
        <v>44804</v>
      </c>
      <c r="B9855" s="3">
        <v>0.51224537037037032</v>
      </c>
      <c r="C9855">
        <v>5193</v>
      </c>
      <c r="D9855" t="str">
        <f>VLOOKUP(H9855,Produkt!$A$2:$B$5,2,FALSE)</f>
        <v>A</v>
      </c>
      <c r="H9855">
        <v>1</v>
      </c>
      <c r="I9855">
        <v>0.47039351851851857</v>
      </c>
      <c r="J9855">
        <v>44804</v>
      </c>
    </row>
    <row r="9856" spans="1:10" x14ac:dyDescent="0.35">
      <c r="A9856" s="2">
        <v>44804</v>
      </c>
      <c r="B9856" s="3">
        <v>2.3564814814814813E-2</v>
      </c>
      <c r="C9856">
        <v>5268</v>
      </c>
      <c r="D9856" t="str">
        <f>VLOOKUP(H9856,Produkt!$A$2:$B$5,2,FALSE)</f>
        <v>C</v>
      </c>
      <c r="H9856">
        <v>3</v>
      </c>
      <c r="I9856">
        <v>0.13658564814814814</v>
      </c>
      <c r="J9856">
        <v>44790</v>
      </c>
    </row>
    <row r="9857" spans="1:10" x14ac:dyDescent="0.35">
      <c r="A9857" s="2">
        <v>44804</v>
      </c>
      <c r="B9857" s="3">
        <v>2.9560185185185217E-2</v>
      </c>
      <c r="C9857">
        <v>5289</v>
      </c>
      <c r="D9857" t="str">
        <f>VLOOKUP(H9857,Produkt!$A$2:$B$5,2,FALSE)</f>
        <v>D</v>
      </c>
      <c r="H9857">
        <v>4</v>
      </c>
      <c r="I9857">
        <v>6.2500000000000001E-4</v>
      </c>
      <c r="J9857">
        <v>44785</v>
      </c>
    </row>
    <row r="9858" spans="1:10" x14ac:dyDescent="0.35">
      <c r="A9858" s="2">
        <v>44804</v>
      </c>
      <c r="B9858" s="3">
        <v>0.44865740740740739</v>
      </c>
      <c r="C9858">
        <v>5295</v>
      </c>
      <c r="D9858" t="str">
        <f>VLOOKUP(H9858,Produkt!$A$2:$B$5,2,FALSE)</f>
        <v>D</v>
      </c>
      <c r="H9858">
        <v>4</v>
      </c>
      <c r="I9858">
        <v>0.27528935185185183</v>
      </c>
      <c r="J9858">
        <v>44789</v>
      </c>
    </row>
    <row r="9859" spans="1:10" x14ac:dyDescent="0.35">
      <c r="A9859" s="2">
        <v>44804</v>
      </c>
      <c r="B9859" s="3">
        <v>0.26449074074074075</v>
      </c>
      <c r="C9859">
        <v>5312</v>
      </c>
      <c r="D9859" t="str">
        <f>VLOOKUP(H9859,Produkt!$A$2:$B$5,2,FALSE)</f>
        <v>D</v>
      </c>
      <c r="H9859">
        <v>4</v>
      </c>
      <c r="I9859">
        <v>0.93945601851851857</v>
      </c>
      <c r="J9859">
        <v>44782</v>
      </c>
    </row>
    <row r="9860" spans="1:10" x14ac:dyDescent="0.35">
      <c r="A9860" s="2">
        <v>44804</v>
      </c>
      <c r="B9860" s="3">
        <v>0.87185185185185177</v>
      </c>
      <c r="C9860">
        <v>5319</v>
      </c>
      <c r="D9860" t="str">
        <f>VLOOKUP(H9860,Produkt!$A$2:$B$5,2,FALSE)</f>
        <v>B</v>
      </c>
      <c r="H9860">
        <v>2</v>
      </c>
      <c r="I9860">
        <v>0.46660879629629631</v>
      </c>
      <c r="J9860">
        <v>44800</v>
      </c>
    </row>
    <row r="9861" spans="1:10" x14ac:dyDescent="0.35">
      <c r="A9861" s="2">
        <v>44804</v>
      </c>
      <c r="B9861" s="3">
        <v>0.16695601851851852</v>
      </c>
      <c r="C9861">
        <v>5323</v>
      </c>
      <c r="D9861" t="str">
        <f>VLOOKUP(H9861,Produkt!$A$2:$B$5,2,FALSE)</f>
        <v>D</v>
      </c>
      <c r="H9861">
        <v>4</v>
      </c>
      <c r="I9861">
        <v>0.26128472222222221</v>
      </c>
      <c r="J9861">
        <v>44784</v>
      </c>
    </row>
    <row r="9862" spans="1:10" x14ac:dyDescent="0.35">
      <c r="A9862" s="2">
        <v>44804</v>
      </c>
      <c r="B9862" s="3">
        <v>0.35651620370370374</v>
      </c>
      <c r="C9862">
        <v>5331</v>
      </c>
      <c r="D9862" t="str">
        <f>VLOOKUP(H9862,Produkt!$A$2:$B$5,2,FALSE)</f>
        <v>D</v>
      </c>
      <c r="H9862">
        <v>4</v>
      </c>
      <c r="I9862">
        <v>0.90857638888888881</v>
      </c>
      <c r="J9862">
        <v>44789</v>
      </c>
    </row>
    <row r="9863" spans="1:10" x14ac:dyDescent="0.35">
      <c r="A9863" s="2">
        <v>44804</v>
      </c>
      <c r="B9863" s="3">
        <v>0.13686342592592593</v>
      </c>
      <c r="C9863">
        <v>5335</v>
      </c>
      <c r="D9863" t="str">
        <f>VLOOKUP(H9863,Produkt!$A$2:$B$5,2,FALSE)</f>
        <v>A</v>
      </c>
      <c r="H9863">
        <v>1</v>
      </c>
      <c r="I9863">
        <v>0.90462962962962967</v>
      </c>
      <c r="J9863">
        <v>44774</v>
      </c>
    </row>
    <row r="9864" spans="1:10" x14ac:dyDescent="0.35">
      <c r="A9864" s="2">
        <v>44804</v>
      </c>
      <c r="B9864" s="3">
        <v>5.8217592592592592E-3</v>
      </c>
      <c r="C9864">
        <v>5414</v>
      </c>
      <c r="D9864" t="str">
        <f>VLOOKUP(H9864,Produkt!$A$2:$B$5,2,FALSE)</f>
        <v>C</v>
      </c>
      <c r="H9864">
        <v>3</v>
      </c>
      <c r="I9864">
        <v>9.9085648148148145E-2</v>
      </c>
      <c r="J9864">
        <v>44795</v>
      </c>
    </row>
    <row r="9865" spans="1:10" x14ac:dyDescent="0.35">
      <c r="A9865" s="2">
        <v>44804</v>
      </c>
      <c r="B9865" s="3">
        <v>0.86274305555555564</v>
      </c>
      <c r="C9865">
        <v>5431</v>
      </c>
      <c r="D9865" t="str">
        <f>VLOOKUP(H9865,Produkt!$A$2:$B$5,2,FALSE)</f>
        <v>B</v>
      </c>
      <c r="H9865">
        <v>2</v>
      </c>
      <c r="I9865">
        <v>0.12593750000000001</v>
      </c>
      <c r="J9865">
        <v>44786</v>
      </c>
    </row>
    <row r="9866" spans="1:10" x14ac:dyDescent="0.35">
      <c r="A9866" s="2">
        <v>44804</v>
      </c>
      <c r="B9866" s="3">
        <v>0.51975694444444442</v>
      </c>
      <c r="C9866">
        <v>5457</v>
      </c>
      <c r="D9866" t="str">
        <f>VLOOKUP(H9866,Produkt!$A$2:$B$5,2,FALSE)</f>
        <v>B</v>
      </c>
      <c r="H9866">
        <v>2</v>
      </c>
      <c r="I9866">
        <v>0.50077546296296294</v>
      </c>
      <c r="J9866">
        <v>44777</v>
      </c>
    </row>
    <row r="9867" spans="1:10" x14ac:dyDescent="0.35">
      <c r="A9867" s="2">
        <v>44804</v>
      </c>
      <c r="B9867" s="3">
        <v>0.18936342592592592</v>
      </c>
      <c r="C9867">
        <v>5589</v>
      </c>
      <c r="D9867" t="str">
        <f>VLOOKUP(H9867,Produkt!$A$2:$B$5,2,FALSE)</f>
        <v>B</v>
      </c>
      <c r="H9867">
        <v>2</v>
      </c>
      <c r="I9867">
        <v>0.37987268518518519</v>
      </c>
      <c r="J9867">
        <v>44797</v>
      </c>
    </row>
    <row r="9868" spans="1:10" x14ac:dyDescent="0.35">
      <c r="A9868" s="2">
        <v>44804</v>
      </c>
      <c r="B9868" s="3">
        <v>0.21707175925925926</v>
      </c>
      <c r="C9868">
        <v>5627</v>
      </c>
      <c r="D9868" t="str">
        <f>VLOOKUP(H9868,Produkt!$A$2:$B$5,2,FALSE)</f>
        <v>A</v>
      </c>
      <c r="H9868">
        <v>1</v>
      </c>
      <c r="I9868">
        <v>0.21062499999999998</v>
      </c>
      <c r="J9868">
        <v>44781</v>
      </c>
    </row>
    <row r="9869" spans="1:10" x14ac:dyDescent="0.35">
      <c r="A9869" s="2">
        <v>44804</v>
      </c>
      <c r="B9869" s="3">
        <v>0.11116898148148148</v>
      </c>
      <c r="C9869">
        <v>5628</v>
      </c>
      <c r="D9869" t="str">
        <f>VLOOKUP(H9869,Produkt!$A$2:$B$5,2,FALSE)</f>
        <v>C</v>
      </c>
      <c r="H9869">
        <v>3</v>
      </c>
      <c r="I9869">
        <v>0.99995370370370373</v>
      </c>
      <c r="J9869">
        <v>44798</v>
      </c>
    </row>
    <row r="9870" spans="1:10" x14ac:dyDescent="0.35">
      <c r="A9870" s="2">
        <v>44804</v>
      </c>
      <c r="B9870" s="3">
        <v>0.91040509259259261</v>
      </c>
      <c r="C9870">
        <v>5693</v>
      </c>
      <c r="D9870" t="str">
        <f>VLOOKUP(H9870,Produkt!$A$2:$B$5,2,FALSE)</f>
        <v>C</v>
      </c>
      <c r="H9870">
        <v>3</v>
      </c>
      <c r="I9870">
        <v>0.85951388888888891</v>
      </c>
      <c r="J9870">
        <v>44799</v>
      </c>
    </row>
    <row r="9871" spans="1:10" x14ac:dyDescent="0.35">
      <c r="A9871" s="2">
        <v>44804</v>
      </c>
      <c r="B9871" s="3">
        <v>0.92204861111111114</v>
      </c>
      <c r="C9871">
        <v>5707</v>
      </c>
      <c r="D9871" t="str">
        <f>VLOOKUP(H9871,Produkt!$A$2:$B$5,2,FALSE)</f>
        <v>A</v>
      </c>
      <c r="H9871">
        <v>1</v>
      </c>
      <c r="I9871">
        <v>0.46690972222222221</v>
      </c>
      <c r="J9871">
        <v>44781</v>
      </c>
    </row>
    <row r="9872" spans="1:10" x14ac:dyDescent="0.35">
      <c r="A9872" s="2">
        <v>44804</v>
      </c>
      <c r="B9872" s="3">
        <v>0.81251157407407415</v>
      </c>
      <c r="C9872">
        <v>5724</v>
      </c>
      <c r="D9872" t="str">
        <f>VLOOKUP(H9872,Produkt!$A$2:$B$5,2,FALSE)</f>
        <v>C</v>
      </c>
      <c r="H9872">
        <v>3</v>
      </c>
      <c r="I9872">
        <v>0.53883101851851845</v>
      </c>
      <c r="J9872">
        <v>44779</v>
      </c>
    </row>
    <row r="9873" spans="1:10" x14ac:dyDescent="0.35">
      <c r="A9873" s="2">
        <v>44804</v>
      </c>
      <c r="B9873" s="3">
        <v>0.24806712962962962</v>
      </c>
      <c r="C9873">
        <v>5774</v>
      </c>
      <c r="D9873" t="str">
        <f>VLOOKUP(H9873,Produkt!$A$2:$B$5,2,FALSE)</f>
        <v>B</v>
      </c>
      <c r="H9873">
        <v>2</v>
      </c>
      <c r="I9873">
        <v>7.18287037037037E-2</v>
      </c>
      <c r="J9873">
        <v>44801</v>
      </c>
    </row>
    <row r="9874" spans="1:10" x14ac:dyDescent="0.35">
      <c r="A9874" s="2">
        <v>44804</v>
      </c>
      <c r="B9874" s="3">
        <v>0.41480324074074071</v>
      </c>
      <c r="C9874">
        <v>5840</v>
      </c>
      <c r="D9874" t="str">
        <f>VLOOKUP(H9874,Produkt!$A$2:$B$5,2,FALSE)</f>
        <v>A</v>
      </c>
      <c r="H9874">
        <v>1</v>
      </c>
      <c r="I9874">
        <v>0.82755787037037043</v>
      </c>
      <c r="J9874">
        <v>44803</v>
      </c>
    </row>
    <row r="9875" spans="1:10" x14ac:dyDescent="0.35">
      <c r="A9875" s="2">
        <v>44804</v>
      </c>
      <c r="B9875" s="3">
        <v>8.0358796296296289E-2</v>
      </c>
      <c r="C9875">
        <v>5918</v>
      </c>
      <c r="D9875" t="str">
        <f>VLOOKUP(H9875,Produkt!$A$2:$B$5,2,FALSE)</f>
        <v>D</v>
      </c>
      <c r="H9875">
        <v>4</v>
      </c>
      <c r="I9875">
        <v>0.97083333333333333</v>
      </c>
      <c r="J9875">
        <v>44788</v>
      </c>
    </row>
    <row r="9876" spans="1:10" x14ac:dyDescent="0.35">
      <c r="A9876" s="2">
        <v>44804</v>
      </c>
      <c r="B9876" s="3">
        <v>0.99924768518518514</v>
      </c>
      <c r="C9876">
        <v>5999</v>
      </c>
      <c r="D9876" t="str">
        <f>VLOOKUP(H9876,Produkt!$A$2:$B$5,2,FALSE)</f>
        <v>B</v>
      </c>
      <c r="H9876">
        <v>2</v>
      </c>
      <c r="I9876">
        <v>0.99624999999999997</v>
      </c>
      <c r="J9876">
        <v>44788</v>
      </c>
    </row>
    <row r="9877" spans="1:10" x14ac:dyDescent="0.35">
      <c r="A9877" s="2">
        <v>44804</v>
      </c>
      <c r="B9877" s="3">
        <v>0.34373842592592596</v>
      </c>
      <c r="C9877">
        <v>6041</v>
      </c>
      <c r="D9877" t="str">
        <f>VLOOKUP(H9877,Produkt!$A$2:$B$5,2,FALSE)</f>
        <v>B</v>
      </c>
      <c r="H9877">
        <v>2</v>
      </c>
      <c r="I9877">
        <v>0.46081018518518518</v>
      </c>
      <c r="J9877">
        <v>44792</v>
      </c>
    </row>
    <row r="9878" spans="1:10" x14ac:dyDescent="0.35">
      <c r="A9878" s="2">
        <v>44804</v>
      </c>
      <c r="B9878" s="3">
        <v>0.20987268518518518</v>
      </c>
      <c r="C9878">
        <v>6075</v>
      </c>
      <c r="D9878" t="str">
        <f>VLOOKUP(H9878,Produkt!$A$2:$B$5,2,FALSE)</f>
        <v>B</v>
      </c>
      <c r="H9878">
        <v>2</v>
      </c>
      <c r="I9878">
        <v>0.48277777777777775</v>
      </c>
      <c r="J9878">
        <v>44785</v>
      </c>
    </row>
    <row r="9879" spans="1:10" x14ac:dyDescent="0.35">
      <c r="A9879" s="2">
        <v>44804</v>
      </c>
      <c r="B9879" s="3">
        <v>5.3240740740740744E-4</v>
      </c>
      <c r="C9879">
        <v>6133</v>
      </c>
      <c r="D9879" t="str">
        <f>VLOOKUP(H9879,Produkt!$A$2:$B$5,2,FALSE)</f>
        <v>D</v>
      </c>
      <c r="H9879">
        <v>4</v>
      </c>
      <c r="I9879">
        <v>2.6666666666666668E-2</v>
      </c>
      <c r="J9879">
        <v>44782</v>
      </c>
    </row>
    <row r="9880" spans="1:10" x14ac:dyDescent="0.35">
      <c r="A9880" s="2">
        <v>44804</v>
      </c>
      <c r="B9880" s="3">
        <v>0.90991898148148154</v>
      </c>
      <c r="C9880">
        <v>6151</v>
      </c>
      <c r="D9880" t="str">
        <f>VLOOKUP(H9880,Produkt!$A$2:$B$5,2,FALSE)</f>
        <v>D</v>
      </c>
      <c r="H9880">
        <v>4</v>
      </c>
      <c r="I9880">
        <v>0.56194444444444447</v>
      </c>
      <c r="J9880">
        <v>44783</v>
      </c>
    </row>
    <row r="9881" spans="1:10" x14ac:dyDescent="0.35">
      <c r="A9881" s="2">
        <v>44804</v>
      </c>
      <c r="B9881" s="3">
        <v>0.40365740740740735</v>
      </c>
      <c r="C9881">
        <v>6155</v>
      </c>
      <c r="D9881" t="str">
        <f>VLOOKUP(H9881,Produkt!$A$2:$B$5,2,FALSE)</f>
        <v>A</v>
      </c>
      <c r="H9881">
        <v>1</v>
      </c>
      <c r="I9881">
        <v>0.3681828703703704</v>
      </c>
      <c r="J9881">
        <v>44777</v>
      </c>
    </row>
    <row r="9882" spans="1:10" x14ac:dyDescent="0.35">
      <c r="A9882" s="2">
        <v>44804</v>
      </c>
      <c r="B9882" s="3">
        <v>0.80353009259259256</v>
      </c>
      <c r="C9882">
        <v>6197</v>
      </c>
      <c r="D9882" t="str">
        <f>VLOOKUP(H9882,Produkt!$A$2:$B$5,2,FALSE)</f>
        <v>C</v>
      </c>
      <c r="H9882">
        <v>3</v>
      </c>
      <c r="I9882">
        <v>0.1348148148148148</v>
      </c>
      <c r="J9882">
        <v>44793</v>
      </c>
    </row>
    <row r="9883" spans="1:10" x14ac:dyDescent="0.35">
      <c r="A9883" s="2">
        <v>44804</v>
      </c>
      <c r="B9883" s="3">
        <v>0.68564814814814812</v>
      </c>
      <c r="C9883">
        <v>6200</v>
      </c>
      <c r="D9883" t="str">
        <f>VLOOKUP(H9883,Produkt!$A$2:$B$5,2,FALSE)</f>
        <v>C</v>
      </c>
      <c r="H9883">
        <v>3</v>
      </c>
      <c r="I9883">
        <v>0.10971064814814814</v>
      </c>
      <c r="J9883">
        <v>44799</v>
      </c>
    </row>
    <row r="9884" spans="1:10" x14ac:dyDescent="0.35">
      <c r="A9884" s="2">
        <v>44804</v>
      </c>
      <c r="B9884" s="3">
        <v>0.71128472222222217</v>
      </c>
      <c r="C9884">
        <v>6222</v>
      </c>
      <c r="D9884" t="str">
        <f>VLOOKUP(H9884,Produkt!$A$2:$B$5,2,FALSE)</f>
        <v>D</v>
      </c>
      <c r="H9884">
        <v>4</v>
      </c>
      <c r="I9884">
        <v>0.46539351851851851</v>
      </c>
      <c r="J9884">
        <v>44803</v>
      </c>
    </row>
    <row r="9885" spans="1:10" x14ac:dyDescent="0.35">
      <c r="A9885" s="2">
        <v>44804</v>
      </c>
      <c r="B9885" s="3">
        <v>0.53214120370370377</v>
      </c>
      <c r="C9885">
        <v>6250</v>
      </c>
      <c r="D9885" t="str">
        <f>VLOOKUP(H9885,Produkt!$A$2:$B$5,2,FALSE)</f>
        <v>C</v>
      </c>
      <c r="H9885">
        <v>3</v>
      </c>
      <c r="I9885">
        <v>0.57452546296296292</v>
      </c>
      <c r="J9885">
        <v>44795</v>
      </c>
    </row>
    <row r="9886" spans="1:10" x14ac:dyDescent="0.35">
      <c r="A9886" s="2">
        <v>44804</v>
      </c>
      <c r="B9886" s="3">
        <v>1.7858796296296164E-2</v>
      </c>
      <c r="C9886">
        <v>6269</v>
      </c>
      <c r="D9886" t="str">
        <f>VLOOKUP(H9886,Produkt!$A$2:$B$5,2,FALSE)</f>
        <v>D</v>
      </c>
      <c r="H9886">
        <v>4</v>
      </c>
      <c r="I9886">
        <v>0.97728009259259263</v>
      </c>
      <c r="J9886">
        <v>44795</v>
      </c>
    </row>
    <row r="9887" spans="1:10" x14ac:dyDescent="0.35">
      <c r="A9887" s="2">
        <v>44804</v>
      </c>
      <c r="B9887" s="3">
        <v>0.73550925925925925</v>
      </c>
      <c r="C9887">
        <v>6273</v>
      </c>
      <c r="D9887" t="str">
        <f>VLOOKUP(H9887,Produkt!$A$2:$B$5,2,FALSE)</f>
        <v>D</v>
      </c>
      <c r="H9887">
        <v>4</v>
      </c>
      <c r="I9887">
        <v>0.20607638888888888</v>
      </c>
      <c r="J9887">
        <v>44785</v>
      </c>
    </row>
    <row r="9888" spans="1:10" x14ac:dyDescent="0.35">
      <c r="A9888" s="2">
        <v>44804</v>
      </c>
      <c r="B9888" s="3">
        <v>0.94648148148148137</v>
      </c>
      <c r="C9888">
        <v>6274</v>
      </c>
      <c r="D9888" t="str">
        <f>VLOOKUP(H9888,Produkt!$A$2:$B$5,2,FALSE)</f>
        <v>B</v>
      </c>
      <c r="H9888">
        <v>2</v>
      </c>
      <c r="I9888">
        <v>0.63133101851851847</v>
      </c>
      <c r="J9888">
        <v>44785</v>
      </c>
    </row>
    <row r="9889" spans="1:10" x14ac:dyDescent="0.35">
      <c r="A9889" s="2">
        <v>44804</v>
      </c>
      <c r="B9889" s="3">
        <v>0.87351851851851858</v>
      </c>
      <c r="C9889">
        <v>6304</v>
      </c>
      <c r="D9889" t="str">
        <f>VLOOKUP(H9889,Produkt!$A$2:$B$5,2,FALSE)</f>
        <v>D</v>
      </c>
      <c r="H9889">
        <v>4</v>
      </c>
      <c r="I9889">
        <v>0.96908564814814813</v>
      </c>
      <c r="J9889">
        <v>44803</v>
      </c>
    </row>
    <row r="9890" spans="1:10" x14ac:dyDescent="0.35">
      <c r="A9890" s="2">
        <v>44804</v>
      </c>
      <c r="B9890" s="3">
        <v>4.1469907407407407E-2</v>
      </c>
      <c r="C9890">
        <v>6307</v>
      </c>
      <c r="D9890" t="str">
        <f>VLOOKUP(H9890,Produkt!$A$2:$B$5,2,FALSE)</f>
        <v>C</v>
      </c>
      <c r="H9890">
        <v>3</v>
      </c>
      <c r="I9890">
        <v>0.90483796296296293</v>
      </c>
      <c r="J9890">
        <v>44781</v>
      </c>
    </row>
    <row r="9891" spans="1:10" x14ac:dyDescent="0.35">
      <c r="A9891" s="2">
        <v>44804</v>
      </c>
      <c r="B9891" s="3">
        <v>0.91021990740740744</v>
      </c>
      <c r="C9891">
        <v>6354</v>
      </c>
      <c r="D9891" t="str">
        <f>VLOOKUP(H9891,Produkt!$A$2:$B$5,2,FALSE)</f>
        <v>B</v>
      </c>
      <c r="H9891">
        <v>2</v>
      </c>
      <c r="I9891">
        <v>0.6721759259259259</v>
      </c>
      <c r="J9891">
        <v>44803</v>
      </c>
    </row>
    <row r="9892" spans="1:10" x14ac:dyDescent="0.35">
      <c r="A9892" s="2">
        <v>44804</v>
      </c>
      <c r="B9892" s="3">
        <v>0.84339120370370368</v>
      </c>
      <c r="C9892">
        <v>6360</v>
      </c>
      <c r="D9892" t="str">
        <f>VLOOKUP(H9892,Produkt!$A$2:$B$5,2,FALSE)</f>
        <v>B</v>
      </c>
      <c r="H9892">
        <v>2</v>
      </c>
      <c r="I9892">
        <v>0.58537037037037043</v>
      </c>
      <c r="J9892">
        <v>44784</v>
      </c>
    </row>
    <row r="9893" spans="1:10" x14ac:dyDescent="0.35">
      <c r="A9893" s="2">
        <v>44804</v>
      </c>
      <c r="B9893" s="3">
        <v>3.7476851851851851E-2</v>
      </c>
      <c r="C9893">
        <v>6374</v>
      </c>
      <c r="D9893" t="str">
        <f>VLOOKUP(H9893,Produkt!$A$2:$B$5,2,FALSE)</f>
        <v>C</v>
      </c>
      <c r="H9893">
        <v>3</v>
      </c>
      <c r="I9893">
        <v>0.4392361111111111</v>
      </c>
      <c r="J9893">
        <v>44800</v>
      </c>
    </row>
    <row r="9894" spans="1:10" x14ac:dyDescent="0.35">
      <c r="A9894" s="2">
        <v>44804</v>
      </c>
      <c r="B9894" s="3">
        <v>0.60038194444444448</v>
      </c>
      <c r="C9894">
        <v>6389</v>
      </c>
      <c r="D9894" t="str">
        <f>VLOOKUP(H9894,Produkt!$A$2:$B$5,2,FALSE)</f>
        <v>C</v>
      </c>
      <c r="H9894">
        <v>3</v>
      </c>
      <c r="I9894">
        <v>0.69005787037037036</v>
      </c>
      <c r="J9894">
        <v>44781</v>
      </c>
    </row>
    <row r="9895" spans="1:10" x14ac:dyDescent="0.35">
      <c r="A9895" s="2">
        <v>44804</v>
      </c>
      <c r="B9895" s="3">
        <v>0.88703703703703696</v>
      </c>
      <c r="C9895">
        <v>6407</v>
      </c>
      <c r="D9895" t="str">
        <f>VLOOKUP(H9895,Produkt!$A$2:$B$5,2,FALSE)</f>
        <v>D</v>
      </c>
      <c r="H9895">
        <v>4</v>
      </c>
      <c r="I9895">
        <v>0.53891203703703705</v>
      </c>
      <c r="J9895">
        <v>44774</v>
      </c>
    </row>
    <row r="9896" spans="1:10" x14ac:dyDescent="0.35">
      <c r="A9896" s="2">
        <v>44804</v>
      </c>
      <c r="B9896" s="3">
        <v>7.0358796296296308E-2</v>
      </c>
      <c r="C9896">
        <v>6414</v>
      </c>
      <c r="D9896" t="str">
        <f>VLOOKUP(H9896,Produkt!$A$2:$B$5,2,FALSE)</f>
        <v>A</v>
      </c>
      <c r="H9896">
        <v>1</v>
      </c>
      <c r="I9896">
        <v>0.88922453703703708</v>
      </c>
      <c r="J9896">
        <v>44793</v>
      </c>
    </row>
    <row r="9897" spans="1:10" x14ac:dyDescent="0.35">
      <c r="A9897" s="2">
        <v>44804</v>
      </c>
      <c r="B9897" s="3">
        <v>0.37835648148148149</v>
      </c>
      <c r="C9897">
        <v>6476</v>
      </c>
      <c r="D9897" t="str">
        <f>VLOOKUP(H9897,Produkt!$A$2:$B$5,2,FALSE)</f>
        <v>B</v>
      </c>
      <c r="H9897">
        <v>2</v>
      </c>
      <c r="I9897">
        <v>0.9692708333333333</v>
      </c>
      <c r="J9897">
        <v>44796</v>
      </c>
    </row>
    <row r="9898" spans="1:10" x14ac:dyDescent="0.35">
      <c r="A9898" s="2">
        <v>44804</v>
      </c>
      <c r="B9898" s="3">
        <v>0.50979166666666664</v>
      </c>
      <c r="C9898">
        <v>6520</v>
      </c>
      <c r="D9898" t="str">
        <f>VLOOKUP(H9898,Produkt!$A$2:$B$5,2,FALSE)</f>
        <v>C</v>
      </c>
      <c r="H9898">
        <v>3</v>
      </c>
      <c r="I9898">
        <v>0.49116898148148147</v>
      </c>
      <c r="J9898">
        <v>44803</v>
      </c>
    </row>
    <row r="9899" spans="1:10" x14ac:dyDescent="0.35">
      <c r="A9899" s="2">
        <v>44804</v>
      </c>
      <c r="B9899" s="3">
        <v>0.92478009259259253</v>
      </c>
      <c r="C9899">
        <v>6523</v>
      </c>
      <c r="D9899" t="str">
        <f>VLOOKUP(H9899,Produkt!$A$2:$B$5,2,FALSE)</f>
        <v>C</v>
      </c>
      <c r="H9899">
        <v>3</v>
      </c>
      <c r="I9899">
        <v>0.766087962962963</v>
      </c>
      <c r="J9899">
        <v>44785</v>
      </c>
    </row>
    <row r="9900" spans="1:10" x14ac:dyDescent="0.35">
      <c r="A9900" s="2">
        <v>44804</v>
      </c>
      <c r="B9900" s="3">
        <v>0.56891203703703697</v>
      </c>
      <c r="C9900">
        <v>6531</v>
      </c>
      <c r="D9900" t="str">
        <f>VLOOKUP(H9900,Produkt!$A$2:$B$5,2,FALSE)</f>
        <v>D</v>
      </c>
      <c r="H9900">
        <v>4</v>
      </c>
      <c r="I9900">
        <v>0.73370370370370364</v>
      </c>
      <c r="J9900">
        <v>44797</v>
      </c>
    </row>
    <row r="9901" spans="1:10" x14ac:dyDescent="0.35">
      <c r="A9901" s="2">
        <v>44804</v>
      </c>
      <c r="B9901" s="3">
        <v>0.19525462962962961</v>
      </c>
      <c r="C9901">
        <v>6601</v>
      </c>
      <c r="D9901" t="str">
        <f>VLOOKUP(H9901,Produkt!$A$2:$B$5,2,FALSE)</f>
        <v>B</v>
      </c>
      <c r="H9901">
        <v>2</v>
      </c>
      <c r="I9901">
        <v>0.25951388888888888</v>
      </c>
      <c r="J9901">
        <v>44796</v>
      </c>
    </row>
    <row r="9902" spans="1:10" x14ac:dyDescent="0.35">
      <c r="A9902" s="2">
        <v>44804</v>
      </c>
      <c r="B9902" s="3">
        <v>0.62158564814814821</v>
      </c>
      <c r="C9902">
        <v>6641</v>
      </c>
      <c r="D9902" t="str">
        <f>VLOOKUP(H9902,Produkt!$A$2:$B$5,2,FALSE)</f>
        <v>C</v>
      </c>
      <c r="H9902">
        <v>3</v>
      </c>
      <c r="I9902">
        <v>0.32496527777777778</v>
      </c>
      <c r="J9902">
        <v>44780</v>
      </c>
    </row>
    <row r="9903" spans="1:10" x14ac:dyDescent="0.35">
      <c r="A9903" s="2">
        <v>44804</v>
      </c>
      <c r="B9903" s="3">
        <v>0.74361111111111111</v>
      </c>
      <c r="C9903">
        <v>6667</v>
      </c>
      <c r="D9903" t="str">
        <f>VLOOKUP(H9903,Produkt!$A$2:$B$5,2,FALSE)</f>
        <v>C</v>
      </c>
      <c r="H9903">
        <v>3</v>
      </c>
      <c r="I9903">
        <v>0.70707175925925936</v>
      </c>
      <c r="J9903">
        <v>44798</v>
      </c>
    </row>
    <row r="9904" spans="1:10" x14ac:dyDescent="0.35">
      <c r="A9904" s="2">
        <v>44804</v>
      </c>
      <c r="B9904" s="3">
        <v>0.8109143518518519</v>
      </c>
      <c r="C9904">
        <v>6716</v>
      </c>
      <c r="D9904" t="str">
        <f>VLOOKUP(H9904,Produkt!$A$2:$B$5,2,FALSE)</f>
        <v>B</v>
      </c>
      <c r="H9904">
        <v>2</v>
      </c>
      <c r="I9904">
        <v>0.86512731481481486</v>
      </c>
      <c r="J9904">
        <v>44796</v>
      </c>
    </row>
    <row r="9905" spans="1:10" x14ac:dyDescent="0.35">
      <c r="A9905" s="2">
        <v>44804</v>
      </c>
      <c r="B9905" s="3">
        <v>0.37407407407407406</v>
      </c>
      <c r="C9905">
        <v>6809</v>
      </c>
      <c r="D9905" t="str">
        <f>VLOOKUP(H9905,Produkt!$A$2:$B$5,2,FALSE)</f>
        <v>B</v>
      </c>
      <c r="H9905">
        <v>2</v>
      </c>
      <c r="I9905">
        <v>0.39302083333333332</v>
      </c>
      <c r="J9905">
        <v>44803</v>
      </c>
    </row>
    <row r="9906" spans="1:10" x14ac:dyDescent="0.35">
      <c r="A9906" s="2">
        <v>44804</v>
      </c>
      <c r="B9906" s="3">
        <v>0.82957175925925919</v>
      </c>
      <c r="C9906">
        <v>6814</v>
      </c>
      <c r="D9906" t="str">
        <f>VLOOKUP(H9906,Produkt!$A$2:$B$5,2,FALSE)</f>
        <v>B</v>
      </c>
      <c r="H9906">
        <v>2</v>
      </c>
      <c r="I9906">
        <v>9.432870370370371E-3</v>
      </c>
      <c r="J9906">
        <v>44775</v>
      </c>
    </row>
    <row r="9907" spans="1:10" x14ac:dyDescent="0.35">
      <c r="A9907" s="2">
        <v>44804</v>
      </c>
      <c r="B9907" s="3">
        <v>0.93694444444444447</v>
      </c>
      <c r="C9907">
        <v>6873</v>
      </c>
      <c r="D9907" t="str">
        <f>VLOOKUP(H9907,Produkt!$A$2:$B$5,2,FALSE)</f>
        <v>D</v>
      </c>
      <c r="H9907">
        <v>4</v>
      </c>
      <c r="I9907">
        <v>0.18561342592592592</v>
      </c>
      <c r="J9907">
        <v>44789</v>
      </c>
    </row>
    <row r="9908" spans="1:10" x14ac:dyDescent="0.35">
      <c r="A9908" s="2">
        <v>44804</v>
      </c>
      <c r="B9908" s="3">
        <v>0.64953703703703702</v>
      </c>
      <c r="C9908">
        <v>6886</v>
      </c>
      <c r="D9908" t="str">
        <f>VLOOKUP(H9908,Produkt!$A$2:$B$5,2,FALSE)</f>
        <v>C</v>
      </c>
      <c r="H9908">
        <v>3</v>
      </c>
      <c r="I9908">
        <v>3.1226851851851853E-2</v>
      </c>
      <c r="J9908">
        <v>44792</v>
      </c>
    </row>
    <row r="9909" spans="1:10" x14ac:dyDescent="0.35">
      <c r="A9909" s="2">
        <v>44804</v>
      </c>
      <c r="B9909" s="3">
        <v>0.99207175925925928</v>
      </c>
      <c r="C9909">
        <v>6936</v>
      </c>
      <c r="D9909" t="str">
        <f>VLOOKUP(H9909,Produkt!$A$2:$B$5,2,FALSE)</f>
        <v>B</v>
      </c>
      <c r="H9909">
        <v>2</v>
      </c>
      <c r="I9909">
        <v>0.88607638888888884</v>
      </c>
      <c r="J9909">
        <v>44791</v>
      </c>
    </row>
    <row r="9910" spans="1:10" x14ac:dyDescent="0.35">
      <c r="A9910" s="2">
        <v>44804</v>
      </c>
      <c r="B9910" s="3">
        <v>0.59416666666666662</v>
      </c>
      <c r="C9910">
        <v>6944</v>
      </c>
      <c r="D9910" t="str">
        <f>VLOOKUP(H9910,Produkt!$A$2:$B$5,2,FALSE)</f>
        <v>D</v>
      </c>
      <c r="H9910">
        <v>4</v>
      </c>
      <c r="I9910">
        <v>0.45423611111111112</v>
      </c>
      <c r="J9910">
        <v>44803</v>
      </c>
    </row>
    <row r="9911" spans="1:10" x14ac:dyDescent="0.35">
      <c r="A9911" s="2">
        <v>44804</v>
      </c>
      <c r="B9911" s="3">
        <v>2.5787037037037039E-2</v>
      </c>
      <c r="C9911">
        <v>6976</v>
      </c>
      <c r="D9911" t="str">
        <f>VLOOKUP(H9911,Produkt!$A$2:$B$5,2,FALSE)</f>
        <v>B</v>
      </c>
      <c r="H9911">
        <v>2</v>
      </c>
      <c r="I9911">
        <v>0.59240740740740738</v>
      </c>
      <c r="J9911">
        <v>44797</v>
      </c>
    </row>
    <row r="9912" spans="1:10" x14ac:dyDescent="0.35">
      <c r="A9912" s="2">
        <v>44804</v>
      </c>
      <c r="B9912" s="3">
        <v>0.42207175925925927</v>
      </c>
      <c r="C9912">
        <v>7002</v>
      </c>
      <c r="D9912" t="str">
        <f>VLOOKUP(H9912,Produkt!$A$2:$B$5,2,FALSE)</f>
        <v>D</v>
      </c>
      <c r="H9912">
        <v>4</v>
      </c>
      <c r="I9912">
        <v>8.2141203703703702E-2</v>
      </c>
      <c r="J9912">
        <v>44799</v>
      </c>
    </row>
    <row r="9913" spans="1:10" x14ac:dyDescent="0.35">
      <c r="A9913" s="2">
        <v>44804</v>
      </c>
      <c r="B9913" s="3">
        <v>0.59582175925925929</v>
      </c>
      <c r="C9913">
        <v>7030</v>
      </c>
      <c r="D9913" t="str">
        <f>VLOOKUP(H9913,Produkt!$A$2:$B$5,2,FALSE)</f>
        <v>D</v>
      </c>
      <c r="H9913">
        <v>4</v>
      </c>
      <c r="I9913">
        <v>0.30994212962962964</v>
      </c>
      <c r="J9913">
        <v>44790</v>
      </c>
    </row>
    <row r="9914" spans="1:10" x14ac:dyDescent="0.35">
      <c r="A9914" s="2">
        <v>44804</v>
      </c>
      <c r="B9914" s="3">
        <v>0.38512731481481483</v>
      </c>
      <c r="C9914">
        <v>7055</v>
      </c>
      <c r="D9914" t="str">
        <f>VLOOKUP(H9914,Produkt!$A$2:$B$5,2,FALSE)</f>
        <v>A</v>
      </c>
      <c r="H9914">
        <v>1</v>
      </c>
      <c r="I9914">
        <v>0.50763888888888886</v>
      </c>
      <c r="J9914">
        <v>44797</v>
      </c>
    </row>
    <row r="9915" spans="1:10" x14ac:dyDescent="0.35">
      <c r="A9915" s="2">
        <v>44804</v>
      </c>
      <c r="B9915" s="3">
        <v>0.42043981481481479</v>
      </c>
      <c r="C9915">
        <v>7075</v>
      </c>
      <c r="D9915" t="str">
        <f>VLOOKUP(H9915,Produkt!$A$2:$B$5,2,FALSE)</f>
        <v>C</v>
      </c>
      <c r="H9915">
        <v>3</v>
      </c>
      <c r="I9915">
        <v>0.92932870370370368</v>
      </c>
      <c r="J9915">
        <v>44777</v>
      </c>
    </row>
    <row r="9916" spans="1:10" x14ac:dyDescent="0.35">
      <c r="A9916" s="2">
        <v>44804</v>
      </c>
      <c r="B9916" s="3">
        <v>0.87563657407407414</v>
      </c>
      <c r="C9916">
        <v>7100</v>
      </c>
      <c r="D9916" t="str">
        <f>VLOOKUP(H9916,Produkt!$A$2:$B$5,2,FALSE)</f>
        <v>C</v>
      </c>
      <c r="H9916">
        <v>3</v>
      </c>
      <c r="I9916">
        <v>0.41714120370370367</v>
      </c>
      <c r="J9916">
        <v>44803</v>
      </c>
    </row>
    <row r="9917" spans="1:10" x14ac:dyDescent="0.35">
      <c r="A9917" s="2">
        <v>44804</v>
      </c>
      <c r="B9917" s="3">
        <v>0.30299768518518516</v>
      </c>
      <c r="C9917">
        <v>7107</v>
      </c>
      <c r="D9917" t="str">
        <f>VLOOKUP(H9917,Produkt!$A$2:$B$5,2,FALSE)</f>
        <v>C</v>
      </c>
      <c r="H9917">
        <v>3</v>
      </c>
      <c r="I9917">
        <v>0.11444444444444445</v>
      </c>
      <c r="J9917">
        <v>44795</v>
      </c>
    </row>
    <row r="9918" spans="1:10" x14ac:dyDescent="0.35">
      <c r="A9918" s="2">
        <v>44804</v>
      </c>
      <c r="B9918" s="3">
        <v>0.28907407407407409</v>
      </c>
      <c r="C9918">
        <v>7108</v>
      </c>
      <c r="D9918" t="str">
        <f>VLOOKUP(H9918,Produkt!$A$2:$B$5,2,FALSE)</f>
        <v>A</v>
      </c>
      <c r="H9918">
        <v>1</v>
      </c>
      <c r="I9918">
        <v>0.36396990740740742</v>
      </c>
      <c r="J9918">
        <v>44794</v>
      </c>
    </row>
    <row r="9919" spans="1:10" x14ac:dyDescent="0.35">
      <c r="A9919" s="2">
        <v>44804</v>
      </c>
      <c r="B9919" s="3">
        <v>0.96832175925925934</v>
      </c>
      <c r="C9919">
        <v>7118</v>
      </c>
      <c r="D9919" t="str">
        <f>VLOOKUP(H9919,Produkt!$A$2:$B$5,2,FALSE)</f>
        <v>A</v>
      </c>
      <c r="H9919">
        <v>1</v>
      </c>
      <c r="I9919">
        <v>4.0196759259259141E-2</v>
      </c>
      <c r="J9919">
        <v>44797</v>
      </c>
    </row>
    <row r="9920" spans="1:10" x14ac:dyDescent="0.35">
      <c r="A9920" s="2">
        <v>44804</v>
      </c>
      <c r="B9920" s="3">
        <v>0.47674768518518523</v>
      </c>
      <c r="C9920">
        <v>7148</v>
      </c>
      <c r="D9920" t="str">
        <f>VLOOKUP(H9920,Produkt!$A$2:$B$5,2,FALSE)</f>
        <v>D</v>
      </c>
      <c r="H9920">
        <v>4</v>
      </c>
      <c r="I9920">
        <v>2.5358796296296296E-2</v>
      </c>
      <c r="J9920">
        <v>44786</v>
      </c>
    </row>
    <row r="9921" spans="1:10" x14ac:dyDescent="0.35">
      <c r="A9921" s="2">
        <v>44804</v>
      </c>
      <c r="B9921" s="3">
        <v>0.58098379629629626</v>
      </c>
      <c r="C9921">
        <v>7200</v>
      </c>
      <c r="D9921" t="str">
        <f>VLOOKUP(H9921,Produkt!$A$2:$B$5,2,FALSE)</f>
        <v>B</v>
      </c>
      <c r="H9921">
        <v>2</v>
      </c>
      <c r="I9921">
        <v>1.636574074074074E-2</v>
      </c>
      <c r="J9921">
        <v>44780</v>
      </c>
    </row>
    <row r="9922" spans="1:10" x14ac:dyDescent="0.35">
      <c r="A9922" s="2">
        <v>44804</v>
      </c>
      <c r="B9922" s="3">
        <v>0.21840277777777775</v>
      </c>
      <c r="C9922">
        <v>7239</v>
      </c>
      <c r="D9922" t="str">
        <f>VLOOKUP(H9922,Produkt!$A$2:$B$5,2,FALSE)</f>
        <v>A</v>
      </c>
      <c r="H9922">
        <v>1</v>
      </c>
      <c r="I9922">
        <v>0.72745370370370377</v>
      </c>
      <c r="J9922">
        <v>44791</v>
      </c>
    </row>
    <row r="9923" spans="1:10" x14ac:dyDescent="0.35">
      <c r="A9923" s="2">
        <v>44804</v>
      </c>
      <c r="B9923" s="3">
        <v>0.81329861111111112</v>
      </c>
      <c r="C9923">
        <v>7297</v>
      </c>
      <c r="D9923" t="str">
        <f>VLOOKUP(H9923,Produkt!$A$2:$B$5,2,FALSE)</f>
        <v>D</v>
      </c>
      <c r="H9923">
        <v>4</v>
      </c>
      <c r="I9923">
        <v>0.49925925925925929</v>
      </c>
      <c r="J9923">
        <v>44778</v>
      </c>
    </row>
    <row r="9924" spans="1:10" x14ac:dyDescent="0.35">
      <c r="A9924" s="2">
        <v>44804</v>
      </c>
      <c r="B9924" s="3">
        <v>0.66002314814814811</v>
      </c>
      <c r="C9924">
        <v>7299</v>
      </c>
      <c r="D9924" t="str">
        <f>VLOOKUP(H9924,Produkt!$A$2:$B$5,2,FALSE)</f>
        <v>A</v>
      </c>
      <c r="H9924">
        <v>1</v>
      </c>
      <c r="I9924">
        <v>0.46084490740740741</v>
      </c>
      <c r="J9924">
        <v>44792</v>
      </c>
    </row>
    <row r="9925" spans="1:10" x14ac:dyDescent="0.35">
      <c r="A9925" s="2">
        <v>44804</v>
      </c>
      <c r="B9925" s="3">
        <v>0.16005787037037036</v>
      </c>
      <c r="C9925">
        <v>7430</v>
      </c>
      <c r="D9925" t="str">
        <f>VLOOKUP(H9925,Produkt!$A$2:$B$5,2,FALSE)</f>
        <v>C</v>
      </c>
      <c r="H9925">
        <v>3</v>
      </c>
      <c r="I9925">
        <v>0.88927083333333334</v>
      </c>
      <c r="J9925">
        <v>44782</v>
      </c>
    </row>
    <row r="9926" spans="1:10" x14ac:dyDescent="0.35">
      <c r="A9926" s="2">
        <v>44804</v>
      </c>
      <c r="B9926" s="3">
        <v>0.80292824074074076</v>
      </c>
      <c r="C9926">
        <v>7435</v>
      </c>
      <c r="D9926" t="str">
        <f>VLOOKUP(H9926,Produkt!$A$2:$B$5,2,FALSE)</f>
        <v>D</v>
      </c>
      <c r="H9926">
        <v>4</v>
      </c>
      <c r="I9926">
        <v>0.49265046296296294</v>
      </c>
      <c r="J9926">
        <v>44799</v>
      </c>
    </row>
    <row r="9927" spans="1:10" x14ac:dyDescent="0.35">
      <c r="A9927" s="2">
        <v>44804</v>
      </c>
      <c r="B9927" s="3">
        <v>0.27208333333333334</v>
      </c>
      <c r="C9927">
        <v>7490</v>
      </c>
      <c r="D9927" t="str">
        <f>VLOOKUP(H9927,Produkt!$A$2:$B$5,2,FALSE)</f>
        <v>B</v>
      </c>
      <c r="H9927">
        <v>2</v>
      </c>
      <c r="I9927">
        <v>0.28332175925925923</v>
      </c>
      <c r="J9927">
        <v>44780</v>
      </c>
    </row>
    <row r="9928" spans="1:10" x14ac:dyDescent="0.35">
      <c r="A9928" s="2">
        <v>44804</v>
      </c>
      <c r="B9928" s="3">
        <v>0.82939814814814816</v>
      </c>
      <c r="C9928">
        <v>7517</v>
      </c>
      <c r="D9928" t="str">
        <f>VLOOKUP(H9928,Produkt!$A$2:$B$5,2,FALSE)</f>
        <v>B</v>
      </c>
      <c r="H9928">
        <v>2</v>
      </c>
      <c r="I9928">
        <v>6.6203703703704431E-3</v>
      </c>
      <c r="J9928">
        <v>44793</v>
      </c>
    </row>
    <row r="9929" spans="1:10" x14ac:dyDescent="0.35">
      <c r="A9929" s="2">
        <v>44804</v>
      </c>
      <c r="B9929" s="3">
        <v>0.48832175925925925</v>
      </c>
      <c r="C9929">
        <v>7552</v>
      </c>
      <c r="D9929" t="str">
        <f>VLOOKUP(H9929,Produkt!$A$2:$B$5,2,FALSE)</f>
        <v>C</v>
      </c>
      <c r="H9929">
        <v>3</v>
      </c>
      <c r="I9929">
        <v>0.77684027777777775</v>
      </c>
      <c r="J9929">
        <v>44779</v>
      </c>
    </row>
    <row r="9930" spans="1:10" x14ac:dyDescent="0.35">
      <c r="A9930" s="2">
        <v>44804</v>
      </c>
      <c r="B9930" s="3">
        <v>0.39396990740740739</v>
      </c>
      <c r="C9930">
        <v>7561</v>
      </c>
      <c r="D9930" t="str">
        <f>VLOOKUP(H9930,Produkt!$A$2:$B$5,2,FALSE)</f>
        <v>D</v>
      </c>
      <c r="H9930">
        <v>4</v>
      </c>
      <c r="I9930">
        <v>0.25802083333333331</v>
      </c>
      <c r="J9930">
        <v>44789</v>
      </c>
    </row>
    <row r="9931" spans="1:10" x14ac:dyDescent="0.35">
      <c r="A9931" s="2">
        <v>44804</v>
      </c>
      <c r="B9931" s="3">
        <v>0.42486111111111113</v>
      </c>
      <c r="C9931">
        <v>7565</v>
      </c>
      <c r="D9931" t="str">
        <f>VLOOKUP(H9931,Produkt!$A$2:$B$5,2,FALSE)</f>
        <v>D</v>
      </c>
      <c r="H9931">
        <v>4</v>
      </c>
      <c r="I9931">
        <v>0.59274305555555562</v>
      </c>
      <c r="J9931">
        <v>44776</v>
      </c>
    </row>
    <row r="9932" spans="1:10" x14ac:dyDescent="0.35">
      <c r="A9932" s="2">
        <v>44804</v>
      </c>
      <c r="B9932" s="3">
        <v>2.5370370370370265E-2</v>
      </c>
      <c r="C9932">
        <v>7576</v>
      </c>
      <c r="D9932" t="str">
        <f>VLOOKUP(H9932,Produkt!$A$2:$B$5,2,FALSE)</f>
        <v>D</v>
      </c>
      <c r="H9932">
        <v>4</v>
      </c>
      <c r="I9932">
        <v>0.73008101851851848</v>
      </c>
      <c r="J9932">
        <v>44789</v>
      </c>
    </row>
    <row r="9933" spans="1:10" x14ac:dyDescent="0.35">
      <c r="A9933" s="2">
        <v>44804</v>
      </c>
      <c r="B9933" s="3">
        <v>0.96657407407407403</v>
      </c>
      <c r="C9933">
        <v>7582</v>
      </c>
      <c r="D9933" t="str">
        <f>VLOOKUP(H9933,Produkt!$A$2:$B$5,2,FALSE)</f>
        <v>B</v>
      </c>
      <c r="H9933">
        <v>2</v>
      </c>
      <c r="I9933">
        <v>4.6990740740740743E-3</v>
      </c>
      <c r="J9933">
        <v>44804</v>
      </c>
    </row>
    <row r="9934" spans="1:10" x14ac:dyDescent="0.35">
      <c r="A9934" s="2">
        <v>44804</v>
      </c>
      <c r="B9934" s="3">
        <v>8.2777777777777783E-2</v>
      </c>
      <c r="C9934">
        <v>7604</v>
      </c>
      <c r="D9934" t="str">
        <f>VLOOKUP(H9934,Produkt!$A$2:$B$5,2,FALSE)</f>
        <v>D</v>
      </c>
      <c r="H9934">
        <v>4</v>
      </c>
      <c r="I9934">
        <v>3.7037037037037646E-3</v>
      </c>
      <c r="J9934">
        <v>44798</v>
      </c>
    </row>
    <row r="9935" spans="1:10" x14ac:dyDescent="0.35">
      <c r="A9935" s="2">
        <v>44804</v>
      </c>
      <c r="B9935" s="3">
        <v>0.59894675925925933</v>
      </c>
      <c r="C9935">
        <v>7629</v>
      </c>
      <c r="D9935" t="str">
        <f>VLOOKUP(H9935,Produkt!$A$2:$B$5,2,FALSE)</f>
        <v>B</v>
      </c>
      <c r="H9935">
        <v>2</v>
      </c>
      <c r="I9935">
        <v>0.40850694444444446</v>
      </c>
      <c r="J9935">
        <v>44789</v>
      </c>
    </row>
    <row r="9936" spans="1:10" x14ac:dyDescent="0.35">
      <c r="A9936" s="2">
        <v>44804</v>
      </c>
      <c r="B9936" s="3">
        <v>0.4491087962962963</v>
      </c>
      <c r="C9936">
        <v>7632</v>
      </c>
      <c r="D9936" t="str">
        <f>VLOOKUP(H9936,Produkt!$A$2:$B$5,2,FALSE)</f>
        <v>A</v>
      </c>
      <c r="H9936">
        <v>1</v>
      </c>
      <c r="I9936">
        <v>0.54684027777777777</v>
      </c>
      <c r="J9936">
        <v>44783</v>
      </c>
    </row>
    <row r="9937" spans="1:10" x14ac:dyDescent="0.35">
      <c r="A9937" s="2">
        <v>44804</v>
      </c>
      <c r="B9937" s="3">
        <v>0.58815972222222224</v>
      </c>
      <c r="C9937">
        <v>7640</v>
      </c>
      <c r="D9937" t="str">
        <f>VLOOKUP(H9937,Produkt!$A$2:$B$5,2,FALSE)</f>
        <v>A</v>
      </c>
      <c r="H9937">
        <v>1</v>
      </c>
      <c r="I9937">
        <v>0.72721064814814806</v>
      </c>
      <c r="J9937">
        <v>44787</v>
      </c>
    </row>
    <row r="9938" spans="1:10" x14ac:dyDescent="0.35">
      <c r="A9938" s="2">
        <v>44804</v>
      </c>
      <c r="B9938" s="3">
        <v>0.30252314814814812</v>
      </c>
      <c r="C9938">
        <v>7712</v>
      </c>
      <c r="D9938" t="str">
        <f>VLOOKUP(H9938,Produkt!$A$2:$B$5,2,FALSE)</f>
        <v>A</v>
      </c>
      <c r="H9938">
        <v>1</v>
      </c>
      <c r="I9938">
        <v>6.7627314814814821E-2</v>
      </c>
      <c r="J9938">
        <v>44798</v>
      </c>
    </row>
    <row r="9939" spans="1:10" x14ac:dyDescent="0.35">
      <c r="A9939" s="2">
        <v>44804</v>
      </c>
      <c r="B9939" s="3">
        <v>0.59195601851851853</v>
      </c>
      <c r="C9939">
        <v>7725</v>
      </c>
      <c r="D9939" t="str">
        <f>VLOOKUP(H9939,Produkt!$A$2:$B$5,2,FALSE)</f>
        <v>B</v>
      </c>
      <c r="H9939">
        <v>2</v>
      </c>
      <c r="I9939">
        <v>0.15615740740740741</v>
      </c>
      <c r="J9939">
        <v>44784</v>
      </c>
    </row>
    <row r="9940" spans="1:10" x14ac:dyDescent="0.35">
      <c r="A9940" s="2">
        <v>44804</v>
      </c>
      <c r="B9940" s="3">
        <v>0.91065972222222225</v>
      </c>
      <c r="C9940">
        <v>7740</v>
      </c>
      <c r="D9940" t="str">
        <f>VLOOKUP(H9940,Produkt!$A$2:$B$5,2,FALSE)</f>
        <v>C</v>
      </c>
      <c r="H9940">
        <v>3</v>
      </c>
      <c r="I9940">
        <v>2.5451388888888888E-2</v>
      </c>
      <c r="J9940">
        <v>44802</v>
      </c>
    </row>
    <row r="9941" spans="1:10" x14ac:dyDescent="0.35">
      <c r="A9941" s="2">
        <v>44804</v>
      </c>
      <c r="B9941" s="3">
        <v>0.58179398148148154</v>
      </c>
      <c r="C9941">
        <v>7783</v>
      </c>
      <c r="D9941" t="str">
        <f>VLOOKUP(H9941,Produkt!$A$2:$B$5,2,FALSE)</f>
        <v>A</v>
      </c>
      <c r="H9941">
        <v>1</v>
      </c>
      <c r="I9941">
        <v>0.3721990740740741</v>
      </c>
      <c r="J9941">
        <v>44779</v>
      </c>
    </row>
    <row r="9942" spans="1:10" x14ac:dyDescent="0.35">
      <c r="A9942" s="2">
        <v>44804</v>
      </c>
      <c r="B9942" s="3">
        <v>0.7518055555555555</v>
      </c>
      <c r="C9942">
        <v>7787</v>
      </c>
      <c r="D9942" t="str">
        <f>VLOOKUP(H9942,Produkt!$A$2:$B$5,2,FALSE)</f>
        <v>D</v>
      </c>
      <c r="H9942">
        <v>4</v>
      </c>
      <c r="I9942">
        <v>0.34866898148148145</v>
      </c>
      <c r="J9942">
        <v>44794</v>
      </c>
    </row>
    <row r="9943" spans="1:10" x14ac:dyDescent="0.35">
      <c r="A9943" s="2">
        <v>44804</v>
      </c>
      <c r="B9943" s="3">
        <v>1.0879629629629629E-3</v>
      </c>
      <c r="C9943">
        <v>7815</v>
      </c>
      <c r="D9943" t="str">
        <f>VLOOKUP(H9943,Produkt!$A$2:$B$5,2,FALSE)</f>
        <v>D</v>
      </c>
      <c r="H9943">
        <v>4</v>
      </c>
      <c r="I9943">
        <v>0.67151620370370368</v>
      </c>
      <c r="J9943">
        <v>44785</v>
      </c>
    </row>
    <row r="9944" spans="1:10" x14ac:dyDescent="0.35">
      <c r="A9944" s="2">
        <v>44804</v>
      </c>
      <c r="B9944" s="3">
        <v>0.19939814814814816</v>
      </c>
      <c r="C9944">
        <v>7820</v>
      </c>
      <c r="D9944" t="str">
        <f>VLOOKUP(H9944,Produkt!$A$2:$B$5,2,FALSE)</f>
        <v>A</v>
      </c>
      <c r="H9944">
        <v>1</v>
      </c>
      <c r="I9944">
        <v>0.83697916666666661</v>
      </c>
      <c r="J9944">
        <v>44792</v>
      </c>
    </row>
    <row r="9945" spans="1:10" x14ac:dyDescent="0.35">
      <c r="A9945" s="2">
        <v>44804</v>
      </c>
      <c r="B9945" s="3">
        <v>0.29292824074074075</v>
      </c>
      <c r="C9945">
        <v>7894</v>
      </c>
      <c r="D9945" t="str">
        <f>VLOOKUP(H9945,Produkt!$A$2:$B$5,2,FALSE)</f>
        <v>C</v>
      </c>
      <c r="H9945">
        <v>3</v>
      </c>
      <c r="I9945">
        <v>6.1481481481481477E-2</v>
      </c>
      <c r="J9945">
        <v>44778</v>
      </c>
    </row>
    <row r="9946" spans="1:10" x14ac:dyDescent="0.35">
      <c r="A9946" s="2">
        <v>44804</v>
      </c>
      <c r="B9946" s="3">
        <v>0.28804398148148147</v>
      </c>
      <c r="C9946">
        <v>7920</v>
      </c>
      <c r="D9946" t="str">
        <f>VLOOKUP(H9946,Produkt!$A$2:$B$5,2,FALSE)</f>
        <v>B</v>
      </c>
      <c r="H9946">
        <v>2</v>
      </c>
      <c r="I9946">
        <v>0.46284722222222219</v>
      </c>
      <c r="J9946">
        <v>44788</v>
      </c>
    </row>
    <row r="9947" spans="1:10" x14ac:dyDescent="0.35">
      <c r="A9947" s="2">
        <v>44804</v>
      </c>
      <c r="B9947" s="3">
        <v>0.57578703703703704</v>
      </c>
      <c r="C9947">
        <v>7923</v>
      </c>
      <c r="D9947" t="str">
        <f>VLOOKUP(H9947,Produkt!$A$2:$B$5,2,FALSE)</f>
        <v>B</v>
      </c>
      <c r="H9947">
        <v>2</v>
      </c>
      <c r="I9947">
        <v>0.12503472222222223</v>
      </c>
      <c r="J9947">
        <v>44798</v>
      </c>
    </row>
    <row r="9948" spans="1:10" x14ac:dyDescent="0.35">
      <c r="A9948" s="2">
        <v>44804</v>
      </c>
      <c r="B9948" s="3">
        <v>0.86305555555555558</v>
      </c>
      <c r="C9948">
        <v>7940</v>
      </c>
      <c r="D9948" t="str">
        <f>VLOOKUP(H9948,Produkt!$A$2:$B$5,2,FALSE)</f>
        <v>B</v>
      </c>
      <c r="H9948">
        <v>2</v>
      </c>
      <c r="I9948">
        <v>0.54331018518518526</v>
      </c>
      <c r="J9948">
        <v>44782</v>
      </c>
    </row>
    <row r="9949" spans="1:10" x14ac:dyDescent="0.35">
      <c r="A9949" s="2">
        <v>44804</v>
      </c>
      <c r="B9949" s="3">
        <v>0.53789351851851852</v>
      </c>
      <c r="C9949">
        <v>7959</v>
      </c>
      <c r="D9949" t="str">
        <f>VLOOKUP(H9949,Produkt!$A$2:$B$5,2,FALSE)</f>
        <v>B</v>
      </c>
      <c r="H9949">
        <v>2</v>
      </c>
      <c r="I9949">
        <v>0.57886574074074071</v>
      </c>
      <c r="J9949">
        <v>44791</v>
      </c>
    </row>
    <row r="9950" spans="1:10" x14ac:dyDescent="0.35">
      <c r="A9950" s="2">
        <v>44804</v>
      </c>
      <c r="B9950" s="3">
        <v>0.82996527777777773</v>
      </c>
      <c r="C9950">
        <v>7960</v>
      </c>
      <c r="D9950" t="str">
        <f>VLOOKUP(H9950,Produkt!$A$2:$B$5,2,FALSE)</f>
        <v>C</v>
      </c>
      <c r="H9950">
        <v>3</v>
      </c>
      <c r="I9950">
        <v>0.96234953703703707</v>
      </c>
      <c r="J9950">
        <v>44791</v>
      </c>
    </row>
    <row r="9951" spans="1:10" x14ac:dyDescent="0.35">
      <c r="A9951" s="2">
        <v>44804</v>
      </c>
      <c r="B9951" s="3">
        <v>0.71468750000000003</v>
      </c>
      <c r="C9951">
        <v>7991</v>
      </c>
      <c r="D9951" t="str">
        <f>VLOOKUP(H9951,Produkt!$A$2:$B$5,2,FALSE)</f>
        <v>B</v>
      </c>
      <c r="H9951">
        <v>2</v>
      </c>
      <c r="I9951">
        <v>3.6898148148148069E-2</v>
      </c>
      <c r="J9951">
        <v>44789</v>
      </c>
    </row>
    <row r="9952" spans="1:10" x14ac:dyDescent="0.35">
      <c r="A9952" s="2">
        <v>44804</v>
      </c>
      <c r="B9952" s="3">
        <v>0.38055555555555554</v>
      </c>
      <c r="C9952">
        <v>8001</v>
      </c>
      <c r="D9952" t="str">
        <f>VLOOKUP(H9952,Produkt!$A$2:$B$5,2,FALSE)</f>
        <v>C</v>
      </c>
      <c r="H9952">
        <v>3</v>
      </c>
      <c r="I9952">
        <v>0.89039351851851845</v>
      </c>
      <c r="J9952">
        <v>44802</v>
      </c>
    </row>
    <row r="9953" spans="1:10" x14ac:dyDescent="0.35">
      <c r="A9953" s="2">
        <v>44804</v>
      </c>
      <c r="B9953" s="3">
        <v>0.11184027777777777</v>
      </c>
      <c r="C9953">
        <v>8011</v>
      </c>
      <c r="D9953" t="str">
        <f>VLOOKUP(H9953,Produkt!$A$2:$B$5,2,FALSE)</f>
        <v>B</v>
      </c>
      <c r="H9953">
        <v>2</v>
      </c>
      <c r="I9953">
        <v>0.76629629629629636</v>
      </c>
      <c r="J9953">
        <v>44778</v>
      </c>
    </row>
    <row r="9954" spans="1:10" x14ac:dyDescent="0.35">
      <c r="A9954" s="2">
        <v>44804</v>
      </c>
      <c r="B9954" s="3">
        <v>0.81884259259259251</v>
      </c>
      <c r="C9954">
        <v>8013</v>
      </c>
      <c r="D9954" t="str">
        <f>VLOOKUP(H9954,Produkt!$A$2:$B$5,2,FALSE)</f>
        <v>D</v>
      </c>
      <c r="H9954">
        <v>4</v>
      </c>
      <c r="I9954">
        <v>0.7622916666666667</v>
      </c>
      <c r="J9954">
        <v>44795</v>
      </c>
    </row>
    <row r="9955" spans="1:10" x14ac:dyDescent="0.35">
      <c r="A9955" s="2">
        <v>44804</v>
      </c>
      <c r="B9955" s="3">
        <v>0.2093865740740741</v>
      </c>
      <c r="C9955">
        <v>8045</v>
      </c>
      <c r="D9955" t="str">
        <f>VLOOKUP(H9955,Produkt!$A$2:$B$5,2,FALSE)</f>
        <v>C</v>
      </c>
      <c r="H9955">
        <v>3</v>
      </c>
      <c r="I9955">
        <v>0.46105324074074078</v>
      </c>
      <c r="J9955">
        <v>44798</v>
      </c>
    </row>
    <row r="9956" spans="1:10" x14ac:dyDescent="0.35">
      <c r="A9956" s="2">
        <v>44804</v>
      </c>
      <c r="B9956" s="3">
        <v>0.53793981481481479</v>
      </c>
      <c r="C9956">
        <v>8074</v>
      </c>
      <c r="D9956" t="str">
        <f>VLOOKUP(H9956,Produkt!$A$2:$B$5,2,FALSE)</f>
        <v>D</v>
      </c>
      <c r="H9956">
        <v>4</v>
      </c>
      <c r="I9956">
        <v>0.81778935185185186</v>
      </c>
      <c r="J9956">
        <v>44794</v>
      </c>
    </row>
    <row r="9957" spans="1:10" x14ac:dyDescent="0.35">
      <c r="A9957" s="2">
        <v>44804</v>
      </c>
      <c r="B9957" s="3">
        <v>0.65206018518518516</v>
      </c>
      <c r="C9957">
        <v>8086</v>
      </c>
      <c r="D9957" t="str">
        <f>VLOOKUP(H9957,Produkt!$A$2:$B$5,2,FALSE)</f>
        <v>A</v>
      </c>
      <c r="H9957">
        <v>1</v>
      </c>
      <c r="I9957">
        <v>4.0763888888888822E-2</v>
      </c>
      <c r="J9957">
        <v>44795</v>
      </c>
    </row>
    <row r="9958" spans="1:10" x14ac:dyDescent="0.35">
      <c r="A9958" s="2">
        <v>44804</v>
      </c>
      <c r="B9958" s="3">
        <v>0.10481481481481481</v>
      </c>
      <c r="C9958">
        <v>8088</v>
      </c>
      <c r="D9958" t="str">
        <f>VLOOKUP(H9958,Produkt!$A$2:$B$5,2,FALSE)</f>
        <v>B</v>
      </c>
      <c r="H9958">
        <v>2</v>
      </c>
      <c r="I9958">
        <v>0.38329861111111113</v>
      </c>
      <c r="J9958">
        <v>44797</v>
      </c>
    </row>
    <row r="9959" spans="1:10" x14ac:dyDescent="0.35">
      <c r="A9959" s="2">
        <v>44804</v>
      </c>
      <c r="B9959" s="3">
        <v>0.53803240740740743</v>
      </c>
      <c r="C9959">
        <v>8141</v>
      </c>
      <c r="D9959" t="str">
        <f>VLOOKUP(H9959,Produkt!$A$2:$B$5,2,FALSE)</f>
        <v>B</v>
      </c>
      <c r="H9959">
        <v>2</v>
      </c>
      <c r="I9959">
        <v>0.71393518518518517</v>
      </c>
      <c r="J9959">
        <v>44798</v>
      </c>
    </row>
    <row r="9960" spans="1:10" x14ac:dyDescent="0.35">
      <c r="A9960" s="2">
        <v>44804</v>
      </c>
      <c r="B9960" s="3">
        <v>0.99554398148148149</v>
      </c>
      <c r="C9960">
        <v>8210</v>
      </c>
      <c r="D9960" t="str">
        <f>VLOOKUP(H9960,Produkt!$A$2:$B$5,2,FALSE)</f>
        <v>B</v>
      </c>
      <c r="H9960">
        <v>2</v>
      </c>
      <c r="I9960">
        <v>0.19093749999999998</v>
      </c>
      <c r="J9960">
        <v>44779</v>
      </c>
    </row>
    <row r="9961" spans="1:10" x14ac:dyDescent="0.35">
      <c r="A9961" s="2">
        <v>44804</v>
      </c>
      <c r="B9961" s="3">
        <v>0.70300925925925928</v>
      </c>
      <c r="C9961">
        <v>8290</v>
      </c>
      <c r="D9961" t="str">
        <f>VLOOKUP(H9961,Produkt!$A$2:$B$5,2,FALSE)</f>
        <v>A</v>
      </c>
      <c r="H9961">
        <v>1</v>
      </c>
      <c r="I9961">
        <v>0.16086805555555556</v>
      </c>
      <c r="J9961">
        <v>44803</v>
      </c>
    </row>
    <row r="9962" spans="1:10" x14ac:dyDescent="0.35">
      <c r="A9962" s="2">
        <v>44804</v>
      </c>
      <c r="B9962" s="3">
        <v>5.5486111111111104E-2</v>
      </c>
      <c r="C9962">
        <v>8297</v>
      </c>
      <c r="D9962" t="str">
        <f>VLOOKUP(H9962,Produkt!$A$2:$B$5,2,FALSE)</f>
        <v>B</v>
      </c>
      <c r="H9962">
        <v>2</v>
      </c>
      <c r="I9962">
        <v>0.18989583333333335</v>
      </c>
      <c r="J9962">
        <v>44777</v>
      </c>
    </row>
    <row r="9963" spans="1:10" x14ac:dyDescent="0.35">
      <c r="A9963" s="2">
        <v>44804</v>
      </c>
      <c r="B9963" s="3">
        <v>0.57049768518518518</v>
      </c>
      <c r="C9963">
        <v>8308</v>
      </c>
      <c r="D9963" t="str">
        <f>VLOOKUP(H9963,Produkt!$A$2:$B$5,2,FALSE)</f>
        <v>D</v>
      </c>
      <c r="H9963">
        <v>4</v>
      </c>
      <c r="I9963">
        <v>0.28196759259259258</v>
      </c>
      <c r="J9963">
        <v>44795</v>
      </c>
    </row>
    <row r="9964" spans="1:10" x14ac:dyDescent="0.35">
      <c r="A9964" s="2">
        <v>44804</v>
      </c>
      <c r="B9964" s="3">
        <v>0.30616898148148147</v>
      </c>
      <c r="C9964">
        <v>8319</v>
      </c>
      <c r="D9964" t="str">
        <f>VLOOKUP(H9964,Produkt!$A$2:$B$5,2,FALSE)</f>
        <v>A</v>
      </c>
      <c r="H9964">
        <v>1</v>
      </c>
      <c r="I9964">
        <v>0.4460648148148148</v>
      </c>
      <c r="J9964">
        <v>44804</v>
      </c>
    </row>
    <row r="9965" spans="1:10" x14ac:dyDescent="0.35">
      <c r="A9965" s="2">
        <v>44804</v>
      </c>
      <c r="B9965" s="3">
        <v>0.68208333333333337</v>
      </c>
      <c r="C9965">
        <v>8325</v>
      </c>
      <c r="D9965" t="str">
        <f>VLOOKUP(H9965,Produkt!$A$2:$B$5,2,FALSE)</f>
        <v>D</v>
      </c>
      <c r="H9965">
        <v>4</v>
      </c>
      <c r="I9965">
        <v>0.61107638888888893</v>
      </c>
      <c r="J9965">
        <v>44786</v>
      </c>
    </row>
    <row r="9966" spans="1:10" x14ac:dyDescent="0.35">
      <c r="A9966" s="2">
        <v>44804</v>
      </c>
      <c r="B9966" s="3">
        <v>0.69262731481481488</v>
      </c>
      <c r="C9966">
        <v>8405</v>
      </c>
      <c r="D9966" t="str">
        <f>VLOOKUP(H9966,Produkt!$A$2:$B$5,2,FALSE)</f>
        <v>D</v>
      </c>
      <c r="H9966">
        <v>4</v>
      </c>
      <c r="I9966">
        <v>0.73111111111111116</v>
      </c>
      <c r="J9966">
        <v>44778</v>
      </c>
    </row>
    <row r="9967" spans="1:10" x14ac:dyDescent="0.35">
      <c r="A9967" s="2">
        <v>44804</v>
      </c>
      <c r="B9967" s="3">
        <v>2.0439814814814817E-2</v>
      </c>
      <c r="C9967">
        <v>8451</v>
      </c>
      <c r="D9967" t="str">
        <f>VLOOKUP(H9967,Produkt!$A$2:$B$5,2,FALSE)</f>
        <v>D</v>
      </c>
      <c r="H9967">
        <v>4</v>
      </c>
      <c r="I9967">
        <v>0.41885416666666669</v>
      </c>
      <c r="J9967">
        <v>44790</v>
      </c>
    </row>
    <row r="9968" spans="1:10" x14ac:dyDescent="0.35">
      <c r="A9968" s="2">
        <v>44804</v>
      </c>
      <c r="B9968" s="3">
        <v>0.49662037037037038</v>
      </c>
      <c r="C9968">
        <v>8551</v>
      </c>
      <c r="D9968" t="str">
        <f>VLOOKUP(H9968,Produkt!$A$2:$B$5,2,FALSE)</f>
        <v>B</v>
      </c>
      <c r="H9968">
        <v>2</v>
      </c>
      <c r="I9968">
        <v>2.7592592592592613E-2</v>
      </c>
      <c r="J9968">
        <v>44797</v>
      </c>
    </row>
    <row r="9969" spans="1:10" x14ac:dyDescent="0.35">
      <c r="A9969" s="2">
        <v>44804</v>
      </c>
      <c r="B9969" s="3">
        <v>0.36827546296296299</v>
      </c>
      <c r="C9969">
        <v>8576</v>
      </c>
      <c r="D9969" t="str">
        <f>VLOOKUP(H9969,Produkt!$A$2:$B$5,2,FALSE)</f>
        <v>D</v>
      </c>
      <c r="H9969">
        <v>4</v>
      </c>
      <c r="I9969">
        <v>0.30774305555555553</v>
      </c>
      <c r="J9969">
        <v>44797</v>
      </c>
    </row>
    <row r="9970" spans="1:10" x14ac:dyDescent="0.35">
      <c r="A9970" s="2">
        <v>44804</v>
      </c>
      <c r="B9970" s="3">
        <v>0.81017361111111119</v>
      </c>
      <c r="C9970">
        <v>8689</v>
      </c>
      <c r="D9970" t="str">
        <f>VLOOKUP(H9970,Produkt!$A$2:$B$5,2,FALSE)</f>
        <v>B</v>
      </c>
      <c r="H9970">
        <v>2</v>
      </c>
      <c r="I9970">
        <v>0.62484953703703705</v>
      </c>
      <c r="J9970">
        <v>44798</v>
      </c>
    </row>
    <row r="9971" spans="1:10" x14ac:dyDescent="0.35">
      <c r="A9971" s="2">
        <v>44804</v>
      </c>
      <c r="B9971" s="3">
        <v>0.15385416666666665</v>
      </c>
      <c r="C9971">
        <v>8793</v>
      </c>
      <c r="D9971" t="str">
        <f>VLOOKUP(H9971,Produkt!$A$2:$B$5,2,FALSE)</f>
        <v>C</v>
      </c>
      <c r="H9971">
        <v>3</v>
      </c>
      <c r="I9971">
        <v>5.740740740740824E-3</v>
      </c>
      <c r="J9971">
        <v>44800</v>
      </c>
    </row>
    <row r="9972" spans="1:10" x14ac:dyDescent="0.35">
      <c r="A9972" s="2">
        <v>44804</v>
      </c>
      <c r="B9972" s="3">
        <v>0.16728009259259258</v>
      </c>
      <c r="C9972">
        <v>8805</v>
      </c>
      <c r="D9972" t="str">
        <f>VLOOKUP(H9972,Produkt!$A$2:$B$5,2,FALSE)</f>
        <v>C</v>
      </c>
      <c r="H9972">
        <v>3</v>
      </c>
      <c r="I9972">
        <v>0.94048611111111102</v>
      </c>
      <c r="J9972">
        <v>44803</v>
      </c>
    </row>
    <row r="9973" spans="1:10" x14ac:dyDescent="0.35">
      <c r="A9973" s="2">
        <v>44804</v>
      </c>
      <c r="B9973" s="3">
        <v>0.72222222222222221</v>
      </c>
      <c r="C9973">
        <v>8881</v>
      </c>
      <c r="D9973" t="str">
        <f>VLOOKUP(H9973,Produkt!$A$2:$B$5,2,FALSE)</f>
        <v>D</v>
      </c>
      <c r="H9973">
        <v>4</v>
      </c>
      <c r="I9973">
        <v>0.76304398148148145</v>
      </c>
      <c r="J9973">
        <v>44785</v>
      </c>
    </row>
    <row r="9974" spans="1:10" x14ac:dyDescent="0.35">
      <c r="A9974" s="2">
        <v>44804</v>
      </c>
      <c r="B9974" s="3">
        <v>0.57723379629629623</v>
      </c>
      <c r="C9974">
        <v>8895</v>
      </c>
      <c r="D9974" t="str">
        <f>VLOOKUP(H9974,Produkt!$A$2:$B$5,2,FALSE)</f>
        <v>A</v>
      </c>
      <c r="H9974">
        <v>1</v>
      </c>
      <c r="I9974">
        <v>0.68884259259259262</v>
      </c>
      <c r="J9974">
        <v>44793</v>
      </c>
    </row>
    <row r="9975" spans="1:10" x14ac:dyDescent="0.35">
      <c r="A9975" s="2">
        <v>44804</v>
      </c>
      <c r="B9975" s="3">
        <v>0.9081597222222223</v>
      </c>
      <c r="C9975">
        <v>8922</v>
      </c>
      <c r="D9975" t="str">
        <f>VLOOKUP(H9975,Produkt!$A$2:$B$5,2,FALSE)</f>
        <v>A</v>
      </c>
      <c r="H9975">
        <v>1</v>
      </c>
      <c r="I9975">
        <v>0.32743055555555556</v>
      </c>
      <c r="J9975">
        <v>44799</v>
      </c>
    </row>
    <row r="9976" spans="1:10" x14ac:dyDescent="0.35">
      <c r="A9976" s="2">
        <v>44804</v>
      </c>
      <c r="B9976" s="3">
        <v>0.43932870370370369</v>
      </c>
      <c r="C9976">
        <v>8939</v>
      </c>
      <c r="D9976" t="str">
        <f>VLOOKUP(H9976,Produkt!$A$2:$B$5,2,FALSE)</f>
        <v>C</v>
      </c>
      <c r="H9976">
        <v>3</v>
      </c>
      <c r="I9976">
        <v>0.22265046296296298</v>
      </c>
      <c r="J9976">
        <v>44790</v>
      </c>
    </row>
    <row r="9977" spans="1:10" x14ac:dyDescent="0.35">
      <c r="A9977" s="2">
        <v>44804</v>
      </c>
      <c r="B9977" s="3">
        <v>0.61020833333333335</v>
      </c>
      <c r="C9977">
        <v>8941</v>
      </c>
      <c r="D9977" t="str">
        <f>VLOOKUP(H9977,Produkt!$A$2:$B$5,2,FALSE)</f>
        <v>D</v>
      </c>
      <c r="H9977">
        <v>4</v>
      </c>
      <c r="I9977">
        <v>0.5357291666666667</v>
      </c>
      <c r="J9977">
        <v>44796</v>
      </c>
    </row>
    <row r="9978" spans="1:10" x14ac:dyDescent="0.35">
      <c r="A9978" s="2">
        <v>44804</v>
      </c>
      <c r="B9978" s="3">
        <v>0.83659722222222221</v>
      </c>
      <c r="C9978">
        <v>9027</v>
      </c>
      <c r="D9978" t="str">
        <f>VLOOKUP(H9978,Produkt!$A$2:$B$5,2,FALSE)</f>
        <v>D</v>
      </c>
      <c r="H9978">
        <v>4</v>
      </c>
      <c r="I9978">
        <v>0.59004629629629635</v>
      </c>
      <c r="J9978">
        <v>44789</v>
      </c>
    </row>
    <row r="9979" spans="1:10" x14ac:dyDescent="0.35">
      <c r="A9979" s="2">
        <v>44804</v>
      </c>
      <c r="B9979" s="3">
        <v>0.36693287037037042</v>
      </c>
      <c r="C9979">
        <v>9059</v>
      </c>
      <c r="D9979" t="str">
        <f>VLOOKUP(H9979,Produkt!$A$2:$B$5,2,FALSE)</f>
        <v>B</v>
      </c>
      <c r="H9979">
        <v>2</v>
      </c>
      <c r="I9979">
        <v>0.52123842592592595</v>
      </c>
      <c r="J9979">
        <v>44782</v>
      </c>
    </row>
    <row r="9980" spans="1:10" x14ac:dyDescent="0.35">
      <c r="A9980" s="2">
        <v>44804</v>
      </c>
      <c r="B9980" s="3">
        <v>0.76596064814814813</v>
      </c>
      <c r="C9980">
        <v>9104</v>
      </c>
      <c r="D9980" t="str">
        <f>VLOOKUP(H9980,Produkt!$A$2:$B$5,2,FALSE)</f>
        <v>D</v>
      </c>
      <c r="H9980">
        <v>4</v>
      </c>
      <c r="I9980">
        <v>0.4418171296296296</v>
      </c>
      <c r="J9980">
        <v>44776</v>
      </c>
    </row>
    <row r="9981" spans="1:10" x14ac:dyDescent="0.35">
      <c r="A9981" s="2">
        <v>44804</v>
      </c>
      <c r="B9981" s="3">
        <v>3.1921296296296302E-2</v>
      </c>
      <c r="C9981">
        <v>9162</v>
      </c>
      <c r="D9981" t="str">
        <f>VLOOKUP(H9981,Produkt!$A$2:$B$5,2,FALSE)</f>
        <v>A</v>
      </c>
      <c r="H9981">
        <v>1</v>
      </c>
      <c r="I9981">
        <v>0.76305555555555549</v>
      </c>
      <c r="J9981">
        <v>44798</v>
      </c>
    </row>
    <row r="9982" spans="1:10" x14ac:dyDescent="0.35">
      <c r="A9982" s="2">
        <v>44804</v>
      </c>
      <c r="B9982" s="3">
        <v>9.3124999999999999E-2</v>
      </c>
      <c r="C9982">
        <v>9165</v>
      </c>
      <c r="D9982" t="str">
        <f>VLOOKUP(H9982,Produkt!$A$2:$B$5,2,FALSE)</f>
        <v>A</v>
      </c>
      <c r="H9982">
        <v>1</v>
      </c>
      <c r="I9982">
        <v>0.42471064814814818</v>
      </c>
      <c r="J9982">
        <v>44790</v>
      </c>
    </row>
    <row r="9983" spans="1:10" x14ac:dyDescent="0.35">
      <c r="A9983" s="2">
        <v>44804</v>
      </c>
      <c r="B9983" s="3">
        <v>0.95931712962962967</v>
      </c>
      <c r="C9983">
        <v>9246</v>
      </c>
      <c r="D9983" t="str">
        <f>VLOOKUP(H9983,Produkt!$A$2:$B$5,2,FALSE)</f>
        <v>B</v>
      </c>
      <c r="H9983">
        <v>2</v>
      </c>
      <c r="I9983">
        <v>0.12443287037037037</v>
      </c>
      <c r="J9983">
        <v>44782</v>
      </c>
    </row>
    <row r="9984" spans="1:10" x14ac:dyDescent="0.35">
      <c r="A9984" s="2">
        <v>44804</v>
      </c>
      <c r="B9984" s="3">
        <v>5.7164351851851848E-2</v>
      </c>
      <c r="C9984">
        <v>9248</v>
      </c>
      <c r="D9984" t="str">
        <f>VLOOKUP(H9984,Produkt!$A$2:$B$5,2,FALSE)</f>
        <v>A</v>
      </c>
      <c r="H9984">
        <v>1</v>
      </c>
      <c r="I9984">
        <v>3.2835648148148149E-2</v>
      </c>
      <c r="J9984">
        <v>44802</v>
      </c>
    </row>
    <row r="9985" spans="1:10" x14ac:dyDescent="0.35">
      <c r="A9985" s="2">
        <v>44804</v>
      </c>
      <c r="B9985" s="3">
        <v>0.58783564814814815</v>
      </c>
      <c r="C9985">
        <v>9286</v>
      </c>
      <c r="D9985" t="str">
        <f>VLOOKUP(H9985,Produkt!$A$2:$B$5,2,FALSE)</f>
        <v>C</v>
      </c>
      <c r="H9985">
        <v>3</v>
      </c>
      <c r="I9985">
        <v>0.69950231481481484</v>
      </c>
      <c r="J9985">
        <v>44786</v>
      </c>
    </row>
    <row r="9986" spans="1:10" x14ac:dyDescent="0.35">
      <c r="A9986" s="2">
        <v>44804</v>
      </c>
      <c r="B9986" s="3">
        <v>0.40333333333333332</v>
      </c>
      <c r="C9986">
        <v>9293</v>
      </c>
      <c r="D9986" t="str">
        <f>VLOOKUP(H9986,Produkt!$A$2:$B$5,2,FALSE)</f>
        <v>D</v>
      </c>
      <c r="H9986">
        <v>4</v>
      </c>
      <c r="I9986">
        <v>0.34157407407407409</v>
      </c>
      <c r="J9986">
        <v>44786</v>
      </c>
    </row>
    <row r="9987" spans="1:10" x14ac:dyDescent="0.35">
      <c r="A9987" s="2">
        <v>44804</v>
      </c>
      <c r="B9987" s="3">
        <v>0.54684027777777777</v>
      </c>
      <c r="C9987">
        <v>9336</v>
      </c>
      <c r="D9987" t="str">
        <f>VLOOKUP(H9987,Produkt!$A$2:$B$5,2,FALSE)</f>
        <v>C</v>
      </c>
      <c r="H9987">
        <v>3</v>
      </c>
      <c r="I9987">
        <v>0.80418981481481477</v>
      </c>
      <c r="J9987">
        <v>44804</v>
      </c>
    </row>
    <row r="9988" spans="1:10" x14ac:dyDescent="0.35">
      <c r="A9988" s="2">
        <v>44804</v>
      </c>
      <c r="B9988" s="3">
        <v>3.0208333333334725E-3</v>
      </c>
      <c r="C9988">
        <v>9372</v>
      </c>
      <c r="D9988" t="str">
        <f>VLOOKUP(H9988,Produkt!$A$2:$B$5,2,FALSE)</f>
        <v>D</v>
      </c>
      <c r="H9988">
        <v>4</v>
      </c>
      <c r="I9988">
        <v>0.55931712962962965</v>
      </c>
      <c r="J9988">
        <v>44796</v>
      </c>
    </row>
    <row r="9989" spans="1:10" x14ac:dyDescent="0.35">
      <c r="A9989" s="2">
        <v>44804</v>
      </c>
      <c r="B9989" s="3">
        <v>0.92100694444444453</v>
      </c>
      <c r="C9989">
        <v>9379</v>
      </c>
      <c r="D9989" t="str">
        <f>VLOOKUP(H9989,Produkt!$A$2:$B$5,2,FALSE)</f>
        <v>D</v>
      </c>
      <c r="H9989">
        <v>4</v>
      </c>
      <c r="I9989">
        <v>0.30185185185185187</v>
      </c>
      <c r="J9989">
        <v>44786</v>
      </c>
    </row>
    <row r="9990" spans="1:10" x14ac:dyDescent="0.35">
      <c r="A9990" s="2">
        <v>44804</v>
      </c>
      <c r="B9990" s="3">
        <v>0.89702546296296293</v>
      </c>
      <c r="C9990">
        <v>9454</v>
      </c>
      <c r="D9990" t="str">
        <f>VLOOKUP(H9990,Produkt!$A$2:$B$5,2,FALSE)</f>
        <v>B</v>
      </c>
      <c r="H9990">
        <v>2</v>
      </c>
      <c r="I9990">
        <v>0.36711805555555554</v>
      </c>
      <c r="J9990">
        <v>44800</v>
      </c>
    </row>
    <row r="9991" spans="1:10" x14ac:dyDescent="0.35">
      <c r="A9991" s="2">
        <v>44804</v>
      </c>
      <c r="B9991" s="3">
        <v>1.5057870370370319E-2</v>
      </c>
      <c r="C9991">
        <v>9482</v>
      </c>
      <c r="D9991" t="str">
        <f>VLOOKUP(H9991,Produkt!$A$2:$B$5,2,FALSE)</f>
        <v>C</v>
      </c>
      <c r="H9991">
        <v>3</v>
      </c>
      <c r="I9991">
        <v>0.62966435185185188</v>
      </c>
      <c r="J9991">
        <v>44797</v>
      </c>
    </row>
    <row r="9992" spans="1:10" x14ac:dyDescent="0.35">
      <c r="A9992" s="2">
        <v>44804</v>
      </c>
      <c r="B9992" s="3">
        <v>0.89377314814814823</v>
      </c>
      <c r="C9992">
        <v>9499</v>
      </c>
      <c r="D9992" t="str">
        <f>VLOOKUP(H9992,Produkt!$A$2:$B$5,2,FALSE)</f>
        <v>A</v>
      </c>
      <c r="H9992">
        <v>1</v>
      </c>
      <c r="I9992">
        <v>0.4774768518518519</v>
      </c>
      <c r="J9992">
        <v>44792</v>
      </c>
    </row>
    <row r="9993" spans="1:10" x14ac:dyDescent="0.35">
      <c r="A9993" s="2">
        <v>44804</v>
      </c>
      <c r="B9993" s="3">
        <v>0.18576388888888887</v>
      </c>
      <c r="C9993">
        <v>9509</v>
      </c>
      <c r="D9993" t="str">
        <f>VLOOKUP(H9993,Produkt!$A$2:$B$5,2,FALSE)</f>
        <v>D</v>
      </c>
      <c r="H9993">
        <v>4</v>
      </c>
      <c r="I9993">
        <v>0.95210648148148147</v>
      </c>
      <c r="J9993">
        <v>44790</v>
      </c>
    </row>
    <row r="9994" spans="1:10" x14ac:dyDescent="0.35">
      <c r="A9994" s="2">
        <v>44804</v>
      </c>
      <c r="B9994" s="3">
        <v>0.46134259259259264</v>
      </c>
      <c r="C9994">
        <v>9626</v>
      </c>
      <c r="D9994" t="str">
        <f>VLOOKUP(H9994,Produkt!$A$2:$B$5,2,FALSE)</f>
        <v>B</v>
      </c>
      <c r="H9994">
        <v>2</v>
      </c>
      <c r="I9994">
        <v>0.86586805555555557</v>
      </c>
      <c r="J9994">
        <v>44774</v>
      </c>
    </row>
    <row r="9995" spans="1:10" x14ac:dyDescent="0.35">
      <c r="A9995" s="2">
        <v>44804</v>
      </c>
      <c r="B9995" s="3">
        <v>0.58502314814814815</v>
      </c>
      <c r="C9995">
        <v>9637</v>
      </c>
      <c r="D9995" t="str">
        <f>VLOOKUP(H9995,Produkt!$A$2:$B$5,2,FALSE)</f>
        <v>C</v>
      </c>
      <c r="H9995">
        <v>3</v>
      </c>
      <c r="I9995">
        <v>0.41097222222222224</v>
      </c>
      <c r="J9995">
        <v>44778</v>
      </c>
    </row>
    <row r="9996" spans="1:10" x14ac:dyDescent="0.35">
      <c r="A9996" s="2">
        <v>44804</v>
      </c>
      <c r="B9996" s="3">
        <v>0.625</v>
      </c>
      <c r="C9996">
        <v>9746</v>
      </c>
      <c r="D9996" t="str">
        <f>VLOOKUP(H9996,Produkt!$A$2:$B$5,2,FALSE)</f>
        <v>B</v>
      </c>
      <c r="H9996">
        <v>2</v>
      </c>
      <c r="I9996">
        <v>0.20953703703703705</v>
      </c>
      <c r="J9996">
        <v>44789</v>
      </c>
    </row>
    <row r="9997" spans="1:10" x14ac:dyDescent="0.35">
      <c r="A9997" s="2">
        <v>44804</v>
      </c>
      <c r="B9997" s="3">
        <v>0.18408564814814812</v>
      </c>
      <c r="C9997">
        <v>9755</v>
      </c>
      <c r="D9997" t="str">
        <f>VLOOKUP(H9997,Produkt!$A$2:$B$5,2,FALSE)</f>
        <v>A</v>
      </c>
      <c r="H9997">
        <v>1</v>
      </c>
      <c r="I9997">
        <v>0.97545138888888883</v>
      </c>
      <c r="J9997">
        <v>44777</v>
      </c>
    </row>
    <row r="9998" spans="1:10" x14ac:dyDescent="0.35">
      <c r="A9998" s="2">
        <v>44804</v>
      </c>
      <c r="B9998" s="3">
        <v>0.91502314814814811</v>
      </c>
      <c r="C9998">
        <v>9833</v>
      </c>
      <c r="D9998" t="str">
        <f>VLOOKUP(H9998,Produkt!$A$2:$B$5,2,FALSE)</f>
        <v>A</v>
      </c>
      <c r="H9998">
        <v>1</v>
      </c>
      <c r="I9998">
        <v>0.63594907407407408</v>
      </c>
      <c r="J9998">
        <v>44792</v>
      </c>
    </row>
    <row r="9999" spans="1:10" x14ac:dyDescent="0.35">
      <c r="A9999" s="2">
        <v>44804</v>
      </c>
      <c r="B9999" s="3">
        <v>0.94870370370370372</v>
      </c>
      <c r="C9999">
        <v>9840</v>
      </c>
      <c r="D9999" t="str">
        <f>VLOOKUP(H9999,Produkt!$A$2:$B$5,2,FALSE)</f>
        <v>D</v>
      </c>
      <c r="H9999">
        <v>4</v>
      </c>
      <c r="I9999">
        <v>0.59815972222222225</v>
      </c>
      <c r="J9999">
        <v>44776</v>
      </c>
    </row>
    <row r="10000" spans="1:10" x14ac:dyDescent="0.35">
      <c r="A10000" s="2">
        <v>44804</v>
      </c>
      <c r="B10000" s="3">
        <v>0.49265046296296294</v>
      </c>
      <c r="C10000">
        <v>9925</v>
      </c>
      <c r="D10000" t="str">
        <f>VLOOKUP(H10000,Produkt!$A$2:$B$5,2,FALSE)</f>
        <v>A</v>
      </c>
      <c r="H10000">
        <v>1</v>
      </c>
      <c r="I10000">
        <v>0.7680555555555556</v>
      </c>
      <c r="J10000">
        <v>44801</v>
      </c>
    </row>
  </sheetData>
  <autoFilter ref="A1:D10000" xr:uid="{5A654719-3FFD-43C5-9BC8-8B8E4F758C8E}">
    <sortState xmlns:xlrd2="http://schemas.microsoft.com/office/spreadsheetml/2017/richdata2" ref="A2:D10000">
      <sortCondition ref="A1:A10000"/>
    </sortState>
  </autoFilter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B2CAB-B9DB-4817-A5F1-675BC325CA3F}">
  <sheetPr codeName="Tabelle9"/>
  <dimension ref="A1:G747"/>
  <sheetViews>
    <sheetView workbookViewId="0">
      <selection sqref="A1:C1048576"/>
    </sheetView>
  </sheetViews>
  <sheetFormatPr baseColWidth="10" defaultRowHeight="14.5" x14ac:dyDescent="0.35"/>
  <cols>
    <col min="1" max="1" width="14.54296875" bestFit="1" customWidth="1"/>
    <col min="2" max="2" width="12.453125" bestFit="1" customWidth="1"/>
    <col min="6" max="6" width="20" bestFit="1" customWidth="1"/>
    <col min="7" max="7" width="15.36328125" bestFit="1" customWidth="1"/>
  </cols>
  <sheetData>
    <row r="1" spans="1:7" x14ac:dyDescent="0.35">
      <c r="A1" t="s">
        <v>77</v>
      </c>
      <c r="B1" t="s">
        <v>34</v>
      </c>
      <c r="C1" t="s">
        <v>33</v>
      </c>
      <c r="F1" t="s">
        <v>78</v>
      </c>
      <c r="G1" t="s">
        <v>79</v>
      </c>
    </row>
    <row r="2" spans="1:7" x14ac:dyDescent="0.35">
      <c r="A2">
        <v>1</v>
      </c>
      <c r="B2" t="str">
        <f>VLOOKUP(F2,'Hilfstabelle QP'!$A$2:$B$4,2,FALSE)</f>
        <v>Sichtkontrolle</v>
      </c>
      <c r="C2" t="str">
        <f>VLOOKUP(G2,'Hilfstabelle QP'!$A$7:$B$11,2,FALSE)</f>
        <v>Bestanden</v>
      </c>
      <c r="F2">
        <v>1</v>
      </c>
      <c r="G2">
        <v>3</v>
      </c>
    </row>
    <row r="3" spans="1:7" x14ac:dyDescent="0.35">
      <c r="A3">
        <v>2</v>
      </c>
      <c r="B3" t="str">
        <f>VLOOKUP(F3,'Hilfstabelle QP'!$A$2:$B$4,2,FALSE)</f>
        <v>Lastkontrolle</v>
      </c>
      <c r="C3" t="str">
        <f>VLOOKUP(G3,'Hilfstabelle QP'!$A$7:$B$11,2,FALSE)</f>
        <v>Bestanden</v>
      </c>
      <c r="F3">
        <v>3</v>
      </c>
      <c r="G3">
        <v>4</v>
      </c>
    </row>
    <row r="4" spans="1:7" x14ac:dyDescent="0.35">
      <c r="A4">
        <v>3</v>
      </c>
      <c r="B4" t="str">
        <f>VLOOKUP(F4,'Hilfstabelle QP'!$A$2:$B$4,2,FALSE)</f>
        <v>Druckkontrolle</v>
      </c>
      <c r="C4" t="str">
        <f>VLOOKUP(G4,'Hilfstabelle QP'!$A$7:$B$11,2,FALSE)</f>
        <v>Bestanden</v>
      </c>
      <c r="F4">
        <v>2</v>
      </c>
      <c r="G4">
        <v>1</v>
      </c>
    </row>
    <row r="5" spans="1:7" x14ac:dyDescent="0.35">
      <c r="A5">
        <v>4</v>
      </c>
      <c r="B5" t="str">
        <f>VLOOKUP(F5,'Hilfstabelle QP'!$A$2:$B$4,2,FALSE)</f>
        <v>Sichtkontrolle</v>
      </c>
      <c r="C5" t="str">
        <f>VLOOKUP(G5,'Hilfstabelle QP'!$A$7:$B$11,2,FALSE)</f>
        <v>Bestanden</v>
      </c>
      <c r="F5">
        <v>1</v>
      </c>
      <c r="G5">
        <v>3</v>
      </c>
    </row>
    <row r="6" spans="1:7" x14ac:dyDescent="0.35">
      <c r="A6">
        <v>5</v>
      </c>
      <c r="B6" t="str">
        <f>VLOOKUP(F6,'Hilfstabelle QP'!$A$2:$B$4,2,FALSE)</f>
        <v>Druckkontrolle</v>
      </c>
      <c r="C6" t="str">
        <f>VLOOKUP(G6,'Hilfstabelle QP'!$A$7:$B$11,2,FALSE)</f>
        <v>Durchgefallen</v>
      </c>
      <c r="F6">
        <v>2</v>
      </c>
      <c r="G6">
        <v>5</v>
      </c>
    </row>
    <row r="7" spans="1:7" x14ac:dyDescent="0.35">
      <c r="A7">
        <v>6</v>
      </c>
      <c r="B7" t="str">
        <f>VLOOKUP(F7,'Hilfstabelle QP'!$A$2:$B$4,2,FALSE)</f>
        <v>Lastkontrolle</v>
      </c>
      <c r="C7" t="str">
        <f>VLOOKUP(G7,'Hilfstabelle QP'!$A$7:$B$11,2,FALSE)</f>
        <v>Bestanden</v>
      </c>
      <c r="F7">
        <v>3</v>
      </c>
      <c r="G7">
        <v>1</v>
      </c>
    </row>
    <row r="8" spans="1:7" x14ac:dyDescent="0.35">
      <c r="A8">
        <v>7</v>
      </c>
      <c r="B8" t="str">
        <f>VLOOKUP(F8,'Hilfstabelle QP'!$A$2:$B$4,2,FALSE)</f>
        <v>Sichtkontrolle</v>
      </c>
      <c r="C8" t="str">
        <f>VLOOKUP(G8,'Hilfstabelle QP'!$A$7:$B$11,2,FALSE)</f>
        <v>Bestanden</v>
      </c>
      <c r="F8">
        <v>1</v>
      </c>
      <c r="G8">
        <v>3</v>
      </c>
    </row>
    <row r="9" spans="1:7" x14ac:dyDescent="0.35">
      <c r="A9">
        <v>8</v>
      </c>
      <c r="B9" t="str">
        <f>VLOOKUP(F9,'Hilfstabelle QP'!$A$2:$B$4,2,FALSE)</f>
        <v>Lastkontrolle</v>
      </c>
      <c r="C9" t="str">
        <f>VLOOKUP(G9,'Hilfstabelle QP'!$A$7:$B$11,2,FALSE)</f>
        <v>Bestanden</v>
      </c>
      <c r="F9">
        <v>3</v>
      </c>
      <c r="G9">
        <v>1</v>
      </c>
    </row>
    <row r="10" spans="1:7" x14ac:dyDescent="0.35">
      <c r="A10">
        <v>9</v>
      </c>
      <c r="B10" t="str">
        <f>VLOOKUP(F10,'Hilfstabelle QP'!$A$2:$B$4,2,FALSE)</f>
        <v>Lastkontrolle</v>
      </c>
      <c r="C10" t="str">
        <f>VLOOKUP(G10,'Hilfstabelle QP'!$A$7:$B$11,2,FALSE)</f>
        <v>Bestanden</v>
      </c>
      <c r="F10">
        <v>3</v>
      </c>
      <c r="G10">
        <v>1</v>
      </c>
    </row>
    <row r="11" spans="1:7" x14ac:dyDescent="0.35">
      <c r="A11">
        <v>10</v>
      </c>
      <c r="B11" t="str">
        <f>VLOOKUP(F11,'Hilfstabelle QP'!$A$2:$B$4,2,FALSE)</f>
        <v>Sichtkontrolle</v>
      </c>
      <c r="C11" t="str">
        <f>VLOOKUP(G11,'Hilfstabelle QP'!$A$7:$B$11,2,FALSE)</f>
        <v>Bestanden</v>
      </c>
      <c r="F11">
        <v>1</v>
      </c>
      <c r="G11">
        <v>4</v>
      </c>
    </row>
    <row r="12" spans="1:7" x14ac:dyDescent="0.35">
      <c r="A12">
        <v>11</v>
      </c>
      <c r="B12" t="str">
        <f>VLOOKUP(F12,'Hilfstabelle QP'!$A$2:$B$4,2,FALSE)</f>
        <v>Druckkontrolle</v>
      </c>
      <c r="C12" t="str">
        <f>VLOOKUP(G12,'Hilfstabelle QP'!$A$7:$B$11,2,FALSE)</f>
        <v>Bestanden</v>
      </c>
      <c r="F12">
        <v>2</v>
      </c>
      <c r="G12">
        <v>3</v>
      </c>
    </row>
    <row r="13" spans="1:7" x14ac:dyDescent="0.35">
      <c r="A13">
        <v>12</v>
      </c>
      <c r="B13" t="str">
        <f>VLOOKUP(F13,'Hilfstabelle QP'!$A$2:$B$4,2,FALSE)</f>
        <v>Druckkontrolle</v>
      </c>
      <c r="C13" t="str">
        <f>VLOOKUP(G13,'Hilfstabelle QP'!$A$7:$B$11,2,FALSE)</f>
        <v>Durchgefallen</v>
      </c>
      <c r="F13">
        <v>2</v>
      </c>
      <c r="G13">
        <v>5</v>
      </c>
    </row>
    <row r="14" spans="1:7" x14ac:dyDescent="0.35">
      <c r="A14">
        <v>13</v>
      </c>
      <c r="B14" t="str">
        <f>VLOOKUP(F14,'Hilfstabelle QP'!$A$2:$B$4,2,FALSE)</f>
        <v>Sichtkontrolle</v>
      </c>
      <c r="C14" t="str">
        <f>VLOOKUP(G14,'Hilfstabelle QP'!$A$7:$B$11,2,FALSE)</f>
        <v>Bestanden</v>
      </c>
      <c r="F14">
        <v>1</v>
      </c>
      <c r="G14">
        <v>2</v>
      </c>
    </row>
    <row r="15" spans="1:7" x14ac:dyDescent="0.35">
      <c r="A15">
        <v>14</v>
      </c>
      <c r="B15" t="str">
        <f>VLOOKUP(F15,'Hilfstabelle QP'!$A$2:$B$4,2,FALSE)</f>
        <v>Lastkontrolle</v>
      </c>
      <c r="C15" t="str">
        <f>VLOOKUP(G15,'Hilfstabelle QP'!$A$7:$B$11,2,FALSE)</f>
        <v>Bestanden</v>
      </c>
      <c r="F15">
        <v>3</v>
      </c>
      <c r="G15">
        <v>2</v>
      </c>
    </row>
    <row r="16" spans="1:7" x14ac:dyDescent="0.35">
      <c r="A16">
        <v>15</v>
      </c>
      <c r="B16" t="str">
        <f>VLOOKUP(F16,'Hilfstabelle QP'!$A$2:$B$4,2,FALSE)</f>
        <v>Druckkontrolle</v>
      </c>
      <c r="C16" t="str">
        <f>VLOOKUP(G16,'Hilfstabelle QP'!$A$7:$B$11,2,FALSE)</f>
        <v>Bestanden</v>
      </c>
      <c r="F16">
        <v>2</v>
      </c>
      <c r="G16">
        <v>4</v>
      </c>
    </row>
    <row r="17" spans="1:7" x14ac:dyDescent="0.35">
      <c r="A17">
        <v>16</v>
      </c>
      <c r="B17" t="str">
        <f>VLOOKUP(F17,'Hilfstabelle QP'!$A$2:$B$4,2,FALSE)</f>
        <v>Sichtkontrolle</v>
      </c>
      <c r="C17" t="str">
        <f>VLOOKUP(G17,'Hilfstabelle QP'!$A$7:$B$11,2,FALSE)</f>
        <v>Bestanden</v>
      </c>
      <c r="F17">
        <v>1</v>
      </c>
      <c r="G17">
        <v>1</v>
      </c>
    </row>
    <row r="18" spans="1:7" x14ac:dyDescent="0.35">
      <c r="A18">
        <v>17</v>
      </c>
      <c r="B18" t="str">
        <f>VLOOKUP(F18,'Hilfstabelle QP'!$A$2:$B$4,2,FALSE)</f>
        <v>Lastkontrolle</v>
      </c>
      <c r="C18" t="str">
        <f>VLOOKUP(G18,'Hilfstabelle QP'!$A$7:$B$11,2,FALSE)</f>
        <v>Bestanden</v>
      </c>
      <c r="F18">
        <v>3</v>
      </c>
      <c r="G18">
        <v>2</v>
      </c>
    </row>
    <row r="19" spans="1:7" x14ac:dyDescent="0.35">
      <c r="A19">
        <v>18</v>
      </c>
      <c r="B19" t="str">
        <f>VLOOKUP(F19,'Hilfstabelle QP'!$A$2:$B$4,2,FALSE)</f>
        <v>Lastkontrolle</v>
      </c>
      <c r="C19" t="str">
        <f>VLOOKUP(G19,'Hilfstabelle QP'!$A$7:$B$11,2,FALSE)</f>
        <v>Bestanden</v>
      </c>
      <c r="F19">
        <v>3</v>
      </c>
      <c r="G19">
        <v>2</v>
      </c>
    </row>
    <row r="20" spans="1:7" x14ac:dyDescent="0.35">
      <c r="A20">
        <v>19</v>
      </c>
      <c r="B20" t="str">
        <f>VLOOKUP(F20,'Hilfstabelle QP'!$A$2:$B$4,2,FALSE)</f>
        <v>Sichtkontrolle</v>
      </c>
      <c r="C20" t="str">
        <f>VLOOKUP(G20,'Hilfstabelle QP'!$A$7:$B$11,2,FALSE)</f>
        <v>Bestanden</v>
      </c>
      <c r="F20">
        <v>1</v>
      </c>
      <c r="G20">
        <v>2</v>
      </c>
    </row>
    <row r="21" spans="1:7" x14ac:dyDescent="0.35">
      <c r="A21">
        <v>20</v>
      </c>
      <c r="B21" t="str">
        <f>VLOOKUP(F21,'Hilfstabelle QP'!$A$2:$B$4,2,FALSE)</f>
        <v>Druckkontrolle</v>
      </c>
      <c r="C21" t="str">
        <f>VLOOKUP(G21,'Hilfstabelle QP'!$A$7:$B$11,2,FALSE)</f>
        <v>Bestanden</v>
      </c>
      <c r="F21">
        <v>2</v>
      </c>
      <c r="G21">
        <v>2</v>
      </c>
    </row>
    <row r="22" spans="1:7" x14ac:dyDescent="0.35">
      <c r="A22">
        <v>21</v>
      </c>
      <c r="B22" t="str">
        <f>VLOOKUP(F22,'Hilfstabelle QP'!$A$2:$B$4,2,FALSE)</f>
        <v>Sichtkontrolle</v>
      </c>
      <c r="C22" t="str">
        <f>VLOOKUP(G22,'Hilfstabelle QP'!$A$7:$B$11,2,FALSE)</f>
        <v>Bestanden</v>
      </c>
      <c r="F22">
        <v>1</v>
      </c>
      <c r="G22">
        <v>4</v>
      </c>
    </row>
    <row r="23" spans="1:7" x14ac:dyDescent="0.35">
      <c r="A23">
        <v>22</v>
      </c>
      <c r="B23" t="str">
        <f>VLOOKUP(F23,'Hilfstabelle QP'!$A$2:$B$4,2,FALSE)</f>
        <v>Sichtkontrolle</v>
      </c>
      <c r="C23" t="str">
        <f>VLOOKUP(G23,'Hilfstabelle QP'!$A$7:$B$11,2,FALSE)</f>
        <v>Bestanden</v>
      </c>
      <c r="F23">
        <v>1</v>
      </c>
      <c r="G23">
        <v>1</v>
      </c>
    </row>
    <row r="24" spans="1:7" x14ac:dyDescent="0.35">
      <c r="A24">
        <v>23</v>
      </c>
      <c r="B24" t="str">
        <f>VLOOKUP(F24,'Hilfstabelle QP'!$A$2:$B$4,2,FALSE)</f>
        <v>Druckkontrolle</v>
      </c>
      <c r="C24" t="str">
        <f>VLOOKUP(G24,'Hilfstabelle QP'!$A$7:$B$11,2,FALSE)</f>
        <v>Durchgefallen</v>
      </c>
      <c r="F24">
        <v>2</v>
      </c>
      <c r="G24">
        <v>5</v>
      </c>
    </row>
    <row r="25" spans="1:7" x14ac:dyDescent="0.35">
      <c r="A25">
        <v>24</v>
      </c>
      <c r="B25" t="str">
        <f>VLOOKUP(F25,'Hilfstabelle QP'!$A$2:$B$4,2,FALSE)</f>
        <v>Druckkontrolle</v>
      </c>
      <c r="C25" t="str">
        <f>VLOOKUP(G25,'Hilfstabelle QP'!$A$7:$B$11,2,FALSE)</f>
        <v>Bestanden</v>
      </c>
      <c r="F25">
        <v>2</v>
      </c>
      <c r="G25">
        <v>3</v>
      </c>
    </row>
    <row r="26" spans="1:7" x14ac:dyDescent="0.35">
      <c r="A26">
        <v>25</v>
      </c>
      <c r="B26" t="str">
        <f>VLOOKUP(F26,'Hilfstabelle QP'!$A$2:$B$4,2,FALSE)</f>
        <v>Lastkontrolle</v>
      </c>
      <c r="C26" t="str">
        <f>VLOOKUP(G26,'Hilfstabelle QP'!$A$7:$B$11,2,FALSE)</f>
        <v>Bestanden</v>
      </c>
      <c r="F26">
        <v>3</v>
      </c>
      <c r="G26">
        <v>4</v>
      </c>
    </row>
    <row r="27" spans="1:7" x14ac:dyDescent="0.35">
      <c r="A27">
        <v>26</v>
      </c>
      <c r="B27" t="str">
        <f>VLOOKUP(F27,'Hilfstabelle QP'!$A$2:$B$4,2,FALSE)</f>
        <v>Lastkontrolle</v>
      </c>
      <c r="C27" t="str">
        <f>VLOOKUP(G27,'Hilfstabelle QP'!$A$7:$B$11,2,FALSE)</f>
        <v>Durchgefallen</v>
      </c>
      <c r="F27">
        <v>3</v>
      </c>
      <c r="G27">
        <v>5</v>
      </c>
    </row>
    <row r="28" spans="1:7" x14ac:dyDescent="0.35">
      <c r="A28">
        <v>27</v>
      </c>
      <c r="B28" t="str">
        <f>VLOOKUP(F28,'Hilfstabelle QP'!$A$2:$B$4,2,FALSE)</f>
        <v>Sichtkontrolle</v>
      </c>
      <c r="C28" t="str">
        <f>VLOOKUP(G28,'Hilfstabelle QP'!$A$7:$B$11,2,FALSE)</f>
        <v>Durchgefallen</v>
      </c>
      <c r="F28">
        <v>1</v>
      </c>
      <c r="G28">
        <v>5</v>
      </c>
    </row>
    <row r="29" spans="1:7" x14ac:dyDescent="0.35">
      <c r="A29">
        <v>28</v>
      </c>
      <c r="B29" t="str">
        <f>VLOOKUP(F29,'Hilfstabelle QP'!$A$2:$B$4,2,FALSE)</f>
        <v>Druckkontrolle</v>
      </c>
      <c r="C29" t="str">
        <f>VLOOKUP(G29,'Hilfstabelle QP'!$A$7:$B$11,2,FALSE)</f>
        <v>Bestanden</v>
      </c>
      <c r="F29">
        <v>2</v>
      </c>
      <c r="G29">
        <v>1</v>
      </c>
    </row>
    <row r="30" spans="1:7" x14ac:dyDescent="0.35">
      <c r="A30">
        <v>29</v>
      </c>
      <c r="B30" t="str">
        <f>VLOOKUP(F30,'Hilfstabelle QP'!$A$2:$B$4,2,FALSE)</f>
        <v>Lastkontrolle</v>
      </c>
      <c r="C30" t="str">
        <f>VLOOKUP(G30,'Hilfstabelle QP'!$A$7:$B$11,2,FALSE)</f>
        <v>Durchgefallen</v>
      </c>
      <c r="F30">
        <v>3</v>
      </c>
      <c r="G30">
        <v>5</v>
      </c>
    </row>
    <row r="31" spans="1:7" x14ac:dyDescent="0.35">
      <c r="A31">
        <v>30</v>
      </c>
      <c r="B31" t="str">
        <f>VLOOKUP(F31,'Hilfstabelle QP'!$A$2:$B$4,2,FALSE)</f>
        <v>Druckkontrolle</v>
      </c>
      <c r="C31" t="str">
        <f>VLOOKUP(G31,'Hilfstabelle QP'!$A$7:$B$11,2,FALSE)</f>
        <v>Bestanden</v>
      </c>
      <c r="F31">
        <v>2</v>
      </c>
      <c r="G31">
        <v>1</v>
      </c>
    </row>
    <row r="32" spans="1:7" x14ac:dyDescent="0.35">
      <c r="A32">
        <v>31</v>
      </c>
      <c r="B32" t="str">
        <f>VLOOKUP(F32,'Hilfstabelle QP'!$A$2:$B$4,2,FALSE)</f>
        <v>Druckkontrolle</v>
      </c>
      <c r="C32" t="str">
        <f>VLOOKUP(G32,'Hilfstabelle QP'!$A$7:$B$11,2,FALSE)</f>
        <v>Bestanden</v>
      </c>
      <c r="F32">
        <v>2</v>
      </c>
      <c r="G32">
        <v>2</v>
      </c>
    </row>
    <row r="33" spans="1:7" x14ac:dyDescent="0.35">
      <c r="A33">
        <v>32</v>
      </c>
      <c r="B33" t="str">
        <f>VLOOKUP(F33,'Hilfstabelle QP'!$A$2:$B$4,2,FALSE)</f>
        <v>Druckkontrolle</v>
      </c>
      <c r="C33" t="str">
        <f>VLOOKUP(G33,'Hilfstabelle QP'!$A$7:$B$11,2,FALSE)</f>
        <v>Bestanden</v>
      </c>
      <c r="F33">
        <v>2</v>
      </c>
      <c r="G33">
        <v>1</v>
      </c>
    </row>
    <row r="34" spans="1:7" x14ac:dyDescent="0.35">
      <c r="A34">
        <v>33</v>
      </c>
      <c r="B34" t="str">
        <f>VLOOKUP(F34,'Hilfstabelle QP'!$A$2:$B$4,2,FALSE)</f>
        <v>Druckkontrolle</v>
      </c>
      <c r="C34" t="str">
        <f>VLOOKUP(G34,'Hilfstabelle QP'!$A$7:$B$11,2,FALSE)</f>
        <v>Bestanden</v>
      </c>
      <c r="F34">
        <v>2</v>
      </c>
      <c r="G34">
        <v>2</v>
      </c>
    </row>
    <row r="35" spans="1:7" x14ac:dyDescent="0.35">
      <c r="A35">
        <v>34</v>
      </c>
      <c r="B35" t="str">
        <f>VLOOKUP(F35,'Hilfstabelle QP'!$A$2:$B$4,2,FALSE)</f>
        <v>Sichtkontrolle</v>
      </c>
      <c r="C35" t="str">
        <f>VLOOKUP(G35,'Hilfstabelle QP'!$A$7:$B$11,2,FALSE)</f>
        <v>Bestanden</v>
      </c>
      <c r="F35">
        <v>1</v>
      </c>
      <c r="G35">
        <v>1</v>
      </c>
    </row>
    <row r="36" spans="1:7" x14ac:dyDescent="0.35">
      <c r="A36">
        <v>35</v>
      </c>
      <c r="B36" t="str">
        <f>VLOOKUP(F36,'Hilfstabelle QP'!$A$2:$B$4,2,FALSE)</f>
        <v>Lastkontrolle</v>
      </c>
      <c r="C36" t="str">
        <f>VLOOKUP(G36,'Hilfstabelle QP'!$A$7:$B$11,2,FALSE)</f>
        <v>Bestanden</v>
      </c>
      <c r="F36">
        <v>3</v>
      </c>
      <c r="G36">
        <v>4</v>
      </c>
    </row>
    <row r="37" spans="1:7" x14ac:dyDescent="0.35">
      <c r="A37">
        <v>36</v>
      </c>
      <c r="B37" t="str">
        <f>VLOOKUP(F37,'Hilfstabelle QP'!$A$2:$B$4,2,FALSE)</f>
        <v>Druckkontrolle</v>
      </c>
      <c r="C37" t="str">
        <f>VLOOKUP(G37,'Hilfstabelle QP'!$A$7:$B$11,2,FALSE)</f>
        <v>Bestanden</v>
      </c>
      <c r="F37">
        <v>2</v>
      </c>
      <c r="G37">
        <v>3</v>
      </c>
    </row>
    <row r="38" spans="1:7" x14ac:dyDescent="0.35">
      <c r="A38">
        <v>37</v>
      </c>
      <c r="B38" t="str">
        <f>VLOOKUP(F38,'Hilfstabelle QP'!$A$2:$B$4,2,FALSE)</f>
        <v>Druckkontrolle</v>
      </c>
      <c r="C38" t="str">
        <f>VLOOKUP(G38,'Hilfstabelle QP'!$A$7:$B$11,2,FALSE)</f>
        <v>Bestanden</v>
      </c>
      <c r="F38">
        <v>2</v>
      </c>
      <c r="G38">
        <v>4</v>
      </c>
    </row>
    <row r="39" spans="1:7" x14ac:dyDescent="0.35">
      <c r="A39">
        <v>38</v>
      </c>
      <c r="B39" t="str">
        <f>VLOOKUP(F39,'Hilfstabelle QP'!$A$2:$B$4,2,FALSE)</f>
        <v>Druckkontrolle</v>
      </c>
      <c r="C39" t="str">
        <f>VLOOKUP(G39,'Hilfstabelle QP'!$A$7:$B$11,2,FALSE)</f>
        <v>Bestanden</v>
      </c>
      <c r="F39">
        <v>2</v>
      </c>
      <c r="G39">
        <v>4</v>
      </c>
    </row>
    <row r="40" spans="1:7" x14ac:dyDescent="0.35">
      <c r="A40">
        <v>39</v>
      </c>
      <c r="B40" t="str">
        <f>VLOOKUP(F40,'Hilfstabelle QP'!$A$2:$B$4,2,FALSE)</f>
        <v>Druckkontrolle</v>
      </c>
      <c r="C40" t="str">
        <f>VLOOKUP(G40,'Hilfstabelle QP'!$A$7:$B$11,2,FALSE)</f>
        <v>Bestanden</v>
      </c>
      <c r="F40">
        <v>2</v>
      </c>
      <c r="G40">
        <v>4</v>
      </c>
    </row>
    <row r="41" spans="1:7" x14ac:dyDescent="0.35">
      <c r="A41">
        <v>40</v>
      </c>
      <c r="B41" t="str">
        <f>VLOOKUP(F41,'Hilfstabelle QP'!$A$2:$B$4,2,FALSE)</f>
        <v>Sichtkontrolle</v>
      </c>
      <c r="C41" t="str">
        <f>VLOOKUP(G41,'Hilfstabelle QP'!$A$7:$B$11,2,FALSE)</f>
        <v>Bestanden</v>
      </c>
      <c r="F41">
        <v>1</v>
      </c>
      <c r="G41">
        <v>1</v>
      </c>
    </row>
    <row r="42" spans="1:7" x14ac:dyDescent="0.35">
      <c r="A42">
        <v>41</v>
      </c>
      <c r="B42" t="str">
        <f>VLOOKUP(F42,'Hilfstabelle QP'!$A$2:$B$4,2,FALSE)</f>
        <v>Lastkontrolle</v>
      </c>
      <c r="C42" t="str">
        <f>VLOOKUP(G42,'Hilfstabelle QP'!$A$7:$B$11,2,FALSE)</f>
        <v>Durchgefallen</v>
      </c>
      <c r="F42">
        <v>3</v>
      </c>
      <c r="G42">
        <v>5</v>
      </c>
    </row>
    <row r="43" spans="1:7" x14ac:dyDescent="0.35">
      <c r="A43">
        <v>42</v>
      </c>
      <c r="B43" t="str">
        <f>VLOOKUP(F43,'Hilfstabelle QP'!$A$2:$B$4,2,FALSE)</f>
        <v>Sichtkontrolle</v>
      </c>
      <c r="C43" t="str">
        <f>VLOOKUP(G43,'Hilfstabelle QP'!$A$7:$B$11,2,FALSE)</f>
        <v>Durchgefallen</v>
      </c>
      <c r="F43">
        <v>1</v>
      </c>
      <c r="G43">
        <v>5</v>
      </c>
    </row>
    <row r="44" spans="1:7" x14ac:dyDescent="0.35">
      <c r="A44">
        <v>43</v>
      </c>
      <c r="B44" t="str">
        <f>VLOOKUP(F44,'Hilfstabelle QP'!$A$2:$B$4,2,FALSE)</f>
        <v>Sichtkontrolle</v>
      </c>
      <c r="C44" t="str">
        <f>VLOOKUP(G44,'Hilfstabelle QP'!$A$7:$B$11,2,FALSE)</f>
        <v>Bestanden</v>
      </c>
      <c r="F44">
        <v>1</v>
      </c>
      <c r="G44">
        <v>4</v>
      </c>
    </row>
    <row r="45" spans="1:7" x14ac:dyDescent="0.35">
      <c r="A45">
        <v>44</v>
      </c>
      <c r="B45" t="str">
        <f>VLOOKUP(F45,'Hilfstabelle QP'!$A$2:$B$4,2,FALSE)</f>
        <v>Sichtkontrolle</v>
      </c>
      <c r="C45" t="str">
        <f>VLOOKUP(G45,'Hilfstabelle QP'!$A$7:$B$11,2,FALSE)</f>
        <v>Durchgefallen</v>
      </c>
      <c r="F45">
        <v>1</v>
      </c>
      <c r="G45">
        <v>5</v>
      </c>
    </row>
    <row r="46" spans="1:7" x14ac:dyDescent="0.35">
      <c r="A46">
        <v>45</v>
      </c>
      <c r="B46" t="str">
        <f>VLOOKUP(F46,'Hilfstabelle QP'!$A$2:$B$4,2,FALSE)</f>
        <v>Sichtkontrolle</v>
      </c>
      <c r="C46" t="str">
        <f>VLOOKUP(G46,'Hilfstabelle QP'!$A$7:$B$11,2,FALSE)</f>
        <v>Durchgefallen</v>
      </c>
      <c r="F46">
        <v>1</v>
      </c>
      <c r="G46">
        <v>5</v>
      </c>
    </row>
    <row r="47" spans="1:7" x14ac:dyDescent="0.35">
      <c r="A47">
        <v>46</v>
      </c>
      <c r="B47" t="str">
        <f>VLOOKUP(F47,'Hilfstabelle QP'!$A$2:$B$4,2,FALSE)</f>
        <v>Druckkontrolle</v>
      </c>
      <c r="C47" t="str">
        <f>VLOOKUP(G47,'Hilfstabelle QP'!$A$7:$B$11,2,FALSE)</f>
        <v>Bestanden</v>
      </c>
      <c r="F47">
        <v>2</v>
      </c>
      <c r="G47">
        <v>3</v>
      </c>
    </row>
    <row r="48" spans="1:7" x14ac:dyDescent="0.35">
      <c r="A48">
        <v>47</v>
      </c>
      <c r="B48" t="str">
        <f>VLOOKUP(F48,'Hilfstabelle QP'!$A$2:$B$4,2,FALSE)</f>
        <v>Sichtkontrolle</v>
      </c>
      <c r="C48" t="str">
        <f>VLOOKUP(G48,'Hilfstabelle QP'!$A$7:$B$11,2,FALSE)</f>
        <v>Bestanden</v>
      </c>
      <c r="F48">
        <v>1</v>
      </c>
      <c r="G48">
        <v>2</v>
      </c>
    </row>
    <row r="49" spans="1:7" x14ac:dyDescent="0.35">
      <c r="A49">
        <v>48</v>
      </c>
      <c r="B49" t="str">
        <f>VLOOKUP(F49,'Hilfstabelle QP'!$A$2:$B$4,2,FALSE)</f>
        <v>Druckkontrolle</v>
      </c>
      <c r="C49" t="str">
        <f>VLOOKUP(G49,'Hilfstabelle QP'!$A$7:$B$11,2,FALSE)</f>
        <v>Bestanden</v>
      </c>
      <c r="F49">
        <v>2</v>
      </c>
      <c r="G49">
        <v>2</v>
      </c>
    </row>
    <row r="50" spans="1:7" x14ac:dyDescent="0.35">
      <c r="A50">
        <v>49</v>
      </c>
      <c r="B50" t="str">
        <f>VLOOKUP(F50,'Hilfstabelle QP'!$A$2:$B$4,2,FALSE)</f>
        <v>Druckkontrolle</v>
      </c>
      <c r="C50" t="str">
        <f>VLOOKUP(G50,'Hilfstabelle QP'!$A$7:$B$11,2,FALSE)</f>
        <v>Bestanden</v>
      </c>
      <c r="F50">
        <v>2</v>
      </c>
      <c r="G50">
        <v>4</v>
      </c>
    </row>
    <row r="51" spans="1:7" x14ac:dyDescent="0.35">
      <c r="A51">
        <v>50</v>
      </c>
      <c r="B51" t="str">
        <f>VLOOKUP(F51,'Hilfstabelle QP'!$A$2:$B$4,2,FALSE)</f>
        <v>Druckkontrolle</v>
      </c>
      <c r="C51" t="str">
        <f>VLOOKUP(G51,'Hilfstabelle QP'!$A$7:$B$11,2,FALSE)</f>
        <v>Bestanden</v>
      </c>
      <c r="F51">
        <v>2</v>
      </c>
      <c r="G51">
        <v>1</v>
      </c>
    </row>
    <row r="52" spans="1:7" x14ac:dyDescent="0.35">
      <c r="A52">
        <v>51</v>
      </c>
      <c r="B52" t="str">
        <f>VLOOKUP(F52,'Hilfstabelle QP'!$A$2:$B$4,2,FALSE)</f>
        <v>Druckkontrolle</v>
      </c>
      <c r="C52" t="str">
        <f>VLOOKUP(G52,'Hilfstabelle QP'!$A$7:$B$11,2,FALSE)</f>
        <v>Bestanden</v>
      </c>
      <c r="F52">
        <v>2</v>
      </c>
      <c r="G52">
        <v>2</v>
      </c>
    </row>
    <row r="53" spans="1:7" x14ac:dyDescent="0.35">
      <c r="A53">
        <v>52</v>
      </c>
      <c r="B53" t="str">
        <f>VLOOKUP(F53,'Hilfstabelle QP'!$A$2:$B$4,2,FALSE)</f>
        <v>Sichtkontrolle</v>
      </c>
      <c r="C53" t="str">
        <f>VLOOKUP(G53,'Hilfstabelle QP'!$A$7:$B$11,2,FALSE)</f>
        <v>Bestanden</v>
      </c>
      <c r="F53">
        <v>1</v>
      </c>
      <c r="G53">
        <v>3</v>
      </c>
    </row>
    <row r="54" spans="1:7" x14ac:dyDescent="0.35">
      <c r="A54">
        <v>53</v>
      </c>
      <c r="B54" t="str">
        <f>VLOOKUP(F54,'Hilfstabelle QP'!$A$2:$B$4,2,FALSE)</f>
        <v>Druckkontrolle</v>
      </c>
      <c r="C54" t="str">
        <f>VLOOKUP(G54,'Hilfstabelle QP'!$A$7:$B$11,2,FALSE)</f>
        <v>Bestanden</v>
      </c>
      <c r="F54">
        <v>2</v>
      </c>
      <c r="G54">
        <v>4</v>
      </c>
    </row>
    <row r="55" spans="1:7" x14ac:dyDescent="0.35">
      <c r="A55">
        <v>54</v>
      </c>
      <c r="B55" t="str">
        <f>VLOOKUP(F55,'Hilfstabelle QP'!$A$2:$B$4,2,FALSE)</f>
        <v>Sichtkontrolle</v>
      </c>
      <c r="C55" t="str">
        <f>VLOOKUP(G55,'Hilfstabelle QP'!$A$7:$B$11,2,FALSE)</f>
        <v>Bestanden</v>
      </c>
      <c r="F55">
        <v>1</v>
      </c>
      <c r="G55">
        <v>3</v>
      </c>
    </row>
    <row r="56" spans="1:7" x14ac:dyDescent="0.35">
      <c r="A56">
        <v>55</v>
      </c>
      <c r="B56" t="str">
        <f>VLOOKUP(F56,'Hilfstabelle QP'!$A$2:$B$4,2,FALSE)</f>
        <v>Lastkontrolle</v>
      </c>
      <c r="C56" t="str">
        <f>VLOOKUP(G56,'Hilfstabelle QP'!$A$7:$B$11,2,FALSE)</f>
        <v>Bestanden</v>
      </c>
      <c r="F56">
        <v>3</v>
      </c>
      <c r="G56">
        <v>4</v>
      </c>
    </row>
    <row r="57" spans="1:7" x14ac:dyDescent="0.35">
      <c r="A57">
        <v>56</v>
      </c>
      <c r="B57" t="str">
        <f>VLOOKUP(F57,'Hilfstabelle QP'!$A$2:$B$4,2,FALSE)</f>
        <v>Lastkontrolle</v>
      </c>
      <c r="C57" t="str">
        <f>VLOOKUP(G57,'Hilfstabelle QP'!$A$7:$B$11,2,FALSE)</f>
        <v>Bestanden</v>
      </c>
      <c r="F57">
        <v>3</v>
      </c>
      <c r="G57">
        <v>2</v>
      </c>
    </row>
    <row r="58" spans="1:7" x14ac:dyDescent="0.35">
      <c r="A58">
        <v>57</v>
      </c>
      <c r="B58" t="str">
        <f>VLOOKUP(F58,'Hilfstabelle QP'!$A$2:$B$4,2,FALSE)</f>
        <v>Druckkontrolle</v>
      </c>
      <c r="C58" t="str">
        <f>VLOOKUP(G58,'Hilfstabelle QP'!$A$7:$B$11,2,FALSE)</f>
        <v>Bestanden</v>
      </c>
      <c r="F58">
        <v>2</v>
      </c>
      <c r="G58">
        <v>2</v>
      </c>
    </row>
    <row r="59" spans="1:7" x14ac:dyDescent="0.35">
      <c r="A59">
        <v>58</v>
      </c>
      <c r="B59" t="str">
        <f>VLOOKUP(F59,'Hilfstabelle QP'!$A$2:$B$4,2,FALSE)</f>
        <v>Lastkontrolle</v>
      </c>
      <c r="C59" t="str">
        <f>VLOOKUP(G59,'Hilfstabelle QP'!$A$7:$B$11,2,FALSE)</f>
        <v>Bestanden</v>
      </c>
      <c r="F59">
        <v>3</v>
      </c>
      <c r="G59">
        <v>1</v>
      </c>
    </row>
    <row r="60" spans="1:7" x14ac:dyDescent="0.35">
      <c r="A60">
        <v>59</v>
      </c>
      <c r="B60" t="str">
        <f>VLOOKUP(F60,'Hilfstabelle QP'!$A$2:$B$4,2,FALSE)</f>
        <v>Lastkontrolle</v>
      </c>
      <c r="C60" t="str">
        <f>VLOOKUP(G60,'Hilfstabelle QP'!$A$7:$B$11,2,FALSE)</f>
        <v>Durchgefallen</v>
      </c>
      <c r="F60">
        <v>3</v>
      </c>
      <c r="G60">
        <v>5</v>
      </c>
    </row>
    <row r="61" spans="1:7" x14ac:dyDescent="0.35">
      <c r="A61">
        <v>60</v>
      </c>
      <c r="B61" t="str">
        <f>VLOOKUP(F61,'Hilfstabelle QP'!$A$2:$B$4,2,FALSE)</f>
        <v>Lastkontrolle</v>
      </c>
      <c r="C61" t="str">
        <f>VLOOKUP(G61,'Hilfstabelle QP'!$A$7:$B$11,2,FALSE)</f>
        <v>Bestanden</v>
      </c>
      <c r="F61">
        <v>3</v>
      </c>
      <c r="G61">
        <v>1</v>
      </c>
    </row>
    <row r="62" spans="1:7" x14ac:dyDescent="0.35">
      <c r="A62">
        <v>61</v>
      </c>
      <c r="B62" t="str">
        <f>VLOOKUP(F62,'Hilfstabelle QP'!$A$2:$B$4,2,FALSE)</f>
        <v>Lastkontrolle</v>
      </c>
      <c r="C62" t="str">
        <f>VLOOKUP(G62,'Hilfstabelle QP'!$A$7:$B$11,2,FALSE)</f>
        <v>Bestanden</v>
      </c>
      <c r="F62">
        <v>3</v>
      </c>
      <c r="G62">
        <v>3</v>
      </c>
    </row>
    <row r="63" spans="1:7" x14ac:dyDescent="0.35">
      <c r="A63">
        <v>62</v>
      </c>
      <c r="B63" t="str">
        <f>VLOOKUP(F63,'Hilfstabelle QP'!$A$2:$B$4,2,FALSE)</f>
        <v>Sichtkontrolle</v>
      </c>
      <c r="C63" t="str">
        <f>VLOOKUP(G63,'Hilfstabelle QP'!$A$7:$B$11,2,FALSE)</f>
        <v>Bestanden</v>
      </c>
      <c r="F63">
        <v>1</v>
      </c>
      <c r="G63">
        <v>3</v>
      </c>
    </row>
    <row r="64" spans="1:7" x14ac:dyDescent="0.35">
      <c r="A64">
        <v>63</v>
      </c>
      <c r="B64" t="str">
        <f>VLOOKUP(F64,'Hilfstabelle QP'!$A$2:$B$4,2,FALSE)</f>
        <v>Sichtkontrolle</v>
      </c>
      <c r="C64" t="str">
        <f>VLOOKUP(G64,'Hilfstabelle QP'!$A$7:$B$11,2,FALSE)</f>
        <v>Durchgefallen</v>
      </c>
      <c r="F64">
        <v>1</v>
      </c>
      <c r="G64">
        <v>5</v>
      </c>
    </row>
    <row r="65" spans="1:7" x14ac:dyDescent="0.35">
      <c r="A65">
        <v>64</v>
      </c>
      <c r="B65" t="str">
        <f>VLOOKUP(F65,'Hilfstabelle QP'!$A$2:$B$4,2,FALSE)</f>
        <v>Lastkontrolle</v>
      </c>
      <c r="C65" t="str">
        <f>VLOOKUP(G65,'Hilfstabelle QP'!$A$7:$B$11,2,FALSE)</f>
        <v>Bestanden</v>
      </c>
      <c r="F65">
        <v>3</v>
      </c>
      <c r="G65">
        <v>1</v>
      </c>
    </row>
    <row r="66" spans="1:7" x14ac:dyDescent="0.35">
      <c r="A66">
        <v>65</v>
      </c>
      <c r="B66" t="str">
        <f>VLOOKUP(F66,'Hilfstabelle QP'!$A$2:$B$4,2,FALSE)</f>
        <v>Lastkontrolle</v>
      </c>
      <c r="C66" t="str">
        <f>VLOOKUP(G66,'Hilfstabelle QP'!$A$7:$B$11,2,FALSE)</f>
        <v>Durchgefallen</v>
      </c>
      <c r="F66">
        <v>3</v>
      </c>
      <c r="G66">
        <v>5</v>
      </c>
    </row>
    <row r="67" spans="1:7" x14ac:dyDescent="0.35">
      <c r="A67">
        <v>66</v>
      </c>
      <c r="B67" t="str">
        <f>VLOOKUP(F67,'Hilfstabelle QP'!$A$2:$B$4,2,FALSE)</f>
        <v>Lastkontrolle</v>
      </c>
      <c r="C67" t="str">
        <f>VLOOKUP(G67,'Hilfstabelle QP'!$A$7:$B$11,2,FALSE)</f>
        <v>Bestanden</v>
      </c>
      <c r="F67">
        <v>3</v>
      </c>
      <c r="G67">
        <v>1</v>
      </c>
    </row>
    <row r="68" spans="1:7" x14ac:dyDescent="0.35">
      <c r="A68">
        <v>67</v>
      </c>
      <c r="B68" t="str">
        <f>VLOOKUP(F68,'Hilfstabelle QP'!$A$2:$B$4,2,FALSE)</f>
        <v>Lastkontrolle</v>
      </c>
      <c r="C68" t="str">
        <f>VLOOKUP(G68,'Hilfstabelle QP'!$A$7:$B$11,2,FALSE)</f>
        <v>Bestanden</v>
      </c>
      <c r="F68">
        <v>3</v>
      </c>
      <c r="G68">
        <v>2</v>
      </c>
    </row>
    <row r="69" spans="1:7" x14ac:dyDescent="0.35">
      <c r="A69">
        <v>68</v>
      </c>
      <c r="B69" t="str">
        <f>VLOOKUP(F69,'Hilfstabelle QP'!$A$2:$B$4,2,FALSE)</f>
        <v>Sichtkontrolle</v>
      </c>
      <c r="C69" t="str">
        <f>VLOOKUP(G69,'Hilfstabelle QP'!$A$7:$B$11,2,FALSE)</f>
        <v>Bestanden</v>
      </c>
      <c r="F69">
        <v>1</v>
      </c>
      <c r="G69">
        <v>4</v>
      </c>
    </row>
    <row r="70" spans="1:7" x14ac:dyDescent="0.35">
      <c r="A70">
        <v>69</v>
      </c>
      <c r="B70" t="str">
        <f>VLOOKUP(F70,'Hilfstabelle QP'!$A$2:$B$4,2,FALSE)</f>
        <v>Druckkontrolle</v>
      </c>
      <c r="C70" t="str">
        <f>VLOOKUP(G70,'Hilfstabelle QP'!$A$7:$B$11,2,FALSE)</f>
        <v>Durchgefallen</v>
      </c>
      <c r="F70">
        <v>2</v>
      </c>
      <c r="G70">
        <v>5</v>
      </c>
    </row>
    <row r="71" spans="1:7" x14ac:dyDescent="0.35">
      <c r="A71">
        <v>70</v>
      </c>
      <c r="B71" t="str">
        <f>VLOOKUP(F71,'Hilfstabelle QP'!$A$2:$B$4,2,FALSE)</f>
        <v>Druckkontrolle</v>
      </c>
      <c r="C71" t="str">
        <f>VLOOKUP(G71,'Hilfstabelle QP'!$A$7:$B$11,2,FALSE)</f>
        <v>Bestanden</v>
      </c>
      <c r="F71">
        <v>2</v>
      </c>
      <c r="G71">
        <v>2</v>
      </c>
    </row>
    <row r="72" spans="1:7" x14ac:dyDescent="0.35">
      <c r="A72">
        <v>71</v>
      </c>
      <c r="B72" t="str">
        <f>VLOOKUP(F72,'Hilfstabelle QP'!$A$2:$B$4,2,FALSE)</f>
        <v>Druckkontrolle</v>
      </c>
      <c r="C72" t="str">
        <f>VLOOKUP(G72,'Hilfstabelle QP'!$A$7:$B$11,2,FALSE)</f>
        <v>Durchgefallen</v>
      </c>
      <c r="F72">
        <v>2</v>
      </c>
      <c r="G72">
        <v>5</v>
      </c>
    </row>
    <row r="73" spans="1:7" x14ac:dyDescent="0.35">
      <c r="A73">
        <v>72</v>
      </c>
      <c r="B73" t="str">
        <f>VLOOKUP(F73,'Hilfstabelle QP'!$A$2:$B$4,2,FALSE)</f>
        <v>Lastkontrolle</v>
      </c>
      <c r="C73" t="str">
        <f>VLOOKUP(G73,'Hilfstabelle QP'!$A$7:$B$11,2,FALSE)</f>
        <v>Bestanden</v>
      </c>
      <c r="F73">
        <v>3</v>
      </c>
      <c r="G73">
        <v>3</v>
      </c>
    </row>
    <row r="74" spans="1:7" x14ac:dyDescent="0.35">
      <c r="A74">
        <v>73</v>
      </c>
      <c r="B74" t="str">
        <f>VLOOKUP(F74,'Hilfstabelle QP'!$A$2:$B$4,2,FALSE)</f>
        <v>Sichtkontrolle</v>
      </c>
      <c r="C74" t="str">
        <f>VLOOKUP(G74,'Hilfstabelle QP'!$A$7:$B$11,2,FALSE)</f>
        <v>Bestanden</v>
      </c>
      <c r="F74">
        <v>1</v>
      </c>
      <c r="G74">
        <v>2</v>
      </c>
    </row>
    <row r="75" spans="1:7" x14ac:dyDescent="0.35">
      <c r="A75">
        <v>74</v>
      </c>
      <c r="B75" t="str">
        <f>VLOOKUP(F75,'Hilfstabelle QP'!$A$2:$B$4,2,FALSE)</f>
        <v>Sichtkontrolle</v>
      </c>
      <c r="C75" t="str">
        <f>VLOOKUP(G75,'Hilfstabelle QP'!$A$7:$B$11,2,FALSE)</f>
        <v>Bestanden</v>
      </c>
      <c r="F75">
        <v>1</v>
      </c>
      <c r="G75">
        <v>2</v>
      </c>
    </row>
    <row r="76" spans="1:7" x14ac:dyDescent="0.35">
      <c r="A76">
        <v>75</v>
      </c>
      <c r="B76" t="str">
        <f>VLOOKUP(F76,'Hilfstabelle QP'!$A$2:$B$4,2,FALSE)</f>
        <v>Lastkontrolle</v>
      </c>
      <c r="C76" t="str">
        <f>VLOOKUP(G76,'Hilfstabelle QP'!$A$7:$B$11,2,FALSE)</f>
        <v>Durchgefallen</v>
      </c>
      <c r="F76">
        <v>3</v>
      </c>
      <c r="G76">
        <v>5</v>
      </c>
    </row>
    <row r="77" spans="1:7" x14ac:dyDescent="0.35">
      <c r="A77">
        <v>76</v>
      </c>
      <c r="B77" t="str">
        <f>VLOOKUP(F77,'Hilfstabelle QP'!$A$2:$B$4,2,FALSE)</f>
        <v>Lastkontrolle</v>
      </c>
      <c r="C77" t="str">
        <f>VLOOKUP(G77,'Hilfstabelle QP'!$A$7:$B$11,2,FALSE)</f>
        <v>Bestanden</v>
      </c>
      <c r="F77">
        <v>3</v>
      </c>
      <c r="G77">
        <v>3</v>
      </c>
    </row>
    <row r="78" spans="1:7" x14ac:dyDescent="0.35">
      <c r="A78">
        <v>77</v>
      </c>
      <c r="B78" t="str">
        <f>VLOOKUP(F78,'Hilfstabelle QP'!$A$2:$B$4,2,FALSE)</f>
        <v>Druckkontrolle</v>
      </c>
      <c r="C78" t="str">
        <f>VLOOKUP(G78,'Hilfstabelle QP'!$A$7:$B$11,2,FALSE)</f>
        <v>Durchgefallen</v>
      </c>
      <c r="F78">
        <v>2</v>
      </c>
      <c r="G78">
        <v>5</v>
      </c>
    </row>
    <row r="79" spans="1:7" x14ac:dyDescent="0.35">
      <c r="A79">
        <v>78</v>
      </c>
      <c r="B79" t="str">
        <f>VLOOKUP(F79,'Hilfstabelle QP'!$A$2:$B$4,2,FALSE)</f>
        <v>Sichtkontrolle</v>
      </c>
      <c r="C79" t="str">
        <f>VLOOKUP(G79,'Hilfstabelle QP'!$A$7:$B$11,2,FALSE)</f>
        <v>Durchgefallen</v>
      </c>
      <c r="F79">
        <v>1</v>
      </c>
      <c r="G79">
        <v>5</v>
      </c>
    </row>
    <row r="80" spans="1:7" x14ac:dyDescent="0.35">
      <c r="A80">
        <v>79</v>
      </c>
      <c r="B80" t="str">
        <f>VLOOKUP(F80,'Hilfstabelle QP'!$A$2:$B$4,2,FALSE)</f>
        <v>Druckkontrolle</v>
      </c>
      <c r="C80" t="str">
        <f>VLOOKUP(G80,'Hilfstabelle QP'!$A$7:$B$11,2,FALSE)</f>
        <v>Bestanden</v>
      </c>
      <c r="F80">
        <v>2</v>
      </c>
      <c r="G80">
        <v>3</v>
      </c>
    </row>
    <row r="81" spans="1:7" x14ac:dyDescent="0.35">
      <c r="A81">
        <v>80</v>
      </c>
      <c r="B81" t="str">
        <f>VLOOKUP(F81,'Hilfstabelle QP'!$A$2:$B$4,2,FALSE)</f>
        <v>Lastkontrolle</v>
      </c>
      <c r="C81" t="str">
        <f>VLOOKUP(G81,'Hilfstabelle QP'!$A$7:$B$11,2,FALSE)</f>
        <v>Bestanden</v>
      </c>
      <c r="F81">
        <v>3</v>
      </c>
      <c r="G81">
        <v>2</v>
      </c>
    </row>
    <row r="82" spans="1:7" x14ac:dyDescent="0.35">
      <c r="A82">
        <v>81</v>
      </c>
      <c r="B82" t="str">
        <f>VLOOKUP(F82,'Hilfstabelle QP'!$A$2:$B$4,2,FALSE)</f>
        <v>Sichtkontrolle</v>
      </c>
      <c r="C82" t="str">
        <f>VLOOKUP(G82,'Hilfstabelle QP'!$A$7:$B$11,2,FALSE)</f>
        <v>Durchgefallen</v>
      </c>
      <c r="F82">
        <v>1</v>
      </c>
      <c r="G82">
        <v>5</v>
      </c>
    </row>
    <row r="83" spans="1:7" x14ac:dyDescent="0.35">
      <c r="A83">
        <v>82</v>
      </c>
      <c r="B83" t="str">
        <f>VLOOKUP(F83,'Hilfstabelle QP'!$A$2:$B$4,2,FALSE)</f>
        <v>Lastkontrolle</v>
      </c>
      <c r="C83" t="str">
        <f>VLOOKUP(G83,'Hilfstabelle QP'!$A$7:$B$11,2,FALSE)</f>
        <v>Bestanden</v>
      </c>
      <c r="F83">
        <v>3</v>
      </c>
      <c r="G83">
        <v>4</v>
      </c>
    </row>
    <row r="84" spans="1:7" x14ac:dyDescent="0.35">
      <c r="A84">
        <v>83</v>
      </c>
      <c r="B84" t="str">
        <f>VLOOKUP(F84,'Hilfstabelle QP'!$A$2:$B$4,2,FALSE)</f>
        <v>Sichtkontrolle</v>
      </c>
      <c r="C84" t="str">
        <f>VLOOKUP(G84,'Hilfstabelle QP'!$A$7:$B$11,2,FALSE)</f>
        <v>Bestanden</v>
      </c>
      <c r="F84">
        <v>1</v>
      </c>
      <c r="G84">
        <v>1</v>
      </c>
    </row>
    <row r="85" spans="1:7" x14ac:dyDescent="0.35">
      <c r="A85">
        <v>84</v>
      </c>
      <c r="B85" t="str">
        <f>VLOOKUP(F85,'Hilfstabelle QP'!$A$2:$B$4,2,FALSE)</f>
        <v>Sichtkontrolle</v>
      </c>
      <c r="C85" t="str">
        <f>VLOOKUP(G85,'Hilfstabelle QP'!$A$7:$B$11,2,FALSE)</f>
        <v>Bestanden</v>
      </c>
      <c r="F85">
        <v>1</v>
      </c>
      <c r="G85">
        <v>4</v>
      </c>
    </row>
    <row r="86" spans="1:7" x14ac:dyDescent="0.35">
      <c r="A86">
        <v>85</v>
      </c>
      <c r="B86" t="str">
        <f>VLOOKUP(F86,'Hilfstabelle QP'!$A$2:$B$4,2,FALSE)</f>
        <v>Lastkontrolle</v>
      </c>
      <c r="C86" t="str">
        <f>VLOOKUP(G86,'Hilfstabelle QP'!$A$7:$B$11,2,FALSE)</f>
        <v>Bestanden</v>
      </c>
      <c r="F86">
        <v>3</v>
      </c>
      <c r="G86">
        <v>4</v>
      </c>
    </row>
    <row r="87" spans="1:7" x14ac:dyDescent="0.35">
      <c r="A87">
        <v>86</v>
      </c>
      <c r="B87" t="str">
        <f>VLOOKUP(F87,'Hilfstabelle QP'!$A$2:$B$4,2,FALSE)</f>
        <v>Druckkontrolle</v>
      </c>
      <c r="C87" t="str">
        <f>VLOOKUP(G87,'Hilfstabelle QP'!$A$7:$B$11,2,FALSE)</f>
        <v>Durchgefallen</v>
      </c>
      <c r="F87">
        <v>2</v>
      </c>
      <c r="G87">
        <v>5</v>
      </c>
    </row>
    <row r="88" spans="1:7" x14ac:dyDescent="0.35">
      <c r="A88">
        <v>87</v>
      </c>
      <c r="B88" t="str">
        <f>VLOOKUP(F88,'Hilfstabelle QP'!$A$2:$B$4,2,FALSE)</f>
        <v>Druckkontrolle</v>
      </c>
      <c r="C88" t="str">
        <f>VLOOKUP(G88,'Hilfstabelle QP'!$A$7:$B$11,2,FALSE)</f>
        <v>Bestanden</v>
      </c>
      <c r="F88">
        <v>2</v>
      </c>
      <c r="G88">
        <v>3</v>
      </c>
    </row>
    <row r="89" spans="1:7" x14ac:dyDescent="0.35">
      <c r="A89">
        <v>88</v>
      </c>
      <c r="B89" t="str">
        <f>VLOOKUP(F89,'Hilfstabelle QP'!$A$2:$B$4,2,FALSE)</f>
        <v>Lastkontrolle</v>
      </c>
      <c r="C89" t="str">
        <f>VLOOKUP(G89,'Hilfstabelle QP'!$A$7:$B$11,2,FALSE)</f>
        <v>Durchgefallen</v>
      </c>
      <c r="F89">
        <v>3</v>
      </c>
      <c r="G89">
        <v>5</v>
      </c>
    </row>
    <row r="90" spans="1:7" x14ac:dyDescent="0.35">
      <c r="A90">
        <v>89</v>
      </c>
      <c r="B90" t="str">
        <f>VLOOKUP(F90,'Hilfstabelle QP'!$A$2:$B$4,2,FALSE)</f>
        <v>Lastkontrolle</v>
      </c>
      <c r="C90" t="str">
        <f>VLOOKUP(G90,'Hilfstabelle QP'!$A$7:$B$11,2,FALSE)</f>
        <v>Durchgefallen</v>
      </c>
      <c r="F90">
        <v>3</v>
      </c>
      <c r="G90">
        <v>5</v>
      </c>
    </row>
    <row r="91" spans="1:7" x14ac:dyDescent="0.35">
      <c r="A91">
        <v>90</v>
      </c>
      <c r="B91" t="str">
        <f>VLOOKUP(F91,'Hilfstabelle QP'!$A$2:$B$4,2,FALSE)</f>
        <v>Lastkontrolle</v>
      </c>
      <c r="C91" t="str">
        <f>VLOOKUP(G91,'Hilfstabelle QP'!$A$7:$B$11,2,FALSE)</f>
        <v>Bestanden</v>
      </c>
      <c r="F91">
        <v>3</v>
      </c>
      <c r="G91">
        <v>3</v>
      </c>
    </row>
    <row r="92" spans="1:7" x14ac:dyDescent="0.35">
      <c r="A92">
        <v>91</v>
      </c>
      <c r="B92" t="str">
        <f>VLOOKUP(F92,'Hilfstabelle QP'!$A$2:$B$4,2,FALSE)</f>
        <v>Druckkontrolle</v>
      </c>
      <c r="C92" t="str">
        <f>VLOOKUP(G92,'Hilfstabelle QP'!$A$7:$B$11,2,FALSE)</f>
        <v>Durchgefallen</v>
      </c>
      <c r="F92">
        <v>2</v>
      </c>
      <c r="G92">
        <v>5</v>
      </c>
    </row>
    <row r="93" spans="1:7" x14ac:dyDescent="0.35">
      <c r="A93">
        <v>92</v>
      </c>
      <c r="B93" t="str">
        <f>VLOOKUP(F93,'Hilfstabelle QP'!$A$2:$B$4,2,FALSE)</f>
        <v>Sichtkontrolle</v>
      </c>
      <c r="C93" t="str">
        <f>VLOOKUP(G93,'Hilfstabelle QP'!$A$7:$B$11,2,FALSE)</f>
        <v>Bestanden</v>
      </c>
      <c r="F93">
        <v>1</v>
      </c>
      <c r="G93">
        <v>2</v>
      </c>
    </row>
    <row r="94" spans="1:7" x14ac:dyDescent="0.35">
      <c r="A94">
        <v>93</v>
      </c>
      <c r="B94" t="str">
        <f>VLOOKUP(F94,'Hilfstabelle QP'!$A$2:$B$4,2,FALSE)</f>
        <v>Druckkontrolle</v>
      </c>
      <c r="C94" t="str">
        <f>VLOOKUP(G94,'Hilfstabelle QP'!$A$7:$B$11,2,FALSE)</f>
        <v>Bestanden</v>
      </c>
      <c r="F94">
        <v>2</v>
      </c>
      <c r="G94">
        <v>4</v>
      </c>
    </row>
    <row r="95" spans="1:7" x14ac:dyDescent="0.35">
      <c r="A95">
        <v>94</v>
      </c>
      <c r="B95" t="str">
        <f>VLOOKUP(F95,'Hilfstabelle QP'!$A$2:$B$4,2,FALSE)</f>
        <v>Druckkontrolle</v>
      </c>
      <c r="C95" t="str">
        <f>VLOOKUP(G95,'Hilfstabelle QP'!$A$7:$B$11,2,FALSE)</f>
        <v>Bestanden</v>
      </c>
      <c r="F95">
        <v>2</v>
      </c>
      <c r="G95">
        <v>3</v>
      </c>
    </row>
    <row r="96" spans="1:7" x14ac:dyDescent="0.35">
      <c r="A96">
        <v>95</v>
      </c>
      <c r="B96" t="str">
        <f>VLOOKUP(F96,'Hilfstabelle QP'!$A$2:$B$4,2,FALSE)</f>
        <v>Sichtkontrolle</v>
      </c>
      <c r="C96" t="str">
        <f>VLOOKUP(G96,'Hilfstabelle QP'!$A$7:$B$11,2,FALSE)</f>
        <v>Bestanden</v>
      </c>
      <c r="F96">
        <v>1</v>
      </c>
      <c r="G96">
        <v>2</v>
      </c>
    </row>
    <row r="97" spans="1:7" x14ac:dyDescent="0.35">
      <c r="A97">
        <v>96</v>
      </c>
      <c r="B97" t="str">
        <f>VLOOKUP(F97,'Hilfstabelle QP'!$A$2:$B$4,2,FALSE)</f>
        <v>Sichtkontrolle</v>
      </c>
      <c r="C97" t="str">
        <f>VLOOKUP(G97,'Hilfstabelle QP'!$A$7:$B$11,2,FALSE)</f>
        <v>Durchgefallen</v>
      </c>
      <c r="F97">
        <v>1</v>
      </c>
      <c r="G97">
        <v>5</v>
      </c>
    </row>
    <row r="98" spans="1:7" x14ac:dyDescent="0.35">
      <c r="A98">
        <v>97</v>
      </c>
      <c r="B98" t="str">
        <f>VLOOKUP(F98,'Hilfstabelle QP'!$A$2:$B$4,2,FALSE)</f>
        <v>Lastkontrolle</v>
      </c>
      <c r="C98" t="str">
        <f>VLOOKUP(G98,'Hilfstabelle QP'!$A$7:$B$11,2,FALSE)</f>
        <v>Bestanden</v>
      </c>
      <c r="F98">
        <v>3</v>
      </c>
      <c r="G98">
        <v>4</v>
      </c>
    </row>
    <row r="99" spans="1:7" x14ac:dyDescent="0.35">
      <c r="A99">
        <v>98</v>
      </c>
      <c r="B99" t="str">
        <f>VLOOKUP(F99,'Hilfstabelle QP'!$A$2:$B$4,2,FALSE)</f>
        <v>Lastkontrolle</v>
      </c>
      <c r="C99" t="str">
        <f>VLOOKUP(G99,'Hilfstabelle QP'!$A$7:$B$11,2,FALSE)</f>
        <v>Bestanden</v>
      </c>
      <c r="F99">
        <v>3</v>
      </c>
      <c r="G99">
        <v>4</v>
      </c>
    </row>
    <row r="100" spans="1:7" x14ac:dyDescent="0.35">
      <c r="A100">
        <v>99</v>
      </c>
      <c r="B100" t="str">
        <f>VLOOKUP(F100,'Hilfstabelle QP'!$A$2:$B$4,2,FALSE)</f>
        <v>Lastkontrolle</v>
      </c>
      <c r="C100" t="str">
        <f>VLOOKUP(G100,'Hilfstabelle QP'!$A$7:$B$11,2,FALSE)</f>
        <v>Bestanden</v>
      </c>
      <c r="F100">
        <v>3</v>
      </c>
      <c r="G100">
        <v>1</v>
      </c>
    </row>
    <row r="101" spans="1:7" x14ac:dyDescent="0.35">
      <c r="A101">
        <v>100</v>
      </c>
      <c r="B101" t="str">
        <f>VLOOKUP(F101,'Hilfstabelle QP'!$A$2:$B$4,2,FALSE)</f>
        <v>Lastkontrolle</v>
      </c>
      <c r="C101" t="str">
        <f>VLOOKUP(G101,'Hilfstabelle QP'!$A$7:$B$11,2,FALSE)</f>
        <v>Bestanden</v>
      </c>
      <c r="F101">
        <v>3</v>
      </c>
      <c r="G101">
        <v>3</v>
      </c>
    </row>
    <row r="102" spans="1:7" x14ac:dyDescent="0.35">
      <c r="A102">
        <v>101</v>
      </c>
      <c r="B102" t="str">
        <f>VLOOKUP(F102,'Hilfstabelle QP'!$A$2:$B$4,2,FALSE)</f>
        <v>Druckkontrolle</v>
      </c>
      <c r="C102" t="str">
        <f>VLOOKUP(G102,'Hilfstabelle QP'!$A$7:$B$11,2,FALSE)</f>
        <v>Bestanden</v>
      </c>
      <c r="F102">
        <v>2</v>
      </c>
      <c r="G102">
        <v>2</v>
      </c>
    </row>
    <row r="103" spans="1:7" x14ac:dyDescent="0.35">
      <c r="A103">
        <v>102</v>
      </c>
      <c r="B103" t="str">
        <f>VLOOKUP(F103,'Hilfstabelle QP'!$A$2:$B$4,2,FALSE)</f>
        <v>Lastkontrolle</v>
      </c>
      <c r="C103" t="str">
        <f>VLOOKUP(G103,'Hilfstabelle QP'!$A$7:$B$11,2,FALSE)</f>
        <v>Bestanden</v>
      </c>
      <c r="F103">
        <v>3</v>
      </c>
      <c r="G103">
        <v>2</v>
      </c>
    </row>
    <row r="104" spans="1:7" x14ac:dyDescent="0.35">
      <c r="A104">
        <v>103</v>
      </c>
      <c r="B104" t="str">
        <f>VLOOKUP(F104,'Hilfstabelle QP'!$A$2:$B$4,2,FALSE)</f>
        <v>Lastkontrolle</v>
      </c>
      <c r="C104" t="str">
        <f>VLOOKUP(G104,'Hilfstabelle QP'!$A$7:$B$11,2,FALSE)</f>
        <v>Durchgefallen</v>
      </c>
      <c r="F104">
        <v>3</v>
      </c>
      <c r="G104">
        <v>5</v>
      </c>
    </row>
    <row r="105" spans="1:7" x14ac:dyDescent="0.35">
      <c r="A105">
        <v>104</v>
      </c>
      <c r="B105" t="str">
        <f>VLOOKUP(F105,'Hilfstabelle QP'!$A$2:$B$4,2,FALSE)</f>
        <v>Sichtkontrolle</v>
      </c>
      <c r="C105" t="str">
        <f>VLOOKUP(G105,'Hilfstabelle QP'!$A$7:$B$11,2,FALSE)</f>
        <v>Bestanden</v>
      </c>
      <c r="F105">
        <v>1</v>
      </c>
      <c r="G105">
        <v>1</v>
      </c>
    </row>
    <row r="106" spans="1:7" x14ac:dyDescent="0.35">
      <c r="A106">
        <v>105</v>
      </c>
      <c r="B106" t="str">
        <f>VLOOKUP(F106,'Hilfstabelle QP'!$A$2:$B$4,2,FALSE)</f>
        <v>Druckkontrolle</v>
      </c>
      <c r="C106" t="str">
        <f>VLOOKUP(G106,'Hilfstabelle QP'!$A$7:$B$11,2,FALSE)</f>
        <v>Bestanden</v>
      </c>
      <c r="F106">
        <v>2</v>
      </c>
      <c r="G106">
        <v>1</v>
      </c>
    </row>
    <row r="107" spans="1:7" x14ac:dyDescent="0.35">
      <c r="A107">
        <v>106</v>
      </c>
      <c r="B107" t="str">
        <f>VLOOKUP(F107,'Hilfstabelle QP'!$A$2:$B$4,2,FALSE)</f>
        <v>Sichtkontrolle</v>
      </c>
      <c r="C107" t="str">
        <f>VLOOKUP(G107,'Hilfstabelle QP'!$A$7:$B$11,2,FALSE)</f>
        <v>Bestanden</v>
      </c>
      <c r="F107">
        <v>1</v>
      </c>
      <c r="G107">
        <v>4</v>
      </c>
    </row>
    <row r="108" spans="1:7" x14ac:dyDescent="0.35">
      <c r="A108">
        <v>107</v>
      </c>
      <c r="B108" t="str">
        <f>VLOOKUP(F108,'Hilfstabelle QP'!$A$2:$B$4,2,FALSE)</f>
        <v>Lastkontrolle</v>
      </c>
      <c r="C108" t="str">
        <f>VLOOKUP(G108,'Hilfstabelle QP'!$A$7:$B$11,2,FALSE)</f>
        <v>Bestanden</v>
      </c>
      <c r="F108">
        <v>3</v>
      </c>
      <c r="G108">
        <v>4</v>
      </c>
    </row>
    <row r="109" spans="1:7" x14ac:dyDescent="0.35">
      <c r="A109">
        <v>108</v>
      </c>
      <c r="B109" t="str">
        <f>VLOOKUP(F109,'Hilfstabelle QP'!$A$2:$B$4,2,FALSE)</f>
        <v>Sichtkontrolle</v>
      </c>
      <c r="C109" t="str">
        <f>VLOOKUP(G109,'Hilfstabelle QP'!$A$7:$B$11,2,FALSE)</f>
        <v>Bestanden</v>
      </c>
      <c r="F109">
        <v>1</v>
      </c>
      <c r="G109">
        <v>3</v>
      </c>
    </row>
    <row r="110" spans="1:7" x14ac:dyDescent="0.35">
      <c r="A110">
        <v>109</v>
      </c>
      <c r="B110" t="str">
        <f>VLOOKUP(F110,'Hilfstabelle QP'!$A$2:$B$4,2,FALSE)</f>
        <v>Druckkontrolle</v>
      </c>
      <c r="C110" t="str">
        <f>VLOOKUP(G110,'Hilfstabelle QP'!$A$7:$B$11,2,FALSE)</f>
        <v>Bestanden</v>
      </c>
      <c r="F110">
        <v>2</v>
      </c>
      <c r="G110">
        <v>4</v>
      </c>
    </row>
    <row r="111" spans="1:7" x14ac:dyDescent="0.35">
      <c r="A111">
        <v>110</v>
      </c>
      <c r="B111" t="str">
        <f>VLOOKUP(F111,'Hilfstabelle QP'!$A$2:$B$4,2,FALSE)</f>
        <v>Druckkontrolle</v>
      </c>
      <c r="C111" t="str">
        <f>VLOOKUP(G111,'Hilfstabelle QP'!$A$7:$B$11,2,FALSE)</f>
        <v>Bestanden</v>
      </c>
      <c r="F111">
        <v>2</v>
      </c>
      <c r="G111">
        <v>1</v>
      </c>
    </row>
    <row r="112" spans="1:7" x14ac:dyDescent="0.35">
      <c r="A112">
        <v>111</v>
      </c>
      <c r="B112" t="str">
        <f>VLOOKUP(F112,'Hilfstabelle QP'!$A$2:$B$4,2,FALSE)</f>
        <v>Lastkontrolle</v>
      </c>
      <c r="C112" t="str">
        <f>VLOOKUP(G112,'Hilfstabelle QP'!$A$7:$B$11,2,FALSE)</f>
        <v>Durchgefallen</v>
      </c>
      <c r="F112">
        <v>3</v>
      </c>
      <c r="G112">
        <v>5</v>
      </c>
    </row>
    <row r="113" spans="1:7" x14ac:dyDescent="0.35">
      <c r="A113">
        <v>112</v>
      </c>
      <c r="B113" t="str">
        <f>VLOOKUP(F113,'Hilfstabelle QP'!$A$2:$B$4,2,FALSE)</f>
        <v>Druckkontrolle</v>
      </c>
      <c r="C113" t="str">
        <f>VLOOKUP(G113,'Hilfstabelle QP'!$A$7:$B$11,2,FALSE)</f>
        <v>Bestanden</v>
      </c>
      <c r="F113">
        <v>2</v>
      </c>
      <c r="G113">
        <v>3</v>
      </c>
    </row>
    <row r="114" spans="1:7" x14ac:dyDescent="0.35">
      <c r="A114">
        <v>113</v>
      </c>
      <c r="B114" t="str">
        <f>VLOOKUP(F114,'Hilfstabelle QP'!$A$2:$B$4,2,FALSE)</f>
        <v>Lastkontrolle</v>
      </c>
      <c r="C114" t="str">
        <f>VLOOKUP(G114,'Hilfstabelle QP'!$A$7:$B$11,2,FALSE)</f>
        <v>Durchgefallen</v>
      </c>
      <c r="F114">
        <v>3</v>
      </c>
      <c r="G114">
        <v>5</v>
      </c>
    </row>
    <row r="115" spans="1:7" x14ac:dyDescent="0.35">
      <c r="A115">
        <v>114</v>
      </c>
      <c r="B115" t="str">
        <f>VLOOKUP(F115,'Hilfstabelle QP'!$A$2:$B$4,2,FALSE)</f>
        <v>Lastkontrolle</v>
      </c>
      <c r="C115" t="str">
        <f>VLOOKUP(G115,'Hilfstabelle QP'!$A$7:$B$11,2,FALSE)</f>
        <v>Bestanden</v>
      </c>
      <c r="F115">
        <v>3</v>
      </c>
      <c r="G115">
        <v>3</v>
      </c>
    </row>
    <row r="116" spans="1:7" x14ac:dyDescent="0.35">
      <c r="A116">
        <v>115</v>
      </c>
      <c r="B116" t="str">
        <f>VLOOKUP(F116,'Hilfstabelle QP'!$A$2:$B$4,2,FALSE)</f>
        <v>Druckkontrolle</v>
      </c>
      <c r="C116" t="str">
        <f>VLOOKUP(G116,'Hilfstabelle QP'!$A$7:$B$11,2,FALSE)</f>
        <v>Durchgefallen</v>
      </c>
      <c r="F116">
        <v>2</v>
      </c>
      <c r="G116">
        <v>5</v>
      </c>
    </row>
    <row r="117" spans="1:7" x14ac:dyDescent="0.35">
      <c r="A117">
        <v>116</v>
      </c>
      <c r="B117" t="str">
        <f>VLOOKUP(F117,'Hilfstabelle QP'!$A$2:$B$4,2,FALSE)</f>
        <v>Druckkontrolle</v>
      </c>
      <c r="C117" t="str">
        <f>VLOOKUP(G117,'Hilfstabelle QP'!$A$7:$B$11,2,FALSE)</f>
        <v>Bestanden</v>
      </c>
      <c r="F117">
        <v>2</v>
      </c>
      <c r="G117">
        <v>2</v>
      </c>
    </row>
    <row r="118" spans="1:7" x14ac:dyDescent="0.35">
      <c r="A118">
        <v>117</v>
      </c>
      <c r="B118" t="str">
        <f>VLOOKUP(F118,'Hilfstabelle QP'!$A$2:$B$4,2,FALSE)</f>
        <v>Sichtkontrolle</v>
      </c>
      <c r="C118" t="str">
        <f>VLOOKUP(G118,'Hilfstabelle QP'!$A$7:$B$11,2,FALSE)</f>
        <v>Bestanden</v>
      </c>
      <c r="F118">
        <v>1</v>
      </c>
      <c r="G118">
        <v>3</v>
      </c>
    </row>
    <row r="119" spans="1:7" x14ac:dyDescent="0.35">
      <c r="A119">
        <v>118</v>
      </c>
      <c r="B119" t="str">
        <f>VLOOKUP(F119,'Hilfstabelle QP'!$A$2:$B$4,2,FALSE)</f>
        <v>Lastkontrolle</v>
      </c>
      <c r="C119" t="str">
        <f>VLOOKUP(G119,'Hilfstabelle QP'!$A$7:$B$11,2,FALSE)</f>
        <v>Bestanden</v>
      </c>
      <c r="F119">
        <v>3</v>
      </c>
      <c r="G119">
        <v>3</v>
      </c>
    </row>
    <row r="120" spans="1:7" x14ac:dyDescent="0.35">
      <c r="A120">
        <v>119</v>
      </c>
      <c r="B120" t="str">
        <f>VLOOKUP(F120,'Hilfstabelle QP'!$A$2:$B$4,2,FALSE)</f>
        <v>Sichtkontrolle</v>
      </c>
      <c r="C120" t="str">
        <f>VLOOKUP(G120,'Hilfstabelle QP'!$A$7:$B$11,2,FALSE)</f>
        <v>Durchgefallen</v>
      </c>
      <c r="F120">
        <v>1</v>
      </c>
      <c r="G120">
        <v>5</v>
      </c>
    </row>
    <row r="121" spans="1:7" x14ac:dyDescent="0.35">
      <c r="A121">
        <v>120</v>
      </c>
      <c r="B121" t="str">
        <f>VLOOKUP(F121,'Hilfstabelle QP'!$A$2:$B$4,2,FALSE)</f>
        <v>Druckkontrolle</v>
      </c>
      <c r="C121" t="str">
        <f>VLOOKUP(G121,'Hilfstabelle QP'!$A$7:$B$11,2,FALSE)</f>
        <v>Bestanden</v>
      </c>
      <c r="F121">
        <v>2</v>
      </c>
      <c r="G121">
        <v>2</v>
      </c>
    </row>
    <row r="122" spans="1:7" x14ac:dyDescent="0.35">
      <c r="A122">
        <v>121</v>
      </c>
      <c r="B122" t="str">
        <f>VLOOKUP(F122,'Hilfstabelle QP'!$A$2:$B$4,2,FALSE)</f>
        <v>Lastkontrolle</v>
      </c>
      <c r="C122" t="str">
        <f>VLOOKUP(G122,'Hilfstabelle QP'!$A$7:$B$11,2,FALSE)</f>
        <v>Bestanden</v>
      </c>
      <c r="F122">
        <v>3</v>
      </c>
      <c r="G122">
        <v>2</v>
      </c>
    </row>
    <row r="123" spans="1:7" x14ac:dyDescent="0.35">
      <c r="A123">
        <v>122</v>
      </c>
      <c r="B123" t="str">
        <f>VLOOKUP(F123,'Hilfstabelle QP'!$A$2:$B$4,2,FALSE)</f>
        <v>Druckkontrolle</v>
      </c>
      <c r="C123" t="str">
        <f>VLOOKUP(G123,'Hilfstabelle QP'!$A$7:$B$11,2,FALSE)</f>
        <v>Durchgefallen</v>
      </c>
      <c r="F123">
        <v>2</v>
      </c>
      <c r="G123">
        <v>5</v>
      </c>
    </row>
    <row r="124" spans="1:7" x14ac:dyDescent="0.35">
      <c r="A124">
        <v>123</v>
      </c>
      <c r="B124" t="str">
        <f>VLOOKUP(F124,'Hilfstabelle QP'!$A$2:$B$4,2,FALSE)</f>
        <v>Sichtkontrolle</v>
      </c>
      <c r="C124" t="str">
        <f>VLOOKUP(G124,'Hilfstabelle QP'!$A$7:$B$11,2,FALSE)</f>
        <v>Bestanden</v>
      </c>
      <c r="F124">
        <v>1</v>
      </c>
      <c r="G124">
        <v>1</v>
      </c>
    </row>
    <row r="125" spans="1:7" x14ac:dyDescent="0.35">
      <c r="A125">
        <v>124</v>
      </c>
      <c r="B125" t="str">
        <f>VLOOKUP(F125,'Hilfstabelle QP'!$A$2:$B$4,2,FALSE)</f>
        <v>Sichtkontrolle</v>
      </c>
      <c r="C125" t="str">
        <f>VLOOKUP(G125,'Hilfstabelle QP'!$A$7:$B$11,2,FALSE)</f>
        <v>Bestanden</v>
      </c>
      <c r="F125">
        <v>1</v>
      </c>
      <c r="G125">
        <v>2</v>
      </c>
    </row>
    <row r="126" spans="1:7" x14ac:dyDescent="0.35">
      <c r="A126">
        <v>125</v>
      </c>
      <c r="B126" t="str">
        <f>VLOOKUP(F126,'Hilfstabelle QP'!$A$2:$B$4,2,FALSE)</f>
        <v>Sichtkontrolle</v>
      </c>
      <c r="C126" t="str">
        <f>VLOOKUP(G126,'Hilfstabelle QP'!$A$7:$B$11,2,FALSE)</f>
        <v>Durchgefallen</v>
      </c>
      <c r="F126">
        <v>1</v>
      </c>
      <c r="G126">
        <v>5</v>
      </c>
    </row>
    <row r="127" spans="1:7" x14ac:dyDescent="0.35">
      <c r="A127">
        <v>126</v>
      </c>
      <c r="B127" t="str">
        <f>VLOOKUP(F127,'Hilfstabelle QP'!$A$2:$B$4,2,FALSE)</f>
        <v>Druckkontrolle</v>
      </c>
      <c r="C127" t="str">
        <f>VLOOKUP(G127,'Hilfstabelle QP'!$A$7:$B$11,2,FALSE)</f>
        <v>Bestanden</v>
      </c>
      <c r="F127">
        <v>2</v>
      </c>
      <c r="G127">
        <v>2</v>
      </c>
    </row>
    <row r="128" spans="1:7" x14ac:dyDescent="0.35">
      <c r="A128">
        <v>127</v>
      </c>
      <c r="B128" t="str">
        <f>VLOOKUP(F128,'Hilfstabelle QP'!$A$2:$B$4,2,FALSE)</f>
        <v>Lastkontrolle</v>
      </c>
      <c r="C128" t="str">
        <f>VLOOKUP(G128,'Hilfstabelle QP'!$A$7:$B$11,2,FALSE)</f>
        <v>Bestanden</v>
      </c>
      <c r="F128">
        <v>3</v>
      </c>
      <c r="G128">
        <v>4</v>
      </c>
    </row>
    <row r="129" spans="1:7" x14ac:dyDescent="0.35">
      <c r="A129">
        <v>128</v>
      </c>
      <c r="B129" t="str">
        <f>VLOOKUP(F129,'Hilfstabelle QP'!$A$2:$B$4,2,FALSE)</f>
        <v>Lastkontrolle</v>
      </c>
      <c r="C129" t="str">
        <f>VLOOKUP(G129,'Hilfstabelle QP'!$A$7:$B$11,2,FALSE)</f>
        <v>Bestanden</v>
      </c>
      <c r="F129">
        <v>3</v>
      </c>
      <c r="G129">
        <v>4</v>
      </c>
    </row>
    <row r="130" spans="1:7" x14ac:dyDescent="0.35">
      <c r="A130">
        <v>129</v>
      </c>
      <c r="B130" t="str">
        <f>VLOOKUP(F130,'Hilfstabelle QP'!$A$2:$B$4,2,FALSE)</f>
        <v>Sichtkontrolle</v>
      </c>
      <c r="C130" t="str">
        <f>VLOOKUP(G130,'Hilfstabelle QP'!$A$7:$B$11,2,FALSE)</f>
        <v>Bestanden</v>
      </c>
      <c r="F130">
        <v>1</v>
      </c>
      <c r="G130">
        <v>4</v>
      </c>
    </row>
    <row r="131" spans="1:7" x14ac:dyDescent="0.35">
      <c r="A131">
        <v>130</v>
      </c>
      <c r="B131" t="str">
        <f>VLOOKUP(F131,'Hilfstabelle QP'!$A$2:$B$4,2,FALSE)</f>
        <v>Druckkontrolle</v>
      </c>
      <c r="C131" t="str">
        <f>VLOOKUP(G131,'Hilfstabelle QP'!$A$7:$B$11,2,FALSE)</f>
        <v>Bestanden</v>
      </c>
      <c r="F131">
        <v>2</v>
      </c>
      <c r="G131">
        <v>2</v>
      </c>
    </row>
    <row r="132" spans="1:7" x14ac:dyDescent="0.35">
      <c r="A132">
        <v>131</v>
      </c>
      <c r="B132" t="str">
        <f>VLOOKUP(F132,'Hilfstabelle QP'!$A$2:$B$4,2,FALSE)</f>
        <v>Lastkontrolle</v>
      </c>
      <c r="C132" t="str">
        <f>VLOOKUP(G132,'Hilfstabelle QP'!$A$7:$B$11,2,FALSE)</f>
        <v>Bestanden</v>
      </c>
      <c r="F132">
        <v>3</v>
      </c>
      <c r="G132">
        <v>2</v>
      </c>
    </row>
    <row r="133" spans="1:7" x14ac:dyDescent="0.35">
      <c r="A133">
        <v>132</v>
      </c>
      <c r="B133" t="str">
        <f>VLOOKUP(F133,'Hilfstabelle QP'!$A$2:$B$4,2,FALSE)</f>
        <v>Druckkontrolle</v>
      </c>
      <c r="C133" t="str">
        <f>VLOOKUP(G133,'Hilfstabelle QP'!$A$7:$B$11,2,FALSE)</f>
        <v>Bestanden</v>
      </c>
      <c r="F133">
        <v>2</v>
      </c>
      <c r="G133">
        <v>2</v>
      </c>
    </row>
    <row r="134" spans="1:7" x14ac:dyDescent="0.35">
      <c r="A134">
        <v>133</v>
      </c>
      <c r="B134" t="str">
        <f>VLOOKUP(F134,'Hilfstabelle QP'!$A$2:$B$4,2,FALSE)</f>
        <v>Lastkontrolle</v>
      </c>
      <c r="C134" t="str">
        <f>VLOOKUP(G134,'Hilfstabelle QP'!$A$7:$B$11,2,FALSE)</f>
        <v>Bestanden</v>
      </c>
      <c r="F134">
        <v>3</v>
      </c>
      <c r="G134">
        <v>3</v>
      </c>
    </row>
    <row r="135" spans="1:7" x14ac:dyDescent="0.35">
      <c r="A135">
        <v>134</v>
      </c>
      <c r="B135" t="str">
        <f>VLOOKUP(F135,'Hilfstabelle QP'!$A$2:$B$4,2,FALSE)</f>
        <v>Sichtkontrolle</v>
      </c>
      <c r="C135" t="str">
        <f>VLOOKUP(G135,'Hilfstabelle QP'!$A$7:$B$11,2,FALSE)</f>
        <v>Durchgefallen</v>
      </c>
      <c r="F135">
        <v>1</v>
      </c>
      <c r="G135">
        <v>5</v>
      </c>
    </row>
    <row r="136" spans="1:7" x14ac:dyDescent="0.35">
      <c r="A136">
        <v>135</v>
      </c>
      <c r="B136" t="str">
        <f>VLOOKUP(F136,'Hilfstabelle QP'!$A$2:$B$4,2,FALSE)</f>
        <v>Lastkontrolle</v>
      </c>
      <c r="C136" t="str">
        <f>VLOOKUP(G136,'Hilfstabelle QP'!$A$7:$B$11,2,FALSE)</f>
        <v>Durchgefallen</v>
      </c>
      <c r="F136">
        <v>3</v>
      </c>
      <c r="G136">
        <v>5</v>
      </c>
    </row>
    <row r="137" spans="1:7" x14ac:dyDescent="0.35">
      <c r="A137">
        <v>136</v>
      </c>
      <c r="B137" t="str">
        <f>VLOOKUP(F137,'Hilfstabelle QP'!$A$2:$B$4,2,FALSE)</f>
        <v>Sichtkontrolle</v>
      </c>
      <c r="C137" t="str">
        <f>VLOOKUP(G137,'Hilfstabelle QP'!$A$7:$B$11,2,FALSE)</f>
        <v>Bestanden</v>
      </c>
      <c r="F137">
        <v>1</v>
      </c>
      <c r="G137">
        <v>1</v>
      </c>
    </row>
    <row r="138" spans="1:7" x14ac:dyDescent="0.35">
      <c r="A138">
        <v>137</v>
      </c>
      <c r="B138" t="str">
        <f>VLOOKUP(F138,'Hilfstabelle QP'!$A$2:$B$4,2,FALSE)</f>
        <v>Lastkontrolle</v>
      </c>
      <c r="C138" t="str">
        <f>VLOOKUP(G138,'Hilfstabelle QP'!$A$7:$B$11,2,FALSE)</f>
        <v>Bestanden</v>
      </c>
      <c r="F138">
        <v>3</v>
      </c>
      <c r="G138">
        <v>4</v>
      </c>
    </row>
    <row r="139" spans="1:7" x14ac:dyDescent="0.35">
      <c r="A139">
        <v>138</v>
      </c>
      <c r="B139" t="str">
        <f>VLOOKUP(F139,'Hilfstabelle QP'!$A$2:$B$4,2,FALSE)</f>
        <v>Lastkontrolle</v>
      </c>
      <c r="C139" t="str">
        <f>VLOOKUP(G139,'Hilfstabelle QP'!$A$7:$B$11,2,FALSE)</f>
        <v>Bestanden</v>
      </c>
      <c r="F139">
        <v>3</v>
      </c>
      <c r="G139">
        <v>1</v>
      </c>
    </row>
    <row r="140" spans="1:7" x14ac:dyDescent="0.35">
      <c r="A140">
        <v>139</v>
      </c>
      <c r="B140" t="str">
        <f>VLOOKUP(F140,'Hilfstabelle QP'!$A$2:$B$4,2,FALSE)</f>
        <v>Druckkontrolle</v>
      </c>
      <c r="C140" t="str">
        <f>VLOOKUP(G140,'Hilfstabelle QP'!$A$7:$B$11,2,FALSE)</f>
        <v>Bestanden</v>
      </c>
      <c r="F140">
        <v>2</v>
      </c>
      <c r="G140">
        <v>1</v>
      </c>
    </row>
    <row r="141" spans="1:7" x14ac:dyDescent="0.35">
      <c r="A141">
        <v>140</v>
      </c>
      <c r="B141" t="str">
        <f>VLOOKUP(F141,'Hilfstabelle QP'!$A$2:$B$4,2,FALSE)</f>
        <v>Sichtkontrolle</v>
      </c>
      <c r="C141" t="str">
        <f>VLOOKUP(G141,'Hilfstabelle QP'!$A$7:$B$11,2,FALSE)</f>
        <v>Durchgefallen</v>
      </c>
      <c r="F141">
        <v>1</v>
      </c>
      <c r="G141">
        <v>5</v>
      </c>
    </row>
    <row r="142" spans="1:7" x14ac:dyDescent="0.35">
      <c r="A142">
        <v>141</v>
      </c>
      <c r="B142" t="str">
        <f>VLOOKUP(F142,'Hilfstabelle QP'!$A$2:$B$4,2,FALSE)</f>
        <v>Lastkontrolle</v>
      </c>
      <c r="C142" t="str">
        <f>VLOOKUP(G142,'Hilfstabelle QP'!$A$7:$B$11,2,FALSE)</f>
        <v>Bestanden</v>
      </c>
      <c r="F142">
        <v>3</v>
      </c>
      <c r="G142">
        <v>3</v>
      </c>
    </row>
    <row r="143" spans="1:7" x14ac:dyDescent="0.35">
      <c r="A143">
        <v>142</v>
      </c>
      <c r="B143" t="str">
        <f>VLOOKUP(F143,'Hilfstabelle QP'!$A$2:$B$4,2,FALSE)</f>
        <v>Lastkontrolle</v>
      </c>
      <c r="C143" t="str">
        <f>VLOOKUP(G143,'Hilfstabelle QP'!$A$7:$B$11,2,FALSE)</f>
        <v>Bestanden</v>
      </c>
      <c r="F143">
        <v>3</v>
      </c>
      <c r="G143">
        <v>1</v>
      </c>
    </row>
    <row r="144" spans="1:7" x14ac:dyDescent="0.35">
      <c r="A144">
        <v>143</v>
      </c>
      <c r="B144" t="str">
        <f>VLOOKUP(F144,'Hilfstabelle QP'!$A$2:$B$4,2,FALSE)</f>
        <v>Sichtkontrolle</v>
      </c>
      <c r="C144" t="str">
        <f>VLOOKUP(G144,'Hilfstabelle QP'!$A$7:$B$11,2,FALSE)</f>
        <v>Bestanden</v>
      </c>
      <c r="F144">
        <v>1</v>
      </c>
      <c r="G144">
        <v>2</v>
      </c>
    </row>
    <row r="145" spans="1:7" x14ac:dyDescent="0.35">
      <c r="A145">
        <v>144</v>
      </c>
      <c r="B145" t="str">
        <f>VLOOKUP(F145,'Hilfstabelle QP'!$A$2:$B$4,2,FALSE)</f>
        <v>Druckkontrolle</v>
      </c>
      <c r="C145" t="str">
        <f>VLOOKUP(G145,'Hilfstabelle QP'!$A$7:$B$11,2,FALSE)</f>
        <v>Bestanden</v>
      </c>
      <c r="F145">
        <v>2</v>
      </c>
      <c r="G145">
        <v>1</v>
      </c>
    </row>
    <row r="146" spans="1:7" x14ac:dyDescent="0.35">
      <c r="A146">
        <v>145</v>
      </c>
      <c r="B146" t="str">
        <f>VLOOKUP(F146,'Hilfstabelle QP'!$A$2:$B$4,2,FALSE)</f>
        <v>Sichtkontrolle</v>
      </c>
      <c r="C146" t="str">
        <f>VLOOKUP(G146,'Hilfstabelle QP'!$A$7:$B$11,2,FALSE)</f>
        <v>Bestanden</v>
      </c>
      <c r="F146">
        <v>1</v>
      </c>
      <c r="G146">
        <v>4</v>
      </c>
    </row>
    <row r="147" spans="1:7" x14ac:dyDescent="0.35">
      <c r="A147">
        <v>146</v>
      </c>
      <c r="B147" t="str">
        <f>VLOOKUP(F147,'Hilfstabelle QP'!$A$2:$B$4,2,FALSE)</f>
        <v>Druckkontrolle</v>
      </c>
      <c r="C147" t="str">
        <f>VLOOKUP(G147,'Hilfstabelle QP'!$A$7:$B$11,2,FALSE)</f>
        <v>Durchgefallen</v>
      </c>
      <c r="F147">
        <v>2</v>
      </c>
      <c r="G147">
        <v>5</v>
      </c>
    </row>
    <row r="148" spans="1:7" x14ac:dyDescent="0.35">
      <c r="A148">
        <v>147</v>
      </c>
      <c r="B148" t="str">
        <f>VLOOKUP(F148,'Hilfstabelle QP'!$A$2:$B$4,2,FALSE)</f>
        <v>Sichtkontrolle</v>
      </c>
      <c r="C148" t="str">
        <f>VLOOKUP(G148,'Hilfstabelle QP'!$A$7:$B$11,2,FALSE)</f>
        <v>Bestanden</v>
      </c>
      <c r="F148">
        <v>1</v>
      </c>
      <c r="G148">
        <v>4</v>
      </c>
    </row>
    <row r="149" spans="1:7" x14ac:dyDescent="0.35">
      <c r="A149">
        <v>148</v>
      </c>
      <c r="B149" t="str">
        <f>VLOOKUP(F149,'Hilfstabelle QP'!$A$2:$B$4,2,FALSE)</f>
        <v>Druckkontrolle</v>
      </c>
      <c r="C149" t="str">
        <f>VLOOKUP(G149,'Hilfstabelle QP'!$A$7:$B$11,2,FALSE)</f>
        <v>Bestanden</v>
      </c>
      <c r="F149">
        <v>2</v>
      </c>
      <c r="G149">
        <v>4</v>
      </c>
    </row>
    <row r="150" spans="1:7" x14ac:dyDescent="0.35">
      <c r="A150">
        <v>149</v>
      </c>
      <c r="B150" t="str">
        <f>VLOOKUP(F150,'Hilfstabelle QP'!$A$2:$B$4,2,FALSE)</f>
        <v>Sichtkontrolle</v>
      </c>
      <c r="C150" t="str">
        <f>VLOOKUP(G150,'Hilfstabelle QP'!$A$7:$B$11,2,FALSE)</f>
        <v>Durchgefallen</v>
      </c>
      <c r="F150">
        <v>1</v>
      </c>
      <c r="G150">
        <v>5</v>
      </c>
    </row>
    <row r="151" spans="1:7" x14ac:dyDescent="0.35">
      <c r="A151">
        <v>150</v>
      </c>
      <c r="B151" t="str">
        <f>VLOOKUP(F151,'Hilfstabelle QP'!$A$2:$B$4,2,FALSE)</f>
        <v>Druckkontrolle</v>
      </c>
      <c r="C151" t="str">
        <f>VLOOKUP(G151,'Hilfstabelle QP'!$A$7:$B$11,2,FALSE)</f>
        <v>Bestanden</v>
      </c>
      <c r="F151">
        <v>2</v>
      </c>
      <c r="G151">
        <v>2</v>
      </c>
    </row>
    <row r="152" spans="1:7" x14ac:dyDescent="0.35">
      <c r="A152">
        <v>151</v>
      </c>
      <c r="B152" t="str">
        <f>VLOOKUP(F152,'Hilfstabelle QP'!$A$2:$B$4,2,FALSE)</f>
        <v>Lastkontrolle</v>
      </c>
      <c r="C152" t="str">
        <f>VLOOKUP(G152,'Hilfstabelle QP'!$A$7:$B$11,2,FALSE)</f>
        <v>Bestanden</v>
      </c>
      <c r="F152">
        <v>3</v>
      </c>
      <c r="G152">
        <v>1</v>
      </c>
    </row>
    <row r="153" spans="1:7" x14ac:dyDescent="0.35">
      <c r="A153">
        <v>152</v>
      </c>
      <c r="B153" t="str">
        <f>VLOOKUP(F153,'Hilfstabelle QP'!$A$2:$B$4,2,FALSE)</f>
        <v>Sichtkontrolle</v>
      </c>
      <c r="C153" t="str">
        <f>VLOOKUP(G153,'Hilfstabelle QP'!$A$7:$B$11,2,FALSE)</f>
        <v>Bestanden</v>
      </c>
      <c r="F153">
        <v>1</v>
      </c>
      <c r="G153">
        <v>4</v>
      </c>
    </row>
    <row r="154" spans="1:7" x14ac:dyDescent="0.35">
      <c r="A154">
        <v>153</v>
      </c>
      <c r="B154" t="str">
        <f>VLOOKUP(F154,'Hilfstabelle QP'!$A$2:$B$4,2,FALSE)</f>
        <v>Druckkontrolle</v>
      </c>
      <c r="C154" t="str">
        <f>VLOOKUP(G154,'Hilfstabelle QP'!$A$7:$B$11,2,FALSE)</f>
        <v>Bestanden</v>
      </c>
      <c r="F154">
        <v>2</v>
      </c>
      <c r="G154">
        <v>2</v>
      </c>
    </row>
    <row r="155" spans="1:7" x14ac:dyDescent="0.35">
      <c r="A155">
        <v>154</v>
      </c>
      <c r="B155" t="str">
        <f>VLOOKUP(F155,'Hilfstabelle QP'!$A$2:$B$4,2,FALSE)</f>
        <v>Druckkontrolle</v>
      </c>
      <c r="C155" t="str">
        <f>VLOOKUP(G155,'Hilfstabelle QP'!$A$7:$B$11,2,FALSE)</f>
        <v>Bestanden</v>
      </c>
      <c r="F155">
        <v>2</v>
      </c>
      <c r="G155">
        <v>4</v>
      </c>
    </row>
    <row r="156" spans="1:7" x14ac:dyDescent="0.35">
      <c r="A156">
        <v>155</v>
      </c>
      <c r="B156" t="str">
        <f>VLOOKUP(F156,'Hilfstabelle QP'!$A$2:$B$4,2,FALSE)</f>
        <v>Sichtkontrolle</v>
      </c>
      <c r="C156" t="str">
        <f>VLOOKUP(G156,'Hilfstabelle QP'!$A$7:$B$11,2,FALSE)</f>
        <v>Bestanden</v>
      </c>
      <c r="F156">
        <v>1</v>
      </c>
      <c r="G156">
        <v>1</v>
      </c>
    </row>
    <row r="157" spans="1:7" x14ac:dyDescent="0.35">
      <c r="A157">
        <v>156</v>
      </c>
      <c r="B157" t="str">
        <f>VLOOKUP(F157,'Hilfstabelle QP'!$A$2:$B$4,2,FALSE)</f>
        <v>Lastkontrolle</v>
      </c>
      <c r="C157" t="str">
        <f>VLOOKUP(G157,'Hilfstabelle QP'!$A$7:$B$11,2,FALSE)</f>
        <v>Bestanden</v>
      </c>
      <c r="F157">
        <v>3</v>
      </c>
      <c r="G157">
        <v>1</v>
      </c>
    </row>
    <row r="158" spans="1:7" x14ac:dyDescent="0.35">
      <c r="A158">
        <v>157</v>
      </c>
      <c r="B158" t="str">
        <f>VLOOKUP(F158,'Hilfstabelle QP'!$A$2:$B$4,2,FALSE)</f>
        <v>Sichtkontrolle</v>
      </c>
      <c r="C158" t="str">
        <f>VLOOKUP(G158,'Hilfstabelle QP'!$A$7:$B$11,2,FALSE)</f>
        <v>Bestanden</v>
      </c>
      <c r="F158">
        <v>1</v>
      </c>
      <c r="G158">
        <v>2</v>
      </c>
    </row>
    <row r="159" spans="1:7" x14ac:dyDescent="0.35">
      <c r="A159">
        <v>158</v>
      </c>
      <c r="B159" t="str">
        <f>VLOOKUP(F159,'Hilfstabelle QP'!$A$2:$B$4,2,FALSE)</f>
        <v>Druckkontrolle</v>
      </c>
      <c r="C159" t="str">
        <f>VLOOKUP(G159,'Hilfstabelle QP'!$A$7:$B$11,2,FALSE)</f>
        <v>Bestanden</v>
      </c>
      <c r="F159">
        <v>2</v>
      </c>
      <c r="G159">
        <v>4</v>
      </c>
    </row>
    <row r="160" spans="1:7" x14ac:dyDescent="0.35">
      <c r="A160">
        <v>159</v>
      </c>
      <c r="B160" t="str">
        <f>VLOOKUP(F160,'Hilfstabelle QP'!$A$2:$B$4,2,FALSE)</f>
        <v>Sichtkontrolle</v>
      </c>
      <c r="C160" t="str">
        <f>VLOOKUP(G160,'Hilfstabelle QP'!$A$7:$B$11,2,FALSE)</f>
        <v>Durchgefallen</v>
      </c>
      <c r="F160">
        <v>1</v>
      </c>
      <c r="G160">
        <v>5</v>
      </c>
    </row>
    <row r="161" spans="1:7" x14ac:dyDescent="0.35">
      <c r="A161">
        <v>160</v>
      </c>
      <c r="B161" t="str">
        <f>VLOOKUP(F161,'Hilfstabelle QP'!$A$2:$B$4,2,FALSE)</f>
        <v>Lastkontrolle</v>
      </c>
      <c r="C161" t="str">
        <f>VLOOKUP(G161,'Hilfstabelle QP'!$A$7:$B$11,2,FALSE)</f>
        <v>Durchgefallen</v>
      </c>
      <c r="F161">
        <v>3</v>
      </c>
      <c r="G161">
        <v>5</v>
      </c>
    </row>
    <row r="162" spans="1:7" x14ac:dyDescent="0.35">
      <c r="A162">
        <v>161</v>
      </c>
      <c r="B162" t="str">
        <f>VLOOKUP(F162,'Hilfstabelle QP'!$A$2:$B$4,2,FALSE)</f>
        <v>Lastkontrolle</v>
      </c>
      <c r="C162" t="str">
        <f>VLOOKUP(G162,'Hilfstabelle QP'!$A$7:$B$11,2,FALSE)</f>
        <v>Bestanden</v>
      </c>
      <c r="F162">
        <v>3</v>
      </c>
      <c r="G162">
        <v>4</v>
      </c>
    </row>
    <row r="163" spans="1:7" x14ac:dyDescent="0.35">
      <c r="A163">
        <v>162</v>
      </c>
      <c r="B163" t="str">
        <f>VLOOKUP(F163,'Hilfstabelle QP'!$A$2:$B$4,2,FALSE)</f>
        <v>Druckkontrolle</v>
      </c>
      <c r="C163" t="str">
        <f>VLOOKUP(G163,'Hilfstabelle QP'!$A$7:$B$11,2,FALSE)</f>
        <v>Bestanden</v>
      </c>
      <c r="F163">
        <v>2</v>
      </c>
      <c r="G163">
        <v>3</v>
      </c>
    </row>
    <row r="164" spans="1:7" x14ac:dyDescent="0.35">
      <c r="A164">
        <v>163</v>
      </c>
      <c r="B164" t="str">
        <f>VLOOKUP(F164,'Hilfstabelle QP'!$A$2:$B$4,2,FALSE)</f>
        <v>Lastkontrolle</v>
      </c>
      <c r="C164" t="str">
        <f>VLOOKUP(G164,'Hilfstabelle QP'!$A$7:$B$11,2,FALSE)</f>
        <v>Bestanden</v>
      </c>
      <c r="F164">
        <v>3</v>
      </c>
      <c r="G164">
        <v>2</v>
      </c>
    </row>
    <row r="165" spans="1:7" x14ac:dyDescent="0.35">
      <c r="A165">
        <v>164</v>
      </c>
      <c r="B165" t="str">
        <f>VLOOKUP(F165,'Hilfstabelle QP'!$A$2:$B$4,2,FALSE)</f>
        <v>Druckkontrolle</v>
      </c>
      <c r="C165" t="str">
        <f>VLOOKUP(G165,'Hilfstabelle QP'!$A$7:$B$11,2,FALSE)</f>
        <v>Bestanden</v>
      </c>
      <c r="F165">
        <v>2</v>
      </c>
      <c r="G165">
        <v>3</v>
      </c>
    </row>
    <row r="166" spans="1:7" x14ac:dyDescent="0.35">
      <c r="A166">
        <v>165</v>
      </c>
      <c r="B166" t="str">
        <f>VLOOKUP(F166,'Hilfstabelle QP'!$A$2:$B$4,2,FALSE)</f>
        <v>Druckkontrolle</v>
      </c>
      <c r="C166" t="str">
        <f>VLOOKUP(G166,'Hilfstabelle QP'!$A$7:$B$11,2,FALSE)</f>
        <v>Bestanden</v>
      </c>
      <c r="F166">
        <v>2</v>
      </c>
      <c r="G166">
        <v>3</v>
      </c>
    </row>
    <row r="167" spans="1:7" x14ac:dyDescent="0.35">
      <c r="A167">
        <v>166</v>
      </c>
      <c r="B167" t="str">
        <f>VLOOKUP(F167,'Hilfstabelle QP'!$A$2:$B$4,2,FALSE)</f>
        <v>Sichtkontrolle</v>
      </c>
      <c r="C167" t="str">
        <f>VLOOKUP(G167,'Hilfstabelle QP'!$A$7:$B$11,2,FALSE)</f>
        <v>Durchgefallen</v>
      </c>
      <c r="F167">
        <v>1</v>
      </c>
      <c r="G167">
        <v>5</v>
      </c>
    </row>
    <row r="168" spans="1:7" x14ac:dyDescent="0.35">
      <c r="A168">
        <v>167</v>
      </c>
      <c r="B168" t="str">
        <f>VLOOKUP(F168,'Hilfstabelle QP'!$A$2:$B$4,2,FALSE)</f>
        <v>Druckkontrolle</v>
      </c>
      <c r="C168" t="str">
        <f>VLOOKUP(G168,'Hilfstabelle QP'!$A$7:$B$11,2,FALSE)</f>
        <v>Bestanden</v>
      </c>
      <c r="F168">
        <v>2</v>
      </c>
      <c r="G168">
        <v>4</v>
      </c>
    </row>
    <row r="169" spans="1:7" x14ac:dyDescent="0.35">
      <c r="A169">
        <v>168</v>
      </c>
      <c r="B169" t="str">
        <f>VLOOKUP(F169,'Hilfstabelle QP'!$A$2:$B$4,2,FALSE)</f>
        <v>Sichtkontrolle</v>
      </c>
      <c r="C169" t="str">
        <f>VLOOKUP(G169,'Hilfstabelle QP'!$A$7:$B$11,2,FALSE)</f>
        <v>Durchgefallen</v>
      </c>
      <c r="F169">
        <v>1</v>
      </c>
      <c r="G169">
        <v>5</v>
      </c>
    </row>
    <row r="170" spans="1:7" x14ac:dyDescent="0.35">
      <c r="A170">
        <v>169</v>
      </c>
      <c r="B170" t="str">
        <f>VLOOKUP(F170,'Hilfstabelle QP'!$A$2:$B$4,2,FALSE)</f>
        <v>Lastkontrolle</v>
      </c>
      <c r="C170" t="str">
        <f>VLOOKUP(G170,'Hilfstabelle QP'!$A$7:$B$11,2,FALSE)</f>
        <v>Bestanden</v>
      </c>
      <c r="F170">
        <v>3</v>
      </c>
      <c r="G170">
        <v>3</v>
      </c>
    </row>
    <row r="171" spans="1:7" x14ac:dyDescent="0.35">
      <c r="A171">
        <v>170</v>
      </c>
      <c r="B171" t="str">
        <f>VLOOKUP(F171,'Hilfstabelle QP'!$A$2:$B$4,2,FALSE)</f>
        <v>Sichtkontrolle</v>
      </c>
      <c r="C171" t="str">
        <f>VLOOKUP(G171,'Hilfstabelle QP'!$A$7:$B$11,2,FALSE)</f>
        <v>Bestanden</v>
      </c>
      <c r="F171">
        <v>1</v>
      </c>
      <c r="G171">
        <v>3</v>
      </c>
    </row>
    <row r="172" spans="1:7" x14ac:dyDescent="0.35">
      <c r="A172">
        <v>171</v>
      </c>
      <c r="B172" t="str">
        <f>VLOOKUP(F172,'Hilfstabelle QP'!$A$2:$B$4,2,FALSE)</f>
        <v>Druckkontrolle</v>
      </c>
      <c r="C172" t="str">
        <f>VLOOKUP(G172,'Hilfstabelle QP'!$A$7:$B$11,2,FALSE)</f>
        <v>Bestanden</v>
      </c>
      <c r="F172">
        <v>2</v>
      </c>
      <c r="G172">
        <v>3</v>
      </c>
    </row>
    <row r="173" spans="1:7" x14ac:dyDescent="0.35">
      <c r="A173">
        <v>172</v>
      </c>
      <c r="B173" t="str">
        <f>VLOOKUP(F173,'Hilfstabelle QP'!$A$2:$B$4,2,FALSE)</f>
        <v>Sichtkontrolle</v>
      </c>
      <c r="C173" t="str">
        <f>VLOOKUP(G173,'Hilfstabelle QP'!$A$7:$B$11,2,FALSE)</f>
        <v>Bestanden</v>
      </c>
      <c r="F173">
        <v>1</v>
      </c>
      <c r="G173">
        <v>1</v>
      </c>
    </row>
    <row r="174" spans="1:7" x14ac:dyDescent="0.35">
      <c r="A174">
        <v>173</v>
      </c>
      <c r="B174" t="str">
        <f>VLOOKUP(F174,'Hilfstabelle QP'!$A$2:$B$4,2,FALSE)</f>
        <v>Sichtkontrolle</v>
      </c>
      <c r="C174" t="str">
        <f>VLOOKUP(G174,'Hilfstabelle QP'!$A$7:$B$11,2,FALSE)</f>
        <v>Bestanden</v>
      </c>
      <c r="F174">
        <v>1</v>
      </c>
      <c r="G174">
        <v>3</v>
      </c>
    </row>
    <row r="175" spans="1:7" x14ac:dyDescent="0.35">
      <c r="A175">
        <v>174</v>
      </c>
      <c r="B175" t="str">
        <f>VLOOKUP(F175,'Hilfstabelle QP'!$A$2:$B$4,2,FALSE)</f>
        <v>Druckkontrolle</v>
      </c>
      <c r="C175" t="str">
        <f>VLOOKUP(G175,'Hilfstabelle QP'!$A$7:$B$11,2,FALSE)</f>
        <v>Durchgefallen</v>
      </c>
      <c r="F175">
        <v>2</v>
      </c>
      <c r="G175">
        <v>5</v>
      </c>
    </row>
    <row r="176" spans="1:7" x14ac:dyDescent="0.35">
      <c r="A176">
        <v>175</v>
      </c>
      <c r="B176" t="str">
        <f>VLOOKUP(F176,'Hilfstabelle QP'!$A$2:$B$4,2,FALSE)</f>
        <v>Druckkontrolle</v>
      </c>
      <c r="C176" t="str">
        <f>VLOOKUP(G176,'Hilfstabelle QP'!$A$7:$B$11,2,FALSE)</f>
        <v>Bestanden</v>
      </c>
      <c r="F176">
        <v>2</v>
      </c>
      <c r="G176">
        <v>2</v>
      </c>
    </row>
    <row r="177" spans="1:7" x14ac:dyDescent="0.35">
      <c r="A177">
        <v>176</v>
      </c>
      <c r="B177" t="str">
        <f>VLOOKUP(F177,'Hilfstabelle QP'!$A$2:$B$4,2,FALSE)</f>
        <v>Druckkontrolle</v>
      </c>
      <c r="C177" t="str">
        <f>VLOOKUP(G177,'Hilfstabelle QP'!$A$7:$B$11,2,FALSE)</f>
        <v>Durchgefallen</v>
      </c>
      <c r="F177">
        <v>2</v>
      </c>
      <c r="G177">
        <v>5</v>
      </c>
    </row>
    <row r="178" spans="1:7" x14ac:dyDescent="0.35">
      <c r="A178">
        <v>177</v>
      </c>
      <c r="B178" t="str">
        <f>VLOOKUP(F178,'Hilfstabelle QP'!$A$2:$B$4,2,FALSE)</f>
        <v>Druckkontrolle</v>
      </c>
      <c r="C178" t="str">
        <f>VLOOKUP(G178,'Hilfstabelle QP'!$A$7:$B$11,2,FALSE)</f>
        <v>Bestanden</v>
      </c>
      <c r="F178">
        <v>2</v>
      </c>
      <c r="G178">
        <v>4</v>
      </c>
    </row>
    <row r="179" spans="1:7" x14ac:dyDescent="0.35">
      <c r="A179">
        <v>178</v>
      </c>
      <c r="B179" t="str">
        <f>VLOOKUP(F179,'Hilfstabelle QP'!$A$2:$B$4,2,FALSE)</f>
        <v>Druckkontrolle</v>
      </c>
      <c r="C179" t="str">
        <f>VLOOKUP(G179,'Hilfstabelle QP'!$A$7:$B$11,2,FALSE)</f>
        <v>Durchgefallen</v>
      </c>
      <c r="F179">
        <v>2</v>
      </c>
      <c r="G179">
        <v>5</v>
      </c>
    </row>
    <row r="180" spans="1:7" x14ac:dyDescent="0.35">
      <c r="A180">
        <v>179</v>
      </c>
      <c r="B180" t="str">
        <f>VLOOKUP(F180,'Hilfstabelle QP'!$A$2:$B$4,2,FALSE)</f>
        <v>Lastkontrolle</v>
      </c>
      <c r="C180" t="str">
        <f>VLOOKUP(G180,'Hilfstabelle QP'!$A$7:$B$11,2,FALSE)</f>
        <v>Durchgefallen</v>
      </c>
      <c r="F180">
        <v>3</v>
      </c>
      <c r="G180">
        <v>5</v>
      </c>
    </row>
    <row r="181" spans="1:7" x14ac:dyDescent="0.35">
      <c r="A181">
        <v>180</v>
      </c>
      <c r="B181" t="str">
        <f>VLOOKUP(F181,'Hilfstabelle QP'!$A$2:$B$4,2,FALSE)</f>
        <v>Sichtkontrolle</v>
      </c>
      <c r="C181" t="str">
        <f>VLOOKUP(G181,'Hilfstabelle QP'!$A$7:$B$11,2,FALSE)</f>
        <v>Bestanden</v>
      </c>
      <c r="F181">
        <v>1</v>
      </c>
      <c r="G181">
        <v>3</v>
      </c>
    </row>
    <row r="182" spans="1:7" x14ac:dyDescent="0.35">
      <c r="A182">
        <v>181</v>
      </c>
      <c r="B182" t="str">
        <f>VLOOKUP(F182,'Hilfstabelle QP'!$A$2:$B$4,2,FALSE)</f>
        <v>Lastkontrolle</v>
      </c>
      <c r="C182" t="str">
        <f>VLOOKUP(G182,'Hilfstabelle QP'!$A$7:$B$11,2,FALSE)</f>
        <v>Bestanden</v>
      </c>
      <c r="F182">
        <v>3</v>
      </c>
      <c r="G182">
        <v>4</v>
      </c>
    </row>
    <row r="183" spans="1:7" x14ac:dyDescent="0.35">
      <c r="A183">
        <v>182</v>
      </c>
      <c r="B183" t="str">
        <f>VLOOKUP(F183,'Hilfstabelle QP'!$A$2:$B$4,2,FALSE)</f>
        <v>Lastkontrolle</v>
      </c>
      <c r="C183" t="str">
        <f>VLOOKUP(G183,'Hilfstabelle QP'!$A$7:$B$11,2,FALSE)</f>
        <v>Bestanden</v>
      </c>
      <c r="F183">
        <v>3</v>
      </c>
      <c r="G183">
        <v>2</v>
      </c>
    </row>
    <row r="184" spans="1:7" x14ac:dyDescent="0.35">
      <c r="A184">
        <v>183</v>
      </c>
      <c r="B184" t="str">
        <f>VLOOKUP(F184,'Hilfstabelle QP'!$A$2:$B$4,2,FALSE)</f>
        <v>Lastkontrolle</v>
      </c>
      <c r="C184" t="str">
        <f>VLOOKUP(G184,'Hilfstabelle QP'!$A$7:$B$11,2,FALSE)</f>
        <v>Bestanden</v>
      </c>
      <c r="F184">
        <v>3</v>
      </c>
      <c r="G184">
        <v>4</v>
      </c>
    </row>
    <row r="185" spans="1:7" x14ac:dyDescent="0.35">
      <c r="A185">
        <v>184</v>
      </c>
      <c r="B185" t="str">
        <f>VLOOKUP(F185,'Hilfstabelle QP'!$A$2:$B$4,2,FALSE)</f>
        <v>Lastkontrolle</v>
      </c>
      <c r="C185" t="str">
        <f>VLOOKUP(G185,'Hilfstabelle QP'!$A$7:$B$11,2,FALSE)</f>
        <v>Bestanden</v>
      </c>
      <c r="F185">
        <v>3</v>
      </c>
      <c r="G185">
        <v>4</v>
      </c>
    </row>
    <row r="186" spans="1:7" x14ac:dyDescent="0.35">
      <c r="A186">
        <v>185</v>
      </c>
      <c r="B186" t="str">
        <f>VLOOKUP(F186,'Hilfstabelle QP'!$A$2:$B$4,2,FALSE)</f>
        <v>Lastkontrolle</v>
      </c>
      <c r="C186" t="str">
        <f>VLOOKUP(G186,'Hilfstabelle QP'!$A$7:$B$11,2,FALSE)</f>
        <v>Durchgefallen</v>
      </c>
      <c r="F186">
        <v>3</v>
      </c>
      <c r="G186">
        <v>5</v>
      </c>
    </row>
    <row r="187" spans="1:7" x14ac:dyDescent="0.35">
      <c r="A187">
        <v>186</v>
      </c>
      <c r="B187" t="str">
        <f>VLOOKUP(F187,'Hilfstabelle QP'!$A$2:$B$4,2,FALSE)</f>
        <v>Sichtkontrolle</v>
      </c>
      <c r="C187" t="str">
        <f>VLOOKUP(G187,'Hilfstabelle QP'!$A$7:$B$11,2,FALSE)</f>
        <v>Bestanden</v>
      </c>
      <c r="F187">
        <v>1</v>
      </c>
      <c r="G187">
        <v>3</v>
      </c>
    </row>
    <row r="188" spans="1:7" x14ac:dyDescent="0.35">
      <c r="A188">
        <v>187</v>
      </c>
      <c r="B188" t="str">
        <f>VLOOKUP(F188,'Hilfstabelle QP'!$A$2:$B$4,2,FALSE)</f>
        <v>Sichtkontrolle</v>
      </c>
      <c r="C188" t="str">
        <f>VLOOKUP(G188,'Hilfstabelle QP'!$A$7:$B$11,2,FALSE)</f>
        <v>Bestanden</v>
      </c>
      <c r="F188">
        <v>1</v>
      </c>
      <c r="G188">
        <v>2</v>
      </c>
    </row>
    <row r="189" spans="1:7" x14ac:dyDescent="0.35">
      <c r="A189">
        <v>188</v>
      </c>
      <c r="B189" t="str">
        <f>VLOOKUP(F189,'Hilfstabelle QP'!$A$2:$B$4,2,FALSE)</f>
        <v>Druckkontrolle</v>
      </c>
      <c r="C189" t="str">
        <f>VLOOKUP(G189,'Hilfstabelle QP'!$A$7:$B$11,2,FALSE)</f>
        <v>Bestanden</v>
      </c>
      <c r="F189">
        <v>2</v>
      </c>
      <c r="G189">
        <v>4</v>
      </c>
    </row>
    <row r="190" spans="1:7" x14ac:dyDescent="0.35">
      <c r="A190">
        <v>189</v>
      </c>
      <c r="B190" t="str">
        <f>VLOOKUP(F190,'Hilfstabelle QP'!$A$2:$B$4,2,FALSE)</f>
        <v>Druckkontrolle</v>
      </c>
      <c r="C190" t="str">
        <f>VLOOKUP(G190,'Hilfstabelle QP'!$A$7:$B$11,2,FALSE)</f>
        <v>Bestanden</v>
      </c>
      <c r="F190">
        <v>2</v>
      </c>
      <c r="G190">
        <v>4</v>
      </c>
    </row>
    <row r="191" spans="1:7" x14ac:dyDescent="0.35">
      <c r="A191">
        <v>190</v>
      </c>
      <c r="B191" t="str">
        <f>VLOOKUP(F191,'Hilfstabelle QP'!$A$2:$B$4,2,FALSE)</f>
        <v>Lastkontrolle</v>
      </c>
      <c r="C191" t="str">
        <f>VLOOKUP(G191,'Hilfstabelle QP'!$A$7:$B$11,2,FALSE)</f>
        <v>Durchgefallen</v>
      </c>
      <c r="F191">
        <v>3</v>
      </c>
      <c r="G191">
        <v>5</v>
      </c>
    </row>
    <row r="192" spans="1:7" x14ac:dyDescent="0.35">
      <c r="A192">
        <v>191</v>
      </c>
      <c r="B192" t="str">
        <f>VLOOKUP(F192,'Hilfstabelle QP'!$A$2:$B$4,2,FALSE)</f>
        <v>Lastkontrolle</v>
      </c>
      <c r="C192" t="str">
        <f>VLOOKUP(G192,'Hilfstabelle QP'!$A$7:$B$11,2,FALSE)</f>
        <v>Bestanden</v>
      </c>
      <c r="F192">
        <v>3</v>
      </c>
      <c r="G192">
        <v>2</v>
      </c>
    </row>
    <row r="193" spans="1:7" x14ac:dyDescent="0.35">
      <c r="A193">
        <v>192</v>
      </c>
      <c r="B193" t="str">
        <f>VLOOKUP(F193,'Hilfstabelle QP'!$A$2:$B$4,2,FALSE)</f>
        <v>Druckkontrolle</v>
      </c>
      <c r="C193" t="str">
        <f>VLOOKUP(G193,'Hilfstabelle QP'!$A$7:$B$11,2,FALSE)</f>
        <v>Durchgefallen</v>
      </c>
      <c r="F193">
        <v>2</v>
      </c>
      <c r="G193">
        <v>5</v>
      </c>
    </row>
    <row r="194" spans="1:7" x14ac:dyDescent="0.35">
      <c r="A194">
        <v>193</v>
      </c>
      <c r="B194" t="str">
        <f>VLOOKUP(F194,'Hilfstabelle QP'!$A$2:$B$4,2,FALSE)</f>
        <v>Druckkontrolle</v>
      </c>
      <c r="C194" t="str">
        <f>VLOOKUP(G194,'Hilfstabelle QP'!$A$7:$B$11,2,FALSE)</f>
        <v>Durchgefallen</v>
      </c>
      <c r="F194">
        <v>2</v>
      </c>
      <c r="G194">
        <v>5</v>
      </c>
    </row>
    <row r="195" spans="1:7" x14ac:dyDescent="0.35">
      <c r="A195">
        <v>194</v>
      </c>
      <c r="B195" t="str">
        <f>VLOOKUP(F195,'Hilfstabelle QP'!$A$2:$B$4,2,FALSE)</f>
        <v>Sichtkontrolle</v>
      </c>
      <c r="C195" t="str">
        <f>VLOOKUP(G195,'Hilfstabelle QP'!$A$7:$B$11,2,FALSE)</f>
        <v>Bestanden</v>
      </c>
      <c r="F195">
        <v>1</v>
      </c>
      <c r="G195">
        <v>2</v>
      </c>
    </row>
    <row r="196" spans="1:7" x14ac:dyDescent="0.35">
      <c r="A196">
        <v>195</v>
      </c>
      <c r="B196" t="str">
        <f>VLOOKUP(F196,'Hilfstabelle QP'!$A$2:$B$4,2,FALSE)</f>
        <v>Lastkontrolle</v>
      </c>
      <c r="C196" t="str">
        <f>VLOOKUP(G196,'Hilfstabelle QP'!$A$7:$B$11,2,FALSE)</f>
        <v>Bestanden</v>
      </c>
      <c r="F196">
        <v>3</v>
      </c>
      <c r="G196">
        <v>3</v>
      </c>
    </row>
    <row r="197" spans="1:7" x14ac:dyDescent="0.35">
      <c r="A197">
        <v>196</v>
      </c>
      <c r="B197" t="str">
        <f>VLOOKUP(F197,'Hilfstabelle QP'!$A$2:$B$4,2,FALSE)</f>
        <v>Sichtkontrolle</v>
      </c>
      <c r="C197" t="str">
        <f>VLOOKUP(G197,'Hilfstabelle QP'!$A$7:$B$11,2,FALSE)</f>
        <v>Durchgefallen</v>
      </c>
      <c r="F197">
        <v>1</v>
      </c>
      <c r="G197">
        <v>5</v>
      </c>
    </row>
    <row r="198" spans="1:7" x14ac:dyDescent="0.35">
      <c r="A198">
        <v>197</v>
      </c>
      <c r="B198" t="str">
        <f>VLOOKUP(F198,'Hilfstabelle QP'!$A$2:$B$4,2,FALSE)</f>
        <v>Sichtkontrolle</v>
      </c>
      <c r="C198" t="str">
        <f>VLOOKUP(G198,'Hilfstabelle QP'!$A$7:$B$11,2,FALSE)</f>
        <v>Bestanden</v>
      </c>
      <c r="F198">
        <v>1</v>
      </c>
      <c r="G198">
        <v>4</v>
      </c>
    </row>
    <row r="199" spans="1:7" x14ac:dyDescent="0.35">
      <c r="A199">
        <v>198</v>
      </c>
      <c r="B199" t="str">
        <f>VLOOKUP(F199,'Hilfstabelle QP'!$A$2:$B$4,2,FALSE)</f>
        <v>Druckkontrolle</v>
      </c>
      <c r="C199" t="str">
        <f>VLOOKUP(G199,'Hilfstabelle QP'!$A$7:$B$11,2,FALSE)</f>
        <v>Bestanden</v>
      </c>
      <c r="F199">
        <v>2</v>
      </c>
      <c r="G199">
        <v>1</v>
      </c>
    </row>
    <row r="200" spans="1:7" x14ac:dyDescent="0.35">
      <c r="A200">
        <v>199</v>
      </c>
      <c r="B200" t="str">
        <f>VLOOKUP(F200,'Hilfstabelle QP'!$A$2:$B$4,2,FALSE)</f>
        <v>Sichtkontrolle</v>
      </c>
      <c r="C200" t="str">
        <f>VLOOKUP(G200,'Hilfstabelle QP'!$A$7:$B$11,2,FALSE)</f>
        <v>Bestanden</v>
      </c>
      <c r="F200">
        <v>1</v>
      </c>
      <c r="G200">
        <v>3</v>
      </c>
    </row>
    <row r="201" spans="1:7" x14ac:dyDescent="0.35">
      <c r="A201">
        <v>200</v>
      </c>
      <c r="B201" t="str">
        <f>VLOOKUP(F201,'Hilfstabelle QP'!$A$2:$B$4,2,FALSE)</f>
        <v>Sichtkontrolle</v>
      </c>
      <c r="C201" t="str">
        <f>VLOOKUP(G201,'Hilfstabelle QP'!$A$7:$B$11,2,FALSE)</f>
        <v>Bestanden</v>
      </c>
      <c r="F201">
        <v>1</v>
      </c>
      <c r="G201">
        <v>2</v>
      </c>
    </row>
    <row r="202" spans="1:7" x14ac:dyDescent="0.35">
      <c r="A202">
        <v>201</v>
      </c>
      <c r="B202" t="str">
        <f>VLOOKUP(F202,'Hilfstabelle QP'!$A$2:$B$4,2,FALSE)</f>
        <v>Sichtkontrolle</v>
      </c>
      <c r="C202" t="str">
        <f>VLOOKUP(G202,'Hilfstabelle QP'!$A$7:$B$11,2,FALSE)</f>
        <v>Bestanden</v>
      </c>
      <c r="F202">
        <v>1</v>
      </c>
      <c r="G202">
        <v>2</v>
      </c>
    </row>
    <row r="203" spans="1:7" x14ac:dyDescent="0.35">
      <c r="A203">
        <v>202</v>
      </c>
      <c r="B203" t="str">
        <f>VLOOKUP(F203,'Hilfstabelle QP'!$A$2:$B$4,2,FALSE)</f>
        <v>Druckkontrolle</v>
      </c>
      <c r="C203" t="str">
        <f>VLOOKUP(G203,'Hilfstabelle QP'!$A$7:$B$11,2,FALSE)</f>
        <v>Bestanden</v>
      </c>
      <c r="F203">
        <v>2</v>
      </c>
      <c r="G203">
        <v>3</v>
      </c>
    </row>
    <row r="204" spans="1:7" x14ac:dyDescent="0.35">
      <c r="A204">
        <v>203</v>
      </c>
      <c r="B204" t="str">
        <f>VLOOKUP(F204,'Hilfstabelle QP'!$A$2:$B$4,2,FALSE)</f>
        <v>Sichtkontrolle</v>
      </c>
      <c r="C204" t="str">
        <f>VLOOKUP(G204,'Hilfstabelle QP'!$A$7:$B$11,2,FALSE)</f>
        <v>Bestanden</v>
      </c>
      <c r="F204">
        <v>1</v>
      </c>
      <c r="G204">
        <v>2</v>
      </c>
    </row>
    <row r="205" spans="1:7" x14ac:dyDescent="0.35">
      <c r="A205">
        <v>204</v>
      </c>
      <c r="B205" t="str">
        <f>VLOOKUP(F205,'Hilfstabelle QP'!$A$2:$B$4,2,FALSE)</f>
        <v>Druckkontrolle</v>
      </c>
      <c r="C205" t="str">
        <f>VLOOKUP(G205,'Hilfstabelle QP'!$A$7:$B$11,2,FALSE)</f>
        <v>Bestanden</v>
      </c>
      <c r="F205">
        <v>2</v>
      </c>
      <c r="G205">
        <v>2</v>
      </c>
    </row>
    <row r="206" spans="1:7" x14ac:dyDescent="0.35">
      <c r="A206">
        <v>205</v>
      </c>
      <c r="B206" t="str">
        <f>VLOOKUP(F206,'Hilfstabelle QP'!$A$2:$B$4,2,FALSE)</f>
        <v>Sichtkontrolle</v>
      </c>
      <c r="C206" t="str">
        <f>VLOOKUP(G206,'Hilfstabelle QP'!$A$7:$B$11,2,FALSE)</f>
        <v>Bestanden</v>
      </c>
      <c r="F206">
        <v>1</v>
      </c>
      <c r="G206">
        <v>3</v>
      </c>
    </row>
    <row r="207" spans="1:7" x14ac:dyDescent="0.35">
      <c r="A207">
        <v>206</v>
      </c>
      <c r="B207" t="str">
        <f>VLOOKUP(F207,'Hilfstabelle QP'!$A$2:$B$4,2,FALSE)</f>
        <v>Lastkontrolle</v>
      </c>
      <c r="C207" t="str">
        <f>VLOOKUP(G207,'Hilfstabelle QP'!$A$7:$B$11,2,FALSE)</f>
        <v>Bestanden</v>
      </c>
      <c r="F207">
        <v>3</v>
      </c>
      <c r="G207">
        <v>3</v>
      </c>
    </row>
    <row r="208" spans="1:7" x14ac:dyDescent="0.35">
      <c r="A208">
        <v>207</v>
      </c>
      <c r="B208" t="str">
        <f>VLOOKUP(F208,'Hilfstabelle QP'!$A$2:$B$4,2,FALSE)</f>
        <v>Druckkontrolle</v>
      </c>
      <c r="C208" t="str">
        <f>VLOOKUP(G208,'Hilfstabelle QP'!$A$7:$B$11,2,FALSE)</f>
        <v>Durchgefallen</v>
      </c>
      <c r="F208">
        <v>2</v>
      </c>
      <c r="G208">
        <v>5</v>
      </c>
    </row>
    <row r="209" spans="1:7" x14ac:dyDescent="0.35">
      <c r="A209">
        <v>208</v>
      </c>
      <c r="B209" t="str">
        <f>VLOOKUP(F209,'Hilfstabelle QP'!$A$2:$B$4,2,FALSE)</f>
        <v>Lastkontrolle</v>
      </c>
      <c r="C209" t="str">
        <f>VLOOKUP(G209,'Hilfstabelle QP'!$A$7:$B$11,2,FALSE)</f>
        <v>Bestanden</v>
      </c>
      <c r="F209">
        <v>3</v>
      </c>
      <c r="G209">
        <v>4</v>
      </c>
    </row>
    <row r="210" spans="1:7" x14ac:dyDescent="0.35">
      <c r="A210">
        <v>209</v>
      </c>
      <c r="B210" t="str">
        <f>VLOOKUP(F210,'Hilfstabelle QP'!$A$2:$B$4,2,FALSE)</f>
        <v>Lastkontrolle</v>
      </c>
      <c r="C210" t="str">
        <f>VLOOKUP(G210,'Hilfstabelle QP'!$A$7:$B$11,2,FALSE)</f>
        <v>Bestanden</v>
      </c>
      <c r="F210">
        <v>3</v>
      </c>
      <c r="G210">
        <v>2</v>
      </c>
    </row>
    <row r="211" spans="1:7" x14ac:dyDescent="0.35">
      <c r="A211">
        <v>210</v>
      </c>
      <c r="B211" t="str">
        <f>VLOOKUP(F211,'Hilfstabelle QP'!$A$2:$B$4,2,FALSE)</f>
        <v>Lastkontrolle</v>
      </c>
      <c r="C211" t="str">
        <f>VLOOKUP(G211,'Hilfstabelle QP'!$A$7:$B$11,2,FALSE)</f>
        <v>Bestanden</v>
      </c>
      <c r="F211">
        <v>3</v>
      </c>
      <c r="G211">
        <v>1</v>
      </c>
    </row>
    <row r="212" spans="1:7" x14ac:dyDescent="0.35">
      <c r="A212">
        <v>211</v>
      </c>
      <c r="B212" t="str">
        <f>VLOOKUP(F212,'Hilfstabelle QP'!$A$2:$B$4,2,FALSE)</f>
        <v>Druckkontrolle</v>
      </c>
      <c r="C212" t="str">
        <f>VLOOKUP(G212,'Hilfstabelle QP'!$A$7:$B$11,2,FALSE)</f>
        <v>Bestanden</v>
      </c>
      <c r="F212">
        <v>2</v>
      </c>
      <c r="G212">
        <v>3</v>
      </c>
    </row>
    <row r="213" spans="1:7" x14ac:dyDescent="0.35">
      <c r="A213">
        <v>212</v>
      </c>
      <c r="B213" t="str">
        <f>VLOOKUP(F213,'Hilfstabelle QP'!$A$2:$B$4,2,FALSE)</f>
        <v>Lastkontrolle</v>
      </c>
      <c r="C213" t="str">
        <f>VLOOKUP(G213,'Hilfstabelle QP'!$A$7:$B$11,2,FALSE)</f>
        <v>Bestanden</v>
      </c>
      <c r="F213">
        <v>3</v>
      </c>
      <c r="G213">
        <v>3</v>
      </c>
    </row>
    <row r="214" spans="1:7" x14ac:dyDescent="0.35">
      <c r="A214">
        <v>213</v>
      </c>
      <c r="B214" t="str">
        <f>VLOOKUP(F214,'Hilfstabelle QP'!$A$2:$B$4,2,FALSE)</f>
        <v>Lastkontrolle</v>
      </c>
      <c r="C214" t="str">
        <f>VLOOKUP(G214,'Hilfstabelle QP'!$A$7:$B$11,2,FALSE)</f>
        <v>Bestanden</v>
      </c>
      <c r="F214">
        <v>3</v>
      </c>
      <c r="G214">
        <v>2</v>
      </c>
    </row>
    <row r="215" spans="1:7" x14ac:dyDescent="0.35">
      <c r="A215">
        <v>214</v>
      </c>
      <c r="B215" t="str">
        <f>VLOOKUP(F215,'Hilfstabelle QP'!$A$2:$B$4,2,FALSE)</f>
        <v>Druckkontrolle</v>
      </c>
      <c r="C215" t="str">
        <f>VLOOKUP(G215,'Hilfstabelle QP'!$A$7:$B$11,2,FALSE)</f>
        <v>Bestanden</v>
      </c>
      <c r="F215">
        <v>2</v>
      </c>
      <c r="G215">
        <v>3</v>
      </c>
    </row>
    <row r="216" spans="1:7" x14ac:dyDescent="0.35">
      <c r="A216">
        <v>215</v>
      </c>
      <c r="B216" t="str">
        <f>VLOOKUP(F216,'Hilfstabelle QP'!$A$2:$B$4,2,FALSE)</f>
        <v>Druckkontrolle</v>
      </c>
      <c r="C216" t="str">
        <f>VLOOKUP(G216,'Hilfstabelle QP'!$A$7:$B$11,2,FALSE)</f>
        <v>Durchgefallen</v>
      </c>
      <c r="F216">
        <v>2</v>
      </c>
      <c r="G216">
        <v>5</v>
      </c>
    </row>
    <row r="217" spans="1:7" x14ac:dyDescent="0.35">
      <c r="A217">
        <v>216</v>
      </c>
      <c r="B217" t="str">
        <f>VLOOKUP(F217,'Hilfstabelle QP'!$A$2:$B$4,2,FALSE)</f>
        <v>Druckkontrolle</v>
      </c>
      <c r="C217" t="str">
        <f>VLOOKUP(G217,'Hilfstabelle QP'!$A$7:$B$11,2,FALSE)</f>
        <v>Bestanden</v>
      </c>
      <c r="F217">
        <v>2</v>
      </c>
      <c r="G217">
        <v>3</v>
      </c>
    </row>
    <row r="218" spans="1:7" x14ac:dyDescent="0.35">
      <c r="A218">
        <v>217</v>
      </c>
      <c r="B218" t="str">
        <f>VLOOKUP(F218,'Hilfstabelle QP'!$A$2:$B$4,2,FALSE)</f>
        <v>Druckkontrolle</v>
      </c>
      <c r="C218" t="str">
        <f>VLOOKUP(G218,'Hilfstabelle QP'!$A$7:$B$11,2,FALSE)</f>
        <v>Bestanden</v>
      </c>
      <c r="F218">
        <v>2</v>
      </c>
      <c r="G218">
        <v>4</v>
      </c>
    </row>
    <row r="219" spans="1:7" x14ac:dyDescent="0.35">
      <c r="A219">
        <v>218</v>
      </c>
      <c r="B219" t="str">
        <f>VLOOKUP(F219,'Hilfstabelle QP'!$A$2:$B$4,2,FALSE)</f>
        <v>Druckkontrolle</v>
      </c>
      <c r="C219" t="str">
        <f>VLOOKUP(G219,'Hilfstabelle QP'!$A$7:$B$11,2,FALSE)</f>
        <v>Bestanden</v>
      </c>
      <c r="F219">
        <v>2</v>
      </c>
      <c r="G219">
        <v>1</v>
      </c>
    </row>
    <row r="220" spans="1:7" x14ac:dyDescent="0.35">
      <c r="A220">
        <v>219</v>
      </c>
      <c r="B220" t="str">
        <f>VLOOKUP(F220,'Hilfstabelle QP'!$A$2:$B$4,2,FALSE)</f>
        <v>Sichtkontrolle</v>
      </c>
      <c r="C220" t="str">
        <f>VLOOKUP(G220,'Hilfstabelle QP'!$A$7:$B$11,2,FALSE)</f>
        <v>Bestanden</v>
      </c>
      <c r="F220">
        <v>1</v>
      </c>
      <c r="G220">
        <v>1</v>
      </c>
    </row>
    <row r="221" spans="1:7" x14ac:dyDescent="0.35">
      <c r="A221">
        <v>220</v>
      </c>
      <c r="B221" t="str">
        <f>VLOOKUP(F221,'Hilfstabelle QP'!$A$2:$B$4,2,FALSE)</f>
        <v>Sichtkontrolle</v>
      </c>
      <c r="C221" t="str">
        <f>VLOOKUP(G221,'Hilfstabelle QP'!$A$7:$B$11,2,FALSE)</f>
        <v>Bestanden</v>
      </c>
      <c r="F221">
        <v>1</v>
      </c>
      <c r="G221">
        <v>3</v>
      </c>
    </row>
    <row r="222" spans="1:7" x14ac:dyDescent="0.35">
      <c r="A222">
        <v>221</v>
      </c>
      <c r="B222" t="str">
        <f>VLOOKUP(F222,'Hilfstabelle QP'!$A$2:$B$4,2,FALSE)</f>
        <v>Lastkontrolle</v>
      </c>
      <c r="C222" t="str">
        <f>VLOOKUP(G222,'Hilfstabelle QP'!$A$7:$B$11,2,FALSE)</f>
        <v>Bestanden</v>
      </c>
      <c r="F222">
        <v>3</v>
      </c>
      <c r="G222">
        <v>3</v>
      </c>
    </row>
    <row r="223" spans="1:7" x14ac:dyDescent="0.35">
      <c r="A223">
        <v>222</v>
      </c>
      <c r="B223" t="str">
        <f>VLOOKUP(F223,'Hilfstabelle QP'!$A$2:$B$4,2,FALSE)</f>
        <v>Lastkontrolle</v>
      </c>
      <c r="C223" t="str">
        <f>VLOOKUP(G223,'Hilfstabelle QP'!$A$7:$B$11,2,FALSE)</f>
        <v>Bestanden</v>
      </c>
      <c r="F223">
        <v>3</v>
      </c>
      <c r="G223">
        <v>4</v>
      </c>
    </row>
    <row r="224" spans="1:7" x14ac:dyDescent="0.35">
      <c r="A224">
        <v>223</v>
      </c>
      <c r="B224" t="str">
        <f>VLOOKUP(F224,'Hilfstabelle QP'!$A$2:$B$4,2,FALSE)</f>
        <v>Lastkontrolle</v>
      </c>
      <c r="C224" t="str">
        <f>VLOOKUP(G224,'Hilfstabelle QP'!$A$7:$B$11,2,FALSE)</f>
        <v>Bestanden</v>
      </c>
      <c r="F224">
        <v>3</v>
      </c>
      <c r="G224">
        <v>3</v>
      </c>
    </row>
    <row r="225" spans="1:7" x14ac:dyDescent="0.35">
      <c r="A225">
        <v>224</v>
      </c>
      <c r="B225" t="str">
        <f>VLOOKUP(F225,'Hilfstabelle QP'!$A$2:$B$4,2,FALSE)</f>
        <v>Druckkontrolle</v>
      </c>
      <c r="C225" t="str">
        <f>VLOOKUP(G225,'Hilfstabelle QP'!$A$7:$B$11,2,FALSE)</f>
        <v>Bestanden</v>
      </c>
      <c r="F225">
        <v>2</v>
      </c>
      <c r="G225">
        <v>3</v>
      </c>
    </row>
    <row r="226" spans="1:7" x14ac:dyDescent="0.35">
      <c r="A226">
        <v>225</v>
      </c>
      <c r="B226" t="str">
        <f>VLOOKUP(F226,'Hilfstabelle QP'!$A$2:$B$4,2,FALSE)</f>
        <v>Lastkontrolle</v>
      </c>
      <c r="C226" t="str">
        <f>VLOOKUP(G226,'Hilfstabelle QP'!$A$7:$B$11,2,FALSE)</f>
        <v>Bestanden</v>
      </c>
      <c r="F226">
        <v>3</v>
      </c>
      <c r="G226">
        <v>3</v>
      </c>
    </row>
    <row r="227" spans="1:7" x14ac:dyDescent="0.35">
      <c r="A227">
        <v>226</v>
      </c>
      <c r="B227" t="str">
        <f>VLOOKUP(F227,'Hilfstabelle QP'!$A$2:$B$4,2,FALSE)</f>
        <v>Lastkontrolle</v>
      </c>
      <c r="C227" t="str">
        <f>VLOOKUP(G227,'Hilfstabelle QP'!$A$7:$B$11,2,FALSE)</f>
        <v>Bestanden</v>
      </c>
      <c r="F227">
        <v>3</v>
      </c>
      <c r="G227">
        <v>2</v>
      </c>
    </row>
    <row r="228" spans="1:7" x14ac:dyDescent="0.35">
      <c r="A228">
        <v>227</v>
      </c>
      <c r="B228" t="str">
        <f>VLOOKUP(F228,'Hilfstabelle QP'!$A$2:$B$4,2,FALSE)</f>
        <v>Sichtkontrolle</v>
      </c>
      <c r="C228" t="str">
        <f>VLOOKUP(G228,'Hilfstabelle QP'!$A$7:$B$11,2,FALSE)</f>
        <v>Bestanden</v>
      </c>
      <c r="F228">
        <v>1</v>
      </c>
      <c r="G228">
        <v>1</v>
      </c>
    </row>
    <row r="229" spans="1:7" x14ac:dyDescent="0.35">
      <c r="A229">
        <v>228</v>
      </c>
      <c r="B229" t="str">
        <f>VLOOKUP(F229,'Hilfstabelle QP'!$A$2:$B$4,2,FALSE)</f>
        <v>Druckkontrolle</v>
      </c>
      <c r="C229" t="str">
        <f>VLOOKUP(G229,'Hilfstabelle QP'!$A$7:$B$11,2,FALSE)</f>
        <v>Durchgefallen</v>
      </c>
      <c r="F229">
        <v>2</v>
      </c>
      <c r="G229">
        <v>5</v>
      </c>
    </row>
    <row r="230" spans="1:7" x14ac:dyDescent="0.35">
      <c r="A230">
        <v>229</v>
      </c>
      <c r="B230" t="str">
        <f>VLOOKUP(F230,'Hilfstabelle QP'!$A$2:$B$4,2,FALSE)</f>
        <v>Sichtkontrolle</v>
      </c>
      <c r="C230" t="str">
        <f>VLOOKUP(G230,'Hilfstabelle QP'!$A$7:$B$11,2,FALSE)</f>
        <v>Bestanden</v>
      </c>
      <c r="F230">
        <v>1</v>
      </c>
      <c r="G230">
        <v>1</v>
      </c>
    </row>
    <row r="231" spans="1:7" x14ac:dyDescent="0.35">
      <c r="A231">
        <v>230</v>
      </c>
      <c r="B231" t="str">
        <f>VLOOKUP(F231,'Hilfstabelle QP'!$A$2:$B$4,2,FALSE)</f>
        <v>Druckkontrolle</v>
      </c>
      <c r="C231" t="str">
        <f>VLOOKUP(G231,'Hilfstabelle QP'!$A$7:$B$11,2,FALSE)</f>
        <v>Bestanden</v>
      </c>
      <c r="F231">
        <v>2</v>
      </c>
      <c r="G231">
        <v>1</v>
      </c>
    </row>
    <row r="232" spans="1:7" x14ac:dyDescent="0.35">
      <c r="A232">
        <v>231</v>
      </c>
      <c r="B232" t="str">
        <f>VLOOKUP(F232,'Hilfstabelle QP'!$A$2:$B$4,2,FALSE)</f>
        <v>Lastkontrolle</v>
      </c>
      <c r="C232" t="str">
        <f>VLOOKUP(G232,'Hilfstabelle QP'!$A$7:$B$11,2,FALSE)</f>
        <v>Bestanden</v>
      </c>
      <c r="F232">
        <v>3</v>
      </c>
      <c r="G232">
        <v>2</v>
      </c>
    </row>
    <row r="233" spans="1:7" x14ac:dyDescent="0.35">
      <c r="A233">
        <v>232</v>
      </c>
      <c r="B233" t="str">
        <f>VLOOKUP(F233,'Hilfstabelle QP'!$A$2:$B$4,2,FALSE)</f>
        <v>Druckkontrolle</v>
      </c>
      <c r="C233" t="str">
        <f>VLOOKUP(G233,'Hilfstabelle QP'!$A$7:$B$11,2,FALSE)</f>
        <v>Bestanden</v>
      </c>
      <c r="F233">
        <v>2</v>
      </c>
      <c r="G233">
        <v>4</v>
      </c>
    </row>
    <row r="234" spans="1:7" x14ac:dyDescent="0.35">
      <c r="A234">
        <v>233</v>
      </c>
      <c r="B234" t="str">
        <f>VLOOKUP(F234,'Hilfstabelle QP'!$A$2:$B$4,2,FALSE)</f>
        <v>Sichtkontrolle</v>
      </c>
      <c r="C234" t="str">
        <f>VLOOKUP(G234,'Hilfstabelle QP'!$A$7:$B$11,2,FALSE)</f>
        <v>Bestanden</v>
      </c>
      <c r="F234">
        <v>1</v>
      </c>
      <c r="G234">
        <v>3</v>
      </c>
    </row>
    <row r="235" spans="1:7" x14ac:dyDescent="0.35">
      <c r="A235">
        <v>234</v>
      </c>
      <c r="B235" t="str">
        <f>VLOOKUP(F235,'Hilfstabelle QP'!$A$2:$B$4,2,FALSE)</f>
        <v>Sichtkontrolle</v>
      </c>
      <c r="C235" t="str">
        <f>VLOOKUP(G235,'Hilfstabelle QP'!$A$7:$B$11,2,FALSE)</f>
        <v>Bestanden</v>
      </c>
      <c r="F235">
        <v>1</v>
      </c>
      <c r="G235">
        <v>4</v>
      </c>
    </row>
    <row r="236" spans="1:7" x14ac:dyDescent="0.35">
      <c r="A236">
        <v>235</v>
      </c>
      <c r="B236" t="str">
        <f>VLOOKUP(F236,'Hilfstabelle QP'!$A$2:$B$4,2,FALSE)</f>
        <v>Lastkontrolle</v>
      </c>
      <c r="C236" t="str">
        <f>VLOOKUP(G236,'Hilfstabelle QP'!$A$7:$B$11,2,FALSE)</f>
        <v>Bestanden</v>
      </c>
      <c r="F236">
        <v>3</v>
      </c>
      <c r="G236">
        <v>2</v>
      </c>
    </row>
    <row r="237" spans="1:7" x14ac:dyDescent="0.35">
      <c r="A237">
        <v>236</v>
      </c>
      <c r="B237" t="str">
        <f>VLOOKUP(F237,'Hilfstabelle QP'!$A$2:$B$4,2,FALSE)</f>
        <v>Druckkontrolle</v>
      </c>
      <c r="C237" t="str">
        <f>VLOOKUP(G237,'Hilfstabelle QP'!$A$7:$B$11,2,FALSE)</f>
        <v>Bestanden</v>
      </c>
      <c r="F237">
        <v>2</v>
      </c>
      <c r="G237">
        <v>3</v>
      </c>
    </row>
    <row r="238" spans="1:7" x14ac:dyDescent="0.35">
      <c r="A238">
        <v>237</v>
      </c>
      <c r="B238" t="str">
        <f>VLOOKUP(F238,'Hilfstabelle QP'!$A$2:$B$4,2,FALSE)</f>
        <v>Druckkontrolle</v>
      </c>
      <c r="C238" t="str">
        <f>VLOOKUP(G238,'Hilfstabelle QP'!$A$7:$B$11,2,FALSE)</f>
        <v>Bestanden</v>
      </c>
      <c r="F238">
        <v>2</v>
      </c>
      <c r="G238">
        <v>3</v>
      </c>
    </row>
    <row r="239" spans="1:7" x14ac:dyDescent="0.35">
      <c r="A239">
        <v>238</v>
      </c>
      <c r="B239" t="str">
        <f>VLOOKUP(F239,'Hilfstabelle QP'!$A$2:$B$4,2,FALSE)</f>
        <v>Lastkontrolle</v>
      </c>
      <c r="C239" t="str">
        <f>VLOOKUP(G239,'Hilfstabelle QP'!$A$7:$B$11,2,FALSE)</f>
        <v>Bestanden</v>
      </c>
      <c r="F239">
        <v>3</v>
      </c>
      <c r="G239">
        <v>2</v>
      </c>
    </row>
    <row r="240" spans="1:7" x14ac:dyDescent="0.35">
      <c r="A240">
        <v>239</v>
      </c>
      <c r="B240" t="str">
        <f>VLOOKUP(F240,'Hilfstabelle QP'!$A$2:$B$4,2,FALSE)</f>
        <v>Lastkontrolle</v>
      </c>
      <c r="C240" t="str">
        <f>VLOOKUP(G240,'Hilfstabelle QP'!$A$7:$B$11,2,FALSE)</f>
        <v>Bestanden</v>
      </c>
      <c r="F240">
        <v>3</v>
      </c>
      <c r="G240">
        <v>2</v>
      </c>
    </row>
    <row r="241" spans="1:7" x14ac:dyDescent="0.35">
      <c r="A241">
        <v>240</v>
      </c>
      <c r="B241" t="str">
        <f>VLOOKUP(F241,'Hilfstabelle QP'!$A$2:$B$4,2,FALSE)</f>
        <v>Druckkontrolle</v>
      </c>
      <c r="C241" t="str">
        <f>VLOOKUP(G241,'Hilfstabelle QP'!$A$7:$B$11,2,FALSE)</f>
        <v>Bestanden</v>
      </c>
      <c r="F241">
        <v>2</v>
      </c>
      <c r="G241">
        <v>3</v>
      </c>
    </row>
    <row r="242" spans="1:7" x14ac:dyDescent="0.35">
      <c r="A242">
        <v>241</v>
      </c>
      <c r="B242" t="str">
        <f>VLOOKUP(F242,'Hilfstabelle QP'!$A$2:$B$4,2,FALSE)</f>
        <v>Lastkontrolle</v>
      </c>
      <c r="C242" t="str">
        <f>VLOOKUP(G242,'Hilfstabelle QP'!$A$7:$B$11,2,FALSE)</f>
        <v>Bestanden</v>
      </c>
      <c r="F242">
        <v>3</v>
      </c>
      <c r="G242">
        <v>2</v>
      </c>
    </row>
    <row r="243" spans="1:7" x14ac:dyDescent="0.35">
      <c r="A243">
        <v>242</v>
      </c>
      <c r="B243" t="str">
        <f>VLOOKUP(F243,'Hilfstabelle QP'!$A$2:$B$4,2,FALSE)</f>
        <v>Druckkontrolle</v>
      </c>
      <c r="C243" t="str">
        <f>VLOOKUP(G243,'Hilfstabelle QP'!$A$7:$B$11,2,FALSE)</f>
        <v>Bestanden</v>
      </c>
      <c r="F243">
        <v>2</v>
      </c>
      <c r="G243">
        <v>1</v>
      </c>
    </row>
    <row r="244" spans="1:7" x14ac:dyDescent="0.35">
      <c r="A244">
        <v>243</v>
      </c>
      <c r="B244" t="str">
        <f>VLOOKUP(F244,'Hilfstabelle QP'!$A$2:$B$4,2,FALSE)</f>
        <v>Druckkontrolle</v>
      </c>
      <c r="C244" t="str">
        <f>VLOOKUP(G244,'Hilfstabelle QP'!$A$7:$B$11,2,FALSE)</f>
        <v>Bestanden</v>
      </c>
      <c r="F244">
        <v>2</v>
      </c>
      <c r="G244">
        <v>3</v>
      </c>
    </row>
    <row r="245" spans="1:7" x14ac:dyDescent="0.35">
      <c r="A245">
        <v>244</v>
      </c>
      <c r="B245" t="str">
        <f>VLOOKUP(F245,'Hilfstabelle QP'!$A$2:$B$4,2,FALSE)</f>
        <v>Lastkontrolle</v>
      </c>
      <c r="C245" t="str">
        <f>VLOOKUP(G245,'Hilfstabelle QP'!$A$7:$B$11,2,FALSE)</f>
        <v>Bestanden</v>
      </c>
      <c r="F245">
        <v>3</v>
      </c>
      <c r="G245">
        <v>1</v>
      </c>
    </row>
    <row r="246" spans="1:7" x14ac:dyDescent="0.35">
      <c r="A246">
        <v>245</v>
      </c>
      <c r="B246" t="str">
        <f>VLOOKUP(F246,'Hilfstabelle QP'!$A$2:$B$4,2,FALSE)</f>
        <v>Druckkontrolle</v>
      </c>
      <c r="C246" t="str">
        <f>VLOOKUP(G246,'Hilfstabelle QP'!$A$7:$B$11,2,FALSE)</f>
        <v>Bestanden</v>
      </c>
      <c r="F246">
        <v>2</v>
      </c>
      <c r="G246">
        <v>1</v>
      </c>
    </row>
    <row r="247" spans="1:7" x14ac:dyDescent="0.35">
      <c r="A247">
        <v>246</v>
      </c>
      <c r="B247" t="str">
        <f>VLOOKUP(F247,'Hilfstabelle QP'!$A$2:$B$4,2,FALSE)</f>
        <v>Sichtkontrolle</v>
      </c>
      <c r="C247" t="str">
        <f>VLOOKUP(G247,'Hilfstabelle QP'!$A$7:$B$11,2,FALSE)</f>
        <v>Bestanden</v>
      </c>
      <c r="F247">
        <v>1</v>
      </c>
      <c r="G247">
        <v>4</v>
      </c>
    </row>
    <row r="248" spans="1:7" x14ac:dyDescent="0.35">
      <c r="A248">
        <v>247</v>
      </c>
      <c r="B248" t="str">
        <f>VLOOKUP(F248,'Hilfstabelle QP'!$A$2:$B$4,2,FALSE)</f>
        <v>Druckkontrolle</v>
      </c>
      <c r="C248" t="str">
        <f>VLOOKUP(G248,'Hilfstabelle QP'!$A$7:$B$11,2,FALSE)</f>
        <v>Bestanden</v>
      </c>
      <c r="F248">
        <v>2</v>
      </c>
      <c r="G248">
        <v>3</v>
      </c>
    </row>
    <row r="249" spans="1:7" x14ac:dyDescent="0.35">
      <c r="A249">
        <v>248</v>
      </c>
      <c r="B249" t="str">
        <f>VLOOKUP(F249,'Hilfstabelle QP'!$A$2:$B$4,2,FALSE)</f>
        <v>Druckkontrolle</v>
      </c>
      <c r="C249" t="str">
        <f>VLOOKUP(G249,'Hilfstabelle QP'!$A$7:$B$11,2,FALSE)</f>
        <v>Durchgefallen</v>
      </c>
      <c r="F249">
        <v>2</v>
      </c>
      <c r="G249">
        <v>5</v>
      </c>
    </row>
    <row r="250" spans="1:7" x14ac:dyDescent="0.35">
      <c r="A250">
        <v>249</v>
      </c>
      <c r="B250" t="str">
        <f>VLOOKUP(F250,'Hilfstabelle QP'!$A$2:$B$4,2,FALSE)</f>
        <v>Sichtkontrolle</v>
      </c>
      <c r="C250" t="str">
        <f>VLOOKUP(G250,'Hilfstabelle QP'!$A$7:$B$11,2,FALSE)</f>
        <v>Bestanden</v>
      </c>
      <c r="F250">
        <v>1</v>
      </c>
      <c r="G250">
        <v>4</v>
      </c>
    </row>
    <row r="251" spans="1:7" x14ac:dyDescent="0.35">
      <c r="A251">
        <v>250</v>
      </c>
      <c r="B251" t="str">
        <f>VLOOKUP(F251,'Hilfstabelle QP'!$A$2:$B$4,2,FALSE)</f>
        <v>Lastkontrolle</v>
      </c>
      <c r="C251" t="str">
        <f>VLOOKUP(G251,'Hilfstabelle QP'!$A$7:$B$11,2,FALSE)</f>
        <v>Bestanden</v>
      </c>
      <c r="F251">
        <v>3</v>
      </c>
      <c r="G251">
        <v>1</v>
      </c>
    </row>
    <row r="252" spans="1:7" x14ac:dyDescent="0.35">
      <c r="A252">
        <v>251</v>
      </c>
      <c r="B252" t="str">
        <f>VLOOKUP(F252,'Hilfstabelle QP'!$A$2:$B$4,2,FALSE)</f>
        <v>Sichtkontrolle</v>
      </c>
      <c r="C252" t="str">
        <f>VLOOKUP(G252,'Hilfstabelle QP'!$A$7:$B$11,2,FALSE)</f>
        <v>Bestanden</v>
      </c>
      <c r="F252">
        <v>1</v>
      </c>
      <c r="G252">
        <v>1</v>
      </c>
    </row>
    <row r="253" spans="1:7" x14ac:dyDescent="0.35">
      <c r="A253">
        <v>252</v>
      </c>
      <c r="B253" t="str">
        <f>VLOOKUP(F253,'Hilfstabelle QP'!$A$2:$B$4,2,FALSE)</f>
        <v>Lastkontrolle</v>
      </c>
      <c r="C253" t="str">
        <f>VLOOKUP(G253,'Hilfstabelle QP'!$A$7:$B$11,2,FALSE)</f>
        <v>Bestanden</v>
      </c>
      <c r="F253">
        <v>3</v>
      </c>
      <c r="G253">
        <v>3</v>
      </c>
    </row>
    <row r="254" spans="1:7" x14ac:dyDescent="0.35">
      <c r="A254">
        <v>253</v>
      </c>
      <c r="B254" t="str">
        <f>VLOOKUP(F254,'Hilfstabelle QP'!$A$2:$B$4,2,FALSE)</f>
        <v>Sichtkontrolle</v>
      </c>
      <c r="C254" t="str">
        <f>VLOOKUP(G254,'Hilfstabelle QP'!$A$7:$B$11,2,FALSE)</f>
        <v>Durchgefallen</v>
      </c>
      <c r="F254">
        <v>1</v>
      </c>
      <c r="G254">
        <v>5</v>
      </c>
    </row>
    <row r="255" spans="1:7" x14ac:dyDescent="0.35">
      <c r="A255">
        <v>254</v>
      </c>
      <c r="B255" t="str">
        <f>VLOOKUP(F255,'Hilfstabelle QP'!$A$2:$B$4,2,FALSE)</f>
        <v>Sichtkontrolle</v>
      </c>
      <c r="C255" t="str">
        <f>VLOOKUP(G255,'Hilfstabelle QP'!$A$7:$B$11,2,FALSE)</f>
        <v>Bestanden</v>
      </c>
      <c r="F255">
        <v>1</v>
      </c>
      <c r="G255">
        <v>1</v>
      </c>
    </row>
    <row r="256" spans="1:7" x14ac:dyDescent="0.35">
      <c r="A256">
        <v>255</v>
      </c>
      <c r="B256" t="str">
        <f>VLOOKUP(F256,'Hilfstabelle QP'!$A$2:$B$4,2,FALSE)</f>
        <v>Druckkontrolle</v>
      </c>
      <c r="C256" t="str">
        <f>VLOOKUP(G256,'Hilfstabelle QP'!$A$7:$B$11,2,FALSE)</f>
        <v>Bestanden</v>
      </c>
      <c r="F256">
        <v>2</v>
      </c>
      <c r="G256">
        <v>3</v>
      </c>
    </row>
    <row r="257" spans="1:7" x14ac:dyDescent="0.35">
      <c r="A257">
        <v>256</v>
      </c>
      <c r="B257" t="str">
        <f>VLOOKUP(F257,'Hilfstabelle QP'!$A$2:$B$4,2,FALSE)</f>
        <v>Druckkontrolle</v>
      </c>
      <c r="C257" t="str">
        <f>VLOOKUP(G257,'Hilfstabelle QP'!$A$7:$B$11,2,FALSE)</f>
        <v>Bestanden</v>
      </c>
      <c r="F257">
        <v>2</v>
      </c>
      <c r="G257">
        <v>3</v>
      </c>
    </row>
    <row r="258" spans="1:7" x14ac:dyDescent="0.35">
      <c r="A258">
        <v>257</v>
      </c>
      <c r="B258" t="str">
        <f>VLOOKUP(F258,'Hilfstabelle QP'!$A$2:$B$4,2,FALSE)</f>
        <v>Lastkontrolle</v>
      </c>
      <c r="C258" t="str">
        <f>VLOOKUP(G258,'Hilfstabelle QP'!$A$7:$B$11,2,FALSE)</f>
        <v>Bestanden</v>
      </c>
      <c r="F258">
        <v>3</v>
      </c>
      <c r="G258">
        <v>3</v>
      </c>
    </row>
    <row r="259" spans="1:7" x14ac:dyDescent="0.35">
      <c r="A259">
        <v>258</v>
      </c>
      <c r="B259" t="str">
        <f>VLOOKUP(F259,'Hilfstabelle QP'!$A$2:$B$4,2,FALSE)</f>
        <v>Sichtkontrolle</v>
      </c>
      <c r="C259" t="str">
        <f>VLOOKUP(G259,'Hilfstabelle QP'!$A$7:$B$11,2,FALSE)</f>
        <v>Bestanden</v>
      </c>
      <c r="F259">
        <v>1</v>
      </c>
      <c r="G259">
        <v>1</v>
      </c>
    </row>
    <row r="260" spans="1:7" x14ac:dyDescent="0.35">
      <c r="A260">
        <v>259</v>
      </c>
      <c r="B260" t="str">
        <f>VLOOKUP(F260,'Hilfstabelle QP'!$A$2:$B$4,2,FALSE)</f>
        <v>Lastkontrolle</v>
      </c>
      <c r="C260" t="str">
        <f>VLOOKUP(G260,'Hilfstabelle QP'!$A$7:$B$11,2,FALSE)</f>
        <v>Bestanden</v>
      </c>
      <c r="F260">
        <v>3</v>
      </c>
      <c r="G260">
        <v>1</v>
      </c>
    </row>
    <row r="261" spans="1:7" x14ac:dyDescent="0.35">
      <c r="A261">
        <v>260</v>
      </c>
      <c r="B261" t="str">
        <f>VLOOKUP(F261,'Hilfstabelle QP'!$A$2:$B$4,2,FALSE)</f>
        <v>Druckkontrolle</v>
      </c>
      <c r="C261" t="str">
        <f>VLOOKUP(G261,'Hilfstabelle QP'!$A$7:$B$11,2,FALSE)</f>
        <v>Bestanden</v>
      </c>
      <c r="F261">
        <v>2</v>
      </c>
      <c r="G261">
        <v>4</v>
      </c>
    </row>
    <row r="262" spans="1:7" x14ac:dyDescent="0.35">
      <c r="A262">
        <v>261</v>
      </c>
      <c r="B262" t="str">
        <f>VLOOKUP(F262,'Hilfstabelle QP'!$A$2:$B$4,2,FALSE)</f>
        <v>Sichtkontrolle</v>
      </c>
      <c r="C262" t="str">
        <f>VLOOKUP(G262,'Hilfstabelle QP'!$A$7:$B$11,2,FALSE)</f>
        <v>Durchgefallen</v>
      </c>
      <c r="F262">
        <v>1</v>
      </c>
      <c r="G262">
        <v>5</v>
      </c>
    </row>
    <row r="263" spans="1:7" x14ac:dyDescent="0.35">
      <c r="A263">
        <v>262</v>
      </c>
      <c r="B263" t="str">
        <f>VLOOKUP(F263,'Hilfstabelle QP'!$A$2:$B$4,2,FALSE)</f>
        <v>Lastkontrolle</v>
      </c>
      <c r="C263" t="str">
        <f>VLOOKUP(G263,'Hilfstabelle QP'!$A$7:$B$11,2,FALSE)</f>
        <v>Bestanden</v>
      </c>
      <c r="F263">
        <v>3</v>
      </c>
      <c r="G263">
        <v>2</v>
      </c>
    </row>
    <row r="264" spans="1:7" x14ac:dyDescent="0.35">
      <c r="A264">
        <v>263</v>
      </c>
      <c r="B264" t="str">
        <f>VLOOKUP(F264,'Hilfstabelle QP'!$A$2:$B$4,2,FALSE)</f>
        <v>Druckkontrolle</v>
      </c>
      <c r="C264" t="str">
        <f>VLOOKUP(G264,'Hilfstabelle QP'!$A$7:$B$11,2,FALSE)</f>
        <v>Bestanden</v>
      </c>
      <c r="F264">
        <v>2</v>
      </c>
      <c r="G264">
        <v>2</v>
      </c>
    </row>
    <row r="265" spans="1:7" x14ac:dyDescent="0.35">
      <c r="A265">
        <v>264</v>
      </c>
      <c r="B265" t="str">
        <f>VLOOKUP(F265,'Hilfstabelle QP'!$A$2:$B$4,2,FALSE)</f>
        <v>Sichtkontrolle</v>
      </c>
      <c r="C265" t="str">
        <f>VLOOKUP(G265,'Hilfstabelle QP'!$A$7:$B$11,2,FALSE)</f>
        <v>Bestanden</v>
      </c>
      <c r="F265">
        <v>1</v>
      </c>
      <c r="G265">
        <v>2</v>
      </c>
    </row>
    <row r="266" spans="1:7" x14ac:dyDescent="0.35">
      <c r="A266">
        <v>265</v>
      </c>
      <c r="B266" t="str">
        <f>VLOOKUP(F266,'Hilfstabelle QP'!$A$2:$B$4,2,FALSE)</f>
        <v>Druckkontrolle</v>
      </c>
      <c r="C266" t="str">
        <f>VLOOKUP(G266,'Hilfstabelle QP'!$A$7:$B$11,2,FALSE)</f>
        <v>Bestanden</v>
      </c>
      <c r="F266">
        <v>2</v>
      </c>
      <c r="G266">
        <v>4</v>
      </c>
    </row>
    <row r="267" spans="1:7" x14ac:dyDescent="0.35">
      <c r="A267">
        <v>266</v>
      </c>
      <c r="B267" t="str">
        <f>VLOOKUP(F267,'Hilfstabelle QP'!$A$2:$B$4,2,FALSE)</f>
        <v>Druckkontrolle</v>
      </c>
      <c r="C267" t="str">
        <f>VLOOKUP(G267,'Hilfstabelle QP'!$A$7:$B$11,2,FALSE)</f>
        <v>Bestanden</v>
      </c>
      <c r="F267">
        <v>2</v>
      </c>
      <c r="G267">
        <v>2</v>
      </c>
    </row>
    <row r="268" spans="1:7" x14ac:dyDescent="0.35">
      <c r="A268">
        <v>267</v>
      </c>
      <c r="B268" t="str">
        <f>VLOOKUP(F268,'Hilfstabelle QP'!$A$2:$B$4,2,FALSE)</f>
        <v>Druckkontrolle</v>
      </c>
      <c r="C268" t="str">
        <f>VLOOKUP(G268,'Hilfstabelle QP'!$A$7:$B$11,2,FALSE)</f>
        <v>Bestanden</v>
      </c>
      <c r="F268">
        <v>2</v>
      </c>
      <c r="G268">
        <v>1</v>
      </c>
    </row>
    <row r="269" spans="1:7" x14ac:dyDescent="0.35">
      <c r="A269">
        <v>268</v>
      </c>
      <c r="B269" t="str">
        <f>VLOOKUP(F269,'Hilfstabelle QP'!$A$2:$B$4,2,FALSE)</f>
        <v>Sichtkontrolle</v>
      </c>
      <c r="C269" t="str">
        <f>VLOOKUP(G269,'Hilfstabelle QP'!$A$7:$B$11,2,FALSE)</f>
        <v>Bestanden</v>
      </c>
      <c r="F269">
        <v>1</v>
      </c>
      <c r="G269">
        <v>1</v>
      </c>
    </row>
    <row r="270" spans="1:7" x14ac:dyDescent="0.35">
      <c r="A270">
        <v>269</v>
      </c>
      <c r="B270" t="str">
        <f>VLOOKUP(F270,'Hilfstabelle QP'!$A$2:$B$4,2,FALSE)</f>
        <v>Lastkontrolle</v>
      </c>
      <c r="C270" t="str">
        <f>VLOOKUP(G270,'Hilfstabelle QP'!$A$7:$B$11,2,FALSE)</f>
        <v>Bestanden</v>
      </c>
      <c r="F270">
        <v>3</v>
      </c>
      <c r="G270">
        <v>2</v>
      </c>
    </row>
    <row r="271" spans="1:7" x14ac:dyDescent="0.35">
      <c r="A271">
        <v>270</v>
      </c>
      <c r="B271" t="str">
        <f>VLOOKUP(F271,'Hilfstabelle QP'!$A$2:$B$4,2,FALSE)</f>
        <v>Sichtkontrolle</v>
      </c>
      <c r="C271" t="str">
        <f>VLOOKUP(G271,'Hilfstabelle QP'!$A$7:$B$11,2,FALSE)</f>
        <v>Bestanden</v>
      </c>
      <c r="F271">
        <v>1</v>
      </c>
      <c r="G271">
        <v>2</v>
      </c>
    </row>
    <row r="272" spans="1:7" x14ac:dyDescent="0.35">
      <c r="A272">
        <v>271</v>
      </c>
      <c r="B272" t="str">
        <f>VLOOKUP(F272,'Hilfstabelle QP'!$A$2:$B$4,2,FALSE)</f>
        <v>Lastkontrolle</v>
      </c>
      <c r="C272" t="str">
        <f>VLOOKUP(G272,'Hilfstabelle QP'!$A$7:$B$11,2,FALSE)</f>
        <v>Bestanden</v>
      </c>
      <c r="F272">
        <v>3</v>
      </c>
      <c r="G272">
        <v>3</v>
      </c>
    </row>
    <row r="273" spans="1:7" x14ac:dyDescent="0.35">
      <c r="A273">
        <v>272</v>
      </c>
      <c r="B273" t="str">
        <f>VLOOKUP(F273,'Hilfstabelle QP'!$A$2:$B$4,2,FALSE)</f>
        <v>Druckkontrolle</v>
      </c>
      <c r="C273" t="str">
        <f>VLOOKUP(G273,'Hilfstabelle QP'!$A$7:$B$11,2,FALSE)</f>
        <v>Bestanden</v>
      </c>
      <c r="F273">
        <v>2</v>
      </c>
      <c r="G273">
        <v>3</v>
      </c>
    </row>
    <row r="274" spans="1:7" x14ac:dyDescent="0.35">
      <c r="A274">
        <v>273</v>
      </c>
      <c r="B274" t="str">
        <f>VLOOKUP(F274,'Hilfstabelle QP'!$A$2:$B$4,2,FALSE)</f>
        <v>Druckkontrolle</v>
      </c>
      <c r="C274" t="str">
        <f>VLOOKUP(G274,'Hilfstabelle QP'!$A$7:$B$11,2,FALSE)</f>
        <v>Durchgefallen</v>
      </c>
      <c r="F274">
        <v>2</v>
      </c>
      <c r="G274">
        <v>5</v>
      </c>
    </row>
    <row r="275" spans="1:7" x14ac:dyDescent="0.35">
      <c r="A275">
        <v>274</v>
      </c>
      <c r="B275" t="str">
        <f>VLOOKUP(F275,'Hilfstabelle QP'!$A$2:$B$4,2,FALSE)</f>
        <v>Lastkontrolle</v>
      </c>
      <c r="C275" t="str">
        <f>VLOOKUP(G275,'Hilfstabelle QP'!$A$7:$B$11,2,FALSE)</f>
        <v>Bestanden</v>
      </c>
      <c r="F275">
        <v>3</v>
      </c>
      <c r="G275">
        <v>1</v>
      </c>
    </row>
    <row r="276" spans="1:7" x14ac:dyDescent="0.35">
      <c r="A276">
        <v>275</v>
      </c>
      <c r="B276" t="str">
        <f>VLOOKUP(F276,'Hilfstabelle QP'!$A$2:$B$4,2,FALSE)</f>
        <v>Druckkontrolle</v>
      </c>
      <c r="C276" t="str">
        <f>VLOOKUP(G276,'Hilfstabelle QP'!$A$7:$B$11,2,FALSE)</f>
        <v>Bestanden</v>
      </c>
      <c r="F276">
        <v>2</v>
      </c>
      <c r="G276">
        <v>2</v>
      </c>
    </row>
    <row r="277" spans="1:7" x14ac:dyDescent="0.35">
      <c r="A277">
        <v>276</v>
      </c>
      <c r="B277" t="str">
        <f>VLOOKUP(F277,'Hilfstabelle QP'!$A$2:$B$4,2,FALSE)</f>
        <v>Sichtkontrolle</v>
      </c>
      <c r="C277" t="str">
        <f>VLOOKUP(G277,'Hilfstabelle QP'!$A$7:$B$11,2,FALSE)</f>
        <v>Bestanden</v>
      </c>
      <c r="F277">
        <v>1</v>
      </c>
      <c r="G277">
        <v>4</v>
      </c>
    </row>
    <row r="278" spans="1:7" x14ac:dyDescent="0.35">
      <c r="A278">
        <v>277</v>
      </c>
      <c r="B278" t="str">
        <f>VLOOKUP(F278,'Hilfstabelle QP'!$A$2:$B$4,2,FALSE)</f>
        <v>Lastkontrolle</v>
      </c>
      <c r="C278" t="str">
        <f>VLOOKUP(G278,'Hilfstabelle QP'!$A$7:$B$11,2,FALSE)</f>
        <v>Bestanden</v>
      </c>
      <c r="F278">
        <v>3</v>
      </c>
      <c r="G278">
        <v>4</v>
      </c>
    </row>
    <row r="279" spans="1:7" x14ac:dyDescent="0.35">
      <c r="A279">
        <v>278</v>
      </c>
      <c r="B279" t="str">
        <f>VLOOKUP(F279,'Hilfstabelle QP'!$A$2:$B$4,2,FALSE)</f>
        <v>Sichtkontrolle</v>
      </c>
      <c r="C279" t="str">
        <f>VLOOKUP(G279,'Hilfstabelle QP'!$A$7:$B$11,2,FALSE)</f>
        <v>Bestanden</v>
      </c>
      <c r="F279">
        <v>1</v>
      </c>
      <c r="G279">
        <v>3</v>
      </c>
    </row>
    <row r="280" spans="1:7" x14ac:dyDescent="0.35">
      <c r="A280">
        <v>279</v>
      </c>
      <c r="B280" t="str">
        <f>VLOOKUP(F280,'Hilfstabelle QP'!$A$2:$B$4,2,FALSE)</f>
        <v>Druckkontrolle</v>
      </c>
      <c r="C280" t="str">
        <f>VLOOKUP(G280,'Hilfstabelle QP'!$A$7:$B$11,2,FALSE)</f>
        <v>Bestanden</v>
      </c>
      <c r="F280">
        <v>2</v>
      </c>
      <c r="G280">
        <v>3</v>
      </c>
    </row>
    <row r="281" spans="1:7" x14ac:dyDescent="0.35">
      <c r="A281">
        <v>280</v>
      </c>
      <c r="B281" t="str">
        <f>VLOOKUP(F281,'Hilfstabelle QP'!$A$2:$B$4,2,FALSE)</f>
        <v>Lastkontrolle</v>
      </c>
      <c r="C281" t="str">
        <f>VLOOKUP(G281,'Hilfstabelle QP'!$A$7:$B$11,2,FALSE)</f>
        <v>Bestanden</v>
      </c>
      <c r="F281">
        <v>3</v>
      </c>
      <c r="G281">
        <v>3</v>
      </c>
    </row>
    <row r="282" spans="1:7" x14ac:dyDescent="0.35">
      <c r="A282">
        <v>281</v>
      </c>
      <c r="B282" t="str">
        <f>VLOOKUP(F282,'Hilfstabelle QP'!$A$2:$B$4,2,FALSE)</f>
        <v>Druckkontrolle</v>
      </c>
      <c r="C282" t="str">
        <f>VLOOKUP(G282,'Hilfstabelle QP'!$A$7:$B$11,2,FALSE)</f>
        <v>Bestanden</v>
      </c>
      <c r="F282">
        <v>2</v>
      </c>
      <c r="G282">
        <v>3</v>
      </c>
    </row>
    <row r="283" spans="1:7" x14ac:dyDescent="0.35">
      <c r="A283">
        <v>282</v>
      </c>
      <c r="B283" t="str">
        <f>VLOOKUP(F283,'Hilfstabelle QP'!$A$2:$B$4,2,FALSE)</f>
        <v>Lastkontrolle</v>
      </c>
      <c r="C283" t="str">
        <f>VLOOKUP(G283,'Hilfstabelle QP'!$A$7:$B$11,2,FALSE)</f>
        <v>Bestanden</v>
      </c>
      <c r="F283">
        <v>3</v>
      </c>
      <c r="G283">
        <v>3</v>
      </c>
    </row>
    <row r="284" spans="1:7" x14ac:dyDescent="0.35">
      <c r="A284">
        <v>283</v>
      </c>
      <c r="B284" t="str">
        <f>VLOOKUP(F284,'Hilfstabelle QP'!$A$2:$B$4,2,FALSE)</f>
        <v>Lastkontrolle</v>
      </c>
      <c r="C284" t="str">
        <f>VLOOKUP(G284,'Hilfstabelle QP'!$A$7:$B$11,2,FALSE)</f>
        <v>Bestanden</v>
      </c>
      <c r="F284">
        <v>3</v>
      </c>
      <c r="G284">
        <v>2</v>
      </c>
    </row>
    <row r="285" spans="1:7" x14ac:dyDescent="0.35">
      <c r="A285">
        <v>284</v>
      </c>
      <c r="B285" t="str">
        <f>VLOOKUP(F285,'Hilfstabelle QP'!$A$2:$B$4,2,FALSE)</f>
        <v>Sichtkontrolle</v>
      </c>
      <c r="C285" t="str">
        <f>VLOOKUP(G285,'Hilfstabelle QP'!$A$7:$B$11,2,FALSE)</f>
        <v>Durchgefallen</v>
      </c>
      <c r="F285">
        <v>1</v>
      </c>
      <c r="G285">
        <v>5</v>
      </c>
    </row>
    <row r="286" spans="1:7" x14ac:dyDescent="0.35">
      <c r="A286">
        <v>285</v>
      </c>
      <c r="B286" t="str">
        <f>VLOOKUP(F286,'Hilfstabelle QP'!$A$2:$B$4,2,FALSE)</f>
        <v>Lastkontrolle</v>
      </c>
      <c r="C286" t="str">
        <f>VLOOKUP(G286,'Hilfstabelle QP'!$A$7:$B$11,2,FALSE)</f>
        <v>Bestanden</v>
      </c>
      <c r="F286">
        <v>3</v>
      </c>
      <c r="G286">
        <v>2</v>
      </c>
    </row>
    <row r="287" spans="1:7" x14ac:dyDescent="0.35">
      <c r="A287">
        <v>286</v>
      </c>
      <c r="B287" t="str">
        <f>VLOOKUP(F287,'Hilfstabelle QP'!$A$2:$B$4,2,FALSE)</f>
        <v>Druckkontrolle</v>
      </c>
      <c r="C287" t="str">
        <f>VLOOKUP(G287,'Hilfstabelle QP'!$A$7:$B$11,2,FALSE)</f>
        <v>Bestanden</v>
      </c>
      <c r="F287">
        <v>2</v>
      </c>
      <c r="G287">
        <v>4</v>
      </c>
    </row>
    <row r="288" spans="1:7" x14ac:dyDescent="0.35">
      <c r="A288">
        <v>287</v>
      </c>
      <c r="B288" t="str">
        <f>VLOOKUP(F288,'Hilfstabelle QP'!$A$2:$B$4,2,FALSE)</f>
        <v>Sichtkontrolle</v>
      </c>
      <c r="C288" t="str">
        <f>VLOOKUP(G288,'Hilfstabelle QP'!$A$7:$B$11,2,FALSE)</f>
        <v>Durchgefallen</v>
      </c>
      <c r="F288">
        <v>1</v>
      </c>
      <c r="G288">
        <v>5</v>
      </c>
    </row>
    <row r="289" spans="1:7" x14ac:dyDescent="0.35">
      <c r="A289">
        <v>288</v>
      </c>
      <c r="B289" t="str">
        <f>VLOOKUP(F289,'Hilfstabelle QP'!$A$2:$B$4,2,FALSE)</f>
        <v>Lastkontrolle</v>
      </c>
      <c r="C289" t="str">
        <f>VLOOKUP(G289,'Hilfstabelle QP'!$A$7:$B$11,2,FALSE)</f>
        <v>Durchgefallen</v>
      </c>
      <c r="F289">
        <v>3</v>
      </c>
      <c r="G289">
        <v>5</v>
      </c>
    </row>
    <row r="290" spans="1:7" x14ac:dyDescent="0.35">
      <c r="A290">
        <v>289</v>
      </c>
      <c r="B290" t="str">
        <f>VLOOKUP(F290,'Hilfstabelle QP'!$A$2:$B$4,2,FALSE)</f>
        <v>Sichtkontrolle</v>
      </c>
      <c r="C290" t="str">
        <f>VLOOKUP(G290,'Hilfstabelle QP'!$A$7:$B$11,2,FALSE)</f>
        <v>Bestanden</v>
      </c>
      <c r="F290">
        <v>1</v>
      </c>
      <c r="G290">
        <v>2</v>
      </c>
    </row>
    <row r="291" spans="1:7" x14ac:dyDescent="0.35">
      <c r="A291">
        <v>290</v>
      </c>
      <c r="B291" t="str">
        <f>VLOOKUP(F291,'Hilfstabelle QP'!$A$2:$B$4,2,FALSE)</f>
        <v>Lastkontrolle</v>
      </c>
      <c r="C291" t="str">
        <f>VLOOKUP(G291,'Hilfstabelle QP'!$A$7:$B$11,2,FALSE)</f>
        <v>Durchgefallen</v>
      </c>
      <c r="F291">
        <v>3</v>
      </c>
      <c r="G291">
        <v>5</v>
      </c>
    </row>
    <row r="292" spans="1:7" x14ac:dyDescent="0.35">
      <c r="A292">
        <v>291</v>
      </c>
      <c r="B292" t="str">
        <f>VLOOKUP(F292,'Hilfstabelle QP'!$A$2:$B$4,2,FALSE)</f>
        <v>Lastkontrolle</v>
      </c>
      <c r="C292" t="str">
        <f>VLOOKUP(G292,'Hilfstabelle QP'!$A$7:$B$11,2,FALSE)</f>
        <v>Durchgefallen</v>
      </c>
      <c r="F292">
        <v>3</v>
      </c>
      <c r="G292">
        <v>5</v>
      </c>
    </row>
    <row r="293" spans="1:7" x14ac:dyDescent="0.35">
      <c r="A293">
        <v>292</v>
      </c>
      <c r="B293" t="str">
        <f>VLOOKUP(F293,'Hilfstabelle QP'!$A$2:$B$4,2,FALSE)</f>
        <v>Lastkontrolle</v>
      </c>
      <c r="C293" t="str">
        <f>VLOOKUP(G293,'Hilfstabelle QP'!$A$7:$B$11,2,FALSE)</f>
        <v>Bestanden</v>
      </c>
      <c r="F293">
        <v>3</v>
      </c>
      <c r="G293">
        <v>2</v>
      </c>
    </row>
    <row r="294" spans="1:7" x14ac:dyDescent="0.35">
      <c r="A294">
        <v>293</v>
      </c>
      <c r="B294" t="str">
        <f>VLOOKUP(F294,'Hilfstabelle QP'!$A$2:$B$4,2,FALSE)</f>
        <v>Sichtkontrolle</v>
      </c>
      <c r="C294" t="str">
        <f>VLOOKUP(G294,'Hilfstabelle QP'!$A$7:$B$11,2,FALSE)</f>
        <v>Bestanden</v>
      </c>
      <c r="F294">
        <v>1</v>
      </c>
      <c r="G294">
        <v>4</v>
      </c>
    </row>
    <row r="295" spans="1:7" x14ac:dyDescent="0.35">
      <c r="A295">
        <v>294</v>
      </c>
      <c r="B295" t="str">
        <f>VLOOKUP(F295,'Hilfstabelle QP'!$A$2:$B$4,2,FALSE)</f>
        <v>Druckkontrolle</v>
      </c>
      <c r="C295" t="str">
        <f>VLOOKUP(G295,'Hilfstabelle QP'!$A$7:$B$11,2,FALSE)</f>
        <v>Bestanden</v>
      </c>
      <c r="F295">
        <v>2</v>
      </c>
      <c r="G295">
        <v>2</v>
      </c>
    </row>
    <row r="296" spans="1:7" x14ac:dyDescent="0.35">
      <c r="A296">
        <v>295</v>
      </c>
      <c r="B296" t="str">
        <f>VLOOKUP(F296,'Hilfstabelle QP'!$A$2:$B$4,2,FALSE)</f>
        <v>Druckkontrolle</v>
      </c>
      <c r="C296" t="str">
        <f>VLOOKUP(G296,'Hilfstabelle QP'!$A$7:$B$11,2,FALSE)</f>
        <v>Bestanden</v>
      </c>
      <c r="F296">
        <v>2</v>
      </c>
      <c r="G296">
        <v>2</v>
      </c>
    </row>
    <row r="297" spans="1:7" x14ac:dyDescent="0.35">
      <c r="A297">
        <v>296</v>
      </c>
      <c r="B297" t="str">
        <f>VLOOKUP(F297,'Hilfstabelle QP'!$A$2:$B$4,2,FALSE)</f>
        <v>Druckkontrolle</v>
      </c>
      <c r="C297" t="str">
        <f>VLOOKUP(G297,'Hilfstabelle QP'!$A$7:$B$11,2,FALSE)</f>
        <v>Bestanden</v>
      </c>
      <c r="F297">
        <v>2</v>
      </c>
      <c r="G297">
        <v>2</v>
      </c>
    </row>
    <row r="298" spans="1:7" x14ac:dyDescent="0.35">
      <c r="A298">
        <v>297</v>
      </c>
      <c r="B298" t="str">
        <f>VLOOKUP(F298,'Hilfstabelle QP'!$A$2:$B$4,2,FALSE)</f>
        <v>Druckkontrolle</v>
      </c>
      <c r="C298" t="str">
        <f>VLOOKUP(G298,'Hilfstabelle QP'!$A$7:$B$11,2,FALSE)</f>
        <v>Bestanden</v>
      </c>
      <c r="F298">
        <v>2</v>
      </c>
      <c r="G298">
        <v>2</v>
      </c>
    </row>
    <row r="299" spans="1:7" x14ac:dyDescent="0.35">
      <c r="A299">
        <v>298</v>
      </c>
      <c r="B299" t="str">
        <f>VLOOKUP(F299,'Hilfstabelle QP'!$A$2:$B$4,2,FALSE)</f>
        <v>Druckkontrolle</v>
      </c>
      <c r="C299" t="str">
        <f>VLOOKUP(G299,'Hilfstabelle QP'!$A$7:$B$11,2,FALSE)</f>
        <v>Bestanden</v>
      </c>
      <c r="F299">
        <v>2</v>
      </c>
      <c r="G299">
        <v>3</v>
      </c>
    </row>
    <row r="300" spans="1:7" x14ac:dyDescent="0.35">
      <c r="A300">
        <v>299</v>
      </c>
      <c r="B300" t="str">
        <f>VLOOKUP(F300,'Hilfstabelle QP'!$A$2:$B$4,2,FALSE)</f>
        <v>Druckkontrolle</v>
      </c>
      <c r="C300" t="str">
        <f>VLOOKUP(G300,'Hilfstabelle QP'!$A$7:$B$11,2,FALSE)</f>
        <v>Bestanden</v>
      </c>
      <c r="F300">
        <v>2</v>
      </c>
      <c r="G300">
        <v>2</v>
      </c>
    </row>
    <row r="301" spans="1:7" x14ac:dyDescent="0.35">
      <c r="A301">
        <v>300</v>
      </c>
      <c r="B301" t="str">
        <f>VLOOKUP(F301,'Hilfstabelle QP'!$A$2:$B$4,2,FALSE)</f>
        <v>Lastkontrolle</v>
      </c>
      <c r="C301" t="str">
        <f>VLOOKUP(G301,'Hilfstabelle QP'!$A$7:$B$11,2,FALSE)</f>
        <v>Bestanden</v>
      </c>
      <c r="F301">
        <v>3</v>
      </c>
      <c r="G301">
        <v>3</v>
      </c>
    </row>
    <row r="302" spans="1:7" x14ac:dyDescent="0.35">
      <c r="A302">
        <v>301</v>
      </c>
      <c r="B302" t="str">
        <f>VLOOKUP(F302,'Hilfstabelle QP'!$A$2:$B$4,2,FALSE)</f>
        <v>Druckkontrolle</v>
      </c>
      <c r="C302" t="str">
        <f>VLOOKUP(G302,'Hilfstabelle QP'!$A$7:$B$11,2,FALSE)</f>
        <v>Bestanden</v>
      </c>
      <c r="F302">
        <v>2</v>
      </c>
      <c r="G302">
        <v>1</v>
      </c>
    </row>
    <row r="303" spans="1:7" x14ac:dyDescent="0.35">
      <c r="A303">
        <v>302</v>
      </c>
      <c r="B303" t="str">
        <f>VLOOKUP(F303,'Hilfstabelle QP'!$A$2:$B$4,2,FALSE)</f>
        <v>Druckkontrolle</v>
      </c>
      <c r="C303" t="str">
        <f>VLOOKUP(G303,'Hilfstabelle QP'!$A$7:$B$11,2,FALSE)</f>
        <v>Bestanden</v>
      </c>
      <c r="F303">
        <v>2</v>
      </c>
      <c r="G303">
        <v>4</v>
      </c>
    </row>
    <row r="304" spans="1:7" x14ac:dyDescent="0.35">
      <c r="A304">
        <v>303</v>
      </c>
      <c r="B304" t="str">
        <f>VLOOKUP(F304,'Hilfstabelle QP'!$A$2:$B$4,2,FALSE)</f>
        <v>Sichtkontrolle</v>
      </c>
      <c r="C304" t="str">
        <f>VLOOKUP(G304,'Hilfstabelle QP'!$A$7:$B$11,2,FALSE)</f>
        <v>Durchgefallen</v>
      </c>
      <c r="F304">
        <v>1</v>
      </c>
      <c r="G304">
        <v>5</v>
      </c>
    </row>
    <row r="305" spans="1:7" x14ac:dyDescent="0.35">
      <c r="A305">
        <v>304</v>
      </c>
      <c r="B305" t="str">
        <f>VLOOKUP(F305,'Hilfstabelle QP'!$A$2:$B$4,2,FALSE)</f>
        <v>Lastkontrolle</v>
      </c>
      <c r="C305" t="str">
        <f>VLOOKUP(G305,'Hilfstabelle QP'!$A$7:$B$11,2,FALSE)</f>
        <v>Bestanden</v>
      </c>
      <c r="F305">
        <v>3</v>
      </c>
      <c r="G305">
        <v>1</v>
      </c>
    </row>
    <row r="306" spans="1:7" x14ac:dyDescent="0.35">
      <c r="A306">
        <v>305</v>
      </c>
      <c r="B306" t="str">
        <f>VLOOKUP(F306,'Hilfstabelle QP'!$A$2:$B$4,2,FALSE)</f>
        <v>Druckkontrolle</v>
      </c>
      <c r="C306" t="str">
        <f>VLOOKUP(G306,'Hilfstabelle QP'!$A$7:$B$11,2,FALSE)</f>
        <v>Bestanden</v>
      </c>
      <c r="F306">
        <v>2</v>
      </c>
      <c r="G306">
        <v>4</v>
      </c>
    </row>
    <row r="307" spans="1:7" x14ac:dyDescent="0.35">
      <c r="A307">
        <v>306</v>
      </c>
      <c r="B307" t="str">
        <f>VLOOKUP(F307,'Hilfstabelle QP'!$A$2:$B$4,2,FALSE)</f>
        <v>Sichtkontrolle</v>
      </c>
      <c r="C307" t="str">
        <f>VLOOKUP(G307,'Hilfstabelle QP'!$A$7:$B$11,2,FALSE)</f>
        <v>Bestanden</v>
      </c>
      <c r="F307">
        <v>1</v>
      </c>
      <c r="G307">
        <v>3</v>
      </c>
    </row>
    <row r="308" spans="1:7" x14ac:dyDescent="0.35">
      <c r="A308">
        <v>307</v>
      </c>
      <c r="B308" t="str">
        <f>VLOOKUP(F308,'Hilfstabelle QP'!$A$2:$B$4,2,FALSE)</f>
        <v>Lastkontrolle</v>
      </c>
      <c r="C308" t="str">
        <f>VLOOKUP(G308,'Hilfstabelle QP'!$A$7:$B$11,2,FALSE)</f>
        <v>Durchgefallen</v>
      </c>
      <c r="F308">
        <v>3</v>
      </c>
      <c r="G308">
        <v>5</v>
      </c>
    </row>
    <row r="309" spans="1:7" x14ac:dyDescent="0.35">
      <c r="A309">
        <v>308</v>
      </c>
      <c r="B309" t="str">
        <f>VLOOKUP(F309,'Hilfstabelle QP'!$A$2:$B$4,2,FALSE)</f>
        <v>Druckkontrolle</v>
      </c>
      <c r="C309" t="str">
        <f>VLOOKUP(G309,'Hilfstabelle QP'!$A$7:$B$11,2,FALSE)</f>
        <v>Durchgefallen</v>
      </c>
      <c r="F309">
        <v>2</v>
      </c>
      <c r="G309">
        <v>5</v>
      </c>
    </row>
    <row r="310" spans="1:7" x14ac:dyDescent="0.35">
      <c r="A310">
        <v>309</v>
      </c>
      <c r="B310" t="str">
        <f>VLOOKUP(F310,'Hilfstabelle QP'!$A$2:$B$4,2,FALSE)</f>
        <v>Sichtkontrolle</v>
      </c>
      <c r="C310" t="str">
        <f>VLOOKUP(G310,'Hilfstabelle QP'!$A$7:$B$11,2,FALSE)</f>
        <v>Durchgefallen</v>
      </c>
      <c r="F310">
        <v>1</v>
      </c>
      <c r="G310">
        <v>5</v>
      </c>
    </row>
    <row r="311" spans="1:7" x14ac:dyDescent="0.35">
      <c r="A311">
        <v>310</v>
      </c>
      <c r="B311" t="str">
        <f>VLOOKUP(F311,'Hilfstabelle QP'!$A$2:$B$4,2,FALSE)</f>
        <v>Sichtkontrolle</v>
      </c>
      <c r="C311" t="str">
        <f>VLOOKUP(G311,'Hilfstabelle QP'!$A$7:$B$11,2,FALSE)</f>
        <v>Bestanden</v>
      </c>
      <c r="F311">
        <v>1</v>
      </c>
      <c r="G311">
        <v>2</v>
      </c>
    </row>
    <row r="312" spans="1:7" x14ac:dyDescent="0.35">
      <c r="A312">
        <v>311</v>
      </c>
      <c r="B312" t="str">
        <f>VLOOKUP(F312,'Hilfstabelle QP'!$A$2:$B$4,2,FALSE)</f>
        <v>Druckkontrolle</v>
      </c>
      <c r="C312" t="str">
        <f>VLOOKUP(G312,'Hilfstabelle QP'!$A$7:$B$11,2,FALSE)</f>
        <v>Durchgefallen</v>
      </c>
      <c r="F312">
        <v>2</v>
      </c>
      <c r="G312">
        <v>5</v>
      </c>
    </row>
    <row r="313" spans="1:7" x14ac:dyDescent="0.35">
      <c r="A313">
        <v>312</v>
      </c>
      <c r="B313" t="str">
        <f>VLOOKUP(F313,'Hilfstabelle QP'!$A$2:$B$4,2,FALSE)</f>
        <v>Sichtkontrolle</v>
      </c>
      <c r="C313" t="str">
        <f>VLOOKUP(G313,'Hilfstabelle QP'!$A$7:$B$11,2,FALSE)</f>
        <v>Bestanden</v>
      </c>
      <c r="F313">
        <v>1</v>
      </c>
      <c r="G313">
        <v>2</v>
      </c>
    </row>
    <row r="314" spans="1:7" x14ac:dyDescent="0.35">
      <c r="A314">
        <v>313</v>
      </c>
      <c r="B314" t="str">
        <f>VLOOKUP(F314,'Hilfstabelle QP'!$A$2:$B$4,2,FALSE)</f>
        <v>Lastkontrolle</v>
      </c>
      <c r="C314" t="str">
        <f>VLOOKUP(G314,'Hilfstabelle QP'!$A$7:$B$11,2,FALSE)</f>
        <v>Bestanden</v>
      </c>
      <c r="F314">
        <v>3</v>
      </c>
      <c r="G314">
        <v>1</v>
      </c>
    </row>
    <row r="315" spans="1:7" x14ac:dyDescent="0.35">
      <c r="A315">
        <v>314</v>
      </c>
      <c r="B315" t="str">
        <f>VLOOKUP(F315,'Hilfstabelle QP'!$A$2:$B$4,2,FALSE)</f>
        <v>Druckkontrolle</v>
      </c>
      <c r="C315" t="str">
        <f>VLOOKUP(G315,'Hilfstabelle QP'!$A$7:$B$11,2,FALSE)</f>
        <v>Bestanden</v>
      </c>
      <c r="F315">
        <v>2</v>
      </c>
      <c r="G315">
        <v>3</v>
      </c>
    </row>
    <row r="316" spans="1:7" x14ac:dyDescent="0.35">
      <c r="A316">
        <v>315</v>
      </c>
      <c r="B316" t="str">
        <f>VLOOKUP(F316,'Hilfstabelle QP'!$A$2:$B$4,2,FALSE)</f>
        <v>Sichtkontrolle</v>
      </c>
      <c r="C316" t="str">
        <f>VLOOKUP(G316,'Hilfstabelle QP'!$A$7:$B$11,2,FALSE)</f>
        <v>Bestanden</v>
      </c>
      <c r="F316">
        <v>1</v>
      </c>
      <c r="G316">
        <v>3</v>
      </c>
    </row>
    <row r="317" spans="1:7" x14ac:dyDescent="0.35">
      <c r="A317">
        <v>316</v>
      </c>
      <c r="B317" t="str">
        <f>VLOOKUP(F317,'Hilfstabelle QP'!$A$2:$B$4,2,FALSE)</f>
        <v>Druckkontrolle</v>
      </c>
      <c r="C317" t="str">
        <f>VLOOKUP(G317,'Hilfstabelle QP'!$A$7:$B$11,2,FALSE)</f>
        <v>Durchgefallen</v>
      </c>
      <c r="F317">
        <v>2</v>
      </c>
      <c r="G317">
        <v>5</v>
      </c>
    </row>
    <row r="318" spans="1:7" x14ac:dyDescent="0.35">
      <c r="A318">
        <v>317</v>
      </c>
      <c r="B318" t="str">
        <f>VLOOKUP(F318,'Hilfstabelle QP'!$A$2:$B$4,2,FALSE)</f>
        <v>Druckkontrolle</v>
      </c>
      <c r="C318" t="str">
        <f>VLOOKUP(G318,'Hilfstabelle QP'!$A$7:$B$11,2,FALSE)</f>
        <v>Durchgefallen</v>
      </c>
      <c r="F318">
        <v>2</v>
      </c>
      <c r="G318">
        <v>5</v>
      </c>
    </row>
    <row r="319" spans="1:7" x14ac:dyDescent="0.35">
      <c r="A319">
        <v>318</v>
      </c>
      <c r="B319" t="str">
        <f>VLOOKUP(F319,'Hilfstabelle QP'!$A$2:$B$4,2,FALSE)</f>
        <v>Lastkontrolle</v>
      </c>
      <c r="C319" t="str">
        <f>VLOOKUP(G319,'Hilfstabelle QP'!$A$7:$B$11,2,FALSE)</f>
        <v>Durchgefallen</v>
      </c>
      <c r="F319">
        <v>3</v>
      </c>
      <c r="G319">
        <v>5</v>
      </c>
    </row>
    <row r="320" spans="1:7" x14ac:dyDescent="0.35">
      <c r="A320">
        <v>319</v>
      </c>
      <c r="B320" t="str">
        <f>VLOOKUP(F320,'Hilfstabelle QP'!$A$2:$B$4,2,FALSE)</f>
        <v>Sichtkontrolle</v>
      </c>
      <c r="C320" t="str">
        <f>VLOOKUP(G320,'Hilfstabelle QP'!$A$7:$B$11,2,FALSE)</f>
        <v>Bestanden</v>
      </c>
      <c r="F320">
        <v>1</v>
      </c>
      <c r="G320">
        <v>1</v>
      </c>
    </row>
    <row r="321" spans="1:7" x14ac:dyDescent="0.35">
      <c r="A321">
        <v>320</v>
      </c>
      <c r="B321" t="str">
        <f>VLOOKUP(F321,'Hilfstabelle QP'!$A$2:$B$4,2,FALSE)</f>
        <v>Druckkontrolle</v>
      </c>
      <c r="C321" t="str">
        <f>VLOOKUP(G321,'Hilfstabelle QP'!$A$7:$B$11,2,FALSE)</f>
        <v>Bestanden</v>
      </c>
      <c r="F321">
        <v>2</v>
      </c>
      <c r="G321">
        <v>3</v>
      </c>
    </row>
    <row r="322" spans="1:7" x14ac:dyDescent="0.35">
      <c r="A322">
        <v>321</v>
      </c>
      <c r="B322" t="str">
        <f>VLOOKUP(F322,'Hilfstabelle QP'!$A$2:$B$4,2,FALSE)</f>
        <v>Sichtkontrolle</v>
      </c>
      <c r="C322" t="str">
        <f>VLOOKUP(G322,'Hilfstabelle QP'!$A$7:$B$11,2,FALSE)</f>
        <v>Bestanden</v>
      </c>
      <c r="F322">
        <v>1</v>
      </c>
      <c r="G322">
        <v>4</v>
      </c>
    </row>
    <row r="323" spans="1:7" x14ac:dyDescent="0.35">
      <c r="A323">
        <v>322</v>
      </c>
      <c r="B323" t="str">
        <f>VLOOKUP(F323,'Hilfstabelle QP'!$A$2:$B$4,2,FALSE)</f>
        <v>Druckkontrolle</v>
      </c>
      <c r="C323" t="str">
        <f>VLOOKUP(G323,'Hilfstabelle QP'!$A$7:$B$11,2,FALSE)</f>
        <v>Bestanden</v>
      </c>
      <c r="F323">
        <v>2</v>
      </c>
      <c r="G323">
        <v>4</v>
      </c>
    </row>
    <row r="324" spans="1:7" x14ac:dyDescent="0.35">
      <c r="A324">
        <v>323</v>
      </c>
      <c r="B324" t="str">
        <f>VLOOKUP(F324,'Hilfstabelle QP'!$A$2:$B$4,2,FALSE)</f>
        <v>Sichtkontrolle</v>
      </c>
      <c r="C324" t="str">
        <f>VLOOKUP(G324,'Hilfstabelle QP'!$A$7:$B$11,2,FALSE)</f>
        <v>Bestanden</v>
      </c>
      <c r="F324">
        <v>1</v>
      </c>
      <c r="G324">
        <v>2</v>
      </c>
    </row>
    <row r="325" spans="1:7" x14ac:dyDescent="0.35">
      <c r="A325">
        <v>324</v>
      </c>
      <c r="B325" t="str">
        <f>VLOOKUP(F325,'Hilfstabelle QP'!$A$2:$B$4,2,FALSE)</f>
        <v>Lastkontrolle</v>
      </c>
      <c r="C325" t="str">
        <f>VLOOKUP(G325,'Hilfstabelle QP'!$A$7:$B$11,2,FALSE)</f>
        <v>Bestanden</v>
      </c>
      <c r="F325">
        <v>3</v>
      </c>
      <c r="G325">
        <v>2</v>
      </c>
    </row>
    <row r="326" spans="1:7" x14ac:dyDescent="0.35">
      <c r="A326">
        <v>325</v>
      </c>
      <c r="B326" t="str">
        <f>VLOOKUP(F326,'Hilfstabelle QP'!$A$2:$B$4,2,FALSE)</f>
        <v>Sichtkontrolle</v>
      </c>
      <c r="C326" t="str">
        <f>VLOOKUP(G326,'Hilfstabelle QP'!$A$7:$B$11,2,FALSE)</f>
        <v>Bestanden</v>
      </c>
      <c r="F326">
        <v>1</v>
      </c>
      <c r="G326">
        <v>2</v>
      </c>
    </row>
    <row r="327" spans="1:7" x14ac:dyDescent="0.35">
      <c r="A327">
        <v>326</v>
      </c>
      <c r="B327" t="str">
        <f>VLOOKUP(F327,'Hilfstabelle QP'!$A$2:$B$4,2,FALSE)</f>
        <v>Lastkontrolle</v>
      </c>
      <c r="C327" t="str">
        <f>VLOOKUP(G327,'Hilfstabelle QP'!$A$7:$B$11,2,FALSE)</f>
        <v>Bestanden</v>
      </c>
      <c r="F327">
        <v>3</v>
      </c>
      <c r="G327">
        <v>4</v>
      </c>
    </row>
    <row r="328" spans="1:7" x14ac:dyDescent="0.35">
      <c r="A328">
        <v>327</v>
      </c>
      <c r="B328" t="str">
        <f>VLOOKUP(F328,'Hilfstabelle QP'!$A$2:$B$4,2,FALSE)</f>
        <v>Druckkontrolle</v>
      </c>
      <c r="C328" t="str">
        <f>VLOOKUP(G328,'Hilfstabelle QP'!$A$7:$B$11,2,FALSE)</f>
        <v>Durchgefallen</v>
      </c>
      <c r="F328">
        <v>2</v>
      </c>
      <c r="G328">
        <v>5</v>
      </c>
    </row>
    <row r="329" spans="1:7" x14ac:dyDescent="0.35">
      <c r="A329">
        <v>328</v>
      </c>
      <c r="B329" t="str">
        <f>VLOOKUP(F329,'Hilfstabelle QP'!$A$2:$B$4,2,FALSE)</f>
        <v>Lastkontrolle</v>
      </c>
      <c r="C329" t="str">
        <f>VLOOKUP(G329,'Hilfstabelle QP'!$A$7:$B$11,2,FALSE)</f>
        <v>Bestanden</v>
      </c>
      <c r="F329">
        <v>3</v>
      </c>
      <c r="G329">
        <v>1</v>
      </c>
    </row>
    <row r="330" spans="1:7" x14ac:dyDescent="0.35">
      <c r="A330">
        <v>329</v>
      </c>
      <c r="B330" t="str">
        <f>VLOOKUP(F330,'Hilfstabelle QP'!$A$2:$B$4,2,FALSE)</f>
        <v>Druckkontrolle</v>
      </c>
      <c r="C330" t="str">
        <f>VLOOKUP(G330,'Hilfstabelle QP'!$A$7:$B$11,2,FALSE)</f>
        <v>Bestanden</v>
      </c>
      <c r="F330">
        <v>2</v>
      </c>
      <c r="G330">
        <v>2</v>
      </c>
    </row>
    <row r="331" spans="1:7" x14ac:dyDescent="0.35">
      <c r="A331">
        <v>330</v>
      </c>
      <c r="B331" t="str">
        <f>VLOOKUP(F331,'Hilfstabelle QP'!$A$2:$B$4,2,FALSE)</f>
        <v>Lastkontrolle</v>
      </c>
      <c r="C331" t="str">
        <f>VLOOKUP(G331,'Hilfstabelle QP'!$A$7:$B$11,2,FALSE)</f>
        <v>Bestanden</v>
      </c>
      <c r="F331">
        <v>3</v>
      </c>
      <c r="G331">
        <v>4</v>
      </c>
    </row>
    <row r="332" spans="1:7" x14ac:dyDescent="0.35">
      <c r="A332">
        <v>331</v>
      </c>
      <c r="B332" t="str">
        <f>VLOOKUP(F332,'Hilfstabelle QP'!$A$2:$B$4,2,FALSE)</f>
        <v>Sichtkontrolle</v>
      </c>
      <c r="C332" t="str">
        <f>VLOOKUP(G332,'Hilfstabelle QP'!$A$7:$B$11,2,FALSE)</f>
        <v>Bestanden</v>
      </c>
      <c r="F332">
        <v>1</v>
      </c>
      <c r="G332">
        <v>3</v>
      </c>
    </row>
    <row r="333" spans="1:7" x14ac:dyDescent="0.35">
      <c r="A333">
        <v>332</v>
      </c>
      <c r="B333" t="str">
        <f>VLOOKUP(F333,'Hilfstabelle QP'!$A$2:$B$4,2,FALSE)</f>
        <v>Druckkontrolle</v>
      </c>
      <c r="C333" t="str">
        <f>VLOOKUP(G333,'Hilfstabelle QP'!$A$7:$B$11,2,FALSE)</f>
        <v>Bestanden</v>
      </c>
      <c r="F333">
        <v>2</v>
      </c>
      <c r="G333">
        <v>2</v>
      </c>
    </row>
    <row r="334" spans="1:7" x14ac:dyDescent="0.35">
      <c r="A334">
        <v>333</v>
      </c>
      <c r="B334" t="str">
        <f>VLOOKUP(F334,'Hilfstabelle QP'!$A$2:$B$4,2,FALSE)</f>
        <v>Lastkontrolle</v>
      </c>
      <c r="C334" t="str">
        <f>VLOOKUP(G334,'Hilfstabelle QP'!$A$7:$B$11,2,FALSE)</f>
        <v>Bestanden</v>
      </c>
      <c r="F334">
        <v>3</v>
      </c>
      <c r="G334">
        <v>3</v>
      </c>
    </row>
    <row r="335" spans="1:7" x14ac:dyDescent="0.35">
      <c r="A335">
        <v>334</v>
      </c>
      <c r="B335" t="str">
        <f>VLOOKUP(F335,'Hilfstabelle QP'!$A$2:$B$4,2,FALSE)</f>
        <v>Lastkontrolle</v>
      </c>
      <c r="C335" t="str">
        <f>VLOOKUP(G335,'Hilfstabelle QP'!$A$7:$B$11,2,FALSE)</f>
        <v>Bestanden</v>
      </c>
      <c r="F335">
        <v>3</v>
      </c>
      <c r="G335">
        <v>2</v>
      </c>
    </row>
    <row r="336" spans="1:7" x14ac:dyDescent="0.35">
      <c r="A336">
        <v>335</v>
      </c>
      <c r="B336" t="str">
        <f>VLOOKUP(F336,'Hilfstabelle QP'!$A$2:$B$4,2,FALSE)</f>
        <v>Druckkontrolle</v>
      </c>
      <c r="C336" t="str">
        <f>VLOOKUP(G336,'Hilfstabelle QP'!$A$7:$B$11,2,FALSE)</f>
        <v>Bestanden</v>
      </c>
      <c r="F336">
        <v>2</v>
      </c>
      <c r="G336">
        <v>4</v>
      </c>
    </row>
    <row r="337" spans="1:7" x14ac:dyDescent="0.35">
      <c r="A337">
        <v>336</v>
      </c>
      <c r="B337" t="str">
        <f>VLOOKUP(F337,'Hilfstabelle QP'!$A$2:$B$4,2,FALSE)</f>
        <v>Druckkontrolle</v>
      </c>
      <c r="C337" t="str">
        <f>VLOOKUP(G337,'Hilfstabelle QP'!$A$7:$B$11,2,FALSE)</f>
        <v>Durchgefallen</v>
      </c>
      <c r="F337">
        <v>2</v>
      </c>
      <c r="G337">
        <v>5</v>
      </c>
    </row>
    <row r="338" spans="1:7" x14ac:dyDescent="0.35">
      <c r="A338">
        <v>337</v>
      </c>
      <c r="B338" t="str">
        <f>VLOOKUP(F338,'Hilfstabelle QP'!$A$2:$B$4,2,FALSE)</f>
        <v>Druckkontrolle</v>
      </c>
      <c r="C338" t="str">
        <f>VLOOKUP(G338,'Hilfstabelle QP'!$A$7:$B$11,2,FALSE)</f>
        <v>Bestanden</v>
      </c>
      <c r="F338">
        <v>2</v>
      </c>
      <c r="G338">
        <v>1</v>
      </c>
    </row>
    <row r="339" spans="1:7" x14ac:dyDescent="0.35">
      <c r="A339">
        <v>338</v>
      </c>
      <c r="B339" t="str">
        <f>VLOOKUP(F339,'Hilfstabelle QP'!$A$2:$B$4,2,FALSE)</f>
        <v>Sichtkontrolle</v>
      </c>
      <c r="C339" t="str">
        <f>VLOOKUP(G339,'Hilfstabelle QP'!$A$7:$B$11,2,FALSE)</f>
        <v>Durchgefallen</v>
      </c>
      <c r="F339">
        <v>1</v>
      </c>
      <c r="G339">
        <v>5</v>
      </c>
    </row>
    <row r="340" spans="1:7" x14ac:dyDescent="0.35">
      <c r="A340">
        <v>339</v>
      </c>
      <c r="B340" t="str">
        <f>VLOOKUP(F340,'Hilfstabelle QP'!$A$2:$B$4,2,FALSE)</f>
        <v>Sichtkontrolle</v>
      </c>
      <c r="C340" t="str">
        <f>VLOOKUP(G340,'Hilfstabelle QP'!$A$7:$B$11,2,FALSE)</f>
        <v>Bestanden</v>
      </c>
      <c r="F340">
        <v>1</v>
      </c>
      <c r="G340">
        <v>2</v>
      </c>
    </row>
    <row r="341" spans="1:7" x14ac:dyDescent="0.35">
      <c r="A341">
        <v>340</v>
      </c>
      <c r="B341" t="str">
        <f>VLOOKUP(F341,'Hilfstabelle QP'!$A$2:$B$4,2,FALSE)</f>
        <v>Sichtkontrolle</v>
      </c>
      <c r="C341" t="str">
        <f>VLOOKUP(G341,'Hilfstabelle QP'!$A$7:$B$11,2,FALSE)</f>
        <v>Bestanden</v>
      </c>
      <c r="F341">
        <v>1</v>
      </c>
      <c r="G341">
        <v>4</v>
      </c>
    </row>
    <row r="342" spans="1:7" x14ac:dyDescent="0.35">
      <c r="A342">
        <v>341</v>
      </c>
      <c r="B342" t="str">
        <f>VLOOKUP(F342,'Hilfstabelle QP'!$A$2:$B$4,2,FALSE)</f>
        <v>Lastkontrolle</v>
      </c>
      <c r="C342" t="str">
        <f>VLOOKUP(G342,'Hilfstabelle QP'!$A$7:$B$11,2,FALSE)</f>
        <v>Durchgefallen</v>
      </c>
      <c r="F342">
        <v>3</v>
      </c>
      <c r="G342">
        <v>5</v>
      </c>
    </row>
    <row r="343" spans="1:7" x14ac:dyDescent="0.35">
      <c r="A343">
        <v>342</v>
      </c>
      <c r="B343" t="str">
        <f>VLOOKUP(F343,'Hilfstabelle QP'!$A$2:$B$4,2,FALSE)</f>
        <v>Lastkontrolle</v>
      </c>
      <c r="C343" t="str">
        <f>VLOOKUP(G343,'Hilfstabelle QP'!$A$7:$B$11,2,FALSE)</f>
        <v>Bestanden</v>
      </c>
      <c r="F343">
        <v>3</v>
      </c>
      <c r="G343">
        <v>3</v>
      </c>
    </row>
    <row r="344" spans="1:7" x14ac:dyDescent="0.35">
      <c r="A344">
        <v>343</v>
      </c>
      <c r="B344" t="str">
        <f>VLOOKUP(F344,'Hilfstabelle QP'!$A$2:$B$4,2,FALSE)</f>
        <v>Lastkontrolle</v>
      </c>
      <c r="C344" t="str">
        <f>VLOOKUP(G344,'Hilfstabelle QP'!$A$7:$B$11,2,FALSE)</f>
        <v>Bestanden</v>
      </c>
      <c r="F344">
        <v>3</v>
      </c>
      <c r="G344">
        <v>3</v>
      </c>
    </row>
    <row r="345" spans="1:7" x14ac:dyDescent="0.35">
      <c r="A345">
        <v>344</v>
      </c>
      <c r="B345" t="str">
        <f>VLOOKUP(F345,'Hilfstabelle QP'!$A$2:$B$4,2,FALSE)</f>
        <v>Lastkontrolle</v>
      </c>
      <c r="C345" t="str">
        <f>VLOOKUP(G345,'Hilfstabelle QP'!$A$7:$B$11,2,FALSE)</f>
        <v>Durchgefallen</v>
      </c>
      <c r="F345">
        <v>3</v>
      </c>
      <c r="G345">
        <v>5</v>
      </c>
    </row>
    <row r="346" spans="1:7" x14ac:dyDescent="0.35">
      <c r="A346">
        <v>345</v>
      </c>
      <c r="B346" t="str">
        <f>VLOOKUP(F346,'Hilfstabelle QP'!$A$2:$B$4,2,FALSE)</f>
        <v>Sichtkontrolle</v>
      </c>
      <c r="C346" t="str">
        <f>VLOOKUP(G346,'Hilfstabelle QP'!$A$7:$B$11,2,FALSE)</f>
        <v>Durchgefallen</v>
      </c>
      <c r="F346">
        <v>1</v>
      </c>
      <c r="G346">
        <v>5</v>
      </c>
    </row>
    <row r="347" spans="1:7" x14ac:dyDescent="0.35">
      <c r="A347">
        <v>346</v>
      </c>
      <c r="B347" t="str">
        <f>VLOOKUP(F347,'Hilfstabelle QP'!$A$2:$B$4,2,FALSE)</f>
        <v>Lastkontrolle</v>
      </c>
      <c r="C347" t="str">
        <f>VLOOKUP(G347,'Hilfstabelle QP'!$A$7:$B$11,2,FALSE)</f>
        <v>Bestanden</v>
      </c>
      <c r="F347">
        <v>3</v>
      </c>
      <c r="G347">
        <v>2</v>
      </c>
    </row>
    <row r="348" spans="1:7" x14ac:dyDescent="0.35">
      <c r="A348">
        <v>347</v>
      </c>
      <c r="B348" t="str">
        <f>VLOOKUP(F348,'Hilfstabelle QP'!$A$2:$B$4,2,FALSE)</f>
        <v>Druckkontrolle</v>
      </c>
      <c r="C348" t="str">
        <f>VLOOKUP(G348,'Hilfstabelle QP'!$A$7:$B$11,2,FALSE)</f>
        <v>Durchgefallen</v>
      </c>
      <c r="F348">
        <v>2</v>
      </c>
      <c r="G348">
        <v>5</v>
      </c>
    </row>
    <row r="349" spans="1:7" x14ac:dyDescent="0.35">
      <c r="A349">
        <v>348</v>
      </c>
      <c r="B349" t="str">
        <f>VLOOKUP(F349,'Hilfstabelle QP'!$A$2:$B$4,2,FALSE)</f>
        <v>Lastkontrolle</v>
      </c>
      <c r="C349" t="str">
        <f>VLOOKUP(G349,'Hilfstabelle QP'!$A$7:$B$11,2,FALSE)</f>
        <v>Bestanden</v>
      </c>
      <c r="F349">
        <v>3</v>
      </c>
      <c r="G349">
        <v>3</v>
      </c>
    </row>
    <row r="350" spans="1:7" x14ac:dyDescent="0.35">
      <c r="A350">
        <v>349</v>
      </c>
      <c r="B350" t="str">
        <f>VLOOKUP(F350,'Hilfstabelle QP'!$A$2:$B$4,2,FALSE)</f>
        <v>Sichtkontrolle</v>
      </c>
      <c r="C350" t="str">
        <f>VLOOKUP(G350,'Hilfstabelle QP'!$A$7:$B$11,2,FALSE)</f>
        <v>Bestanden</v>
      </c>
      <c r="F350">
        <v>1</v>
      </c>
      <c r="G350">
        <v>2</v>
      </c>
    </row>
    <row r="351" spans="1:7" x14ac:dyDescent="0.35">
      <c r="A351">
        <v>350</v>
      </c>
      <c r="B351" t="str">
        <f>VLOOKUP(F351,'Hilfstabelle QP'!$A$2:$B$4,2,FALSE)</f>
        <v>Sichtkontrolle</v>
      </c>
      <c r="C351" t="str">
        <f>VLOOKUP(G351,'Hilfstabelle QP'!$A$7:$B$11,2,FALSE)</f>
        <v>Bestanden</v>
      </c>
      <c r="F351">
        <v>1</v>
      </c>
      <c r="G351">
        <v>1</v>
      </c>
    </row>
    <row r="352" spans="1:7" x14ac:dyDescent="0.35">
      <c r="A352">
        <v>351</v>
      </c>
      <c r="B352" t="str">
        <f>VLOOKUP(F352,'Hilfstabelle QP'!$A$2:$B$4,2,FALSE)</f>
        <v>Lastkontrolle</v>
      </c>
      <c r="C352" t="str">
        <f>VLOOKUP(G352,'Hilfstabelle QP'!$A$7:$B$11,2,FALSE)</f>
        <v>Durchgefallen</v>
      </c>
      <c r="F352">
        <v>3</v>
      </c>
      <c r="G352">
        <v>5</v>
      </c>
    </row>
    <row r="353" spans="1:7" x14ac:dyDescent="0.35">
      <c r="A353">
        <v>352</v>
      </c>
      <c r="B353" t="str">
        <f>VLOOKUP(F353,'Hilfstabelle QP'!$A$2:$B$4,2,FALSE)</f>
        <v>Sichtkontrolle</v>
      </c>
      <c r="C353" t="str">
        <f>VLOOKUP(G353,'Hilfstabelle QP'!$A$7:$B$11,2,FALSE)</f>
        <v>Bestanden</v>
      </c>
      <c r="F353">
        <v>1</v>
      </c>
      <c r="G353">
        <v>4</v>
      </c>
    </row>
    <row r="354" spans="1:7" x14ac:dyDescent="0.35">
      <c r="A354">
        <v>353</v>
      </c>
      <c r="B354" t="str">
        <f>VLOOKUP(F354,'Hilfstabelle QP'!$A$2:$B$4,2,FALSE)</f>
        <v>Sichtkontrolle</v>
      </c>
      <c r="C354" t="str">
        <f>VLOOKUP(G354,'Hilfstabelle QP'!$A$7:$B$11,2,FALSE)</f>
        <v>Bestanden</v>
      </c>
      <c r="F354">
        <v>1</v>
      </c>
      <c r="G354">
        <v>3</v>
      </c>
    </row>
    <row r="355" spans="1:7" x14ac:dyDescent="0.35">
      <c r="A355">
        <v>354</v>
      </c>
      <c r="B355" t="str">
        <f>VLOOKUP(F355,'Hilfstabelle QP'!$A$2:$B$4,2,FALSE)</f>
        <v>Lastkontrolle</v>
      </c>
      <c r="C355" t="str">
        <f>VLOOKUP(G355,'Hilfstabelle QP'!$A$7:$B$11,2,FALSE)</f>
        <v>Bestanden</v>
      </c>
      <c r="F355">
        <v>3</v>
      </c>
      <c r="G355">
        <v>4</v>
      </c>
    </row>
    <row r="356" spans="1:7" x14ac:dyDescent="0.35">
      <c r="A356">
        <v>355</v>
      </c>
      <c r="B356" t="str">
        <f>VLOOKUP(F356,'Hilfstabelle QP'!$A$2:$B$4,2,FALSE)</f>
        <v>Druckkontrolle</v>
      </c>
      <c r="C356" t="str">
        <f>VLOOKUP(G356,'Hilfstabelle QP'!$A$7:$B$11,2,FALSE)</f>
        <v>Durchgefallen</v>
      </c>
      <c r="F356">
        <v>2</v>
      </c>
      <c r="G356">
        <v>5</v>
      </c>
    </row>
    <row r="357" spans="1:7" x14ac:dyDescent="0.35">
      <c r="A357">
        <v>356</v>
      </c>
      <c r="B357" t="str">
        <f>VLOOKUP(F357,'Hilfstabelle QP'!$A$2:$B$4,2,FALSE)</f>
        <v>Lastkontrolle</v>
      </c>
      <c r="C357" t="str">
        <f>VLOOKUP(G357,'Hilfstabelle QP'!$A$7:$B$11,2,FALSE)</f>
        <v>Bestanden</v>
      </c>
      <c r="F357">
        <v>3</v>
      </c>
      <c r="G357">
        <v>1</v>
      </c>
    </row>
    <row r="358" spans="1:7" x14ac:dyDescent="0.35">
      <c r="A358">
        <v>357</v>
      </c>
      <c r="B358" t="str">
        <f>VLOOKUP(F358,'Hilfstabelle QP'!$A$2:$B$4,2,FALSE)</f>
        <v>Druckkontrolle</v>
      </c>
      <c r="C358" t="str">
        <f>VLOOKUP(G358,'Hilfstabelle QP'!$A$7:$B$11,2,FALSE)</f>
        <v>Durchgefallen</v>
      </c>
      <c r="F358">
        <v>2</v>
      </c>
      <c r="G358">
        <v>5</v>
      </c>
    </row>
    <row r="359" spans="1:7" x14ac:dyDescent="0.35">
      <c r="A359">
        <v>358</v>
      </c>
      <c r="B359" t="str">
        <f>VLOOKUP(F359,'Hilfstabelle QP'!$A$2:$B$4,2,FALSE)</f>
        <v>Lastkontrolle</v>
      </c>
      <c r="C359" t="str">
        <f>VLOOKUP(G359,'Hilfstabelle QP'!$A$7:$B$11,2,FALSE)</f>
        <v>Durchgefallen</v>
      </c>
      <c r="F359">
        <v>3</v>
      </c>
      <c r="G359">
        <v>5</v>
      </c>
    </row>
    <row r="360" spans="1:7" x14ac:dyDescent="0.35">
      <c r="A360">
        <v>359</v>
      </c>
      <c r="B360" t="str">
        <f>VLOOKUP(F360,'Hilfstabelle QP'!$A$2:$B$4,2,FALSE)</f>
        <v>Lastkontrolle</v>
      </c>
      <c r="C360" t="str">
        <f>VLOOKUP(G360,'Hilfstabelle QP'!$A$7:$B$11,2,FALSE)</f>
        <v>Durchgefallen</v>
      </c>
      <c r="F360">
        <v>3</v>
      </c>
      <c r="G360">
        <v>5</v>
      </c>
    </row>
    <row r="361" spans="1:7" x14ac:dyDescent="0.35">
      <c r="A361">
        <v>360</v>
      </c>
      <c r="B361" t="str">
        <f>VLOOKUP(F361,'Hilfstabelle QP'!$A$2:$B$4,2,FALSE)</f>
        <v>Lastkontrolle</v>
      </c>
      <c r="C361" t="str">
        <f>VLOOKUP(G361,'Hilfstabelle QP'!$A$7:$B$11,2,FALSE)</f>
        <v>Bestanden</v>
      </c>
      <c r="F361">
        <v>3</v>
      </c>
      <c r="G361">
        <v>2</v>
      </c>
    </row>
    <row r="362" spans="1:7" x14ac:dyDescent="0.35">
      <c r="A362">
        <v>361</v>
      </c>
      <c r="B362" t="str">
        <f>VLOOKUP(F362,'Hilfstabelle QP'!$A$2:$B$4,2,FALSE)</f>
        <v>Lastkontrolle</v>
      </c>
      <c r="C362" t="str">
        <f>VLOOKUP(G362,'Hilfstabelle QP'!$A$7:$B$11,2,FALSE)</f>
        <v>Bestanden</v>
      </c>
      <c r="F362">
        <v>3</v>
      </c>
      <c r="G362">
        <v>2</v>
      </c>
    </row>
    <row r="363" spans="1:7" x14ac:dyDescent="0.35">
      <c r="A363">
        <v>362</v>
      </c>
      <c r="B363" t="str">
        <f>VLOOKUP(F363,'Hilfstabelle QP'!$A$2:$B$4,2,FALSE)</f>
        <v>Druckkontrolle</v>
      </c>
      <c r="C363" t="str">
        <f>VLOOKUP(G363,'Hilfstabelle QP'!$A$7:$B$11,2,FALSE)</f>
        <v>Bestanden</v>
      </c>
      <c r="F363">
        <v>2</v>
      </c>
      <c r="G363">
        <v>2</v>
      </c>
    </row>
    <row r="364" spans="1:7" x14ac:dyDescent="0.35">
      <c r="A364">
        <v>363</v>
      </c>
      <c r="B364" t="str">
        <f>VLOOKUP(F364,'Hilfstabelle QP'!$A$2:$B$4,2,FALSE)</f>
        <v>Druckkontrolle</v>
      </c>
      <c r="C364" t="str">
        <f>VLOOKUP(G364,'Hilfstabelle QP'!$A$7:$B$11,2,FALSE)</f>
        <v>Bestanden</v>
      </c>
      <c r="F364">
        <v>2</v>
      </c>
      <c r="G364">
        <v>4</v>
      </c>
    </row>
    <row r="365" spans="1:7" x14ac:dyDescent="0.35">
      <c r="A365">
        <v>364</v>
      </c>
      <c r="B365" t="str">
        <f>VLOOKUP(F365,'Hilfstabelle QP'!$A$2:$B$4,2,FALSE)</f>
        <v>Sichtkontrolle</v>
      </c>
      <c r="C365" t="str">
        <f>VLOOKUP(G365,'Hilfstabelle QP'!$A$7:$B$11,2,FALSE)</f>
        <v>Durchgefallen</v>
      </c>
      <c r="F365">
        <v>1</v>
      </c>
      <c r="G365">
        <v>5</v>
      </c>
    </row>
    <row r="366" spans="1:7" x14ac:dyDescent="0.35">
      <c r="A366">
        <v>365</v>
      </c>
      <c r="B366" t="str">
        <f>VLOOKUP(F366,'Hilfstabelle QP'!$A$2:$B$4,2,FALSE)</f>
        <v>Druckkontrolle</v>
      </c>
      <c r="C366" t="str">
        <f>VLOOKUP(G366,'Hilfstabelle QP'!$A$7:$B$11,2,FALSE)</f>
        <v>Durchgefallen</v>
      </c>
      <c r="F366">
        <v>2</v>
      </c>
      <c r="G366">
        <v>5</v>
      </c>
    </row>
    <row r="367" spans="1:7" x14ac:dyDescent="0.35">
      <c r="A367">
        <v>366</v>
      </c>
      <c r="B367" t="str">
        <f>VLOOKUP(F367,'Hilfstabelle QP'!$A$2:$B$4,2,FALSE)</f>
        <v>Sichtkontrolle</v>
      </c>
      <c r="C367" t="str">
        <f>VLOOKUP(G367,'Hilfstabelle QP'!$A$7:$B$11,2,FALSE)</f>
        <v>Durchgefallen</v>
      </c>
      <c r="F367">
        <v>1</v>
      </c>
      <c r="G367">
        <v>5</v>
      </c>
    </row>
    <row r="368" spans="1:7" x14ac:dyDescent="0.35">
      <c r="A368">
        <v>367</v>
      </c>
      <c r="B368" t="str">
        <f>VLOOKUP(F368,'Hilfstabelle QP'!$A$2:$B$4,2,FALSE)</f>
        <v>Druckkontrolle</v>
      </c>
      <c r="C368" t="str">
        <f>VLOOKUP(G368,'Hilfstabelle QP'!$A$7:$B$11,2,FALSE)</f>
        <v>Bestanden</v>
      </c>
      <c r="F368">
        <v>2</v>
      </c>
      <c r="G368">
        <v>4</v>
      </c>
    </row>
    <row r="369" spans="1:7" x14ac:dyDescent="0.35">
      <c r="A369">
        <v>368</v>
      </c>
      <c r="B369" t="str">
        <f>VLOOKUP(F369,'Hilfstabelle QP'!$A$2:$B$4,2,FALSE)</f>
        <v>Lastkontrolle</v>
      </c>
      <c r="C369" t="str">
        <f>VLOOKUP(G369,'Hilfstabelle QP'!$A$7:$B$11,2,FALSE)</f>
        <v>Bestanden</v>
      </c>
      <c r="F369">
        <v>3</v>
      </c>
      <c r="G369">
        <v>2</v>
      </c>
    </row>
    <row r="370" spans="1:7" x14ac:dyDescent="0.35">
      <c r="A370">
        <v>369</v>
      </c>
      <c r="B370" t="str">
        <f>VLOOKUP(F370,'Hilfstabelle QP'!$A$2:$B$4,2,FALSE)</f>
        <v>Sichtkontrolle</v>
      </c>
      <c r="C370" t="str">
        <f>VLOOKUP(G370,'Hilfstabelle QP'!$A$7:$B$11,2,FALSE)</f>
        <v>Durchgefallen</v>
      </c>
      <c r="F370">
        <v>1</v>
      </c>
      <c r="G370">
        <v>5</v>
      </c>
    </row>
    <row r="371" spans="1:7" x14ac:dyDescent="0.35">
      <c r="A371">
        <v>370</v>
      </c>
      <c r="B371" t="str">
        <f>VLOOKUP(F371,'Hilfstabelle QP'!$A$2:$B$4,2,FALSE)</f>
        <v>Sichtkontrolle</v>
      </c>
      <c r="C371" t="str">
        <f>VLOOKUP(G371,'Hilfstabelle QP'!$A$7:$B$11,2,FALSE)</f>
        <v>Durchgefallen</v>
      </c>
      <c r="F371">
        <v>1</v>
      </c>
      <c r="G371">
        <v>5</v>
      </c>
    </row>
    <row r="372" spans="1:7" x14ac:dyDescent="0.35">
      <c r="A372">
        <v>371</v>
      </c>
      <c r="B372" t="str">
        <f>VLOOKUP(F372,'Hilfstabelle QP'!$A$2:$B$4,2,FALSE)</f>
        <v>Druckkontrolle</v>
      </c>
      <c r="C372" t="str">
        <f>VLOOKUP(G372,'Hilfstabelle QP'!$A$7:$B$11,2,FALSE)</f>
        <v>Durchgefallen</v>
      </c>
      <c r="F372">
        <v>2</v>
      </c>
      <c r="G372">
        <v>5</v>
      </c>
    </row>
    <row r="373" spans="1:7" x14ac:dyDescent="0.35">
      <c r="A373">
        <v>372</v>
      </c>
      <c r="B373" t="str">
        <f>VLOOKUP(F373,'Hilfstabelle QP'!$A$2:$B$4,2,FALSE)</f>
        <v>Lastkontrolle</v>
      </c>
      <c r="C373" t="str">
        <f>VLOOKUP(G373,'Hilfstabelle QP'!$A$7:$B$11,2,FALSE)</f>
        <v>Bestanden</v>
      </c>
      <c r="F373">
        <v>3</v>
      </c>
      <c r="G373">
        <v>3</v>
      </c>
    </row>
    <row r="374" spans="1:7" x14ac:dyDescent="0.35">
      <c r="A374">
        <v>373</v>
      </c>
      <c r="B374" t="str">
        <f>VLOOKUP(F374,'Hilfstabelle QP'!$A$2:$B$4,2,FALSE)</f>
        <v>Druckkontrolle</v>
      </c>
      <c r="C374" t="str">
        <f>VLOOKUP(G374,'Hilfstabelle QP'!$A$7:$B$11,2,FALSE)</f>
        <v>Bestanden</v>
      </c>
      <c r="F374">
        <v>2</v>
      </c>
      <c r="G374">
        <v>4</v>
      </c>
    </row>
    <row r="375" spans="1:7" x14ac:dyDescent="0.35">
      <c r="A375">
        <v>374</v>
      </c>
      <c r="B375" t="str">
        <f>VLOOKUP(F375,'Hilfstabelle QP'!$A$2:$B$4,2,FALSE)</f>
        <v>Druckkontrolle</v>
      </c>
      <c r="C375" t="str">
        <f>VLOOKUP(G375,'Hilfstabelle QP'!$A$7:$B$11,2,FALSE)</f>
        <v>Bestanden</v>
      </c>
      <c r="F375">
        <v>2</v>
      </c>
      <c r="G375">
        <v>3</v>
      </c>
    </row>
    <row r="376" spans="1:7" x14ac:dyDescent="0.35">
      <c r="A376">
        <v>375</v>
      </c>
      <c r="B376" t="str">
        <f>VLOOKUP(F376,'Hilfstabelle QP'!$A$2:$B$4,2,FALSE)</f>
        <v>Druckkontrolle</v>
      </c>
      <c r="C376" t="str">
        <f>VLOOKUP(G376,'Hilfstabelle QP'!$A$7:$B$11,2,FALSE)</f>
        <v>Bestanden</v>
      </c>
      <c r="F376">
        <v>2</v>
      </c>
      <c r="G376">
        <v>2</v>
      </c>
    </row>
    <row r="377" spans="1:7" x14ac:dyDescent="0.35">
      <c r="A377">
        <v>376</v>
      </c>
      <c r="B377" t="str">
        <f>VLOOKUP(F377,'Hilfstabelle QP'!$A$2:$B$4,2,FALSE)</f>
        <v>Sichtkontrolle</v>
      </c>
      <c r="C377" t="str">
        <f>VLOOKUP(G377,'Hilfstabelle QP'!$A$7:$B$11,2,FALSE)</f>
        <v>Bestanden</v>
      </c>
      <c r="F377">
        <v>1</v>
      </c>
      <c r="G377">
        <v>4</v>
      </c>
    </row>
    <row r="378" spans="1:7" x14ac:dyDescent="0.35">
      <c r="A378">
        <v>377</v>
      </c>
      <c r="B378" t="str">
        <f>VLOOKUP(F378,'Hilfstabelle QP'!$A$2:$B$4,2,FALSE)</f>
        <v>Sichtkontrolle</v>
      </c>
      <c r="C378" t="str">
        <f>VLOOKUP(G378,'Hilfstabelle QP'!$A$7:$B$11,2,FALSE)</f>
        <v>Bestanden</v>
      </c>
      <c r="F378">
        <v>1</v>
      </c>
      <c r="G378">
        <v>3</v>
      </c>
    </row>
    <row r="379" spans="1:7" x14ac:dyDescent="0.35">
      <c r="A379">
        <v>378</v>
      </c>
      <c r="B379" t="str">
        <f>VLOOKUP(F379,'Hilfstabelle QP'!$A$2:$B$4,2,FALSE)</f>
        <v>Druckkontrolle</v>
      </c>
      <c r="C379" t="str">
        <f>VLOOKUP(G379,'Hilfstabelle QP'!$A$7:$B$11,2,FALSE)</f>
        <v>Bestanden</v>
      </c>
      <c r="F379">
        <v>2</v>
      </c>
      <c r="G379">
        <v>3</v>
      </c>
    </row>
    <row r="380" spans="1:7" x14ac:dyDescent="0.35">
      <c r="A380">
        <v>379</v>
      </c>
      <c r="B380" t="str">
        <f>VLOOKUP(F380,'Hilfstabelle QP'!$A$2:$B$4,2,FALSE)</f>
        <v>Sichtkontrolle</v>
      </c>
      <c r="C380" t="str">
        <f>VLOOKUP(G380,'Hilfstabelle QP'!$A$7:$B$11,2,FALSE)</f>
        <v>Bestanden</v>
      </c>
      <c r="F380">
        <v>1</v>
      </c>
      <c r="G380">
        <v>1</v>
      </c>
    </row>
    <row r="381" spans="1:7" x14ac:dyDescent="0.35">
      <c r="A381">
        <v>380</v>
      </c>
      <c r="B381" t="str">
        <f>VLOOKUP(F381,'Hilfstabelle QP'!$A$2:$B$4,2,FALSE)</f>
        <v>Sichtkontrolle</v>
      </c>
      <c r="C381" t="str">
        <f>VLOOKUP(G381,'Hilfstabelle QP'!$A$7:$B$11,2,FALSE)</f>
        <v>Bestanden</v>
      </c>
      <c r="F381">
        <v>1</v>
      </c>
      <c r="G381">
        <v>3</v>
      </c>
    </row>
    <row r="382" spans="1:7" x14ac:dyDescent="0.35">
      <c r="A382">
        <v>381</v>
      </c>
      <c r="B382" t="str">
        <f>VLOOKUP(F382,'Hilfstabelle QP'!$A$2:$B$4,2,FALSE)</f>
        <v>Druckkontrolle</v>
      </c>
      <c r="C382" t="str">
        <f>VLOOKUP(G382,'Hilfstabelle QP'!$A$7:$B$11,2,FALSE)</f>
        <v>Bestanden</v>
      </c>
      <c r="F382">
        <v>2</v>
      </c>
      <c r="G382">
        <v>3</v>
      </c>
    </row>
    <row r="383" spans="1:7" x14ac:dyDescent="0.35">
      <c r="A383">
        <v>382</v>
      </c>
      <c r="B383" t="str">
        <f>VLOOKUP(F383,'Hilfstabelle QP'!$A$2:$B$4,2,FALSE)</f>
        <v>Sichtkontrolle</v>
      </c>
      <c r="C383" t="str">
        <f>VLOOKUP(G383,'Hilfstabelle QP'!$A$7:$B$11,2,FALSE)</f>
        <v>Bestanden</v>
      </c>
      <c r="F383">
        <v>1</v>
      </c>
      <c r="G383">
        <v>2</v>
      </c>
    </row>
    <row r="384" spans="1:7" x14ac:dyDescent="0.35">
      <c r="A384">
        <v>383</v>
      </c>
      <c r="B384" t="str">
        <f>VLOOKUP(F384,'Hilfstabelle QP'!$A$2:$B$4,2,FALSE)</f>
        <v>Sichtkontrolle</v>
      </c>
      <c r="C384" t="str">
        <f>VLOOKUP(G384,'Hilfstabelle QP'!$A$7:$B$11,2,FALSE)</f>
        <v>Bestanden</v>
      </c>
      <c r="F384">
        <v>1</v>
      </c>
      <c r="G384">
        <v>4</v>
      </c>
    </row>
    <row r="385" spans="1:7" x14ac:dyDescent="0.35">
      <c r="A385">
        <v>384</v>
      </c>
      <c r="B385" t="str">
        <f>VLOOKUP(F385,'Hilfstabelle QP'!$A$2:$B$4,2,FALSE)</f>
        <v>Lastkontrolle</v>
      </c>
      <c r="C385" t="str">
        <f>VLOOKUP(G385,'Hilfstabelle QP'!$A$7:$B$11,2,FALSE)</f>
        <v>Bestanden</v>
      </c>
      <c r="F385">
        <v>3</v>
      </c>
      <c r="G385">
        <v>1</v>
      </c>
    </row>
    <row r="386" spans="1:7" x14ac:dyDescent="0.35">
      <c r="A386">
        <v>385</v>
      </c>
      <c r="B386" t="str">
        <f>VLOOKUP(F386,'Hilfstabelle QP'!$A$2:$B$4,2,FALSE)</f>
        <v>Druckkontrolle</v>
      </c>
      <c r="C386" t="str">
        <f>VLOOKUP(G386,'Hilfstabelle QP'!$A$7:$B$11,2,FALSE)</f>
        <v>Bestanden</v>
      </c>
      <c r="F386">
        <v>2</v>
      </c>
      <c r="G386">
        <v>4</v>
      </c>
    </row>
    <row r="387" spans="1:7" x14ac:dyDescent="0.35">
      <c r="A387">
        <v>386</v>
      </c>
      <c r="B387" t="str">
        <f>VLOOKUP(F387,'Hilfstabelle QP'!$A$2:$B$4,2,FALSE)</f>
        <v>Druckkontrolle</v>
      </c>
      <c r="C387" t="str">
        <f>VLOOKUP(G387,'Hilfstabelle QP'!$A$7:$B$11,2,FALSE)</f>
        <v>Bestanden</v>
      </c>
      <c r="F387">
        <v>2</v>
      </c>
      <c r="G387">
        <v>3</v>
      </c>
    </row>
    <row r="388" spans="1:7" x14ac:dyDescent="0.35">
      <c r="A388">
        <v>387</v>
      </c>
      <c r="B388" t="str">
        <f>VLOOKUP(F388,'Hilfstabelle QP'!$A$2:$B$4,2,FALSE)</f>
        <v>Druckkontrolle</v>
      </c>
      <c r="C388" t="str">
        <f>VLOOKUP(G388,'Hilfstabelle QP'!$A$7:$B$11,2,FALSE)</f>
        <v>Durchgefallen</v>
      </c>
      <c r="F388">
        <v>2</v>
      </c>
      <c r="G388">
        <v>5</v>
      </c>
    </row>
    <row r="389" spans="1:7" x14ac:dyDescent="0.35">
      <c r="A389">
        <v>388</v>
      </c>
      <c r="B389" t="str">
        <f>VLOOKUP(F389,'Hilfstabelle QP'!$A$2:$B$4,2,FALSE)</f>
        <v>Druckkontrolle</v>
      </c>
      <c r="C389" t="str">
        <f>VLOOKUP(G389,'Hilfstabelle QP'!$A$7:$B$11,2,FALSE)</f>
        <v>Bestanden</v>
      </c>
      <c r="F389">
        <v>2</v>
      </c>
      <c r="G389">
        <v>1</v>
      </c>
    </row>
    <row r="390" spans="1:7" x14ac:dyDescent="0.35">
      <c r="A390">
        <v>389</v>
      </c>
      <c r="B390" t="str">
        <f>VLOOKUP(F390,'Hilfstabelle QP'!$A$2:$B$4,2,FALSE)</f>
        <v>Lastkontrolle</v>
      </c>
      <c r="C390" t="str">
        <f>VLOOKUP(G390,'Hilfstabelle QP'!$A$7:$B$11,2,FALSE)</f>
        <v>Bestanden</v>
      </c>
      <c r="F390">
        <v>3</v>
      </c>
      <c r="G390">
        <v>3</v>
      </c>
    </row>
    <row r="391" spans="1:7" x14ac:dyDescent="0.35">
      <c r="A391">
        <v>390</v>
      </c>
      <c r="B391" t="str">
        <f>VLOOKUP(F391,'Hilfstabelle QP'!$A$2:$B$4,2,FALSE)</f>
        <v>Lastkontrolle</v>
      </c>
      <c r="C391" t="str">
        <f>VLOOKUP(G391,'Hilfstabelle QP'!$A$7:$B$11,2,FALSE)</f>
        <v>Bestanden</v>
      </c>
      <c r="F391">
        <v>3</v>
      </c>
      <c r="G391">
        <v>1</v>
      </c>
    </row>
    <row r="392" spans="1:7" x14ac:dyDescent="0.35">
      <c r="A392">
        <v>391</v>
      </c>
      <c r="B392" t="str">
        <f>VLOOKUP(F392,'Hilfstabelle QP'!$A$2:$B$4,2,FALSE)</f>
        <v>Druckkontrolle</v>
      </c>
      <c r="C392" t="str">
        <f>VLOOKUP(G392,'Hilfstabelle QP'!$A$7:$B$11,2,FALSE)</f>
        <v>Bestanden</v>
      </c>
      <c r="F392">
        <v>2</v>
      </c>
      <c r="G392">
        <v>1</v>
      </c>
    </row>
    <row r="393" spans="1:7" x14ac:dyDescent="0.35">
      <c r="A393">
        <v>392</v>
      </c>
      <c r="B393" t="str">
        <f>VLOOKUP(F393,'Hilfstabelle QP'!$A$2:$B$4,2,FALSE)</f>
        <v>Sichtkontrolle</v>
      </c>
      <c r="C393" t="str">
        <f>VLOOKUP(G393,'Hilfstabelle QP'!$A$7:$B$11,2,FALSE)</f>
        <v>Bestanden</v>
      </c>
      <c r="F393">
        <v>1</v>
      </c>
      <c r="G393">
        <v>1</v>
      </c>
    </row>
    <row r="394" spans="1:7" x14ac:dyDescent="0.35">
      <c r="A394">
        <v>393</v>
      </c>
      <c r="B394" t="str">
        <f>VLOOKUP(F394,'Hilfstabelle QP'!$A$2:$B$4,2,FALSE)</f>
        <v>Lastkontrolle</v>
      </c>
      <c r="C394" t="str">
        <f>VLOOKUP(G394,'Hilfstabelle QP'!$A$7:$B$11,2,FALSE)</f>
        <v>Durchgefallen</v>
      </c>
      <c r="F394">
        <v>3</v>
      </c>
      <c r="G394">
        <v>5</v>
      </c>
    </row>
    <row r="395" spans="1:7" x14ac:dyDescent="0.35">
      <c r="A395">
        <v>394</v>
      </c>
      <c r="B395" t="str">
        <f>VLOOKUP(F395,'Hilfstabelle QP'!$A$2:$B$4,2,FALSE)</f>
        <v>Druckkontrolle</v>
      </c>
      <c r="C395" t="str">
        <f>VLOOKUP(G395,'Hilfstabelle QP'!$A$7:$B$11,2,FALSE)</f>
        <v>Bestanden</v>
      </c>
      <c r="F395">
        <v>2</v>
      </c>
      <c r="G395">
        <v>4</v>
      </c>
    </row>
    <row r="396" spans="1:7" x14ac:dyDescent="0.35">
      <c r="A396">
        <v>395</v>
      </c>
      <c r="B396" t="str">
        <f>VLOOKUP(F396,'Hilfstabelle QP'!$A$2:$B$4,2,FALSE)</f>
        <v>Sichtkontrolle</v>
      </c>
      <c r="C396" t="str">
        <f>VLOOKUP(G396,'Hilfstabelle QP'!$A$7:$B$11,2,FALSE)</f>
        <v>Bestanden</v>
      </c>
      <c r="F396">
        <v>1</v>
      </c>
      <c r="G396">
        <v>4</v>
      </c>
    </row>
    <row r="397" spans="1:7" x14ac:dyDescent="0.35">
      <c r="A397">
        <v>396</v>
      </c>
      <c r="B397" t="str">
        <f>VLOOKUP(F397,'Hilfstabelle QP'!$A$2:$B$4,2,FALSE)</f>
        <v>Sichtkontrolle</v>
      </c>
      <c r="C397" t="str">
        <f>VLOOKUP(G397,'Hilfstabelle QP'!$A$7:$B$11,2,FALSE)</f>
        <v>Durchgefallen</v>
      </c>
      <c r="F397">
        <v>1</v>
      </c>
      <c r="G397">
        <v>5</v>
      </c>
    </row>
    <row r="398" spans="1:7" x14ac:dyDescent="0.35">
      <c r="A398">
        <v>397</v>
      </c>
      <c r="B398" t="str">
        <f>VLOOKUP(F398,'Hilfstabelle QP'!$A$2:$B$4,2,FALSE)</f>
        <v>Lastkontrolle</v>
      </c>
      <c r="C398" t="str">
        <f>VLOOKUP(G398,'Hilfstabelle QP'!$A$7:$B$11,2,FALSE)</f>
        <v>Bestanden</v>
      </c>
      <c r="F398">
        <v>3</v>
      </c>
      <c r="G398">
        <v>3</v>
      </c>
    </row>
    <row r="399" spans="1:7" x14ac:dyDescent="0.35">
      <c r="A399">
        <v>398</v>
      </c>
      <c r="B399" t="str">
        <f>VLOOKUP(F399,'Hilfstabelle QP'!$A$2:$B$4,2,FALSE)</f>
        <v>Druckkontrolle</v>
      </c>
      <c r="C399" t="str">
        <f>VLOOKUP(G399,'Hilfstabelle QP'!$A$7:$B$11,2,FALSE)</f>
        <v>Durchgefallen</v>
      </c>
      <c r="F399">
        <v>2</v>
      </c>
      <c r="G399">
        <v>5</v>
      </c>
    </row>
    <row r="400" spans="1:7" x14ac:dyDescent="0.35">
      <c r="A400">
        <v>399</v>
      </c>
      <c r="B400" t="str">
        <f>VLOOKUP(F400,'Hilfstabelle QP'!$A$2:$B$4,2,FALSE)</f>
        <v>Lastkontrolle</v>
      </c>
      <c r="C400" t="str">
        <f>VLOOKUP(G400,'Hilfstabelle QP'!$A$7:$B$11,2,FALSE)</f>
        <v>Bestanden</v>
      </c>
      <c r="F400">
        <v>3</v>
      </c>
      <c r="G400">
        <v>3</v>
      </c>
    </row>
    <row r="401" spans="1:7" x14ac:dyDescent="0.35">
      <c r="A401">
        <v>400</v>
      </c>
      <c r="B401" t="str">
        <f>VLOOKUP(F401,'Hilfstabelle QP'!$A$2:$B$4,2,FALSE)</f>
        <v>Lastkontrolle</v>
      </c>
      <c r="C401" t="str">
        <f>VLOOKUP(G401,'Hilfstabelle QP'!$A$7:$B$11,2,FALSE)</f>
        <v>Bestanden</v>
      </c>
      <c r="F401">
        <v>3</v>
      </c>
      <c r="G401">
        <v>4</v>
      </c>
    </row>
    <row r="402" spans="1:7" x14ac:dyDescent="0.35">
      <c r="A402">
        <v>401</v>
      </c>
      <c r="B402" t="str">
        <f>VLOOKUP(F402,'Hilfstabelle QP'!$A$2:$B$4,2,FALSE)</f>
        <v>Druckkontrolle</v>
      </c>
      <c r="C402" t="str">
        <f>VLOOKUP(G402,'Hilfstabelle QP'!$A$7:$B$11,2,FALSE)</f>
        <v>Bestanden</v>
      </c>
      <c r="F402">
        <v>2</v>
      </c>
      <c r="G402">
        <v>3</v>
      </c>
    </row>
    <row r="403" spans="1:7" x14ac:dyDescent="0.35">
      <c r="A403">
        <v>402</v>
      </c>
      <c r="B403" t="str">
        <f>VLOOKUP(F403,'Hilfstabelle QP'!$A$2:$B$4,2,FALSE)</f>
        <v>Lastkontrolle</v>
      </c>
      <c r="C403" t="str">
        <f>VLOOKUP(G403,'Hilfstabelle QP'!$A$7:$B$11,2,FALSE)</f>
        <v>Bestanden</v>
      </c>
      <c r="F403">
        <v>3</v>
      </c>
      <c r="G403">
        <v>3</v>
      </c>
    </row>
    <row r="404" spans="1:7" x14ac:dyDescent="0.35">
      <c r="A404">
        <v>403</v>
      </c>
      <c r="B404" t="str">
        <f>VLOOKUP(F404,'Hilfstabelle QP'!$A$2:$B$4,2,FALSE)</f>
        <v>Druckkontrolle</v>
      </c>
      <c r="C404" t="str">
        <f>VLOOKUP(G404,'Hilfstabelle QP'!$A$7:$B$11,2,FALSE)</f>
        <v>Bestanden</v>
      </c>
      <c r="F404">
        <v>2</v>
      </c>
      <c r="G404">
        <v>4</v>
      </c>
    </row>
    <row r="405" spans="1:7" x14ac:dyDescent="0.35">
      <c r="A405">
        <v>404</v>
      </c>
      <c r="B405" t="str">
        <f>VLOOKUP(F405,'Hilfstabelle QP'!$A$2:$B$4,2,FALSE)</f>
        <v>Sichtkontrolle</v>
      </c>
      <c r="C405" t="str">
        <f>VLOOKUP(G405,'Hilfstabelle QP'!$A$7:$B$11,2,FALSE)</f>
        <v>Bestanden</v>
      </c>
      <c r="F405">
        <v>1</v>
      </c>
      <c r="G405">
        <v>2</v>
      </c>
    </row>
    <row r="406" spans="1:7" x14ac:dyDescent="0.35">
      <c r="A406">
        <v>405</v>
      </c>
      <c r="B406" t="str">
        <f>VLOOKUP(F406,'Hilfstabelle QP'!$A$2:$B$4,2,FALSE)</f>
        <v>Lastkontrolle</v>
      </c>
      <c r="C406" t="str">
        <f>VLOOKUP(G406,'Hilfstabelle QP'!$A$7:$B$11,2,FALSE)</f>
        <v>Bestanden</v>
      </c>
      <c r="F406">
        <v>3</v>
      </c>
      <c r="G406">
        <v>2</v>
      </c>
    </row>
    <row r="407" spans="1:7" x14ac:dyDescent="0.35">
      <c r="A407">
        <v>406</v>
      </c>
      <c r="B407" t="str">
        <f>VLOOKUP(F407,'Hilfstabelle QP'!$A$2:$B$4,2,FALSE)</f>
        <v>Lastkontrolle</v>
      </c>
      <c r="C407" t="str">
        <f>VLOOKUP(G407,'Hilfstabelle QP'!$A$7:$B$11,2,FALSE)</f>
        <v>Bestanden</v>
      </c>
      <c r="F407">
        <v>3</v>
      </c>
      <c r="G407">
        <v>3</v>
      </c>
    </row>
    <row r="408" spans="1:7" x14ac:dyDescent="0.35">
      <c r="A408">
        <v>407</v>
      </c>
      <c r="B408" t="str">
        <f>VLOOKUP(F408,'Hilfstabelle QP'!$A$2:$B$4,2,FALSE)</f>
        <v>Lastkontrolle</v>
      </c>
      <c r="C408" t="str">
        <f>VLOOKUP(G408,'Hilfstabelle QP'!$A$7:$B$11,2,FALSE)</f>
        <v>Durchgefallen</v>
      </c>
      <c r="F408">
        <v>3</v>
      </c>
      <c r="G408">
        <v>5</v>
      </c>
    </row>
    <row r="409" spans="1:7" x14ac:dyDescent="0.35">
      <c r="A409">
        <v>408</v>
      </c>
      <c r="B409" t="str">
        <f>VLOOKUP(F409,'Hilfstabelle QP'!$A$2:$B$4,2,FALSE)</f>
        <v>Lastkontrolle</v>
      </c>
      <c r="C409" t="str">
        <f>VLOOKUP(G409,'Hilfstabelle QP'!$A$7:$B$11,2,FALSE)</f>
        <v>Bestanden</v>
      </c>
      <c r="F409">
        <v>3</v>
      </c>
      <c r="G409">
        <v>4</v>
      </c>
    </row>
    <row r="410" spans="1:7" x14ac:dyDescent="0.35">
      <c r="A410">
        <v>409</v>
      </c>
      <c r="B410" t="str">
        <f>VLOOKUP(F410,'Hilfstabelle QP'!$A$2:$B$4,2,FALSE)</f>
        <v>Druckkontrolle</v>
      </c>
      <c r="C410" t="str">
        <f>VLOOKUP(G410,'Hilfstabelle QP'!$A$7:$B$11,2,FALSE)</f>
        <v>Bestanden</v>
      </c>
      <c r="F410">
        <v>2</v>
      </c>
      <c r="G410">
        <v>3</v>
      </c>
    </row>
    <row r="411" spans="1:7" x14ac:dyDescent="0.35">
      <c r="A411">
        <v>410</v>
      </c>
      <c r="B411" t="str">
        <f>VLOOKUP(F411,'Hilfstabelle QP'!$A$2:$B$4,2,FALSE)</f>
        <v>Lastkontrolle</v>
      </c>
      <c r="C411" t="str">
        <f>VLOOKUP(G411,'Hilfstabelle QP'!$A$7:$B$11,2,FALSE)</f>
        <v>Bestanden</v>
      </c>
      <c r="F411">
        <v>3</v>
      </c>
      <c r="G411">
        <v>3</v>
      </c>
    </row>
    <row r="412" spans="1:7" x14ac:dyDescent="0.35">
      <c r="A412">
        <v>411</v>
      </c>
      <c r="B412" t="str">
        <f>VLOOKUP(F412,'Hilfstabelle QP'!$A$2:$B$4,2,FALSE)</f>
        <v>Sichtkontrolle</v>
      </c>
      <c r="C412" t="str">
        <f>VLOOKUP(G412,'Hilfstabelle QP'!$A$7:$B$11,2,FALSE)</f>
        <v>Bestanden</v>
      </c>
      <c r="F412">
        <v>1</v>
      </c>
      <c r="G412">
        <v>1</v>
      </c>
    </row>
    <row r="413" spans="1:7" x14ac:dyDescent="0.35">
      <c r="A413">
        <v>412</v>
      </c>
      <c r="B413" t="str">
        <f>VLOOKUP(F413,'Hilfstabelle QP'!$A$2:$B$4,2,FALSE)</f>
        <v>Druckkontrolle</v>
      </c>
      <c r="C413" t="str">
        <f>VLOOKUP(G413,'Hilfstabelle QP'!$A$7:$B$11,2,FALSE)</f>
        <v>Bestanden</v>
      </c>
      <c r="F413">
        <v>2</v>
      </c>
      <c r="G413">
        <v>4</v>
      </c>
    </row>
    <row r="414" spans="1:7" x14ac:dyDescent="0.35">
      <c r="A414">
        <v>413</v>
      </c>
      <c r="B414" t="str">
        <f>VLOOKUP(F414,'Hilfstabelle QP'!$A$2:$B$4,2,FALSE)</f>
        <v>Druckkontrolle</v>
      </c>
      <c r="C414" t="str">
        <f>VLOOKUP(G414,'Hilfstabelle QP'!$A$7:$B$11,2,FALSE)</f>
        <v>Bestanden</v>
      </c>
      <c r="F414">
        <v>2</v>
      </c>
      <c r="G414">
        <v>4</v>
      </c>
    </row>
    <row r="415" spans="1:7" x14ac:dyDescent="0.35">
      <c r="A415">
        <v>414</v>
      </c>
      <c r="B415" t="str">
        <f>VLOOKUP(F415,'Hilfstabelle QP'!$A$2:$B$4,2,FALSE)</f>
        <v>Sichtkontrolle</v>
      </c>
      <c r="C415" t="str">
        <f>VLOOKUP(G415,'Hilfstabelle QP'!$A$7:$B$11,2,FALSE)</f>
        <v>Bestanden</v>
      </c>
      <c r="F415">
        <v>1</v>
      </c>
      <c r="G415">
        <v>1</v>
      </c>
    </row>
    <row r="416" spans="1:7" x14ac:dyDescent="0.35">
      <c r="A416">
        <v>415</v>
      </c>
      <c r="B416" t="str">
        <f>VLOOKUP(F416,'Hilfstabelle QP'!$A$2:$B$4,2,FALSE)</f>
        <v>Sichtkontrolle</v>
      </c>
      <c r="C416" t="str">
        <f>VLOOKUP(G416,'Hilfstabelle QP'!$A$7:$B$11,2,FALSE)</f>
        <v>Durchgefallen</v>
      </c>
      <c r="F416">
        <v>1</v>
      </c>
      <c r="G416">
        <v>5</v>
      </c>
    </row>
    <row r="417" spans="1:7" x14ac:dyDescent="0.35">
      <c r="A417">
        <v>416</v>
      </c>
      <c r="B417" t="str">
        <f>VLOOKUP(F417,'Hilfstabelle QP'!$A$2:$B$4,2,FALSE)</f>
        <v>Druckkontrolle</v>
      </c>
      <c r="C417" t="str">
        <f>VLOOKUP(G417,'Hilfstabelle QP'!$A$7:$B$11,2,FALSE)</f>
        <v>Bestanden</v>
      </c>
      <c r="F417">
        <v>2</v>
      </c>
      <c r="G417">
        <v>3</v>
      </c>
    </row>
    <row r="418" spans="1:7" x14ac:dyDescent="0.35">
      <c r="A418">
        <v>417</v>
      </c>
      <c r="B418" t="str">
        <f>VLOOKUP(F418,'Hilfstabelle QP'!$A$2:$B$4,2,FALSE)</f>
        <v>Sichtkontrolle</v>
      </c>
      <c r="C418" t="str">
        <f>VLOOKUP(G418,'Hilfstabelle QP'!$A$7:$B$11,2,FALSE)</f>
        <v>Bestanden</v>
      </c>
      <c r="F418">
        <v>1</v>
      </c>
      <c r="G418">
        <v>2</v>
      </c>
    </row>
    <row r="419" spans="1:7" x14ac:dyDescent="0.35">
      <c r="A419">
        <v>418</v>
      </c>
      <c r="B419" t="str">
        <f>VLOOKUP(F419,'Hilfstabelle QP'!$A$2:$B$4,2,FALSE)</f>
        <v>Druckkontrolle</v>
      </c>
      <c r="C419" t="str">
        <f>VLOOKUP(G419,'Hilfstabelle QP'!$A$7:$B$11,2,FALSE)</f>
        <v>Bestanden</v>
      </c>
      <c r="F419">
        <v>2</v>
      </c>
      <c r="G419">
        <v>2</v>
      </c>
    </row>
    <row r="420" spans="1:7" x14ac:dyDescent="0.35">
      <c r="A420">
        <v>419</v>
      </c>
      <c r="B420" t="str">
        <f>VLOOKUP(F420,'Hilfstabelle QP'!$A$2:$B$4,2,FALSE)</f>
        <v>Sichtkontrolle</v>
      </c>
      <c r="C420" t="str">
        <f>VLOOKUP(G420,'Hilfstabelle QP'!$A$7:$B$11,2,FALSE)</f>
        <v>Durchgefallen</v>
      </c>
      <c r="F420">
        <v>1</v>
      </c>
      <c r="G420">
        <v>5</v>
      </c>
    </row>
    <row r="421" spans="1:7" x14ac:dyDescent="0.35">
      <c r="A421">
        <v>420</v>
      </c>
      <c r="B421" t="str">
        <f>VLOOKUP(F421,'Hilfstabelle QP'!$A$2:$B$4,2,FALSE)</f>
        <v>Lastkontrolle</v>
      </c>
      <c r="C421" t="str">
        <f>VLOOKUP(G421,'Hilfstabelle QP'!$A$7:$B$11,2,FALSE)</f>
        <v>Bestanden</v>
      </c>
      <c r="F421">
        <v>3</v>
      </c>
      <c r="G421">
        <v>4</v>
      </c>
    </row>
    <row r="422" spans="1:7" x14ac:dyDescent="0.35">
      <c r="A422">
        <v>421</v>
      </c>
      <c r="B422" t="str">
        <f>VLOOKUP(F422,'Hilfstabelle QP'!$A$2:$B$4,2,FALSE)</f>
        <v>Sichtkontrolle</v>
      </c>
      <c r="C422" t="str">
        <f>VLOOKUP(G422,'Hilfstabelle QP'!$A$7:$B$11,2,FALSE)</f>
        <v>Bestanden</v>
      </c>
      <c r="F422">
        <v>1</v>
      </c>
      <c r="G422">
        <v>3</v>
      </c>
    </row>
    <row r="423" spans="1:7" x14ac:dyDescent="0.35">
      <c r="A423">
        <v>422</v>
      </c>
      <c r="B423" t="str">
        <f>VLOOKUP(F423,'Hilfstabelle QP'!$A$2:$B$4,2,FALSE)</f>
        <v>Lastkontrolle</v>
      </c>
      <c r="C423" t="str">
        <f>VLOOKUP(G423,'Hilfstabelle QP'!$A$7:$B$11,2,FALSE)</f>
        <v>Bestanden</v>
      </c>
      <c r="F423">
        <v>3</v>
      </c>
      <c r="G423">
        <v>3</v>
      </c>
    </row>
    <row r="424" spans="1:7" x14ac:dyDescent="0.35">
      <c r="A424">
        <v>423</v>
      </c>
      <c r="B424" t="str">
        <f>VLOOKUP(F424,'Hilfstabelle QP'!$A$2:$B$4,2,FALSE)</f>
        <v>Sichtkontrolle</v>
      </c>
      <c r="C424" t="str">
        <f>VLOOKUP(G424,'Hilfstabelle QP'!$A$7:$B$11,2,FALSE)</f>
        <v>Bestanden</v>
      </c>
      <c r="F424">
        <v>1</v>
      </c>
      <c r="G424">
        <v>1</v>
      </c>
    </row>
    <row r="425" spans="1:7" x14ac:dyDescent="0.35">
      <c r="A425">
        <v>424</v>
      </c>
      <c r="B425" t="str">
        <f>VLOOKUP(F425,'Hilfstabelle QP'!$A$2:$B$4,2,FALSE)</f>
        <v>Lastkontrolle</v>
      </c>
      <c r="C425" t="str">
        <f>VLOOKUP(G425,'Hilfstabelle QP'!$A$7:$B$11,2,FALSE)</f>
        <v>Bestanden</v>
      </c>
      <c r="F425">
        <v>3</v>
      </c>
      <c r="G425">
        <v>4</v>
      </c>
    </row>
    <row r="426" spans="1:7" x14ac:dyDescent="0.35">
      <c r="A426">
        <v>425</v>
      </c>
      <c r="B426" t="str">
        <f>VLOOKUP(F426,'Hilfstabelle QP'!$A$2:$B$4,2,FALSE)</f>
        <v>Druckkontrolle</v>
      </c>
      <c r="C426" t="str">
        <f>VLOOKUP(G426,'Hilfstabelle QP'!$A$7:$B$11,2,FALSE)</f>
        <v>Durchgefallen</v>
      </c>
      <c r="F426">
        <v>2</v>
      </c>
      <c r="G426">
        <v>5</v>
      </c>
    </row>
    <row r="427" spans="1:7" x14ac:dyDescent="0.35">
      <c r="A427">
        <v>426</v>
      </c>
      <c r="B427" t="str">
        <f>VLOOKUP(F427,'Hilfstabelle QP'!$A$2:$B$4,2,FALSE)</f>
        <v>Sichtkontrolle</v>
      </c>
      <c r="C427" t="str">
        <f>VLOOKUP(G427,'Hilfstabelle QP'!$A$7:$B$11,2,FALSE)</f>
        <v>Bestanden</v>
      </c>
      <c r="F427">
        <v>1</v>
      </c>
      <c r="G427">
        <v>2</v>
      </c>
    </row>
    <row r="428" spans="1:7" x14ac:dyDescent="0.35">
      <c r="A428">
        <v>427</v>
      </c>
      <c r="B428" t="str">
        <f>VLOOKUP(F428,'Hilfstabelle QP'!$A$2:$B$4,2,FALSE)</f>
        <v>Lastkontrolle</v>
      </c>
      <c r="C428" t="str">
        <f>VLOOKUP(G428,'Hilfstabelle QP'!$A$7:$B$11,2,FALSE)</f>
        <v>Bestanden</v>
      </c>
      <c r="F428">
        <v>3</v>
      </c>
      <c r="G428">
        <v>3</v>
      </c>
    </row>
    <row r="429" spans="1:7" x14ac:dyDescent="0.35">
      <c r="A429">
        <v>428</v>
      </c>
      <c r="B429" t="str">
        <f>VLOOKUP(F429,'Hilfstabelle QP'!$A$2:$B$4,2,FALSE)</f>
        <v>Lastkontrolle</v>
      </c>
      <c r="C429" t="str">
        <f>VLOOKUP(G429,'Hilfstabelle QP'!$A$7:$B$11,2,FALSE)</f>
        <v>Bestanden</v>
      </c>
      <c r="F429">
        <v>3</v>
      </c>
      <c r="G429">
        <v>4</v>
      </c>
    </row>
    <row r="430" spans="1:7" x14ac:dyDescent="0.35">
      <c r="A430">
        <v>429</v>
      </c>
      <c r="B430" t="str">
        <f>VLOOKUP(F430,'Hilfstabelle QP'!$A$2:$B$4,2,FALSE)</f>
        <v>Lastkontrolle</v>
      </c>
      <c r="C430" t="str">
        <f>VLOOKUP(G430,'Hilfstabelle QP'!$A$7:$B$11,2,FALSE)</f>
        <v>Bestanden</v>
      </c>
      <c r="F430">
        <v>3</v>
      </c>
      <c r="G430">
        <v>4</v>
      </c>
    </row>
    <row r="431" spans="1:7" x14ac:dyDescent="0.35">
      <c r="A431">
        <v>430</v>
      </c>
      <c r="B431" t="str">
        <f>VLOOKUP(F431,'Hilfstabelle QP'!$A$2:$B$4,2,FALSE)</f>
        <v>Lastkontrolle</v>
      </c>
      <c r="C431" t="str">
        <f>VLOOKUP(G431,'Hilfstabelle QP'!$A$7:$B$11,2,FALSE)</f>
        <v>Bestanden</v>
      </c>
      <c r="F431">
        <v>3</v>
      </c>
      <c r="G431">
        <v>2</v>
      </c>
    </row>
    <row r="432" spans="1:7" x14ac:dyDescent="0.35">
      <c r="A432">
        <v>431</v>
      </c>
      <c r="B432" t="str">
        <f>VLOOKUP(F432,'Hilfstabelle QP'!$A$2:$B$4,2,FALSE)</f>
        <v>Lastkontrolle</v>
      </c>
      <c r="C432" t="str">
        <f>VLOOKUP(G432,'Hilfstabelle QP'!$A$7:$B$11,2,FALSE)</f>
        <v>Bestanden</v>
      </c>
      <c r="F432">
        <v>3</v>
      </c>
      <c r="G432">
        <v>3</v>
      </c>
    </row>
    <row r="433" spans="1:7" x14ac:dyDescent="0.35">
      <c r="A433">
        <v>432</v>
      </c>
      <c r="B433" t="str">
        <f>VLOOKUP(F433,'Hilfstabelle QP'!$A$2:$B$4,2,FALSE)</f>
        <v>Lastkontrolle</v>
      </c>
      <c r="C433" t="str">
        <f>VLOOKUP(G433,'Hilfstabelle QP'!$A$7:$B$11,2,FALSE)</f>
        <v>Durchgefallen</v>
      </c>
      <c r="F433">
        <v>3</v>
      </c>
      <c r="G433">
        <v>5</v>
      </c>
    </row>
    <row r="434" spans="1:7" x14ac:dyDescent="0.35">
      <c r="A434">
        <v>433</v>
      </c>
      <c r="B434" t="str">
        <f>VLOOKUP(F434,'Hilfstabelle QP'!$A$2:$B$4,2,FALSE)</f>
        <v>Sichtkontrolle</v>
      </c>
      <c r="C434" t="str">
        <f>VLOOKUP(G434,'Hilfstabelle QP'!$A$7:$B$11,2,FALSE)</f>
        <v>Bestanden</v>
      </c>
      <c r="F434">
        <v>1</v>
      </c>
      <c r="G434">
        <v>3</v>
      </c>
    </row>
    <row r="435" spans="1:7" x14ac:dyDescent="0.35">
      <c r="A435">
        <v>434</v>
      </c>
      <c r="B435" t="str">
        <f>VLOOKUP(F435,'Hilfstabelle QP'!$A$2:$B$4,2,FALSE)</f>
        <v>Druckkontrolle</v>
      </c>
      <c r="C435" t="str">
        <f>VLOOKUP(G435,'Hilfstabelle QP'!$A$7:$B$11,2,FALSE)</f>
        <v>Bestanden</v>
      </c>
      <c r="F435">
        <v>2</v>
      </c>
      <c r="G435">
        <v>1</v>
      </c>
    </row>
    <row r="436" spans="1:7" x14ac:dyDescent="0.35">
      <c r="A436">
        <v>435</v>
      </c>
      <c r="B436" t="str">
        <f>VLOOKUP(F436,'Hilfstabelle QP'!$A$2:$B$4,2,FALSE)</f>
        <v>Druckkontrolle</v>
      </c>
      <c r="C436" t="str">
        <f>VLOOKUP(G436,'Hilfstabelle QP'!$A$7:$B$11,2,FALSE)</f>
        <v>Bestanden</v>
      </c>
      <c r="F436">
        <v>2</v>
      </c>
      <c r="G436">
        <v>1</v>
      </c>
    </row>
    <row r="437" spans="1:7" x14ac:dyDescent="0.35">
      <c r="A437">
        <v>436</v>
      </c>
      <c r="B437" t="str">
        <f>VLOOKUP(F437,'Hilfstabelle QP'!$A$2:$B$4,2,FALSE)</f>
        <v>Druckkontrolle</v>
      </c>
      <c r="C437" t="str">
        <f>VLOOKUP(G437,'Hilfstabelle QP'!$A$7:$B$11,2,FALSE)</f>
        <v>Bestanden</v>
      </c>
      <c r="F437">
        <v>2</v>
      </c>
      <c r="G437">
        <v>2</v>
      </c>
    </row>
    <row r="438" spans="1:7" x14ac:dyDescent="0.35">
      <c r="A438">
        <v>437</v>
      </c>
      <c r="B438" t="str">
        <f>VLOOKUP(F438,'Hilfstabelle QP'!$A$2:$B$4,2,FALSE)</f>
        <v>Druckkontrolle</v>
      </c>
      <c r="C438" t="str">
        <f>VLOOKUP(G438,'Hilfstabelle QP'!$A$7:$B$11,2,FALSE)</f>
        <v>Bestanden</v>
      </c>
      <c r="F438">
        <v>2</v>
      </c>
      <c r="G438">
        <v>3</v>
      </c>
    </row>
    <row r="439" spans="1:7" x14ac:dyDescent="0.35">
      <c r="A439">
        <v>438</v>
      </c>
      <c r="B439" t="str">
        <f>VLOOKUP(F439,'Hilfstabelle QP'!$A$2:$B$4,2,FALSE)</f>
        <v>Lastkontrolle</v>
      </c>
      <c r="C439" t="str">
        <f>VLOOKUP(G439,'Hilfstabelle QP'!$A$7:$B$11,2,FALSE)</f>
        <v>Durchgefallen</v>
      </c>
      <c r="F439">
        <v>3</v>
      </c>
      <c r="G439">
        <v>5</v>
      </c>
    </row>
    <row r="440" spans="1:7" x14ac:dyDescent="0.35">
      <c r="A440">
        <v>439</v>
      </c>
      <c r="B440" t="str">
        <f>VLOOKUP(F440,'Hilfstabelle QP'!$A$2:$B$4,2,FALSE)</f>
        <v>Sichtkontrolle</v>
      </c>
      <c r="C440" t="str">
        <f>VLOOKUP(G440,'Hilfstabelle QP'!$A$7:$B$11,2,FALSE)</f>
        <v>Durchgefallen</v>
      </c>
      <c r="F440">
        <v>1</v>
      </c>
      <c r="G440">
        <v>5</v>
      </c>
    </row>
    <row r="441" spans="1:7" x14ac:dyDescent="0.35">
      <c r="A441">
        <v>440</v>
      </c>
      <c r="B441" t="str">
        <f>VLOOKUP(F441,'Hilfstabelle QP'!$A$2:$B$4,2,FALSE)</f>
        <v>Lastkontrolle</v>
      </c>
      <c r="C441" t="str">
        <f>VLOOKUP(G441,'Hilfstabelle QP'!$A$7:$B$11,2,FALSE)</f>
        <v>Bestanden</v>
      </c>
      <c r="F441">
        <v>3</v>
      </c>
      <c r="G441">
        <v>1</v>
      </c>
    </row>
    <row r="442" spans="1:7" x14ac:dyDescent="0.35">
      <c r="A442">
        <v>441</v>
      </c>
      <c r="B442" t="str">
        <f>VLOOKUP(F442,'Hilfstabelle QP'!$A$2:$B$4,2,FALSE)</f>
        <v>Sichtkontrolle</v>
      </c>
      <c r="C442" t="str">
        <f>VLOOKUP(G442,'Hilfstabelle QP'!$A$7:$B$11,2,FALSE)</f>
        <v>Durchgefallen</v>
      </c>
      <c r="F442">
        <v>1</v>
      </c>
      <c r="G442">
        <v>5</v>
      </c>
    </row>
    <row r="443" spans="1:7" x14ac:dyDescent="0.35">
      <c r="A443">
        <v>442</v>
      </c>
      <c r="B443" t="str">
        <f>VLOOKUP(F443,'Hilfstabelle QP'!$A$2:$B$4,2,FALSE)</f>
        <v>Sichtkontrolle</v>
      </c>
      <c r="C443" t="str">
        <f>VLOOKUP(G443,'Hilfstabelle QP'!$A$7:$B$11,2,FALSE)</f>
        <v>Bestanden</v>
      </c>
      <c r="F443">
        <v>1</v>
      </c>
      <c r="G443">
        <v>4</v>
      </c>
    </row>
    <row r="444" spans="1:7" x14ac:dyDescent="0.35">
      <c r="A444">
        <v>443</v>
      </c>
      <c r="B444" t="str">
        <f>VLOOKUP(F444,'Hilfstabelle QP'!$A$2:$B$4,2,FALSE)</f>
        <v>Druckkontrolle</v>
      </c>
      <c r="C444" t="str">
        <f>VLOOKUP(G444,'Hilfstabelle QP'!$A$7:$B$11,2,FALSE)</f>
        <v>Bestanden</v>
      </c>
      <c r="F444">
        <v>2</v>
      </c>
      <c r="G444">
        <v>4</v>
      </c>
    </row>
    <row r="445" spans="1:7" x14ac:dyDescent="0.35">
      <c r="A445">
        <v>444</v>
      </c>
      <c r="B445" t="str">
        <f>VLOOKUP(F445,'Hilfstabelle QP'!$A$2:$B$4,2,FALSE)</f>
        <v>Druckkontrolle</v>
      </c>
      <c r="C445" t="str">
        <f>VLOOKUP(G445,'Hilfstabelle QP'!$A$7:$B$11,2,FALSE)</f>
        <v>Bestanden</v>
      </c>
      <c r="F445">
        <v>2</v>
      </c>
      <c r="G445">
        <v>2</v>
      </c>
    </row>
    <row r="446" spans="1:7" x14ac:dyDescent="0.35">
      <c r="A446">
        <v>445</v>
      </c>
      <c r="B446" t="str">
        <f>VLOOKUP(F446,'Hilfstabelle QP'!$A$2:$B$4,2,FALSE)</f>
        <v>Lastkontrolle</v>
      </c>
      <c r="C446" t="str">
        <f>VLOOKUP(G446,'Hilfstabelle QP'!$A$7:$B$11,2,FALSE)</f>
        <v>Durchgefallen</v>
      </c>
      <c r="F446">
        <v>3</v>
      </c>
      <c r="G446">
        <v>5</v>
      </c>
    </row>
    <row r="447" spans="1:7" x14ac:dyDescent="0.35">
      <c r="A447">
        <v>446</v>
      </c>
      <c r="B447" t="str">
        <f>VLOOKUP(F447,'Hilfstabelle QP'!$A$2:$B$4,2,FALSE)</f>
        <v>Druckkontrolle</v>
      </c>
      <c r="C447" t="str">
        <f>VLOOKUP(G447,'Hilfstabelle QP'!$A$7:$B$11,2,FALSE)</f>
        <v>Bestanden</v>
      </c>
      <c r="F447">
        <v>2</v>
      </c>
      <c r="G447">
        <v>3</v>
      </c>
    </row>
    <row r="448" spans="1:7" x14ac:dyDescent="0.35">
      <c r="A448">
        <v>447</v>
      </c>
      <c r="B448" t="str">
        <f>VLOOKUP(F448,'Hilfstabelle QP'!$A$2:$B$4,2,FALSE)</f>
        <v>Lastkontrolle</v>
      </c>
      <c r="C448" t="str">
        <f>VLOOKUP(G448,'Hilfstabelle QP'!$A$7:$B$11,2,FALSE)</f>
        <v>Bestanden</v>
      </c>
      <c r="F448">
        <v>3</v>
      </c>
      <c r="G448">
        <v>1</v>
      </c>
    </row>
    <row r="449" spans="1:7" x14ac:dyDescent="0.35">
      <c r="A449">
        <v>448</v>
      </c>
      <c r="B449" t="str">
        <f>VLOOKUP(F449,'Hilfstabelle QP'!$A$2:$B$4,2,FALSE)</f>
        <v>Druckkontrolle</v>
      </c>
      <c r="C449" t="str">
        <f>VLOOKUP(G449,'Hilfstabelle QP'!$A$7:$B$11,2,FALSE)</f>
        <v>Bestanden</v>
      </c>
      <c r="F449">
        <v>2</v>
      </c>
      <c r="G449">
        <v>3</v>
      </c>
    </row>
    <row r="450" spans="1:7" x14ac:dyDescent="0.35">
      <c r="A450">
        <v>449</v>
      </c>
      <c r="B450" t="str">
        <f>VLOOKUP(F450,'Hilfstabelle QP'!$A$2:$B$4,2,FALSE)</f>
        <v>Druckkontrolle</v>
      </c>
      <c r="C450" t="str">
        <f>VLOOKUP(G450,'Hilfstabelle QP'!$A$7:$B$11,2,FALSE)</f>
        <v>Durchgefallen</v>
      </c>
      <c r="F450">
        <v>2</v>
      </c>
      <c r="G450">
        <v>5</v>
      </c>
    </row>
    <row r="451" spans="1:7" x14ac:dyDescent="0.35">
      <c r="A451">
        <v>450</v>
      </c>
      <c r="B451" t="str">
        <f>VLOOKUP(F451,'Hilfstabelle QP'!$A$2:$B$4,2,FALSE)</f>
        <v>Druckkontrolle</v>
      </c>
      <c r="C451" t="str">
        <f>VLOOKUP(G451,'Hilfstabelle QP'!$A$7:$B$11,2,FALSE)</f>
        <v>Bestanden</v>
      </c>
      <c r="F451">
        <v>2</v>
      </c>
      <c r="G451">
        <v>2</v>
      </c>
    </row>
    <row r="452" spans="1:7" x14ac:dyDescent="0.35">
      <c r="A452">
        <v>451</v>
      </c>
      <c r="B452" t="str">
        <f>VLOOKUP(F452,'Hilfstabelle QP'!$A$2:$B$4,2,FALSE)</f>
        <v>Druckkontrolle</v>
      </c>
      <c r="C452" t="str">
        <f>VLOOKUP(G452,'Hilfstabelle QP'!$A$7:$B$11,2,FALSE)</f>
        <v>Bestanden</v>
      </c>
      <c r="F452">
        <v>2</v>
      </c>
      <c r="G452">
        <v>2</v>
      </c>
    </row>
    <row r="453" spans="1:7" x14ac:dyDescent="0.35">
      <c r="A453">
        <v>452</v>
      </c>
      <c r="B453" t="str">
        <f>VLOOKUP(F453,'Hilfstabelle QP'!$A$2:$B$4,2,FALSE)</f>
        <v>Sichtkontrolle</v>
      </c>
      <c r="C453" t="str">
        <f>VLOOKUP(G453,'Hilfstabelle QP'!$A$7:$B$11,2,FALSE)</f>
        <v>Bestanden</v>
      </c>
      <c r="F453">
        <v>1</v>
      </c>
      <c r="G453">
        <v>4</v>
      </c>
    </row>
    <row r="454" spans="1:7" x14ac:dyDescent="0.35">
      <c r="A454">
        <v>453</v>
      </c>
      <c r="B454" t="str">
        <f>VLOOKUP(F454,'Hilfstabelle QP'!$A$2:$B$4,2,FALSE)</f>
        <v>Sichtkontrolle</v>
      </c>
      <c r="C454" t="str">
        <f>VLOOKUP(G454,'Hilfstabelle QP'!$A$7:$B$11,2,FALSE)</f>
        <v>Bestanden</v>
      </c>
      <c r="F454">
        <v>1</v>
      </c>
      <c r="G454">
        <v>1</v>
      </c>
    </row>
    <row r="455" spans="1:7" x14ac:dyDescent="0.35">
      <c r="A455">
        <v>454</v>
      </c>
      <c r="B455" t="str">
        <f>VLOOKUP(F455,'Hilfstabelle QP'!$A$2:$B$4,2,FALSE)</f>
        <v>Druckkontrolle</v>
      </c>
      <c r="C455" t="str">
        <f>VLOOKUP(G455,'Hilfstabelle QP'!$A$7:$B$11,2,FALSE)</f>
        <v>Bestanden</v>
      </c>
      <c r="F455">
        <v>2</v>
      </c>
      <c r="G455">
        <v>3</v>
      </c>
    </row>
    <row r="456" spans="1:7" x14ac:dyDescent="0.35">
      <c r="A456">
        <v>455</v>
      </c>
      <c r="B456" t="str">
        <f>VLOOKUP(F456,'Hilfstabelle QP'!$A$2:$B$4,2,FALSE)</f>
        <v>Druckkontrolle</v>
      </c>
      <c r="C456" t="str">
        <f>VLOOKUP(G456,'Hilfstabelle QP'!$A$7:$B$11,2,FALSE)</f>
        <v>Durchgefallen</v>
      </c>
      <c r="F456">
        <v>2</v>
      </c>
      <c r="G456">
        <v>5</v>
      </c>
    </row>
    <row r="457" spans="1:7" x14ac:dyDescent="0.35">
      <c r="A457">
        <v>456</v>
      </c>
      <c r="B457" t="str">
        <f>VLOOKUP(F457,'Hilfstabelle QP'!$A$2:$B$4,2,FALSE)</f>
        <v>Druckkontrolle</v>
      </c>
      <c r="C457" t="str">
        <f>VLOOKUP(G457,'Hilfstabelle QP'!$A$7:$B$11,2,FALSE)</f>
        <v>Bestanden</v>
      </c>
      <c r="F457">
        <v>2</v>
      </c>
      <c r="G457">
        <v>3</v>
      </c>
    </row>
    <row r="458" spans="1:7" x14ac:dyDescent="0.35">
      <c r="A458">
        <v>457</v>
      </c>
      <c r="B458" t="str">
        <f>VLOOKUP(F458,'Hilfstabelle QP'!$A$2:$B$4,2,FALSE)</f>
        <v>Druckkontrolle</v>
      </c>
      <c r="C458" t="str">
        <f>VLOOKUP(G458,'Hilfstabelle QP'!$A$7:$B$11,2,FALSE)</f>
        <v>Durchgefallen</v>
      </c>
      <c r="F458">
        <v>2</v>
      </c>
      <c r="G458">
        <v>5</v>
      </c>
    </row>
    <row r="459" spans="1:7" x14ac:dyDescent="0.35">
      <c r="A459">
        <v>458</v>
      </c>
      <c r="B459" t="str">
        <f>VLOOKUP(F459,'Hilfstabelle QP'!$A$2:$B$4,2,FALSE)</f>
        <v>Sichtkontrolle</v>
      </c>
      <c r="C459" t="str">
        <f>VLOOKUP(G459,'Hilfstabelle QP'!$A$7:$B$11,2,FALSE)</f>
        <v>Bestanden</v>
      </c>
      <c r="F459">
        <v>1</v>
      </c>
      <c r="G459">
        <v>2</v>
      </c>
    </row>
    <row r="460" spans="1:7" x14ac:dyDescent="0.35">
      <c r="A460">
        <v>459</v>
      </c>
      <c r="B460" t="str">
        <f>VLOOKUP(F460,'Hilfstabelle QP'!$A$2:$B$4,2,FALSE)</f>
        <v>Lastkontrolle</v>
      </c>
      <c r="C460" t="str">
        <f>VLOOKUP(G460,'Hilfstabelle QP'!$A$7:$B$11,2,FALSE)</f>
        <v>Durchgefallen</v>
      </c>
      <c r="F460">
        <v>3</v>
      </c>
      <c r="G460">
        <v>5</v>
      </c>
    </row>
    <row r="461" spans="1:7" x14ac:dyDescent="0.35">
      <c r="A461">
        <v>460</v>
      </c>
      <c r="B461" t="str">
        <f>VLOOKUP(F461,'Hilfstabelle QP'!$A$2:$B$4,2,FALSE)</f>
        <v>Lastkontrolle</v>
      </c>
      <c r="C461" t="str">
        <f>VLOOKUP(G461,'Hilfstabelle QP'!$A$7:$B$11,2,FALSE)</f>
        <v>Bestanden</v>
      </c>
      <c r="F461">
        <v>3</v>
      </c>
      <c r="G461">
        <v>3</v>
      </c>
    </row>
    <row r="462" spans="1:7" x14ac:dyDescent="0.35">
      <c r="A462">
        <v>461</v>
      </c>
      <c r="B462" t="str">
        <f>VLOOKUP(F462,'Hilfstabelle QP'!$A$2:$B$4,2,FALSE)</f>
        <v>Sichtkontrolle</v>
      </c>
      <c r="C462" t="str">
        <f>VLOOKUP(G462,'Hilfstabelle QP'!$A$7:$B$11,2,FALSE)</f>
        <v>Bestanden</v>
      </c>
      <c r="F462">
        <v>1</v>
      </c>
      <c r="G462">
        <v>3</v>
      </c>
    </row>
    <row r="463" spans="1:7" x14ac:dyDescent="0.35">
      <c r="A463">
        <v>462</v>
      </c>
      <c r="B463" t="str">
        <f>VLOOKUP(F463,'Hilfstabelle QP'!$A$2:$B$4,2,FALSE)</f>
        <v>Lastkontrolle</v>
      </c>
      <c r="C463" t="str">
        <f>VLOOKUP(G463,'Hilfstabelle QP'!$A$7:$B$11,2,FALSE)</f>
        <v>Bestanden</v>
      </c>
      <c r="F463">
        <v>3</v>
      </c>
      <c r="G463">
        <v>4</v>
      </c>
    </row>
    <row r="464" spans="1:7" x14ac:dyDescent="0.35">
      <c r="A464">
        <v>463</v>
      </c>
      <c r="B464" t="str">
        <f>VLOOKUP(F464,'Hilfstabelle QP'!$A$2:$B$4,2,FALSE)</f>
        <v>Sichtkontrolle</v>
      </c>
      <c r="C464" t="str">
        <f>VLOOKUP(G464,'Hilfstabelle QP'!$A$7:$B$11,2,FALSE)</f>
        <v>Bestanden</v>
      </c>
      <c r="F464">
        <v>1</v>
      </c>
      <c r="G464">
        <v>2</v>
      </c>
    </row>
    <row r="465" spans="1:7" x14ac:dyDescent="0.35">
      <c r="A465">
        <v>464</v>
      </c>
      <c r="B465" t="str">
        <f>VLOOKUP(F465,'Hilfstabelle QP'!$A$2:$B$4,2,FALSE)</f>
        <v>Sichtkontrolle</v>
      </c>
      <c r="C465" t="str">
        <f>VLOOKUP(G465,'Hilfstabelle QP'!$A$7:$B$11,2,FALSE)</f>
        <v>Bestanden</v>
      </c>
      <c r="F465">
        <v>1</v>
      </c>
      <c r="G465">
        <v>2</v>
      </c>
    </row>
    <row r="466" spans="1:7" x14ac:dyDescent="0.35">
      <c r="A466">
        <v>465</v>
      </c>
      <c r="B466" t="str">
        <f>VLOOKUP(F466,'Hilfstabelle QP'!$A$2:$B$4,2,FALSE)</f>
        <v>Lastkontrolle</v>
      </c>
      <c r="C466" t="str">
        <f>VLOOKUP(G466,'Hilfstabelle QP'!$A$7:$B$11,2,FALSE)</f>
        <v>Durchgefallen</v>
      </c>
      <c r="F466">
        <v>3</v>
      </c>
      <c r="G466">
        <v>5</v>
      </c>
    </row>
    <row r="467" spans="1:7" x14ac:dyDescent="0.35">
      <c r="A467">
        <v>466</v>
      </c>
      <c r="B467" t="str">
        <f>VLOOKUP(F467,'Hilfstabelle QP'!$A$2:$B$4,2,FALSE)</f>
        <v>Druckkontrolle</v>
      </c>
      <c r="C467" t="str">
        <f>VLOOKUP(G467,'Hilfstabelle QP'!$A$7:$B$11,2,FALSE)</f>
        <v>Bestanden</v>
      </c>
      <c r="F467">
        <v>2</v>
      </c>
      <c r="G467">
        <v>3</v>
      </c>
    </row>
    <row r="468" spans="1:7" x14ac:dyDescent="0.35">
      <c r="A468">
        <v>467</v>
      </c>
      <c r="B468" t="str">
        <f>VLOOKUP(F468,'Hilfstabelle QP'!$A$2:$B$4,2,FALSE)</f>
        <v>Druckkontrolle</v>
      </c>
      <c r="C468" t="str">
        <f>VLOOKUP(G468,'Hilfstabelle QP'!$A$7:$B$11,2,FALSE)</f>
        <v>Bestanden</v>
      </c>
      <c r="F468">
        <v>2</v>
      </c>
      <c r="G468">
        <v>1</v>
      </c>
    </row>
    <row r="469" spans="1:7" x14ac:dyDescent="0.35">
      <c r="A469">
        <v>468</v>
      </c>
      <c r="B469" t="str">
        <f>VLOOKUP(F469,'Hilfstabelle QP'!$A$2:$B$4,2,FALSE)</f>
        <v>Druckkontrolle</v>
      </c>
      <c r="C469" t="str">
        <f>VLOOKUP(G469,'Hilfstabelle QP'!$A$7:$B$11,2,FALSE)</f>
        <v>Bestanden</v>
      </c>
      <c r="F469">
        <v>2</v>
      </c>
      <c r="G469">
        <v>2</v>
      </c>
    </row>
    <row r="470" spans="1:7" x14ac:dyDescent="0.35">
      <c r="A470">
        <v>469</v>
      </c>
      <c r="B470" t="str">
        <f>VLOOKUP(F470,'Hilfstabelle QP'!$A$2:$B$4,2,FALSE)</f>
        <v>Lastkontrolle</v>
      </c>
      <c r="C470" t="str">
        <f>VLOOKUP(G470,'Hilfstabelle QP'!$A$7:$B$11,2,FALSE)</f>
        <v>Bestanden</v>
      </c>
      <c r="F470">
        <v>3</v>
      </c>
      <c r="G470">
        <v>4</v>
      </c>
    </row>
    <row r="471" spans="1:7" x14ac:dyDescent="0.35">
      <c r="A471">
        <v>470</v>
      </c>
      <c r="B471" t="str">
        <f>VLOOKUP(F471,'Hilfstabelle QP'!$A$2:$B$4,2,FALSE)</f>
        <v>Sichtkontrolle</v>
      </c>
      <c r="C471" t="str">
        <f>VLOOKUP(G471,'Hilfstabelle QP'!$A$7:$B$11,2,FALSE)</f>
        <v>Bestanden</v>
      </c>
      <c r="F471">
        <v>1</v>
      </c>
      <c r="G471">
        <v>1</v>
      </c>
    </row>
    <row r="472" spans="1:7" x14ac:dyDescent="0.35">
      <c r="A472">
        <v>471</v>
      </c>
      <c r="B472" t="str">
        <f>VLOOKUP(F472,'Hilfstabelle QP'!$A$2:$B$4,2,FALSE)</f>
        <v>Druckkontrolle</v>
      </c>
      <c r="C472" t="str">
        <f>VLOOKUP(G472,'Hilfstabelle QP'!$A$7:$B$11,2,FALSE)</f>
        <v>Durchgefallen</v>
      </c>
      <c r="F472">
        <v>2</v>
      </c>
      <c r="G472">
        <v>5</v>
      </c>
    </row>
    <row r="473" spans="1:7" x14ac:dyDescent="0.35">
      <c r="A473">
        <v>472</v>
      </c>
      <c r="B473" t="str">
        <f>VLOOKUP(F473,'Hilfstabelle QP'!$A$2:$B$4,2,FALSE)</f>
        <v>Sichtkontrolle</v>
      </c>
      <c r="C473" t="str">
        <f>VLOOKUP(G473,'Hilfstabelle QP'!$A$7:$B$11,2,FALSE)</f>
        <v>Bestanden</v>
      </c>
      <c r="F473">
        <v>1</v>
      </c>
      <c r="G473">
        <v>2</v>
      </c>
    </row>
    <row r="474" spans="1:7" x14ac:dyDescent="0.35">
      <c r="A474">
        <v>473</v>
      </c>
      <c r="B474" t="str">
        <f>VLOOKUP(F474,'Hilfstabelle QP'!$A$2:$B$4,2,FALSE)</f>
        <v>Druckkontrolle</v>
      </c>
      <c r="C474" t="str">
        <f>VLOOKUP(G474,'Hilfstabelle QP'!$A$7:$B$11,2,FALSE)</f>
        <v>Bestanden</v>
      </c>
      <c r="F474">
        <v>2</v>
      </c>
      <c r="G474">
        <v>3</v>
      </c>
    </row>
    <row r="475" spans="1:7" x14ac:dyDescent="0.35">
      <c r="A475">
        <v>474</v>
      </c>
      <c r="B475" t="str">
        <f>VLOOKUP(F475,'Hilfstabelle QP'!$A$2:$B$4,2,FALSE)</f>
        <v>Druckkontrolle</v>
      </c>
      <c r="C475" t="str">
        <f>VLOOKUP(G475,'Hilfstabelle QP'!$A$7:$B$11,2,FALSE)</f>
        <v>Durchgefallen</v>
      </c>
      <c r="F475">
        <v>2</v>
      </c>
      <c r="G475">
        <v>5</v>
      </c>
    </row>
    <row r="476" spans="1:7" x14ac:dyDescent="0.35">
      <c r="A476">
        <v>475</v>
      </c>
      <c r="B476" t="str">
        <f>VLOOKUP(F476,'Hilfstabelle QP'!$A$2:$B$4,2,FALSE)</f>
        <v>Sichtkontrolle</v>
      </c>
      <c r="C476" t="str">
        <f>VLOOKUP(G476,'Hilfstabelle QP'!$A$7:$B$11,2,FALSE)</f>
        <v>Durchgefallen</v>
      </c>
      <c r="F476">
        <v>1</v>
      </c>
      <c r="G476">
        <v>5</v>
      </c>
    </row>
    <row r="477" spans="1:7" x14ac:dyDescent="0.35">
      <c r="A477">
        <v>476</v>
      </c>
      <c r="B477" t="str">
        <f>VLOOKUP(F477,'Hilfstabelle QP'!$A$2:$B$4,2,FALSE)</f>
        <v>Lastkontrolle</v>
      </c>
      <c r="C477" t="str">
        <f>VLOOKUP(G477,'Hilfstabelle QP'!$A$7:$B$11,2,FALSE)</f>
        <v>Bestanden</v>
      </c>
      <c r="F477">
        <v>3</v>
      </c>
      <c r="G477">
        <v>4</v>
      </c>
    </row>
    <row r="478" spans="1:7" x14ac:dyDescent="0.35">
      <c r="A478">
        <v>477</v>
      </c>
      <c r="B478" t="str">
        <f>VLOOKUP(F478,'Hilfstabelle QP'!$A$2:$B$4,2,FALSE)</f>
        <v>Lastkontrolle</v>
      </c>
      <c r="C478" t="str">
        <f>VLOOKUP(G478,'Hilfstabelle QP'!$A$7:$B$11,2,FALSE)</f>
        <v>Durchgefallen</v>
      </c>
      <c r="F478">
        <v>3</v>
      </c>
      <c r="G478">
        <v>5</v>
      </c>
    </row>
    <row r="479" spans="1:7" x14ac:dyDescent="0.35">
      <c r="A479">
        <v>478</v>
      </c>
      <c r="B479" t="str">
        <f>VLOOKUP(F479,'Hilfstabelle QP'!$A$2:$B$4,2,FALSE)</f>
        <v>Sichtkontrolle</v>
      </c>
      <c r="C479" t="str">
        <f>VLOOKUP(G479,'Hilfstabelle QP'!$A$7:$B$11,2,FALSE)</f>
        <v>Bestanden</v>
      </c>
      <c r="F479">
        <v>1</v>
      </c>
      <c r="G479">
        <v>2</v>
      </c>
    </row>
    <row r="480" spans="1:7" x14ac:dyDescent="0.35">
      <c r="A480">
        <v>479</v>
      </c>
      <c r="B480" t="str">
        <f>VLOOKUP(F480,'Hilfstabelle QP'!$A$2:$B$4,2,FALSE)</f>
        <v>Lastkontrolle</v>
      </c>
      <c r="C480" t="str">
        <f>VLOOKUP(G480,'Hilfstabelle QP'!$A$7:$B$11,2,FALSE)</f>
        <v>Durchgefallen</v>
      </c>
      <c r="F480">
        <v>3</v>
      </c>
      <c r="G480">
        <v>5</v>
      </c>
    </row>
    <row r="481" spans="1:7" x14ac:dyDescent="0.35">
      <c r="A481">
        <v>480</v>
      </c>
      <c r="B481" t="str">
        <f>VLOOKUP(F481,'Hilfstabelle QP'!$A$2:$B$4,2,FALSE)</f>
        <v>Lastkontrolle</v>
      </c>
      <c r="C481" t="str">
        <f>VLOOKUP(G481,'Hilfstabelle QP'!$A$7:$B$11,2,FALSE)</f>
        <v>Bestanden</v>
      </c>
      <c r="F481">
        <v>3</v>
      </c>
      <c r="G481">
        <v>1</v>
      </c>
    </row>
    <row r="482" spans="1:7" x14ac:dyDescent="0.35">
      <c r="A482">
        <v>481</v>
      </c>
      <c r="B482" t="str">
        <f>VLOOKUP(F482,'Hilfstabelle QP'!$A$2:$B$4,2,FALSE)</f>
        <v>Druckkontrolle</v>
      </c>
      <c r="C482" t="str">
        <f>VLOOKUP(G482,'Hilfstabelle QP'!$A$7:$B$11,2,FALSE)</f>
        <v>Bestanden</v>
      </c>
      <c r="F482">
        <v>2</v>
      </c>
      <c r="G482">
        <v>2</v>
      </c>
    </row>
    <row r="483" spans="1:7" x14ac:dyDescent="0.35">
      <c r="A483">
        <v>482</v>
      </c>
      <c r="B483" t="str">
        <f>VLOOKUP(F483,'Hilfstabelle QP'!$A$2:$B$4,2,FALSE)</f>
        <v>Sichtkontrolle</v>
      </c>
      <c r="C483" t="str">
        <f>VLOOKUP(G483,'Hilfstabelle QP'!$A$7:$B$11,2,FALSE)</f>
        <v>Bestanden</v>
      </c>
      <c r="F483">
        <v>1</v>
      </c>
      <c r="G483">
        <v>2</v>
      </c>
    </row>
    <row r="484" spans="1:7" x14ac:dyDescent="0.35">
      <c r="A484">
        <v>483</v>
      </c>
      <c r="B484" t="str">
        <f>VLOOKUP(F484,'Hilfstabelle QP'!$A$2:$B$4,2,FALSE)</f>
        <v>Druckkontrolle</v>
      </c>
      <c r="C484" t="str">
        <f>VLOOKUP(G484,'Hilfstabelle QP'!$A$7:$B$11,2,FALSE)</f>
        <v>Bestanden</v>
      </c>
      <c r="F484">
        <v>2</v>
      </c>
      <c r="G484">
        <v>2</v>
      </c>
    </row>
    <row r="485" spans="1:7" x14ac:dyDescent="0.35">
      <c r="A485">
        <v>484</v>
      </c>
      <c r="B485" t="str">
        <f>VLOOKUP(F485,'Hilfstabelle QP'!$A$2:$B$4,2,FALSE)</f>
        <v>Druckkontrolle</v>
      </c>
      <c r="C485" t="str">
        <f>VLOOKUP(G485,'Hilfstabelle QP'!$A$7:$B$11,2,FALSE)</f>
        <v>Durchgefallen</v>
      </c>
      <c r="F485">
        <v>2</v>
      </c>
      <c r="G485">
        <v>5</v>
      </c>
    </row>
    <row r="486" spans="1:7" x14ac:dyDescent="0.35">
      <c r="A486">
        <v>485</v>
      </c>
      <c r="B486" t="str">
        <f>VLOOKUP(F486,'Hilfstabelle QP'!$A$2:$B$4,2,FALSE)</f>
        <v>Lastkontrolle</v>
      </c>
      <c r="C486" t="str">
        <f>VLOOKUP(G486,'Hilfstabelle QP'!$A$7:$B$11,2,FALSE)</f>
        <v>Bestanden</v>
      </c>
      <c r="F486">
        <v>3</v>
      </c>
      <c r="G486">
        <v>3</v>
      </c>
    </row>
    <row r="487" spans="1:7" x14ac:dyDescent="0.35">
      <c r="A487">
        <v>486</v>
      </c>
      <c r="B487" t="str">
        <f>VLOOKUP(F487,'Hilfstabelle QP'!$A$2:$B$4,2,FALSE)</f>
        <v>Druckkontrolle</v>
      </c>
      <c r="C487" t="str">
        <f>VLOOKUP(G487,'Hilfstabelle QP'!$A$7:$B$11,2,FALSE)</f>
        <v>Bestanden</v>
      </c>
      <c r="F487">
        <v>2</v>
      </c>
      <c r="G487">
        <v>4</v>
      </c>
    </row>
    <row r="488" spans="1:7" x14ac:dyDescent="0.35">
      <c r="A488">
        <v>487</v>
      </c>
      <c r="B488" t="str">
        <f>VLOOKUP(F488,'Hilfstabelle QP'!$A$2:$B$4,2,FALSE)</f>
        <v>Sichtkontrolle</v>
      </c>
      <c r="C488" t="str">
        <f>VLOOKUP(G488,'Hilfstabelle QP'!$A$7:$B$11,2,FALSE)</f>
        <v>Durchgefallen</v>
      </c>
      <c r="F488">
        <v>1</v>
      </c>
      <c r="G488">
        <v>5</v>
      </c>
    </row>
    <row r="489" spans="1:7" x14ac:dyDescent="0.35">
      <c r="A489">
        <v>488</v>
      </c>
      <c r="B489" t="str">
        <f>VLOOKUP(F489,'Hilfstabelle QP'!$A$2:$B$4,2,FALSE)</f>
        <v>Sichtkontrolle</v>
      </c>
      <c r="C489" t="str">
        <f>VLOOKUP(G489,'Hilfstabelle QP'!$A$7:$B$11,2,FALSE)</f>
        <v>Bestanden</v>
      </c>
      <c r="F489">
        <v>1</v>
      </c>
      <c r="G489">
        <v>2</v>
      </c>
    </row>
    <row r="490" spans="1:7" x14ac:dyDescent="0.35">
      <c r="A490">
        <v>489</v>
      </c>
      <c r="B490" t="str">
        <f>VLOOKUP(F490,'Hilfstabelle QP'!$A$2:$B$4,2,FALSE)</f>
        <v>Lastkontrolle</v>
      </c>
      <c r="C490" t="str">
        <f>VLOOKUP(G490,'Hilfstabelle QP'!$A$7:$B$11,2,FALSE)</f>
        <v>Durchgefallen</v>
      </c>
      <c r="F490">
        <v>3</v>
      </c>
      <c r="G490">
        <v>5</v>
      </c>
    </row>
    <row r="491" spans="1:7" x14ac:dyDescent="0.35">
      <c r="A491">
        <v>490</v>
      </c>
      <c r="B491" t="str">
        <f>VLOOKUP(F491,'Hilfstabelle QP'!$A$2:$B$4,2,FALSE)</f>
        <v>Lastkontrolle</v>
      </c>
      <c r="C491" t="str">
        <f>VLOOKUP(G491,'Hilfstabelle QP'!$A$7:$B$11,2,FALSE)</f>
        <v>Bestanden</v>
      </c>
      <c r="F491">
        <v>3</v>
      </c>
      <c r="G491">
        <v>1</v>
      </c>
    </row>
    <row r="492" spans="1:7" x14ac:dyDescent="0.35">
      <c r="A492">
        <v>491</v>
      </c>
      <c r="B492" t="str">
        <f>VLOOKUP(F492,'Hilfstabelle QP'!$A$2:$B$4,2,FALSE)</f>
        <v>Sichtkontrolle</v>
      </c>
      <c r="C492" t="str">
        <f>VLOOKUP(G492,'Hilfstabelle QP'!$A$7:$B$11,2,FALSE)</f>
        <v>Bestanden</v>
      </c>
      <c r="F492">
        <v>1</v>
      </c>
      <c r="G492">
        <v>3</v>
      </c>
    </row>
    <row r="493" spans="1:7" x14ac:dyDescent="0.35">
      <c r="A493">
        <v>492</v>
      </c>
      <c r="B493" t="str">
        <f>VLOOKUP(F493,'Hilfstabelle QP'!$A$2:$B$4,2,FALSE)</f>
        <v>Druckkontrolle</v>
      </c>
      <c r="C493" t="str">
        <f>VLOOKUP(G493,'Hilfstabelle QP'!$A$7:$B$11,2,FALSE)</f>
        <v>Bestanden</v>
      </c>
      <c r="F493">
        <v>2</v>
      </c>
      <c r="G493">
        <v>2</v>
      </c>
    </row>
    <row r="494" spans="1:7" x14ac:dyDescent="0.35">
      <c r="A494">
        <v>493</v>
      </c>
      <c r="B494" t="str">
        <f>VLOOKUP(F494,'Hilfstabelle QP'!$A$2:$B$4,2,FALSE)</f>
        <v>Lastkontrolle</v>
      </c>
      <c r="C494" t="str">
        <f>VLOOKUP(G494,'Hilfstabelle QP'!$A$7:$B$11,2,FALSE)</f>
        <v>Durchgefallen</v>
      </c>
      <c r="F494">
        <v>3</v>
      </c>
      <c r="G494">
        <v>5</v>
      </c>
    </row>
    <row r="495" spans="1:7" x14ac:dyDescent="0.35">
      <c r="A495">
        <v>494</v>
      </c>
      <c r="B495" t="str">
        <f>VLOOKUP(F495,'Hilfstabelle QP'!$A$2:$B$4,2,FALSE)</f>
        <v>Lastkontrolle</v>
      </c>
      <c r="C495" t="str">
        <f>VLOOKUP(G495,'Hilfstabelle QP'!$A$7:$B$11,2,FALSE)</f>
        <v>Bestanden</v>
      </c>
      <c r="F495">
        <v>3</v>
      </c>
      <c r="G495">
        <v>2</v>
      </c>
    </row>
    <row r="496" spans="1:7" x14ac:dyDescent="0.35">
      <c r="A496">
        <v>495</v>
      </c>
      <c r="B496" t="str">
        <f>VLOOKUP(F496,'Hilfstabelle QP'!$A$2:$B$4,2,FALSE)</f>
        <v>Sichtkontrolle</v>
      </c>
      <c r="C496" t="str">
        <f>VLOOKUP(G496,'Hilfstabelle QP'!$A$7:$B$11,2,FALSE)</f>
        <v>Durchgefallen</v>
      </c>
      <c r="F496">
        <v>1</v>
      </c>
      <c r="G496">
        <v>5</v>
      </c>
    </row>
    <row r="497" spans="1:7" x14ac:dyDescent="0.35">
      <c r="A497">
        <v>496</v>
      </c>
      <c r="B497" t="str">
        <f>VLOOKUP(F497,'Hilfstabelle QP'!$A$2:$B$4,2,FALSE)</f>
        <v>Sichtkontrolle</v>
      </c>
      <c r="C497" t="str">
        <f>VLOOKUP(G497,'Hilfstabelle QP'!$A$7:$B$11,2,FALSE)</f>
        <v>Bestanden</v>
      </c>
      <c r="F497">
        <v>1</v>
      </c>
      <c r="G497">
        <v>2</v>
      </c>
    </row>
    <row r="498" spans="1:7" x14ac:dyDescent="0.35">
      <c r="A498">
        <v>497</v>
      </c>
      <c r="B498" t="str">
        <f>VLOOKUP(F498,'Hilfstabelle QP'!$A$2:$B$4,2,FALSE)</f>
        <v>Sichtkontrolle</v>
      </c>
      <c r="C498" t="str">
        <f>VLOOKUP(G498,'Hilfstabelle QP'!$A$7:$B$11,2,FALSE)</f>
        <v>Bestanden</v>
      </c>
      <c r="F498">
        <v>1</v>
      </c>
      <c r="G498">
        <v>2</v>
      </c>
    </row>
    <row r="499" spans="1:7" x14ac:dyDescent="0.35">
      <c r="A499">
        <v>498</v>
      </c>
      <c r="B499" t="str">
        <f>VLOOKUP(F499,'Hilfstabelle QP'!$A$2:$B$4,2,FALSE)</f>
        <v>Lastkontrolle</v>
      </c>
      <c r="C499" t="str">
        <f>VLOOKUP(G499,'Hilfstabelle QP'!$A$7:$B$11,2,FALSE)</f>
        <v>Bestanden</v>
      </c>
      <c r="F499">
        <v>3</v>
      </c>
      <c r="G499">
        <v>1</v>
      </c>
    </row>
    <row r="500" spans="1:7" x14ac:dyDescent="0.35">
      <c r="A500">
        <v>499</v>
      </c>
      <c r="B500" t="str">
        <f>VLOOKUP(F500,'Hilfstabelle QP'!$A$2:$B$4,2,FALSE)</f>
        <v>Lastkontrolle</v>
      </c>
      <c r="C500" t="str">
        <f>VLOOKUP(G500,'Hilfstabelle QP'!$A$7:$B$11,2,FALSE)</f>
        <v>Bestanden</v>
      </c>
      <c r="F500">
        <v>3</v>
      </c>
      <c r="G500">
        <v>4</v>
      </c>
    </row>
    <row r="501" spans="1:7" x14ac:dyDescent="0.35">
      <c r="A501">
        <v>500</v>
      </c>
      <c r="B501" t="str">
        <f>VLOOKUP(F501,'Hilfstabelle QP'!$A$2:$B$4,2,FALSE)</f>
        <v>Lastkontrolle</v>
      </c>
      <c r="C501" t="str">
        <f>VLOOKUP(G501,'Hilfstabelle QP'!$A$7:$B$11,2,FALSE)</f>
        <v>Durchgefallen</v>
      </c>
      <c r="F501">
        <v>3</v>
      </c>
      <c r="G501">
        <v>5</v>
      </c>
    </row>
    <row r="502" spans="1:7" x14ac:dyDescent="0.35">
      <c r="A502">
        <v>501</v>
      </c>
      <c r="B502" t="str">
        <f>VLOOKUP(F502,'Hilfstabelle QP'!$A$2:$B$4,2,FALSE)</f>
        <v>Sichtkontrolle</v>
      </c>
      <c r="C502" t="str">
        <f>VLOOKUP(G502,'Hilfstabelle QP'!$A$7:$B$11,2,FALSE)</f>
        <v>Bestanden</v>
      </c>
      <c r="F502">
        <v>1</v>
      </c>
      <c r="G502">
        <v>4</v>
      </c>
    </row>
    <row r="503" spans="1:7" x14ac:dyDescent="0.35">
      <c r="A503">
        <v>502</v>
      </c>
      <c r="B503" t="str">
        <f>VLOOKUP(F503,'Hilfstabelle QP'!$A$2:$B$4,2,FALSE)</f>
        <v>Sichtkontrolle</v>
      </c>
      <c r="C503" t="str">
        <f>VLOOKUP(G503,'Hilfstabelle QP'!$A$7:$B$11,2,FALSE)</f>
        <v>Durchgefallen</v>
      </c>
      <c r="F503">
        <v>1</v>
      </c>
      <c r="G503">
        <v>5</v>
      </c>
    </row>
    <row r="504" spans="1:7" x14ac:dyDescent="0.35">
      <c r="A504">
        <v>503</v>
      </c>
      <c r="B504" t="str">
        <f>VLOOKUP(F504,'Hilfstabelle QP'!$A$2:$B$4,2,FALSE)</f>
        <v>Sichtkontrolle</v>
      </c>
      <c r="C504" t="str">
        <f>VLOOKUP(G504,'Hilfstabelle QP'!$A$7:$B$11,2,FALSE)</f>
        <v>Bestanden</v>
      </c>
      <c r="F504">
        <v>1</v>
      </c>
      <c r="G504">
        <v>2</v>
      </c>
    </row>
    <row r="505" spans="1:7" x14ac:dyDescent="0.35">
      <c r="A505">
        <v>504</v>
      </c>
      <c r="B505" t="str">
        <f>VLOOKUP(F505,'Hilfstabelle QP'!$A$2:$B$4,2,FALSE)</f>
        <v>Druckkontrolle</v>
      </c>
      <c r="C505" t="str">
        <f>VLOOKUP(G505,'Hilfstabelle QP'!$A$7:$B$11,2,FALSE)</f>
        <v>Bestanden</v>
      </c>
      <c r="F505">
        <v>2</v>
      </c>
      <c r="G505">
        <v>2</v>
      </c>
    </row>
    <row r="506" spans="1:7" x14ac:dyDescent="0.35">
      <c r="A506">
        <v>505</v>
      </c>
      <c r="B506" t="str">
        <f>VLOOKUP(F506,'Hilfstabelle QP'!$A$2:$B$4,2,FALSE)</f>
        <v>Lastkontrolle</v>
      </c>
      <c r="C506" t="str">
        <f>VLOOKUP(G506,'Hilfstabelle QP'!$A$7:$B$11,2,FALSE)</f>
        <v>Bestanden</v>
      </c>
      <c r="F506">
        <v>3</v>
      </c>
      <c r="G506">
        <v>2</v>
      </c>
    </row>
    <row r="507" spans="1:7" x14ac:dyDescent="0.35">
      <c r="A507">
        <v>506</v>
      </c>
      <c r="B507" t="str">
        <f>VLOOKUP(F507,'Hilfstabelle QP'!$A$2:$B$4,2,FALSE)</f>
        <v>Druckkontrolle</v>
      </c>
      <c r="C507" t="str">
        <f>VLOOKUP(G507,'Hilfstabelle QP'!$A$7:$B$11,2,FALSE)</f>
        <v>Bestanden</v>
      </c>
      <c r="F507">
        <v>2</v>
      </c>
      <c r="G507">
        <v>4</v>
      </c>
    </row>
    <row r="508" spans="1:7" x14ac:dyDescent="0.35">
      <c r="A508">
        <v>507</v>
      </c>
      <c r="B508" t="str">
        <f>VLOOKUP(F508,'Hilfstabelle QP'!$A$2:$B$4,2,FALSE)</f>
        <v>Druckkontrolle</v>
      </c>
      <c r="C508" t="str">
        <f>VLOOKUP(G508,'Hilfstabelle QP'!$A$7:$B$11,2,FALSE)</f>
        <v>Bestanden</v>
      </c>
      <c r="F508">
        <v>2</v>
      </c>
      <c r="G508">
        <v>4</v>
      </c>
    </row>
    <row r="509" spans="1:7" x14ac:dyDescent="0.35">
      <c r="A509">
        <v>508</v>
      </c>
      <c r="B509" t="str">
        <f>VLOOKUP(F509,'Hilfstabelle QP'!$A$2:$B$4,2,FALSE)</f>
        <v>Druckkontrolle</v>
      </c>
      <c r="C509" t="str">
        <f>VLOOKUP(G509,'Hilfstabelle QP'!$A$7:$B$11,2,FALSE)</f>
        <v>Durchgefallen</v>
      </c>
      <c r="F509">
        <v>2</v>
      </c>
      <c r="G509">
        <v>5</v>
      </c>
    </row>
    <row r="510" spans="1:7" x14ac:dyDescent="0.35">
      <c r="A510">
        <v>509</v>
      </c>
      <c r="B510" t="str">
        <f>VLOOKUP(F510,'Hilfstabelle QP'!$A$2:$B$4,2,FALSE)</f>
        <v>Druckkontrolle</v>
      </c>
      <c r="C510" t="str">
        <f>VLOOKUP(G510,'Hilfstabelle QP'!$A$7:$B$11,2,FALSE)</f>
        <v>Bestanden</v>
      </c>
      <c r="F510">
        <v>2</v>
      </c>
      <c r="G510">
        <v>2</v>
      </c>
    </row>
    <row r="511" spans="1:7" x14ac:dyDescent="0.35">
      <c r="A511">
        <v>510</v>
      </c>
      <c r="B511" t="str">
        <f>VLOOKUP(F511,'Hilfstabelle QP'!$A$2:$B$4,2,FALSE)</f>
        <v>Lastkontrolle</v>
      </c>
      <c r="C511" t="str">
        <f>VLOOKUP(G511,'Hilfstabelle QP'!$A$7:$B$11,2,FALSE)</f>
        <v>Bestanden</v>
      </c>
      <c r="F511">
        <v>3</v>
      </c>
      <c r="G511">
        <v>2</v>
      </c>
    </row>
    <row r="512" spans="1:7" x14ac:dyDescent="0.35">
      <c r="A512">
        <v>511</v>
      </c>
      <c r="B512" t="str">
        <f>VLOOKUP(F512,'Hilfstabelle QP'!$A$2:$B$4,2,FALSE)</f>
        <v>Sichtkontrolle</v>
      </c>
      <c r="C512" t="str">
        <f>VLOOKUP(G512,'Hilfstabelle QP'!$A$7:$B$11,2,FALSE)</f>
        <v>Bestanden</v>
      </c>
      <c r="F512">
        <v>1</v>
      </c>
      <c r="G512">
        <v>4</v>
      </c>
    </row>
    <row r="513" spans="1:7" x14ac:dyDescent="0.35">
      <c r="A513">
        <v>512</v>
      </c>
      <c r="B513" t="str">
        <f>VLOOKUP(F513,'Hilfstabelle QP'!$A$2:$B$4,2,FALSE)</f>
        <v>Sichtkontrolle</v>
      </c>
      <c r="C513" t="str">
        <f>VLOOKUP(G513,'Hilfstabelle QP'!$A$7:$B$11,2,FALSE)</f>
        <v>Bestanden</v>
      </c>
      <c r="F513">
        <v>1</v>
      </c>
      <c r="G513">
        <v>3</v>
      </c>
    </row>
    <row r="514" spans="1:7" x14ac:dyDescent="0.35">
      <c r="A514">
        <v>513</v>
      </c>
      <c r="B514" t="str">
        <f>VLOOKUP(F514,'Hilfstabelle QP'!$A$2:$B$4,2,FALSE)</f>
        <v>Druckkontrolle</v>
      </c>
      <c r="C514" t="str">
        <f>VLOOKUP(G514,'Hilfstabelle QP'!$A$7:$B$11,2,FALSE)</f>
        <v>Bestanden</v>
      </c>
      <c r="F514">
        <v>2</v>
      </c>
      <c r="G514">
        <v>2</v>
      </c>
    </row>
    <row r="515" spans="1:7" x14ac:dyDescent="0.35">
      <c r="A515">
        <v>514</v>
      </c>
      <c r="B515" t="str">
        <f>VLOOKUP(F515,'Hilfstabelle QP'!$A$2:$B$4,2,FALSE)</f>
        <v>Lastkontrolle</v>
      </c>
      <c r="C515" t="str">
        <f>VLOOKUP(G515,'Hilfstabelle QP'!$A$7:$B$11,2,FALSE)</f>
        <v>Bestanden</v>
      </c>
      <c r="F515">
        <v>3</v>
      </c>
      <c r="G515">
        <v>3</v>
      </c>
    </row>
    <row r="516" spans="1:7" x14ac:dyDescent="0.35">
      <c r="A516">
        <v>515</v>
      </c>
      <c r="B516" t="str">
        <f>VLOOKUP(F516,'Hilfstabelle QP'!$A$2:$B$4,2,FALSE)</f>
        <v>Sichtkontrolle</v>
      </c>
      <c r="C516" t="str">
        <f>VLOOKUP(G516,'Hilfstabelle QP'!$A$7:$B$11,2,FALSE)</f>
        <v>Durchgefallen</v>
      </c>
      <c r="F516">
        <v>1</v>
      </c>
      <c r="G516">
        <v>5</v>
      </c>
    </row>
    <row r="517" spans="1:7" x14ac:dyDescent="0.35">
      <c r="A517">
        <v>516</v>
      </c>
      <c r="B517" t="str">
        <f>VLOOKUP(F517,'Hilfstabelle QP'!$A$2:$B$4,2,FALSE)</f>
        <v>Druckkontrolle</v>
      </c>
      <c r="C517" t="str">
        <f>VLOOKUP(G517,'Hilfstabelle QP'!$A$7:$B$11,2,FALSE)</f>
        <v>Durchgefallen</v>
      </c>
      <c r="F517">
        <v>2</v>
      </c>
      <c r="G517">
        <v>5</v>
      </c>
    </row>
    <row r="518" spans="1:7" x14ac:dyDescent="0.35">
      <c r="A518">
        <v>521</v>
      </c>
      <c r="B518" t="str">
        <f>VLOOKUP(F518,'Hilfstabelle QP'!$A$2:$B$4,2,FALSE)</f>
        <v>Sichtkontrolle</v>
      </c>
      <c r="C518" t="str">
        <f>VLOOKUP(G518,'Hilfstabelle QP'!$A$7:$B$11,2,FALSE)</f>
        <v>Bestanden</v>
      </c>
      <c r="F518">
        <v>1</v>
      </c>
      <c r="G518">
        <v>1</v>
      </c>
    </row>
    <row r="519" spans="1:7" x14ac:dyDescent="0.35">
      <c r="A519">
        <v>522</v>
      </c>
      <c r="B519" t="str">
        <f>VLOOKUP(F519,'Hilfstabelle QP'!$A$2:$B$4,2,FALSE)</f>
        <v>Lastkontrolle</v>
      </c>
      <c r="C519" t="str">
        <f>VLOOKUP(G519,'Hilfstabelle QP'!$A$7:$B$11,2,FALSE)</f>
        <v>Bestanden</v>
      </c>
      <c r="F519">
        <v>3</v>
      </c>
      <c r="G519">
        <v>3</v>
      </c>
    </row>
    <row r="520" spans="1:7" x14ac:dyDescent="0.35">
      <c r="A520">
        <v>523</v>
      </c>
      <c r="B520" t="str">
        <f>VLOOKUP(F520,'Hilfstabelle QP'!$A$2:$B$4,2,FALSE)</f>
        <v>Lastkontrolle</v>
      </c>
      <c r="C520" t="str">
        <f>VLOOKUP(G520,'Hilfstabelle QP'!$A$7:$B$11,2,FALSE)</f>
        <v>Bestanden</v>
      </c>
      <c r="F520">
        <v>3</v>
      </c>
      <c r="G520">
        <v>1</v>
      </c>
    </row>
    <row r="521" spans="1:7" x14ac:dyDescent="0.35">
      <c r="A521">
        <v>524</v>
      </c>
      <c r="B521" t="str">
        <f>VLOOKUP(F521,'Hilfstabelle QP'!$A$2:$B$4,2,FALSE)</f>
        <v>Lastkontrolle</v>
      </c>
      <c r="C521" t="str">
        <f>VLOOKUP(G521,'Hilfstabelle QP'!$A$7:$B$11,2,FALSE)</f>
        <v>Bestanden</v>
      </c>
      <c r="F521">
        <v>3</v>
      </c>
      <c r="G521">
        <v>1</v>
      </c>
    </row>
    <row r="522" spans="1:7" x14ac:dyDescent="0.35">
      <c r="A522">
        <v>525</v>
      </c>
      <c r="B522" t="str">
        <f>VLOOKUP(F522,'Hilfstabelle QP'!$A$2:$B$4,2,FALSE)</f>
        <v>Druckkontrolle</v>
      </c>
      <c r="C522" t="str">
        <f>VLOOKUP(G522,'Hilfstabelle QP'!$A$7:$B$11,2,FALSE)</f>
        <v>Bestanden</v>
      </c>
      <c r="F522">
        <v>2</v>
      </c>
      <c r="G522">
        <v>2</v>
      </c>
    </row>
    <row r="523" spans="1:7" x14ac:dyDescent="0.35">
      <c r="A523">
        <v>526</v>
      </c>
      <c r="B523" t="str">
        <f>VLOOKUP(F523,'Hilfstabelle QP'!$A$2:$B$4,2,FALSE)</f>
        <v>Sichtkontrolle</v>
      </c>
      <c r="C523" t="str">
        <f>VLOOKUP(G523,'Hilfstabelle QP'!$A$7:$B$11,2,FALSE)</f>
        <v>Bestanden</v>
      </c>
      <c r="F523">
        <v>1</v>
      </c>
      <c r="G523">
        <v>1</v>
      </c>
    </row>
    <row r="524" spans="1:7" x14ac:dyDescent="0.35">
      <c r="A524">
        <v>527</v>
      </c>
      <c r="B524" t="str">
        <f>VLOOKUP(F524,'Hilfstabelle QP'!$A$2:$B$4,2,FALSE)</f>
        <v>Druckkontrolle</v>
      </c>
      <c r="C524" t="str">
        <f>VLOOKUP(G524,'Hilfstabelle QP'!$A$7:$B$11,2,FALSE)</f>
        <v>Bestanden</v>
      </c>
      <c r="F524">
        <v>2</v>
      </c>
      <c r="G524">
        <v>4</v>
      </c>
    </row>
    <row r="525" spans="1:7" x14ac:dyDescent="0.35">
      <c r="A525">
        <v>528</v>
      </c>
      <c r="B525" t="str">
        <f>VLOOKUP(F525,'Hilfstabelle QP'!$A$2:$B$4,2,FALSE)</f>
        <v>Sichtkontrolle</v>
      </c>
      <c r="C525" t="str">
        <f>VLOOKUP(G525,'Hilfstabelle QP'!$A$7:$B$11,2,FALSE)</f>
        <v>Durchgefallen</v>
      </c>
      <c r="F525">
        <v>1</v>
      </c>
      <c r="G525">
        <v>5</v>
      </c>
    </row>
    <row r="526" spans="1:7" x14ac:dyDescent="0.35">
      <c r="A526">
        <v>529</v>
      </c>
      <c r="B526" t="str">
        <f>VLOOKUP(F526,'Hilfstabelle QP'!$A$2:$B$4,2,FALSE)</f>
        <v>Sichtkontrolle</v>
      </c>
      <c r="C526" t="str">
        <f>VLOOKUP(G526,'Hilfstabelle QP'!$A$7:$B$11,2,FALSE)</f>
        <v>Durchgefallen</v>
      </c>
      <c r="F526">
        <v>1</v>
      </c>
      <c r="G526">
        <v>5</v>
      </c>
    </row>
    <row r="527" spans="1:7" x14ac:dyDescent="0.35">
      <c r="A527">
        <v>530</v>
      </c>
      <c r="B527" t="str">
        <f>VLOOKUP(F527,'Hilfstabelle QP'!$A$2:$B$4,2,FALSE)</f>
        <v>Sichtkontrolle</v>
      </c>
      <c r="C527" t="str">
        <f>VLOOKUP(G527,'Hilfstabelle QP'!$A$7:$B$11,2,FALSE)</f>
        <v>Bestanden</v>
      </c>
      <c r="F527">
        <v>1</v>
      </c>
      <c r="G527">
        <v>4</v>
      </c>
    </row>
    <row r="528" spans="1:7" x14ac:dyDescent="0.35">
      <c r="A528">
        <v>531</v>
      </c>
      <c r="B528" t="str">
        <f>VLOOKUP(F528,'Hilfstabelle QP'!$A$2:$B$4,2,FALSE)</f>
        <v>Sichtkontrolle</v>
      </c>
      <c r="C528" t="str">
        <f>VLOOKUP(G528,'Hilfstabelle QP'!$A$7:$B$11,2,FALSE)</f>
        <v>Bestanden</v>
      </c>
      <c r="F528">
        <v>1</v>
      </c>
      <c r="G528">
        <v>4</v>
      </c>
    </row>
    <row r="529" spans="1:7" x14ac:dyDescent="0.35">
      <c r="A529">
        <v>532</v>
      </c>
      <c r="B529" t="str">
        <f>VLOOKUP(F529,'Hilfstabelle QP'!$A$2:$B$4,2,FALSE)</f>
        <v>Lastkontrolle</v>
      </c>
      <c r="C529" t="str">
        <f>VLOOKUP(G529,'Hilfstabelle QP'!$A$7:$B$11,2,FALSE)</f>
        <v>Bestanden</v>
      </c>
      <c r="F529">
        <v>3</v>
      </c>
      <c r="G529">
        <v>1</v>
      </c>
    </row>
    <row r="530" spans="1:7" x14ac:dyDescent="0.35">
      <c r="A530">
        <v>533</v>
      </c>
      <c r="B530" t="str">
        <f>VLOOKUP(F530,'Hilfstabelle QP'!$A$2:$B$4,2,FALSE)</f>
        <v>Sichtkontrolle</v>
      </c>
      <c r="C530" t="str">
        <f>VLOOKUP(G530,'Hilfstabelle QP'!$A$7:$B$11,2,FALSE)</f>
        <v>Bestanden</v>
      </c>
      <c r="F530">
        <v>1</v>
      </c>
      <c r="G530">
        <v>1</v>
      </c>
    </row>
    <row r="531" spans="1:7" x14ac:dyDescent="0.35">
      <c r="A531">
        <v>534</v>
      </c>
      <c r="B531" t="str">
        <f>VLOOKUP(F531,'Hilfstabelle QP'!$A$2:$B$4,2,FALSE)</f>
        <v>Druckkontrolle</v>
      </c>
      <c r="C531" t="str">
        <f>VLOOKUP(G531,'Hilfstabelle QP'!$A$7:$B$11,2,FALSE)</f>
        <v>Bestanden</v>
      </c>
      <c r="F531">
        <v>2</v>
      </c>
      <c r="G531">
        <v>3</v>
      </c>
    </row>
    <row r="532" spans="1:7" x14ac:dyDescent="0.35">
      <c r="A532">
        <v>535</v>
      </c>
      <c r="B532" t="str">
        <f>VLOOKUP(F532,'Hilfstabelle QP'!$A$2:$B$4,2,FALSE)</f>
        <v>Sichtkontrolle</v>
      </c>
      <c r="C532" t="str">
        <f>VLOOKUP(G532,'Hilfstabelle QP'!$A$7:$B$11,2,FALSE)</f>
        <v>Bestanden</v>
      </c>
      <c r="F532">
        <v>1</v>
      </c>
      <c r="G532">
        <v>2</v>
      </c>
    </row>
    <row r="533" spans="1:7" x14ac:dyDescent="0.35">
      <c r="A533">
        <v>536</v>
      </c>
      <c r="B533" t="str">
        <f>VLOOKUP(F533,'Hilfstabelle QP'!$A$2:$B$4,2,FALSE)</f>
        <v>Sichtkontrolle</v>
      </c>
      <c r="C533" t="str">
        <f>VLOOKUP(G533,'Hilfstabelle QP'!$A$7:$B$11,2,FALSE)</f>
        <v>Bestanden</v>
      </c>
      <c r="F533">
        <v>1</v>
      </c>
      <c r="G533">
        <v>1</v>
      </c>
    </row>
    <row r="534" spans="1:7" x14ac:dyDescent="0.35">
      <c r="A534">
        <v>537</v>
      </c>
      <c r="B534" t="str">
        <f>VLOOKUP(F534,'Hilfstabelle QP'!$A$2:$B$4,2,FALSE)</f>
        <v>Sichtkontrolle</v>
      </c>
      <c r="C534" t="str">
        <f>VLOOKUP(G534,'Hilfstabelle QP'!$A$7:$B$11,2,FALSE)</f>
        <v>Bestanden</v>
      </c>
      <c r="F534">
        <v>1</v>
      </c>
      <c r="G534">
        <v>2</v>
      </c>
    </row>
    <row r="535" spans="1:7" x14ac:dyDescent="0.35">
      <c r="A535">
        <v>538</v>
      </c>
      <c r="B535" t="str">
        <f>VLOOKUP(F535,'Hilfstabelle QP'!$A$2:$B$4,2,FALSE)</f>
        <v>Lastkontrolle</v>
      </c>
      <c r="C535" t="str">
        <f>VLOOKUP(G535,'Hilfstabelle QP'!$A$7:$B$11,2,FALSE)</f>
        <v>Bestanden</v>
      </c>
      <c r="F535">
        <v>3</v>
      </c>
      <c r="G535">
        <v>2</v>
      </c>
    </row>
    <row r="536" spans="1:7" x14ac:dyDescent="0.35">
      <c r="A536">
        <v>539</v>
      </c>
      <c r="B536" t="str">
        <f>VLOOKUP(F536,'Hilfstabelle QP'!$A$2:$B$4,2,FALSE)</f>
        <v>Druckkontrolle</v>
      </c>
      <c r="C536" t="str">
        <f>VLOOKUP(G536,'Hilfstabelle QP'!$A$7:$B$11,2,FALSE)</f>
        <v>Bestanden</v>
      </c>
      <c r="F536">
        <v>2</v>
      </c>
      <c r="G536">
        <v>4</v>
      </c>
    </row>
    <row r="537" spans="1:7" x14ac:dyDescent="0.35">
      <c r="A537">
        <v>540</v>
      </c>
      <c r="B537" t="str">
        <f>VLOOKUP(F537,'Hilfstabelle QP'!$A$2:$B$4,2,FALSE)</f>
        <v>Druckkontrolle</v>
      </c>
      <c r="C537" t="str">
        <f>VLOOKUP(G537,'Hilfstabelle QP'!$A$7:$B$11,2,FALSE)</f>
        <v>Bestanden</v>
      </c>
      <c r="F537">
        <v>2</v>
      </c>
      <c r="G537">
        <v>1</v>
      </c>
    </row>
    <row r="538" spans="1:7" x14ac:dyDescent="0.35">
      <c r="A538">
        <v>541</v>
      </c>
      <c r="B538" t="str">
        <f>VLOOKUP(F538,'Hilfstabelle QP'!$A$2:$B$4,2,FALSE)</f>
        <v>Sichtkontrolle</v>
      </c>
      <c r="C538" t="str">
        <f>VLOOKUP(G538,'Hilfstabelle QP'!$A$7:$B$11,2,FALSE)</f>
        <v>Durchgefallen</v>
      </c>
      <c r="F538">
        <v>1</v>
      </c>
      <c r="G538">
        <v>5</v>
      </c>
    </row>
    <row r="539" spans="1:7" x14ac:dyDescent="0.35">
      <c r="A539">
        <v>542</v>
      </c>
      <c r="B539" t="str">
        <f>VLOOKUP(F539,'Hilfstabelle QP'!$A$2:$B$4,2,FALSE)</f>
        <v>Sichtkontrolle</v>
      </c>
      <c r="C539" t="str">
        <f>VLOOKUP(G539,'Hilfstabelle QP'!$A$7:$B$11,2,FALSE)</f>
        <v>Durchgefallen</v>
      </c>
      <c r="F539">
        <v>1</v>
      </c>
      <c r="G539">
        <v>5</v>
      </c>
    </row>
    <row r="540" spans="1:7" x14ac:dyDescent="0.35">
      <c r="A540">
        <v>543</v>
      </c>
      <c r="B540" t="str">
        <f>VLOOKUP(F540,'Hilfstabelle QP'!$A$2:$B$4,2,FALSE)</f>
        <v>Druckkontrolle</v>
      </c>
      <c r="C540" t="str">
        <f>VLOOKUP(G540,'Hilfstabelle QP'!$A$7:$B$11,2,FALSE)</f>
        <v>Bestanden</v>
      </c>
      <c r="F540">
        <v>2</v>
      </c>
      <c r="G540">
        <v>3</v>
      </c>
    </row>
    <row r="541" spans="1:7" x14ac:dyDescent="0.35">
      <c r="A541">
        <v>544</v>
      </c>
      <c r="B541" t="str">
        <f>VLOOKUP(F541,'Hilfstabelle QP'!$A$2:$B$4,2,FALSE)</f>
        <v>Lastkontrolle</v>
      </c>
      <c r="C541" t="str">
        <f>VLOOKUP(G541,'Hilfstabelle QP'!$A$7:$B$11,2,FALSE)</f>
        <v>Bestanden</v>
      </c>
      <c r="F541">
        <v>3</v>
      </c>
      <c r="G541">
        <v>3</v>
      </c>
    </row>
    <row r="542" spans="1:7" x14ac:dyDescent="0.35">
      <c r="A542">
        <v>545</v>
      </c>
      <c r="B542" t="str">
        <f>VLOOKUP(F542,'Hilfstabelle QP'!$A$2:$B$4,2,FALSE)</f>
        <v>Lastkontrolle</v>
      </c>
      <c r="C542" t="str">
        <f>VLOOKUP(G542,'Hilfstabelle QP'!$A$7:$B$11,2,FALSE)</f>
        <v>Bestanden</v>
      </c>
      <c r="F542">
        <v>3</v>
      </c>
      <c r="G542">
        <v>1</v>
      </c>
    </row>
    <row r="543" spans="1:7" x14ac:dyDescent="0.35">
      <c r="A543">
        <v>546</v>
      </c>
      <c r="B543" t="str">
        <f>VLOOKUP(F543,'Hilfstabelle QP'!$A$2:$B$4,2,FALSE)</f>
        <v>Sichtkontrolle</v>
      </c>
      <c r="C543" t="str">
        <f>VLOOKUP(G543,'Hilfstabelle QP'!$A$7:$B$11,2,FALSE)</f>
        <v>Bestanden</v>
      </c>
      <c r="F543">
        <v>1</v>
      </c>
      <c r="G543">
        <v>3</v>
      </c>
    </row>
    <row r="544" spans="1:7" x14ac:dyDescent="0.35">
      <c r="A544">
        <v>547</v>
      </c>
      <c r="B544" t="str">
        <f>VLOOKUP(F544,'Hilfstabelle QP'!$A$2:$B$4,2,FALSE)</f>
        <v>Lastkontrolle</v>
      </c>
      <c r="C544" t="str">
        <f>VLOOKUP(G544,'Hilfstabelle QP'!$A$7:$B$11,2,FALSE)</f>
        <v>Durchgefallen</v>
      </c>
      <c r="F544">
        <v>3</v>
      </c>
      <c r="G544">
        <v>5</v>
      </c>
    </row>
    <row r="545" spans="1:7" x14ac:dyDescent="0.35">
      <c r="A545">
        <v>548</v>
      </c>
      <c r="B545" t="str">
        <f>VLOOKUP(F545,'Hilfstabelle QP'!$A$2:$B$4,2,FALSE)</f>
        <v>Druckkontrolle</v>
      </c>
      <c r="C545" t="str">
        <f>VLOOKUP(G545,'Hilfstabelle QP'!$A$7:$B$11,2,FALSE)</f>
        <v>Bestanden</v>
      </c>
      <c r="F545">
        <v>2</v>
      </c>
      <c r="G545">
        <v>4</v>
      </c>
    </row>
    <row r="546" spans="1:7" x14ac:dyDescent="0.35">
      <c r="A546">
        <v>549</v>
      </c>
      <c r="B546" t="str">
        <f>VLOOKUP(F546,'Hilfstabelle QP'!$A$2:$B$4,2,FALSE)</f>
        <v>Druckkontrolle</v>
      </c>
      <c r="C546" t="str">
        <f>VLOOKUP(G546,'Hilfstabelle QP'!$A$7:$B$11,2,FALSE)</f>
        <v>Bestanden</v>
      </c>
      <c r="F546">
        <v>2</v>
      </c>
      <c r="G546">
        <v>2</v>
      </c>
    </row>
    <row r="547" spans="1:7" x14ac:dyDescent="0.35">
      <c r="A547">
        <v>550</v>
      </c>
      <c r="B547" t="str">
        <f>VLOOKUP(F547,'Hilfstabelle QP'!$A$2:$B$4,2,FALSE)</f>
        <v>Lastkontrolle</v>
      </c>
      <c r="C547" t="str">
        <f>VLOOKUP(G547,'Hilfstabelle QP'!$A$7:$B$11,2,FALSE)</f>
        <v>Bestanden</v>
      </c>
      <c r="F547">
        <v>3</v>
      </c>
      <c r="G547">
        <v>4</v>
      </c>
    </row>
    <row r="548" spans="1:7" x14ac:dyDescent="0.35">
      <c r="A548">
        <v>551</v>
      </c>
      <c r="B548" t="str">
        <f>VLOOKUP(F548,'Hilfstabelle QP'!$A$2:$B$4,2,FALSE)</f>
        <v>Lastkontrolle</v>
      </c>
      <c r="C548" t="str">
        <f>VLOOKUP(G548,'Hilfstabelle QP'!$A$7:$B$11,2,FALSE)</f>
        <v>Bestanden</v>
      </c>
      <c r="F548">
        <v>3</v>
      </c>
      <c r="G548">
        <v>1</v>
      </c>
    </row>
    <row r="549" spans="1:7" x14ac:dyDescent="0.35">
      <c r="A549">
        <v>552</v>
      </c>
      <c r="B549" t="str">
        <f>VLOOKUP(F549,'Hilfstabelle QP'!$A$2:$B$4,2,FALSE)</f>
        <v>Lastkontrolle</v>
      </c>
      <c r="C549" t="str">
        <f>VLOOKUP(G549,'Hilfstabelle QP'!$A$7:$B$11,2,FALSE)</f>
        <v>Bestanden</v>
      </c>
      <c r="F549">
        <v>3</v>
      </c>
      <c r="G549">
        <v>2</v>
      </c>
    </row>
    <row r="550" spans="1:7" x14ac:dyDescent="0.35">
      <c r="A550">
        <v>553</v>
      </c>
      <c r="B550" t="str">
        <f>VLOOKUP(F550,'Hilfstabelle QP'!$A$2:$B$4,2,FALSE)</f>
        <v>Lastkontrolle</v>
      </c>
      <c r="C550" t="str">
        <f>VLOOKUP(G550,'Hilfstabelle QP'!$A$7:$B$11,2,FALSE)</f>
        <v>Bestanden</v>
      </c>
      <c r="F550">
        <v>3</v>
      </c>
      <c r="G550">
        <v>2</v>
      </c>
    </row>
    <row r="551" spans="1:7" x14ac:dyDescent="0.35">
      <c r="A551">
        <v>554</v>
      </c>
      <c r="B551" t="str">
        <f>VLOOKUP(F551,'Hilfstabelle QP'!$A$2:$B$4,2,FALSE)</f>
        <v>Druckkontrolle</v>
      </c>
      <c r="C551" t="str">
        <f>VLOOKUP(G551,'Hilfstabelle QP'!$A$7:$B$11,2,FALSE)</f>
        <v>Bestanden</v>
      </c>
      <c r="F551">
        <v>2</v>
      </c>
      <c r="G551">
        <v>4</v>
      </c>
    </row>
    <row r="552" spans="1:7" x14ac:dyDescent="0.35">
      <c r="A552">
        <v>555</v>
      </c>
      <c r="B552" t="str">
        <f>VLOOKUP(F552,'Hilfstabelle QP'!$A$2:$B$4,2,FALSE)</f>
        <v>Lastkontrolle</v>
      </c>
      <c r="C552" t="str">
        <f>VLOOKUP(G552,'Hilfstabelle QP'!$A$7:$B$11,2,FALSE)</f>
        <v>Bestanden</v>
      </c>
      <c r="F552">
        <v>3</v>
      </c>
      <c r="G552">
        <v>3</v>
      </c>
    </row>
    <row r="553" spans="1:7" x14ac:dyDescent="0.35">
      <c r="A553">
        <v>556</v>
      </c>
      <c r="B553" t="str">
        <f>VLOOKUP(F553,'Hilfstabelle QP'!$A$2:$B$4,2,FALSE)</f>
        <v>Lastkontrolle</v>
      </c>
      <c r="C553" t="str">
        <f>VLOOKUP(G553,'Hilfstabelle QP'!$A$7:$B$11,2,FALSE)</f>
        <v>Bestanden</v>
      </c>
      <c r="F553">
        <v>3</v>
      </c>
      <c r="G553">
        <v>3</v>
      </c>
    </row>
    <row r="554" spans="1:7" x14ac:dyDescent="0.35">
      <c r="A554">
        <v>557</v>
      </c>
      <c r="B554" t="str">
        <f>VLOOKUP(F554,'Hilfstabelle QP'!$A$2:$B$4,2,FALSE)</f>
        <v>Druckkontrolle</v>
      </c>
      <c r="C554" t="str">
        <f>VLOOKUP(G554,'Hilfstabelle QP'!$A$7:$B$11,2,FALSE)</f>
        <v>Bestanden</v>
      </c>
      <c r="F554">
        <v>2</v>
      </c>
      <c r="G554">
        <v>1</v>
      </c>
    </row>
    <row r="555" spans="1:7" x14ac:dyDescent="0.35">
      <c r="A555">
        <v>558</v>
      </c>
      <c r="B555" t="str">
        <f>VLOOKUP(F555,'Hilfstabelle QP'!$A$2:$B$4,2,FALSE)</f>
        <v>Druckkontrolle</v>
      </c>
      <c r="C555" t="str">
        <f>VLOOKUP(G555,'Hilfstabelle QP'!$A$7:$B$11,2,FALSE)</f>
        <v>Durchgefallen</v>
      </c>
      <c r="F555">
        <v>2</v>
      </c>
      <c r="G555">
        <v>5</v>
      </c>
    </row>
    <row r="556" spans="1:7" x14ac:dyDescent="0.35">
      <c r="A556">
        <v>559</v>
      </c>
      <c r="B556" t="str">
        <f>VLOOKUP(F556,'Hilfstabelle QP'!$A$2:$B$4,2,FALSE)</f>
        <v>Sichtkontrolle</v>
      </c>
      <c r="C556" t="str">
        <f>VLOOKUP(G556,'Hilfstabelle QP'!$A$7:$B$11,2,FALSE)</f>
        <v>Bestanden</v>
      </c>
      <c r="F556">
        <v>1</v>
      </c>
      <c r="G556">
        <v>4</v>
      </c>
    </row>
    <row r="557" spans="1:7" x14ac:dyDescent="0.35">
      <c r="A557">
        <v>560</v>
      </c>
      <c r="B557" t="str">
        <f>VLOOKUP(F557,'Hilfstabelle QP'!$A$2:$B$4,2,FALSE)</f>
        <v>Lastkontrolle</v>
      </c>
      <c r="C557" t="str">
        <f>VLOOKUP(G557,'Hilfstabelle QP'!$A$7:$B$11,2,FALSE)</f>
        <v>Durchgefallen</v>
      </c>
      <c r="F557">
        <v>3</v>
      </c>
      <c r="G557">
        <v>5</v>
      </c>
    </row>
    <row r="558" spans="1:7" x14ac:dyDescent="0.35">
      <c r="A558">
        <v>561</v>
      </c>
      <c r="B558" t="str">
        <f>VLOOKUP(F558,'Hilfstabelle QP'!$A$2:$B$4,2,FALSE)</f>
        <v>Lastkontrolle</v>
      </c>
      <c r="C558" t="str">
        <f>VLOOKUP(G558,'Hilfstabelle QP'!$A$7:$B$11,2,FALSE)</f>
        <v>Bestanden</v>
      </c>
      <c r="F558">
        <v>3</v>
      </c>
      <c r="G558">
        <v>3</v>
      </c>
    </row>
    <row r="559" spans="1:7" x14ac:dyDescent="0.35">
      <c r="A559">
        <v>562</v>
      </c>
      <c r="B559" t="str">
        <f>VLOOKUP(F559,'Hilfstabelle QP'!$A$2:$B$4,2,FALSE)</f>
        <v>Sichtkontrolle</v>
      </c>
      <c r="C559" t="str">
        <f>VLOOKUP(G559,'Hilfstabelle QP'!$A$7:$B$11,2,FALSE)</f>
        <v>Bestanden</v>
      </c>
      <c r="F559">
        <v>1</v>
      </c>
      <c r="G559">
        <v>1</v>
      </c>
    </row>
    <row r="560" spans="1:7" x14ac:dyDescent="0.35">
      <c r="A560">
        <v>563</v>
      </c>
      <c r="B560" t="str">
        <f>VLOOKUP(F560,'Hilfstabelle QP'!$A$2:$B$4,2,FALSE)</f>
        <v>Druckkontrolle</v>
      </c>
      <c r="C560" t="str">
        <f>VLOOKUP(G560,'Hilfstabelle QP'!$A$7:$B$11,2,FALSE)</f>
        <v>Bestanden</v>
      </c>
      <c r="F560">
        <v>2</v>
      </c>
      <c r="G560">
        <v>3</v>
      </c>
    </row>
    <row r="561" spans="1:7" x14ac:dyDescent="0.35">
      <c r="A561">
        <v>564</v>
      </c>
      <c r="B561" t="str">
        <f>VLOOKUP(F561,'Hilfstabelle QP'!$A$2:$B$4,2,FALSE)</f>
        <v>Sichtkontrolle</v>
      </c>
      <c r="C561" t="str">
        <f>VLOOKUP(G561,'Hilfstabelle QP'!$A$7:$B$11,2,FALSE)</f>
        <v>Bestanden</v>
      </c>
      <c r="F561">
        <v>1</v>
      </c>
      <c r="G561">
        <v>4</v>
      </c>
    </row>
    <row r="562" spans="1:7" x14ac:dyDescent="0.35">
      <c r="A562">
        <v>565</v>
      </c>
      <c r="B562" t="str">
        <f>VLOOKUP(F562,'Hilfstabelle QP'!$A$2:$B$4,2,FALSE)</f>
        <v>Druckkontrolle</v>
      </c>
      <c r="C562" t="str">
        <f>VLOOKUP(G562,'Hilfstabelle QP'!$A$7:$B$11,2,FALSE)</f>
        <v>Bestanden</v>
      </c>
      <c r="F562">
        <v>2</v>
      </c>
      <c r="G562">
        <v>2</v>
      </c>
    </row>
    <row r="563" spans="1:7" x14ac:dyDescent="0.35">
      <c r="A563">
        <v>566</v>
      </c>
      <c r="B563" t="str">
        <f>VLOOKUP(F563,'Hilfstabelle QP'!$A$2:$B$4,2,FALSE)</f>
        <v>Sichtkontrolle</v>
      </c>
      <c r="C563" t="str">
        <f>VLOOKUP(G563,'Hilfstabelle QP'!$A$7:$B$11,2,FALSE)</f>
        <v>Bestanden</v>
      </c>
      <c r="F563">
        <v>1</v>
      </c>
      <c r="G563">
        <v>2</v>
      </c>
    </row>
    <row r="564" spans="1:7" x14ac:dyDescent="0.35">
      <c r="A564">
        <v>567</v>
      </c>
      <c r="B564" t="str">
        <f>VLOOKUP(F564,'Hilfstabelle QP'!$A$2:$B$4,2,FALSE)</f>
        <v>Lastkontrolle</v>
      </c>
      <c r="C564" t="str">
        <f>VLOOKUP(G564,'Hilfstabelle QP'!$A$7:$B$11,2,FALSE)</f>
        <v>Bestanden</v>
      </c>
      <c r="F564">
        <v>3</v>
      </c>
      <c r="G564">
        <v>1</v>
      </c>
    </row>
    <row r="565" spans="1:7" x14ac:dyDescent="0.35">
      <c r="A565">
        <v>568</v>
      </c>
      <c r="B565" t="str">
        <f>VLOOKUP(F565,'Hilfstabelle QP'!$A$2:$B$4,2,FALSE)</f>
        <v>Druckkontrolle</v>
      </c>
      <c r="C565" t="str">
        <f>VLOOKUP(G565,'Hilfstabelle QP'!$A$7:$B$11,2,FALSE)</f>
        <v>Bestanden</v>
      </c>
      <c r="F565">
        <v>2</v>
      </c>
      <c r="G565">
        <v>4</v>
      </c>
    </row>
    <row r="566" spans="1:7" x14ac:dyDescent="0.35">
      <c r="A566">
        <v>569</v>
      </c>
      <c r="B566" t="str">
        <f>VLOOKUP(F566,'Hilfstabelle QP'!$A$2:$B$4,2,FALSE)</f>
        <v>Lastkontrolle</v>
      </c>
      <c r="C566" t="str">
        <f>VLOOKUP(G566,'Hilfstabelle QP'!$A$7:$B$11,2,FALSE)</f>
        <v>Bestanden</v>
      </c>
      <c r="F566">
        <v>3</v>
      </c>
      <c r="G566">
        <v>3</v>
      </c>
    </row>
    <row r="567" spans="1:7" x14ac:dyDescent="0.35">
      <c r="A567">
        <v>570</v>
      </c>
      <c r="B567" t="str">
        <f>VLOOKUP(F567,'Hilfstabelle QP'!$A$2:$B$4,2,FALSE)</f>
        <v>Sichtkontrolle</v>
      </c>
      <c r="C567" t="str">
        <f>VLOOKUP(G567,'Hilfstabelle QP'!$A$7:$B$11,2,FALSE)</f>
        <v>Bestanden</v>
      </c>
      <c r="F567">
        <v>1</v>
      </c>
      <c r="G567">
        <v>1</v>
      </c>
    </row>
    <row r="568" spans="1:7" x14ac:dyDescent="0.35">
      <c r="A568">
        <v>571</v>
      </c>
      <c r="B568" t="str">
        <f>VLOOKUP(F568,'Hilfstabelle QP'!$A$2:$B$4,2,FALSE)</f>
        <v>Sichtkontrolle</v>
      </c>
      <c r="C568" t="str">
        <f>VLOOKUP(G568,'Hilfstabelle QP'!$A$7:$B$11,2,FALSE)</f>
        <v>Bestanden</v>
      </c>
      <c r="F568">
        <v>1</v>
      </c>
      <c r="G568">
        <v>1</v>
      </c>
    </row>
    <row r="569" spans="1:7" x14ac:dyDescent="0.35">
      <c r="A569">
        <v>572</v>
      </c>
      <c r="B569" t="str">
        <f>VLOOKUP(F569,'Hilfstabelle QP'!$A$2:$B$4,2,FALSE)</f>
        <v>Druckkontrolle</v>
      </c>
      <c r="C569" t="str">
        <f>VLOOKUP(G569,'Hilfstabelle QP'!$A$7:$B$11,2,FALSE)</f>
        <v>Bestanden</v>
      </c>
      <c r="F569">
        <v>2</v>
      </c>
      <c r="G569">
        <v>2</v>
      </c>
    </row>
    <row r="570" spans="1:7" x14ac:dyDescent="0.35">
      <c r="A570">
        <v>573</v>
      </c>
      <c r="B570" t="str">
        <f>VLOOKUP(F570,'Hilfstabelle QP'!$A$2:$B$4,2,FALSE)</f>
        <v>Lastkontrolle</v>
      </c>
      <c r="C570" t="str">
        <f>VLOOKUP(G570,'Hilfstabelle QP'!$A$7:$B$11,2,FALSE)</f>
        <v>Durchgefallen</v>
      </c>
      <c r="F570">
        <v>3</v>
      </c>
      <c r="G570">
        <v>5</v>
      </c>
    </row>
    <row r="571" spans="1:7" x14ac:dyDescent="0.35">
      <c r="A571">
        <v>574</v>
      </c>
      <c r="B571" t="str">
        <f>VLOOKUP(F571,'Hilfstabelle QP'!$A$2:$B$4,2,FALSE)</f>
        <v>Sichtkontrolle</v>
      </c>
      <c r="C571" t="str">
        <f>VLOOKUP(G571,'Hilfstabelle QP'!$A$7:$B$11,2,FALSE)</f>
        <v>Bestanden</v>
      </c>
      <c r="F571">
        <v>1</v>
      </c>
      <c r="G571">
        <v>3</v>
      </c>
    </row>
    <row r="572" spans="1:7" x14ac:dyDescent="0.35">
      <c r="A572">
        <v>575</v>
      </c>
      <c r="B572" t="str">
        <f>VLOOKUP(F572,'Hilfstabelle QP'!$A$2:$B$4,2,FALSE)</f>
        <v>Lastkontrolle</v>
      </c>
      <c r="C572" t="str">
        <f>VLOOKUP(G572,'Hilfstabelle QP'!$A$7:$B$11,2,FALSE)</f>
        <v>Bestanden</v>
      </c>
      <c r="F572">
        <v>3</v>
      </c>
      <c r="G572">
        <v>1</v>
      </c>
    </row>
    <row r="573" spans="1:7" x14ac:dyDescent="0.35">
      <c r="A573">
        <v>576</v>
      </c>
      <c r="B573" t="str">
        <f>VLOOKUP(F573,'Hilfstabelle QP'!$A$2:$B$4,2,FALSE)</f>
        <v>Lastkontrolle</v>
      </c>
      <c r="C573" t="str">
        <f>VLOOKUP(G573,'Hilfstabelle QP'!$A$7:$B$11,2,FALSE)</f>
        <v>Bestanden</v>
      </c>
      <c r="F573">
        <v>3</v>
      </c>
      <c r="G573">
        <v>4</v>
      </c>
    </row>
    <row r="574" spans="1:7" x14ac:dyDescent="0.35">
      <c r="A574">
        <v>577</v>
      </c>
      <c r="B574" t="str">
        <f>VLOOKUP(F574,'Hilfstabelle QP'!$A$2:$B$4,2,FALSE)</f>
        <v>Druckkontrolle</v>
      </c>
      <c r="C574" t="str">
        <f>VLOOKUP(G574,'Hilfstabelle QP'!$A$7:$B$11,2,FALSE)</f>
        <v>Bestanden</v>
      </c>
      <c r="F574">
        <v>2</v>
      </c>
      <c r="G574">
        <v>4</v>
      </c>
    </row>
    <row r="575" spans="1:7" x14ac:dyDescent="0.35">
      <c r="A575">
        <v>578</v>
      </c>
      <c r="B575" t="str">
        <f>VLOOKUP(F575,'Hilfstabelle QP'!$A$2:$B$4,2,FALSE)</f>
        <v>Lastkontrolle</v>
      </c>
      <c r="C575" t="str">
        <f>VLOOKUP(G575,'Hilfstabelle QP'!$A$7:$B$11,2,FALSE)</f>
        <v>Bestanden</v>
      </c>
      <c r="F575">
        <v>3</v>
      </c>
      <c r="G575">
        <v>1</v>
      </c>
    </row>
    <row r="576" spans="1:7" x14ac:dyDescent="0.35">
      <c r="A576">
        <v>579</v>
      </c>
      <c r="B576" t="str">
        <f>VLOOKUP(F576,'Hilfstabelle QP'!$A$2:$B$4,2,FALSE)</f>
        <v>Druckkontrolle</v>
      </c>
      <c r="C576" t="str">
        <f>VLOOKUP(G576,'Hilfstabelle QP'!$A$7:$B$11,2,FALSE)</f>
        <v>Bestanden</v>
      </c>
      <c r="F576">
        <v>2</v>
      </c>
      <c r="G576">
        <v>4</v>
      </c>
    </row>
    <row r="577" spans="1:7" x14ac:dyDescent="0.35">
      <c r="A577">
        <v>580</v>
      </c>
      <c r="B577" t="str">
        <f>VLOOKUP(F577,'Hilfstabelle QP'!$A$2:$B$4,2,FALSE)</f>
        <v>Sichtkontrolle</v>
      </c>
      <c r="C577" t="str">
        <f>VLOOKUP(G577,'Hilfstabelle QP'!$A$7:$B$11,2,FALSE)</f>
        <v>Bestanden</v>
      </c>
      <c r="F577">
        <v>1</v>
      </c>
      <c r="G577">
        <v>3</v>
      </c>
    </row>
    <row r="578" spans="1:7" x14ac:dyDescent="0.35">
      <c r="A578">
        <v>581</v>
      </c>
      <c r="B578" t="str">
        <f>VLOOKUP(F578,'Hilfstabelle QP'!$A$2:$B$4,2,FALSE)</f>
        <v>Druckkontrolle</v>
      </c>
      <c r="C578" t="str">
        <f>VLOOKUP(G578,'Hilfstabelle QP'!$A$7:$B$11,2,FALSE)</f>
        <v>Bestanden</v>
      </c>
      <c r="F578">
        <v>2</v>
      </c>
      <c r="G578">
        <v>3</v>
      </c>
    </row>
    <row r="579" spans="1:7" x14ac:dyDescent="0.35">
      <c r="A579">
        <v>582</v>
      </c>
      <c r="B579" t="str">
        <f>VLOOKUP(F579,'Hilfstabelle QP'!$A$2:$B$4,2,FALSE)</f>
        <v>Lastkontrolle</v>
      </c>
      <c r="C579" t="str">
        <f>VLOOKUP(G579,'Hilfstabelle QP'!$A$7:$B$11,2,FALSE)</f>
        <v>Bestanden</v>
      </c>
      <c r="F579">
        <v>3</v>
      </c>
      <c r="G579">
        <v>3</v>
      </c>
    </row>
    <row r="580" spans="1:7" x14ac:dyDescent="0.35">
      <c r="A580">
        <v>583</v>
      </c>
      <c r="B580" t="str">
        <f>VLOOKUP(F580,'Hilfstabelle QP'!$A$2:$B$4,2,FALSE)</f>
        <v>Sichtkontrolle</v>
      </c>
      <c r="C580" t="str">
        <f>VLOOKUP(G580,'Hilfstabelle QP'!$A$7:$B$11,2,FALSE)</f>
        <v>Bestanden</v>
      </c>
      <c r="F580">
        <v>1</v>
      </c>
      <c r="G580">
        <v>3</v>
      </c>
    </row>
    <row r="581" spans="1:7" x14ac:dyDescent="0.35">
      <c r="A581">
        <v>584</v>
      </c>
      <c r="B581" t="str">
        <f>VLOOKUP(F581,'Hilfstabelle QP'!$A$2:$B$4,2,FALSE)</f>
        <v>Sichtkontrolle</v>
      </c>
      <c r="C581" t="str">
        <f>VLOOKUP(G581,'Hilfstabelle QP'!$A$7:$B$11,2,FALSE)</f>
        <v>Bestanden</v>
      </c>
      <c r="F581">
        <v>1</v>
      </c>
      <c r="G581">
        <v>4</v>
      </c>
    </row>
    <row r="582" spans="1:7" x14ac:dyDescent="0.35">
      <c r="A582">
        <v>585</v>
      </c>
      <c r="B582" t="str">
        <f>VLOOKUP(F582,'Hilfstabelle QP'!$A$2:$B$4,2,FALSE)</f>
        <v>Sichtkontrolle</v>
      </c>
      <c r="C582" t="str">
        <f>VLOOKUP(G582,'Hilfstabelle QP'!$A$7:$B$11,2,FALSE)</f>
        <v>Bestanden</v>
      </c>
      <c r="F582">
        <v>1</v>
      </c>
      <c r="G582">
        <v>3</v>
      </c>
    </row>
    <row r="583" spans="1:7" x14ac:dyDescent="0.35">
      <c r="A583">
        <v>586</v>
      </c>
      <c r="B583" t="str">
        <f>VLOOKUP(F583,'Hilfstabelle QP'!$A$2:$B$4,2,FALSE)</f>
        <v>Druckkontrolle</v>
      </c>
      <c r="C583" t="str">
        <f>VLOOKUP(G583,'Hilfstabelle QP'!$A$7:$B$11,2,FALSE)</f>
        <v>Bestanden</v>
      </c>
      <c r="F583">
        <v>2</v>
      </c>
      <c r="G583">
        <v>1</v>
      </c>
    </row>
    <row r="584" spans="1:7" x14ac:dyDescent="0.35">
      <c r="A584">
        <v>587</v>
      </c>
      <c r="B584" t="str">
        <f>VLOOKUP(F584,'Hilfstabelle QP'!$A$2:$B$4,2,FALSE)</f>
        <v>Sichtkontrolle</v>
      </c>
      <c r="C584" t="str">
        <f>VLOOKUP(G584,'Hilfstabelle QP'!$A$7:$B$11,2,FALSE)</f>
        <v>Bestanden</v>
      </c>
      <c r="F584">
        <v>1</v>
      </c>
      <c r="G584">
        <v>4</v>
      </c>
    </row>
    <row r="585" spans="1:7" x14ac:dyDescent="0.35">
      <c r="A585">
        <v>588</v>
      </c>
      <c r="B585" t="str">
        <f>VLOOKUP(F585,'Hilfstabelle QP'!$A$2:$B$4,2,FALSE)</f>
        <v>Lastkontrolle</v>
      </c>
      <c r="C585" t="str">
        <f>VLOOKUP(G585,'Hilfstabelle QP'!$A$7:$B$11,2,FALSE)</f>
        <v>Bestanden</v>
      </c>
      <c r="F585">
        <v>3</v>
      </c>
      <c r="G585">
        <v>1</v>
      </c>
    </row>
    <row r="586" spans="1:7" x14ac:dyDescent="0.35">
      <c r="A586">
        <v>589</v>
      </c>
      <c r="B586" t="str">
        <f>VLOOKUP(F586,'Hilfstabelle QP'!$A$2:$B$4,2,FALSE)</f>
        <v>Lastkontrolle</v>
      </c>
      <c r="C586" t="str">
        <f>VLOOKUP(G586,'Hilfstabelle QP'!$A$7:$B$11,2,FALSE)</f>
        <v>Bestanden</v>
      </c>
      <c r="F586">
        <v>3</v>
      </c>
      <c r="G586">
        <v>2</v>
      </c>
    </row>
    <row r="587" spans="1:7" x14ac:dyDescent="0.35">
      <c r="A587">
        <v>590</v>
      </c>
      <c r="B587" t="str">
        <f>VLOOKUP(F587,'Hilfstabelle QP'!$A$2:$B$4,2,FALSE)</f>
        <v>Druckkontrolle</v>
      </c>
      <c r="C587" t="str">
        <f>VLOOKUP(G587,'Hilfstabelle QP'!$A$7:$B$11,2,FALSE)</f>
        <v>Durchgefallen</v>
      </c>
      <c r="F587">
        <v>2</v>
      </c>
      <c r="G587">
        <v>5</v>
      </c>
    </row>
    <row r="588" spans="1:7" x14ac:dyDescent="0.35">
      <c r="A588">
        <v>591</v>
      </c>
      <c r="B588" t="str">
        <f>VLOOKUP(F588,'Hilfstabelle QP'!$A$2:$B$4,2,FALSE)</f>
        <v>Sichtkontrolle</v>
      </c>
      <c r="C588" t="str">
        <f>VLOOKUP(G588,'Hilfstabelle QP'!$A$7:$B$11,2,FALSE)</f>
        <v>Bestanden</v>
      </c>
      <c r="F588">
        <v>1</v>
      </c>
      <c r="G588">
        <v>4</v>
      </c>
    </row>
    <row r="589" spans="1:7" x14ac:dyDescent="0.35">
      <c r="A589">
        <v>592</v>
      </c>
      <c r="B589" t="str">
        <f>VLOOKUP(F589,'Hilfstabelle QP'!$A$2:$B$4,2,FALSE)</f>
        <v>Lastkontrolle</v>
      </c>
      <c r="C589" t="str">
        <f>VLOOKUP(G589,'Hilfstabelle QP'!$A$7:$B$11,2,FALSE)</f>
        <v>Durchgefallen</v>
      </c>
      <c r="F589">
        <v>3</v>
      </c>
      <c r="G589">
        <v>5</v>
      </c>
    </row>
    <row r="590" spans="1:7" x14ac:dyDescent="0.35">
      <c r="A590">
        <v>593</v>
      </c>
      <c r="B590" t="str">
        <f>VLOOKUP(F590,'Hilfstabelle QP'!$A$2:$B$4,2,FALSE)</f>
        <v>Lastkontrolle</v>
      </c>
      <c r="C590" t="str">
        <f>VLOOKUP(G590,'Hilfstabelle QP'!$A$7:$B$11,2,FALSE)</f>
        <v>Bestanden</v>
      </c>
      <c r="F590">
        <v>3</v>
      </c>
      <c r="G590">
        <v>3</v>
      </c>
    </row>
    <row r="591" spans="1:7" x14ac:dyDescent="0.35">
      <c r="A591">
        <v>594</v>
      </c>
      <c r="B591" t="str">
        <f>VLOOKUP(F591,'Hilfstabelle QP'!$A$2:$B$4,2,FALSE)</f>
        <v>Lastkontrolle</v>
      </c>
      <c r="C591" t="str">
        <f>VLOOKUP(G591,'Hilfstabelle QP'!$A$7:$B$11,2,FALSE)</f>
        <v>Bestanden</v>
      </c>
      <c r="F591">
        <v>3</v>
      </c>
      <c r="G591">
        <v>3</v>
      </c>
    </row>
    <row r="592" spans="1:7" x14ac:dyDescent="0.35">
      <c r="A592">
        <v>595</v>
      </c>
      <c r="B592" t="str">
        <f>VLOOKUP(F592,'Hilfstabelle QP'!$A$2:$B$4,2,FALSE)</f>
        <v>Sichtkontrolle</v>
      </c>
      <c r="C592" t="str">
        <f>VLOOKUP(G592,'Hilfstabelle QP'!$A$7:$B$11,2,FALSE)</f>
        <v>Durchgefallen</v>
      </c>
      <c r="F592">
        <v>1</v>
      </c>
      <c r="G592">
        <v>5</v>
      </c>
    </row>
    <row r="593" spans="1:7" x14ac:dyDescent="0.35">
      <c r="A593">
        <v>596</v>
      </c>
      <c r="B593" t="str">
        <f>VLOOKUP(F593,'Hilfstabelle QP'!$A$2:$B$4,2,FALSE)</f>
        <v>Druckkontrolle</v>
      </c>
      <c r="C593" t="str">
        <f>VLOOKUP(G593,'Hilfstabelle QP'!$A$7:$B$11,2,FALSE)</f>
        <v>Durchgefallen</v>
      </c>
      <c r="F593">
        <v>2</v>
      </c>
      <c r="G593">
        <v>5</v>
      </c>
    </row>
    <row r="594" spans="1:7" x14ac:dyDescent="0.35">
      <c r="A594">
        <v>597</v>
      </c>
      <c r="B594" t="str">
        <f>VLOOKUP(F594,'Hilfstabelle QP'!$A$2:$B$4,2,FALSE)</f>
        <v>Druckkontrolle</v>
      </c>
      <c r="C594" t="str">
        <f>VLOOKUP(G594,'Hilfstabelle QP'!$A$7:$B$11,2,FALSE)</f>
        <v>Bestanden</v>
      </c>
      <c r="F594">
        <v>2</v>
      </c>
      <c r="G594">
        <v>4</v>
      </c>
    </row>
    <row r="595" spans="1:7" x14ac:dyDescent="0.35">
      <c r="A595">
        <v>598</v>
      </c>
      <c r="B595" t="str">
        <f>VLOOKUP(F595,'Hilfstabelle QP'!$A$2:$B$4,2,FALSE)</f>
        <v>Sichtkontrolle</v>
      </c>
      <c r="C595" t="str">
        <f>VLOOKUP(G595,'Hilfstabelle QP'!$A$7:$B$11,2,FALSE)</f>
        <v>Bestanden</v>
      </c>
      <c r="F595">
        <v>1</v>
      </c>
      <c r="G595">
        <v>3</v>
      </c>
    </row>
    <row r="596" spans="1:7" x14ac:dyDescent="0.35">
      <c r="A596">
        <v>599</v>
      </c>
      <c r="B596" t="str">
        <f>VLOOKUP(F596,'Hilfstabelle QP'!$A$2:$B$4,2,FALSE)</f>
        <v>Druckkontrolle</v>
      </c>
      <c r="C596" t="str">
        <f>VLOOKUP(G596,'Hilfstabelle QP'!$A$7:$B$11,2,FALSE)</f>
        <v>Bestanden</v>
      </c>
      <c r="F596">
        <v>2</v>
      </c>
      <c r="G596">
        <v>2</v>
      </c>
    </row>
    <row r="597" spans="1:7" x14ac:dyDescent="0.35">
      <c r="A597">
        <v>600</v>
      </c>
      <c r="B597" t="str">
        <f>VLOOKUP(F597,'Hilfstabelle QP'!$A$2:$B$4,2,FALSE)</f>
        <v>Lastkontrolle</v>
      </c>
      <c r="C597" t="str">
        <f>VLOOKUP(G597,'Hilfstabelle QP'!$A$7:$B$11,2,FALSE)</f>
        <v>Bestanden</v>
      </c>
      <c r="F597">
        <v>3</v>
      </c>
      <c r="G597">
        <v>3</v>
      </c>
    </row>
    <row r="598" spans="1:7" x14ac:dyDescent="0.35">
      <c r="A598">
        <v>601</v>
      </c>
      <c r="B598" t="str">
        <f>VLOOKUP(F598,'Hilfstabelle QP'!$A$2:$B$4,2,FALSE)</f>
        <v>Druckkontrolle</v>
      </c>
      <c r="C598" t="str">
        <f>VLOOKUP(G598,'Hilfstabelle QP'!$A$7:$B$11,2,FALSE)</f>
        <v>Bestanden</v>
      </c>
      <c r="F598">
        <v>2</v>
      </c>
      <c r="G598">
        <v>2</v>
      </c>
    </row>
    <row r="599" spans="1:7" x14ac:dyDescent="0.35">
      <c r="A599">
        <v>602</v>
      </c>
      <c r="B599" t="str">
        <f>VLOOKUP(F599,'Hilfstabelle QP'!$A$2:$B$4,2,FALSE)</f>
        <v>Druckkontrolle</v>
      </c>
      <c r="C599" t="str">
        <f>VLOOKUP(G599,'Hilfstabelle QP'!$A$7:$B$11,2,FALSE)</f>
        <v>Bestanden</v>
      </c>
      <c r="F599">
        <v>2</v>
      </c>
      <c r="G599">
        <v>2</v>
      </c>
    </row>
    <row r="600" spans="1:7" x14ac:dyDescent="0.35">
      <c r="A600">
        <v>603</v>
      </c>
      <c r="B600" t="str">
        <f>VLOOKUP(F600,'Hilfstabelle QP'!$A$2:$B$4,2,FALSE)</f>
        <v>Lastkontrolle</v>
      </c>
      <c r="C600" t="str">
        <f>VLOOKUP(G600,'Hilfstabelle QP'!$A$7:$B$11,2,FALSE)</f>
        <v>Durchgefallen</v>
      </c>
      <c r="F600">
        <v>3</v>
      </c>
      <c r="G600">
        <v>5</v>
      </c>
    </row>
    <row r="601" spans="1:7" x14ac:dyDescent="0.35">
      <c r="A601">
        <v>604</v>
      </c>
      <c r="B601" t="str">
        <f>VLOOKUP(F601,'Hilfstabelle QP'!$A$2:$B$4,2,FALSE)</f>
        <v>Druckkontrolle</v>
      </c>
      <c r="C601" t="str">
        <f>VLOOKUP(G601,'Hilfstabelle QP'!$A$7:$B$11,2,FALSE)</f>
        <v>Bestanden</v>
      </c>
      <c r="F601">
        <v>2</v>
      </c>
      <c r="G601">
        <v>4</v>
      </c>
    </row>
    <row r="602" spans="1:7" x14ac:dyDescent="0.35">
      <c r="A602">
        <v>605</v>
      </c>
      <c r="B602" t="str">
        <f>VLOOKUP(F602,'Hilfstabelle QP'!$A$2:$B$4,2,FALSE)</f>
        <v>Druckkontrolle</v>
      </c>
      <c r="C602" t="str">
        <f>VLOOKUP(G602,'Hilfstabelle QP'!$A$7:$B$11,2,FALSE)</f>
        <v>Bestanden</v>
      </c>
      <c r="F602">
        <v>2</v>
      </c>
      <c r="G602">
        <v>2</v>
      </c>
    </row>
    <row r="603" spans="1:7" x14ac:dyDescent="0.35">
      <c r="A603">
        <v>606</v>
      </c>
      <c r="B603" t="str">
        <f>VLOOKUP(F603,'Hilfstabelle QP'!$A$2:$B$4,2,FALSE)</f>
        <v>Lastkontrolle</v>
      </c>
      <c r="C603" t="str">
        <f>VLOOKUP(G603,'Hilfstabelle QP'!$A$7:$B$11,2,FALSE)</f>
        <v>Bestanden</v>
      </c>
      <c r="F603">
        <v>3</v>
      </c>
      <c r="G603">
        <v>3</v>
      </c>
    </row>
    <row r="604" spans="1:7" x14ac:dyDescent="0.35">
      <c r="A604">
        <v>607</v>
      </c>
      <c r="B604" t="str">
        <f>VLOOKUP(F604,'Hilfstabelle QP'!$A$2:$B$4,2,FALSE)</f>
        <v>Sichtkontrolle</v>
      </c>
      <c r="C604" t="str">
        <f>VLOOKUP(G604,'Hilfstabelle QP'!$A$7:$B$11,2,FALSE)</f>
        <v>Bestanden</v>
      </c>
      <c r="F604">
        <v>1</v>
      </c>
      <c r="G604">
        <v>4</v>
      </c>
    </row>
    <row r="605" spans="1:7" x14ac:dyDescent="0.35">
      <c r="A605">
        <v>608</v>
      </c>
      <c r="B605" t="str">
        <f>VLOOKUP(F605,'Hilfstabelle QP'!$A$2:$B$4,2,FALSE)</f>
        <v>Sichtkontrolle</v>
      </c>
      <c r="C605" t="str">
        <f>VLOOKUP(G605,'Hilfstabelle QP'!$A$7:$B$11,2,FALSE)</f>
        <v>Bestanden</v>
      </c>
      <c r="F605">
        <v>1</v>
      </c>
      <c r="G605">
        <v>2</v>
      </c>
    </row>
    <row r="606" spans="1:7" x14ac:dyDescent="0.35">
      <c r="A606">
        <v>609</v>
      </c>
      <c r="B606" t="str">
        <f>VLOOKUP(F606,'Hilfstabelle QP'!$A$2:$B$4,2,FALSE)</f>
        <v>Lastkontrolle</v>
      </c>
      <c r="C606" t="str">
        <f>VLOOKUP(G606,'Hilfstabelle QP'!$A$7:$B$11,2,FALSE)</f>
        <v>Bestanden</v>
      </c>
      <c r="F606">
        <v>3</v>
      </c>
      <c r="G606">
        <v>3</v>
      </c>
    </row>
    <row r="607" spans="1:7" x14ac:dyDescent="0.35">
      <c r="A607">
        <v>610</v>
      </c>
      <c r="B607" t="str">
        <f>VLOOKUP(F607,'Hilfstabelle QP'!$A$2:$B$4,2,FALSE)</f>
        <v>Sichtkontrolle</v>
      </c>
      <c r="C607" t="str">
        <f>VLOOKUP(G607,'Hilfstabelle QP'!$A$7:$B$11,2,FALSE)</f>
        <v>Bestanden</v>
      </c>
      <c r="F607">
        <v>1</v>
      </c>
      <c r="G607">
        <v>1</v>
      </c>
    </row>
    <row r="608" spans="1:7" x14ac:dyDescent="0.35">
      <c r="A608">
        <v>611</v>
      </c>
      <c r="B608" t="str">
        <f>VLOOKUP(F608,'Hilfstabelle QP'!$A$2:$B$4,2,FALSE)</f>
        <v>Lastkontrolle</v>
      </c>
      <c r="C608" t="str">
        <f>VLOOKUP(G608,'Hilfstabelle QP'!$A$7:$B$11,2,FALSE)</f>
        <v>Bestanden</v>
      </c>
      <c r="F608">
        <v>3</v>
      </c>
      <c r="G608">
        <v>2</v>
      </c>
    </row>
    <row r="609" spans="1:7" x14ac:dyDescent="0.35">
      <c r="A609">
        <v>612</v>
      </c>
      <c r="B609" t="str">
        <f>VLOOKUP(F609,'Hilfstabelle QP'!$A$2:$B$4,2,FALSE)</f>
        <v>Lastkontrolle</v>
      </c>
      <c r="C609" t="str">
        <f>VLOOKUP(G609,'Hilfstabelle QP'!$A$7:$B$11,2,FALSE)</f>
        <v>Durchgefallen</v>
      </c>
      <c r="F609">
        <v>3</v>
      </c>
      <c r="G609">
        <v>5</v>
      </c>
    </row>
    <row r="610" spans="1:7" x14ac:dyDescent="0.35">
      <c r="A610">
        <v>613</v>
      </c>
      <c r="B610" t="str">
        <f>VLOOKUP(F610,'Hilfstabelle QP'!$A$2:$B$4,2,FALSE)</f>
        <v>Druckkontrolle</v>
      </c>
      <c r="C610" t="str">
        <f>VLOOKUP(G610,'Hilfstabelle QP'!$A$7:$B$11,2,FALSE)</f>
        <v>Bestanden</v>
      </c>
      <c r="F610">
        <v>2</v>
      </c>
      <c r="G610">
        <v>4</v>
      </c>
    </row>
    <row r="611" spans="1:7" x14ac:dyDescent="0.35">
      <c r="A611">
        <v>614</v>
      </c>
      <c r="B611" t="str">
        <f>VLOOKUP(F611,'Hilfstabelle QP'!$A$2:$B$4,2,FALSE)</f>
        <v>Druckkontrolle</v>
      </c>
      <c r="C611" t="str">
        <f>VLOOKUP(G611,'Hilfstabelle QP'!$A$7:$B$11,2,FALSE)</f>
        <v>Bestanden</v>
      </c>
      <c r="F611">
        <v>2</v>
      </c>
      <c r="G611">
        <v>3</v>
      </c>
    </row>
    <row r="612" spans="1:7" x14ac:dyDescent="0.35">
      <c r="A612">
        <v>615</v>
      </c>
      <c r="B612" t="str">
        <f>VLOOKUP(F612,'Hilfstabelle QP'!$A$2:$B$4,2,FALSE)</f>
        <v>Lastkontrolle</v>
      </c>
      <c r="C612" t="str">
        <f>VLOOKUP(G612,'Hilfstabelle QP'!$A$7:$B$11,2,FALSE)</f>
        <v>Bestanden</v>
      </c>
      <c r="F612">
        <v>3</v>
      </c>
      <c r="G612">
        <v>1</v>
      </c>
    </row>
    <row r="613" spans="1:7" x14ac:dyDescent="0.35">
      <c r="A613">
        <v>616</v>
      </c>
      <c r="B613" t="str">
        <f>VLOOKUP(F613,'Hilfstabelle QP'!$A$2:$B$4,2,FALSE)</f>
        <v>Druckkontrolle</v>
      </c>
      <c r="C613" t="str">
        <f>VLOOKUP(G613,'Hilfstabelle QP'!$A$7:$B$11,2,FALSE)</f>
        <v>Bestanden</v>
      </c>
      <c r="F613">
        <v>2</v>
      </c>
      <c r="G613">
        <v>4</v>
      </c>
    </row>
    <row r="614" spans="1:7" x14ac:dyDescent="0.35">
      <c r="A614">
        <v>617</v>
      </c>
      <c r="B614" t="str">
        <f>VLOOKUP(F614,'Hilfstabelle QP'!$A$2:$B$4,2,FALSE)</f>
        <v>Lastkontrolle</v>
      </c>
      <c r="C614" t="str">
        <f>VLOOKUP(G614,'Hilfstabelle QP'!$A$7:$B$11,2,FALSE)</f>
        <v>Durchgefallen</v>
      </c>
      <c r="F614">
        <v>3</v>
      </c>
      <c r="G614">
        <v>5</v>
      </c>
    </row>
    <row r="615" spans="1:7" x14ac:dyDescent="0.35">
      <c r="A615">
        <v>618</v>
      </c>
      <c r="B615" t="str">
        <f>VLOOKUP(F615,'Hilfstabelle QP'!$A$2:$B$4,2,FALSE)</f>
        <v>Sichtkontrolle</v>
      </c>
      <c r="C615" t="str">
        <f>VLOOKUP(G615,'Hilfstabelle QP'!$A$7:$B$11,2,FALSE)</f>
        <v>Bestanden</v>
      </c>
      <c r="F615">
        <v>1</v>
      </c>
      <c r="G615">
        <v>3</v>
      </c>
    </row>
    <row r="616" spans="1:7" x14ac:dyDescent="0.35">
      <c r="A616">
        <v>619</v>
      </c>
      <c r="B616" t="str">
        <f>VLOOKUP(F616,'Hilfstabelle QP'!$A$2:$B$4,2,FALSE)</f>
        <v>Sichtkontrolle</v>
      </c>
      <c r="C616" t="str">
        <f>VLOOKUP(G616,'Hilfstabelle QP'!$A$7:$B$11,2,FALSE)</f>
        <v>Bestanden</v>
      </c>
      <c r="F616">
        <v>1</v>
      </c>
      <c r="G616">
        <v>1</v>
      </c>
    </row>
    <row r="617" spans="1:7" x14ac:dyDescent="0.35">
      <c r="A617">
        <v>620</v>
      </c>
      <c r="B617" t="str">
        <f>VLOOKUP(F617,'Hilfstabelle QP'!$A$2:$B$4,2,FALSE)</f>
        <v>Lastkontrolle</v>
      </c>
      <c r="C617" t="str">
        <f>VLOOKUP(G617,'Hilfstabelle QP'!$A$7:$B$11,2,FALSE)</f>
        <v>Bestanden</v>
      </c>
      <c r="F617">
        <v>3</v>
      </c>
      <c r="G617">
        <v>4</v>
      </c>
    </row>
    <row r="618" spans="1:7" x14ac:dyDescent="0.35">
      <c r="A618">
        <v>621</v>
      </c>
      <c r="B618" t="str">
        <f>VLOOKUP(F618,'Hilfstabelle QP'!$A$2:$B$4,2,FALSE)</f>
        <v>Druckkontrolle</v>
      </c>
      <c r="C618" t="str">
        <f>VLOOKUP(G618,'Hilfstabelle QP'!$A$7:$B$11,2,FALSE)</f>
        <v>Bestanden</v>
      </c>
      <c r="F618">
        <v>2</v>
      </c>
      <c r="G618">
        <v>4</v>
      </c>
    </row>
    <row r="619" spans="1:7" x14ac:dyDescent="0.35">
      <c r="A619">
        <v>622</v>
      </c>
      <c r="B619" t="str">
        <f>VLOOKUP(F619,'Hilfstabelle QP'!$A$2:$B$4,2,FALSE)</f>
        <v>Druckkontrolle</v>
      </c>
      <c r="C619" t="str">
        <f>VLOOKUP(G619,'Hilfstabelle QP'!$A$7:$B$11,2,FALSE)</f>
        <v>Bestanden</v>
      </c>
      <c r="F619">
        <v>2</v>
      </c>
      <c r="G619">
        <v>2</v>
      </c>
    </row>
    <row r="620" spans="1:7" x14ac:dyDescent="0.35">
      <c r="A620">
        <v>623</v>
      </c>
      <c r="B620" t="str">
        <f>VLOOKUP(F620,'Hilfstabelle QP'!$A$2:$B$4,2,FALSE)</f>
        <v>Sichtkontrolle</v>
      </c>
      <c r="C620" t="str">
        <f>VLOOKUP(G620,'Hilfstabelle QP'!$A$7:$B$11,2,FALSE)</f>
        <v>Bestanden</v>
      </c>
      <c r="F620">
        <v>1</v>
      </c>
      <c r="G620">
        <v>4</v>
      </c>
    </row>
    <row r="621" spans="1:7" x14ac:dyDescent="0.35">
      <c r="A621">
        <v>624</v>
      </c>
      <c r="B621" t="str">
        <f>VLOOKUP(F621,'Hilfstabelle QP'!$A$2:$B$4,2,FALSE)</f>
        <v>Lastkontrolle</v>
      </c>
      <c r="C621" t="str">
        <f>VLOOKUP(G621,'Hilfstabelle QP'!$A$7:$B$11,2,FALSE)</f>
        <v>Bestanden</v>
      </c>
      <c r="F621">
        <v>3</v>
      </c>
      <c r="G621">
        <v>1</v>
      </c>
    </row>
    <row r="622" spans="1:7" x14ac:dyDescent="0.35">
      <c r="A622">
        <v>625</v>
      </c>
      <c r="B622" t="str">
        <f>VLOOKUP(F622,'Hilfstabelle QP'!$A$2:$B$4,2,FALSE)</f>
        <v>Sichtkontrolle</v>
      </c>
      <c r="C622" t="str">
        <f>VLOOKUP(G622,'Hilfstabelle QP'!$A$7:$B$11,2,FALSE)</f>
        <v>Bestanden</v>
      </c>
      <c r="F622">
        <v>1</v>
      </c>
      <c r="G622">
        <v>2</v>
      </c>
    </row>
    <row r="623" spans="1:7" x14ac:dyDescent="0.35">
      <c r="A623">
        <v>626</v>
      </c>
      <c r="B623" t="str">
        <f>VLOOKUP(F623,'Hilfstabelle QP'!$A$2:$B$4,2,FALSE)</f>
        <v>Druckkontrolle</v>
      </c>
      <c r="C623" t="str">
        <f>VLOOKUP(G623,'Hilfstabelle QP'!$A$7:$B$11,2,FALSE)</f>
        <v>Durchgefallen</v>
      </c>
      <c r="F623">
        <v>2</v>
      </c>
      <c r="G623">
        <v>5</v>
      </c>
    </row>
    <row r="624" spans="1:7" x14ac:dyDescent="0.35">
      <c r="A624">
        <v>627</v>
      </c>
      <c r="B624" t="str">
        <f>VLOOKUP(F624,'Hilfstabelle QP'!$A$2:$B$4,2,FALSE)</f>
        <v>Sichtkontrolle</v>
      </c>
      <c r="C624" t="str">
        <f>VLOOKUP(G624,'Hilfstabelle QP'!$A$7:$B$11,2,FALSE)</f>
        <v>Durchgefallen</v>
      </c>
      <c r="F624">
        <v>1</v>
      </c>
      <c r="G624">
        <v>5</v>
      </c>
    </row>
    <row r="625" spans="1:7" x14ac:dyDescent="0.35">
      <c r="A625">
        <v>628</v>
      </c>
      <c r="B625" t="str">
        <f>VLOOKUP(F625,'Hilfstabelle QP'!$A$2:$B$4,2,FALSE)</f>
        <v>Lastkontrolle</v>
      </c>
      <c r="C625" t="str">
        <f>VLOOKUP(G625,'Hilfstabelle QP'!$A$7:$B$11,2,FALSE)</f>
        <v>Durchgefallen</v>
      </c>
      <c r="F625">
        <v>3</v>
      </c>
      <c r="G625">
        <v>5</v>
      </c>
    </row>
    <row r="626" spans="1:7" x14ac:dyDescent="0.35">
      <c r="A626">
        <v>629</v>
      </c>
      <c r="B626" t="str">
        <f>VLOOKUP(F626,'Hilfstabelle QP'!$A$2:$B$4,2,FALSE)</f>
        <v>Druckkontrolle</v>
      </c>
      <c r="C626" t="str">
        <f>VLOOKUP(G626,'Hilfstabelle QP'!$A$7:$B$11,2,FALSE)</f>
        <v>Bestanden</v>
      </c>
      <c r="F626">
        <v>2</v>
      </c>
      <c r="G626">
        <v>4</v>
      </c>
    </row>
    <row r="627" spans="1:7" x14ac:dyDescent="0.35">
      <c r="A627">
        <v>630</v>
      </c>
      <c r="B627" t="str">
        <f>VLOOKUP(F627,'Hilfstabelle QP'!$A$2:$B$4,2,FALSE)</f>
        <v>Druckkontrolle</v>
      </c>
      <c r="C627" t="str">
        <f>VLOOKUP(G627,'Hilfstabelle QP'!$A$7:$B$11,2,FALSE)</f>
        <v>Bestanden</v>
      </c>
      <c r="F627">
        <v>2</v>
      </c>
      <c r="G627">
        <v>3</v>
      </c>
    </row>
    <row r="628" spans="1:7" x14ac:dyDescent="0.35">
      <c r="A628">
        <v>631</v>
      </c>
      <c r="B628" t="str">
        <f>VLOOKUP(F628,'Hilfstabelle QP'!$A$2:$B$4,2,FALSE)</f>
        <v>Druckkontrolle</v>
      </c>
      <c r="C628" t="str">
        <f>VLOOKUP(G628,'Hilfstabelle QP'!$A$7:$B$11,2,FALSE)</f>
        <v>Bestanden</v>
      </c>
      <c r="F628">
        <v>2</v>
      </c>
      <c r="G628">
        <v>4</v>
      </c>
    </row>
    <row r="629" spans="1:7" x14ac:dyDescent="0.35">
      <c r="A629">
        <v>632</v>
      </c>
      <c r="B629" t="str">
        <f>VLOOKUP(F629,'Hilfstabelle QP'!$A$2:$B$4,2,FALSE)</f>
        <v>Lastkontrolle</v>
      </c>
      <c r="C629" t="str">
        <f>VLOOKUP(G629,'Hilfstabelle QP'!$A$7:$B$11,2,FALSE)</f>
        <v>Bestanden</v>
      </c>
      <c r="F629">
        <v>3</v>
      </c>
      <c r="G629">
        <v>2</v>
      </c>
    </row>
    <row r="630" spans="1:7" x14ac:dyDescent="0.35">
      <c r="A630">
        <v>633</v>
      </c>
      <c r="B630" t="str">
        <f>VLOOKUP(F630,'Hilfstabelle QP'!$A$2:$B$4,2,FALSE)</f>
        <v>Druckkontrolle</v>
      </c>
      <c r="C630" t="str">
        <f>VLOOKUP(G630,'Hilfstabelle QP'!$A$7:$B$11,2,FALSE)</f>
        <v>Bestanden</v>
      </c>
      <c r="F630">
        <v>2</v>
      </c>
      <c r="G630">
        <v>3</v>
      </c>
    </row>
    <row r="631" spans="1:7" x14ac:dyDescent="0.35">
      <c r="A631">
        <v>634</v>
      </c>
      <c r="B631" t="str">
        <f>VLOOKUP(F631,'Hilfstabelle QP'!$A$2:$B$4,2,FALSE)</f>
        <v>Druckkontrolle</v>
      </c>
      <c r="C631" t="str">
        <f>VLOOKUP(G631,'Hilfstabelle QP'!$A$7:$B$11,2,FALSE)</f>
        <v>Durchgefallen</v>
      </c>
      <c r="F631">
        <v>2</v>
      </c>
      <c r="G631">
        <v>5</v>
      </c>
    </row>
    <row r="632" spans="1:7" x14ac:dyDescent="0.35">
      <c r="A632">
        <v>635</v>
      </c>
      <c r="B632" t="str">
        <f>VLOOKUP(F632,'Hilfstabelle QP'!$A$2:$B$4,2,FALSE)</f>
        <v>Sichtkontrolle</v>
      </c>
      <c r="C632" t="str">
        <f>VLOOKUP(G632,'Hilfstabelle QP'!$A$7:$B$11,2,FALSE)</f>
        <v>Bestanden</v>
      </c>
      <c r="F632">
        <v>1</v>
      </c>
      <c r="G632">
        <v>2</v>
      </c>
    </row>
    <row r="633" spans="1:7" x14ac:dyDescent="0.35">
      <c r="A633">
        <v>636</v>
      </c>
      <c r="B633" t="str">
        <f>VLOOKUP(F633,'Hilfstabelle QP'!$A$2:$B$4,2,FALSE)</f>
        <v>Sichtkontrolle</v>
      </c>
      <c r="C633" t="str">
        <f>VLOOKUP(G633,'Hilfstabelle QP'!$A$7:$B$11,2,FALSE)</f>
        <v>Bestanden</v>
      </c>
      <c r="F633">
        <v>1</v>
      </c>
      <c r="G633">
        <v>2</v>
      </c>
    </row>
    <row r="634" spans="1:7" x14ac:dyDescent="0.35">
      <c r="A634">
        <v>637</v>
      </c>
      <c r="B634" t="str">
        <f>VLOOKUP(F634,'Hilfstabelle QP'!$A$2:$B$4,2,FALSE)</f>
        <v>Lastkontrolle</v>
      </c>
      <c r="C634" t="str">
        <f>VLOOKUP(G634,'Hilfstabelle QP'!$A$7:$B$11,2,FALSE)</f>
        <v>Bestanden</v>
      </c>
      <c r="F634">
        <v>3</v>
      </c>
      <c r="G634">
        <v>4</v>
      </c>
    </row>
    <row r="635" spans="1:7" x14ac:dyDescent="0.35">
      <c r="A635">
        <v>638</v>
      </c>
      <c r="B635" t="str">
        <f>VLOOKUP(F635,'Hilfstabelle QP'!$A$2:$B$4,2,FALSE)</f>
        <v>Sichtkontrolle</v>
      </c>
      <c r="C635" t="str">
        <f>VLOOKUP(G635,'Hilfstabelle QP'!$A$7:$B$11,2,FALSE)</f>
        <v>Bestanden</v>
      </c>
      <c r="F635">
        <v>1</v>
      </c>
      <c r="G635">
        <v>4</v>
      </c>
    </row>
    <row r="636" spans="1:7" x14ac:dyDescent="0.35">
      <c r="A636">
        <v>639</v>
      </c>
      <c r="B636" t="str">
        <f>VLOOKUP(F636,'Hilfstabelle QP'!$A$2:$B$4,2,FALSE)</f>
        <v>Lastkontrolle</v>
      </c>
      <c r="C636" t="str">
        <f>VLOOKUP(G636,'Hilfstabelle QP'!$A$7:$B$11,2,FALSE)</f>
        <v>Bestanden</v>
      </c>
      <c r="F636">
        <v>3</v>
      </c>
      <c r="G636">
        <v>2</v>
      </c>
    </row>
    <row r="637" spans="1:7" x14ac:dyDescent="0.35">
      <c r="A637">
        <v>640</v>
      </c>
      <c r="B637" t="str">
        <f>VLOOKUP(F637,'Hilfstabelle QP'!$A$2:$B$4,2,FALSE)</f>
        <v>Sichtkontrolle</v>
      </c>
      <c r="C637" t="str">
        <f>VLOOKUP(G637,'Hilfstabelle QP'!$A$7:$B$11,2,FALSE)</f>
        <v>Bestanden</v>
      </c>
      <c r="F637">
        <v>1</v>
      </c>
      <c r="G637">
        <v>2</v>
      </c>
    </row>
    <row r="638" spans="1:7" x14ac:dyDescent="0.35">
      <c r="A638">
        <v>641</v>
      </c>
      <c r="B638" t="str">
        <f>VLOOKUP(F638,'Hilfstabelle QP'!$A$2:$B$4,2,FALSE)</f>
        <v>Sichtkontrolle</v>
      </c>
      <c r="C638" t="str">
        <f>VLOOKUP(G638,'Hilfstabelle QP'!$A$7:$B$11,2,FALSE)</f>
        <v>Durchgefallen</v>
      </c>
      <c r="F638">
        <v>1</v>
      </c>
      <c r="G638">
        <v>5</v>
      </c>
    </row>
    <row r="639" spans="1:7" x14ac:dyDescent="0.35">
      <c r="A639">
        <v>642</v>
      </c>
      <c r="B639" t="str">
        <f>VLOOKUP(F639,'Hilfstabelle QP'!$A$2:$B$4,2,FALSE)</f>
        <v>Druckkontrolle</v>
      </c>
      <c r="C639" t="str">
        <f>VLOOKUP(G639,'Hilfstabelle QP'!$A$7:$B$11,2,FALSE)</f>
        <v>Bestanden</v>
      </c>
      <c r="F639">
        <v>2</v>
      </c>
      <c r="G639">
        <v>3</v>
      </c>
    </row>
    <row r="640" spans="1:7" x14ac:dyDescent="0.35">
      <c r="A640">
        <v>643</v>
      </c>
      <c r="B640" t="str">
        <f>VLOOKUP(F640,'Hilfstabelle QP'!$A$2:$B$4,2,FALSE)</f>
        <v>Sichtkontrolle</v>
      </c>
      <c r="C640" t="str">
        <f>VLOOKUP(G640,'Hilfstabelle QP'!$A$7:$B$11,2,FALSE)</f>
        <v>Durchgefallen</v>
      </c>
      <c r="F640">
        <v>1</v>
      </c>
      <c r="G640">
        <v>5</v>
      </c>
    </row>
    <row r="641" spans="1:7" x14ac:dyDescent="0.35">
      <c r="A641">
        <v>644</v>
      </c>
      <c r="B641" t="str">
        <f>VLOOKUP(F641,'Hilfstabelle QP'!$A$2:$B$4,2,FALSE)</f>
        <v>Sichtkontrolle</v>
      </c>
      <c r="C641" t="str">
        <f>VLOOKUP(G641,'Hilfstabelle QP'!$A$7:$B$11,2,FALSE)</f>
        <v>Bestanden</v>
      </c>
      <c r="F641">
        <v>1</v>
      </c>
      <c r="G641">
        <v>2</v>
      </c>
    </row>
    <row r="642" spans="1:7" x14ac:dyDescent="0.35">
      <c r="A642">
        <v>645</v>
      </c>
      <c r="B642" t="str">
        <f>VLOOKUP(F642,'Hilfstabelle QP'!$A$2:$B$4,2,FALSE)</f>
        <v>Sichtkontrolle</v>
      </c>
      <c r="C642" t="str">
        <f>VLOOKUP(G642,'Hilfstabelle QP'!$A$7:$B$11,2,FALSE)</f>
        <v>Bestanden</v>
      </c>
      <c r="F642">
        <v>1</v>
      </c>
      <c r="G642">
        <v>1</v>
      </c>
    </row>
    <row r="643" spans="1:7" x14ac:dyDescent="0.35">
      <c r="A643">
        <v>646</v>
      </c>
      <c r="B643" t="str">
        <f>VLOOKUP(F643,'Hilfstabelle QP'!$A$2:$B$4,2,FALSE)</f>
        <v>Lastkontrolle</v>
      </c>
      <c r="C643" t="str">
        <f>VLOOKUP(G643,'Hilfstabelle QP'!$A$7:$B$11,2,FALSE)</f>
        <v>Durchgefallen</v>
      </c>
      <c r="F643">
        <v>3</v>
      </c>
      <c r="G643">
        <v>5</v>
      </c>
    </row>
    <row r="644" spans="1:7" x14ac:dyDescent="0.35">
      <c r="A644">
        <v>647</v>
      </c>
      <c r="B644" t="str">
        <f>VLOOKUP(F644,'Hilfstabelle QP'!$A$2:$B$4,2,FALSE)</f>
        <v>Druckkontrolle</v>
      </c>
      <c r="C644" t="str">
        <f>VLOOKUP(G644,'Hilfstabelle QP'!$A$7:$B$11,2,FALSE)</f>
        <v>Durchgefallen</v>
      </c>
      <c r="F644">
        <v>2</v>
      </c>
      <c r="G644">
        <v>5</v>
      </c>
    </row>
    <row r="645" spans="1:7" x14ac:dyDescent="0.35">
      <c r="A645">
        <v>648</v>
      </c>
      <c r="B645" t="str">
        <f>VLOOKUP(F645,'Hilfstabelle QP'!$A$2:$B$4,2,FALSE)</f>
        <v>Druckkontrolle</v>
      </c>
      <c r="C645" t="str">
        <f>VLOOKUP(G645,'Hilfstabelle QP'!$A$7:$B$11,2,FALSE)</f>
        <v>Bestanden</v>
      </c>
      <c r="F645">
        <v>2</v>
      </c>
      <c r="G645">
        <v>2</v>
      </c>
    </row>
    <row r="646" spans="1:7" x14ac:dyDescent="0.35">
      <c r="A646">
        <v>649</v>
      </c>
      <c r="B646" t="str">
        <f>VLOOKUP(F646,'Hilfstabelle QP'!$A$2:$B$4,2,FALSE)</f>
        <v>Lastkontrolle</v>
      </c>
      <c r="C646" t="str">
        <f>VLOOKUP(G646,'Hilfstabelle QP'!$A$7:$B$11,2,FALSE)</f>
        <v>Bestanden</v>
      </c>
      <c r="F646">
        <v>3</v>
      </c>
      <c r="G646">
        <v>2</v>
      </c>
    </row>
    <row r="647" spans="1:7" x14ac:dyDescent="0.35">
      <c r="A647">
        <v>650</v>
      </c>
      <c r="B647" t="str">
        <f>VLOOKUP(F647,'Hilfstabelle QP'!$A$2:$B$4,2,FALSE)</f>
        <v>Druckkontrolle</v>
      </c>
      <c r="C647" t="str">
        <f>VLOOKUP(G647,'Hilfstabelle QP'!$A$7:$B$11,2,FALSE)</f>
        <v>Bestanden</v>
      </c>
      <c r="F647">
        <v>2</v>
      </c>
      <c r="G647">
        <v>2</v>
      </c>
    </row>
    <row r="648" spans="1:7" x14ac:dyDescent="0.35">
      <c r="A648">
        <v>651</v>
      </c>
      <c r="B648" t="str">
        <f>VLOOKUP(F648,'Hilfstabelle QP'!$A$2:$B$4,2,FALSE)</f>
        <v>Sichtkontrolle</v>
      </c>
      <c r="C648" t="str">
        <f>VLOOKUP(G648,'Hilfstabelle QP'!$A$7:$B$11,2,FALSE)</f>
        <v>Bestanden</v>
      </c>
      <c r="F648">
        <v>1</v>
      </c>
      <c r="G648">
        <v>3</v>
      </c>
    </row>
    <row r="649" spans="1:7" x14ac:dyDescent="0.35">
      <c r="A649">
        <v>652</v>
      </c>
      <c r="B649" t="str">
        <f>VLOOKUP(F649,'Hilfstabelle QP'!$A$2:$B$4,2,FALSE)</f>
        <v>Sichtkontrolle</v>
      </c>
      <c r="C649" t="str">
        <f>VLOOKUP(G649,'Hilfstabelle QP'!$A$7:$B$11,2,FALSE)</f>
        <v>Bestanden</v>
      </c>
      <c r="F649">
        <v>1</v>
      </c>
      <c r="G649">
        <v>2</v>
      </c>
    </row>
    <row r="650" spans="1:7" x14ac:dyDescent="0.35">
      <c r="A650">
        <v>653</v>
      </c>
      <c r="B650" t="str">
        <f>VLOOKUP(F650,'Hilfstabelle QP'!$A$2:$B$4,2,FALSE)</f>
        <v>Lastkontrolle</v>
      </c>
      <c r="C650" t="str">
        <f>VLOOKUP(G650,'Hilfstabelle QP'!$A$7:$B$11,2,FALSE)</f>
        <v>Durchgefallen</v>
      </c>
      <c r="F650">
        <v>3</v>
      </c>
      <c r="G650">
        <v>5</v>
      </c>
    </row>
    <row r="651" spans="1:7" x14ac:dyDescent="0.35">
      <c r="A651">
        <v>654</v>
      </c>
      <c r="B651" t="str">
        <f>VLOOKUP(F651,'Hilfstabelle QP'!$A$2:$B$4,2,FALSE)</f>
        <v>Lastkontrolle</v>
      </c>
      <c r="C651" t="str">
        <f>VLOOKUP(G651,'Hilfstabelle QP'!$A$7:$B$11,2,FALSE)</f>
        <v>Bestanden</v>
      </c>
      <c r="F651">
        <v>3</v>
      </c>
      <c r="G651">
        <v>3</v>
      </c>
    </row>
    <row r="652" spans="1:7" x14ac:dyDescent="0.35">
      <c r="A652">
        <v>655</v>
      </c>
      <c r="B652" t="str">
        <f>VLOOKUP(F652,'Hilfstabelle QP'!$A$2:$B$4,2,FALSE)</f>
        <v>Sichtkontrolle</v>
      </c>
      <c r="C652" t="str">
        <f>VLOOKUP(G652,'Hilfstabelle QP'!$A$7:$B$11,2,FALSE)</f>
        <v>Bestanden</v>
      </c>
      <c r="F652">
        <v>1</v>
      </c>
      <c r="G652">
        <v>2</v>
      </c>
    </row>
    <row r="653" spans="1:7" x14ac:dyDescent="0.35">
      <c r="A653">
        <v>656</v>
      </c>
      <c r="B653" t="str">
        <f>VLOOKUP(F653,'Hilfstabelle QP'!$A$2:$B$4,2,FALSE)</f>
        <v>Lastkontrolle</v>
      </c>
      <c r="C653" t="str">
        <f>VLOOKUP(G653,'Hilfstabelle QP'!$A$7:$B$11,2,FALSE)</f>
        <v>Bestanden</v>
      </c>
      <c r="F653">
        <v>3</v>
      </c>
      <c r="G653">
        <v>1</v>
      </c>
    </row>
    <row r="654" spans="1:7" x14ac:dyDescent="0.35">
      <c r="A654">
        <v>657</v>
      </c>
      <c r="B654" t="str">
        <f>VLOOKUP(F654,'Hilfstabelle QP'!$A$2:$B$4,2,FALSE)</f>
        <v>Sichtkontrolle</v>
      </c>
      <c r="C654" t="str">
        <f>VLOOKUP(G654,'Hilfstabelle QP'!$A$7:$B$11,2,FALSE)</f>
        <v>Bestanden</v>
      </c>
      <c r="F654">
        <v>1</v>
      </c>
      <c r="G654">
        <v>4</v>
      </c>
    </row>
    <row r="655" spans="1:7" x14ac:dyDescent="0.35">
      <c r="A655">
        <v>658</v>
      </c>
      <c r="B655" t="str">
        <f>VLOOKUP(F655,'Hilfstabelle QP'!$A$2:$B$4,2,FALSE)</f>
        <v>Druckkontrolle</v>
      </c>
      <c r="C655" t="str">
        <f>VLOOKUP(G655,'Hilfstabelle QP'!$A$7:$B$11,2,FALSE)</f>
        <v>Bestanden</v>
      </c>
      <c r="F655">
        <v>2</v>
      </c>
      <c r="G655">
        <v>3</v>
      </c>
    </row>
    <row r="656" spans="1:7" x14ac:dyDescent="0.35">
      <c r="A656">
        <v>659</v>
      </c>
      <c r="B656" t="str">
        <f>VLOOKUP(F656,'Hilfstabelle QP'!$A$2:$B$4,2,FALSE)</f>
        <v>Druckkontrolle</v>
      </c>
      <c r="C656" t="str">
        <f>VLOOKUP(G656,'Hilfstabelle QP'!$A$7:$B$11,2,FALSE)</f>
        <v>Bestanden</v>
      </c>
      <c r="F656">
        <v>2</v>
      </c>
      <c r="G656">
        <v>3</v>
      </c>
    </row>
    <row r="657" spans="1:7" x14ac:dyDescent="0.35">
      <c r="A657">
        <v>660</v>
      </c>
      <c r="B657" t="str">
        <f>VLOOKUP(F657,'Hilfstabelle QP'!$A$2:$B$4,2,FALSE)</f>
        <v>Lastkontrolle</v>
      </c>
      <c r="C657" t="str">
        <f>VLOOKUP(G657,'Hilfstabelle QP'!$A$7:$B$11,2,FALSE)</f>
        <v>Bestanden</v>
      </c>
      <c r="F657">
        <v>3</v>
      </c>
      <c r="G657">
        <v>4</v>
      </c>
    </row>
    <row r="658" spans="1:7" x14ac:dyDescent="0.35">
      <c r="A658">
        <v>661</v>
      </c>
      <c r="B658" t="str">
        <f>VLOOKUP(F658,'Hilfstabelle QP'!$A$2:$B$4,2,FALSE)</f>
        <v>Druckkontrolle</v>
      </c>
      <c r="C658" t="str">
        <f>VLOOKUP(G658,'Hilfstabelle QP'!$A$7:$B$11,2,FALSE)</f>
        <v>Bestanden</v>
      </c>
      <c r="F658">
        <v>2</v>
      </c>
      <c r="G658">
        <v>3</v>
      </c>
    </row>
    <row r="659" spans="1:7" x14ac:dyDescent="0.35">
      <c r="A659">
        <v>662</v>
      </c>
      <c r="B659" t="str">
        <f>VLOOKUP(F659,'Hilfstabelle QP'!$A$2:$B$4,2,FALSE)</f>
        <v>Sichtkontrolle</v>
      </c>
      <c r="C659" t="str">
        <f>VLOOKUP(G659,'Hilfstabelle QP'!$A$7:$B$11,2,FALSE)</f>
        <v>Bestanden</v>
      </c>
      <c r="F659">
        <v>1</v>
      </c>
      <c r="G659">
        <v>1</v>
      </c>
    </row>
    <row r="660" spans="1:7" x14ac:dyDescent="0.35">
      <c r="A660">
        <v>663</v>
      </c>
      <c r="B660" t="str">
        <f>VLOOKUP(F660,'Hilfstabelle QP'!$A$2:$B$4,2,FALSE)</f>
        <v>Lastkontrolle</v>
      </c>
      <c r="C660" t="str">
        <f>VLOOKUP(G660,'Hilfstabelle QP'!$A$7:$B$11,2,FALSE)</f>
        <v>Durchgefallen</v>
      </c>
      <c r="F660">
        <v>3</v>
      </c>
      <c r="G660">
        <v>5</v>
      </c>
    </row>
    <row r="661" spans="1:7" x14ac:dyDescent="0.35">
      <c r="A661">
        <v>664</v>
      </c>
      <c r="B661" t="str">
        <f>VLOOKUP(F661,'Hilfstabelle QP'!$A$2:$B$4,2,FALSE)</f>
        <v>Sichtkontrolle</v>
      </c>
      <c r="C661" t="str">
        <f>VLOOKUP(G661,'Hilfstabelle QP'!$A$7:$B$11,2,FALSE)</f>
        <v>Bestanden</v>
      </c>
      <c r="F661">
        <v>1</v>
      </c>
      <c r="G661">
        <v>4</v>
      </c>
    </row>
    <row r="662" spans="1:7" x14ac:dyDescent="0.35">
      <c r="A662">
        <v>665</v>
      </c>
      <c r="B662" t="str">
        <f>VLOOKUP(F662,'Hilfstabelle QP'!$A$2:$B$4,2,FALSE)</f>
        <v>Lastkontrolle</v>
      </c>
      <c r="C662" t="str">
        <f>VLOOKUP(G662,'Hilfstabelle QP'!$A$7:$B$11,2,FALSE)</f>
        <v>Bestanden</v>
      </c>
      <c r="F662">
        <v>3</v>
      </c>
      <c r="G662">
        <v>3</v>
      </c>
    </row>
    <row r="663" spans="1:7" x14ac:dyDescent="0.35">
      <c r="A663">
        <v>666</v>
      </c>
      <c r="B663" t="str">
        <f>VLOOKUP(F663,'Hilfstabelle QP'!$A$2:$B$4,2,FALSE)</f>
        <v>Sichtkontrolle</v>
      </c>
      <c r="C663" t="str">
        <f>VLOOKUP(G663,'Hilfstabelle QP'!$A$7:$B$11,2,FALSE)</f>
        <v>Bestanden</v>
      </c>
      <c r="F663">
        <v>1</v>
      </c>
      <c r="G663">
        <v>1</v>
      </c>
    </row>
    <row r="664" spans="1:7" x14ac:dyDescent="0.35">
      <c r="A664">
        <v>667</v>
      </c>
      <c r="B664" t="str">
        <f>VLOOKUP(F664,'Hilfstabelle QP'!$A$2:$B$4,2,FALSE)</f>
        <v>Druckkontrolle</v>
      </c>
      <c r="C664" t="str">
        <f>VLOOKUP(G664,'Hilfstabelle QP'!$A$7:$B$11,2,FALSE)</f>
        <v>Bestanden</v>
      </c>
      <c r="F664">
        <v>2</v>
      </c>
      <c r="G664">
        <v>3</v>
      </c>
    </row>
    <row r="665" spans="1:7" x14ac:dyDescent="0.35">
      <c r="A665">
        <v>668</v>
      </c>
      <c r="B665" t="str">
        <f>VLOOKUP(F665,'Hilfstabelle QP'!$A$2:$B$4,2,FALSE)</f>
        <v>Lastkontrolle</v>
      </c>
      <c r="C665" t="str">
        <f>VLOOKUP(G665,'Hilfstabelle QP'!$A$7:$B$11,2,FALSE)</f>
        <v>Bestanden</v>
      </c>
      <c r="F665">
        <v>3</v>
      </c>
      <c r="G665">
        <v>4</v>
      </c>
    </row>
    <row r="666" spans="1:7" x14ac:dyDescent="0.35">
      <c r="A666">
        <v>669</v>
      </c>
      <c r="B666" t="str">
        <f>VLOOKUP(F666,'Hilfstabelle QP'!$A$2:$B$4,2,FALSE)</f>
        <v>Sichtkontrolle</v>
      </c>
      <c r="C666" t="str">
        <f>VLOOKUP(G666,'Hilfstabelle QP'!$A$7:$B$11,2,FALSE)</f>
        <v>Bestanden</v>
      </c>
      <c r="F666">
        <v>1</v>
      </c>
      <c r="G666">
        <v>1</v>
      </c>
    </row>
    <row r="667" spans="1:7" x14ac:dyDescent="0.35">
      <c r="A667">
        <v>670</v>
      </c>
      <c r="B667" t="str">
        <f>VLOOKUP(F667,'Hilfstabelle QP'!$A$2:$B$4,2,FALSE)</f>
        <v>Druckkontrolle</v>
      </c>
      <c r="C667" t="str">
        <f>VLOOKUP(G667,'Hilfstabelle QP'!$A$7:$B$11,2,FALSE)</f>
        <v>Bestanden</v>
      </c>
      <c r="F667">
        <v>2</v>
      </c>
      <c r="G667">
        <v>2</v>
      </c>
    </row>
    <row r="668" spans="1:7" x14ac:dyDescent="0.35">
      <c r="A668">
        <v>671</v>
      </c>
      <c r="B668" t="str">
        <f>VLOOKUP(F668,'Hilfstabelle QP'!$A$2:$B$4,2,FALSE)</f>
        <v>Druckkontrolle</v>
      </c>
      <c r="C668" t="str">
        <f>VLOOKUP(G668,'Hilfstabelle QP'!$A$7:$B$11,2,FALSE)</f>
        <v>Bestanden</v>
      </c>
      <c r="F668">
        <v>2</v>
      </c>
      <c r="G668">
        <v>3</v>
      </c>
    </row>
    <row r="669" spans="1:7" x14ac:dyDescent="0.35">
      <c r="A669">
        <v>672</v>
      </c>
      <c r="B669" t="str">
        <f>VLOOKUP(F669,'Hilfstabelle QP'!$A$2:$B$4,2,FALSE)</f>
        <v>Sichtkontrolle</v>
      </c>
      <c r="C669" t="str">
        <f>VLOOKUP(G669,'Hilfstabelle QP'!$A$7:$B$11,2,FALSE)</f>
        <v>Bestanden</v>
      </c>
      <c r="F669">
        <v>1</v>
      </c>
      <c r="G669">
        <v>3</v>
      </c>
    </row>
    <row r="670" spans="1:7" x14ac:dyDescent="0.35">
      <c r="A670">
        <v>673</v>
      </c>
      <c r="B670" t="str">
        <f>VLOOKUP(F670,'Hilfstabelle QP'!$A$2:$B$4,2,FALSE)</f>
        <v>Sichtkontrolle</v>
      </c>
      <c r="C670" t="str">
        <f>VLOOKUP(G670,'Hilfstabelle QP'!$A$7:$B$11,2,FALSE)</f>
        <v>Bestanden</v>
      </c>
      <c r="F670">
        <v>1</v>
      </c>
      <c r="G670">
        <v>3</v>
      </c>
    </row>
    <row r="671" spans="1:7" x14ac:dyDescent="0.35">
      <c r="A671">
        <v>674</v>
      </c>
      <c r="B671" t="str">
        <f>VLOOKUP(F671,'Hilfstabelle QP'!$A$2:$B$4,2,FALSE)</f>
        <v>Druckkontrolle</v>
      </c>
      <c r="C671" t="str">
        <f>VLOOKUP(G671,'Hilfstabelle QP'!$A$7:$B$11,2,FALSE)</f>
        <v>Durchgefallen</v>
      </c>
      <c r="F671">
        <v>2</v>
      </c>
      <c r="G671">
        <v>5</v>
      </c>
    </row>
    <row r="672" spans="1:7" x14ac:dyDescent="0.35">
      <c r="A672">
        <v>675</v>
      </c>
      <c r="B672" t="str">
        <f>VLOOKUP(F672,'Hilfstabelle QP'!$A$2:$B$4,2,FALSE)</f>
        <v>Sichtkontrolle</v>
      </c>
      <c r="C672" t="str">
        <f>VLOOKUP(G672,'Hilfstabelle QP'!$A$7:$B$11,2,FALSE)</f>
        <v>Bestanden</v>
      </c>
      <c r="F672">
        <v>1</v>
      </c>
      <c r="G672">
        <v>3</v>
      </c>
    </row>
    <row r="673" spans="1:7" x14ac:dyDescent="0.35">
      <c r="A673">
        <v>676</v>
      </c>
      <c r="B673" t="str">
        <f>VLOOKUP(F673,'Hilfstabelle QP'!$A$2:$B$4,2,FALSE)</f>
        <v>Lastkontrolle</v>
      </c>
      <c r="C673" t="str">
        <f>VLOOKUP(G673,'Hilfstabelle QP'!$A$7:$B$11,2,FALSE)</f>
        <v>Bestanden</v>
      </c>
      <c r="F673">
        <v>3</v>
      </c>
      <c r="G673">
        <v>1</v>
      </c>
    </row>
    <row r="674" spans="1:7" x14ac:dyDescent="0.35">
      <c r="A674">
        <v>677</v>
      </c>
      <c r="B674" t="str">
        <f>VLOOKUP(F674,'Hilfstabelle QP'!$A$2:$B$4,2,FALSE)</f>
        <v>Druckkontrolle</v>
      </c>
      <c r="C674" t="str">
        <f>VLOOKUP(G674,'Hilfstabelle QP'!$A$7:$B$11,2,FALSE)</f>
        <v>Durchgefallen</v>
      </c>
      <c r="F674">
        <v>2</v>
      </c>
      <c r="G674">
        <v>5</v>
      </c>
    </row>
    <row r="675" spans="1:7" x14ac:dyDescent="0.35">
      <c r="A675">
        <v>678</v>
      </c>
      <c r="B675" t="str">
        <f>VLOOKUP(F675,'Hilfstabelle QP'!$A$2:$B$4,2,FALSE)</f>
        <v>Sichtkontrolle</v>
      </c>
      <c r="C675" t="str">
        <f>VLOOKUP(G675,'Hilfstabelle QP'!$A$7:$B$11,2,FALSE)</f>
        <v>Bestanden</v>
      </c>
      <c r="F675">
        <v>1</v>
      </c>
      <c r="G675">
        <v>4</v>
      </c>
    </row>
    <row r="676" spans="1:7" x14ac:dyDescent="0.35">
      <c r="A676">
        <v>679</v>
      </c>
      <c r="B676" t="str">
        <f>VLOOKUP(F676,'Hilfstabelle QP'!$A$2:$B$4,2,FALSE)</f>
        <v>Lastkontrolle</v>
      </c>
      <c r="C676" t="str">
        <f>VLOOKUP(G676,'Hilfstabelle QP'!$A$7:$B$11,2,FALSE)</f>
        <v>Bestanden</v>
      </c>
      <c r="F676">
        <v>3</v>
      </c>
      <c r="G676">
        <v>1</v>
      </c>
    </row>
    <row r="677" spans="1:7" x14ac:dyDescent="0.35">
      <c r="A677">
        <v>680</v>
      </c>
      <c r="B677" t="str">
        <f>VLOOKUP(F677,'Hilfstabelle QP'!$A$2:$B$4,2,FALSE)</f>
        <v>Sichtkontrolle</v>
      </c>
      <c r="C677" t="str">
        <f>VLOOKUP(G677,'Hilfstabelle QP'!$A$7:$B$11,2,FALSE)</f>
        <v>Durchgefallen</v>
      </c>
      <c r="F677">
        <v>1</v>
      </c>
      <c r="G677">
        <v>5</v>
      </c>
    </row>
    <row r="678" spans="1:7" x14ac:dyDescent="0.35">
      <c r="A678">
        <v>681</v>
      </c>
      <c r="B678" t="str">
        <f>VLOOKUP(F678,'Hilfstabelle QP'!$A$2:$B$4,2,FALSE)</f>
        <v>Sichtkontrolle</v>
      </c>
      <c r="C678" t="str">
        <f>VLOOKUP(G678,'Hilfstabelle QP'!$A$7:$B$11,2,FALSE)</f>
        <v>Bestanden</v>
      </c>
      <c r="F678">
        <v>1</v>
      </c>
      <c r="G678">
        <v>1</v>
      </c>
    </row>
    <row r="679" spans="1:7" x14ac:dyDescent="0.35">
      <c r="A679">
        <v>682</v>
      </c>
      <c r="B679" t="str">
        <f>VLOOKUP(F679,'Hilfstabelle QP'!$A$2:$B$4,2,FALSE)</f>
        <v>Lastkontrolle</v>
      </c>
      <c r="C679" t="str">
        <f>VLOOKUP(G679,'Hilfstabelle QP'!$A$7:$B$11,2,FALSE)</f>
        <v>Bestanden</v>
      </c>
      <c r="F679">
        <v>3</v>
      </c>
      <c r="G679">
        <v>1</v>
      </c>
    </row>
    <row r="680" spans="1:7" x14ac:dyDescent="0.35">
      <c r="A680">
        <v>683</v>
      </c>
      <c r="B680" t="str">
        <f>VLOOKUP(F680,'Hilfstabelle QP'!$A$2:$B$4,2,FALSE)</f>
        <v>Lastkontrolle</v>
      </c>
      <c r="C680" t="str">
        <f>VLOOKUP(G680,'Hilfstabelle QP'!$A$7:$B$11,2,FALSE)</f>
        <v>Bestanden</v>
      </c>
      <c r="F680">
        <v>3</v>
      </c>
      <c r="G680">
        <v>4</v>
      </c>
    </row>
    <row r="681" spans="1:7" x14ac:dyDescent="0.35">
      <c r="A681">
        <v>684</v>
      </c>
      <c r="B681" t="str">
        <f>VLOOKUP(F681,'Hilfstabelle QP'!$A$2:$B$4,2,FALSE)</f>
        <v>Druckkontrolle</v>
      </c>
      <c r="C681" t="str">
        <f>VLOOKUP(G681,'Hilfstabelle QP'!$A$7:$B$11,2,FALSE)</f>
        <v>Bestanden</v>
      </c>
      <c r="F681">
        <v>2</v>
      </c>
      <c r="G681">
        <v>4</v>
      </c>
    </row>
    <row r="682" spans="1:7" x14ac:dyDescent="0.35">
      <c r="A682">
        <v>685</v>
      </c>
      <c r="B682" t="str">
        <f>VLOOKUP(F682,'Hilfstabelle QP'!$A$2:$B$4,2,FALSE)</f>
        <v>Sichtkontrolle</v>
      </c>
      <c r="C682" t="str">
        <f>VLOOKUP(G682,'Hilfstabelle QP'!$A$7:$B$11,2,FALSE)</f>
        <v>Bestanden</v>
      </c>
      <c r="F682">
        <v>1</v>
      </c>
      <c r="G682">
        <v>2</v>
      </c>
    </row>
    <row r="683" spans="1:7" x14ac:dyDescent="0.35">
      <c r="A683">
        <v>686</v>
      </c>
      <c r="B683" t="str">
        <f>VLOOKUP(F683,'Hilfstabelle QP'!$A$2:$B$4,2,FALSE)</f>
        <v>Sichtkontrolle</v>
      </c>
      <c r="C683" t="str">
        <f>VLOOKUP(G683,'Hilfstabelle QP'!$A$7:$B$11,2,FALSE)</f>
        <v>Bestanden</v>
      </c>
      <c r="F683">
        <v>1</v>
      </c>
      <c r="G683">
        <v>1</v>
      </c>
    </row>
    <row r="684" spans="1:7" x14ac:dyDescent="0.35">
      <c r="A684">
        <v>687</v>
      </c>
      <c r="B684" t="str">
        <f>VLOOKUP(F684,'Hilfstabelle QP'!$A$2:$B$4,2,FALSE)</f>
        <v>Sichtkontrolle</v>
      </c>
      <c r="C684" t="str">
        <f>VLOOKUP(G684,'Hilfstabelle QP'!$A$7:$B$11,2,FALSE)</f>
        <v>Bestanden</v>
      </c>
      <c r="F684">
        <v>1</v>
      </c>
      <c r="G684">
        <v>3</v>
      </c>
    </row>
    <row r="685" spans="1:7" x14ac:dyDescent="0.35">
      <c r="A685">
        <v>688</v>
      </c>
      <c r="B685" t="str">
        <f>VLOOKUP(F685,'Hilfstabelle QP'!$A$2:$B$4,2,FALSE)</f>
        <v>Druckkontrolle</v>
      </c>
      <c r="C685" t="str">
        <f>VLOOKUP(G685,'Hilfstabelle QP'!$A$7:$B$11,2,FALSE)</f>
        <v>Bestanden</v>
      </c>
      <c r="F685">
        <v>2</v>
      </c>
      <c r="G685">
        <v>4</v>
      </c>
    </row>
    <row r="686" spans="1:7" x14ac:dyDescent="0.35">
      <c r="A686">
        <v>689</v>
      </c>
      <c r="B686" t="str">
        <f>VLOOKUP(F686,'Hilfstabelle QP'!$A$2:$B$4,2,FALSE)</f>
        <v>Lastkontrolle</v>
      </c>
      <c r="C686" t="str">
        <f>VLOOKUP(G686,'Hilfstabelle QP'!$A$7:$B$11,2,FALSE)</f>
        <v>Bestanden</v>
      </c>
      <c r="F686">
        <v>3</v>
      </c>
      <c r="G686">
        <v>3</v>
      </c>
    </row>
    <row r="687" spans="1:7" x14ac:dyDescent="0.35">
      <c r="A687">
        <v>690</v>
      </c>
      <c r="B687" t="str">
        <f>VLOOKUP(F687,'Hilfstabelle QP'!$A$2:$B$4,2,FALSE)</f>
        <v>Sichtkontrolle</v>
      </c>
      <c r="C687" t="str">
        <f>VLOOKUP(G687,'Hilfstabelle QP'!$A$7:$B$11,2,FALSE)</f>
        <v>Durchgefallen</v>
      </c>
      <c r="F687">
        <v>1</v>
      </c>
      <c r="G687">
        <v>5</v>
      </c>
    </row>
    <row r="688" spans="1:7" x14ac:dyDescent="0.35">
      <c r="A688">
        <v>691</v>
      </c>
      <c r="B688" t="str">
        <f>VLOOKUP(F688,'Hilfstabelle QP'!$A$2:$B$4,2,FALSE)</f>
        <v>Lastkontrolle</v>
      </c>
      <c r="C688" t="str">
        <f>VLOOKUP(G688,'Hilfstabelle QP'!$A$7:$B$11,2,FALSE)</f>
        <v>Bestanden</v>
      </c>
      <c r="F688">
        <v>3</v>
      </c>
      <c r="G688">
        <v>3</v>
      </c>
    </row>
    <row r="689" spans="1:7" x14ac:dyDescent="0.35">
      <c r="A689">
        <v>692</v>
      </c>
      <c r="B689" t="str">
        <f>VLOOKUP(F689,'Hilfstabelle QP'!$A$2:$B$4,2,FALSE)</f>
        <v>Lastkontrolle</v>
      </c>
      <c r="C689" t="str">
        <f>VLOOKUP(G689,'Hilfstabelle QP'!$A$7:$B$11,2,FALSE)</f>
        <v>Bestanden</v>
      </c>
      <c r="F689">
        <v>3</v>
      </c>
      <c r="G689">
        <v>3</v>
      </c>
    </row>
    <row r="690" spans="1:7" x14ac:dyDescent="0.35">
      <c r="A690">
        <v>693</v>
      </c>
      <c r="B690" t="str">
        <f>VLOOKUP(F690,'Hilfstabelle QP'!$A$2:$B$4,2,FALSE)</f>
        <v>Druckkontrolle</v>
      </c>
      <c r="C690" t="str">
        <f>VLOOKUP(G690,'Hilfstabelle QP'!$A$7:$B$11,2,FALSE)</f>
        <v>Bestanden</v>
      </c>
      <c r="F690">
        <v>2</v>
      </c>
      <c r="G690">
        <v>4</v>
      </c>
    </row>
    <row r="691" spans="1:7" x14ac:dyDescent="0.35">
      <c r="A691">
        <v>694</v>
      </c>
      <c r="B691" t="str">
        <f>VLOOKUP(F691,'Hilfstabelle QP'!$A$2:$B$4,2,FALSE)</f>
        <v>Sichtkontrolle</v>
      </c>
      <c r="C691" t="str">
        <f>VLOOKUP(G691,'Hilfstabelle QP'!$A$7:$B$11,2,FALSE)</f>
        <v>Bestanden</v>
      </c>
      <c r="F691">
        <v>1</v>
      </c>
      <c r="G691">
        <v>1</v>
      </c>
    </row>
    <row r="692" spans="1:7" x14ac:dyDescent="0.35">
      <c r="A692">
        <v>695</v>
      </c>
      <c r="B692" t="str">
        <f>VLOOKUP(F692,'Hilfstabelle QP'!$A$2:$B$4,2,FALSE)</f>
        <v>Lastkontrolle</v>
      </c>
      <c r="C692" t="str">
        <f>VLOOKUP(G692,'Hilfstabelle QP'!$A$7:$B$11,2,FALSE)</f>
        <v>Bestanden</v>
      </c>
      <c r="F692">
        <v>3</v>
      </c>
      <c r="G692">
        <v>1</v>
      </c>
    </row>
    <row r="693" spans="1:7" x14ac:dyDescent="0.35">
      <c r="A693">
        <v>696</v>
      </c>
      <c r="B693" t="str">
        <f>VLOOKUP(F693,'Hilfstabelle QP'!$A$2:$B$4,2,FALSE)</f>
        <v>Druckkontrolle</v>
      </c>
      <c r="C693" t="str">
        <f>VLOOKUP(G693,'Hilfstabelle QP'!$A$7:$B$11,2,FALSE)</f>
        <v>Bestanden</v>
      </c>
      <c r="F693">
        <v>2</v>
      </c>
      <c r="G693">
        <v>4</v>
      </c>
    </row>
    <row r="694" spans="1:7" x14ac:dyDescent="0.35">
      <c r="A694">
        <v>697</v>
      </c>
      <c r="B694" t="str">
        <f>VLOOKUP(F694,'Hilfstabelle QP'!$A$2:$B$4,2,FALSE)</f>
        <v>Druckkontrolle</v>
      </c>
      <c r="C694" t="str">
        <f>VLOOKUP(G694,'Hilfstabelle QP'!$A$7:$B$11,2,FALSE)</f>
        <v>Bestanden</v>
      </c>
      <c r="F694">
        <v>2</v>
      </c>
      <c r="G694">
        <v>3</v>
      </c>
    </row>
    <row r="695" spans="1:7" x14ac:dyDescent="0.35">
      <c r="A695">
        <v>698</v>
      </c>
      <c r="B695" t="str">
        <f>VLOOKUP(F695,'Hilfstabelle QP'!$A$2:$B$4,2,FALSE)</f>
        <v>Lastkontrolle</v>
      </c>
      <c r="C695" t="str">
        <f>VLOOKUP(G695,'Hilfstabelle QP'!$A$7:$B$11,2,FALSE)</f>
        <v>Bestanden</v>
      </c>
      <c r="F695">
        <v>3</v>
      </c>
      <c r="G695">
        <v>4</v>
      </c>
    </row>
    <row r="696" spans="1:7" x14ac:dyDescent="0.35">
      <c r="A696">
        <v>699</v>
      </c>
      <c r="B696" t="str">
        <f>VLOOKUP(F696,'Hilfstabelle QP'!$A$2:$B$4,2,FALSE)</f>
        <v>Lastkontrolle</v>
      </c>
      <c r="C696" t="str">
        <f>VLOOKUP(G696,'Hilfstabelle QP'!$A$7:$B$11,2,FALSE)</f>
        <v>Bestanden</v>
      </c>
      <c r="F696">
        <v>3</v>
      </c>
      <c r="G696">
        <v>1</v>
      </c>
    </row>
    <row r="697" spans="1:7" x14ac:dyDescent="0.35">
      <c r="A697">
        <v>700</v>
      </c>
      <c r="B697" t="str">
        <f>VLOOKUP(F697,'Hilfstabelle QP'!$A$2:$B$4,2,FALSE)</f>
        <v>Druckkontrolle</v>
      </c>
      <c r="C697" t="str">
        <f>VLOOKUP(G697,'Hilfstabelle QP'!$A$7:$B$11,2,FALSE)</f>
        <v>Bestanden</v>
      </c>
      <c r="F697">
        <v>2</v>
      </c>
      <c r="G697">
        <v>3</v>
      </c>
    </row>
    <row r="698" spans="1:7" x14ac:dyDescent="0.35">
      <c r="A698">
        <v>701</v>
      </c>
      <c r="B698" t="str">
        <f>VLOOKUP(F698,'Hilfstabelle QP'!$A$2:$B$4,2,FALSE)</f>
        <v>Druckkontrolle</v>
      </c>
      <c r="C698" t="str">
        <f>VLOOKUP(G698,'Hilfstabelle QP'!$A$7:$B$11,2,FALSE)</f>
        <v>Bestanden</v>
      </c>
      <c r="F698">
        <v>2</v>
      </c>
      <c r="G698">
        <v>2</v>
      </c>
    </row>
    <row r="699" spans="1:7" x14ac:dyDescent="0.35">
      <c r="A699">
        <v>702</v>
      </c>
      <c r="B699" t="str">
        <f>VLOOKUP(F699,'Hilfstabelle QP'!$A$2:$B$4,2,FALSE)</f>
        <v>Druckkontrolle</v>
      </c>
      <c r="C699" t="str">
        <f>VLOOKUP(G699,'Hilfstabelle QP'!$A$7:$B$11,2,FALSE)</f>
        <v>Bestanden</v>
      </c>
      <c r="F699">
        <v>2</v>
      </c>
      <c r="G699">
        <v>3</v>
      </c>
    </row>
    <row r="700" spans="1:7" x14ac:dyDescent="0.35">
      <c r="A700">
        <v>703</v>
      </c>
      <c r="B700" t="str">
        <f>VLOOKUP(F700,'Hilfstabelle QP'!$A$2:$B$4,2,FALSE)</f>
        <v>Lastkontrolle</v>
      </c>
      <c r="C700" t="str">
        <f>VLOOKUP(G700,'Hilfstabelle QP'!$A$7:$B$11,2,FALSE)</f>
        <v>Bestanden</v>
      </c>
      <c r="F700">
        <v>3</v>
      </c>
      <c r="G700">
        <v>3</v>
      </c>
    </row>
    <row r="701" spans="1:7" x14ac:dyDescent="0.35">
      <c r="A701">
        <v>704</v>
      </c>
      <c r="B701" t="str">
        <f>VLOOKUP(F701,'Hilfstabelle QP'!$A$2:$B$4,2,FALSE)</f>
        <v>Sichtkontrolle</v>
      </c>
      <c r="C701" t="str">
        <f>VLOOKUP(G701,'Hilfstabelle QP'!$A$7:$B$11,2,FALSE)</f>
        <v>Bestanden</v>
      </c>
      <c r="F701">
        <v>1</v>
      </c>
      <c r="G701">
        <v>1</v>
      </c>
    </row>
    <row r="702" spans="1:7" x14ac:dyDescent="0.35">
      <c r="A702">
        <v>705</v>
      </c>
      <c r="B702" t="str">
        <f>VLOOKUP(F702,'Hilfstabelle QP'!$A$2:$B$4,2,FALSE)</f>
        <v>Sichtkontrolle</v>
      </c>
      <c r="C702" t="str">
        <f>VLOOKUP(G702,'Hilfstabelle QP'!$A$7:$B$11,2,FALSE)</f>
        <v>Bestanden</v>
      </c>
      <c r="F702">
        <v>1</v>
      </c>
      <c r="G702">
        <v>3</v>
      </c>
    </row>
    <row r="703" spans="1:7" x14ac:dyDescent="0.35">
      <c r="A703">
        <v>706</v>
      </c>
      <c r="B703" t="str">
        <f>VLOOKUP(F703,'Hilfstabelle QP'!$A$2:$B$4,2,FALSE)</f>
        <v>Sichtkontrolle</v>
      </c>
      <c r="C703" t="str">
        <f>VLOOKUP(G703,'Hilfstabelle QP'!$A$7:$B$11,2,FALSE)</f>
        <v>Bestanden</v>
      </c>
      <c r="F703">
        <v>1</v>
      </c>
      <c r="G703">
        <v>4</v>
      </c>
    </row>
    <row r="704" spans="1:7" x14ac:dyDescent="0.35">
      <c r="A704">
        <v>707</v>
      </c>
      <c r="B704" t="str">
        <f>VLOOKUP(F704,'Hilfstabelle QP'!$A$2:$B$4,2,FALSE)</f>
        <v>Sichtkontrolle</v>
      </c>
      <c r="C704" t="str">
        <f>VLOOKUP(G704,'Hilfstabelle QP'!$A$7:$B$11,2,FALSE)</f>
        <v>Durchgefallen</v>
      </c>
      <c r="F704">
        <v>1</v>
      </c>
      <c r="G704">
        <v>5</v>
      </c>
    </row>
    <row r="705" spans="1:7" x14ac:dyDescent="0.35">
      <c r="A705">
        <v>708</v>
      </c>
      <c r="B705" t="str">
        <f>VLOOKUP(F705,'Hilfstabelle QP'!$A$2:$B$4,2,FALSE)</f>
        <v>Lastkontrolle</v>
      </c>
      <c r="C705" t="str">
        <f>VLOOKUP(G705,'Hilfstabelle QP'!$A$7:$B$11,2,FALSE)</f>
        <v>Bestanden</v>
      </c>
      <c r="F705">
        <v>3</v>
      </c>
      <c r="G705">
        <v>4</v>
      </c>
    </row>
    <row r="706" spans="1:7" x14ac:dyDescent="0.35">
      <c r="A706">
        <v>709</v>
      </c>
      <c r="B706" t="str">
        <f>VLOOKUP(F706,'Hilfstabelle QP'!$A$2:$B$4,2,FALSE)</f>
        <v>Sichtkontrolle</v>
      </c>
      <c r="C706" t="str">
        <f>VLOOKUP(G706,'Hilfstabelle QP'!$A$7:$B$11,2,FALSE)</f>
        <v>Bestanden</v>
      </c>
      <c r="F706">
        <v>1</v>
      </c>
      <c r="G706">
        <v>2</v>
      </c>
    </row>
    <row r="707" spans="1:7" x14ac:dyDescent="0.35">
      <c r="A707">
        <v>710</v>
      </c>
      <c r="B707" t="str">
        <f>VLOOKUP(F707,'Hilfstabelle QP'!$A$2:$B$4,2,FALSE)</f>
        <v>Lastkontrolle</v>
      </c>
      <c r="C707" t="str">
        <f>VLOOKUP(G707,'Hilfstabelle QP'!$A$7:$B$11,2,FALSE)</f>
        <v>Bestanden</v>
      </c>
      <c r="F707">
        <v>3</v>
      </c>
      <c r="G707">
        <v>3</v>
      </c>
    </row>
    <row r="708" spans="1:7" x14ac:dyDescent="0.35">
      <c r="A708">
        <v>711</v>
      </c>
      <c r="B708" t="str">
        <f>VLOOKUP(F708,'Hilfstabelle QP'!$A$2:$B$4,2,FALSE)</f>
        <v>Druckkontrolle</v>
      </c>
      <c r="C708" t="str">
        <f>VLOOKUP(G708,'Hilfstabelle QP'!$A$7:$B$11,2,FALSE)</f>
        <v>Bestanden</v>
      </c>
      <c r="F708">
        <v>2</v>
      </c>
      <c r="G708">
        <v>2</v>
      </c>
    </row>
    <row r="709" spans="1:7" x14ac:dyDescent="0.35">
      <c r="A709">
        <v>712</v>
      </c>
      <c r="B709" t="str">
        <f>VLOOKUP(F709,'Hilfstabelle QP'!$A$2:$B$4,2,FALSE)</f>
        <v>Lastkontrolle</v>
      </c>
      <c r="C709" t="str">
        <f>VLOOKUP(G709,'Hilfstabelle QP'!$A$7:$B$11,2,FALSE)</f>
        <v>Bestanden</v>
      </c>
      <c r="F709">
        <v>3</v>
      </c>
      <c r="G709">
        <v>3</v>
      </c>
    </row>
    <row r="710" spans="1:7" x14ac:dyDescent="0.35">
      <c r="A710">
        <v>713</v>
      </c>
      <c r="B710" t="str">
        <f>VLOOKUP(F710,'Hilfstabelle QP'!$A$2:$B$4,2,FALSE)</f>
        <v>Lastkontrolle</v>
      </c>
      <c r="C710" t="str">
        <f>VLOOKUP(G710,'Hilfstabelle QP'!$A$7:$B$11,2,FALSE)</f>
        <v>Bestanden</v>
      </c>
      <c r="F710">
        <v>3</v>
      </c>
      <c r="G710">
        <v>2</v>
      </c>
    </row>
    <row r="711" spans="1:7" x14ac:dyDescent="0.35">
      <c r="A711">
        <v>714</v>
      </c>
      <c r="B711" t="str">
        <f>VLOOKUP(F711,'Hilfstabelle QP'!$A$2:$B$4,2,FALSE)</f>
        <v>Lastkontrolle</v>
      </c>
      <c r="C711" t="str">
        <f>VLOOKUP(G711,'Hilfstabelle QP'!$A$7:$B$11,2,FALSE)</f>
        <v>Bestanden</v>
      </c>
      <c r="F711">
        <v>3</v>
      </c>
      <c r="G711">
        <v>1</v>
      </c>
    </row>
    <row r="712" spans="1:7" x14ac:dyDescent="0.35">
      <c r="A712">
        <v>715</v>
      </c>
      <c r="B712" t="str">
        <f>VLOOKUP(F712,'Hilfstabelle QP'!$A$2:$B$4,2,FALSE)</f>
        <v>Lastkontrolle</v>
      </c>
      <c r="C712" t="str">
        <f>VLOOKUP(G712,'Hilfstabelle QP'!$A$7:$B$11,2,FALSE)</f>
        <v>Bestanden</v>
      </c>
      <c r="F712">
        <v>3</v>
      </c>
      <c r="G712">
        <v>4</v>
      </c>
    </row>
    <row r="713" spans="1:7" x14ac:dyDescent="0.35">
      <c r="A713">
        <v>716</v>
      </c>
      <c r="B713" t="str">
        <f>VLOOKUP(F713,'Hilfstabelle QP'!$A$2:$B$4,2,FALSE)</f>
        <v>Lastkontrolle</v>
      </c>
      <c r="C713" t="str">
        <f>VLOOKUP(G713,'Hilfstabelle QP'!$A$7:$B$11,2,FALSE)</f>
        <v>Bestanden</v>
      </c>
      <c r="F713">
        <v>3</v>
      </c>
      <c r="G713">
        <v>2</v>
      </c>
    </row>
    <row r="714" spans="1:7" x14ac:dyDescent="0.35">
      <c r="A714">
        <v>717</v>
      </c>
      <c r="B714" t="str">
        <f>VLOOKUP(F714,'Hilfstabelle QP'!$A$2:$B$4,2,FALSE)</f>
        <v>Sichtkontrolle</v>
      </c>
      <c r="C714" t="str">
        <f>VLOOKUP(G714,'Hilfstabelle QP'!$A$7:$B$11,2,FALSE)</f>
        <v>Durchgefallen</v>
      </c>
      <c r="F714">
        <v>1</v>
      </c>
      <c r="G714">
        <v>5</v>
      </c>
    </row>
    <row r="715" spans="1:7" x14ac:dyDescent="0.35">
      <c r="A715">
        <v>718</v>
      </c>
      <c r="B715" t="str">
        <f>VLOOKUP(F715,'Hilfstabelle QP'!$A$2:$B$4,2,FALSE)</f>
        <v>Sichtkontrolle</v>
      </c>
      <c r="C715" t="str">
        <f>VLOOKUP(G715,'Hilfstabelle QP'!$A$7:$B$11,2,FALSE)</f>
        <v>Bestanden</v>
      </c>
      <c r="F715">
        <v>1</v>
      </c>
      <c r="G715">
        <v>2</v>
      </c>
    </row>
    <row r="716" spans="1:7" x14ac:dyDescent="0.35">
      <c r="A716">
        <v>719</v>
      </c>
      <c r="B716" t="str">
        <f>VLOOKUP(F716,'Hilfstabelle QP'!$A$2:$B$4,2,FALSE)</f>
        <v>Sichtkontrolle</v>
      </c>
      <c r="C716" t="str">
        <f>VLOOKUP(G716,'Hilfstabelle QP'!$A$7:$B$11,2,FALSE)</f>
        <v>Bestanden</v>
      </c>
      <c r="F716">
        <v>1</v>
      </c>
      <c r="G716">
        <v>4</v>
      </c>
    </row>
    <row r="717" spans="1:7" x14ac:dyDescent="0.35">
      <c r="A717">
        <v>720</v>
      </c>
      <c r="B717" t="str">
        <f>VLOOKUP(F717,'Hilfstabelle QP'!$A$2:$B$4,2,FALSE)</f>
        <v>Druckkontrolle</v>
      </c>
      <c r="C717" t="str">
        <f>VLOOKUP(G717,'Hilfstabelle QP'!$A$7:$B$11,2,FALSE)</f>
        <v>Bestanden</v>
      </c>
      <c r="F717">
        <v>2</v>
      </c>
      <c r="G717">
        <v>2</v>
      </c>
    </row>
    <row r="718" spans="1:7" x14ac:dyDescent="0.35">
      <c r="A718">
        <v>721</v>
      </c>
      <c r="B718" t="str">
        <f>VLOOKUP(F718,'Hilfstabelle QP'!$A$2:$B$4,2,FALSE)</f>
        <v>Sichtkontrolle</v>
      </c>
      <c r="C718" t="str">
        <f>VLOOKUP(G718,'Hilfstabelle QP'!$A$7:$B$11,2,FALSE)</f>
        <v>Bestanden</v>
      </c>
      <c r="F718">
        <v>1</v>
      </c>
      <c r="G718">
        <v>4</v>
      </c>
    </row>
    <row r="719" spans="1:7" x14ac:dyDescent="0.35">
      <c r="A719">
        <v>722</v>
      </c>
      <c r="B719" t="str">
        <f>VLOOKUP(F719,'Hilfstabelle QP'!$A$2:$B$4,2,FALSE)</f>
        <v>Sichtkontrolle</v>
      </c>
      <c r="C719" t="str">
        <f>VLOOKUP(G719,'Hilfstabelle QP'!$A$7:$B$11,2,FALSE)</f>
        <v>Bestanden</v>
      </c>
      <c r="F719">
        <v>1</v>
      </c>
      <c r="G719">
        <v>3</v>
      </c>
    </row>
    <row r="720" spans="1:7" x14ac:dyDescent="0.35">
      <c r="A720">
        <v>723</v>
      </c>
      <c r="B720" t="str">
        <f>VLOOKUP(F720,'Hilfstabelle QP'!$A$2:$B$4,2,FALSE)</f>
        <v>Sichtkontrolle</v>
      </c>
      <c r="C720" t="str">
        <f>VLOOKUP(G720,'Hilfstabelle QP'!$A$7:$B$11,2,FALSE)</f>
        <v>Bestanden</v>
      </c>
      <c r="F720">
        <v>1</v>
      </c>
      <c r="G720">
        <v>3</v>
      </c>
    </row>
    <row r="721" spans="1:7" x14ac:dyDescent="0.35">
      <c r="A721">
        <v>724</v>
      </c>
      <c r="B721" t="str">
        <f>VLOOKUP(F721,'Hilfstabelle QP'!$A$2:$B$4,2,FALSE)</f>
        <v>Lastkontrolle</v>
      </c>
      <c r="C721" t="str">
        <f>VLOOKUP(G721,'Hilfstabelle QP'!$A$7:$B$11,2,FALSE)</f>
        <v>Bestanden</v>
      </c>
      <c r="F721">
        <v>3</v>
      </c>
      <c r="G721">
        <v>4</v>
      </c>
    </row>
    <row r="722" spans="1:7" x14ac:dyDescent="0.35">
      <c r="A722">
        <v>725</v>
      </c>
      <c r="B722" t="str">
        <f>VLOOKUP(F722,'Hilfstabelle QP'!$A$2:$B$4,2,FALSE)</f>
        <v>Druckkontrolle</v>
      </c>
      <c r="C722" t="str">
        <f>VLOOKUP(G722,'Hilfstabelle QP'!$A$7:$B$11,2,FALSE)</f>
        <v>Bestanden</v>
      </c>
      <c r="F722">
        <v>2</v>
      </c>
      <c r="G722">
        <v>4</v>
      </c>
    </row>
    <row r="723" spans="1:7" x14ac:dyDescent="0.35">
      <c r="A723">
        <v>726</v>
      </c>
      <c r="B723" t="str">
        <f>VLOOKUP(F723,'Hilfstabelle QP'!$A$2:$B$4,2,FALSE)</f>
        <v>Sichtkontrolle</v>
      </c>
      <c r="C723" t="str">
        <f>VLOOKUP(G723,'Hilfstabelle QP'!$A$7:$B$11,2,FALSE)</f>
        <v>Durchgefallen</v>
      </c>
      <c r="F723">
        <v>1</v>
      </c>
      <c r="G723">
        <v>5</v>
      </c>
    </row>
    <row r="724" spans="1:7" x14ac:dyDescent="0.35">
      <c r="A724">
        <v>727</v>
      </c>
      <c r="B724" t="str">
        <f>VLOOKUP(F724,'Hilfstabelle QP'!$A$2:$B$4,2,FALSE)</f>
        <v>Lastkontrolle</v>
      </c>
      <c r="C724" t="str">
        <f>VLOOKUP(G724,'Hilfstabelle QP'!$A$7:$B$11,2,FALSE)</f>
        <v>Bestanden</v>
      </c>
      <c r="F724">
        <v>3</v>
      </c>
      <c r="G724">
        <v>2</v>
      </c>
    </row>
    <row r="725" spans="1:7" x14ac:dyDescent="0.35">
      <c r="A725">
        <v>728</v>
      </c>
      <c r="B725" t="str">
        <f>VLOOKUP(F725,'Hilfstabelle QP'!$A$2:$B$4,2,FALSE)</f>
        <v>Lastkontrolle</v>
      </c>
      <c r="C725" t="str">
        <f>VLOOKUP(G725,'Hilfstabelle QP'!$A$7:$B$11,2,FALSE)</f>
        <v>Bestanden</v>
      </c>
      <c r="F725">
        <v>3</v>
      </c>
      <c r="G725">
        <v>2</v>
      </c>
    </row>
    <row r="726" spans="1:7" x14ac:dyDescent="0.35">
      <c r="A726">
        <v>729</v>
      </c>
      <c r="B726" t="str">
        <f>VLOOKUP(F726,'Hilfstabelle QP'!$A$2:$B$4,2,FALSE)</f>
        <v>Lastkontrolle</v>
      </c>
      <c r="C726" t="str">
        <f>VLOOKUP(G726,'Hilfstabelle QP'!$A$7:$B$11,2,FALSE)</f>
        <v>Bestanden</v>
      </c>
      <c r="F726">
        <v>3</v>
      </c>
      <c r="G726">
        <v>4</v>
      </c>
    </row>
    <row r="727" spans="1:7" x14ac:dyDescent="0.35">
      <c r="A727">
        <v>730</v>
      </c>
      <c r="B727" t="str">
        <f>VLOOKUP(F727,'Hilfstabelle QP'!$A$2:$B$4,2,FALSE)</f>
        <v>Sichtkontrolle</v>
      </c>
      <c r="C727" t="str">
        <f>VLOOKUP(G727,'Hilfstabelle QP'!$A$7:$B$11,2,FALSE)</f>
        <v>Bestanden</v>
      </c>
      <c r="F727">
        <v>1</v>
      </c>
      <c r="G727">
        <v>1</v>
      </c>
    </row>
    <row r="728" spans="1:7" x14ac:dyDescent="0.35">
      <c r="A728">
        <v>731</v>
      </c>
      <c r="B728" t="str">
        <f>VLOOKUP(F728,'Hilfstabelle QP'!$A$2:$B$4,2,FALSE)</f>
        <v>Druckkontrolle</v>
      </c>
      <c r="C728" t="str">
        <f>VLOOKUP(G728,'Hilfstabelle QP'!$A$7:$B$11,2,FALSE)</f>
        <v>Durchgefallen</v>
      </c>
      <c r="F728">
        <v>2</v>
      </c>
      <c r="G728">
        <v>5</v>
      </c>
    </row>
    <row r="729" spans="1:7" x14ac:dyDescent="0.35">
      <c r="A729">
        <v>732</v>
      </c>
      <c r="B729" t="str">
        <f>VLOOKUP(F729,'Hilfstabelle QP'!$A$2:$B$4,2,FALSE)</f>
        <v>Druckkontrolle</v>
      </c>
      <c r="C729" t="str">
        <f>VLOOKUP(G729,'Hilfstabelle QP'!$A$7:$B$11,2,FALSE)</f>
        <v>Bestanden</v>
      </c>
      <c r="F729">
        <v>2</v>
      </c>
      <c r="G729">
        <v>3</v>
      </c>
    </row>
    <row r="730" spans="1:7" x14ac:dyDescent="0.35">
      <c r="A730">
        <v>733</v>
      </c>
      <c r="B730" t="str">
        <f>VLOOKUP(F730,'Hilfstabelle QP'!$A$2:$B$4,2,FALSE)</f>
        <v>Druckkontrolle</v>
      </c>
      <c r="C730" t="str">
        <f>VLOOKUP(G730,'Hilfstabelle QP'!$A$7:$B$11,2,FALSE)</f>
        <v>Bestanden</v>
      </c>
      <c r="F730">
        <v>2</v>
      </c>
      <c r="G730">
        <v>3</v>
      </c>
    </row>
    <row r="731" spans="1:7" x14ac:dyDescent="0.35">
      <c r="A731">
        <v>734</v>
      </c>
      <c r="B731" t="str">
        <f>VLOOKUP(F731,'Hilfstabelle QP'!$A$2:$B$4,2,FALSE)</f>
        <v>Sichtkontrolle</v>
      </c>
      <c r="C731" t="str">
        <f>VLOOKUP(G731,'Hilfstabelle QP'!$A$7:$B$11,2,FALSE)</f>
        <v>Bestanden</v>
      </c>
      <c r="F731">
        <v>1</v>
      </c>
      <c r="G731">
        <v>1</v>
      </c>
    </row>
    <row r="732" spans="1:7" x14ac:dyDescent="0.35">
      <c r="A732">
        <v>735</v>
      </c>
      <c r="B732" t="str">
        <f>VLOOKUP(F732,'Hilfstabelle QP'!$A$2:$B$4,2,FALSE)</f>
        <v>Lastkontrolle</v>
      </c>
      <c r="C732" t="str">
        <f>VLOOKUP(G732,'Hilfstabelle QP'!$A$7:$B$11,2,FALSE)</f>
        <v>Bestanden</v>
      </c>
      <c r="F732">
        <v>3</v>
      </c>
      <c r="G732">
        <v>2</v>
      </c>
    </row>
    <row r="733" spans="1:7" x14ac:dyDescent="0.35">
      <c r="A733">
        <v>736</v>
      </c>
      <c r="B733" t="str">
        <f>VLOOKUP(F733,'Hilfstabelle QP'!$A$2:$B$4,2,FALSE)</f>
        <v>Sichtkontrolle</v>
      </c>
      <c r="C733" t="str">
        <f>VLOOKUP(G733,'Hilfstabelle QP'!$A$7:$B$11,2,FALSE)</f>
        <v>Bestanden</v>
      </c>
      <c r="F733">
        <v>1</v>
      </c>
      <c r="G733">
        <v>3</v>
      </c>
    </row>
    <row r="734" spans="1:7" x14ac:dyDescent="0.35">
      <c r="A734">
        <v>737</v>
      </c>
      <c r="B734" t="str">
        <f>VLOOKUP(F734,'Hilfstabelle QP'!$A$2:$B$4,2,FALSE)</f>
        <v>Lastkontrolle</v>
      </c>
      <c r="C734" t="str">
        <f>VLOOKUP(G734,'Hilfstabelle QP'!$A$7:$B$11,2,FALSE)</f>
        <v>Durchgefallen</v>
      </c>
      <c r="F734">
        <v>3</v>
      </c>
      <c r="G734">
        <v>5</v>
      </c>
    </row>
    <row r="735" spans="1:7" x14ac:dyDescent="0.35">
      <c r="A735">
        <v>738</v>
      </c>
      <c r="B735" t="str">
        <f>VLOOKUP(F735,'Hilfstabelle QP'!$A$2:$B$4,2,FALSE)</f>
        <v>Lastkontrolle</v>
      </c>
      <c r="C735" t="str">
        <f>VLOOKUP(G735,'Hilfstabelle QP'!$A$7:$B$11,2,FALSE)</f>
        <v>Bestanden</v>
      </c>
      <c r="F735">
        <v>3</v>
      </c>
      <c r="G735">
        <v>2</v>
      </c>
    </row>
    <row r="736" spans="1:7" x14ac:dyDescent="0.35">
      <c r="A736">
        <v>739</v>
      </c>
      <c r="B736" t="str">
        <f>VLOOKUP(F736,'Hilfstabelle QP'!$A$2:$B$4,2,FALSE)</f>
        <v>Druckkontrolle</v>
      </c>
      <c r="C736" t="str">
        <f>VLOOKUP(G736,'Hilfstabelle QP'!$A$7:$B$11,2,FALSE)</f>
        <v>Bestanden</v>
      </c>
      <c r="F736">
        <v>2</v>
      </c>
      <c r="G736">
        <v>2</v>
      </c>
    </row>
    <row r="737" spans="1:7" x14ac:dyDescent="0.35">
      <c r="A737">
        <v>740</v>
      </c>
      <c r="B737" t="str">
        <f>VLOOKUP(F737,'Hilfstabelle QP'!$A$2:$B$4,2,FALSE)</f>
        <v>Druckkontrolle</v>
      </c>
      <c r="C737" t="str">
        <f>VLOOKUP(G737,'Hilfstabelle QP'!$A$7:$B$11,2,FALSE)</f>
        <v>Durchgefallen</v>
      </c>
      <c r="F737">
        <v>2</v>
      </c>
      <c r="G737">
        <v>5</v>
      </c>
    </row>
    <row r="738" spans="1:7" x14ac:dyDescent="0.35">
      <c r="A738">
        <v>741</v>
      </c>
      <c r="B738" t="str">
        <f>VLOOKUP(F738,'Hilfstabelle QP'!$A$2:$B$4,2,FALSE)</f>
        <v>Sichtkontrolle</v>
      </c>
      <c r="C738" t="str">
        <f>VLOOKUP(G738,'Hilfstabelle QP'!$A$7:$B$11,2,FALSE)</f>
        <v>Durchgefallen</v>
      </c>
      <c r="F738">
        <v>1</v>
      </c>
      <c r="G738">
        <v>5</v>
      </c>
    </row>
    <row r="739" spans="1:7" x14ac:dyDescent="0.35">
      <c r="A739">
        <v>742</v>
      </c>
      <c r="B739" t="str">
        <f>VLOOKUP(F739,'Hilfstabelle QP'!$A$2:$B$4,2,FALSE)</f>
        <v>Sichtkontrolle</v>
      </c>
      <c r="C739" t="str">
        <f>VLOOKUP(G739,'Hilfstabelle QP'!$A$7:$B$11,2,FALSE)</f>
        <v>Bestanden</v>
      </c>
      <c r="F739">
        <v>1</v>
      </c>
      <c r="G739">
        <v>1</v>
      </c>
    </row>
    <row r="740" spans="1:7" x14ac:dyDescent="0.35">
      <c r="A740">
        <v>743</v>
      </c>
      <c r="B740" t="str">
        <f>VLOOKUP(F740,'Hilfstabelle QP'!$A$2:$B$4,2,FALSE)</f>
        <v>Lastkontrolle</v>
      </c>
      <c r="C740" t="str">
        <f>VLOOKUP(G740,'Hilfstabelle QP'!$A$7:$B$11,2,FALSE)</f>
        <v>Bestanden</v>
      </c>
      <c r="F740">
        <v>3</v>
      </c>
      <c r="G740">
        <v>1</v>
      </c>
    </row>
    <row r="741" spans="1:7" x14ac:dyDescent="0.35">
      <c r="A741">
        <v>744</v>
      </c>
      <c r="B741" t="str">
        <f>VLOOKUP(F741,'Hilfstabelle QP'!$A$2:$B$4,2,FALSE)</f>
        <v>Sichtkontrolle</v>
      </c>
      <c r="C741" t="str">
        <f>VLOOKUP(G741,'Hilfstabelle QP'!$A$7:$B$11,2,FALSE)</f>
        <v>Bestanden</v>
      </c>
      <c r="F741">
        <v>1</v>
      </c>
      <c r="G741">
        <v>4</v>
      </c>
    </row>
    <row r="742" spans="1:7" x14ac:dyDescent="0.35">
      <c r="A742">
        <v>745</v>
      </c>
      <c r="B742" t="str">
        <f>VLOOKUP(F742,'Hilfstabelle QP'!$A$2:$B$4,2,FALSE)</f>
        <v>Sichtkontrolle</v>
      </c>
      <c r="C742" t="str">
        <f>VLOOKUP(G742,'Hilfstabelle QP'!$A$7:$B$11,2,FALSE)</f>
        <v>Bestanden</v>
      </c>
      <c r="F742">
        <v>1</v>
      </c>
      <c r="G742">
        <v>4</v>
      </c>
    </row>
    <row r="743" spans="1:7" x14ac:dyDescent="0.35">
      <c r="A743">
        <v>746</v>
      </c>
      <c r="B743" t="str">
        <f>VLOOKUP(F743,'Hilfstabelle QP'!$A$2:$B$4,2,FALSE)</f>
        <v>Sichtkontrolle</v>
      </c>
      <c r="C743" t="str">
        <f>VLOOKUP(G743,'Hilfstabelle QP'!$A$7:$B$11,2,FALSE)</f>
        <v>Durchgefallen</v>
      </c>
      <c r="F743">
        <v>1</v>
      </c>
      <c r="G743">
        <v>5</v>
      </c>
    </row>
    <row r="744" spans="1:7" x14ac:dyDescent="0.35">
      <c r="A744">
        <v>747</v>
      </c>
      <c r="B744" t="str">
        <f>VLOOKUP(F744,'Hilfstabelle QP'!$A$2:$B$4,2,FALSE)</f>
        <v>Druckkontrolle</v>
      </c>
      <c r="C744" t="str">
        <f>VLOOKUP(G744,'Hilfstabelle QP'!$A$7:$B$11,2,FALSE)</f>
        <v>Bestanden</v>
      </c>
      <c r="F744">
        <v>2</v>
      </c>
      <c r="G744">
        <v>4</v>
      </c>
    </row>
    <row r="745" spans="1:7" x14ac:dyDescent="0.35">
      <c r="A745">
        <v>748</v>
      </c>
      <c r="B745" t="str">
        <f>VLOOKUP(F745,'Hilfstabelle QP'!$A$2:$B$4,2,FALSE)</f>
        <v>Sichtkontrolle</v>
      </c>
      <c r="C745" t="str">
        <f>VLOOKUP(G745,'Hilfstabelle QP'!$A$7:$B$11,2,FALSE)</f>
        <v>Bestanden</v>
      </c>
      <c r="F745">
        <v>1</v>
      </c>
      <c r="G745">
        <v>1</v>
      </c>
    </row>
    <row r="746" spans="1:7" x14ac:dyDescent="0.35">
      <c r="A746">
        <v>749</v>
      </c>
      <c r="B746" t="str">
        <f>VLOOKUP(F746,'Hilfstabelle QP'!$A$2:$B$4,2,FALSE)</f>
        <v>Sichtkontrolle</v>
      </c>
      <c r="C746" t="str">
        <f>VLOOKUP(G746,'Hilfstabelle QP'!$A$7:$B$11,2,FALSE)</f>
        <v>Bestanden</v>
      </c>
      <c r="F746">
        <v>1</v>
      </c>
      <c r="G746">
        <v>2</v>
      </c>
    </row>
    <row r="747" spans="1:7" x14ac:dyDescent="0.35">
      <c r="A747">
        <v>750</v>
      </c>
      <c r="B747" t="str">
        <f>VLOOKUP(F747,'Hilfstabelle QP'!$A$2:$B$4,2,FALSE)</f>
        <v>Lastkontrolle</v>
      </c>
      <c r="C747" t="str">
        <f>VLOOKUP(G747,'Hilfstabelle QP'!$A$7:$B$11,2,FALSE)</f>
        <v>Bestanden</v>
      </c>
      <c r="F747">
        <v>3</v>
      </c>
      <c r="G747">
        <v>3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07FAF-F6AB-4D7E-802F-22C1E3CCE9B0}">
  <sheetPr codeName="Tabelle12"/>
  <dimension ref="A1:B11"/>
  <sheetViews>
    <sheetView workbookViewId="0">
      <selection activeCell="A12" sqref="A12"/>
    </sheetView>
  </sheetViews>
  <sheetFormatPr baseColWidth="10" defaultRowHeight="14.5" x14ac:dyDescent="0.35"/>
  <cols>
    <col min="2" max="2" width="13.08984375" bestFit="1" customWidth="1"/>
  </cols>
  <sheetData>
    <row r="1" spans="1:2" x14ac:dyDescent="0.35">
      <c r="B1" t="s">
        <v>71</v>
      </c>
    </row>
    <row r="2" spans="1:2" x14ac:dyDescent="0.35">
      <c r="A2">
        <v>1</v>
      </c>
      <c r="B2" t="s">
        <v>73</v>
      </c>
    </row>
    <row r="3" spans="1:2" x14ac:dyDescent="0.35">
      <c r="A3">
        <v>2</v>
      </c>
      <c r="B3" t="s">
        <v>72</v>
      </c>
    </row>
    <row r="4" spans="1:2" x14ac:dyDescent="0.35">
      <c r="A4">
        <v>3</v>
      </c>
      <c r="B4" t="s">
        <v>74</v>
      </c>
    </row>
    <row r="6" spans="1:2" x14ac:dyDescent="0.35">
      <c r="B6" t="s">
        <v>33</v>
      </c>
    </row>
    <row r="7" spans="1:2" x14ac:dyDescent="0.35">
      <c r="A7">
        <v>1</v>
      </c>
      <c r="B7" t="s">
        <v>75</v>
      </c>
    </row>
    <row r="8" spans="1:2" x14ac:dyDescent="0.35">
      <c r="A8">
        <v>2</v>
      </c>
      <c r="B8" t="s">
        <v>75</v>
      </c>
    </row>
    <row r="9" spans="1:2" x14ac:dyDescent="0.35">
      <c r="A9">
        <v>3</v>
      </c>
      <c r="B9" t="s">
        <v>75</v>
      </c>
    </row>
    <row r="10" spans="1:2" x14ac:dyDescent="0.35">
      <c r="A10">
        <v>4</v>
      </c>
      <c r="B10" t="s">
        <v>75</v>
      </c>
    </row>
    <row r="11" spans="1:2" x14ac:dyDescent="0.35">
      <c r="A11">
        <v>5</v>
      </c>
      <c r="B11" t="s">
        <v>76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C2FAE-A6DC-447A-8A6C-00BC2D442767}">
  <sheetPr codeName="Tabelle10"/>
  <dimension ref="A1:O150"/>
  <sheetViews>
    <sheetView tabSelected="1" topLeftCell="B1" workbookViewId="0">
      <selection activeCell="M38" sqref="M38"/>
    </sheetView>
  </sheetViews>
  <sheetFormatPr baseColWidth="10" defaultRowHeight="14.5" x14ac:dyDescent="0.35"/>
  <cols>
    <col min="3" max="3" width="14.54296875" bestFit="1" customWidth="1"/>
    <col min="4" max="4" width="14.54296875" customWidth="1"/>
    <col min="11" max="11" width="16.54296875" bestFit="1" customWidth="1"/>
    <col min="13" max="13" width="18.1796875" bestFit="1" customWidth="1"/>
    <col min="14" max="14" width="16" style="3" bestFit="1" customWidth="1"/>
  </cols>
  <sheetData>
    <row r="1" spans="1:15" x14ac:dyDescent="0.35">
      <c r="A1" t="s">
        <v>61</v>
      </c>
      <c r="B1" t="s">
        <v>35</v>
      </c>
      <c r="C1" t="s">
        <v>59</v>
      </c>
      <c r="D1" t="s">
        <v>66</v>
      </c>
      <c r="E1" t="s">
        <v>30</v>
      </c>
      <c r="F1" t="s">
        <v>60</v>
      </c>
      <c r="K1" t="s">
        <v>62</v>
      </c>
      <c r="L1" t="s">
        <v>63</v>
      </c>
      <c r="M1" t="s">
        <v>64</v>
      </c>
      <c r="N1" s="3" t="s">
        <v>65</v>
      </c>
      <c r="O1" t="s">
        <v>67</v>
      </c>
    </row>
    <row r="2" spans="1:15" x14ac:dyDescent="0.35">
      <c r="A2">
        <v>20</v>
      </c>
      <c r="B2">
        <v>4</v>
      </c>
      <c r="C2" t="str">
        <f>VLOOKUP(L2,'Hilfstabelle Mashinen'!$A$1:$B$3,2,FALSE)</f>
        <v>Ausfall</v>
      </c>
      <c r="D2" s="2">
        <v>44717</v>
      </c>
      <c r="E2" s="3">
        <v>7.2164351851851841E-2</v>
      </c>
      <c r="F2" s="3">
        <f t="shared" ref="F2:F33" si="0">E2+N2</f>
        <v>0.10756944444444444</v>
      </c>
      <c r="K2">
        <v>6</v>
      </c>
      <c r="L2">
        <v>3</v>
      </c>
      <c r="M2" s="3">
        <v>0.32839120370370373</v>
      </c>
      <c r="N2" s="3">
        <v>3.5405092592592592E-2</v>
      </c>
      <c r="O2" s="2">
        <v>44912</v>
      </c>
    </row>
    <row r="3" spans="1:15" x14ac:dyDescent="0.35">
      <c r="A3">
        <v>21</v>
      </c>
      <c r="B3">
        <v>10</v>
      </c>
      <c r="C3" t="str">
        <f>VLOOKUP(L3,'Hilfstabelle Mashinen'!$A$1:$B$3,2,FALSE)</f>
        <v>Wartung</v>
      </c>
      <c r="D3" s="2">
        <v>44717</v>
      </c>
      <c r="E3" s="3">
        <v>0.77354166666666668</v>
      </c>
      <c r="F3" s="3">
        <f t="shared" si="0"/>
        <v>0.86640046296296302</v>
      </c>
      <c r="K3">
        <v>8</v>
      </c>
      <c r="L3">
        <v>1</v>
      </c>
      <c r="M3" s="3">
        <v>0.60571759259259261</v>
      </c>
      <c r="N3" s="3">
        <v>9.28587962962963E-2</v>
      </c>
      <c r="O3" s="2">
        <v>44741</v>
      </c>
    </row>
    <row r="4" spans="1:15" x14ac:dyDescent="0.35">
      <c r="A4">
        <v>123</v>
      </c>
      <c r="B4">
        <v>11</v>
      </c>
      <c r="C4" t="str">
        <f>VLOOKUP(L4,'Hilfstabelle Mashinen'!$A$1:$B$3,2,FALSE)</f>
        <v>Ausfall</v>
      </c>
      <c r="D4" s="2">
        <v>44717</v>
      </c>
      <c r="E4" s="3">
        <v>0.47758101851851853</v>
      </c>
      <c r="F4" s="3">
        <f t="shared" si="0"/>
        <v>0.55380787037037038</v>
      </c>
      <c r="K4">
        <v>3</v>
      </c>
      <c r="L4">
        <v>2</v>
      </c>
      <c r="M4" s="3">
        <v>0.27049768518518519</v>
      </c>
      <c r="N4" s="3">
        <v>7.6226851851851851E-2</v>
      </c>
      <c r="O4" s="2">
        <v>44722</v>
      </c>
    </row>
    <row r="5" spans="1:15" x14ac:dyDescent="0.35">
      <c r="A5">
        <v>93</v>
      </c>
      <c r="B5">
        <v>11</v>
      </c>
      <c r="C5" t="str">
        <f>VLOOKUP(L5,'Hilfstabelle Mashinen'!$A$1:$B$3,2,FALSE)</f>
        <v>Ausfall</v>
      </c>
      <c r="D5" s="2">
        <v>44718</v>
      </c>
      <c r="E5" s="3">
        <v>0.89520833333333327</v>
      </c>
      <c r="F5" s="3">
        <f t="shared" si="0"/>
        <v>0.96876157407407404</v>
      </c>
      <c r="K5">
        <v>1</v>
      </c>
      <c r="L5">
        <v>3</v>
      </c>
      <c r="M5" s="3">
        <v>0.48226851851851849</v>
      </c>
      <c r="N5" s="3">
        <v>7.3553240740740738E-2</v>
      </c>
      <c r="O5" s="2">
        <v>45042</v>
      </c>
    </row>
    <row r="6" spans="1:15" x14ac:dyDescent="0.35">
      <c r="A6">
        <v>133</v>
      </c>
      <c r="B6">
        <v>13</v>
      </c>
      <c r="C6" t="str">
        <f>VLOOKUP(L6,'Hilfstabelle Mashinen'!$A$1:$B$3,2,FALSE)</f>
        <v>Ausfall</v>
      </c>
      <c r="D6" s="2">
        <v>44718</v>
      </c>
      <c r="E6" s="3">
        <v>0.71846064814814825</v>
      </c>
      <c r="F6" s="3">
        <f t="shared" si="0"/>
        <v>0.82252314814814831</v>
      </c>
      <c r="K6">
        <v>8</v>
      </c>
      <c r="L6">
        <v>3</v>
      </c>
      <c r="M6" s="3">
        <v>0.49822916666666667</v>
      </c>
      <c r="N6" s="3">
        <v>0.1040625</v>
      </c>
      <c r="O6" s="2">
        <v>45040</v>
      </c>
    </row>
    <row r="7" spans="1:15" x14ac:dyDescent="0.35">
      <c r="A7">
        <v>115</v>
      </c>
      <c r="B7">
        <v>10</v>
      </c>
      <c r="C7" t="str">
        <f>VLOOKUP(L7,'Hilfstabelle Mashinen'!$A$1:$B$3,2,FALSE)</f>
        <v>Ausfall</v>
      </c>
      <c r="D7" s="2">
        <v>44719</v>
      </c>
      <c r="E7" s="3">
        <v>0.61556712962962956</v>
      </c>
      <c r="F7" s="3">
        <f t="shared" si="0"/>
        <v>0.67594907407407401</v>
      </c>
      <c r="K7">
        <v>3</v>
      </c>
      <c r="L7">
        <v>2</v>
      </c>
      <c r="M7" s="3">
        <v>0.36506944444444445</v>
      </c>
      <c r="N7" s="3">
        <v>6.0381944444444446E-2</v>
      </c>
      <c r="O7" s="2">
        <v>44886</v>
      </c>
    </row>
    <row r="8" spans="1:15" x14ac:dyDescent="0.35">
      <c r="A8">
        <v>3</v>
      </c>
      <c r="B8">
        <v>3</v>
      </c>
      <c r="C8" t="str">
        <f>VLOOKUP(L8,'Hilfstabelle Mashinen'!$A$1:$B$3,2,FALSE)</f>
        <v>Wartung</v>
      </c>
      <c r="D8" s="2">
        <v>44722</v>
      </c>
      <c r="E8" s="3">
        <v>0.27049768518518519</v>
      </c>
      <c r="F8" s="3">
        <f t="shared" si="0"/>
        <v>0.38487268518518519</v>
      </c>
      <c r="K8">
        <v>9</v>
      </c>
      <c r="L8">
        <v>1</v>
      </c>
      <c r="M8" s="3">
        <v>0.22901620370370371</v>
      </c>
      <c r="N8" s="3">
        <v>0.114375</v>
      </c>
      <c r="O8" s="2">
        <v>45007</v>
      </c>
    </row>
    <row r="9" spans="1:15" x14ac:dyDescent="0.35">
      <c r="A9">
        <v>97</v>
      </c>
      <c r="B9">
        <v>6</v>
      </c>
      <c r="C9" t="str">
        <f>VLOOKUP(L9,'Hilfstabelle Mashinen'!$A$1:$B$3,2,FALSE)</f>
        <v>Ausfall</v>
      </c>
      <c r="D9" s="2">
        <v>44724</v>
      </c>
      <c r="E9" s="3">
        <v>0.72394675925925922</v>
      </c>
      <c r="F9" s="3">
        <f t="shared" si="0"/>
        <v>0.82877314814814806</v>
      </c>
      <c r="K9">
        <v>10</v>
      </c>
      <c r="L9">
        <v>2</v>
      </c>
      <c r="M9" s="3">
        <v>0.24940972222222224</v>
      </c>
      <c r="N9" s="3">
        <v>0.10482638888888889</v>
      </c>
      <c r="O9" s="2">
        <v>45066</v>
      </c>
    </row>
    <row r="10" spans="1:15" x14ac:dyDescent="0.35">
      <c r="A10">
        <v>83</v>
      </c>
      <c r="B10">
        <v>11</v>
      </c>
      <c r="C10" t="str">
        <f>VLOOKUP(L10,'Hilfstabelle Mashinen'!$A$1:$B$3,2,FALSE)</f>
        <v>Ausfall</v>
      </c>
      <c r="D10" s="2">
        <v>44725</v>
      </c>
      <c r="E10" s="3">
        <v>0.24318287037037037</v>
      </c>
      <c r="F10" s="3">
        <f t="shared" si="0"/>
        <v>0.25322916666666667</v>
      </c>
      <c r="K10">
        <v>14</v>
      </c>
      <c r="L10">
        <v>2</v>
      </c>
      <c r="M10" s="3">
        <v>0.23731481481481484</v>
      </c>
      <c r="N10" s="3">
        <v>1.0046296296296296E-2</v>
      </c>
      <c r="O10" s="2">
        <v>45040</v>
      </c>
    </row>
    <row r="11" spans="1:15" x14ac:dyDescent="0.35">
      <c r="A11">
        <v>126</v>
      </c>
      <c r="B11">
        <v>2</v>
      </c>
      <c r="C11" t="str">
        <f>VLOOKUP(L11,'Hilfstabelle Mashinen'!$A$1:$B$3,2,FALSE)</f>
        <v>Ausfall</v>
      </c>
      <c r="D11" s="2">
        <v>44728</v>
      </c>
      <c r="E11" s="3">
        <v>8.1759259259259254E-2</v>
      </c>
      <c r="F11" s="3">
        <f t="shared" si="0"/>
        <v>0.19828703703703704</v>
      </c>
      <c r="K11">
        <v>6</v>
      </c>
      <c r="L11">
        <v>3</v>
      </c>
      <c r="M11" s="3">
        <v>0.69783564814814814</v>
      </c>
      <c r="N11" s="3">
        <v>0.11652777777777779</v>
      </c>
      <c r="O11" s="2">
        <v>44835</v>
      </c>
    </row>
    <row r="12" spans="1:15" x14ac:dyDescent="0.35">
      <c r="A12">
        <v>121</v>
      </c>
      <c r="B12">
        <v>3</v>
      </c>
      <c r="C12" t="str">
        <f>VLOOKUP(L12,'Hilfstabelle Mashinen'!$A$1:$B$3,2,FALSE)</f>
        <v>Ausfall</v>
      </c>
      <c r="D12" s="2">
        <v>44729</v>
      </c>
      <c r="E12" s="3">
        <v>0.32275462962962964</v>
      </c>
      <c r="F12" s="3">
        <f t="shared" si="0"/>
        <v>0.42821759259259262</v>
      </c>
      <c r="K12">
        <v>3</v>
      </c>
      <c r="L12">
        <v>3</v>
      </c>
      <c r="M12" s="3">
        <v>0.92793981481481491</v>
      </c>
      <c r="N12" s="3">
        <v>0.10546296296296297</v>
      </c>
      <c r="O12" s="2">
        <v>44843</v>
      </c>
    </row>
    <row r="13" spans="1:15" x14ac:dyDescent="0.35">
      <c r="A13">
        <v>55</v>
      </c>
      <c r="B13">
        <v>6</v>
      </c>
      <c r="C13" t="str">
        <f>VLOOKUP(L13,'Hilfstabelle Mashinen'!$A$1:$B$3,2,FALSE)</f>
        <v>Wartung</v>
      </c>
      <c r="D13" s="2">
        <v>44730</v>
      </c>
      <c r="E13" s="3">
        <v>2.706018518518527E-2</v>
      </c>
      <c r="F13" s="3">
        <f t="shared" si="0"/>
        <v>4.3668981481481572E-2</v>
      </c>
      <c r="K13">
        <v>3</v>
      </c>
      <c r="L13">
        <v>1</v>
      </c>
      <c r="M13" s="3">
        <v>7.0856481481481479E-2</v>
      </c>
      <c r="N13" s="3">
        <v>1.6608796296296299E-2</v>
      </c>
      <c r="O13" s="2">
        <v>44893</v>
      </c>
    </row>
    <row r="14" spans="1:15" x14ac:dyDescent="0.35">
      <c r="A14">
        <v>120</v>
      </c>
      <c r="B14">
        <v>9</v>
      </c>
      <c r="C14" t="str">
        <f>VLOOKUP(L14,'Hilfstabelle Mashinen'!$A$1:$B$3,2,FALSE)</f>
        <v>Ausfall</v>
      </c>
      <c r="D14" s="2">
        <v>44739</v>
      </c>
      <c r="E14" s="3">
        <v>4.3287037037037035E-3</v>
      </c>
      <c r="F14" s="3">
        <f t="shared" si="0"/>
        <v>7.8379629629629632E-2</v>
      </c>
      <c r="K14">
        <v>5</v>
      </c>
      <c r="L14">
        <v>2</v>
      </c>
      <c r="M14" s="3">
        <v>0.87553240740740745</v>
      </c>
      <c r="N14" s="3">
        <v>7.4050925925925923E-2</v>
      </c>
      <c r="O14" s="2">
        <v>44939</v>
      </c>
    </row>
    <row r="15" spans="1:15" x14ac:dyDescent="0.35">
      <c r="A15">
        <v>2</v>
      </c>
      <c r="B15">
        <v>8</v>
      </c>
      <c r="C15" t="str">
        <f>VLOOKUP(L15,'Hilfstabelle Mashinen'!$A$1:$B$3,2,FALSE)</f>
        <v>Wartung</v>
      </c>
      <c r="D15" s="2">
        <v>44741</v>
      </c>
      <c r="E15" s="3">
        <v>0.60571759259259261</v>
      </c>
      <c r="F15" s="3">
        <f t="shared" si="0"/>
        <v>0.70006944444444441</v>
      </c>
      <c r="K15">
        <v>4</v>
      </c>
      <c r="L15">
        <v>1</v>
      </c>
      <c r="M15" s="3">
        <v>0.84350694444444452</v>
      </c>
      <c r="N15" s="3">
        <v>9.4351851851851853E-2</v>
      </c>
      <c r="O15" s="2">
        <v>44977</v>
      </c>
    </row>
    <row r="16" spans="1:15" x14ac:dyDescent="0.35">
      <c r="A16">
        <v>50</v>
      </c>
      <c r="B16">
        <v>13</v>
      </c>
      <c r="C16" t="str">
        <f>VLOOKUP(L16,'Hilfstabelle Mashinen'!$A$1:$B$3,2,FALSE)</f>
        <v>Wartung</v>
      </c>
      <c r="D16" s="2">
        <v>44743</v>
      </c>
      <c r="E16" s="3">
        <v>0.26333333333333336</v>
      </c>
      <c r="F16" s="3">
        <f t="shared" si="0"/>
        <v>0.30100694444444448</v>
      </c>
      <c r="K16">
        <v>12</v>
      </c>
      <c r="L16">
        <v>1</v>
      </c>
      <c r="M16" s="3">
        <v>0.24878472222222223</v>
      </c>
      <c r="N16" s="3">
        <v>3.7673611111111109E-2</v>
      </c>
      <c r="O16" s="2">
        <v>45036</v>
      </c>
    </row>
    <row r="17" spans="1:15" x14ac:dyDescent="0.35">
      <c r="A17">
        <v>54</v>
      </c>
      <c r="B17">
        <v>3</v>
      </c>
      <c r="C17" t="str">
        <f>VLOOKUP(L17,'Hilfstabelle Mashinen'!$A$1:$B$3,2,FALSE)</f>
        <v>Wartung</v>
      </c>
      <c r="D17" s="2">
        <v>44743</v>
      </c>
      <c r="E17" s="3">
        <v>4.1666666666666519E-3</v>
      </c>
      <c r="F17" s="3">
        <f t="shared" si="0"/>
        <v>8.7511574074074061E-2</v>
      </c>
      <c r="K17">
        <v>13</v>
      </c>
      <c r="L17">
        <v>1</v>
      </c>
      <c r="M17" s="3">
        <v>0.82186342592592598</v>
      </c>
      <c r="N17" s="3">
        <v>8.3344907407407409E-2</v>
      </c>
      <c r="O17" s="2">
        <v>44939</v>
      </c>
    </row>
    <row r="18" spans="1:15" x14ac:dyDescent="0.35">
      <c r="A18">
        <v>68</v>
      </c>
      <c r="B18">
        <v>9</v>
      </c>
      <c r="C18" t="str">
        <f>VLOOKUP(L18,'Hilfstabelle Mashinen'!$A$1:$B$3,2,FALSE)</f>
        <v>Ausfall</v>
      </c>
      <c r="D18" s="2">
        <v>44743</v>
      </c>
      <c r="E18" s="3">
        <v>0.39429398148148148</v>
      </c>
      <c r="F18" s="3">
        <f t="shared" si="0"/>
        <v>0.41738425925925926</v>
      </c>
      <c r="K18">
        <v>3</v>
      </c>
      <c r="L18">
        <v>3</v>
      </c>
      <c r="M18" s="3">
        <v>0.53206018518518516</v>
      </c>
      <c r="N18" s="3">
        <v>2.3090277777777779E-2</v>
      </c>
      <c r="O18" s="2">
        <v>44931</v>
      </c>
    </row>
    <row r="19" spans="1:15" x14ac:dyDescent="0.35">
      <c r="A19">
        <v>36</v>
      </c>
      <c r="B19">
        <v>1</v>
      </c>
      <c r="C19" t="str">
        <f>VLOOKUP(L19,'Hilfstabelle Mashinen'!$A$1:$B$3,2,FALSE)</f>
        <v>Ausfall</v>
      </c>
      <c r="D19" s="2">
        <v>44747</v>
      </c>
      <c r="E19" s="3">
        <v>0.45581018518518518</v>
      </c>
      <c r="F19" s="3">
        <f t="shared" si="0"/>
        <v>0.5346643518518519</v>
      </c>
      <c r="K19">
        <v>10</v>
      </c>
      <c r="L19">
        <v>3</v>
      </c>
      <c r="M19" s="3">
        <v>0.87543981481481481</v>
      </c>
      <c r="N19" s="3">
        <v>7.885416666666667E-2</v>
      </c>
      <c r="O19" s="2">
        <v>45048</v>
      </c>
    </row>
    <row r="20" spans="1:15" x14ac:dyDescent="0.35">
      <c r="A20">
        <v>24</v>
      </c>
      <c r="B20">
        <v>4</v>
      </c>
      <c r="C20" t="str">
        <f>VLOOKUP(L20,'Hilfstabelle Mashinen'!$A$1:$B$3,2,FALSE)</f>
        <v>Ausfall</v>
      </c>
      <c r="D20" s="2">
        <v>44748</v>
      </c>
      <c r="E20" s="3">
        <v>0.63718750000000002</v>
      </c>
      <c r="F20" s="3">
        <f t="shared" si="0"/>
        <v>0.76503472222222224</v>
      </c>
      <c r="K20">
        <v>9</v>
      </c>
      <c r="L20">
        <v>2</v>
      </c>
      <c r="M20" s="3">
        <v>0.66563657407407406</v>
      </c>
      <c r="N20" s="3">
        <v>0.12784722222222222</v>
      </c>
      <c r="O20" s="2">
        <v>44852</v>
      </c>
    </row>
    <row r="21" spans="1:15" x14ac:dyDescent="0.35">
      <c r="A21">
        <v>63</v>
      </c>
      <c r="B21">
        <v>14</v>
      </c>
      <c r="C21" t="str">
        <f>VLOOKUP(L21,'Hilfstabelle Mashinen'!$A$1:$B$3,2,FALSE)</f>
        <v>Ausfall</v>
      </c>
      <c r="D21" s="2">
        <v>44754</v>
      </c>
      <c r="E21" s="3">
        <v>0.81319444444444444</v>
      </c>
      <c r="F21" s="3">
        <f t="shared" si="0"/>
        <v>0.84199074074074076</v>
      </c>
      <c r="K21">
        <v>4</v>
      </c>
      <c r="L21">
        <v>3</v>
      </c>
      <c r="M21" s="3">
        <v>7.2164351851851841E-2</v>
      </c>
      <c r="N21" s="3">
        <v>2.8796296296296296E-2</v>
      </c>
      <c r="O21" s="2">
        <v>44717</v>
      </c>
    </row>
    <row r="22" spans="1:15" x14ac:dyDescent="0.35">
      <c r="A22">
        <v>139</v>
      </c>
      <c r="B22">
        <v>5</v>
      </c>
      <c r="C22" t="str">
        <f>VLOOKUP(L22,'Hilfstabelle Mashinen'!$A$1:$B$3,2,FALSE)</f>
        <v>Ausfall</v>
      </c>
      <c r="D22" s="2">
        <v>44755</v>
      </c>
      <c r="E22" s="3">
        <v>0.67039351851851858</v>
      </c>
      <c r="F22" s="3">
        <f t="shared" si="0"/>
        <v>0.83739583333333345</v>
      </c>
      <c r="K22">
        <v>10</v>
      </c>
      <c r="L22">
        <v>2</v>
      </c>
      <c r="M22" s="3">
        <v>0.77354166666666668</v>
      </c>
      <c r="N22" s="3">
        <v>0.16700231481481484</v>
      </c>
      <c r="O22" s="2">
        <v>44717</v>
      </c>
    </row>
    <row r="23" spans="1:15" x14ac:dyDescent="0.35">
      <c r="A23">
        <v>142</v>
      </c>
      <c r="B23">
        <v>5</v>
      </c>
      <c r="C23" t="str">
        <f>VLOOKUP(L23,'Hilfstabelle Mashinen'!$A$1:$B$3,2,FALSE)</f>
        <v>Wartung</v>
      </c>
      <c r="D23" s="2">
        <v>44759</v>
      </c>
      <c r="E23" s="3">
        <v>0.21228009259259259</v>
      </c>
      <c r="F23" s="3">
        <f t="shared" si="0"/>
        <v>0.29053240740740738</v>
      </c>
      <c r="K23">
        <v>14</v>
      </c>
      <c r="L23">
        <v>1</v>
      </c>
      <c r="M23" s="3">
        <v>0.42956018518518518</v>
      </c>
      <c r="N23" s="3">
        <v>7.8252314814814816E-2</v>
      </c>
      <c r="O23" s="2">
        <v>44881</v>
      </c>
    </row>
    <row r="24" spans="1:15" x14ac:dyDescent="0.35">
      <c r="A24">
        <v>135</v>
      </c>
      <c r="B24">
        <v>1</v>
      </c>
      <c r="C24" t="str">
        <f>VLOOKUP(L24,'Hilfstabelle Mashinen'!$A$1:$B$3,2,FALSE)</f>
        <v>Ausfall</v>
      </c>
      <c r="D24" s="2">
        <v>44761</v>
      </c>
      <c r="E24" s="3">
        <v>4.1215277777777774E-2</v>
      </c>
      <c r="F24" s="3">
        <f t="shared" si="0"/>
        <v>0.14762731481481481</v>
      </c>
      <c r="K24">
        <v>14</v>
      </c>
      <c r="L24">
        <v>3</v>
      </c>
      <c r="M24" s="3">
        <v>0.71423611111111107</v>
      </c>
      <c r="N24" s="3">
        <v>0.10641203703703704</v>
      </c>
      <c r="O24" s="2">
        <v>45019</v>
      </c>
    </row>
    <row r="25" spans="1:15" x14ac:dyDescent="0.35">
      <c r="A25">
        <v>82</v>
      </c>
      <c r="B25">
        <v>14</v>
      </c>
      <c r="C25" t="str">
        <f>VLOOKUP(L25,'Hilfstabelle Mashinen'!$A$1:$B$3,2,FALSE)</f>
        <v>Wartung</v>
      </c>
      <c r="D25" s="2">
        <v>44765</v>
      </c>
      <c r="E25" s="3">
        <v>0.70839120370370379</v>
      </c>
      <c r="F25" s="3">
        <f t="shared" si="0"/>
        <v>0.81771990740740752</v>
      </c>
      <c r="K25">
        <v>4</v>
      </c>
      <c r="L25">
        <v>1</v>
      </c>
      <c r="M25" s="3">
        <v>0.63718750000000002</v>
      </c>
      <c r="N25" s="3">
        <v>0.10932870370370369</v>
      </c>
      <c r="O25" s="2">
        <v>44748</v>
      </c>
    </row>
    <row r="26" spans="1:15" x14ac:dyDescent="0.35">
      <c r="A26">
        <v>112</v>
      </c>
      <c r="B26">
        <v>4</v>
      </c>
      <c r="C26" t="str">
        <f>VLOOKUP(L26,'Hilfstabelle Mashinen'!$A$1:$B$3,2,FALSE)</f>
        <v>Ausfall</v>
      </c>
      <c r="D26" s="2">
        <v>44767</v>
      </c>
      <c r="E26" s="3">
        <v>0.17276620370370369</v>
      </c>
      <c r="F26" s="3">
        <f t="shared" si="0"/>
        <v>0.18920138888888888</v>
      </c>
      <c r="K26">
        <v>1</v>
      </c>
      <c r="L26">
        <v>3</v>
      </c>
      <c r="M26" s="3">
        <v>0.26447916666666665</v>
      </c>
      <c r="N26" s="3">
        <v>1.6435185185185188E-2</v>
      </c>
      <c r="O26" s="2">
        <v>45040</v>
      </c>
    </row>
    <row r="27" spans="1:15" x14ac:dyDescent="0.35">
      <c r="A27">
        <v>64</v>
      </c>
      <c r="B27">
        <v>5</v>
      </c>
      <c r="C27" t="str">
        <f>VLOOKUP(L27,'Hilfstabelle Mashinen'!$A$1:$B$3,2,FALSE)</f>
        <v>Wartung</v>
      </c>
      <c r="D27" s="2">
        <v>44768</v>
      </c>
      <c r="E27" s="3">
        <v>0.11122685185185184</v>
      </c>
      <c r="F27" s="3">
        <f t="shared" si="0"/>
        <v>0.11471064814814813</v>
      </c>
      <c r="K27">
        <v>13</v>
      </c>
      <c r="L27">
        <v>1</v>
      </c>
      <c r="M27" s="3">
        <v>0.79547453703703708</v>
      </c>
      <c r="N27" s="3">
        <v>3.483796296296296E-3</v>
      </c>
      <c r="O27" s="2">
        <v>44868</v>
      </c>
    </row>
    <row r="28" spans="1:15" x14ac:dyDescent="0.35">
      <c r="A28">
        <v>125</v>
      </c>
      <c r="B28">
        <v>15</v>
      </c>
      <c r="C28" t="str">
        <f>VLOOKUP(L28,'Hilfstabelle Mashinen'!$A$1:$B$3,2,FALSE)</f>
        <v>Ausfall</v>
      </c>
      <c r="D28" s="2">
        <v>44773</v>
      </c>
      <c r="E28" s="3">
        <v>7.9409722222222215E-2</v>
      </c>
      <c r="F28" s="3">
        <f t="shared" si="0"/>
        <v>0.18032407407407408</v>
      </c>
      <c r="K28">
        <v>12</v>
      </c>
      <c r="L28">
        <v>3</v>
      </c>
      <c r="M28" s="3">
        <v>0.97612268518518519</v>
      </c>
      <c r="N28" s="3">
        <v>0.10091435185185187</v>
      </c>
      <c r="O28" s="2">
        <v>44944</v>
      </c>
    </row>
    <row r="29" spans="1:15" x14ac:dyDescent="0.35">
      <c r="A29">
        <v>62</v>
      </c>
      <c r="B29">
        <v>1</v>
      </c>
      <c r="C29" t="str">
        <f>VLOOKUP(L29,'Hilfstabelle Mashinen'!$A$1:$B$3,2,FALSE)</f>
        <v>Ausfall</v>
      </c>
      <c r="D29" s="2">
        <v>44774</v>
      </c>
      <c r="E29" s="3">
        <v>0.7503009259259259</v>
      </c>
      <c r="F29" s="3">
        <f t="shared" si="0"/>
        <v>0.8266782407407407</v>
      </c>
      <c r="K29">
        <v>4</v>
      </c>
      <c r="L29">
        <v>3</v>
      </c>
      <c r="M29" s="3">
        <v>0.5914814814814815</v>
      </c>
      <c r="N29" s="3">
        <v>7.6377314814814815E-2</v>
      </c>
      <c r="O29" s="2">
        <v>45069</v>
      </c>
    </row>
    <row r="30" spans="1:15" x14ac:dyDescent="0.35">
      <c r="A30">
        <v>44</v>
      </c>
      <c r="B30">
        <v>2</v>
      </c>
      <c r="C30" t="str">
        <f>VLOOKUP(L30,'Hilfstabelle Mashinen'!$A$1:$B$3,2,FALSE)</f>
        <v>Ausfall</v>
      </c>
      <c r="D30" s="2">
        <v>44776</v>
      </c>
      <c r="E30" s="3">
        <v>0.16111111111111112</v>
      </c>
      <c r="F30" s="3">
        <f t="shared" si="0"/>
        <v>0.22160879629629632</v>
      </c>
      <c r="K30">
        <v>13</v>
      </c>
      <c r="L30">
        <v>3</v>
      </c>
      <c r="M30" s="3">
        <v>0.82023148148148151</v>
      </c>
      <c r="N30" s="3">
        <v>6.0497685185185189E-2</v>
      </c>
      <c r="O30" s="2">
        <v>45055</v>
      </c>
    </row>
    <row r="31" spans="1:15" x14ac:dyDescent="0.35">
      <c r="A31">
        <v>109</v>
      </c>
      <c r="B31">
        <v>6</v>
      </c>
      <c r="C31" t="str">
        <f>VLOOKUP(L31,'Hilfstabelle Mashinen'!$A$1:$B$3,2,FALSE)</f>
        <v>Wartung</v>
      </c>
      <c r="D31" s="2">
        <v>44776</v>
      </c>
      <c r="E31" s="3">
        <v>2.1898148148148167E-2</v>
      </c>
      <c r="F31" s="3">
        <f t="shared" si="0"/>
        <v>5.900462962962965E-2</v>
      </c>
      <c r="K31">
        <v>9</v>
      </c>
      <c r="L31">
        <v>1</v>
      </c>
      <c r="M31" s="3">
        <v>0.12515046296296298</v>
      </c>
      <c r="N31" s="3">
        <v>3.7106481481481483E-2</v>
      </c>
      <c r="O31" s="2">
        <v>45018</v>
      </c>
    </row>
    <row r="32" spans="1:15" x14ac:dyDescent="0.35">
      <c r="A32">
        <v>59</v>
      </c>
      <c r="B32">
        <v>10</v>
      </c>
      <c r="C32" t="str">
        <f>VLOOKUP(L32,'Hilfstabelle Mashinen'!$A$1:$B$3,2,FALSE)</f>
        <v>Ausfall</v>
      </c>
      <c r="D32" s="2">
        <v>44782</v>
      </c>
      <c r="E32" s="3">
        <v>0.39840277777777783</v>
      </c>
      <c r="F32" s="3">
        <f t="shared" si="0"/>
        <v>0.40265046296296303</v>
      </c>
      <c r="K32">
        <v>9</v>
      </c>
      <c r="L32">
        <v>2</v>
      </c>
      <c r="M32" s="3">
        <v>0.42538194444444444</v>
      </c>
      <c r="N32" s="3">
        <v>4.2476851851851851E-3</v>
      </c>
      <c r="O32" s="2">
        <v>44892</v>
      </c>
    </row>
    <row r="33" spans="1:15" x14ac:dyDescent="0.35">
      <c r="A33">
        <v>72</v>
      </c>
      <c r="B33">
        <v>1</v>
      </c>
      <c r="C33" t="str">
        <f>VLOOKUP(L33,'Hilfstabelle Mashinen'!$A$1:$B$3,2,FALSE)</f>
        <v>Ausfall</v>
      </c>
      <c r="D33" s="2">
        <v>44782</v>
      </c>
      <c r="E33" s="3">
        <v>0.63287037037037031</v>
      </c>
      <c r="F33" s="3">
        <f t="shared" si="0"/>
        <v>0.73982638888888885</v>
      </c>
      <c r="K33">
        <v>9</v>
      </c>
      <c r="L33">
        <v>2</v>
      </c>
      <c r="M33" s="3">
        <v>0.13414351851851852</v>
      </c>
      <c r="N33" s="3">
        <v>0.10695601851851851</v>
      </c>
      <c r="O33" s="2">
        <v>45029</v>
      </c>
    </row>
    <row r="34" spans="1:15" x14ac:dyDescent="0.35">
      <c r="A34">
        <v>80</v>
      </c>
      <c r="B34">
        <v>15</v>
      </c>
      <c r="C34" t="str">
        <f>VLOOKUP(L34,'Hilfstabelle Mashinen'!$A$1:$B$3,2,FALSE)</f>
        <v>Ausfall</v>
      </c>
      <c r="D34" s="2">
        <v>44788</v>
      </c>
      <c r="E34" s="3">
        <v>0.69978009259259266</v>
      </c>
      <c r="F34" s="3">
        <f t="shared" ref="F34:F65" si="1">E34+N34</f>
        <v>0.86635416666666676</v>
      </c>
      <c r="K34">
        <v>13</v>
      </c>
      <c r="L34">
        <v>3</v>
      </c>
      <c r="M34" s="3">
        <v>0.63472222222222219</v>
      </c>
      <c r="N34" s="3">
        <v>0.16657407407407407</v>
      </c>
      <c r="O34" s="2">
        <v>45009</v>
      </c>
    </row>
    <row r="35" spans="1:15" x14ac:dyDescent="0.35">
      <c r="A35">
        <v>136</v>
      </c>
      <c r="B35">
        <v>12</v>
      </c>
      <c r="C35" t="str">
        <f>VLOOKUP(L35,'Hilfstabelle Mashinen'!$A$1:$B$3,2,FALSE)</f>
        <v>Ausfall</v>
      </c>
      <c r="D35" s="2">
        <v>44792</v>
      </c>
      <c r="E35" s="3">
        <v>0.86773148148148149</v>
      </c>
      <c r="F35" s="3">
        <f t="shared" si="1"/>
        <v>0.86909722222222219</v>
      </c>
      <c r="K35">
        <v>6</v>
      </c>
      <c r="L35">
        <v>3</v>
      </c>
      <c r="M35" s="3">
        <v>3.5289351851852002E-2</v>
      </c>
      <c r="N35" s="3">
        <v>1.3657407407407409E-3</v>
      </c>
      <c r="O35" s="2">
        <v>45054</v>
      </c>
    </row>
    <row r="36" spans="1:15" x14ac:dyDescent="0.35">
      <c r="A36">
        <v>71</v>
      </c>
      <c r="B36">
        <v>6</v>
      </c>
      <c r="C36" t="str">
        <f>VLOOKUP(L36,'Hilfstabelle Mashinen'!$A$1:$B$3,2,FALSE)</f>
        <v>Ausfall</v>
      </c>
      <c r="D36" s="2">
        <v>44806</v>
      </c>
      <c r="E36" s="3">
        <v>0.63680555555555551</v>
      </c>
      <c r="F36" s="3">
        <f t="shared" si="1"/>
        <v>0.6661111111111111</v>
      </c>
      <c r="K36">
        <v>2</v>
      </c>
      <c r="L36">
        <v>3</v>
      </c>
      <c r="M36" s="3">
        <v>0.20353009259259258</v>
      </c>
      <c r="N36" s="3">
        <v>2.9305555555555557E-2</v>
      </c>
      <c r="O36" s="2">
        <v>44921</v>
      </c>
    </row>
    <row r="37" spans="1:15" x14ac:dyDescent="0.35">
      <c r="A37">
        <v>128</v>
      </c>
      <c r="B37">
        <v>13</v>
      </c>
      <c r="C37" t="str">
        <f>VLOOKUP(L37,'Hilfstabelle Mashinen'!$A$1:$B$3,2,FALSE)</f>
        <v>Ausfall</v>
      </c>
      <c r="D37" s="2">
        <v>44808</v>
      </c>
      <c r="E37" s="3">
        <v>0.14526620370370372</v>
      </c>
      <c r="F37" s="3">
        <f t="shared" si="1"/>
        <v>0.26163194444444449</v>
      </c>
      <c r="K37">
        <v>1</v>
      </c>
      <c r="L37">
        <v>2</v>
      </c>
      <c r="M37" s="3">
        <v>0.45581018518518518</v>
      </c>
      <c r="N37" s="3">
        <v>0.11636574074074074</v>
      </c>
      <c r="O37" s="2">
        <v>44747</v>
      </c>
    </row>
    <row r="38" spans="1:15" x14ac:dyDescent="0.35">
      <c r="A38">
        <v>143</v>
      </c>
      <c r="B38">
        <v>9</v>
      </c>
      <c r="C38" t="str">
        <f>VLOOKUP(L38,'Hilfstabelle Mashinen'!$A$1:$B$3,2,FALSE)</f>
        <v>Ausfall</v>
      </c>
      <c r="D38" s="2">
        <v>44811</v>
      </c>
      <c r="E38" s="3">
        <v>0.72592592592592586</v>
      </c>
      <c r="F38" s="3">
        <f t="shared" si="1"/>
        <v>0.87563657407407403</v>
      </c>
      <c r="K38">
        <v>6</v>
      </c>
      <c r="L38">
        <v>2</v>
      </c>
      <c r="M38" s="3">
        <v>0.1622800925925926</v>
      </c>
      <c r="N38" s="3">
        <v>0.14971064814814813</v>
      </c>
      <c r="O38" s="2">
        <v>44933</v>
      </c>
    </row>
    <row r="39" spans="1:15" x14ac:dyDescent="0.35">
      <c r="A39">
        <v>56</v>
      </c>
      <c r="B39">
        <v>1</v>
      </c>
      <c r="C39" t="str">
        <f>VLOOKUP(L39,'Hilfstabelle Mashinen'!$A$1:$B$3,2,FALSE)</f>
        <v>Wartung</v>
      </c>
      <c r="D39" s="2">
        <v>44812</v>
      </c>
      <c r="E39" s="3">
        <v>0.11011574074074075</v>
      </c>
      <c r="F39" s="3">
        <f t="shared" si="1"/>
        <v>0.15621527777777777</v>
      </c>
      <c r="K39">
        <v>7</v>
      </c>
      <c r="L39">
        <v>1</v>
      </c>
      <c r="M39" s="3">
        <v>0.31082175925925926</v>
      </c>
      <c r="N39" s="3">
        <v>4.6099537037037036E-2</v>
      </c>
      <c r="O39" s="2">
        <v>44988</v>
      </c>
    </row>
    <row r="40" spans="1:15" x14ac:dyDescent="0.35">
      <c r="A40">
        <v>39</v>
      </c>
      <c r="B40">
        <v>11</v>
      </c>
      <c r="C40" t="str">
        <f>VLOOKUP(L40,'Hilfstabelle Mashinen'!$A$1:$B$3,2,FALSE)</f>
        <v>Ausfall</v>
      </c>
      <c r="D40" s="2">
        <v>44814</v>
      </c>
      <c r="E40" s="3">
        <v>0.6488194444444445</v>
      </c>
      <c r="F40" s="3">
        <f t="shared" si="1"/>
        <v>0.6696875000000001</v>
      </c>
      <c r="K40">
        <v>11</v>
      </c>
      <c r="L40">
        <v>3</v>
      </c>
      <c r="M40" s="3">
        <v>0.6488194444444445</v>
      </c>
      <c r="N40" s="3">
        <v>2.0868055555555556E-2</v>
      </c>
      <c r="O40" s="2">
        <v>44814</v>
      </c>
    </row>
    <row r="41" spans="1:15" x14ac:dyDescent="0.35">
      <c r="A41">
        <v>106</v>
      </c>
      <c r="B41">
        <v>11</v>
      </c>
      <c r="C41" t="str">
        <f>VLOOKUP(L41,'Hilfstabelle Mashinen'!$A$1:$B$3,2,FALSE)</f>
        <v>Wartung</v>
      </c>
      <c r="D41" s="2">
        <v>44817</v>
      </c>
      <c r="E41" s="3">
        <v>0.19855324074074074</v>
      </c>
      <c r="F41" s="3">
        <f t="shared" si="1"/>
        <v>0.26340277777777776</v>
      </c>
      <c r="K41">
        <v>12</v>
      </c>
      <c r="L41">
        <v>1</v>
      </c>
      <c r="M41" s="3">
        <v>0.6859143518518519</v>
      </c>
      <c r="N41" s="3">
        <v>6.4849537037037039E-2</v>
      </c>
      <c r="O41" s="2">
        <v>45006</v>
      </c>
    </row>
    <row r="42" spans="1:15" x14ac:dyDescent="0.35">
      <c r="A42">
        <v>49</v>
      </c>
      <c r="B42">
        <v>13</v>
      </c>
      <c r="C42" t="str">
        <f>VLOOKUP(L42,'Hilfstabelle Mashinen'!$A$1:$B$3,2,FALSE)</f>
        <v>Ausfall</v>
      </c>
      <c r="D42" s="2">
        <v>44818</v>
      </c>
      <c r="E42" s="3">
        <v>0.95478009259259267</v>
      </c>
      <c r="F42" s="3">
        <f t="shared" si="1"/>
        <v>0.98972222222222228</v>
      </c>
      <c r="K42">
        <v>10</v>
      </c>
      <c r="L42">
        <v>2</v>
      </c>
      <c r="M42" s="3">
        <v>0.98802083333333324</v>
      </c>
      <c r="N42" s="3">
        <v>3.4942129629629635E-2</v>
      </c>
      <c r="O42" s="2">
        <v>44953</v>
      </c>
    </row>
    <row r="43" spans="1:15" x14ac:dyDescent="0.35">
      <c r="A43">
        <v>60</v>
      </c>
      <c r="B43">
        <v>4</v>
      </c>
      <c r="C43" t="str">
        <f>VLOOKUP(L43,'Hilfstabelle Mashinen'!$A$1:$B$3,2,FALSE)</f>
        <v>Ausfall</v>
      </c>
      <c r="D43" s="2">
        <v>44818</v>
      </c>
      <c r="E43" s="3">
        <v>0.46910879629629632</v>
      </c>
      <c r="F43" s="3">
        <f t="shared" si="1"/>
        <v>0.58928240740740745</v>
      </c>
      <c r="K43">
        <v>6</v>
      </c>
      <c r="L43">
        <v>3</v>
      </c>
      <c r="M43" s="3">
        <v>0.97440972222222222</v>
      </c>
      <c r="N43" s="3">
        <v>0.12017361111111112</v>
      </c>
      <c r="O43" s="2">
        <v>44877</v>
      </c>
    </row>
    <row r="44" spans="1:15" x14ac:dyDescent="0.35">
      <c r="A44">
        <v>104</v>
      </c>
      <c r="B44">
        <v>4</v>
      </c>
      <c r="C44" t="str">
        <f>VLOOKUP(L44,'Hilfstabelle Mashinen'!$A$1:$B$3,2,FALSE)</f>
        <v>Wartung</v>
      </c>
      <c r="D44" s="2">
        <v>44821</v>
      </c>
      <c r="E44" s="3">
        <v>0.71609953703703699</v>
      </c>
      <c r="F44" s="3">
        <f t="shared" si="1"/>
        <v>0.77178240740740733</v>
      </c>
      <c r="K44">
        <v>6</v>
      </c>
      <c r="L44">
        <v>1</v>
      </c>
      <c r="M44" s="3">
        <v>0.28263888888888888</v>
      </c>
      <c r="N44" s="3">
        <v>5.5682870370370369E-2</v>
      </c>
      <c r="O44" s="2">
        <v>44985</v>
      </c>
    </row>
    <row r="45" spans="1:15" x14ac:dyDescent="0.35">
      <c r="A45">
        <v>69</v>
      </c>
      <c r="B45">
        <v>6</v>
      </c>
      <c r="C45" t="str">
        <f>VLOOKUP(L45,'Hilfstabelle Mashinen'!$A$1:$B$3,2,FALSE)</f>
        <v>Ausfall</v>
      </c>
      <c r="D45" s="2">
        <v>44829</v>
      </c>
      <c r="E45" s="3">
        <v>0.90712962962962962</v>
      </c>
      <c r="F45" s="3">
        <f t="shared" si="1"/>
        <v>1.0285763888888888</v>
      </c>
      <c r="K45">
        <v>2</v>
      </c>
      <c r="L45">
        <v>2</v>
      </c>
      <c r="M45" s="3">
        <v>0.16111111111111112</v>
      </c>
      <c r="N45" s="3">
        <v>0.12144675925925925</v>
      </c>
      <c r="O45" s="2">
        <v>44776</v>
      </c>
    </row>
    <row r="46" spans="1:15" x14ac:dyDescent="0.35">
      <c r="A46">
        <v>76</v>
      </c>
      <c r="B46">
        <v>15</v>
      </c>
      <c r="C46" t="str">
        <f>VLOOKUP(L46,'Hilfstabelle Mashinen'!$A$1:$B$3,2,FALSE)</f>
        <v>Ausfall</v>
      </c>
      <c r="D46" s="2">
        <v>44829</v>
      </c>
      <c r="E46" s="3">
        <v>0.43656249999999996</v>
      </c>
      <c r="F46" s="3">
        <f t="shared" si="1"/>
        <v>0.45703703703703702</v>
      </c>
      <c r="K46">
        <v>1</v>
      </c>
      <c r="L46">
        <v>2</v>
      </c>
      <c r="M46" s="3">
        <v>0.36305555555555552</v>
      </c>
      <c r="N46" s="3">
        <v>2.0474537037037038E-2</v>
      </c>
      <c r="O46" s="2">
        <v>45032</v>
      </c>
    </row>
    <row r="47" spans="1:15" x14ac:dyDescent="0.35">
      <c r="A47">
        <v>101</v>
      </c>
      <c r="B47">
        <v>8</v>
      </c>
      <c r="C47" t="str">
        <f>VLOOKUP(L47,'Hilfstabelle Mashinen'!$A$1:$B$3,2,FALSE)</f>
        <v>Wartung</v>
      </c>
      <c r="D47" s="2">
        <v>44829</v>
      </c>
      <c r="E47" s="3">
        <v>6.609953703703704E-2</v>
      </c>
      <c r="F47" s="3">
        <f t="shared" si="1"/>
        <v>0.14876157407407409</v>
      </c>
      <c r="K47">
        <v>11</v>
      </c>
      <c r="L47">
        <v>1</v>
      </c>
      <c r="M47" s="3">
        <v>8.2060185185185187E-3</v>
      </c>
      <c r="N47" s="3">
        <v>8.2662037037037034E-2</v>
      </c>
      <c r="O47" s="2">
        <v>45014</v>
      </c>
    </row>
    <row r="48" spans="1:15" x14ac:dyDescent="0.35">
      <c r="A48">
        <v>67</v>
      </c>
      <c r="B48">
        <v>7</v>
      </c>
      <c r="C48" t="str">
        <f>VLOOKUP(L48,'Hilfstabelle Mashinen'!$A$1:$B$3,2,FALSE)</f>
        <v>Wartung</v>
      </c>
      <c r="D48" s="2">
        <v>44831</v>
      </c>
      <c r="E48" s="3">
        <v>9.6967592592592591E-2</v>
      </c>
      <c r="F48" s="3">
        <f t="shared" si="1"/>
        <v>0.13011574074074073</v>
      </c>
      <c r="K48">
        <v>3</v>
      </c>
      <c r="L48">
        <v>1</v>
      </c>
      <c r="M48" s="3">
        <v>3.1342592592592596E-2</v>
      </c>
      <c r="N48" s="3">
        <v>3.3148148148148149E-2</v>
      </c>
      <c r="O48" s="2">
        <v>45049</v>
      </c>
    </row>
    <row r="49" spans="1:15" x14ac:dyDescent="0.35">
      <c r="A49">
        <v>144</v>
      </c>
      <c r="B49">
        <v>6</v>
      </c>
      <c r="C49" t="str">
        <f>VLOOKUP(L49,'Hilfstabelle Mashinen'!$A$1:$B$3,2,FALSE)</f>
        <v>Wartung</v>
      </c>
      <c r="D49" s="2">
        <v>44833</v>
      </c>
      <c r="E49" s="3">
        <v>0.43785879629629632</v>
      </c>
      <c r="F49" s="3">
        <f t="shared" si="1"/>
        <v>0.60375000000000001</v>
      </c>
      <c r="K49">
        <v>15</v>
      </c>
      <c r="L49">
        <v>1</v>
      </c>
      <c r="M49" s="3">
        <v>0.87230324074074073</v>
      </c>
      <c r="N49" s="3">
        <v>0.16589120370370369</v>
      </c>
      <c r="O49" s="2">
        <v>44968</v>
      </c>
    </row>
    <row r="50" spans="1:15" x14ac:dyDescent="0.35">
      <c r="A50">
        <v>10</v>
      </c>
      <c r="B50">
        <v>6</v>
      </c>
      <c r="C50" t="str">
        <f>VLOOKUP(L50,'Hilfstabelle Mashinen'!$A$1:$B$3,2,FALSE)</f>
        <v>Ausfall</v>
      </c>
      <c r="D50" s="2">
        <v>44835</v>
      </c>
      <c r="E50" s="3">
        <v>0.69783564814814814</v>
      </c>
      <c r="F50" s="3">
        <f t="shared" si="1"/>
        <v>0.7856481481481481</v>
      </c>
      <c r="K50">
        <v>13</v>
      </c>
      <c r="L50">
        <v>3</v>
      </c>
      <c r="M50" s="3">
        <v>0.95478009259259267</v>
      </c>
      <c r="N50" s="3">
        <v>8.7812500000000002E-2</v>
      </c>
      <c r="O50" s="2">
        <v>44818</v>
      </c>
    </row>
    <row r="51" spans="1:15" x14ac:dyDescent="0.35">
      <c r="A51">
        <v>119</v>
      </c>
      <c r="B51">
        <v>10</v>
      </c>
      <c r="C51" t="str">
        <f>VLOOKUP(L51,'Hilfstabelle Mashinen'!$A$1:$B$3,2,FALSE)</f>
        <v>Wartung</v>
      </c>
      <c r="D51" s="2">
        <v>44835</v>
      </c>
      <c r="E51" s="3">
        <v>0.99134259259259261</v>
      </c>
      <c r="F51" s="3">
        <f t="shared" si="1"/>
        <v>1.0798611111111112</v>
      </c>
      <c r="K51">
        <v>13</v>
      </c>
      <c r="L51">
        <v>1</v>
      </c>
      <c r="M51" s="3">
        <v>0.26333333333333336</v>
      </c>
      <c r="N51" s="3">
        <v>8.851851851851851E-2</v>
      </c>
      <c r="O51" s="2">
        <v>44743</v>
      </c>
    </row>
    <row r="52" spans="1:15" x14ac:dyDescent="0.35">
      <c r="A52">
        <v>95</v>
      </c>
      <c r="B52">
        <v>4</v>
      </c>
      <c r="C52" t="str">
        <f>VLOOKUP(L52,'Hilfstabelle Mashinen'!$A$1:$B$3,2,FALSE)</f>
        <v>Ausfall</v>
      </c>
      <c r="D52" s="2">
        <v>44840</v>
      </c>
      <c r="E52" s="3">
        <v>8.7812500000000002E-2</v>
      </c>
      <c r="F52" s="3">
        <f t="shared" si="1"/>
        <v>0.2129050925925926</v>
      </c>
      <c r="K52">
        <v>8</v>
      </c>
      <c r="L52">
        <v>2</v>
      </c>
      <c r="M52" s="3">
        <v>0.27560185185185188</v>
      </c>
      <c r="N52" s="3">
        <v>0.12509259259259259</v>
      </c>
      <c r="O52" s="2">
        <v>45003</v>
      </c>
    </row>
    <row r="53" spans="1:15" x14ac:dyDescent="0.35">
      <c r="A53">
        <v>124</v>
      </c>
      <c r="B53">
        <v>5</v>
      </c>
      <c r="C53" t="str">
        <f>VLOOKUP(L53,'Hilfstabelle Mashinen'!$A$1:$B$3,2,FALSE)</f>
        <v>Ausfall</v>
      </c>
      <c r="D53" s="2">
        <v>44840</v>
      </c>
      <c r="E53" s="3">
        <v>0.93541666666666667</v>
      </c>
      <c r="F53" s="3">
        <f t="shared" si="1"/>
        <v>1.040162037037037</v>
      </c>
      <c r="K53">
        <v>5</v>
      </c>
      <c r="L53">
        <v>3</v>
      </c>
      <c r="M53" s="3">
        <v>0.18841435185185185</v>
      </c>
      <c r="N53" s="3">
        <v>0.10474537037037036</v>
      </c>
      <c r="O53" s="2">
        <v>44998</v>
      </c>
    </row>
    <row r="54" spans="1:15" x14ac:dyDescent="0.35">
      <c r="A54">
        <v>11</v>
      </c>
      <c r="B54">
        <v>3</v>
      </c>
      <c r="C54" t="str">
        <f>VLOOKUP(L54,'Hilfstabelle Mashinen'!$A$1:$B$3,2,FALSE)</f>
        <v>Wartung</v>
      </c>
      <c r="D54" s="2">
        <v>44843</v>
      </c>
      <c r="E54" s="3">
        <v>0.92793981481481491</v>
      </c>
      <c r="F54" s="3">
        <f t="shared" si="1"/>
        <v>0.93074074074074087</v>
      </c>
      <c r="K54">
        <v>11</v>
      </c>
      <c r="L54">
        <v>1</v>
      </c>
      <c r="M54" s="3">
        <v>0.3411689814814815</v>
      </c>
      <c r="N54" s="3">
        <v>2.8009259259259259E-3</v>
      </c>
      <c r="O54" s="2">
        <v>44900</v>
      </c>
    </row>
    <row r="55" spans="1:15" x14ac:dyDescent="0.35">
      <c r="A55">
        <v>19</v>
      </c>
      <c r="B55">
        <v>9</v>
      </c>
      <c r="C55" t="str">
        <f>VLOOKUP(L55,'Hilfstabelle Mashinen'!$A$1:$B$3,2,FALSE)</f>
        <v>Ausfall</v>
      </c>
      <c r="D55" s="2">
        <v>44852</v>
      </c>
      <c r="E55" s="3">
        <v>0.66563657407407406</v>
      </c>
      <c r="F55" s="3">
        <f t="shared" si="1"/>
        <v>0.75406249999999997</v>
      </c>
      <c r="K55">
        <v>3</v>
      </c>
      <c r="L55">
        <v>3</v>
      </c>
      <c r="M55" s="3">
        <v>4.1666666666666519E-3</v>
      </c>
      <c r="N55" s="3">
        <v>8.8425925925925922E-2</v>
      </c>
      <c r="O55" s="2">
        <v>44743</v>
      </c>
    </row>
    <row r="56" spans="1:15" x14ac:dyDescent="0.35">
      <c r="A56">
        <v>89</v>
      </c>
      <c r="B56">
        <v>7</v>
      </c>
      <c r="C56" t="str">
        <f>VLOOKUP(L56,'Hilfstabelle Mashinen'!$A$1:$B$3,2,FALSE)</f>
        <v>Ausfall</v>
      </c>
      <c r="D56" s="2">
        <v>44853</v>
      </c>
      <c r="E56" s="3">
        <v>0.14162037037037037</v>
      </c>
      <c r="F56" s="3">
        <f t="shared" si="1"/>
        <v>0.16833333333333333</v>
      </c>
      <c r="K56">
        <v>6</v>
      </c>
      <c r="L56">
        <v>2</v>
      </c>
      <c r="M56" s="3">
        <v>2.706018518518527E-2</v>
      </c>
      <c r="N56" s="3">
        <v>2.6712962962962966E-2</v>
      </c>
      <c r="O56" s="2">
        <v>44730</v>
      </c>
    </row>
    <row r="57" spans="1:15" x14ac:dyDescent="0.35">
      <c r="A57">
        <v>73</v>
      </c>
      <c r="B57">
        <v>3</v>
      </c>
      <c r="C57" t="str">
        <f>VLOOKUP(L57,'Hilfstabelle Mashinen'!$A$1:$B$3,2,FALSE)</f>
        <v>Ausfall</v>
      </c>
      <c r="D57" s="2">
        <v>44856</v>
      </c>
      <c r="E57" s="3">
        <v>0.17752314814814815</v>
      </c>
      <c r="F57" s="3">
        <f t="shared" si="1"/>
        <v>0.24034722222222221</v>
      </c>
      <c r="K57">
        <v>1</v>
      </c>
      <c r="L57">
        <v>3</v>
      </c>
      <c r="M57" s="3">
        <v>0.11011574074074075</v>
      </c>
      <c r="N57" s="3">
        <v>6.2824074074074074E-2</v>
      </c>
      <c r="O57" s="2">
        <v>44812</v>
      </c>
    </row>
    <row r="58" spans="1:15" x14ac:dyDescent="0.35">
      <c r="A58">
        <v>116</v>
      </c>
      <c r="B58">
        <v>13</v>
      </c>
      <c r="C58" t="str">
        <f>VLOOKUP(L58,'Hilfstabelle Mashinen'!$A$1:$B$3,2,FALSE)</f>
        <v>Ausfall</v>
      </c>
      <c r="D58" s="2">
        <v>44856</v>
      </c>
      <c r="E58" s="3">
        <v>0.65162037037037035</v>
      </c>
      <c r="F58" s="3">
        <f t="shared" si="1"/>
        <v>0.70715277777777774</v>
      </c>
      <c r="K58">
        <v>5</v>
      </c>
      <c r="L58">
        <v>3</v>
      </c>
      <c r="M58" s="3">
        <v>0.37428240740740742</v>
      </c>
      <c r="N58" s="3">
        <v>5.5532407407407412E-2</v>
      </c>
      <c r="O58" s="2">
        <v>45043</v>
      </c>
    </row>
    <row r="59" spans="1:15" x14ac:dyDescent="0.35">
      <c r="A59">
        <v>147</v>
      </c>
      <c r="B59">
        <v>14</v>
      </c>
      <c r="C59" t="str">
        <f>VLOOKUP(L59,'Hilfstabelle Mashinen'!$A$1:$B$3,2,FALSE)</f>
        <v>Ausfall</v>
      </c>
      <c r="D59" s="2">
        <v>44861</v>
      </c>
      <c r="E59" s="3">
        <v>0.36966435185185187</v>
      </c>
      <c r="F59" s="3">
        <f t="shared" si="1"/>
        <v>0.40626157407407409</v>
      </c>
      <c r="K59">
        <v>14</v>
      </c>
      <c r="L59">
        <v>3</v>
      </c>
      <c r="M59" s="3">
        <v>0.7249537037037036</v>
      </c>
      <c r="N59" s="3">
        <v>3.6597222222222225E-2</v>
      </c>
      <c r="O59" s="2">
        <v>44982</v>
      </c>
    </row>
    <row r="60" spans="1:15" x14ac:dyDescent="0.35">
      <c r="A60">
        <v>26</v>
      </c>
      <c r="B60">
        <v>13</v>
      </c>
      <c r="C60" t="str">
        <f>VLOOKUP(L60,'Hilfstabelle Mashinen'!$A$1:$B$3,2,FALSE)</f>
        <v>Wartung</v>
      </c>
      <c r="D60" s="2">
        <v>44868</v>
      </c>
      <c r="E60" s="3">
        <v>0.79547453703703708</v>
      </c>
      <c r="F60" s="3">
        <f t="shared" si="1"/>
        <v>0.94550925925925933</v>
      </c>
      <c r="K60">
        <v>10</v>
      </c>
      <c r="L60">
        <v>1</v>
      </c>
      <c r="M60" s="3">
        <v>0.39840277777777783</v>
      </c>
      <c r="N60" s="3">
        <v>0.15003472222222222</v>
      </c>
      <c r="O60" s="2">
        <v>44782</v>
      </c>
    </row>
    <row r="61" spans="1:15" x14ac:dyDescent="0.35">
      <c r="A61">
        <v>42</v>
      </c>
      <c r="B61">
        <v>6</v>
      </c>
      <c r="C61" t="str">
        <f>VLOOKUP(L61,'Hilfstabelle Mashinen'!$A$1:$B$3,2,FALSE)</f>
        <v>Ausfall</v>
      </c>
      <c r="D61" s="2">
        <v>44877</v>
      </c>
      <c r="E61" s="3">
        <v>0.97440972222222222</v>
      </c>
      <c r="F61" s="3">
        <f t="shared" si="1"/>
        <v>1.020324074074074</v>
      </c>
      <c r="K61">
        <v>4</v>
      </c>
      <c r="L61">
        <v>2</v>
      </c>
      <c r="M61" s="3">
        <v>0.46910879629629632</v>
      </c>
      <c r="N61" s="3">
        <v>4.5914351851851852E-2</v>
      </c>
      <c r="O61" s="2">
        <v>44818</v>
      </c>
    </row>
    <row r="62" spans="1:15" x14ac:dyDescent="0.35">
      <c r="A62">
        <v>22</v>
      </c>
      <c r="B62">
        <v>14</v>
      </c>
      <c r="C62" t="str">
        <f>VLOOKUP(L62,'Hilfstabelle Mashinen'!$A$1:$B$3,2,FALSE)</f>
        <v>Ausfall</v>
      </c>
      <c r="D62" s="2">
        <v>44881</v>
      </c>
      <c r="E62" s="3">
        <v>0.42956018518518518</v>
      </c>
      <c r="F62" s="3">
        <f t="shared" si="1"/>
        <v>0.57488425925925923</v>
      </c>
      <c r="K62">
        <v>15</v>
      </c>
      <c r="L62">
        <v>3</v>
      </c>
      <c r="M62" s="3">
        <v>0.84761574074074064</v>
      </c>
      <c r="N62" s="3">
        <v>0.14532407407407408</v>
      </c>
      <c r="O62" s="2">
        <v>44980</v>
      </c>
    </row>
    <row r="63" spans="1:15" x14ac:dyDescent="0.35">
      <c r="A63">
        <v>84</v>
      </c>
      <c r="B63">
        <v>15</v>
      </c>
      <c r="C63" t="str">
        <f>VLOOKUP(L63,'Hilfstabelle Mashinen'!$A$1:$B$3,2,FALSE)</f>
        <v>Ausfall</v>
      </c>
      <c r="D63" s="2">
        <v>44883</v>
      </c>
      <c r="E63" s="3">
        <v>0.29092592592592592</v>
      </c>
      <c r="F63" s="3">
        <f t="shared" si="1"/>
        <v>0.45108796296296294</v>
      </c>
      <c r="K63">
        <v>1</v>
      </c>
      <c r="L63">
        <v>3</v>
      </c>
      <c r="M63" s="3">
        <v>0.7503009259259259</v>
      </c>
      <c r="N63" s="3">
        <v>0.16016203703703705</v>
      </c>
      <c r="O63" s="2">
        <v>44774</v>
      </c>
    </row>
    <row r="64" spans="1:15" x14ac:dyDescent="0.35">
      <c r="A64">
        <v>88</v>
      </c>
      <c r="B64">
        <v>6</v>
      </c>
      <c r="C64" t="str">
        <f>VLOOKUP(L64,'Hilfstabelle Mashinen'!$A$1:$B$3,2,FALSE)</f>
        <v>Ausfall</v>
      </c>
      <c r="D64" s="2">
        <v>44883</v>
      </c>
      <c r="E64" s="3">
        <v>0.25215277777777778</v>
      </c>
      <c r="F64" s="3">
        <f t="shared" si="1"/>
        <v>0.39021990740740742</v>
      </c>
      <c r="K64">
        <v>14</v>
      </c>
      <c r="L64">
        <v>3</v>
      </c>
      <c r="M64" s="3">
        <v>0.81319444444444444</v>
      </c>
      <c r="N64" s="3">
        <v>0.13806712962962964</v>
      </c>
      <c r="O64" s="2">
        <v>44754</v>
      </c>
    </row>
    <row r="65" spans="1:15" x14ac:dyDescent="0.35">
      <c r="A65">
        <v>6</v>
      </c>
      <c r="B65">
        <v>3</v>
      </c>
      <c r="C65" t="str">
        <f>VLOOKUP(L65,'Hilfstabelle Mashinen'!$A$1:$B$3,2,FALSE)</f>
        <v>Ausfall</v>
      </c>
      <c r="D65" s="2">
        <v>44886</v>
      </c>
      <c r="E65" s="3">
        <v>0.36506944444444445</v>
      </c>
      <c r="F65" s="3">
        <f t="shared" si="1"/>
        <v>0.4830902777777778</v>
      </c>
      <c r="K65">
        <v>5</v>
      </c>
      <c r="L65">
        <v>2</v>
      </c>
      <c r="M65" s="3">
        <v>0.11122685185185184</v>
      </c>
      <c r="N65" s="3">
        <v>0.11802083333333334</v>
      </c>
      <c r="O65" s="2">
        <v>44768</v>
      </c>
    </row>
    <row r="66" spans="1:15" x14ac:dyDescent="0.35">
      <c r="A66">
        <v>78</v>
      </c>
      <c r="B66">
        <v>15</v>
      </c>
      <c r="C66" t="str">
        <f>VLOOKUP(L66,'Hilfstabelle Mashinen'!$A$1:$B$3,2,FALSE)</f>
        <v>Ausfall</v>
      </c>
      <c r="D66" s="2">
        <v>44887</v>
      </c>
      <c r="E66" s="3">
        <v>0.1698611111111111</v>
      </c>
      <c r="F66" s="3">
        <f t="shared" ref="F66:F97" si="2">E66+N66</f>
        <v>0.23349537037037038</v>
      </c>
      <c r="K66">
        <v>8</v>
      </c>
      <c r="L66">
        <v>2</v>
      </c>
      <c r="M66" s="3">
        <v>0.46259259259259261</v>
      </c>
      <c r="N66" s="3">
        <v>6.3634259259259265E-2</v>
      </c>
      <c r="O66" s="2">
        <v>44998</v>
      </c>
    </row>
    <row r="67" spans="1:15" x14ac:dyDescent="0.35">
      <c r="A67">
        <v>31</v>
      </c>
      <c r="B67">
        <v>9</v>
      </c>
      <c r="C67" t="str">
        <f>VLOOKUP(L67,'Hilfstabelle Mashinen'!$A$1:$B$3,2,FALSE)</f>
        <v>Ausfall</v>
      </c>
      <c r="D67" s="2">
        <v>44892</v>
      </c>
      <c r="E67" s="3">
        <v>0.42538194444444444</v>
      </c>
      <c r="F67" s="3">
        <f t="shared" si="2"/>
        <v>0.46399305555555553</v>
      </c>
      <c r="K67">
        <v>1</v>
      </c>
      <c r="L67">
        <v>3</v>
      </c>
      <c r="M67" s="3">
        <v>0.3934259259259259</v>
      </c>
      <c r="N67" s="3">
        <v>3.861111111111111E-2</v>
      </c>
      <c r="O67" s="2">
        <v>44982</v>
      </c>
    </row>
    <row r="68" spans="1:15" x14ac:dyDescent="0.35">
      <c r="A68">
        <v>12</v>
      </c>
      <c r="B68">
        <v>3</v>
      </c>
      <c r="C68" t="str">
        <f>VLOOKUP(L68,'Hilfstabelle Mashinen'!$A$1:$B$3,2,FALSE)</f>
        <v>Wartung</v>
      </c>
      <c r="D68" s="2">
        <v>44893</v>
      </c>
      <c r="E68" s="3">
        <v>7.0856481481481479E-2</v>
      </c>
      <c r="F68" s="3">
        <f t="shared" si="2"/>
        <v>0.16606481481481483</v>
      </c>
      <c r="K68">
        <v>7</v>
      </c>
      <c r="L68">
        <v>1</v>
      </c>
      <c r="M68" s="3">
        <v>9.6967592592592591E-2</v>
      </c>
      <c r="N68" s="3">
        <v>9.5208333333333339E-2</v>
      </c>
      <c r="O68" s="2">
        <v>44831</v>
      </c>
    </row>
    <row r="69" spans="1:15" x14ac:dyDescent="0.35">
      <c r="A69">
        <v>113</v>
      </c>
      <c r="B69">
        <v>1</v>
      </c>
      <c r="C69" t="str">
        <f>VLOOKUP(L69,'Hilfstabelle Mashinen'!$A$1:$B$3,2,FALSE)</f>
        <v>Ausfall</v>
      </c>
      <c r="D69" s="2">
        <v>44895</v>
      </c>
      <c r="E69" s="3">
        <v>0.62318287037037035</v>
      </c>
      <c r="F69" s="3">
        <f t="shared" si="2"/>
        <v>0.70186342592592588</v>
      </c>
      <c r="K69">
        <v>9</v>
      </c>
      <c r="L69">
        <v>3</v>
      </c>
      <c r="M69" s="3">
        <v>0.39429398148148148</v>
      </c>
      <c r="N69" s="3">
        <v>7.8680555555555545E-2</v>
      </c>
      <c r="O69" s="2">
        <v>44743</v>
      </c>
    </row>
    <row r="70" spans="1:15" x14ac:dyDescent="0.35">
      <c r="A70">
        <v>53</v>
      </c>
      <c r="B70">
        <v>11</v>
      </c>
      <c r="C70" t="str">
        <f>VLOOKUP(L70,'Hilfstabelle Mashinen'!$A$1:$B$3,2,FALSE)</f>
        <v>Ausfall</v>
      </c>
      <c r="D70" s="2">
        <v>44900</v>
      </c>
      <c r="E70" s="3">
        <v>0.3411689814814815</v>
      </c>
      <c r="F70" s="3">
        <f t="shared" si="2"/>
        <v>0.36561342592592594</v>
      </c>
      <c r="K70">
        <v>6</v>
      </c>
      <c r="L70">
        <v>2</v>
      </c>
      <c r="M70" s="3">
        <v>0.90712962962962962</v>
      </c>
      <c r="N70" s="3">
        <v>2.4444444444444446E-2</v>
      </c>
      <c r="O70" s="2">
        <v>44829</v>
      </c>
    </row>
    <row r="71" spans="1:15" x14ac:dyDescent="0.35">
      <c r="A71">
        <v>146</v>
      </c>
      <c r="B71">
        <v>4</v>
      </c>
      <c r="C71" t="str">
        <f>VLOOKUP(L71,'Hilfstabelle Mashinen'!$A$1:$B$3,2,FALSE)</f>
        <v>Ausfall</v>
      </c>
      <c r="D71" s="2">
        <v>44904</v>
      </c>
      <c r="E71" s="3">
        <v>1.2962962962962843E-2</v>
      </c>
      <c r="F71" s="3">
        <f t="shared" si="2"/>
        <v>0.16910879629629619</v>
      </c>
      <c r="K71">
        <v>12</v>
      </c>
      <c r="L71">
        <v>2</v>
      </c>
      <c r="M71" s="3">
        <v>0.34225694444444449</v>
      </c>
      <c r="N71" s="3">
        <v>0.15614583333333334</v>
      </c>
      <c r="O71" s="2">
        <v>45012</v>
      </c>
    </row>
    <row r="72" spans="1:15" x14ac:dyDescent="0.35">
      <c r="A72">
        <v>114</v>
      </c>
      <c r="B72">
        <v>8</v>
      </c>
      <c r="C72" t="str">
        <f>VLOOKUP(L72,'Hilfstabelle Mashinen'!$A$1:$B$3,2,FALSE)</f>
        <v>Ausfall</v>
      </c>
      <c r="D72" s="2">
        <v>44905</v>
      </c>
      <c r="E72" s="3">
        <v>0.11599537037037037</v>
      </c>
      <c r="F72" s="3">
        <f t="shared" si="2"/>
        <v>0.26460648148148147</v>
      </c>
      <c r="K72">
        <v>6</v>
      </c>
      <c r="L72">
        <v>2</v>
      </c>
      <c r="M72" s="3">
        <v>0.63680555555555551</v>
      </c>
      <c r="N72" s="3">
        <v>0.14861111111111111</v>
      </c>
      <c r="O72" s="2">
        <v>44806</v>
      </c>
    </row>
    <row r="73" spans="1:15" x14ac:dyDescent="0.35">
      <c r="A73">
        <v>130</v>
      </c>
      <c r="B73">
        <v>8</v>
      </c>
      <c r="C73" t="str">
        <f>VLOOKUP(L73,'Hilfstabelle Mashinen'!$A$1:$B$3,2,FALSE)</f>
        <v>Ausfall</v>
      </c>
      <c r="D73" s="2">
        <v>44908</v>
      </c>
      <c r="E73" s="3">
        <v>9.2361111111111116E-2</v>
      </c>
      <c r="F73" s="3">
        <f t="shared" si="2"/>
        <v>0.25094907407407407</v>
      </c>
      <c r="K73">
        <v>1</v>
      </c>
      <c r="L73">
        <v>2</v>
      </c>
      <c r="M73" s="3">
        <v>0.63287037037037031</v>
      </c>
      <c r="N73" s="3">
        <v>0.15858796296296296</v>
      </c>
      <c r="O73" s="2">
        <v>44782</v>
      </c>
    </row>
    <row r="74" spans="1:15" x14ac:dyDescent="0.35">
      <c r="A74">
        <v>1</v>
      </c>
      <c r="B74">
        <v>6</v>
      </c>
      <c r="C74" t="str">
        <f>VLOOKUP(L74,'Hilfstabelle Mashinen'!$A$1:$B$3,2,FALSE)</f>
        <v>Ausfall</v>
      </c>
      <c r="D74" s="2">
        <v>44912</v>
      </c>
      <c r="E74" s="3">
        <v>0.32839120370370373</v>
      </c>
      <c r="F74" s="3">
        <f t="shared" si="2"/>
        <v>0.40590277777777778</v>
      </c>
      <c r="K74">
        <v>3</v>
      </c>
      <c r="L74">
        <v>2</v>
      </c>
      <c r="M74" s="3">
        <v>0.17752314814814815</v>
      </c>
      <c r="N74" s="3">
        <v>7.7511574074074066E-2</v>
      </c>
      <c r="O74" s="2">
        <v>44856</v>
      </c>
    </row>
    <row r="75" spans="1:15" x14ac:dyDescent="0.35">
      <c r="A75">
        <v>149</v>
      </c>
      <c r="B75">
        <v>11</v>
      </c>
      <c r="C75" t="str">
        <f>VLOOKUP(L75,'Hilfstabelle Mashinen'!$A$1:$B$3,2,FALSE)</f>
        <v>Ausfall</v>
      </c>
      <c r="D75" s="2">
        <v>44913</v>
      </c>
      <c r="E75" s="3">
        <v>6.7384259259259269E-2</v>
      </c>
      <c r="F75" s="3">
        <f t="shared" si="2"/>
        <v>0.12692129629629631</v>
      </c>
      <c r="K75">
        <v>12</v>
      </c>
      <c r="L75">
        <v>3</v>
      </c>
      <c r="M75" s="3">
        <v>0.94185185185185183</v>
      </c>
      <c r="N75" s="3">
        <v>5.9537037037037034E-2</v>
      </c>
      <c r="O75" s="2">
        <v>45028</v>
      </c>
    </row>
    <row r="76" spans="1:15" x14ac:dyDescent="0.35">
      <c r="A76">
        <v>127</v>
      </c>
      <c r="B76">
        <v>1</v>
      </c>
      <c r="C76" t="str">
        <f>VLOOKUP(L76,'Hilfstabelle Mashinen'!$A$1:$B$3,2,FALSE)</f>
        <v>Ausfall</v>
      </c>
      <c r="D76" s="2">
        <v>44916</v>
      </c>
      <c r="E76" s="3">
        <v>0.20603009259259261</v>
      </c>
      <c r="F76" s="3">
        <f t="shared" si="2"/>
        <v>0.2825462962962963</v>
      </c>
      <c r="K76">
        <v>15</v>
      </c>
      <c r="L76">
        <v>3</v>
      </c>
      <c r="M76" s="3">
        <v>0.60315972222222225</v>
      </c>
      <c r="N76" s="3">
        <v>7.6516203703703697E-2</v>
      </c>
      <c r="O76" s="2">
        <v>45004</v>
      </c>
    </row>
    <row r="77" spans="1:15" x14ac:dyDescent="0.35">
      <c r="A77">
        <v>108</v>
      </c>
      <c r="B77">
        <v>3</v>
      </c>
      <c r="C77" t="str">
        <f>VLOOKUP(L77,'Hilfstabelle Mashinen'!$A$1:$B$3,2,FALSE)</f>
        <v>Ausfall</v>
      </c>
      <c r="D77" s="2">
        <v>44917</v>
      </c>
      <c r="E77" s="3">
        <v>0.2854976851851852</v>
      </c>
      <c r="F77" s="3">
        <f t="shared" si="2"/>
        <v>0.40912037037037041</v>
      </c>
      <c r="K77">
        <v>15</v>
      </c>
      <c r="L77">
        <v>2</v>
      </c>
      <c r="M77" s="3">
        <v>0.43656249999999996</v>
      </c>
      <c r="N77" s="3">
        <v>0.1236226851851852</v>
      </c>
      <c r="O77" s="2">
        <v>44829</v>
      </c>
    </row>
    <row r="78" spans="1:15" x14ac:dyDescent="0.35">
      <c r="A78">
        <v>35</v>
      </c>
      <c r="B78">
        <v>2</v>
      </c>
      <c r="C78" t="str">
        <f>VLOOKUP(L78,'Hilfstabelle Mashinen'!$A$1:$B$3,2,FALSE)</f>
        <v>Wartung</v>
      </c>
      <c r="D78" s="2">
        <v>44921</v>
      </c>
      <c r="E78" s="3">
        <v>0.20353009259259258</v>
      </c>
      <c r="F78" s="3">
        <f t="shared" si="2"/>
        <v>0.3077199074074074</v>
      </c>
      <c r="K78">
        <v>8</v>
      </c>
      <c r="L78">
        <v>1</v>
      </c>
      <c r="M78" s="3">
        <v>0.26336805555555559</v>
      </c>
      <c r="N78" s="3">
        <v>0.10418981481481482</v>
      </c>
      <c r="O78" s="2">
        <v>44964</v>
      </c>
    </row>
    <row r="79" spans="1:15" x14ac:dyDescent="0.35">
      <c r="A79">
        <v>138</v>
      </c>
      <c r="B79">
        <v>2</v>
      </c>
      <c r="C79" t="str">
        <f>VLOOKUP(L79,'Hilfstabelle Mashinen'!$A$1:$B$3,2,FALSE)</f>
        <v>Ausfall</v>
      </c>
      <c r="D79" s="2">
        <v>44928</v>
      </c>
      <c r="E79" s="3">
        <v>0.45322916666666663</v>
      </c>
      <c r="F79" s="3">
        <f t="shared" si="2"/>
        <v>0.55850694444444438</v>
      </c>
      <c r="K79">
        <v>15</v>
      </c>
      <c r="L79">
        <v>2</v>
      </c>
      <c r="M79" s="3">
        <v>0.1698611111111111</v>
      </c>
      <c r="N79" s="3">
        <v>0.10527777777777779</v>
      </c>
      <c r="O79" s="2">
        <v>44887</v>
      </c>
    </row>
    <row r="80" spans="1:15" x14ac:dyDescent="0.35">
      <c r="A80">
        <v>17</v>
      </c>
      <c r="B80">
        <v>3</v>
      </c>
      <c r="C80" t="str">
        <f>VLOOKUP(L80,'Hilfstabelle Mashinen'!$A$1:$B$3,2,FALSE)</f>
        <v>Wartung</v>
      </c>
      <c r="D80" s="2">
        <v>44931</v>
      </c>
      <c r="E80" s="3">
        <v>0.53206018518518516</v>
      </c>
      <c r="F80" s="3">
        <f t="shared" si="2"/>
        <v>0.65656249999999994</v>
      </c>
      <c r="K80">
        <v>14</v>
      </c>
      <c r="L80">
        <v>1</v>
      </c>
      <c r="M80" s="3">
        <v>0.24894675925925927</v>
      </c>
      <c r="N80" s="3">
        <v>0.12450231481481482</v>
      </c>
      <c r="O80" s="2">
        <v>45043</v>
      </c>
    </row>
    <row r="81" spans="1:15" x14ac:dyDescent="0.35">
      <c r="A81">
        <v>37</v>
      </c>
      <c r="B81">
        <v>6</v>
      </c>
      <c r="C81" t="str">
        <f>VLOOKUP(L81,'Hilfstabelle Mashinen'!$A$1:$B$3,2,FALSE)</f>
        <v>Wartung</v>
      </c>
      <c r="D81" s="2">
        <v>44933</v>
      </c>
      <c r="E81" s="3">
        <v>0.1622800925925926</v>
      </c>
      <c r="F81" s="3">
        <f t="shared" si="2"/>
        <v>0.22233796296296296</v>
      </c>
      <c r="K81">
        <v>15</v>
      </c>
      <c r="L81">
        <v>1</v>
      </c>
      <c r="M81" s="3">
        <v>0.69978009259259266</v>
      </c>
      <c r="N81" s="3">
        <v>6.0057870370370366E-2</v>
      </c>
      <c r="O81" s="2">
        <v>44788</v>
      </c>
    </row>
    <row r="82" spans="1:15" x14ac:dyDescent="0.35">
      <c r="A82">
        <v>145</v>
      </c>
      <c r="B82">
        <v>15</v>
      </c>
      <c r="C82" t="str">
        <f>VLOOKUP(L82,'Hilfstabelle Mashinen'!$A$1:$B$3,2,FALSE)</f>
        <v>Wartung</v>
      </c>
      <c r="D82" s="2">
        <v>44938</v>
      </c>
      <c r="E82" s="3">
        <v>0.17008101851851853</v>
      </c>
      <c r="F82" s="3">
        <f t="shared" si="2"/>
        <v>0.26819444444444446</v>
      </c>
      <c r="K82">
        <v>14</v>
      </c>
      <c r="L82">
        <v>1</v>
      </c>
      <c r="M82" s="3">
        <v>0.95107638888888879</v>
      </c>
      <c r="N82" s="3">
        <v>9.8113425925925923E-2</v>
      </c>
      <c r="O82" s="2">
        <v>44987</v>
      </c>
    </row>
    <row r="83" spans="1:15" x14ac:dyDescent="0.35">
      <c r="A83">
        <v>13</v>
      </c>
      <c r="B83">
        <v>5</v>
      </c>
      <c r="C83" t="str">
        <f>VLOOKUP(L83,'Hilfstabelle Mashinen'!$A$1:$B$3,2,FALSE)</f>
        <v>Wartung</v>
      </c>
      <c r="D83" s="2">
        <v>44939</v>
      </c>
      <c r="E83" s="3">
        <v>0.87553240740740745</v>
      </c>
      <c r="F83" s="3">
        <f t="shared" si="2"/>
        <v>1.0192129629629629</v>
      </c>
      <c r="K83">
        <v>14</v>
      </c>
      <c r="L83">
        <v>1</v>
      </c>
      <c r="M83" s="3">
        <v>0.70839120370370379</v>
      </c>
      <c r="N83" s="3">
        <v>0.14368055555555556</v>
      </c>
      <c r="O83" s="2">
        <v>44765</v>
      </c>
    </row>
    <row r="84" spans="1:15" x14ac:dyDescent="0.35">
      <c r="A84">
        <v>16</v>
      </c>
      <c r="B84">
        <v>13</v>
      </c>
      <c r="C84" t="str">
        <f>VLOOKUP(L84,'Hilfstabelle Mashinen'!$A$1:$B$3,2,FALSE)</f>
        <v>Wartung</v>
      </c>
      <c r="D84" s="2">
        <v>44939</v>
      </c>
      <c r="E84" s="3">
        <v>0.82186342592592598</v>
      </c>
      <c r="F84" s="3">
        <f t="shared" si="2"/>
        <v>0.8260185185185186</v>
      </c>
      <c r="K84">
        <v>11</v>
      </c>
      <c r="L84">
        <v>1</v>
      </c>
      <c r="M84" s="3">
        <v>0.24318287037037037</v>
      </c>
      <c r="N84" s="3">
        <v>4.155092592592593E-3</v>
      </c>
      <c r="O84" s="2">
        <v>44725</v>
      </c>
    </row>
    <row r="85" spans="1:15" x14ac:dyDescent="0.35">
      <c r="A85">
        <v>27</v>
      </c>
      <c r="B85">
        <v>12</v>
      </c>
      <c r="C85" t="str">
        <f>VLOOKUP(L85,'Hilfstabelle Mashinen'!$A$1:$B$3,2,FALSE)</f>
        <v>Ausfall</v>
      </c>
      <c r="D85" s="2">
        <v>44944</v>
      </c>
      <c r="E85" s="3">
        <v>0.97612268518518519</v>
      </c>
      <c r="F85" s="3">
        <f t="shared" si="2"/>
        <v>0.99111111111111116</v>
      </c>
      <c r="K85">
        <v>15</v>
      </c>
      <c r="L85">
        <v>2</v>
      </c>
      <c r="M85" s="3">
        <v>0.29092592592592592</v>
      </c>
      <c r="N85" s="3">
        <v>1.4988425925925926E-2</v>
      </c>
      <c r="O85" s="2">
        <v>44883</v>
      </c>
    </row>
    <row r="86" spans="1:15" x14ac:dyDescent="0.35">
      <c r="A86">
        <v>117</v>
      </c>
      <c r="B86">
        <v>10</v>
      </c>
      <c r="C86" t="str">
        <f>VLOOKUP(L86,'Hilfstabelle Mashinen'!$A$1:$B$3,2,FALSE)</f>
        <v>Ausfall</v>
      </c>
      <c r="D86" s="2">
        <v>44945</v>
      </c>
      <c r="E86" s="3">
        <v>0.2814814814814815</v>
      </c>
      <c r="F86" s="3">
        <f t="shared" si="2"/>
        <v>0.42200231481481487</v>
      </c>
      <c r="K86">
        <v>7</v>
      </c>
      <c r="L86">
        <v>2</v>
      </c>
      <c r="M86" s="3">
        <v>2.9953703703703705E-2</v>
      </c>
      <c r="N86" s="3">
        <v>0.14052083333333334</v>
      </c>
      <c r="O86" s="2">
        <v>45049</v>
      </c>
    </row>
    <row r="87" spans="1:15" x14ac:dyDescent="0.35">
      <c r="A87">
        <v>91</v>
      </c>
      <c r="B87">
        <v>6</v>
      </c>
      <c r="C87" t="str">
        <f>VLOOKUP(L87,'Hilfstabelle Mashinen'!$A$1:$B$3,2,FALSE)</f>
        <v>Ausfall</v>
      </c>
      <c r="D87" s="2">
        <v>44949</v>
      </c>
      <c r="E87" s="3">
        <v>0.12532407407407409</v>
      </c>
      <c r="F87" s="3">
        <f t="shared" si="2"/>
        <v>0.19716435185185188</v>
      </c>
      <c r="K87">
        <v>13</v>
      </c>
      <c r="L87">
        <v>3</v>
      </c>
      <c r="M87" s="3">
        <v>0.72760416666666661</v>
      </c>
      <c r="N87" s="3">
        <v>7.1840277777777781E-2</v>
      </c>
      <c r="O87" s="2">
        <v>44984</v>
      </c>
    </row>
    <row r="88" spans="1:15" x14ac:dyDescent="0.35">
      <c r="A88">
        <v>41</v>
      </c>
      <c r="B88">
        <v>10</v>
      </c>
      <c r="C88" t="str">
        <f>VLOOKUP(L88,'Hilfstabelle Mashinen'!$A$1:$B$3,2,FALSE)</f>
        <v>Wartung</v>
      </c>
      <c r="D88" s="2">
        <v>44953</v>
      </c>
      <c r="E88" s="3">
        <v>0.98802083333333324</v>
      </c>
      <c r="F88" s="3">
        <f t="shared" si="2"/>
        <v>1.001412037037037</v>
      </c>
      <c r="K88">
        <v>6</v>
      </c>
      <c r="L88">
        <v>1</v>
      </c>
      <c r="M88" s="3">
        <v>0.83598379629629627</v>
      </c>
      <c r="N88" s="3">
        <v>1.3391203703703704E-2</v>
      </c>
      <c r="O88" s="2">
        <v>45053</v>
      </c>
    </row>
    <row r="89" spans="1:15" x14ac:dyDescent="0.35">
      <c r="A89">
        <v>100</v>
      </c>
      <c r="B89">
        <v>13</v>
      </c>
      <c r="C89" t="str">
        <f>VLOOKUP(L89,'Hilfstabelle Mashinen'!$A$1:$B$3,2,FALSE)</f>
        <v>Ausfall</v>
      </c>
      <c r="D89" s="2">
        <v>44953</v>
      </c>
      <c r="E89" s="3">
        <v>1.6134259259259265E-2</v>
      </c>
      <c r="F89" s="3">
        <f t="shared" si="2"/>
        <v>0.18041666666666667</v>
      </c>
      <c r="K89">
        <v>6</v>
      </c>
      <c r="L89">
        <v>2</v>
      </c>
      <c r="M89" s="3">
        <v>0.25215277777777778</v>
      </c>
      <c r="N89" s="3">
        <v>0.1642824074074074</v>
      </c>
      <c r="O89" s="2">
        <v>44883</v>
      </c>
    </row>
    <row r="90" spans="1:15" x14ac:dyDescent="0.35">
      <c r="A90">
        <v>102</v>
      </c>
      <c r="B90">
        <v>3</v>
      </c>
      <c r="C90" t="str">
        <f>VLOOKUP(L90,'Hilfstabelle Mashinen'!$A$1:$B$3,2,FALSE)</f>
        <v>Ausfall</v>
      </c>
      <c r="D90" s="2">
        <v>44958</v>
      </c>
      <c r="E90" s="3">
        <v>0.19856481481481481</v>
      </c>
      <c r="F90" s="3">
        <f t="shared" si="2"/>
        <v>0.25541666666666668</v>
      </c>
      <c r="K90">
        <v>7</v>
      </c>
      <c r="L90">
        <v>2</v>
      </c>
      <c r="M90" s="3">
        <v>0.14162037037037037</v>
      </c>
      <c r="N90" s="3">
        <v>5.6851851851851855E-2</v>
      </c>
      <c r="O90" s="2">
        <v>44853</v>
      </c>
    </row>
    <row r="91" spans="1:15" x14ac:dyDescent="0.35">
      <c r="A91">
        <v>90</v>
      </c>
      <c r="B91">
        <v>11</v>
      </c>
      <c r="C91" t="str">
        <f>VLOOKUP(L91,'Hilfstabelle Mashinen'!$A$1:$B$3,2,FALSE)</f>
        <v>Ausfall</v>
      </c>
      <c r="D91" s="2">
        <v>44959</v>
      </c>
      <c r="E91" s="3">
        <v>3.4664351851851904E-2</v>
      </c>
      <c r="F91" s="3">
        <f t="shared" si="2"/>
        <v>0.12510416666666674</v>
      </c>
      <c r="K91">
        <v>11</v>
      </c>
      <c r="L91">
        <v>3</v>
      </c>
      <c r="M91" s="3">
        <v>3.4664351851851904E-2</v>
      </c>
      <c r="N91" s="3">
        <v>9.043981481481482E-2</v>
      </c>
      <c r="O91" s="2">
        <v>44959</v>
      </c>
    </row>
    <row r="92" spans="1:15" x14ac:dyDescent="0.35">
      <c r="A92">
        <v>132</v>
      </c>
      <c r="B92">
        <v>12</v>
      </c>
      <c r="C92" t="str">
        <f>VLOOKUP(L92,'Hilfstabelle Mashinen'!$A$1:$B$3,2,FALSE)</f>
        <v>Ausfall</v>
      </c>
      <c r="D92" s="2">
        <v>44961</v>
      </c>
      <c r="E92" s="3">
        <v>0.76537037037037037</v>
      </c>
      <c r="F92" s="3">
        <f t="shared" si="2"/>
        <v>0.87509259259259253</v>
      </c>
      <c r="K92">
        <v>6</v>
      </c>
      <c r="L92">
        <v>2</v>
      </c>
      <c r="M92" s="3">
        <v>0.12532407407407409</v>
      </c>
      <c r="N92" s="3">
        <v>0.10972222222222222</v>
      </c>
      <c r="O92" s="2">
        <v>44949</v>
      </c>
    </row>
    <row r="93" spans="1:15" x14ac:dyDescent="0.35">
      <c r="A93">
        <v>137</v>
      </c>
      <c r="B93">
        <v>11</v>
      </c>
      <c r="C93" t="str">
        <f>VLOOKUP(L93,'Hilfstabelle Mashinen'!$A$1:$B$3,2,FALSE)</f>
        <v>Wartung</v>
      </c>
      <c r="D93" s="2">
        <v>44961</v>
      </c>
      <c r="E93" s="3">
        <v>0.48255787037037035</v>
      </c>
      <c r="F93" s="3">
        <f t="shared" si="2"/>
        <v>0.58443287037037028</v>
      </c>
      <c r="K93">
        <v>5</v>
      </c>
      <c r="L93">
        <v>1</v>
      </c>
      <c r="M93" s="3">
        <v>0.60875000000000001</v>
      </c>
      <c r="N93" s="3">
        <v>0.10187499999999999</v>
      </c>
      <c r="O93" s="2">
        <v>45032</v>
      </c>
    </row>
    <row r="94" spans="1:15" x14ac:dyDescent="0.35">
      <c r="A94">
        <v>77</v>
      </c>
      <c r="B94">
        <v>8</v>
      </c>
      <c r="C94" t="str">
        <f>VLOOKUP(L94,'Hilfstabelle Mashinen'!$A$1:$B$3,2,FALSE)</f>
        <v>Ausfall</v>
      </c>
      <c r="D94" s="2">
        <v>44964</v>
      </c>
      <c r="E94" s="3">
        <v>0.26336805555555559</v>
      </c>
      <c r="F94" s="3">
        <f t="shared" si="2"/>
        <v>0.29734953703703709</v>
      </c>
      <c r="K94">
        <v>11</v>
      </c>
      <c r="L94">
        <v>3</v>
      </c>
      <c r="M94" s="3">
        <v>0.89520833333333327</v>
      </c>
      <c r="N94" s="3">
        <v>3.3981481481481481E-2</v>
      </c>
      <c r="O94" s="2">
        <v>44718</v>
      </c>
    </row>
    <row r="95" spans="1:15" x14ac:dyDescent="0.35">
      <c r="A95">
        <v>48</v>
      </c>
      <c r="B95">
        <v>15</v>
      </c>
      <c r="C95" t="str">
        <f>VLOOKUP(L95,'Hilfstabelle Mashinen'!$A$1:$B$3,2,FALSE)</f>
        <v>Ausfall</v>
      </c>
      <c r="D95" s="2">
        <v>44968</v>
      </c>
      <c r="E95" s="3">
        <v>0.87230324074074073</v>
      </c>
      <c r="F95" s="3">
        <f t="shared" si="2"/>
        <v>1.0006018518518518</v>
      </c>
      <c r="K95">
        <v>7</v>
      </c>
      <c r="L95">
        <v>2</v>
      </c>
      <c r="M95" s="3">
        <v>0.56321759259259263</v>
      </c>
      <c r="N95" s="3">
        <v>0.1282986111111111</v>
      </c>
      <c r="O95" s="2">
        <v>45063</v>
      </c>
    </row>
    <row r="96" spans="1:15" x14ac:dyDescent="0.35">
      <c r="A96">
        <v>148</v>
      </c>
      <c r="B96">
        <v>6</v>
      </c>
      <c r="C96" t="str">
        <f>VLOOKUP(L96,'Hilfstabelle Mashinen'!$A$1:$B$3,2,FALSE)</f>
        <v>Ausfall</v>
      </c>
      <c r="D96" s="2">
        <v>44971</v>
      </c>
      <c r="E96" s="3">
        <v>0.3385185185185185</v>
      </c>
      <c r="F96" s="3">
        <f t="shared" si="2"/>
        <v>0.35401620370370368</v>
      </c>
      <c r="K96">
        <v>4</v>
      </c>
      <c r="L96">
        <v>3</v>
      </c>
      <c r="M96" s="3">
        <v>8.7812500000000002E-2</v>
      </c>
      <c r="N96" s="3">
        <v>1.5497685185185186E-2</v>
      </c>
      <c r="O96" s="2">
        <v>44840</v>
      </c>
    </row>
    <row r="97" spans="1:15" x14ac:dyDescent="0.35">
      <c r="A97">
        <v>99</v>
      </c>
      <c r="B97">
        <v>5</v>
      </c>
      <c r="C97" t="str">
        <f>VLOOKUP(L97,'Hilfstabelle Mashinen'!$A$1:$B$3,2,FALSE)</f>
        <v>Wartung</v>
      </c>
      <c r="D97" s="2">
        <v>44973</v>
      </c>
      <c r="E97" s="3">
        <v>0.90153935185185186</v>
      </c>
      <c r="F97" s="3">
        <f t="shared" si="2"/>
        <v>1.0546412037037036</v>
      </c>
      <c r="K97">
        <v>3</v>
      </c>
      <c r="L97">
        <v>1</v>
      </c>
      <c r="M97" s="3">
        <v>0.57611111111111113</v>
      </c>
      <c r="N97" s="3">
        <v>0.15310185185185185</v>
      </c>
      <c r="O97" s="2">
        <v>45064</v>
      </c>
    </row>
    <row r="98" spans="1:15" x14ac:dyDescent="0.35">
      <c r="A98">
        <v>14</v>
      </c>
      <c r="B98">
        <v>4</v>
      </c>
      <c r="C98" t="str">
        <f>VLOOKUP(L98,'Hilfstabelle Mashinen'!$A$1:$B$3,2,FALSE)</f>
        <v>Ausfall</v>
      </c>
      <c r="D98" s="2">
        <v>44977</v>
      </c>
      <c r="E98" s="3">
        <v>0.84350694444444452</v>
      </c>
      <c r="F98" s="3">
        <f t="shared" ref="F98:F129" si="3">E98+N98</f>
        <v>0.9909837962962964</v>
      </c>
      <c r="K98">
        <v>6</v>
      </c>
      <c r="L98">
        <v>3</v>
      </c>
      <c r="M98" s="3">
        <v>0.72394675925925922</v>
      </c>
      <c r="N98" s="3">
        <v>0.14747685185185186</v>
      </c>
      <c r="O98" s="2">
        <v>44724</v>
      </c>
    </row>
    <row r="99" spans="1:15" x14ac:dyDescent="0.35">
      <c r="A99">
        <v>61</v>
      </c>
      <c r="B99">
        <v>15</v>
      </c>
      <c r="C99" t="str">
        <f>VLOOKUP(L99,'Hilfstabelle Mashinen'!$A$1:$B$3,2,FALSE)</f>
        <v>Wartung</v>
      </c>
      <c r="D99" s="2">
        <v>44980</v>
      </c>
      <c r="E99" s="3">
        <v>0.84761574074074064</v>
      </c>
      <c r="F99" s="3">
        <f t="shared" si="3"/>
        <v>0.9641087962962962</v>
      </c>
      <c r="K99">
        <v>5</v>
      </c>
      <c r="L99">
        <v>1</v>
      </c>
      <c r="M99" s="3">
        <v>0.89203703703703707</v>
      </c>
      <c r="N99" s="3">
        <v>0.11649305555555556</v>
      </c>
      <c r="O99" s="2">
        <v>45032</v>
      </c>
    </row>
    <row r="100" spans="1:15" x14ac:dyDescent="0.35">
      <c r="A100">
        <v>58</v>
      </c>
      <c r="B100">
        <v>14</v>
      </c>
      <c r="C100" t="str">
        <f>VLOOKUP(L100,'Hilfstabelle Mashinen'!$A$1:$B$3,2,FALSE)</f>
        <v>Ausfall</v>
      </c>
      <c r="D100" s="2">
        <v>44982</v>
      </c>
      <c r="E100" s="3">
        <v>0.7249537037037036</v>
      </c>
      <c r="F100" s="3">
        <f t="shared" si="3"/>
        <v>0.78057870370370364</v>
      </c>
      <c r="K100">
        <v>5</v>
      </c>
      <c r="L100">
        <v>3</v>
      </c>
      <c r="M100" s="3">
        <v>0.90153935185185186</v>
      </c>
      <c r="N100" s="3">
        <v>5.5625000000000001E-2</v>
      </c>
      <c r="O100" s="2">
        <v>44973</v>
      </c>
    </row>
    <row r="101" spans="1:15" x14ac:dyDescent="0.35">
      <c r="A101">
        <v>66</v>
      </c>
      <c r="B101">
        <v>1</v>
      </c>
      <c r="C101" t="str">
        <f>VLOOKUP(L101,'Hilfstabelle Mashinen'!$A$1:$B$3,2,FALSE)</f>
        <v>Ausfall</v>
      </c>
      <c r="D101" s="2">
        <v>44982</v>
      </c>
      <c r="E101" s="3">
        <v>0.3934259259259259</v>
      </c>
      <c r="F101" s="3">
        <f t="shared" si="3"/>
        <v>0.52515046296296297</v>
      </c>
      <c r="K101">
        <v>13</v>
      </c>
      <c r="L101">
        <v>2</v>
      </c>
      <c r="M101" s="3">
        <v>1.6134259259259265E-2</v>
      </c>
      <c r="N101" s="3">
        <v>0.13172453703703704</v>
      </c>
      <c r="O101" s="2">
        <v>44953</v>
      </c>
    </row>
    <row r="102" spans="1:15" x14ac:dyDescent="0.35">
      <c r="A102">
        <v>86</v>
      </c>
      <c r="B102">
        <v>13</v>
      </c>
      <c r="C102" t="str">
        <f>VLOOKUP(L102,'Hilfstabelle Mashinen'!$A$1:$B$3,2,FALSE)</f>
        <v>Ausfall</v>
      </c>
      <c r="D102" s="2">
        <v>44984</v>
      </c>
      <c r="E102" s="3">
        <v>0.72760416666666661</v>
      </c>
      <c r="F102" s="3">
        <f t="shared" si="3"/>
        <v>0.77159722222222216</v>
      </c>
      <c r="K102">
        <v>8</v>
      </c>
      <c r="L102">
        <v>3</v>
      </c>
      <c r="M102" s="3">
        <v>6.609953703703704E-2</v>
      </c>
      <c r="N102" s="3">
        <v>4.3993055555555556E-2</v>
      </c>
      <c r="O102" s="2">
        <v>44829</v>
      </c>
    </row>
    <row r="103" spans="1:15" x14ac:dyDescent="0.35">
      <c r="A103">
        <v>43</v>
      </c>
      <c r="B103">
        <v>6</v>
      </c>
      <c r="C103" t="str">
        <f>VLOOKUP(L103,'Hilfstabelle Mashinen'!$A$1:$B$3,2,FALSE)</f>
        <v>Ausfall</v>
      </c>
      <c r="D103" s="2">
        <v>44985</v>
      </c>
      <c r="E103" s="3">
        <v>0.28263888888888888</v>
      </c>
      <c r="F103" s="3">
        <f t="shared" si="3"/>
        <v>0.36635416666666665</v>
      </c>
      <c r="K103">
        <v>3</v>
      </c>
      <c r="L103">
        <v>2</v>
      </c>
      <c r="M103" s="3">
        <v>0.19856481481481481</v>
      </c>
      <c r="N103" s="3">
        <v>8.3715277777777763E-2</v>
      </c>
      <c r="O103" s="2">
        <v>44958</v>
      </c>
    </row>
    <row r="104" spans="1:15" x14ac:dyDescent="0.35">
      <c r="A104">
        <v>81</v>
      </c>
      <c r="B104">
        <v>14</v>
      </c>
      <c r="C104" t="str">
        <f>VLOOKUP(L104,'Hilfstabelle Mashinen'!$A$1:$B$3,2,FALSE)</f>
        <v>Wartung</v>
      </c>
      <c r="D104" s="2">
        <v>44987</v>
      </c>
      <c r="E104" s="3">
        <v>0.95107638888888879</v>
      </c>
      <c r="F104" s="3">
        <f t="shared" si="3"/>
        <v>1.0022685185185185</v>
      </c>
      <c r="K104">
        <v>14</v>
      </c>
      <c r="L104">
        <v>1</v>
      </c>
      <c r="M104" s="3">
        <v>0.94384259259259251</v>
      </c>
      <c r="N104" s="3">
        <v>5.1192129629629629E-2</v>
      </c>
      <c r="O104" s="2">
        <v>45011</v>
      </c>
    </row>
    <row r="105" spans="1:15" x14ac:dyDescent="0.35">
      <c r="A105">
        <v>38</v>
      </c>
      <c r="B105">
        <v>7</v>
      </c>
      <c r="C105" t="str">
        <f>VLOOKUP(L105,'Hilfstabelle Mashinen'!$A$1:$B$3,2,FALSE)</f>
        <v>Ausfall</v>
      </c>
      <c r="D105" s="2">
        <v>44988</v>
      </c>
      <c r="E105" s="3">
        <v>0.31082175925925926</v>
      </c>
      <c r="F105" s="3">
        <f t="shared" si="3"/>
        <v>0.34423611111111113</v>
      </c>
      <c r="K105">
        <v>4</v>
      </c>
      <c r="L105">
        <v>2</v>
      </c>
      <c r="M105" s="3">
        <v>0.71609953703703699</v>
      </c>
      <c r="N105" s="3">
        <v>3.3414351851851855E-2</v>
      </c>
      <c r="O105" s="2">
        <v>44821</v>
      </c>
    </row>
    <row r="106" spans="1:15" x14ac:dyDescent="0.35">
      <c r="A106">
        <v>105</v>
      </c>
      <c r="B106">
        <v>1</v>
      </c>
      <c r="C106" t="str">
        <f>VLOOKUP(L106,'Hilfstabelle Mashinen'!$A$1:$B$3,2,FALSE)</f>
        <v>Ausfall</v>
      </c>
      <c r="D106" s="2">
        <v>44992</v>
      </c>
      <c r="E106" s="3">
        <v>0.97372685185185182</v>
      </c>
      <c r="F106" s="3">
        <f t="shared" si="3"/>
        <v>1.1113425925925926</v>
      </c>
      <c r="K106">
        <v>1</v>
      </c>
      <c r="L106">
        <v>2</v>
      </c>
      <c r="M106" s="3">
        <v>0.97372685185185182</v>
      </c>
      <c r="N106" s="3">
        <v>0.13761574074074076</v>
      </c>
      <c r="O106" s="2">
        <v>44992</v>
      </c>
    </row>
    <row r="107" spans="1:15" x14ac:dyDescent="0.35">
      <c r="A107">
        <v>52</v>
      </c>
      <c r="B107">
        <v>5</v>
      </c>
      <c r="C107" t="str">
        <f>VLOOKUP(L107,'Hilfstabelle Mashinen'!$A$1:$B$3,2,FALSE)</f>
        <v>Ausfall</v>
      </c>
      <c r="D107" s="2">
        <v>44998</v>
      </c>
      <c r="E107" s="3">
        <v>0.18841435185185185</v>
      </c>
      <c r="F107" s="3">
        <f t="shared" si="3"/>
        <v>0.28480324074074076</v>
      </c>
      <c r="K107">
        <v>11</v>
      </c>
      <c r="L107">
        <v>2</v>
      </c>
      <c r="M107" s="3">
        <v>0.19855324074074074</v>
      </c>
      <c r="N107" s="3">
        <v>9.6388888888888899E-2</v>
      </c>
      <c r="O107" s="2">
        <v>44817</v>
      </c>
    </row>
    <row r="108" spans="1:15" x14ac:dyDescent="0.35">
      <c r="A108">
        <v>65</v>
      </c>
      <c r="B108">
        <v>8</v>
      </c>
      <c r="C108" t="str">
        <f>VLOOKUP(L108,'Hilfstabelle Mashinen'!$A$1:$B$3,2,FALSE)</f>
        <v>Ausfall</v>
      </c>
      <c r="D108" s="2">
        <v>44998</v>
      </c>
      <c r="E108" s="3">
        <v>0.46259259259259261</v>
      </c>
      <c r="F108" s="3">
        <f t="shared" si="3"/>
        <v>0.57973379629629629</v>
      </c>
      <c r="K108">
        <v>14</v>
      </c>
      <c r="L108">
        <v>2</v>
      </c>
      <c r="M108" s="3">
        <v>0.43123842592592593</v>
      </c>
      <c r="N108" s="3">
        <v>0.11714120370370369</v>
      </c>
      <c r="O108" s="2">
        <v>45004</v>
      </c>
    </row>
    <row r="109" spans="1:15" x14ac:dyDescent="0.35">
      <c r="A109">
        <v>129</v>
      </c>
      <c r="B109">
        <v>4</v>
      </c>
      <c r="C109" t="str">
        <f>VLOOKUP(L109,'Hilfstabelle Mashinen'!$A$1:$B$3,2,FALSE)</f>
        <v>Ausfall</v>
      </c>
      <c r="D109" s="2">
        <v>45000</v>
      </c>
      <c r="E109" s="3">
        <v>0.4528935185185185</v>
      </c>
      <c r="F109" s="3">
        <f t="shared" si="3"/>
        <v>0.45962962962962961</v>
      </c>
      <c r="K109">
        <v>3</v>
      </c>
      <c r="L109">
        <v>2</v>
      </c>
      <c r="M109" s="3">
        <v>0.2854976851851852</v>
      </c>
      <c r="N109" s="3">
        <v>6.7361111111111103E-3</v>
      </c>
      <c r="O109" s="2">
        <v>44917</v>
      </c>
    </row>
    <row r="110" spans="1:15" x14ac:dyDescent="0.35">
      <c r="A110">
        <v>51</v>
      </c>
      <c r="B110">
        <v>8</v>
      </c>
      <c r="C110" t="str">
        <f>VLOOKUP(L110,'Hilfstabelle Mashinen'!$A$1:$B$3,2,FALSE)</f>
        <v>Ausfall</v>
      </c>
      <c r="D110" s="2">
        <v>45003</v>
      </c>
      <c r="E110" s="3">
        <v>0.27560185185185188</v>
      </c>
      <c r="F110" s="3">
        <f t="shared" si="3"/>
        <v>0.28424768518518523</v>
      </c>
      <c r="K110">
        <v>6</v>
      </c>
      <c r="L110">
        <v>2</v>
      </c>
      <c r="M110" s="3">
        <v>2.1898148148148167E-2</v>
      </c>
      <c r="N110" s="3">
        <v>8.6458333333333335E-3</v>
      </c>
      <c r="O110" s="2">
        <v>44776</v>
      </c>
    </row>
    <row r="111" spans="1:15" x14ac:dyDescent="0.35">
      <c r="A111">
        <v>75</v>
      </c>
      <c r="B111">
        <v>15</v>
      </c>
      <c r="C111" t="str">
        <f>VLOOKUP(L111,'Hilfstabelle Mashinen'!$A$1:$B$3,2,FALSE)</f>
        <v>Ausfall</v>
      </c>
      <c r="D111" s="2">
        <v>45004</v>
      </c>
      <c r="E111" s="3">
        <v>0.60315972222222225</v>
      </c>
      <c r="F111" s="3">
        <f t="shared" si="3"/>
        <v>0.75747685185185187</v>
      </c>
      <c r="K111">
        <v>12</v>
      </c>
      <c r="L111">
        <v>3</v>
      </c>
      <c r="M111" s="3">
        <v>0.7440972222222223</v>
      </c>
      <c r="N111" s="3">
        <v>0.15431712962962962</v>
      </c>
      <c r="O111" s="2">
        <v>45065</v>
      </c>
    </row>
    <row r="112" spans="1:15" x14ac:dyDescent="0.35">
      <c r="A112">
        <v>107</v>
      </c>
      <c r="B112">
        <v>14</v>
      </c>
      <c r="C112" t="str">
        <f>VLOOKUP(L112,'Hilfstabelle Mashinen'!$A$1:$B$3,2,FALSE)</f>
        <v>Ausfall</v>
      </c>
      <c r="D112" s="2">
        <v>45004</v>
      </c>
      <c r="E112" s="3">
        <v>0.43123842592592593</v>
      </c>
      <c r="F112" s="3">
        <f t="shared" si="3"/>
        <v>0.51569444444444446</v>
      </c>
      <c r="K112">
        <v>4</v>
      </c>
      <c r="L112">
        <v>2</v>
      </c>
      <c r="M112" s="3">
        <v>0.481412037037037</v>
      </c>
      <c r="N112" s="3">
        <v>8.4456018518518527E-2</v>
      </c>
      <c r="O112" s="2">
        <v>45071</v>
      </c>
    </row>
    <row r="113" spans="1:15" x14ac:dyDescent="0.35">
      <c r="A113">
        <v>40</v>
      </c>
      <c r="B113">
        <v>12</v>
      </c>
      <c r="C113" t="str">
        <f>VLOOKUP(L113,'Hilfstabelle Mashinen'!$A$1:$B$3,2,FALSE)</f>
        <v>Ausfall</v>
      </c>
      <c r="D113" s="2">
        <v>45006</v>
      </c>
      <c r="E113" s="3">
        <v>0.6859143518518519</v>
      </c>
      <c r="F113" s="3">
        <f t="shared" si="3"/>
        <v>0.80892361111111111</v>
      </c>
      <c r="K113">
        <v>4</v>
      </c>
      <c r="L113">
        <v>3</v>
      </c>
      <c r="M113" s="3">
        <v>0.17276620370370369</v>
      </c>
      <c r="N113" s="3">
        <v>0.12300925925925926</v>
      </c>
      <c r="O113" s="2">
        <v>44767</v>
      </c>
    </row>
    <row r="114" spans="1:15" x14ac:dyDescent="0.35">
      <c r="A114">
        <v>7</v>
      </c>
      <c r="B114">
        <v>9</v>
      </c>
      <c r="C114" t="str">
        <f>VLOOKUP(L114,'Hilfstabelle Mashinen'!$A$1:$B$3,2,FALSE)</f>
        <v>Ausfall</v>
      </c>
      <c r="D114" s="2">
        <v>45007</v>
      </c>
      <c r="E114" s="3">
        <v>0.22901620370370371</v>
      </c>
      <c r="F114" s="3">
        <f t="shared" si="3"/>
        <v>0.26326388888888891</v>
      </c>
      <c r="K114">
        <v>1</v>
      </c>
      <c r="L114">
        <v>2</v>
      </c>
      <c r="M114" s="3">
        <v>0.62318287037037035</v>
      </c>
      <c r="N114" s="3">
        <v>3.4247685185185187E-2</v>
      </c>
      <c r="O114" s="2">
        <v>44895</v>
      </c>
    </row>
    <row r="115" spans="1:15" x14ac:dyDescent="0.35">
      <c r="A115">
        <v>33</v>
      </c>
      <c r="B115">
        <v>13</v>
      </c>
      <c r="C115" t="str">
        <f>VLOOKUP(L115,'Hilfstabelle Mashinen'!$A$1:$B$3,2,FALSE)</f>
        <v>Ausfall</v>
      </c>
      <c r="D115" s="2">
        <v>45009</v>
      </c>
      <c r="E115" s="3">
        <v>0.63472222222222219</v>
      </c>
      <c r="F115" s="3">
        <f t="shared" si="3"/>
        <v>0.80148148148148146</v>
      </c>
      <c r="K115">
        <v>8</v>
      </c>
      <c r="L115">
        <v>3</v>
      </c>
      <c r="M115" s="3">
        <v>0.11599537037037037</v>
      </c>
      <c r="N115" s="3">
        <v>0.16675925925925927</v>
      </c>
      <c r="O115" s="2">
        <v>44905</v>
      </c>
    </row>
    <row r="116" spans="1:15" x14ac:dyDescent="0.35">
      <c r="A116">
        <v>103</v>
      </c>
      <c r="B116">
        <v>14</v>
      </c>
      <c r="C116" t="str">
        <f>VLOOKUP(L116,'Hilfstabelle Mashinen'!$A$1:$B$3,2,FALSE)</f>
        <v>Ausfall</v>
      </c>
      <c r="D116" s="2">
        <v>45011</v>
      </c>
      <c r="E116" s="3">
        <v>0.94384259259259251</v>
      </c>
      <c r="F116" s="3">
        <f t="shared" si="3"/>
        <v>0.97158564814814807</v>
      </c>
      <c r="K116">
        <v>10</v>
      </c>
      <c r="L116">
        <v>3</v>
      </c>
      <c r="M116" s="3">
        <v>0.61556712962962956</v>
      </c>
      <c r="N116" s="3">
        <v>2.7743055555555559E-2</v>
      </c>
      <c r="O116" s="2">
        <v>44719</v>
      </c>
    </row>
    <row r="117" spans="1:15" x14ac:dyDescent="0.35">
      <c r="A117">
        <v>70</v>
      </c>
      <c r="B117">
        <v>12</v>
      </c>
      <c r="C117" t="str">
        <f>VLOOKUP(L117,'Hilfstabelle Mashinen'!$A$1:$B$3,2,FALSE)</f>
        <v>Ausfall</v>
      </c>
      <c r="D117" s="2">
        <v>45012</v>
      </c>
      <c r="E117" s="3">
        <v>0.34225694444444449</v>
      </c>
      <c r="F117" s="3">
        <f t="shared" si="3"/>
        <v>0.3703819444444445</v>
      </c>
      <c r="K117">
        <v>13</v>
      </c>
      <c r="L117">
        <v>2</v>
      </c>
      <c r="M117" s="3">
        <v>0.65162037037037035</v>
      </c>
      <c r="N117" s="3">
        <v>2.8125000000000001E-2</v>
      </c>
      <c r="O117" s="2">
        <v>44856</v>
      </c>
    </row>
    <row r="118" spans="1:15" x14ac:dyDescent="0.35">
      <c r="A118">
        <v>118</v>
      </c>
      <c r="B118">
        <v>11</v>
      </c>
      <c r="C118" t="str">
        <f>VLOOKUP(L118,'Hilfstabelle Mashinen'!$A$1:$B$3,2,FALSE)</f>
        <v>Wartung</v>
      </c>
      <c r="D118" s="2">
        <v>45012</v>
      </c>
      <c r="E118" s="3">
        <v>0.6321296296296296</v>
      </c>
      <c r="F118" s="3">
        <f t="shared" si="3"/>
        <v>0.67491898148148144</v>
      </c>
      <c r="K118">
        <v>10</v>
      </c>
      <c r="L118">
        <v>1</v>
      </c>
      <c r="M118" s="3">
        <v>0.2814814814814815</v>
      </c>
      <c r="N118" s="3">
        <v>4.2789351851851849E-2</v>
      </c>
      <c r="O118" s="2">
        <v>44945</v>
      </c>
    </row>
    <row r="119" spans="1:15" x14ac:dyDescent="0.35">
      <c r="A119">
        <v>131</v>
      </c>
      <c r="B119">
        <v>2</v>
      </c>
      <c r="C119" t="str">
        <f>VLOOKUP(L119,'Hilfstabelle Mashinen'!$A$1:$B$3,2,FALSE)</f>
        <v>Wartung</v>
      </c>
      <c r="D119" s="2">
        <v>45012</v>
      </c>
      <c r="E119" s="3">
        <v>0.70008101851851856</v>
      </c>
      <c r="F119" s="3">
        <f t="shared" si="3"/>
        <v>0.79387731481481483</v>
      </c>
      <c r="K119">
        <v>11</v>
      </c>
      <c r="L119">
        <v>1</v>
      </c>
      <c r="M119" s="3">
        <v>0.6321296296296296</v>
      </c>
      <c r="N119" s="3">
        <v>9.3796296296296308E-2</v>
      </c>
      <c r="O119" s="2">
        <v>45012</v>
      </c>
    </row>
    <row r="120" spans="1:15" x14ac:dyDescent="0.35">
      <c r="A120">
        <v>46</v>
      </c>
      <c r="B120">
        <v>11</v>
      </c>
      <c r="C120" t="str">
        <f>VLOOKUP(L120,'Hilfstabelle Mashinen'!$A$1:$B$3,2,FALSE)</f>
        <v>Ausfall</v>
      </c>
      <c r="D120" s="2">
        <v>45014</v>
      </c>
      <c r="E120" s="3">
        <v>8.2060185185185187E-3</v>
      </c>
      <c r="F120" s="3">
        <f t="shared" si="3"/>
        <v>0.15413194444444445</v>
      </c>
      <c r="K120">
        <v>10</v>
      </c>
      <c r="L120">
        <v>3</v>
      </c>
      <c r="M120" s="3">
        <v>0.99134259259259261</v>
      </c>
      <c r="N120" s="3">
        <v>0.14592592592592593</v>
      </c>
      <c r="O120" s="2">
        <v>44835</v>
      </c>
    </row>
    <row r="121" spans="1:15" x14ac:dyDescent="0.35">
      <c r="A121">
        <v>30</v>
      </c>
      <c r="B121">
        <v>9</v>
      </c>
      <c r="C121" t="str">
        <f>VLOOKUP(L121,'Hilfstabelle Mashinen'!$A$1:$B$3,2,FALSE)</f>
        <v>Ausfall</v>
      </c>
      <c r="D121" s="2">
        <v>45018</v>
      </c>
      <c r="E121" s="3">
        <v>0.12515046296296298</v>
      </c>
      <c r="F121" s="3">
        <f t="shared" si="3"/>
        <v>0.25785879629629632</v>
      </c>
      <c r="K121">
        <v>9</v>
      </c>
      <c r="L121">
        <v>2</v>
      </c>
      <c r="M121" s="3">
        <v>4.3287037037037035E-3</v>
      </c>
      <c r="N121" s="3">
        <v>0.13270833333333334</v>
      </c>
      <c r="O121" s="2">
        <v>44739</v>
      </c>
    </row>
    <row r="122" spans="1:15" x14ac:dyDescent="0.35">
      <c r="A122">
        <v>23</v>
      </c>
      <c r="B122">
        <v>14</v>
      </c>
      <c r="C122" t="str">
        <f>VLOOKUP(L122,'Hilfstabelle Mashinen'!$A$1:$B$3,2,FALSE)</f>
        <v>Ausfall</v>
      </c>
      <c r="D122" s="2">
        <v>45019</v>
      </c>
      <c r="E122" s="3">
        <v>0.71423611111111107</v>
      </c>
      <c r="F122" s="3">
        <f t="shared" si="3"/>
        <v>0.76927083333333335</v>
      </c>
      <c r="K122">
        <v>3</v>
      </c>
      <c r="L122">
        <v>2</v>
      </c>
      <c r="M122" s="3">
        <v>0.32275462962962964</v>
      </c>
      <c r="N122" s="3">
        <v>5.5034722222222221E-2</v>
      </c>
      <c r="O122" s="2">
        <v>44729</v>
      </c>
    </row>
    <row r="123" spans="1:15" x14ac:dyDescent="0.35">
      <c r="A123">
        <v>74</v>
      </c>
      <c r="B123">
        <v>12</v>
      </c>
      <c r="C123" t="str">
        <f>VLOOKUP(L123,'Hilfstabelle Mashinen'!$A$1:$B$3,2,FALSE)</f>
        <v>Ausfall</v>
      </c>
      <c r="D123" s="2">
        <v>45028</v>
      </c>
      <c r="E123" s="3">
        <v>0.94185185185185183</v>
      </c>
      <c r="F123" s="3">
        <f t="shared" si="3"/>
        <v>1.0943171296296297</v>
      </c>
      <c r="K123">
        <v>12</v>
      </c>
      <c r="L123">
        <v>3</v>
      </c>
      <c r="M123" s="3">
        <v>0.48082175925925924</v>
      </c>
      <c r="N123" s="3">
        <v>0.15246527777777777</v>
      </c>
      <c r="O123" s="2">
        <v>45076</v>
      </c>
    </row>
    <row r="124" spans="1:15" x14ac:dyDescent="0.35">
      <c r="A124">
        <v>32</v>
      </c>
      <c r="B124">
        <v>9</v>
      </c>
      <c r="C124" t="str">
        <f>VLOOKUP(L124,'Hilfstabelle Mashinen'!$A$1:$B$3,2,FALSE)</f>
        <v>Wartung</v>
      </c>
      <c r="D124" s="2">
        <v>45029</v>
      </c>
      <c r="E124" s="3">
        <v>0.13414351851851852</v>
      </c>
      <c r="F124" s="3">
        <f t="shared" si="3"/>
        <v>0.19236111111111112</v>
      </c>
      <c r="K124">
        <v>11</v>
      </c>
      <c r="L124">
        <v>1</v>
      </c>
      <c r="M124" s="3">
        <v>0.47758101851851853</v>
      </c>
      <c r="N124" s="3">
        <v>5.8217592592592592E-2</v>
      </c>
      <c r="O124" s="2">
        <v>44717</v>
      </c>
    </row>
    <row r="125" spans="1:15" x14ac:dyDescent="0.35">
      <c r="A125">
        <v>140</v>
      </c>
      <c r="B125">
        <v>9</v>
      </c>
      <c r="C125" t="str">
        <f>VLOOKUP(L125,'Hilfstabelle Mashinen'!$A$1:$B$3,2,FALSE)</f>
        <v>Wartung</v>
      </c>
      <c r="D125" s="2">
        <v>45031</v>
      </c>
      <c r="E125" s="3">
        <v>0.71090277777777777</v>
      </c>
      <c r="F125" s="3">
        <f t="shared" si="3"/>
        <v>0.74406249999999996</v>
      </c>
      <c r="K125">
        <v>5</v>
      </c>
      <c r="L125">
        <v>1</v>
      </c>
      <c r="M125" s="3">
        <v>0.93541666666666667</v>
      </c>
      <c r="N125" s="3">
        <v>3.3159722222222222E-2</v>
      </c>
      <c r="O125" s="2">
        <v>44840</v>
      </c>
    </row>
    <row r="126" spans="1:15" x14ac:dyDescent="0.35">
      <c r="A126">
        <v>45</v>
      </c>
      <c r="B126">
        <v>1</v>
      </c>
      <c r="C126" t="str">
        <f>VLOOKUP(L126,'Hilfstabelle Mashinen'!$A$1:$B$3,2,FALSE)</f>
        <v>Ausfall</v>
      </c>
      <c r="D126" s="2">
        <v>45032</v>
      </c>
      <c r="E126" s="3">
        <v>0.36305555555555552</v>
      </c>
      <c r="F126" s="3">
        <f t="shared" si="3"/>
        <v>0.51701388888888888</v>
      </c>
      <c r="K126">
        <v>15</v>
      </c>
      <c r="L126">
        <v>3</v>
      </c>
      <c r="M126" s="3">
        <v>7.9409722222222215E-2</v>
      </c>
      <c r="N126" s="3">
        <v>0.15395833333333334</v>
      </c>
      <c r="O126" s="2">
        <v>44773</v>
      </c>
    </row>
    <row r="127" spans="1:15" x14ac:dyDescent="0.35">
      <c r="A127">
        <v>92</v>
      </c>
      <c r="B127">
        <v>5</v>
      </c>
      <c r="C127" t="str">
        <f>VLOOKUP(L127,'Hilfstabelle Mashinen'!$A$1:$B$3,2,FALSE)</f>
        <v>Ausfall</v>
      </c>
      <c r="D127" s="2">
        <v>45032</v>
      </c>
      <c r="E127" s="3">
        <v>0.60875000000000001</v>
      </c>
      <c r="F127" s="3">
        <f t="shared" si="3"/>
        <v>0.67112268518518525</v>
      </c>
      <c r="K127">
        <v>2</v>
      </c>
      <c r="L127">
        <v>2</v>
      </c>
      <c r="M127" s="3">
        <v>8.1759259259259254E-2</v>
      </c>
      <c r="N127" s="3">
        <v>6.2372685185185184E-2</v>
      </c>
      <c r="O127" s="2">
        <v>44728</v>
      </c>
    </row>
    <row r="128" spans="1:15" x14ac:dyDescent="0.35">
      <c r="A128">
        <v>98</v>
      </c>
      <c r="B128">
        <v>5</v>
      </c>
      <c r="C128" t="str">
        <f>VLOOKUP(L128,'Hilfstabelle Mashinen'!$A$1:$B$3,2,FALSE)</f>
        <v>Wartung</v>
      </c>
      <c r="D128" s="2">
        <v>45032</v>
      </c>
      <c r="E128" s="3">
        <v>0.89203703703703707</v>
      </c>
      <c r="F128" s="3">
        <f t="shared" si="3"/>
        <v>1.0271180555555557</v>
      </c>
      <c r="K128">
        <v>1</v>
      </c>
      <c r="L128">
        <v>1</v>
      </c>
      <c r="M128" s="3">
        <v>0.20603009259259261</v>
      </c>
      <c r="N128" s="3">
        <v>0.13508101851851853</v>
      </c>
      <c r="O128" s="2">
        <v>44916</v>
      </c>
    </row>
    <row r="129" spans="1:15" x14ac:dyDescent="0.35">
      <c r="A129">
        <v>141</v>
      </c>
      <c r="B129">
        <v>7</v>
      </c>
      <c r="C129" t="str">
        <f>VLOOKUP(L129,'Hilfstabelle Mashinen'!$A$1:$B$3,2,FALSE)</f>
        <v>Ausfall</v>
      </c>
      <c r="D129" s="2">
        <v>45033</v>
      </c>
      <c r="E129" s="3">
        <v>7.211805555555556E-2</v>
      </c>
      <c r="F129" s="3">
        <f t="shared" si="3"/>
        <v>0.18539351851851854</v>
      </c>
      <c r="K129">
        <v>13</v>
      </c>
      <c r="L129">
        <v>2</v>
      </c>
      <c r="M129" s="3">
        <v>0.14526620370370372</v>
      </c>
      <c r="N129" s="3">
        <v>0.11327546296296297</v>
      </c>
      <c r="O129" s="2">
        <v>44808</v>
      </c>
    </row>
    <row r="130" spans="1:15" x14ac:dyDescent="0.35">
      <c r="A130">
        <v>15</v>
      </c>
      <c r="B130">
        <v>12</v>
      </c>
      <c r="C130" t="str">
        <f>VLOOKUP(L130,'Hilfstabelle Mashinen'!$A$1:$B$3,2,FALSE)</f>
        <v>Ausfall</v>
      </c>
      <c r="D130" s="2">
        <v>45036</v>
      </c>
      <c r="E130" s="3">
        <v>0.24878472222222223</v>
      </c>
      <c r="F130" s="3">
        <f t="shared" ref="F130:F150" si="4">E130+N130</f>
        <v>0.25849537037037035</v>
      </c>
      <c r="K130">
        <v>4</v>
      </c>
      <c r="L130">
        <v>2</v>
      </c>
      <c r="M130" s="3">
        <v>0.4528935185185185</v>
      </c>
      <c r="N130" s="3">
        <v>9.7106481481481471E-3</v>
      </c>
      <c r="O130" s="2">
        <v>45000</v>
      </c>
    </row>
    <row r="131" spans="1:15" x14ac:dyDescent="0.35">
      <c r="A131">
        <v>134</v>
      </c>
      <c r="B131">
        <v>13</v>
      </c>
      <c r="C131" t="str">
        <f>VLOOKUP(L131,'Hilfstabelle Mashinen'!$A$1:$B$3,2,FALSE)</f>
        <v>Ausfall</v>
      </c>
      <c r="D131" s="2">
        <v>45039</v>
      </c>
      <c r="E131" s="3">
        <v>0.87815972222222216</v>
      </c>
      <c r="F131" s="3">
        <f t="shared" si="4"/>
        <v>0.97488425925925926</v>
      </c>
      <c r="K131">
        <v>8</v>
      </c>
      <c r="L131">
        <v>3</v>
      </c>
      <c r="M131" s="3">
        <v>9.2361111111111116E-2</v>
      </c>
      <c r="N131" s="3">
        <v>9.6724537037037039E-2</v>
      </c>
      <c r="O131" s="2">
        <v>44908</v>
      </c>
    </row>
    <row r="132" spans="1:15" x14ac:dyDescent="0.35">
      <c r="A132">
        <v>5</v>
      </c>
      <c r="B132">
        <v>8</v>
      </c>
      <c r="C132" t="str">
        <f>VLOOKUP(L132,'Hilfstabelle Mashinen'!$A$1:$B$3,2,FALSE)</f>
        <v>Wartung</v>
      </c>
      <c r="D132" s="2">
        <v>45040</v>
      </c>
      <c r="E132" s="3">
        <v>0.49822916666666667</v>
      </c>
      <c r="F132" s="3">
        <f t="shared" si="4"/>
        <v>0.56524305555555554</v>
      </c>
      <c r="K132">
        <v>2</v>
      </c>
      <c r="L132">
        <v>1</v>
      </c>
      <c r="M132" s="3">
        <v>0.70008101851851856</v>
      </c>
      <c r="N132" s="3">
        <v>6.7013888888888887E-2</v>
      </c>
      <c r="O132" s="2">
        <v>45012</v>
      </c>
    </row>
    <row r="133" spans="1:15" x14ac:dyDescent="0.35">
      <c r="A133">
        <v>9</v>
      </c>
      <c r="B133">
        <v>14</v>
      </c>
      <c r="C133" t="str">
        <f>VLOOKUP(L133,'Hilfstabelle Mashinen'!$A$1:$B$3,2,FALSE)</f>
        <v>Ausfall</v>
      </c>
      <c r="D133" s="2">
        <v>45040</v>
      </c>
      <c r="E133" s="3">
        <v>0.23731481481481484</v>
      </c>
      <c r="F133" s="3">
        <f t="shared" si="4"/>
        <v>0.35968750000000005</v>
      </c>
      <c r="K133">
        <v>12</v>
      </c>
      <c r="L133">
        <v>3</v>
      </c>
      <c r="M133" s="3">
        <v>0.76537037037037037</v>
      </c>
      <c r="N133" s="3">
        <v>0.12237268518518518</v>
      </c>
      <c r="O133" s="2">
        <v>44961</v>
      </c>
    </row>
    <row r="134" spans="1:15" x14ac:dyDescent="0.35">
      <c r="A134">
        <v>25</v>
      </c>
      <c r="B134">
        <v>1</v>
      </c>
      <c r="C134" t="str">
        <f>VLOOKUP(L134,'Hilfstabelle Mashinen'!$A$1:$B$3,2,FALSE)</f>
        <v>Ausfall</v>
      </c>
      <c r="D134" s="2">
        <v>45040</v>
      </c>
      <c r="E134" s="3">
        <v>0.26447916666666665</v>
      </c>
      <c r="F134" s="3">
        <f t="shared" si="4"/>
        <v>0.33369212962962963</v>
      </c>
      <c r="K134">
        <v>13</v>
      </c>
      <c r="L134">
        <v>3</v>
      </c>
      <c r="M134" s="3">
        <v>0.71846064814814825</v>
      </c>
      <c r="N134" s="3">
        <v>6.9212962962962962E-2</v>
      </c>
      <c r="O134" s="2">
        <v>44718</v>
      </c>
    </row>
    <row r="135" spans="1:15" x14ac:dyDescent="0.35">
      <c r="A135">
        <v>4</v>
      </c>
      <c r="B135">
        <v>1</v>
      </c>
      <c r="C135" t="str">
        <f>VLOOKUP(L135,'Hilfstabelle Mashinen'!$A$1:$B$3,2,FALSE)</f>
        <v>Wartung</v>
      </c>
      <c r="D135" s="2">
        <v>45042</v>
      </c>
      <c r="E135" s="3">
        <v>0.48226851851851849</v>
      </c>
      <c r="F135" s="3">
        <f t="shared" si="4"/>
        <v>0.51374999999999993</v>
      </c>
      <c r="K135">
        <v>13</v>
      </c>
      <c r="L135">
        <v>1</v>
      </c>
      <c r="M135" s="3">
        <v>0.87815972222222216</v>
      </c>
      <c r="N135" s="3">
        <v>3.1481481481481485E-2</v>
      </c>
      <c r="O135" s="2">
        <v>45039</v>
      </c>
    </row>
    <row r="136" spans="1:15" x14ac:dyDescent="0.35">
      <c r="A136">
        <v>57</v>
      </c>
      <c r="B136">
        <v>5</v>
      </c>
      <c r="C136" t="str">
        <f>VLOOKUP(L136,'Hilfstabelle Mashinen'!$A$1:$B$3,2,FALSE)</f>
        <v>Ausfall</v>
      </c>
      <c r="D136" s="2">
        <v>45043</v>
      </c>
      <c r="E136" s="3">
        <v>0.37428240740740742</v>
      </c>
      <c r="F136" s="3">
        <f t="shared" si="4"/>
        <v>0.43869212962962967</v>
      </c>
      <c r="K136">
        <v>1</v>
      </c>
      <c r="L136">
        <v>3</v>
      </c>
      <c r="M136" s="3">
        <v>4.1215277777777774E-2</v>
      </c>
      <c r="N136" s="3">
        <v>6.4409722222222229E-2</v>
      </c>
      <c r="O136" s="2">
        <v>44761</v>
      </c>
    </row>
    <row r="137" spans="1:15" x14ac:dyDescent="0.35">
      <c r="A137">
        <v>79</v>
      </c>
      <c r="B137">
        <v>14</v>
      </c>
      <c r="C137" t="str">
        <f>VLOOKUP(L137,'Hilfstabelle Mashinen'!$A$1:$B$3,2,FALSE)</f>
        <v>Ausfall</v>
      </c>
      <c r="D137" s="2">
        <v>45043</v>
      </c>
      <c r="E137" s="3">
        <v>0.24894675925925927</v>
      </c>
      <c r="F137" s="3">
        <f t="shared" si="4"/>
        <v>0.40721064814814817</v>
      </c>
      <c r="K137">
        <v>12</v>
      </c>
      <c r="L137">
        <v>2</v>
      </c>
      <c r="M137" s="3">
        <v>0.86773148148148149</v>
      </c>
      <c r="N137" s="3">
        <v>0.1582638888888889</v>
      </c>
      <c r="O137" s="2">
        <v>44792</v>
      </c>
    </row>
    <row r="138" spans="1:15" x14ac:dyDescent="0.35">
      <c r="A138">
        <v>18</v>
      </c>
      <c r="B138">
        <v>10</v>
      </c>
      <c r="C138" t="str">
        <f>VLOOKUP(L138,'Hilfstabelle Mashinen'!$A$1:$B$3,2,FALSE)</f>
        <v>Ausfall</v>
      </c>
      <c r="D138" s="2">
        <v>45048</v>
      </c>
      <c r="E138" s="3">
        <v>0.87543981481481481</v>
      </c>
      <c r="F138" s="3">
        <f t="shared" si="4"/>
        <v>0.93099537037037039</v>
      </c>
      <c r="K138">
        <v>11</v>
      </c>
      <c r="L138">
        <v>3</v>
      </c>
      <c r="M138" s="3">
        <v>0.48255787037037035</v>
      </c>
      <c r="N138" s="3">
        <v>5.5555555555555552E-2</v>
      </c>
      <c r="O138" s="2">
        <v>44961</v>
      </c>
    </row>
    <row r="139" spans="1:15" x14ac:dyDescent="0.35">
      <c r="A139">
        <v>47</v>
      </c>
      <c r="B139">
        <v>3</v>
      </c>
      <c r="C139" t="str">
        <f>VLOOKUP(L139,'Hilfstabelle Mashinen'!$A$1:$B$3,2,FALSE)</f>
        <v>Ausfall</v>
      </c>
      <c r="D139" s="2">
        <v>45049</v>
      </c>
      <c r="E139" s="3">
        <v>3.1342592592592596E-2</v>
      </c>
      <c r="F139" s="3">
        <f t="shared" si="4"/>
        <v>0.15564814814814815</v>
      </c>
      <c r="K139">
        <v>2</v>
      </c>
      <c r="L139">
        <v>2</v>
      </c>
      <c r="M139" s="3">
        <v>0.45322916666666663</v>
      </c>
      <c r="N139" s="3">
        <v>0.12430555555555556</v>
      </c>
      <c r="O139" s="2">
        <v>44928</v>
      </c>
    </row>
    <row r="140" spans="1:15" x14ac:dyDescent="0.35">
      <c r="A140">
        <v>85</v>
      </c>
      <c r="B140">
        <v>7</v>
      </c>
      <c r="C140" t="str">
        <f>VLOOKUP(L140,'Hilfstabelle Mashinen'!$A$1:$B$3,2,FALSE)</f>
        <v>Ausfall</v>
      </c>
      <c r="D140" s="2">
        <v>45049</v>
      </c>
      <c r="E140" s="3">
        <v>2.9953703703703705E-2</v>
      </c>
      <c r="F140" s="3">
        <f t="shared" si="4"/>
        <v>3.5636574074074077E-2</v>
      </c>
      <c r="K140">
        <v>5</v>
      </c>
      <c r="L140">
        <v>2</v>
      </c>
      <c r="M140" s="3">
        <v>0.67039351851851858</v>
      </c>
      <c r="N140" s="3">
        <v>5.6828703703703702E-3</v>
      </c>
      <c r="O140" s="2">
        <v>44755</v>
      </c>
    </row>
    <row r="141" spans="1:15" x14ac:dyDescent="0.35">
      <c r="A141">
        <v>87</v>
      </c>
      <c r="B141">
        <v>6</v>
      </c>
      <c r="C141" t="str">
        <f>VLOOKUP(L141,'Hilfstabelle Mashinen'!$A$1:$B$3,2,FALSE)</f>
        <v>Wartung</v>
      </c>
      <c r="D141" s="2">
        <v>45053</v>
      </c>
      <c r="E141" s="3">
        <v>0.83598379629629627</v>
      </c>
      <c r="F141" s="3">
        <f t="shared" si="4"/>
        <v>0.90299768518518519</v>
      </c>
      <c r="K141">
        <v>9</v>
      </c>
      <c r="L141">
        <v>1</v>
      </c>
      <c r="M141" s="3">
        <v>0.71090277777777777</v>
      </c>
      <c r="N141" s="3">
        <v>6.7013888888888887E-2</v>
      </c>
      <c r="O141" s="2">
        <v>45031</v>
      </c>
    </row>
    <row r="142" spans="1:15" x14ac:dyDescent="0.35">
      <c r="A142">
        <v>34</v>
      </c>
      <c r="B142">
        <v>6</v>
      </c>
      <c r="C142" t="str">
        <f>VLOOKUP(L142,'Hilfstabelle Mashinen'!$A$1:$B$3,2,FALSE)</f>
        <v>Ausfall</v>
      </c>
      <c r="D142" s="2">
        <v>45054</v>
      </c>
      <c r="E142" s="3">
        <v>3.5289351851852002E-2</v>
      </c>
      <c r="F142" s="3">
        <f t="shared" si="4"/>
        <v>8.7465277777777933E-2</v>
      </c>
      <c r="K142">
        <v>7</v>
      </c>
      <c r="L142">
        <v>2</v>
      </c>
      <c r="M142" s="3">
        <v>7.211805555555556E-2</v>
      </c>
      <c r="N142" s="3">
        <v>5.2175925925925924E-2</v>
      </c>
      <c r="O142" s="2">
        <v>45033</v>
      </c>
    </row>
    <row r="143" spans="1:15" x14ac:dyDescent="0.35">
      <c r="A143">
        <v>29</v>
      </c>
      <c r="B143">
        <v>13</v>
      </c>
      <c r="C143" t="str">
        <f>VLOOKUP(L143,'Hilfstabelle Mashinen'!$A$1:$B$3,2,FALSE)</f>
        <v>Wartung</v>
      </c>
      <c r="D143" s="2">
        <v>45055</v>
      </c>
      <c r="E143" s="3">
        <v>0.82023148148148151</v>
      </c>
      <c r="F143" s="3">
        <f t="shared" si="4"/>
        <v>0.89703703703703708</v>
      </c>
      <c r="K143">
        <v>5</v>
      </c>
      <c r="L143">
        <v>1</v>
      </c>
      <c r="M143" s="3">
        <v>0.21228009259259259</v>
      </c>
      <c r="N143" s="3">
        <v>7.6805555555555557E-2</v>
      </c>
      <c r="O143" s="2">
        <v>44759</v>
      </c>
    </row>
    <row r="144" spans="1:15" x14ac:dyDescent="0.35">
      <c r="A144">
        <v>94</v>
      </c>
      <c r="B144">
        <v>7</v>
      </c>
      <c r="C144" t="str">
        <f>VLOOKUP(L144,'Hilfstabelle Mashinen'!$A$1:$B$3,2,FALSE)</f>
        <v>Ausfall</v>
      </c>
      <c r="D144" s="2">
        <v>45063</v>
      </c>
      <c r="E144" s="3">
        <v>0.56321759259259263</v>
      </c>
      <c r="F144" s="3">
        <f t="shared" si="4"/>
        <v>0.69712962962962965</v>
      </c>
      <c r="K144">
        <v>9</v>
      </c>
      <c r="L144">
        <v>2</v>
      </c>
      <c r="M144" s="3">
        <v>0.72592592592592586</v>
      </c>
      <c r="N144" s="3">
        <v>0.13391203703703705</v>
      </c>
      <c r="O144" s="2">
        <v>44811</v>
      </c>
    </row>
    <row r="145" spans="1:15" x14ac:dyDescent="0.35">
      <c r="A145">
        <v>96</v>
      </c>
      <c r="B145">
        <v>3</v>
      </c>
      <c r="C145" t="str">
        <f>VLOOKUP(L145,'Hilfstabelle Mashinen'!$A$1:$B$3,2,FALSE)</f>
        <v>Ausfall</v>
      </c>
      <c r="D145" s="2">
        <v>45064</v>
      </c>
      <c r="E145" s="3">
        <v>0.57611111111111113</v>
      </c>
      <c r="F145" s="3">
        <f t="shared" si="4"/>
        <v>0.65268518518518515</v>
      </c>
      <c r="K145">
        <v>6</v>
      </c>
      <c r="L145">
        <v>2</v>
      </c>
      <c r="M145" s="3">
        <v>0.43785879629629632</v>
      </c>
      <c r="N145" s="3">
        <v>7.6574074074074072E-2</v>
      </c>
      <c r="O145" s="2">
        <v>44833</v>
      </c>
    </row>
    <row r="146" spans="1:15" x14ac:dyDescent="0.35">
      <c r="A146">
        <v>110</v>
      </c>
      <c r="B146">
        <v>12</v>
      </c>
      <c r="C146" t="str">
        <f>VLOOKUP(L146,'Hilfstabelle Mashinen'!$A$1:$B$3,2,FALSE)</f>
        <v>Wartung</v>
      </c>
      <c r="D146" s="2">
        <v>45065</v>
      </c>
      <c r="E146" s="3">
        <v>0.7440972222222223</v>
      </c>
      <c r="F146" s="3">
        <f t="shared" si="4"/>
        <v>0.87809027777777782</v>
      </c>
      <c r="K146">
        <v>15</v>
      </c>
      <c r="L146">
        <v>1</v>
      </c>
      <c r="M146" s="3">
        <v>0.17008101851851853</v>
      </c>
      <c r="N146" s="3">
        <v>0.13399305555555555</v>
      </c>
      <c r="O146" s="2">
        <v>44938</v>
      </c>
    </row>
    <row r="147" spans="1:15" x14ac:dyDescent="0.35">
      <c r="A147">
        <v>8</v>
      </c>
      <c r="B147">
        <v>10</v>
      </c>
      <c r="C147" t="str">
        <f>VLOOKUP(L147,'Hilfstabelle Mashinen'!$A$1:$B$3,2,FALSE)</f>
        <v>Ausfall</v>
      </c>
      <c r="D147" s="2">
        <v>45066</v>
      </c>
      <c r="E147" s="3">
        <v>0.24940972222222224</v>
      </c>
      <c r="F147" s="3">
        <f t="shared" si="4"/>
        <v>0.2742013888888889</v>
      </c>
      <c r="K147">
        <v>4</v>
      </c>
      <c r="L147">
        <v>3</v>
      </c>
      <c r="M147" s="3">
        <v>1.2962962962962843E-2</v>
      </c>
      <c r="N147" s="3">
        <v>2.479166666666667E-2</v>
      </c>
      <c r="O147" s="2">
        <v>44904</v>
      </c>
    </row>
    <row r="148" spans="1:15" x14ac:dyDescent="0.35">
      <c r="A148">
        <v>28</v>
      </c>
      <c r="B148">
        <v>4</v>
      </c>
      <c r="C148" t="str">
        <f>VLOOKUP(L148,'Hilfstabelle Mashinen'!$A$1:$B$3,2,FALSE)</f>
        <v>Wartung</v>
      </c>
      <c r="D148" s="2">
        <v>45069</v>
      </c>
      <c r="E148" s="3">
        <v>0.5914814814814815</v>
      </c>
      <c r="F148" s="3">
        <f t="shared" si="4"/>
        <v>0.63010416666666669</v>
      </c>
      <c r="K148">
        <v>14</v>
      </c>
      <c r="L148">
        <v>1</v>
      </c>
      <c r="M148" s="3">
        <v>0.36966435185185187</v>
      </c>
      <c r="N148" s="3">
        <v>3.8622685185185184E-2</v>
      </c>
      <c r="O148" s="2">
        <v>44861</v>
      </c>
    </row>
    <row r="149" spans="1:15" x14ac:dyDescent="0.35">
      <c r="A149">
        <v>111</v>
      </c>
      <c r="B149">
        <v>4</v>
      </c>
      <c r="C149" t="str">
        <f>VLOOKUP(L149,'Hilfstabelle Mashinen'!$A$1:$B$3,2,FALSE)</f>
        <v>Wartung</v>
      </c>
      <c r="D149" s="2">
        <v>45071</v>
      </c>
      <c r="E149" s="3">
        <v>0.481412037037037</v>
      </c>
      <c r="F149" s="3">
        <f t="shared" si="4"/>
        <v>0.55208333333333326</v>
      </c>
      <c r="K149">
        <v>6</v>
      </c>
      <c r="L149">
        <v>1</v>
      </c>
      <c r="M149" s="3">
        <v>0.3385185185185185</v>
      </c>
      <c r="N149" s="3">
        <v>7.0671296296296301E-2</v>
      </c>
      <c r="O149" s="2">
        <v>44971</v>
      </c>
    </row>
    <row r="150" spans="1:15" x14ac:dyDescent="0.35">
      <c r="A150">
        <v>122</v>
      </c>
      <c r="B150">
        <v>12</v>
      </c>
      <c r="C150" t="str">
        <f>VLOOKUP(L150,'Hilfstabelle Mashinen'!$A$1:$B$3,2,FALSE)</f>
        <v>Wartung</v>
      </c>
      <c r="D150" s="2">
        <v>45076</v>
      </c>
      <c r="E150" s="3">
        <v>0.48082175925925924</v>
      </c>
      <c r="F150" s="3">
        <f t="shared" si="4"/>
        <v>0.52585648148148145</v>
      </c>
      <c r="K150">
        <v>11</v>
      </c>
      <c r="L150">
        <v>1</v>
      </c>
      <c r="M150" s="3">
        <v>6.7384259259259269E-2</v>
      </c>
      <c r="N150" s="3">
        <v>4.5034722222222219E-2</v>
      </c>
      <c r="O150" s="2">
        <v>44913</v>
      </c>
    </row>
  </sheetData>
  <autoFilter ref="A1:F150" xr:uid="{81DC2FAE-A6DC-447A-8A6C-00BC2D442767}">
    <sortState xmlns:xlrd2="http://schemas.microsoft.com/office/spreadsheetml/2017/richdata2" ref="A2:F150">
      <sortCondition ref="D1:D150"/>
    </sortState>
  </autoFilter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79666-9461-46CE-ABA0-5DF59897923D}">
  <sheetPr codeName="Tabelle11"/>
  <dimension ref="A1:B3"/>
  <sheetViews>
    <sheetView workbookViewId="0">
      <selection activeCell="C1" sqref="C1"/>
    </sheetView>
  </sheetViews>
  <sheetFormatPr baseColWidth="10" defaultRowHeight="14.5" x14ac:dyDescent="0.35"/>
  <sheetData>
    <row r="1" spans="1:2" x14ac:dyDescent="0.35">
      <c r="A1">
        <v>1</v>
      </c>
      <c r="B1" t="s">
        <v>36</v>
      </c>
    </row>
    <row r="2" spans="1:2" x14ac:dyDescent="0.35">
      <c r="A2">
        <v>2</v>
      </c>
      <c r="B2" t="s">
        <v>37</v>
      </c>
    </row>
    <row r="3" spans="1:2" x14ac:dyDescent="0.35">
      <c r="A3">
        <v>3</v>
      </c>
      <c r="B3" t="s">
        <v>37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1691A-DA35-41A3-A1B5-64CF8581570C}">
  <sheetPr codeName="Tabelle6"/>
  <dimension ref="A1:F1500"/>
  <sheetViews>
    <sheetView workbookViewId="0">
      <selection activeCell="B2" sqref="B2"/>
    </sheetView>
  </sheetViews>
  <sheetFormatPr baseColWidth="10" defaultRowHeight="14.5" x14ac:dyDescent="0.35"/>
  <cols>
    <col min="1" max="1" width="12.26953125" bestFit="1" customWidth="1"/>
    <col min="2" max="2" width="11.54296875" bestFit="1" customWidth="1"/>
    <col min="6" max="6" width="20.6328125" bestFit="1" customWidth="1"/>
  </cols>
  <sheetData>
    <row r="1" spans="1:6" x14ac:dyDescent="0.35">
      <c r="A1" t="s">
        <v>17</v>
      </c>
      <c r="B1" t="s">
        <v>15</v>
      </c>
      <c r="C1" t="s">
        <v>16</v>
      </c>
      <c r="D1" t="s">
        <v>12</v>
      </c>
      <c r="E1" t="s">
        <v>13</v>
      </c>
      <c r="F1" t="s">
        <v>14</v>
      </c>
    </row>
    <row r="2" spans="1:6" x14ac:dyDescent="0.35">
      <c r="A2">
        <v>7649</v>
      </c>
    </row>
    <row r="3" spans="1:6" x14ac:dyDescent="0.35">
      <c r="A3">
        <v>7650</v>
      </c>
    </row>
    <row r="4" spans="1:6" x14ac:dyDescent="0.35">
      <c r="A4">
        <v>7651</v>
      </c>
    </row>
    <row r="5" spans="1:6" x14ac:dyDescent="0.35">
      <c r="A5">
        <v>7652</v>
      </c>
    </row>
    <row r="6" spans="1:6" x14ac:dyDescent="0.35">
      <c r="A6">
        <v>7653</v>
      </c>
    </row>
    <row r="7" spans="1:6" x14ac:dyDescent="0.35">
      <c r="A7">
        <v>7654</v>
      </c>
    </row>
    <row r="8" spans="1:6" x14ac:dyDescent="0.35">
      <c r="A8">
        <v>7655</v>
      </c>
    </row>
    <row r="9" spans="1:6" x14ac:dyDescent="0.35">
      <c r="A9">
        <v>7656</v>
      </c>
    </row>
    <row r="10" spans="1:6" x14ac:dyDescent="0.35">
      <c r="A10">
        <v>7657</v>
      </c>
    </row>
    <row r="11" spans="1:6" x14ac:dyDescent="0.35">
      <c r="A11">
        <v>7658</v>
      </c>
    </row>
    <row r="12" spans="1:6" x14ac:dyDescent="0.35">
      <c r="A12">
        <v>7659</v>
      </c>
    </row>
    <row r="13" spans="1:6" x14ac:dyDescent="0.35">
      <c r="A13">
        <v>7660</v>
      </c>
    </row>
    <row r="14" spans="1:6" x14ac:dyDescent="0.35">
      <c r="A14">
        <v>7661</v>
      </c>
    </row>
    <row r="15" spans="1:6" x14ac:dyDescent="0.35">
      <c r="A15">
        <v>7662</v>
      </c>
    </row>
    <row r="16" spans="1:6" x14ac:dyDescent="0.35">
      <c r="A16">
        <v>7663</v>
      </c>
    </row>
    <row r="17" spans="1:1" x14ac:dyDescent="0.35">
      <c r="A17">
        <v>7664</v>
      </c>
    </row>
    <row r="18" spans="1:1" x14ac:dyDescent="0.35">
      <c r="A18">
        <v>7665</v>
      </c>
    </row>
    <row r="19" spans="1:1" x14ac:dyDescent="0.35">
      <c r="A19">
        <v>7666</v>
      </c>
    </row>
    <row r="20" spans="1:1" x14ac:dyDescent="0.35">
      <c r="A20">
        <v>7667</v>
      </c>
    </row>
    <row r="21" spans="1:1" x14ac:dyDescent="0.35">
      <c r="A21">
        <v>7668</v>
      </c>
    </row>
    <row r="22" spans="1:1" x14ac:dyDescent="0.35">
      <c r="A22">
        <v>7669</v>
      </c>
    </row>
    <row r="23" spans="1:1" x14ac:dyDescent="0.35">
      <c r="A23">
        <v>7670</v>
      </c>
    </row>
    <row r="24" spans="1:1" x14ac:dyDescent="0.35">
      <c r="A24">
        <v>7671</v>
      </c>
    </row>
    <row r="25" spans="1:1" x14ac:dyDescent="0.35">
      <c r="A25">
        <v>7672</v>
      </c>
    </row>
    <row r="26" spans="1:1" x14ac:dyDescent="0.35">
      <c r="A26">
        <v>7673</v>
      </c>
    </row>
    <row r="27" spans="1:1" x14ac:dyDescent="0.35">
      <c r="A27">
        <v>7674</v>
      </c>
    </row>
    <row r="28" spans="1:1" x14ac:dyDescent="0.35">
      <c r="A28">
        <v>7675</v>
      </c>
    </row>
    <row r="29" spans="1:1" x14ac:dyDescent="0.35">
      <c r="A29">
        <v>7676</v>
      </c>
    </row>
    <row r="30" spans="1:1" x14ac:dyDescent="0.35">
      <c r="A30">
        <v>7677</v>
      </c>
    </row>
    <row r="31" spans="1:1" x14ac:dyDescent="0.35">
      <c r="A31">
        <v>7678</v>
      </c>
    </row>
    <row r="32" spans="1:1" x14ac:dyDescent="0.35">
      <c r="A32">
        <v>7679</v>
      </c>
    </row>
    <row r="33" spans="1:1" x14ac:dyDescent="0.35">
      <c r="A33">
        <v>7680</v>
      </c>
    </row>
    <row r="34" spans="1:1" x14ac:dyDescent="0.35">
      <c r="A34">
        <v>7681</v>
      </c>
    </row>
    <row r="35" spans="1:1" x14ac:dyDescent="0.35">
      <c r="A35">
        <v>7682</v>
      </c>
    </row>
    <row r="36" spans="1:1" x14ac:dyDescent="0.35">
      <c r="A36">
        <v>7683</v>
      </c>
    </row>
    <row r="37" spans="1:1" x14ac:dyDescent="0.35">
      <c r="A37">
        <v>7684</v>
      </c>
    </row>
    <row r="38" spans="1:1" x14ac:dyDescent="0.35">
      <c r="A38">
        <v>7685</v>
      </c>
    </row>
    <row r="39" spans="1:1" x14ac:dyDescent="0.35">
      <c r="A39">
        <v>7686</v>
      </c>
    </row>
    <row r="40" spans="1:1" x14ac:dyDescent="0.35">
      <c r="A40">
        <v>7687</v>
      </c>
    </row>
    <row r="41" spans="1:1" x14ac:dyDescent="0.35">
      <c r="A41">
        <v>7688</v>
      </c>
    </row>
    <row r="42" spans="1:1" x14ac:dyDescent="0.35">
      <c r="A42">
        <v>7689</v>
      </c>
    </row>
    <row r="43" spans="1:1" x14ac:dyDescent="0.35">
      <c r="A43">
        <v>7690</v>
      </c>
    </row>
    <row r="44" spans="1:1" x14ac:dyDescent="0.35">
      <c r="A44">
        <v>7691</v>
      </c>
    </row>
    <row r="45" spans="1:1" x14ac:dyDescent="0.35">
      <c r="A45">
        <v>7692</v>
      </c>
    </row>
    <row r="46" spans="1:1" x14ac:dyDescent="0.35">
      <c r="A46">
        <v>7693</v>
      </c>
    </row>
    <row r="47" spans="1:1" x14ac:dyDescent="0.35">
      <c r="A47">
        <v>7694</v>
      </c>
    </row>
    <row r="48" spans="1:1" x14ac:dyDescent="0.35">
      <c r="A48">
        <v>7695</v>
      </c>
    </row>
    <row r="49" spans="1:1" x14ac:dyDescent="0.35">
      <c r="A49">
        <v>7696</v>
      </c>
    </row>
    <row r="50" spans="1:1" x14ac:dyDescent="0.35">
      <c r="A50">
        <v>7697</v>
      </c>
    </row>
    <row r="51" spans="1:1" x14ac:dyDescent="0.35">
      <c r="A51">
        <v>7698</v>
      </c>
    </row>
    <row r="52" spans="1:1" x14ac:dyDescent="0.35">
      <c r="A52">
        <v>7699</v>
      </c>
    </row>
    <row r="53" spans="1:1" x14ac:dyDescent="0.35">
      <c r="A53">
        <v>7700</v>
      </c>
    </row>
    <row r="54" spans="1:1" x14ac:dyDescent="0.35">
      <c r="A54">
        <v>7701</v>
      </c>
    </row>
    <row r="55" spans="1:1" x14ac:dyDescent="0.35">
      <c r="A55">
        <v>7702</v>
      </c>
    </row>
    <row r="56" spans="1:1" x14ac:dyDescent="0.35">
      <c r="A56">
        <v>7703</v>
      </c>
    </row>
    <row r="57" spans="1:1" x14ac:dyDescent="0.35">
      <c r="A57">
        <v>7704</v>
      </c>
    </row>
    <row r="58" spans="1:1" x14ac:dyDescent="0.35">
      <c r="A58">
        <v>7705</v>
      </c>
    </row>
    <row r="59" spans="1:1" x14ac:dyDescent="0.35">
      <c r="A59">
        <v>7706</v>
      </c>
    </row>
    <row r="60" spans="1:1" x14ac:dyDescent="0.35">
      <c r="A60">
        <v>7707</v>
      </c>
    </row>
    <row r="61" spans="1:1" x14ac:dyDescent="0.35">
      <c r="A61">
        <v>7708</v>
      </c>
    </row>
    <row r="62" spans="1:1" x14ac:dyDescent="0.35">
      <c r="A62">
        <v>7709</v>
      </c>
    </row>
    <row r="63" spans="1:1" x14ac:dyDescent="0.35">
      <c r="A63">
        <v>7710</v>
      </c>
    </row>
    <row r="64" spans="1:1" x14ac:dyDescent="0.35">
      <c r="A64">
        <v>7711</v>
      </c>
    </row>
    <row r="65" spans="1:1" x14ac:dyDescent="0.35">
      <c r="A65">
        <v>7712</v>
      </c>
    </row>
    <row r="66" spans="1:1" x14ac:dyDescent="0.35">
      <c r="A66">
        <v>7713</v>
      </c>
    </row>
    <row r="67" spans="1:1" x14ac:dyDescent="0.35">
      <c r="A67">
        <v>7714</v>
      </c>
    </row>
    <row r="68" spans="1:1" x14ac:dyDescent="0.35">
      <c r="A68">
        <v>7715</v>
      </c>
    </row>
    <row r="69" spans="1:1" x14ac:dyDescent="0.35">
      <c r="A69">
        <v>7716</v>
      </c>
    </row>
    <row r="70" spans="1:1" x14ac:dyDescent="0.35">
      <c r="A70">
        <v>7717</v>
      </c>
    </row>
    <row r="71" spans="1:1" x14ac:dyDescent="0.35">
      <c r="A71">
        <v>7718</v>
      </c>
    </row>
    <row r="72" spans="1:1" x14ac:dyDescent="0.35">
      <c r="A72">
        <v>7719</v>
      </c>
    </row>
    <row r="73" spans="1:1" x14ac:dyDescent="0.35">
      <c r="A73">
        <v>7720</v>
      </c>
    </row>
    <row r="74" spans="1:1" x14ac:dyDescent="0.35">
      <c r="A74">
        <v>7721</v>
      </c>
    </row>
    <row r="75" spans="1:1" x14ac:dyDescent="0.35">
      <c r="A75">
        <v>7722</v>
      </c>
    </row>
    <row r="76" spans="1:1" x14ac:dyDescent="0.35">
      <c r="A76">
        <v>7723</v>
      </c>
    </row>
    <row r="77" spans="1:1" x14ac:dyDescent="0.35">
      <c r="A77">
        <v>7724</v>
      </c>
    </row>
    <row r="78" spans="1:1" x14ac:dyDescent="0.35">
      <c r="A78">
        <v>7725</v>
      </c>
    </row>
    <row r="79" spans="1:1" x14ac:dyDescent="0.35">
      <c r="A79">
        <v>7726</v>
      </c>
    </row>
    <row r="80" spans="1:1" x14ac:dyDescent="0.35">
      <c r="A80">
        <v>7727</v>
      </c>
    </row>
    <row r="81" spans="1:1" x14ac:dyDescent="0.35">
      <c r="A81">
        <v>7728</v>
      </c>
    </row>
    <row r="82" spans="1:1" x14ac:dyDescent="0.35">
      <c r="A82">
        <v>7729</v>
      </c>
    </row>
    <row r="83" spans="1:1" x14ac:dyDescent="0.35">
      <c r="A83">
        <v>7730</v>
      </c>
    </row>
    <row r="84" spans="1:1" x14ac:dyDescent="0.35">
      <c r="A84">
        <v>7731</v>
      </c>
    </row>
    <row r="85" spans="1:1" x14ac:dyDescent="0.35">
      <c r="A85">
        <v>7732</v>
      </c>
    </row>
    <row r="86" spans="1:1" x14ac:dyDescent="0.35">
      <c r="A86">
        <v>7733</v>
      </c>
    </row>
    <row r="87" spans="1:1" x14ac:dyDescent="0.35">
      <c r="A87">
        <v>7734</v>
      </c>
    </row>
    <row r="88" spans="1:1" x14ac:dyDescent="0.35">
      <c r="A88">
        <v>7735</v>
      </c>
    </row>
    <row r="89" spans="1:1" x14ac:dyDescent="0.35">
      <c r="A89">
        <v>7736</v>
      </c>
    </row>
    <row r="90" spans="1:1" x14ac:dyDescent="0.35">
      <c r="A90">
        <v>7737</v>
      </c>
    </row>
    <row r="91" spans="1:1" x14ac:dyDescent="0.35">
      <c r="A91">
        <v>7738</v>
      </c>
    </row>
    <row r="92" spans="1:1" x14ac:dyDescent="0.35">
      <c r="A92">
        <v>7739</v>
      </c>
    </row>
    <row r="93" spans="1:1" x14ac:dyDescent="0.35">
      <c r="A93">
        <v>7740</v>
      </c>
    </row>
    <row r="94" spans="1:1" x14ac:dyDescent="0.35">
      <c r="A94">
        <v>7741</v>
      </c>
    </row>
    <row r="95" spans="1:1" x14ac:dyDescent="0.35">
      <c r="A95">
        <v>7742</v>
      </c>
    </row>
    <row r="96" spans="1:1" x14ac:dyDescent="0.35">
      <c r="A96">
        <v>7743</v>
      </c>
    </row>
    <row r="97" spans="1:1" x14ac:dyDescent="0.35">
      <c r="A97">
        <v>7744</v>
      </c>
    </row>
    <row r="98" spans="1:1" x14ac:dyDescent="0.35">
      <c r="A98">
        <v>7745</v>
      </c>
    </row>
    <row r="99" spans="1:1" x14ac:dyDescent="0.35">
      <c r="A99">
        <v>7746</v>
      </c>
    </row>
    <row r="100" spans="1:1" x14ac:dyDescent="0.35">
      <c r="A100">
        <v>7747</v>
      </c>
    </row>
    <row r="101" spans="1:1" x14ac:dyDescent="0.35">
      <c r="A101">
        <v>7748</v>
      </c>
    </row>
    <row r="102" spans="1:1" x14ac:dyDescent="0.35">
      <c r="A102">
        <v>7749</v>
      </c>
    </row>
    <row r="103" spans="1:1" x14ac:dyDescent="0.35">
      <c r="A103">
        <v>7750</v>
      </c>
    </row>
    <row r="104" spans="1:1" x14ac:dyDescent="0.35">
      <c r="A104">
        <v>7751</v>
      </c>
    </row>
    <row r="105" spans="1:1" x14ac:dyDescent="0.35">
      <c r="A105">
        <v>7752</v>
      </c>
    </row>
    <row r="106" spans="1:1" x14ac:dyDescent="0.35">
      <c r="A106">
        <v>7753</v>
      </c>
    </row>
    <row r="107" spans="1:1" x14ac:dyDescent="0.35">
      <c r="A107">
        <v>7754</v>
      </c>
    </row>
    <row r="108" spans="1:1" x14ac:dyDescent="0.35">
      <c r="A108">
        <v>7755</v>
      </c>
    </row>
    <row r="109" spans="1:1" x14ac:dyDescent="0.35">
      <c r="A109">
        <v>7756</v>
      </c>
    </row>
    <row r="110" spans="1:1" x14ac:dyDescent="0.35">
      <c r="A110">
        <v>7757</v>
      </c>
    </row>
    <row r="111" spans="1:1" x14ac:dyDescent="0.35">
      <c r="A111">
        <v>7758</v>
      </c>
    </row>
    <row r="112" spans="1:1" x14ac:dyDescent="0.35">
      <c r="A112">
        <v>7759</v>
      </c>
    </row>
    <row r="113" spans="1:1" x14ac:dyDescent="0.35">
      <c r="A113">
        <v>7760</v>
      </c>
    </row>
    <row r="114" spans="1:1" x14ac:dyDescent="0.35">
      <c r="A114">
        <v>7761</v>
      </c>
    </row>
    <row r="115" spans="1:1" x14ac:dyDescent="0.35">
      <c r="A115">
        <v>7762</v>
      </c>
    </row>
    <row r="116" spans="1:1" x14ac:dyDescent="0.35">
      <c r="A116">
        <v>7763</v>
      </c>
    </row>
    <row r="117" spans="1:1" x14ac:dyDescent="0.35">
      <c r="A117">
        <v>7764</v>
      </c>
    </row>
    <row r="118" spans="1:1" x14ac:dyDescent="0.35">
      <c r="A118">
        <v>7765</v>
      </c>
    </row>
    <row r="119" spans="1:1" x14ac:dyDescent="0.35">
      <c r="A119">
        <v>7766</v>
      </c>
    </row>
    <row r="120" spans="1:1" x14ac:dyDescent="0.35">
      <c r="A120">
        <v>7767</v>
      </c>
    </row>
    <row r="121" spans="1:1" x14ac:dyDescent="0.35">
      <c r="A121">
        <v>7768</v>
      </c>
    </row>
    <row r="122" spans="1:1" x14ac:dyDescent="0.35">
      <c r="A122">
        <v>7769</v>
      </c>
    </row>
    <row r="123" spans="1:1" x14ac:dyDescent="0.35">
      <c r="A123">
        <v>7770</v>
      </c>
    </row>
    <row r="124" spans="1:1" x14ac:dyDescent="0.35">
      <c r="A124">
        <v>7771</v>
      </c>
    </row>
    <row r="125" spans="1:1" x14ac:dyDescent="0.35">
      <c r="A125">
        <v>7772</v>
      </c>
    </row>
    <row r="126" spans="1:1" x14ac:dyDescent="0.35">
      <c r="A126">
        <v>7773</v>
      </c>
    </row>
    <row r="127" spans="1:1" x14ac:dyDescent="0.35">
      <c r="A127">
        <v>7774</v>
      </c>
    </row>
    <row r="128" spans="1:1" x14ac:dyDescent="0.35">
      <c r="A128">
        <v>7775</v>
      </c>
    </row>
    <row r="129" spans="1:1" x14ac:dyDescent="0.35">
      <c r="A129">
        <v>7776</v>
      </c>
    </row>
    <row r="130" spans="1:1" x14ac:dyDescent="0.35">
      <c r="A130">
        <v>7777</v>
      </c>
    </row>
    <row r="131" spans="1:1" x14ac:dyDescent="0.35">
      <c r="A131">
        <v>7778</v>
      </c>
    </row>
    <row r="132" spans="1:1" x14ac:dyDescent="0.35">
      <c r="A132">
        <v>7779</v>
      </c>
    </row>
    <row r="133" spans="1:1" x14ac:dyDescent="0.35">
      <c r="A133">
        <v>7780</v>
      </c>
    </row>
    <row r="134" spans="1:1" x14ac:dyDescent="0.35">
      <c r="A134">
        <v>7781</v>
      </c>
    </row>
    <row r="135" spans="1:1" x14ac:dyDescent="0.35">
      <c r="A135">
        <v>7782</v>
      </c>
    </row>
    <row r="136" spans="1:1" x14ac:dyDescent="0.35">
      <c r="A136">
        <v>7783</v>
      </c>
    </row>
    <row r="137" spans="1:1" x14ac:dyDescent="0.35">
      <c r="A137">
        <v>7784</v>
      </c>
    </row>
    <row r="138" spans="1:1" x14ac:dyDescent="0.35">
      <c r="A138">
        <v>7785</v>
      </c>
    </row>
    <row r="139" spans="1:1" x14ac:dyDescent="0.35">
      <c r="A139">
        <v>7786</v>
      </c>
    </row>
    <row r="140" spans="1:1" x14ac:dyDescent="0.35">
      <c r="A140">
        <v>7787</v>
      </c>
    </row>
    <row r="141" spans="1:1" x14ac:dyDescent="0.35">
      <c r="A141">
        <v>7788</v>
      </c>
    </row>
    <row r="142" spans="1:1" x14ac:dyDescent="0.35">
      <c r="A142">
        <v>7789</v>
      </c>
    </row>
    <row r="143" spans="1:1" x14ac:dyDescent="0.35">
      <c r="A143">
        <v>7790</v>
      </c>
    </row>
    <row r="144" spans="1:1" x14ac:dyDescent="0.35">
      <c r="A144">
        <v>7791</v>
      </c>
    </row>
    <row r="145" spans="1:1" x14ac:dyDescent="0.35">
      <c r="A145">
        <v>7792</v>
      </c>
    </row>
    <row r="146" spans="1:1" x14ac:dyDescent="0.35">
      <c r="A146">
        <v>7793</v>
      </c>
    </row>
    <row r="147" spans="1:1" x14ac:dyDescent="0.35">
      <c r="A147">
        <v>7794</v>
      </c>
    </row>
    <row r="148" spans="1:1" x14ac:dyDescent="0.35">
      <c r="A148">
        <v>7795</v>
      </c>
    </row>
    <row r="149" spans="1:1" x14ac:dyDescent="0.35">
      <c r="A149">
        <v>7796</v>
      </c>
    </row>
    <row r="150" spans="1:1" x14ac:dyDescent="0.35">
      <c r="A150">
        <v>7797</v>
      </c>
    </row>
    <row r="151" spans="1:1" x14ac:dyDescent="0.35">
      <c r="A151">
        <v>7798</v>
      </c>
    </row>
    <row r="152" spans="1:1" x14ac:dyDescent="0.35">
      <c r="A152">
        <v>7799</v>
      </c>
    </row>
    <row r="153" spans="1:1" x14ac:dyDescent="0.35">
      <c r="A153">
        <v>7800</v>
      </c>
    </row>
    <row r="154" spans="1:1" x14ac:dyDescent="0.35">
      <c r="A154">
        <v>7801</v>
      </c>
    </row>
    <row r="155" spans="1:1" x14ac:dyDescent="0.35">
      <c r="A155">
        <v>7802</v>
      </c>
    </row>
    <row r="156" spans="1:1" x14ac:dyDescent="0.35">
      <c r="A156">
        <v>7803</v>
      </c>
    </row>
    <row r="157" spans="1:1" x14ac:dyDescent="0.35">
      <c r="A157">
        <v>7804</v>
      </c>
    </row>
    <row r="158" spans="1:1" x14ac:dyDescent="0.35">
      <c r="A158">
        <v>7805</v>
      </c>
    </row>
    <row r="159" spans="1:1" x14ac:dyDescent="0.35">
      <c r="A159">
        <v>7806</v>
      </c>
    </row>
    <row r="160" spans="1:1" x14ac:dyDescent="0.35">
      <c r="A160">
        <v>7807</v>
      </c>
    </row>
    <row r="161" spans="1:1" x14ac:dyDescent="0.35">
      <c r="A161">
        <v>7808</v>
      </c>
    </row>
    <row r="162" spans="1:1" x14ac:dyDescent="0.35">
      <c r="A162">
        <v>7809</v>
      </c>
    </row>
    <row r="163" spans="1:1" x14ac:dyDescent="0.35">
      <c r="A163">
        <v>7810</v>
      </c>
    </row>
    <row r="164" spans="1:1" x14ac:dyDescent="0.35">
      <c r="A164">
        <v>7811</v>
      </c>
    </row>
    <row r="165" spans="1:1" x14ac:dyDescent="0.35">
      <c r="A165">
        <v>7812</v>
      </c>
    </row>
    <row r="166" spans="1:1" x14ac:dyDescent="0.35">
      <c r="A166">
        <v>7813</v>
      </c>
    </row>
    <row r="167" spans="1:1" x14ac:dyDescent="0.35">
      <c r="A167">
        <v>7814</v>
      </c>
    </row>
    <row r="168" spans="1:1" x14ac:dyDescent="0.35">
      <c r="A168">
        <v>7815</v>
      </c>
    </row>
    <row r="169" spans="1:1" x14ac:dyDescent="0.35">
      <c r="A169">
        <v>7816</v>
      </c>
    </row>
    <row r="170" spans="1:1" x14ac:dyDescent="0.35">
      <c r="A170">
        <v>7817</v>
      </c>
    </row>
    <row r="171" spans="1:1" x14ac:dyDescent="0.35">
      <c r="A171">
        <v>7818</v>
      </c>
    </row>
    <row r="172" spans="1:1" x14ac:dyDescent="0.35">
      <c r="A172">
        <v>7819</v>
      </c>
    </row>
    <row r="173" spans="1:1" x14ac:dyDescent="0.35">
      <c r="A173">
        <v>7820</v>
      </c>
    </row>
    <row r="174" spans="1:1" x14ac:dyDescent="0.35">
      <c r="A174">
        <v>7821</v>
      </c>
    </row>
    <row r="175" spans="1:1" x14ac:dyDescent="0.35">
      <c r="A175">
        <v>7822</v>
      </c>
    </row>
    <row r="176" spans="1:1" x14ac:dyDescent="0.35">
      <c r="A176">
        <v>7823</v>
      </c>
    </row>
    <row r="177" spans="1:1" x14ac:dyDescent="0.35">
      <c r="A177">
        <v>7824</v>
      </c>
    </row>
    <row r="178" spans="1:1" x14ac:dyDescent="0.35">
      <c r="A178">
        <v>7825</v>
      </c>
    </row>
    <row r="179" spans="1:1" x14ac:dyDescent="0.35">
      <c r="A179">
        <v>7826</v>
      </c>
    </row>
    <row r="180" spans="1:1" x14ac:dyDescent="0.35">
      <c r="A180">
        <v>7827</v>
      </c>
    </row>
    <row r="181" spans="1:1" x14ac:dyDescent="0.35">
      <c r="A181">
        <v>7828</v>
      </c>
    </row>
    <row r="182" spans="1:1" x14ac:dyDescent="0.35">
      <c r="A182">
        <v>7829</v>
      </c>
    </row>
    <row r="183" spans="1:1" x14ac:dyDescent="0.35">
      <c r="A183">
        <v>7830</v>
      </c>
    </row>
    <row r="184" spans="1:1" x14ac:dyDescent="0.35">
      <c r="A184">
        <v>7831</v>
      </c>
    </row>
    <row r="185" spans="1:1" x14ac:dyDescent="0.35">
      <c r="A185">
        <v>7832</v>
      </c>
    </row>
    <row r="186" spans="1:1" x14ac:dyDescent="0.35">
      <c r="A186">
        <v>7833</v>
      </c>
    </row>
    <row r="187" spans="1:1" x14ac:dyDescent="0.35">
      <c r="A187">
        <v>7834</v>
      </c>
    </row>
    <row r="188" spans="1:1" x14ac:dyDescent="0.35">
      <c r="A188">
        <v>7835</v>
      </c>
    </row>
    <row r="189" spans="1:1" x14ac:dyDescent="0.35">
      <c r="A189">
        <v>7836</v>
      </c>
    </row>
    <row r="190" spans="1:1" x14ac:dyDescent="0.35">
      <c r="A190">
        <v>7837</v>
      </c>
    </row>
    <row r="191" spans="1:1" x14ac:dyDescent="0.35">
      <c r="A191">
        <v>7838</v>
      </c>
    </row>
    <row r="192" spans="1:1" x14ac:dyDescent="0.35">
      <c r="A192">
        <v>7839</v>
      </c>
    </row>
    <row r="193" spans="1:1" x14ac:dyDescent="0.35">
      <c r="A193">
        <v>7840</v>
      </c>
    </row>
    <row r="194" spans="1:1" x14ac:dyDescent="0.35">
      <c r="A194">
        <v>7841</v>
      </c>
    </row>
    <row r="195" spans="1:1" x14ac:dyDescent="0.35">
      <c r="A195">
        <v>7842</v>
      </c>
    </row>
    <row r="196" spans="1:1" x14ac:dyDescent="0.35">
      <c r="A196">
        <v>7843</v>
      </c>
    </row>
    <row r="197" spans="1:1" x14ac:dyDescent="0.35">
      <c r="A197">
        <v>7844</v>
      </c>
    </row>
    <row r="198" spans="1:1" x14ac:dyDescent="0.35">
      <c r="A198">
        <v>7845</v>
      </c>
    </row>
    <row r="199" spans="1:1" x14ac:dyDescent="0.35">
      <c r="A199">
        <v>7846</v>
      </c>
    </row>
    <row r="200" spans="1:1" x14ac:dyDescent="0.35">
      <c r="A200">
        <v>7847</v>
      </c>
    </row>
    <row r="201" spans="1:1" x14ac:dyDescent="0.35">
      <c r="A201">
        <v>7848</v>
      </c>
    </row>
    <row r="202" spans="1:1" x14ac:dyDescent="0.35">
      <c r="A202">
        <v>7849</v>
      </c>
    </row>
    <row r="203" spans="1:1" x14ac:dyDescent="0.35">
      <c r="A203">
        <v>7850</v>
      </c>
    </row>
    <row r="204" spans="1:1" x14ac:dyDescent="0.35">
      <c r="A204">
        <v>7851</v>
      </c>
    </row>
    <row r="205" spans="1:1" x14ac:dyDescent="0.35">
      <c r="A205">
        <v>7852</v>
      </c>
    </row>
    <row r="206" spans="1:1" x14ac:dyDescent="0.35">
      <c r="A206">
        <v>7853</v>
      </c>
    </row>
    <row r="207" spans="1:1" x14ac:dyDescent="0.35">
      <c r="A207">
        <v>7854</v>
      </c>
    </row>
    <row r="208" spans="1:1" x14ac:dyDescent="0.35">
      <c r="A208">
        <v>7855</v>
      </c>
    </row>
    <row r="209" spans="1:1" x14ac:dyDescent="0.35">
      <c r="A209">
        <v>7856</v>
      </c>
    </row>
    <row r="210" spans="1:1" x14ac:dyDescent="0.35">
      <c r="A210">
        <v>7857</v>
      </c>
    </row>
    <row r="211" spans="1:1" x14ac:dyDescent="0.35">
      <c r="A211">
        <v>7858</v>
      </c>
    </row>
    <row r="212" spans="1:1" x14ac:dyDescent="0.35">
      <c r="A212">
        <v>7859</v>
      </c>
    </row>
    <row r="213" spans="1:1" x14ac:dyDescent="0.35">
      <c r="A213">
        <v>7860</v>
      </c>
    </row>
    <row r="214" spans="1:1" x14ac:dyDescent="0.35">
      <c r="A214">
        <v>7861</v>
      </c>
    </row>
    <row r="215" spans="1:1" x14ac:dyDescent="0.35">
      <c r="A215">
        <v>7862</v>
      </c>
    </row>
    <row r="216" spans="1:1" x14ac:dyDescent="0.35">
      <c r="A216">
        <v>7863</v>
      </c>
    </row>
    <row r="217" spans="1:1" x14ac:dyDescent="0.35">
      <c r="A217">
        <v>7864</v>
      </c>
    </row>
    <row r="218" spans="1:1" x14ac:dyDescent="0.35">
      <c r="A218">
        <v>7865</v>
      </c>
    </row>
    <row r="219" spans="1:1" x14ac:dyDescent="0.35">
      <c r="A219">
        <v>7866</v>
      </c>
    </row>
    <row r="220" spans="1:1" x14ac:dyDescent="0.35">
      <c r="A220">
        <v>7867</v>
      </c>
    </row>
    <row r="221" spans="1:1" x14ac:dyDescent="0.35">
      <c r="A221">
        <v>7868</v>
      </c>
    </row>
    <row r="222" spans="1:1" x14ac:dyDescent="0.35">
      <c r="A222">
        <v>7869</v>
      </c>
    </row>
    <row r="223" spans="1:1" x14ac:dyDescent="0.35">
      <c r="A223">
        <v>7870</v>
      </c>
    </row>
    <row r="224" spans="1:1" x14ac:dyDescent="0.35">
      <c r="A224">
        <v>7871</v>
      </c>
    </row>
    <row r="225" spans="1:1" x14ac:dyDescent="0.35">
      <c r="A225">
        <v>7872</v>
      </c>
    </row>
    <row r="226" spans="1:1" x14ac:dyDescent="0.35">
      <c r="A226">
        <v>7873</v>
      </c>
    </row>
    <row r="227" spans="1:1" x14ac:dyDescent="0.35">
      <c r="A227">
        <v>7874</v>
      </c>
    </row>
    <row r="228" spans="1:1" x14ac:dyDescent="0.35">
      <c r="A228">
        <v>7875</v>
      </c>
    </row>
    <row r="229" spans="1:1" x14ac:dyDescent="0.35">
      <c r="A229">
        <v>7876</v>
      </c>
    </row>
    <row r="230" spans="1:1" x14ac:dyDescent="0.35">
      <c r="A230">
        <v>7877</v>
      </c>
    </row>
    <row r="231" spans="1:1" x14ac:dyDescent="0.35">
      <c r="A231">
        <v>7878</v>
      </c>
    </row>
    <row r="232" spans="1:1" x14ac:dyDescent="0.35">
      <c r="A232">
        <v>7879</v>
      </c>
    </row>
    <row r="233" spans="1:1" x14ac:dyDescent="0.35">
      <c r="A233">
        <v>7880</v>
      </c>
    </row>
    <row r="234" spans="1:1" x14ac:dyDescent="0.35">
      <c r="A234">
        <v>7881</v>
      </c>
    </row>
    <row r="235" spans="1:1" x14ac:dyDescent="0.35">
      <c r="A235">
        <v>7882</v>
      </c>
    </row>
    <row r="236" spans="1:1" x14ac:dyDescent="0.35">
      <c r="A236">
        <v>7883</v>
      </c>
    </row>
    <row r="237" spans="1:1" x14ac:dyDescent="0.35">
      <c r="A237">
        <v>7884</v>
      </c>
    </row>
    <row r="238" spans="1:1" x14ac:dyDescent="0.35">
      <c r="A238">
        <v>7885</v>
      </c>
    </row>
    <row r="239" spans="1:1" x14ac:dyDescent="0.35">
      <c r="A239">
        <v>7886</v>
      </c>
    </row>
    <row r="240" spans="1:1" x14ac:dyDescent="0.35">
      <c r="A240">
        <v>7887</v>
      </c>
    </row>
    <row r="241" spans="1:1" x14ac:dyDescent="0.35">
      <c r="A241">
        <v>7888</v>
      </c>
    </row>
    <row r="242" spans="1:1" x14ac:dyDescent="0.35">
      <c r="A242">
        <v>7889</v>
      </c>
    </row>
    <row r="243" spans="1:1" x14ac:dyDescent="0.35">
      <c r="A243">
        <v>7890</v>
      </c>
    </row>
    <row r="244" spans="1:1" x14ac:dyDescent="0.35">
      <c r="A244">
        <v>7891</v>
      </c>
    </row>
    <row r="245" spans="1:1" x14ac:dyDescent="0.35">
      <c r="A245">
        <v>7892</v>
      </c>
    </row>
    <row r="246" spans="1:1" x14ac:dyDescent="0.35">
      <c r="A246">
        <v>7893</v>
      </c>
    </row>
    <row r="247" spans="1:1" x14ac:dyDescent="0.35">
      <c r="A247">
        <v>7894</v>
      </c>
    </row>
    <row r="248" spans="1:1" x14ac:dyDescent="0.35">
      <c r="A248">
        <v>7895</v>
      </c>
    </row>
    <row r="249" spans="1:1" x14ac:dyDescent="0.35">
      <c r="A249">
        <v>7896</v>
      </c>
    </row>
    <row r="250" spans="1:1" x14ac:dyDescent="0.35">
      <c r="A250">
        <v>7897</v>
      </c>
    </row>
    <row r="251" spans="1:1" x14ac:dyDescent="0.35">
      <c r="A251">
        <v>7898</v>
      </c>
    </row>
    <row r="252" spans="1:1" x14ac:dyDescent="0.35">
      <c r="A252">
        <v>7899</v>
      </c>
    </row>
    <row r="253" spans="1:1" x14ac:dyDescent="0.35">
      <c r="A253">
        <v>7900</v>
      </c>
    </row>
    <row r="254" spans="1:1" x14ac:dyDescent="0.35">
      <c r="A254">
        <v>7901</v>
      </c>
    </row>
    <row r="255" spans="1:1" x14ac:dyDescent="0.35">
      <c r="A255">
        <v>7902</v>
      </c>
    </row>
    <row r="256" spans="1:1" x14ac:dyDescent="0.35">
      <c r="A256">
        <v>7903</v>
      </c>
    </row>
    <row r="257" spans="1:1" x14ac:dyDescent="0.35">
      <c r="A257">
        <v>7904</v>
      </c>
    </row>
    <row r="258" spans="1:1" x14ac:dyDescent="0.35">
      <c r="A258">
        <v>7905</v>
      </c>
    </row>
    <row r="259" spans="1:1" x14ac:dyDescent="0.35">
      <c r="A259">
        <v>7906</v>
      </c>
    </row>
    <row r="260" spans="1:1" x14ac:dyDescent="0.35">
      <c r="A260">
        <v>7907</v>
      </c>
    </row>
    <row r="261" spans="1:1" x14ac:dyDescent="0.35">
      <c r="A261">
        <v>7908</v>
      </c>
    </row>
    <row r="262" spans="1:1" x14ac:dyDescent="0.35">
      <c r="A262">
        <v>7909</v>
      </c>
    </row>
    <row r="263" spans="1:1" x14ac:dyDescent="0.35">
      <c r="A263">
        <v>7910</v>
      </c>
    </row>
    <row r="264" spans="1:1" x14ac:dyDescent="0.35">
      <c r="A264">
        <v>7911</v>
      </c>
    </row>
    <row r="265" spans="1:1" x14ac:dyDescent="0.35">
      <c r="A265">
        <v>7912</v>
      </c>
    </row>
    <row r="266" spans="1:1" x14ac:dyDescent="0.35">
      <c r="A266">
        <v>7913</v>
      </c>
    </row>
    <row r="267" spans="1:1" x14ac:dyDescent="0.35">
      <c r="A267">
        <v>7914</v>
      </c>
    </row>
    <row r="268" spans="1:1" x14ac:dyDescent="0.35">
      <c r="A268">
        <v>7915</v>
      </c>
    </row>
    <row r="269" spans="1:1" x14ac:dyDescent="0.35">
      <c r="A269">
        <v>7916</v>
      </c>
    </row>
    <row r="270" spans="1:1" x14ac:dyDescent="0.35">
      <c r="A270">
        <v>7917</v>
      </c>
    </row>
    <row r="271" spans="1:1" x14ac:dyDescent="0.35">
      <c r="A271">
        <v>7918</v>
      </c>
    </row>
    <row r="272" spans="1:1" x14ac:dyDescent="0.35">
      <c r="A272">
        <v>7919</v>
      </c>
    </row>
    <row r="273" spans="1:1" x14ac:dyDescent="0.35">
      <c r="A273">
        <v>7920</v>
      </c>
    </row>
    <row r="274" spans="1:1" x14ac:dyDescent="0.35">
      <c r="A274">
        <v>7921</v>
      </c>
    </row>
    <row r="275" spans="1:1" x14ac:dyDescent="0.35">
      <c r="A275">
        <v>7922</v>
      </c>
    </row>
    <row r="276" spans="1:1" x14ac:dyDescent="0.35">
      <c r="A276">
        <v>7923</v>
      </c>
    </row>
    <row r="277" spans="1:1" x14ac:dyDescent="0.35">
      <c r="A277">
        <v>7924</v>
      </c>
    </row>
    <row r="278" spans="1:1" x14ac:dyDescent="0.35">
      <c r="A278">
        <v>7925</v>
      </c>
    </row>
    <row r="279" spans="1:1" x14ac:dyDescent="0.35">
      <c r="A279">
        <v>7926</v>
      </c>
    </row>
    <row r="280" spans="1:1" x14ac:dyDescent="0.35">
      <c r="A280">
        <v>7927</v>
      </c>
    </row>
    <row r="281" spans="1:1" x14ac:dyDescent="0.35">
      <c r="A281">
        <v>7928</v>
      </c>
    </row>
    <row r="282" spans="1:1" x14ac:dyDescent="0.35">
      <c r="A282">
        <v>7929</v>
      </c>
    </row>
    <row r="283" spans="1:1" x14ac:dyDescent="0.35">
      <c r="A283">
        <v>7930</v>
      </c>
    </row>
    <row r="284" spans="1:1" x14ac:dyDescent="0.35">
      <c r="A284">
        <v>7931</v>
      </c>
    </row>
    <row r="285" spans="1:1" x14ac:dyDescent="0.35">
      <c r="A285">
        <v>7932</v>
      </c>
    </row>
    <row r="286" spans="1:1" x14ac:dyDescent="0.35">
      <c r="A286">
        <v>7933</v>
      </c>
    </row>
    <row r="287" spans="1:1" x14ac:dyDescent="0.35">
      <c r="A287">
        <v>7934</v>
      </c>
    </row>
    <row r="288" spans="1:1" x14ac:dyDescent="0.35">
      <c r="A288">
        <v>7935</v>
      </c>
    </row>
    <row r="289" spans="1:1" x14ac:dyDescent="0.35">
      <c r="A289">
        <v>7936</v>
      </c>
    </row>
    <row r="290" spans="1:1" x14ac:dyDescent="0.35">
      <c r="A290">
        <v>7937</v>
      </c>
    </row>
    <row r="291" spans="1:1" x14ac:dyDescent="0.35">
      <c r="A291">
        <v>7938</v>
      </c>
    </row>
    <row r="292" spans="1:1" x14ac:dyDescent="0.35">
      <c r="A292">
        <v>7939</v>
      </c>
    </row>
    <row r="293" spans="1:1" x14ac:dyDescent="0.35">
      <c r="A293">
        <v>7940</v>
      </c>
    </row>
    <row r="294" spans="1:1" x14ac:dyDescent="0.35">
      <c r="A294">
        <v>7941</v>
      </c>
    </row>
    <row r="295" spans="1:1" x14ac:dyDescent="0.35">
      <c r="A295">
        <v>7942</v>
      </c>
    </row>
    <row r="296" spans="1:1" x14ac:dyDescent="0.35">
      <c r="A296">
        <v>7943</v>
      </c>
    </row>
    <row r="297" spans="1:1" x14ac:dyDescent="0.35">
      <c r="A297">
        <v>7944</v>
      </c>
    </row>
    <row r="298" spans="1:1" x14ac:dyDescent="0.35">
      <c r="A298">
        <v>7945</v>
      </c>
    </row>
    <row r="299" spans="1:1" x14ac:dyDescent="0.35">
      <c r="A299">
        <v>7946</v>
      </c>
    </row>
    <row r="300" spans="1:1" x14ac:dyDescent="0.35">
      <c r="A300">
        <v>7947</v>
      </c>
    </row>
    <row r="301" spans="1:1" x14ac:dyDescent="0.35">
      <c r="A301">
        <v>7948</v>
      </c>
    </row>
    <row r="302" spans="1:1" x14ac:dyDescent="0.35">
      <c r="A302">
        <v>7949</v>
      </c>
    </row>
    <row r="303" spans="1:1" x14ac:dyDescent="0.35">
      <c r="A303">
        <v>7950</v>
      </c>
    </row>
    <row r="304" spans="1:1" x14ac:dyDescent="0.35">
      <c r="A304">
        <v>7951</v>
      </c>
    </row>
    <row r="305" spans="1:1" x14ac:dyDescent="0.35">
      <c r="A305">
        <v>7952</v>
      </c>
    </row>
    <row r="306" spans="1:1" x14ac:dyDescent="0.35">
      <c r="A306">
        <v>7953</v>
      </c>
    </row>
    <row r="307" spans="1:1" x14ac:dyDescent="0.35">
      <c r="A307">
        <v>7954</v>
      </c>
    </row>
    <row r="308" spans="1:1" x14ac:dyDescent="0.35">
      <c r="A308">
        <v>7955</v>
      </c>
    </row>
    <row r="309" spans="1:1" x14ac:dyDescent="0.35">
      <c r="A309">
        <v>7956</v>
      </c>
    </row>
    <row r="310" spans="1:1" x14ac:dyDescent="0.35">
      <c r="A310">
        <v>7957</v>
      </c>
    </row>
    <row r="311" spans="1:1" x14ac:dyDescent="0.35">
      <c r="A311">
        <v>7958</v>
      </c>
    </row>
    <row r="312" spans="1:1" x14ac:dyDescent="0.35">
      <c r="A312">
        <v>7959</v>
      </c>
    </row>
    <row r="313" spans="1:1" x14ac:dyDescent="0.35">
      <c r="A313">
        <v>7960</v>
      </c>
    </row>
    <row r="314" spans="1:1" x14ac:dyDescent="0.35">
      <c r="A314">
        <v>7961</v>
      </c>
    </row>
    <row r="315" spans="1:1" x14ac:dyDescent="0.35">
      <c r="A315">
        <v>7962</v>
      </c>
    </row>
    <row r="316" spans="1:1" x14ac:dyDescent="0.35">
      <c r="A316">
        <v>7963</v>
      </c>
    </row>
    <row r="317" spans="1:1" x14ac:dyDescent="0.35">
      <c r="A317">
        <v>7964</v>
      </c>
    </row>
    <row r="318" spans="1:1" x14ac:dyDescent="0.35">
      <c r="A318">
        <v>7965</v>
      </c>
    </row>
    <row r="319" spans="1:1" x14ac:dyDescent="0.35">
      <c r="A319">
        <v>7966</v>
      </c>
    </row>
    <row r="320" spans="1:1" x14ac:dyDescent="0.35">
      <c r="A320">
        <v>7967</v>
      </c>
    </row>
    <row r="321" spans="1:1" x14ac:dyDescent="0.35">
      <c r="A321">
        <v>7968</v>
      </c>
    </row>
    <row r="322" spans="1:1" x14ac:dyDescent="0.35">
      <c r="A322">
        <v>7969</v>
      </c>
    </row>
    <row r="323" spans="1:1" x14ac:dyDescent="0.35">
      <c r="A323">
        <v>7970</v>
      </c>
    </row>
    <row r="324" spans="1:1" x14ac:dyDescent="0.35">
      <c r="A324">
        <v>7971</v>
      </c>
    </row>
    <row r="325" spans="1:1" x14ac:dyDescent="0.35">
      <c r="A325">
        <v>7972</v>
      </c>
    </row>
    <row r="326" spans="1:1" x14ac:dyDescent="0.35">
      <c r="A326">
        <v>7973</v>
      </c>
    </row>
    <row r="327" spans="1:1" x14ac:dyDescent="0.35">
      <c r="A327">
        <v>7974</v>
      </c>
    </row>
    <row r="328" spans="1:1" x14ac:dyDescent="0.35">
      <c r="A328">
        <v>7975</v>
      </c>
    </row>
    <row r="329" spans="1:1" x14ac:dyDescent="0.35">
      <c r="A329">
        <v>7976</v>
      </c>
    </row>
    <row r="330" spans="1:1" x14ac:dyDescent="0.35">
      <c r="A330">
        <v>7977</v>
      </c>
    </row>
    <row r="331" spans="1:1" x14ac:dyDescent="0.35">
      <c r="A331">
        <v>7978</v>
      </c>
    </row>
    <row r="332" spans="1:1" x14ac:dyDescent="0.35">
      <c r="A332">
        <v>7979</v>
      </c>
    </row>
    <row r="333" spans="1:1" x14ac:dyDescent="0.35">
      <c r="A333">
        <v>7980</v>
      </c>
    </row>
    <row r="334" spans="1:1" x14ac:dyDescent="0.35">
      <c r="A334">
        <v>7981</v>
      </c>
    </row>
    <row r="335" spans="1:1" x14ac:dyDescent="0.35">
      <c r="A335">
        <v>7982</v>
      </c>
    </row>
    <row r="336" spans="1:1" x14ac:dyDescent="0.35">
      <c r="A336">
        <v>7983</v>
      </c>
    </row>
    <row r="337" spans="1:1" x14ac:dyDescent="0.35">
      <c r="A337">
        <v>7984</v>
      </c>
    </row>
    <row r="338" spans="1:1" x14ac:dyDescent="0.35">
      <c r="A338">
        <v>7985</v>
      </c>
    </row>
    <row r="339" spans="1:1" x14ac:dyDescent="0.35">
      <c r="A339">
        <v>7986</v>
      </c>
    </row>
    <row r="340" spans="1:1" x14ac:dyDescent="0.35">
      <c r="A340">
        <v>7987</v>
      </c>
    </row>
    <row r="341" spans="1:1" x14ac:dyDescent="0.35">
      <c r="A341">
        <v>7988</v>
      </c>
    </row>
    <row r="342" spans="1:1" x14ac:dyDescent="0.35">
      <c r="A342">
        <v>7989</v>
      </c>
    </row>
    <row r="343" spans="1:1" x14ac:dyDescent="0.35">
      <c r="A343">
        <v>7990</v>
      </c>
    </row>
    <row r="344" spans="1:1" x14ac:dyDescent="0.35">
      <c r="A344">
        <v>7991</v>
      </c>
    </row>
    <row r="345" spans="1:1" x14ac:dyDescent="0.35">
      <c r="A345">
        <v>7992</v>
      </c>
    </row>
    <row r="346" spans="1:1" x14ac:dyDescent="0.35">
      <c r="A346">
        <v>7993</v>
      </c>
    </row>
    <row r="347" spans="1:1" x14ac:dyDescent="0.35">
      <c r="A347">
        <v>7994</v>
      </c>
    </row>
    <row r="348" spans="1:1" x14ac:dyDescent="0.35">
      <c r="A348">
        <v>7995</v>
      </c>
    </row>
    <row r="349" spans="1:1" x14ac:dyDescent="0.35">
      <c r="A349">
        <v>7996</v>
      </c>
    </row>
    <row r="350" spans="1:1" x14ac:dyDescent="0.35">
      <c r="A350">
        <v>7997</v>
      </c>
    </row>
    <row r="351" spans="1:1" x14ac:dyDescent="0.35">
      <c r="A351">
        <v>7998</v>
      </c>
    </row>
    <row r="352" spans="1:1" x14ac:dyDescent="0.35">
      <c r="A352">
        <v>7999</v>
      </c>
    </row>
    <row r="353" spans="1:1" x14ac:dyDescent="0.35">
      <c r="A353">
        <v>8000</v>
      </c>
    </row>
    <row r="354" spans="1:1" x14ac:dyDescent="0.35">
      <c r="A354">
        <v>8001</v>
      </c>
    </row>
    <row r="355" spans="1:1" x14ac:dyDescent="0.35">
      <c r="A355">
        <v>8002</v>
      </c>
    </row>
    <row r="356" spans="1:1" x14ac:dyDescent="0.35">
      <c r="A356">
        <v>8003</v>
      </c>
    </row>
    <row r="357" spans="1:1" x14ac:dyDescent="0.35">
      <c r="A357">
        <v>8004</v>
      </c>
    </row>
    <row r="358" spans="1:1" x14ac:dyDescent="0.35">
      <c r="A358">
        <v>8005</v>
      </c>
    </row>
    <row r="359" spans="1:1" x14ac:dyDescent="0.35">
      <c r="A359">
        <v>8006</v>
      </c>
    </row>
    <row r="360" spans="1:1" x14ac:dyDescent="0.35">
      <c r="A360">
        <v>8007</v>
      </c>
    </row>
    <row r="361" spans="1:1" x14ac:dyDescent="0.35">
      <c r="A361">
        <v>8008</v>
      </c>
    </row>
    <row r="362" spans="1:1" x14ac:dyDescent="0.35">
      <c r="A362">
        <v>8009</v>
      </c>
    </row>
    <row r="363" spans="1:1" x14ac:dyDescent="0.35">
      <c r="A363">
        <v>8010</v>
      </c>
    </row>
    <row r="364" spans="1:1" x14ac:dyDescent="0.35">
      <c r="A364">
        <v>8011</v>
      </c>
    </row>
    <row r="365" spans="1:1" x14ac:dyDescent="0.35">
      <c r="A365">
        <v>8012</v>
      </c>
    </row>
    <row r="366" spans="1:1" x14ac:dyDescent="0.35">
      <c r="A366">
        <v>8013</v>
      </c>
    </row>
    <row r="367" spans="1:1" x14ac:dyDescent="0.35">
      <c r="A367">
        <v>8014</v>
      </c>
    </row>
    <row r="368" spans="1:1" x14ac:dyDescent="0.35">
      <c r="A368">
        <v>8015</v>
      </c>
    </row>
    <row r="369" spans="1:1" x14ac:dyDescent="0.35">
      <c r="A369">
        <v>8016</v>
      </c>
    </row>
    <row r="370" spans="1:1" x14ac:dyDescent="0.35">
      <c r="A370">
        <v>8017</v>
      </c>
    </row>
    <row r="371" spans="1:1" x14ac:dyDescent="0.35">
      <c r="A371">
        <v>8018</v>
      </c>
    </row>
    <row r="372" spans="1:1" x14ac:dyDescent="0.35">
      <c r="A372">
        <v>8019</v>
      </c>
    </row>
    <row r="373" spans="1:1" x14ac:dyDescent="0.35">
      <c r="A373">
        <v>8020</v>
      </c>
    </row>
    <row r="374" spans="1:1" x14ac:dyDescent="0.35">
      <c r="A374">
        <v>8021</v>
      </c>
    </row>
    <row r="375" spans="1:1" x14ac:dyDescent="0.35">
      <c r="A375">
        <v>8022</v>
      </c>
    </row>
    <row r="376" spans="1:1" x14ac:dyDescent="0.35">
      <c r="A376">
        <v>8023</v>
      </c>
    </row>
    <row r="377" spans="1:1" x14ac:dyDescent="0.35">
      <c r="A377">
        <v>8024</v>
      </c>
    </row>
    <row r="378" spans="1:1" x14ac:dyDescent="0.35">
      <c r="A378">
        <v>8025</v>
      </c>
    </row>
    <row r="379" spans="1:1" x14ac:dyDescent="0.35">
      <c r="A379">
        <v>8026</v>
      </c>
    </row>
    <row r="380" spans="1:1" x14ac:dyDescent="0.35">
      <c r="A380">
        <v>8027</v>
      </c>
    </row>
    <row r="381" spans="1:1" x14ac:dyDescent="0.35">
      <c r="A381">
        <v>8028</v>
      </c>
    </row>
    <row r="382" spans="1:1" x14ac:dyDescent="0.35">
      <c r="A382">
        <v>8029</v>
      </c>
    </row>
    <row r="383" spans="1:1" x14ac:dyDescent="0.35">
      <c r="A383">
        <v>8030</v>
      </c>
    </row>
    <row r="384" spans="1:1" x14ac:dyDescent="0.35">
      <c r="A384">
        <v>8031</v>
      </c>
    </row>
    <row r="385" spans="1:1" x14ac:dyDescent="0.35">
      <c r="A385">
        <v>8032</v>
      </c>
    </row>
    <row r="386" spans="1:1" x14ac:dyDescent="0.35">
      <c r="A386">
        <v>8033</v>
      </c>
    </row>
    <row r="387" spans="1:1" x14ac:dyDescent="0.35">
      <c r="A387">
        <v>8034</v>
      </c>
    </row>
    <row r="388" spans="1:1" x14ac:dyDescent="0.35">
      <c r="A388">
        <v>8035</v>
      </c>
    </row>
    <row r="389" spans="1:1" x14ac:dyDescent="0.35">
      <c r="A389">
        <v>8036</v>
      </c>
    </row>
    <row r="390" spans="1:1" x14ac:dyDescent="0.35">
      <c r="A390">
        <v>8037</v>
      </c>
    </row>
    <row r="391" spans="1:1" x14ac:dyDescent="0.35">
      <c r="A391">
        <v>8038</v>
      </c>
    </row>
    <row r="392" spans="1:1" x14ac:dyDescent="0.35">
      <c r="A392">
        <v>8039</v>
      </c>
    </row>
    <row r="393" spans="1:1" x14ac:dyDescent="0.35">
      <c r="A393">
        <v>8040</v>
      </c>
    </row>
    <row r="394" spans="1:1" x14ac:dyDescent="0.35">
      <c r="A394">
        <v>8041</v>
      </c>
    </row>
    <row r="395" spans="1:1" x14ac:dyDescent="0.35">
      <c r="A395">
        <v>8042</v>
      </c>
    </row>
    <row r="396" spans="1:1" x14ac:dyDescent="0.35">
      <c r="A396">
        <v>8043</v>
      </c>
    </row>
    <row r="397" spans="1:1" x14ac:dyDescent="0.35">
      <c r="A397">
        <v>8044</v>
      </c>
    </row>
    <row r="398" spans="1:1" x14ac:dyDescent="0.35">
      <c r="A398">
        <v>8045</v>
      </c>
    </row>
    <row r="399" spans="1:1" x14ac:dyDescent="0.35">
      <c r="A399">
        <v>8046</v>
      </c>
    </row>
    <row r="400" spans="1:1" x14ac:dyDescent="0.35">
      <c r="A400">
        <v>8047</v>
      </c>
    </row>
    <row r="401" spans="1:1" x14ac:dyDescent="0.35">
      <c r="A401">
        <v>8048</v>
      </c>
    </row>
    <row r="402" spans="1:1" x14ac:dyDescent="0.35">
      <c r="A402">
        <v>8049</v>
      </c>
    </row>
    <row r="403" spans="1:1" x14ac:dyDescent="0.35">
      <c r="A403">
        <v>8050</v>
      </c>
    </row>
    <row r="404" spans="1:1" x14ac:dyDescent="0.35">
      <c r="A404">
        <v>8051</v>
      </c>
    </row>
    <row r="405" spans="1:1" x14ac:dyDescent="0.35">
      <c r="A405">
        <v>8052</v>
      </c>
    </row>
    <row r="406" spans="1:1" x14ac:dyDescent="0.35">
      <c r="A406">
        <v>8053</v>
      </c>
    </row>
    <row r="407" spans="1:1" x14ac:dyDescent="0.35">
      <c r="A407">
        <v>8054</v>
      </c>
    </row>
    <row r="408" spans="1:1" x14ac:dyDescent="0.35">
      <c r="A408">
        <v>8055</v>
      </c>
    </row>
    <row r="409" spans="1:1" x14ac:dyDescent="0.35">
      <c r="A409">
        <v>8056</v>
      </c>
    </row>
    <row r="410" spans="1:1" x14ac:dyDescent="0.35">
      <c r="A410">
        <v>8057</v>
      </c>
    </row>
    <row r="411" spans="1:1" x14ac:dyDescent="0.35">
      <c r="A411">
        <v>8058</v>
      </c>
    </row>
    <row r="412" spans="1:1" x14ac:dyDescent="0.35">
      <c r="A412">
        <v>8059</v>
      </c>
    </row>
    <row r="413" spans="1:1" x14ac:dyDescent="0.35">
      <c r="A413">
        <v>8060</v>
      </c>
    </row>
    <row r="414" spans="1:1" x14ac:dyDescent="0.35">
      <c r="A414">
        <v>8061</v>
      </c>
    </row>
    <row r="415" spans="1:1" x14ac:dyDescent="0.35">
      <c r="A415">
        <v>8062</v>
      </c>
    </row>
    <row r="416" spans="1:1" x14ac:dyDescent="0.35">
      <c r="A416">
        <v>8063</v>
      </c>
    </row>
    <row r="417" spans="1:1" x14ac:dyDescent="0.35">
      <c r="A417">
        <v>8064</v>
      </c>
    </row>
    <row r="418" spans="1:1" x14ac:dyDescent="0.35">
      <c r="A418">
        <v>8065</v>
      </c>
    </row>
    <row r="419" spans="1:1" x14ac:dyDescent="0.35">
      <c r="A419">
        <v>8066</v>
      </c>
    </row>
    <row r="420" spans="1:1" x14ac:dyDescent="0.35">
      <c r="A420">
        <v>8067</v>
      </c>
    </row>
    <row r="421" spans="1:1" x14ac:dyDescent="0.35">
      <c r="A421">
        <v>8068</v>
      </c>
    </row>
    <row r="422" spans="1:1" x14ac:dyDescent="0.35">
      <c r="A422">
        <v>8069</v>
      </c>
    </row>
    <row r="423" spans="1:1" x14ac:dyDescent="0.35">
      <c r="A423">
        <v>8070</v>
      </c>
    </row>
    <row r="424" spans="1:1" x14ac:dyDescent="0.35">
      <c r="A424">
        <v>8071</v>
      </c>
    </row>
    <row r="425" spans="1:1" x14ac:dyDescent="0.35">
      <c r="A425">
        <v>8072</v>
      </c>
    </row>
    <row r="426" spans="1:1" x14ac:dyDescent="0.35">
      <c r="A426">
        <v>8073</v>
      </c>
    </row>
    <row r="427" spans="1:1" x14ac:dyDescent="0.35">
      <c r="A427">
        <v>8074</v>
      </c>
    </row>
    <row r="428" spans="1:1" x14ac:dyDescent="0.35">
      <c r="A428">
        <v>8075</v>
      </c>
    </row>
    <row r="429" spans="1:1" x14ac:dyDescent="0.35">
      <c r="A429">
        <v>8076</v>
      </c>
    </row>
    <row r="430" spans="1:1" x14ac:dyDescent="0.35">
      <c r="A430">
        <v>8077</v>
      </c>
    </row>
    <row r="431" spans="1:1" x14ac:dyDescent="0.35">
      <c r="A431">
        <v>8078</v>
      </c>
    </row>
    <row r="432" spans="1:1" x14ac:dyDescent="0.35">
      <c r="A432">
        <v>8079</v>
      </c>
    </row>
    <row r="433" spans="1:1" x14ac:dyDescent="0.35">
      <c r="A433">
        <v>8080</v>
      </c>
    </row>
    <row r="434" spans="1:1" x14ac:dyDescent="0.35">
      <c r="A434">
        <v>8081</v>
      </c>
    </row>
    <row r="435" spans="1:1" x14ac:dyDescent="0.35">
      <c r="A435">
        <v>8082</v>
      </c>
    </row>
    <row r="436" spans="1:1" x14ac:dyDescent="0.35">
      <c r="A436">
        <v>8083</v>
      </c>
    </row>
    <row r="437" spans="1:1" x14ac:dyDescent="0.35">
      <c r="A437">
        <v>8084</v>
      </c>
    </row>
    <row r="438" spans="1:1" x14ac:dyDescent="0.35">
      <c r="A438">
        <v>8085</v>
      </c>
    </row>
    <row r="439" spans="1:1" x14ac:dyDescent="0.35">
      <c r="A439">
        <v>8086</v>
      </c>
    </row>
    <row r="440" spans="1:1" x14ac:dyDescent="0.35">
      <c r="A440">
        <v>8087</v>
      </c>
    </row>
    <row r="441" spans="1:1" x14ac:dyDescent="0.35">
      <c r="A441">
        <v>8088</v>
      </c>
    </row>
    <row r="442" spans="1:1" x14ac:dyDescent="0.35">
      <c r="A442">
        <v>8089</v>
      </c>
    </row>
    <row r="443" spans="1:1" x14ac:dyDescent="0.35">
      <c r="A443">
        <v>8090</v>
      </c>
    </row>
    <row r="444" spans="1:1" x14ac:dyDescent="0.35">
      <c r="A444">
        <v>8091</v>
      </c>
    </row>
    <row r="445" spans="1:1" x14ac:dyDescent="0.35">
      <c r="A445">
        <v>8092</v>
      </c>
    </row>
    <row r="446" spans="1:1" x14ac:dyDescent="0.35">
      <c r="A446">
        <v>8093</v>
      </c>
    </row>
    <row r="447" spans="1:1" x14ac:dyDescent="0.35">
      <c r="A447">
        <v>8094</v>
      </c>
    </row>
    <row r="448" spans="1:1" x14ac:dyDescent="0.35">
      <c r="A448">
        <v>8095</v>
      </c>
    </row>
    <row r="449" spans="1:1" x14ac:dyDescent="0.35">
      <c r="A449">
        <v>8096</v>
      </c>
    </row>
    <row r="450" spans="1:1" x14ac:dyDescent="0.35">
      <c r="A450">
        <v>8097</v>
      </c>
    </row>
    <row r="451" spans="1:1" x14ac:dyDescent="0.35">
      <c r="A451">
        <v>8098</v>
      </c>
    </row>
    <row r="452" spans="1:1" x14ac:dyDescent="0.35">
      <c r="A452">
        <v>8099</v>
      </c>
    </row>
    <row r="453" spans="1:1" x14ac:dyDescent="0.35">
      <c r="A453">
        <v>8100</v>
      </c>
    </row>
    <row r="454" spans="1:1" x14ac:dyDescent="0.35">
      <c r="A454">
        <v>8101</v>
      </c>
    </row>
    <row r="455" spans="1:1" x14ac:dyDescent="0.35">
      <c r="A455">
        <v>8102</v>
      </c>
    </row>
    <row r="456" spans="1:1" x14ac:dyDescent="0.35">
      <c r="A456">
        <v>8103</v>
      </c>
    </row>
    <row r="457" spans="1:1" x14ac:dyDescent="0.35">
      <c r="A457">
        <v>8104</v>
      </c>
    </row>
    <row r="458" spans="1:1" x14ac:dyDescent="0.35">
      <c r="A458">
        <v>8105</v>
      </c>
    </row>
    <row r="459" spans="1:1" x14ac:dyDescent="0.35">
      <c r="A459">
        <v>8106</v>
      </c>
    </row>
    <row r="460" spans="1:1" x14ac:dyDescent="0.35">
      <c r="A460">
        <v>8107</v>
      </c>
    </row>
    <row r="461" spans="1:1" x14ac:dyDescent="0.35">
      <c r="A461">
        <v>8108</v>
      </c>
    </row>
    <row r="462" spans="1:1" x14ac:dyDescent="0.35">
      <c r="A462">
        <v>8109</v>
      </c>
    </row>
    <row r="463" spans="1:1" x14ac:dyDescent="0.35">
      <c r="A463">
        <v>8110</v>
      </c>
    </row>
    <row r="464" spans="1:1" x14ac:dyDescent="0.35">
      <c r="A464">
        <v>8111</v>
      </c>
    </row>
    <row r="465" spans="1:1" x14ac:dyDescent="0.35">
      <c r="A465">
        <v>8112</v>
      </c>
    </row>
    <row r="466" spans="1:1" x14ac:dyDescent="0.35">
      <c r="A466">
        <v>8113</v>
      </c>
    </row>
    <row r="467" spans="1:1" x14ac:dyDescent="0.35">
      <c r="A467">
        <v>8114</v>
      </c>
    </row>
    <row r="468" spans="1:1" x14ac:dyDescent="0.35">
      <c r="A468">
        <v>8115</v>
      </c>
    </row>
    <row r="469" spans="1:1" x14ac:dyDescent="0.35">
      <c r="A469">
        <v>8116</v>
      </c>
    </row>
    <row r="470" spans="1:1" x14ac:dyDescent="0.35">
      <c r="A470">
        <v>8117</v>
      </c>
    </row>
    <row r="471" spans="1:1" x14ac:dyDescent="0.35">
      <c r="A471">
        <v>8118</v>
      </c>
    </row>
    <row r="472" spans="1:1" x14ac:dyDescent="0.35">
      <c r="A472">
        <v>8119</v>
      </c>
    </row>
    <row r="473" spans="1:1" x14ac:dyDescent="0.35">
      <c r="A473">
        <v>8120</v>
      </c>
    </row>
    <row r="474" spans="1:1" x14ac:dyDescent="0.35">
      <c r="A474">
        <v>8121</v>
      </c>
    </row>
    <row r="475" spans="1:1" x14ac:dyDescent="0.35">
      <c r="A475">
        <v>8122</v>
      </c>
    </row>
    <row r="476" spans="1:1" x14ac:dyDescent="0.35">
      <c r="A476">
        <v>8123</v>
      </c>
    </row>
    <row r="477" spans="1:1" x14ac:dyDescent="0.35">
      <c r="A477">
        <v>8124</v>
      </c>
    </row>
    <row r="478" spans="1:1" x14ac:dyDescent="0.35">
      <c r="A478">
        <v>8125</v>
      </c>
    </row>
    <row r="479" spans="1:1" x14ac:dyDescent="0.35">
      <c r="A479">
        <v>8126</v>
      </c>
    </row>
    <row r="480" spans="1:1" x14ac:dyDescent="0.35">
      <c r="A480">
        <v>8127</v>
      </c>
    </row>
    <row r="481" spans="1:1" x14ac:dyDescent="0.35">
      <c r="A481">
        <v>8128</v>
      </c>
    </row>
    <row r="482" spans="1:1" x14ac:dyDescent="0.35">
      <c r="A482">
        <v>8129</v>
      </c>
    </row>
    <row r="483" spans="1:1" x14ac:dyDescent="0.35">
      <c r="A483">
        <v>8130</v>
      </c>
    </row>
    <row r="484" spans="1:1" x14ac:dyDescent="0.35">
      <c r="A484">
        <v>8131</v>
      </c>
    </row>
    <row r="485" spans="1:1" x14ac:dyDescent="0.35">
      <c r="A485">
        <v>8132</v>
      </c>
    </row>
    <row r="486" spans="1:1" x14ac:dyDescent="0.35">
      <c r="A486">
        <v>8133</v>
      </c>
    </row>
    <row r="487" spans="1:1" x14ac:dyDescent="0.35">
      <c r="A487">
        <v>8134</v>
      </c>
    </row>
    <row r="488" spans="1:1" x14ac:dyDescent="0.35">
      <c r="A488">
        <v>8135</v>
      </c>
    </row>
    <row r="489" spans="1:1" x14ac:dyDescent="0.35">
      <c r="A489">
        <v>8136</v>
      </c>
    </row>
    <row r="490" spans="1:1" x14ac:dyDescent="0.35">
      <c r="A490">
        <v>8137</v>
      </c>
    </row>
    <row r="491" spans="1:1" x14ac:dyDescent="0.35">
      <c r="A491">
        <v>8138</v>
      </c>
    </row>
    <row r="492" spans="1:1" x14ac:dyDescent="0.35">
      <c r="A492">
        <v>8139</v>
      </c>
    </row>
    <row r="493" spans="1:1" x14ac:dyDescent="0.35">
      <c r="A493">
        <v>8140</v>
      </c>
    </row>
    <row r="494" spans="1:1" x14ac:dyDescent="0.35">
      <c r="A494">
        <v>8141</v>
      </c>
    </row>
    <row r="495" spans="1:1" x14ac:dyDescent="0.35">
      <c r="A495">
        <v>8142</v>
      </c>
    </row>
    <row r="496" spans="1:1" x14ac:dyDescent="0.35">
      <c r="A496">
        <v>8143</v>
      </c>
    </row>
    <row r="497" spans="1:1" x14ac:dyDescent="0.35">
      <c r="A497">
        <v>8144</v>
      </c>
    </row>
    <row r="498" spans="1:1" x14ac:dyDescent="0.35">
      <c r="A498">
        <v>8145</v>
      </c>
    </row>
    <row r="499" spans="1:1" x14ac:dyDescent="0.35">
      <c r="A499">
        <v>8146</v>
      </c>
    </row>
    <row r="500" spans="1:1" x14ac:dyDescent="0.35">
      <c r="A500">
        <v>8147</v>
      </c>
    </row>
    <row r="501" spans="1:1" x14ac:dyDescent="0.35">
      <c r="A501">
        <v>8148</v>
      </c>
    </row>
    <row r="502" spans="1:1" x14ac:dyDescent="0.35">
      <c r="A502">
        <v>8149</v>
      </c>
    </row>
    <row r="503" spans="1:1" x14ac:dyDescent="0.35">
      <c r="A503">
        <v>8150</v>
      </c>
    </row>
    <row r="504" spans="1:1" x14ac:dyDescent="0.35">
      <c r="A504">
        <v>8151</v>
      </c>
    </row>
    <row r="505" spans="1:1" x14ac:dyDescent="0.35">
      <c r="A505">
        <v>8152</v>
      </c>
    </row>
    <row r="506" spans="1:1" x14ac:dyDescent="0.35">
      <c r="A506">
        <v>8153</v>
      </c>
    </row>
    <row r="507" spans="1:1" x14ac:dyDescent="0.35">
      <c r="A507">
        <v>8154</v>
      </c>
    </row>
    <row r="508" spans="1:1" x14ac:dyDescent="0.35">
      <c r="A508">
        <v>8155</v>
      </c>
    </row>
    <row r="509" spans="1:1" x14ac:dyDescent="0.35">
      <c r="A509">
        <v>8156</v>
      </c>
    </row>
    <row r="510" spans="1:1" x14ac:dyDescent="0.35">
      <c r="A510">
        <v>8157</v>
      </c>
    </row>
    <row r="511" spans="1:1" x14ac:dyDescent="0.35">
      <c r="A511">
        <v>8158</v>
      </c>
    </row>
    <row r="512" spans="1:1" x14ac:dyDescent="0.35">
      <c r="A512">
        <v>8159</v>
      </c>
    </row>
    <row r="513" spans="1:1" x14ac:dyDescent="0.35">
      <c r="A513">
        <v>8160</v>
      </c>
    </row>
    <row r="514" spans="1:1" x14ac:dyDescent="0.35">
      <c r="A514">
        <v>8161</v>
      </c>
    </row>
    <row r="515" spans="1:1" x14ac:dyDescent="0.35">
      <c r="A515">
        <v>8162</v>
      </c>
    </row>
    <row r="516" spans="1:1" x14ac:dyDescent="0.35">
      <c r="A516">
        <v>8163</v>
      </c>
    </row>
    <row r="517" spans="1:1" x14ac:dyDescent="0.35">
      <c r="A517">
        <v>8164</v>
      </c>
    </row>
    <row r="518" spans="1:1" x14ac:dyDescent="0.35">
      <c r="A518">
        <v>8165</v>
      </c>
    </row>
    <row r="519" spans="1:1" x14ac:dyDescent="0.35">
      <c r="A519">
        <v>8166</v>
      </c>
    </row>
    <row r="520" spans="1:1" x14ac:dyDescent="0.35">
      <c r="A520">
        <v>8167</v>
      </c>
    </row>
    <row r="521" spans="1:1" x14ac:dyDescent="0.35">
      <c r="A521">
        <v>8168</v>
      </c>
    </row>
    <row r="522" spans="1:1" x14ac:dyDescent="0.35">
      <c r="A522">
        <v>8169</v>
      </c>
    </row>
    <row r="523" spans="1:1" x14ac:dyDescent="0.35">
      <c r="A523">
        <v>8170</v>
      </c>
    </row>
    <row r="524" spans="1:1" x14ac:dyDescent="0.35">
      <c r="A524">
        <v>8171</v>
      </c>
    </row>
    <row r="525" spans="1:1" x14ac:dyDescent="0.35">
      <c r="A525">
        <v>8172</v>
      </c>
    </row>
    <row r="526" spans="1:1" x14ac:dyDescent="0.35">
      <c r="A526">
        <v>8173</v>
      </c>
    </row>
    <row r="527" spans="1:1" x14ac:dyDescent="0.35">
      <c r="A527">
        <v>8174</v>
      </c>
    </row>
    <row r="528" spans="1:1" x14ac:dyDescent="0.35">
      <c r="A528">
        <v>8175</v>
      </c>
    </row>
    <row r="529" spans="1:1" x14ac:dyDescent="0.35">
      <c r="A529">
        <v>8176</v>
      </c>
    </row>
    <row r="530" spans="1:1" x14ac:dyDescent="0.35">
      <c r="A530">
        <v>8177</v>
      </c>
    </row>
    <row r="531" spans="1:1" x14ac:dyDescent="0.35">
      <c r="A531">
        <v>8178</v>
      </c>
    </row>
    <row r="532" spans="1:1" x14ac:dyDescent="0.35">
      <c r="A532">
        <v>8179</v>
      </c>
    </row>
    <row r="533" spans="1:1" x14ac:dyDescent="0.35">
      <c r="A533">
        <v>8180</v>
      </c>
    </row>
    <row r="534" spans="1:1" x14ac:dyDescent="0.35">
      <c r="A534">
        <v>8181</v>
      </c>
    </row>
    <row r="535" spans="1:1" x14ac:dyDescent="0.35">
      <c r="A535">
        <v>8182</v>
      </c>
    </row>
    <row r="536" spans="1:1" x14ac:dyDescent="0.35">
      <c r="A536">
        <v>8183</v>
      </c>
    </row>
    <row r="537" spans="1:1" x14ac:dyDescent="0.35">
      <c r="A537">
        <v>8184</v>
      </c>
    </row>
    <row r="538" spans="1:1" x14ac:dyDescent="0.35">
      <c r="A538">
        <v>8185</v>
      </c>
    </row>
    <row r="539" spans="1:1" x14ac:dyDescent="0.35">
      <c r="A539">
        <v>8186</v>
      </c>
    </row>
    <row r="540" spans="1:1" x14ac:dyDescent="0.35">
      <c r="A540">
        <v>8187</v>
      </c>
    </row>
    <row r="541" spans="1:1" x14ac:dyDescent="0.35">
      <c r="A541">
        <v>8188</v>
      </c>
    </row>
    <row r="542" spans="1:1" x14ac:dyDescent="0.35">
      <c r="A542">
        <v>8189</v>
      </c>
    </row>
    <row r="543" spans="1:1" x14ac:dyDescent="0.35">
      <c r="A543">
        <v>8190</v>
      </c>
    </row>
    <row r="544" spans="1:1" x14ac:dyDescent="0.35">
      <c r="A544">
        <v>8191</v>
      </c>
    </row>
    <row r="545" spans="1:1" x14ac:dyDescent="0.35">
      <c r="A545">
        <v>8192</v>
      </c>
    </row>
    <row r="546" spans="1:1" x14ac:dyDescent="0.35">
      <c r="A546">
        <v>8193</v>
      </c>
    </row>
    <row r="547" spans="1:1" x14ac:dyDescent="0.35">
      <c r="A547">
        <v>8194</v>
      </c>
    </row>
    <row r="548" spans="1:1" x14ac:dyDescent="0.35">
      <c r="A548">
        <v>8195</v>
      </c>
    </row>
    <row r="549" spans="1:1" x14ac:dyDescent="0.35">
      <c r="A549">
        <v>8196</v>
      </c>
    </row>
    <row r="550" spans="1:1" x14ac:dyDescent="0.35">
      <c r="A550">
        <v>8197</v>
      </c>
    </row>
    <row r="551" spans="1:1" x14ac:dyDescent="0.35">
      <c r="A551">
        <v>8198</v>
      </c>
    </row>
    <row r="552" spans="1:1" x14ac:dyDescent="0.35">
      <c r="A552">
        <v>8199</v>
      </c>
    </row>
    <row r="553" spans="1:1" x14ac:dyDescent="0.35">
      <c r="A553">
        <v>8200</v>
      </c>
    </row>
    <row r="554" spans="1:1" x14ac:dyDescent="0.35">
      <c r="A554">
        <v>8201</v>
      </c>
    </row>
    <row r="555" spans="1:1" x14ac:dyDescent="0.35">
      <c r="A555">
        <v>8202</v>
      </c>
    </row>
    <row r="556" spans="1:1" x14ac:dyDescent="0.35">
      <c r="A556">
        <v>8203</v>
      </c>
    </row>
    <row r="557" spans="1:1" x14ac:dyDescent="0.35">
      <c r="A557">
        <v>8204</v>
      </c>
    </row>
    <row r="558" spans="1:1" x14ac:dyDescent="0.35">
      <c r="A558">
        <v>8205</v>
      </c>
    </row>
    <row r="559" spans="1:1" x14ac:dyDescent="0.35">
      <c r="A559">
        <v>8206</v>
      </c>
    </row>
    <row r="560" spans="1:1" x14ac:dyDescent="0.35">
      <c r="A560">
        <v>8207</v>
      </c>
    </row>
    <row r="561" spans="1:1" x14ac:dyDescent="0.35">
      <c r="A561">
        <v>8208</v>
      </c>
    </row>
    <row r="562" spans="1:1" x14ac:dyDescent="0.35">
      <c r="A562">
        <v>8209</v>
      </c>
    </row>
    <row r="563" spans="1:1" x14ac:dyDescent="0.35">
      <c r="A563">
        <v>8210</v>
      </c>
    </row>
    <row r="564" spans="1:1" x14ac:dyDescent="0.35">
      <c r="A564">
        <v>8211</v>
      </c>
    </row>
    <row r="565" spans="1:1" x14ac:dyDescent="0.35">
      <c r="A565">
        <v>8212</v>
      </c>
    </row>
    <row r="566" spans="1:1" x14ac:dyDescent="0.35">
      <c r="A566">
        <v>8213</v>
      </c>
    </row>
    <row r="567" spans="1:1" x14ac:dyDescent="0.35">
      <c r="A567">
        <v>8214</v>
      </c>
    </row>
    <row r="568" spans="1:1" x14ac:dyDescent="0.35">
      <c r="A568">
        <v>8215</v>
      </c>
    </row>
    <row r="569" spans="1:1" x14ac:dyDescent="0.35">
      <c r="A569">
        <v>8216</v>
      </c>
    </row>
    <row r="570" spans="1:1" x14ac:dyDescent="0.35">
      <c r="A570">
        <v>8217</v>
      </c>
    </row>
    <row r="571" spans="1:1" x14ac:dyDescent="0.35">
      <c r="A571">
        <v>8218</v>
      </c>
    </row>
    <row r="572" spans="1:1" x14ac:dyDescent="0.35">
      <c r="A572">
        <v>8219</v>
      </c>
    </row>
    <row r="573" spans="1:1" x14ac:dyDescent="0.35">
      <c r="A573">
        <v>8220</v>
      </c>
    </row>
    <row r="574" spans="1:1" x14ac:dyDescent="0.35">
      <c r="A574">
        <v>8221</v>
      </c>
    </row>
    <row r="575" spans="1:1" x14ac:dyDescent="0.35">
      <c r="A575">
        <v>8222</v>
      </c>
    </row>
    <row r="576" spans="1:1" x14ac:dyDescent="0.35">
      <c r="A576">
        <v>8223</v>
      </c>
    </row>
    <row r="577" spans="1:1" x14ac:dyDescent="0.35">
      <c r="A577">
        <v>8224</v>
      </c>
    </row>
    <row r="578" spans="1:1" x14ac:dyDescent="0.35">
      <c r="A578">
        <v>8225</v>
      </c>
    </row>
    <row r="579" spans="1:1" x14ac:dyDescent="0.35">
      <c r="A579">
        <v>8226</v>
      </c>
    </row>
    <row r="580" spans="1:1" x14ac:dyDescent="0.35">
      <c r="A580">
        <v>8227</v>
      </c>
    </row>
    <row r="581" spans="1:1" x14ac:dyDescent="0.35">
      <c r="A581">
        <v>8228</v>
      </c>
    </row>
    <row r="582" spans="1:1" x14ac:dyDescent="0.35">
      <c r="A582">
        <v>8229</v>
      </c>
    </row>
    <row r="583" spans="1:1" x14ac:dyDescent="0.35">
      <c r="A583">
        <v>8230</v>
      </c>
    </row>
    <row r="584" spans="1:1" x14ac:dyDescent="0.35">
      <c r="A584">
        <v>8231</v>
      </c>
    </row>
    <row r="585" spans="1:1" x14ac:dyDescent="0.35">
      <c r="A585">
        <v>8232</v>
      </c>
    </row>
    <row r="586" spans="1:1" x14ac:dyDescent="0.35">
      <c r="A586">
        <v>8233</v>
      </c>
    </row>
    <row r="587" spans="1:1" x14ac:dyDescent="0.35">
      <c r="A587">
        <v>8234</v>
      </c>
    </row>
    <row r="588" spans="1:1" x14ac:dyDescent="0.35">
      <c r="A588">
        <v>8235</v>
      </c>
    </row>
    <row r="589" spans="1:1" x14ac:dyDescent="0.35">
      <c r="A589">
        <v>8236</v>
      </c>
    </row>
    <row r="590" spans="1:1" x14ac:dyDescent="0.35">
      <c r="A590">
        <v>8237</v>
      </c>
    </row>
    <row r="591" spans="1:1" x14ac:dyDescent="0.35">
      <c r="A591">
        <v>8238</v>
      </c>
    </row>
    <row r="592" spans="1:1" x14ac:dyDescent="0.35">
      <c r="A592">
        <v>8239</v>
      </c>
    </row>
    <row r="593" spans="1:1" x14ac:dyDescent="0.35">
      <c r="A593">
        <v>8240</v>
      </c>
    </row>
    <row r="594" spans="1:1" x14ac:dyDescent="0.35">
      <c r="A594">
        <v>8241</v>
      </c>
    </row>
    <row r="595" spans="1:1" x14ac:dyDescent="0.35">
      <c r="A595">
        <v>8242</v>
      </c>
    </row>
    <row r="596" spans="1:1" x14ac:dyDescent="0.35">
      <c r="A596">
        <v>8243</v>
      </c>
    </row>
    <row r="597" spans="1:1" x14ac:dyDescent="0.35">
      <c r="A597">
        <v>8244</v>
      </c>
    </row>
    <row r="598" spans="1:1" x14ac:dyDescent="0.35">
      <c r="A598">
        <v>8245</v>
      </c>
    </row>
    <row r="599" spans="1:1" x14ac:dyDescent="0.35">
      <c r="A599">
        <v>8246</v>
      </c>
    </row>
    <row r="600" spans="1:1" x14ac:dyDescent="0.35">
      <c r="A600">
        <v>8247</v>
      </c>
    </row>
    <row r="601" spans="1:1" x14ac:dyDescent="0.35">
      <c r="A601">
        <v>8248</v>
      </c>
    </row>
    <row r="602" spans="1:1" x14ac:dyDescent="0.35">
      <c r="A602">
        <v>8249</v>
      </c>
    </row>
    <row r="603" spans="1:1" x14ac:dyDescent="0.35">
      <c r="A603">
        <v>8250</v>
      </c>
    </row>
    <row r="604" spans="1:1" x14ac:dyDescent="0.35">
      <c r="A604">
        <v>8251</v>
      </c>
    </row>
    <row r="605" spans="1:1" x14ac:dyDescent="0.35">
      <c r="A605">
        <v>8252</v>
      </c>
    </row>
    <row r="606" spans="1:1" x14ac:dyDescent="0.35">
      <c r="A606">
        <v>8253</v>
      </c>
    </row>
    <row r="607" spans="1:1" x14ac:dyDescent="0.35">
      <c r="A607">
        <v>8254</v>
      </c>
    </row>
    <row r="608" spans="1:1" x14ac:dyDescent="0.35">
      <c r="A608">
        <v>8255</v>
      </c>
    </row>
    <row r="609" spans="1:1" x14ac:dyDescent="0.35">
      <c r="A609">
        <v>8256</v>
      </c>
    </row>
    <row r="610" spans="1:1" x14ac:dyDescent="0.35">
      <c r="A610">
        <v>8257</v>
      </c>
    </row>
    <row r="611" spans="1:1" x14ac:dyDescent="0.35">
      <c r="A611">
        <v>8258</v>
      </c>
    </row>
    <row r="612" spans="1:1" x14ac:dyDescent="0.35">
      <c r="A612">
        <v>8259</v>
      </c>
    </row>
    <row r="613" spans="1:1" x14ac:dyDescent="0.35">
      <c r="A613">
        <v>8260</v>
      </c>
    </row>
    <row r="614" spans="1:1" x14ac:dyDescent="0.35">
      <c r="A614">
        <v>8261</v>
      </c>
    </row>
    <row r="615" spans="1:1" x14ac:dyDescent="0.35">
      <c r="A615">
        <v>8262</v>
      </c>
    </row>
    <row r="616" spans="1:1" x14ac:dyDescent="0.35">
      <c r="A616">
        <v>8263</v>
      </c>
    </row>
    <row r="617" spans="1:1" x14ac:dyDescent="0.35">
      <c r="A617">
        <v>8264</v>
      </c>
    </row>
    <row r="618" spans="1:1" x14ac:dyDescent="0.35">
      <c r="A618">
        <v>8265</v>
      </c>
    </row>
    <row r="619" spans="1:1" x14ac:dyDescent="0.35">
      <c r="A619">
        <v>8266</v>
      </c>
    </row>
    <row r="620" spans="1:1" x14ac:dyDescent="0.35">
      <c r="A620">
        <v>8267</v>
      </c>
    </row>
    <row r="621" spans="1:1" x14ac:dyDescent="0.35">
      <c r="A621">
        <v>8268</v>
      </c>
    </row>
    <row r="622" spans="1:1" x14ac:dyDescent="0.35">
      <c r="A622">
        <v>8269</v>
      </c>
    </row>
    <row r="623" spans="1:1" x14ac:dyDescent="0.35">
      <c r="A623">
        <v>8270</v>
      </c>
    </row>
    <row r="624" spans="1:1" x14ac:dyDescent="0.35">
      <c r="A624">
        <v>8271</v>
      </c>
    </row>
    <row r="625" spans="1:1" x14ac:dyDescent="0.35">
      <c r="A625">
        <v>8272</v>
      </c>
    </row>
    <row r="626" spans="1:1" x14ac:dyDescent="0.35">
      <c r="A626">
        <v>8273</v>
      </c>
    </row>
    <row r="627" spans="1:1" x14ac:dyDescent="0.35">
      <c r="A627">
        <v>8274</v>
      </c>
    </row>
    <row r="628" spans="1:1" x14ac:dyDescent="0.35">
      <c r="A628">
        <v>8275</v>
      </c>
    </row>
    <row r="629" spans="1:1" x14ac:dyDescent="0.35">
      <c r="A629">
        <v>8276</v>
      </c>
    </row>
    <row r="630" spans="1:1" x14ac:dyDescent="0.35">
      <c r="A630">
        <v>8277</v>
      </c>
    </row>
    <row r="631" spans="1:1" x14ac:dyDescent="0.35">
      <c r="A631">
        <v>8278</v>
      </c>
    </row>
    <row r="632" spans="1:1" x14ac:dyDescent="0.35">
      <c r="A632">
        <v>8279</v>
      </c>
    </row>
    <row r="633" spans="1:1" x14ac:dyDescent="0.35">
      <c r="A633">
        <v>8280</v>
      </c>
    </row>
    <row r="634" spans="1:1" x14ac:dyDescent="0.35">
      <c r="A634">
        <v>8281</v>
      </c>
    </row>
    <row r="635" spans="1:1" x14ac:dyDescent="0.35">
      <c r="A635">
        <v>8282</v>
      </c>
    </row>
    <row r="636" spans="1:1" x14ac:dyDescent="0.35">
      <c r="A636">
        <v>8283</v>
      </c>
    </row>
    <row r="637" spans="1:1" x14ac:dyDescent="0.35">
      <c r="A637">
        <v>8284</v>
      </c>
    </row>
    <row r="638" spans="1:1" x14ac:dyDescent="0.35">
      <c r="A638">
        <v>8285</v>
      </c>
    </row>
    <row r="639" spans="1:1" x14ac:dyDescent="0.35">
      <c r="A639">
        <v>8286</v>
      </c>
    </row>
    <row r="640" spans="1:1" x14ac:dyDescent="0.35">
      <c r="A640">
        <v>8287</v>
      </c>
    </row>
    <row r="641" spans="1:1" x14ac:dyDescent="0.35">
      <c r="A641">
        <v>8288</v>
      </c>
    </row>
    <row r="642" spans="1:1" x14ac:dyDescent="0.35">
      <c r="A642">
        <v>8289</v>
      </c>
    </row>
    <row r="643" spans="1:1" x14ac:dyDescent="0.35">
      <c r="A643">
        <v>8290</v>
      </c>
    </row>
    <row r="644" spans="1:1" x14ac:dyDescent="0.35">
      <c r="A644">
        <v>8291</v>
      </c>
    </row>
    <row r="645" spans="1:1" x14ac:dyDescent="0.35">
      <c r="A645">
        <v>8292</v>
      </c>
    </row>
    <row r="646" spans="1:1" x14ac:dyDescent="0.35">
      <c r="A646">
        <v>8293</v>
      </c>
    </row>
    <row r="647" spans="1:1" x14ac:dyDescent="0.35">
      <c r="A647">
        <v>8294</v>
      </c>
    </row>
    <row r="648" spans="1:1" x14ac:dyDescent="0.35">
      <c r="A648">
        <v>8295</v>
      </c>
    </row>
    <row r="649" spans="1:1" x14ac:dyDescent="0.35">
      <c r="A649">
        <v>8296</v>
      </c>
    </row>
    <row r="650" spans="1:1" x14ac:dyDescent="0.35">
      <c r="A650">
        <v>8297</v>
      </c>
    </row>
    <row r="651" spans="1:1" x14ac:dyDescent="0.35">
      <c r="A651">
        <v>8298</v>
      </c>
    </row>
    <row r="652" spans="1:1" x14ac:dyDescent="0.35">
      <c r="A652">
        <v>8299</v>
      </c>
    </row>
    <row r="653" spans="1:1" x14ac:dyDescent="0.35">
      <c r="A653">
        <v>8300</v>
      </c>
    </row>
    <row r="654" spans="1:1" x14ac:dyDescent="0.35">
      <c r="A654">
        <v>8301</v>
      </c>
    </row>
    <row r="655" spans="1:1" x14ac:dyDescent="0.35">
      <c r="A655">
        <v>8302</v>
      </c>
    </row>
    <row r="656" spans="1:1" x14ac:dyDescent="0.35">
      <c r="A656">
        <v>8303</v>
      </c>
    </row>
    <row r="657" spans="1:1" x14ac:dyDescent="0.35">
      <c r="A657">
        <v>8304</v>
      </c>
    </row>
    <row r="658" spans="1:1" x14ac:dyDescent="0.35">
      <c r="A658">
        <v>8305</v>
      </c>
    </row>
    <row r="659" spans="1:1" x14ac:dyDescent="0.35">
      <c r="A659">
        <v>8306</v>
      </c>
    </row>
    <row r="660" spans="1:1" x14ac:dyDescent="0.35">
      <c r="A660">
        <v>8307</v>
      </c>
    </row>
    <row r="661" spans="1:1" x14ac:dyDescent="0.35">
      <c r="A661">
        <v>8308</v>
      </c>
    </row>
    <row r="662" spans="1:1" x14ac:dyDescent="0.35">
      <c r="A662">
        <v>8309</v>
      </c>
    </row>
    <row r="663" spans="1:1" x14ac:dyDescent="0.35">
      <c r="A663">
        <v>8310</v>
      </c>
    </row>
    <row r="664" spans="1:1" x14ac:dyDescent="0.35">
      <c r="A664">
        <v>8311</v>
      </c>
    </row>
    <row r="665" spans="1:1" x14ac:dyDescent="0.35">
      <c r="A665">
        <v>8312</v>
      </c>
    </row>
    <row r="666" spans="1:1" x14ac:dyDescent="0.35">
      <c r="A666">
        <v>8313</v>
      </c>
    </row>
    <row r="667" spans="1:1" x14ac:dyDescent="0.35">
      <c r="A667">
        <v>8314</v>
      </c>
    </row>
    <row r="668" spans="1:1" x14ac:dyDescent="0.35">
      <c r="A668">
        <v>8315</v>
      </c>
    </row>
    <row r="669" spans="1:1" x14ac:dyDescent="0.35">
      <c r="A669">
        <v>8316</v>
      </c>
    </row>
    <row r="670" spans="1:1" x14ac:dyDescent="0.35">
      <c r="A670">
        <v>8317</v>
      </c>
    </row>
    <row r="671" spans="1:1" x14ac:dyDescent="0.35">
      <c r="A671">
        <v>8318</v>
      </c>
    </row>
    <row r="672" spans="1:1" x14ac:dyDescent="0.35">
      <c r="A672">
        <v>8319</v>
      </c>
    </row>
    <row r="673" spans="1:1" x14ac:dyDescent="0.35">
      <c r="A673">
        <v>8320</v>
      </c>
    </row>
    <row r="674" spans="1:1" x14ac:dyDescent="0.35">
      <c r="A674">
        <v>8321</v>
      </c>
    </row>
    <row r="675" spans="1:1" x14ac:dyDescent="0.35">
      <c r="A675">
        <v>8322</v>
      </c>
    </row>
    <row r="676" spans="1:1" x14ac:dyDescent="0.35">
      <c r="A676">
        <v>8323</v>
      </c>
    </row>
    <row r="677" spans="1:1" x14ac:dyDescent="0.35">
      <c r="A677">
        <v>8324</v>
      </c>
    </row>
    <row r="678" spans="1:1" x14ac:dyDescent="0.35">
      <c r="A678">
        <v>8325</v>
      </c>
    </row>
    <row r="679" spans="1:1" x14ac:dyDescent="0.35">
      <c r="A679">
        <v>8326</v>
      </c>
    </row>
    <row r="680" spans="1:1" x14ac:dyDescent="0.35">
      <c r="A680">
        <v>8327</v>
      </c>
    </row>
    <row r="681" spans="1:1" x14ac:dyDescent="0.35">
      <c r="A681">
        <v>8328</v>
      </c>
    </row>
    <row r="682" spans="1:1" x14ac:dyDescent="0.35">
      <c r="A682">
        <v>8329</v>
      </c>
    </row>
    <row r="683" spans="1:1" x14ac:dyDescent="0.35">
      <c r="A683">
        <v>8330</v>
      </c>
    </row>
    <row r="684" spans="1:1" x14ac:dyDescent="0.35">
      <c r="A684">
        <v>8331</v>
      </c>
    </row>
    <row r="685" spans="1:1" x14ac:dyDescent="0.35">
      <c r="A685">
        <v>8332</v>
      </c>
    </row>
    <row r="686" spans="1:1" x14ac:dyDescent="0.35">
      <c r="A686">
        <v>8333</v>
      </c>
    </row>
    <row r="687" spans="1:1" x14ac:dyDescent="0.35">
      <c r="A687">
        <v>8334</v>
      </c>
    </row>
    <row r="688" spans="1:1" x14ac:dyDescent="0.35">
      <c r="A688">
        <v>8335</v>
      </c>
    </row>
    <row r="689" spans="1:1" x14ac:dyDescent="0.35">
      <c r="A689">
        <v>8336</v>
      </c>
    </row>
    <row r="690" spans="1:1" x14ac:dyDescent="0.35">
      <c r="A690">
        <v>8337</v>
      </c>
    </row>
    <row r="691" spans="1:1" x14ac:dyDescent="0.35">
      <c r="A691">
        <v>8338</v>
      </c>
    </row>
    <row r="692" spans="1:1" x14ac:dyDescent="0.35">
      <c r="A692">
        <v>8339</v>
      </c>
    </row>
    <row r="693" spans="1:1" x14ac:dyDescent="0.35">
      <c r="A693">
        <v>8340</v>
      </c>
    </row>
    <row r="694" spans="1:1" x14ac:dyDescent="0.35">
      <c r="A694">
        <v>8341</v>
      </c>
    </row>
    <row r="695" spans="1:1" x14ac:dyDescent="0.35">
      <c r="A695">
        <v>8342</v>
      </c>
    </row>
    <row r="696" spans="1:1" x14ac:dyDescent="0.35">
      <c r="A696">
        <v>8343</v>
      </c>
    </row>
    <row r="697" spans="1:1" x14ac:dyDescent="0.35">
      <c r="A697">
        <v>8344</v>
      </c>
    </row>
    <row r="698" spans="1:1" x14ac:dyDescent="0.35">
      <c r="A698">
        <v>8345</v>
      </c>
    </row>
    <row r="699" spans="1:1" x14ac:dyDescent="0.35">
      <c r="A699">
        <v>8346</v>
      </c>
    </row>
    <row r="700" spans="1:1" x14ac:dyDescent="0.35">
      <c r="A700">
        <v>8347</v>
      </c>
    </row>
    <row r="701" spans="1:1" x14ac:dyDescent="0.35">
      <c r="A701">
        <v>8348</v>
      </c>
    </row>
    <row r="702" spans="1:1" x14ac:dyDescent="0.35">
      <c r="A702">
        <v>8349</v>
      </c>
    </row>
    <row r="703" spans="1:1" x14ac:dyDescent="0.35">
      <c r="A703">
        <v>8350</v>
      </c>
    </row>
    <row r="704" spans="1:1" x14ac:dyDescent="0.35">
      <c r="A704">
        <v>8351</v>
      </c>
    </row>
    <row r="705" spans="1:1" x14ac:dyDescent="0.35">
      <c r="A705">
        <v>8352</v>
      </c>
    </row>
    <row r="706" spans="1:1" x14ac:dyDescent="0.35">
      <c r="A706">
        <v>8353</v>
      </c>
    </row>
    <row r="707" spans="1:1" x14ac:dyDescent="0.35">
      <c r="A707">
        <v>8354</v>
      </c>
    </row>
    <row r="708" spans="1:1" x14ac:dyDescent="0.35">
      <c r="A708">
        <v>8355</v>
      </c>
    </row>
    <row r="709" spans="1:1" x14ac:dyDescent="0.35">
      <c r="A709">
        <v>8356</v>
      </c>
    </row>
    <row r="710" spans="1:1" x14ac:dyDescent="0.35">
      <c r="A710">
        <v>8357</v>
      </c>
    </row>
    <row r="711" spans="1:1" x14ac:dyDescent="0.35">
      <c r="A711">
        <v>8358</v>
      </c>
    </row>
    <row r="712" spans="1:1" x14ac:dyDescent="0.35">
      <c r="A712">
        <v>8359</v>
      </c>
    </row>
    <row r="713" spans="1:1" x14ac:dyDescent="0.35">
      <c r="A713">
        <v>8360</v>
      </c>
    </row>
    <row r="714" spans="1:1" x14ac:dyDescent="0.35">
      <c r="A714">
        <v>8361</v>
      </c>
    </row>
    <row r="715" spans="1:1" x14ac:dyDescent="0.35">
      <c r="A715">
        <v>8362</v>
      </c>
    </row>
    <row r="716" spans="1:1" x14ac:dyDescent="0.35">
      <c r="A716">
        <v>8363</v>
      </c>
    </row>
    <row r="717" spans="1:1" x14ac:dyDescent="0.35">
      <c r="A717">
        <v>8364</v>
      </c>
    </row>
    <row r="718" spans="1:1" x14ac:dyDescent="0.35">
      <c r="A718">
        <v>8365</v>
      </c>
    </row>
    <row r="719" spans="1:1" x14ac:dyDescent="0.35">
      <c r="A719">
        <v>8366</v>
      </c>
    </row>
    <row r="720" spans="1:1" x14ac:dyDescent="0.35">
      <c r="A720">
        <v>8367</v>
      </c>
    </row>
    <row r="721" spans="1:1" x14ac:dyDescent="0.35">
      <c r="A721">
        <v>8368</v>
      </c>
    </row>
    <row r="722" spans="1:1" x14ac:dyDescent="0.35">
      <c r="A722">
        <v>8369</v>
      </c>
    </row>
    <row r="723" spans="1:1" x14ac:dyDescent="0.35">
      <c r="A723">
        <v>8370</v>
      </c>
    </row>
    <row r="724" spans="1:1" x14ac:dyDescent="0.35">
      <c r="A724">
        <v>8371</v>
      </c>
    </row>
    <row r="725" spans="1:1" x14ac:dyDescent="0.35">
      <c r="A725">
        <v>8372</v>
      </c>
    </row>
    <row r="726" spans="1:1" x14ac:dyDescent="0.35">
      <c r="A726">
        <v>8373</v>
      </c>
    </row>
    <row r="727" spans="1:1" x14ac:dyDescent="0.35">
      <c r="A727">
        <v>8374</v>
      </c>
    </row>
    <row r="728" spans="1:1" x14ac:dyDescent="0.35">
      <c r="A728">
        <v>8375</v>
      </c>
    </row>
    <row r="729" spans="1:1" x14ac:dyDescent="0.35">
      <c r="A729">
        <v>8376</v>
      </c>
    </row>
    <row r="730" spans="1:1" x14ac:dyDescent="0.35">
      <c r="A730">
        <v>8377</v>
      </c>
    </row>
    <row r="731" spans="1:1" x14ac:dyDescent="0.35">
      <c r="A731">
        <v>8378</v>
      </c>
    </row>
    <row r="732" spans="1:1" x14ac:dyDescent="0.35">
      <c r="A732">
        <v>8379</v>
      </c>
    </row>
    <row r="733" spans="1:1" x14ac:dyDescent="0.35">
      <c r="A733">
        <v>8380</v>
      </c>
    </row>
    <row r="734" spans="1:1" x14ac:dyDescent="0.35">
      <c r="A734">
        <v>8381</v>
      </c>
    </row>
    <row r="735" spans="1:1" x14ac:dyDescent="0.35">
      <c r="A735">
        <v>8382</v>
      </c>
    </row>
    <row r="736" spans="1:1" x14ac:dyDescent="0.35">
      <c r="A736">
        <v>8383</v>
      </c>
    </row>
    <row r="737" spans="1:1" x14ac:dyDescent="0.35">
      <c r="A737">
        <v>8384</v>
      </c>
    </row>
    <row r="738" spans="1:1" x14ac:dyDescent="0.35">
      <c r="A738">
        <v>8385</v>
      </c>
    </row>
    <row r="739" spans="1:1" x14ac:dyDescent="0.35">
      <c r="A739">
        <v>8386</v>
      </c>
    </row>
    <row r="740" spans="1:1" x14ac:dyDescent="0.35">
      <c r="A740">
        <v>8387</v>
      </c>
    </row>
    <row r="741" spans="1:1" x14ac:dyDescent="0.35">
      <c r="A741">
        <v>8388</v>
      </c>
    </row>
    <row r="742" spans="1:1" x14ac:dyDescent="0.35">
      <c r="A742">
        <v>8389</v>
      </c>
    </row>
    <row r="743" spans="1:1" x14ac:dyDescent="0.35">
      <c r="A743">
        <v>8390</v>
      </c>
    </row>
    <row r="744" spans="1:1" x14ac:dyDescent="0.35">
      <c r="A744">
        <v>8391</v>
      </c>
    </row>
    <row r="745" spans="1:1" x14ac:dyDescent="0.35">
      <c r="A745">
        <v>8392</v>
      </c>
    </row>
    <row r="746" spans="1:1" x14ac:dyDescent="0.35">
      <c r="A746">
        <v>8393</v>
      </c>
    </row>
    <row r="747" spans="1:1" x14ac:dyDescent="0.35">
      <c r="A747">
        <v>8394</v>
      </c>
    </row>
    <row r="748" spans="1:1" x14ac:dyDescent="0.35">
      <c r="A748">
        <v>8395</v>
      </c>
    </row>
    <row r="749" spans="1:1" x14ac:dyDescent="0.35">
      <c r="A749">
        <v>8396</v>
      </c>
    </row>
    <row r="750" spans="1:1" x14ac:dyDescent="0.35">
      <c r="A750">
        <v>8397</v>
      </c>
    </row>
    <row r="751" spans="1:1" x14ac:dyDescent="0.35">
      <c r="A751">
        <v>8398</v>
      </c>
    </row>
    <row r="752" spans="1:1" x14ac:dyDescent="0.35">
      <c r="A752">
        <v>8399</v>
      </c>
    </row>
    <row r="753" spans="1:1" x14ac:dyDescent="0.35">
      <c r="A753">
        <v>8400</v>
      </c>
    </row>
    <row r="754" spans="1:1" x14ac:dyDescent="0.35">
      <c r="A754">
        <v>8401</v>
      </c>
    </row>
    <row r="755" spans="1:1" x14ac:dyDescent="0.35">
      <c r="A755">
        <v>8402</v>
      </c>
    </row>
    <row r="756" spans="1:1" x14ac:dyDescent="0.35">
      <c r="A756">
        <v>8403</v>
      </c>
    </row>
    <row r="757" spans="1:1" x14ac:dyDescent="0.35">
      <c r="A757">
        <v>8404</v>
      </c>
    </row>
    <row r="758" spans="1:1" x14ac:dyDescent="0.35">
      <c r="A758">
        <v>8405</v>
      </c>
    </row>
    <row r="759" spans="1:1" x14ac:dyDescent="0.35">
      <c r="A759">
        <v>8406</v>
      </c>
    </row>
    <row r="760" spans="1:1" x14ac:dyDescent="0.35">
      <c r="A760">
        <v>8407</v>
      </c>
    </row>
    <row r="761" spans="1:1" x14ac:dyDescent="0.35">
      <c r="A761">
        <v>8408</v>
      </c>
    </row>
    <row r="762" spans="1:1" x14ac:dyDescent="0.35">
      <c r="A762">
        <v>8409</v>
      </c>
    </row>
    <row r="763" spans="1:1" x14ac:dyDescent="0.35">
      <c r="A763">
        <v>8410</v>
      </c>
    </row>
    <row r="764" spans="1:1" x14ac:dyDescent="0.35">
      <c r="A764">
        <v>8411</v>
      </c>
    </row>
    <row r="765" spans="1:1" x14ac:dyDescent="0.35">
      <c r="A765">
        <v>8412</v>
      </c>
    </row>
    <row r="766" spans="1:1" x14ac:dyDescent="0.35">
      <c r="A766">
        <v>8413</v>
      </c>
    </row>
    <row r="767" spans="1:1" x14ac:dyDescent="0.35">
      <c r="A767">
        <v>8414</v>
      </c>
    </row>
    <row r="768" spans="1:1" x14ac:dyDescent="0.35">
      <c r="A768">
        <v>8415</v>
      </c>
    </row>
    <row r="769" spans="1:1" x14ac:dyDescent="0.35">
      <c r="A769">
        <v>8416</v>
      </c>
    </row>
    <row r="770" spans="1:1" x14ac:dyDescent="0.35">
      <c r="A770">
        <v>8417</v>
      </c>
    </row>
    <row r="771" spans="1:1" x14ac:dyDescent="0.35">
      <c r="A771">
        <v>8418</v>
      </c>
    </row>
    <row r="772" spans="1:1" x14ac:dyDescent="0.35">
      <c r="A772">
        <v>8419</v>
      </c>
    </row>
    <row r="773" spans="1:1" x14ac:dyDescent="0.35">
      <c r="A773">
        <v>8420</v>
      </c>
    </row>
    <row r="774" spans="1:1" x14ac:dyDescent="0.35">
      <c r="A774">
        <v>8421</v>
      </c>
    </row>
    <row r="775" spans="1:1" x14ac:dyDescent="0.35">
      <c r="A775">
        <v>8422</v>
      </c>
    </row>
    <row r="776" spans="1:1" x14ac:dyDescent="0.35">
      <c r="A776">
        <v>8423</v>
      </c>
    </row>
    <row r="777" spans="1:1" x14ac:dyDescent="0.35">
      <c r="A777">
        <v>8424</v>
      </c>
    </row>
    <row r="778" spans="1:1" x14ac:dyDescent="0.35">
      <c r="A778">
        <v>8425</v>
      </c>
    </row>
    <row r="779" spans="1:1" x14ac:dyDescent="0.35">
      <c r="A779">
        <v>8426</v>
      </c>
    </row>
    <row r="780" spans="1:1" x14ac:dyDescent="0.35">
      <c r="A780">
        <v>8427</v>
      </c>
    </row>
    <row r="781" spans="1:1" x14ac:dyDescent="0.35">
      <c r="A781">
        <v>8428</v>
      </c>
    </row>
    <row r="782" spans="1:1" x14ac:dyDescent="0.35">
      <c r="A782">
        <v>8429</v>
      </c>
    </row>
    <row r="783" spans="1:1" x14ac:dyDescent="0.35">
      <c r="A783">
        <v>8430</v>
      </c>
    </row>
    <row r="784" spans="1:1" x14ac:dyDescent="0.35">
      <c r="A784">
        <v>8431</v>
      </c>
    </row>
    <row r="785" spans="1:1" x14ac:dyDescent="0.35">
      <c r="A785">
        <v>8432</v>
      </c>
    </row>
    <row r="786" spans="1:1" x14ac:dyDescent="0.35">
      <c r="A786">
        <v>8433</v>
      </c>
    </row>
    <row r="787" spans="1:1" x14ac:dyDescent="0.35">
      <c r="A787">
        <v>8434</v>
      </c>
    </row>
    <row r="788" spans="1:1" x14ac:dyDescent="0.35">
      <c r="A788">
        <v>8435</v>
      </c>
    </row>
    <row r="789" spans="1:1" x14ac:dyDescent="0.35">
      <c r="A789">
        <v>8436</v>
      </c>
    </row>
    <row r="790" spans="1:1" x14ac:dyDescent="0.35">
      <c r="A790">
        <v>8437</v>
      </c>
    </row>
    <row r="791" spans="1:1" x14ac:dyDescent="0.35">
      <c r="A791">
        <v>8438</v>
      </c>
    </row>
    <row r="792" spans="1:1" x14ac:dyDescent="0.35">
      <c r="A792">
        <v>8439</v>
      </c>
    </row>
    <row r="793" spans="1:1" x14ac:dyDescent="0.35">
      <c r="A793">
        <v>8440</v>
      </c>
    </row>
    <row r="794" spans="1:1" x14ac:dyDescent="0.35">
      <c r="A794">
        <v>8441</v>
      </c>
    </row>
    <row r="795" spans="1:1" x14ac:dyDescent="0.35">
      <c r="A795">
        <v>8442</v>
      </c>
    </row>
    <row r="796" spans="1:1" x14ac:dyDescent="0.35">
      <c r="A796">
        <v>8443</v>
      </c>
    </row>
    <row r="797" spans="1:1" x14ac:dyDescent="0.35">
      <c r="A797">
        <v>8444</v>
      </c>
    </row>
    <row r="798" spans="1:1" x14ac:dyDescent="0.35">
      <c r="A798">
        <v>8445</v>
      </c>
    </row>
    <row r="799" spans="1:1" x14ac:dyDescent="0.35">
      <c r="A799">
        <v>8446</v>
      </c>
    </row>
    <row r="800" spans="1:1" x14ac:dyDescent="0.35">
      <c r="A800">
        <v>8447</v>
      </c>
    </row>
    <row r="801" spans="1:1" x14ac:dyDescent="0.35">
      <c r="A801">
        <v>8448</v>
      </c>
    </row>
    <row r="802" spans="1:1" x14ac:dyDescent="0.35">
      <c r="A802">
        <v>8449</v>
      </c>
    </row>
    <row r="803" spans="1:1" x14ac:dyDescent="0.35">
      <c r="A803">
        <v>8450</v>
      </c>
    </row>
    <row r="804" spans="1:1" x14ac:dyDescent="0.35">
      <c r="A804">
        <v>8451</v>
      </c>
    </row>
    <row r="805" spans="1:1" x14ac:dyDescent="0.35">
      <c r="A805">
        <v>8452</v>
      </c>
    </row>
    <row r="806" spans="1:1" x14ac:dyDescent="0.35">
      <c r="A806">
        <v>8453</v>
      </c>
    </row>
    <row r="807" spans="1:1" x14ac:dyDescent="0.35">
      <c r="A807">
        <v>8454</v>
      </c>
    </row>
    <row r="808" spans="1:1" x14ac:dyDescent="0.35">
      <c r="A808">
        <v>8455</v>
      </c>
    </row>
    <row r="809" spans="1:1" x14ac:dyDescent="0.35">
      <c r="A809">
        <v>8456</v>
      </c>
    </row>
    <row r="810" spans="1:1" x14ac:dyDescent="0.35">
      <c r="A810">
        <v>8457</v>
      </c>
    </row>
    <row r="811" spans="1:1" x14ac:dyDescent="0.35">
      <c r="A811">
        <v>8458</v>
      </c>
    </row>
    <row r="812" spans="1:1" x14ac:dyDescent="0.35">
      <c r="A812">
        <v>8459</v>
      </c>
    </row>
    <row r="813" spans="1:1" x14ac:dyDescent="0.35">
      <c r="A813">
        <v>8460</v>
      </c>
    </row>
    <row r="814" spans="1:1" x14ac:dyDescent="0.35">
      <c r="A814">
        <v>8461</v>
      </c>
    </row>
    <row r="815" spans="1:1" x14ac:dyDescent="0.35">
      <c r="A815">
        <v>8462</v>
      </c>
    </row>
    <row r="816" spans="1:1" x14ac:dyDescent="0.35">
      <c r="A816">
        <v>8463</v>
      </c>
    </row>
    <row r="817" spans="1:1" x14ac:dyDescent="0.35">
      <c r="A817">
        <v>8464</v>
      </c>
    </row>
    <row r="818" spans="1:1" x14ac:dyDescent="0.35">
      <c r="A818">
        <v>8465</v>
      </c>
    </row>
    <row r="819" spans="1:1" x14ac:dyDescent="0.35">
      <c r="A819">
        <v>8466</v>
      </c>
    </row>
    <row r="820" spans="1:1" x14ac:dyDescent="0.35">
      <c r="A820">
        <v>8467</v>
      </c>
    </row>
    <row r="821" spans="1:1" x14ac:dyDescent="0.35">
      <c r="A821">
        <v>8468</v>
      </c>
    </row>
    <row r="822" spans="1:1" x14ac:dyDescent="0.35">
      <c r="A822">
        <v>8469</v>
      </c>
    </row>
    <row r="823" spans="1:1" x14ac:dyDescent="0.35">
      <c r="A823">
        <v>8470</v>
      </c>
    </row>
    <row r="824" spans="1:1" x14ac:dyDescent="0.35">
      <c r="A824">
        <v>8471</v>
      </c>
    </row>
    <row r="825" spans="1:1" x14ac:dyDescent="0.35">
      <c r="A825">
        <v>8472</v>
      </c>
    </row>
    <row r="826" spans="1:1" x14ac:dyDescent="0.35">
      <c r="A826">
        <v>8473</v>
      </c>
    </row>
    <row r="827" spans="1:1" x14ac:dyDescent="0.35">
      <c r="A827">
        <v>8474</v>
      </c>
    </row>
    <row r="828" spans="1:1" x14ac:dyDescent="0.35">
      <c r="A828">
        <v>8475</v>
      </c>
    </row>
    <row r="829" spans="1:1" x14ac:dyDescent="0.35">
      <c r="A829">
        <v>8476</v>
      </c>
    </row>
    <row r="830" spans="1:1" x14ac:dyDescent="0.35">
      <c r="A830">
        <v>8477</v>
      </c>
    </row>
    <row r="831" spans="1:1" x14ac:dyDescent="0.35">
      <c r="A831">
        <v>8478</v>
      </c>
    </row>
    <row r="832" spans="1:1" x14ac:dyDescent="0.35">
      <c r="A832">
        <v>8479</v>
      </c>
    </row>
    <row r="833" spans="1:1" x14ac:dyDescent="0.35">
      <c r="A833">
        <v>8480</v>
      </c>
    </row>
    <row r="834" spans="1:1" x14ac:dyDescent="0.35">
      <c r="A834">
        <v>8481</v>
      </c>
    </row>
    <row r="835" spans="1:1" x14ac:dyDescent="0.35">
      <c r="A835">
        <v>8482</v>
      </c>
    </row>
    <row r="836" spans="1:1" x14ac:dyDescent="0.35">
      <c r="A836">
        <v>8483</v>
      </c>
    </row>
    <row r="837" spans="1:1" x14ac:dyDescent="0.35">
      <c r="A837">
        <v>8484</v>
      </c>
    </row>
    <row r="838" spans="1:1" x14ac:dyDescent="0.35">
      <c r="A838">
        <v>8485</v>
      </c>
    </row>
    <row r="839" spans="1:1" x14ac:dyDescent="0.35">
      <c r="A839">
        <v>8486</v>
      </c>
    </row>
    <row r="840" spans="1:1" x14ac:dyDescent="0.35">
      <c r="A840">
        <v>8487</v>
      </c>
    </row>
    <row r="841" spans="1:1" x14ac:dyDescent="0.35">
      <c r="A841">
        <v>8488</v>
      </c>
    </row>
    <row r="842" spans="1:1" x14ac:dyDescent="0.35">
      <c r="A842">
        <v>8489</v>
      </c>
    </row>
    <row r="843" spans="1:1" x14ac:dyDescent="0.35">
      <c r="A843">
        <v>8490</v>
      </c>
    </row>
    <row r="844" spans="1:1" x14ac:dyDescent="0.35">
      <c r="A844">
        <v>8491</v>
      </c>
    </row>
    <row r="845" spans="1:1" x14ac:dyDescent="0.35">
      <c r="A845">
        <v>8492</v>
      </c>
    </row>
    <row r="846" spans="1:1" x14ac:dyDescent="0.35">
      <c r="A846">
        <v>8493</v>
      </c>
    </row>
    <row r="847" spans="1:1" x14ac:dyDescent="0.35">
      <c r="A847">
        <v>8494</v>
      </c>
    </row>
    <row r="848" spans="1:1" x14ac:dyDescent="0.35">
      <c r="A848">
        <v>8495</v>
      </c>
    </row>
    <row r="849" spans="1:1" x14ac:dyDescent="0.35">
      <c r="A849">
        <v>8496</v>
      </c>
    </row>
    <row r="850" spans="1:1" x14ac:dyDescent="0.35">
      <c r="A850">
        <v>8497</v>
      </c>
    </row>
    <row r="851" spans="1:1" x14ac:dyDescent="0.35">
      <c r="A851">
        <v>8498</v>
      </c>
    </row>
    <row r="852" spans="1:1" x14ac:dyDescent="0.35">
      <c r="A852">
        <v>8499</v>
      </c>
    </row>
    <row r="853" spans="1:1" x14ac:dyDescent="0.35">
      <c r="A853">
        <v>8500</v>
      </c>
    </row>
    <row r="854" spans="1:1" x14ac:dyDescent="0.35">
      <c r="A854">
        <v>8501</v>
      </c>
    </row>
    <row r="855" spans="1:1" x14ac:dyDescent="0.35">
      <c r="A855">
        <v>8502</v>
      </c>
    </row>
    <row r="856" spans="1:1" x14ac:dyDescent="0.35">
      <c r="A856">
        <v>8503</v>
      </c>
    </row>
    <row r="857" spans="1:1" x14ac:dyDescent="0.35">
      <c r="A857">
        <v>8504</v>
      </c>
    </row>
    <row r="858" spans="1:1" x14ac:dyDescent="0.35">
      <c r="A858">
        <v>8505</v>
      </c>
    </row>
    <row r="859" spans="1:1" x14ac:dyDescent="0.35">
      <c r="A859">
        <v>8506</v>
      </c>
    </row>
    <row r="860" spans="1:1" x14ac:dyDescent="0.35">
      <c r="A860">
        <v>8507</v>
      </c>
    </row>
    <row r="861" spans="1:1" x14ac:dyDescent="0.35">
      <c r="A861">
        <v>8508</v>
      </c>
    </row>
    <row r="862" spans="1:1" x14ac:dyDescent="0.35">
      <c r="A862">
        <v>8509</v>
      </c>
    </row>
    <row r="863" spans="1:1" x14ac:dyDescent="0.35">
      <c r="A863">
        <v>8510</v>
      </c>
    </row>
    <row r="864" spans="1:1" x14ac:dyDescent="0.35">
      <c r="A864">
        <v>8511</v>
      </c>
    </row>
    <row r="865" spans="1:1" x14ac:dyDescent="0.35">
      <c r="A865">
        <v>8512</v>
      </c>
    </row>
    <row r="866" spans="1:1" x14ac:dyDescent="0.35">
      <c r="A866">
        <v>8513</v>
      </c>
    </row>
    <row r="867" spans="1:1" x14ac:dyDescent="0.35">
      <c r="A867">
        <v>8514</v>
      </c>
    </row>
    <row r="868" spans="1:1" x14ac:dyDescent="0.35">
      <c r="A868">
        <v>8515</v>
      </c>
    </row>
    <row r="869" spans="1:1" x14ac:dyDescent="0.35">
      <c r="A869">
        <v>8516</v>
      </c>
    </row>
    <row r="870" spans="1:1" x14ac:dyDescent="0.35">
      <c r="A870">
        <v>8517</v>
      </c>
    </row>
    <row r="871" spans="1:1" x14ac:dyDescent="0.35">
      <c r="A871">
        <v>8518</v>
      </c>
    </row>
    <row r="872" spans="1:1" x14ac:dyDescent="0.35">
      <c r="A872">
        <v>8519</v>
      </c>
    </row>
    <row r="873" spans="1:1" x14ac:dyDescent="0.35">
      <c r="A873">
        <v>8520</v>
      </c>
    </row>
    <row r="874" spans="1:1" x14ac:dyDescent="0.35">
      <c r="A874">
        <v>8521</v>
      </c>
    </row>
    <row r="875" spans="1:1" x14ac:dyDescent="0.35">
      <c r="A875">
        <v>8522</v>
      </c>
    </row>
    <row r="876" spans="1:1" x14ac:dyDescent="0.35">
      <c r="A876">
        <v>8523</v>
      </c>
    </row>
    <row r="877" spans="1:1" x14ac:dyDescent="0.35">
      <c r="A877">
        <v>8524</v>
      </c>
    </row>
    <row r="878" spans="1:1" x14ac:dyDescent="0.35">
      <c r="A878">
        <v>8525</v>
      </c>
    </row>
    <row r="879" spans="1:1" x14ac:dyDescent="0.35">
      <c r="A879">
        <v>8526</v>
      </c>
    </row>
    <row r="880" spans="1:1" x14ac:dyDescent="0.35">
      <c r="A880">
        <v>8527</v>
      </c>
    </row>
    <row r="881" spans="1:1" x14ac:dyDescent="0.35">
      <c r="A881">
        <v>8528</v>
      </c>
    </row>
    <row r="882" spans="1:1" x14ac:dyDescent="0.35">
      <c r="A882">
        <v>8529</v>
      </c>
    </row>
    <row r="883" spans="1:1" x14ac:dyDescent="0.35">
      <c r="A883">
        <v>8530</v>
      </c>
    </row>
    <row r="884" spans="1:1" x14ac:dyDescent="0.35">
      <c r="A884">
        <v>8531</v>
      </c>
    </row>
    <row r="885" spans="1:1" x14ac:dyDescent="0.35">
      <c r="A885">
        <v>8532</v>
      </c>
    </row>
    <row r="886" spans="1:1" x14ac:dyDescent="0.35">
      <c r="A886">
        <v>8533</v>
      </c>
    </row>
    <row r="887" spans="1:1" x14ac:dyDescent="0.35">
      <c r="A887">
        <v>8534</v>
      </c>
    </row>
    <row r="888" spans="1:1" x14ac:dyDescent="0.35">
      <c r="A888">
        <v>8535</v>
      </c>
    </row>
    <row r="889" spans="1:1" x14ac:dyDescent="0.35">
      <c r="A889">
        <v>8536</v>
      </c>
    </row>
    <row r="890" spans="1:1" x14ac:dyDescent="0.35">
      <c r="A890">
        <v>8537</v>
      </c>
    </row>
    <row r="891" spans="1:1" x14ac:dyDescent="0.35">
      <c r="A891">
        <v>8538</v>
      </c>
    </row>
    <row r="892" spans="1:1" x14ac:dyDescent="0.35">
      <c r="A892">
        <v>8539</v>
      </c>
    </row>
    <row r="893" spans="1:1" x14ac:dyDescent="0.35">
      <c r="A893">
        <v>8540</v>
      </c>
    </row>
    <row r="894" spans="1:1" x14ac:dyDescent="0.35">
      <c r="A894">
        <v>8541</v>
      </c>
    </row>
    <row r="895" spans="1:1" x14ac:dyDescent="0.35">
      <c r="A895">
        <v>8542</v>
      </c>
    </row>
    <row r="896" spans="1:1" x14ac:dyDescent="0.35">
      <c r="A896">
        <v>8543</v>
      </c>
    </row>
    <row r="897" spans="1:1" x14ac:dyDescent="0.35">
      <c r="A897">
        <v>8544</v>
      </c>
    </row>
    <row r="898" spans="1:1" x14ac:dyDescent="0.35">
      <c r="A898">
        <v>8545</v>
      </c>
    </row>
    <row r="899" spans="1:1" x14ac:dyDescent="0.35">
      <c r="A899">
        <v>8546</v>
      </c>
    </row>
    <row r="900" spans="1:1" x14ac:dyDescent="0.35">
      <c r="A900">
        <v>8547</v>
      </c>
    </row>
    <row r="901" spans="1:1" x14ac:dyDescent="0.35">
      <c r="A901">
        <v>8548</v>
      </c>
    </row>
    <row r="902" spans="1:1" x14ac:dyDescent="0.35">
      <c r="A902">
        <v>8549</v>
      </c>
    </row>
    <row r="903" spans="1:1" x14ac:dyDescent="0.35">
      <c r="A903">
        <v>8550</v>
      </c>
    </row>
    <row r="904" spans="1:1" x14ac:dyDescent="0.35">
      <c r="A904">
        <v>8551</v>
      </c>
    </row>
    <row r="905" spans="1:1" x14ac:dyDescent="0.35">
      <c r="A905">
        <v>8552</v>
      </c>
    </row>
    <row r="906" spans="1:1" x14ac:dyDescent="0.35">
      <c r="A906">
        <v>8553</v>
      </c>
    </row>
    <row r="907" spans="1:1" x14ac:dyDescent="0.35">
      <c r="A907">
        <v>8554</v>
      </c>
    </row>
    <row r="908" spans="1:1" x14ac:dyDescent="0.35">
      <c r="A908">
        <v>8555</v>
      </c>
    </row>
    <row r="909" spans="1:1" x14ac:dyDescent="0.35">
      <c r="A909">
        <v>8556</v>
      </c>
    </row>
    <row r="910" spans="1:1" x14ac:dyDescent="0.35">
      <c r="A910">
        <v>8557</v>
      </c>
    </row>
    <row r="911" spans="1:1" x14ac:dyDescent="0.35">
      <c r="A911">
        <v>8558</v>
      </c>
    </row>
    <row r="912" spans="1:1" x14ac:dyDescent="0.35">
      <c r="A912">
        <v>8559</v>
      </c>
    </row>
    <row r="913" spans="1:1" x14ac:dyDescent="0.35">
      <c r="A913">
        <v>8560</v>
      </c>
    </row>
    <row r="914" spans="1:1" x14ac:dyDescent="0.35">
      <c r="A914">
        <v>8561</v>
      </c>
    </row>
    <row r="915" spans="1:1" x14ac:dyDescent="0.35">
      <c r="A915">
        <v>8562</v>
      </c>
    </row>
    <row r="916" spans="1:1" x14ac:dyDescent="0.35">
      <c r="A916">
        <v>8563</v>
      </c>
    </row>
    <row r="917" spans="1:1" x14ac:dyDescent="0.35">
      <c r="A917">
        <v>8564</v>
      </c>
    </row>
    <row r="918" spans="1:1" x14ac:dyDescent="0.35">
      <c r="A918">
        <v>8565</v>
      </c>
    </row>
    <row r="919" spans="1:1" x14ac:dyDescent="0.35">
      <c r="A919">
        <v>8566</v>
      </c>
    </row>
    <row r="920" spans="1:1" x14ac:dyDescent="0.35">
      <c r="A920">
        <v>8567</v>
      </c>
    </row>
    <row r="921" spans="1:1" x14ac:dyDescent="0.35">
      <c r="A921">
        <v>8568</v>
      </c>
    </row>
    <row r="922" spans="1:1" x14ac:dyDescent="0.35">
      <c r="A922">
        <v>8569</v>
      </c>
    </row>
    <row r="923" spans="1:1" x14ac:dyDescent="0.35">
      <c r="A923">
        <v>8570</v>
      </c>
    </row>
    <row r="924" spans="1:1" x14ac:dyDescent="0.35">
      <c r="A924">
        <v>8571</v>
      </c>
    </row>
    <row r="925" spans="1:1" x14ac:dyDescent="0.35">
      <c r="A925">
        <v>8572</v>
      </c>
    </row>
    <row r="926" spans="1:1" x14ac:dyDescent="0.35">
      <c r="A926">
        <v>8573</v>
      </c>
    </row>
    <row r="927" spans="1:1" x14ac:dyDescent="0.35">
      <c r="A927">
        <v>8574</v>
      </c>
    </row>
    <row r="928" spans="1:1" x14ac:dyDescent="0.35">
      <c r="A928">
        <v>8575</v>
      </c>
    </row>
    <row r="929" spans="1:1" x14ac:dyDescent="0.35">
      <c r="A929">
        <v>8576</v>
      </c>
    </row>
    <row r="930" spans="1:1" x14ac:dyDescent="0.35">
      <c r="A930">
        <v>8577</v>
      </c>
    </row>
    <row r="931" spans="1:1" x14ac:dyDescent="0.35">
      <c r="A931">
        <v>8578</v>
      </c>
    </row>
    <row r="932" spans="1:1" x14ac:dyDescent="0.35">
      <c r="A932">
        <v>8579</v>
      </c>
    </row>
    <row r="933" spans="1:1" x14ac:dyDescent="0.35">
      <c r="A933">
        <v>8580</v>
      </c>
    </row>
    <row r="934" spans="1:1" x14ac:dyDescent="0.35">
      <c r="A934">
        <v>8581</v>
      </c>
    </row>
    <row r="935" spans="1:1" x14ac:dyDescent="0.35">
      <c r="A935">
        <v>8582</v>
      </c>
    </row>
    <row r="936" spans="1:1" x14ac:dyDescent="0.35">
      <c r="A936">
        <v>8583</v>
      </c>
    </row>
    <row r="937" spans="1:1" x14ac:dyDescent="0.35">
      <c r="A937">
        <v>8584</v>
      </c>
    </row>
    <row r="938" spans="1:1" x14ac:dyDescent="0.35">
      <c r="A938">
        <v>8585</v>
      </c>
    </row>
    <row r="939" spans="1:1" x14ac:dyDescent="0.35">
      <c r="A939">
        <v>8586</v>
      </c>
    </row>
    <row r="940" spans="1:1" x14ac:dyDescent="0.35">
      <c r="A940">
        <v>8587</v>
      </c>
    </row>
    <row r="941" spans="1:1" x14ac:dyDescent="0.35">
      <c r="A941">
        <v>8588</v>
      </c>
    </row>
    <row r="942" spans="1:1" x14ac:dyDescent="0.35">
      <c r="A942">
        <v>8589</v>
      </c>
    </row>
    <row r="943" spans="1:1" x14ac:dyDescent="0.35">
      <c r="A943">
        <v>8590</v>
      </c>
    </row>
    <row r="944" spans="1:1" x14ac:dyDescent="0.35">
      <c r="A944">
        <v>8591</v>
      </c>
    </row>
    <row r="945" spans="1:1" x14ac:dyDescent="0.35">
      <c r="A945">
        <v>8592</v>
      </c>
    </row>
    <row r="946" spans="1:1" x14ac:dyDescent="0.35">
      <c r="A946">
        <v>8593</v>
      </c>
    </row>
    <row r="947" spans="1:1" x14ac:dyDescent="0.35">
      <c r="A947">
        <v>8594</v>
      </c>
    </row>
    <row r="948" spans="1:1" x14ac:dyDescent="0.35">
      <c r="A948">
        <v>8595</v>
      </c>
    </row>
    <row r="949" spans="1:1" x14ac:dyDescent="0.35">
      <c r="A949">
        <v>8596</v>
      </c>
    </row>
    <row r="950" spans="1:1" x14ac:dyDescent="0.35">
      <c r="A950">
        <v>8597</v>
      </c>
    </row>
    <row r="951" spans="1:1" x14ac:dyDescent="0.35">
      <c r="A951">
        <v>8598</v>
      </c>
    </row>
    <row r="952" spans="1:1" x14ac:dyDescent="0.35">
      <c r="A952">
        <v>8599</v>
      </c>
    </row>
    <row r="953" spans="1:1" x14ac:dyDescent="0.35">
      <c r="A953">
        <v>8600</v>
      </c>
    </row>
    <row r="954" spans="1:1" x14ac:dyDescent="0.35">
      <c r="A954">
        <v>8601</v>
      </c>
    </row>
    <row r="955" spans="1:1" x14ac:dyDescent="0.35">
      <c r="A955">
        <v>8602</v>
      </c>
    </row>
    <row r="956" spans="1:1" x14ac:dyDescent="0.35">
      <c r="A956">
        <v>8603</v>
      </c>
    </row>
    <row r="957" spans="1:1" x14ac:dyDescent="0.35">
      <c r="A957">
        <v>8604</v>
      </c>
    </row>
    <row r="958" spans="1:1" x14ac:dyDescent="0.35">
      <c r="A958">
        <v>8605</v>
      </c>
    </row>
    <row r="959" spans="1:1" x14ac:dyDescent="0.35">
      <c r="A959">
        <v>8606</v>
      </c>
    </row>
    <row r="960" spans="1:1" x14ac:dyDescent="0.35">
      <c r="A960">
        <v>8607</v>
      </c>
    </row>
    <row r="961" spans="1:1" x14ac:dyDescent="0.35">
      <c r="A961">
        <v>8608</v>
      </c>
    </row>
    <row r="962" spans="1:1" x14ac:dyDescent="0.35">
      <c r="A962">
        <v>8609</v>
      </c>
    </row>
    <row r="963" spans="1:1" x14ac:dyDescent="0.35">
      <c r="A963">
        <v>8610</v>
      </c>
    </row>
    <row r="964" spans="1:1" x14ac:dyDescent="0.35">
      <c r="A964">
        <v>8611</v>
      </c>
    </row>
    <row r="965" spans="1:1" x14ac:dyDescent="0.35">
      <c r="A965">
        <v>8612</v>
      </c>
    </row>
    <row r="966" spans="1:1" x14ac:dyDescent="0.35">
      <c r="A966">
        <v>8613</v>
      </c>
    </row>
    <row r="967" spans="1:1" x14ac:dyDescent="0.35">
      <c r="A967">
        <v>8614</v>
      </c>
    </row>
    <row r="968" spans="1:1" x14ac:dyDescent="0.35">
      <c r="A968">
        <v>8615</v>
      </c>
    </row>
    <row r="969" spans="1:1" x14ac:dyDescent="0.35">
      <c r="A969">
        <v>8616</v>
      </c>
    </row>
    <row r="970" spans="1:1" x14ac:dyDescent="0.35">
      <c r="A970">
        <v>8617</v>
      </c>
    </row>
    <row r="971" spans="1:1" x14ac:dyDescent="0.35">
      <c r="A971">
        <v>8618</v>
      </c>
    </row>
    <row r="972" spans="1:1" x14ac:dyDescent="0.35">
      <c r="A972">
        <v>8619</v>
      </c>
    </row>
    <row r="973" spans="1:1" x14ac:dyDescent="0.35">
      <c r="A973">
        <v>8620</v>
      </c>
    </row>
    <row r="974" spans="1:1" x14ac:dyDescent="0.35">
      <c r="A974">
        <v>8621</v>
      </c>
    </row>
    <row r="975" spans="1:1" x14ac:dyDescent="0.35">
      <c r="A975">
        <v>8622</v>
      </c>
    </row>
    <row r="976" spans="1:1" x14ac:dyDescent="0.35">
      <c r="A976">
        <v>8623</v>
      </c>
    </row>
    <row r="977" spans="1:1" x14ac:dyDescent="0.35">
      <c r="A977">
        <v>8624</v>
      </c>
    </row>
    <row r="978" spans="1:1" x14ac:dyDescent="0.35">
      <c r="A978">
        <v>8625</v>
      </c>
    </row>
    <row r="979" spans="1:1" x14ac:dyDescent="0.35">
      <c r="A979">
        <v>8626</v>
      </c>
    </row>
    <row r="980" spans="1:1" x14ac:dyDescent="0.35">
      <c r="A980">
        <v>8627</v>
      </c>
    </row>
    <row r="981" spans="1:1" x14ac:dyDescent="0.35">
      <c r="A981">
        <v>8628</v>
      </c>
    </row>
    <row r="982" spans="1:1" x14ac:dyDescent="0.35">
      <c r="A982">
        <v>8629</v>
      </c>
    </row>
    <row r="983" spans="1:1" x14ac:dyDescent="0.35">
      <c r="A983">
        <v>8630</v>
      </c>
    </row>
    <row r="984" spans="1:1" x14ac:dyDescent="0.35">
      <c r="A984">
        <v>8631</v>
      </c>
    </row>
    <row r="985" spans="1:1" x14ac:dyDescent="0.35">
      <c r="A985">
        <v>8632</v>
      </c>
    </row>
    <row r="986" spans="1:1" x14ac:dyDescent="0.35">
      <c r="A986">
        <v>8633</v>
      </c>
    </row>
    <row r="987" spans="1:1" x14ac:dyDescent="0.35">
      <c r="A987">
        <v>8634</v>
      </c>
    </row>
    <row r="988" spans="1:1" x14ac:dyDescent="0.35">
      <c r="A988">
        <v>8635</v>
      </c>
    </row>
    <row r="989" spans="1:1" x14ac:dyDescent="0.35">
      <c r="A989">
        <v>8636</v>
      </c>
    </row>
    <row r="990" spans="1:1" x14ac:dyDescent="0.35">
      <c r="A990">
        <v>8637</v>
      </c>
    </row>
    <row r="991" spans="1:1" x14ac:dyDescent="0.35">
      <c r="A991">
        <v>8638</v>
      </c>
    </row>
    <row r="992" spans="1:1" x14ac:dyDescent="0.35">
      <c r="A992">
        <v>8639</v>
      </c>
    </row>
    <row r="993" spans="1:1" x14ac:dyDescent="0.35">
      <c r="A993">
        <v>8640</v>
      </c>
    </row>
    <row r="994" spans="1:1" x14ac:dyDescent="0.35">
      <c r="A994">
        <v>8641</v>
      </c>
    </row>
    <row r="995" spans="1:1" x14ac:dyDescent="0.35">
      <c r="A995">
        <v>8642</v>
      </c>
    </row>
    <row r="996" spans="1:1" x14ac:dyDescent="0.35">
      <c r="A996">
        <v>8643</v>
      </c>
    </row>
    <row r="997" spans="1:1" x14ac:dyDescent="0.35">
      <c r="A997">
        <v>8644</v>
      </c>
    </row>
    <row r="998" spans="1:1" x14ac:dyDescent="0.35">
      <c r="A998">
        <v>8645</v>
      </c>
    </row>
    <row r="999" spans="1:1" x14ac:dyDescent="0.35">
      <c r="A999">
        <v>8646</v>
      </c>
    </row>
    <row r="1000" spans="1:1" x14ac:dyDescent="0.35">
      <c r="A1000">
        <v>8647</v>
      </c>
    </row>
    <row r="1001" spans="1:1" x14ac:dyDescent="0.35">
      <c r="A1001">
        <v>8648</v>
      </c>
    </row>
    <row r="1002" spans="1:1" x14ac:dyDescent="0.35">
      <c r="A1002">
        <v>8649</v>
      </c>
    </row>
    <row r="1003" spans="1:1" x14ac:dyDescent="0.35">
      <c r="A1003">
        <v>8650</v>
      </c>
    </row>
    <row r="1004" spans="1:1" x14ac:dyDescent="0.35">
      <c r="A1004">
        <v>8651</v>
      </c>
    </row>
    <row r="1005" spans="1:1" x14ac:dyDescent="0.35">
      <c r="A1005">
        <v>8652</v>
      </c>
    </row>
    <row r="1006" spans="1:1" x14ac:dyDescent="0.35">
      <c r="A1006">
        <v>8653</v>
      </c>
    </row>
    <row r="1007" spans="1:1" x14ac:dyDescent="0.35">
      <c r="A1007">
        <v>8654</v>
      </c>
    </row>
    <row r="1008" spans="1:1" x14ac:dyDescent="0.35">
      <c r="A1008">
        <v>8655</v>
      </c>
    </row>
    <row r="1009" spans="1:1" x14ac:dyDescent="0.35">
      <c r="A1009">
        <v>8656</v>
      </c>
    </row>
    <row r="1010" spans="1:1" x14ac:dyDescent="0.35">
      <c r="A1010">
        <v>8657</v>
      </c>
    </row>
    <row r="1011" spans="1:1" x14ac:dyDescent="0.35">
      <c r="A1011">
        <v>8658</v>
      </c>
    </row>
    <row r="1012" spans="1:1" x14ac:dyDescent="0.35">
      <c r="A1012">
        <v>8659</v>
      </c>
    </row>
    <row r="1013" spans="1:1" x14ac:dyDescent="0.35">
      <c r="A1013">
        <v>8660</v>
      </c>
    </row>
    <row r="1014" spans="1:1" x14ac:dyDescent="0.35">
      <c r="A1014">
        <v>8661</v>
      </c>
    </row>
    <row r="1015" spans="1:1" x14ac:dyDescent="0.35">
      <c r="A1015">
        <v>8662</v>
      </c>
    </row>
    <row r="1016" spans="1:1" x14ac:dyDescent="0.35">
      <c r="A1016">
        <v>8663</v>
      </c>
    </row>
    <row r="1017" spans="1:1" x14ac:dyDescent="0.35">
      <c r="A1017">
        <v>8664</v>
      </c>
    </row>
    <row r="1018" spans="1:1" x14ac:dyDescent="0.35">
      <c r="A1018">
        <v>8665</v>
      </c>
    </row>
    <row r="1019" spans="1:1" x14ac:dyDescent="0.35">
      <c r="A1019">
        <v>8666</v>
      </c>
    </row>
    <row r="1020" spans="1:1" x14ac:dyDescent="0.35">
      <c r="A1020">
        <v>8667</v>
      </c>
    </row>
    <row r="1021" spans="1:1" x14ac:dyDescent="0.35">
      <c r="A1021">
        <v>8668</v>
      </c>
    </row>
    <row r="1022" spans="1:1" x14ac:dyDescent="0.35">
      <c r="A1022">
        <v>8669</v>
      </c>
    </row>
    <row r="1023" spans="1:1" x14ac:dyDescent="0.35">
      <c r="A1023">
        <v>8670</v>
      </c>
    </row>
    <row r="1024" spans="1:1" x14ac:dyDescent="0.35">
      <c r="A1024">
        <v>8671</v>
      </c>
    </row>
    <row r="1025" spans="1:1" x14ac:dyDescent="0.35">
      <c r="A1025">
        <v>8672</v>
      </c>
    </row>
    <row r="1026" spans="1:1" x14ac:dyDescent="0.35">
      <c r="A1026">
        <v>8673</v>
      </c>
    </row>
    <row r="1027" spans="1:1" x14ac:dyDescent="0.35">
      <c r="A1027">
        <v>8674</v>
      </c>
    </row>
    <row r="1028" spans="1:1" x14ac:dyDescent="0.35">
      <c r="A1028">
        <v>8675</v>
      </c>
    </row>
    <row r="1029" spans="1:1" x14ac:dyDescent="0.35">
      <c r="A1029">
        <v>8676</v>
      </c>
    </row>
    <row r="1030" spans="1:1" x14ac:dyDescent="0.35">
      <c r="A1030">
        <v>8677</v>
      </c>
    </row>
    <row r="1031" spans="1:1" x14ac:dyDescent="0.35">
      <c r="A1031">
        <v>8678</v>
      </c>
    </row>
    <row r="1032" spans="1:1" x14ac:dyDescent="0.35">
      <c r="A1032">
        <v>8679</v>
      </c>
    </row>
    <row r="1033" spans="1:1" x14ac:dyDescent="0.35">
      <c r="A1033">
        <v>8680</v>
      </c>
    </row>
    <row r="1034" spans="1:1" x14ac:dyDescent="0.35">
      <c r="A1034">
        <v>8681</v>
      </c>
    </row>
    <row r="1035" spans="1:1" x14ac:dyDescent="0.35">
      <c r="A1035">
        <v>8682</v>
      </c>
    </row>
    <row r="1036" spans="1:1" x14ac:dyDescent="0.35">
      <c r="A1036">
        <v>8683</v>
      </c>
    </row>
    <row r="1037" spans="1:1" x14ac:dyDescent="0.35">
      <c r="A1037">
        <v>8684</v>
      </c>
    </row>
    <row r="1038" spans="1:1" x14ac:dyDescent="0.35">
      <c r="A1038">
        <v>8685</v>
      </c>
    </row>
    <row r="1039" spans="1:1" x14ac:dyDescent="0.35">
      <c r="A1039">
        <v>8686</v>
      </c>
    </row>
    <row r="1040" spans="1:1" x14ac:dyDescent="0.35">
      <c r="A1040">
        <v>8687</v>
      </c>
    </row>
    <row r="1041" spans="1:1" x14ac:dyDescent="0.35">
      <c r="A1041">
        <v>8688</v>
      </c>
    </row>
    <row r="1042" spans="1:1" x14ac:dyDescent="0.35">
      <c r="A1042">
        <v>8689</v>
      </c>
    </row>
    <row r="1043" spans="1:1" x14ac:dyDescent="0.35">
      <c r="A1043">
        <v>8690</v>
      </c>
    </row>
    <row r="1044" spans="1:1" x14ac:dyDescent="0.35">
      <c r="A1044">
        <v>8691</v>
      </c>
    </row>
    <row r="1045" spans="1:1" x14ac:dyDescent="0.35">
      <c r="A1045">
        <v>8692</v>
      </c>
    </row>
    <row r="1046" spans="1:1" x14ac:dyDescent="0.35">
      <c r="A1046">
        <v>8693</v>
      </c>
    </row>
    <row r="1047" spans="1:1" x14ac:dyDescent="0.35">
      <c r="A1047">
        <v>8694</v>
      </c>
    </row>
    <row r="1048" spans="1:1" x14ac:dyDescent="0.35">
      <c r="A1048">
        <v>8695</v>
      </c>
    </row>
    <row r="1049" spans="1:1" x14ac:dyDescent="0.35">
      <c r="A1049">
        <v>8696</v>
      </c>
    </row>
    <row r="1050" spans="1:1" x14ac:dyDescent="0.35">
      <c r="A1050">
        <v>8697</v>
      </c>
    </row>
    <row r="1051" spans="1:1" x14ac:dyDescent="0.35">
      <c r="A1051">
        <v>8698</v>
      </c>
    </row>
    <row r="1052" spans="1:1" x14ac:dyDescent="0.35">
      <c r="A1052">
        <v>8699</v>
      </c>
    </row>
    <row r="1053" spans="1:1" x14ac:dyDescent="0.35">
      <c r="A1053">
        <v>8700</v>
      </c>
    </row>
    <row r="1054" spans="1:1" x14ac:dyDescent="0.35">
      <c r="A1054">
        <v>8701</v>
      </c>
    </row>
    <row r="1055" spans="1:1" x14ac:dyDescent="0.35">
      <c r="A1055">
        <v>8702</v>
      </c>
    </row>
    <row r="1056" spans="1:1" x14ac:dyDescent="0.35">
      <c r="A1056">
        <v>8703</v>
      </c>
    </row>
    <row r="1057" spans="1:1" x14ac:dyDescent="0.35">
      <c r="A1057">
        <v>8704</v>
      </c>
    </row>
    <row r="1058" spans="1:1" x14ac:dyDescent="0.35">
      <c r="A1058">
        <v>8705</v>
      </c>
    </row>
    <row r="1059" spans="1:1" x14ac:dyDescent="0.35">
      <c r="A1059">
        <v>8706</v>
      </c>
    </row>
    <row r="1060" spans="1:1" x14ac:dyDescent="0.35">
      <c r="A1060">
        <v>8707</v>
      </c>
    </row>
    <row r="1061" spans="1:1" x14ac:dyDescent="0.35">
      <c r="A1061">
        <v>8708</v>
      </c>
    </row>
    <row r="1062" spans="1:1" x14ac:dyDescent="0.35">
      <c r="A1062">
        <v>8709</v>
      </c>
    </row>
    <row r="1063" spans="1:1" x14ac:dyDescent="0.35">
      <c r="A1063">
        <v>8710</v>
      </c>
    </row>
    <row r="1064" spans="1:1" x14ac:dyDescent="0.35">
      <c r="A1064">
        <v>8711</v>
      </c>
    </row>
    <row r="1065" spans="1:1" x14ac:dyDescent="0.35">
      <c r="A1065">
        <v>8712</v>
      </c>
    </row>
    <row r="1066" spans="1:1" x14ac:dyDescent="0.35">
      <c r="A1066">
        <v>8713</v>
      </c>
    </row>
    <row r="1067" spans="1:1" x14ac:dyDescent="0.35">
      <c r="A1067">
        <v>8714</v>
      </c>
    </row>
    <row r="1068" spans="1:1" x14ac:dyDescent="0.35">
      <c r="A1068">
        <v>8715</v>
      </c>
    </row>
    <row r="1069" spans="1:1" x14ac:dyDescent="0.35">
      <c r="A1069">
        <v>8716</v>
      </c>
    </row>
    <row r="1070" spans="1:1" x14ac:dyDescent="0.35">
      <c r="A1070">
        <v>8717</v>
      </c>
    </row>
    <row r="1071" spans="1:1" x14ac:dyDescent="0.35">
      <c r="A1071">
        <v>8718</v>
      </c>
    </row>
    <row r="1072" spans="1:1" x14ac:dyDescent="0.35">
      <c r="A1072">
        <v>8719</v>
      </c>
    </row>
    <row r="1073" spans="1:1" x14ac:dyDescent="0.35">
      <c r="A1073">
        <v>8720</v>
      </c>
    </row>
    <row r="1074" spans="1:1" x14ac:dyDescent="0.35">
      <c r="A1074">
        <v>8721</v>
      </c>
    </row>
    <row r="1075" spans="1:1" x14ac:dyDescent="0.35">
      <c r="A1075">
        <v>8722</v>
      </c>
    </row>
    <row r="1076" spans="1:1" x14ac:dyDescent="0.35">
      <c r="A1076">
        <v>8723</v>
      </c>
    </row>
    <row r="1077" spans="1:1" x14ac:dyDescent="0.35">
      <c r="A1077">
        <v>8724</v>
      </c>
    </row>
    <row r="1078" spans="1:1" x14ac:dyDescent="0.35">
      <c r="A1078">
        <v>8725</v>
      </c>
    </row>
    <row r="1079" spans="1:1" x14ac:dyDescent="0.35">
      <c r="A1079">
        <v>8726</v>
      </c>
    </row>
    <row r="1080" spans="1:1" x14ac:dyDescent="0.35">
      <c r="A1080">
        <v>8727</v>
      </c>
    </row>
    <row r="1081" spans="1:1" x14ac:dyDescent="0.35">
      <c r="A1081">
        <v>8728</v>
      </c>
    </row>
    <row r="1082" spans="1:1" x14ac:dyDescent="0.35">
      <c r="A1082">
        <v>8729</v>
      </c>
    </row>
    <row r="1083" spans="1:1" x14ac:dyDescent="0.35">
      <c r="A1083">
        <v>8730</v>
      </c>
    </row>
    <row r="1084" spans="1:1" x14ac:dyDescent="0.35">
      <c r="A1084">
        <v>8731</v>
      </c>
    </row>
    <row r="1085" spans="1:1" x14ac:dyDescent="0.35">
      <c r="A1085">
        <v>8732</v>
      </c>
    </row>
    <row r="1086" spans="1:1" x14ac:dyDescent="0.35">
      <c r="A1086">
        <v>8733</v>
      </c>
    </row>
    <row r="1087" spans="1:1" x14ac:dyDescent="0.35">
      <c r="A1087">
        <v>8734</v>
      </c>
    </row>
    <row r="1088" spans="1:1" x14ac:dyDescent="0.35">
      <c r="A1088">
        <v>8735</v>
      </c>
    </row>
    <row r="1089" spans="1:1" x14ac:dyDescent="0.35">
      <c r="A1089">
        <v>8736</v>
      </c>
    </row>
    <row r="1090" spans="1:1" x14ac:dyDescent="0.35">
      <c r="A1090">
        <v>8737</v>
      </c>
    </row>
    <row r="1091" spans="1:1" x14ac:dyDescent="0.35">
      <c r="A1091">
        <v>8738</v>
      </c>
    </row>
    <row r="1092" spans="1:1" x14ac:dyDescent="0.35">
      <c r="A1092">
        <v>8739</v>
      </c>
    </row>
    <row r="1093" spans="1:1" x14ac:dyDescent="0.35">
      <c r="A1093">
        <v>8740</v>
      </c>
    </row>
    <row r="1094" spans="1:1" x14ac:dyDescent="0.35">
      <c r="A1094">
        <v>8741</v>
      </c>
    </row>
    <row r="1095" spans="1:1" x14ac:dyDescent="0.35">
      <c r="A1095">
        <v>8742</v>
      </c>
    </row>
    <row r="1096" spans="1:1" x14ac:dyDescent="0.35">
      <c r="A1096">
        <v>8743</v>
      </c>
    </row>
    <row r="1097" spans="1:1" x14ac:dyDescent="0.35">
      <c r="A1097">
        <v>8744</v>
      </c>
    </row>
    <row r="1098" spans="1:1" x14ac:dyDescent="0.35">
      <c r="A1098">
        <v>8745</v>
      </c>
    </row>
    <row r="1099" spans="1:1" x14ac:dyDescent="0.35">
      <c r="A1099">
        <v>8746</v>
      </c>
    </row>
    <row r="1100" spans="1:1" x14ac:dyDescent="0.35">
      <c r="A1100">
        <v>8747</v>
      </c>
    </row>
    <row r="1101" spans="1:1" x14ac:dyDescent="0.35">
      <c r="A1101">
        <v>8748</v>
      </c>
    </row>
    <row r="1102" spans="1:1" x14ac:dyDescent="0.35">
      <c r="A1102">
        <v>8749</v>
      </c>
    </row>
    <row r="1103" spans="1:1" x14ac:dyDescent="0.35">
      <c r="A1103">
        <v>8750</v>
      </c>
    </row>
    <row r="1104" spans="1:1" x14ac:dyDescent="0.35">
      <c r="A1104">
        <v>8751</v>
      </c>
    </row>
    <row r="1105" spans="1:1" x14ac:dyDescent="0.35">
      <c r="A1105">
        <v>8752</v>
      </c>
    </row>
    <row r="1106" spans="1:1" x14ac:dyDescent="0.35">
      <c r="A1106">
        <v>8753</v>
      </c>
    </row>
    <row r="1107" spans="1:1" x14ac:dyDescent="0.35">
      <c r="A1107">
        <v>8754</v>
      </c>
    </row>
    <row r="1108" spans="1:1" x14ac:dyDescent="0.35">
      <c r="A1108">
        <v>8755</v>
      </c>
    </row>
    <row r="1109" spans="1:1" x14ac:dyDescent="0.35">
      <c r="A1109">
        <v>8756</v>
      </c>
    </row>
    <row r="1110" spans="1:1" x14ac:dyDescent="0.35">
      <c r="A1110">
        <v>8757</v>
      </c>
    </row>
    <row r="1111" spans="1:1" x14ac:dyDescent="0.35">
      <c r="A1111">
        <v>8758</v>
      </c>
    </row>
    <row r="1112" spans="1:1" x14ac:dyDescent="0.35">
      <c r="A1112">
        <v>8759</v>
      </c>
    </row>
    <row r="1113" spans="1:1" x14ac:dyDescent="0.35">
      <c r="A1113">
        <v>8760</v>
      </c>
    </row>
    <row r="1114" spans="1:1" x14ac:dyDescent="0.35">
      <c r="A1114">
        <v>8761</v>
      </c>
    </row>
    <row r="1115" spans="1:1" x14ac:dyDescent="0.35">
      <c r="A1115">
        <v>8762</v>
      </c>
    </row>
    <row r="1116" spans="1:1" x14ac:dyDescent="0.35">
      <c r="A1116">
        <v>8763</v>
      </c>
    </row>
    <row r="1117" spans="1:1" x14ac:dyDescent="0.35">
      <c r="A1117">
        <v>8764</v>
      </c>
    </row>
    <row r="1118" spans="1:1" x14ac:dyDescent="0.35">
      <c r="A1118">
        <v>8765</v>
      </c>
    </row>
    <row r="1119" spans="1:1" x14ac:dyDescent="0.35">
      <c r="A1119">
        <v>8766</v>
      </c>
    </row>
    <row r="1120" spans="1:1" x14ac:dyDescent="0.35">
      <c r="A1120">
        <v>8767</v>
      </c>
    </row>
    <row r="1121" spans="1:1" x14ac:dyDescent="0.35">
      <c r="A1121">
        <v>8768</v>
      </c>
    </row>
    <row r="1122" spans="1:1" x14ac:dyDescent="0.35">
      <c r="A1122">
        <v>8769</v>
      </c>
    </row>
    <row r="1123" spans="1:1" x14ac:dyDescent="0.35">
      <c r="A1123">
        <v>8770</v>
      </c>
    </row>
    <row r="1124" spans="1:1" x14ac:dyDescent="0.35">
      <c r="A1124">
        <v>8771</v>
      </c>
    </row>
    <row r="1125" spans="1:1" x14ac:dyDescent="0.35">
      <c r="A1125">
        <v>8772</v>
      </c>
    </row>
    <row r="1126" spans="1:1" x14ac:dyDescent="0.35">
      <c r="A1126">
        <v>8773</v>
      </c>
    </row>
    <row r="1127" spans="1:1" x14ac:dyDescent="0.35">
      <c r="A1127">
        <v>8774</v>
      </c>
    </row>
    <row r="1128" spans="1:1" x14ac:dyDescent="0.35">
      <c r="A1128">
        <v>8775</v>
      </c>
    </row>
    <row r="1129" spans="1:1" x14ac:dyDescent="0.35">
      <c r="A1129">
        <v>8776</v>
      </c>
    </row>
    <row r="1130" spans="1:1" x14ac:dyDescent="0.35">
      <c r="A1130">
        <v>8777</v>
      </c>
    </row>
    <row r="1131" spans="1:1" x14ac:dyDescent="0.35">
      <c r="A1131">
        <v>8778</v>
      </c>
    </row>
    <row r="1132" spans="1:1" x14ac:dyDescent="0.35">
      <c r="A1132">
        <v>8779</v>
      </c>
    </row>
    <row r="1133" spans="1:1" x14ac:dyDescent="0.35">
      <c r="A1133">
        <v>8780</v>
      </c>
    </row>
    <row r="1134" spans="1:1" x14ac:dyDescent="0.35">
      <c r="A1134">
        <v>8781</v>
      </c>
    </row>
    <row r="1135" spans="1:1" x14ac:dyDescent="0.35">
      <c r="A1135">
        <v>8782</v>
      </c>
    </row>
    <row r="1136" spans="1:1" x14ac:dyDescent="0.35">
      <c r="A1136">
        <v>8783</v>
      </c>
    </row>
    <row r="1137" spans="1:1" x14ac:dyDescent="0.35">
      <c r="A1137">
        <v>8784</v>
      </c>
    </row>
    <row r="1138" spans="1:1" x14ac:dyDescent="0.35">
      <c r="A1138">
        <v>8785</v>
      </c>
    </row>
    <row r="1139" spans="1:1" x14ac:dyDescent="0.35">
      <c r="A1139">
        <v>8786</v>
      </c>
    </row>
    <row r="1140" spans="1:1" x14ac:dyDescent="0.35">
      <c r="A1140">
        <v>8787</v>
      </c>
    </row>
    <row r="1141" spans="1:1" x14ac:dyDescent="0.35">
      <c r="A1141">
        <v>8788</v>
      </c>
    </row>
    <row r="1142" spans="1:1" x14ac:dyDescent="0.35">
      <c r="A1142">
        <v>8789</v>
      </c>
    </row>
    <row r="1143" spans="1:1" x14ac:dyDescent="0.35">
      <c r="A1143">
        <v>8790</v>
      </c>
    </row>
    <row r="1144" spans="1:1" x14ac:dyDescent="0.35">
      <c r="A1144">
        <v>8791</v>
      </c>
    </row>
    <row r="1145" spans="1:1" x14ac:dyDescent="0.35">
      <c r="A1145">
        <v>8792</v>
      </c>
    </row>
    <row r="1146" spans="1:1" x14ac:dyDescent="0.35">
      <c r="A1146">
        <v>8793</v>
      </c>
    </row>
    <row r="1147" spans="1:1" x14ac:dyDescent="0.35">
      <c r="A1147">
        <v>8794</v>
      </c>
    </row>
    <row r="1148" spans="1:1" x14ac:dyDescent="0.35">
      <c r="A1148">
        <v>8795</v>
      </c>
    </row>
    <row r="1149" spans="1:1" x14ac:dyDescent="0.35">
      <c r="A1149">
        <v>8796</v>
      </c>
    </row>
    <row r="1150" spans="1:1" x14ac:dyDescent="0.35">
      <c r="A1150">
        <v>8797</v>
      </c>
    </row>
    <row r="1151" spans="1:1" x14ac:dyDescent="0.35">
      <c r="A1151">
        <v>8798</v>
      </c>
    </row>
    <row r="1152" spans="1:1" x14ac:dyDescent="0.35">
      <c r="A1152">
        <v>8799</v>
      </c>
    </row>
    <row r="1153" spans="1:1" x14ac:dyDescent="0.35">
      <c r="A1153">
        <v>8800</v>
      </c>
    </row>
    <row r="1154" spans="1:1" x14ac:dyDescent="0.35">
      <c r="A1154">
        <v>8801</v>
      </c>
    </row>
    <row r="1155" spans="1:1" x14ac:dyDescent="0.35">
      <c r="A1155">
        <v>8802</v>
      </c>
    </row>
    <row r="1156" spans="1:1" x14ac:dyDescent="0.35">
      <c r="A1156">
        <v>8803</v>
      </c>
    </row>
    <row r="1157" spans="1:1" x14ac:dyDescent="0.35">
      <c r="A1157">
        <v>8804</v>
      </c>
    </row>
    <row r="1158" spans="1:1" x14ac:dyDescent="0.35">
      <c r="A1158">
        <v>8805</v>
      </c>
    </row>
    <row r="1159" spans="1:1" x14ac:dyDescent="0.35">
      <c r="A1159">
        <v>8806</v>
      </c>
    </row>
    <row r="1160" spans="1:1" x14ac:dyDescent="0.35">
      <c r="A1160">
        <v>8807</v>
      </c>
    </row>
    <row r="1161" spans="1:1" x14ac:dyDescent="0.35">
      <c r="A1161">
        <v>8808</v>
      </c>
    </row>
    <row r="1162" spans="1:1" x14ac:dyDescent="0.35">
      <c r="A1162">
        <v>8809</v>
      </c>
    </row>
    <row r="1163" spans="1:1" x14ac:dyDescent="0.35">
      <c r="A1163">
        <v>8810</v>
      </c>
    </row>
    <row r="1164" spans="1:1" x14ac:dyDescent="0.35">
      <c r="A1164">
        <v>8811</v>
      </c>
    </row>
    <row r="1165" spans="1:1" x14ac:dyDescent="0.35">
      <c r="A1165">
        <v>8812</v>
      </c>
    </row>
    <row r="1166" spans="1:1" x14ac:dyDescent="0.35">
      <c r="A1166">
        <v>8813</v>
      </c>
    </row>
    <row r="1167" spans="1:1" x14ac:dyDescent="0.35">
      <c r="A1167">
        <v>8814</v>
      </c>
    </row>
    <row r="1168" spans="1:1" x14ac:dyDescent="0.35">
      <c r="A1168">
        <v>8815</v>
      </c>
    </row>
    <row r="1169" spans="1:1" x14ac:dyDescent="0.35">
      <c r="A1169">
        <v>8816</v>
      </c>
    </row>
    <row r="1170" spans="1:1" x14ac:dyDescent="0.35">
      <c r="A1170">
        <v>8817</v>
      </c>
    </row>
    <row r="1171" spans="1:1" x14ac:dyDescent="0.35">
      <c r="A1171">
        <v>8818</v>
      </c>
    </row>
    <row r="1172" spans="1:1" x14ac:dyDescent="0.35">
      <c r="A1172">
        <v>8819</v>
      </c>
    </row>
    <row r="1173" spans="1:1" x14ac:dyDescent="0.35">
      <c r="A1173">
        <v>8820</v>
      </c>
    </row>
    <row r="1174" spans="1:1" x14ac:dyDescent="0.35">
      <c r="A1174">
        <v>8821</v>
      </c>
    </row>
    <row r="1175" spans="1:1" x14ac:dyDescent="0.35">
      <c r="A1175">
        <v>8822</v>
      </c>
    </row>
    <row r="1176" spans="1:1" x14ac:dyDescent="0.35">
      <c r="A1176">
        <v>8823</v>
      </c>
    </row>
    <row r="1177" spans="1:1" x14ac:dyDescent="0.35">
      <c r="A1177">
        <v>8824</v>
      </c>
    </row>
    <row r="1178" spans="1:1" x14ac:dyDescent="0.35">
      <c r="A1178">
        <v>8825</v>
      </c>
    </row>
    <row r="1179" spans="1:1" x14ac:dyDescent="0.35">
      <c r="A1179">
        <v>8826</v>
      </c>
    </row>
    <row r="1180" spans="1:1" x14ac:dyDescent="0.35">
      <c r="A1180">
        <v>8827</v>
      </c>
    </row>
    <row r="1181" spans="1:1" x14ac:dyDescent="0.35">
      <c r="A1181">
        <v>8828</v>
      </c>
    </row>
    <row r="1182" spans="1:1" x14ac:dyDescent="0.35">
      <c r="A1182">
        <v>8829</v>
      </c>
    </row>
    <row r="1183" spans="1:1" x14ac:dyDescent="0.35">
      <c r="A1183">
        <v>8830</v>
      </c>
    </row>
    <row r="1184" spans="1:1" x14ac:dyDescent="0.35">
      <c r="A1184">
        <v>8831</v>
      </c>
    </row>
    <row r="1185" spans="1:1" x14ac:dyDescent="0.35">
      <c r="A1185">
        <v>8832</v>
      </c>
    </row>
    <row r="1186" spans="1:1" x14ac:dyDescent="0.35">
      <c r="A1186">
        <v>8833</v>
      </c>
    </row>
    <row r="1187" spans="1:1" x14ac:dyDescent="0.35">
      <c r="A1187">
        <v>8834</v>
      </c>
    </row>
    <row r="1188" spans="1:1" x14ac:dyDescent="0.35">
      <c r="A1188">
        <v>8835</v>
      </c>
    </row>
    <row r="1189" spans="1:1" x14ac:dyDescent="0.35">
      <c r="A1189">
        <v>8836</v>
      </c>
    </row>
    <row r="1190" spans="1:1" x14ac:dyDescent="0.35">
      <c r="A1190">
        <v>8837</v>
      </c>
    </row>
    <row r="1191" spans="1:1" x14ac:dyDescent="0.35">
      <c r="A1191">
        <v>8838</v>
      </c>
    </row>
    <row r="1192" spans="1:1" x14ac:dyDescent="0.35">
      <c r="A1192">
        <v>8839</v>
      </c>
    </row>
    <row r="1193" spans="1:1" x14ac:dyDescent="0.35">
      <c r="A1193">
        <v>8840</v>
      </c>
    </row>
    <row r="1194" spans="1:1" x14ac:dyDescent="0.35">
      <c r="A1194">
        <v>8841</v>
      </c>
    </row>
    <row r="1195" spans="1:1" x14ac:dyDescent="0.35">
      <c r="A1195">
        <v>8842</v>
      </c>
    </row>
    <row r="1196" spans="1:1" x14ac:dyDescent="0.35">
      <c r="A1196">
        <v>8843</v>
      </c>
    </row>
    <row r="1197" spans="1:1" x14ac:dyDescent="0.35">
      <c r="A1197">
        <v>8844</v>
      </c>
    </row>
    <row r="1198" spans="1:1" x14ac:dyDescent="0.35">
      <c r="A1198">
        <v>8845</v>
      </c>
    </row>
    <row r="1199" spans="1:1" x14ac:dyDescent="0.35">
      <c r="A1199">
        <v>8846</v>
      </c>
    </row>
    <row r="1200" spans="1:1" x14ac:dyDescent="0.35">
      <c r="A1200">
        <v>8847</v>
      </c>
    </row>
    <row r="1201" spans="1:1" x14ac:dyDescent="0.35">
      <c r="A1201">
        <v>8848</v>
      </c>
    </row>
    <row r="1202" spans="1:1" x14ac:dyDescent="0.35">
      <c r="A1202">
        <v>8849</v>
      </c>
    </row>
    <row r="1203" spans="1:1" x14ac:dyDescent="0.35">
      <c r="A1203">
        <v>8850</v>
      </c>
    </row>
    <row r="1204" spans="1:1" x14ac:dyDescent="0.35">
      <c r="A1204">
        <v>8851</v>
      </c>
    </row>
    <row r="1205" spans="1:1" x14ac:dyDescent="0.35">
      <c r="A1205">
        <v>8852</v>
      </c>
    </row>
    <row r="1206" spans="1:1" x14ac:dyDescent="0.35">
      <c r="A1206">
        <v>8853</v>
      </c>
    </row>
    <row r="1207" spans="1:1" x14ac:dyDescent="0.35">
      <c r="A1207">
        <v>8854</v>
      </c>
    </row>
    <row r="1208" spans="1:1" x14ac:dyDescent="0.35">
      <c r="A1208">
        <v>8855</v>
      </c>
    </row>
    <row r="1209" spans="1:1" x14ac:dyDescent="0.35">
      <c r="A1209">
        <v>8856</v>
      </c>
    </row>
    <row r="1210" spans="1:1" x14ac:dyDescent="0.35">
      <c r="A1210">
        <v>8857</v>
      </c>
    </row>
    <row r="1211" spans="1:1" x14ac:dyDescent="0.35">
      <c r="A1211">
        <v>8858</v>
      </c>
    </row>
    <row r="1212" spans="1:1" x14ac:dyDescent="0.35">
      <c r="A1212">
        <v>8859</v>
      </c>
    </row>
    <row r="1213" spans="1:1" x14ac:dyDescent="0.35">
      <c r="A1213">
        <v>8860</v>
      </c>
    </row>
    <row r="1214" spans="1:1" x14ac:dyDescent="0.35">
      <c r="A1214">
        <v>8861</v>
      </c>
    </row>
    <row r="1215" spans="1:1" x14ac:dyDescent="0.35">
      <c r="A1215">
        <v>8862</v>
      </c>
    </row>
    <row r="1216" spans="1:1" x14ac:dyDescent="0.35">
      <c r="A1216">
        <v>8863</v>
      </c>
    </row>
    <row r="1217" spans="1:1" x14ac:dyDescent="0.35">
      <c r="A1217">
        <v>8864</v>
      </c>
    </row>
    <row r="1218" spans="1:1" x14ac:dyDescent="0.35">
      <c r="A1218">
        <v>8865</v>
      </c>
    </row>
    <row r="1219" spans="1:1" x14ac:dyDescent="0.35">
      <c r="A1219">
        <v>8866</v>
      </c>
    </row>
    <row r="1220" spans="1:1" x14ac:dyDescent="0.35">
      <c r="A1220">
        <v>8867</v>
      </c>
    </row>
    <row r="1221" spans="1:1" x14ac:dyDescent="0.35">
      <c r="A1221">
        <v>8868</v>
      </c>
    </row>
    <row r="1222" spans="1:1" x14ac:dyDescent="0.35">
      <c r="A1222">
        <v>8869</v>
      </c>
    </row>
    <row r="1223" spans="1:1" x14ac:dyDescent="0.35">
      <c r="A1223">
        <v>8870</v>
      </c>
    </row>
    <row r="1224" spans="1:1" x14ac:dyDescent="0.35">
      <c r="A1224">
        <v>8871</v>
      </c>
    </row>
    <row r="1225" spans="1:1" x14ac:dyDescent="0.35">
      <c r="A1225">
        <v>8872</v>
      </c>
    </row>
    <row r="1226" spans="1:1" x14ac:dyDescent="0.35">
      <c r="A1226">
        <v>8873</v>
      </c>
    </row>
    <row r="1227" spans="1:1" x14ac:dyDescent="0.35">
      <c r="A1227">
        <v>8874</v>
      </c>
    </row>
    <row r="1228" spans="1:1" x14ac:dyDescent="0.35">
      <c r="A1228">
        <v>8875</v>
      </c>
    </row>
    <row r="1229" spans="1:1" x14ac:dyDescent="0.35">
      <c r="A1229">
        <v>8876</v>
      </c>
    </row>
    <row r="1230" spans="1:1" x14ac:dyDescent="0.35">
      <c r="A1230">
        <v>8877</v>
      </c>
    </row>
    <row r="1231" spans="1:1" x14ac:dyDescent="0.35">
      <c r="A1231">
        <v>8878</v>
      </c>
    </row>
    <row r="1232" spans="1:1" x14ac:dyDescent="0.35">
      <c r="A1232">
        <v>8879</v>
      </c>
    </row>
    <row r="1233" spans="1:1" x14ac:dyDescent="0.35">
      <c r="A1233">
        <v>8880</v>
      </c>
    </row>
    <row r="1234" spans="1:1" x14ac:dyDescent="0.35">
      <c r="A1234">
        <v>8881</v>
      </c>
    </row>
    <row r="1235" spans="1:1" x14ac:dyDescent="0.35">
      <c r="A1235">
        <v>8882</v>
      </c>
    </row>
    <row r="1236" spans="1:1" x14ac:dyDescent="0.35">
      <c r="A1236">
        <v>8883</v>
      </c>
    </row>
    <row r="1237" spans="1:1" x14ac:dyDescent="0.35">
      <c r="A1237">
        <v>8884</v>
      </c>
    </row>
    <row r="1238" spans="1:1" x14ac:dyDescent="0.35">
      <c r="A1238">
        <v>8885</v>
      </c>
    </row>
    <row r="1239" spans="1:1" x14ac:dyDescent="0.35">
      <c r="A1239">
        <v>8886</v>
      </c>
    </row>
    <row r="1240" spans="1:1" x14ac:dyDescent="0.35">
      <c r="A1240">
        <v>8887</v>
      </c>
    </row>
    <row r="1241" spans="1:1" x14ac:dyDescent="0.35">
      <c r="A1241">
        <v>8888</v>
      </c>
    </row>
    <row r="1242" spans="1:1" x14ac:dyDescent="0.35">
      <c r="A1242">
        <v>8889</v>
      </c>
    </row>
    <row r="1243" spans="1:1" x14ac:dyDescent="0.35">
      <c r="A1243">
        <v>8890</v>
      </c>
    </row>
    <row r="1244" spans="1:1" x14ac:dyDescent="0.35">
      <c r="A1244">
        <v>8891</v>
      </c>
    </row>
    <row r="1245" spans="1:1" x14ac:dyDescent="0.35">
      <c r="A1245">
        <v>8892</v>
      </c>
    </row>
    <row r="1246" spans="1:1" x14ac:dyDescent="0.35">
      <c r="A1246">
        <v>8893</v>
      </c>
    </row>
    <row r="1247" spans="1:1" x14ac:dyDescent="0.35">
      <c r="A1247">
        <v>8894</v>
      </c>
    </row>
    <row r="1248" spans="1:1" x14ac:dyDescent="0.35">
      <c r="A1248">
        <v>8895</v>
      </c>
    </row>
    <row r="1249" spans="1:1" x14ac:dyDescent="0.35">
      <c r="A1249">
        <v>8896</v>
      </c>
    </row>
    <row r="1250" spans="1:1" x14ac:dyDescent="0.35">
      <c r="A1250">
        <v>8897</v>
      </c>
    </row>
    <row r="1251" spans="1:1" x14ac:dyDescent="0.35">
      <c r="A1251">
        <v>8898</v>
      </c>
    </row>
    <row r="1252" spans="1:1" x14ac:dyDescent="0.35">
      <c r="A1252">
        <v>8899</v>
      </c>
    </row>
    <row r="1253" spans="1:1" x14ac:dyDescent="0.35">
      <c r="A1253">
        <v>8900</v>
      </c>
    </row>
    <row r="1254" spans="1:1" x14ac:dyDescent="0.35">
      <c r="A1254">
        <v>8901</v>
      </c>
    </row>
    <row r="1255" spans="1:1" x14ac:dyDescent="0.35">
      <c r="A1255">
        <v>8902</v>
      </c>
    </row>
    <row r="1256" spans="1:1" x14ac:dyDescent="0.35">
      <c r="A1256">
        <v>8903</v>
      </c>
    </row>
    <row r="1257" spans="1:1" x14ac:dyDescent="0.35">
      <c r="A1257">
        <v>8904</v>
      </c>
    </row>
    <row r="1258" spans="1:1" x14ac:dyDescent="0.35">
      <c r="A1258">
        <v>8905</v>
      </c>
    </row>
    <row r="1259" spans="1:1" x14ac:dyDescent="0.35">
      <c r="A1259">
        <v>8906</v>
      </c>
    </row>
    <row r="1260" spans="1:1" x14ac:dyDescent="0.35">
      <c r="A1260">
        <v>8907</v>
      </c>
    </row>
    <row r="1261" spans="1:1" x14ac:dyDescent="0.35">
      <c r="A1261">
        <v>8908</v>
      </c>
    </row>
    <row r="1262" spans="1:1" x14ac:dyDescent="0.35">
      <c r="A1262">
        <v>8909</v>
      </c>
    </row>
    <row r="1263" spans="1:1" x14ac:dyDescent="0.35">
      <c r="A1263">
        <v>8910</v>
      </c>
    </row>
    <row r="1264" spans="1:1" x14ac:dyDescent="0.35">
      <c r="A1264">
        <v>8911</v>
      </c>
    </row>
    <row r="1265" spans="1:1" x14ac:dyDescent="0.35">
      <c r="A1265">
        <v>8912</v>
      </c>
    </row>
    <row r="1266" spans="1:1" x14ac:dyDescent="0.35">
      <c r="A1266">
        <v>8913</v>
      </c>
    </row>
    <row r="1267" spans="1:1" x14ac:dyDescent="0.35">
      <c r="A1267">
        <v>8914</v>
      </c>
    </row>
    <row r="1268" spans="1:1" x14ac:dyDescent="0.35">
      <c r="A1268">
        <v>8915</v>
      </c>
    </row>
    <row r="1269" spans="1:1" x14ac:dyDescent="0.35">
      <c r="A1269">
        <v>8916</v>
      </c>
    </row>
    <row r="1270" spans="1:1" x14ac:dyDescent="0.35">
      <c r="A1270">
        <v>8917</v>
      </c>
    </row>
    <row r="1271" spans="1:1" x14ac:dyDescent="0.35">
      <c r="A1271">
        <v>8918</v>
      </c>
    </row>
    <row r="1272" spans="1:1" x14ac:dyDescent="0.35">
      <c r="A1272">
        <v>8919</v>
      </c>
    </row>
    <row r="1273" spans="1:1" x14ac:dyDescent="0.35">
      <c r="A1273">
        <v>8920</v>
      </c>
    </row>
    <row r="1274" spans="1:1" x14ac:dyDescent="0.35">
      <c r="A1274">
        <v>8921</v>
      </c>
    </row>
    <row r="1275" spans="1:1" x14ac:dyDescent="0.35">
      <c r="A1275">
        <v>8922</v>
      </c>
    </row>
    <row r="1276" spans="1:1" x14ac:dyDescent="0.35">
      <c r="A1276">
        <v>8923</v>
      </c>
    </row>
    <row r="1277" spans="1:1" x14ac:dyDescent="0.35">
      <c r="A1277">
        <v>8924</v>
      </c>
    </row>
    <row r="1278" spans="1:1" x14ac:dyDescent="0.35">
      <c r="A1278">
        <v>8925</v>
      </c>
    </row>
    <row r="1279" spans="1:1" x14ac:dyDescent="0.35">
      <c r="A1279">
        <v>8926</v>
      </c>
    </row>
    <row r="1280" spans="1:1" x14ac:dyDescent="0.35">
      <c r="A1280">
        <v>8927</v>
      </c>
    </row>
    <row r="1281" spans="1:1" x14ac:dyDescent="0.35">
      <c r="A1281">
        <v>8928</v>
      </c>
    </row>
    <row r="1282" spans="1:1" x14ac:dyDescent="0.35">
      <c r="A1282">
        <v>8929</v>
      </c>
    </row>
    <row r="1283" spans="1:1" x14ac:dyDescent="0.35">
      <c r="A1283">
        <v>8930</v>
      </c>
    </row>
    <row r="1284" spans="1:1" x14ac:dyDescent="0.35">
      <c r="A1284">
        <v>8931</v>
      </c>
    </row>
    <row r="1285" spans="1:1" x14ac:dyDescent="0.35">
      <c r="A1285">
        <v>8932</v>
      </c>
    </row>
    <row r="1286" spans="1:1" x14ac:dyDescent="0.35">
      <c r="A1286">
        <v>8933</v>
      </c>
    </row>
    <row r="1287" spans="1:1" x14ac:dyDescent="0.35">
      <c r="A1287">
        <v>8934</v>
      </c>
    </row>
    <row r="1288" spans="1:1" x14ac:dyDescent="0.35">
      <c r="A1288">
        <v>8935</v>
      </c>
    </row>
    <row r="1289" spans="1:1" x14ac:dyDescent="0.35">
      <c r="A1289">
        <v>8936</v>
      </c>
    </row>
    <row r="1290" spans="1:1" x14ac:dyDescent="0.35">
      <c r="A1290">
        <v>8937</v>
      </c>
    </row>
    <row r="1291" spans="1:1" x14ac:dyDescent="0.35">
      <c r="A1291">
        <v>8938</v>
      </c>
    </row>
    <row r="1292" spans="1:1" x14ac:dyDescent="0.35">
      <c r="A1292">
        <v>8939</v>
      </c>
    </row>
    <row r="1293" spans="1:1" x14ac:dyDescent="0.35">
      <c r="A1293">
        <v>8940</v>
      </c>
    </row>
    <row r="1294" spans="1:1" x14ac:dyDescent="0.35">
      <c r="A1294">
        <v>8941</v>
      </c>
    </row>
    <row r="1295" spans="1:1" x14ac:dyDescent="0.35">
      <c r="A1295">
        <v>8942</v>
      </c>
    </row>
    <row r="1296" spans="1:1" x14ac:dyDescent="0.35">
      <c r="A1296">
        <v>8943</v>
      </c>
    </row>
    <row r="1297" spans="1:1" x14ac:dyDescent="0.35">
      <c r="A1297">
        <v>8944</v>
      </c>
    </row>
    <row r="1298" spans="1:1" x14ac:dyDescent="0.35">
      <c r="A1298">
        <v>8945</v>
      </c>
    </row>
    <row r="1299" spans="1:1" x14ac:dyDescent="0.35">
      <c r="A1299">
        <v>8946</v>
      </c>
    </row>
    <row r="1300" spans="1:1" x14ac:dyDescent="0.35">
      <c r="A1300">
        <v>8947</v>
      </c>
    </row>
    <row r="1301" spans="1:1" x14ac:dyDescent="0.35">
      <c r="A1301">
        <v>8948</v>
      </c>
    </row>
    <row r="1302" spans="1:1" x14ac:dyDescent="0.35">
      <c r="A1302">
        <v>8949</v>
      </c>
    </row>
    <row r="1303" spans="1:1" x14ac:dyDescent="0.35">
      <c r="A1303">
        <v>8950</v>
      </c>
    </row>
    <row r="1304" spans="1:1" x14ac:dyDescent="0.35">
      <c r="A1304">
        <v>8951</v>
      </c>
    </row>
    <row r="1305" spans="1:1" x14ac:dyDescent="0.35">
      <c r="A1305">
        <v>8952</v>
      </c>
    </row>
    <row r="1306" spans="1:1" x14ac:dyDescent="0.35">
      <c r="A1306">
        <v>8953</v>
      </c>
    </row>
    <row r="1307" spans="1:1" x14ac:dyDescent="0.35">
      <c r="A1307">
        <v>8954</v>
      </c>
    </row>
    <row r="1308" spans="1:1" x14ac:dyDescent="0.35">
      <c r="A1308">
        <v>8955</v>
      </c>
    </row>
    <row r="1309" spans="1:1" x14ac:dyDescent="0.35">
      <c r="A1309">
        <v>8956</v>
      </c>
    </row>
    <row r="1310" spans="1:1" x14ac:dyDescent="0.35">
      <c r="A1310">
        <v>8957</v>
      </c>
    </row>
    <row r="1311" spans="1:1" x14ac:dyDescent="0.35">
      <c r="A1311">
        <v>8958</v>
      </c>
    </row>
    <row r="1312" spans="1:1" x14ac:dyDescent="0.35">
      <c r="A1312">
        <v>8959</v>
      </c>
    </row>
    <row r="1313" spans="1:1" x14ac:dyDescent="0.35">
      <c r="A1313">
        <v>8960</v>
      </c>
    </row>
    <row r="1314" spans="1:1" x14ac:dyDescent="0.35">
      <c r="A1314">
        <v>8961</v>
      </c>
    </row>
    <row r="1315" spans="1:1" x14ac:dyDescent="0.35">
      <c r="A1315">
        <v>8962</v>
      </c>
    </row>
    <row r="1316" spans="1:1" x14ac:dyDescent="0.35">
      <c r="A1316">
        <v>8963</v>
      </c>
    </row>
    <row r="1317" spans="1:1" x14ac:dyDescent="0.35">
      <c r="A1317">
        <v>8964</v>
      </c>
    </row>
    <row r="1318" spans="1:1" x14ac:dyDescent="0.35">
      <c r="A1318">
        <v>8965</v>
      </c>
    </row>
    <row r="1319" spans="1:1" x14ac:dyDescent="0.35">
      <c r="A1319">
        <v>8966</v>
      </c>
    </row>
    <row r="1320" spans="1:1" x14ac:dyDescent="0.35">
      <c r="A1320">
        <v>8967</v>
      </c>
    </row>
    <row r="1321" spans="1:1" x14ac:dyDescent="0.35">
      <c r="A1321">
        <v>8968</v>
      </c>
    </row>
    <row r="1322" spans="1:1" x14ac:dyDescent="0.35">
      <c r="A1322">
        <v>8969</v>
      </c>
    </row>
    <row r="1323" spans="1:1" x14ac:dyDescent="0.35">
      <c r="A1323">
        <v>8970</v>
      </c>
    </row>
    <row r="1324" spans="1:1" x14ac:dyDescent="0.35">
      <c r="A1324">
        <v>8971</v>
      </c>
    </row>
    <row r="1325" spans="1:1" x14ac:dyDescent="0.35">
      <c r="A1325">
        <v>8972</v>
      </c>
    </row>
    <row r="1326" spans="1:1" x14ac:dyDescent="0.35">
      <c r="A1326">
        <v>8973</v>
      </c>
    </row>
    <row r="1327" spans="1:1" x14ac:dyDescent="0.35">
      <c r="A1327">
        <v>8974</v>
      </c>
    </row>
    <row r="1328" spans="1:1" x14ac:dyDescent="0.35">
      <c r="A1328">
        <v>8975</v>
      </c>
    </row>
    <row r="1329" spans="1:1" x14ac:dyDescent="0.35">
      <c r="A1329">
        <v>8976</v>
      </c>
    </row>
    <row r="1330" spans="1:1" x14ac:dyDescent="0.35">
      <c r="A1330">
        <v>8977</v>
      </c>
    </row>
    <row r="1331" spans="1:1" x14ac:dyDescent="0.35">
      <c r="A1331">
        <v>8978</v>
      </c>
    </row>
    <row r="1332" spans="1:1" x14ac:dyDescent="0.35">
      <c r="A1332">
        <v>8979</v>
      </c>
    </row>
    <row r="1333" spans="1:1" x14ac:dyDescent="0.35">
      <c r="A1333">
        <v>8980</v>
      </c>
    </row>
    <row r="1334" spans="1:1" x14ac:dyDescent="0.35">
      <c r="A1334">
        <v>8981</v>
      </c>
    </row>
    <row r="1335" spans="1:1" x14ac:dyDescent="0.35">
      <c r="A1335">
        <v>8982</v>
      </c>
    </row>
    <row r="1336" spans="1:1" x14ac:dyDescent="0.35">
      <c r="A1336">
        <v>8983</v>
      </c>
    </row>
    <row r="1337" spans="1:1" x14ac:dyDescent="0.35">
      <c r="A1337">
        <v>8984</v>
      </c>
    </row>
    <row r="1338" spans="1:1" x14ac:dyDescent="0.35">
      <c r="A1338">
        <v>8985</v>
      </c>
    </row>
    <row r="1339" spans="1:1" x14ac:dyDescent="0.35">
      <c r="A1339">
        <v>8986</v>
      </c>
    </row>
    <row r="1340" spans="1:1" x14ac:dyDescent="0.35">
      <c r="A1340">
        <v>8987</v>
      </c>
    </row>
    <row r="1341" spans="1:1" x14ac:dyDescent="0.35">
      <c r="A1341">
        <v>8988</v>
      </c>
    </row>
    <row r="1342" spans="1:1" x14ac:dyDescent="0.35">
      <c r="A1342">
        <v>8989</v>
      </c>
    </row>
    <row r="1343" spans="1:1" x14ac:dyDescent="0.35">
      <c r="A1343">
        <v>8990</v>
      </c>
    </row>
    <row r="1344" spans="1:1" x14ac:dyDescent="0.35">
      <c r="A1344">
        <v>8991</v>
      </c>
    </row>
    <row r="1345" spans="1:1" x14ac:dyDescent="0.35">
      <c r="A1345">
        <v>8992</v>
      </c>
    </row>
    <row r="1346" spans="1:1" x14ac:dyDescent="0.35">
      <c r="A1346">
        <v>8993</v>
      </c>
    </row>
    <row r="1347" spans="1:1" x14ac:dyDescent="0.35">
      <c r="A1347">
        <v>8994</v>
      </c>
    </row>
    <row r="1348" spans="1:1" x14ac:dyDescent="0.35">
      <c r="A1348">
        <v>8995</v>
      </c>
    </row>
    <row r="1349" spans="1:1" x14ac:dyDescent="0.35">
      <c r="A1349">
        <v>8996</v>
      </c>
    </row>
    <row r="1350" spans="1:1" x14ac:dyDescent="0.35">
      <c r="A1350">
        <v>8997</v>
      </c>
    </row>
    <row r="1351" spans="1:1" x14ac:dyDescent="0.35">
      <c r="A1351">
        <v>8998</v>
      </c>
    </row>
    <row r="1352" spans="1:1" x14ac:dyDescent="0.35">
      <c r="A1352">
        <v>8999</v>
      </c>
    </row>
    <row r="1353" spans="1:1" x14ac:dyDescent="0.35">
      <c r="A1353">
        <v>9000</v>
      </c>
    </row>
    <row r="1354" spans="1:1" x14ac:dyDescent="0.35">
      <c r="A1354">
        <v>9001</v>
      </c>
    </row>
    <row r="1355" spans="1:1" x14ac:dyDescent="0.35">
      <c r="A1355">
        <v>9002</v>
      </c>
    </row>
    <row r="1356" spans="1:1" x14ac:dyDescent="0.35">
      <c r="A1356">
        <v>9003</v>
      </c>
    </row>
    <row r="1357" spans="1:1" x14ac:dyDescent="0.35">
      <c r="A1357">
        <v>9004</v>
      </c>
    </row>
    <row r="1358" spans="1:1" x14ac:dyDescent="0.35">
      <c r="A1358">
        <v>9005</v>
      </c>
    </row>
    <row r="1359" spans="1:1" x14ac:dyDescent="0.35">
      <c r="A1359">
        <v>9006</v>
      </c>
    </row>
    <row r="1360" spans="1:1" x14ac:dyDescent="0.35">
      <c r="A1360">
        <v>9007</v>
      </c>
    </row>
    <row r="1361" spans="1:1" x14ac:dyDescent="0.35">
      <c r="A1361">
        <v>9008</v>
      </c>
    </row>
    <row r="1362" spans="1:1" x14ac:dyDescent="0.35">
      <c r="A1362">
        <v>9009</v>
      </c>
    </row>
    <row r="1363" spans="1:1" x14ac:dyDescent="0.35">
      <c r="A1363">
        <v>9010</v>
      </c>
    </row>
    <row r="1364" spans="1:1" x14ac:dyDescent="0.35">
      <c r="A1364">
        <v>9011</v>
      </c>
    </row>
    <row r="1365" spans="1:1" x14ac:dyDescent="0.35">
      <c r="A1365">
        <v>9012</v>
      </c>
    </row>
    <row r="1366" spans="1:1" x14ac:dyDescent="0.35">
      <c r="A1366">
        <v>9013</v>
      </c>
    </row>
    <row r="1367" spans="1:1" x14ac:dyDescent="0.35">
      <c r="A1367">
        <v>9014</v>
      </c>
    </row>
    <row r="1368" spans="1:1" x14ac:dyDescent="0.35">
      <c r="A1368">
        <v>9015</v>
      </c>
    </row>
    <row r="1369" spans="1:1" x14ac:dyDescent="0.35">
      <c r="A1369">
        <v>9016</v>
      </c>
    </row>
    <row r="1370" spans="1:1" x14ac:dyDescent="0.35">
      <c r="A1370">
        <v>9017</v>
      </c>
    </row>
    <row r="1371" spans="1:1" x14ac:dyDescent="0.35">
      <c r="A1371">
        <v>9018</v>
      </c>
    </row>
    <row r="1372" spans="1:1" x14ac:dyDescent="0.35">
      <c r="A1372">
        <v>9019</v>
      </c>
    </row>
    <row r="1373" spans="1:1" x14ac:dyDescent="0.35">
      <c r="A1373">
        <v>9020</v>
      </c>
    </row>
    <row r="1374" spans="1:1" x14ac:dyDescent="0.35">
      <c r="A1374">
        <v>9021</v>
      </c>
    </row>
    <row r="1375" spans="1:1" x14ac:dyDescent="0.35">
      <c r="A1375">
        <v>9022</v>
      </c>
    </row>
    <row r="1376" spans="1:1" x14ac:dyDescent="0.35">
      <c r="A1376">
        <v>9023</v>
      </c>
    </row>
    <row r="1377" spans="1:1" x14ac:dyDescent="0.35">
      <c r="A1377">
        <v>9024</v>
      </c>
    </row>
    <row r="1378" spans="1:1" x14ac:dyDescent="0.35">
      <c r="A1378">
        <v>9025</v>
      </c>
    </row>
    <row r="1379" spans="1:1" x14ac:dyDescent="0.35">
      <c r="A1379">
        <v>9026</v>
      </c>
    </row>
    <row r="1380" spans="1:1" x14ac:dyDescent="0.35">
      <c r="A1380">
        <v>9027</v>
      </c>
    </row>
    <row r="1381" spans="1:1" x14ac:dyDescent="0.35">
      <c r="A1381">
        <v>9028</v>
      </c>
    </row>
    <row r="1382" spans="1:1" x14ac:dyDescent="0.35">
      <c r="A1382">
        <v>9029</v>
      </c>
    </row>
    <row r="1383" spans="1:1" x14ac:dyDescent="0.35">
      <c r="A1383">
        <v>9030</v>
      </c>
    </row>
    <row r="1384" spans="1:1" x14ac:dyDescent="0.35">
      <c r="A1384">
        <v>9031</v>
      </c>
    </row>
    <row r="1385" spans="1:1" x14ac:dyDescent="0.35">
      <c r="A1385">
        <v>9032</v>
      </c>
    </row>
    <row r="1386" spans="1:1" x14ac:dyDescent="0.35">
      <c r="A1386">
        <v>9033</v>
      </c>
    </row>
    <row r="1387" spans="1:1" x14ac:dyDescent="0.35">
      <c r="A1387">
        <v>9034</v>
      </c>
    </row>
    <row r="1388" spans="1:1" x14ac:dyDescent="0.35">
      <c r="A1388">
        <v>9035</v>
      </c>
    </row>
    <row r="1389" spans="1:1" x14ac:dyDescent="0.35">
      <c r="A1389">
        <v>9036</v>
      </c>
    </row>
    <row r="1390" spans="1:1" x14ac:dyDescent="0.35">
      <c r="A1390">
        <v>9037</v>
      </c>
    </row>
    <row r="1391" spans="1:1" x14ac:dyDescent="0.35">
      <c r="A1391">
        <v>9038</v>
      </c>
    </row>
    <row r="1392" spans="1:1" x14ac:dyDescent="0.35">
      <c r="A1392">
        <v>9039</v>
      </c>
    </row>
    <row r="1393" spans="1:1" x14ac:dyDescent="0.35">
      <c r="A1393">
        <v>9040</v>
      </c>
    </row>
    <row r="1394" spans="1:1" x14ac:dyDescent="0.35">
      <c r="A1394">
        <v>9041</v>
      </c>
    </row>
    <row r="1395" spans="1:1" x14ac:dyDescent="0.35">
      <c r="A1395">
        <v>9042</v>
      </c>
    </row>
    <row r="1396" spans="1:1" x14ac:dyDescent="0.35">
      <c r="A1396">
        <v>9043</v>
      </c>
    </row>
    <row r="1397" spans="1:1" x14ac:dyDescent="0.35">
      <c r="A1397">
        <v>9044</v>
      </c>
    </row>
    <row r="1398" spans="1:1" x14ac:dyDescent="0.35">
      <c r="A1398">
        <v>9045</v>
      </c>
    </row>
    <row r="1399" spans="1:1" x14ac:dyDescent="0.35">
      <c r="A1399">
        <v>9046</v>
      </c>
    </row>
    <row r="1400" spans="1:1" x14ac:dyDescent="0.35">
      <c r="A1400">
        <v>9047</v>
      </c>
    </row>
    <row r="1401" spans="1:1" x14ac:dyDescent="0.35">
      <c r="A1401">
        <v>9048</v>
      </c>
    </row>
    <row r="1402" spans="1:1" x14ac:dyDescent="0.35">
      <c r="A1402">
        <v>9049</v>
      </c>
    </row>
    <row r="1403" spans="1:1" x14ac:dyDescent="0.35">
      <c r="A1403">
        <v>9050</v>
      </c>
    </row>
    <row r="1404" spans="1:1" x14ac:dyDescent="0.35">
      <c r="A1404">
        <v>9051</v>
      </c>
    </row>
    <row r="1405" spans="1:1" x14ac:dyDescent="0.35">
      <c r="A1405">
        <v>9052</v>
      </c>
    </row>
    <row r="1406" spans="1:1" x14ac:dyDescent="0.35">
      <c r="A1406">
        <v>9053</v>
      </c>
    </row>
    <row r="1407" spans="1:1" x14ac:dyDescent="0.35">
      <c r="A1407">
        <v>9054</v>
      </c>
    </row>
    <row r="1408" spans="1:1" x14ac:dyDescent="0.35">
      <c r="A1408">
        <v>9055</v>
      </c>
    </row>
    <row r="1409" spans="1:1" x14ac:dyDescent="0.35">
      <c r="A1409">
        <v>9056</v>
      </c>
    </row>
    <row r="1410" spans="1:1" x14ac:dyDescent="0.35">
      <c r="A1410">
        <v>9057</v>
      </c>
    </row>
    <row r="1411" spans="1:1" x14ac:dyDescent="0.35">
      <c r="A1411">
        <v>9058</v>
      </c>
    </row>
    <row r="1412" spans="1:1" x14ac:dyDescent="0.35">
      <c r="A1412">
        <v>9059</v>
      </c>
    </row>
    <row r="1413" spans="1:1" x14ac:dyDescent="0.35">
      <c r="A1413">
        <v>9060</v>
      </c>
    </row>
    <row r="1414" spans="1:1" x14ac:dyDescent="0.35">
      <c r="A1414">
        <v>9061</v>
      </c>
    </row>
    <row r="1415" spans="1:1" x14ac:dyDescent="0.35">
      <c r="A1415">
        <v>9062</v>
      </c>
    </row>
    <row r="1416" spans="1:1" x14ac:dyDescent="0.35">
      <c r="A1416">
        <v>9063</v>
      </c>
    </row>
    <row r="1417" spans="1:1" x14ac:dyDescent="0.35">
      <c r="A1417">
        <v>9064</v>
      </c>
    </row>
    <row r="1418" spans="1:1" x14ac:dyDescent="0.35">
      <c r="A1418">
        <v>9065</v>
      </c>
    </row>
    <row r="1419" spans="1:1" x14ac:dyDescent="0.35">
      <c r="A1419">
        <v>9066</v>
      </c>
    </row>
    <row r="1420" spans="1:1" x14ac:dyDescent="0.35">
      <c r="A1420">
        <v>9067</v>
      </c>
    </row>
    <row r="1421" spans="1:1" x14ac:dyDescent="0.35">
      <c r="A1421">
        <v>9068</v>
      </c>
    </row>
    <row r="1422" spans="1:1" x14ac:dyDescent="0.35">
      <c r="A1422">
        <v>9069</v>
      </c>
    </row>
    <row r="1423" spans="1:1" x14ac:dyDescent="0.35">
      <c r="A1423">
        <v>9070</v>
      </c>
    </row>
    <row r="1424" spans="1:1" x14ac:dyDescent="0.35">
      <c r="A1424">
        <v>9071</v>
      </c>
    </row>
    <row r="1425" spans="1:1" x14ac:dyDescent="0.35">
      <c r="A1425">
        <v>9072</v>
      </c>
    </row>
    <row r="1426" spans="1:1" x14ac:dyDescent="0.35">
      <c r="A1426">
        <v>9073</v>
      </c>
    </row>
    <row r="1427" spans="1:1" x14ac:dyDescent="0.35">
      <c r="A1427">
        <v>9074</v>
      </c>
    </row>
    <row r="1428" spans="1:1" x14ac:dyDescent="0.35">
      <c r="A1428">
        <v>9075</v>
      </c>
    </row>
    <row r="1429" spans="1:1" x14ac:dyDescent="0.35">
      <c r="A1429">
        <v>9076</v>
      </c>
    </row>
    <row r="1430" spans="1:1" x14ac:dyDescent="0.35">
      <c r="A1430">
        <v>9077</v>
      </c>
    </row>
    <row r="1431" spans="1:1" x14ac:dyDescent="0.35">
      <c r="A1431">
        <v>9078</v>
      </c>
    </row>
    <row r="1432" spans="1:1" x14ac:dyDescent="0.35">
      <c r="A1432">
        <v>9079</v>
      </c>
    </row>
    <row r="1433" spans="1:1" x14ac:dyDescent="0.35">
      <c r="A1433">
        <v>9080</v>
      </c>
    </row>
    <row r="1434" spans="1:1" x14ac:dyDescent="0.35">
      <c r="A1434">
        <v>9081</v>
      </c>
    </row>
    <row r="1435" spans="1:1" x14ac:dyDescent="0.35">
      <c r="A1435">
        <v>9082</v>
      </c>
    </row>
    <row r="1436" spans="1:1" x14ac:dyDescent="0.35">
      <c r="A1436">
        <v>9083</v>
      </c>
    </row>
    <row r="1437" spans="1:1" x14ac:dyDescent="0.35">
      <c r="A1437">
        <v>9084</v>
      </c>
    </row>
    <row r="1438" spans="1:1" x14ac:dyDescent="0.35">
      <c r="A1438">
        <v>9085</v>
      </c>
    </row>
    <row r="1439" spans="1:1" x14ac:dyDescent="0.35">
      <c r="A1439">
        <v>9086</v>
      </c>
    </row>
    <row r="1440" spans="1:1" x14ac:dyDescent="0.35">
      <c r="A1440">
        <v>9087</v>
      </c>
    </row>
    <row r="1441" spans="1:1" x14ac:dyDescent="0.35">
      <c r="A1441">
        <v>9088</v>
      </c>
    </row>
    <row r="1442" spans="1:1" x14ac:dyDescent="0.35">
      <c r="A1442">
        <v>9089</v>
      </c>
    </row>
    <row r="1443" spans="1:1" x14ac:dyDescent="0.35">
      <c r="A1443">
        <v>9090</v>
      </c>
    </row>
    <row r="1444" spans="1:1" x14ac:dyDescent="0.35">
      <c r="A1444">
        <v>9091</v>
      </c>
    </row>
    <row r="1445" spans="1:1" x14ac:dyDescent="0.35">
      <c r="A1445">
        <v>9092</v>
      </c>
    </row>
    <row r="1446" spans="1:1" x14ac:dyDescent="0.35">
      <c r="A1446">
        <v>9093</v>
      </c>
    </row>
    <row r="1447" spans="1:1" x14ac:dyDescent="0.35">
      <c r="A1447">
        <v>9094</v>
      </c>
    </row>
    <row r="1448" spans="1:1" x14ac:dyDescent="0.35">
      <c r="A1448">
        <v>9095</v>
      </c>
    </row>
    <row r="1449" spans="1:1" x14ac:dyDescent="0.35">
      <c r="A1449">
        <v>9096</v>
      </c>
    </row>
    <row r="1450" spans="1:1" x14ac:dyDescent="0.35">
      <c r="A1450">
        <v>9097</v>
      </c>
    </row>
    <row r="1451" spans="1:1" x14ac:dyDescent="0.35">
      <c r="A1451">
        <v>9098</v>
      </c>
    </row>
    <row r="1452" spans="1:1" x14ac:dyDescent="0.35">
      <c r="A1452">
        <v>9099</v>
      </c>
    </row>
    <row r="1453" spans="1:1" x14ac:dyDescent="0.35">
      <c r="A1453">
        <v>9100</v>
      </c>
    </row>
    <row r="1454" spans="1:1" x14ac:dyDescent="0.35">
      <c r="A1454">
        <v>9101</v>
      </c>
    </row>
    <row r="1455" spans="1:1" x14ac:dyDescent="0.35">
      <c r="A1455">
        <v>9102</v>
      </c>
    </row>
    <row r="1456" spans="1:1" x14ac:dyDescent="0.35">
      <c r="A1456">
        <v>9103</v>
      </c>
    </row>
    <row r="1457" spans="1:1" x14ac:dyDescent="0.35">
      <c r="A1457">
        <v>9104</v>
      </c>
    </row>
    <row r="1458" spans="1:1" x14ac:dyDescent="0.35">
      <c r="A1458">
        <v>9105</v>
      </c>
    </row>
    <row r="1459" spans="1:1" x14ac:dyDescent="0.35">
      <c r="A1459">
        <v>9106</v>
      </c>
    </row>
    <row r="1460" spans="1:1" x14ac:dyDescent="0.35">
      <c r="A1460">
        <v>9107</v>
      </c>
    </row>
    <row r="1461" spans="1:1" x14ac:dyDescent="0.35">
      <c r="A1461">
        <v>9108</v>
      </c>
    </row>
    <row r="1462" spans="1:1" x14ac:dyDescent="0.35">
      <c r="A1462">
        <v>9109</v>
      </c>
    </row>
    <row r="1463" spans="1:1" x14ac:dyDescent="0.35">
      <c r="A1463">
        <v>9110</v>
      </c>
    </row>
    <row r="1464" spans="1:1" x14ac:dyDescent="0.35">
      <c r="A1464">
        <v>9111</v>
      </c>
    </row>
    <row r="1465" spans="1:1" x14ac:dyDescent="0.35">
      <c r="A1465">
        <v>9112</v>
      </c>
    </row>
    <row r="1466" spans="1:1" x14ac:dyDescent="0.35">
      <c r="A1466">
        <v>9113</v>
      </c>
    </row>
    <row r="1467" spans="1:1" x14ac:dyDescent="0.35">
      <c r="A1467">
        <v>9114</v>
      </c>
    </row>
    <row r="1468" spans="1:1" x14ac:dyDescent="0.35">
      <c r="A1468">
        <v>9115</v>
      </c>
    </row>
    <row r="1469" spans="1:1" x14ac:dyDescent="0.35">
      <c r="A1469">
        <v>9116</v>
      </c>
    </row>
    <row r="1470" spans="1:1" x14ac:dyDescent="0.35">
      <c r="A1470">
        <v>9117</v>
      </c>
    </row>
    <row r="1471" spans="1:1" x14ac:dyDescent="0.35">
      <c r="A1471">
        <v>9118</v>
      </c>
    </row>
    <row r="1472" spans="1:1" x14ac:dyDescent="0.35">
      <c r="A1472">
        <v>9119</v>
      </c>
    </row>
    <row r="1473" spans="1:1" x14ac:dyDescent="0.35">
      <c r="A1473">
        <v>9120</v>
      </c>
    </row>
    <row r="1474" spans="1:1" x14ac:dyDescent="0.35">
      <c r="A1474">
        <v>9121</v>
      </c>
    </row>
    <row r="1475" spans="1:1" x14ac:dyDescent="0.35">
      <c r="A1475">
        <v>9122</v>
      </c>
    </row>
    <row r="1476" spans="1:1" x14ac:dyDescent="0.35">
      <c r="A1476">
        <v>9123</v>
      </c>
    </row>
    <row r="1477" spans="1:1" x14ac:dyDescent="0.35">
      <c r="A1477">
        <v>9124</v>
      </c>
    </row>
    <row r="1478" spans="1:1" x14ac:dyDescent="0.35">
      <c r="A1478">
        <v>9125</v>
      </c>
    </row>
    <row r="1479" spans="1:1" x14ac:dyDescent="0.35">
      <c r="A1479">
        <v>9126</v>
      </c>
    </row>
    <row r="1480" spans="1:1" x14ac:dyDescent="0.35">
      <c r="A1480">
        <v>9127</v>
      </c>
    </row>
    <row r="1481" spans="1:1" x14ac:dyDescent="0.35">
      <c r="A1481">
        <v>9128</v>
      </c>
    </row>
    <row r="1482" spans="1:1" x14ac:dyDescent="0.35">
      <c r="A1482">
        <v>9129</v>
      </c>
    </row>
    <row r="1483" spans="1:1" x14ac:dyDescent="0.35">
      <c r="A1483">
        <v>9130</v>
      </c>
    </row>
    <row r="1484" spans="1:1" x14ac:dyDescent="0.35">
      <c r="A1484">
        <v>9131</v>
      </c>
    </row>
    <row r="1485" spans="1:1" x14ac:dyDescent="0.35">
      <c r="A1485">
        <v>9132</v>
      </c>
    </row>
    <row r="1486" spans="1:1" x14ac:dyDescent="0.35">
      <c r="A1486">
        <v>9133</v>
      </c>
    </row>
    <row r="1487" spans="1:1" x14ac:dyDescent="0.35">
      <c r="A1487">
        <v>9134</v>
      </c>
    </row>
    <row r="1488" spans="1:1" x14ac:dyDescent="0.35">
      <c r="A1488">
        <v>9135</v>
      </c>
    </row>
    <row r="1489" spans="1:1" x14ac:dyDescent="0.35">
      <c r="A1489">
        <v>9136</v>
      </c>
    </row>
    <row r="1490" spans="1:1" x14ac:dyDescent="0.35">
      <c r="A1490">
        <v>9137</v>
      </c>
    </row>
    <row r="1491" spans="1:1" x14ac:dyDescent="0.35">
      <c r="A1491">
        <v>9138</v>
      </c>
    </row>
    <row r="1492" spans="1:1" x14ac:dyDescent="0.35">
      <c r="A1492">
        <v>9139</v>
      </c>
    </row>
    <row r="1493" spans="1:1" x14ac:dyDescent="0.35">
      <c r="A1493">
        <v>9140</v>
      </c>
    </row>
    <row r="1494" spans="1:1" x14ac:dyDescent="0.35">
      <c r="A1494">
        <v>9141</v>
      </c>
    </row>
    <row r="1495" spans="1:1" x14ac:dyDescent="0.35">
      <c r="A1495">
        <v>9142</v>
      </c>
    </row>
    <row r="1496" spans="1:1" x14ac:dyDescent="0.35">
      <c r="A1496">
        <v>9143</v>
      </c>
    </row>
    <row r="1497" spans="1:1" x14ac:dyDescent="0.35">
      <c r="A1497">
        <v>9144</v>
      </c>
    </row>
    <row r="1498" spans="1:1" x14ac:dyDescent="0.35">
      <c r="A1498">
        <v>9145</v>
      </c>
    </row>
    <row r="1499" spans="1:1" x14ac:dyDescent="0.35">
      <c r="A1499">
        <v>9146</v>
      </c>
    </row>
    <row r="1500" spans="1:1" x14ac:dyDescent="0.35">
      <c r="A1500">
        <v>9147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Diagramme</vt:lpstr>
      </vt:variant>
      <vt:variant>
        <vt:i4>1</vt:i4>
      </vt:variant>
    </vt:vector>
  </HeadingPairs>
  <TitlesOfParts>
    <vt:vector size="13" baseType="lpstr">
      <vt:lpstr>Bestellungen</vt:lpstr>
      <vt:lpstr>Umfragenteilnahme</vt:lpstr>
      <vt:lpstr>Kundenumfrage</vt:lpstr>
      <vt:lpstr>Kunde</vt:lpstr>
      <vt:lpstr>Hilfetabelle Region</vt:lpstr>
      <vt:lpstr>Produkt</vt:lpstr>
      <vt:lpstr>Produktionsdaten August22</vt:lpstr>
      <vt:lpstr>Qualitätsprüfung August22</vt:lpstr>
      <vt:lpstr>Hilfstabelle QP</vt:lpstr>
      <vt:lpstr>Maschinen-WartungAusfall</vt:lpstr>
      <vt:lpstr>Hilfstabelle Mashinen</vt:lpstr>
      <vt:lpstr>Ertrag</vt:lpstr>
      <vt:lpstr>Diagramm1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S. Wenzel</dc:creator>
  <cp:lastModifiedBy>Jakob S. Wenzel</cp:lastModifiedBy>
  <dcterms:created xsi:type="dcterms:W3CDTF">2023-06-09T11:15:18Z</dcterms:created>
  <dcterms:modified xsi:type="dcterms:W3CDTF">2023-07-21T17:20:18Z</dcterms:modified>
</cp:coreProperties>
</file>